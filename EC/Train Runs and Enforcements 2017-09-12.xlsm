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Enforcements!$A$6:$AC$49</definedName>
    <definedName name="_xlnm._FilterDatabase" localSheetId="2" hidden="1">'Missing Trips'!$A$2:$J$26</definedName>
    <definedName name="_xlnm._FilterDatabase" localSheetId="0" hidden="1">'Train Runs'!$A$12:$AG$281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4" i="1" l="1"/>
  <c r="K203" i="1"/>
  <c r="L203" i="1"/>
  <c r="M203" i="1"/>
  <c r="N203" i="1"/>
  <c r="V203" i="1"/>
  <c r="AA203" i="1"/>
  <c r="AB203" i="1"/>
  <c r="AC203" i="1"/>
  <c r="AD203" i="1"/>
  <c r="T203" i="1" s="1"/>
  <c r="AE203" i="1"/>
  <c r="AF203" i="1"/>
  <c r="AH203" i="1"/>
  <c r="AM203" i="1"/>
  <c r="AN203" i="1"/>
  <c r="X201" i="1"/>
  <c r="K200" i="1"/>
  <c r="M200" i="1"/>
  <c r="N200" i="1" s="1"/>
  <c r="V200" i="1"/>
  <c r="AA200" i="1"/>
  <c r="AB200" i="1"/>
  <c r="AC200" i="1"/>
  <c r="AD200" i="1"/>
  <c r="T200" i="1" s="1"/>
  <c r="AE200" i="1"/>
  <c r="AF200" i="1"/>
  <c r="AH200" i="1"/>
  <c r="AM200" i="1"/>
  <c r="AN200" i="1"/>
  <c r="K199" i="1"/>
  <c r="M199" i="1"/>
  <c r="N199" i="1"/>
  <c r="V199" i="1"/>
  <c r="AA199" i="1"/>
  <c r="AB199" i="1"/>
  <c r="AC199" i="1"/>
  <c r="AD199" i="1"/>
  <c r="T199" i="1" s="1"/>
  <c r="AE199" i="1"/>
  <c r="AF199" i="1"/>
  <c r="AH199" i="1"/>
  <c r="AM199" i="1"/>
  <c r="AN199" i="1"/>
  <c r="X197" i="1"/>
  <c r="K196" i="1"/>
  <c r="L196" i="1"/>
  <c r="M196" i="1"/>
  <c r="N196" i="1"/>
  <c r="V196" i="1"/>
  <c r="AA196" i="1"/>
  <c r="AB196" i="1"/>
  <c r="AC196" i="1"/>
  <c r="AD196" i="1"/>
  <c r="T196" i="1" s="1"/>
  <c r="AE196" i="1"/>
  <c r="AF196" i="1"/>
  <c r="AH196" i="1"/>
  <c r="AM196" i="1"/>
  <c r="AN196" i="1"/>
  <c r="X194" i="1"/>
  <c r="K193" i="1"/>
  <c r="L193" i="1"/>
  <c r="M193" i="1"/>
  <c r="N193" i="1"/>
  <c r="V193" i="1"/>
  <c r="AA193" i="1"/>
  <c r="AB193" i="1"/>
  <c r="AC193" i="1"/>
  <c r="AD193" i="1"/>
  <c r="T193" i="1" s="1"/>
  <c r="AE193" i="1"/>
  <c r="AF193" i="1"/>
  <c r="AH193" i="1"/>
  <c r="AM193" i="1"/>
  <c r="AN193" i="1"/>
  <c r="K155" i="1"/>
  <c r="L155" i="1"/>
  <c r="M155" i="1"/>
  <c r="N155" i="1"/>
  <c r="V155" i="1"/>
  <c r="Y155" i="1"/>
  <c r="Z155" i="1"/>
  <c r="AA155" i="1" s="1"/>
  <c r="AB155" i="1"/>
  <c r="AC155" i="1"/>
  <c r="AD155" i="1"/>
  <c r="T155" i="1" s="1"/>
  <c r="AE155" i="1"/>
  <c r="AF155" i="1"/>
  <c r="AG203" i="1"/>
  <c r="AG200" i="1"/>
  <c r="AG199" i="1"/>
  <c r="AG196" i="1"/>
  <c r="AG193" i="1"/>
  <c r="AG155" i="1"/>
  <c r="AI203" i="1" l="1"/>
  <c r="U203" i="1"/>
  <c r="S203" i="1" s="1"/>
  <c r="W203" i="1"/>
  <c r="X203" i="1"/>
  <c r="AI200" i="1"/>
  <c r="U200" i="1"/>
  <c r="S200" i="1" s="1"/>
  <c r="W200" i="1"/>
  <c r="X200" i="1"/>
  <c r="AI199" i="1"/>
  <c r="U199" i="1"/>
  <c r="S199" i="1" s="1"/>
  <c r="W199" i="1"/>
  <c r="X199" i="1"/>
  <c r="AI196" i="1"/>
  <c r="U196" i="1"/>
  <c r="S196" i="1" s="1"/>
  <c r="W196" i="1"/>
  <c r="X196" i="1"/>
  <c r="X193" i="1"/>
  <c r="U193" i="1"/>
  <c r="S193" i="1" s="1"/>
  <c r="AI193" i="1"/>
  <c r="W193" i="1"/>
  <c r="U155" i="1"/>
  <c r="S155" i="1" s="1"/>
  <c r="W155" i="1"/>
  <c r="X155" i="1"/>
  <c r="AH155" i="1"/>
  <c r="AI155" i="1"/>
  <c r="AM155" i="1"/>
  <c r="AN15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S17" i="3" s="1"/>
  <c r="Y30" i="1"/>
  <c r="Z30" i="1"/>
  <c r="AB30" i="1"/>
  <c r="AC30" i="1"/>
  <c r="AD30" i="1"/>
  <c r="AE30" i="1"/>
  <c r="R17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18" i="3" s="1"/>
  <c r="Y38" i="1"/>
  <c r="Z38" i="1"/>
  <c r="AB38" i="1"/>
  <c r="AC38" i="1"/>
  <c r="AD38" i="1"/>
  <c r="T38" i="1" s="1"/>
  <c r="AE38" i="1"/>
  <c r="R18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R21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12" i="3" s="1"/>
  <c r="Y44" i="1"/>
  <c r="Z44" i="1"/>
  <c r="AB44" i="1"/>
  <c r="AC44" i="1"/>
  <c r="AD44" i="1"/>
  <c r="AE44" i="1"/>
  <c r="R12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R7" i="3" s="1"/>
  <c r="AF45" i="1"/>
  <c r="AH45" i="1"/>
  <c r="AM45" i="1"/>
  <c r="AN45" i="1"/>
  <c r="K46" i="1"/>
  <c r="L46" i="1"/>
  <c r="M46" i="1"/>
  <c r="N46" i="1" s="1"/>
  <c r="V46" i="1"/>
  <c r="S8" i="3" s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R22" i="3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P63" i="1" s="1"/>
  <c r="V63" i="1"/>
  <c r="Y63" i="1"/>
  <c r="Z63" i="1"/>
  <c r="AB63" i="1"/>
  <c r="AC63" i="1"/>
  <c r="AD63" i="1"/>
  <c r="T63" i="1" s="1"/>
  <c r="AE63" i="1"/>
  <c r="R15" i="3" s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19" i="3" s="1"/>
  <c r="Y75" i="1"/>
  <c r="Z75" i="1"/>
  <c r="AB75" i="1"/>
  <c r="AC75" i="1"/>
  <c r="AD75" i="1"/>
  <c r="T75" i="1" s="1"/>
  <c r="AE75" i="1"/>
  <c r="R19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 s="1"/>
  <c r="V77" i="1"/>
  <c r="S13" i="3" s="1"/>
  <c r="Y77" i="1"/>
  <c r="Z77" i="1"/>
  <c r="AB77" i="1"/>
  <c r="AC77" i="1"/>
  <c r="AD77" i="1"/>
  <c r="AE77" i="1"/>
  <c r="R13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7" i="1" s="1"/>
  <c r="AE86" i="1"/>
  <c r="AF86" i="1"/>
  <c r="AH86" i="1"/>
  <c r="AM86" i="1"/>
  <c r="AN86" i="1"/>
  <c r="K87" i="1"/>
  <c r="L87" i="1"/>
  <c r="M87" i="1"/>
  <c r="N87" i="1" s="1"/>
  <c r="V87" i="1"/>
  <c r="S10" i="3" s="1"/>
  <c r="Y87" i="1"/>
  <c r="Z87" i="1"/>
  <c r="AB87" i="1"/>
  <c r="AC87" i="1"/>
  <c r="AD87" i="1"/>
  <c r="T87" i="1" s="1"/>
  <c r="AE87" i="1"/>
  <c r="R10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S23" i="3" s="1"/>
  <c r="Y110" i="1"/>
  <c r="Z110" i="1"/>
  <c r="AB110" i="1"/>
  <c r="AC110" i="1"/>
  <c r="AD110" i="1"/>
  <c r="AE110" i="1"/>
  <c r="R23" i="3" s="1"/>
  <c r="AF110" i="1"/>
  <c r="AH110" i="1"/>
  <c r="AM110" i="1"/>
  <c r="AN110" i="1"/>
  <c r="K111" i="1"/>
  <c r="L111" i="1"/>
  <c r="M111" i="1"/>
  <c r="N111" i="1" s="1"/>
  <c r="V111" i="1"/>
  <c r="S16" i="3" s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S20" i="3" s="1"/>
  <c r="Y117" i="1"/>
  <c r="Z117" i="1"/>
  <c r="AB117" i="1"/>
  <c r="AC117" i="1"/>
  <c r="AD117" i="1"/>
  <c r="AE117" i="1"/>
  <c r="R20" i="3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S9" i="3" s="1"/>
  <c r="Y137" i="1"/>
  <c r="Z137" i="1"/>
  <c r="AB137" i="1"/>
  <c r="AC137" i="1"/>
  <c r="AD137" i="1"/>
  <c r="AE137" i="1"/>
  <c r="R9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14" i="3" s="1"/>
  <c r="Y153" i="1"/>
  <c r="Z153" i="1"/>
  <c r="AB153" i="1"/>
  <c r="AC153" i="1"/>
  <c r="AD153" i="1"/>
  <c r="T153" i="1" s="1"/>
  <c r="AE153" i="1"/>
  <c r="R14" i="3" s="1"/>
  <c r="AF153" i="1"/>
  <c r="AH153" i="1"/>
  <c r="AM153" i="1"/>
  <c r="AN153" i="1"/>
  <c r="K154" i="1"/>
  <c r="L154" i="1"/>
  <c r="M154" i="1"/>
  <c r="N154" i="1" s="1"/>
  <c r="V154" i="1"/>
  <c r="Y154" i="1"/>
  <c r="AB154" i="1"/>
  <c r="AC154" i="1"/>
  <c r="AD154" i="1"/>
  <c r="AE154" i="1"/>
  <c r="AF154" i="1"/>
  <c r="AH154" i="1"/>
  <c r="AM154" i="1"/>
  <c r="AN15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6" i="1"/>
  <c r="AM156" i="1"/>
  <c r="AN156" i="1"/>
  <c r="K206" i="1"/>
  <c r="L206" i="1"/>
  <c r="M206" i="1"/>
  <c r="N206" i="1" s="1"/>
  <c r="T206" i="1"/>
  <c r="V206" i="1"/>
  <c r="Y206" i="1"/>
  <c r="Z206" i="1"/>
  <c r="AB206" i="1"/>
  <c r="AC206" i="1"/>
  <c r="AD206" i="1"/>
  <c r="AE206" i="1"/>
  <c r="AF206" i="1"/>
  <c r="AH157" i="1"/>
  <c r="AM157" i="1"/>
  <c r="AN15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8" i="1"/>
  <c r="AM158" i="1"/>
  <c r="AN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 s="1"/>
  <c r="V209" i="1"/>
  <c r="X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7" i="1"/>
  <c r="AM167" i="1"/>
  <c r="AN167" i="1"/>
  <c r="K217" i="1"/>
  <c r="L217" i="1"/>
  <c r="M217" i="1"/>
  <c r="N217" i="1" s="1"/>
  <c r="T217" i="1"/>
  <c r="V217" i="1"/>
  <c r="Y217" i="1"/>
  <c r="Z217" i="1"/>
  <c r="AA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T218" i="1"/>
  <c r="V218" i="1"/>
  <c r="Y218" i="1"/>
  <c r="Z218" i="1"/>
  <c r="AB218" i="1"/>
  <c r="AC218" i="1"/>
  <c r="AD218" i="1"/>
  <c r="AE218" i="1"/>
  <c r="R35" i="3" s="1"/>
  <c r="AF218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AM170" i="1"/>
  <c r="AN170" i="1"/>
  <c r="K225" i="1"/>
  <c r="L225" i="1"/>
  <c r="M225" i="1"/>
  <c r="N225" i="1" s="1"/>
  <c r="V225" i="1"/>
  <c r="S37" i="3" s="1"/>
  <c r="Y225" i="1"/>
  <c r="Z225" i="1"/>
  <c r="AB225" i="1"/>
  <c r="AC225" i="1"/>
  <c r="AD225" i="1"/>
  <c r="AE225" i="1"/>
  <c r="R37" i="3" s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S39" i="3" s="1"/>
  <c r="Y230" i="1"/>
  <c r="Z230" i="1"/>
  <c r="AB230" i="1"/>
  <c r="AC230" i="1"/>
  <c r="AD230" i="1"/>
  <c r="T230" i="1" s="1"/>
  <c r="AE230" i="1"/>
  <c r="R39" i="3" s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K234" i="1"/>
  <c r="L234" i="1"/>
  <c r="M234" i="1"/>
  <c r="N234" i="1" s="1"/>
  <c r="V234" i="1"/>
  <c r="S38" i="3" s="1"/>
  <c r="X234" i="1"/>
  <c r="Y234" i="1"/>
  <c r="Z234" i="1"/>
  <c r="AB234" i="1"/>
  <c r="AC234" i="1"/>
  <c r="AD234" i="1"/>
  <c r="T234" i="1" s="1"/>
  <c r="AE234" i="1"/>
  <c r="R38" i="3" s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156" i="1"/>
  <c r="L156" i="1"/>
  <c r="M156" i="1"/>
  <c r="N156" i="1"/>
  <c r="V156" i="1"/>
  <c r="Y156" i="1"/>
  <c r="Z156" i="1"/>
  <c r="AB156" i="1"/>
  <c r="AC156" i="1"/>
  <c r="AD156" i="1"/>
  <c r="X156" i="1" s="1"/>
  <c r="AE156" i="1"/>
  <c r="AF156" i="1"/>
  <c r="AH182" i="1"/>
  <c r="AM182" i="1"/>
  <c r="AN182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83" i="1"/>
  <c r="AM183" i="1"/>
  <c r="AN18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4" i="1"/>
  <c r="AM184" i="1"/>
  <c r="AN184" i="1"/>
  <c r="K159" i="1"/>
  <c r="L159" i="1"/>
  <c r="M159" i="1"/>
  <c r="N159" i="1" s="1"/>
  <c r="V159" i="1"/>
  <c r="S29" i="3" s="1"/>
  <c r="Y159" i="1"/>
  <c r="Z159" i="1"/>
  <c r="AB159" i="1"/>
  <c r="AC159" i="1"/>
  <c r="AD159" i="1"/>
  <c r="T159" i="1" s="1"/>
  <c r="AE159" i="1"/>
  <c r="R29" i="3" s="1"/>
  <c r="AF159" i="1"/>
  <c r="AH185" i="1"/>
  <c r="AM185" i="1"/>
  <c r="AN18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6" i="1"/>
  <c r="AM186" i="1"/>
  <c r="AN18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7" i="1"/>
  <c r="AM187" i="1"/>
  <c r="AN187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188" i="1"/>
  <c r="AM188" i="1"/>
  <c r="AN18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9" i="1"/>
  <c r="AM189" i="1"/>
  <c r="AN189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4" i="1"/>
  <c r="AM194" i="1"/>
  <c r="AN194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195" i="1"/>
  <c r="AM195" i="1"/>
  <c r="AN195" i="1"/>
  <c r="K169" i="1"/>
  <c r="L169" i="1"/>
  <c r="M169" i="1"/>
  <c r="N169" i="1" s="1"/>
  <c r="V169" i="1"/>
  <c r="S30" i="3" s="1"/>
  <c r="Y169" i="1"/>
  <c r="Z169" i="1"/>
  <c r="AB169" i="1"/>
  <c r="AC169" i="1"/>
  <c r="AD169" i="1"/>
  <c r="AE169" i="1"/>
  <c r="R30" i="3" s="1"/>
  <c r="AF169" i="1"/>
  <c r="AH197" i="1"/>
  <c r="AM197" i="1"/>
  <c r="AN197" i="1"/>
  <c r="K170" i="1"/>
  <c r="L170" i="1"/>
  <c r="M170" i="1"/>
  <c r="N170" i="1" s="1"/>
  <c r="V170" i="1"/>
  <c r="S24" i="3" s="1"/>
  <c r="Y170" i="1"/>
  <c r="Z170" i="1"/>
  <c r="AB170" i="1"/>
  <c r="AC170" i="1"/>
  <c r="AD170" i="1"/>
  <c r="AE170" i="1"/>
  <c r="R24" i="3" s="1"/>
  <c r="AF170" i="1"/>
  <c r="AH198" i="1"/>
  <c r="AM198" i="1"/>
  <c r="AN198" i="1"/>
  <c r="K171" i="1"/>
  <c r="L171" i="1"/>
  <c r="M171" i="1"/>
  <c r="N171" i="1" s="1"/>
  <c r="V171" i="1"/>
  <c r="S32" i="3" s="1"/>
  <c r="Y171" i="1"/>
  <c r="Z171" i="1"/>
  <c r="AB171" i="1"/>
  <c r="AC171" i="1"/>
  <c r="AD171" i="1"/>
  <c r="AE171" i="1"/>
  <c r="R32" i="3" s="1"/>
  <c r="AF171" i="1"/>
  <c r="AH201" i="1"/>
  <c r="AM201" i="1"/>
  <c r="AN201" i="1"/>
  <c r="K172" i="1"/>
  <c r="L172" i="1"/>
  <c r="M172" i="1"/>
  <c r="N172" i="1" s="1"/>
  <c r="V172" i="1"/>
  <c r="S27" i="3" s="1"/>
  <c r="Y172" i="1"/>
  <c r="Z172" i="1"/>
  <c r="AB172" i="1"/>
  <c r="AC172" i="1"/>
  <c r="AD172" i="1"/>
  <c r="AE172" i="1"/>
  <c r="R27" i="3" s="1"/>
  <c r="AF172" i="1"/>
  <c r="AH202" i="1"/>
  <c r="AM202" i="1"/>
  <c r="AN20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4" i="1"/>
  <c r="AM204" i="1"/>
  <c r="AN20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6" i="1"/>
  <c r="AM206" i="1"/>
  <c r="AN206" i="1"/>
  <c r="K176" i="1"/>
  <c r="L176" i="1"/>
  <c r="M176" i="1"/>
  <c r="N176" i="1" s="1"/>
  <c r="V176" i="1"/>
  <c r="S25" i="3" s="1"/>
  <c r="Y176" i="1"/>
  <c r="Z176" i="1"/>
  <c r="AB176" i="1"/>
  <c r="AC176" i="1"/>
  <c r="AD176" i="1"/>
  <c r="AE176" i="1"/>
  <c r="R25" i="3" s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3" i="1"/>
  <c r="AM213" i="1"/>
  <c r="AN21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4" i="1"/>
  <c r="AM214" i="1"/>
  <c r="AN214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5" i="1"/>
  <c r="AM215" i="1"/>
  <c r="AN215" i="1"/>
  <c r="K185" i="1"/>
  <c r="L185" i="1"/>
  <c r="M185" i="1"/>
  <c r="N185" i="1" s="1"/>
  <c r="V185" i="1"/>
  <c r="X185" i="1"/>
  <c r="Y185" i="1"/>
  <c r="Z185" i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8" i="1"/>
  <c r="AM218" i="1"/>
  <c r="AN218" i="1"/>
  <c r="K188" i="1"/>
  <c r="L188" i="1"/>
  <c r="M188" i="1"/>
  <c r="N188" i="1" s="1"/>
  <c r="V188" i="1"/>
  <c r="S26" i="3" s="1"/>
  <c r="Y188" i="1"/>
  <c r="Z188" i="1"/>
  <c r="AB188" i="1"/>
  <c r="AC188" i="1"/>
  <c r="AD188" i="1"/>
  <c r="AE188" i="1"/>
  <c r="AF188" i="1"/>
  <c r="AH219" i="1"/>
  <c r="AM219" i="1"/>
  <c r="AN21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0" i="1"/>
  <c r="AM220" i="1"/>
  <c r="AN22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4" i="1"/>
  <c r="AM224" i="1"/>
  <c r="AN22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AM227" i="1"/>
  <c r="AN22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8" i="1"/>
  <c r="AM228" i="1"/>
  <c r="AN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0" i="1"/>
  <c r="AM230" i="1"/>
  <c r="AN23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31" i="1"/>
  <c r="AM231" i="1"/>
  <c r="AN23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2" i="1"/>
  <c r="AM232" i="1"/>
  <c r="AN23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3" i="1"/>
  <c r="AM233" i="1"/>
  <c r="AN23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4" i="1"/>
  <c r="AM234" i="1"/>
  <c r="AN234" i="1"/>
  <c r="K223" i="1"/>
  <c r="L223" i="1"/>
  <c r="M223" i="1"/>
  <c r="N223" i="1" s="1"/>
  <c r="V223" i="1"/>
  <c r="S36" i="3" s="1"/>
  <c r="Y223" i="1"/>
  <c r="Z223" i="1"/>
  <c r="AB223" i="1"/>
  <c r="AC223" i="1"/>
  <c r="AD223" i="1"/>
  <c r="T223" i="1" s="1"/>
  <c r="AE223" i="1"/>
  <c r="R36" i="3" s="1"/>
  <c r="AF223" i="1"/>
  <c r="AH235" i="1"/>
  <c r="AM235" i="1"/>
  <c r="AN235" i="1"/>
  <c r="M29" i="3"/>
  <c r="U29" i="3"/>
  <c r="T29" i="3" s="1"/>
  <c r="V29" i="3"/>
  <c r="X29" i="3"/>
  <c r="M17" i="3"/>
  <c r="U17" i="3"/>
  <c r="AC17" i="3" s="1"/>
  <c r="V17" i="3"/>
  <c r="X17" i="3"/>
  <c r="M21" i="3"/>
  <c r="S21" i="3"/>
  <c r="U21" i="3"/>
  <c r="AC21" i="3" s="1"/>
  <c r="V21" i="3"/>
  <c r="X21" i="3"/>
  <c r="M7" i="3"/>
  <c r="S7" i="3"/>
  <c r="U7" i="3"/>
  <c r="AC7" i="3" s="1"/>
  <c r="V7" i="3"/>
  <c r="X7" i="3"/>
  <c r="M18" i="3"/>
  <c r="U18" i="3"/>
  <c r="T18" i="3" s="1"/>
  <c r="V18" i="3"/>
  <c r="X18" i="3"/>
  <c r="M12" i="3"/>
  <c r="U12" i="3"/>
  <c r="AD12" i="3" s="1"/>
  <c r="V12" i="3"/>
  <c r="X12" i="3"/>
  <c r="M8" i="3"/>
  <c r="R8" i="3"/>
  <c r="U8" i="3"/>
  <c r="AC8" i="3" s="1"/>
  <c r="V8" i="3"/>
  <c r="X8" i="3"/>
  <c r="M30" i="3"/>
  <c r="U30" i="3"/>
  <c r="AC30" i="3" s="1"/>
  <c r="V30" i="3"/>
  <c r="X30" i="3"/>
  <c r="M31" i="3"/>
  <c r="U31" i="3"/>
  <c r="V31" i="3"/>
  <c r="X31" i="3"/>
  <c r="M24" i="3"/>
  <c r="U24" i="3"/>
  <c r="AD24" i="3" s="1"/>
  <c r="V24" i="3"/>
  <c r="X24" i="3"/>
  <c r="M15" i="3"/>
  <c r="S15" i="3"/>
  <c r="U15" i="3"/>
  <c r="AC15" i="3" s="1"/>
  <c r="V15" i="3"/>
  <c r="X15" i="3"/>
  <c r="M22" i="3"/>
  <c r="S22" i="3"/>
  <c r="U22" i="3"/>
  <c r="AC22" i="3" s="1"/>
  <c r="V22" i="3"/>
  <c r="X22" i="3"/>
  <c r="M32" i="3"/>
  <c r="U32" i="3"/>
  <c r="T32" i="3" s="1"/>
  <c r="V32" i="3"/>
  <c r="X32" i="3"/>
  <c r="M27" i="3"/>
  <c r="U27" i="3"/>
  <c r="V27" i="3"/>
  <c r="X27" i="3"/>
  <c r="M39" i="3"/>
  <c r="U39" i="3"/>
  <c r="AC39" i="3" s="1"/>
  <c r="V39" i="3"/>
  <c r="X39" i="3"/>
  <c r="M37" i="3"/>
  <c r="U37" i="3"/>
  <c r="AC37" i="3" s="1"/>
  <c r="V37" i="3"/>
  <c r="X37" i="3"/>
  <c r="M25" i="3"/>
  <c r="U25" i="3"/>
  <c r="T25" i="3" s="1"/>
  <c r="V25" i="3"/>
  <c r="X25" i="3"/>
  <c r="M13" i="3"/>
  <c r="U13" i="3"/>
  <c r="V13" i="3"/>
  <c r="X13" i="3"/>
  <c r="M19" i="3"/>
  <c r="U19" i="3"/>
  <c r="AC19" i="3" s="1"/>
  <c r="V19" i="3"/>
  <c r="X19" i="3"/>
  <c r="M10" i="3"/>
  <c r="U10" i="3"/>
  <c r="AC10" i="3" s="1"/>
  <c r="V10" i="3"/>
  <c r="X10" i="3"/>
  <c r="M23" i="3"/>
  <c r="U23" i="3"/>
  <c r="T23" i="3" s="1"/>
  <c r="V23" i="3"/>
  <c r="X23" i="3"/>
  <c r="M38" i="3"/>
  <c r="U38" i="3"/>
  <c r="V38" i="3"/>
  <c r="X38" i="3"/>
  <c r="M26" i="3"/>
  <c r="R26" i="3"/>
  <c r="U26" i="3"/>
  <c r="AC26" i="3" s="1"/>
  <c r="V26" i="3"/>
  <c r="X26" i="3"/>
  <c r="M16" i="3"/>
  <c r="R16" i="3"/>
  <c r="U16" i="3"/>
  <c r="AC16" i="3" s="1"/>
  <c r="V16" i="3"/>
  <c r="X16" i="3"/>
  <c r="M20" i="3"/>
  <c r="U20" i="3"/>
  <c r="T20" i="3" s="1"/>
  <c r="V20" i="3"/>
  <c r="X20" i="3"/>
  <c r="M36" i="3"/>
  <c r="U36" i="3"/>
  <c r="T36" i="3" s="1"/>
  <c r="V36" i="3"/>
  <c r="X36" i="3"/>
  <c r="M28" i="3"/>
  <c r="R28" i="3"/>
  <c r="S28" i="3"/>
  <c r="U28" i="3"/>
  <c r="AC28" i="3" s="1"/>
  <c r="V28" i="3"/>
  <c r="X28" i="3"/>
  <c r="M9" i="3"/>
  <c r="U9" i="3"/>
  <c r="AC9" i="3" s="1"/>
  <c r="V9" i="3"/>
  <c r="X9" i="3"/>
  <c r="M33" i="3"/>
  <c r="R33" i="3"/>
  <c r="S33" i="3"/>
  <c r="U33" i="3"/>
  <c r="T33" i="3" s="1"/>
  <c r="V33" i="3"/>
  <c r="X33" i="3"/>
  <c r="M34" i="3"/>
  <c r="R34" i="3"/>
  <c r="S34" i="3"/>
  <c r="U34" i="3"/>
  <c r="T34" i="3" s="1"/>
  <c r="V34" i="3"/>
  <c r="X34" i="3"/>
  <c r="M14" i="3"/>
  <c r="U14" i="3"/>
  <c r="AC14" i="3" s="1"/>
  <c r="V14" i="3"/>
  <c r="X14" i="3"/>
  <c r="M35" i="3"/>
  <c r="S35" i="3"/>
  <c r="U35" i="3"/>
  <c r="AC35" i="3" s="1"/>
  <c r="V35" i="3"/>
  <c r="X35" i="3"/>
  <c r="AG24" i="1"/>
  <c r="AG40" i="1"/>
  <c r="AG19" i="1"/>
  <c r="AG14" i="1"/>
  <c r="AG30" i="1"/>
  <c r="AG52" i="1"/>
  <c r="AG37" i="1"/>
  <c r="AG35" i="1"/>
  <c r="AG54" i="1"/>
  <c r="AG70" i="1"/>
  <c r="AG21" i="1"/>
  <c r="AG60" i="1"/>
  <c r="AG83" i="1"/>
  <c r="AG47" i="1"/>
  <c r="AG71" i="1"/>
  <c r="AG86" i="1"/>
  <c r="AG102" i="1"/>
  <c r="AG118" i="1"/>
  <c r="AG67" i="1"/>
  <c r="AG85" i="1"/>
  <c r="AG108" i="1"/>
  <c r="AG125" i="1"/>
  <c r="AG144" i="1"/>
  <c r="AG209" i="1"/>
  <c r="AG88" i="1"/>
  <c r="AG73" i="1"/>
  <c r="AG100" i="1"/>
  <c r="AG117" i="1"/>
  <c r="AG97" i="1"/>
  <c r="AG129" i="1"/>
  <c r="AG153" i="1"/>
  <c r="AG227" i="1"/>
  <c r="AG119" i="1"/>
  <c r="AG134" i="1"/>
  <c r="AG151" i="1"/>
  <c r="AG230" i="1"/>
  <c r="AG147" i="1"/>
  <c r="AG216" i="1"/>
  <c r="AG157" i="1"/>
  <c r="AG173" i="1"/>
  <c r="AG95" i="1"/>
  <c r="AG215" i="1"/>
  <c r="AG160" i="1"/>
  <c r="AG235" i="1"/>
  <c r="AG172" i="1"/>
  <c r="AG166" i="1"/>
  <c r="AG143" i="1"/>
  <c r="AG164" i="1"/>
  <c r="AG184" i="1"/>
  <c r="AG201" i="1"/>
  <c r="AG187" i="1"/>
  <c r="AG223" i="1"/>
  <c r="AG197" i="1"/>
  <c r="AG195" i="1"/>
  <c r="AG17" i="1"/>
  <c r="AG63" i="1"/>
  <c r="AG61" i="1"/>
  <c r="AG55" i="1"/>
  <c r="AG90" i="1"/>
  <c r="AG122" i="1"/>
  <c r="AG92" i="1"/>
  <c r="AG132" i="1"/>
  <c r="AG148" i="1"/>
  <c r="AG103" i="1"/>
  <c r="AG101" i="1"/>
  <c r="AG130" i="1"/>
  <c r="AG137" i="1"/>
  <c r="AG231" i="1"/>
  <c r="AG135" i="1"/>
  <c r="AG214" i="1"/>
  <c r="AG210" i="1"/>
  <c r="AG161" i="1"/>
  <c r="AG128" i="1"/>
  <c r="AG174" i="1"/>
  <c r="AG141" i="1"/>
  <c r="AG206" i="1"/>
  <c r="AG188" i="1"/>
  <c r="AG220" i="1"/>
  <c r="AG182" i="1"/>
  <c r="AG204" i="1"/>
  <c r="AG20" i="1"/>
  <c r="AG36" i="1"/>
  <c r="AG15" i="1"/>
  <c r="AG31" i="1"/>
  <c r="AG26" i="1"/>
  <c r="AG43" i="1"/>
  <c r="AG33" i="1"/>
  <c r="AG34" i="1"/>
  <c r="AG51" i="1"/>
  <c r="AG66" i="1"/>
  <c r="AG59" i="1"/>
  <c r="AG79" i="1"/>
  <c r="AG57" i="1"/>
  <c r="AG82" i="1"/>
  <c r="AG114" i="1"/>
  <c r="AG107" i="1"/>
  <c r="AG205" i="1"/>
  <c r="AG99" i="1"/>
  <c r="AG127" i="1"/>
  <c r="AG133" i="1"/>
  <c r="AG212" i="1"/>
  <c r="AG208" i="1"/>
  <c r="AG232" i="1"/>
  <c r="AG194" i="1"/>
  <c r="AG190" i="1"/>
  <c r="AG28" i="1"/>
  <c r="AG44" i="1"/>
  <c r="AG23" i="1"/>
  <c r="AG18" i="1"/>
  <c r="AG41" i="1"/>
  <c r="AG38" i="1"/>
  <c r="AG49" i="1"/>
  <c r="AG58" i="1"/>
  <c r="AG29" i="1"/>
  <c r="AG87" i="1"/>
  <c r="AG74" i="1"/>
  <c r="AG106" i="1"/>
  <c r="AG68" i="1"/>
  <c r="AG109" i="1"/>
  <c r="AG213" i="1"/>
  <c r="AG81" i="1"/>
  <c r="AG111" i="1"/>
  <c r="AG154" i="1"/>
  <c r="AG121" i="1"/>
  <c r="AG234" i="1"/>
  <c r="AG225" i="1"/>
  <c r="AG177" i="1"/>
  <c r="AG228" i="1"/>
  <c r="AG156" i="1"/>
  <c r="AG167" i="1"/>
  <c r="AG178" i="1"/>
  <c r="AG192" i="1"/>
  <c r="AG202" i="1"/>
  <c r="AG65" i="1"/>
  <c r="AG98" i="1"/>
  <c r="AG77" i="1"/>
  <c r="AG140" i="1"/>
  <c r="AG105" i="1"/>
  <c r="AG96" i="1"/>
  <c r="AG139" i="1"/>
  <c r="AG113" i="1"/>
  <c r="AG226" i="1"/>
  <c r="AG233" i="1"/>
  <c r="AG76" i="1"/>
  <c r="AG176" i="1"/>
  <c r="AG163" i="1"/>
  <c r="AG186" i="1"/>
  <c r="AG191" i="1"/>
  <c r="AG16" i="1"/>
  <c r="AG32" i="1"/>
  <c r="AG48" i="1"/>
  <c r="AG27" i="1"/>
  <c r="AG22" i="1"/>
  <c r="AG42" i="1"/>
  <c r="AG25" i="1"/>
  <c r="AG39" i="1"/>
  <c r="AG50" i="1"/>
  <c r="AG62" i="1"/>
  <c r="AG64" i="1"/>
  <c r="AG45" i="1"/>
  <c r="AG75" i="1"/>
  <c r="AG91" i="1"/>
  <c r="AG56" i="1"/>
  <c r="AG78" i="1"/>
  <c r="AG94" i="1"/>
  <c r="AG110" i="1"/>
  <c r="AG126" i="1"/>
  <c r="AG69" i="1"/>
  <c r="AG93" i="1"/>
  <c r="AG123" i="1"/>
  <c r="AG136" i="1"/>
  <c r="AG152" i="1"/>
  <c r="AG72" i="1"/>
  <c r="AG104" i="1"/>
  <c r="AG89" i="1"/>
  <c r="AG115" i="1"/>
  <c r="AG84" i="1"/>
  <c r="AG120" i="1"/>
  <c r="AG138" i="1"/>
  <c r="AG112" i="1"/>
  <c r="AG131" i="1"/>
  <c r="AG149" i="1"/>
  <c r="AG217" i="1"/>
  <c r="AG145" i="1"/>
  <c r="AG211" i="1"/>
  <c r="AG229" i="1"/>
  <c r="AG165" i="1"/>
  <c r="AG181" i="1"/>
  <c r="AG207" i="1"/>
  <c r="AG158" i="1"/>
  <c r="AG175" i="1"/>
  <c r="AG170" i="1"/>
  <c r="AG224" i="1"/>
  <c r="AG168" i="1"/>
  <c r="AG162" i="1"/>
  <c r="AG179" i="1"/>
  <c r="AG189" i="1"/>
  <c r="AG185" i="1"/>
  <c r="AG198" i="1"/>
  <c r="AG183" i="1"/>
  <c r="AG222" i="1"/>
  <c r="AG221" i="1"/>
  <c r="AG171" i="1"/>
  <c r="AG46" i="1"/>
  <c r="AG53" i="1"/>
  <c r="AG124" i="1"/>
  <c r="AG80" i="1"/>
  <c r="AG116" i="1"/>
  <c r="AG218" i="1"/>
  <c r="AG150" i="1"/>
  <c r="AG146" i="1"/>
  <c r="AG169" i="1"/>
  <c r="AG159" i="1"/>
  <c r="AG142" i="1"/>
  <c r="AG180" i="1"/>
  <c r="AG219" i="1"/>
  <c r="W17" i="3"/>
  <c r="W13" i="3"/>
  <c r="W21" i="3"/>
  <c r="W19" i="3"/>
  <c r="W37" i="3"/>
  <c r="W22" i="3"/>
  <c r="W29" i="3"/>
  <c r="W25" i="3"/>
  <c r="W27" i="3"/>
  <c r="W34" i="3"/>
  <c r="W39" i="3"/>
  <c r="W14" i="3"/>
  <c r="W30" i="3"/>
  <c r="W9" i="3"/>
  <c r="W32" i="3"/>
  <c r="W33" i="3"/>
  <c r="W12" i="3"/>
  <c r="W38" i="3"/>
  <c r="W8" i="3"/>
  <c r="W26" i="3"/>
  <c r="W35" i="3"/>
  <c r="W10" i="3"/>
  <c r="W18" i="3"/>
  <c r="W23" i="3"/>
  <c r="W24" i="3"/>
  <c r="W36" i="3"/>
  <c r="W15" i="3"/>
  <c r="W28" i="3"/>
  <c r="W7" i="3"/>
  <c r="W16" i="3"/>
  <c r="W31" i="3"/>
  <c r="W20" i="3"/>
  <c r="AD32" i="3" l="1"/>
  <c r="S31" i="3"/>
  <c r="T9" i="3"/>
  <c r="AD29" i="3"/>
  <c r="AA103" i="1"/>
  <c r="AA54" i="1"/>
  <c r="AA38" i="1"/>
  <c r="X21" i="1"/>
  <c r="X158" i="1"/>
  <c r="AC25" i="3"/>
  <c r="AD21" i="3"/>
  <c r="AC12" i="3"/>
  <c r="X188" i="1"/>
  <c r="X235" i="1"/>
  <c r="T16" i="3"/>
  <c r="AD25" i="3"/>
  <c r="X118" i="1"/>
  <c r="X17" i="1"/>
  <c r="AA151" i="1"/>
  <c r="AA149" i="1"/>
  <c r="W149" i="1" s="1"/>
  <c r="AA122" i="1"/>
  <c r="AA39" i="1"/>
  <c r="X38" i="1"/>
  <c r="AA20" i="1"/>
  <c r="W20" i="1" s="1"/>
  <c r="AA16" i="1"/>
  <c r="X175" i="1"/>
  <c r="X48" i="1"/>
  <c r="X29" i="1"/>
  <c r="X28" i="1"/>
  <c r="AE39" i="3"/>
  <c r="X198" i="1"/>
  <c r="AA187" i="1"/>
  <c r="W187" i="1" s="1"/>
  <c r="X218" i="1"/>
  <c r="AA209" i="1"/>
  <c r="AA208" i="1"/>
  <c r="AA152" i="1"/>
  <c r="W152" i="1" s="1"/>
  <c r="AA114" i="1"/>
  <c r="X20" i="1"/>
  <c r="T17" i="1"/>
  <c r="AA222" i="1"/>
  <c r="W222" i="1" s="1"/>
  <c r="AA204" i="1"/>
  <c r="AA177" i="1"/>
  <c r="AA175" i="1"/>
  <c r="AA169" i="1"/>
  <c r="W169" i="1" s="1"/>
  <c r="AA123" i="1"/>
  <c r="AA119" i="1"/>
  <c r="X116" i="1"/>
  <c r="X114" i="1"/>
  <c r="AA96" i="1"/>
  <c r="AA82" i="1"/>
  <c r="AA78" i="1"/>
  <c r="AA70" i="1"/>
  <c r="W70" i="1" s="1"/>
  <c r="AA52" i="1"/>
  <c r="X42" i="1"/>
  <c r="X40" i="1"/>
  <c r="X16" i="1"/>
  <c r="AE35" i="3"/>
  <c r="T35" i="3"/>
  <c r="AD36" i="3"/>
  <c r="T37" i="3"/>
  <c r="R31" i="3"/>
  <c r="X219" i="1"/>
  <c r="AA198" i="1"/>
  <c r="X191" i="1"/>
  <c r="AA191" i="1"/>
  <c r="AA178" i="1"/>
  <c r="X169" i="1"/>
  <c r="AA218" i="1"/>
  <c r="W218" i="1" s="1"/>
  <c r="AA145" i="1"/>
  <c r="X144" i="1"/>
  <c r="AA140" i="1"/>
  <c r="X137" i="1"/>
  <c r="AA134" i="1"/>
  <c r="AA133" i="1"/>
  <c r="AA131" i="1"/>
  <c r="X130" i="1"/>
  <c r="AA126" i="1"/>
  <c r="AA106" i="1"/>
  <c r="AA104" i="1"/>
  <c r="AA102" i="1"/>
  <c r="W102" i="1" s="1"/>
  <c r="AA97" i="1"/>
  <c r="AA95" i="1"/>
  <c r="AA74" i="1"/>
  <c r="AA55" i="1"/>
  <c r="W55" i="1" s="1"/>
  <c r="X54" i="1"/>
  <c r="AA45" i="1"/>
  <c r="AA37" i="1"/>
  <c r="AA25" i="1"/>
  <c r="W25" i="1" s="1"/>
  <c r="AA23" i="1"/>
  <c r="AA19" i="1"/>
  <c r="X145" i="1"/>
  <c r="T84" i="1"/>
  <c r="X55" i="1"/>
  <c r="AA44" i="1"/>
  <c r="X41" i="1"/>
  <c r="T40" i="1"/>
  <c r="U40" i="1" s="1"/>
  <c r="S40" i="1" s="1"/>
  <c r="X33" i="1"/>
  <c r="AD37" i="3"/>
  <c r="X162" i="1"/>
  <c r="AD28" i="3"/>
  <c r="AD20" i="3"/>
  <c r="AE31" i="3"/>
  <c r="AA201" i="1"/>
  <c r="AA190" i="1"/>
  <c r="W190" i="1" s="1"/>
  <c r="AA234" i="1"/>
  <c r="AA230" i="1"/>
  <c r="AA226" i="1"/>
  <c r="X146" i="1"/>
  <c r="AA144" i="1"/>
  <c r="T137" i="1"/>
  <c r="AA135" i="1"/>
  <c r="X134" i="1"/>
  <c r="AA127" i="1"/>
  <c r="X115" i="1"/>
  <c r="AA113" i="1"/>
  <c r="AA111" i="1"/>
  <c r="W111" i="1" s="1"/>
  <c r="X104" i="1"/>
  <c r="AA86" i="1"/>
  <c r="AA84" i="1"/>
  <c r="AA75" i="1"/>
  <c r="W75" i="1" s="1"/>
  <c r="AA71" i="1"/>
  <c r="AA15" i="1"/>
  <c r="AC29" i="3"/>
  <c r="AD33" i="3"/>
  <c r="AD17" i="3"/>
  <c r="AC31" i="3"/>
  <c r="T31" i="3"/>
  <c r="AD15" i="3"/>
  <c r="T30" i="3"/>
  <c r="AC38" i="3"/>
  <c r="AC27" i="3"/>
  <c r="AE27" i="3"/>
  <c r="AD23" i="3"/>
  <c r="AE19" i="3"/>
  <c r="AA197" i="1"/>
  <c r="AA189" i="1"/>
  <c r="W189" i="1" s="1"/>
  <c r="AA182" i="1"/>
  <c r="W182" i="1" s="1"/>
  <c r="AA176" i="1"/>
  <c r="AA173" i="1"/>
  <c r="X170" i="1"/>
  <c r="AA166" i="1"/>
  <c r="AA161" i="1"/>
  <c r="AA160" i="1"/>
  <c r="AA158" i="1"/>
  <c r="AA232" i="1"/>
  <c r="X231" i="1"/>
  <c r="AA205" i="1"/>
  <c r="AA153" i="1"/>
  <c r="X142" i="1"/>
  <c r="X128" i="1"/>
  <c r="AA99" i="1"/>
  <c r="X88" i="1"/>
  <c r="AA79" i="1"/>
  <c r="AA76" i="1"/>
  <c r="T76" i="1"/>
  <c r="X68" i="1"/>
  <c r="X64" i="1"/>
  <c r="X62" i="1"/>
  <c r="AA60" i="1"/>
  <c r="X58" i="1"/>
  <c r="X49" i="1"/>
  <c r="T41" i="1"/>
  <c r="AA24" i="1"/>
  <c r="X223" i="1"/>
  <c r="X184" i="1"/>
  <c r="X213" i="1"/>
  <c r="AA143" i="1"/>
  <c r="AA132" i="1"/>
  <c r="AA129" i="1"/>
  <c r="X122" i="1"/>
  <c r="T116" i="1"/>
  <c r="T114" i="1"/>
  <c r="U114" i="1" s="1"/>
  <c r="S114" i="1" s="1"/>
  <c r="X99" i="1"/>
  <c r="AA94" i="1"/>
  <c r="AA87" i="1"/>
  <c r="X59" i="1"/>
  <c r="X50" i="1"/>
  <c r="X46" i="1"/>
  <c r="AA32" i="1"/>
  <c r="AA28" i="1"/>
  <c r="W28" i="1" s="1"/>
  <c r="AA223" i="1"/>
  <c r="AA221" i="1"/>
  <c r="AA195" i="1"/>
  <c r="AA192" i="1"/>
  <c r="W192" i="1" s="1"/>
  <c r="AA185" i="1"/>
  <c r="AA183" i="1"/>
  <c r="X177" i="1"/>
  <c r="T170" i="1"/>
  <c r="T169" i="1"/>
  <c r="X161" i="1"/>
  <c r="AA157" i="1"/>
  <c r="X214" i="1"/>
  <c r="AA210" i="1"/>
  <c r="AA207" i="1"/>
  <c r="X152" i="1"/>
  <c r="AA141" i="1"/>
  <c r="W141" i="1" s="1"/>
  <c r="X138" i="1"/>
  <c r="X124" i="1"/>
  <c r="X123" i="1"/>
  <c r="AA121" i="1"/>
  <c r="W121" i="1" s="1"/>
  <c r="X120" i="1"/>
  <c r="AA107" i="1"/>
  <c r="AA105" i="1"/>
  <c r="X100" i="1"/>
  <c r="AA98" i="1"/>
  <c r="AA90" i="1"/>
  <c r="X70" i="1"/>
  <c r="AA68" i="1"/>
  <c r="W68" i="1" s="1"/>
  <c r="X66" i="1"/>
  <c r="AA63" i="1"/>
  <c r="T62" i="1"/>
  <c r="AA61" i="1"/>
  <c r="W61" i="1" s="1"/>
  <c r="X60" i="1"/>
  <c r="AA58" i="1"/>
  <c r="AA53" i="1"/>
  <c r="AA49" i="1"/>
  <c r="W49" i="1" s="1"/>
  <c r="AA48" i="1"/>
  <c r="X32" i="1"/>
  <c r="AA31" i="1"/>
  <c r="AA18" i="1"/>
  <c r="X222" i="1"/>
  <c r="AA219" i="1"/>
  <c r="T219" i="1"/>
  <c r="AA220" i="1"/>
  <c r="X192" i="1"/>
  <c r="AA202" i="1"/>
  <c r="W202" i="1" s="1"/>
  <c r="AA194" i="1"/>
  <c r="AA188" i="1"/>
  <c r="X186" i="1"/>
  <c r="T184" i="1"/>
  <c r="U184" i="1" s="1"/>
  <c r="S184" i="1" s="1"/>
  <c r="AA174" i="1"/>
  <c r="X167" i="1"/>
  <c r="X165" i="1"/>
  <c r="AA159" i="1"/>
  <c r="AA233" i="1"/>
  <c r="AA228" i="1"/>
  <c r="X227" i="1"/>
  <c r="AA206" i="1"/>
  <c r="W206" i="1" s="1"/>
  <c r="X153" i="1"/>
  <c r="X150" i="1"/>
  <c r="X148" i="1"/>
  <c r="AA142" i="1"/>
  <c r="W142" i="1" s="1"/>
  <c r="AA137" i="1"/>
  <c r="X136" i="1"/>
  <c r="X132" i="1"/>
  <c r="AA128" i="1"/>
  <c r="W128" i="1" s="1"/>
  <c r="AA115" i="1"/>
  <c r="X112" i="1"/>
  <c r="AA109" i="1"/>
  <c r="X108" i="1"/>
  <c r="X107" i="1"/>
  <c r="T98" i="1"/>
  <c r="AA88" i="1"/>
  <c r="X79" i="1"/>
  <c r="X72" i="1"/>
  <c r="AA67" i="1"/>
  <c r="T55" i="1"/>
  <c r="AA47" i="1"/>
  <c r="W47" i="1" s="1"/>
  <c r="AA40" i="1"/>
  <c r="T33" i="1"/>
  <c r="X25" i="1"/>
  <c r="AA22" i="1"/>
  <c r="W22" i="1" s="1"/>
  <c r="AA21" i="1"/>
  <c r="T20" i="1"/>
  <c r="AA184" i="1"/>
  <c r="AA181" i="1"/>
  <c r="AA180" i="1"/>
  <c r="X178" i="1"/>
  <c r="AA172" i="1"/>
  <c r="X171" i="1"/>
  <c r="AA231" i="1"/>
  <c r="AA229" i="1"/>
  <c r="AA224" i="1"/>
  <c r="AA213" i="1"/>
  <c r="W213" i="1" s="1"/>
  <c r="AA212" i="1"/>
  <c r="X211" i="1"/>
  <c r="X210" i="1"/>
  <c r="X207" i="1"/>
  <c r="X154" i="1"/>
  <c r="AA130" i="1"/>
  <c r="AA120" i="1"/>
  <c r="AA118" i="1"/>
  <c r="AA117" i="1"/>
  <c r="AA110" i="1"/>
  <c r="X106" i="1"/>
  <c r="X102" i="1"/>
  <c r="X96" i="1"/>
  <c r="AA93" i="1"/>
  <c r="X92" i="1"/>
  <c r="AA80" i="1"/>
  <c r="T80" i="1"/>
  <c r="X71" i="1"/>
  <c r="AA69" i="1"/>
  <c r="AA65" i="1"/>
  <c r="X63" i="1"/>
  <c r="AA46" i="1"/>
  <c r="AA41" i="1"/>
  <c r="X36" i="1"/>
  <c r="AA33" i="1"/>
  <c r="T32" i="1"/>
  <c r="X24" i="1"/>
  <c r="AA17" i="1"/>
  <c r="W17" i="1" s="1"/>
  <c r="T16" i="1"/>
  <c r="AA14" i="1"/>
  <c r="AA167" i="1"/>
  <c r="AA165" i="1"/>
  <c r="W165" i="1" s="1"/>
  <c r="AA164" i="1"/>
  <c r="X159" i="1"/>
  <c r="AA156" i="1"/>
  <c r="AA227" i="1"/>
  <c r="W227" i="1" s="1"/>
  <c r="AA225" i="1"/>
  <c r="T152" i="1"/>
  <c r="AA150" i="1"/>
  <c r="AA148" i="1"/>
  <c r="W148" i="1" s="1"/>
  <c r="AA147" i="1"/>
  <c r="AA139" i="1"/>
  <c r="AA125" i="1"/>
  <c r="AA112" i="1"/>
  <c r="W112" i="1" s="1"/>
  <c r="AA72" i="1"/>
  <c r="AA66" i="1"/>
  <c r="AA57" i="1"/>
  <c r="X56" i="1"/>
  <c r="AA30" i="1"/>
  <c r="AA29" i="1"/>
  <c r="X173" i="1"/>
  <c r="AA170" i="1"/>
  <c r="W170" i="1" s="1"/>
  <c r="AA62" i="1"/>
  <c r="AA51" i="1"/>
  <c r="AA43" i="1"/>
  <c r="AA36" i="1"/>
  <c r="AA35" i="1"/>
  <c r="AI233" i="1"/>
  <c r="AI229" i="1"/>
  <c r="AI225" i="1"/>
  <c r="AI221" i="1"/>
  <c r="U190" i="1"/>
  <c r="S190" i="1" s="1"/>
  <c r="U222" i="1"/>
  <c r="S222" i="1" s="1"/>
  <c r="AI234" i="1"/>
  <c r="AI230" i="1"/>
  <c r="U204" i="1"/>
  <c r="S204" i="1" s="1"/>
  <c r="AI226" i="1"/>
  <c r="U197" i="1"/>
  <c r="S197" i="1" s="1"/>
  <c r="AI222" i="1"/>
  <c r="U191" i="1"/>
  <c r="S191" i="1" s="1"/>
  <c r="AI214" i="1"/>
  <c r="W183" i="1"/>
  <c r="U183" i="1"/>
  <c r="S183" i="1" s="1"/>
  <c r="AI213" i="1"/>
  <c r="U182" i="1"/>
  <c r="S182" i="1" s="1"/>
  <c r="U223" i="1"/>
  <c r="S223" i="1" s="1"/>
  <c r="AI235" i="1"/>
  <c r="U219" i="1"/>
  <c r="S219" i="1" s="1"/>
  <c r="AI231" i="1"/>
  <c r="U198" i="1"/>
  <c r="S198" i="1" s="1"/>
  <c r="AI227" i="1"/>
  <c r="U192" i="1"/>
  <c r="S192" i="1" s="1"/>
  <c r="AI223" i="1"/>
  <c r="AI218" i="1"/>
  <c r="AI217" i="1"/>
  <c r="U186" i="1"/>
  <c r="S186" i="1" s="1"/>
  <c r="U185" i="1"/>
  <c r="S185" i="1" s="1"/>
  <c r="AI216" i="1"/>
  <c r="U220" i="1"/>
  <c r="S220" i="1" s="1"/>
  <c r="AI232" i="1"/>
  <c r="U201" i="1"/>
  <c r="S201" i="1" s="1"/>
  <c r="AI228" i="1"/>
  <c r="U194" i="1"/>
  <c r="S194" i="1" s="1"/>
  <c r="AI224" i="1"/>
  <c r="U189" i="1"/>
  <c r="S189" i="1" s="1"/>
  <c r="AI220" i="1"/>
  <c r="AI219" i="1"/>
  <c r="AI215" i="1"/>
  <c r="AI211" i="1"/>
  <c r="AI210" i="1"/>
  <c r="U179" i="1"/>
  <c r="S179" i="1" s="1"/>
  <c r="AI209" i="1"/>
  <c r="U178" i="1"/>
  <c r="S178" i="1" s="1"/>
  <c r="AI190" i="1"/>
  <c r="AI189" i="1"/>
  <c r="U163" i="1"/>
  <c r="S163" i="1" s="1"/>
  <c r="AI188" i="1"/>
  <c r="U162" i="1"/>
  <c r="S162" i="1" s="1"/>
  <c r="AI157" i="1"/>
  <c r="U206" i="1"/>
  <c r="S206" i="1" s="1"/>
  <c r="AI143" i="1"/>
  <c r="AI142" i="1"/>
  <c r="U142" i="1"/>
  <c r="S142" i="1" s="1"/>
  <c r="AI195" i="1"/>
  <c r="AI194" i="1"/>
  <c r="U167" i="1"/>
  <c r="S167" i="1" s="1"/>
  <c r="AI192" i="1"/>
  <c r="U166" i="1"/>
  <c r="S166" i="1" s="1"/>
  <c r="AI178" i="1"/>
  <c r="U232" i="1"/>
  <c r="S232" i="1" s="1"/>
  <c r="AI170" i="1"/>
  <c r="U224" i="1"/>
  <c r="S224" i="1" s="1"/>
  <c r="AI141" i="1"/>
  <c r="U141" i="1"/>
  <c r="S141" i="1" s="1"/>
  <c r="AI202" i="1"/>
  <c r="AI201" i="1"/>
  <c r="U170" i="1"/>
  <c r="S170" i="1" s="1"/>
  <c r="AI198" i="1"/>
  <c r="AI182" i="1"/>
  <c r="AI181" i="1"/>
  <c r="AI207" i="1"/>
  <c r="AI206" i="1"/>
  <c r="U175" i="1"/>
  <c r="S175" i="1" s="1"/>
  <c r="U174" i="1"/>
  <c r="S174" i="1" s="1"/>
  <c r="AI205" i="1"/>
  <c r="AI186" i="1"/>
  <c r="AI185" i="1"/>
  <c r="U159" i="1"/>
  <c r="S159" i="1" s="1"/>
  <c r="U158" i="1"/>
  <c r="S158" i="1" s="1"/>
  <c r="AI184" i="1"/>
  <c r="AI174" i="1"/>
  <c r="U228" i="1"/>
  <c r="S228" i="1" s="1"/>
  <c r="AI166" i="1"/>
  <c r="U215" i="1"/>
  <c r="S215" i="1" s="1"/>
  <c r="AI159" i="1"/>
  <c r="AI158" i="1"/>
  <c r="U207" i="1"/>
  <c r="S207" i="1" s="1"/>
  <c r="AI128" i="1"/>
  <c r="U128" i="1"/>
  <c r="S128" i="1" s="1"/>
  <c r="AI95" i="1"/>
  <c r="U95" i="1"/>
  <c r="S95" i="1" s="1"/>
  <c r="AI76" i="1"/>
  <c r="U76" i="1"/>
  <c r="S76" i="1" s="1"/>
  <c r="AI212" i="1"/>
  <c r="U177" i="1"/>
  <c r="S177" i="1" s="1"/>
  <c r="AI208" i="1"/>
  <c r="AI204" i="1"/>
  <c r="U169" i="1"/>
  <c r="S169" i="1" s="1"/>
  <c r="AI197" i="1"/>
  <c r="U165" i="1"/>
  <c r="S165" i="1" s="1"/>
  <c r="AI191" i="1"/>
  <c r="U161" i="1"/>
  <c r="S161" i="1" s="1"/>
  <c r="AI187" i="1"/>
  <c r="AI183" i="1"/>
  <c r="AI179" i="1"/>
  <c r="AI175" i="1"/>
  <c r="AI171" i="1"/>
  <c r="AI167" i="1"/>
  <c r="AI163" i="1"/>
  <c r="AI162" i="1"/>
  <c r="AI161" i="1"/>
  <c r="U210" i="1"/>
  <c r="S210" i="1" s="1"/>
  <c r="AI147" i="1"/>
  <c r="AI146" i="1"/>
  <c r="AI145" i="1"/>
  <c r="U145" i="1"/>
  <c r="S145" i="1" s="1"/>
  <c r="U234" i="1"/>
  <c r="S234" i="1" s="1"/>
  <c r="AI180" i="1"/>
  <c r="U230" i="1"/>
  <c r="S230" i="1" s="1"/>
  <c r="AI176" i="1"/>
  <c r="U226" i="1"/>
  <c r="S226" i="1" s="1"/>
  <c r="AI172" i="1"/>
  <c r="U217" i="1"/>
  <c r="S217" i="1" s="1"/>
  <c r="AI168" i="1"/>
  <c r="U214" i="1"/>
  <c r="S214" i="1" s="1"/>
  <c r="AI165" i="1"/>
  <c r="AI151" i="1"/>
  <c r="AI150" i="1"/>
  <c r="U150" i="1"/>
  <c r="S150" i="1" s="1"/>
  <c r="U149" i="1"/>
  <c r="S149" i="1" s="1"/>
  <c r="AI149" i="1"/>
  <c r="AI135" i="1"/>
  <c r="AI134" i="1"/>
  <c r="U134" i="1"/>
  <c r="S134" i="1" s="1"/>
  <c r="U133" i="1"/>
  <c r="S133" i="1" s="1"/>
  <c r="AI133" i="1"/>
  <c r="U131" i="1"/>
  <c r="S131" i="1" s="1"/>
  <c r="AI131" i="1"/>
  <c r="AI121" i="1"/>
  <c r="U119" i="1"/>
  <c r="S119" i="1" s="1"/>
  <c r="AI119" i="1"/>
  <c r="AI113" i="1"/>
  <c r="AI112" i="1"/>
  <c r="U112" i="1"/>
  <c r="S112" i="1" s="1"/>
  <c r="U231" i="1"/>
  <c r="S231" i="1" s="1"/>
  <c r="AI177" i="1"/>
  <c r="U227" i="1"/>
  <c r="S227" i="1" s="1"/>
  <c r="AI173" i="1"/>
  <c r="U218" i="1"/>
  <c r="S218" i="1" s="1"/>
  <c r="AI169" i="1"/>
  <c r="AI154" i="1"/>
  <c r="U153" i="1"/>
  <c r="S153" i="1" s="1"/>
  <c r="AI153" i="1"/>
  <c r="AI139" i="1"/>
  <c r="AI138" i="1"/>
  <c r="U137" i="1"/>
  <c r="S137" i="1" s="1"/>
  <c r="AI137" i="1"/>
  <c r="AI129" i="1"/>
  <c r="U127" i="1"/>
  <c r="S127" i="1" s="1"/>
  <c r="AI127" i="1"/>
  <c r="AI120" i="1"/>
  <c r="U120" i="1"/>
  <c r="S120" i="1" s="1"/>
  <c r="AI111" i="1"/>
  <c r="U111" i="1"/>
  <c r="S111" i="1" s="1"/>
  <c r="AI97" i="1"/>
  <c r="AI96" i="1"/>
  <c r="U96" i="1"/>
  <c r="S96" i="1" s="1"/>
  <c r="AI84" i="1"/>
  <c r="U84" i="1"/>
  <c r="S84" i="1" s="1"/>
  <c r="AI130" i="1"/>
  <c r="U130" i="1"/>
  <c r="S130" i="1" s="1"/>
  <c r="AI117" i="1"/>
  <c r="AI116" i="1"/>
  <c r="U116" i="1"/>
  <c r="S116" i="1" s="1"/>
  <c r="AI115" i="1"/>
  <c r="U115" i="1"/>
  <c r="S115" i="1" s="1"/>
  <c r="AI101" i="1"/>
  <c r="AI100" i="1"/>
  <c r="AI99" i="1"/>
  <c r="U99" i="1"/>
  <c r="S99" i="1" s="1"/>
  <c r="AI89" i="1"/>
  <c r="AI81" i="1"/>
  <c r="AI73" i="1"/>
  <c r="AI105" i="1"/>
  <c r="AI104" i="1"/>
  <c r="U104" i="1"/>
  <c r="S104" i="1" s="1"/>
  <c r="U103" i="1"/>
  <c r="S103" i="1" s="1"/>
  <c r="AI103" i="1"/>
  <c r="AI88" i="1"/>
  <c r="U88" i="1"/>
  <c r="S88" i="1" s="1"/>
  <c r="AI80" i="1"/>
  <c r="U80" i="1"/>
  <c r="S80" i="1" s="1"/>
  <c r="AI72" i="1"/>
  <c r="U72" i="1"/>
  <c r="S72" i="1" s="1"/>
  <c r="U213" i="1"/>
  <c r="S213" i="1" s="1"/>
  <c r="AI164" i="1"/>
  <c r="U209" i="1"/>
  <c r="S209" i="1" s="1"/>
  <c r="AI160" i="1"/>
  <c r="AI156" i="1"/>
  <c r="U152" i="1"/>
  <c r="S152" i="1" s="1"/>
  <c r="AI152" i="1"/>
  <c r="U148" i="1"/>
  <c r="S148" i="1" s="1"/>
  <c r="AI148" i="1"/>
  <c r="U144" i="1"/>
  <c r="S144" i="1" s="1"/>
  <c r="AI144" i="1"/>
  <c r="AI140" i="1"/>
  <c r="U136" i="1"/>
  <c r="S136" i="1" s="1"/>
  <c r="AI136" i="1"/>
  <c r="AI132" i="1"/>
  <c r="AI125" i="1"/>
  <c r="W125" i="1"/>
  <c r="AI124" i="1"/>
  <c r="U123" i="1"/>
  <c r="S123" i="1" s="1"/>
  <c r="AI123" i="1"/>
  <c r="AI109" i="1"/>
  <c r="AI108" i="1"/>
  <c r="U107" i="1"/>
  <c r="S107" i="1" s="1"/>
  <c r="AI107" i="1"/>
  <c r="AI93" i="1"/>
  <c r="W93" i="1"/>
  <c r="AI92" i="1"/>
  <c r="AI85" i="1"/>
  <c r="AI77" i="1"/>
  <c r="AI69" i="1"/>
  <c r="AI68" i="1"/>
  <c r="U68" i="1"/>
  <c r="S68" i="1" s="1"/>
  <c r="AI67" i="1"/>
  <c r="U67" i="1"/>
  <c r="S67" i="1" s="1"/>
  <c r="AI53" i="1"/>
  <c r="AI126" i="1"/>
  <c r="U122" i="1"/>
  <c r="S122" i="1" s="1"/>
  <c r="AI122" i="1"/>
  <c r="AI118" i="1"/>
  <c r="AI114" i="1"/>
  <c r="W114" i="1"/>
  <c r="AI110" i="1"/>
  <c r="U106" i="1"/>
  <c r="S106" i="1" s="1"/>
  <c r="AI106" i="1"/>
  <c r="U102" i="1"/>
  <c r="S102" i="1" s="1"/>
  <c r="AI102" i="1"/>
  <c r="U98" i="1"/>
  <c r="S98" i="1" s="1"/>
  <c r="AI98" i="1"/>
  <c r="AI94" i="1"/>
  <c r="AI90" i="1"/>
  <c r="AI86" i="1"/>
  <c r="AI82" i="1"/>
  <c r="AI78" i="1"/>
  <c r="AI74" i="1"/>
  <c r="U71" i="1"/>
  <c r="S71" i="1" s="1"/>
  <c r="AI71" i="1"/>
  <c r="AI57" i="1"/>
  <c r="AI56" i="1"/>
  <c r="AI55" i="1"/>
  <c r="U55" i="1"/>
  <c r="S55" i="1" s="1"/>
  <c r="AI47" i="1"/>
  <c r="AI46" i="1"/>
  <c r="U46" i="1"/>
  <c r="S46" i="1" s="1"/>
  <c r="U91" i="1"/>
  <c r="S91" i="1" s="1"/>
  <c r="AI91" i="1"/>
  <c r="U87" i="1"/>
  <c r="S87" i="1" s="1"/>
  <c r="AI87" i="1"/>
  <c r="U83" i="1"/>
  <c r="S83" i="1" s="1"/>
  <c r="AI83" i="1"/>
  <c r="W83" i="1"/>
  <c r="U79" i="1"/>
  <c r="S79" i="1" s="1"/>
  <c r="AI79" i="1"/>
  <c r="U75" i="1"/>
  <c r="S75" i="1" s="1"/>
  <c r="AI75" i="1"/>
  <c r="AI61" i="1"/>
  <c r="AI60" i="1"/>
  <c r="U60" i="1"/>
  <c r="S60" i="1" s="1"/>
  <c r="U59" i="1"/>
  <c r="S59" i="1" s="1"/>
  <c r="AI59" i="1"/>
  <c r="AI45" i="1"/>
  <c r="U45" i="1"/>
  <c r="S45" i="1" s="1"/>
  <c r="AI29" i="1"/>
  <c r="U29" i="1"/>
  <c r="S29" i="1" s="1"/>
  <c r="AI21" i="1"/>
  <c r="U21" i="1"/>
  <c r="S21" i="1" s="1"/>
  <c r="AI65" i="1"/>
  <c r="AI64" i="1"/>
  <c r="U64" i="1"/>
  <c r="S64" i="1" s="1"/>
  <c r="U63" i="1"/>
  <c r="S63" i="1" s="1"/>
  <c r="AI63" i="1"/>
  <c r="U70" i="1"/>
  <c r="S70" i="1" s="1"/>
  <c r="AI70" i="1"/>
  <c r="AI66" i="1"/>
  <c r="U62" i="1"/>
  <c r="S62" i="1" s="1"/>
  <c r="AI62" i="1"/>
  <c r="U58" i="1"/>
  <c r="S58" i="1" s="1"/>
  <c r="AI58" i="1"/>
  <c r="U54" i="1"/>
  <c r="S54" i="1" s="1"/>
  <c r="AI54" i="1"/>
  <c r="AI51" i="1"/>
  <c r="W51" i="1"/>
  <c r="AI50" i="1"/>
  <c r="AI49" i="1"/>
  <c r="U49" i="1"/>
  <c r="S49" i="1" s="1"/>
  <c r="AI35" i="1"/>
  <c r="AI34" i="1"/>
  <c r="AI39" i="1"/>
  <c r="AI38" i="1"/>
  <c r="U38" i="1"/>
  <c r="S38" i="1" s="1"/>
  <c r="U37" i="1"/>
  <c r="S37" i="1" s="1"/>
  <c r="AI37" i="1"/>
  <c r="AI33" i="1"/>
  <c r="U33" i="1"/>
  <c r="S33" i="1" s="1"/>
  <c r="AI25" i="1"/>
  <c r="U25" i="1"/>
  <c r="S25" i="1" s="1"/>
  <c r="AI17" i="1"/>
  <c r="U17" i="1"/>
  <c r="S17" i="1" s="1"/>
  <c r="U52" i="1"/>
  <c r="S52" i="1" s="1"/>
  <c r="AI52" i="1"/>
  <c r="AI43" i="1"/>
  <c r="AI42" i="1"/>
  <c r="U41" i="1"/>
  <c r="S41" i="1" s="1"/>
  <c r="AI41" i="1"/>
  <c r="AI30" i="1"/>
  <c r="AI26" i="1"/>
  <c r="AI22" i="1"/>
  <c r="AI18" i="1"/>
  <c r="AI14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AI44" i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19" i="1"/>
  <c r="W204" i="1"/>
  <c r="W194" i="1"/>
  <c r="W188" i="1"/>
  <c r="W198" i="1"/>
  <c r="W197" i="1"/>
  <c r="W195" i="1"/>
  <c r="W184" i="1"/>
  <c r="W220" i="1"/>
  <c r="W191" i="1"/>
  <c r="W185" i="1"/>
  <c r="W223" i="1"/>
  <c r="W221" i="1"/>
  <c r="W201" i="1"/>
  <c r="X220" i="1"/>
  <c r="X189" i="1"/>
  <c r="T188" i="1"/>
  <c r="U188" i="1" s="1"/>
  <c r="S188" i="1" s="1"/>
  <c r="AA186" i="1"/>
  <c r="W186" i="1" s="1"/>
  <c r="T181" i="1"/>
  <c r="U181" i="1" s="1"/>
  <c r="S181" i="1" s="1"/>
  <c r="X182" i="1"/>
  <c r="W180" i="1"/>
  <c r="W174" i="1"/>
  <c r="W161" i="1"/>
  <c r="W214" i="1"/>
  <c r="W144" i="1"/>
  <c r="X221" i="1"/>
  <c r="T221" i="1"/>
  <c r="U221" i="1" s="1"/>
  <c r="S221" i="1" s="1"/>
  <c r="X202" i="1"/>
  <c r="T202" i="1"/>
  <c r="U202" i="1" s="1"/>
  <c r="S202" i="1" s="1"/>
  <c r="X195" i="1"/>
  <c r="T195" i="1"/>
  <c r="U195" i="1" s="1"/>
  <c r="S195" i="1" s="1"/>
  <c r="X190" i="1"/>
  <c r="T187" i="1"/>
  <c r="U187" i="1" s="1"/>
  <c r="S187" i="1" s="1"/>
  <c r="X187" i="1"/>
  <c r="T180" i="1"/>
  <c r="U180" i="1" s="1"/>
  <c r="S180" i="1" s="1"/>
  <c r="X180" i="1"/>
  <c r="W172" i="1"/>
  <c r="W158" i="1"/>
  <c r="W230" i="1"/>
  <c r="W178" i="1"/>
  <c r="W176" i="1"/>
  <c r="W173" i="1"/>
  <c r="W166" i="1"/>
  <c r="W164" i="1"/>
  <c r="W156" i="1"/>
  <c r="W226" i="1"/>
  <c r="W139" i="1"/>
  <c r="W181" i="1"/>
  <c r="W177" i="1"/>
  <c r="W168" i="1"/>
  <c r="W162" i="1"/>
  <c r="W160" i="1"/>
  <c r="W157" i="1"/>
  <c r="W234" i="1"/>
  <c r="W217" i="1"/>
  <c r="W209" i="1"/>
  <c r="W133" i="1"/>
  <c r="X183" i="1"/>
  <c r="X179" i="1"/>
  <c r="X174" i="1"/>
  <c r="T173" i="1"/>
  <c r="U173" i="1" s="1"/>
  <c r="S173" i="1" s="1"/>
  <c r="AA171" i="1"/>
  <c r="W171" i="1" s="1"/>
  <c r="T168" i="1"/>
  <c r="U168" i="1" s="1"/>
  <c r="S168" i="1" s="1"/>
  <c r="X168" i="1"/>
  <c r="X163" i="1"/>
  <c r="T157" i="1"/>
  <c r="U157" i="1" s="1"/>
  <c r="S157" i="1" s="1"/>
  <c r="AA235" i="1"/>
  <c r="W235" i="1" s="1"/>
  <c r="T233" i="1"/>
  <c r="U233" i="1" s="1"/>
  <c r="S233" i="1" s="1"/>
  <c r="X233" i="1"/>
  <c r="X226" i="1"/>
  <c r="T225" i="1"/>
  <c r="U225" i="1" s="1"/>
  <c r="S225" i="1" s="1"/>
  <c r="X225" i="1"/>
  <c r="T211" i="1"/>
  <c r="U211" i="1" s="1"/>
  <c r="S211" i="1" s="1"/>
  <c r="W210" i="1"/>
  <c r="X205" i="1"/>
  <c r="T205" i="1"/>
  <c r="U205" i="1" s="1"/>
  <c r="S205" i="1" s="1"/>
  <c r="X206" i="1"/>
  <c r="W140" i="1"/>
  <c r="W122" i="1"/>
  <c r="W109" i="1"/>
  <c r="W98" i="1"/>
  <c r="W175" i="1"/>
  <c r="T172" i="1"/>
  <c r="U172" i="1" s="1"/>
  <c r="S172" i="1" s="1"/>
  <c r="X172" i="1"/>
  <c r="T171" i="1"/>
  <c r="U171" i="1" s="1"/>
  <c r="S171" i="1" s="1"/>
  <c r="W159" i="1"/>
  <c r="T156" i="1"/>
  <c r="U156" i="1" s="1"/>
  <c r="S156" i="1" s="1"/>
  <c r="T235" i="1"/>
  <c r="U235" i="1" s="1"/>
  <c r="S235" i="1" s="1"/>
  <c r="W229" i="1"/>
  <c r="W228" i="1"/>
  <c r="W216" i="1"/>
  <c r="AA215" i="1"/>
  <c r="W215" i="1" s="1"/>
  <c r="W212" i="1"/>
  <c r="W153" i="1"/>
  <c r="W150" i="1"/>
  <c r="T146" i="1"/>
  <c r="U146" i="1" s="1"/>
  <c r="S146" i="1" s="1"/>
  <c r="W145" i="1"/>
  <c r="X140" i="1"/>
  <c r="T140" i="1"/>
  <c r="U140" i="1" s="1"/>
  <c r="S140" i="1" s="1"/>
  <c r="X141" i="1"/>
  <c r="W136" i="1"/>
  <c r="W127" i="1"/>
  <c r="W119" i="1"/>
  <c r="W117" i="1"/>
  <c r="AA179" i="1"/>
  <c r="W179" i="1" s="1"/>
  <c r="T176" i="1"/>
  <c r="U176" i="1" s="1"/>
  <c r="S176" i="1" s="1"/>
  <c r="X176" i="1"/>
  <c r="X166" i="1"/>
  <c r="AA163" i="1"/>
  <c r="W163" i="1" s="1"/>
  <c r="T160" i="1"/>
  <c r="U160" i="1" s="1"/>
  <c r="S160" i="1" s="1"/>
  <c r="X160" i="1"/>
  <c r="W231" i="1"/>
  <c r="X230" i="1"/>
  <c r="T229" i="1"/>
  <c r="U229" i="1" s="1"/>
  <c r="S229" i="1" s="1"/>
  <c r="X229" i="1"/>
  <c r="X217" i="1"/>
  <c r="T216" i="1"/>
  <c r="U216" i="1" s="1"/>
  <c r="S216" i="1" s="1"/>
  <c r="X216" i="1"/>
  <c r="T212" i="1"/>
  <c r="U212" i="1" s="1"/>
  <c r="S212" i="1" s="1"/>
  <c r="X212" i="1"/>
  <c r="W208" i="1"/>
  <c r="W151" i="1"/>
  <c r="W147" i="1"/>
  <c r="W137" i="1"/>
  <c r="W134" i="1"/>
  <c r="W131" i="1"/>
  <c r="W91" i="1"/>
  <c r="W167" i="1"/>
  <c r="T164" i="1"/>
  <c r="U164" i="1" s="1"/>
  <c r="S164" i="1" s="1"/>
  <c r="X164" i="1"/>
  <c r="W233" i="1"/>
  <c r="W232" i="1"/>
  <c r="W225" i="1"/>
  <c r="W224" i="1"/>
  <c r="W205" i="1"/>
  <c r="T147" i="1"/>
  <c r="U147" i="1" s="1"/>
  <c r="S147" i="1" s="1"/>
  <c r="X147" i="1"/>
  <c r="W143" i="1"/>
  <c r="W135" i="1"/>
  <c r="W129" i="1"/>
  <c r="W103" i="1"/>
  <c r="W118" i="1"/>
  <c r="W106" i="1"/>
  <c r="T101" i="1"/>
  <c r="U101" i="1" s="1"/>
  <c r="S101" i="1" s="1"/>
  <c r="X101" i="1"/>
  <c r="X94" i="1"/>
  <c r="T94" i="1"/>
  <c r="U94" i="1" s="1"/>
  <c r="S94" i="1" s="1"/>
  <c r="X95" i="1"/>
  <c r="W87" i="1"/>
  <c r="W80" i="1"/>
  <c r="T73" i="1"/>
  <c r="U73" i="1" s="1"/>
  <c r="S73" i="1" s="1"/>
  <c r="X73" i="1"/>
  <c r="W67" i="1"/>
  <c r="W63" i="1"/>
  <c r="W54" i="1"/>
  <c r="X232" i="1"/>
  <c r="X228" i="1"/>
  <c r="X224" i="1"/>
  <c r="X215" i="1"/>
  <c r="AA154" i="1"/>
  <c r="W154" i="1" s="1"/>
  <c r="T151" i="1"/>
  <c r="U151" i="1" s="1"/>
  <c r="S151" i="1" s="1"/>
  <c r="X151" i="1"/>
  <c r="AA138" i="1"/>
  <c r="W138" i="1" s="1"/>
  <c r="T135" i="1"/>
  <c r="U135" i="1" s="1"/>
  <c r="S135" i="1" s="1"/>
  <c r="X135" i="1"/>
  <c r="W132" i="1"/>
  <c r="T132" i="1"/>
  <c r="U132" i="1" s="1"/>
  <c r="S132" i="1" s="1"/>
  <c r="W126" i="1"/>
  <c r="W120" i="1"/>
  <c r="T118" i="1"/>
  <c r="U118" i="1" s="1"/>
  <c r="S118" i="1" s="1"/>
  <c r="X119" i="1"/>
  <c r="W113" i="1"/>
  <c r="W90" i="1"/>
  <c r="W86" i="1"/>
  <c r="W79" i="1"/>
  <c r="W72" i="1"/>
  <c r="W69" i="1"/>
  <c r="W207" i="1"/>
  <c r="T154" i="1"/>
  <c r="U154" i="1" s="1"/>
  <c r="S154" i="1" s="1"/>
  <c r="T139" i="1"/>
  <c r="U139" i="1" s="1"/>
  <c r="S139" i="1" s="1"/>
  <c r="X139" i="1"/>
  <c r="T138" i="1"/>
  <c r="U138" i="1" s="1"/>
  <c r="S138" i="1" s="1"/>
  <c r="W130" i="1"/>
  <c r="T126" i="1"/>
  <c r="U126" i="1" s="1"/>
  <c r="S126" i="1" s="1"/>
  <c r="X127" i="1"/>
  <c r="T124" i="1"/>
  <c r="U124" i="1" s="1"/>
  <c r="S124" i="1" s="1"/>
  <c r="W123" i="1"/>
  <c r="T117" i="1"/>
  <c r="U117" i="1" s="1"/>
  <c r="S117" i="1" s="1"/>
  <c r="X117" i="1"/>
  <c r="W115" i="1"/>
  <c r="W110" i="1"/>
  <c r="W104" i="1"/>
  <c r="T100" i="1"/>
  <c r="U100" i="1" s="1"/>
  <c r="S100" i="1" s="1"/>
  <c r="W97" i="1"/>
  <c r="T89" i="1"/>
  <c r="U89" i="1" s="1"/>
  <c r="S89" i="1" s="1"/>
  <c r="X89" i="1"/>
  <c r="W82" i="1"/>
  <c r="W78" i="1"/>
  <c r="W71" i="1"/>
  <c r="AA211" i="1"/>
  <c r="W211" i="1" s="1"/>
  <c r="T208" i="1"/>
  <c r="U208" i="1" s="1"/>
  <c r="S208" i="1" s="1"/>
  <c r="X208" i="1"/>
  <c r="X149" i="1"/>
  <c r="AA146" i="1"/>
  <c r="W146" i="1" s="1"/>
  <c r="T143" i="1"/>
  <c r="U143" i="1" s="1"/>
  <c r="S143" i="1" s="1"/>
  <c r="X143" i="1"/>
  <c r="X133" i="1"/>
  <c r="X126" i="1"/>
  <c r="T125" i="1"/>
  <c r="U125" i="1" s="1"/>
  <c r="S125" i="1" s="1"/>
  <c r="X125" i="1"/>
  <c r="X110" i="1"/>
  <c r="T110" i="1"/>
  <c r="U110" i="1" s="1"/>
  <c r="S110" i="1" s="1"/>
  <c r="X111" i="1"/>
  <c r="W107" i="1"/>
  <c r="W105" i="1"/>
  <c r="W101" i="1"/>
  <c r="W99" i="1"/>
  <c r="W95" i="1"/>
  <c r="W94" i="1"/>
  <c r="W88" i="1"/>
  <c r="T81" i="1"/>
  <c r="U81" i="1" s="1"/>
  <c r="S81" i="1" s="1"/>
  <c r="X81" i="1"/>
  <c r="W74" i="1"/>
  <c r="AA124" i="1"/>
  <c r="W124" i="1" s="1"/>
  <c r="T121" i="1"/>
  <c r="U121" i="1" s="1"/>
  <c r="S121" i="1" s="1"/>
  <c r="X121" i="1"/>
  <c r="AA108" i="1"/>
  <c r="W108" i="1" s="1"/>
  <c r="T105" i="1"/>
  <c r="U105" i="1" s="1"/>
  <c r="S105" i="1" s="1"/>
  <c r="X105" i="1"/>
  <c r="AA92" i="1"/>
  <c r="W92" i="1" s="1"/>
  <c r="T90" i="1"/>
  <c r="U90" i="1" s="1"/>
  <c r="S90" i="1" s="1"/>
  <c r="X90" i="1"/>
  <c r="AA85" i="1"/>
  <c r="W85" i="1" s="1"/>
  <c r="T82" i="1"/>
  <c r="U82" i="1" s="1"/>
  <c r="S82" i="1" s="1"/>
  <c r="X82" i="1"/>
  <c r="AA77" i="1"/>
  <c r="W77" i="1" s="1"/>
  <c r="T74" i="1"/>
  <c r="U74" i="1" s="1"/>
  <c r="S74" i="1" s="1"/>
  <c r="X74" i="1"/>
  <c r="T69" i="1"/>
  <c r="U69" i="1" s="1"/>
  <c r="S69" i="1" s="1"/>
  <c r="X69" i="1"/>
  <c r="W65" i="1"/>
  <c r="W59" i="1"/>
  <c r="W48" i="1"/>
  <c r="T109" i="1"/>
  <c r="U109" i="1" s="1"/>
  <c r="S109" i="1" s="1"/>
  <c r="X109" i="1"/>
  <c r="T108" i="1"/>
  <c r="U108" i="1" s="1"/>
  <c r="S108" i="1" s="1"/>
  <c r="W96" i="1"/>
  <c r="T93" i="1"/>
  <c r="U93" i="1" s="1"/>
  <c r="S93" i="1" s="1"/>
  <c r="X93" i="1"/>
  <c r="T92" i="1"/>
  <c r="U92" i="1" s="1"/>
  <c r="S92" i="1" s="1"/>
  <c r="T85" i="1"/>
  <c r="U85" i="1" s="1"/>
  <c r="S85" i="1" s="1"/>
  <c r="X85" i="1"/>
  <c r="W84" i="1"/>
  <c r="T77" i="1"/>
  <c r="U77" i="1" s="1"/>
  <c r="S77" i="1" s="1"/>
  <c r="X77" i="1"/>
  <c r="W76" i="1"/>
  <c r="W66" i="1"/>
  <c r="W58" i="1"/>
  <c r="W57" i="1"/>
  <c r="X131" i="1"/>
  <c r="T129" i="1"/>
  <c r="U129" i="1" s="1"/>
  <c r="S129" i="1" s="1"/>
  <c r="X129" i="1"/>
  <c r="AA116" i="1"/>
  <c r="W116" i="1" s="1"/>
  <c r="T113" i="1"/>
  <c r="U113" i="1" s="1"/>
  <c r="S113" i="1" s="1"/>
  <c r="X113" i="1"/>
  <c r="X103" i="1"/>
  <c r="AA100" i="1"/>
  <c r="W100" i="1" s="1"/>
  <c r="T97" i="1"/>
  <c r="U97" i="1" s="1"/>
  <c r="S97" i="1" s="1"/>
  <c r="X97" i="1"/>
  <c r="X91" i="1"/>
  <c r="AA89" i="1"/>
  <c r="W89" i="1" s="1"/>
  <c r="T86" i="1"/>
  <c r="U86" i="1" s="1"/>
  <c r="S86" i="1" s="1"/>
  <c r="X86" i="1"/>
  <c r="X83" i="1"/>
  <c r="AA81" i="1"/>
  <c r="W81" i="1" s="1"/>
  <c r="T78" i="1"/>
  <c r="U78" i="1" s="1"/>
  <c r="S78" i="1" s="1"/>
  <c r="X78" i="1"/>
  <c r="X75" i="1"/>
  <c r="AA73" i="1"/>
  <c r="W73" i="1" s="1"/>
  <c r="W62" i="1"/>
  <c r="W53" i="1"/>
  <c r="W43" i="1"/>
  <c r="W37" i="1"/>
  <c r="W60" i="1"/>
  <c r="T57" i="1"/>
  <c r="U57" i="1" s="1"/>
  <c r="S57" i="1" s="1"/>
  <c r="X57" i="1"/>
  <c r="T56" i="1"/>
  <c r="U56" i="1" s="1"/>
  <c r="S56" i="1" s="1"/>
  <c r="T35" i="1"/>
  <c r="U35" i="1" s="1"/>
  <c r="S35" i="1" s="1"/>
  <c r="X35" i="1"/>
  <c r="T34" i="1"/>
  <c r="U34" i="1" s="1"/>
  <c r="S34" i="1" s="1"/>
  <c r="X34" i="1"/>
  <c r="W31" i="1"/>
  <c r="W23" i="1"/>
  <c r="W15" i="1"/>
  <c r="X67" i="1"/>
  <c r="T66" i="1"/>
  <c r="U66" i="1" s="1"/>
  <c r="S66" i="1" s="1"/>
  <c r="AA64" i="1"/>
  <c r="W64" i="1" s="1"/>
  <c r="T61" i="1"/>
  <c r="U61" i="1" s="1"/>
  <c r="S61" i="1" s="1"/>
  <c r="X61" i="1"/>
  <c r="W52" i="1"/>
  <c r="W45" i="1"/>
  <c r="W44" i="1"/>
  <c r="T65" i="1"/>
  <c r="U65" i="1" s="1"/>
  <c r="S65" i="1" s="1"/>
  <c r="X65" i="1"/>
  <c r="T50" i="1"/>
  <c r="U50" i="1" s="1"/>
  <c r="S50" i="1" s="1"/>
  <c r="X44" i="1"/>
  <c r="T44" i="1"/>
  <c r="U44" i="1" s="1"/>
  <c r="S44" i="1" s="1"/>
  <c r="X45" i="1"/>
  <c r="W40" i="1"/>
  <c r="W38" i="1"/>
  <c r="W36" i="1"/>
  <c r="W27" i="1"/>
  <c r="W26" i="1"/>
  <c r="W19" i="1"/>
  <c r="W18" i="1"/>
  <c r="AA56" i="1"/>
  <c r="W56" i="1" s="1"/>
  <c r="T53" i="1"/>
  <c r="U53" i="1" s="1"/>
  <c r="S53" i="1" s="1"/>
  <c r="X53" i="1"/>
  <c r="X52" i="1"/>
  <c r="T51" i="1"/>
  <c r="U51" i="1" s="1"/>
  <c r="S51" i="1" s="1"/>
  <c r="X51" i="1"/>
  <c r="W41" i="1"/>
  <c r="W39" i="1"/>
  <c r="W35" i="1"/>
  <c r="AA42" i="1"/>
  <c r="W42" i="1" s="1"/>
  <c r="T39" i="1"/>
  <c r="U39" i="1" s="1"/>
  <c r="S39" i="1" s="1"/>
  <c r="X39" i="1"/>
  <c r="W33" i="1"/>
  <c r="W32" i="1"/>
  <c r="T26" i="1"/>
  <c r="U26" i="1" s="1"/>
  <c r="S26" i="1" s="1"/>
  <c r="X26" i="1"/>
  <c r="W24" i="1"/>
  <c r="T18" i="1"/>
  <c r="U18" i="1" s="1"/>
  <c r="S18" i="1" s="1"/>
  <c r="X18" i="1"/>
  <c r="W16" i="1"/>
  <c r="W14" i="1"/>
  <c r="W46" i="1"/>
  <c r="T43" i="1"/>
  <c r="U43" i="1" s="1"/>
  <c r="S43" i="1" s="1"/>
  <c r="X43" i="1"/>
  <c r="T42" i="1"/>
  <c r="U42" i="1" s="1"/>
  <c r="S42" i="1" s="1"/>
  <c r="W30" i="1"/>
  <c r="T14" i="1"/>
  <c r="U14" i="1" s="1"/>
  <c r="S14" i="1" s="1"/>
  <c r="AA50" i="1"/>
  <c r="W50" i="1" s="1"/>
  <c r="T47" i="1"/>
  <c r="U47" i="1" s="1"/>
  <c r="S47" i="1" s="1"/>
  <c r="X47" i="1"/>
  <c r="X37" i="1"/>
  <c r="AA34" i="1"/>
  <c r="W34" i="1" s="1"/>
  <c r="T30" i="1"/>
  <c r="U30" i="1" s="1"/>
  <c r="S30" i="1" s="1"/>
  <c r="X30" i="1"/>
  <c r="W29" i="1"/>
  <c r="T22" i="1"/>
  <c r="U22" i="1" s="1"/>
  <c r="S22" i="1" s="1"/>
  <c r="X22" i="1"/>
  <c r="W21" i="1"/>
  <c r="X31" i="1"/>
  <c r="X27" i="1"/>
  <c r="X23" i="1"/>
  <c r="X19" i="1"/>
  <c r="X15" i="1"/>
  <c r="AE24" i="3"/>
  <c r="AE16" i="3"/>
  <c r="AE23" i="3"/>
  <c r="AD16" i="3"/>
  <c r="AE15" i="3"/>
  <c r="AD9" i="3"/>
  <c r="AE8" i="3"/>
  <c r="AD13" i="3"/>
  <c r="AD8" i="3"/>
  <c r="AE36" i="3"/>
  <c r="AC36" i="3"/>
  <c r="AE32" i="3"/>
  <c r="AC23" i="3"/>
  <c r="AE20" i="3"/>
  <c r="AD19" i="3"/>
  <c r="T22" i="3"/>
  <c r="AC24" i="3"/>
  <c r="AC18" i="3"/>
  <c r="AC34" i="3"/>
  <c r="AC33" i="3"/>
  <c r="AC20" i="3"/>
  <c r="AE28" i="3"/>
  <c r="AD27" i="3"/>
  <c r="T10" i="3"/>
  <c r="AC13" i="3"/>
  <c r="AC32" i="3"/>
  <c r="AE12" i="3"/>
  <c r="T7" i="3"/>
  <c r="Y33" i="3"/>
  <c r="Y20" i="3"/>
  <c r="Y23" i="3"/>
  <c r="Y25" i="3"/>
  <c r="Y32" i="3"/>
  <c r="Y31" i="3"/>
  <c r="Y18" i="3"/>
  <c r="Y29" i="3"/>
  <c r="Y9" i="3"/>
  <c r="Y16" i="3"/>
  <c r="Y10" i="3"/>
  <c r="Y22" i="3"/>
  <c r="Y30" i="3"/>
  <c r="Y7" i="3"/>
  <c r="Y35" i="3"/>
  <c r="Y37" i="3"/>
  <c r="Y14" i="3"/>
  <c r="Y28" i="3"/>
  <c r="Y26" i="3"/>
  <c r="Y19" i="3"/>
  <c r="Y39" i="3"/>
  <c r="Y15" i="3"/>
  <c r="Y8" i="3"/>
  <c r="Y21" i="3"/>
  <c r="Y34" i="3"/>
  <c r="Y36" i="3"/>
  <c r="Y38" i="3"/>
  <c r="Y13" i="3"/>
  <c r="Y27" i="3"/>
  <c r="Y24" i="3"/>
  <c r="Y12" i="3"/>
  <c r="Y17" i="3"/>
  <c r="AE38" i="3"/>
  <c r="T14" i="3"/>
  <c r="AD35" i="3"/>
  <c r="AE34" i="3"/>
  <c r="AD31" i="3"/>
  <c r="AE30" i="3"/>
  <c r="T26" i="3"/>
  <c r="AE26" i="3"/>
  <c r="T19" i="3"/>
  <c r="AE22" i="3"/>
  <c r="AE18" i="3"/>
  <c r="T15" i="3"/>
  <c r="AE14" i="3"/>
  <c r="T8" i="3"/>
  <c r="AE10" i="3"/>
  <c r="T21" i="3"/>
  <c r="AD39" i="3"/>
  <c r="T28" i="3"/>
  <c r="T39" i="3"/>
  <c r="AD38" i="3"/>
  <c r="AE37" i="3"/>
  <c r="AD34" i="3"/>
  <c r="AE33" i="3"/>
  <c r="AD30" i="3"/>
  <c r="AE29" i="3"/>
  <c r="T38" i="3"/>
  <c r="AD26" i="3"/>
  <c r="AE25" i="3"/>
  <c r="T13" i="3"/>
  <c r="AD22" i="3"/>
  <c r="AE21" i="3"/>
  <c r="T27" i="3"/>
  <c r="AD18" i="3"/>
  <c r="AE17" i="3"/>
  <c r="T24" i="3"/>
  <c r="AD14" i="3"/>
  <c r="AE13" i="3"/>
  <c r="T12" i="3"/>
  <c r="AD10" i="3"/>
  <c r="AE9" i="3"/>
  <c r="T17" i="3"/>
  <c r="S11" i="3"/>
  <c r="R11" i="3"/>
  <c r="M11" i="3"/>
  <c r="U11" i="3"/>
  <c r="AD11" i="3" s="1"/>
  <c r="V11" i="3"/>
  <c r="X11" i="3"/>
  <c r="W11" i="3"/>
  <c r="AC11" i="3" l="1"/>
  <c r="AE11" i="3"/>
  <c r="T11" i="3"/>
  <c r="Y11" i="3"/>
  <c r="B3" i="6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3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35" i="3" l="1"/>
  <c r="N14" i="3"/>
  <c r="N33" i="3"/>
  <c r="N34" i="3"/>
  <c r="K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I13" i="1" l="1"/>
  <c r="AA13" i="1"/>
  <c r="W13" i="1" s="1"/>
  <c r="T13" i="1"/>
  <c r="U13" i="1" s="1"/>
  <c r="S13" i="1" s="1"/>
  <c r="X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2" i="3" l="1"/>
  <c r="N9" i="3"/>
  <c r="N36" i="3"/>
  <c r="N16" i="3"/>
  <c r="N38" i="3"/>
  <c r="N23" i="3"/>
  <c r="N10" i="3"/>
  <c r="N13" i="3"/>
  <c r="N37" i="3"/>
  <c r="N39" i="3"/>
  <c r="N21" i="3"/>
  <c r="N27" i="3"/>
  <c r="N32" i="3"/>
  <c r="N24" i="3"/>
  <c r="N12" i="3"/>
  <c r="N11" i="3"/>
  <c r="N7" i="3"/>
  <c r="N18" i="3"/>
  <c r="N19" i="3"/>
  <c r="N30" i="3"/>
  <c r="N31" i="3"/>
  <c r="N28" i="3"/>
  <c r="N20" i="3"/>
  <c r="N26" i="3"/>
  <c r="N25" i="3"/>
  <c r="N15" i="3"/>
  <c r="N8" i="3"/>
  <c r="N17" i="3"/>
  <c r="N2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S9" i="1" l="1"/>
  <c r="J9" i="1"/>
  <c r="S11" i="1" l="1"/>
  <c r="A11" i="1"/>
  <c r="B1" i="6" l="1"/>
  <c r="A5" i="3"/>
  <c r="B4" i="6" l="1"/>
  <c r="D4" i="6" s="1"/>
  <c r="B5" i="6" l="1"/>
  <c r="D5" i="6" s="1"/>
  <c r="I4" i="6"/>
  <c r="G4" i="6"/>
  <c r="F4" i="6"/>
  <c r="H4" i="6"/>
  <c r="J4" i="6"/>
  <c r="G5" i="6" l="1"/>
  <c r="F5" i="6"/>
  <c r="H5" i="6"/>
  <c r="I5" i="6"/>
  <c r="J5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<sst xmlns="http://schemas.openxmlformats.org/spreadsheetml/2006/main" count="2676" uniqueCount="975">
  <si>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</si>
  <si>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</si>
  <si>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</si>
  <si>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</si>
  <si>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</si>
  <si>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</si>
  <si>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</si>
  <si>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</si>
  <si>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</si>
  <si>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</si>
  <si>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</si>
  <si>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</si>
  <si>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</si>
  <si>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</si>
  <si>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</si>
  <si>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</si>
  <si>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</si>
  <si>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</si>
  <si>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</si>
  <si>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</si>
  <si>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</si>
  <si>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</si>
  <si>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</si>
  <si>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</si>
  <si>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</si>
  <si>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</si>
  <si>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</si>
  <si>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</si>
  <si>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</si>
  <si>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</si>
  <si>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</si>
  <si>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</si>
  <si>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</si>
  <si>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</si>
  <si>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</si>
  <si>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</si>
  <si>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</si>
  <si>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</si>
  <si>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</si>
  <si>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</si>
  <si>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</si>
  <si>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</si>
  <si>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</si>
  <si>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</si>
  <si>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</si>
  <si>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</si>
  <si>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</si>
  <si>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</si>
  <si>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</si>
  <si>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</si>
  <si>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</si>
  <si>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</si>
  <si>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</si>
  <si>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</si>
  <si>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</si>
  <si>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</si>
  <si>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</si>
  <si>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</si>
  <si>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</si>
  <si>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</si>
  <si>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</si>
  <si>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</si>
  <si>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</si>
  <si>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</si>
  <si>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</si>
  <si>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</si>
  <si>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</si>
  <si>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</si>
  <si>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</si>
  <si>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</si>
  <si>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</si>
  <si>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</si>
  <si>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</si>
  <si>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</si>
  <si>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</si>
  <si>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</si>
  <si>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</si>
  <si>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</si>
  <si>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</si>
  <si>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</si>
  <si>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</si>
  <si>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</si>
  <si>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</si>
  <si>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</si>
  <si>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</si>
  <si>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</si>
  <si>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</si>
  <si>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</si>
  <si>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</si>
  <si>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</si>
  <si>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</si>
  <si>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</si>
  <si>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</si>
  <si>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</si>
  <si>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</si>
  <si>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</si>
  <si>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</si>
  <si>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</si>
  <si>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</si>
  <si>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</si>
  <si>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</si>
  <si>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</si>
  <si>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</si>
  <si>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</si>
  <si>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</si>
  <si>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</si>
  <si>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</si>
  <si>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</si>
  <si>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</si>
  <si>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</si>
  <si>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</si>
  <si>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</si>
  <si>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</si>
  <si>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</si>
  <si>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</si>
  <si>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</si>
  <si>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</si>
  <si>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</si>
  <si>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</si>
  <si>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</si>
  <si>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</si>
  <si>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</si>
  <si>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</si>
  <si>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</si>
  <si>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</si>
  <si>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</si>
  <si>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</si>
  <si>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</si>
  <si>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</si>
  <si>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</si>
  <si>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</si>
  <si>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</si>
  <si>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</si>
  <si>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</si>
  <si>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</si>
  <si>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</si>
  <si>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</si>
  <si>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</si>
  <si>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</si>
  <si>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</si>
  <si>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</si>
  <si>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</si>
  <si>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</si>
  <si>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</si>
  <si>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</si>
  <si>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</si>
  <si>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</si>
  <si>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</si>
  <si>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</si>
  <si>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</si>
  <si>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</si>
  <si>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</si>
  <si>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</si>
  <si>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</si>
  <si>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</si>
  <si>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</si>
  <si>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</si>
  <si>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</si>
  <si>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</si>
  <si>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</si>
  <si>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</si>
  <si>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</si>
  <si>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</si>
  <si>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</si>
  <si>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</si>
  <si>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</si>
  <si>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</si>
  <si>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</si>
  <si>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</si>
  <si>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</si>
  <si>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</si>
  <si>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</si>
  <si>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</si>
  <si>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</si>
  <si>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</si>
  <si>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</si>
  <si>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</si>
  <si>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</si>
  <si>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</si>
  <si>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</si>
  <si>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</si>
  <si>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</si>
  <si>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</si>
  <si>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</si>
  <si>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</si>
  <si>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</si>
  <si>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</si>
  <si>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</si>
  <si>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</si>
  <si>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</si>
  <si>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</si>
  <si>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</si>
  <si>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</si>
  <si>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</si>
  <si>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</si>
  <si>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</si>
  <si>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</si>
  <si>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</si>
  <si>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</si>
  <si>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</si>
  <si>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</si>
  <si>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</si>
  <si>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</si>
  <si>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</si>
  <si>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</si>
  <si>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</si>
  <si>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</si>
  <si>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</si>
  <si>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</si>
  <si>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</si>
  <si>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</si>
  <si>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</si>
  <si>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</si>
  <si>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</si>
  <si>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</si>
  <si>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</si>
  <si>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</si>
  <si>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</si>
  <si>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</si>
  <si>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</si>
  <si>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</si>
  <si>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</si>
  <si>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</si>
  <si>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</si>
  <si>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</si>
  <si>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</si>
  <si>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</si>
  <si>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</si>
  <si>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</si>
  <si>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</si>
  <si>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</si>
  <si>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</si>
  <si>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</si>
  <si>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</si>
  <si>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</si>
  <si>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</si>
  <si>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</si>
  <si>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</si>
  <si>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</si>
  <si>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</si>
  <si>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</si>
  <si>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</si>
  <si>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</si>
  <si>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</si>
  <si>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</si>
  <si>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</si>
  <si>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</si>
  <si>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</si>
  <si>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</si>
  <si>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</si>
  <si>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</si>
  <si>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</si>
  <si>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</si>
  <si>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</si>
  <si>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</si>
  <si>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</si>
  <si>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</si>
  <si>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</si>
  <si>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</si>
  <si>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</si>
  <si>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</si>
  <si>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</si>
  <si>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</si>
  <si>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</si>
  <si>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</si>
  <si>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</si>
  <si>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</si>
  <si>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</si>
  <si>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</si>
  <si>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</si>
  <si>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</si>
  <si>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</si>
  <si>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</si>
  <si>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</si>
  <si>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</si>
  <si>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</si>
  <si>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</si>
  <si>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</si>
  <si>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</si>
  <si>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</si>
  <si>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</si>
  <si>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</si>
  <si>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</si>
  <si>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</si>
  <si>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</si>
  <si>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</si>
  <si>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</si>
  <si>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</si>
  <si>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</si>
  <si>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</si>
  <si>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</si>
  <si>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</si>
  <si>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</si>
  <si>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</si>
  <si>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</si>
  <si>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</si>
  <si>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</si>
  <si>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</si>
  <si>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</si>
  <si>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</si>
  <si>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</si>
  <si>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</si>
  <si>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</si>
  <si>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</si>
  <si>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</si>
  <si>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</si>
  <si>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</si>
  <si>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</si>
  <si>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</si>
  <si>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</si>
  <si>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</si>
  <si>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</si>
  <si>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</si>
  <si>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</si>
  <si>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</si>
  <si>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</si>
  <si>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</si>
  <si>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</si>
  <si>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</si>
  <si>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</si>
  <si>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</si>
  <si>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</si>
  <si>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</si>
  <si>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</si>
  <si>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</si>
  <si>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</si>
  <si>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</si>
  <si>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</si>
  <si>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</si>
  <si>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</si>
  <si>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</si>
  <si>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</si>
  <si>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</si>
  <si>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</si>
  <si>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</si>
  <si>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</si>
  <si>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</si>
  <si>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</si>
  <si>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</si>
  <si>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</si>
  <si>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</si>
  <si>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</si>
  <si>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</si>
  <si>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</si>
  <si>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</si>
  <si>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</si>
  <si>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</si>
  <si>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</si>
  <si>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</si>
  <si>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</si>
  <si>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</si>
  <si>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</si>
  <si>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</si>
  <si>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</si>
  <si>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</si>
  <si>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</si>
  <si>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</si>
  <si>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</si>
  <si>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</si>
  <si>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</si>
  <si>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</si>
  <si>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</si>
  <si>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</si>
  <si>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</si>
  <si>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</si>
  <si>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</si>
  <si>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</si>
  <si>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</si>
  <si>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</si>
  <si>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</si>
  <si>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</si>
  <si>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</si>
  <si>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</si>
  <si>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</si>
  <si>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</si>
  <si>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</si>
  <si>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</si>
  <si>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WEST</t>
  </si>
  <si>
    <t>BRYAN</t>
  </si>
  <si>
    <t>204:232977</t>
  </si>
  <si>
    <t>rtdc.l.rtdc.4030:itc</t>
  </si>
  <si>
    <t>204:469</t>
  </si>
  <si>
    <t>204:161</t>
  </si>
  <si>
    <t>RESPASS</t>
  </si>
  <si>
    <t>AARON</t>
  </si>
  <si>
    <t>204:442</t>
  </si>
  <si>
    <t>JAMES</t>
  </si>
  <si>
    <t>204:160</t>
  </si>
  <si>
    <t>204:460</t>
  </si>
  <si>
    <t>204:158</t>
  </si>
  <si>
    <t>LEVERE</t>
  </si>
  <si>
    <t>CRAIG</t>
  </si>
  <si>
    <t>rtdc.l.rtdc.4032:itc</t>
  </si>
  <si>
    <t>204:232986</t>
  </si>
  <si>
    <t>204:232994</t>
  </si>
  <si>
    <t>204:233314</t>
  </si>
  <si>
    <t>rtdc.l.rtdc.4009:itc</t>
  </si>
  <si>
    <t>rtdc.l.rtdc.4010:itc</t>
  </si>
  <si>
    <t>DUNCAN</t>
  </si>
  <si>
    <t>SHEILA</t>
  </si>
  <si>
    <t>rtdc.l.rtdc.4061:itc</t>
  </si>
  <si>
    <t>204:134</t>
  </si>
  <si>
    <t>rtdc.l.rtdc.4020:itc</t>
  </si>
  <si>
    <t>rtdc.l.rtdc.4019:itc</t>
  </si>
  <si>
    <t>PERKINS</t>
  </si>
  <si>
    <t>DARREN</t>
  </si>
  <si>
    <t>HART</t>
  </si>
  <si>
    <t>KEVIN</t>
  </si>
  <si>
    <t>204:440</t>
  </si>
  <si>
    <t>204:233000</t>
  </si>
  <si>
    <t>204:139</t>
  </si>
  <si>
    <t>204:233310</t>
  </si>
  <si>
    <t>rtdc.l.rtdc.4031:itc</t>
  </si>
  <si>
    <t>rtdc.l.rtdc.4059:itc</t>
  </si>
  <si>
    <t>rtdc.l.rtdc.4015:itc</t>
  </si>
  <si>
    <t>rtdc.l.rtdc.4016:itc</t>
  </si>
  <si>
    <t>313-06</t>
  </si>
  <si>
    <t>rtdc.l.rtdc.4060:itc</t>
  </si>
  <si>
    <t>rtdc.l.rtdc.4062:itc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</si>
  <si>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</si>
  <si>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</si>
  <si>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</si>
  <si>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</si>
  <si>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</si>
  <si>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</si>
  <si>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</si>
  <si>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</si>
  <si>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</si>
  <si>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</si>
  <si>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</si>
  <si>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</si>
  <si>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</si>
  <si>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</si>
  <si>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</si>
  <si>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</si>
  <si>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</si>
  <si>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</si>
  <si>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</si>
  <si>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</si>
  <si>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</si>
  <si>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</si>
  <si>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</si>
  <si>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204:232987</t>
  </si>
  <si>
    <t>204:136</t>
  </si>
  <si>
    <t>204:163</t>
  </si>
  <si>
    <t>204:462</t>
  </si>
  <si>
    <t>WILLIAMS</t>
  </si>
  <si>
    <t>DONTE</t>
  </si>
  <si>
    <t>204:232996</t>
  </si>
  <si>
    <t>204:451</t>
  </si>
  <si>
    <t>204:444</t>
  </si>
  <si>
    <t>204:962</t>
  </si>
  <si>
    <t>rtdc.l.rtdc.4002:itc</t>
  </si>
  <si>
    <t>rtdc.l.rtdc.4029:itc</t>
  </si>
  <si>
    <t>rtdc.l.rtdc.4006:itc</t>
  </si>
  <si>
    <t>MACDONALD</t>
  </si>
  <si>
    <t>THOMAS</t>
  </si>
  <si>
    <t>LALONDE</t>
  </si>
  <si>
    <t>GREGORY</t>
  </si>
  <si>
    <t>SAFIEF</t>
  </si>
  <si>
    <t>AEIMEN</t>
  </si>
  <si>
    <t>SMITH</t>
  </si>
  <si>
    <t>rtdc.l.rtdc.4026:itc</t>
  </si>
  <si>
    <t>204:233289</t>
  </si>
  <si>
    <t>204:233291</t>
  </si>
  <si>
    <t>204:165</t>
  </si>
  <si>
    <t>300:23304</t>
  </si>
  <si>
    <t>SWITCH UNKNOWN</t>
  </si>
  <si>
    <t>Track device (7)</t>
  </si>
  <si>
    <t>rtdc.l.rtdc.4053:itc</t>
  </si>
  <si>
    <t>rtdc.l.rtdc.4054:itc</t>
  </si>
  <si>
    <t>GUZMAN</t>
  </si>
  <si>
    <t>DANNY</t>
  </si>
  <si>
    <t>ANDERS</t>
  </si>
  <si>
    <t>STEVEN</t>
  </si>
  <si>
    <t>204:233312</t>
  </si>
  <si>
    <t>204:232989</t>
  </si>
  <si>
    <t>204:471</t>
  </si>
  <si>
    <t>204:974</t>
  </si>
  <si>
    <t>300:58952</t>
  </si>
  <si>
    <t>204:232998</t>
  </si>
  <si>
    <t>204:233003</t>
  </si>
  <si>
    <t>Wi-MAX data drop</t>
  </si>
  <si>
    <t>rtdc.l.rtdc.4056:itc</t>
  </si>
  <si>
    <t>LAMAR</t>
  </si>
  <si>
    <t>NEKESHA</t>
  </si>
  <si>
    <t>ROMERO</t>
  </si>
  <si>
    <t>CHAD</t>
  </si>
  <si>
    <t>STAMBAUGH</t>
  </si>
  <si>
    <t>204:233309</t>
  </si>
  <si>
    <t>204:233311</t>
  </si>
  <si>
    <t>204:233308</t>
  </si>
  <si>
    <t>204:233002</t>
  </si>
  <si>
    <t>204:233015</t>
  </si>
  <si>
    <t>204:489</t>
  </si>
  <si>
    <t>204:233011</t>
  </si>
  <si>
    <t>204:233005</t>
  </si>
  <si>
    <t>204:233013</t>
  </si>
  <si>
    <t>204:232980</t>
  </si>
  <si>
    <t>300:58914</t>
  </si>
  <si>
    <t>204:708</t>
  </si>
  <si>
    <t>204:993</t>
  </si>
  <si>
    <t>204:692</t>
  </si>
  <si>
    <t>300:58675</t>
  </si>
  <si>
    <t>204:233340</t>
  </si>
  <si>
    <t>204:233021</t>
  </si>
  <si>
    <t>204:1469</t>
  </si>
  <si>
    <t>rtdc.l.rtdc.4066:itc</t>
  </si>
  <si>
    <t>rtdc.l.rtdc.4065:itc</t>
  </si>
  <si>
    <t>SPECTOR</t>
  </si>
  <si>
    <t>BONDS</t>
  </si>
  <si>
    <t>REYNALDO</t>
  </si>
  <si>
    <t>STARKS</t>
  </si>
  <si>
    <t>ANGELINA</t>
  </si>
  <si>
    <t>YANG</t>
  </si>
  <si>
    <t>JAN</t>
  </si>
  <si>
    <t>BIRENBAUM</t>
  </si>
  <si>
    <t>YANAI</t>
  </si>
  <si>
    <t>IAN</t>
  </si>
  <si>
    <t>LANGERAK</t>
  </si>
  <si>
    <t>WILLIAM</t>
  </si>
  <si>
    <t>rtdc.l.rtdc.4058:itc</t>
  </si>
  <si>
    <t>309-11</t>
  </si>
  <si>
    <t>244-11</t>
  </si>
  <si>
    <t>311-11</t>
  </si>
  <si>
    <t>313-11</t>
  </si>
  <si>
    <t>300-12</t>
  </si>
  <si>
    <t>204:154</t>
  </si>
  <si>
    <t>204:233307</t>
  </si>
  <si>
    <t>204:232981</t>
  </si>
  <si>
    <t>204:232971</t>
  </si>
  <si>
    <t>204:233315</t>
  </si>
  <si>
    <t>204:232967</t>
  </si>
  <si>
    <t>204:125</t>
  </si>
  <si>
    <t>204:233301</t>
  </si>
  <si>
    <t>204:233008</t>
  </si>
  <si>
    <t>204:233322</t>
  </si>
  <si>
    <t>204:491</t>
  </si>
  <si>
    <t>204:232973</t>
  </si>
  <si>
    <t>204:232993</t>
  </si>
  <si>
    <t>204:437</t>
  </si>
  <si>
    <t>204:233318</t>
  </si>
  <si>
    <t>204:233297</t>
  </si>
  <si>
    <t>204:233286</t>
  </si>
  <si>
    <t>204:466</t>
  </si>
  <si>
    <t>204:233329</t>
  </si>
  <si>
    <t>204:233334</t>
  </si>
  <si>
    <t>204:233343</t>
  </si>
  <si>
    <t>204:233321</t>
  </si>
  <si>
    <t>204:233019</t>
  </si>
  <si>
    <t>204:233327</t>
  </si>
  <si>
    <t>204:232988</t>
  </si>
  <si>
    <t>204:233374</t>
  </si>
  <si>
    <t>300:23302</t>
  </si>
  <si>
    <t>300:23312</t>
  </si>
  <si>
    <t>300:58937</t>
  </si>
  <si>
    <t>300:58611</t>
  </si>
  <si>
    <t>300:58920</t>
  </si>
  <si>
    <t>204:967</t>
  </si>
  <si>
    <t>204:675</t>
  </si>
  <si>
    <t>204:965</t>
  </si>
  <si>
    <t>204:691</t>
  </si>
  <si>
    <t>204:972</t>
  </si>
  <si>
    <t>300:58617</t>
  </si>
  <si>
    <t>204:969</t>
  </si>
  <si>
    <t>204:976</t>
  </si>
  <si>
    <t>300:58956</t>
  </si>
  <si>
    <t>204:680</t>
  </si>
  <si>
    <t>300:58943</t>
  </si>
  <si>
    <t>204:694</t>
  </si>
  <si>
    <t>300:58704</t>
  </si>
  <si>
    <t>300:58941</t>
  </si>
  <si>
    <t>300:23599</t>
  </si>
  <si>
    <t>300:58623</t>
  </si>
  <si>
    <t>204:670</t>
  </si>
  <si>
    <t>rtdc.l.rtdc.4028:itc</t>
  </si>
  <si>
    <t>109-12</t>
  </si>
  <si>
    <t>rtdc.l.rtdc.4064:itc</t>
  </si>
  <si>
    <t>803-12</t>
  </si>
  <si>
    <t>rtdc.l.rtdc.4033:itc</t>
  </si>
  <si>
    <t>118-12</t>
  </si>
  <si>
    <t>129-12</t>
  </si>
  <si>
    <t>133-12</t>
  </si>
  <si>
    <t>126-12</t>
  </si>
  <si>
    <t>132-12</t>
  </si>
  <si>
    <t>rtdc.l.rtdc.4057:itc</t>
  </si>
  <si>
    <t>134-12</t>
  </si>
  <si>
    <t>813-12</t>
  </si>
  <si>
    <t>rtdc.l.rtdc.4063:itc</t>
  </si>
  <si>
    <t>814-12</t>
  </si>
  <si>
    <t>151-12</t>
  </si>
  <si>
    <t>147-12</t>
  </si>
  <si>
    <t>815-12</t>
  </si>
  <si>
    <t>816-12</t>
  </si>
  <si>
    <t>rtdc.l.rtdc.4027:itc</t>
  </si>
  <si>
    <t>61-12</t>
  </si>
  <si>
    <t>52-12</t>
  </si>
  <si>
    <t>820-12</t>
  </si>
  <si>
    <t>166-12</t>
  </si>
  <si>
    <t>164-12</t>
  </si>
  <si>
    <t>176-12</t>
  </si>
  <si>
    <t>199-12</t>
  </si>
  <si>
    <t>75-12</t>
  </si>
  <si>
    <t>rtdc.l.rtdc.4005:itc</t>
  </si>
  <si>
    <t>832-12</t>
  </si>
  <si>
    <t>rtdc.l.rtdc.4001:itc</t>
  </si>
  <si>
    <t>200-12</t>
  </si>
  <si>
    <t>206-12</t>
  </si>
  <si>
    <t>906-12</t>
  </si>
  <si>
    <t>840-12</t>
  </si>
  <si>
    <t>226-12</t>
  </si>
  <si>
    <t>847-12</t>
  </si>
  <si>
    <t>242-12</t>
  </si>
  <si>
    <t>313-12</t>
  </si>
  <si>
    <t>63-12</t>
  </si>
  <si>
    <t>101-12</t>
  </si>
  <si>
    <t>302-12</t>
  </si>
  <si>
    <t>62-12</t>
  </si>
  <si>
    <t>103-12</t>
  </si>
  <si>
    <t>304-12</t>
  </si>
  <si>
    <t>102-12</t>
  </si>
  <si>
    <t>306-12</t>
  </si>
  <si>
    <t>105-12</t>
  </si>
  <si>
    <t>107-12</t>
  </si>
  <si>
    <t>308-12</t>
  </si>
  <si>
    <t>104-12</t>
  </si>
  <si>
    <t>rtdc.l.rtdc.4011:itc</t>
  </si>
  <si>
    <t>310-12</t>
  </si>
  <si>
    <t>901-12</t>
  </si>
  <si>
    <t>111-12</t>
  </si>
  <si>
    <t>ACKERMAN</t>
  </si>
  <si>
    <t>JARED</t>
  </si>
  <si>
    <t>106-12</t>
  </si>
  <si>
    <t>108-12</t>
  </si>
  <si>
    <t>800-12</t>
  </si>
  <si>
    <t>rtdc.l.rtdc.4012:itc</t>
  </si>
  <si>
    <t>113-12</t>
  </si>
  <si>
    <t>312-12</t>
  </si>
  <si>
    <t>115-12</t>
  </si>
  <si>
    <t>801-12</t>
  </si>
  <si>
    <t>rtdc.l.rtdc.4034:itc</t>
  </si>
  <si>
    <t>117-12</t>
  </si>
  <si>
    <t>110-12</t>
  </si>
  <si>
    <t>902-12</t>
  </si>
  <si>
    <t>FORTUNATO</t>
  </si>
  <si>
    <t>FRANK</t>
  </si>
  <si>
    <t>112-12</t>
  </si>
  <si>
    <t>114-12</t>
  </si>
  <si>
    <t>119-12</t>
  </si>
  <si>
    <t>802-12</t>
  </si>
  <si>
    <t>121-12</t>
  </si>
  <si>
    <t>123-12</t>
  </si>
  <si>
    <t>116-12</t>
  </si>
  <si>
    <t>804-12</t>
  </si>
  <si>
    <t>805-12</t>
  </si>
  <si>
    <t>125-12</t>
  </si>
  <si>
    <t>120-12</t>
  </si>
  <si>
    <t>127-12</t>
  </si>
  <si>
    <t>807-12</t>
  </si>
  <si>
    <t>806-12</t>
  </si>
  <si>
    <t>122-12</t>
  </si>
  <si>
    <t>124-12</t>
  </si>
  <si>
    <t>131-12</t>
  </si>
  <si>
    <t>808-12</t>
  </si>
  <si>
    <t>809-12</t>
  </si>
  <si>
    <t>128-12</t>
  </si>
  <si>
    <t>811-12</t>
  </si>
  <si>
    <t>135-12</t>
  </si>
  <si>
    <t>810-12</t>
  </si>
  <si>
    <t>130-12</t>
  </si>
  <si>
    <t>137-12</t>
  </si>
  <si>
    <t>139-12</t>
  </si>
  <si>
    <t>812-12</t>
  </si>
  <si>
    <t>903-12</t>
  </si>
  <si>
    <t>141-12</t>
  </si>
  <si>
    <t>136-12</t>
  </si>
  <si>
    <t>143-12</t>
  </si>
  <si>
    <t>138-12</t>
  </si>
  <si>
    <t>145-12</t>
  </si>
  <si>
    <t>140-12</t>
  </si>
  <si>
    <t>142-12</t>
  </si>
  <si>
    <t>149-12</t>
  </si>
  <si>
    <t>144-12</t>
  </si>
  <si>
    <t>146-12</t>
  </si>
  <si>
    <t>153-12</t>
  </si>
  <si>
    <t>150-12</t>
  </si>
  <si>
    <t>148-12</t>
  </si>
  <si>
    <t>155-12</t>
  </si>
  <si>
    <t>157-12</t>
  </si>
  <si>
    <t>50-12</t>
  </si>
  <si>
    <t>DE LA ROSA</t>
  </si>
  <si>
    <t>ALEX</t>
  </si>
  <si>
    <t>159-12</t>
  </si>
  <si>
    <t>817-12</t>
  </si>
  <si>
    <t>154-12</t>
  </si>
  <si>
    <t>156-12</t>
  </si>
  <si>
    <t>60-12</t>
  </si>
  <si>
    <t>NEWELL</t>
  </si>
  <si>
    <t>161-12</t>
  </si>
  <si>
    <t>BRUDER</t>
  </si>
  <si>
    <t>RICHARD</t>
  </si>
  <si>
    <t>818-12</t>
  </si>
  <si>
    <t>163-12</t>
  </si>
  <si>
    <t>MOSES</t>
  </si>
  <si>
    <t>BRADLEY</t>
  </si>
  <si>
    <t>57-12</t>
  </si>
  <si>
    <t>158-12</t>
  </si>
  <si>
    <t>165-12</t>
  </si>
  <si>
    <t>LEVIN</t>
  </si>
  <si>
    <t>SCOTT</t>
  </si>
  <si>
    <t>160-12</t>
  </si>
  <si>
    <t>167-12</t>
  </si>
  <si>
    <t>819-12</t>
  </si>
  <si>
    <t>169-12</t>
  </si>
  <si>
    <t>162-12</t>
  </si>
  <si>
    <t>171-12</t>
  </si>
  <si>
    <t>173-12</t>
  </si>
  <si>
    <t>168-12</t>
  </si>
  <si>
    <t>175-12</t>
  </si>
  <si>
    <t>170-12</t>
  </si>
  <si>
    <t>821-12</t>
  </si>
  <si>
    <t>177-12</t>
  </si>
  <si>
    <t>172-12</t>
  </si>
  <si>
    <t>179-12</t>
  </si>
  <si>
    <t>822-12</t>
  </si>
  <si>
    <t>174-12</t>
  </si>
  <si>
    <t>181-12</t>
  </si>
  <si>
    <t>183-12</t>
  </si>
  <si>
    <t>823-12</t>
  </si>
  <si>
    <t>178-12</t>
  </si>
  <si>
    <t>185-12</t>
  </si>
  <si>
    <t>180-12</t>
  </si>
  <si>
    <t>187-12</t>
  </si>
  <si>
    <t>824-12</t>
  </si>
  <si>
    <t>182-12</t>
  </si>
  <si>
    <t>184-12</t>
  </si>
  <si>
    <t>189-12</t>
  </si>
  <si>
    <t>191-12</t>
  </si>
  <si>
    <t>825-12</t>
  </si>
  <si>
    <t>193-12</t>
  </si>
  <si>
    <t>186-12</t>
  </si>
  <si>
    <t>904-12</t>
  </si>
  <si>
    <t>188-12</t>
  </si>
  <si>
    <t>195-12</t>
  </si>
  <si>
    <t>826-12</t>
  </si>
  <si>
    <t>827-12</t>
  </si>
  <si>
    <t>190-12</t>
  </si>
  <si>
    <t>197-12</t>
  </si>
  <si>
    <t>192-12</t>
  </si>
  <si>
    <t>828-12</t>
  </si>
  <si>
    <t>829-12</t>
  </si>
  <si>
    <t>ZEWDU</t>
  </si>
  <si>
    <t>DEREJE</t>
  </si>
  <si>
    <t>194-12</t>
  </si>
  <si>
    <t>201-12</t>
  </si>
  <si>
    <t>196-12</t>
  </si>
  <si>
    <t>203-12</t>
  </si>
  <si>
    <t>830-12</t>
  </si>
  <si>
    <t>198-12</t>
  </si>
  <si>
    <t>831-12</t>
  </si>
  <si>
    <t>205-12</t>
  </si>
  <si>
    <t>207-12</t>
  </si>
  <si>
    <t>833-12</t>
  </si>
  <si>
    <t>202-12</t>
  </si>
  <si>
    <t>209-12</t>
  </si>
  <si>
    <t>204-12</t>
  </si>
  <si>
    <t>77-12</t>
  </si>
  <si>
    <t>NELSON</t>
  </si>
  <si>
    <t>ARIANE</t>
  </si>
  <si>
    <t>211-12</t>
  </si>
  <si>
    <t>834-12</t>
  </si>
  <si>
    <t>835-12</t>
  </si>
  <si>
    <t>213-12</t>
  </si>
  <si>
    <t>208-12</t>
  </si>
  <si>
    <t>54-12</t>
  </si>
  <si>
    <t>215-12</t>
  </si>
  <si>
    <t>836-12</t>
  </si>
  <si>
    <t>837-12</t>
  </si>
  <si>
    <t>217-12</t>
  </si>
  <si>
    <t>210-12</t>
  </si>
  <si>
    <t>212-12</t>
  </si>
  <si>
    <t>219-12</t>
  </si>
  <si>
    <t>838-12</t>
  </si>
  <si>
    <t>839-12</t>
  </si>
  <si>
    <t>301-12</t>
  </si>
  <si>
    <t>214-12</t>
  </si>
  <si>
    <t>216-12</t>
  </si>
  <si>
    <t>841-12</t>
  </si>
  <si>
    <t>221-12</t>
  </si>
  <si>
    <t>218-12</t>
  </si>
  <si>
    <t>303-12</t>
  </si>
  <si>
    <t>220-12</t>
  </si>
  <si>
    <t>223-12</t>
  </si>
  <si>
    <t>305-12</t>
  </si>
  <si>
    <t>222-12</t>
  </si>
  <si>
    <t>225-12</t>
  </si>
  <si>
    <t>843-12</t>
  </si>
  <si>
    <t>227-12</t>
  </si>
  <si>
    <t>224-12</t>
  </si>
  <si>
    <t>842-12</t>
  </si>
  <si>
    <t>229-12</t>
  </si>
  <si>
    <t>BIRKHOLZ</t>
  </si>
  <si>
    <t>NADINE</t>
  </si>
  <si>
    <t>845-12</t>
  </si>
  <si>
    <t>231-12</t>
  </si>
  <si>
    <t>228-12</t>
  </si>
  <si>
    <t>844-12</t>
  </si>
  <si>
    <t>230-12</t>
  </si>
  <si>
    <t>233-12</t>
  </si>
  <si>
    <t>846-12</t>
  </si>
  <si>
    <t>232-12</t>
  </si>
  <si>
    <t>235-12</t>
  </si>
  <si>
    <t>237-12</t>
  </si>
  <si>
    <t>234-12</t>
  </si>
  <si>
    <t>849-12</t>
  </si>
  <si>
    <t>236-12</t>
  </si>
  <si>
    <t>908-12</t>
  </si>
  <si>
    <t>239-12</t>
  </si>
  <si>
    <t>241-12</t>
  </si>
  <si>
    <t>238-12</t>
  </si>
  <si>
    <t>240-12</t>
  </si>
  <si>
    <t>243-12</t>
  </si>
  <si>
    <t>307-12</t>
  </si>
  <si>
    <t>309-12</t>
  </si>
  <si>
    <t>244-12</t>
  </si>
  <si>
    <t>311-12</t>
  </si>
  <si>
    <t>204:755</t>
  </si>
  <si>
    <t>204:233316</t>
  </si>
  <si>
    <t>204:233283</t>
  </si>
  <si>
    <t>204:233004</t>
  </si>
  <si>
    <t>204:233017</t>
  </si>
  <si>
    <t>204:232961</t>
  </si>
  <si>
    <t>204:233295</t>
  </si>
  <si>
    <t>204:232969</t>
  </si>
  <si>
    <t>204:447</t>
  </si>
  <si>
    <t>204:232985</t>
  </si>
  <si>
    <t>204:233272</t>
  </si>
  <si>
    <t>204:233249</t>
  </si>
  <si>
    <t>204:232919</t>
  </si>
  <si>
    <t>204:233293</t>
  </si>
  <si>
    <t>204:233364</t>
  </si>
  <si>
    <t>204:233053</t>
  </si>
  <si>
    <t>204:127</t>
  </si>
  <si>
    <t>204:475</t>
  </si>
  <si>
    <t>204:233229</t>
  </si>
  <si>
    <t>204:232898</t>
  </si>
  <si>
    <t>204:424</t>
  </si>
  <si>
    <t>204:233353</t>
  </si>
  <si>
    <t>204:20837</t>
  </si>
  <si>
    <t>204:233336</t>
  </si>
  <si>
    <t>204:486</t>
  </si>
  <si>
    <t>204:233009</t>
  </si>
  <si>
    <t>204:497</t>
  </si>
  <si>
    <t>204:232978</t>
  </si>
  <si>
    <t>204:249</t>
  </si>
  <si>
    <t>204:233372</t>
  </si>
  <si>
    <t>204:233032</t>
  </si>
  <si>
    <t>204:531</t>
  </si>
  <si>
    <t>204:233305</t>
  </si>
  <si>
    <t>204:233349</t>
  </si>
  <si>
    <t>204:233036</t>
  </si>
  <si>
    <t>204:232965</t>
  </si>
  <si>
    <t>204:233325</t>
  </si>
  <si>
    <t>204:438</t>
  </si>
  <si>
    <t>204:435</t>
  </si>
  <si>
    <t>204:233391</t>
  </si>
  <si>
    <t>204:233048</t>
  </si>
  <si>
    <t>204:233319</t>
  </si>
  <si>
    <t>204:232991</t>
  </si>
  <si>
    <t>204:477</t>
  </si>
  <si>
    <t>204:233247</t>
  </si>
  <si>
    <t>204:233347</t>
  </si>
  <si>
    <t>204:418</t>
  </si>
  <si>
    <t>204:233380</t>
  </si>
  <si>
    <t>204:233068</t>
  </si>
  <si>
    <t>204:130</t>
  </si>
  <si>
    <t>204:233306</t>
  </si>
  <si>
    <t>204:233038</t>
  </si>
  <si>
    <t>204:433</t>
  </si>
  <si>
    <t>204:233387</t>
  </si>
  <si>
    <t>204:233059</t>
  </si>
  <si>
    <t>204:110772</t>
  </si>
  <si>
    <t>204:232964</t>
  </si>
  <si>
    <t>204:183</t>
  </si>
  <si>
    <t>300:23346</t>
  </si>
  <si>
    <t>300:23466</t>
  </si>
  <si>
    <t>300:23310</t>
  </si>
  <si>
    <t>300:20131</t>
  </si>
  <si>
    <t>300:23538</t>
  </si>
  <si>
    <t>300:22698</t>
  </si>
  <si>
    <t>300:23620</t>
  </si>
  <si>
    <t>300:23722</t>
  </si>
  <si>
    <t>300:23301</t>
  </si>
  <si>
    <t>300:22927</t>
  </si>
  <si>
    <t>204:135</t>
  </si>
  <si>
    <t>300:22202</t>
  </si>
  <si>
    <t>204:1147</t>
  </si>
  <si>
    <t>204:1150</t>
  </si>
  <si>
    <t>300:24233</t>
  </si>
  <si>
    <t>204:1490</t>
  </si>
  <si>
    <t>204:3388</t>
  </si>
  <si>
    <t>204:3062</t>
  </si>
  <si>
    <t>204:69848</t>
  </si>
  <si>
    <t>204:878</t>
  </si>
  <si>
    <t>204:3223</t>
  </si>
  <si>
    <t>204:1169</t>
  </si>
  <si>
    <t>204:3560</t>
  </si>
  <si>
    <t>300:5334</t>
  </si>
  <si>
    <t>204:1154</t>
  </si>
  <si>
    <t>300:58632</t>
  </si>
  <si>
    <t>300:58948</t>
  </si>
  <si>
    <t>204:684</t>
  </si>
  <si>
    <t>300:58613</t>
  </si>
  <si>
    <t>300:58935</t>
  </si>
  <si>
    <t>300:58997</t>
  </si>
  <si>
    <t>204:979</t>
  </si>
  <si>
    <t>300:58628</t>
  </si>
  <si>
    <t>300:59010</t>
  </si>
  <si>
    <t>300:58694</t>
  </si>
  <si>
    <t>204:656</t>
  </si>
  <si>
    <t>300:58984</t>
  </si>
  <si>
    <t>204:960</t>
  </si>
  <si>
    <t>300:58626</t>
  </si>
  <si>
    <t>300:59008</t>
  </si>
  <si>
    <t>300:58687</t>
  </si>
  <si>
    <t>204:1000</t>
  </si>
  <si>
    <t>204:703</t>
  </si>
  <si>
    <t>204:990</t>
  </si>
  <si>
    <t>300:58604</t>
  </si>
  <si>
    <t>204:983</t>
  </si>
  <si>
    <t>300:58924</t>
  </si>
  <si>
    <t>204:699</t>
  </si>
  <si>
    <t>300:58926</t>
  </si>
  <si>
    <t>204:678</t>
  </si>
  <si>
    <t>204:992</t>
  </si>
  <si>
    <t>300:58933</t>
  </si>
  <si>
    <t>300:58624</t>
  </si>
  <si>
    <t>300:58963</t>
  </si>
  <si>
    <t>300:58645</t>
  </si>
  <si>
    <t>204:146</t>
  </si>
  <si>
    <t>300:58634</t>
  </si>
  <si>
    <t>204:685</t>
  </si>
  <si>
    <t>204:908</t>
  </si>
  <si>
    <t>300:58950</t>
  </si>
  <si>
    <t>300:58636</t>
  </si>
  <si>
    <t>204:687</t>
  </si>
  <si>
    <t>204:769</t>
  </si>
  <si>
    <t>204:1079</t>
  </si>
  <si>
    <t>300:30087</t>
  </si>
  <si>
    <t>300:58946</t>
  </si>
  <si>
    <t>300:23447</t>
  </si>
  <si>
    <t>300:24207</t>
  </si>
  <si>
    <t>300:25114</t>
  </si>
  <si>
    <t>300:28793</t>
  </si>
  <si>
    <t>start /low /b %USERPROFILE%\Documents\GitHub\eaglep3\Utilities\DownloadLogsFromS3.py --loco 4028 --day 2017-09-12</t>
  </si>
  <si>
    <t>start /low /b %USERPROFILE%\Documents\GitHub\eaglep3\Utilities\DownloadLogsFromS3.py --loco 4030 --day 2017-09-13</t>
  </si>
  <si>
    <t>start /low /b %USERPROFILE%\Documents\GitHub\eaglep3\Utilities\DownloadLogsFromS3.py --loco 4058 --day 2017-09-12</t>
  </si>
  <si>
    <t>start /low /b %USERPROFILE%\Documents\GitHub\eaglep3\Utilities\DownloadLogsFromS3.py --loco 4057 --day 2017-09-12</t>
  </si>
  <si>
    <t>start /low /b %USERPROFILE%\Documents\GitHub\eaglep3\Utilities\DownloadLogsFromS3.py --loco 4057 --day 2017-09-13</t>
  </si>
  <si>
    <t>start /low /b %USERPROFILE%\Documents\GitHub\eaglep3\Utilities\DownloadLogsFromS3.py --loco 4033 --day 2017-09-12</t>
  </si>
  <si>
    <t>start /low /b %USERPROFILE%\Documents\GitHub\eaglep3\Utilities\DownloadLogsFromS3.py --loco 4031 --day 2017-09-12</t>
  </si>
  <si>
    <t>start /low /b %USERPROFILE%\Documents\GitHub\eaglep3\Utilities\DownloadLogsFromS3.py --loco 4001 --day 2017-09-12</t>
  </si>
  <si>
    <t>start /low /b %USERPROFILE%\Documents\GitHub\eaglep3\Utilities\DownloadLogsFromS3.py --loco 4061 --day 2017-09-12</t>
  </si>
  <si>
    <t>start /low /b %USERPROFILE%\Documents\GitHub\eaglep3\Utilities\DownloadLogsFromS3.py --loco 4029 --day 2017-09-12</t>
  </si>
  <si>
    <t>start /low /b %USERPROFILE%\Documents\GitHub\eaglep3\Utilities\DownloadLogsFromS3.py --loco 4029 --day 2017-09-13</t>
  </si>
  <si>
    <t>start /low /b %USERPROFILE%\Documents\GitHub\eaglep3\Utilities\DownloadLogsFromS3.py --loco 4002 --day 2017-09-12</t>
  </si>
  <si>
    <t>start /low /b %USERPROFILE%\Documents\GitHub\eaglep3\Utilities\DownloadLogsFromS3.py --loco 4063 --day 2017-09-12</t>
  </si>
  <si>
    <t>start /low /b %USERPROFILE%\Documents\GitHub\eaglep3\Utilities\DownloadLogsFromS3.py --loco 4005 --day 2017-09-12</t>
  </si>
  <si>
    <t>start /low /b %USERPROFILE%\Documents\GitHub\eaglep3\Utilities\DownloadLogsFromS3.py --loco 4065 --day 2017-09-13</t>
  </si>
  <si>
    <t>start /low /b %USERPROFILE%\Documents\GitHub\eaglep3\Utilities\DownloadLogsFromS3.py --loco 4064 --day 2017-09-12</t>
  </si>
  <si>
    <t>start /low /b %USERPROFILE%\Documents\GitHub\eaglep3\Utilities\DownloadLogsFromS3.py --loco 4066 --day 2017-09-13</t>
  </si>
  <si>
    <t>Cancelled due to cascade from 151-12</t>
  </si>
  <si>
    <t>GUZMAN DANNY</t>
  </si>
  <si>
    <t>Wi-MAX data drop caused unhealthy banners, no enforcement/cutout</t>
  </si>
  <si>
    <t>Banner without braking against SPEED RESTRICTION, no cutout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</si>
</sst>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5" xfId="0" applyFill="1" applyBorder="1" applyAlignment="1">
      <alignment vertical="center" wrapText="1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6"/>
  <sheetViews>
    <sheetView tabSelected="1" zoomScaleNormal="100" workbookViewId="0">
      <selection activeCell="S154" sqref="S15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42990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42990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143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COUNTIFS($N$13:$N$9329,"&gt;0",$AG$13:$AG$9329,I1)</f>
        <v>142</v>
      </c>
      <c r="K5" s="39"/>
      <c r="L5" s="184"/>
      <c r="M5" s="40">
        <f>AVERAGEIFS($N$13:$N$9329,$AG$13:$AG$9329,I1)</f>
        <v>36.881572770276172</v>
      </c>
      <c r="N5" s="38">
        <f t="array" ref="N5">MIN(IF($AG$13:$AG$9329=I1,IF(ISNUMBER($N$13:$N$9329),IF($N$13:$N$9329&gt;0,$N$13:$N$9329))))</f>
        <v>33.800000001210719</v>
      </c>
      <c r="O5" s="3">
        <f t="array" ref="O5">MAX(IF($AG$13:$AG$9329=I1,IF(ISNUMBER($N$13:$N$9329),IF($N$13:$N$9329&gt;0,$N$13:$N$9329))))</f>
        <v>40.483333335723728</v>
      </c>
      <c r="P5" s="2"/>
      <c r="R5" s="163" t="s">
        <v>17</v>
      </c>
      <c r="S5" s="183">
        <f>COUNTIFS($N$13:$N$9329,"&gt;0",$AG$13:$AG$9329,R1)</f>
        <v>49</v>
      </c>
      <c r="T5" s="184"/>
      <c r="U5" s="184"/>
      <c r="V5" s="180">
        <f>AVERAGEIFS($N$13:$N$9329,$AG$13:$AG$9329,R1)</f>
        <v>15.607482993580895</v>
      </c>
      <c r="W5" s="181">
        <f t="array" ref="W5">MIN(IF($AG$13:$AG$9329=R1,IF(ISNUMBER($N$13:$N$9329),IF($N$13:$N$9329&gt;0,$N$13:$N$9329))))</f>
        <v>11.333333342336118</v>
      </c>
      <c r="X5" s="182">
        <f t="array" ref="X5">MAX(IF($AG$13:$AG$9329=R1,IF(ISNUMBER($N$13:$N$9329),IF($N$13:$N$9329&gt;0,$N$13:$N$9329))))</f>
        <v>24.700000000884756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COUNT($O$13:$O$136)</f>
        <v>0</v>
      </c>
      <c r="K6" s="39"/>
      <c r="L6" s="184"/>
      <c r="M6" s="40">
        <f>IFERROR(AVERAGE($O$13:$O$136),0)</f>
        <v>0</v>
      </c>
      <c r="N6" s="38">
        <f>MIN($O$13:$O$136)</f>
        <v>0</v>
      </c>
      <c r="O6" s="3">
        <f>MAX($O$13:$O$136)</f>
        <v>0</v>
      </c>
      <c r="P6" s="2"/>
      <c r="R6" s="164" t="s">
        <v>43</v>
      </c>
      <c r="S6" s="183">
        <f>COUNT($O$13:$O$136)</f>
        <v>0</v>
      </c>
      <c r="T6" s="184"/>
      <c r="U6" s="184"/>
      <c r="V6" s="180">
        <f>IFERROR(AVERAGE($O$13:$O$136),0)</f>
        <v>0</v>
      </c>
      <c r="W6" s="181">
        <f>MIN($O$13:$O$136)</f>
        <v>0</v>
      </c>
      <c r="X6" s="182">
        <f>MAX($O$13:$O$136)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COUNTIFS($P$13:$P$9329,"&gt;0",$AG$13:$AG$9329,I1)</f>
        <v>1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COUNTIFS($P$13:$P$9329,"&gt;0",$AG$13:$AG$9329,R1)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84"/>
      <c r="M8" s="40">
        <f>M5</f>
        <v>36.881572770276172</v>
      </c>
      <c r="N8" s="38">
        <f>N5</f>
        <v>33.800000001210719</v>
      </c>
      <c r="O8" s="3">
        <f>O5</f>
        <v>40.483333335723728</v>
      </c>
      <c r="P8" s="2"/>
      <c r="R8" s="163" t="s">
        <v>16</v>
      </c>
      <c r="S8" s="183">
        <f>S5</f>
        <v>49</v>
      </c>
      <c r="T8" s="184"/>
      <c r="U8" s="184"/>
      <c r="V8" s="180">
        <f>V5</f>
        <v>15.607482993580895</v>
      </c>
      <c r="W8" s="181">
        <f>W5</f>
        <v>11.333333342336118</v>
      </c>
      <c r="X8" s="182">
        <f>X5</f>
        <v>24.700000000884756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0.99300699300699302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- 2017-09-12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AVERAGE(S13:S106)</f>
        <v>0.98936170212765961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615</v>
      </c>
      <c r="B13" s="7">
        <v>4062</v>
      </c>
      <c r="C13" s="21" t="s">
        <v>197</v>
      </c>
      <c r="D13" s="21" t="s">
        <v>826</v>
      </c>
      <c r="E13" s="13">
        <v>42990.127638888887</v>
      </c>
      <c r="F13" s="13">
        <v>42990.136250000003</v>
      </c>
      <c r="G13" s="7">
        <v>73</v>
      </c>
      <c r="H13" s="21" t="s">
        <v>827</v>
      </c>
      <c r="I13" s="13">
        <v>42990.160601851851</v>
      </c>
      <c r="J13" s="7">
        <v>0</v>
      </c>
      <c r="K13" s="89" t="str">
        <f>IF(ISEVEN(B13),(B13-1)&amp;"/"&amp;B13,B13&amp;"/"&amp;(B13+1))</f>
        <v>4061/4062</v>
      </c>
      <c r="L13" s="214" t="str">
        <f>VLOOKUP(A13,'Trips&amp;Operators'!$C$1:$G$99911,5,FALSE)</f>
        <v>ANDERS STEVEN</v>
      </c>
      <c r="M13" s="6">
        <f>I13-F13</f>
        <v>2.435185184731381E-2</v>
      </c>
      <c r="N13" s="7">
        <f>24*60*SUM($M13:$M13)</f>
        <v>35.066666660131887</v>
      </c>
      <c r="O13" s="7"/>
      <c r="P13" s="7"/>
      <c r="Q13" s="22"/>
      <c r="R13" s="167"/>
      <c r="S13" s="210">
        <f>1/IF(AG13="EC",12,1)*SUM(U13:U13)</f>
        <v>1</v>
      </c>
      <c r="T13" s="192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-12T02:03:48-0600',mode:absolute,to:'2017-09-12T04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" s="194" t="str">
        <f>IF(AA13&lt;VLOOKUP(AG13,Variables!$AC$3:$AD$8,2,FALSE),"Y","N")</f>
        <v>N</v>
      </c>
      <c r="X13" s="194" t="e">
        <f>VALUE(LEFT(AD13,4))-VALUE(LEFT(AD12,4))</f>
        <v>#VALUE!</v>
      </c>
      <c r="Y13" s="194">
        <f>RIGHT(D13,LEN(D13)-4)/10000</f>
        <v>7.5499999999999998E-2</v>
      </c>
      <c r="Z13" s="194">
        <f>RIGHT(H13,LEN(H13)-4)/10000</f>
        <v>23.331600000000002</v>
      </c>
      <c r="AA13" s="194">
        <f>ABS(Z13-Y13)</f>
        <v>23.2561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/stypes="app*4062*20170912*" /stext=" 09:.+((SYSTEM_STATE.+slice.+state.+changed )|(ment ac)|(multiple cpu faults)|(system.+state.+changed )|(\[timeout)|(PRM\|1\|D)|(kpr)|(kdp)|(train st.+moving)|(\|lc)|(penalty))"</v>
      </c>
      <c r="AG13" s="206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4062 --swversion DE.1.0.9.0 --startMP 204:755 --initTime 2017-09-12T03:03:48 --startdatetime 2017-09-12T03:16:12 --delay 73 --endMP 204:233316 --enddatetime 2017-09-12T03:51:16 --enforcementcount 0 &gt;&gt;C:\Users\stu\Documents\GitHub\eaglep3-reporting\EC\2017-09-12-refined-times.txt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{"issue":{"subject":"","project_id":79,"tracker_id":40,"status_id":1,"priority_id":2,"assigned_to_id":338,"start_date":"2017-09-12","description":"","custom_fields":[{"id":1,"name":"Subdivision","value":"EC"},{"id":4,"name":"Milepost","value":"23.3316"},{"id":17,"name":"Train ID","value":"101-12"},{"id":16,"name":"Locomotive ID","value":"4062"},{"id":130,"name":"Impact","value":""},{"id":150,"name":"Time of Event (Mountain Time)","value":"03:51:16"},{"id":151,"name":"Denver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4062 --day 2017-09-12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620</v>
      </c>
      <c r="B14" s="7">
        <v>4061</v>
      </c>
      <c r="C14" s="21" t="s">
        <v>197</v>
      </c>
      <c r="D14" s="21" t="s">
        <v>393</v>
      </c>
      <c r="E14" s="13">
        <v>42990.162407407406</v>
      </c>
      <c r="F14" s="13">
        <v>42990.175266203703</v>
      </c>
      <c r="G14" s="7">
        <v>73</v>
      </c>
      <c r="H14" s="21" t="s">
        <v>360</v>
      </c>
      <c r="I14" s="13">
        <v>42990.201226851852</v>
      </c>
      <c r="J14" s="7">
        <v>0</v>
      </c>
      <c r="K14" s="89" t="str">
        <f>IF(ISEVEN(B14),(B14-1)&amp;"/"&amp;B14,B14&amp;"/"&amp;(B14+1))</f>
        <v>4061/4062</v>
      </c>
      <c r="L14" s="214" t="str">
        <f>VLOOKUP(A14,'Trips&amp;Operators'!$C$1:$G$99911,5,FALSE)</f>
        <v>ANDERS STEVEN</v>
      </c>
      <c r="M14" s="6">
        <f>I14-F14</f>
        <v>2.5960648148611654E-2</v>
      </c>
      <c r="N14" s="7">
        <f>24*60*SUM($M14:$M14)</f>
        <v>37.383333334000781</v>
      </c>
      <c r="O14" s="7"/>
      <c r="P14" s="7"/>
      <c r="Q14" s="22"/>
      <c r="R14" s="167"/>
      <c r="S14" s="210">
        <f>1/IF(AG14="EC",12,1)*SUM(U14:U14)</f>
        <v>1</v>
      </c>
      <c r="T14" s="192" t="str">
        <f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-12T02:53:52-0600',mode:absolute,to:'2017-09-12T05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" s="194" t="str">
        <f>IF(AA14&lt;VLOOKUP(AG14,Variables!$AC$3:$AD$8,2,FALSE),"Y","N")</f>
        <v>N</v>
      </c>
      <c r="X14" s="194">
        <f>VALUE(LEFT(AD14,4))-VALUE(LEFT(AD13,4))</f>
        <v>1</v>
      </c>
      <c r="Y14" s="194">
        <f>RIGHT(D14,LEN(D14)-4)/10000</f>
        <v>23.2986</v>
      </c>
      <c r="Z14" s="194">
        <f>RIGHT(H14,LEN(H14)-4)/10000</f>
        <v>1.52E-2</v>
      </c>
      <c r="AA14" s="194">
        <f>ABS(Z14-Y14)</f>
        <v>23.2834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/stypes="app*4061*20170912*" /stext=" 10:.+((SYSTEM_STATE.+slice.+state.+changed )|(ment ac)|(multiple cpu faults)|(system.+state.+changed )|(\[timeout)|(PRM\|1\|D)|(kpr)|(kdp)|(train st.+moving)|(\|lc)|(penalty))"</v>
      </c>
      <c r="AG14" s="206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4061 --swversion DE.1.0.9.0 --startMP 204:232986 --initTime 2017-09-12T03:53:52 --startdatetime 2017-09-12T04:12:23 --delay 73 --endMP 204:152 --enddatetime 2017-09-12T04:49:46 --enforcementcount 0 &gt;&gt;C:\Users\stu\Documents\GitHub\eaglep3-reporting\EC\2017-09-12-refined-times.txt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{"issue":{"subject":"","project_id":79,"tracker_id":40,"status_id":1,"priority_id":2,"assigned_to_id":338,"start_date":"2017-09-12","description":"","custom_fields":[{"id":1,"name":"Subdivision","value":"EC"},{"id":4,"name":"Milepost","value":"0.0152"},{"id":17,"name":"Train ID","value":"102-12"},{"id":16,"name":"Locomotive ID","value":"4061"},{"id":130,"name":"Impact","value":""},{"id":150,"name":"Time of Event (Mountain Time)","value":"04:49:46"},{"id":151,"name":"Denver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4061 --day 2017-09-12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618</v>
      </c>
      <c r="B15" s="7">
        <v>4002</v>
      </c>
      <c r="C15" s="21" t="s">
        <v>197</v>
      </c>
      <c r="D15" s="21" t="s">
        <v>362</v>
      </c>
      <c r="E15" s="13">
        <v>42990.150879629633</v>
      </c>
      <c r="F15" s="13">
        <v>42990.156400462962</v>
      </c>
      <c r="G15" s="7">
        <v>70</v>
      </c>
      <c r="H15" s="21" t="s">
        <v>828</v>
      </c>
      <c r="I15" s="13">
        <v>42990.18167824074</v>
      </c>
      <c r="J15" s="7">
        <v>0</v>
      </c>
      <c r="K15" s="89" t="str">
        <f>IF(ISEVEN(B15),(B15-1)&amp;"/"&amp;B15,B15&amp;"/"&amp;(B15+1))</f>
        <v>4001/4002</v>
      </c>
      <c r="L15" s="214" t="str">
        <f>VLOOKUP(A15,'Trips&amp;Operators'!$C$1:$G$99911,5,FALSE)</f>
        <v>BONDS REYNALDO</v>
      </c>
      <c r="M15" s="6">
        <f>I15-F15</f>
        <v>2.527777777868323E-2</v>
      </c>
      <c r="N15" s="7">
        <f>24*60*SUM($M15:$M15)</f>
        <v>36.400000001303852</v>
      </c>
      <c r="O15" s="7"/>
      <c r="P15" s="7"/>
      <c r="Q15" s="22"/>
      <c r="R15" s="167"/>
      <c r="S15" s="210">
        <f>1/IF(AG15="EC",12,1)*SUM(U15:U15)</f>
        <v>1</v>
      </c>
      <c r="T15" s="192" t="str">
        <f>IF(ISEVEN(LEFT(AD15,4)),"Southbound","NorthBound")</f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-12T02:37:16-0600',mode:absolute,to:'2017-09-12T05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94" t="str">
        <f>IF(AA15&lt;VLOOKUP(AG15,Variables!$AC$3:$AD$8,2,FALSE),"Y","N")</f>
        <v>N</v>
      </c>
      <c r="X15" s="194">
        <f>VALUE(LEFT(AD15,4))-VALUE(LEFT(AD14,4))</f>
        <v>1</v>
      </c>
      <c r="Y15" s="194">
        <f>RIGHT(D15,LEN(D15)-4)/10000</f>
        <v>4.5699999999999998E-2</v>
      </c>
      <c r="Z15" s="194">
        <f>RIGHT(H15,LEN(H15)-4)/10000</f>
        <v>23.328299999999999</v>
      </c>
      <c r="AA15" s="194">
        <f>ABS(Z15-Y15)</f>
        <v>23.282599999999999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/stypes="app*4002*20170912*" /stext=" 10:.+((SYSTEM_STATE.+slice.+state.+changed )|(ment ac)|(multiple cpu faults)|(system.+state.+changed )|(\[timeout)|(PRM\|1\|D)|(kpr)|(kdp)|(train st.+moving)|(\|lc)|(penalty))"</v>
      </c>
      <c r="AG15" s="206" t="str">
        <f>DetSubdiv(A15)</f>
        <v>EC</v>
      </c>
      <c r="AH15" s="78" t="str">
        <f t="shared" si="4"/>
        <v>"%USERPROFILE%\Documents\GitHub\eaglep3\Utilities\RefineRTDCRunTimes.py" --tripid 103-12 --locoid 4002 --swversion DE.1.0.9.0 --startMP 204:457 --initTime 2017-09-12T03:37:16 --startdatetime 2017-09-12T03:45:13 --delay 70 --endMP 204:233283 --enddatetime 2017-09-12T04:21:37 --enforcementcount 0 &gt;&gt;C:\Users\stu\Documents\GitHub\eaglep3-reporting\EC\2017-09-12-refined-times.txt</v>
      </c>
      <c r="AI1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{"issue":{"subject":"","project_id":79,"tracker_id":40,"status_id":1,"priority_id":2,"assigned_to_id":338,"start_date":"2017-09-12","description":"","custom_fields":[{"id":1,"name":"Subdivision","value":"EC"},{"id":4,"name":"Milepost","value":"23.3283"},{"id":17,"name":"Train ID","value":"103-12"},{"id":16,"name":"Locomotive ID","value":"4002"},{"id":130,"name":"Impact","value":""},{"id":150,"name":"Time of Event (Mountain Time)","value":"04:21:37"},{"id":151,"name":"Denver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4002 --day 2017-09-12</v>
      </c>
      <c r="AN1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625</v>
      </c>
      <c r="B16" s="7">
        <v>4001</v>
      </c>
      <c r="C16" s="21" t="s">
        <v>197</v>
      </c>
      <c r="D16" s="21" t="s">
        <v>829</v>
      </c>
      <c r="E16" s="13">
        <v>42990.192418981482</v>
      </c>
      <c r="F16" s="13">
        <v>42990.196018518516</v>
      </c>
      <c r="G16" s="7">
        <v>46</v>
      </c>
      <c r="H16" s="21" t="s">
        <v>382</v>
      </c>
      <c r="I16" s="13">
        <v>42990.222581018519</v>
      </c>
      <c r="J16" s="7">
        <v>0</v>
      </c>
      <c r="K16" s="89" t="str">
        <f>IF(ISEVEN(B16),(B16-1)&amp;"/"&amp;B16,B16&amp;"/"&amp;(B16+1))</f>
        <v>4001/4002</v>
      </c>
      <c r="L16" s="214" t="str">
        <f>VLOOKUP(A16,'Trips&amp;Operators'!$C$1:$G$99911,5,FALSE)</f>
        <v>BONDS REYNALDO</v>
      </c>
      <c r="M16" s="6">
        <f>I16-F16</f>
        <v>2.6562500002910383E-2</v>
      </c>
      <c r="N16" s="7">
        <f>24*60*SUM($M16:$M16)</f>
        <v>38.250000004190952</v>
      </c>
      <c r="O16" s="7"/>
      <c r="P16" s="7"/>
      <c r="Q16" s="22"/>
      <c r="R16" s="167"/>
      <c r="S16" s="210">
        <f>1/IF(AG16="EC",12,1)*SUM(U16:U16)</f>
        <v>1</v>
      </c>
      <c r="T16" s="192" t="str">
        <f>IF(ISEVEN(LEFT(AD16,4)),"Southbound","NorthBound")</f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-12T03:37:05-0600',mode:absolute,to:'2017-09-12T06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4" t="str">
        <f>IF(AA16&lt;VLOOKUP(AG16,Variables!$AC$3:$AD$8,2,FALSE),"Y","N")</f>
        <v>N</v>
      </c>
      <c r="X16" s="194">
        <f>VALUE(LEFT(AD16,4))-VALUE(LEFT(AD15,4))</f>
        <v>1</v>
      </c>
      <c r="Y16" s="194">
        <f>RIGHT(D16,LEN(D16)-4)/10000</f>
        <v>23.3004</v>
      </c>
      <c r="Z16" s="194">
        <f>RIGHT(H16,LEN(H16)-4)/10000</f>
        <v>1.61E-2</v>
      </c>
      <c r="AA16" s="194">
        <f>ABS(Z16-Y16)</f>
        <v>23.284299999999998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/stypes="app*4001*20170912*" /stext=" 11:.+((SYSTEM_STATE.+slice.+state.+changed )|(ment ac)|(multiple cpu faults)|(system.+state.+changed )|(\[timeout)|(PRM\|1\|D)|(kpr)|(kdp)|(train st.+moving)|(\|lc)|(penalty))"</v>
      </c>
      <c r="AG16" s="206" t="str">
        <f>DetSubdiv(A16)</f>
        <v>EC</v>
      </c>
      <c r="AH16" s="78" t="str">
        <f t="shared" si="4"/>
        <v>"%USERPROFILE%\Documents\GitHub\eaglep3\Utilities\RefineRTDCRunTimes.py" --tripid 104-12 --locoid 4001 --swversion DE.1.0.9.0 --startMP 204:233004 --initTime 2017-09-12T04:37:05 --startdatetime 2017-09-12T04:42:16 --delay 46 --endMP 204:161 --enddatetime 2017-09-12T05:20:31 --enforcementcount 0 &gt;&gt;C:\Users\stu\Documents\GitHub\eaglep3-reporting\EC\2017-09-12-refined-times.txt</v>
      </c>
      <c r="AI1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{"issue":{"subject":"","project_id":79,"tracker_id":40,"status_id":1,"priority_id":2,"assigned_to_id":338,"start_date":"2017-09-12","description":"","custom_fields":[{"id":1,"name":"Subdivision","value":"EC"},{"id":4,"name":"Milepost","value":"0.0161"},{"id":17,"name":"Train ID","value":"104-12"},{"id":16,"name":"Locomotive ID","value":"4001"},{"id":130,"name":"Impact","value":""},{"id":150,"name":"Time of Event (Mountain Time)","value":"05:20:31"},{"id":151,"name":"Denver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4001 --day 2017-09-12</v>
      </c>
      <c r="AN1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622</v>
      </c>
      <c r="B17" s="7">
        <v>4058</v>
      </c>
      <c r="C17" s="21" t="s">
        <v>197</v>
      </c>
      <c r="D17" s="21" t="s">
        <v>388</v>
      </c>
      <c r="E17" s="13">
        <v>42990.174571759257</v>
      </c>
      <c r="F17" s="13">
        <v>42990.177465277775</v>
      </c>
      <c r="G17" s="7">
        <v>66</v>
      </c>
      <c r="H17" s="21" t="s">
        <v>534</v>
      </c>
      <c r="I17" s="13">
        <v>42990.202418981484</v>
      </c>
      <c r="J17" s="7">
        <v>0</v>
      </c>
      <c r="K17" s="89" t="str">
        <f>IF(ISEVEN(B17),(B17-1)&amp;"/"&amp;B17,B17&amp;"/"&amp;(B17+1))</f>
        <v>4057/4058</v>
      </c>
      <c r="L17" s="214" t="str">
        <f>VLOOKUP(A17,'Trips&amp;Operators'!$C$1:$G$99911,5,FALSE)</f>
        <v>STARKS ANGELINA</v>
      </c>
      <c r="M17" s="6">
        <f>I17-F17</f>
        <v>2.4953703708888497E-2</v>
      </c>
      <c r="N17" s="7">
        <f>24*60*SUM($M17:$M17)</f>
        <v>35.933333340799436</v>
      </c>
      <c r="O17" s="7"/>
      <c r="P17" s="7"/>
      <c r="Q17" s="22"/>
      <c r="R17" s="167"/>
      <c r="S17" s="210">
        <f>1/IF(AG17="EC",12,1)*SUM(U17:U17)</f>
        <v>1</v>
      </c>
      <c r="T17" s="192" t="str">
        <f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-12T03:11:23-0600',mode:absolute,to:'2017-09-12T05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7" s="194" t="str">
        <f>IF(AA17&lt;VLOOKUP(AG17,Variables!$AC$3:$AD$8,2,FALSE),"Y","N")</f>
        <v>N</v>
      </c>
      <c r="X17" s="194">
        <f>VALUE(LEFT(AD17,4))-VALUE(LEFT(AD16,4))</f>
        <v>1</v>
      </c>
      <c r="Y17" s="194">
        <f>RIGHT(D17,LEN(D17)-4)/10000</f>
        <v>4.5999999999999999E-2</v>
      </c>
      <c r="Z17" s="194">
        <f>RIGHT(H17,LEN(H17)-4)/10000</f>
        <v>23.330100000000002</v>
      </c>
      <c r="AA17" s="194">
        <f>ABS(Z17-Y17)</f>
        <v>23.284100000000002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/stypes="app*4058*20170912*" /stext=" 10:.+((SYSTEM_STATE.+slice.+state.+changed )|(ment ac)|(multiple cpu faults)|(system.+state.+changed )|(\[timeout)|(PRM\|1\|D)|(kpr)|(kdp)|(train st.+moving)|(\|lc)|(penalty))"</v>
      </c>
      <c r="AG17" s="206" t="str">
        <f>DetSubdiv(A17)</f>
        <v>EC</v>
      </c>
      <c r="AH17" s="78" t="str">
        <f t="shared" si="4"/>
        <v>"%USERPROFILE%\Documents\GitHub\eaglep3\Utilities\RefineRTDCRunTimes.py" --tripid 105-12 --locoid 4058 --swversion DE.1.0.9.0 --startMP 204:460 --initTime 2017-09-12T04:11:23 --startdatetime 2017-09-12T04:15:33 --delay 66 --endMP 204:233301 --enddatetime 2017-09-12T04:51:29 --enforcementcount 0 &gt;&gt;C:\Users\stu\Documents\GitHub\eaglep3-reporting\EC\2017-09-12-refined-times.txt</v>
      </c>
      <c r="AI1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{"issue":{"subject":"","project_id":79,"tracker_id":40,"status_id":1,"priority_id":2,"assigned_to_id":338,"start_date":"2017-09-12","description":"","custom_fields":[{"id":1,"name":"Subdivision","value":"EC"},{"id":4,"name":"Milepost","value":"23.3301"},{"id":17,"name":"Train ID","value":"105-12"},{"id":16,"name":"Locomotive ID","value":"4058"},{"id":130,"name":"Impact","value":""},{"id":150,"name":"Time of Event (Mountain Time)","value":"04:51:29"},{"id":151,"name":"Denver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4058 --day 2017-09-12</v>
      </c>
      <c r="AN1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632</v>
      </c>
      <c r="B18" s="7">
        <v>4057</v>
      </c>
      <c r="C18" s="21" t="s">
        <v>197</v>
      </c>
      <c r="D18" s="21" t="s">
        <v>532</v>
      </c>
      <c r="E18" s="13">
        <v>42990.203634259262</v>
      </c>
      <c r="F18" s="13">
        <v>42990.216967592591</v>
      </c>
      <c r="G18" s="7">
        <v>62</v>
      </c>
      <c r="H18" s="21" t="s">
        <v>338</v>
      </c>
      <c r="I18" s="13">
        <v>42990.242800925924</v>
      </c>
      <c r="J18" s="7">
        <v>0</v>
      </c>
      <c r="K18" s="89" t="str">
        <f>IF(ISEVEN(B18),(B18-1)&amp;"/"&amp;B18,B18&amp;"/"&amp;(B18+1))</f>
        <v>4057/4058</v>
      </c>
      <c r="L18" s="214" t="str">
        <f>VLOOKUP(A18,'Trips&amp;Operators'!$C$1:$G$99911,5,FALSE)</f>
        <v>STARKS ANGELINA</v>
      </c>
      <c r="M18" s="6">
        <f>I18-F18</f>
        <v>2.5833333333139308E-2</v>
      </c>
      <c r="N18" s="7">
        <f>24*60*SUM($M18:$M18)</f>
        <v>37.199999999720603</v>
      </c>
      <c r="O18" s="7"/>
      <c r="P18" s="7"/>
      <c r="Q18" s="22"/>
      <c r="R18" s="167"/>
      <c r="S18" s="210">
        <f>1/IF(AG18="EC",12,1)*SUM(U18:U18)</f>
        <v>1</v>
      </c>
      <c r="T18" s="192" t="str">
        <f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-12T03:53:14-0600',mode:absolute,to:'2017-09-12T06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" s="194" t="str">
        <f>IF(AA18&lt;VLOOKUP(AG18,Variables!$AC$3:$AD$8,2,FALSE),"Y","N")</f>
        <v>N</v>
      </c>
      <c r="X18" s="194">
        <f>VALUE(LEFT(AD18,4))-VALUE(LEFT(AD17,4))</f>
        <v>1</v>
      </c>
      <c r="Y18" s="194">
        <f>RIGHT(D18,LEN(D18)-4)/10000</f>
        <v>23.296700000000001</v>
      </c>
      <c r="Z18" s="194">
        <f>RIGHT(H18,LEN(H18)-4)/10000</f>
        <v>1.4999999999999999E-2</v>
      </c>
      <c r="AA18" s="194">
        <f>ABS(Z18-Y18)</f>
        <v>23.281700000000001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/stypes="app*4057*20170912*" /stext=" 11:.+((SYSTEM_STATE.+slice.+state.+changed )|(ment ac)|(multiple cpu faults)|(system.+state.+changed )|(\[timeout)|(PRM\|1\|D)|(kpr)|(kdp)|(train st.+moving)|(\|lc)|(penalty))"</v>
      </c>
      <c r="AG18" s="206" t="str">
        <f>DetSubdiv(A18)</f>
        <v>EC</v>
      </c>
      <c r="AH18" s="78" t="str">
        <f t="shared" si="4"/>
        <v>"%USERPROFILE%\Documents\GitHub\eaglep3\Utilities\RefineRTDCRunTimes.py" --tripid 106-12 --locoid 4057 --swversion DE.1.0.9.0 --startMP 204:232967 --initTime 2017-09-12T04:53:14 --startdatetime 2017-09-12T05:12:26 --delay 62 --endMP 204:150 --enddatetime 2017-09-12T05:49:38 --enforcementcount 0 &gt;&gt;C:\Users\stu\Documents\GitHub\eaglep3-reporting\EC\2017-09-12-refined-times.txt</v>
      </c>
      <c r="AI18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{"issue":{"subject":"","project_id":79,"tracker_id":40,"status_id":1,"priority_id":2,"assigned_to_id":338,"start_date":"2017-09-12","description":"","custom_fields":[{"id":1,"name":"Subdivision","value":"EC"},{"id":4,"name":"Milepost","value":"0.015"},{"id":17,"name":"Train ID","value":"106-12"},{"id":16,"name":"Locomotive ID","value":"4057"},{"id":130,"name":"Impact","value":""},{"id":150,"name":"Time of Event (Mountain Time)","value":"05:49:38"},{"id":151,"name":"Denver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4057 --day 2017-09-12</v>
      </c>
      <c r="AN18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623</v>
      </c>
      <c r="B19" s="7">
        <v>4032</v>
      </c>
      <c r="C19" s="21" t="s">
        <v>197</v>
      </c>
      <c r="D19" s="21" t="s">
        <v>365</v>
      </c>
      <c r="E19" s="13">
        <v>42990.183715277781</v>
      </c>
      <c r="F19" s="13">
        <v>42990.187696759262</v>
      </c>
      <c r="G19" s="7">
        <v>86</v>
      </c>
      <c r="H19" s="21" t="s">
        <v>504</v>
      </c>
      <c r="I19" s="13">
        <v>42990.211793981478</v>
      </c>
      <c r="J19" s="7">
        <v>0</v>
      </c>
      <c r="K19" s="89" t="str">
        <f>IF(ISEVEN(B19),(B19-1)&amp;"/"&amp;B19,B19&amp;"/"&amp;(B19+1))</f>
        <v>4031/4032</v>
      </c>
      <c r="L19" s="214" t="str">
        <f>VLOOKUP(A19,'Trips&amp;Operators'!$C$1:$G$99911,5,FALSE)</f>
        <v>LALONDE GREGORY</v>
      </c>
      <c r="M19" s="6">
        <f>I19-F19</f>
        <v>2.4097222216369119E-2</v>
      </c>
      <c r="N19" s="7">
        <f>24*60*SUM($M19:$M19)</f>
        <v>34.699999991571531</v>
      </c>
      <c r="O19" s="7"/>
      <c r="P19" s="7"/>
      <c r="Q19" s="22"/>
      <c r="R19" s="167"/>
      <c r="S19" s="210">
        <f>1/IF(AG19="EC",12,1)*SUM(U19:U19)</f>
        <v>1</v>
      </c>
      <c r="T19" s="192" t="str">
        <f>IF(ISEVEN(LEFT(AD19,4)),"Southbound","NorthBound")</f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-09-12T03:24:33-0600',mode:absolute,to:'2017-09-12T06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194" t="str">
        <f>IF(AA19&lt;VLOOKUP(AG19,Variables!$AC$3:$AD$8,2,FALSE),"Y","N")</f>
        <v>N</v>
      </c>
      <c r="X19" s="194">
        <f>VALUE(LEFT(AD19,4))-VALUE(LEFT(AD18,4))</f>
        <v>1</v>
      </c>
      <c r="Y19" s="194">
        <f>RIGHT(D19,LEN(D19)-4)/10000</f>
        <v>4.6399999999999997E-2</v>
      </c>
      <c r="Z19" s="194">
        <f>RIGHT(H19,LEN(H19)-4)/10000</f>
        <v>23.334</v>
      </c>
      <c r="AA19" s="194">
        <f>ABS(Z19-Y19)</f>
        <v>23.287600000000001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/stypes="app*4032*20170912*" /stext=" 11:.+((SYSTEM_STATE.+slice.+state.+changed )|(ment ac)|(multiple cpu faults)|(system.+state.+changed )|(\[timeout)|(PRM\|1\|D)|(kpr)|(kdp)|(train st.+moving)|(\|lc)|(penalty))"</v>
      </c>
      <c r="AG19" s="206" t="str">
        <f>DetSubdiv(A19)</f>
        <v>EC</v>
      </c>
      <c r="AH19" s="78" t="str">
        <f t="shared" si="4"/>
        <v>"%USERPROFILE%\Documents\GitHub\eaglep3\Utilities\RefineRTDCRunTimes.py" --tripid 107-12 --locoid 4032 --swversion DE.1.0.9.0 --startMP 204:464 --initTime 2017-09-12T04:24:33 --startdatetime 2017-09-12T04:30:17 --delay 86 --endMP 204:233340 --enddatetime 2017-09-12T05:04:59 --enforcementcount 0 &gt;&gt;C:\Users\stu\Documents\GitHub\eaglep3-reporting\EC\2017-09-12-refined-times.txt</v>
      </c>
      <c r="AI19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{"issue":{"subject":"","project_id":79,"tracker_id":40,"status_id":1,"priority_id":2,"assigned_to_id":338,"start_date":"2017-09-12","description":"","custom_fields":[{"id":1,"name":"Subdivision","value":"EC"},{"id":4,"name":"Milepost","value":"23.334"},{"id":17,"name":"Train ID","value":"107-12"},{"id":16,"name":"Locomotive ID","value":"4032"},{"id":130,"name":"Impact","value":""},{"id":150,"name":"Time of Event (Mountain Time)","value":"05:04:59"},{"id":151,"name":"Denver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4032 --day 2017-09-12</v>
      </c>
      <c r="AN19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633</v>
      </c>
      <c r="B20" s="7">
        <v>4031</v>
      </c>
      <c r="C20" s="21" t="s">
        <v>197</v>
      </c>
      <c r="D20" s="21" t="s">
        <v>830</v>
      </c>
      <c r="E20" s="13">
        <v>42990.213159722225</v>
      </c>
      <c r="F20" s="13">
        <v>42990.227326388886</v>
      </c>
      <c r="G20" s="7">
        <v>44</v>
      </c>
      <c r="H20" s="21" t="s">
        <v>360</v>
      </c>
      <c r="I20" s="13">
        <v>42990.252592592595</v>
      </c>
      <c r="J20" s="7">
        <v>0</v>
      </c>
      <c r="K20" s="89" t="str">
        <f>IF(ISEVEN(B20),(B20-1)&amp;"/"&amp;B20,B20&amp;"/"&amp;(B20+1))</f>
        <v>4031/4032</v>
      </c>
      <c r="L20" s="214" t="str">
        <f>VLOOKUP(A20,'Trips&amp;Operators'!$C$1:$G$99911,5,FALSE)</f>
        <v>LALONDE GREGORY</v>
      </c>
      <c r="M20" s="6">
        <f>I20-F20</f>
        <v>2.5266203709179536E-2</v>
      </c>
      <c r="N20" s="7">
        <f>24*60*SUM($M20:$M20)</f>
        <v>36.383333341218531</v>
      </c>
      <c r="O20" s="7"/>
      <c r="P20" s="7"/>
      <c r="Q20" s="22"/>
      <c r="R20" s="167"/>
      <c r="S20" s="210">
        <f>1/IF(AG20="EC",12,1)*SUM(U20:U20)</f>
        <v>1</v>
      </c>
      <c r="T20" s="192" t="str">
        <f>IF(ISEVEN(LEFT(AD20,4)),"Southbound","NorthBound")</f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-09-12T04:06:57-0600',mode:absolute,to:'2017-09-12T07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194" t="str">
        <f>IF(AA20&lt;VLOOKUP(AG20,Variables!$AC$3:$AD$8,2,FALSE),"Y","N")</f>
        <v>N</v>
      </c>
      <c r="X20" s="194">
        <f>VALUE(LEFT(AD20,4))-VALUE(LEFT(AD19,4))</f>
        <v>1</v>
      </c>
      <c r="Y20" s="194">
        <f>RIGHT(D20,LEN(D20)-4)/10000</f>
        <v>23.3017</v>
      </c>
      <c r="Z20" s="194">
        <f>RIGHT(H20,LEN(H20)-4)/10000</f>
        <v>1.52E-2</v>
      </c>
      <c r="AA20" s="194">
        <f>ABS(Z20-Y20)</f>
        <v>23.2865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/stypes="app*4031*20170912*" /stext=" 12:.+((SYSTEM_STATE.+slice.+state.+changed )|(ment ac)|(multiple cpu faults)|(system.+state.+changed )|(\[timeout)|(PRM\|1\|D)|(kpr)|(kdp)|(train st.+moving)|(\|lc)|(penalty))"</v>
      </c>
      <c r="AG20" s="206" t="str">
        <f>DetSubdiv(A20)</f>
        <v>EC</v>
      </c>
      <c r="AH20" s="78" t="str">
        <f t="shared" si="4"/>
        <v>"%USERPROFILE%\Documents\GitHub\eaglep3\Utilities\RefineRTDCRunTimes.py" --tripid 108-12 --locoid 4031 --swversion DE.1.0.9.0 --startMP 204:233017 --initTime 2017-09-12T05:06:57 --startdatetime 2017-09-12T05:27:21 --delay 44 --endMP 204:152 --enddatetime 2017-09-12T06:03:44 --enforcementcount 0 &gt;&gt;C:\Users\stu\Documents\GitHub\eaglep3-reporting\EC\2017-09-12-refined-times.txt</v>
      </c>
      <c r="AI20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{"issue":{"subject":"","project_id":79,"tracker_id":40,"status_id":1,"priority_id":2,"assigned_to_id":338,"start_date":"2017-09-12","description":"","custom_fields":[{"id":1,"name":"Subdivision","value":"EC"},{"id":4,"name":"Milepost","value":"0.0152"},{"id":17,"name":"Train ID","value":"108-12"},{"id":16,"name":"Locomotive ID","value":"4031"},{"id":130,"name":"Impact","value":""},{"id":150,"name":"Time of Event (Mountain Time)","value":"06:03:44"},{"id":151,"name":"Denver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4031 --day 2017-09-12</v>
      </c>
      <c r="AN20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576</v>
      </c>
      <c r="B21" s="7">
        <v>4028</v>
      </c>
      <c r="C21" s="21" t="s">
        <v>197</v>
      </c>
      <c r="D21" s="21" t="s">
        <v>544</v>
      </c>
      <c r="E21" s="13">
        <v>42990.195694444446</v>
      </c>
      <c r="F21" s="13">
        <v>42990.198101851849</v>
      </c>
      <c r="G21" s="7">
        <v>66</v>
      </c>
      <c r="H21" s="21" t="s">
        <v>536</v>
      </c>
      <c r="I21" s="13">
        <v>42990.223310185182</v>
      </c>
      <c r="J21" s="7">
        <v>0</v>
      </c>
      <c r="K21" s="89" t="str">
        <f>IF(ISEVEN(B21),(B21-1)&amp;"/"&amp;B21,B21&amp;"/"&amp;(B21+1))</f>
        <v>4027/4028</v>
      </c>
      <c r="L21" s="214" t="str">
        <f>VLOOKUP(A21,'Trips&amp;Operators'!$C$1:$G$99911,5,FALSE)</f>
        <v>LAMAR NEKESHA</v>
      </c>
      <c r="M21" s="6">
        <f>I21-F21</f>
        <v>2.5208333332557231E-2</v>
      </c>
      <c r="N21" s="7">
        <f>24*60*SUM($M21:$M21)</f>
        <v>36.299999998882413</v>
      </c>
      <c r="O21" s="7"/>
      <c r="P21" s="7"/>
      <c r="Q21" s="22"/>
      <c r="R21" s="167"/>
      <c r="S21" s="210">
        <f>1/IF(AG21="EC",12,1)*SUM(U21:U21)</f>
        <v>1</v>
      </c>
      <c r="T21" s="192" t="str">
        <f>IF(ISEVEN(LEFT(AD21,4)),"Southbound","NorthBound")</f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-09-12T03:41:48-0600',mode:absolute,to:'2017-09-12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" s="194" t="str">
        <f>IF(AA21&lt;VLOOKUP(AG21,Variables!$AC$3:$AD$8,2,FALSE),"Y","N")</f>
        <v>N</v>
      </c>
      <c r="X21" s="194">
        <f>VALUE(LEFT(AD21,4))-VALUE(LEFT(AD20,4))</f>
        <v>1</v>
      </c>
      <c r="Y21" s="194">
        <f>RIGHT(D21,LEN(D21)-4)/10000</f>
        <v>4.6600000000000003E-2</v>
      </c>
      <c r="Z21" s="194">
        <f>RIGHT(H21,LEN(H21)-4)/10000</f>
        <v>23.3322</v>
      </c>
      <c r="AA21" s="194">
        <f>ABS(Z21-Y21)</f>
        <v>23.285599999999999</v>
      </c>
      <c r="AB21" s="54" t="str">
        <f>VLOOKUP(A21,Enforcements!$C$7:$K$11,8,0)</f>
        <v>Speed (6)</v>
      </c>
      <c r="AC21" s="51" t="str">
        <f>VLOOKUP(A21,Enforcements!$C$7:$E$11,3,0)</f>
        <v>PERMANENT SPEED RESTRICTION</v>
      </c>
      <c r="AD21" s="203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s3://rtdc.mdm.uploadarchive.raw/RTDC4028/ "%USERPROFILE%\AppData\Local\Temp\OnboardLogs"\RTDC4028\2017-09-12 --exclude "*" --recursive --include "*20170912*" &amp; "%USERPROFILE%\Documents\GitHub\mrs-test-scripts\Headless Mode &amp; Sideloading\WalkAndUnGZ.bat" "%USERPROFILE%\AppData\Local\Temp\OnboardLogs"\RTDC4028\2017-09-12 &amp; 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/stypes="app*4028*20170912*" /stext=" 11:.+((SYSTEM_STATE.+slice.+state.+changed )|(ment ac)|(multiple cpu faults)|(system.+state.+changed )|(\[timeout)|(PRM\|1\|D)|(kpr)|(kdp)|(train st.+moving)|(\|lc)|(penalty))"</v>
      </c>
      <c r="AG21" s="206" t="str">
        <f>DetSubdiv(A21)</f>
        <v>EC</v>
      </c>
      <c r="AH21" s="78" t="str">
        <f t="shared" si="4"/>
        <v>"%USERPROFILE%\Documents\GitHub\eaglep3\Utilities\RefineRTDCRunTimes.py" --tripid 109-12 --locoid 4028 --swversion DE.1.0.9.0 --startMP 204:466 --initTime 2017-09-12T04:41:48 --startdatetime 2017-09-12T04:45:16 --delay 66 --endMP 204:233322 --enddatetime 2017-09-12T05:21:34 --enforcementcount 0 &gt;&gt;C:\Users\stu\Documents\GitHub\eaglep3-reporting\EC\2017-09-12-refined-times.txt</v>
      </c>
      <c r="AI21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{"issue":{"subject":"","project_id":79,"tracker_id":40,"status_id":1,"priority_id":2,"assigned_to_id":338,"start_date":"2017-09-12","description":"","custom_fields":[{"id":1,"name":"Subdivision","value":"EC"},{"id":4,"name":"Milepost","value":"23.3322"},{"id":17,"name":"Train ID","value":"109-12"},{"id":16,"name":"Locomotive ID","value":"4028"},{"id":130,"name":"Impact","value":""},{"id":150,"name":"Time of Event (Mountain Time)","value":"05:21:34"},{"id":151,"name":"Denver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4028 --day 2017-09-12</v>
      </c>
      <c r="AN21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642</v>
      </c>
      <c r="B22" s="7">
        <v>4027</v>
      </c>
      <c r="C22" s="21" t="s">
        <v>197</v>
      </c>
      <c r="D22" s="21" t="s">
        <v>496</v>
      </c>
      <c r="E22" s="13">
        <v>42990.235381944447</v>
      </c>
      <c r="F22" s="13">
        <v>42990.237685185188</v>
      </c>
      <c r="G22" s="7">
        <v>52</v>
      </c>
      <c r="H22" s="21" t="s">
        <v>343</v>
      </c>
      <c r="I22" s="13">
        <v>42990.263310185182</v>
      </c>
      <c r="J22" s="7">
        <v>0</v>
      </c>
      <c r="K22" s="89" t="str">
        <f>IF(ISEVEN(B22),(B22-1)&amp;"/"&amp;B22,B22&amp;"/"&amp;(B22+1))</f>
        <v>4027/4028</v>
      </c>
      <c r="L22" s="214" t="str">
        <f>VLOOKUP(A22,'Trips&amp;Operators'!$C$1:$G$99911,5,FALSE)</f>
        <v>LAMAR NEKESHA</v>
      </c>
      <c r="M22" s="6">
        <f>I22-F22</f>
        <v>2.5624999994761311E-2</v>
      </c>
      <c r="N22" s="7">
        <f>24*60*SUM($M22:$M22)</f>
        <v>36.899999992456287</v>
      </c>
      <c r="O22" s="7"/>
      <c r="P22" s="7"/>
      <c r="Q22" s="22"/>
      <c r="R22" s="167"/>
      <c r="S22" s="210">
        <f>1/IF(AG22="EC",12,1)*SUM(U22:U22)</f>
        <v>1</v>
      </c>
      <c r="T22" s="192" t="str">
        <f>IF(ISEVEN(LEFT(AD22,4)),"Southbound","NorthBound")</f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-09-12T04:38:57-0600',mode:absolute,to:'2017-09-12T07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" s="194" t="str">
        <f>IF(AA22&lt;VLOOKUP(AG22,Variables!$AC$3:$AD$8,2,FALSE),"Y","N")</f>
        <v>N</v>
      </c>
      <c r="X22" s="194">
        <f>VALUE(LEFT(AD22,4))-VALUE(LEFT(AD21,4))</f>
        <v>1</v>
      </c>
      <c r="Y22" s="194">
        <f>RIGHT(D22,LEN(D22)-4)/10000</f>
        <v>23.3005</v>
      </c>
      <c r="Z22" s="194">
        <f>RIGHT(H22,LEN(H22)-4)/10000</f>
        <v>1.47E-2</v>
      </c>
      <c r="AA22" s="194">
        <f>ABS(Z22-Y22)</f>
        <v>23.285799999999998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s3://rtdc.mdm.uploadarchive.raw/RTDC4027/ "%USERPROFILE%\AppData\Local\Temp\OnboardLogs"\RTDC4027\2017-09-12 --exclude "*" --recursive --include "*20170912*" &amp; "%USERPROFILE%\Documents\GitHub\mrs-test-scripts\Headless Mode &amp; Sideloading\WalkAndUnGZ.bat" "%USERPROFILE%\AppData\Local\Temp\OnboardLogs"\RTDC4027\2017-09-12 &amp; 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/stypes="app*4027*20170912*" /stext=" 12:.+((SYSTEM_STATE.+slice.+state.+changed )|(ment ac)|(multiple cpu faults)|(system.+state.+changed )|(\[timeout)|(PRM\|1\|D)|(kpr)|(kdp)|(train st.+moving)|(\|lc)|(penalty))"</v>
      </c>
      <c r="AG22" s="206" t="str">
        <f>DetSubdiv(A22)</f>
        <v>EC</v>
      </c>
      <c r="AH22" s="78" t="str">
        <f t="shared" si="4"/>
        <v>"%USERPROFILE%\Documents\GitHub\eaglep3\Utilities\RefineRTDCRunTimes.py" --tripid 110-12 --locoid 4027 --swversion DE.1.0.9.0 --startMP 204:233005 --initTime 2017-09-12T05:38:57 --startdatetime 2017-09-12T05:42:16 --delay 52 --endMP 204:147 --enddatetime 2017-09-12T06:19:10 --enforcementcount 0 &gt;&gt;C:\Users\stu\Documents\GitHub\eaglep3-reporting\EC\2017-09-12-refined-times.txt</v>
      </c>
      <c r="AI22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{"issue":{"subject":"","project_id":79,"tracker_id":40,"status_id":1,"priority_id":2,"assigned_to_id":338,"start_date":"2017-09-12","description":"","custom_fields":[{"id":1,"name":"Subdivision","value":"EC"},{"id":4,"name":"Milepost","value":"0.0147"},{"id":17,"name":"Train ID","value":"110-12"},{"id":16,"name":"Locomotive ID","value":"4027"},{"id":130,"name":"Impact","value":""},{"id":150,"name":"Time of Event (Mountain Time)","value":"06:19:10"},{"id":151,"name":"Denver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4027 --day 2017-09-12</v>
      </c>
      <c r="AN22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629</v>
      </c>
      <c r="B23" s="7">
        <v>4062</v>
      </c>
      <c r="C23" s="21" t="s">
        <v>197</v>
      </c>
      <c r="D23" s="21" t="s">
        <v>445</v>
      </c>
      <c r="E23" s="13">
        <v>42990.203252314815</v>
      </c>
      <c r="F23" s="13">
        <v>42990.208518518521</v>
      </c>
      <c r="G23" s="7">
        <v>82</v>
      </c>
      <c r="H23" s="21" t="s">
        <v>463</v>
      </c>
      <c r="I23" s="13">
        <v>42990.234560185185</v>
      </c>
      <c r="J23" s="7">
        <v>0</v>
      </c>
      <c r="K23" s="89" t="str">
        <f>IF(ISEVEN(B23),(B23-1)&amp;"/"&amp;B23,B23&amp;"/"&amp;(B23+1))</f>
        <v>4061/4062</v>
      </c>
      <c r="L23" s="214" t="str">
        <f>VLOOKUP(A23,'Trips&amp;Operators'!$C$1:$G$99911,5,FALSE)</f>
        <v>ACKERMAN JARED</v>
      </c>
      <c r="M23" s="6">
        <f>I23-F23</f>
        <v>2.6041666664241347E-2</v>
      </c>
      <c r="N23" s="7">
        <f>24*60*SUM($M23:$M23)</f>
        <v>37.49999999650754</v>
      </c>
      <c r="O23" s="7"/>
      <c r="P23" s="7"/>
      <c r="Q23" s="22"/>
      <c r="R23" s="167"/>
      <c r="S23" s="210">
        <f>1/IF(AG23="EC",12,1)*SUM(U23:U23)</f>
        <v>1</v>
      </c>
      <c r="T23" s="192" t="str">
        <f>IF(ISEVEN(LEFT(AD23,4)),"Southbound","NorthBound")</f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-09-12T03:52:41-0600',mode:absolute,to:'2017-09-12T06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" s="194" t="str">
        <f>IF(AA23&lt;VLOOKUP(AG23,Variables!$AC$3:$AD$8,2,FALSE),"Y","N")</f>
        <v>N</v>
      </c>
      <c r="X23" s="194">
        <f>VALUE(LEFT(AD23,4))-VALUE(LEFT(AD22,4))</f>
        <v>1</v>
      </c>
      <c r="Y23" s="194">
        <f>RIGHT(D23,LEN(D23)-4)/10000</f>
        <v>4.6199999999999998E-2</v>
      </c>
      <c r="Z23" s="194">
        <f>RIGHT(H23,LEN(H23)-4)/10000</f>
        <v>23.328900000000001</v>
      </c>
      <c r="AA23" s="194">
        <f>ABS(Z23-Y23)</f>
        <v>23.282700000000002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/stypes="app*4062*20170912*" /stext=" 11:.+((SYSTEM_STATE.+slice.+state.+changed )|(ment ac)|(multiple cpu faults)|(system.+state.+changed )|(\[timeout)|(PRM\|1\|D)|(kpr)|(kdp)|(train st.+moving)|(\|lc)|(penalty))"</v>
      </c>
      <c r="AG23" s="206" t="str">
        <f>DetSubdiv(A23)</f>
        <v>EC</v>
      </c>
      <c r="AH23" s="78" t="str">
        <f t="shared" si="4"/>
        <v>"%USERPROFILE%\Documents\GitHub\eaglep3\Utilities\RefineRTDCRunTimes.py" --tripid 111-12 --locoid 4062 --swversion DE.1.0.9.0 --startMP 204:462 --initTime 2017-09-12T04:52:41 --startdatetime 2017-09-12T05:00:16 --delay 82 --endMP 204:233289 --enddatetime 2017-09-12T05:37:46 --enforcementcount 0 &gt;&gt;C:\Users\stu\Documents\GitHub\eaglep3-reporting\EC\2017-09-12-refined-times.txt</v>
      </c>
      <c r="AI23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{"issue":{"subject":"","project_id":79,"tracker_id":40,"status_id":1,"priority_id":2,"assigned_to_id":338,"start_date":"2017-09-12","description":"","custom_fields":[{"id":1,"name":"Subdivision","value":"EC"},{"id":4,"name":"Milepost","value":"23.3289"},{"id":17,"name":"Train ID","value":"111-12"},{"id":16,"name":"Locomotive ID","value":"4062"},{"id":130,"name":"Impact","value":""},{"id":150,"name":"Time of Event (Mountain Time)","value":"05:37:46"},{"id":151,"name":"Denver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4062 --day 2017-09-12</v>
      </c>
      <c r="AN23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646</v>
      </c>
      <c r="B24" s="7">
        <v>4061</v>
      </c>
      <c r="C24" s="21" t="s">
        <v>197</v>
      </c>
      <c r="D24" s="21" t="s">
        <v>829</v>
      </c>
      <c r="E24" s="13">
        <v>42990.240428240744</v>
      </c>
      <c r="F24" s="13">
        <v>42990.248101851852</v>
      </c>
      <c r="G24" s="7">
        <v>185</v>
      </c>
      <c r="H24" s="21" t="s">
        <v>410</v>
      </c>
      <c r="I24" s="13">
        <v>42990.275682870371</v>
      </c>
      <c r="J24" s="7">
        <v>0</v>
      </c>
      <c r="K24" s="89" t="str">
        <f>IF(ISEVEN(B24),(B24-1)&amp;"/"&amp;B24,B24&amp;"/"&amp;(B24+1))</f>
        <v>4061/4062</v>
      </c>
      <c r="L24" s="214" t="str">
        <f>VLOOKUP(A24,'Trips&amp;Operators'!$C$1:$G$99911,5,FALSE)</f>
        <v>ACKERMAN JARED</v>
      </c>
      <c r="M24" s="6">
        <f>I24-F24</f>
        <v>2.7581018519413192E-2</v>
      </c>
      <c r="N24" s="7">
        <f>24*60*SUM($M24:$M24)</f>
        <v>39.716666667954996</v>
      </c>
      <c r="O24" s="7"/>
      <c r="P24" s="7"/>
      <c r="Q24" s="22"/>
      <c r="R24" s="167"/>
      <c r="S24" s="210">
        <f>1/IF(AG24="EC",12,1)*SUM(U24:U24)</f>
        <v>1</v>
      </c>
      <c r="T24" s="192" t="str">
        <f>IF(ISEVEN(LEFT(AD24,4)),"Southbound","NorthBound")</f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-09-12T04:46:13-0600',mode:absolute,to:'2017-09-12T07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" s="194" t="str">
        <f>IF(AA24&lt;VLOOKUP(AG24,Variables!$AC$3:$AD$8,2,FALSE),"Y","N")</f>
        <v>N</v>
      </c>
      <c r="X24" s="194">
        <f>VALUE(LEFT(AD24,4))-VALUE(LEFT(AD23,4))</f>
        <v>1</v>
      </c>
      <c r="Y24" s="194">
        <f>RIGHT(D24,LEN(D24)-4)/10000</f>
        <v>23.3004</v>
      </c>
      <c r="Z24" s="194">
        <f>RIGHT(H24,LEN(H24)-4)/10000</f>
        <v>1.3899999999999999E-2</v>
      </c>
      <c r="AA24" s="194">
        <f>ABS(Z24-Y24)</f>
        <v>23.2865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/stypes="app*4061*20170912*" /stext=" 12:.+((SYSTEM_STATE.+slice.+state.+changed )|(ment ac)|(multiple cpu faults)|(system.+state.+changed )|(\[timeout)|(PRM\|1\|D)|(kpr)|(kdp)|(train st.+moving)|(\|lc)|(penalty))"</v>
      </c>
      <c r="AG24" s="206" t="str">
        <f>DetSubdiv(A24)</f>
        <v>EC</v>
      </c>
      <c r="AH24" s="78" t="str">
        <f t="shared" si="4"/>
        <v>"%USERPROFILE%\Documents\GitHub\eaglep3\Utilities\RefineRTDCRunTimes.py" --tripid 112-12 --locoid 4061 --swversion DE.1.0.9.0 --startMP 204:233004 --initTime 2017-09-12T05:46:13 --startdatetime 2017-09-12T05:57:16 --delay 185 --endMP 204:139 --enddatetime 2017-09-12T06:36:59 --enforcementcount 0 &gt;&gt;C:\Users\stu\Documents\GitHub\eaglep3-reporting\EC\2017-09-12-refined-times.txt</v>
      </c>
      <c r="AI24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{"issue":{"subject":"","project_id":79,"tracker_id":40,"status_id":1,"priority_id":2,"assigned_to_id":338,"start_date":"2017-09-12","description":"","custom_fields":[{"id":1,"name":"Subdivision","value":"EC"},{"id":4,"name":"Milepost","value":"0.0139"},{"id":17,"name":"Train ID","value":"112-12"},{"id":16,"name":"Locomotive ID","value":"4061"},{"id":130,"name":"Impact","value":""},{"id":150,"name":"Time of Event (Mountain Time)","value":"06:36:59"},{"id":151,"name":"Denver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4061 --day 2017-09-12</v>
      </c>
      <c r="AN24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636</v>
      </c>
      <c r="B25" s="7">
        <v>4012</v>
      </c>
      <c r="C25" s="21" t="s">
        <v>197</v>
      </c>
      <c r="D25" s="21" t="s">
        <v>445</v>
      </c>
      <c r="E25" s="13">
        <v>42990.214907407404</v>
      </c>
      <c r="F25" s="13">
        <v>42990.218912037039</v>
      </c>
      <c r="G25" s="7">
        <v>93</v>
      </c>
      <c r="H25" s="21" t="s">
        <v>528</v>
      </c>
      <c r="I25" s="13">
        <v>42990.244074074071</v>
      </c>
      <c r="J25" s="7">
        <v>0</v>
      </c>
      <c r="K25" s="89" t="str">
        <f>IF(ISEVEN(B25),(B25-1)&amp;"/"&amp;B25,B25&amp;"/"&amp;(B25+1))</f>
        <v>4011/4012</v>
      </c>
      <c r="L25" s="214" t="str">
        <f>VLOOKUP(A25,'Trips&amp;Operators'!$C$1:$G$99911,5,FALSE)</f>
        <v>YANAI IAN</v>
      </c>
      <c r="M25" s="6">
        <f>I25-F25</f>
        <v>2.5162037032714579E-2</v>
      </c>
      <c r="N25" s="7">
        <f>24*60*SUM($M25:$M25)</f>
        <v>36.233333327108994</v>
      </c>
      <c r="O25" s="7"/>
      <c r="P25" s="7"/>
      <c r="Q25" s="22"/>
      <c r="R25" s="167"/>
      <c r="S25" s="210">
        <f>1/IF(AG25="EC",12,1)*SUM(U25:U25)</f>
        <v>1</v>
      </c>
      <c r="T25" s="192" t="str">
        <f>IF(ISEVEN(LEFT(AD25,4)),"Southbound","NorthBound")</f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-09-12T04:09:28-0600',mode:absolute,to:'2017-09-12T06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194" t="str">
        <f>IF(AA25&lt;VLOOKUP(AG25,Variables!$AC$3:$AD$8,2,FALSE),"Y","N")</f>
        <v>N</v>
      </c>
      <c r="X25" s="194">
        <f>VALUE(LEFT(AD25,4))-VALUE(LEFT(AD24,4))</f>
        <v>1</v>
      </c>
      <c r="Y25" s="194">
        <f>RIGHT(D25,LEN(D25)-4)/10000</f>
        <v>4.6199999999999998E-2</v>
      </c>
      <c r="Z25" s="194">
        <f>RIGHT(H25,LEN(H25)-4)/10000</f>
        <v>23.3307</v>
      </c>
      <c r="AA25" s="194">
        <f>ABS(Z25-Y25)</f>
        <v>23.284500000000001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/stypes="app*4012*20170912*" /stext=" 11:.+((SYSTEM_STATE.+slice.+state.+changed )|(ment ac)|(multiple cpu faults)|(system.+state.+changed )|(\[timeout)|(PRM\|1\|D)|(kpr)|(kdp)|(train st.+moving)|(\|lc)|(penalty))"</v>
      </c>
      <c r="AG25" s="206" t="str">
        <f>DetSubdiv(A25)</f>
        <v>EC</v>
      </c>
      <c r="AH25" s="78" t="str">
        <f t="shared" si="4"/>
        <v>"%USERPROFILE%\Documents\GitHub\eaglep3\Utilities\RefineRTDCRunTimes.py" --tripid 113-12 --locoid 4012 --swversion DE.1.0.9.0 --startMP 204:462 --initTime 2017-09-12T05:09:28 --startdatetime 2017-09-12T05:15:14 --delay 93 --endMP 204:233307 --enddatetime 2017-09-12T05:51:28 --enforcementcount 0 &gt;&gt;C:\Users\stu\Documents\GitHub\eaglep3-reporting\EC\2017-09-12-refined-times.txt</v>
      </c>
      <c r="AI2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{"issue":{"subject":"","project_id":79,"tracker_id":40,"status_id":1,"priority_id":2,"assigned_to_id":338,"start_date":"2017-09-12","description":"","custom_fields":[{"id":1,"name":"Subdivision","value":"EC"},{"id":4,"name":"Milepost","value":"23.3307"},{"id":17,"name":"Train ID","value":"113-12"},{"id":16,"name":"Locomotive ID","value":"4012"},{"id":130,"name":"Impact","value":""},{"id":150,"name":"Time of Event (Mountain Time)","value":"05:51:28"},{"id":151,"name":"Denver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4012 --day 2017-09-12</v>
      </c>
      <c r="AN2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647</v>
      </c>
      <c r="B26" s="7">
        <v>4011</v>
      </c>
      <c r="C26" s="21" t="s">
        <v>197</v>
      </c>
      <c r="D26" s="21" t="s">
        <v>831</v>
      </c>
      <c r="E26" s="13">
        <v>42990.245509259257</v>
      </c>
      <c r="F26" s="13">
        <v>42990.25849537037</v>
      </c>
      <c r="G26" s="7">
        <v>51</v>
      </c>
      <c r="H26" s="21" t="s">
        <v>342</v>
      </c>
      <c r="I26" s="13">
        <v>42990.284629629627</v>
      </c>
      <c r="J26" s="7">
        <v>0</v>
      </c>
      <c r="K26" s="89" t="str">
        <f>IF(ISEVEN(B26),(B26-1)&amp;"/"&amp;B26,B26&amp;"/"&amp;(B26+1))</f>
        <v>4011/4012</v>
      </c>
      <c r="L26" s="214" t="str">
        <f>VLOOKUP(A26,'Trips&amp;Operators'!$C$1:$G$99911,5,FALSE)</f>
        <v>YANAI IAN</v>
      </c>
      <c r="M26" s="6">
        <f>I26-F26</f>
        <v>2.6134259256650694E-2</v>
      </c>
      <c r="N26" s="7">
        <f>24*60*SUM($M26:$M26)</f>
        <v>37.633333329576999</v>
      </c>
      <c r="O26" s="7"/>
      <c r="P26" s="7"/>
      <c r="Q26" s="22"/>
      <c r="R26" s="167"/>
      <c r="S26" s="210">
        <f>1/IF(AG26="EC",12,1)*SUM(U26:U26)</f>
        <v>1</v>
      </c>
      <c r="T26" s="192" t="str">
        <f>IF(ISEVEN(LEFT(AD26,4)),"Southbound","NorthBound")</f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-09-12T04:53:32-0600',mode:absolute,to:'2017-09-12T07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94" t="str">
        <f>IF(AA26&lt;VLOOKUP(AG26,Variables!$AC$3:$AD$8,2,FALSE),"Y","N")</f>
        <v>N</v>
      </c>
      <c r="X26" s="194">
        <f>VALUE(LEFT(AD26,4))-VALUE(LEFT(AD25,4))</f>
        <v>1</v>
      </c>
      <c r="Y26" s="194">
        <f>RIGHT(D26,LEN(D26)-4)/10000</f>
        <v>23.296099999999999</v>
      </c>
      <c r="Z26" s="194">
        <f>RIGHT(H26,LEN(H26)-4)/10000</f>
        <v>1.41E-2</v>
      </c>
      <c r="AA26" s="194">
        <f>ABS(Z26-Y26)</f>
        <v>23.282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/stypes="app*4011*20170912*" /stext=" 12:.+((SYSTEM_STATE.+slice.+state.+changed )|(ment ac)|(multiple cpu faults)|(system.+state.+changed )|(\[timeout)|(PRM\|1\|D)|(kpr)|(kdp)|(train st.+moving)|(\|lc)|(penalty))"</v>
      </c>
      <c r="AG26" s="206" t="str">
        <f>DetSubdiv(A26)</f>
        <v>EC</v>
      </c>
      <c r="AH26" s="78" t="str">
        <f t="shared" si="4"/>
        <v>"%USERPROFILE%\Documents\GitHub\eaglep3\Utilities\RefineRTDCRunTimes.py" --tripid 114-12 --locoid 4011 --swversion DE.1.0.9.0 --startMP 204:232961 --initTime 2017-09-12T05:53:32 --startdatetime 2017-09-12T06:12:14 --delay 51 --endMP 204:141 --enddatetime 2017-09-12T06:49:52 --enforcementcount 0 &gt;&gt;C:\Users\stu\Documents\GitHub\eaglep3-reporting\EC\2017-09-12-refined-times.txt</v>
      </c>
      <c r="AI2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{"issue":{"subject":"","project_id":79,"tracker_id":40,"status_id":1,"priority_id":2,"assigned_to_id":338,"start_date":"2017-09-12","description":"","custom_fields":[{"id":1,"name":"Subdivision","value":"EC"},{"id":4,"name":"Milepost","value":"0.0141"},{"id":17,"name":"Train ID","value":"114-12"},{"id":16,"name":"Locomotive ID","value":"4011"},{"id":130,"name":"Impact","value":""},{"id":150,"name":"Time of Event (Mountain Time)","value":"06:49:52"},{"id":151,"name":"Denver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4011 --day 2017-09-12</v>
      </c>
      <c r="AN2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638</v>
      </c>
      <c r="B27" s="7">
        <v>4002</v>
      </c>
      <c r="C27" s="21" t="s">
        <v>197</v>
      </c>
      <c r="D27" s="21" t="s">
        <v>449</v>
      </c>
      <c r="E27" s="13">
        <v>42990.226145833331</v>
      </c>
      <c r="F27" s="13">
        <v>42990.22934027778</v>
      </c>
      <c r="G27" s="7">
        <v>53</v>
      </c>
      <c r="H27" s="21" t="s">
        <v>491</v>
      </c>
      <c r="I27" s="13">
        <v>42990.254560185182</v>
      </c>
      <c r="J27" s="7">
        <v>0</v>
      </c>
      <c r="K27" s="89" t="str">
        <f>IF(ISEVEN(B27),(B27-1)&amp;"/"&amp;B27,B27&amp;"/"&amp;(B27+1))</f>
        <v>4001/4002</v>
      </c>
      <c r="L27" s="214" t="str">
        <f>VLOOKUP(A27,'Trips&amp;Operators'!$C$1:$G$99911,5,FALSE)</f>
        <v>BONDS REYNALDO</v>
      </c>
      <c r="M27" s="6">
        <f>I27-F27</f>
        <v>2.5219907402060926E-2</v>
      </c>
      <c r="N27" s="7">
        <f>24*60*SUM($M27:$M27)</f>
        <v>36.316666658967733</v>
      </c>
      <c r="O27" s="7"/>
      <c r="P27" s="7"/>
      <c r="Q27" s="22"/>
      <c r="R27" s="167"/>
      <c r="S27" s="210">
        <f>1/IF(AG27="EC",12,1)*SUM(U27:U27)</f>
        <v>1</v>
      </c>
      <c r="T27" s="192" t="str">
        <f>IF(ISEVEN(LEFT(AD27,4)),"Southbound","NorthBound")</f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-09-12T04:25:39-0600',mode:absolute,to:'2017-09-12T07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94" t="str">
        <f>IF(AA27&lt;VLOOKUP(AG27,Variables!$AC$3:$AD$8,2,FALSE),"Y","N")</f>
        <v>N</v>
      </c>
      <c r="X27" s="194">
        <f>VALUE(LEFT(AD27,4))-VALUE(LEFT(AD26,4))</f>
        <v>1</v>
      </c>
      <c r="Y27" s="194">
        <f>RIGHT(D27,LEN(D27)-4)/10000</f>
        <v>4.5100000000000001E-2</v>
      </c>
      <c r="Z27" s="194">
        <f>RIGHT(H27,LEN(H27)-4)/10000</f>
        <v>23.3308</v>
      </c>
      <c r="AA27" s="194">
        <f>ABS(Z27-Y27)</f>
        <v>23.285699999999999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/stypes="app*4002*20170912*" /stext=" 12:.+((SYSTEM_STATE.+slice.+state.+changed )|(ment ac)|(multiple cpu faults)|(system.+state.+changed )|(\[timeout)|(PRM\|1\|D)|(kpr)|(kdp)|(train st.+moving)|(\|lc)|(penalty))"</v>
      </c>
      <c r="AG27" s="206" t="str">
        <f>DetSubdiv(A27)</f>
        <v>EC</v>
      </c>
      <c r="AH27" s="78" t="str">
        <f t="shared" si="4"/>
        <v>"%USERPROFILE%\Documents\GitHub\eaglep3\Utilities\RefineRTDCRunTimes.py" --tripid 115-12 --locoid 4002 --swversion DE.1.0.9.0 --startMP 204:451 --initTime 2017-09-12T05:25:39 --startdatetime 2017-09-12T05:30:15 --delay 53 --endMP 204:233308 --enddatetime 2017-09-12T06:06:34 --enforcementcount 0 &gt;&gt;C:\Users\stu\Documents\GitHub\eaglep3-reporting\EC\2017-09-12-refined-times.txt</v>
      </c>
      <c r="AI2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{"issue":{"subject":"","project_id":79,"tracker_id":40,"status_id":1,"priority_id":2,"assigned_to_id":338,"start_date":"2017-09-12","description":"","custom_fields":[{"id":1,"name":"Subdivision","value":"EC"},{"id":4,"name":"Milepost","value":"23.3308"},{"id":17,"name":"Train ID","value":"115-12"},{"id":16,"name":"Locomotive ID","value":"4002"},{"id":130,"name":"Impact","value":""},{"id":150,"name":"Time of Event (Mountain Time)","value":"06:06:34"},{"id":151,"name":"Denver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4002 --day 2017-09-12</v>
      </c>
      <c r="AN2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652</v>
      </c>
      <c r="B28" s="7">
        <v>4001</v>
      </c>
      <c r="C28" s="21" t="s">
        <v>197</v>
      </c>
      <c r="D28" s="21" t="s">
        <v>539</v>
      </c>
      <c r="E28" s="13">
        <v>42990.266145833331</v>
      </c>
      <c r="F28" s="13">
        <v>42990.268946759257</v>
      </c>
      <c r="G28" s="7">
        <v>56</v>
      </c>
      <c r="H28" s="21" t="s">
        <v>367</v>
      </c>
      <c r="I28" s="13">
        <v>42990.295474537037</v>
      </c>
      <c r="J28" s="7">
        <v>0</v>
      </c>
      <c r="K28" s="89" t="str">
        <f>IF(ISEVEN(B28),(B28-1)&amp;"/"&amp;B28,B28&amp;"/"&amp;(B28+1))</f>
        <v>4001/4002</v>
      </c>
      <c r="L28" s="214" t="str">
        <f>VLOOKUP(A28,'Trips&amp;Operators'!$C$1:$G$99911,5,FALSE)</f>
        <v>BONDS REYNALDO</v>
      </c>
      <c r="M28" s="6">
        <f>I28-F28</f>
        <v>2.6527777779847383E-2</v>
      </c>
      <c r="N28" s="7">
        <f>24*60*SUM($M28:$M28)</f>
        <v>38.200000002980232</v>
      </c>
      <c r="O28" s="7"/>
      <c r="P28" s="7"/>
      <c r="Q28" s="22"/>
      <c r="R28" s="167"/>
      <c r="S28" s="210">
        <f>1/IF(AG28="EC",12,1)*SUM(U28:U28)</f>
        <v>1</v>
      </c>
      <c r="T28" s="192" t="str">
        <f>IF(ISEVEN(LEFT(AD28,4)),"Southbound","NorthBound")</f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-09-12T05:23:15-0600',mode:absolute,to:'2017-09-12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94" t="str">
        <f>IF(AA28&lt;VLOOKUP(AG28,Variables!$AC$3:$AD$8,2,FALSE),"Y","N")</f>
        <v>N</v>
      </c>
      <c r="X28" s="194">
        <f>VALUE(LEFT(AD28,4))-VALUE(LEFT(AD27,4))</f>
        <v>1</v>
      </c>
      <c r="Y28" s="194">
        <f>RIGHT(D28,LEN(D28)-4)/10000</f>
        <v>23.299299999999999</v>
      </c>
      <c r="Z28" s="194">
        <f>RIGHT(H28,LEN(H28)-4)/10000</f>
        <v>1.4500000000000001E-2</v>
      </c>
      <c r="AA28" s="194">
        <f>ABS(Z28-Y28)</f>
        <v>23.284799999999997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/stypes="app*4001*20170912*" /stext=" 13:.+((SYSTEM_STATE.+slice.+state.+changed )|(ment ac)|(multiple cpu faults)|(system.+state.+changed )|(\[timeout)|(PRM\|1\|D)|(kpr)|(kdp)|(train st.+moving)|(\|lc)|(penalty))"</v>
      </c>
      <c r="AG28" s="206" t="str">
        <f>DetSubdiv(A28)</f>
        <v>EC</v>
      </c>
      <c r="AH28" s="78" t="str">
        <f t="shared" si="4"/>
        <v>"%USERPROFILE%\Documents\GitHub\eaglep3\Utilities\RefineRTDCRunTimes.py" --tripid 116-12 --locoid 4001 --swversion DE.1.0.9.0 --startMP 204:232993 --initTime 2017-09-12T06:23:15 --startdatetime 2017-09-12T06:27:17 --delay 56 --endMP 204:145 --enddatetime 2017-09-12T07:05:29 --enforcementcount 0 &gt;&gt;C:\Users\stu\Documents\GitHub\eaglep3-reporting\EC\2017-09-12-refined-times.txt</v>
      </c>
      <c r="AI28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ID","value":"116-12"},{"id":16,"name":"Locomotive ID","value":"4001"},{"id":130,"name":"Impact","value":""},{"id":150,"name":"Time of Event (Mountain Time)","value":"07:05:29"},{"id":151,"name":"Denver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4001 --day 2017-09-12</v>
      </c>
      <c r="AN28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641</v>
      </c>
      <c r="B29" s="7">
        <v>4034</v>
      </c>
      <c r="C29" s="21" t="s">
        <v>197</v>
      </c>
      <c r="D29" s="21" t="s">
        <v>337</v>
      </c>
      <c r="E29" s="13">
        <v>42990.234131944446</v>
      </c>
      <c r="F29" s="13">
        <v>42990.239942129629</v>
      </c>
      <c r="G29" s="7">
        <v>140</v>
      </c>
      <c r="H29" s="21" t="s">
        <v>534</v>
      </c>
      <c r="I29" s="13">
        <v>42990.265659722223</v>
      </c>
      <c r="J29" s="7">
        <v>0</v>
      </c>
      <c r="K29" s="89" t="str">
        <f>IF(ISEVEN(B29),(B29-1)&amp;"/"&amp;B29,B29&amp;"/"&amp;(B29+1))</f>
        <v>4033/4034</v>
      </c>
      <c r="L29" s="214" t="str">
        <f>VLOOKUP(A29,'Trips&amp;Operators'!$C$1:$G$99911,5,FALSE)</f>
        <v>MACDONALD THOMAS</v>
      </c>
      <c r="M29" s="6">
        <f>I29-F29</f>
        <v>2.5717592594446614E-2</v>
      </c>
      <c r="N29" s="7">
        <f>24*60*SUM($M29:$M29)</f>
        <v>37.033333336003125</v>
      </c>
      <c r="O29" s="7"/>
      <c r="P29" s="7"/>
      <c r="Q29" s="22"/>
      <c r="R29" s="167"/>
      <c r="S29" s="210">
        <f>1/IF(AG29="EC",12,1)*SUM(U29:U29)</f>
        <v>1</v>
      </c>
      <c r="T29" s="192" t="str">
        <f>IF(ISEVEN(LEFT(AD29,4)),"Southbound","NorthBound")</f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-09-12T04:37:09-0600',mode:absolute,to:'2017-09-12T07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9" s="194" t="str">
        <f>IF(AA29&lt;VLOOKUP(AG29,Variables!$AC$3:$AD$8,2,FALSE),"Y","N")</f>
        <v>N</v>
      </c>
      <c r="X29" s="194">
        <f>VALUE(LEFT(AD29,4))-VALUE(LEFT(AD28,4))</f>
        <v>1</v>
      </c>
      <c r="Y29" s="194">
        <f>RIGHT(D29,LEN(D29)-4)/10000</f>
        <v>4.4600000000000001E-2</v>
      </c>
      <c r="Z29" s="194">
        <f>RIGHT(H29,LEN(H29)-4)/10000</f>
        <v>23.330100000000002</v>
      </c>
      <c r="AA29" s="194">
        <f>ABS(Z29-Y29)</f>
        <v>23.285500000000003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/stypes="app*4034*20170912*" /stext=" 12:.+((SYSTEM_STATE.+slice.+state.+changed )|(ment ac)|(multiple cpu faults)|(system.+state.+changed )|(\[timeout)|(PRM\|1\|D)|(kpr)|(kdp)|(train st.+moving)|(\|lc)|(penalty))"</v>
      </c>
      <c r="AG29" s="206" t="str">
        <f>DetSubdiv(A29)</f>
        <v>EC</v>
      </c>
      <c r="AH29" s="78" t="str">
        <f t="shared" si="4"/>
        <v>"%USERPROFILE%\Documents\GitHub\eaglep3\Utilities\RefineRTDCRunTimes.py" --tripid 117-12 --locoid 4034 --swversion DE.1.0.9.0 --startMP 204:446 --initTime 2017-09-12T05:37:09 --startdatetime 2017-09-12T05:45:31 --delay 140 --endMP 204:233301 --enddatetime 2017-09-12T06:22:33 --enforcementcount 0 &gt;&gt;C:\Users\stu\Documents\GitHub\eaglep3-reporting\EC\2017-09-12-refined-times.txt</v>
      </c>
      <c r="AI29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{"issue":{"subject":"","project_id":79,"tracker_id":40,"status_id":1,"priority_id":2,"assigned_to_id":338,"start_date":"2017-09-12","description":"","custom_fields":[{"id":1,"name":"Subdivision","value":"EC"},{"id":4,"name":"Milepost","value":"23.3301"},{"id":17,"name":"Train ID","value":"117-12"},{"id":16,"name":"Locomotive ID","value":"4034"},{"id":130,"name":"Impact","value":""},{"id":150,"name":"Time of Event (Mountain Time)","value":"06:22:33"},{"id":151,"name":"Denver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4034 --day 2017-09-12</v>
      </c>
      <c r="AN29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580</v>
      </c>
      <c r="B30" s="7">
        <v>4033</v>
      </c>
      <c r="C30" s="21" t="s">
        <v>197</v>
      </c>
      <c r="D30" s="21" t="s">
        <v>538</v>
      </c>
      <c r="E30" s="13">
        <v>42990.278240740743</v>
      </c>
      <c r="F30" s="13">
        <v>42990.279606481483</v>
      </c>
      <c r="G30" s="7">
        <v>66</v>
      </c>
      <c r="H30" s="21" t="s">
        <v>360</v>
      </c>
      <c r="I30" s="13">
        <v>42990.306423611109</v>
      </c>
      <c r="J30" s="7">
        <v>0</v>
      </c>
      <c r="K30" s="89" t="str">
        <f>IF(ISEVEN(B30),(B30-1)&amp;"/"&amp;B30,B30&amp;"/"&amp;(B30+1))</f>
        <v>4033/4034</v>
      </c>
      <c r="L30" s="214" t="str">
        <f>VLOOKUP(A30,'Trips&amp;Operators'!$C$1:$G$99911,5,FALSE)</f>
        <v>MACDONALD THOMAS</v>
      </c>
      <c r="M30" s="6">
        <f>I30-F30</f>
        <v>2.6817129626579117E-2</v>
      </c>
      <c r="N30" s="7">
        <f>24*60*SUM($M30:$M30)</f>
        <v>38.616666662273929</v>
      </c>
      <c r="O30" s="7"/>
      <c r="P30" s="7"/>
      <c r="Q30" s="22"/>
      <c r="R30" s="167"/>
      <c r="S30" s="210">
        <f>1/IF(AG30="EC",12,1)*SUM(U30:U30)</f>
        <v>1</v>
      </c>
      <c r="T30" s="192" t="str">
        <f>IF(ISEVEN(LEFT(AD30,4)),"Southbound","NorthBound")</f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-12T05:40:40-0600',mode:absolute,to:'2017-09-12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0" s="194" t="str">
        <f>IF(AA30&lt;VLOOKUP(AG30,Variables!$AC$3:$AD$8,2,FALSE),"Y","N")</f>
        <v>N</v>
      </c>
      <c r="X30" s="194">
        <f>VALUE(LEFT(AD30,4))-VALUE(LEFT(AD29,4))</f>
        <v>1</v>
      </c>
      <c r="Y30" s="194">
        <f>RIGHT(D30,LEN(D30)-4)/10000</f>
        <v>23.2973</v>
      </c>
      <c r="Z30" s="194">
        <f>RIGHT(H30,LEN(H30)-4)/10000</f>
        <v>1.52E-2</v>
      </c>
      <c r="AA30" s="194">
        <f>ABS(Z30-Y30)</f>
        <v>23.2821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/stypes="app*4033*20170912*" /stext=" 13:.+((SYSTEM_STATE.+slice.+state.+changed )|(ment ac)|(multiple cpu faults)|(system.+state.+changed )|(\[timeout)|(PRM\|1\|D)|(kpr)|(kdp)|(train st.+moving)|(\|lc)|(penalty))"</v>
      </c>
      <c r="AG30" s="206" t="str">
        <f>DetSubdiv(A30)</f>
        <v>EC</v>
      </c>
      <c r="AH30" s="78" t="str">
        <f t="shared" si="4"/>
        <v>"%USERPROFILE%\Documents\GitHub\eaglep3\Utilities\RefineRTDCRunTimes.py" --tripid 118-12 --locoid 4033 --swversion DE.1.0.9.0 --startMP 204:232973 --initTime 2017-09-12T06:40:40 --startdatetime 2017-09-12T06:42:38 --delay 66 --endMP 204:152 --enddatetime 2017-09-12T07:21:15 --enforcementcount 0 &gt;&gt;C:\Users\stu\Documents\GitHub\eaglep3-reporting\EC\2017-09-12-refined-times.txt</v>
      </c>
      <c r="AI30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{"issue":{"subject":"","project_id":79,"tracker_id":40,"status_id":1,"priority_id":2,"assigned_to_id":338,"start_date":"2017-09-12","description":"","custom_fields":[{"id":1,"name":"Subdivision","value":"EC"},{"id":4,"name":"Milepost","value":"0.0152"},{"id":17,"name":"Train ID","value":"118-12"},{"id":16,"name":"Locomotive ID","value":"4033"},{"id":130,"name":"Impact","value":""},{"id":150,"name":"Time of Event (Mountain Time)","value":"07:21:15"},{"id":151,"name":"Denver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4033 --day 2017-09-12</v>
      </c>
      <c r="AN30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648</v>
      </c>
      <c r="B31" s="7">
        <v>4058</v>
      </c>
      <c r="C31" s="21" t="s">
        <v>197</v>
      </c>
      <c r="D31" s="21" t="s">
        <v>544</v>
      </c>
      <c r="E31" s="13">
        <v>42990.246446759258</v>
      </c>
      <c r="F31" s="13">
        <v>42990.250162037039</v>
      </c>
      <c r="G31" s="7">
        <v>74</v>
      </c>
      <c r="H31" s="21" t="s">
        <v>395</v>
      </c>
      <c r="I31" s="13">
        <v>42990.275983796295</v>
      </c>
      <c r="J31" s="7">
        <v>0</v>
      </c>
      <c r="K31" s="89" t="str">
        <f>IF(ISEVEN(B31),(B31-1)&amp;"/"&amp;B31,B31&amp;"/"&amp;(B31+1))</f>
        <v>4057/4058</v>
      </c>
      <c r="L31" s="214" t="str">
        <f>VLOOKUP(A31,'Trips&amp;Operators'!$C$1:$G$99911,5,FALSE)</f>
        <v>STARKS ANGELINA</v>
      </c>
      <c r="M31" s="6">
        <f>I31-F31</f>
        <v>2.5821759256359655E-2</v>
      </c>
      <c r="N31" s="7">
        <f>24*60*SUM($M31:$M31)</f>
        <v>37.183333329157904</v>
      </c>
      <c r="O31" s="7"/>
      <c r="P31" s="7"/>
      <c r="Q31" s="22"/>
      <c r="R31" s="167"/>
      <c r="S31" s="210">
        <f>1/IF(AG31="EC",12,1)*SUM(U31:U31)</f>
        <v>1</v>
      </c>
      <c r="T31" s="192" t="str">
        <f>IF(ISEVEN(LEFT(AD31,4)),"Southbound","NorthBound")</f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-09-12T04:54:53-0600',mode:absolute,to:'2017-09-12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1" s="194" t="str">
        <f>IF(AA31&lt;VLOOKUP(AG31,Variables!$AC$3:$AD$8,2,FALSE),"Y","N")</f>
        <v>N</v>
      </c>
      <c r="X31" s="194">
        <f>VALUE(LEFT(AD31,4))-VALUE(LEFT(AD30,4))</f>
        <v>1</v>
      </c>
      <c r="Y31" s="194">
        <f>RIGHT(D31,LEN(D31)-4)/10000</f>
        <v>4.6600000000000003E-2</v>
      </c>
      <c r="Z31" s="194">
        <f>RIGHT(H31,LEN(H31)-4)/10000</f>
        <v>23.331399999999999</v>
      </c>
      <c r="AA31" s="194">
        <f>ABS(Z31-Y31)</f>
        <v>23.284799999999997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/stypes="app*4058*20170912*" /stext=" 12:.+((SYSTEM_STATE.+slice.+state.+changed )|(ment ac)|(multiple cpu faults)|(system.+state.+changed )|(\[timeout)|(PRM\|1\|D)|(kpr)|(kdp)|(train st.+moving)|(\|lc)|(penalty))"</v>
      </c>
      <c r="AG31" s="206" t="str">
        <f>DetSubdiv(A31)</f>
        <v>EC</v>
      </c>
      <c r="AH31" s="78" t="str">
        <f t="shared" si="4"/>
        <v>"%USERPROFILE%\Documents\GitHub\eaglep3\Utilities\RefineRTDCRunTimes.py" --tripid 119-12 --locoid 4058 --swversion DE.1.0.9.0 --startMP 204:466 --initTime 2017-09-12T05:54:53 --startdatetime 2017-09-12T06:00:14 --delay 74 --endMP 204:233314 --enddatetime 2017-09-12T06:37:25 --enforcementcount 0 &gt;&gt;C:\Users\stu\Documents\GitHub\eaglep3-reporting\EC\2017-09-12-refined-times.txt</v>
      </c>
      <c r="AI31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{"issue":{"subject":"","project_id":79,"tracker_id":40,"status_id":1,"priority_id":2,"assigned_to_id":338,"start_date":"2017-09-12","description":"","custom_fields":[{"id":1,"name":"Subdivision","value":"EC"},{"id":4,"name":"Milepost","value":"23.3314"},{"id":17,"name":"Train ID","value":"119-12"},{"id":16,"name":"Locomotive ID","value":"4058"},{"id":130,"name":"Impact","value":""},{"id":150,"name":"Time of Event (Mountain Time)","value":"06:37:25"},{"id":151,"name":"Denver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4058 --day 2017-09-12</v>
      </c>
      <c r="AN31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656</v>
      </c>
      <c r="B32" s="7">
        <v>4057</v>
      </c>
      <c r="C32" s="21" t="s">
        <v>197</v>
      </c>
      <c r="D32" s="21" t="s">
        <v>539</v>
      </c>
      <c r="E32" s="13">
        <v>42990.285798611112</v>
      </c>
      <c r="F32" s="13">
        <v>42990.29</v>
      </c>
      <c r="G32" s="7">
        <v>50</v>
      </c>
      <c r="H32" s="21" t="s">
        <v>527</v>
      </c>
      <c r="I32" s="13">
        <v>42990.316828703704</v>
      </c>
      <c r="J32" s="7">
        <v>0</v>
      </c>
      <c r="K32" s="89" t="str">
        <f>IF(ISEVEN(B32),(B32-1)&amp;"/"&amp;B32,B32&amp;"/"&amp;(B32+1))</f>
        <v>4057/4058</v>
      </c>
      <c r="L32" s="214" t="str">
        <f>VLOOKUP(A32,'Trips&amp;Operators'!$C$1:$G$99911,5,FALSE)</f>
        <v>STARKS ANGELINA</v>
      </c>
      <c r="M32" s="6">
        <f>I32-F32</f>
        <v>2.6828703703358769E-2</v>
      </c>
      <c r="N32" s="7">
        <f>24*60*SUM($M32:$M32)</f>
        <v>38.633333332836628</v>
      </c>
      <c r="O32" s="7"/>
      <c r="P32" s="7"/>
      <c r="Q32" s="22"/>
      <c r="R32" s="167"/>
      <c r="S32" s="210">
        <f>1/IF(AG32="EC",12,1)*SUM(U32:U32)</f>
        <v>1</v>
      </c>
      <c r="T32" s="192" t="str">
        <f>IF(ISEVEN(LEFT(AD32,4)),"Southbound","NorthBound")</f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-09-12T05:51:33-0600',mode:absolute,to:'2017-09-12T08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2" s="194" t="str">
        <f>IF(AA32&lt;VLOOKUP(AG32,Variables!$AC$3:$AD$8,2,FALSE),"Y","N")</f>
        <v>N</v>
      </c>
      <c r="X32" s="194">
        <f>VALUE(LEFT(AD32,4))-VALUE(LEFT(AD31,4))</f>
        <v>1</v>
      </c>
      <c r="Y32" s="194">
        <f>RIGHT(D32,LEN(D32)-4)/10000</f>
        <v>23.299299999999999</v>
      </c>
      <c r="Z32" s="194">
        <f>RIGHT(H32,LEN(H32)-4)/10000</f>
        <v>1.54E-2</v>
      </c>
      <c r="AA32" s="194">
        <f>ABS(Z32-Y32)</f>
        <v>23.283899999999999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/stypes="app*4057*20170912*" /stext=" 13:.+((SYSTEM_STATE.+slice.+state.+changed )|(ment ac)|(multiple cpu faults)|(system.+state.+changed )|(\[timeout)|(PRM\|1\|D)|(kpr)|(kdp)|(train st.+moving)|(\|lc)|(penalty))"</v>
      </c>
      <c r="AG32" s="206" t="str">
        <f>DetSubdiv(A32)</f>
        <v>EC</v>
      </c>
      <c r="AH32" s="78" t="str">
        <f t="shared" si="4"/>
        <v>"%USERPROFILE%\Documents\GitHub\eaglep3\Utilities\RefineRTDCRunTimes.py" --tripid 120-12 --locoid 4057 --swversion DE.1.0.9.0 --startMP 204:232993 --initTime 2017-09-12T06:51:33 --startdatetime 2017-09-12T06:57:36 --delay 50 --endMP 204:154 --enddatetime 2017-09-12T07:36:14 --enforcementcount 0 &gt;&gt;C:\Users\stu\Documents\GitHub\eaglep3-reporting\EC\2017-09-12-refined-times.txt</v>
      </c>
      <c r="AI32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ID","value":"120-12"},{"id":16,"name":"Locomotive ID","value":"4057"},{"id":130,"name":"Impact","value":""},{"id":150,"name":"Time of Event (Mountain Time)","value":"07:36:14"},{"id":151,"name":"Denver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4057 --day 2017-09-12</v>
      </c>
      <c r="AN32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650</v>
      </c>
      <c r="B33" s="7">
        <v>4032</v>
      </c>
      <c r="C33" s="21" t="s">
        <v>197</v>
      </c>
      <c r="D33" s="21" t="s">
        <v>362</v>
      </c>
      <c r="E33" s="13">
        <v>42990.254560185182</v>
      </c>
      <c r="F33" s="13">
        <v>42990.260578703703</v>
      </c>
      <c r="G33" s="7">
        <v>58</v>
      </c>
      <c r="H33" s="21" t="s">
        <v>832</v>
      </c>
      <c r="I33" s="13">
        <v>42990.284050925926</v>
      </c>
      <c r="J33" s="7">
        <v>0</v>
      </c>
      <c r="K33" s="89" t="str">
        <f>IF(ISEVEN(B33),(B33-1)&amp;"/"&amp;B33,B33&amp;"/"&amp;(B33+1))</f>
        <v>4031/4032</v>
      </c>
      <c r="L33" s="214" t="str">
        <f>VLOOKUP(A33,'Trips&amp;Operators'!$C$1:$G$99911,5,FALSE)</f>
        <v>BIRENBAUM THOMAS</v>
      </c>
      <c r="M33" s="6">
        <f>I33-F33</f>
        <v>2.3472222223063E-2</v>
      </c>
      <c r="N33" s="7">
        <f>24*60*SUM($M33:$M33)</f>
        <v>33.800000001210719</v>
      </c>
      <c r="O33" s="7"/>
      <c r="P33" s="7"/>
      <c r="Q33" s="22"/>
      <c r="R33" s="167"/>
      <c r="S33" s="210">
        <f>1/IF(AG33="EC",12,1)*SUM(U33:U33)</f>
        <v>1</v>
      </c>
      <c r="T33" s="192" t="str">
        <f>IF(ISEVEN(LEFT(AD33,4)),"Southbound","NorthBound")</f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-09-12T05:06:34-0600',mode:absolute,to:'2017-09-12T07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194" t="str">
        <f>IF(AA33&lt;VLOOKUP(AG33,Variables!$AC$3:$AD$8,2,FALSE),"Y","N")</f>
        <v>N</v>
      </c>
      <c r="X33" s="194">
        <f>VALUE(LEFT(AD33,4))-VALUE(LEFT(AD32,4))</f>
        <v>1</v>
      </c>
      <c r="Y33" s="194">
        <f>RIGHT(D33,LEN(D33)-4)/10000</f>
        <v>4.5699999999999998E-2</v>
      </c>
      <c r="Z33" s="194">
        <f>RIGHT(H33,LEN(H33)-4)/10000</f>
        <v>23.329499999999999</v>
      </c>
      <c r="AA33" s="194">
        <f>ABS(Z33-Y33)</f>
        <v>23.283799999999999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/stypes="app*4032*20170912*" /stext=" 12:.+((SYSTEM_STATE.+slice.+state.+changed )|(ment ac)|(multiple cpu faults)|(system.+state.+changed )|(\[timeout)|(PRM\|1\|D)|(kpr)|(kdp)|(train st.+moving)|(\|lc)|(penalty))"</v>
      </c>
      <c r="AG33" s="206" t="str">
        <f>DetSubdiv(A33)</f>
        <v>EC</v>
      </c>
      <c r="AH33" s="78" t="str">
        <f t="shared" si="4"/>
        <v>"%USERPROFILE%\Documents\GitHub\eaglep3\Utilities\RefineRTDCRunTimes.py" --tripid 121-12 --locoid 4032 --swversion DE.1.0.9.0 --startMP 204:457 --initTime 2017-09-12T06:06:34 --startdatetime 2017-09-12T06:15:14 --delay 58 --endMP 204:233295 --enddatetime 2017-09-12T06:49:02 --enforcementcount 0 &gt;&gt;C:\Users\stu\Documents\GitHub\eaglep3-reporting\EC\2017-09-12-refined-times.txt</v>
      </c>
      <c r="AI33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{"issue":{"subject":"","project_id":79,"tracker_id":40,"status_id":1,"priority_id":2,"assigned_to_id":338,"start_date":"2017-09-12","description":"","custom_fields":[{"id":1,"name":"Subdivision","value":"EC"},{"id":4,"name":"Milepost","value":"23.3295"},{"id":17,"name":"Train ID","value":"121-12"},{"id":16,"name":"Locomotive ID","value":"4032"},{"id":130,"name":"Impact","value":""},{"id":150,"name":"Time of Event (Mountain Time)","value":"06:49:02"},{"id":151,"name":"Denver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4032 --day 2017-09-12</v>
      </c>
      <c r="AN33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660</v>
      </c>
      <c r="B34" s="7">
        <v>4031</v>
      </c>
      <c r="C34" s="21" t="s">
        <v>197</v>
      </c>
      <c r="D34" s="21" t="s">
        <v>833</v>
      </c>
      <c r="E34" s="13">
        <v>42990.295937499999</v>
      </c>
      <c r="F34" s="13">
        <v>42990.300138888888</v>
      </c>
      <c r="G34" s="7">
        <v>62</v>
      </c>
      <c r="H34" s="21" t="s">
        <v>339</v>
      </c>
      <c r="I34" s="13">
        <v>42990.325821759259</v>
      </c>
      <c r="J34" s="7">
        <v>0</v>
      </c>
      <c r="K34" s="89" t="str">
        <f>IF(ISEVEN(B34),(B34-1)&amp;"/"&amp;B34,B34&amp;"/"&amp;(B34+1))</f>
        <v>4031/4032</v>
      </c>
      <c r="L34" s="214" t="str">
        <f>VLOOKUP(A34,'Trips&amp;Operators'!$C$1:$G$99911,5,FALSE)</f>
        <v>BIRENBAUM THOMAS</v>
      </c>
      <c r="M34" s="6">
        <f>I34-F34</f>
        <v>2.5682870371383615E-2</v>
      </c>
      <c r="N34" s="7">
        <f>24*60*SUM($M34:$M34)</f>
        <v>36.983333334792405</v>
      </c>
      <c r="O34" s="7"/>
      <c r="P34" s="7"/>
      <c r="Q34" s="22"/>
      <c r="R34" s="167"/>
      <c r="S34" s="210">
        <f>1/IF(AG34="EC",12,1)*SUM(U34:U34)</f>
        <v>1</v>
      </c>
      <c r="T34" s="192" t="str">
        <f>IF(ISEVEN(LEFT(AD34,4)),"Southbound","NorthBound")</f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-09-12T06:06:09-0600',mode:absolute,to:'2017-09-12T08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194" t="str">
        <f>IF(AA34&lt;VLOOKUP(AG34,Variables!$AC$3:$AD$8,2,FALSE),"Y","N")</f>
        <v>N</v>
      </c>
      <c r="X34" s="194">
        <f>VALUE(LEFT(AD34,4))-VALUE(LEFT(AD33,4))</f>
        <v>1</v>
      </c>
      <c r="Y34" s="194">
        <f>RIGHT(D34,LEN(D34)-4)/10000</f>
        <v>23.296900000000001</v>
      </c>
      <c r="Z34" s="194">
        <f>RIGHT(H34,LEN(H34)-4)/10000</f>
        <v>1.49E-2</v>
      </c>
      <c r="AA34" s="194">
        <f>ABS(Z34-Y34)</f>
        <v>23.282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/stypes="app*4031*20170912*" /stext=" 13:.+((SYSTEM_STATE.+slice.+state.+changed )|(ment ac)|(multiple cpu faults)|(system.+state.+changed )|(\[timeout)|(PRM\|1\|D)|(kpr)|(kdp)|(train st.+moving)|(\|lc)|(penalty))"</v>
      </c>
      <c r="AG34" s="206" t="str">
        <f>DetSubdiv(A34)</f>
        <v>EC</v>
      </c>
      <c r="AH34" s="78" t="str">
        <f t="shared" si="4"/>
        <v>"%USERPROFILE%\Documents\GitHub\eaglep3\Utilities\RefineRTDCRunTimes.py" --tripid 122-12 --locoid 4031 --swversion DE.1.0.9.0 --startMP 204:232969 --initTime 2017-09-12T07:06:09 --startdatetime 2017-09-12T07:12:12 --delay 62 --endMP 204:149 --enddatetime 2017-09-12T07:49:11 --enforcementcount 0 &gt;&gt;C:\Users\stu\Documents\GitHub\eaglep3-reporting\EC\2017-09-12-refined-times.txt</v>
      </c>
      <c r="AI34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{"issue":{"subject":"","project_id":79,"tracker_id":40,"status_id":1,"priority_id":2,"assigned_to_id":338,"start_date":"2017-09-12","description":"","custom_fields":[{"id":1,"name":"Subdivision","value":"EC"},{"id":4,"name":"Milepost","value":"0.0149"},{"id":17,"name":"Train ID","value":"122-12"},{"id":16,"name":"Locomotive ID","value":"4031"},{"id":130,"name":"Impact","value":""},{"id":150,"name":"Time of Event (Mountain Time)","value":"07:49:11"},{"id":151,"name":"Denver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4031 --day 2017-09-12</v>
      </c>
      <c r="AN34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651</v>
      </c>
      <c r="B35" s="7">
        <v>4028</v>
      </c>
      <c r="C35" s="21" t="s">
        <v>197</v>
      </c>
      <c r="D35" s="21" t="s">
        <v>834</v>
      </c>
      <c r="E35" s="13">
        <v>42990.265277777777</v>
      </c>
      <c r="F35" s="13">
        <v>42990.27107638889</v>
      </c>
      <c r="G35" s="7">
        <v>51</v>
      </c>
      <c r="H35" s="21" t="s">
        <v>542</v>
      </c>
      <c r="I35" s="13">
        <v>42990.295543981483</v>
      </c>
      <c r="J35" s="7">
        <v>0</v>
      </c>
      <c r="K35" s="89" t="str">
        <f>IF(ISEVEN(B35),(B35-1)&amp;"/"&amp;B35,B35&amp;"/"&amp;(B35+1))</f>
        <v>4027/4028</v>
      </c>
      <c r="L35" s="214" t="str">
        <f>VLOOKUP(A35,'Trips&amp;Operators'!$C$1:$G$99911,5,FALSE)</f>
        <v>LAMAR NEKESHA</v>
      </c>
      <c r="M35" s="6">
        <f>I35-F35</f>
        <v>2.4467592593282461E-2</v>
      </c>
      <c r="N35" s="7">
        <f>24*60*SUM($M35:$M35)</f>
        <v>35.233333334326744</v>
      </c>
      <c r="O35" s="7"/>
      <c r="P35" s="7"/>
      <c r="Q35" s="22"/>
      <c r="R35" s="167"/>
      <c r="S35" s="210">
        <f>1/IF(AG35="EC",12,1)*SUM(U35:U35)</f>
        <v>1</v>
      </c>
      <c r="T35" s="192" t="str">
        <f>IF(ISEVEN(LEFT(AD35,4)),"Southbound","NorthBound")</f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-09-12T05:22:00-0600',mode:absolute,to:'2017-09-12T08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5" s="194" t="str">
        <f>IF(AA35&lt;VLOOKUP(AG35,Variables!$AC$3:$AD$8,2,FALSE),"Y","N")</f>
        <v>N</v>
      </c>
      <c r="X35" s="194">
        <f>VALUE(LEFT(AD35,4))-VALUE(LEFT(AD34,4))</f>
        <v>1</v>
      </c>
      <c r="Y35" s="194">
        <f>RIGHT(D35,LEN(D35)-4)/10000</f>
        <v>4.4699999999999997E-2</v>
      </c>
      <c r="Z35" s="194">
        <f>RIGHT(H35,LEN(H35)-4)/10000</f>
        <v>23.329699999999999</v>
      </c>
      <c r="AA35" s="194">
        <f>ABS(Z35-Y35)</f>
        <v>23.285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s3://rtdc.mdm.uploadarchive.raw/RTDC4028/ "%USERPROFILE%\AppData\Local\Temp\OnboardLogs"\RTDC4028\2017-09-12 --exclude "*" --recursive --include "*20170912*" &amp; "%USERPROFILE%\Documents\GitHub\mrs-test-scripts\Headless Mode &amp; Sideloading\WalkAndUnGZ.bat" "%USERPROFILE%\AppData\Local\Temp\OnboardLogs"\RTDC4028\2017-09-12 &amp; 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/stypes="app*4028*20170912*" /stext=" 13:.+((SYSTEM_STATE.+slice.+state.+changed )|(ment ac)|(multiple cpu faults)|(system.+state.+changed )|(\[timeout)|(PRM\|1\|D)|(kpr)|(kdp)|(train st.+moving)|(\|lc)|(penalty))"</v>
      </c>
      <c r="AG35" s="206" t="str">
        <f>DetSubdiv(A35)</f>
        <v>EC</v>
      </c>
      <c r="AH35" s="78" t="str">
        <f t="shared" si="4"/>
        <v>"%USERPROFILE%\Documents\GitHub\eaglep3\Utilities\RefineRTDCRunTimes.py" --tripid 123-12 --locoid 4028 --swversion DE.1.0.9.0 --startMP 204:447 --initTime 2017-09-12T06:22:00 --startdatetime 2017-09-12T06:30:21 --delay 51 --endMP 204:233297 --enddatetime 2017-09-12T07:05:35 --enforcementcount 0 &gt;&gt;C:\Users\stu\Documents\GitHub\eaglep3-reporting\EC\2017-09-12-refined-times.txt</v>
      </c>
      <c r="AI3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{"issue":{"subject":"","project_id":79,"tracker_id":40,"status_id":1,"priority_id":2,"assigned_to_id":338,"start_date":"2017-09-12","description":"","custom_fields":[{"id":1,"name":"Subdivision","value":"EC"},{"id":4,"name":"Milepost","value":"23.3297"},{"id":17,"name":"Train ID","value":"123-12"},{"id":16,"name":"Locomotive ID","value":"4028"},{"id":130,"name":"Impact","value":""},{"id":150,"name":"Time of Event (Mountain Time)","value":"07:05:35"},{"id":151,"name":"Denver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4028 --day 2017-09-12</v>
      </c>
      <c r="AN3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661</v>
      </c>
      <c r="B36" s="7">
        <v>4027</v>
      </c>
      <c r="C36" s="21" t="s">
        <v>197</v>
      </c>
      <c r="D36" s="21" t="s">
        <v>529</v>
      </c>
      <c r="E36" s="13">
        <v>42990.307962962965</v>
      </c>
      <c r="F36" s="13">
        <v>42990.310578703706</v>
      </c>
      <c r="G36" s="7">
        <v>56</v>
      </c>
      <c r="H36" s="21" t="s">
        <v>527</v>
      </c>
      <c r="I36" s="13">
        <v>42990.336574074077</v>
      </c>
      <c r="J36" s="7">
        <v>0</v>
      </c>
      <c r="K36" s="89" t="str">
        <f>IF(ISEVEN(B36),(B36-1)&amp;"/"&amp;B36,B36&amp;"/"&amp;(B36+1))</f>
        <v>4027/4028</v>
      </c>
      <c r="L36" s="214" t="str">
        <f>VLOOKUP(A36,'Trips&amp;Operators'!$C$1:$G$99911,5,FALSE)</f>
        <v>LAMAR NEKESHA</v>
      </c>
      <c r="M36" s="6">
        <f>I36-F36</f>
        <v>2.5995370371674653E-2</v>
      </c>
      <c r="N36" s="7">
        <f>24*60*SUM($M36:$M36)</f>
        <v>37.433333335211501</v>
      </c>
      <c r="O36" s="7"/>
      <c r="P36" s="7"/>
      <c r="Q36" s="22"/>
      <c r="R36" s="167"/>
      <c r="S36" s="210">
        <f>1/IF(AG36="EC",12,1)*SUM(U36:U36)</f>
        <v>1</v>
      </c>
      <c r="T36" s="192" t="str">
        <f>IF(ISEVEN(LEFT(AD36,4)),"Southbound","NorthBound")</f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-09-12T06:23:28-0600',mode:absolute,to:'2017-09-12T09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6" s="194" t="str">
        <f>IF(AA36&lt;VLOOKUP(AG36,Variables!$AC$3:$AD$8,2,FALSE),"Y","N")</f>
        <v>N</v>
      </c>
      <c r="X36" s="194">
        <f>VALUE(LEFT(AD36,4))-VALUE(LEFT(AD35,4))</f>
        <v>1</v>
      </c>
      <c r="Y36" s="194">
        <f>RIGHT(D36,LEN(D36)-4)/10000</f>
        <v>23.298100000000002</v>
      </c>
      <c r="Z36" s="194">
        <f>RIGHT(H36,LEN(H36)-4)/10000</f>
        <v>1.54E-2</v>
      </c>
      <c r="AA36" s="194">
        <f>ABS(Z36-Y36)</f>
        <v>23.282700000000002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s3://rtdc.mdm.uploadarchive.raw/RTDC4027/ "%USERPROFILE%\AppData\Local\Temp\OnboardLogs"\RTDC4027\2017-09-12 --exclude "*" --recursive --include "*20170912*" &amp; "%USERPROFILE%\Documents\GitHub\mrs-test-scripts\Headless Mode &amp; Sideloading\WalkAndUnGZ.bat" "%USERPROFILE%\AppData\Local\Temp\OnboardLogs"\RTDC4027\2017-09-12 &amp; 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/stypes="app*4027*20170912*" /stext=" 14:.+((SYSTEM_STATE.+slice.+state.+changed )|(ment ac)|(multiple cpu faults)|(system.+state.+changed )|(\[timeout)|(PRM\|1\|D)|(kpr)|(kdp)|(train st.+moving)|(\|lc)|(penalty))"</v>
      </c>
      <c r="AG36" s="206" t="str">
        <f>DetSubdiv(A36)</f>
        <v>EC</v>
      </c>
      <c r="AH36" s="78" t="str">
        <f t="shared" si="4"/>
        <v>"%USERPROFILE%\Documents\GitHub\eaglep3\Utilities\RefineRTDCRunTimes.py" --tripid 124-12 --locoid 4027 --swversion DE.1.0.9.0 --startMP 204:232981 --initTime 2017-09-12T07:23:28 --startdatetime 2017-09-12T07:27:14 --delay 56 --endMP 204:154 --enddatetime 2017-09-12T08:04:40 --enforcementcount 0 &gt;&gt;C:\Users\stu\Documents\GitHub\eaglep3-reporting\EC\2017-09-12-refined-times.txt</v>
      </c>
      <c r="AI3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ID","value":"124-12"},{"id":16,"name":"Locomotive ID","value":"4027"},{"id":130,"name":"Impact","value":""},{"id":150,"name":"Time of Event (Mountain Time)","value":"08:04:40"},{"id":151,"name":"Denver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4027 --day 2017-09-12</v>
      </c>
      <c r="AN3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655</v>
      </c>
      <c r="B37" s="7">
        <v>4062</v>
      </c>
      <c r="C37" s="21" t="s">
        <v>197</v>
      </c>
      <c r="D37" s="21" t="s">
        <v>381</v>
      </c>
      <c r="E37" s="13">
        <v>42990.277141203704</v>
      </c>
      <c r="F37" s="13">
        <v>42990.281481481485</v>
      </c>
      <c r="G37" s="7">
        <v>77</v>
      </c>
      <c r="H37" s="21" t="s">
        <v>464</v>
      </c>
      <c r="I37" s="13">
        <v>42990.306331018517</v>
      </c>
      <c r="J37" s="7">
        <v>0</v>
      </c>
      <c r="K37" s="89" t="str">
        <f>IF(ISEVEN(B37),(B37-1)&amp;"/"&amp;B37,B37&amp;"/"&amp;(B37+1))</f>
        <v>4061/4062</v>
      </c>
      <c r="L37" s="214" t="str">
        <f>VLOOKUP(A37,'Trips&amp;Operators'!$C$1:$G$99911,5,FALSE)</f>
        <v>ACKERMAN JARED</v>
      </c>
      <c r="M37" s="6">
        <f>I37-F37</f>
        <v>2.4849537032423541E-2</v>
      </c>
      <c r="N37" s="7">
        <f>24*60*SUM($M37:$M37)</f>
        <v>35.783333326689899</v>
      </c>
      <c r="O37" s="7"/>
      <c r="P37" s="7"/>
      <c r="Q37" s="22"/>
      <c r="R37" s="167"/>
      <c r="S37" s="210">
        <f>1/IF(AG37="EC",12,1)*SUM(U37:U37)</f>
        <v>1</v>
      </c>
      <c r="T37" s="192" t="str">
        <f>IF(ISEVEN(LEFT(AD37,4)),"Southbound","NorthBound")</f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-09-12T05:39:05-0600',mode:absolute,to:'2017-09-12T08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7" s="194" t="str">
        <f>IF(AA37&lt;VLOOKUP(AG37,Variables!$AC$3:$AD$8,2,FALSE),"Y","N")</f>
        <v>N</v>
      </c>
      <c r="X37" s="194">
        <f>VALUE(LEFT(AD37,4))-VALUE(LEFT(AD36,4))</f>
        <v>1</v>
      </c>
      <c r="Y37" s="194">
        <f>RIGHT(D37,LEN(D37)-4)/10000</f>
        <v>4.6899999999999997E-2</v>
      </c>
      <c r="Z37" s="194">
        <f>RIGHT(H37,LEN(H37)-4)/10000</f>
        <v>23.3291</v>
      </c>
      <c r="AA37" s="194">
        <f>ABS(Z37-Y37)</f>
        <v>23.2822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/stypes="app*4062*20170912*" /stext=" 13:.+((SYSTEM_STATE.+slice.+state.+changed )|(ment ac)|(multiple cpu faults)|(system.+state.+changed )|(\[timeout)|(PRM\|1\|D)|(kpr)|(kdp)|(train st.+moving)|(\|lc)|(penalty))"</v>
      </c>
      <c r="AG37" s="206" t="str">
        <f>DetSubdiv(A37)</f>
        <v>EC</v>
      </c>
      <c r="AH37" s="78" t="str">
        <f t="shared" si="4"/>
        <v>"%USERPROFILE%\Documents\GitHub\eaglep3\Utilities\RefineRTDCRunTimes.py" --tripid 125-12 --locoid 4062 --swversion DE.1.0.9.0 --startMP 204:469 --initTime 2017-09-12T06:39:05 --startdatetime 2017-09-12T06:45:20 --delay 77 --endMP 204:233291 --enddatetime 2017-09-12T07:21:07 --enforcementcount 0 &gt;&gt;C:\Users\stu\Documents\GitHub\eaglep3-reporting\EC\2017-09-12-refined-times.txt</v>
      </c>
      <c r="AI3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{"issue":{"subject":"","project_id":79,"tracker_id":40,"status_id":1,"priority_id":2,"assigned_to_id":338,"start_date":"2017-09-12","description":"","custom_fields":[{"id":1,"name":"Subdivision","value":"EC"},{"id":4,"name":"Milepost","value":"23.3291"},{"id":17,"name":"Train ID","value":"125-12"},{"id":16,"name":"Locomotive ID","value":"4062"},{"id":130,"name":"Impact","value":""},{"id":150,"name":"Time of Event (Mountain Time)","value":"07:21:07"},{"id":151,"name":"Denver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4062 --day 2017-09-12</v>
      </c>
      <c r="AN3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583</v>
      </c>
      <c r="B38" s="7">
        <v>4061</v>
      </c>
      <c r="C38" s="21" t="s">
        <v>197</v>
      </c>
      <c r="D38" s="21" t="s">
        <v>530</v>
      </c>
      <c r="E38" s="13">
        <v>42990.312592592592</v>
      </c>
      <c r="F38" s="13">
        <v>42990.321134259262</v>
      </c>
      <c r="G38" s="7">
        <v>87</v>
      </c>
      <c r="H38" s="21" t="s">
        <v>340</v>
      </c>
      <c r="I38" s="13">
        <v>42990.348182870373</v>
      </c>
      <c r="J38" s="7">
        <v>0</v>
      </c>
      <c r="K38" s="89" t="str">
        <f>IF(ISEVEN(B38),(B38-1)&amp;"/"&amp;B38,B38&amp;"/"&amp;(B38+1))</f>
        <v>4061/4062</v>
      </c>
      <c r="L38" s="214" t="str">
        <f>VLOOKUP(A38,'Trips&amp;Operators'!$C$1:$G$99911,5,FALSE)</f>
        <v>ACKERMAN JARED</v>
      </c>
      <c r="M38" s="6">
        <f>I38-F38</f>
        <v>2.7048611111240461E-2</v>
      </c>
      <c r="N38" s="7">
        <f>24*60*SUM($M38:$M38)</f>
        <v>38.950000000186265</v>
      </c>
      <c r="O38" s="7"/>
      <c r="P38" s="7"/>
      <c r="Q38" s="22"/>
      <c r="R38" s="167"/>
      <c r="S38" s="210">
        <f>1/IF(AG38="EC",12,1)*SUM(U38:U38)</f>
        <v>1</v>
      </c>
      <c r="T38" s="192" t="str">
        <f>IF(ISEVEN(LEFT(AD38,4)),"Southbound","NorthBound")</f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-09-12T06:30:08-0600',mode:absolute,to:'2017-09-12T09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8" s="194" t="str">
        <f>IF(AA38&lt;VLOOKUP(AG38,Variables!$AC$3:$AD$8,2,FALSE),"Y","N")</f>
        <v>N</v>
      </c>
      <c r="X38" s="194">
        <f>VALUE(LEFT(AD38,4))-VALUE(LEFT(AD37,4))</f>
        <v>1</v>
      </c>
      <c r="Y38" s="194">
        <f>RIGHT(D38,LEN(D38)-4)/10000</f>
        <v>23.2971</v>
      </c>
      <c r="Z38" s="194">
        <f>RIGHT(H38,LEN(H38)-4)/10000</f>
        <v>1.43E-2</v>
      </c>
      <c r="AA38" s="194">
        <f>ABS(Z38-Y38)</f>
        <v>23.282800000000002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/stypes="app*4061*20170912*" /stext=" 14:.+((SYSTEM_STATE.+slice.+state.+changed )|(ment ac)|(multiple cpu faults)|(system.+state.+changed )|(\[timeout)|(PRM\|1\|D)|(kpr)|(kdp)|(train st.+moving)|(\|lc)|(penalty))"</v>
      </c>
      <c r="AG38" s="206" t="str">
        <f>DetSubdiv(A38)</f>
        <v>EC</v>
      </c>
      <c r="AH38" s="78" t="str">
        <f t="shared" si="4"/>
        <v>"%USERPROFILE%\Documents\GitHub\eaglep3\Utilities\RefineRTDCRunTimes.py" --tripid 126-12 --locoid 4061 --swversion DE.1.0.9.0 --startMP 204:232971 --initTime 2017-09-12T07:30:08 --startdatetime 2017-09-12T07:42:26 --delay 87 --endMP 204:143 --enddatetime 2017-09-12T08:21:23 --enforcementcount 0 &gt;&gt;C:\Users\stu\Documents\GitHub\eaglep3-reporting\EC\2017-09-12-refined-times.txt</v>
      </c>
      <c r="AI38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{"issue":{"subject":"","project_id":79,"tracker_id":40,"status_id":1,"priority_id":2,"assigned_to_id":338,"start_date":"2017-09-12","description":"","custom_fields":[{"id":1,"name":"Subdivision","value":"EC"},{"id":4,"name":"Milepost","value":"0.0143"},{"id":17,"name":"Train ID","value":"126-12"},{"id":16,"name":"Locomotive ID","value":"4061"},{"id":130,"name":"Impact","value":""},{"id":150,"name":"Time of Event (Mountain Time)","value":"08:21:23"},{"id":151,"name":"Denver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4061 --day 2017-09-12</v>
      </c>
      <c r="AN38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657</v>
      </c>
      <c r="B39" s="7">
        <v>4012</v>
      </c>
      <c r="C39" s="21" t="s">
        <v>197</v>
      </c>
      <c r="D39" s="21" t="s">
        <v>834</v>
      </c>
      <c r="E39" s="13">
        <v>42990.287222222221</v>
      </c>
      <c r="F39" s="13">
        <v>42990.292025462964</v>
      </c>
      <c r="G39" s="7">
        <v>59</v>
      </c>
      <c r="H39" s="21" t="s">
        <v>395</v>
      </c>
      <c r="I39" s="13">
        <v>42990.316666666666</v>
      </c>
      <c r="J39" s="7">
        <v>0</v>
      </c>
      <c r="K39" s="89" t="str">
        <f>IF(ISEVEN(B39),(B39-1)&amp;"/"&amp;B39,B39&amp;"/"&amp;(B39+1))</f>
        <v>4011/4012</v>
      </c>
      <c r="L39" s="214" t="str">
        <f>VLOOKUP(A39,'Trips&amp;Operators'!$C$1:$G$99911,5,FALSE)</f>
        <v>YANAI IAN</v>
      </c>
      <c r="M39" s="6">
        <f>I39-F39</f>
        <v>2.4641203701321501E-2</v>
      </c>
      <c r="N39" s="7">
        <f>24*60*SUM($M39:$M39)</f>
        <v>35.483333329902962</v>
      </c>
      <c r="O39" s="7"/>
      <c r="P39" s="7"/>
      <c r="Q39" s="22"/>
      <c r="R39" s="167"/>
      <c r="S39" s="210">
        <f>1/IF(AG39="EC",12,1)*SUM(U39:U39)</f>
        <v>1</v>
      </c>
      <c r="T39" s="192" t="str">
        <f>IF(ISEVEN(LEFT(AD39,4)),"Southbound","NorthBound")</f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-09-12T05:53:36-0600',mode:absolute,to:'2017-09-12T08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194" t="str">
        <f>IF(AA39&lt;VLOOKUP(AG39,Variables!$AC$3:$AD$8,2,FALSE),"Y","N")</f>
        <v>N</v>
      </c>
      <c r="X39" s="194">
        <f>VALUE(LEFT(AD39,4))-VALUE(LEFT(AD38,4))</f>
        <v>1</v>
      </c>
      <c r="Y39" s="194">
        <f>RIGHT(D39,LEN(D39)-4)/10000</f>
        <v>4.4699999999999997E-2</v>
      </c>
      <c r="Z39" s="194">
        <f>RIGHT(H39,LEN(H39)-4)/10000</f>
        <v>23.331399999999999</v>
      </c>
      <c r="AA39" s="194">
        <f>ABS(Z39-Y39)</f>
        <v>23.2867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/stypes="app*4012*20170912*" /stext=" 13:.+((SYSTEM_STATE.+slice.+state.+changed )|(ment ac)|(multiple cpu faults)|(system.+state.+changed )|(\[timeout)|(PRM\|1\|D)|(kpr)|(kdp)|(train st.+moving)|(\|lc)|(penalty))"</v>
      </c>
      <c r="AG39" s="206" t="str">
        <f>DetSubdiv(A39)</f>
        <v>EC</v>
      </c>
      <c r="AH39" s="78" t="str">
        <f t="shared" si="4"/>
        <v>"%USERPROFILE%\Documents\GitHub\eaglep3\Utilities\RefineRTDCRunTimes.py" --tripid 127-12 --locoid 4012 --swversion DE.1.0.9.0 --startMP 204:447 --initTime 2017-09-12T06:53:36 --startdatetime 2017-09-12T07:00:31 --delay 59 --endMP 204:233314 --enddatetime 2017-09-12T07:36:00 --enforcementcount 0 &gt;&gt;C:\Users\stu\Documents\GitHub\eaglep3-reporting\EC\2017-09-12-refined-times.txt</v>
      </c>
      <c r="AI39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{"issue":{"subject":"","project_id":79,"tracker_id":40,"status_id":1,"priority_id":2,"assigned_to_id":338,"start_date":"2017-09-12","description":"","custom_fields":[{"id":1,"name":"Subdivision","value":"EC"},{"id":4,"name":"Milepost","value":"23.3314"},{"id":17,"name":"Train ID","value":"127-12"},{"id":16,"name":"Locomotive ID","value":"4012"},{"id":130,"name":"Impact","value":""},{"id":150,"name":"Time of Event (Mountain Time)","value":"07:36:00"},{"id":151,"name":"Denver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4012 --day 2017-09-12</v>
      </c>
      <c r="AN39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665</v>
      </c>
      <c r="B40" s="7">
        <v>4011</v>
      </c>
      <c r="C40" s="21" t="s">
        <v>197</v>
      </c>
      <c r="D40" s="21" t="s">
        <v>835</v>
      </c>
      <c r="E40" s="13">
        <v>42990.318113425928</v>
      </c>
      <c r="F40" s="13">
        <v>42990.331678240742</v>
      </c>
      <c r="G40" s="7">
        <v>55</v>
      </c>
      <c r="H40" s="21" t="s">
        <v>343</v>
      </c>
      <c r="I40" s="13">
        <v>42990.357349537036</v>
      </c>
      <c r="J40" s="7">
        <v>0</v>
      </c>
      <c r="K40" s="89" t="str">
        <f>IF(ISEVEN(B40),(B40-1)&amp;"/"&amp;B40,B40&amp;"/"&amp;(B40+1))</f>
        <v>4011/4012</v>
      </c>
      <c r="L40" s="214" t="str">
        <f>VLOOKUP(A40,'Trips&amp;Operators'!$C$1:$G$99911,5,FALSE)</f>
        <v>YANAI IAN</v>
      </c>
      <c r="M40" s="6">
        <f>I40-F40</f>
        <v>2.5671296294603962E-2</v>
      </c>
      <c r="N40" s="7">
        <f>24*60*SUM($M40:$M40)</f>
        <v>36.966666664229706</v>
      </c>
      <c r="O40" s="7"/>
      <c r="P40" s="7"/>
      <c r="Q40" s="22"/>
      <c r="R40" s="167"/>
      <c r="S40" s="210">
        <f>1/IF(AG40="EC",12,1)*SUM(U40:U40)</f>
        <v>1</v>
      </c>
      <c r="T40" s="192" t="str">
        <f>IF(ISEVEN(LEFT(AD40,4)),"Southbound","NorthBound")</f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-12T06:38:05-0600',mode:absolute,to:'2017-09-12T09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194" t="str">
        <f>IF(AA40&lt;VLOOKUP(AG40,Variables!$AC$3:$AD$8,2,FALSE),"Y","N")</f>
        <v>N</v>
      </c>
      <c r="X40" s="194">
        <f>VALUE(LEFT(AD40,4))-VALUE(LEFT(AD39,4))</f>
        <v>1</v>
      </c>
      <c r="Y40" s="194">
        <f>RIGHT(D40,LEN(D40)-4)/10000</f>
        <v>23.298500000000001</v>
      </c>
      <c r="Z40" s="194">
        <f>RIGHT(H40,LEN(H40)-4)/10000</f>
        <v>1.47E-2</v>
      </c>
      <c r="AA40" s="194">
        <f>ABS(Z40-Y40)</f>
        <v>23.283799999999999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/stypes="app*4011*20170912*" /stext=" 14:.+((SYSTEM_STATE.+slice.+state.+changed )|(ment ac)|(multiple cpu faults)|(system.+state.+changed )|(\[timeout)|(PRM\|1\|D)|(kpr)|(kdp)|(train st.+moving)|(\|lc)|(penalty))"</v>
      </c>
      <c r="AG40" s="206" t="str">
        <f>DetSubdiv(A40)</f>
        <v>EC</v>
      </c>
      <c r="AH40" s="78" t="str">
        <f t="shared" si="4"/>
        <v>"%USERPROFILE%\Documents\GitHub\eaglep3\Utilities\RefineRTDCRunTimes.py" --tripid 128-12 --locoid 4011 --swversion DE.1.0.9.0 --startMP 204:232985 --initTime 2017-09-12T07:38:05 --startdatetime 2017-09-12T07:57:37 --delay 55 --endMP 204:147 --enddatetime 2017-09-12T08:34:35 --enforcementcount 0 &gt;&gt;C:\Users\stu\Documents\GitHub\eaglep3-reporting\EC\2017-09-12-refined-times.txt</v>
      </c>
      <c r="AI40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{"issue":{"subject":"","project_id":79,"tracker_id":40,"status_id":1,"priority_id":2,"assigned_to_id":338,"start_date":"2017-09-12","description":"","custom_fields":[{"id":1,"name":"Subdivision","value":"EC"},{"id":4,"name":"Milepost","value":"0.0147"},{"id":17,"name":"Train ID","value":"128-12"},{"id":16,"name":"Locomotive ID","value":"4011"},{"id":130,"name":"Impact","value":""},{"id":150,"name":"Time of Event (Mountain Time)","value":"08:34:35"},{"id":151,"name":"Denver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4011 --day 2017-09-12</v>
      </c>
      <c r="AN40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581</v>
      </c>
      <c r="B41" s="7">
        <v>4002</v>
      </c>
      <c r="C41" s="21" t="s">
        <v>197</v>
      </c>
      <c r="D41" s="21" t="s">
        <v>337</v>
      </c>
      <c r="E41" s="13">
        <v>42990.297002314815</v>
      </c>
      <c r="F41" s="13">
        <v>42990.302268518521</v>
      </c>
      <c r="G41" s="7">
        <v>48</v>
      </c>
      <c r="H41" s="21" t="s">
        <v>836</v>
      </c>
      <c r="I41" s="13">
        <v>42990.326956018522</v>
      </c>
      <c r="J41" s="7">
        <v>0</v>
      </c>
      <c r="K41" s="89" t="str">
        <f>IF(ISEVEN(B41),(B41-1)&amp;"/"&amp;B41,B41&amp;"/"&amp;(B41+1))</f>
        <v>4001/4002</v>
      </c>
      <c r="L41" s="214" t="str">
        <f>VLOOKUP(A41,'Trips&amp;Operators'!$C$1:$G$99911,5,FALSE)</f>
        <v>BONDS REYNALDO</v>
      </c>
      <c r="M41" s="6">
        <f>I41-F41</f>
        <v>2.4687500001164153E-2</v>
      </c>
      <c r="N41" s="7">
        <f>24*60*SUM($M41:$M41)</f>
        <v>35.550000001676381</v>
      </c>
      <c r="O41" s="7"/>
      <c r="P41" s="7"/>
      <c r="Q41" s="22"/>
      <c r="R41" s="167"/>
      <c r="S41" s="210">
        <f>1/IF(AG41="EC",12,1)*SUM(U41:U41)</f>
        <v>1</v>
      </c>
      <c r="T41" s="192" t="str">
        <f>IF(ISEVEN(LEFT(AD41,4)),"Southbound","NorthBound")</f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-09-12T06:07:41-0600',mode:absolute,to:'2017-09-12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94" t="str">
        <f>IF(AA41&lt;VLOOKUP(AG41,Variables!$AC$3:$AD$8,2,FALSE),"Y","N")</f>
        <v>N</v>
      </c>
      <c r="X41" s="194">
        <f>VALUE(LEFT(AD41,4))-VALUE(LEFT(AD40,4))</f>
        <v>1</v>
      </c>
      <c r="Y41" s="194">
        <f>RIGHT(D41,LEN(D41)-4)/10000</f>
        <v>4.4600000000000001E-2</v>
      </c>
      <c r="Z41" s="194">
        <f>RIGHT(H41,LEN(H41)-4)/10000</f>
        <v>23.327200000000001</v>
      </c>
      <c r="AA41" s="194">
        <f>ABS(Z41-Y41)</f>
        <v>23.282600000000002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/stypes="app*4002*20170912*" /stext=" 13:.+((SYSTEM_STATE.+slice.+state.+changed )|(ment ac)|(multiple cpu faults)|(system.+state.+changed )|(\[timeout)|(PRM\|1\|D)|(kpr)|(kdp)|(train st.+moving)|(\|lc)|(penalty))"</v>
      </c>
      <c r="AG41" s="206" t="str">
        <f>DetSubdiv(A41)</f>
        <v>EC</v>
      </c>
      <c r="AH41" s="78" t="str">
        <f t="shared" si="4"/>
        <v>"%USERPROFILE%\Documents\GitHub\eaglep3\Utilities\RefineRTDCRunTimes.py" --tripid 129-12 --locoid 4002 --swversion DE.1.0.9.0 --startMP 204:446 --initTime 2017-09-12T07:07:41 --startdatetime 2017-09-12T07:15:16 --delay 48 --endMP 204:233272 --enddatetime 2017-09-12T07:50:49 --enforcementcount 0 &gt;&gt;C:\Users\stu\Documents\GitHub\eaglep3-reporting\EC\2017-09-12-refined-times.txt</v>
      </c>
      <c r="AI41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{"issue":{"subject":"","project_id":79,"tracker_id":40,"status_id":1,"priority_id":2,"assigned_to_id":338,"start_date":"2017-09-12","description":"","custom_fields":[{"id":1,"name":"Subdivision","value":"EC"},{"id":4,"name":"Milepost","value":"23.3272"},{"id":17,"name":"Train ID","value":"129-12"},{"id":16,"name":"Locomotive ID","value":"4002"},{"id":130,"name":"Impact","value":""},{"id":150,"name":"Time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4002 --day 2017-09-12</v>
      </c>
      <c r="AN41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669</v>
      </c>
      <c r="B42" s="7">
        <v>4001</v>
      </c>
      <c r="C42" s="21" t="s">
        <v>197</v>
      </c>
      <c r="D42" s="21" t="s">
        <v>393</v>
      </c>
      <c r="E42" s="13">
        <v>42990.338310185187</v>
      </c>
      <c r="F42" s="13">
        <v>42990.341851851852</v>
      </c>
      <c r="G42" s="7">
        <v>48</v>
      </c>
      <c r="H42" s="21" t="s">
        <v>367</v>
      </c>
      <c r="I42" s="13">
        <v>42990.368437500001</v>
      </c>
      <c r="J42" s="7">
        <v>0</v>
      </c>
      <c r="K42" s="89" t="str">
        <f>IF(ISEVEN(B42),(B42-1)&amp;"/"&amp;B42,B42&amp;"/"&amp;(B42+1))</f>
        <v>4001/4002</v>
      </c>
      <c r="L42" s="214" t="str">
        <f>VLOOKUP(A42,'Trips&amp;Operators'!$C$1:$G$99911,5,FALSE)</f>
        <v>BONDS REYNALDO</v>
      </c>
      <c r="M42" s="6">
        <f>I42-F42</f>
        <v>2.658564814919373E-2</v>
      </c>
      <c r="N42" s="7">
        <f>24*60*SUM($M42:$M42)</f>
        <v>38.283333334838971</v>
      </c>
      <c r="O42" s="7"/>
      <c r="P42" s="7"/>
      <c r="Q42" s="22"/>
      <c r="R42" s="167"/>
      <c r="S42" s="210">
        <f>1/IF(AG42="EC",12,1)*SUM(U42:U42)</f>
        <v>1</v>
      </c>
      <c r="T42" s="192" t="str">
        <f>IF(ISEVEN(LEFT(AD42,4)),"Southbound","NorthBound")</f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-12T07:07:10-0600',mode:absolute,to:'2017-09-12T09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94" t="str">
        <f>IF(AA42&lt;VLOOKUP(AG42,Variables!$AC$3:$AD$8,2,FALSE),"Y","N")</f>
        <v>N</v>
      </c>
      <c r="X42" s="194">
        <f>VALUE(LEFT(AD42,4))-VALUE(LEFT(AD41,4))</f>
        <v>1</v>
      </c>
      <c r="Y42" s="194">
        <f>RIGHT(D42,LEN(D42)-4)/10000</f>
        <v>23.2986</v>
      </c>
      <c r="Z42" s="194">
        <f>RIGHT(H42,LEN(H42)-4)/10000</f>
        <v>1.4500000000000001E-2</v>
      </c>
      <c r="AA42" s="194">
        <f>ABS(Z42-Y42)</f>
        <v>23.284099999999999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/stypes="app*4001*20170912*" /stext=" 14:.+((SYSTEM_STATE.+slice.+state.+changed )|(ment ac)|(multiple cpu faults)|(system.+state.+changed )|(\[timeout)|(PRM\|1\|D)|(kpr)|(kdp)|(train st.+moving)|(\|lc)|(penalty))"</v>
      </c>
      <c r="AG42" s="206" t="str">
        <f>DetSubdiv(A42)</f>
        <v>EC</v>
      </c>
      <c r="AH42" s="78" t="str">
        <f t="shared" si="4"/>
        <v>"%USERPROFILE%\Documents\GitHub\eaglep3\Utilities\RefineRTDCRunTimes.py" --tripid 130-12 --locoid 4001 --swversion DE.1.0.9.0 --startMP 204:232986 --initTime 2017-09-12T08:07:10 --startdatetime 2017-09-12T08:12:16 --delay 48 --endMP 204:145 --enddatetime 2017-09-12T08:50:33 --enforcementcount 0 &gt;&gt;C:\Users\stu\Documents\GitHub\eaglep3-reporting\EC\2017-09-12-refined-times.txt</v>
      </c>
      <c r="AI42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ID","value":"130-12"},{"id":16,"name":"Locomotive ID","value":"4001"},{"id":130,"name":"Impact","value":""},{"id":150,"name":"Time of Event (Mountain Time)","value":"08:50:33"},{"id":151,"name":"Denver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4001 --day 2017-09-12</v>
      </c>
      <c r="AN42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662</v>
      </c>
      <c r="B43" s="7">
        <v>4034</v>
      </c>
      <c r="C43" s="21" t="s">
        <v>197</v>
      </c>
      <c r="D43" s="21" t="s">
        <v>449</v>
      </c>
      <c r="E43" s="13">
        <v>42990.310624999998</v>
      </c>
      <c r="F43" s="13">
        <v>42990.313356481478</v>
      </c>
      <c r="G43" s="7">
        <v>57</v>
      </c>
      <c r="H43" s="21" t="s">
        <v>837</v>
      </c>
      <c r="I43" s="13">
        <v>42990.338067129633</v>
      </c>
      <c r="J43" s="7">
        <v>0</v>
      </c>
      <c r="K43" s="89" t="str">
        <f>IF(ISEVEN(B43),(B43-1)&amp;"/"&amp;B43,B43&amp;"/"&amp;(B43+1))</f>
        <v>4033/4034</v>
      </c>
      <c r="L43" s="214" t="str">
        <f>VLOOKUP(A43,'Trips&amp;Operators'!$C$1:$G$99911,5,FALSE)</f>
        <v>MACDONALD THOMAS</v>
      </c>
      <c r="M43" s="6">
        <f>I43-F43</f>
        <v>2.4710648154723458E-2</v>
      </c>
      <c r="N43" s="7">
        <f>24*60*SUM($M43:$M43)</f>
        <v>35.58333334280178</v>
      </c>
      <c r="O43" s="7"/>
      <c r="P43" s="7"/>
      <c r="Q43" s="22"/>
      <c r="R43" s="167"/>
      <c r="S43" s="210">
        <f>1/IF(AG43="EC",12,1)*SUM(U43:U43)</f>
        <v>1</v>
      </c>
      <c r="T43" s="192" t="str">
        <f>IF(ISEVEN(LEFT(AD43,4)),"Southbound","NorthBound")</f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-09-12T06:27:18-0600',mode:absolute,to:'2017-09-12T09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3" s="194" t="str">
        <f>IF(AA43&lt;VLOOKUP(AG43,Variables!$AC$3:$AD$8,2,FALSE),"Y","N")</f>
        <v>N</v>
      </c>
      <c r="X43" s="194">
        <f>VALUE(LEFT(AD43,4))-VALUE(LEFT(AD42,4))</f>
        <v>1</v>
      </c>
      <c r="Y43" s="194">
        <f>RIGHT(D43,LEN(D43)-4)/10000</f>
        <v>4.5100000000000001E-2</v>
      </c>
      <c r="Z43" s="194">
        <f>RIGHT(H43,LEN(H43)-4)/10000</f>
        <v>23.3249</v>
      </c>
      <c r="AA43" s="194">
        <f>ABS(Z43-Y43)</f>
        <v>23.279799999999998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/stypes="app*4034*20170912*" /stext=" 14:.+((SYSTEM_STATE.+slice.+state.+changed )|(ment ac)|(multiple cpu faults)|(system.+state.+changed )|(\[timeout)|(PRM\|1\|D)|(kpr)|(kdp)|(train st.+moving)|(\|lc)|(penalty))"</v>
      </c>
      <c r="AG43" s="206" t="str">
        <f>DetSubdiv(A43)</f>
        <v>EC</v>
      </c>
      <c r="AH43" s="78" t="str">
        <f t="shared" si="4"/>
        <v>"%USERPROFILE%\Documents\GitHub\eaglep3\Utilities\RefineRTDCRunTimes.py" --tripid 131-12 --locoid 4034 --swversion DE.1.0.9.0 --startMP 204:451 --initTime 2017-09-12T07:27:18 --startdatetime 2017-09-12T07:31:14 --delay 57 --endMP 204:233249 --enddatetime 2017-09-12T08:06:49 --enforcementcount 0 &gt;&gt;C:\Users\stu\Documents\GitHub\eaglep3-reporting\EC\2017-09-12-refined-times.txt</v>
      </c>
      <c r="AI43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{"issue":{"subject":"","project_id":79,"tracker_id":40,"status_id":1,"priority_id":2,"assigned_to_id":338,"start_date":"2017-09-12","description":"","custom_fields":[{"id":1,"name":"Subdivision","value":"EC"},{"id":4,"name":"Milepost","value":"23.3249"},{"id":17,"name":"Train ID","value":"131-12"},{"id":16,"name":"Locomotive ID","value":"4034"},{"id":130,"name":"Impact","value":""},{"id":150,"name":"Time of Event (Mountain Time)","value":"08:06:49"},{"id":151,"name":"Denver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4034 --day 2017-09-12</v>
      </c>
      <c r="AN43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584</v>
      </c>
      <c r="B44" s="7">
        <v>4033</v>
      </c>
      <c r="C44" s="21" t="s">
        <v>197</v>
      </c>
      <c r="D44" s="21" t="s">
        <v>838</v>
      </c>
      <c r="E44" s="13">
        <v>42990.351307870369</v>
      </c>
      <c r="F44" s="13">
        <v>42990.352777777778</v>
      </c>
      <c r="G44" s="7">
        <v>64</v>
      </c>
      <c r="H44" s="21" t="s">
        <v>387</v>
      </c>
      <c r="I44" s="13">
        <v>42990.378819444442</v>
      </c>
      <c r="J44" s="7">
        <v>0</v>
      </c>
      <c r="K44" s="89" t="str">
        <f>IF(ISEVEN(B44),(B44-1)&amp;"/"&amp;B44,B44&amp;"/"&amp;(B44+1))</f>
        <v>4033/4034</v>
      </c>
      <c r="L44" s="214" t="str">
        <f>VLOOKUP(A44,'Trips&amp;Operators'!$C$1:$G$99911,5,FALSE)</f>
        <v>MACDONALD THOMAS</v>
      </c>
      <c r="M44" s="6">
        <f>I44-F44</f>
        <v>2.6041666664241347E-2</v>
      </c>
      <c r="N44" s="7">
        <f>24*60*SUM($M44:$M44)</f>
        <v>37.49999999650754</v>
      </c>
      <c r="O44" s="7"/>
      <c r="P44" s="7"/>
      <c r="Q44" s="22"/>
      <c r="R44" s="167"/>
      <c r="S44" s="210">
        <f>1/IF(AG44="EC",12,1)*SUM(U44:U44)</f>
        <v>1</v>
      </c>
      <c r="T44" s="192" t="str">
        <f>IF(ISEVEN(LEFT(AD44,4)),"Southbound","NorthBound")</f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-12T07:25:53-0600',mode:absolute,to:'2017-09-12T10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4" s="194" t="str">
        <f>IF(AA44&lt;VLOOKUP(AG44,Variables!$AC$3:$AD$8,2,FALSE),"Y","N")</f>
        <v>N</v>
      </c>
      <c r="X44" s="194">
        <f>VALUE(LEFT(AD44,4))-VALUE(LEFT(AD43,4))</f>
        <v>1</v>
      </c>
      <c r="Y44" s="194">
        <f>RIGHT(D44,LEN(D44)-4)/10000</f>
        <v>23.291899999999998</v>
      </c>
      <c r="Z44" s="194">
        <f>RIGHT(H44,LEN(H44)-4)/10000</f>
        <v>1.6E-2</v>
      </c>
      <c r="AA44" s="194">
        <f>ABS(Z44-Y44)</f>
        <v>23.2759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/stypes="app*4033*20170912*" /stext=" 15:.+((SYSTEM_STATE.+slice.+state.+changed )|(ment ac)|(multiple cpu faults)|(system.+state.+changed )|(\[timeout)|(PRM\|1\|D)|(kpr)|(kdp)|(train st.+moving)|(\|lc)|(penalty))"</v>
      </c>
      <c r="AG44" s="206" t="str">
        <f>DetSubdiv(A44)</f>
        <v>EC</v>
      </c>
      <c r="AH44" s="78" t="str">
        <f t="shared" si="4"/>
        <v>"%USERPROFILE%\Documents\GitHub\eaglep3\Utilities\RefineRTDCRunTimes.py" --tripid 132-12 --locoid 4033 --swversion DE.1.0.9.0 --startMP 204:232919 --initTime 2017-09-12T08:25:53 --startdatetime 2017-09-12T08:28:00 --delay 64 --endMP 204:160 --enddatetime 2017-09-12T09:05:30 --enforcementcount 0 &gt;&gt;C:\Users\stu\Documents\GitHub\eaglep3-reporting\EC\2017-09-12-refined-times.txt</v>
      </c>
      <c r="AI44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{"issue":{"subject":"","project_id":79,"tracker_id":40,"status_id":1,"priority_id":2,"assigned_to_id":338,"start_date":"2017-09-12","description":"","custom_fields":[{"id":1,"name":"Subdivision","value":"EC"},{"id":4,"name":"Milepost","value":"0.016"},{"id":17,"name":"Train ID","value":"132-12"},{"id":16,"name":"Locomotive ID","value":"4033"},{"id":130,"name":"Impact","value":""},{"id":150,"name":"Time of Event (Mountain Time)","value":"09:05:30"},{"id":151,"name":"Denver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4033 --day 2017-09-12</v>
      </c>
      <c r="AN44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582</v>
      </c>
      <c r="B45" s="7">
        <v>4058</v>
      </c>
      <c r="C45" s="21" t="s">
        <v>197</v>
      </c>
      <c r="D45" s="21" t="s">
        <v>388</v>
      </c>
      <c r="E45" s="13">
        <v>42990.31927083333</v>
      </c>
      <c r="F45" s="13">
        <v>42990.323171296295</v>
      </c>
      <c r="G45" s="7">
        <v>49</v>
      </c>
      <c r="H45" s="21" t="s">
        <v>839</v>
      </c>
      <c r="I45" s="13">
        <v>42990.348252314812</v>
      </c>
      <c r="J45" s="7">
        <v>0</v>
      </c>
      <c r="K45" s="89" t="str">
        <f>IF(ISEVEN(B45),(B45-1)&amp;"/"&amp;B45,B45&amp;"/"&amp;(B45+1))</f>
        <v>4057/4058</v>
      </c>
      <c r="L45" s="214" t="str">
        <f>VLOOKUP(A45,'Trips&amp;Operators'!$C$1:$G$99911,5,FALSE)</f>
        <v>STARKS ANGELINA</v>
      </c>
      <c r="M45" s="6">
        <f>I45-F45</f>
        <v>2.5081018517084885E-2</v>
      </c>
      <c r="N45" s="7">
        <f>24*60*SUM($M45:$M45)</f>
        <v>36.116666664602235</v>
      </c>
      <c r="O45" s="7"/>
      <c r="P45" s="7"/>
      <c r="Q45" s="22"/>
      <c r="R45" s="167"/>
      <c r="S45" s="210">
        <f>1/IF(AG45="EC",12,1)*SUM(U45:U45)</f>
        <v>1</v>
      </c>
      <c r="T45" s="192" t="str">
        <f>IF(ISEVEN(LEFT(AD45,4)),"Southbound","NorthBound")</f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-12T06:39:45-0600',mode:absolute,to:'2017-09-12T09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5" s="194" t="str">
        <f>IF(AA45&lt;VLOOKUP(AG45,Variables!$AC$3:$AD$8,2,FALSE),"Y","N")</f>
        <v>N</v>
      </c>
      <c r="X45" s="194">
        <f>VALUE(LEFT(AD45,4))-VALUE(LEFT(AD44,4))</f>
        <v>1</v>
      </c>
      <c r="Y45" s="194">
        <f>RIGHT(D45,LEN(D45)-4)/10000</f>
        <v>4.5999999999999999E-2</v>
      </c>
      <c r="Z45" s="194">
        <f>RIGHT(H45,LEN(H45)-4)/10000</f>
        <v>23.3293</v>
      </c>
      <c r="AA45" s="194">
        <f>ABS(Z45-Y45)</f>
        <v>23.283300000000001</v>
      </c>
      <c r="AB45" s="54" t="str">
        <f>VLOOKUP(A45,Enforcements!$C$7:$K$11,8,0)</f>
        <v>Bulletin (2)</v>
      </c>
      <c r="AC45" s="51" t="str">
        <f>VLOOKUP(A45,Enforcements!$C$7:$E$11,3,0)</f>
        <v>GRADE CROSSING</v>
      </c>
      <c r="AD45" s="203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/stypes="app*4058*20170912*" /stext=" 14:.+((SYSTEM_STATE.+slice.+state.+changed )|(ment ac)|(multiple cpu faults)|(system.+state.+changed )|(\[timeout)|(PRM\|1\|D)|(kpr)|(kdp)|(train st.+moving)|(\|lc)|(penalty))"</v>
      </c>
      <c r="AG45" s="206" t="str">
        <f>DetSubdiv(A45)</f>
        <v>EC</v>
      </c>
      <c r="AH45" s="78" t="str">
        <f t="shared" si="4"/>
        <v>"%USERPROFILE%\Documents\GitHub\eaglep3\Utilities\RefineRTDCRunTimes.py" --tripid 133-12 --locoid 4058 --swversion DE.1.0.9.0 --startMP 204:460 --initTime 2017-09-12T07:39:45 --startdatetime 2017-09-12T07:45:22 --delay 49 --endMP 204:233293 --enddatetime 2017-09-12T08:21:29 --enforcementcount 0 &gt;&gt;C:\Users\stu\Documents\GitHub\eaglep3-reporting\EC\2017-09-12-refined-times.txt</v>
      </c>
      <c r="AI4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{"issue":{"subject":"","project_id":79,"tracker_id":40,"status_id":1,"priority_id":2,"assigned_to_id":338,"start_date":"2017-09-12","description":"","custom_fields":[{"id":1,"name":"Subdivision","value":"EC"},{"id":4,"name":"Milepost","value":"23.3293"},{"id":17,"name":"Train ID","value":"133-12"},{"id":16,"name":"Locomotive ID","value":"4058"},{"id":130,"name":"Impact","value":""},{"id":150,"name":"Time of Event (Mountain Time)","value":"08:21:29"},{"id":151,"name":"Denver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4058 --day 2017-09-12</v>
      </c>
      <c r="AN4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586</v>
      </c>
      <c r="B46" s="7">
        <v>4057</v>
      </c>
      <c r="C46" s="21" t="s">
        <v>197</v>
      </c>
      <c r="D46" s="21" t="s">
        <v>831</v>
      </c>
      <c r="E46" s="13">
        <v>42990.350497685184</v>
      </c>
      <c r="F46" s="13">
        <v>42990.362685185188</v>
      </c>
      <c r="G46" s="7">
        <v>174</v>
      </c>
      <c r="H46" s="21" t="s">
        <v>340</v>
      </c>
      <c r="I46" s="13">
        <v>42990.389421296299</v>
      </c>
      <c r="J46" s="7">
        <v>0</v>
      </c>
      <c r="K46" s="89" t="str">
        <f>IF(ISEVEN(B46),(B46-1)&amp;"/"&amp;B46,B46&amp;"/"&amp;(B46+1))</f>
        <v>4057/4058</v>
      </c>
      <c r="L46" s="214" t="str">
        <f>VLOOKUP(A46,'Trips&amp;Operators'!$C$1:$G$99911,5,FALSE)</f>
        <v>STARKS ANGELINA</v>
      </c>
      <c r="M46" s="6">
        <f>I46-F46</f>
        <v>2.6736111110949423E-2</v>
      </c>
      <c r="N46" s="7">
        <f>24*60*SUM($M46:$M46)</f>
        <v>38.499999999767169</v>
      </c>
      <c r="O46" s="7"/>
      <c r="P46" s="7"/>
      <c r="Q46" s="22"/>
      <c r="R46" s="167"/>
      <c r="S46" s="210">
        <f>1/IF(AG46="EC",12,1)*SUM(U46:U46)</f>
        <v>1</v>
      </c>
      <c r="T46" s="192" t="str">
        <f>IF(ISEVEN(LEFT(AD46,4)),"Southbound","NorthBound")</f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-09-12T07:24:43-0600',mode:absolute,to:'2017-09-12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6" s="194" t="str">
        <f>IF(AA46&lt;VLOOKUP(AG46,Variables!$AC$3:$AD$8,2,FALSE),"Y","N")</f>
        <v>N</v>
      </c>
      <c r="X46" s="194">
        <f>VALUE(LEFT(AD46,4))-VALUE(LEFT(AD45,4))</f>
        <v>1</v>
      </c>
      <c r="Y46" s="194">
        <f>RIGHT(D46,LEN(D46)-4)/10000</f>
        <v>23.296099999999999</v>
      </c>
      <c r="Z46" s="194">
        <f>RIGHT(H46,LEN(H46)-4)/10000</f>
        <v>1.43E-2</v>
      </c>
      <c r="AA46" s="194">
        <f>ABS(Z46-Y46)</f>
        <v>23.2818</v>
      </c>
      <c r="AB46" s="54" t="str">
        <f>VLOOKUP(A46,Enforcements!$C$7:$K$11,8,0)</f>
        <v>Bulletin (2)</v>
      </c>
      <c r="AC46" s="51" t="str">
        <f>VLOOKUP(A46,Enforcements!$C$7:$E$11,3,0)</f>
        <v>GRADE CROSSING</v>
      </c>
      <c r="AD46" s="203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/stypes="app*4057*20170912*" /stext=" 15:.+((SYSTEM_STATE.+slice.+state.+changed )|(ment ac)|(multiple cpu faults)|(system.+state.+changed )|(\[timeout)|(PRM\|1\|D)|(kpr)|(kdp)|(train st.+moving)|(\|lc)|(penalty))"</v>
      </c>
      <c r="AG46" s="206" t="str">
        <f>DetSubdiv(A46)</f>
        <v>EC</v>
      </c>
      <c r="AH46" s="78" t="str">
        <f t="shared" si="4"/>
        <v>"%USERPROFILE%\Documents\GitHub\eaglep3\Utilities\RefineRTDCRunTimes.py" --tripid 134-12 --locoid 4057 --swversion DE.1.0.9.0 --startMP 204:232961 --initTime 2017-09-12T08:24:43 --startdatetime 2017-09-12T08:42:16 --delay 174 --endMP 204:143 --enddatetime 2017-09-12T09:20:46 --enforcementcount 0 &gt;&gt;C:\Users\stu\Documents\GitHub\eaglep3-reporting\EC\2017-09-12-refined-times.txt</v>
      </c>
      <c r="AI4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{"issue":{"subject":"","project_id":79,"tracker_id":40,"status_id":1,"priority_id":2,"assigned_to_id":338,"start_date":"2017-09-12","description":"","custom_fields":[{"id":1,"name":"Subdivision","value":"EC"},{"id":4,"name":"Milepost","value":"0.0143"},{"id":17,"name":"Train ID","value":"134-12"},{"id":16,"name":"Locomotive ID","value":"4057"},{"id":130,"name":"Impact","value":""},{"id":150,"name":"Time of Event (Mountain Time)","value":"09:20:46"},{"id":151,"name":"Denver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4057 --day 2017-09-12</v>
      </c>
      <c r="AN4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667</v>
      </c>
      <c r="B47" s="7">
        <v>4032</v>
      </c>
      <c r="C47" s="21" t="s">
        <v>197</v>
      </c>
      <c r="D47" s="21" t="s">
        <v>450</v>
      </c>
      <c r="E47" s="13">
        <v>42990.330381944441</v>
      </c>
      <c r="F47" s="13">
        <v>42990.333483796298</v>
      </c>
      <c r="G47" s="7">
        <v>159</v>
      </c>
      <c r="H47" s="21" t="s">
        <v>840</v>
      </c>
      <c r="I47" s="13">
        <v>42990.358680555553</v>
      </c>
      <c r="J47" s="7">
        <v>0</v>
      </c>
      <c r="K47" s="89" t="str">
        <f>IF(ISEVEN(B47),(B47-1)&amp;"/"&amp;B47,B47&amp;"/"&amp;(B47+1))</f>
        <v>4031/4032</v>
      </c>
      <c r="L47" s="214" t="str">
        <f>VLOOKUP(A47,'Trips&amp;Operators'!$C$1:$G$99911,5,FALSE)</f>
        <v>ROMERO CHAD</v>
      </c>
      <c r="M47" s="6">
        <f>I47-F47</f>
        <v>2.5196759255777579E-2</v>
      </c>
      <c r="N47" s="7">
        <f>24*60*SUM($M47:$M47)</f>
        <v>36.283333328319713</v>
      </c>
      <c r="O47" s="7"/>
      <c r="P47" s="7"/>
      <c r="Q47" s="22"/>
      <c r="R47" s="167"/>
      <c r="S47" s="210">
        <f>1/IF(AG47="EC",12,1)*SUM(U47:U47)</f>
        <v>1</v>
      </c>
      <c r="T47" s="192" t="str">
        <f>IF(ISEVEN(LEFT(AD47,4)),"Southbound","NorthBound")</f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-09-12T06:55:45-0600',mode:absolute,to:'2017-09-12T09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194" t="str">
        <f>IF(AA47&lt;VLOOKUP(AG47,Variables!$AC$3:$AD$8,2,FALSE),"Y","N")</f>
        <v>N</v>
      </c>
      <c r="X47" s="194">
        <f>VALUE(LEFT(AD47,4))-VALUE(LEFT(AD46,4))</f>
        <v>1</v>
      </c>
      <c r="Y47" s="194">
        <f>RIGHT(D47,LEN(D47)-4)/10000</f>
        <v>4.4400000000000002E-2</v>
      </c>
      <c r="Z47" s="194">
        <f>RIGHT(H47,LEN(H47)-4)/10000</f>
        <v>23.336400000000001</v>
      </c>
      <c r="AA47" s="194">
        <f>ABS(Z47-Y47)</f>
        <v>23.292000000000002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/stypes="app*4032*20170912*" /stext=" 14:.+((SYSTEM_STATE.+slice.+state.+changed )|(ment ac)|(multiple cpu faults)|(system.+state.+changed )|(\[timeout)|(PRM\|1\|D)|(kpr)|(kdp)|(train st.+moving)|(\|lc)|(penalty))"</v>
      </c>
      <c r="AG47" s="206" t="str">
        <f>DetSubdiv(A47)</f>
        <v>EC</v>
      </c>
      <c r="AH47" s="78" t="str">
        <f t="shared" si="4"/>
        <v>"%USERPROFILE%\Documents\GitHub\eaglep3\Utilities\RefineRTDCRunTimes.py" --tripid 135-12 --locoid 4032 --swversion DE.1.0.9.0 --startMP 204:444 --initTime 2017-09-12T07:55:45 --startdatetime 2017-09-12T08:00:13 --delay 159 --endMP 204:233364 --enddatetime 2017-09-12T08:36:30 --enforcementcount 0 &gt;&gt;C:\Users\stu\Documents\GitHub\eaglep3-reporting\EC\2017-09-12-refined-times.txt</v>
      </c>
      <c r="AI4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{"issue":{"subject":"","project_id":79,"tracker_id":40,"status_id":1,"priority_id":2,"assigned_to_id":338,"start_date":"2017-09-12","description":"","custom_fields":[{"id":1,"name":"Subdivision","value":"EC"},{"id":4,"name":"Milepost","value":"23.3364"},{"id":17,"name":"Train ID","value":"135-12"},{"id":16,"name":"Locomotive ID","value":"4032"},{"id":130,"name":"Impact","value":""},{"id":150,"name":"Time of Event (Mountain Time)","value":"08:36:30"},{"id":151,"name":"Denver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4032 --day 2017-09-12</v>
      </c>
      <c r="AN4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675</v>
      </c>
      <c r="B48" s="7">
        <v>4031</v>
      </c>
      <c r="C48" s="21" t="s">
        <v>197</v>
      </c>
      <c r="D48" s="21" t="s">
        <v>841</v>
      </c>
      <c r="E48" s="13">
        <v>42990.361400462964</v>
      </c>
      <c r="F48" s="13">
        <v>42990.373090277775</v>
      </c>
      <c r="G48" s="7">
        <v>83</v>
      </c>
      <c r="H48" s="21" t="s">
        <v>443</v>
      </c>
      <c r="I48" s="13">
        <v>42990.400219907409</v>
      </c>
      <c r="J48" s="7">
        <v>0</v>
      </c>
      <c r="K48" s="89" t="str">
        <f>IF(ISEVEN(B48),(B48-1)&amp;"/"&amp;B48,B48&amp;"/"&amp;(B48+1))</f>
        <v>4031/4032</v>
      </c>
      <c r="L48" s="214" t="str">
        <f>VLOOKUP(A48,'Trips&amp;Operators'!$C$1:$G$99911,5,FALSE)</f>
        <v>ROMERO CHAD</v>
      </c>
      <c r="M48" s="6">
        <f>I48-F48</f>
        <v>2.7129629634146113E-2</v>
      </c>
      <c r="N48" s="7">
        <f>24*60*SUM($M48:$M48)</f>
        <v>39.066666673170403</v>
      </c>
      <c r="O48" s="7"/>
      <c r="P48" s="7"/>
      <c r="Q48" s="22"/>
      <c r="R48" s="167"/>
      <c r="S48" s="210">
        <f>1/IF(AG48="EC",12,1)*SUM(U48:U48)</f>
        <v>1</v>
      </c>
      <c r="T48" s="192" t="str">
        <f>IF(ISEVEN(LEFT(AD48,4)),"Southbound","NorthBound")</f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-09-12T07:40:25-0600',mode:absolute,to:'2017-09-12T10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194" t="str">
        <f>IF(AA48&lt;VLOOKUP(AG48,Variables!$AC$3:$AD$8,2,FALSE),"Y","N")</f>
        <v>N</v>
      </c>
      <c r="X48" s="194">
        <f>VALUE(LEFT(AD48,4))-VALUE(LEFT(AD47,4))</f>
        <v>1</v>
      </c>
      <c r="Y48" s="194">
        <f>RIGHT(D48,LEN(D48)-4)/10000</f>
        <v>23.305299999999999</v>
      </c>
      <c r="Z48" s="194">
        <f>RIGHT(H48,LEN(H48)-4)/10000</f>
        <v>1.3599999999999999E-2</v>
      </c>
      <c r="AA48" s="194">
        <f>ABS(Z48-Y48)</f>
        <v>23.291699999999999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/stypes="app*4031*20170912*" /stext=" 15:.+((SYSTEM_STATE.+slice.+state.+changed )|(ment ac)|(multiple cpu faults)|(system.+state.+changed )|(\[timeout)|(PRM\|1\|D)|(kpr)|(kdp)|(train st.+moving)|(\|lc)|(penalty))"</v>
      </c>
      <c r="AG48" s="206" t="str">
        <f>DetSubdiv(A48)</f>
        <v>EC</v>
      </c>
      <c r="AH48" s="78" t="str">
        <f t="shared" si="4"/>
        <v>"%USERPROFILE%\Documents\GitHub\eaglep3\Utilities\RefineRTDCRunTimes.py" --tripid 136-12 --locoid 4031 --swversion DE.1.0.9.0 --startMP 204:233053 --initTime 2017-09-12T08:40:25 --startdatetime 2017-09-12T08:57:15 --delay 83 --endMP 204:136 --enddatetime 2017-09-12T09:36:19 --enforcementcount 0 &gt;&gt;C:\Users\stu\Documents\GitHub\eaglep3-reporting\EC\2017-09-12-refined-times.txt</v>
      </c>
      <c r="AI48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{"issue":{"subject":"","project_id":79,"tracker_id":40,"status_id":1,"priority_id":2,"assigned_to_id":338,"start_date":"2017-09-12","description":"","custom_fields":[{"id":1,"name":"Subdivision","value":"EC"},{"id":4,"name":"Milepost","value":"0.0136"},{"id":17,"name":"Train ID","value":"136-12"},{"id":16,"name":"Locomotive ID","value":"4031"},{"id":130,"name":"Impact","value":""},{"id":150,"name":"Time of Event (Mountain Time)","value":"09:36:19"},{"id":151,"name":"Denver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4031 --day 2017-09-12</v>
      </c>
      <c r="AN48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670</v>
      </c>
      <c r="B49" s="7">
        <v>4028</v>
      </c>
      <c r="C49" s="21" t="s">
        <v>197</v>
      </c>
      <c r="D49" s="21" t="s">
        <v>494</v>
      </c>
      <c r="E49" s="13">
        <v>42990.341504629629</v>
      </c>
      <c r="F49" s="13">
        <v>42990.343912037039</v>
      </c>
      <c r="G49" s="7">
        <v>47</v>
      </c>
      <c r="H49" s="21" t="s">
        <v>464</v>
      </c>
      <c r="I49" s="13">
        <v>42990.367812500001</v>
      </c>
      <c r="J49" s="7">
        <v>0</v>
      </c>
      <c r="K49" s="89" t="str">
        <f>IF(ISEVEN(B49),(B49-1)&amp;"/"&amp;B49,B49&amp;"/"&amp;(B49+1))</f>
        <v>4027/4028</v>
      </c>
      <c r="L49" s="214" t="str">
        <f>VLOOKUP(A49,'Trips&amp;Operators'!$C$1:$G$99911,5,FALSE)</f>
        <v>LAMAR NEKESHA</v>
      </c>
      <c r="M49" s="6">
        <f>I49-F49</f>
        <v>2.3900462962046731E-2</v>
      </c>
      <c r="N49" s="7">
        <f>24*60*SUM($M49:$M49)</f>
        <v>34.416666665347293</v>
      </c>
      <c r="O49" s="7"/>
      <c r="P49" s="7"/>
      <c r="Q49" s="22"/>
      <c r="R49" s="167"/>
      <c r="S49" s="210">
        <f>1/IF(AG49="EC",12,1)*SUM(U49:U49)</f>
        <v>1</v>
      </c>
      <c r="T49" s="192" t="str">
        <f>IF(ISEVEN(LEFT(AD49,4)),"Southbound","NorthBound")</f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-09-12T07:11:46-0600',mode:absolute,to:'2017-09-12T09:49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9" s="194" t="str">
        <f>IF(AA49&lt;VLOOKUP(AG49,Variables!$AC$3:$AD$8,2,FALSE),"Y","N")</f>
        <v>N</v>
      </c>
      <c r="X49" s="194">
        <f>VALUE(LEFT(AD49,4))-VALUE(LEFT(AD48,4))</f>
        <v>1</v>
      </c>
      <c r="Y49" s="194">
        <f>RIGHT(D49,LEN(D49)-4)/10000</f>
        <v>4.8899999999999999E-2</v>
      </c>
      <c r="Z49" s="194">
        <f>RIGHT(H49,LEN(H49)-4)/10000</f>
        <v>23.3291</v>
      </c>
      <c r="AA49" s="194">
        <f>ABS(Z49-Y49)</f>
        <v>23.280200000000001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s3://rtdc.mdm.uploadarchive.raw/RTDC4028/ "%USERPROFILE%\AppData\Local\Temp\OnboardLogs"\RTDC4028\2017-09-12 --exclude "*" --recursive --include "*20170912*" &amp; "%USERPROFILE%\Documents\GitHub\mrs-test-scripts\Headless Mode &amp; Sideloading\WalkAndUnGZ.bat" "%USERPROFILE%\AppData\Local\Temp\OnboardLogs"\RTDC4028\2017-09-12 &amp; 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/stypes="app*4028*20170912*" /stext=" 14:.+((SYSTEM_STATE.+slice.+state.+changed )|(ment ac)|(multiple cpu faults)|(system.+state.+changed )|(\[timeout)|(PRM\|1\|D)|(kpr)|(kdp)|(train st.+moving)|(\|lc)|(penalty))"</v>
      </c>
      <c r="AG49" s="206" t="str">
        <f>DetSubdiv(A49)</f>
        <v>EC</v>
      </c>
      <c r="AH49" s="78" t="str">
        <f t="shared" si="4"/>
        <v>"%USERPROFILE%\Documents\GitHub\eaglep3\Utilities\RefineRTDCRunTimes.py" --tripid 137-12 --locoid 4028 --swversion DE.1.0.9.0 --startMP 204:489 --initTime 2017-09-12T08:11:46 --startdatetime 2017-09-12T08:15:14 --delay 47 --endMP 204:233291 --enddatetime 2017-09-12T08:49:39 --enforcementcount 0 &gt;&gt;C:\Users\stu\Documents\GitHub\eaglep3-reporting\EC\2017-09-12-refined-times.txt</v>
      </c>
      <c r="AI49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{"issue":{"subject":"","project_id":79,"tracker_id":40,"status_id":1,"priority_id":2,"assigned_to_id":338,"start_date":"2017-09-12","description":"","custom_fields":[{"id":1,"name":"Subdivision","value":"EC"},{"id":4,"name":"Milepost","value":"23.3291"},{"id":17,"name":"Train ID","value":"137-12"},{"id":16,"name":"Locomotive ID","value":"4028"},{"id":130,"name":"Impact","value":""},{"id":150,"name":"Time of Event (Mountain Time)","value":"08:49:39"},{"id":151,"name":"Denver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4028 --day 2017-09-12</v>
      </c>
      <c r="AN49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14:49:39"},{"id":29,"name":"Sharepoint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677</v>
      </c>
      <c r="B50" s="7">
        <v>4027</v>
      </c>
      <c r="C50" s="21" t="s">
        <v>197</v>
      </c>
      <c r="D50" s="21" t="s">
        <v>833</v>
      </c>
      <c r="E50" s="13">
        <v>42990.380543981482</v>
      </c>
      <c r="F50" s="13">
        <v>42990.383506944447</v>
      </c>
      <c r="G50" s="7">
        <v>53</v>
      </c>
      <c r="H50" s="21" t="s">
        <v>373</v>
      </c>
      <c r="I50" s="13">
        <v>42990.410104166665</v>
      </c>
      <c r="J50" s="7">
        <v>0</v>
      </c>
      <c r="K50" s="89" t="str">
        <f>IF(ISEVEN(B50),(B50-1)&amp;"/"&amp;B50,B50&amp;"/"&amp;(B50+1))</f>
        <v>4027/4028</v>
      </c>
      <c r="L50" s="214" t="str">
        <f>VLOOKUP(A50,'Trips&amp;Operators'!$C$1:$G$99911,5,FALSE)</f>
        <v>LAMAR NEKESHA</v>
      </c>
      <c r="M50" s="6">
        <f>I50-F50</f>
        <v>2.6597222218697425E-2</v>
      </c>
      <c r="N50" s="7">
        <f>24*60*SUM($M50:$M50)</f>
        <v>38.299999994924292</v>
      </c>
      <c r="O50" s="7"/>
      <c r="P50" s="7"/>
      <c r="Q50" s="22"/>
      <c r="R50" s="167"/>
      <c r="S50" s="210">
        <f>1/IF(AG50="EC",12,1)*SUM(U50:U50)</f>
        <v>1</v>
      </c>
      <c r="T50" s="192" t="str">
        <f>IF(ISEVEN(LEFT(AD50,4)),"Southbound","NorthBound")</f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-09-12T08:07:59-0600',mode:absolute,to:'2017-09-12T10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0" s="194" t="str">
        <f>IF(AA50&lt;VLOOKUP(AG50,Variables!$AC$3:$AD$8,2,FALSE),"Y","N")</f>
        <v>N</v>
      </c>
      <c r="X50" s="194">
        <f>VALUE(LEFT(AD50,4))-VALUE(LEFT(AD49,4))</f>
        <v>1</v>
      </c>
      <c r="Y50" s="194">
        <f>RIGHT(D50,LEN(D50)-4)/10000</f>
        <v>23.296900000000001</v>
      </c>
      <c r="Z50" s="194">
        <f>RIGHT(H50,LEN(H50)-4)/10000</f>
        <v>1.5599999999999999E-2</v>
      </c>
      <c r="AA50" s="194">
        <f>ABS(Z50-Y50)</f>
        <v>23.281300000000002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s3://rtdc.mdm.uploadarchive.raw/RTDC4027/ "%USERPROFILE%\AppData\Local\Temp\OnboardLogs"\RTDC4027\2017-09-12 --exclude "*" --recursive --include "*20170912*" &amp; "%USERPROFILE%\Documents\GitHub\mrs-test-scripts\Headless Mode &amp; Sideloading\WalkAndUnGZ.bat" "%USERPROFILE%\AppData\Local\Temp\OnboardLogs"\RTDC4027\2017-09-12 &amp; 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/stypes="app*4027*20170912*" /stext=" 15:.+((SYSTEM_STATE.+slice.+state.+changed )|(ment ac)|(multiple cpu faults)|(system.+state.+changed )|(\[timeout)|(PRM\|1\|D)|(kpr)|(kdp)|(train st.+moving)|(\|lc)|(penalty))"</v>
      </c>
      <c r="AG50" s="206" t="str">
        <f>DetSubdiv(A50)</f>
        <v>EC</v>
      </c>
      <c r="AH50" s="78" t="str">
        <f t="shared" si="4"/>
        <v>"%USERPROFILE%\Documents\GitHub\eaglep3\Utilities\RefineRTDCRunTimes.py" --tripid 138-12 --locoid 4027 --swversion DE.1.0.9.0 --startMP 204:232969 --initTime 2017-09-12T09:07:59 --startdatetime 2017-09-12T09:12:15 --delay 53 --endMP 204:156 --enddatetime 2017-09-12T09:50:33 --enforcementcount 0 &gt;&gt;C:\Users\stu\Documents\GitHub\eaglep3-reporting\EC\2017-09-12-refined-times.txt</v>
      </c>
      <c r="AI50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{"issue":{"subject":"","project_id":79,"tracker_id":40,"status_id":1,"priority_id":2,"assigned_to_id":338,"start_date":"2017-09-12","description":"","custom_fields":[{"id":1,"name":"Subdivision","value":"EC"},{"id":4,"name":"Milepost","value":"0.0156"},{"id":17,"name":"Train ID","value":"138-12"},{"id":16,"name":"Locomotive ID","value":"4027"},{"id":130,"name":"Impact","value":""},{"id":150,"name":"Time of Event (Mountain Time)","value":"09:50:33"},{"id":151,"name":"Denver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4027 --day 2017-09-12</v>
      </c>
      <c r="AN50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671</v>
      </c>
      <c r="B51" s="7">
        <v>4062</v>
      </c>
      <c r="C51" s="21" t="s">
        <v>197</v>
      </c>
      <c r="D51" s="21" t="s">
        <v>350</v>
      </c>
      <c r="E51" s="13">
        <v>42990.349988425929</v>
      </c>
      <c r="F51" s="13">
        <v>42990.354363425926</v>
      </c>
      <c r="G51" s="7">
        <v>72</v>
      </c>
      <c r="H51" s="21" t="s">
        <v>548</v>
      </c>
      <c r="I51" s="13">
        <v>42990.379583333335</v>
      </c>
      <c r="J51" s="7">
        <v>0</v>
      </c>
      <c r="K51" s="89" t="str">
        <f>IF(ISEVEN(B51),(B51-1)&amp;"/"&amp;B51,B51&amp;"/"&amp;(B51+1))</f>
        <v>4061/4062</v>
      </c>
      <c r="L51" s="214" t="str">
        <f>VLOOKUP(A51,'Trips&amp;Operators'!$C$1:$G$99911,5,FALSE)</f>
        <v>ACKERMAN JARED</v>
      </c>
      <c r="M51" s="6">
        <f>I51-F51</f>
        <v>2.5219907409336884E-2</v>
      </c>
      <c r="N51" s="7">
        <f>24*60*SUM($M51:$M51)</f>
        <v>36.316666669445112</v>
      </c>
      <c r="O51" s="7"/>
      <c r="P51" s="7"/>
      <c r="Q51" s="22"/>
      <c r="R51" s="167"/>
      <c r="S51" s="210">
        <f>1/IF(AG51="EC",12,1)*SUM(U51:U51)</f>
        <v>1</v>
      </c>
      <c r="T51" s="192" t="str">
        <f>IF(ISEVEN(LEFT(AD51,4)),"Southbound","NorthBound")</f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-12T07:23:59-0600',mode:absolute,to:'2017-09-12T10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1" s="194" t="str">
        <f>IF(AA51&lt;VLOOKUP(AG51,Variables!$AC$3:$AD$8,2,FALSE),"Y","N")</f>
        <v>N</v>
      </c>
      <c r="X51" s="194">
        <f>VALUE(LEFT(AD51,4))-VALUE(LEFT(AD50,4))</f>
        <v>1</v>
      </c>
      <c r="Y51" s="194">
        <f>RIGHT(D51,LEN(D51)-4)/10000</f>
        <v>4.5499999999999999E-2</v>
      </c>
      <c r="Z51" s="194">
        <f>RIGHT(H51,LEN(H51)-4)/10000</f>
        <v>23.332100000000001</v>
      </c>
      <c r="AA51" s="194">
        <f>ABS(Z51-Y51)</f>
        <v>23.2866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/stypes="app*4062*20170912*" /stext=" 15:.+((SYSTEM_STATE.+slice.+state.+changed )|(ment ac)|(multiple cpu faults)|(system.+state.+changed )|(\[timeout)|(PRM\|1\|D)|(kpr)|(kdp)|(train st.+moving)|(\|lc)|(penalty))"</v>
      </c>
      <c r="AG51" s="206" t="str">
        <f>DetSubdiv(A51)</f>
        <v>EC</v>
      </c>
      <c r="AH51" s="78" t="str">
        <f t="shared" si="4"/>
        <v>"%USERPROFILE%\Documents\GitHub\eaglep3\Utilities\RefineRTDCRunTimes.py" --tripid 139-12 --locoid 4062 --swversion DE.1.0.9.0 --startMP 204:455 --initTime 2017-09-12T08:23:59 --startdatetime 2017-09-12T08:30:17 --delay 72 --endMP 204:233321 --enddatetime 2017-09-12T09:06:36 --enforcementcount 0 &gt;&gt;C:\Users\stu\Documents\GitHub\eaglep3-reporting\EC\2017-09-12-refined-times.txt</v>
      </c>
      <c r="AI51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{"issue":{"subject":"","project_id":79,"tracker_id":40,"status_id":1,"priority_id":2,"assigned_to_id":338,"start_date":"2017-09-12","description":"","custom_fields":[{"id":1,"name":"Subdivision","value":"EC"},{"id":4,"name":"Milepost","value":"23.3321"},{"id":17,"name":"Train ID","value":"139-12"},{"id":16,"name":"Locomotive ID","value":"4062"},{"id":130,"name":"Impact","value":""},{"id":150,"name":"Time of Event (Mountain Time)","value":"09:06:36"},{"id":151,"name":"Denver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4062 --day 2017-09-12</v>
      </c>
      <c r="AN51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679</v>
      </c>
      <c r="B52" s="7">
        <v>4061</v>
      </c>
      <c r="C52" s="21" t="s">
        <v>197</v>
      </c>
      <c r="D52" s="21" t="s">
        <v>476</v>
      </c>
      <c r="E52" s="13">
        <v>42990.386678240742</v>
      </c>
      <c r="F52" s="13">
        <v>42990.394444444442</v>
      </c>
      <c r="G52" s="7">
        <v>139</v>
      </c>
      <c r="H52" s="21" t="s">
        <v>842</v>
      </c>
      <c r="I52" s="13">
        <v>42990.4215625</v>
      </c>
      <c r="J52" s="7">
        <v>0</v>
      </c>
      <c r="K52" s="89" t="str">
        <f>IF(ISEVEN(B52),(B52-1)&amp;"/"&amp;B52,B52&amp;"/"&amp;(B52+1))</f>
        <v>4061/4062</v>
      </c>
      <c r="L52" s="214" t="str">
        <f>VLOOKUP(A52,'Trips&amp;Operators'!$C$1:$G$99911,5,FALSE)</f>
        <v>ACKERMAN JARED</v>
      </c>
      <c r="M52" s="6">
        <f>I52-F52</f>
        <v>2.7118055557366461E-2</v>
      </c>
      <c r="N52" s="7">
        <f>24*60*SUM($M52:$M52)</f>
        <v>39.050000002607703</v>
      </c>
      <c r="O52" s="7"/>
      <c r="P52" s="7"/>
      <c r="Q52" s="22"/>
      <c r="R52" s="167"/>
      <c r="S52" s="210">
        <f>1/IF(AG52="EC",12,1)*SUM(U52:U52)</f>
        <v>1</v>
      </c>
      <c r="T52" s="192" t="str">
        <f>IF(ISEVEN(LEFT(AD52,4)),"Southbound","NorthBound")</f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-09-12T08:16:49-0600',mode:absolute,to:'2017-09-12T11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2" s="194" t="str">
        <f>IF(AA52&lt;VLOOKUP(AG52,Variables!$AC$3:$AD$8,2,FALSE),"Y","N")</f>
        <v>N</v>
      </c>
      <c r="X52" s="194">
        <f>VALUE(LEFT(AD52,4))-VALUE(LEFT(AD51,4))</f>
        <v>1</v>
      </c>
      <c r="Y52" s="194">
        <f>RIGHT(D52,LEN(D52)-4)/10000</f>
        <v>23.2989</v>
      </c>
      <c r="Z52" s="194">
        <f>RIGHT(H52,LEN(H52)-4)/10000</f>
        <v>1.2699999999999999E-2</v>
      </c>
      <c r="AA52" s="194">
        <f>ABS(Z52-Y52)</f>
        <v>23.286200000000001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/stypes="app*4061*20170912*" /stext=" 16:.+((SYSTEM_STATE.+slice.+state.+changed )|(ment ac)|(multiple cpu faults)|(system.+state.+changed )|(\[timeout)|(PRM\|1\|D)|(kpr)|(kdp)|(train st.+moving)|(\|lc)|(penalty))"</v>
      </c>
      <c r="AG52" s="206" t="str">
        <f>DetSubdiv(A52)</f>
        <v>EC</v>
      </c>
      <c r="AH52" s="78" t="str">
        <f t="shared" si="4"/>
        <v>"%USERPROFILE%\Documents\GitHub\eaglep3\Utilities\RefineRTDCRunTimes.py" --tripid 140-12 --locoid 4061 --swversion DE.1.0.9.0 --startMP 204:232989 --initTime 2017-09-12T09:16:49 --startdatetime 2017-09-12T09:28:00 --delay 139 --endMP 204:127 --enddatetime 2017-09-12T10:07:03 --enforcementcount 0 &gt;&gt;C:\Users\stu\Documents\GitHub\eaglep3-reporting\EC\2017-09-12-refined-times.txt</v>
      </c>
      <c r="AI52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{"issue":{"subject":"","project_id":79,"tracker_id":40,"status_id":1,"priority_id":2,"assigned_to_id":338,"start_date":"2017-09-12","description":"","custom_fields":[{"id":1,"name":"Subdivision","value":"EC"},{"id":4,"name":"Milepost","value":"0.0127"},{"id":17,"name":"Train ID","value":"140-12"},{"id":16,"name":"Locomotive ID","value":"4061"},{"id":130,"name":"Impact","value":""},{"id":150,"name":"Time of Event (Mountain Time)","value":"10:07:03"},{"id":151,"name":"Denver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4061 --day 2017-09-12</v>
      </c>
      <c r="AN52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674</v>
      </c>
      <c r="B53" s="7">
        <v>4012</v>
      </c>
      <c r="C53" s="21" t="s">
        <v>197</v>
      </c>
      <c r="D53" s="21" t="s">
        <v>361</v>
      </c>
      <c r="E53" s="13">
        <v>42990.360347222224</v>
      </c>
      <c r="F53" s="13">
        <v>42990.364976851852</v>
      </c>
      <c r="G53" s="7">
        <v>128</v>
      </c>
      <c r="H53" s="21" t="s">
        <v>543</v>
      </c>
      <c r="I53" s="13">
        <v>42990.39025462963</v>
      </c>
      <c r="J53" s="7">
        <v>0</v>
      </c>
      <c r="K53" s="89" t="str">
        <f>IF(ISEVEN(B53),(B53-1)&amp;"/"&amp;B53,B53&amp;"/"&amp;(B53+1))</f>
        <v>4011/4012</v>
      </c>
      <c r="L53" s="214" t="str">
        <f>VLOOKUP(A53,'Trips&amp;Operators'!$C$1:$G$99911,5,FALSE)</f>
        <v>LANGERAK WILLIAM</v>
      </c>
      <c r="M53" s="6">
        <f>I53-F53</f>
        <v>2.527777777868323E-2</v>
      </c>
      <c r="N53" s="7">
        <f>24*60*SUM($M53:$M53)</f>
        <v>36.400000001303852</v>
      </c>
      <c r="O53" s="7"/>
      <c r="P53" s="7"/>
      <c r="Q53" s="22"/>
      <c r="R53" s="167"/>
      <c r="S53" s="210">
        <f>1/IF(AG53="EC",12,1)*SUM(U53:U53)</f>
        <v>1</v>
      </c>
      <c r="T53" s="192" t="str">
        <f>IF(ISEVEN(LEFT(AD53,4)),"Southbound","NorthBound")</f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-12T07:38:54-0600',mode:absolute,to:'2017-09-12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94" t="str">
        <f>IF(AA53&lt;VLOOKUP(AG53,Variables!$AC$3:$AD$8,2,FALSE),"Y","N")</f>
        <v>N</v>
      </c>
      <c r="X53" s="194">
        <f>VALUE(LEFT(AD53,4))-VALUE(LEFT(AD52,4))</f>
        <v>1</v>
      </c>
      <c r="Y53" s="194">
        <f>RIGHT(D53,LEN(D53)-4)/10000</f>
        <v>4.4900000000000002E-2</v>
      </c>
      <c r="Z53" s="194">
        <f>RIGHT(H53,LEN(H53)-4)/10000</f>
        <v>23.328600000000002</v>
      </c>
      <c r="AA53" s="194">
        <f>ABS(Z53-Y53)</f>
        <v>23.283700000000003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/stypes="app*4012*20170912*" /stext=" 15:.+((SYSTEM_STATE.+slice.+state.+changed )|(ment ac)|(multiple cpu faults)|(system.+state.+changed )|(\[timeout)|(PRM\|1\|D)|(kpr)|(kdp)|(train st.+moving)|(\|lc)|(penalty))"</v>
      </c>
      <c r="AG53" s="206" t="str">
        <f>DetSubdiv(A53)</f>
        <v>EC</v>
      </c>
      <c r="AH53" s="78" t="str">
        <f t="shared" si="4"/>
        <v>"%USERPROFILE%\Documents\GitHub\eaglep3\Utilities\RefineRTDCRunTimes.py" --tripid 141-12 --locoid 4012 --swversion DE.1.0.9.0 --startMP 204:449 --initTime 2017-09-12T08:38:54 --startdatetime 2017-09-12T08:45:34 --delay 128 --endMP 204:233286 --enddatetime 2017-09-12T09:21:58 --enforcementcount 0 &gt;&gt;C:\Users\stu\Documents\GitHub\eaglep3-reporting\EC\2017-09-12-refined-times.txt</v>
      </c>
      <c r="AI53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{"issue":{"subject":"","project_id":79,"tracker_id":40,"status_id":1,"priority_id":2,"assigned_to_id":338,"start_date":"2017-09-12","description":"","custom_fields":[{"id":1,"name":"Subdivision","value":"EC"},{"id":4,"name":"Milepost","value":"23.3286"},{"id":17,"name":"Train ID","value":"141-12"},{"id":16,"name":"Locomotive ID","value":"4012"},{"id":130,"name":"Impact","value":""},{"id":150,"name":"Time of Event (Mountain Time)","value":"09:21:58"},{"id":151,"name":"Denver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4012 --day 2017-09-12</v>
      </c>
      <c r="AN53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680</v>
      </c>
      <c r="B54" s="7">
        <v>4011</v>
      </c>
      <c r="C54" s="21" t="s">
        <v>197</v>
      </c>
      <c r="D54" s="21" t="s">
        <v>530</v>
      </c>
      <c r="E54" s="13">
        <v>42990.391840277778</v>
      </c>
      <c r="F54" s="13">
        <v>42990.404351851852</v>
      </c>
      <c r="G54" s="7">
        <v>67</v>
      </c>
      <c r="H54" s="21" t="s">
        <v>343</v>
      </c>
      <c r="I54" s="13">
        <v>42990.431793981479</v>
      </c>
      <c r="J54" s="7">
        <v>0</v>
      </c>
      <c r="K54" s="89" t="str">
        <f>IF(ISEVEN(B54),(B54-1)&amp;"/"&amp;B54,B54&amp;"/"&amp;(B54+1))</f>
        <v>4011/4012</v>
      </c>
      <c r="L54" s="214" t="str">
        <f>VLOOKUP(A54,'Trips&amp;Operators'!$C$1:$G$99911,5,FALSE)</f>
        <v>LANGERAK WILLIAM</v>
      </c>
      <c r="M54" s="6">
        <f>I54-F54</f>
        <v>2.7442129627161194E-2</v>
      </c>
      <c r="N54" s="7">
        <f>24*60*SUM($M54:$M54)</f>
        <v>39.516666663112119</v>
      </c>
      <c r="O54" s="7"/>
      <c r="P54" s="7"/>
      <c r="Q54" s="22"/>
      <c r="R54" s="167"/>
      <c r="S54" s="210">
        <f>1/IF(AG54="EC",12,1)*SUM(U54:U54)</f>
        <v>1</v>
      </c>
      <c r="T54" s="192" t="str">
        <f>IF(ISEVEN(LEFT(AD54,4)),"Southbound","NorthBound")</f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-09-12T08:24:15-0600',mode:absolute,to:'2017-09-12T11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94" t="str">
        <f>IF(AA54&lt;VLOOKUP(AG54,Variables!$AC$3:$AD$8,2,FALSE),"Y","N")</f>
        <v>N</v>
      </c>
      <c r="X54" s="194">
        <f>VALUE(LEFT(AD54,4))-VALUE(LEFT(AD53,4))</f>
        <v>1</v>
      </c>
      <c r="Y54" s="194">
        <f>RIGHT(D54,LEN(D54)-4)/10000</f>
        <v>23.2971</v>
      </c>
      <c r="Z54" s="194">
        <f>RIGHT(H54,LEN(H54)-4)/10000</f>
        <v>1.47E-2</v>
      </c>
      <c r="AA54" s="194">
        <f>ABS(Z54-Y54)</f>
        <v>23.282399999999999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/stypes="app*4011*20170912*" /stext=" 16:.+((SYSTEM_STATE.+slice.+state.+changed )|(ment ac)|(multiple cpu faults)|(system.+state.+changed )|(\[timeout)|(PRM\|1\|D)|(kpr)|(kdp)|(train st.+moving)|(\|lc)|(penalty))"</v>
      </c>
      <c r="AG54" s="206" t="str">
        <f>DetSubdiv(A54)</f>
        <v>EC</v>
      </c>
      <c r="AH54" s="78" t="str">
        <f t="shared" si="4"/>
        <v>"%USERPROFILE%\Documents\GitHub\eaglep3\Utilities\RefineRTDCRunTimes.py" --tripid 142-12 --locoid 4011 --swversion DE.1.0.9.0 --startMP 204:232971 --initTime 2017-09-12T09:24:15 --startdatetime 2017-09-12T09:42:16 --delay 67 --endMP 204:147 --enddatetime 2017-09-12T10:21:47 --enforcementcount 0 &gt;&gt;C:\Users\stu\Documents\GitHub\eaglep3-reporting\EC\2017-09-12-refined-times.txt</v>
      </c>
      <c r="AI54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{"issue":{"subject":"","project_id":79,"tracker_id":40,"status_id":1,"priority_id":2,"assigned_to_id":338,"start_date":"2017-09-12","description":"","custom_fields":[{"id":1,"name":"Subdivision","value":"EC"},{"id":4,"name":"Milepost","value":"0.0147"},{"id":17,"name":"Train ID","value":"142-12"},{"id":16,"name":"Locomotive ID","value":"4011"},{"id":130,"name":"Impact","value":""},{"id":150,"name":"Time of Event (Mountain Time)","value":"10:21:47"},{"id":151,"name":"Denver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4011 --day 2017-09-12</v>
      </c>
      <c r="AN54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676</v>
      </c>
      <c r="B55" s="7">
        <v>4002</v>
      </c>
      <c r="C55" s="21" t="s">
        <v>197</v>
      </c>
      <c r="D55" s="21" t="s">
        <v>381</v>
      </c>
      <c r="E55" s="13">
        <v>42990.372071759259</v>
      </c>
      <c r="F55" s="13">
        <v>42990.375162037039</v>
      </c>
      <c r="G55" s="7">
        <v>49</v>
      </c>
      <c r="H55" s="21" t="s">
        <v>475</v>
      </c>
      <c r="I55" s="13">
        <v>42990.400601851848</v>
      </c>
      <c r="J55" s="7">
        <v>0</v>
      </c>
      <c r="K55" s="89" t="str">
        <f>IF(ISEVEN(B55),(B55-1)&amp;"/"&amp;B55,B55&amp;"/"&amp;(B55+1))</f>
        <v>4001/4002</v>
      </c>
      <c r="L55" s="214" t="str">
        <f>VLOOKUP(A55,'Trips&amp;Operators'!$C$1:$G$99911,5,FALSE)</f>
        <v>BONDS REYNALDO</v>
      </c>
      <c r="M55" s="6">
        <f>I55-F55</f>
        <v>2.5439814809942618E-2</v>
      </c>
      <c r="N55" s="7">
        <f>24*60*SUM($M55:$M55)</f>
        <v>36.63333332631737</v>
      </c>
      <c r="O55" s="7"/>
      <c r="P55" s="7"/>
      <c r="Q55" s="22"/>
      <c r="R55" s="167"/>
      <c r="S55" s="210">
        <f>1/IF(AG55="EC",12,1)*SUM(U55:U55)</f>
        <v>1</v>
      </c>
      <c r="T55" s="192" t="str">
        <f>IF(ISEVEN(LEFT(AD55,4)),"Southbound","NorthBound")</f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-09-12T07:55:47-0600',mode:absolute,to:'2017-09-12T10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94" t="str">
        <f>IF(AA55&lt;VLOOKUP(AG55,Variables!$AC$3:$AD$8,2,FALSE),"Y","N")</f>
        <v>N</v>
      </c>
      <c r="X55" s="194">
        <f>VALUE(LEFT(AD55,4))-VALUE(LEFT(AD54,4))</f>
        <v>1</v>
      </c>
      <c r="Y55" s="194">
        <f>RIGHT(D55,LEN(D55)-4)/10000</f>
        <v>4.6899999999999997E-2</v>
      </c>
      <c r="Z55" s="194">
        <f>RIGHT(H55,LEN(H55)-4)/10000</f>
        <v>23.331199999999999</v>
      </c>
      <c r="AA55" s="194">
        <f>ABS(Z55-Y55)</f>
        <v>23.284299999999998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/stypes="app*4002*20170912*" /stext=" 15:.+((SYSTEM_STATE.+slice.+state.+changed )|(ment ac)|(multiple cpu faults)|(system.+state.+changed )|(\[timeout)|(PRM\|1\|D)|(kpr)|(kdp)|(train st.+moving)|(\|lc)|(penalty))"</v>
      </c>
      <c r="AG55" s="206" t="str">
        <f>DetSubdiv(A55)</f>
        <v>EC</v>
      </c>
      <c r="AH55" s="78" t="str">
        <f t="shared" si="4"/>
        <v>"%USERPROFILE%\Documents\GitHub\eaglep3\Utilities\RefineRTDCRunTimes.py" --tripid 143-12 --locoid 4002 --swversion DE.1.0.9.0 --startMP 204:469 --initTime 2017-09-12T08:55:47 --startdatetime 2017-09-12T09:00:14 --delay 49 --endMP 204:233312 --enddatetime 2017-09-12T09:36:52 --enforcementcount 0 &gt;&gt;C:\Users\stu\Documents\GitHub\eaglep3-reporting\EC\2017-09-12-refined-times.txt</v>
      </c>
      <c r="AI5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{"issue":{"subject":"","project_id":79,"tracker_id":40,"status_id":1,"priority_id":2,"assigned_to_id":338,"start_date":"2017-09-12","description":"","custom_fields":[{"id":1,"name":"Subdivision","value":"EC"},{"id":4,"name":"Milepost","value":"23.3312"},{"id":17,"name":"Train ID","value":"143-12"},{"id":16,"name":"Locomotive ID","value":"4002"},{"id":130,"name":"Impact","value":""},{"id":150,"name":"Time of Event (Mountain Time)","value":"09:36:52"},{"id":151,"name":"Denver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4002 --day 2017-09-12</v>
      </c>
      <c r="AN5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682</v>
      </c>
      <c r="B56" s="7">
        <v>4001</v>
      </c>
      <c r="C56" s="21" t="s">
        <v>197</v>
      </c>
      <c r="D56" s="21" t="s">
        <v>394</v>
      </c>
      <c r="E56" s="13">
        <v>42990.410740740743</v>
      </c>
      <c r="F56" s="13">
        <v>42990.414826388886</v>
      </c>
      <c r="G56" s="7">
        <v>49</v>
      </c>
      <c r="H56" s="21" t="s">
        <v>340</v>
      </c>
      <c r="I56" s="13">
        <v>42990.441134259258</v>
      </c>
      <c r="J56" s="7">
        <v>0</v>
      </c>
      <c r="K56" s="89" t="str">
        <f>IF(ISEVEN(B56),(B56-1)&amp;"/"&amp;B56,B56&amp;"/"&amp;(B56+1))</f>
        <v>4001/4002</v>
      </c>
      <c r="L56" s="214" t="str">
        <f>VLOOKUP(A56,'Trips&amp;Operators'!$C$1:$G$99911,5,FALSE)</f>
        <v>BONDS REYNALDO</v>
      </c>
      <c r="M56" s="6">
        <f>I56-F56</f>
        <v>2.6307870371965691E-2</v>
      </c>
      <c r="N56" s="7">
        <f>24*60*SUM($M56:$M56)</f>
        <v>37.883333335630596</v>
      </c>
      <c r="O56" s="7"/>
      <c r="P56" s="7"/>
      <c r="Q56" s="22"/>
      <c r="R56" s="167"/>
      <c r="S56" s="210">
        <f>1/IF(AG56="EC",12,1)*SUM(U56:U56)</f>
        <v>1</v>
      </c>
      <c r="T56" s="192" t="str">
        <f>IF(ISEVEN(LEFT(AD56,4)),"Southbound","NorthBound")</f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-09-12T08:51:28-0600',mode:absolute,to:'2017-09-12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94" t="str">
        <f>IF(AA56&lt;VLOOKUP(AG56,Variables!$AC$3:$AD$8,2,FALSE),"Y","N")</f>
        <v>N</v>
      </c>
      <c r="X56" s="194">
        <f>VALUE(LEFT(AD56,4))-VALUE(LEFT(AD55,4))</f>
        <v>1</v>
      </c>
      <c r="Y56" s="194">
        <f>RIGHT(D56,LEN(D56)-4)/10000</f>
        <v>23.299399999999999</v>
      </c>
      <c r="Z56" s="194">
        <f>RIGHT(H56,LEN(H56)-4)/10000</f>
        <v>1.43E-2</v>
      </c>
      <c r="AA56" s="194">
        <f>ABS(Z56-Y56)</f>
        <v>23.2851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/stypes="app*4001*20170912*" /stext=" 16:.+((SYSTEM_STATE.+slice.+state.+changed )|(ment ac)|(multiple cpu faults)|(system.+state.+changed )|(\[timeout)|(PRM\|1\|D)|(kpr)|(kdp)|(train st.+moving)|(\|lc)|(penalty))"</v>
      </c>
      <c r="AG56" s="206" t="str">
        <f>DetSubdiv(A56)</f>
        <v>EC</v>
      </c>
      <c r="AH56" s="78" t="str">
        <f t="shared" si="4"/>
        <v>"%USERPROFILE%\Documents\GitHub\eaglep3\Utilities\RefineRTDCRunTimes.py" --tripid 144-12 --locoid 4001 --swversion DE.1.0.9.0 --startMP 204:232994 --initTime 2017-09-12T09:51:28 --startdatetime 2017-09-12T09:57:21 --delay 49 --endMP 204:143 --enddatetime 2017-09-12T10:35:14 --enforcementcount 0 &gt;&gt;C:\Users\stu\Documents\GitHub\eaglep3-reporting\EC\2017-09-12-refined-times.txt</v>
      </c>
      <c r="AI5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{"issue":{"subject":"","project_id":79,"tracker_id":40,"status_id":1,"priority_id":2,"assigned_to_id":338,"start_date":"2017-09-12","description":"","custom_fields":[{"id":1,"name":"Subdivision","value":"EC"},{"id":4,"name":"Milepost","value":"0.0143"},{"id":17,"name":"Train ID","value":"144-12"},{"id":16,"name":"Locomotive ID","value":"4001"},{"id":130,"name":"Impact","value":""},{"id":150,"name":"Time of Event (Mountain Time)","value":"10:35:14"},{"id":151,"name":"Denver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4001 --day 2017-09-12</v>
      </c>
      <c r="AN5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678</v>
      </c>
      <c r="B57" s="7">
        <v>4034</v>
      </c>
      <c r="C57" s="21" t="s">
        <v>197</v>
      </c>
      <c r="D57" s="21" t="s">
        <v>843</v>
      </c>
      <c r="E57" s="13">
        <v>42990.3825462963</v>
      </c>
      <c r="F57" s="13">
        <v>42990.385694444441</v>
      </c>
      <c r="G57" s="7">
        <v>51</v>
      </c>
      <c r="H57" s="21" t="s">
        <v>542</v>
      </c>
      <c r="I57" s="13">
        <v>42990.409537037034</v>
      </c>
      <c r="J57" s="7">
        <v>0</v>
      </c>
      <c r="K57" s="89" t="str">
        <f>IF(ISEVEN(B57),(B57-1)&amp;"/"&amp;B57,B57&amp;"/"&amp;(B57+1))</f>
        <v>4033/4034</v>
      </c>
      <c r="L57" s="214" t="str">
        <f>VLOOKUP(A57,'Trips&amp;Operators'!$C$1:$G$99911,5,FALSE)</f>
        <v>MACDONALD THOMAS</v>
      </c>
      <c r="M57" s="6">
        <f>I57-F57</f>
        <v>2.3842592592700385E-2</v>
      </c>
      <c r="N57" s="7">
        <f>24*60*SUM($M57:$M57)</f>
        <v>34.333333333488554</v>
      </c>
      <c r="O57" s="7"/>
      <c r="P57" s="7"/>
      <c r="Q57" s="22"/>
      <c r="R57" s="167"/>
      <c r="S57" s="210">
        <f>1/IF(AG57="EC",12,1)*SUM(U57:U57)</f>
        <v>1</v>
      </c>
      <c r="T57" s="192" t="str">
        <f>IF(ISEVEN(LEFT(AD57,4)),"Southbound","NorthBound")</f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-09-12T08:10:52-0600',mode:absolute,to:'2017-09-12T10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7" s="194" t="str">
        <f>IF(AA57&lt;VLOOKUP(AG57,Variables!$AC$3:$AD$8,2,FALSE),"Y","N")</f>
        <v>N</v>
      </c>
      <c r="X57" s="194">
        <f>VALUE(LEFT(AD57,4))-VALUE(LEFT(AD56,4))</f>
        <v>1</v>
      </c>
      <c r="Y57" s="194">
        <f>RIGHT(D57,LEN(D57)-4)/10000</f>
        <v>4.7500000000000001E-2</v>
      </c>
      <c r="Z57" s="194">
        <f>RIGHT(H57,LEN(H57)-4)/10000</f>
        <v>23.329699999999999</v>
      </c>
      <c r="AA57" s="194">
        <f>ABS(Z57-Y57)</f>
        <v>23.2822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/stypes="app*4034*20170912*" /stext=" 15:.+((SYSTEM_STATE.+slice.+state.+changed )|(ment ac)|(multiple cpu faults)|(system.+state.+changed )|(\[timeout)|(PRM\|1\|D)|(kpr)|(kdp)|(train st.+moving)|(\|lc)|(penalty))"</v>
      </c>
      <c r="AG57" s="206" t="str">
        <f>DetSubdiv(A57)</f>
        <v>EC</v>
      </c>
      <c r="AH57" s="78" t="str">
        <f t="shared" si="4"/>
        <v>"%USERPROFILE%\Documents\GitHub\eaglep3\Utilities\RefineRTDCRunTimes.py" --tripid 145-12 --locoid 4034 --swversion DE.1.0.9.0 --startMP 204:475 --initTime 2017-09-12T09:10:52 --startdatetime 2017-09-12T09:15:24 --delay 51 --endMP 204:233297 --enddatetime 2017-09-12T09:49:44 --enforcementcount 0 &gt;&gt;C:\Users\stu\Documents\GitHub\eaglep3-reporting\EC\2017-09-12-refined-times.txt</v>
      </c>
      <c r="AI5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{"issue":{"subject":"","project_id":79,"tracker_id":40,"status_id":1,"priority_id":2,"assigned_to_id":338,"start_date":"2017-09-12","description":"","custom_fields":[{"id":1,"name":"Subdivision","value":"EC"},{"id":4,"name":"Milepost","value":"23.3297"},{"id":17,"name":"Train ID","value":"145-12"},{"id":16,"name":"Locomotive ID","value":"4034"},{"id":130,"name":"Impact","value":""},{"id":150,"name":"Time of Event (Mountain Time)","value":"09:49:44"},{"id":151,"name":"Denver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4034 --day 2017-09-12</v>
      </c>
      <c r="AN5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683</v>
      </c>
      <c r="B58" s="7">
        <v>4033</v>
      </c>
      <c r="C58" s="21" t="s">
        <v>197</v>
      </c>
      <c r="D58" s="21" t="s">
        <v>530</v>
      </c>
      <c r="E58" s="13">
        <v>42990.423159722224</v>
      </c>
      <c r="F58" s="13">
        <v>42990.425335648149</v>
      </c>
      <c r="G58" s="7">
        <v>52</v>
      </c>
      <c r="H58" s="21" t="s">
        <v>382</v>
      </c>
      <c r="I58" s="13">
        <v>42990.453449074077</v>
      </c>
      <c r="J58" s="7">
        <v>0</v>
      </c>
      <c r="K58" s="89" t="str">
        <f>IF(ISEVEN(B58),(B58-1)&amp;"/"&amp;B58,B58&amp;"/"&amp;(B58+1))</f>
        <v>4033/4034</v>
      </c>
      <c r="L58" s="214" t="str">
        <f>VLOOKUP(A58,'Trips&amp;Operators'!$C$1:$G$99911,5,FALSE)</f>
        <v>MACDONALD THOMAS</v>
      </c>
      <c r="M58" s="6">
        <f>I58-F58</f>
        <v>2.8113425927585922E-2</v>
      </c>
      <c r="N58" s="7">
        <f>24*60*SUM($M58:$M58)</f>
        <v>40.483333335723728</v>
      </c>
      <c r="O58" s="7"/>
      <c r="P58" s="7"/>
      <c r="Q58" s="22"/>
      <c r="R58" s="167" t="s">
        <v>973</v>
      </c>
      <c r="S58" s="210">
        <f>1/IF(AG58="EC",12,1)*SUM(U58:U58)</f>
        <v>1</v>
      </c>
      <c r="T58" s="192" t="str">
        <f>IF(ISEVEN(LEFT(AD58,4)),"Southbound","NorthBound")</f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-09-12T09:09:21-0600',mode:absolute,to:'2017-09-12T11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8" s="194" t="str">
        <f>IF(AA58&lt;VLOOKUP(AG58,Variables!$AC$3:$AD$8,2,FALSE),"Y","N")</f>
        <v>N</v>
      </c>
      <c r="X58" s="194">
        <f>VALUE(LEFT(AD58,4))-VALUE(LEFT(AD57,4))</f>
        <v>1</v>
      </c>
      <c r="Y58" s="194">
        <f>RIGHT(D58,LEN(D58)-4)/10000</f>
        <v>23.2971</v>
      </c>
      <c r="Z58" s="194">
        <f>RIGHT(H58,LEN(H58)-4)/10000</f>
        <v>1.61E-2</v>
      </c>
      <c r="AA58" s="194">
        <f>ABS(Z58-Y58)</f>
        <v>23.280999999999999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/stypes="app*4033*20170912*" /stext=" 16:.+((SYSTEM_STATE.+slice.+state.+changed )|(ment ac)|(multiple cpu faults)|(system.+state.+changed )|(\[timeout)|(PRM\|1\|D)|(kpr)|(kdp)|(train st.+moving)|(\|lc)|(penalty))"</v>
      </c>
      <c r="AG58" s="206" t="str">
        <f>DetSubdiv(A58)</f>
        <v>EC</v>
      </c>
      <c r="AH58" s="78" t="str">
        <f t="shared" si="4"/>
        <v>"%USERPROFILE%\Documents\GitHub\eaglep3\Utilities\RefineRTDCRunTimes.py" --tripid 146-12 --locoid 4033 --swversion DE.1.0.9.0 --startMP 204:232971 --initTime 2017-09-12T10:09:21 --startdatetime 2017-09-12T10:12:29 --delay 52 --endMP 204:161 --enddatetime 2017-09-12T10:52:58 --enforcementcount 0 &gt;&gt;C:\Users\stu\Documents\GitHub\eaglep3-reporting\EC\2017-09-12-refined-times.txt</v>
      </c>
      <c r="AI58" s="96" t="str">
        <f t="shared" si="5"/>
        <v>echo {"issue":{"subject":"Wi-MAX data drop caused unhealthy banners, no enforcement/cutout","project_id":79,"tracker_id":40,"status_id":1,"priority_id":2,"assigned_to_id":338,"start_date":"2017-09-12","description":"","custom_fields":[{"id":1,"name":"Subdivision","value":"EC"},{"id":4,"name":"Milepost","value":"0.0161"},{"id":17,"name":"Train ID","value":"146-12"},{"id":16,"name":"Locomotive ID","value":"4033"},{"id":130,"name":"Impact","value":""},{"id":150,"name":"Time of Event (Mountain Time)","value":"10:52:58"},{"id":151,"name":"Denver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4033 --day 2017-09-12</v>
      </c>
      <c r="AN58" s="151" t="str">
        <f t="shared" si="7"/>
        <v>echo {"issue":{"subject":"Wi-MAX data drop caused unhealthy banners, no enforcement/cutout","project_id":30,"tracker_id":4,"status_id":1,"priority_id":1,"assigned_to_id":10,"start_date":"2017-09-12","description":"","custom_fields":[{"id":30,"name":"Category","value":"Issue"},{"id":3,"name":"Functional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591</v>
      </c>
      <c r="B59" s="7">
        <v>4058</v>
      </c>
      <c r="C59" s="21" t="s">
        <v>197</v>
      </c>
      <c r="D59" s="21" t="s">
        <v>843</v>
      </c>
      <c r="E59" s="13">
        <v>42990.390694444446</v>
      </c>
      <c r="F59" s="13">
        <v>42990.396249999998</v>
      </c>
      <c r="G59" s="7">
        <v>86</v>
      </c>
      <c r="H59" s="21" t="s">
        <v>844</v>
      </c>
      <c r="I59" s="13">
        <v>42990.421168981484</v>
      </c>
      <c r="J59" s="7">
        <v>0</v>
      </c>
      <c r="K59" s="89" t="str">
        <f>IF(ISEVEN(B59),(B59-1)&amp;"/"&amp;B59,B59&amp;"/"&amp;(B59+1))</f>
        <v>4057/4058</v>
      </c>
      <c r="L59" s="214" t="str">
        <f>VLOOKUP(A59,'Trips&amp;Operators'!$C$1:$G$99911,5,FALSE)</f>
        <v>STARKS ANGELINA</v>
      </c>
      <c r="M59" s="6">
        <f>I59-F59</f>
        <v>2.4918981485825498E-2</v>
      </c>
      <c r="N59" s="7">
        <f>24*60*SUM($M59:$M59)</f>
        <v>35.883333339588717</v>
      </c>
      <c r="O59" s="7"/>
      <c r="P59" s="7"/>
      <c r="Q59" s="22"/>
      <c r="R59" s="167"/>
      <c r="S59" s="210">
        <f>1/IF(AG59="EC",12,1)*SUM(U59:U59)</f>
        <v>1</v>
      </c>
      <c r="T59" s="192" t="str">
        <f>IF(ISEVEN(LEFT(AD59,4)),"Southbound","NorthBound")</f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-09-12T08:22:36-0600',mode:absolute,to:'2017-09-12T11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9" s="194" t="str">
        <f>IF(AA59&lt;VLOOKUP(AG59,Variables!$AC$3:$AD$8,2,FALSE),"Y","N")</f>
        <v>N</v>
      </c>
      <c r="X59" s="194">
        <f>VALUE(LEFT(AD59,4))-VALUE(LEFT(AD58,4))</f>
        <v>1</v>
      </c>
      <c r="Y59" s="194">
        <f>RIGHT(D59,LEN(D59)-4)/10000</f>
        <v>4.7500000000000001E-2</v>
      </c>
      <c r="Z59" s="194">
        <f>RIGHT(H59,LEN(H59)-4)/10000</f>
        <v>23.322900000000001</v>
      </c>
      <c r="AA59" s="194">
        <f>ABS(Z59-Y59)</f>
        <v>23.275400000000001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/stypes="app*4058*20170912*" /stext=" 16:.+((SYSTEM_STATE.+slice.+state.+changed )|(ment ac)|(multiple cpu faults)|(system.+state.+changed )|(\[timeout)|(PRM\|1\|D)|(kpr)|(kdp)|(train st.+moving)|(\|lc)|(penalty))"</v>
      </c>
      <c r="AG59" s="206" t="str">
        <f>DetSubdiv(A59)</f>
        <v>EC</v>
      </c>
      <c r="AH59" s="78" t="str">
        <f t="shared" si="4"/>
        <v>"%USERPROFILE%\Documents\GitHub\eaglep3\Utilities\RefineRTDCRunTimes.py" --tripid 147-12 --locoid 4058 --swversion DE.1.0.9.0 --startMP 204:475 --initTime 2017-09-12T09:22:36 --startdatetime 2017-09-12T09:30:36 --delay 86 --endMP 204:233229 --enddatetime 2017-09-12T10:06:29 --enforcementcount 0 &gt;&gt;C:\Users\stu\Documents\GitHub\eaglep3-reporting\EC\2017-09-12-refined-times.txt</v>
      </c>
      <c r="AI59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{"issue":{"subject":"","project_id":79,"tracker_id":40,"status_id":1,"priority_id":2,"assigned_to_id":338,"start_date":"2017-09-12","description":"","custom_fields":[{"id":1,"name":"Subdivision","value":"EC"},{"id":4,"name":"Milepost","value":"23.3229"},{"id":17,"name":"Train ID","value":"147-12"},{"id":16,"name":"Locomotive ID","value":"4058"},{"id":130,"name":"Impact","value":""},{"id":150,"name":"Time of Event (Mountain Time)","value":"10:06:29"},{"id":151,"name":"Denver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4058 --day 2017-09-12</v>
      </c>
      <c r="AN59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686</v>
      </c>
      <c r="B60" s="7">
        <v>4057</v>
      </c>
      <c r="C60" s="21" t="s">
        <v>197</v>
      </c>
      <c r="D60" s="21" t="s">
        <v>845</v>
      </c>
      <c r="E60" s="13">
        <v>42990.432662037034</v>
      </c>
      <c r="F60" s="13">
        <v>42990.435613425929</v>
      </c>
      <c r="G60" s="7">
        <v>63</v>
      </c>
      <c r="H60" s="21" t="s">
        <v>343</v>
      </c>
      <c r="I60" s="13">
        <v>42990.461805555555</v>
      </c>
      <c r="J60" s="7">
        <v>0</v>
      </c>
      <c r="K60" s="89" t="str">
        <f>IF(ISEVEN(B60),(B60-1)&amp;"/"&amp;B60,B60&amp;"/"&amp;(B60+1))</f>
        <v>4057/4058</v>
      </c>
      <c r="L60" s="214" t="str">
        <f>VLOOKUP(A60,'Trips&amp;Operators'!$C$1:$G$99911,5,FALSE)</f>
        <v>STARKS ANGELINA</v>
      </c>
      <c r="M60" s="6">
        <f>I60-F60</f>
        <v>2.619212962599704E-2</v>
      </c>
      <c r="N60" s="7">
        <f>24*60*SUM($M60:$M60)</f>
        <v>37.716666661435738</v>
      </c>
      <c r="O60" s="7"/>
      <c r="P60" s="7"/>
      <c r="Q60" s="22"/>
      <c r="R60" s="167"/>
      <c r="S60" s="210">
        <f>1/IF(AG60="EC",12,1)*SUM(U60:U60)</f>
        <v>1</v>
      </c>
      <c r="T60" s="192" t="str">
        <f>IF(ISEVEN(LEFT(AD60,4)),"Southbound","NorthBound")</f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-09-12T09:23:02-0600',mode:absolute,to:'2017-09-12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0" s="194" t="str">
        <f>IF(AA60&lt;VLOOKUP(AG60,Variables!$AC$3:$AD$8,2,FALSE),"Y","N")</f>
        <v>N</v>
      </c>
      <c r="X60" s="194">
        <f>VALUE(LEFT(AD60,4))-VALUE(LEFT(AD59,4))</f>
        <v>1</v>
      </c>
      <c r="Y60" s="194">
        <f>RIGHT(D60,LEN(D60)-4)/10000</f>
        <v>23.2898</v>
      </c>
      <c r="Z60" s="194">
        <f>RIGHT(H60,LEN(H60)-4)/10000</f>
        <v>1.47E-2</v>
      </c>
      <c r="AA60" s="194">
        <f>ABS(Z60-Y60)</f>
        <v>23.275099999999998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/stypes="app*4057*20170912*" /stext=" 17:.+((SYSTEM_STATE.+slice.+state.+changed )|(ment ac)|(multiple cpu faults)|(system.+state.+changed )|(\[timeout)|(PRM\|1\|D)|(kpr)|(kdp)|(train st.+moving)|(\|lc)|(penalty))"</v>
      </c>
      <c r="AG60" s="206" t="str">
        <f>DetSubdiv(A60)</f>
        <v>EC</v>
      </c>
      <c r="AH60" s="78" t="str">
        <f t="shared" si="4"/>
        <v>"%USERPROFILE%\Documents\GitHub\eaglep3\Utilities\RefineRTDCRunTimes.py" --tripid 148-12 --locoid 4057 --swversion DE.1.0.9.0 --startMP 204:232898 --initTime 2017-09-12T10:23:02 --startdatetime 2017-09-12T10:27:17 --delay 63 --endMP 204:147 --enddatetime 2017-09-12T11:05:00 --enforcementcount 0 &gt;&gt;C:\Users\stu\Documents\GitHub\eaglep3-reporting\EC\2017-09-12-refined-times.txt</v>
      </c>
      <c r="AI60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{"issue":{"subject":"","project_id":79,"tracker_id":40,"status_id":1,"priority_id":2,"assigned_to_id":338,"start_date":"2017-09-12","description":"","custom_fields":[{"id":1,"name":"Subdivision","value":"EC"},{"id":4,"name":"Milepost","value":"0.0147"},{"id":17,"name":"Train ID","value":"148-12"},{"id":16,"name":"Locomotive ID","value":"4057"},{"id":130,"name":"Impact","value":""},{"id":150,"name":"Time of Event (Mountain Time)","value":"11:05:00"},{"id":151,"name":"Denver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4057 --day 2017-09-12</v>
      </c>
      <c r="AN60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681</v>
      </c>
      <c r="B61" s="7">
        <v>4032</v>
      </c>
      <c r="C61" s="21" t="s">
        <v>197</v>
      </c>
      <c r="D61" s="21" t="s">
        <v>846</v>
      </c>
      <c r="E61" s="13">
        <v>42990.401944444442</v>
      </c>
      <c r="F61" s="13">
        <v>42990.406435185185</v>
      </c>
      <c r="G61" s="7">
        <v>66</v>
      </c>
      <c r="H61" s="21" t="s">
        <v>847</v>
      </c>
      <c r="I61" s="13">
        <v>42990.429918981485</v>
      </c>
      <c r="J61" s="7">
        <v>0</v>
      </c>
      <c r="K61" s="89" t="str">
        <f>IF(ISEVEN(B61),(B61-1)&amp;"/"&amp;B61,B61&amp;"/"&amp;(B61+1))</f>
        <v>4031/4032</v>
      </c>
      <c r="L61" s="214" t="str">
        <f>VLOOKUP(A61,'Trips&amp;Operators'!$C$1:$G$99911,5,FALSE)</f>
        <v>LALONDE GREGORY</v>
      </c>
      <c r="M61" s="6">
        <f>I61-F61</f>
        <v>2.3483796299842652E-2</v>
      </c>
      <c r="N61" s="7">
        <f>24*60*SUM($M61:$M61)</f>
        <v>33.816666671773419</v>
      </c>
      <c r="O61" s="7"/>
      <c r="P61" s="7"/>
      <c r="Q61" s="22"/>
      <c r="R61" s="167"/>
      <c r="S61" s="210">
        <f>1/IF(AG61="EC",12,1)*SUM(U61:U61)</f>
        <v>1</v>
      </c>
      <c r="T61" s="192" t="str">
        <f>IF(ISEVEN(LEFT(AD61,4)),"Southbound","NorthBound")</f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-09-12T08:38:48-0600',mode:absolute,to:'2017-09-12T11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194" t="str">
        <f>IF(AA61&lt;VLOOKUP(AG61,Variables!$AC$3:$AD$8,2,FALSE),"Y","N")</f>
        <v>N</v>
      </c>
      <c r="X61" s="194">
        <f>VALUE(LEFT(AD61,4))-VALUE(LEFT(AD60,4))</f>
        <v>1</v>
      </c>
      <c r="Y61" s="194">
        <f>RIGHT(D61,LEN(D61)-4)/10000</f>
        <v>4.24E-2</v>
      </c>
      <c r="Z61" s="194">
        <f>RIGHT(H61,LEN(H61)-4)/10000</f>
        <v>23.3353</v>
      </c>
      <c r="AA61" s="194">
        <f>ABS(Z61-Y61)</f>
        <v>23.292899999999999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/stypes="app*4032*20170912*" /stext=" 16:.+((SYSTEM_STATE.+slice.+state.+changed )|(ment ac)|(multiple cpu faults)|(system.+state.+changed )|(\[timeout)|(PRM\|1\|D)|(kpr)|(kdp)|(train st.+moving)|(\|lc)|(penalty))"</v>
      </c>
      <c r="AG61" s="206" t="str">
        <f>DetSubdiv(A61)</f>
        <v>EC</v>
      </c>
      <c r="AH61" s="78" t="str">
        <f t="shared" si="4"/>
        <v>"%USERPROFILE%\Documents\GitHub\eaglep3\Utilities\RefineRTDCRunTimes.py" --tripid 149-12 --locoid 4032 --swversion DE.1.0.9.0 --startMP 204:424 --initTime 2017-09-12T09:38:48 --startdatetime 2017-09-12T09:45:16 --delay 66 --endMP 204:233353 --enddatetime 2017-09-12T10:19:05 --enforcementcount 0 &gt;&gt;C:\Users\stu\Documents\GitHub\eaglep3-reporting\EC\2017-09-12-refined-times.txt</v>
      </c>
      <c r="AI61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{"issue":{"subject":"","project_id":79,"tracker_id":40,"status_id":1,"priority_id":2,"assigned_to_id":338,"start_date":"2017-09-12","description":"","custom_fields":[{"id":1,"name":"Subdivision","value":"EC"},{"id":4,"name":"Milepost","value":"23.3353"},{"id":17,"name":"Train ID","value":"149-12"},{"id":16,"name":"Locomotive ID","value":"4032"},{"id":130,"name":"Impact","value":""},{"id":150,"name":"Time of Event (Mountain Time)","value":"10:19:05"},{"id":151,"name":"Denver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4032 --day 2017-09-12</v>
      </c>
      <c r="AN61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685</v>
      </c>
      <c r="B62" s="7">
        <v>4031</v>
      </c>
      <c r="C62" s="21" t="s">
        <v>197</v>
      </c>
      <c r="D62" s="21" t="s">
        <v>495</v>
      </c>
      <c r="E62" s="13">
        <v>42990.431226851855</v>
      </c>
      <c r="F62" s="13">
        <v>42990.446145833332</v>
      </c>
      <c r="G62" s="7">
        <v>82</v>
      </c>
      <c r="H62" s="21" t="s">
        <v>360</v>
      </c>
      <c r="I62" s="13">
        <v>42990.473611111112</v>
      </c>
      <c r="J62" s="7">
        <v>0</v>
      </c>
      <c r="K62" s="89" t="str">
        <f>IF(ISEVEN(B62),(B62-1)&amp;"/"&amp;B62,B62&amp;"/"&amp;(B62+1))</f>
        <v>4031/4032</v>
      </c>
      <c r="L62" s="214" t="str">
        <f>VLOOKUP(A62,'Trips&amp;Operators'!$C$1:$G$99911,5,FALSE)</f>
        <v>LALONDE GREGORY</v>
      </c>
      <c r="M62" s="6">
        <f>I62-F62</f>
        <v>2.7465277780720498E-2</v>
      </c>
      <c r="N62" s="7">
        <f>24*60*SUM($M62:$M62)</f>
        <v>39.550000004237518</v>
      </c>
      <c r="O62" s="7"/>
      <c r="P62" s="7"/>
      <c r="Q62" s="22"/>
      <c r="R62" s="167"/>
      <c r="S62" s="210">
        <f>1/IF(AG62="EC",12,1)*SUM(U62:U62)</f>
        <v>1</v>
      </c>
      <c r="T62" s="192" t="str">
        <f>IF(ISEVEN(LEFT(AD62,4)),"Southbound","NorthBound")</f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-09-12T09:20:58-0600',mode:absolute,to:'2017-09-12T12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194" t="str">
        <f>IF(AA62&lt;VLOOKUP(AG62,Variables!$AC$3:$AD$8,2,FALSE),"Y","N")</f>
        <v>N</v>
      </c>
      <c r="X62" s="194">
        <f>VALUE(LEFT(AD62,4))-VALUE(LEFT(AD61,4))</f>
        <v>1</v>
      </c>
      <c r="Y62" s="194">
        <f>RIGHT(D62,LEN(D62)-4)/10000</f>
        <v>23.301100000000002</v>
      </c>
      <c r="Z62" s="194">
        <f>RIGHT(H62,LEN(H62)-4)/10000</f>
        <v>1.52E-2</v>
      </c>
      <c r="AA62" s="194">
        <f>ABS(Z62-Y62)</f>
        <v>23.285900000000002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/stypes="app*4031*20170912*" /stext=" 17:.+((SYSTEM_STATE.+slice.+state.+changed )|(ment ac)|(multiple cpu faults)|(system.+state.+changed )|(\[timeout)|(PRM\|1\|D)|(kpr)|(kdp)|(train st.+moving)|(\|lc)|(penalty))"</v>
      </c>
      <c r="AG62" s="206" t="str">
        <f>DetSubdiv(A62)</f>
        <v>EC</v>
      </c>
      <c r="AH62" s="78" t="str">
        <f t="shared" si="4"/>
        <v>"%USERPROFILE%\Documents\GitHub\eaglep3\Utilities\RefineRTDCRunTimes.py" --tripid 150-12 --locoid 4031 --swversion DE.1.0.9.0 --startMP 204:233011 --initTime 2017-09-12T10:20:58 --startdatetime 2017-09-12T10:42:27 --delay 82 --endMP 204:152 --enddatetime 2017-09-12T11:22:00 --enforcementcount 0 &gt;&gt;C:\Users\stu\Documents\GitHub\eaglep3-reporting\EC\2017-09-12-refined-times.txt</v>
      </c>
      <c r="AI62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{"issue":{"subject":"","project_id":79,"tracker_id":40,"status_id":1,"priority_id":2,"assigned_to_id":338,"start_date":"2017-09-12","description":"","custom_fields":[{"id":1,"name":"Subdivision","value":"EC"},{"id":4,"name":"Milepost","value":"0.0152"},{"id":17,"name":"Train ID","value":"150-12"},{"id":16,"name":"Locomotive ID","value":"4031"},{"id":130,"name":"Impact","value":""},{"id":150,"name":"Time of Event (Mountain Time)","value":"11:22:00"},{"id":151,"name":"Denver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4031 --day 2017-09-12</v>
      </c>
      <c r="AN62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590</v>
      </c>
      <c r="B63" s="7">
        <v>4028</v>
      </c>
      <c r="C63" s="21" t="s">
        <v>197</v>
      </c>
      <c r="D63" s="21" t="s">
        <v>362</v>
      </c>
      <c r="E63" s="13">
        <v>42990.413819444446</v>
      </c>
      <c r="F63" s="13">
        <v>42990.417037037034</v>
      </c>
      <c r="G63" s="7">
        <v>60</v>
      </c>
      <c r="H63" s="21" t="s">
        <v>848</v>
      </c>
      <c r="I63" s="13">
        <v>42990.420416666668</v>
      </c>
      <c r="J63" s="7">
        <v>0</v>
      </c>
      <c r="K63" s="89" t="str">
        <f>IF(ISEVEN(B63),(B63-1)&amp;"/"&amp;B63,B63&amp;"/"&amp;(B63+1))</f>
        <v>4027/4028</v>
      </c>
      <c r="L63" s="214" t="str">
        <f>VLOOKUP(A63,'Trips&amp;Operators'!$C$1:$G$99911,5,FALSE)</f>
        <v>LAMAR NEKESHA</v>
      </c>
      <c r="M63" s="6">
        <f>I63-F63</f>
        <v>3.3796296338550746E-3</v>
      </c>
      <c r="N63" s="7"/>
      <c r="O63" s="7"/>
      <c r="P63" s="7">
        <f>24*60*SUM($M63:$M63)</f>
        <v>4.8666666727513075</v>
      </c>
      <c r="Q63" s="22"/>
      <c r="R63" s="167" t="s">
        <v>482</v>
      </c>
      <c r="S63" s="210">
        <f>1/IF(AG63="EC",12,1)*SUM(U63:U63)</f>
        <v>0</v>
      </c>
      <c r="T63" s="192" t="str">
        <f>IF(ISEVEN(LEFT(AD63,4)),"Southbound","NorthBound")</f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19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-09-12T08:55:54-0600',mode:absolute,to:'2017-09-12T11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3" s="194" t="str">
        <f>IF(AA63&lt;VLOOKUP(AG63,Variables!$AC$3:$AD$8,2,FALSE),"Y","N")</f>
        <v>Y</v>
      </c>
      <c r="X63" s="194">
        <f>VALUE(LEFT(AD63,4))-VALUE(LEFT(AD62,4))</f>
        <v>1</v>
      </c>
      <c r="Y63" s="194">
        <f>RIGHT(D63,LEN(D63)-4)/10000</f>
        <v>4.5699999999999998E-2</v>
      </c>
      <c r="Z63" s="194">
        <f>RIGHT(H63,LEN(H63)-4)/10000</f>
        <v>2.0836999999999999</v>
      </c>
      <c r="AA63" s="194">
        <f>ABS(Z63-Y63)</f>
        <v>2.0379999999999998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s3://rtdc.mdm.uploadarchive.raw/RTDC4028/ "%USERPROFILE%\AppData\Local\Temp\OnboardLogs"\RTDC4028\2017-09-12 --exclude "*" --recursive --include "*20170912*" &amp; "%USERPROFILE%\Documents\GitHub\mrs-test-scripts\Headless Mode &amp; Sideloading\WalkAndUnGZ.bat" "%USERPROFILE%\AppData\Local\Temp\OnboardLogs"\RTDC4028\2017-09-12 &amp; 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/stypes="app*4028*20170912*" /stext=" 16:.+((SYSTEM_STATE.+slice.+state.+changed )|(ment ac)|(multiple cpu faults)|(system.+state.+changed )|(\[timeout)|(PRM\|1\|D)|(kpr)|(kdp)|(train st.+moving)|(\|lc)|(penalty))"</v>
      </c>
      <c r="AG63" s="206" t="str">
        <f>DetSubdiv(A63)</f>
        <v>EC</v>
      </c>
      <c r="AH63" s="78" t="str">
        <f t="shared" si="4"/>
        <v>"%USERPROFILE%\Documents\GitHub\eaglep3\Utilities\RefineRTDCRunTimes.py" --tripid 151-12 --locoid 4028 --swversion DE.1.0.9.0 --startMP 204:457 --initTime 2017-09-12T09:55:54 --startdatetime 2017-09-12T10:00:32 --delay 60 --endMP 204:20837 --enddatetime 2017-09-12T10:05:24 --enforcementcount 0 &gt;&gt;C:\Users\stu\Documents\GitHub\eaglep3-reporting\EC\2017-09-12-refined-times.txt</v>
      </c>
      <c r="AI63" s="96" t="str">
        <f t="shared" si="5"/>
        <v>echo {"issue":{"subject":"Wi-MAX data drop","project_id":79,"tracker_id":40,"status_id":1,"priority_id":2,"assigned_to_id":338,"start_date":"2017-09-12","description":"","custom_fields":[{"id":1,"name":"Subdivision","value":"EC"},{"id":4,"name":"Milepost","value":"2.0837"},{"id":17,"name":"Train ID","value":"151-12"},{"id":16,"name":"Locomotive ID","value":"4028"},{"id":130,"name":"Impact","value":""},{"id":150,"name":"Time of Event (Mountain Time)","value":"10:05:24"},{"id":151,"name":"Denver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4028 --day 2017-09-12</v>
      </c>
      <c r="AN63" s="151" t="str">
        <f t="shared" si="7"/>
        <v>echo {"issue":{"subject":"Wi-MAX data drop","project_id":30,"tracker_id":4,"status_id":1,"priority_id":1,"assigned_to_id":10,"start_date":"2017-09-12","description":"","custom_fields":[{"id":30,"name":"Category","value":"Issue"},{"id":3,"name":"Functional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684</v>
      </c>
      <c r="B64" s="7">
        <v>4062</v>
      </c>
      <c r="C64" s="21" t="s">
        <v>197</v>
      </c>
      <c r="D64" s="21" t="s">
        <v>834</v>
      </c>
      <c r="E64" s="13">
        <v>42990.423854166664</v>
      </c>
      <c r="F64" s="13">
        <v>42990.427337962959</v>
      </c>
      <c r="G64" s="7">
        <v>70</v>
      </c>
      <c r="H64" s="21" t="s">
        <v>849</v>
      </c>
      <c r="I64" s="13">
        <v>42990.453483796293</v>
      </c>
      <c r="J64" s="7">
        <v>0</v>
      </c>
      <c r="K64" s="89" t="str">
        <f>IF(ISEVEN(B64),(B64-1)&amp;"/"&amp;B64,B64&amp;"/"&amp;(B64+1))</f>
        <v>4061/4062</v>
      </c>
      <c r="L64" s="214" t="str">
        <f>VLOOKUP(A64,'Trips&amp;Operators'!$C$1:$G$99911,5,FALSE)</f>
        <v>YANG JAN</v>
      </c>
      <c r="M64" s="6">
        <f>I64-F64</f>
        <v>2.6145833333430346E-2</v>
      </c>
      <c r="N64" s="7">
        <f>24*60*SUM($M64:$M64)</f>
        <v>37.650000000139698</v>
      </c>
      <c r="O64" s="7"/>
      <c r="P64" s="7"/>
      <c r="Q64" s="22"/>
      <c r="R64" s="167"/>
      <c r="S64" s="210">
        <f>1/IF(AG64="EC",12,1)*SUM(U64:U64)</f>
        <v>1</v>
      </c>
      <c r="T64" s="192" t="str">
        <f>IF(ISEVEN(LEFT(AD64,4)),"Southbound","NorthBound")</f>
        <v>NorthBound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-09-12T09:10:21-0600',mode:absolute,to:'2017-09-12T11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4" s="194" t="str">
        <f>IF(AA64&lt;VLOOKUP(AG64,Variables!$AC$3:$AD$8,2,FALSE),"Y","N")</f>
        <v>N</v>
      </c>
      <c r="X64" s="194">
        <f>VALUE(LEFT(AD64,4))-VALUE(LEFT(AD63,4))</f>
        <v>2</v>
      </c>
      <c r="Y64" s="194">
        <f>RIGHT(D64,LEN(D64)-4)/10000</f>
        <v>4.4699999999999997E-2</v>
      </c>
      <c r="Z64" s="194">
        <f>RIGHT(H64,LEN(H64)-4)/10000</f>
        <v>23.333600000000001</v>
      </c>
      <c r="AA64" s="194">
        <f>ABS(Z64-Y64)</f>
        <v>23.288900000000002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>VALUE(LEFT(A64,LEN(A64)-3))</f>
        <v>153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/stypes="app*4062*20170912*" /stext=" 16:.+((SYSTEM_STATE.+slice.+state.+changed )|(ment ac)|(multiple cpu faults)|(system.+state.+changed )|(\[timeout)|(PRM\|1\|D)|(kpr)|(kdp)|(train st.+moving)|(\|lc)|(penalty))"</v>
      </c>
      <c r="AG64" s="206" t="str">
        <f>DetSubdiv(A64)</f>
        <v>EC</v>
      </c>
      <c r="AH64" s="78" t="str">
        <f t="shared" si="4"/>
        <v>"%USERPROFILE%\Documents\GitHub\eaglep3\Utilities\RefineRTDCRunTimes.py" --tripid 153-12 --locoid 4062 --swversion DE.1.0.9.0 --startMP 204:447 --initTime 2017-09-12T10:10:21 --startdatetime 2017-09-12T10:15:22 --delay 70 --endMP 204:233336 --enddatetime 2017-09-12T10:53:01 --enforcementcount 0 &gt;&gt;C:\Users\stu\Documents\GitHub\eaglep3-reporting\EC\2017-09-12-refined-times.txt</v>
      </c>
      <c r="AI64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{"issue":{"subject":"","project_id":79,"tracker_id":40,"status_id":1,"priority_id":2,"assigned_to_id":338,"start_date":"2017-09-12","description":"","custom_fields":[{"id":1,"name":"Subdivision","value":"EC"},{"id":4,"name":"Milepost","value":"23.3336"},{"id":17,"name":"Train ID","value":"153-12"},{"id":16,"name":"Locomotive ID","value":"4062"},{"id":130,"name":"Impact","value":""},{"id":150,"name":"Time of Event (Mountain Time)","value":"10:53:01"},{"id":151,"name":"Denver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4062 --day 2017-09-12</v>
      </c>
      <c r="AN64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694</v>
      </c>
      <c r="B65" s="7">
        <v>4061</v>
      </c>
      <c r="C65" s="21" t="s">
        <v>197</v>
      </c>
      <c r="D65" s="21" t="s">
        <v>492</v>
      </c>
      <c r="E65" s="13">
        <v>42990.461469907408</v>
      </c>
      <c r="F65" s="13">
        <v>42990.466863425929</v>
      </c>
      <c r="G65" s="7">
        <v>74</v>
      </c>
      <c r="H65" s="21" t="s">
        <v>339</v>
      </c>
      <c r="I65" s="13">
        <v>42990.493368055555</v>
      </c>
      <c r="J65" s="7">
        <v>0</v>
      </c>
      <c r="K65" s="89" t="str">
        <f>IF(ISEVEN(B65),(B65-1)&amp;"/"&amp;B65,B65&amp;"/"&amp;(B65+1))</f>
        <v>4061/4062</v>
      </c>
      <c r="L65" s="214" t="str">
        <f>VLOOKUP(A65,'Trips&amp;Operators'!$C$1:$G$99911,5,FALSE)</f>
        <v>YANG JAN</v>
      </c>
      <c r="M65" s="6">
        <f>I65-F65</f>
        <v>2.6504629626288079E-2</v>
      </c>
      <c r="N65" s="7">
        <f>24*60*SUM($M65:$M65)</f>
        <v>38.166666661854833</v>
      </c>
      <c r="O65" s="7"/>
      <c r="P65" s="7"/>
      <c r="Q65" s="22"/>
      <c r="R65" s="167"/>
      <c r="S65" s="210">
        <f>1/IF(AG65="EC",12,1)*SUM(U65:U65)</f>
        <v>1</v>
      </c>
      <c r="T65" s="192" t="str">
        <f>IF(ISEVEN(LEFT(AD65,4)),"Southbound","NorthBound")</f>
        <v>Southbound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-09-12T10:04:31-0600',mode:absolute,to:'2017-09-12T12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5" s="194" t="str">
        <f>IF(AA65&lt;VLOOKUP(AG65,Variables!$AC$3:$AD$8,2,FALSE),"Y","N")</f>
        <v>N</v>
      </c>
      <c r="X65" s="194">
        <f>VALUE(LEFT(AD65,4))-VALUE(LEFT(AD64,4))</f>
        <v>1</v>
      </c>
      <c r="Y65" s="194">
        <f>RIGHT(D65,LEN(D65)-4)/10000</f>
        <v>23.3002</v>
      </c>
      <c r="Z65" s="194">
        <f>RIGHT(H65,LEN(H65)-4)/10000</f>
        <v>1.49E-2</v>
      </c>
      <c r="AA65" s="194">
        <f>ABS(Z65-Y65)</f>
        <v>23.285299999999999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>VALUE(LEFT(A65,LEN(A65)-3))</f>
        <v>154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/stypes="app*4061*20170912*" /stext=" 17:.+((SYSTEM_STATE.+slice.+state.+changed )|(ment ac)|(multiple cpu faults)|(system.+state.+changed )|(\[timeout)|(PRM\|1\|D)|(kpr)|(kdp)|(train st.+moving)|(\|lc)|(penalty))"</v>
      </c>
      <c r="AG65" s="206" t="str">
        <f>DetSubdiv(A65)</f>
        <v>EC</v>
      </c>
      <c r="AH65" s="78" t="str">
        <f t="shared" si="4"/>
        <v>"%USERPROFILE%\Documents\GitHub\eaglep3\Utilities\RefineRTDCRunTimes.py" --tripid 154-12 --locoid 4061 --swversion DE.1.0.9.0 --startMP 204:233002 --initTime 2017-09-12T11:04:31 --startdatetime 2017-09-12T11:12:17 --delay 74 --endMP 204:149 --enddatetime 2017-09-12T11:50:27 --enforcementcount 0 &gt;&gt;C:\Users\stu\Documents\GitHub\eaglep3-reporting\EC\2017-09-12-refined-times.txt</v>
      </c>
      <c r="AI6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{"issue":{"subject":"","project_id":79,"tracker_id":40,"status_id":1,"priority_id":2,"assigned_to_id":338,"start_date":"2017-09-12","description":"","custom_fields":[{"id":1,"name":"Subdivision","value":"EC"},{"id":4,"name":"Milepost","value":"0.0149"},{"id":17,"name":"Train ID","value":"154-12"},{"id":16,"name":"Locomotive ID","value":"4061"},{"id":130,"name":"Impact","value":""},{"id":150,"name":"Time of Event (Mountain Time)","value":"11:50:27"},{"id":151,"name":"Denver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4061 --day 2017-09-12</v>
      </c>
      <c r="AN6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687</v>
      </c>
      <c r="B66" s="7">
        <v>4012</v>
      </c>
      <c r="C66" s="21" t="s">
        <v>197</v>
      </c>
      <c r="D66" s="21" t="s">
        <v>365</v>
      </c>
      <c r="E66" s="13">
        <v>42990.433263888888</v>
      </c>
      <c r="F66" s="13">
        <v>42990.437662037039</v>
      </c>
      <c r="G66" s="7">
        <v>98</v>
      </c>
      <c r="H66" s="21" t="s">
        <v>542</v>
      </c>
      <c r="I66" s="13">
        <v>42990.462337962963</v>
      </c>
      <c r="J66" s="7">
        <v>0</v>
      </c>
      <c r="K66" s="89" t="str">
        <f>IF(ISEVEN(B66),(B66-1)&amp;"/"&amp;B66,B66&amp;"/"&amp;(B66+1))</f>
        <v>4011/4012</v>
      </c>
      <c r="L66" s="214" t="str">
        <f>VLOOKUP(A66,'Trips&amp;Operators'!$C$1:$G$99911,5,FALSE)</f>
        <v>YANAI IAN</v>
      </c>
      <c r="M66" s="6">
        <f>I66-F66</f>
        <v>2.4675925924384501E-2</v>
      </c>
      <c r="N66" s="7">
        <f>24*60*SUM($M66:$M66)</f>
        <v>35.533333331113681</v>
      </c>
      <c r="O66" s="7"/>
      <c r="P66" s="7"/>
      <c r="Q66" s="22"/>
      <c r="R66" s="167"/>
      <c r="S66" s="210">
        <f>1/IF(AG66="EC",12,1)*SUM(U66:U66)</f>
        <v>1</v>
      </c>
      <c r="T66" s="192" t="str">
        <f>IF(ISEVEN(LEFT(AD66,4)),"Southbound","NorthBound")</f>
        <v>NorthBound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-09-12T09:23:54-0600',mode:absolute,to:'2017-09-12T12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6" s="194" t="str">
        <f>IF(AA66&lt;VLOOKUP(AG66,Variables!$AC$3:$AD$8,2,FALSE),"Y","N")</f>
        <v>N</v>
      </c>
      <c r="X66" s="194">
        <f>VALUE(LEFT(AD66,4))-VALUE(LEFT(AD65,4))</f>
        <v>1</v>
      </c>
      <c r="Y66" s="194">
        <f>RIGHT(D66,LEN(D66)-4)/10000</f>
        <v>4.6399999999999997E-2</v>
      </c>
      <c r="Z66" s="194">
        <f>RIGHT(H66,LEN(H66)-4)/10000</f>
        <v>23.329699999999999</v>
      </c>
      <c r="AA66" s="194">
        <f>ABS(Z66-Y66)</f>
        <v>23.283300000000001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203">
        <f>VALUE(LEFT(A66,LEN(A66)-3))</f>
        <v>155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/stypes="app*4012*20170912*" /stext=" 17:.+((SYSTEM_STATE.+slice.+state.+changed )|(ment ac)|(multiple cpu faults)|(system.+state.+changed )|(\[timeout)|(PRM\|1\|D)|(kpr)|(kdp)|(train st.+moving)|(\|lc)|(penalty))"</v>
      </c>
      <c r="AG66" s="206" t="str">
        <f>DetSubdiv(A66)</f>
        <v>EC</v>
      </c>
      <c r="AH66" s="78" t="str">
        <f t="shared" si="4"/>
        <v>"%USERPROFILE%\Documents\GitHub\eaglep3\Utilities\RefineRTDCRunTimes.py" --tripid 155-12 --locoid 4012 --swversion DE.1.0.9.0 --startMP 204:464 --initTime 2017-09-12T10:23:54 --startdatetime 2017-09-12T10:30:14 --delay 98 --endMP 204:233297 --enddatetime 2017-09-12T11:05:46 --enforcementcount 0 &gt;&gt;C:\Users\stu\Documents\GitHub\eaglep3-reporting\EC\2017-09-12-refined-times.txt</v>
      </c>
      <c r="AI6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{"issue":{"subject":"","project_id":79,"tracker_id":40,"status_id":1,"priority_id":2,"assigned_to_id":338,"start_date":"2017-09-12","description":"","custom_fields":[{"id":1,"name":"Subdivision","value":"EC"},{"id":4,"name":"Milepost","value":"23.3297"},{"id":17,"name":"Train ID","value":"155-12"},{"id":16,"name":"Locomotive ID","value":"4012"},{"id":130,"name":"Impact","value":""},{"id":150,"name":"Time of Event (Mountain Time)","value":"11:05:46"},{"id":151,"name":"Denver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4012 --day 2017-09-12</v>
      </c>
      <c r="AN6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695</v>
      </c>
      <c r="B67" s="7">
        <v>4011</v>
      </c>
      <c r="C67" s="21" t="s">
        <v>197</v>
      </c>
      <c r="D67" s="21" t="s">
        <v>498</v>
      </c>
      <c r="E67" s="13">
        <v>42990.463935185187</v>
      </c>
      <c r="F67" s="13">
        <v>42990.477326388886</v>
      </c>
      <c r="G67" s="7">
        <v>71</v>
      </c>
      <c r="H67" s="21" t="s">
        <v>367</v>
      </c>
      <c r="I67" s="13">
        <v>42990.502685185187</v>
      </c>
      <c r="J67" s="7">
        <v>0</v>
      </c>
      <c r="K67" s="89" t="str">
        <f>IF(ISEVEN(B67),(B67-1)&amp;"/"&amp;B67,B67&amp;"/"&amp;(B67+1))</f>
        <v>4011/4012</v>
      </c>
      <c r="L67" s="214" t="str">
        <f>VLOOKUP(A67,'Trips&amp;Operators'!$C$1:$G$99911,5,FALSE)</f>
        <v>YANAI IAN</v>
      </c>
      <c r="M67" s="6">
        <f>I67-F67</f>
        <v>2.5358796301588882E-2</v>
      </c>
      <c r="N67" s="7">
        <f>24*60*SUM($M67:$M67)</f>
        <v>36.51666667428799</v>
      </c>
      <c r="O67" s="7"/>
      <c r="P67" s="7"/>
      <c r="Q67" s="22"/>
      <c r="R67" s="167"/>
      <c r="S67" s="210">
        <f>1/IF(AG67="EC",12,1)*SUM(U67:U67)</f>
        <v>1</v>
      </c>
      <c r="T67" s="192" t="str">
        <f>IF(ISEVEN(LEFT(AD67,4)),"Southbound","NorthBound")</f>
        <v>Southbound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-09-12T10:08:04-0600',mode:absolute,to:'2017-09-12T13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194" t="str">
        <f>IF(AA67&lt;VLOOKUP(AG67,Variables!$AC$3:$AD$8,2,FALSE),"Y","N")</f>
        <v>N</v>
      </c>
      <c r="X67" s="194">
        <f>VALUE(LEFT(AD67,4))-VALUE(LEFT(AD66,4))</f>
        <v>1</v>
      </c>
      <c r="Y67" s="194">
        <f>RIGHT(D67,LEN(D67)-4)/10000</f>
        <v>23.297999999999998</v>
      </c>
      <c r="Z67" s="194">
        <f>RIGHT(H67,LEN(H67)-4)/10000</f>
        <v>1.4500000000000001E-2</v>
      </c>
      <c r="AA67" s="194">
        <f>ABS(Z67-Y67)</f>
        <v>23.283499999999997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>VALUE(LEFT(A67,LEN(A67)-3))</f>
        <v>156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/stypes="app*4011*20170912*" /stext=" 18:.+((SYSTEM_STATE.+slice.+state.+changed )|(ment ac)|(multiple cpu faults)|(system.+state.+changed )|(\[timeout)|(PRM\|1\|D)|(kpr)|(kdp)|(train st.+moving)|(\|lc)|(penalty))"</v>
      </c>
      <c r="AG67" s="206" t="str">
        <f>DetSubdiv(A67)</f>
        <v>EC</v>
      </c>
      <c r="AH67" s="78" t="str">
        <f t="shared" si="4"/>
        <v>"%USERPROFILE%\Documents\GitHub\eaglep3\Utilities\RefineRTDCRunTimes.py" --tripid 156-12 --locoid 4011 --swversion DE.1.0.9.0 --startMP 204:232980 --initTime 2017-09-12T11:08:04 --startdatetime 2017-09-12T11:27:21 --delay 71 --endMP 204:145 --enddatetime 2017-09-12T12:03:52 --enforcementcount 0 &gt;&gt;C:\Users\stu\Documents\GitHub\eaglep3-reporting\EC\2017-09-12-refined-times.txt</v>
      </c>
      <c r="AI6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ID","value":"156-12"},{"id":16,"name":"Locomotive ID","value":"4011"},{"id":130,"name":"Impact","value":""},{"id":150,"name":"Time of Event (Mountain Time)","value":"12:03:52"},{"id":151,"name":"Denver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4011 --day 2017-09-12</v>
      </c>
      <c r="AN6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688</v>
      </c>
      <c r="B68" s="7">
        <v>4002</v>
      </c>
      <c r="C68" s="21" t="s">
        <v>197</v>
      </c>
      <c r="D68" s="21" t="s">
        <v>359</v>
      </c>
      <c r="E68" s="13">
        <v>42990.443703703706</v>
      </c>
      <c r="F68" s="13">
        <v>42990.44804398148</v>
      </c>
      <c r="G68" s="7">
        <v>77</v>
      </c>
      <c r="H68" s="21" t="s">
        <v>411</v>
      </c>
      <c r="I68" s="13">
        <v>42990.472951388889</v>
      </c>
      <c r="J68" s="7">
        <v>0</v>
      </c>
      <c r="K68" s="89" t="str">
        <f>IF(ISEVEN(B68),(B68-1)&amp;"/"&amp;B68,B68&amp;"/"&amp;(B68+1))</f>
        <v>4001/4002</v>
      </c>
      <c r="L68" s="214" t="str">
        <f>VLOOKUP(A68,'Trips&amp;Operators'!$C$1:$G$99911,5,FALSE)</f>
        <v>BIRENBAUM THOMAS</v>
      </c>
      <c r="M68" s="6">
        <f>I68-F68</f>
        <v>2.4907407409045845E-2</v>
      </c>
      <c r="N68" s="7">
        <f>24*60*SUM($M68:$M68)</f>
        <v>35.866666669026017</v>
      </c>
      <c r="O68" s="7"/>
      <c r="P68" s="7"/>
      <c r="Q68" s="22"/>
      <c r="R68" s="167"/>
      <c r="S68" s="210">
        <f>1/IF(AG68="EC",12,1)*SUM(U68:U68)</f>
        <v>1</v>
      </c>
      <c r="T68" s="192" t="str">
        <f>IF(ISEVEN(LEFT(AD68,4)),"Southbound","NorthBound")</f>
        <v>NorthBound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-09-12T09:38:56-0600',mode:absolute,to:'2017-09-12T12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8" s="194" t="str">
        <f>IF(AA68&lt;VLOOKUP(AG68,Variables!$AC$3:$AD$8,2,FALSE),"Y","N")</f>
        <v>N</v>
      </c>
      <c r="X68" s="194">
        <f>VALUE(LEFT(AD68,4))-VALUE(LEFT(AD67,4))</f>
        <v>1</v>
      </c>
      <c r="Y68" s="194">
        <f>RIGHT(D68,LEN(D68)-4)/10000</f>
        <v>4.58E-2</v>
      </c>
      <c r="Z68" s="194">
        <f>RIGHT(H68,LEN(H68)-4)/10000</f>
        <v>23.331</v>
      </c>
      <c r="AA68" s="194">
        <f>ABS(Z68-Y68)</f>
        <v>23.2852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>VALUE(LEFT(A68,LEN(A68)-3))</f>
        <v>157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/stypes="app*4002*20170912*" /stext=" 17:.+((SYSTEM_STATE.+slice.+state.+changed )|(ment ac)|(multiple cpu faults)|(system.+state.+changed )|(\[timeout)|(PRM\|1\|D)|(kpr)|(kdp)|(train st.+moving)|(\|lc)|(penalty))"</v>
      </c>
      <c r="AG68" s="206" t="str">
        <f>DetSubdiv(A68)</f>
        <v>EC</v>
      </c>
      <c r="AH68" s="78" t="str">
        <f t="shared" si="4"/>
        <v>"%USERPROFILE%\Documents\GitHub\eaglep3\Utilities\RefineRTDCRunTimes.py" --tripid 157-12 --locoid 4002 --swversion DE.1.0.9.0 --startMP 204:458 --initTime 2017-09-12T10:38:56 --startdatetime 2017-09-12T10:45:11 --delay 77 --endMP 204:233310 --enddatetime 2017-09-12T11:21:03 --enforcementcount 0 &gt;&gt;C:\Users\stu\Documents\GitHub\eaglep3-reporting\EC\2017-09-12-refined-times.txt</v>
      </c>
      <c r="AI68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{"issue":{"subject":"","project_id":79,"tracker_id":40,"status_id":1,"priority_id":2,"assigned_to_id":338,"start_date":"2017-09-12","description":"","custom_fields":[{"id":1,"name":"Subdivision","value":"EC"},{"id":4,"name":"Milepost","value":"23.331"},{"id":17,"name":"Train ID","value":"157-12"},{"id":16,"name":"Locomotive ID","value":"4002"},{"id":130,"name":"Impact","value":""},{"id":150,"name":"Time of Event (Mountain Time)","value":"11:21:03"},{"id":151,"name":"Denver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4002 --day 2017-09-12</v>
      </c>
      <c r="AN68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706</v>
      </c>
      <c r="B69" s="7">
        <v>4001</v>
      </c>
      <c r="C69" s="21" t="s">
        <v>197</v>
      </c>
      <c r="D69" s="21" t="s">
        <v>476</v>
      </c>
      <c r="E69" s="13">
        <v>42990.485891203702</v>
      </c>
      <c r="F69" s="13">
        <v>42990.487638888888</v>
      </c>
      <c r="G69" s="7">
        <v>63</v>
      </c>
      <c r="H69" s="21" t="s">
        <v>527</v>
      </c>
      <c r="I69" s="13">
        <v>42990.513553240744</v>
      </c>
      <c r="J69" s="7">
        <v>0</v>
      </c>
      <c r="K69" s="89" t="str">
        <f>IF(ISEVEN(B69),(B69-1)&amp;"/"&amp;B69,B69&amp;"/"&amp;(B69+1))</f>
        <v>4001/4002</v>
      </c>
      <c r="L69" s="214" t="str">
        <f>VLOOKUP(A69,'Trips&amp;Operators'!$C$1:$G$99911,5,FALSE)</f>
        <v>BIRENBAUM THOMAS</v>
      </c>
      <c r="M69" s="6">
        <f>I69-F69</f>
        <v>2.5914351856044959E-2</v>
      </c>
      <c r="N69" s="7">
        <f>24*60*SUM($M69:$M69)</f>
        <v>37.316666672704741</v>
      </c>
      <c r="O69" s="7"/>
      <c r="P69" s="7"/>
      <c r="Q69" s="22"/>
      <c r="R69" s="167"/>
      <c r="S69" s="210">
        <f>1/IF(AG69="EC",12,1)*SUM(U69:U69)</f>
        <v>1</v>
      </c>
      <c r="T69" s="192" t="str">
        <f>IF(ISEVEN(LEFT(AD69,4)),"Southbound","NorthBound")</f>
        <v>Southbound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-09-12T10:39:41-0600',mode:absolute,to:'2017-09-12T13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9" s="194" t="str">
        <f>IF(AA69&lt;VLOOKUP(AG69,Variables!$AC$3:$AD$8,2,FALSE),"Y","N")</f>
        <v>N</v>
      </c>
      <c r="X69" s="194">
        <f>VALUE(LEFT(AD69,4))-VALUE(LEFT(AD68,4))</f>
        <v>1</v>
      </c>
      <c r="Y69" s="194">
        <f>RIGHT(D69,LEN(D69)-4)/10000</f>
        <v>23.2989</v>
      </c>
      <c r="Z69" s="194">
        <f>RIGHT(H69,LEN(H69)-4)/10000</f>
        <v>1.54E-2</v>
      </c>
      <c r="AA69" s="194">
        <f>ABS(Z69-Y69)</f>
        <v>23.2835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>VALUE(LEFT(A69,LEN(A69)-3))</f>
        <v>158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/stypes="app*4001*20170912*" /stext=" 18:.+((SYSTEM_STATE.+slice.+state.+changed )|(ment ac)|(multiple cpu faults)|(system.+state.+changed )|(\[timeout)|(PRM\|1\|D)|(kpr)|(kdp)|(train st.+moving)|(\|lc)|(penalty))"</v>
      </c>
      <c r="AG69" s="206" t="str">
        <f>DetSubdiv(A69)</f>
        <v>EC</v>
      </c>
      <c r="AH69" s="78" t="str">
        <f t="shared" si="4"/>
        <v>"%USERPROFILE%\Documents\GitHub\eaglep3\Utilities\RefineRTDCRunTimes.py" --tripid 158-12 --locoid 4001 --swversion DE.1.0.9.0 --startMP 204:232989 --initTime 2017-09-12T11:39:41 --startdatetime 2017-09-12T11:42:12 --delay 63 --endMP 204:154 --enddatetime 2017-09-12T12:19:31 --enforcementcount 0 &gt;&gt;C:\Users\stu\Documents\GitHub\eaglep3-reporting\EC\2017-09-12-refined-times.txt</v>
      </c>
      <c r="AI69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ID","value":"158-12"},{"id":16,"name":"Locomotive ID","value":"4001"},{"id":130,"name":"Impact","value":""},{"id":150,"name":"Time of Event (Mountain Time)","value":"12:19:31"},{"id":151,"name":"Denver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4001 --day 2017-09-12</v>
      </c>
      <c r="AN69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692</v>
      </c>
      <c r="B70" s="7">
        <v>4034</v>
      </c>
      <c r="C70" s="21" t="s">
        <v>197</v>
      </c>
      <c r="D70" s="21" t="s">
        <v>850</v>
      </c>
      <c r="E70" s="13">
        <v>42990.456805555557</v>
      </c>
      <c r="F70" s="13">
        <v>42990.458784722221</v>
      </c>
      <c r="G70" s="7">
        <v>49</v>
      </c>
      <c r="H70" s="21" t="s">
        <v>541</v>
      </c>
      <c r="I70" s="13">
        <v>42990.483402777776</v>
      </c>
      <c r="J70" s="7">
        <v>0</v>
      </c>
      <c r="K70" s="89" t="str">
        <f>IF(ISEVEN(B70),(B70-1)&amp;"/"&amp;B70,B70&amp;"/"&amp;(B70+1))</f>
        <v>4033/4034</v>
      </c>
      <c r="L70" s="214" t="str">
        <f>VLOOKUP(A70,'Trips&amp;Operators'!$C$1:$G$99911,5,FALSE)</f>
        <v>MACDONALD THOMAS</v>
      </c>
      <c r="M70" s="6">
        <f>I70-F70</f>
        <v>2.4618055555038154E-2</v>
      </c>
      <c r="N70" s="7">
        <f>24*60*SUM($M70:$M70)</f>
        <v>35.449999999254942</v>
      </c>
      <c r="O70" s="7"/>
      <c r="P70" s="7"/>
      <c r="Q70" s="22"/>
      <c r="R70" s="167"/>
      <c r="S70" s="210">
        <f>1/IF(AG70="EC",12,1)*SUM(U70:U70)</f>
        <v>1</v>
      </c>
      <c r="T70" s="192" t="str">
        <f>IF(ISEVEN(LEFT(AD70,4)),"Southbound","NorthBound")</f>
        <v>NorthBound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-09-12T09:57:48-0600',mode:absolute,to:'2017-09-12T12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0" s="194" t="str">
        <f>IF(AA70&lt;VLOOKUP(AG70,Variables!$AC$3:$AD$8,2,FALSE),"Y","N")</f>
        <v>N</v>
      </c>
      <c r="X70" s="194">
        <f>VALUE(LEFT(AD70,4))-VALUE(LEFT(AD69,4))</f>
        <v>1</v>
      </c>
      <c r="Y70" s="194">
        <f>RIGHT(D70,LEN(D70)-4)/10000</f>
        <v>4.8599999999999997E-2</v>
      </c>
      <c r="Z70" s="194">
        <f>RIGHT(H70,LEN(H70)-4)/10000</f>
        <v>23.331800000000001</v>
      </c>
      <c r="AA70" s="194">
        <f>ABS(Z70-Y70)</f>
        <v>23.283200000000001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>VALUE(LEFT(A70,LEN(A70)-3))</f>
        <v>159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/stypes="app*4034*20170912*" /stext=" 17:.+((SYSTEM_STATE.+slice.+state.+changed )|(ment ac)|(multiple cpu faults)|(system.+state.+changed )|(\[timeout)|(PRM\|1\|D)|(kpr)|(kdp)|(train st.+moving)|(\|lc)|(penalty))"</v>
      </c>
      <c r="AG70" s="206" t="str">
        <f>DetSubdiv(A70)</f>
        <v>EC</v>
      </c>
      <c r="AH70" s="78" t="str">
        <f t="shared" si="4"/>
        <v>"%USERPROFILE%\Documents\GitHub\eaglep3\Utilities\RefineRTDCRunTimes.py" --tripid 159-12 --locoid 4034 --swversion DE.1.0.9.0 --startMP 204:486 --initTime 2017-09-12T10:57:48 --startdatetime 2017-09-12T11:00:39 --delay 49 --endMP 204:233318 --enddatetime 2017-09-12T11:36:06 --enforcementcount 0 &gt;&gt;C:\Users\stu\Documents\GitHub\eaglep3-reporting\EC\2017-09-12-refined-times.txt</v>
      </c>
      <c r="AI70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{"issue":{"subject":"","project_id":79,"tracker_id":40,"status_id":1,"priority_id":2,"assigned_to_id":338,"start_date":"2017-09-12","description":"","custom_fields":[{"id":1,"name":"Subdivision","value":"EC"},{"id":4,"name":"Milepost","value":"23.3318"},{"id":17,"name":"Train ID","value":"159-12"},{"id":16,"name":"Locomotive ID","value":"4034"},{"id":130,"name":"Impact","value":""},{"id":150,"name":"Time of Event (Mountain Time)","value":"11:36:06"},{"id":151,"name":"Denver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4034 --day 2017-09-12</v>
      </c>
      <c r="AN70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710</v>
      </c>
      <c r="B71" s="7">
        <v>4033</v>
      </c>
      <c r="C71" s="21" t="s">
        <v>197</v>
      </c>
      <c r="D71" s="21" t="s">
        <v>851</v>
      </c>
      <c r="E71" s="13">
        <v>42990.496053240742</v>
      </c>
      <c r="F71" s="13">
        <v>42990.498240740744</v>
      </c>
      <c r="G71" s="7">
        <v>68</v>
      </c>
      <c r="H71" s="21" t="s">
        <v>373</v>
      </c>
      <c r="I71" s="13">
        <v>42990.526076388887</v>
      </c>
      <c r="J71" s="7">
        <v>0</v>
      </c>
      <c r="K71" s="89" t="str">
        <f>IF(ISEVEN(B71),(B71-1)&amp;"/"&amp;B71,B71&amp;"/"&amp;(B71+1))</f>
        <v>4033/4034</v>
      </c>
      <c r="L71" s="214" t="str">
        <f>VLOOKUP(A71,'Trips&amp;Operators'!$C$1:$G$99911,5,FALSE)</f>
        <v>MACDONALD THOMAS</v>
      </c>
      <c r="M71" s="6">
        <f>I71-F71</f>
        <v>2.7835648143081926E-2</v>
      </c>
      <c r="N71" s="7">
        <f>24*60*SUM($M71:$M71)</f>
        <v>40.083333326037973</v>
      </c>
      <c r="O71" s="7"/>
      <c r="P71" s="7"/>
      <c r="Q71" s="22"/>
      <c r="R71" s="167"/>
      <c r="S71" s="210">
        <f>1/IF(AG71="EC",12,1)*SUM(U71:U71)</f>
        <v>1</v>
      </c>
      <c r="T71" s="192" t="str">
        <f>IF(ISEVEN(LEFT(AD71,4)),"Southbound","NorthBound")</f>
        <v>Southbound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-09-12T10:54:19-0600',mode:absolute,to:'2017-09-12T13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1" s="194" t="str">
        <f>IF(AA71&lt;VLOOKUP(AG71,Variables!$AC$3:$AD$8,2,FALSE),"Y","N")</f>
        <v>N</v>
      </c>
      <c r="X71" s="194">
        <f>VALUE(LEFT(AD71,4))-VALUE(LEFT(AD70,4))</f>
        <v>1</v>
      </c>
      <c r="Y71" s="194">
        <f>RIGHT(D71,LEN(D71)-4)/10000</f>
        <v>23.300899999999999</v>
      </c>
      <c r="Z71" s="194">
        <f>RIGHT(H71,LEN(H71)-4)/10000</f>
        <v>1.5599999999999999E-2</v>
      </c>
      <c r="AA71" s="194">
        <f>ABS(Z71-Y71)</f>
        <v>23.285299999999999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>VALUE(LEFT(A71,LEN(A71)-3))</f>
        <v>160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/stypes="app*4033*20170912*" /stext=" 18:.+((SYSTEM_STATE.+slice.+state.+changed )|(ment ac)|(multiple cpu faults)|(system.+state.+changed )|(\[timeout)|(PRM\|1\|D)|(kpr)|(kdp)|(train st.+moving)|(\|lc)|(penalty))"</v>
      </c>
      <c r="AG71" s="206" t="str">
        <f>DetSubdiv(A71)</f>
        <v>EC</v>
      </c>
      <c r="AH71" s="78" t="str">
        <f t="shared" si="4"/>
        <v>"%USERPROFILE%\Documents\GitHub\eaglep3\Utilities\RefineRTDCRunTimes.py" --tripid 160-12 --locoid 4033 --swversion DE.1.0.9.0 --startMP 204:233009 --initTime 2017-09-12T11:54:19 --startdatetime 2017-09-12T11:57:28 --delay 68 --endMP 204:156 --enddatetime 2017-09-12T12:37:33 --enforcementcount 0 &gt;&gt;C:\Users\stu\Documents\GitHub\eaglep3-reporting\EC\2017-09-12-refined-times.txt</v>
      </c>
      <c r="AI71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{"issue":{"subject":"","project_id":79,"tracker_id":40,"status_id":1,"priority_id":2,"assigned_to_id":338,"start_date":"2017-09-12","description":"","custom_fields":[{"id":1,"name":"Subdivision","value":"EC"},{"id":4,"name":"Milepost","value":"0.0156"},{"id":17,"name":"Train ID","value":"160-12"},{"id":16,"name":"Locomotive ID","value":"4033"},{"id":130,"name":"Impact","value":""},{"id":150,"name":"Time of Event (Mountain Time)","value":"12:37:33"},{"id":151,"name":"Denver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4033 --day 2017-09-12</v>
      </c>
      <c r="AN71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698</v>
      </c>
      <c r="B72" s="7">
        <v>4058</v>
      </c>
      <c r="C72" s="21" t="s">
        <v>197</v>
      </c>
      <c r="D72" s="21" t="s">
        <v>852</v>
      </c>
      <c r="E72" s="13">
        <v>42990.465277777781</v>
      </c>
      <c r="F72" s="13">
        <v>42990.468981481485</v>
      </c>
      <c r="G72" s="7">
        <v>108</v>
      </c>
      <c r="H72" s="21" t="s">
        <v>531</v>
      </c>
      <c r="I72" s="13">
        <v>42990.493622685186</v>
      </c>
      <c r="J72" s="7">
        <v>0</v>
      </c>
      <c r="K72" s="89" t="str">
        <f>IF(ISEVEN(B72),(B72-1)&amp;"/"&amp;B72,B72&amp;"/"&amp;(B72+1))</f>
        <v>4057/4058</v>
      </c>
      <c r="L72" s="214" t="str">
        <f>VLOOKUP(A72,'Trips&amp;Operators'!$C$1:$G$99911,5,FALSE)</f>
        <v>BRUDER RICHARD</v>
      </c>
      <c r="M72" s="6">
        <f>I72-F72</f>
        <v>2.4641203701321501E-2</v>
      </c>
      <c r="N72" s="7">
        <f>24*60*SUM($M72:$M72)</f>
        <v>35.483333329902962</v>
      </c>
      <c r="O72" s="7"/>
      <c r="P72" s="7"/>
      <c r="Q72" s="22"/>
      <c r="R72" s="167"/>
      <c r="S72" s="210">
        <f>1/IF(AG72="EC",12,1)*SUM(U72:U72)</f>
        <v>1</v>
      </c>
      <c r="T72" s="192" t="str">
        <f>IF(ISEVEN(LEFT(AD72,4)),"Southbound","NorthBound")</f>
        <v>NorthBound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-09-12T10:10:00-0600',mode:absolute,to:'2017-09-12T12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2" s="194" t="str">
        <f>IF(AA72&lt;VLOOKUP(AG72,Variables!$AC$3:$AD$8,2,FALSE),"Y","N")</f>
        <v>N</v>
      </c>
      <c r="X72" s="194">
        <f>VALUE(LEFT(AD72,4))-VALUE(LEFT(AD71,4))</f>
        <v>1</v>
      </c>
      <c r="Y72" s="194">
        <f>RIGHT(D72,LEN(D72)-4)/10000</f>
        <v>4.9700000000000001E-2</v>
      </c>
      <c r="Z72" s="194">
        <f>RIGHT(H72,LEN(H72)-4)/10000</f>
        <v>23.331499999999998</v>
      </c>
      <c r="AA72" s="194">
        <f>ABS(Z72-Y72)</f>
        <v>23.281799999999997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>VALUE(LEFT(A72,LEN(A72)-3))</f>
        <v>161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/stypes="app*4058*20170912*" /stext=" 17:.+((SYSTEM_STATE.+slice.+state.+changed )|(ment ac)|(multiple cpu faults)|(system.+state.+changed )|(\[timeout)|(PRM\|1\|D)|(kpr)|(kdp)|(train st.+moving)|(\|lc)|(penalty))"</v>
      </c>
      <c r="AG72" s="206" t="str">
        <f>DetSubdiv(A72)</f>
        <v>EC</v>
      </c>
      <c r="AH72" s="78" t="str">
        <f t="shared" si="4"/>
        <v>"%USERPROFILE%\Documents\GitHub\eaglep3\Utilities\RefineRTDCRunTimes.py" --tripid 161-12 --locoid 4058 --swversion DE.1.0.9.0 --startMP 204:497 --initTime 2017-09-12T11:10:00 --startdatetime 2017-09-12T11:15:20 --delay 108 --endMP 204:233315 --enddatetime 2017-09-12T11:50:49 --enforcementcount 0 &gt;&gt;C:\Users\stu\Documents\GitHub\eaglep3-reporting\EC\2017-09-12-refined-times.txt</v>
      </c>
      <c r="AI72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{"issue":{"subject":"","project_id":79,"tracker_id":40,"status_id":1,"priority_id":2,"assigned_to_id":338,"start_date":"2017-09-12","description":"","custom_fields":[{"id":1,"name":"Subdivision","value":"EC"},{"id":4,"name":"Milepost","value":"23.3315"},{"id":17,"name":"Train ID","value":"161-12"},{"id":16,"name":"Locomotive ID","value":"4058"},{"id":130,"name":"Impact","value":""},{"id":150,"name":"Time of Event (Mountain Time)","value":"11:50:49"},{"id":151,"name":"Denver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4058 --day 2017-09-12</v>
      </c>
      <c r="AN72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714</v>
      </c>
      <c r="B73" s="7">
        <v>4057</v>
      </c>
      <c r="C73" s="21" t="s">
        <v>197</v>
      </c>
      <c r="D73" s="21" t="s">
        <v>529</v>
      </c>
      <c r="E73" s="13">
        <v>42990.50576388889</v>
      </c>
      <c r="F73" s="13">
        <v>42990.50854166667</v>
      </c>
      <c r="G73" s="7">
        <v>109</v>
      </c>
      <c r="H73" s="21" t="s">
        <v>382</v>
      </c>
      <c r="I73" s="13">
        <v>42990.533472222225</v>
      </c>
      <c r="J73" s="7">
        <v>0</v>
      </c>
      <c r="K73" s="89" t="str">
        <f>IF(ISEVEN(B73),(B73-1)&amp;"/"&amp;B73,B73&amp;"/"&amp;(B73+1))</f>
        <v>4057/4058</v>
      </c>
      <c r="L73" s="214" t="str">
        <f>VLOOKUP(A73,'Trips&amp;Operators'!$C$1:$G$99911,5,FALSE)</f>
        <v>BRUDER RICHARD</v>
      </c>
      <c r="M73" s="6">
        <f>I73-F73</f>
        <v>2.4930555555329192E-2</v>
      </c>
      <c r="N73" s="7">
        <f>24*60*SUM($M73:$M73)</f>
        <v>35.899999999674037</v>
      </c>
      <c r="O73" s="7"/>
      <c r="P73" s="7"/>
      <c r="Q73" s="22"/>
      <c r="R73" s="167"/>
      <c r="S73" s="210">
        <f>1/IF(AG73="EC",12,1)*SUM(U73:U73)</f>
        <v>1</v>
      </c>
      <c r="T73" s="192" t="str">
        <f>IF(ISEVEN(LEFT(AD73,4)),"Southbound","NorthBound")</f>
        <v>Southbound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-09-12T11:08:18-0600',mode:absolute,to:'2017-09-12T13:48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3" s="194" t="str">
        <f>IF(AA73&lt;VLOOKUP(AG73,Variables!$AC$3:$AD$8,2,FALSE),"Y","N")</f>
        <v>N</v>
      </c>
      <c r="X73" s="194">
        <f>VALUE(LEFT(AD73,4))-VALUE(LEFT(AD72,4))</f>
        <v>1</v>
      </c>
      <c r="Y73" s="194">
        <f>RIGHT(D73,LEN(D73)-4)/10000</f>
        <v>23.298100000000002</v>
      </c>
      <c r="Z73" s="194">
        <f>RIGHT(H73,LEN(H73)-4)/10000</f>
        <v>1.61E-2</v>
      </c>
      <c r="AA73" s="194">
        <f>ABS(Z73-Y73)</f>
        <v>23.282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>VALUE(LEFT(A73,LEN(A73)-3))</f>
        <v>162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/stypes="app*4057*20170912*" /stext=" 18:.+((SYSTEM_STATE.+slice.+state.+changed )|(ment ac)|(multiple cpu faults)|(system.+state.+changed )|(\[timeout)|(PRM\|1\|D)|(kpr)|(kdp)|(train st.+moving)|(\|lc)|(penalty))"</v>
      </c>
      <c r="AG73" s="206" t="str">
        <f>DetSubdiv(A73)</f>
        <v>EC</v>
      </c>
      <c r="AH73" s="78" t="str">
        <f t="shared" si="4"/>
        <v>"%USERPROFILE%\Documents\GitHub\eaglep3\Utilities\RefineRTDCRunTimes.py" --tripid 162-12 --locoid 4057 --swversion DE.1.0.9.0 --startMP 204:232981 --initTime 2017-09-12T12:08:18 --startdatetime 2017-09-12T12:12:18 --delay 109 --endMP 204:161 --enddatetime 2017-09-12T12:48:12 --enforcementcount 0 &gt;&gt;C:\Users\stu\Documents\GitHub\eaglep3-reporting\EC\2017-09-12-refined-times.txt</v>
      </c>
      <c r="AI73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{"issue":{"subject":"","project_id":79,"tracker_id":40,"status_id":1,"priority_id":2,"assigned_to_id":338,"start_date":"2017-09-12","description":"","custom_fields":[{"id":1,"name":"Subdivision","value":"EC"},{"id":4,"name":"Milepost","value":"0.0161"},{"id":17,"name":"Train ID","value":"162-12"},{"id":16,"name":"Locomotive ID","value":"4057"},{"id":130,"name":"Impact","value":""},{"id":150,"name":"Time of Event (Mountain Time)","value":"12:48:12"},{"id":151,"name":"Denver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4057 --day 2017-09-12</v>
      </c>
      <c r="AN73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18:48:12"},{"id":29,"name":"Sharepoint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702</v>
      </c>
      <c r="B74" s="7">
        <v>4030</v>
      </c>
      <c r="C74" s="21" t="s">
        <v>197</v>
      </c>
      <c r="D74" s="21" t="s">
        <v>388</v>
      </c>
      <c r="E74" s="13">
        <v>42990.479849537034</v>
      </c>
      <c r="F74" s="13">
        <v>42990.482199074075</v>
      </c>
      <c r="G74" s="7">
        <v>82</v>
      </c>
      <c r="H74" s="21" t="s">
        <v>464</v>
      </c>
      <c r="I74" s="13">
        <v>42990.505960648145</v>
      </c>
      <c r="J74" s="7">
        <v>0</v>
      </c>
      <c r="K74" s="89" t="str">
        <f>IF(ISEVEN(B74),(B74-1)&amp;"/"&amp;B74,B74&amp;"/"&amp;(B74+1))</f>
        <v>4029/4030</v>
      </c>
      <c r="L74" s="214" t="str">
        <f>VLOOKUP(A74,'Trips&amp;Operators'!$C$1:$G$99911,5,FALSE)</f>
        <v>MOSES BRADLEY</v>
      </c>
      <c r="M74" s="6">
        <f>I74-F74</f>
        <v>2.3761574069794733E-2</v>
      </c>
      <c r="N74" s="7">
        <f>24*60*SUM($M74:$M74)</f>
        <v>34.216666660504416</v>
      </c>
      <c r="O74" s="7"/>
      <c r="P74" s="7"/>
      <c r="Q74" s="22"/>
      <c r="R74" s="167"/>
      <c r="S74" s="210">
        <f>1/IF(AG74="EC",12,1)*SUM(U74:U74)</f>
        <v>1</v>
      </c>
      <c r="T74" s="192" t="str">
        <f>IF(ISEVEN(LEFT(AD74,4)),"Southbound","NorthBound")</f>
        <v>NorthBound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-12T10:30:59-0600',mode:absolute,to:'2017-09-12T13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194" t="str">
        <f>IF(AA74&lt;VLOOKUP(AG74,Variables!$AC$3:$AD$8,2,FALSE),"Y","N")</f>
        <v>N</v>
      </c>
      <c r="X74" s="194">
        <f>VALUE(LEFT(AD74,4))-VALUE(LEFT(AD73,4))</f>
        <v>1</v>
      </c>
      <c r="Y74" s="194">
        <f>RIGHT(D74,LEN(D74)-4)/10000</f>
        <v>4.5999999999999999E-2</v>
      </c>
      <c r="Z74" s="194">
        <f>RIGHT(H74,LEN(H74)-4)/10000</f>
        <v>23.3291</v>
      </c>
      <c r="AA74" s="194">
        <f>ABS(Z74-Y74)</f>
        <v>23.283100000000001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>VALUE(LEFT(A74,LEN(A74)-3))</f>
        <v>163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/stypes="app*4030*20170912*" /stext=" 18:.+((SYSTEM_STATE.+slice.+state.+changed )|(ment ac)|(multiple cpu faults)|(system.+state.+changed )|(\[timeout)|(PRM\|1\|D)|(kpr)|(kdp)|(train st.+moving)|(\|lc)|(penalty))"</v>
      </c>
      <c r="AG74" s="206" t="str">
        <f>DetSubdiv(A74)</f>
        <v>EC</v>
      </c>
      <c r="AH74" s="78" t="str">
        <f t="shared" si="4"/>
        <v>"%USERPROFILE%\Documents\GitHub\eaglep3\Utilities\RefineRTDCRunTimes.py" --tripid 163-12 --locoid 4030 --swversion DE.1.0.9.0 --startMP 204:460 --initTime 2017-09-12T11:30:59 --startdatetime 2017-09-12T11:34:22 --delay 82 --endMP 204:233291 --enddatetime 2017-09-12T12:08:35 --enforcementcount 0 &gt;&gt;C:\Users\stu\Documents\GitHub\eaglep3-reporting\EC\2017-09-12-refined-times.txt</v>
      </c>
      <c r="AI74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{"issue":{"subject":"","project_id":79,"tracker_id":40,"status_id":1,"priority_id":2,"assigned_to_id":338,"start_date":"2017-09-12","description":"","custom_fields":[{"id":1,"name":"Subdivision","value":"EC"},{"id":4,"name":"Milepost","value":"23.3291"},{"id":17,"name":"Train ID","value":"163-12"},{"id":16,"name":"Locomotive ID","value":"4030"},{"id":130,"name":"Impact","value":""},{"id":150,"name":"Time of Event (Mountain Time)","value":"12:08:35"},{"id":151,"name":"Denver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4030 --day 2017-09-12</v>
      </c>
      <c r="AN74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599</v>
      </c>
      <c r="B75" s="7">
        <v>4029</v>
      </c>
      <c r="C75" s="21" t="s">
        <v>197</v>
      </c>
      <c r="D75" s="21" t="s">
        <v>853</v>
      </c>
      <c r="E75" s="13">
        <v>42990.516493055555</v>
      </c>
      <c r="F75" s="13">
        <v>42990.51898148148</v>
      </c>
      <c r="G75" s="7">
        <v>61</v>
      </c>
      <c r="H75" s="21" t="s">
        <v>854</v>
      </c>
      <c r="I75" s="13">
        <v>42990.544710648152</v>
      </c>
      <c r="J75" s="7">
        <v>0</v>
      </c>
      <c r="K75" s="89" t="str">
        <f>IF(ISEVEN(B75),(B75-1)&amp;"/"&amp;B75,B75&amp;"/"&amp;(B75+1))</f>
        <v>4029/4030</v>
      </c>
      <c r="L75" s="214" t="str">
        <f>VLOOKUP(A75,'Trips&amp;Operators'!$C$1:$G$99911,5,FALSE)</f>
        <v>MOSES BRADLEY</v>
      </c>
      <c r="M75" s="6">
        <f>I75-F75</f>
        <v>2.5729166671226267E-2</v>
      </c>
      <c r="N75" s="7">
        <f>24*60*SUM($M75:$M75)</f>
        <v>37.050000006565824</v>
      </c>
      <c r="O75" s="7"/>
      <c r="P75" s="7"/>
      <c r="Q75" s="22"/>
      <c r="R75" s="167"/>
      <c r="S75" s="210">
        <f>1/IF(AG75="EC",12,1)*SUM(U75:U75)</f>
        <v>1</v>
      </c>
      <c r="T75" s="192" t="str">
        <f>IF(ISEVEN(LEFT(AD75,4)),"Southbound","NorthBound")</f>
        <v>Southbound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-09-12T11:23:45-0600',mode:absolute,to:'2017-09-12T14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94" t="str">
        <f>IF(AA75&lt;VLOOKUP(AG75,Variables!$AC$3:$AD$8,2,FALSE),"Y","N")</f>
        <v>N</v>
      </c>
      <c r="X75" s="194">
        <f>VALUE(LEFT(AD75,4))-VALUE(LEFT(AD74,4))</f>
        <v>1</v>
      </c>
      <c r="Y75" s="194">
        <f>RIGHT(D75,LEN(D75)-4)/10000</f>
        <v>23.297799999999999</v>
      </c>
      <c r="Z75" s="194">
        <f>RIGHT(H75,LEN(H75)-4)/10000</f>
        <v>2.4899999999999999E-2</v>
      </c>
      <c r="AA75" s="194">
        <f>ABS(Z75-Y75)</f>
        <v>23.2729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>VALUE(LEFT(A75,LEN(A75)-3))</f>
        <v>164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/stypes="app*4029*20170912*" /stext=" 19:.+((SYSTEM_STATE.+slice.+state.+changed )|(ment ac)|(multiple cpu faults)|(system.+state.+changed )|(\[timeout)|(PRM\|1\|D)|(kpr)|(kdp)|(train st.+moving)|(\|lc)|(penalty))"</v>
      </c>
      <c r="AG75" s="206" t="str">
        <f>DetSubdiv(A75)</f>
        <v>EC</v>
      </c>
      <c r="AH75" s="78" t="str">
        <f t="shared" si="4"/>
        <v>"%USERPROFILE%\Documents\GitHub\eaglep3\Utilities\RefineRTDCRunTimes.py" --tripid 164-12 --locoid 4029 --swversion DE.1.0.9.0 --startMP 204:232978 --initTime 2017-09-12T12:23:45 --startdatetime 2017-09-12T12:27:20 --delay 61 --endMP 204:249 --enddatetime 2017-09-12T13:04:23 --enforcementcount 0 &gt;&gt;C:\Users\stu\Documents\GitHub\eaglep3-reporting\EC\2017-09-12-refined-times.txt</v>
      </c>
      <c r="AI75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{"issue":{"subject":"","project_id":79,"tracker_id":40,"status_id":1,"priority_id":2,"assigned_to_id":338,"start_date":"2017-09-12","description":"","custom_fields":[{"id":1,"name":"Subdivision","value":"EC"},{"id":4,"name":"Milepost","value":"0.0249"},{"id":17,"name":"Train ID","value":"164-12"},{"id":16,"name":"Locomotive ID","value":"4029"},{"id":130,"name":"Impact","value":""},{"id":150,"name":"Time of Event (Mountain Time)","value":"13:04:23"},{"id":151,"name":"Denver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4029 --day 2017-09-12</v>
      </c>
      <c r="AN75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707</v>
      </c>
      <c r="B76" s="7">
        <v>4032</v>
      </c>
      <c r="C76" s="21" t="s">
        <v>197</v>
      </c>
      <c r="D76" s="21" t="s">
        <v>385</v>
      </c>
      <c r="E76" s="13">
        <v>42990.487835648149</v>
      </c>
      <c r="F76" s="13">
        <v>42990.489745370367</v>
      </c>
      <c r="G76" s="7">
        <v>56</v>
      </c>
      <c r="H76" s="21" t="s">
        <v>855</v>
      </c>
      <c r="I76" s="13">
        <v>42990.514594907407</v>
      </c>
      <c r="J76" s="7">
        <v>0</v>
      </c>
      <c r="K76" s="89" t="str">
        <f>IF(ISEVEN(B76),(B76-1)&amp;"/"&amp;B76,B76&amp;"/"&amp;(B76+1))</f>
        <v>4031/4032</v>
      </c>
      <c r="L76" s="214" t="str">
        <f>VLOOKUP(A76,'Trips&amp;Operators'!$C$1:$G$99911,5,FALSE)</f>
        <v>LEVIN SCOTT</v>
      </c>
      <c r="M76" s="6">
        <f>I76-F76</f>
        <v>2.4849537039699499E-2</v>
      </c>
      <c r="N76" s="7">
        <f>24*60*SUM($M76:$M76)</f>
        <v>35.783333337167278</v>
      </c>
      <c r="O76" s="7"/>
      <c r="P76" s="7"/>
      <c r="Q76" s="22"/>
      <c r="R76" s="167"/>
      <c r="S76" s="210">
        <f>1/IF(AG76="EC",12,1)*SUM(U76:U76)</f>
        <v>1</v>
      </c>
      <c r="T76" s="192" t="str">
        <f>IF(ISEVEN(LEFT(AD76,4)),"Southbound","NorthBound")</f>
        <v>NorthBound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-12T10:42:29-0600',mode:absolute,to:'2017-09-12T13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6" s="194" t="str">
        <f>IF(AA76&lt;VLOOKUP(AG76,Variables!$AC$3:$AD$8,2,FALSE),"Y","N")</f>
        <v>N</v>
      </c>
      <c r="X76" s="194">
        <f>VALUE(LEFT(AD76,4))-VALUE(LEFT(AD75,4))</f>
        <v>1</v>
      </c>
      <c r="Y76" s="194">
        <f>RIGHT(D76,LEN(D76)-4)/10000</f>
        <v>4.4200000000000003E-2</v>
      </c>
      <c r="Z76" s="194">
        <f>RIGHT(H76,LEN(H76)-4)/10000</f>
        <v>23.337199999999999</v>
      </c>
      <c r="AA76" s="194">
        <f>ABS(Z76-Y76)</f>
        <v>23.292999999999999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>VALUE(LEFT(A76,LEN(A76)-3))</f>
        <v>165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/stypes="app*4032*20170912*" /stext=" 18:.+((SYSTEM_STATE.+slice.+state.+changed )|(ment ac)|(multiple cpu faults)|(system.+state.+changed )|(\[timeout)|(PRM\|1\|D)|(kpr)|(kdp)|(train st.+moving)|(\|lc)|(penalty))"</v>
      </c>
      <c r="AG76" s="206" t="str">
        <f>DetSubdiv(A76)</f>
        <v>EC</v>
      </c>
      <c r="AH76" s="78" t="str">
        <f t="shared" si="4"/>
        <v>"%USERPROFILE%\Documents\GitHub\eaglep3\Utilities\RefineRTDCRunTimes.py" --tripid 165-12 --locoid 4032 --swversion DE.1.0.9.0 --startMP 204:442 --initTime 2017-09-12T11:42:29 --startdatetime 2017-09-12T11:45:14 --delay 56 --endMP 204:233372 --enddatetime 2017-09-12T12:21:01 --enforcementcount 0 &gt;&gt;C:\Users\stu\Documents\GitHub\eaglep3-reporting\EC\2017-09-12-refined-times.txt</v>
      </c>
      <c r="AI76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{"issue":{"subject":"","project_id":79,"tracker_id":40,"status_id":1,"priority_id":2,"assigned_to_id":338,"start_date":"2017-09-12","description":"","custom_fields":[{"id":1,"name":"Subdivision","value":"EC"},{"id":4,"name":"Milepost","value":"23.3372"},{"id":17,"name":"Train ID","value":"165-12"},{"id":16,"name":"Locomotive ID","value":"4032"},{"id":130,"name":"Impact","value":""},{"id":150,"name":"Time of Event (Mountain Time)","value":"12:21:01"},{"id":151,"name":"Denver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4032 --day 2017-09-12</v>
      </c>
      <c r="AN76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598</v>
      </c>
      <c r="B77" s="7">
        <v>4031</v>
      </c>
      <c r="C77" s="21" t="s">
        <v>197</v>
      </c>
      <c r="D77" s="21" t="s">
        <v>856</v>
      </c>
      <c r="E77" s="13">
        <v>42990.525636574072</v>
      </c>
      <c r="F77" s="13">
        <v>42990.529351851852</v>
      </c>
      <c r="G77" s="7">
        <v>94</v>
      </c>
      <c r="H77" s="21" t="s">
        <v>342</v>
      </c>
      <c r="I77" s="13">
        <v>42990.555509259262</v>
      </c>
      <c r="J77" s="7">
        <v>0</v>
      </c>
      <c r="K77" s="89" t="str">
        <f>IF(ISEVEN(B77),(B77-1)&amp;"/"&amp;B77,B77&amp;"/"&amp;(B77+1))</f>
        <v>4031/4032</v>
      </c>
      <c r="L77" s="214" t="str">
        <f>VLOOKUP(A77,'Trips&amp;Operators'!$C$1:$G$99911,5,FALSE)</f>
        <v>LEVIN SCOTT</v>
      </c>
      <c r="M77" s="6">
        <f>I77-F77</f>
        <v>2.6157407410209998E-2</v>
      </c>
      <c r="N77" s="7">
        <f>24*60*SUM($M77:$M77)</f>
        <v>37.666666670702398</v>
      </c>
      <c r="O77" s="7"/>
      <c r="P77" s="7"/>
      <c r="Q77" s="22"/>
      <c r="R77" s="167"/>
      <c r="S77" s="210">
        <f>1/IF(AG77="EC",12,1)*SUM(U77:U77)</f>
        <v>1</v>
      </c>
      <c r="T77" s="192" t="str">
        <f>IF(ISEVEN(LEFT(AD77,4)),"Southbound","NorthBound")</f>
        <v>Southbound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-12T11:36:55-0600',mode:absolute,to:'2017-09-12T14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7" s="194" t="str">
        <f>IF(AA77&lt;VLOOKUP(AG77,Variables!$AC$3:$AD$8,2,FALSE),"Y","N")</f>
        <v>N</v>
      </c>
      <c r="X77" s="194">
        <f>VALUE(LEFT(AD77,4))-VALUE(LEFT(AD76,4))</f>
        <v>1</v>
      </c>
      <c r="Y77" s="194">
        <f>RIGHT(D77,LEN(D77)-4)/10000</f>
        <v>23.3032</v>
      </c>
      <c r="Z77" s="194">
        <f>RIGHT(H77,LEN(H77)-4)/10000</f>
        <v>1.41E-2</v>
      </c>
      <c r="AA77" s="194">
        <f>ABS(Z77-Y77)</f>
        <v>23.289100000000001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>VALUE(LEFT(A77,LEN(A77)-3))</f>
        <v>166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/stypes="app*4031*20170912*" /stext=" 19:.+((SYSTEM_STATE.+slice.+state.+changed )|(ment ac)|(multiple cpu faults)|(system.+state.+changed )|(\[timeout)|(PRM\|1\|D)|(kpr)|(kdp)|(train st.+moving)|(\|lc)|(penalty))"</v>
      </c>
      <c r="AG77" s="206" t="str">
        <f>DetSubdiv(A77)</f>
        <v>EC</v>
      </c>
      <c r="AH77" s="78" t="str">
        <f t="shared" si="4"/>
        <v>"%USERPROFILE%\Documents\GitHub\eaglep3\Utilities\RefineRTDCRunTimes.py" --tripid 166-12 --locoid 4031 --swversion DE.1.0.9.0 --startMP 204:233032 --initTime 2017-09-12T12:36:55 --startdatetime 2017-09-12T12:42:16 --delay 94 --endMP 204:141 --enddatetime 2017-09-12T13:19:56 --enforcementcount 0 &gt;&gt;C:\Users\stu\Documents\GitHub\eaglep3-reporting\EC\2017-09-12-refined-times.txt</v>
      </c>
      <c r="AI77" s="96" t="str">
        <f t="shared" si="5"/>
        <v>echo {"issue":{"subject":"","project_id":79,"tracker_id":40,"status_id":1,"priority_id":2,"assigned_to_id":338,"start_date":"2017-09-12","description":"","custom_fields":[{"id":1,"name":"Subdivision","value":"EC"},{"id":4,"name":"Milepost","value":"0.0141"},{"id":17,"name":"Train ID","value":"166-12"},{"id":16,"name":"Locomotive ID","value":"4031"},{"id":130,"name":"Impact","value":""},{"id":150,"name":"Time of Event (Mountain Time)","value":"13:19:56"},{"id":151,"name":"Denver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4031 --day 2017-09-12</v>
      </c>
      <c r="AN77" s="151" t="str">
        <f t="shared" si="7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711</v>
      </c>
      <c r="B78" s="7">
        <v>4062</v>
      </c>
      <c r="C78" s="21" t="s">
        <v>197</v>
      </c>
      <c r="D78" s="21" t="s">
        <v>361</v>
      </c>
      <c r="E78" s="13">
        <v>42990.496006944442</v>
      </c>
      <c r="F78" s="13">
        <v>42990.500185185185</v>
      </c>
      <c r="G78" s="7">
        <v>88</v>
      </c>
      <c r="H78" s="21" t="s">
        <v>528</v>
      </c>
      <c r="I78" s="13">
        <v>42990.524872685186</v>
      </c>
      <c r="J78" s="7">
        <v>0</v>
      </c>
      <c r="K78" s="89" t="str">
        <f>IF(ISEVEN(B78),(B78-1)&amp;"/"&amp;B78,B78&amp;"/"&amp;(B78+1))</f>
        <v>4061/4062</v>
      </c>
      <c r="L78" s="214" t="str">
        <f>VLOOKUP(A78,'Trips&amp;Operators'!$C$1:$G$99911,5,FALSE)</f>
        <v>LEVERE CRAIG</v>
      </c>
      <c r="M78" s="6">
        <f>I78-F78</f>
        <v>2.4687500001164153E-2</v>
      </c>
      <c r="N78" s="7">
        <f>24*60*SUM($M78:$M78)</f>
        <v>35.550000001676381</v>
      </c>
      <c r="O78" s="7"/>
      <c r="P78" s="7"/>
      <c r="Q78" s="22"/>
      <c r="R78" s="167"/>
      <c r="S78" s="210">
        <f>1/IF(AG78="EC",12,1)*SUM(U78:U78)</f>
        <v>1</v>
      </c>
      <c r="T78" s="192" t="str">
        <f>IF(ISEVEN(LEFT(AD78,4)),"Southbound","NorthBound")</f>
        <v>NorthBound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-12T10:54:15-0600',mode:absolute,to:'2017-09-12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8" s="194" t="str">
        <f>IF(AA78&lt;VLOOKUP(AG78,Variables!$AC$3:$AD$8,2,FALSE),"Y","N")</f>
        <v>N</v>
      </c>
      <c r="X78" s="194">
        <f>VALUE(LEFT(AD78,4))-VALUE(LEFT(AD77,4))</f>
        <v>1</v>
      </c>
      <c r="Y78" s="194">
        <f>RIGHT(D78,LEN(D78)-4)/10000</f>
        <v>4.4900000000000002E-2</v>
      </c>
      <c r="Z78" s="194">
        <f>RIGHT(H78,LEN(H78)-4)/10000</f>
        <v>23.3307</v>
      </c>
      <c r="AA78" s="194">
        <f>ABS(Z78-Y78)</f>
        <v>23.285800000000002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>VALUE(LEFT(A78,LEN(A78)-3))</f>
        <v>167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/stypes="app*4062*20170912*" /stext=" 18:.+((SYSTEM_STATE.+slice.+state.+changed )|(ment ac)|(multiple cpu faults)|(system.+state.+changed )|(\[timeout)|(PRM\|1\|D)|(kpr)|(kdp)|(train st.+moving)|(\|lc)|(penalty))"</v>
      </c>
      <c r="AG78" s="206" t="str">
        <f>DetSubdiv(A78)</f>
        <v>EC</v>
      </c>
      <c r="AH78" s="78" t="str">
        <f t="shared" ref="AH78:AH141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167-12 --locoid 4062 --swversion DE.1.0.9.0 --startMP 204:449 --initTime 2017-09-12T11:54:15 --startdatetime 2017-09-12T12:00:16 --delay 88 --endMP 204:233307 --enddatetime 2017-09-12T12:35:49 --enforcementcount 0 &gt;&gt;C:\Users\stu\Documents\GitHub\eaglep3-reporting\EC\2017-09-12-refined-times.txt</v>
      </c>
      <c r="AI78" s="96" t="str">
        <f t="shared" ref="AI78:AI141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{"issue":{"subject":"","project_id":79,"tracker_id":40,"status_id":1,"priority_id":2,"assigned_to_id":338,"start_date":"2017-09-12","description":"","custom_fields":[{"id":1,"name":"Subdivision","value":"EC"},{"id":4,"name":"Milepost","value":"23.3307"},{"id":17,"name":"Train ID","value":"167-12"},{"id":16,"name":"Locomotive ID","value":"4062"},{"id":130,"name":"Impact","value":""},{"id":150,"name":"Time of Event (Mountain Time)","value":"12:35:49"},{"id":151,"name":"Denver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10">"start /low /b "&amp;dls3logs&amp;" --loco "&amp;B78&amp;" --day "&amp;TEXT(F78,"YYYY-MM-DD")</f>
        <v>start /low /b %USERPROFILE%\Documents\GitHub\eaglep3\Utilities\DownloadLogsFromS3.py --loco 4062 --day 2017-09-12</v>
      </c>
      <c r="AN78" s="151" t="str">
        <f t="shared" ref="AN78:AN141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717</v>
      </c>
      <c r="B79" s="7">
        <v>4061</v>
      </c>
      <c r="C79" s="21" t="s">
        <v>197</v>
      </c>
      <c r="D79" s="21" t="s">
        <v>551</v>
      </c>
      <c r="E79" s="13">
        <v>42990.533761574072</v>
      </c>
      <c r="F79" s="13">
        <v>42990.539768518516</v>
      </c>
      <c r="G79" s="7">
        <v>70</v>
      </c>
      <c r="H79" s="21" t="s">
        <v>389</v>
      </c>
      <c r="I79" s="13">
        <v>42990.566724537035</v>
      </c>
      <c r="J79" s="7">
        <v>0</v>
      </c>
      <c r="K79" s="89" t="str">
        <f>IF(ISEVEN(B79),(B79-1)&amp;"/"&amp;B79,B79&amp;"/"&amp;(B79+1))</f>
        <v>4061/4062</v>
      </c>
      <c r="L79" s="214" t="str">
        <f>VLOOKUP(A79,'Trips&amp;Operators'!$C$1:$G$99911,5,FALSE)</f>
        <v>LEVERE CRAIG</v>
      </c>
      <c r="M79" s="6">
        <f>I79-F79</f>
        <v>2.6956018518831115E-2</v>
      </c>
      <c r="N79" s="7">
        <f>24*60*SUM($M79:$M79)</f>
        <v>38.816666667116806</v>
      </c>
      <c r="O79" s="7"/>
      <c r="P79" s="7"/>
      <c r="Q79" s="22"/>
      <c r="R79" s="167"/>
      <c r="S79" s="210">
        <f>1/IF(AG79="EC",12,1)*SUM(U79:U79)</f>
        <v>1</v>
      </c>
      <c r="T79" s="192" t="str">
        <f>IF(ISEVEN(LEFT(AD79,4)),"Southbound","NorthBound")</f>
        <v>Southbound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-12T11:48:37-0600',mode:absolute,to:'2017-09-12T14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9" s="194" t="str">
        <f>IF(AA79&lt;VLOOKUP(AG79,Variables!$AC$3:$AD$8,2,FALSE),"Y","N")</f>
        <v>N</v>
      </c>
      <c r="X79" s="194">
        <f>VALUE(LEFT(AD79,4))-VALUE(LEFT(AD78,4))</f>
        <v>1</v>
      </c>
      <c r="Y79" s="194">
        <f>RIGHT(D79,LEN(D79)-4)/10000</f>
        <v>23.2988</v>
      </c>
      <c r="Z79" s="194">
        <f>RIGHT(H79,LEN(H79)-4)/10000</f>
        <v>1.5800000000000002E-2</v>
      </c>
      <c r="AA79" s="194">
        <f>ABS(Z79-Y79)</f>
        <v>23.283000000000001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>VALUE(LEFT(A79,LEN(A79)-3))</f>
        <v>168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/stypes="app*4061*20170912*" /stext=" 19:.+((SYSTEM_STATE.+slice.+state.+changed )|(ment ac)|(multiple cpu faults)|(system.+state.+changed )|(\[timeout)|(PRM\|1\|D)|(kpr)|(kdp)|(train st.+moving)|(\|lc)|(penalty))"</v>
      </c>
      <c r="AG79" s="206" t="str">
        <f>DetSubdiv(A79)</f>
        <v>EC</v>
      </c>
      <c r="AH79" s="78" t="str">
        <f t="shared" si="8"/>
        <v>"%USERPROFILE%\Documents\GitHub\eaglep3\Utilities\RefineRTDCRunTimes.py" --tripid 168-12 --locoid 4061 --swversion DE.1.0.9.0 --startMP 204:232988 --initTime 2017-09-12T12:48:37 --startdatetime 2017-09-12T12:57:16 --delay 70 --endMP 204:158 --enddatetime 2017-09-12T13:36:05 --enforcementcount 0 &gt;&gt;C:\Users\stu\Documents\GitHub\eaglep3-reporting\EC\2017-09-12-refined-times.txt</v>
      </c>
      <c r="AI7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{"issue":{"subject":"","project_id":79,"tracker_id":40,"status_id":1,"priority_id":2,"assigned_to_id":338,"start_date":"2017-09-12","description":"","custom_fields":[{"id":1,"name":"Subdivision","value":"EC"},{"id":4,"name":"Milepost","value":"0.0158"},{"id":17,"name":"Train ID","value":"168-12"},{"id":16,"name":"Locomotive ID","value":"4061"},{"id":130,"name":"Impact","value":""},{"id":150,"name":"Time of Event (Mountain Time)","value":"13:36:05"},{"id":151,"name":"Denver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4061 --day 2017-09-12</v>
      </c>
      <c r="AN79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713</v>
      </c>
      <c r="B80" s="7">
        <v>4012</v>
      </c>
      <c r="C80" s="21" t="s">
        <v>197</v>
      </c>
      <c r="D80" s="21" t="s">
        <v>337</v>
      </c>
      <c r="E80" s="13">
        <v>42990.504560185182</v>
      </c>
      <c r="F80" s="13">
        <v>42990.510787037034</v>
      </c>
      <c r="G80" s="7">
        <v>182</v>
      </c>
      <c r="H80" s="21" t="s">
        <v>548</v>
      </c>
      <c r="I80" s="13">
        <v>42990.535891203705</v>
      </c>
      <c r="J80" s="7">
        <v>0</v>
      </c>
      <c r="K80" s="89" t="str">
        <f>IF(ISEVEN(B80),(B80-1)&amp;"/"&amp;B80,B80&amp;"/"&amp;(B80+1))</f>
        <v>4011/4012</v>
      </c>
      <c r="L80" s="214" t="str">
        <f>VLOOKUP(A80,'Trips&amp;Operators'!$C$1:$G$99911,5,FALSE)</f>
        <v>SAFIEF AEIMEN</v>
      </c>
      <c r="M80" s="6">
        <f>I80-F80</f>
        <v>2.510416667064419E-2</v>
      </c>
      <c r="N80" s="7">
        <f>24*60*SUM($M80:$M80)</f>
        <v>36.150000005727634</v>
      </c>
      <c r="O80" s="7"/>
      <c r="P80" s="7"/>
      <c r="Q80" s="22"/>
      <c r="R80" s="167"/>
      <c r="S80" s="210">
        <f>1/IF(AG80="EC",12,1)*SUM(U80:U80)</f>
        <v>1</v>
      </c>
      <c r="T80" s="192" t="str">
        <f>IF(ISEVEN(LEFT(AD80,4)),"Southbound","NorthBound")</f>
        <v>NorthBound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-12T11:06:34-0600',mode:absolute,to:'2017-09-12T13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0" s="194" t="str">
        <f>IF(AA80&lt;VLOOKUP(AG80,Variables!$AC$3:$AD$8,2,FALSE),"Y","N")</f>
        <v>N</v>
      </c>
      <c r="X80" s="194">
        <f>VALUE(LEFT(AD80,4))-VALUE(LEFT(AD79,4))</f>
        <v>1</v>
      </c>
      <c r="Y80" s="194">
        <f>RIGHT(D80,LEN(D80)-4)/10000</f>
        <v>4.4600000000000001E-2</v>
      </c>
      <c r="Z80" s="194">
        <f>RIGHT(H80,LEN(H80)-4)/10000</f>
        <v>23.332100000000001</v>
      </c>
      <c r="AA80" s="194">
        <f>ABS(Z80-Y80)</f>
        <v>23.287500000000001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>VALUE(LEFT(A80,LEN(A80)-3))</f>
        <v>169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/stypes="app*4012*20170912*" /stext=" 18:.+((SYSTEM_STATE.+slice.+state.+changed )|(ment ac)|(multiple cpu faults)|(system.+state.+changed )|(\[timeout)|(PRM\|1\|D)|(kpr)|(kdp)|(train st.+moving)|(\|lc)|(penalty))"</v>
      </c>
      <c r="AG80" s="206" t="str">
        <f>DetSubdiv(A80)</f>
        <v>EC</v>
      </c>
      <c r="AH80" s="78" t="str">
        <f t="shared" si="8"/>
        <v>"%USERPROFILE%\Documents\GitHub\eaglep3\Utilities\RefineRTDCRunTimes.py" --tripid 169-12 --locoid 4012 --swversion DE.1.0.9.0 --startMP 204:446 --initTime 2017-09-12T12:06:34 --startdatetime 2017-09-12T12:15:32 --delay 182 --endMP 204:233321 --enddatetime 2017-09-12T12:51:41 --enforcementcount 0 &gt;&gt;C:\Users\stu\Documents\GitHub\eaglep3-reporting\EC\2017-09-12-refined-times.txt</v>
      </c>
      <c r="AI8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{"issue":{"subject":"","project_id":79,"tracker_id":40,"status_id":1,"priority_id":2,"assigned_to_id":338,"start_date":"2017-09-12","description":"","custom_fields":[{"id":1,"name":"Subdivision","value":"EC"},{"id":4,"name":"Milepost","value":"23.3321"},{"id":17,"name":"Train ID","value":"169-12"},{"id":16,"name":"Locomotive ID","value":"4012"},{"id":130,"name":"Impact","value":""},{"id":150,"name":"Time of Event (Mountain Time)","value":"12:51:41"},{"id":151,"name":"Denver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4012 --day 2017-09-12</v>
      </c>
      <c r="AN80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719</v>
      </c>
      <c r="B81" s="7">
        <v>4011</v>
      </c>
      <c r="C81" s="21" t="s">
        <v>197</v>
      </c>
      <c r="D81" s="21" t="s">
        <v>493</v>
      </c>
      <c r="E81" s="13">
        <v>42990.540358796294</v>
      </c>
      <c r="F81" s="13">
        <v>42990.550462962965</v>
      </c>
      <c r="G81" s="7">
        <v>110</v>
      </c>
      <c r="H81" s="21" t="s">
        <v>343</v>
      </c>
      <c r="I81" s="13">
        <v>42990.576539351852</v>
      </c>
      <c r="J81" s="7">
        <v>0</v>
      </c>
      <c r="K81" s="89" t="str">
        <f>IF(ISEVEN(B81),(B81-1)&amp;"/"&amp;B81,B81&amp;"/"&amp;(B81+1))</f>
        <v>4011/4012</v>
      </c>
      <c r="L81" s="214" t="str">
        <f>VLOOKUP(A81,'Trips&amp;Operators'!$C$1:$G$99911,5,FALSE)</f>
        <v>SAFIEF AEIMEN</v>
      </c>
      <c r="M81" s="6">
        <f>I81-F81</f>
        <v>2.6076388887304347E-2</v>
      </c>
      <c r="N81" s="7">
        <f>24*60*SUM($M81:$M81)</f>
        <v>37.54999999771826</v>
      </c>
      <c r="O81" s="7"/>
      <c r="P81" s="7"/>
      <c r="Q81" s="22"/>
      <c r="R81" s="167"/>
      <c r="S81" s="210">
        <f>1/IF(AG81="EC",12,1)*SUM(U81:U81)</f>
        <v>1</v>
      </c>
      <c r="T81" s="192" t="str">
        <f>IF(ISEVEN(LEFT(AD81,4)),"Southbound","NorthBound")</f>
        <v>Southbound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-09-12T11:58:07-0600',mode:absolute,to:'2017-09-12T14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1" s="194" t="str">
        <f>IF(AA81&lt;VLOOKUP(AG81,Variables!$AC$3:$AD$8,2,FALSE),"Y","N")</f>
        <v>N</v>
      </c>
      <c r="X81" s="194">
        <f>VALUE(LEFT(AD81,4))-VALUE(LEFT(AD80,4))</f>
        <v>1</v>
      </c>
      <c r="Y81" s="194">
        <f>RIGHT(D81,LEN(D81)-4)/10000</f>
        <v>23.301500000000001</v>
      </c>
      <c r="Z81" s="194">
        <f>RIGHT(H81,LEN(H81)-4)/10000</f>
        <v>1.47E-2</v>
      </c>
      <c r="AA81" s="194">
        <f>ABS(Z81-Y81)</f>
        <v>23.286799999999999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>VALUE(LEFT(A81,LEN(A81)-3))</f>
        <v>170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/stypes="app*4011*20170912*" /stext=" 19:.+((SYSTEM_STATE.+slice.+state.+changed )|(ment ac)|(multiple cpu faults)|(system.+state.+changed )|(\[timeout)|(PRM\|1\|D)|(kpr)|(kdp)|(train st.+moving)|(\|lc)|(penalty))"</v>
      </c>
      <c r="AG81" s="206" t="str">
        <f>DetSubdiv(A81)</f>
        <v>EC</v>
      </c>
      <c r="AH81" s="78" t="str">
        <f t="shared" si="8"/>
        <v>"%USERPROFILE%\Documents\GitHub\eaglep3\Utilities\RefineRTDCRunTimes.py" --tripid 170-12 --locoid 4011 --swversion DE.1.0.9.0 --startMP 204:233015 --initTime 2017-09-12T12:58:07 --startdatetime 2017-09-12T13:12:40 --delay 110 --endMP 204:147 --enddatetime 2017-09-12T13:50:13 --enforcementcount 0 &gt;&gt;C:\Users\stu\Documents\GitHub\eaglep3-reporting\EC\2017-09-12-refined-times.txt</v>
      </c>
      <c r="AI8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{"issue":{"subject":"","project_id":79,"tracker_id":40,"status_id":1,"priority_id":2,"assigned_to_id":338,"start_date":"2017-09-12","description":"","custom_fields":[{"id":1,"name":"Subdivision","value":"EC"},{"id":4,"name":"Milepost","value":"0.0147"},{"id":17,"name":"Train ID","value":"170-12"},{"id":16,"name":"Locomotive ID","value":"4011"},{"id":130,"name":"Impact","value":""},{"id":150,"name":"Time of Event (Mountain Time)","value":"13:50:13"},{"id":151,"name":"Denver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4011 --day 2017-09-12</v>
      </c>
      <c r="AN81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715</v>
      </c>
      <c r="B82" s="7">
        <v>4002</v>
      </c>
      <c r="C82" s="21" t="s">
        <v>197</v>
      </c>
      <c r="D82" s="21" t="s">
        <v>337</v>
      </c>
      <c r="E82" s="13">
        <v>42990.517500000002</v>
      </c>
      <c r="F82" s="13">
        <v>42990.521145833336</v>
      </c>
      <c r="G82" s="7">
        <v>121</v>
      </c>
      <c r="H82" s="21" t="s">
        <v>849</v>
      </c>
      <c r="I82" s="13">
        <v>42990.546724537038</v>
      </c>
      <c r="J82" s="7">
        <v>0</v>
      </c>
      <c r="K82" s="89" t="str">
        <f>IF(ISEVEN(B82),(B82-1)&amp;"/"&amp;B82,B82&amp;"/"&amp;(B82+1))</f>
        <v>4001/4002</v>
      </c>
      <c r="L82" s="214" t="str">
        <f>VLOOKUP(A82,'Trips&amp;Operators'!$C$1:$G$99911,5,FALSE)</f>
        <v>DAVIS MICHAEL</v>
      </c>
      <c r="M82" s="6">
        <f>I82-F82</f>
        <v>2.5578703702194616E-2</v>
      </c>
      <c r="N82" s="7">
        <f>24*60*SUM($M82:$M82)</f>
        <v>36.833333331160247</v>
      </c>
      <c r="O82" s="7"/>
      <c r="P82" s="7"/>
      <c r="Q82" s="22"/>
      <c r="R82" s="167"/>
      <c r="S82" s="210">
        <f>1/IF(AG82="EC",12,1)*SUM(U82:U82)</f>
        <v>1</v>
      </c>
      <c r="T82" s="192" t="str">
        <f>IF(ISEVEN(LEFT(AD82,4)),"Southbound","NorthBound")</f>
        <v>NorthBound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-09-12T11:25:12-0600',mode:absolute,to:'2017-09-12T14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2" s="194" t="str">
        <f>IF(AA82&lt;VLOOKUP(AG82,Variables!$AC$3:$AD$8,2,FALSE),"Y","N")</f>
        <v>N</v>
      </c>
      <c r="X82" s="194">
        <f>VALUE(LEFT(AD82,4))-VALUE(LEFT(AD81,4))</f>
        <v>1</v>
      </c>
      <c r="Y82" s="194">
        <f>RIGHT(D82,LEN(D82)-4)/10000</f>
        <v>4.4600000000000001E-2</v>
      </c>
      <c r="Z82" s="194">
        <f>RIGHT(H82,LEN(H82)-4)/10000</f>
        <v>23.333600000000001</v>
      </c>
      <c r="AA82" s="194">
        <f>ABS(Z82-Y82)</f>
        <v>23.289000000000001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>VALUE(LEFT(A82,LEN(A82)-3))</f>
        <v>171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/stypes="app*4002*20170912*" /stext=" 19:.+((SYSTEM_STATE.+slice.+state.+changed )|(ment ac)|(multiple cpu faults)|(system.+state.+changed )|(\[timeout)|(PRM\|1\|D)|(kpr)|(kdp)|(train st.+moving)|(\|lc)|(penalty))"</v>
      </c>
      <c r="AG82" s="206" t="str">
        <f>DetSubdiv(A82)</f>
        <v>EC</v>
      </c>
      <c r="AH82" s="78" t="str">
        <f t="shared" si="8"/>
        <v>"%USERPROFILE%\Documents\GitHub\eaglep3\Utilities\RefineRTDCRunTimes.py" --tripid 171-12 --locoid 4002 --swversion DE.1.0.9.0 --startMP 204:446 --initTime 2017-09-12T12:25:12 --startdatetime 2017-09-12T12:30:27 --delay 121 --endMP 204:233336 --enddatetime 2017-09-12T13:07:17 --enforcementcount 0 &gt;&gt;C:\Users\stu\Documents\GitHub\eaglep3-reporting\EC\2017-09-12-refined-times.txt</v>
      </c>
      <c r="AI82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{"issue":{"subject":"","project_id":79,"tracker_id":40,"status_id":1,"priority_id":2,"assigned_to_id":338,"start_date":"2017-09-12","description":"","custom_fields":[{"id":1,"name":"Subdivision","value":"EC"},{"id":4,"name":"Milepost","value":"23.3336"},{"id":17,"name":"Train ID","value":"171-12"},{"id":16,"name":"Locomotive ID","value":"4002"},{"id":130,"name":"Impact","value":""},{"id":150,"name":"Time of Event (Mountain Time)","value":"13:07:17"},{"id":151,"name":"Denver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4002 --day 2017-09-12</v>
      </c>
      <c r="AN82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4001</v>
      </c>
      <c r="C83" s="21" t="s">
        <v>197</v>
      </c>
      <c r="D83" s="21" t="s">
        <v>495</v>
      </c>
      <c r="E83" s="13">
        <v>42990.558125000003</v>
      </c>
      <c r="F83" s="13">
        <v>42990.560763888891</v>
      </c>
      <c r="G83" s="7">
        <v>118</v>
      </c>
      <c r="H83" s="21" t="s">
        <v>527</v>
      </c>
      <c r="I83" s="13">
        <v>42990.58861111111</v>
      </c>
      <c r="J83" s="7">
        <v>0</v>
      </c>
      <c r="K83" s="89" t="str">
        <f>IF(ISEVEN(B83),(B83-1)&amp;"/"&amp;B83,B83&amp;"/"&amp;(B83+1))</f>
        <v>4001/4002</v>
      </c>
      <c r="L83" s="214" t="str">
        <f>VLOOKUP(A83,'Trips&amp;Operators'!$C$1:$G$99911,5,FALSE)</f>
        <v>DAVIS MICHAEL</v>
      </c>
      <c r="M83" s="6">
        <f>I83-F83</f>
        <v>2.7847222219861578E-2</v>
      </c>
      <c r="N83" s="7">
        <f>24*60*SUM($M83:$M83)</f>
        <v>40.099999996600673</v>
      </c>
      <c r="O83" s="7"/>
      <c r="P83" s="7"/>
      <c r="Q83" s="22"/>
      <c r="R83" s="167"/>
      <c r="S83" s="210">
        <f>1/IF(AG83="EC",12,1)*SUM(U83:U83)</f>
        <v>1</v>
      </c>
      <c r="T83" s="192" t="str">
        <f>IF(ISEVEN(LEFT(AD83,4)),"Southbound","NorthBound")</f>
        <v>Southbound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-09-12T12:23:42-0600',mode:absolute,to:'2017-09-12T15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3" s="194" t="str">
        <f>IF(AA83&lt;VLOOKUP(AG83,Variables!$AC$3:$AD$8,2,FALSE),"Y","N")</f>
        <v>N</v>
      </c>
      <c r="X83" s="194">
        <f>VALUE(LEFT(AD83,4))-VALUE(LEFT(AD82,4))</f>
        <v>1</v>
      </c>
      <c r="Y83" s="194">
        <f>RIGHT(D83,LEN(D83)-4)/10000</f>
        <v>23.301100000000002</v>
      </c>
      <c r="Z83" s="194">
        <f>RIGHT(H83,LEN(H83)-4)/10000</f>
        <v>1.54E-2</v>
      </c>
      <c r="AA83" s="194">
        <f>ABS(Z83-Y83)</f>
        <v>23.285700000000002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>VALUE(LEFT(A83,LEN(A83)-3))</f>
        <v>172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/stypes="app*4001*20170912*" /stext=" 20:.+((SYSTEM_STATE.+slice.+state.+changed )|(ment ac)|(multiple cpu faults)|(system.+state.+changed )|(\[timeout)|(PRM\|1\|D)|(kpr)|(kdp)|(train st.+moving)|(\|lc)|(penalty))"</v>
      </c>
      <c r="AG83" s="206" t="str">
        <f>DetSubdiv(A83)</f>
        <v>EC</v>
      </c>
      <c r="AH83" s="78" t="str">
        <f t="shared" si="8"/>
        <v>"%USERPROFILE%\Documents\GitHub\eaglep3\Utilities\RefineRTDCRunTimes.py" --tripid 172-12 --locoid 4001 --swversion DE.1.0.9.0 --startMP 204:233011 --initTime 2017-09-12T13:23:42 --startdatetime 2017-09-12T13:27:30 --delay 118 --endMP 204:154 --enddatetime 2017-09-12T14:07:36 --enforcementcount 0 &gt;&gt;C:\Users\stu\Documents\GitHub\eaglep3-reporting\EC\2017-09-12-refined-times.txt</v>
      </c>
      <c r="AI83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ID","value":"172-12"},{"id":16,"name":"Locomotive ID","value":"4001"},{"id":130,"name":"Impact","value":""},{"id":150,"name":"Time of Event (Mountain Time)","value":"14:07:36"},{"id":151,"name":"Denver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4001 --day 2017-09-12</v>
      </c>
      <c r="AN83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716</v>
      </c>
      <c r="B84" s="7">
        <v>4034</v>
      </c>
      <c r="C84" s="21" t="s">
        <v>197</v>
      </c>
      <c r="D84" s="21" t="s">
        <v>388</v>
      </c>
      <c r="E84" s="13">
        <v>42990.529456018521</v>
      </c>
      <c r="F84" s="13">
        <v>42990.531643518516</v>
      </c>
      <c r="G84" s="7">
        <v>83</v>
      </c>
      <c r="H84" s="21" t="s">
        <v>548</v>
      </c>
      <c r="I84" s="13">
        <v>42990.556423611109</v>
      </c>
      <c r="J84" s="7">
        <v>0</v>
      </c>
      <c r="K84" s="89" t="str">
        <f>IF(ISEVEN(B84),(B84-1)&amp;"/"&amp;B84,B84&amp;"/"&amp;(B84+1))</f>
        <v>4033/4034</v>
      </c>
      <c r="L84" s="214" t="str">
        <f>VLOOKUP(A84,'Trips&amp;Operators'!$C$1:$G$99911,5,FALSE)</f>
        <v>SMITH MICHAEL</v>
      </c>
      <c r="M84" s="6">
        <f>I84-F84</f>
        <v>2.4780092593573499E-2</v>
      </c>
      <c r="N84" s="7">
        <f>24*60*SUM($M84:$M84)</f>
        <v>35.683333334745839</v>
      </c>
      <c r="O84" s="7"/>
      <c r="P84" s="7"/>
      <c r="Q84" s="22"/>
      <c r="R84" s="167"/>
      <c r="S84" s="210">
        <f>1/IF(AG84="EC",12,1)*SUM(U84:U84)</f>
        <v>1</v>
      </c>
      <c r="T84" s="192" t="str">
        <f>IF(ISEVEN(LEFT(AD84,4)),"Southbound","NorthBound")</f>
        <v>NorthBound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-09-12T11:42:25-0600',mode:absolute,to:'2017-09-12T14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4" s="194" t="str">
        <f>IF(AA84&lt;VLOOKUP(AG84,Variables!$AC$3:$AD$8,2,FALSE),"Y","N")</f>
        <v>N</v>
      </c>
      <c r="X84" s="194">
        <f>VALUE(LEFT(AD84,4))-VALUE(LEFT(AD83,4))</f>
        <v>1</v>
      </c>
      <c r="Y84" s="194">
        <f>RIGHT(D84,LEN(D84)-4)/10000</f>
        <v>4.5999999999999999E-2</v>
      </c>
      <c r="Z84" s="194">
        <f>RIGHT(H84,LEN(H84)-4)/10000</f>
        <v>23.332100000000001</v>
      </c>
      <c r="AA84" s="194">
        <f>ABS(Z84-Y84)</f>
        <v>23.286100000000001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>VALUE(LEFT(A84,LEN(A84)-3))</f>
        <v>173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/stypes="app*4034*20170912*" /stext=" 19:.+((SYSTEM_STATE.+slice.+state.+changed )|(ment ac)|(multiple cpu faults)|(system.+state.+changed )|(\[timeout)|(PRM\|1\|D)|(kpr)|(kdp)|(train st.+moving)|(\|lc)|(penalty))"</v>
      </c>
      <c r="AG84" s="206" t="str">
        <f>DetSubdiv(A84)</f>
        <v>EC</v>
      </c>
      <c r="AH84" s="78" t="str">
        <f t="shared" si="8"/>
        <v>"%USERPROFILE%\Documents\GitHub\eaglep3\Utilities\RefineRTDCRunTimes.py" --tripid 173-12 --locoid 4034 --swversion DE.1.0.9.0 --startMP 204:460 --initTime 2017-09-12T12:42:25 --startdatetime 2017-09-12T12:45:34 --delay 83 --endMP 204:233321 --enddatetime 2017-09-12T13:21:15 --enforcementcount 0 &gt;&gt;C:\Users\stu\Documents\GitHub\eaglep3-reporting\EC\2017-09-12-refined-times.txt</v>
      </c>
      <c r="AI84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{"issue":{"subject":"","project_id":79,"tracker_id":40,"status_id":1,"priority_id":2,"assigned_to_id":338,"start_date":"2017-09-12","description":"","custom_fields":[{"id":1,"name":"Subdivision","value":"EC"},{"id":4,"name":"Milepost","value":"23.3321"},{"id":17,"name":"Train ID","value":"173-12"},{"id":16,"name":"Locomotive ID","value":"4034"},{"id":130,"name":"Impact","value":""},{"id":150,"name":"Time of Event (Mountain Time)","value":"13:21:15"},{"id":151,"name":"Denver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4034 --day 2017-09-12</v>
      </c>
      <c r="AN84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725</v>
      </c>
      <c r="B85" s="7">
        <v>4033</v>
      </c>
      <c r="C85" s="21" t="s">
        <v>197</v>
      </c>
      <c r="D85" s="21" t="s">
        <v>394</v>
      </c>
      <c r="E85" s="13">
        <v>42990.563379629632</v>
      </c>
      <c r="F85" s="13">
        <v>42990.571053240739</v>
      </c>
      <c r="G85" s="7">
        <v>104</v>
      </c>
      <c r="H85" s="21" t="s">
        <v>527</v>
      </c>
      <c r="I85" s="13">
        <v>42990.598344907405</v>
      </c>
      <c r="J85" s="7">
        <v>0</v>
      </c>
      <c r="K85" s="89" t="str">
        <f>IF(ISEVEN(B85),(B85-1)&amp;"/"&amp;B85,B85&amp;"/"&amp;(B85+1))</f>
        <v>4033/4034</v>
      </c>
      <c r="L85" s="214" t="str">
        <f>VLOOKUP(A85,'Trips&amp;Operators'!$C$1:$G$99911,5,FALSE)</f>
        <v>SMITH MICHAEL</v>
      </c>
      <c r="M85" s="6">
        <f>I85-F85</f>
        <v>2.7291666665405501E-2</v>
      </c>
      <c r="N85" s="7">
        <f>24*60*SUM($M85:$M85)</f>
        <v>39.299999998183921</v>
      </c>
      <c r="O85" s="7"/>
      <c r="P85" s="7"/>
      <c r="Q85" s="22"/>
      <c r="R85" s="167"/>
      <c r="S85" s="210">
        <f>1/IF(AG85="EC",12,1)*SUM(U85:U85)</f>
        <v>1</v>
      </c>
      <c r="T85" s="192" t="str">
        <f>IF(ISEVEN(LEFT(AD85,4)),"Southbound","NorthBound")</f>
        <v>Southbound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-09-12T12:31:16-0600',mode:absolute,to:'2017-09-12T15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5" s="194" t="str">
        <f>IF(AA85&lt;VLOOKUP(AG85,Variables!$AC$3:$AD$8,2,FALSE),"Y","N")</f>
        <v>N</v>
      </c>
      <c r="X85" s="194">
        <f>VALUE(LEFT(AD85,4))-VALUE(LEFT(AD84,4))</f>
        <v>1</v>
      </c>
      <c r="Y85" s="194">
        <f>RIGHT(D85,LEN(D85)-4)/10000</f>
        <v>23.299399999999999</v>
      </c>
      <c r="Z85" s="194">
        <f>RIGHT(H85,LEN(H85)-4)/10000</f>
        <v>1.54E-2</v>
      </c>
      <c r="AA85" s="194">
        <f>ABS(Z85-Y85)</f>
        <v>23.283999999999999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>VALUE(LEFT(A85,LEN(A85)-3))</f>
        <v>174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/stypes="app*4033*20170912*" /stext=" 20:.+((SYSTEM_STATE.+slice.+state.+changed )|(ment ac)|(multiple cpu faults)|(system.+state.+changed )|(\[timeout)|(PRM\|1\|D)|(kpr)|(kdp)|(train st.+moving)|(\|lc)|(penalty))"</v>
      </c>
      <c r="AG85" s="206" t="str">
        <f>DetSubdiv(A85)</f>
        <v>EC</v>
      </c>
      <c r="AH85" s="78" t="str">
        <f t="shared" si="8"/>
        <v>"%USERPROFILE%\Documents\GitHub\eaglep3\Utilities\RefineRTDCRunTimes.py" --tripid 174-12 --locoid 4033 --swversion DE.1.0.9.0 --startMP 204:232994 --initTime 2017-09-12T13:31:16 --startdatetime 2017-09-12T13:42:19 --delay 104 --endMP 204:154 --enddatetime 2017-09-12T14:21:37 --enforcementcount 0 &gt;&gt;C:\Users\stu\Documents\GitHub\eaglep3-reporting\EC\2017-09-12-refined-times.txt</v>
      </c>
      <c r="AI85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ID","value":"174-12"},{"id":16,"name":"Locomotive ID","value":"4033"},{"id":130,"name":"Impact","value":""},{"id":150,"name":"Time of Event (Mountain Time)","value":"14:21:37"},{"id":151,"name":"Denver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4033 --day 2017-09-12</v>
      </c>
      <c r="AN85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718</v>
      </c>
      <c r="B86" s="7">
        <v>4058</v>
      </c>
      <c r="C86" s="21" t="s">
        <v>197</v>
      </c>
      <c r="D86" s="21" t="s">
        <v>388</v>
      </c>
      <c r="E86" s="13">
        <v>42990.538553240738</v>
      </c>
      <c r="F86" s="13">
        <v>42990.541828703703</v>
      </c>
      <c r="G86" s="7">
        <v>61</v>
      </c>
      <c r="H86" s="21" t="s">
        <v>490</v>
      </c>
      <c r="I86" s="13">
        <v>42990.565833333334</v>
      </c>
      <c r="J86" s="7">
        <v>0</v>
      </c>
      <c r="K86" s="89" t="str">
        <f>IF(ISEVEN(B86),(B86-1)&amp;"/"&amp;B86,B86&amp;"/"&amp;(B86+1))</f>
        <v>4057/4058</v>
      </c>
      <c r="L86" s="214" t="str">
        <f>VLOOKUP(A86,'Trips&amp;Operators'!$C$1:$G$99911,5,FALSE)</f>
        <v>BRUDER RICHARD</v>
      </c>
      <c r="M86" s="6">
        <f>I86-F86</f>
        <v>2.400462963123573E-2</v>
      </c>
      <c r="N86" s="7">
        <f>24*60*SUM($M86:$M86)</f>
        <v>34.566666668979451</v>
      </c>
      <c r="O86" s="7"/>
      <c r="P86" s="7"/>
      <c r="Q86" s="22"/>
      <c r="R86" s="167"/>
      <c r="S86" s="210">
        <f>1/IF(AG86="EC",12,1)*SUM(U86:U86)</f>
        <v>1</v>
      </c>
      <c r="T86" s="192" t="str">
        <f>IF(ISEVEN(LEFT(AD86,4)),"Southbound","NorthBound")</f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-09-12T11:55:31-0600',mode:absolute,to:'2017-09-12T14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6" s="194" t="str">
        <f>IF(AA86&lt;VLOOKUP(AG86,Variables!$AC$3:$AD$8,2,FALSE),"Y","N")</f>
        <v>N</v>
      </c>
      <c r="X86" s="194">
        <f>VALUE(LEFT(AD86,4))-VALUE(LEFT(AD85,4))</f>
        <v>1</v>
      </c>
      <c r="Y86" s="194">
        <f>RIGHT(D86,LEN(D86)-4)/10000</f>
        <v>4.5999999999999999E-2</v>
      </c>
      <c r="Z86" s="194">
        <f>RIGHT(H86,LEN(H86)-4)/10000</f>
        <v>23.331099999999999</v>
      </c>
      <c r="AA86" s="194">
        <f>ABS(Z86-Y86)</f>
        <v>23.2851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>VALUE(LEFT(A86,LEN(A86)-3))</f>
        <v>175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/stypes="app*4058*20170912*" /stext=" 19:.+((SYSTEM_STATE.+slice.+state.+changed )|(ment ac)|(multiple cpu faults)|(system.+state.+changed )|(\[timeout)|(PRM\|1\|D)|(kpr)|(kdp)|(train st.+moving)|(\|lc)|(penalty))"</v>
      </c>
      <c r="AG86" s="206" t="str">
        <f>DetSubdiv(A86)</f>
        <v>EC</v>
      </c>
      <c r="AH86" s="78" t="str">
        <f t="shared" si="8"/>
        <v>"%USERPROFILE%\Documents\GitHub\eaglep3\Utilities\RefineRTDCRunTimes.py" --tripid 175-12 --locoid 4058 --swversion DE.1.0.9.0 --startMP 204:460 --initTime 2017-09-12T12:55:31 --startdatetime 2017-09-12T13:00:14 --delay 61 --endMP 204:233311 --enddatetime 2017-09-12T13:34:48 --enforcementcount 0 &gt;&gt;C:\Users\stu\Documents\GitHub\eaglep3-reporting\EC\2017-09-12-refined-times.txt</v>
      </c>
      <c r="AI86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{"issue":{"subject":"","project_id":79,"tracker_id":40,"status_id":1,"priority_id":2,"assigned_to_id":338,"start_date":"2017-09-12","description":"","custom_fields":[{"id":1,"name":"Subdivision","value":"EC"},{"id":4,"name":"Milepost","value":"23.3311"},{"id":17,"name":"Train ID","value":"175-12"},{"id":16,"name":"Locomotive ID","value":"4058"},{"id":130,"name":"Impact","value":""},{"id":150,"name":"Time of Event (Mountain Time)","value":"13:34:48"},{"id":151,"name":"Denver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4058 --day 2017-09-12</v>
      </c>
      <c r="AN86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600</v>
      </c>
      <c r="B87" s="7">
        <v>4057</v>
      </c>
      <c r="C87" s="21" t="s">
        <v>197</v>
      </c>
      <c r="D87" s="21" t="s">
        <v>498</v>
      </c>
      <c r="E87" s="13">
        <v>42990.578449074077</v>
      </c>
      <c r="F87" s="13">
        <v>42990.581435185188</v>
      </c>
      <c r="G87" s="7">
        <v>71</v>
      </c>
      <c r="H87" s="21" t="s">
        <v>527</v>
      </c>
      <c r="I87" s="13">
        <v>42990.607858796298</v>
      </c>
      <c r="J87" s="7">
        <v>0</v>
      </c>
      <c r="K87" s="89" t="str">
        <f>IF(ISEVEN(B87),(B87-1)&amp;"/"&amp;B87,B87&amp;"/"&amp;(B87+1))</f>
        <v>4057/4058</v>
      </c>
      <c r="L87" s="214" t="str">
        <f>VLOOKUP(A87,'Trips&amp;Operators'!$C$1:$G$99911,5,FALSE)</f>
        <v>BRUDER RICHARD</v>
      </c>
      <c r="M87" s="6">
        <f>I87-F87</f>
        <v>2.6423611110658385E-2</v>
      </c>
      <c r="N87" s="7">
        <f>24*60*SUM($M87:$M87)</f>
        <v>38.049999999348074</v>
      </c>
      <c r="O87" s="7"/>
      <c r="P87" s="7"/>
      <c r="Q87" s="22"/>
      <c r="R87" s="167"/>
      <c r="S87" s="210">
        <f>1/IF(AG87="EC",12,1)*SUM(U87:U87)</f>
        <v>1</v>
      </c>
      <c r="T87" s="192" t="str">
        <f>IF(ISEVEN(LEFT(AD87,4)),"Southbound","NorthBound")</f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-09-12T12:52:58-0600',mode:absolute,to:'2017-09-12T15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7" s="194" t="str">
        <f>IF(AA87&lt;VLOOKUP(AG87,Variables!$AC$3:$AD$8,2,FALSE),"Y","N")</f>
        <v>N</v>
      </c>
      <c r="X87" s="194">
        <f>VALUE(LEFT(AD87,4))-VALUE(LEFT(AD86,4))</f>
        <v>1</v>
      </c>
      <c r="Y87" s="194">
        <f>RIGHT(D87,LEN(D87)-4)/10000</f>
        <v>23.297999999999998</v>
      </c>
      <c r="Z87" s="194">
        <f>RIGHT(H87,LEN(H87)-4)/10000</f>
        <v>1.54E-2</v>
      </c>
      <c r="AA87" s="194">
        <f>ABS(Z87-Y87)</f>
        <v>23.282599999999999</v>
      </c>
      <c r="AB87" s="54" t="str">
        <f>VLOOKUP(A87,Enforcements!$C$7:$K$11,8,0)</f>
        <v>Bulletin (2)</v>
      </c>
      <c r="AC87" s="51" t="str">
        <f>VLOOKUP(A87,Enforcements!$C$7:$E$11,3,0)</f>
        <v>GRADE CROSSING</v>
      </c>
      <c r="AD87" s="203">
        <f>VALUE(LEFT(A87,LEN(A87)-3))</f>
        <v>176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/stypes="app*4057*20170912*" /stext=" 20:.+((SYSTEM_STATE.+slice.+state.+changed )|(ment ac)|(multiple cpu faults)|(system.+state.+changed )|(\[timeout)|(PRM\|1\|D)|(kpr)|(kdp)|(train st.+moving)|(\|lc)|(penalty))"</v>
      </c>
      <c r="AG87" s="206" t="str">
        <f>DetSubdiv(A87)</f>
        <v>EC</v>
      </c>
      <c r="AH87" s="78" t="str">
        <f t="shared" si="8"/>
        <v>"%USERPROFILE%\Documents\GitHub\eaglep3\Utilities\RefineRTDCRunTimes.py" --tripid 176-12 --locoid 4057 --swversion DE.1.0.9.0 --startMP 204:232980 --initTime 2017-09-12T13:52:58 --startdatetime 2017-09-12T13:57:16 --delay 71 --endMP 204:154 --enddatetime 2017-09-12T14:35:19 --enforcementcount 0 &gt;&gt;C:\Users\stu\Documents\GitHub\eaglep3-reporting\EC\2017-09-12-refined-times.txt</v>
      </c>
      <c r="AI87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ID","value":"176-12"},{"id":16,"name":"Locomotive ID","value":"4057"},{"id":130,"name":"Impact","value":""},{"id":150,"name":"Time of Event (Mountain Time)","value":"14:35:19"},{"id":151,"name":"Denver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4057 --day 2017-09-12</v>
      </c>
      <c r="AN87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721</v>
      </c>
      <c r="B88" s="7">
        <v>4030</v>
      </c>
      <c r="C88" s="21" t="s">
        <v>197</v>
      </c>
      <c r="D88" s="21" t="s">
        <v>857</v>
      </c>
      <c r="E88" s="13">
        <v>42990.549212962964</v>
      </c>
      <c r="F88" s="13">
        <v>42990.552372685182</v>
      </c>
      <c r="G88" s="7">
        <v>61</v>
      </c>
      <c r="H88" s="21" t="s">
        <v>531</v>
      </c>
      <c r="I88" s="13">
        <v>42990.577349537038</v>
      </c>
      <c r="J88" s="7">
        <v>0</v>
      </c>
      <c r="K88" s="89" t="str">
        <f>IF(ISEVEN(B88),(B88-1)&amp;"/"&amp;B88,B88&amp;"/"&amp;(B88+1))</f>
        <v>4029/4030</v>
      </c>
      <c r="L88" s="214" t="str">
        <f>VLOOKUP(A88,'Trips&amp;Operators'!$C$1:$G$99911,5,FALSE)</f>
        <v>MOSES BRADLEY</v>
      </c>
      <c r="M88" s="6">
        <f>I88-F88</f>
        <v>2.4976851855171844E-2</v>
      </c>
      <c r="N88" s="7">
        <f>24*60*SUM($M88:$M88)</f>
        <v>35.966666671447456</v>
      </c>
      <c r="O88" s="7"/>
      <c r="P88" s="7"/>
      <c r="Q88" s="22"/>
      <c r="R88" s="167"/>
      <c r="S88" s="210">
        <f>1/IF(AG88="EC",12,1)*SUM(U88:U88)</f>
        <v>1</v>
      </c>
      <c r="T88" s="192" t="str">
        <f>IF(ISEVEN(LEFT(AD88,4)),"Southbound","NorthBound")</f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-09-12T12:10:52-0600',mode:absolute,to:'2017-09-12T14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194" t="str">
        <f>IF(AA88&lt;VLOOKUP(AG88,Variables!$AC$3:$AD$8,2,FALSE),"Y","N")</f>
        <v>N</v>
      </c>
      <c r="X88" s="194">
        <f>VALUE(LEFT(AD88,4))-VALUE(LEFT(AD87,4))</f>
        <v>1</v>
      </c>
      <c r="Y88" s="194">
        <f>RIGHT(D88,LEN(D88)-4)/10000</f>
        <v>5.3100000000000001E-2</v>
      </c>
      <c r="Z88" s="194">
        <f>RIGHT(H88,LEN(H88)-4)/10000</f>
        <v>23.331499999999998</v>
      </c>
      <c r="AA88" s="194">
        <f>ABS(Z88-Y88)</f>
        <v>23.278399999999998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>VALUE(LEFT(A88,LEN(A88)-3))</f>
        <v>177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/stypes="app*4030*20170912*" /stext=" 19:.+((SYSTEM_STATE.+slice.+state.+changed )|(ment ac)|(multiple cpu faults)|(system.+state.+changed )|(\[timeout)|(PRM\|1\|D)|(kpr)|(kdp)|(train st.+moving)|(\|lc)|(penalty))"</v>
      </c>
      <c r="AG88" s="206" t="str">
        <f>DetSubdiv(A88)</f>
        <v>EC</v>
      </c>
      <c r="AH88" s="78" t="str">
        <f t="shared" si="8"/>
        <v>"%USERPROFILE%\Documents\GitHub\eaglep3\Utilities\RefineRTDCRunTimes.py" --tripid 177-12 --locoid 4030 --swversion DE.1.0.9.0 --startMP 204:531 --initTime 2017-09-12T13:10:52 --startdatetime 2017-09-12T13:15:25 --delay 61 --endMP 204:233315 --enddatetime 2017-09-12T13:51:23 --enforcementcount 0 &gt;&gt;C:\Users\stu\Documents\GitHub\eaglep3-reporting\EC\2017-09-12-refined-times.txt</v>
      </c>
      <c r="AI88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{"issue":{"subject":"","project_id":79,"tracker_id":40,"status_id":1,"priority_id":2,"assigned_to_id":338,"start_date":"2017-09-12","description":"","custom_fields":[{"id":1,"name":"Subdivision","value":"EC"},{"id":4,"name":"Milepost","value":"23.3315"},{"id":17,"name":"Train ID","value":"177-12"},{"id":16,"name":"Locomotive ID","value":"4030"},{"id":130,"name":"Impact","value":""},{"id":150,"name":"Time of Event (Mountain Time)","value":"13:51:23"},{"id":151,"name":"Denver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4030 --day 2017-09-12</v>
      </c>
      <c r="AN88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729</v>
      </c>
      <c r="B89" s="7">
        <v>4029</v>
      </c>
      <c r="C89" s="21" t="s">
        <v>197</v>
      </c>
      <c r="D89" s="21" t="s">
        <v>448</v>
      </c>
      <c r="E89" s="13">
        <v>42990.58898148148</v>
      </c>
      <c r="F89" s="13">
        <v>42990.591898148145</v>
      </c>
      <c r="G89" s="7">
        <v>71</v>
      </c>
      <c r="H89" s="21" t="s">
        <v>368</v>
      </c>
      <c r="I89" s="13">
        <v>42990.617835648147</v>
      </c>
      <c r="J89" s="7">
        <v>0</v>
      </c>
      <c r="K89" s="89" t="str">
        <f>IF(ISEVEN(B89),(B89-1)&amp;"/"&amp;B89,B89&amp;"/"&amp;(B89+1))</f>
        <v>4029/4030</v>
      </c>
      <c r="L89" s="214" t="str">
        <f>VLOOKUP(A89,'Trips&amp;Operators'!$C$1:$G$99911,5,FALSE)</f>
        <v>MOSES BRADLEY</v>
      </c>
      <c r="M89" s="6">
        <f>I89-F89</f>
        <v>2.5937500002328306E-2</v>
      </c>
      <c r="N89" s="7">
        <f>24*60*SUM($M89:$M89)</f>
        <v>37.350000003352761</v>
      </c>
      <c r="O89" s="7"/>
      <c r="P89" s="7"/>
      <c r="Q89" s="22"/>
      <c r="R89" s="167"/>
      <c r="S89" s="210">
        <f>1/IF(AG89="EC",12,1)*SUM(U89:U89)</f>
        <v>1</v>
      </c>
      <c r="T89" s="192" t="str">
        <f>IF(ISEVEN(LEFT(AD89,4)),"Southbound","NorthBound")</f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-09-12T13:08:08-0600',mode:absolute,to:'2017-09-12T15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94" t="str">
        <f>IF(AA89&lt;VLOOKUP(AG89,Variables!$AC$3:$AD$8,2,FALSE),"Y","N")</f>
        <v>N</v>
      </c>
      <c r="X89" s="194">
        <f>VALUE(LEFT(AD89,4))-VALUE(LEFT(AD88,4))</f>
        <v>1</v>
      </c>
      <c r="Y89" s="194">
        <f>RIGHT(D89,LEN(D89)-4)/10000</f>
        <v>23.299600000000002</v>
      </c>
      <c r="Z89" s="194">
        <f>RIGHT(H89,LEN(H89)-4)/10000</f>
        <v>1.38E-2</v>
      </c>
      <c r="AA89" s="194">
        <f>ABS(Z89-Y89)</f>
        <v>23.285800000000002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>VALUE(LEFT(A89,LEN(A89)-3))</f>
        <v>178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/stypes="app*4029*20170912*" /stext=" 20:.+((SYSTEM_STATE.+slice.+state.+changed )|(ment ac)|(multiple cpu faults)|(system.+state.+changed )|(\[timeout)|(PRM\|1\|D)|(kpr)|(kdp)|(train st.+moving)|(\|lc)|(penalty))"</v>
      </c>
      <c r="AG89" s="206" t="str">
        <f>DetSubdiv(A89)</f>
        <v>EC</v>
      </c>
      <c r="AH89" s="78" t="str">
        <f t="shared" si="8"/>
        <v>"%USERPROFILE%\Documents\GitHub\eaglep3\Utilities\RefineRTDCRunTimes.py" --tripid 178-12 --locoid 4029 --swversion DE.1.0.9.0 --startMP 204:232996 --initTime 2017-09-12T14:08:08 --startdatetime 2017-09-12T14:12:20 --delay 71 --endMP 204:138 --enddatetime 2017-09-12T14:49:41 --enforcementcount 0 &gt;&gt;C:\Users\stu\Documents\GitHub\eaglep3-reporting\EC\2017-09-12-refined-times.txt</v>
      </c>
      <c r="AI8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{"issue":{"subject":"","project_id":79,"tracker_id":40,"status_id":1,"priority_id":2,"assigned_to_id":338,"start_date":"2017-09-12","description":"","custom_fields":[{"id":1,"name":"Subdivision","value":"EC"},{"id":4,"name":"Milepost","value":"0.0138"},{"id":17,"name":"Train ID","value":"178-12"},{"id":16,"name":"Locomotive ID","value":"4029"},{"id":130,"name":"Impact","value":""},{"id":150,"name":"Time of Event (Mountain Time)","value":"14:49:41"},{"id":151,"name":"Denver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4029 --day 2017-09-12</v>
      </c>
      <c r="AN89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723</v>
      </c>
      <c r="B90" s="7">
        <v>4032</v>
      </c>
      <c r="C90" s="21" t="s">
        <v>197</v>
      </c>
      <c r="D90" s="21" t="s">
        <v>445</v>
      </c>
      <c r="E90" s="13">
        <v>42990.558969907404</v>
      </c>
      <c r="F90" s="13">
        <v>42990.562789351854</v>
      </c>
      <c r="G90" s="7">
        <v>84</v>
      </c>
      <c r="H90" s="21" t="s">
        <v>547</v>
      </c>
      <c r="I90" s="13">
        <v>42990.587094907409</v>
      </c>
      <c r="J90" s="7">
        <v>0</v>
      </c>
      <c r="K90" s="89" t="str">
        <f>IF(ISEVEN(B90),(B90-1)&amp;"/"&amp;B90,B90&amp;"/"&amp;(B90+1))</f>
        <v>4031/4032</v>
      </c>
      <c r="L90" s="214" t="str">
        <f>VLOOKUP(A90,'Trips&amp;Operators'!$C$1:$G$99911,5,FALSE)</f>
        <v>LEVIN SCOTT</v>
      </c>
      <c r="M90" s="6">
        <f>I90-F90</f>
        <v>2.4305555554747116E-2</v>
      </c>
      <c r="N90" s="7">
        <f>24*60*SUM($M90:$M90)</f>
        <v>34.999999998835847</v>
      </c>
      <c r="O90" s="7"/>
      <c r="P90" s="7"/>
      <c r="Q90" s="22"/>
      <c r="R90" s="167"/>
      <c r="S90" s="210">
        <f>1/IF(AG90="EC",12,1)*SUM(U90:U90)</f>
        <v>1</v>
      </c>
      <c r="T90" s="192" t="str">
        <f>IF(ISEVEN(LEFT(AD90,4)),"Southbound","NorthBound")</f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-09-12T12:24:55-0600',mode:absolute,to:'2017-09-12T15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194" t="str">
        <f>IF(AA90&lt;VLOOKUP(AG90,Variables!$AC$3:$AD$8,2,FALSE),"Y","N")</f>
        <v>N</v>
      </c>
      <c r="X90" s="194">
        <f>VALUE(LEFT(AD90,4))-VALUE(LEFT(AD89,4))</f>
        <v>1</v>
      </c>
      <c r="Y90" s="194">
        <f>RIGHT(D90,LEN(D90)-4)/10000</f>
        <v>4.6199999999999998E-2</v>
      </c>
      <c r="Z90" s="194">
        <f>RIGHT(H90,LEN(H90)-4)/10000</f>
        <v>23.334299999999999</v>
      </c>
      <c r="AA90" s="194">
        <f>ABS(Z90-Y90)</f>
        <v>23.2881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>VALUE(LEFT(A90,LEN(A90)-3))</f>
        <v>179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/stypes="app*4032*20170912*" /stext=" 20:.+((SYSTEM_STATE.+slice.+state.+changed )|(ment ac)|(multiple cpu faults)|(system.+state.+changed )|(\[timeout)|(PRM\|1\|D)|(kpr)|(kdp)|(train st.+moving)|(\|lc)|(penalty))"</v>
      </c>
      <c r="AG90" s="206" t="str">
        <f>DetSubdiv(A90)</f>
        <v>EC</v>
      </c>
      <c r="AH90" s="78" t="str">
        <f t="shared" si="8"/>
        <v>"%USERPROFILE%\Documents\GitHub\eaglep3\Utilities\RefineRTDCRunTimes.py" --tripid 179-12 --locoid 4032 --swversion DE.1.0.9.0 --startMP 204:462 --initTime 2017-09-12T13:24:55 --startdatetime 2017-09-12T13:30:25 --delay 84 --endMP 204:233343 --enddatetime 2017-09-12T14:05:25 --enforcementcount 0 &gt;&gt;C:\Users\stu\Documents\GitHub\eaglep3-reporting\EC\2017-09-12-refined-times.txt</v>
      </c>
      <c r="AI9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{"issue":{"subject":"","project_id":79,"tracker_id":40,"status_id":1,"priority_id":2,"assigned_to_id":338,"start_date":"2017-09-12","description":"","custom_fields":[{"id":1,"name":"Subdivision","value":"EC"},{"id":4,"name":"Milepost","value":"23.3343"},{"id":17,"name":"Train ID","value":"179-12"},{"id":16,"name":"Locomotive ID","value":"4032"},{"id":130,"name":"Impact","value":""},{"id":150,"name":"Time of Event (Mountain Time)","value":"14:05:25"},{"id":151,"name":"Denver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4032 --day 2017-09-12</v>
      </c>
      <c r="AN90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731</v>
      </c>
      <c r="B91" s="7">
        <v>4031</v>
      </c>
      <c r="C91" s="21" t="s">
        <v>197</v>
      </c>
      <c r="D91" s="21" t="s">
        <v>851</v>
      </c>
      <c r="E91" s="13">
        <v>42990.592916666668</v>
      </c>
      <c r="F91" s="13">
        <v>42990.602395833332</v>
      </c>
      <c r="G91" s="7">
        <v>50</v>
      </c>
      <c r="H91" s="21" t="s">
        <v>401</v>
      </c>
      <c r="I91" s="13">
        <v>42990.627858796295</v>
      </c>
      <c r="J91" s="7">
        <v>0</v>
      </c>
      <c r="K91" s="89" t="str">
        <f>IF(ISEVEN(B91),(B91-1)&amp;"/"&amp;B91,B91&amp;"/"&amp;(B91+1))</f>
        <v>4031/4032</v>
      </c>
      <c r="L91" s="214" t="str">
        <f>VLOOKUP(A91,'Trips&amp;Operators'!$C$1:$G$99911,5,FALSE)</f>
        <v>LEVIN SCOTT</v>
      </c>
      <c r="M91" s="6">
        <f>I91-F91</f>
        <v>2.5462962963501923E-2</v>
      </c>
      <c r="N91" s="7">
        <f>24*60*SUM($M91:$M91)</f>
        <v>36.666666667442769</v>
      </c>
      <c r="O91" s="7"/>
      <c r="P91" s="7"/>
      <c r="Q91" s="22"/>
      <c r="R91" s="167"/>
      <c r="S91" s="210">
        <f>1/IF(AG91="EC",12,1)*SUM(U91:U91)</f>
        <v>1</v>
      </c>
      <c r="T91" s="192" t="str">
        <f>IF(ISEVEN(LEFT(AD91,4)),"Southbound","NorthBound")</f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-12T13:13:48-0600',mode:absolute,to:'2017-09-12T16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194" t="str">
        <f>IF(AA91&lt;VLOOKUP(AG91,Variables!$AC$3:$AD$8,2,FALSE),"Y","N")</f>
        <v>N</v>
      </c>
      <c r="X91" s="194">
        <f>VALUE(LEFT(AD91,4))-VALUE(LEFT(AD90,4))</f>
        <v>1</v>
      </c>
      <c r="Y91" s="194">
        <f>RIGHT(D91,LEN(D91)-4)/10000</f>
        <v>23.300899999999999</v>
      </c>
      <c r="Z91" s="194">
        <f>RIGHT(H91,LEN(H91)-4)/10000</f>
        <v>1.34E-2</v>
      </c>
      <c r="AA91" s="194">
        <f>ABS(Z91-Y91)</f>
        <v>23.287499999999998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>VALUE(LEFT(A91,LEN(A91)-3))</f>
        <v>180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/stypes="app*4031*20170912*" /stext=" 21:.+((SYSTEM_STATE.+slice.+state.+changed )|(ment ac)|(multiple cpu faults)|(system.+state.+changed )|(\[timeout)|(PRM\|1\|D)|(kpr)|(kdp)|(train st.+moving)|(\|lc)|(penalty))"</v>
      </c>
      <c r="AG91" s="206" t="str">
        <f>DetSubdiv(A91)</f>
        <v>EC</v>
      </c>
      <c r="AH91" s="78" t="str">
        <f t="shared" si="8"/>
        <v>"%USERPROFILE%\Documents\GitHub\eaglep3\Utilities\RefineRTDCRunTimes.py" --tripid 180-12 --locoid 4031 --swversion DE.1.0.9.0 --startMP 204:233009 --initTime 2017-09-12T14:13:48 --startdatetime 2017-09-12T14:27:27 --delay 50 --endMP 204:134 --enddatetime 2017-09-12T15:04:07 --enforcementcount 0 &gt;&gt;C:\Users\stu\Documents\GitHub\eaglep3-reporting\EC\2017-09-12-refined-times.txt</v>
      </c>
      <c r="AI9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{"issue":{"subject":"","project_id":79,"tracker_id":40,"status_id":1,"priority_id":2,"assigned_to_id":338,"start_date":"2017-09-12","description":"","custom_fields":[{"id":1,"name":"Subdivision","value":"EC"},{"id":4,"name":"Milepost","value":"0.0134"},{"id":17,"name":"Train ID","value":"180-12"},{"id":16,"name":"Locomotive ID","value":"4031"},{"id":130,"name":"Impact","value":""},{"id":150,"name":"Time of Event (Mountain Time)","value":"15:04:07"},{"id":151,"name":"Denver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4031 --day 2017-09-12</v>
      </c>
      <c r="AN91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726</v>
      </c>
      <c r="B92" s="7">
        <v>4062</v>
      </c>
      <c r="C92" s="21" t="s">
        <v>197</v>
      </c>
      <c r="D92" s="21" t="s">
        <v>362</v>
      </c>
      <c r="E92" s="13">
        <v>42990.568668981483</v>
      </c>
      <c r="F92" s="13">
        <v>42990.573564814818</v>
      </c>
      <c r="G92" s="7">
        <v>50</v>
      </c>
      <c r="H92" s="21" t="s">
        <v>550</v>
      </c>
      <c r="I92" s="13">
        <v>42990.598622685182</v>
      </c>
      <c r="J92" s="7">
        <v>0</v>
      </c>
      <c r="K92" s="89" t="str">
        <f>IF(ISEVEN(B92),(B92-1)&amp;"/"&amp;B92,B92&amp;"/"&amp;(B92+1))</f>
        <v>4061/4062</v>
      </c>
      <c r="L92" s="214" t="str">
        <f>VLOOKUP(A92,'Trips&amp;Operators'!$C$1:$G$99911,5,FALSE)</f>
        <v>LEVERE CRAIG</v>
      </c>
      <c r="M92" s="6">
        <f>I92-F92</f>
        <v>2.5057870363525581E-2</v>
      </c>
      <c r="N92" s="7">
        <f>24*60*SUM($M92:$M92)</f>
        <v>36.083333323476836</v>
      </c>
      <c r="O92" s="7"/>
      <c r="P92" s="7"/>
      <c r="Q92" s="22"/>
      <c r="R92" s="167"/>
      <c r="S92" s="210">
        <f>1/IF(AG92="EC",12,1)*SUM(U92:U92)</f>
        <v>1</v>
      </c>
      <c r="T92" s="192" t="str">
        <f>IF(ISEVEN(LEFT(AD92,4)),"Southbound","NorthBound")</f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-09-12T12:38:53-0600',mode:absolute,to:'2017-09-12T15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2" s="194" t="str">
        <f>IF(AA92&lt;VLOOKUP(AG92,Variables!$AC$3:$AD$8,2,FALSE),"Y","N")</f>
        <v>N</v>
      </c>
      <c r="X92" s="194">
        <f>VALUE(LEFT(AD92,4))-VALUE(LEFT(AD91,4))</f>
        <v>1</v>
      </c>
      <c r="Y92" s="194">
        <f>RIGHT(D92,LEN(D92)-4)/10000</f>
        <v>4.5699999999999998E-2</v>
      </c>
      <c r="Z92" s="194">
        <f>RIGHT(H92,LEN(H92)-4)/10000</f>
        <v>23.332699999999999</v>
      </c>
      <c r="AA92" s="194">
        <f>ABS(Z92-Y92)</f>
        <v>23.286999999999999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>VALUE(LEFT(A92,LEN(A92)-3))</f>
        <v>181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/stypes="app*4062*20170912*" /stext=" 20:.+((SYSTEM_STATE.+slice.+state.+changed )|(ment ac)|(multiple cpu faults)|(system.+state.+changed )|(\[timeout)|(PRM\|1\|D)|(kpr)|(kdp)|(train st.+moving)|(\|lc)|(penalty))"</v>
      </c>
      <c r="AG92" s="206" t="str">
        <f>DetSubdiv(A92)</f>
        <v>EC</v>
      </c>
      <c r="AH92" s="78" t="str">
        <f t="shared" si="8"/>
        <v>"%USERPROFILE%\Documents\GitHub\eaglep3\Utilities\RefineRTDCRunTimes.py" --tripid 181-12 --locoid 4062 --swversion DE.1.0.9.0 --startMP 204:457 --initTime 2017-09-12T13:38:53 --startdatetime 2017-09-12T13:45:56 --delay 50 --endMP 204:233327 --enddatetime 2017-09-12T14:22:01 --enforcementcount 0 &gt;&gt;C:\Users\stu\Documents\GitHub\eaglep3-reporting\EC\2017-09-12-refined-times.txt</v>
      </c>
      <c r="AI92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{"issue":{"subject":"","project_id":79,"tracker_id":40,"status_id":1,"priority_id":2,"assigned_to_id":338,"start_date":"2017-09-12","description":"","custom_fields":[{"id":1,"name":"Subdivision","value":"EC"},{"id":4,"name":"Milepost","value":"23.3327"},{"id":17,"name":"Train ID","value":"181-12"},{"id":16,"name":"Locomotive ID","value":"4062"},{"id":130,"name":"Impact","value":""},{"id":150,"name":"Time of Event (Mountain Time)","value":"14:22:01"},{"id":151,"name":"Denver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4062 --day 2017-09-12</v>
      </c>
      <c r="AN92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734</v>
      </c>
      <c r="B93" s="7">
        <v>4061</v>
      </c>
      <c r="C93" s="21" t="s">
        <v>197</v>
      </c>
      <c r="D93" s="21" t="s">
        <v>493</v>
      </c>
      <c r="E93" s="13">
        <v>42990.606423611112</v>
      </c>
      <c r="F93" s="13">
        <v>42990.612754629627</v>
      </c>
      <c r="G93" s="7">
        <v>53</v>
      </c>
      <c r="H93" s="21" t="s">
        <v>340</v>
      </c>
      <c r="I93" s="13">
        <v>42990.639085648145</v>
      </c>
      <c r="J93" s="7">
        <v>0</v>
      </c>
      <c r="K93" s="89" t="str">
        <f>IF(ISEVEN(B93),(B93-1)&amp;"/"&amp;B93,B93&amp;"/"&amp;(B93+1))</f>
        <v>4061/4062</v>
      </c>
      <c r="L93" s="214" t="str">
        <f>VLOOKUP(A93,'Trips&amp;Operators'!$C$1:$G$99911,5,FALSE)</f>
        <v>LEVERE CRAIG</v>
      </c>
      <c r="M93" s="6">
        <f>I93-F93</f>
        <v>2.6331018518249039E-2</v>
      </c>
      <c r="N93" s="7">
        <f>24*60*SUM($M93:$M93)</f>
        <v>37.916666666278616</v>
      </c>
      <c r="O93" s="7"/>
      <c r="P93" s="7"/>
      <c r="Q93" s="22"/>
      <c r="R93" s="167"/>
      <c r="S93" s="210">
        <f>1/IF(AG93="EC",12,1)*SUM(U93:U93)</f>
        <v>1</v>
      </c>
      <c r="T93" s="192" t="str">
        <f>IF(ISEVEN(LEFT(AD93,4)),"Southbound","NorthBound")</f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-12T13:33:15-0600',mode:absolute,to:'2017-09-12T16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3" s="194" t="str">
        <f>IF(AA93&lt;VLOOKUP(AG93,Variables!$AC$3:$AD$8,2,FALSE),"Y","N")</f>
        <v>N</v>
      </c>
      <c r="X93" s="194">
        <f>VALUE(LEFT(AD93,4))-VALUE(LEFT(AD92,4))</f>
        <v>1</v>
      </c>
      <c r="Y93" s="194">
        <f>RIGHT(D93,LEN(D93)-4)/10000</f>
        <v>23.301500000000001</v>
      </c>
      <c r="Z93" s="194">
        <f>RIGHT(H93,LEN(H93)-4)/10000</f>
        <v>1.43E-2</v>
      </c>
      <c r="AA93" s="194">
        <f>ABS(Z93-Y93)</f>
        <v>23.287200000000002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>VALUE(LEFT(A93,LEN(A93)-3))</f>
        <v>182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/stypes="app*4061*20170912*" /stext=" 21:.+((SYSTEM_STATE.+slice.+state.+changed )|(ment ac)|(multiple cpu faults)|(system.+state.+changed )|(\[timeout)|(PRM\|1\|D)|(kpr)|(kdp)|(train st.+moving)|(\|lc)|(penalty))"</v>
      </c>
      <c r="AG93" s="206" t="str">
        <f>DetSubdiv(A93)</f>
        <v>EC</v>
      </c>
      <c r="AH93" s="78" t="str">
        <f t="shared" si="8"/>
        <v>"%USERPROFILE%\Documents\GitHub\eaglep3\Utilities\RefineRTDCRunTimes.py" --tripid 182-12 --locoid 4061 --swversion DE.1.0.9.0 --startMP 204:233015 --initTime 2017-09-12T14:33:15 --startdatetime 2017-09-12T14:42:22 --delay 53 --endMP 204:143 --enddatetime 2017-09-12T15:20:17 --enforcementcount 0 &gt;&gt;C:\Users\stu\Documents\GitHub\eaglep3-reporting\EC\2017-09-12-refined-times.txt</v>
      </c>
      <c r="AI93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{"issue":{"subject":"","project_id":79,"tracker_id":40,"status_id":1,"priority_id":2,"assigned_to_id":338,"start_date":"2017-09-12","description":"","custom_fields":[{"id":1,"name":"Subdivision","value":"EC"},{"id":4,"name":"Milepost","value":"0.0143"},{"id":17,"name":"Train ID","value":"182-12"},{"id":16,"name":"Locomotive ID","value":"4061"},{"id":130,"name":"Impact","value":""},{"id":150,"name":"Time of Event (Mountain Time)","value":"15:20:17"},{"id":151,"name":"Denver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4061 --day 2017-09-12</v>
      </c>
      <c r="AN93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727</v>
      </c>
      <c r="B94" s="7">
        <v>4012</v>
      </c>
      <c r="C94" s="21" t="s">
        <v>197</v>
      </c>
      <c r="D94" s="21" t="s">
        <v>449</v>
      </c>
      <c r="E94" s="13">
        <v>42990.579780092594</v>
      </c>
      <c r="F94" s="13">
        <v>42990.583854166667</v>
      </c>
      <c r="G94" s="7">
        <v>97</v>
      </c>
      <c r="H94" s="21" t="s">
        <v>858</v>
      </c>
      <c r="I94" s="13">
        <v>42990.608599537038</v>
      </c>
      <c r="J94" s="7">
        <v>0</v>
      </c>
      <c r="K94" s="89" t="str">
        <f>IF(ISEVEN(B94),(B94-1)&amp;"/"&amp;B94,B94&amp;"/"&amp;(B94+1))</f>
        <v>4011/4012</v>
      </c>
      <c r="L94" s="214" t="str">
        <f>VLOOKUP(A94,'Trips&amp;Operators'!$C$1:$G$99911,5,FALSE)</f>
        <v>SAFIEF AEIMEN</v>
      </c>
      <c r="M94" s="6">
        <f>I94-F94</f>
        <v>2.47453703705105E-2</v>
      </c>
      <c r="N94" s="7">
        <f>24*60*SUM($M94:$M94)</f>
        <v>35.63333333353512</v>
      </c>
      <c r="O94" s="7"/>
      <c r="P94" s="7"/>
      <c r="Q94" s="22"/>
      <c r="R94" s="167"/>
      <c r="S94" s="210">
        <f>1/IF(AG94="EC",12,1)*SUM(U94:U94)</f>
        <v>1</v>
      </c>
      <c r="T94" s="192" t="str">
        <f>IF(ISEVEN(LEFT(AD94,4)),"Southbound","NorthBound")</f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-12T12:54:53-0600',mode:absolute,to:'2017-09-12T15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4" s="194" t="str">
        <f>IF(AA94&lt;VLOOKUP(AG94,Variables!$AC$3:$AD$8,2,FALSE),"Y","N")</f>
        <v>N</v>
      </c>
      <c r="X94" s="194">
        <f>VALUE(LEFT(AD94,4))-VALUE(LEFT(AD93,4))</f>
        <v>1</v>
      </c>
      <c r="Y94" s="194">
        <f>RIGHT(D94,LEN(D94)-4)/10000</f>
        <v>4.5100000000000001E-2</v>
      </c>
      <c r="Z94" s="194">
        <f>RIGHT(H94,LEN(H94)-4)/10000</f>
        <v>23.330500000000001</v>
      </c>
      <c r="AA94" s="194">
        <f>ABS(Z94-Y94)</f>
        <v>23.285399999999999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>VALUE(LEFT(A94,LEN(A94)-3))</f>
        <v>183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/stypes="app*4012*20170912*" /stext=" 20:.+((SYSTEM_STATE.+slice.+state.+changed )|(ment ac)|(multiple cpu faults)|(system.+state.+changed )|(\[timeout)|(PRM\|1\|D)|(kpr)|(kdp)|(train st.+moving)|(\|lc)|(penalty))"</v>
      </c>
      <c r="AG94" s="206" t="str">
        <f>DetSubdiv(A94)</f>
        <v>EC</v>
      </c>
      <c r="AH94" s="78" t="str">
        <f t="shared" si="8"/>
        <v>"%USERPROFILE%\Documents\GitHub\eaglep3\Utilities\RefineRTDCRunTimes.py" --tripid 183-12 --locoid 4012 --swversion DE.1.0.9.0 --startMP 204:451 --initTime 2017-09-12T13:54:53 --startdatetime 2017-09-12T14:00:45 --delay 97 --endMP 204:233305 --enddatetime 2017-09-12T14:36:23 --enforcementcount 0 &gt;&gt;C:\Users\stu\Documents\GitHub\eaglep3-reporting\EC\2017-09-12-refined-times.txt</v>
      </c>
      <c r="AI94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{"issue":{"subject":"","project_id":79,"tracker_id":40,"status_id":1,"priority_id":2,"assigned_to_id":338,"start_date":"2017-09-12","description":"","custom_fields":[{"id":1,"name":"Subdivision","value":"EC"},{"id":4,"name":"Milepost","value":"23.3305"},{"id":17,"name":"Train ID","value":"183-12"},{"id":16,"name":"Locomotive ID","value":"4012"},{"id":130,"name":"Impact","value":""},{"id":150,"name":"Time of Event (Mountain Time)","value":"14:36:23"},{"id":151,"name":"Denver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4012 --day 2017-09-12</v>
      </c>
      <c r="AN94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735</v>
      </c>
      <c r="B95" s="7">
        <v>4011</v>
      </c>
      <c r="C95" s="21" t="s">
        <v>197</v>
      </c>
      <c r="D95" s="21" t="s">
        <v>497</v>
      </c>
      <c r="E95" s="13">
        <v>42990.610972222225</v>
      </c>
      <c r="F95" s="13">
        <v>42990.623194444444</v>
      </c>
      <c r="G95" s="7">
        <v>71</v>
      </c>
      <c r="H95" s="21" t="s">
        <v>339</v>
      </c>
      <c r="I95" s="13">
        <v>42990.64912037037</v>
      </c>
      <c r="J95" s="7">
        <v>0</v>
      </c>
      <c r="K95" s="89" t="str">
        <f>IF(ISEVEN(B95),(B95-1)&amp;"/"&amp;B95,B95&amp;"/"&amp;(B95+1))</f>
        <v>4011/4012</v>
      </c>
      <c r="L95" s="214" t="str">
        <f>VLOOKUP(A95,'Trips&amp;Operators'!$C$1:$G$99911,5,FALSE)</f>
        <v>SAFIEF AEIMEN</v>
      </c>
      <c r="M95" s="6">
        <f>I95-F95</f>
        <v>2.5925925925548654E-2</v>
      </c>
      <c r="N95" s="7">
        <f>24*60*SUM($M95:$M95)</f>
        <v>37.333333332790062</v>
      </c>
      <c r="O95" s="7"/>
      <c r="P95" s="7"/>
      <c r="Q95" s="22"/>
      <c r="R95" s="167"/>
      <c r="S95" s="210">
        <f>1/IF(AG95="EC",12,1)*SUM(U95:U95)</f>
        <v>1</v>
      </c>
      <c r="T95" s="192" t="str">
        <f>IF(ISEVEN(LEFT(AD95,4)),"Southbound","NorthBound")</f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-09-12T13:39:48-0600',mode:absolute,to:'2017-09-12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5" s="194" t="str">
        <f>IF(AA95&lt;VLOOKUP(AG95,Variables!$AC$3:$AD$8,2,FALSE),"Y","N")</f>
        <v>N</v>
      </c>
      <c r="X95" s="194">
        <f>VALUE(LEFT(AD95,4))-VALUE(LEFT(AD94,4))</f>
        <v>1</v>
      </c>
      <c r="Y95" s="194">
        <f>RIGHT(D95,LEN(D95)-4)/10000</f>
        <v>23.301300000000001</v>
      </c>
      <c r="Z95" s="194">
        <f>RIGHT(H95,LEN(H95)-4)/10000</f>
        <v>1.49E-2</v>
      </c>
      <c r="AA95" s="194">
        <f>ABS(Z95-Y95)</f>
        <v>23.2864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>VALUE(LEFT(A95,LEN(A95)-3))</f>
        <v>184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/stypes="app*4011*20170912*" /stext=" 21:.+((SYSTEM_STATE.+slice.+state.+changed )|(ment ac)|(multiple cpu faults)|(system.+state.+changed )|(\[timeout)|(PRM\|1\|D)|(kpr)|(kdp)|(train st.+moving)|(\|lc)|(penalty))"</v>
      </c>
      <c r="AG95" s="206" t="str">
        <f>DetSubdiv(A95)</f>
        <v>EC</v>
      </c>
      <c r="AH95" s="78" t="str">
        <f t="shared" si="8"/>
        <v>"%USERPROFILE%\Documents\GitHub\eaglep3\Utilities\RefineRTDCRunTimes.py" --tripid 184-12 --locoid 4011 --swversion DE.1.0.9.0 --startMP 204:233013 --initTime 2017-09-12T14:39:48 --startdatetime 2017-09-12T14:57:24 --delay 71 --endMP 204:149 --enddatetime 2017-09-12T15:34:44 --enforcementcount 0 &gt;&gt;C:\Users\stu\Documents\GitHub\eaglep3-reporting\EC\2017-09-12-refined-times.txt</v>
      </c>
      <c r="AI95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{"issue":{"subject":"","project_id":79,"tracker_id":40,"status_id":1,"priority_id":2,"assigned_to_id":338,"start_date":"2017-09-12","description":"","custom_fields":[{"id":1,"name":"Subdivision","value":"EC"},{"id":4,"name":"Milepost","value":"0.0149"},{"id":17,"name":"Train ID","value":"184-12"},{"id":16,"name":"Locomotive ID","value":"4011"},{"id":130,"name":"Impact","value":""},{"id":150,"name":"Time of Event (Mountain Time)","value":"15:34:44"},{"id":151,"name":"Denver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4011 --day 2017-09-12</v>
      </c>
      <c r="AN95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730</v>
      </c>
      <c r="B96" s="7">
        <v>4002</v>
      </c>
      <c r="C96" s="21" t="s">
        <v>197</v>
      </c>
      <c r="D96" s="21" t="s">
        <v>350</v>
      </c>
      <c r="E96" s="13">
        <v>42990.591377314813</v>
      </c>
      <c r="F96" s="13">
        <v>42990.594074074077</v>
      </c>
      <c r="G96" s="7">
        <v>78</v>
      </c>
      <c r="H96" s="21" t="s">
        <v>859</v>
      </c>
      <c r="I96" s="13">
        <v>42990.619062500002</v>
      </c>
      <c r="J96" s="7">
        <v>0</v>
      </c>
      <c r="K96" s="89" t="str">
        <f>IF(ISEVEN(B96),(B96-1)&amp;"/"&amp;B96,B96&amp;"/"&amp;(B96+1))</f>
        <v>4001/4002</v>
      </c>
      <c r="L96" s="214" t="str">
        <f>VLOOKUP(A96,'Trips&amp;Operators'!$C$1:$G$99911,5,FALSE)</f>
        <v>DAVIS MICHAEL</v>
      </c>
      <c r="M96" s="6">
        <f>I96-F96</f>
        <v>2.4988425924675539E-2</v>
      </c>
      <c r="N96" s="7">
        <f>24*60*SUM($M96:$M96)</f>
        <v>35.983333331532776</v>
      </c>
      <c r="O96" s="7"/>
      <c r="P96" s="7"/>
      <c r="Q96" s="22"/>
      <c r="R96" s="167"/>
      <c r="S96" s="210">
        <f>1/IF(AG96="EC",12,1)*SUM(U96:U96)</f>
        <v>1</v>
      </c>
      <c r="T96" s="192" t="str">
        <f>IF(ISEVEN(LEFT(AD96,4)),"Southbound","NorthBound")</f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-09-12T13:11:35-0600',mode:absolute,to:'2017-09-12T15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6" s="194" t="str">
        <f>IF(AA96&lt;VLOOKUP(AG96,Variables!$AC$3:$AD$8,2,FALSE),"Y","N")</f>
        <v>N</v>
      </c>
      <c r="X96" s="194">
        <f>VALUE(LEFT(AD96,4))-VALUE(LEFT(AD95,4))</f>
        <v>1</v>
      </c>
      <c r="Y96" s="194">
        <f>RIGHT(D96,LEN(D96)-4)/10000</f>
        <v>4.5499999999999999E-2</v>
      </c>
      <c r="Z96" s="194">
        <f>RIGHT(H96,LEN(H96)-4)/10000</f>
        <v>23.334900000000001</v>
      </c>
      <c r="AA96" s="194">
        <f>ABS(Z96-Y96)</f>
        <v>23.289400000000001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>VALUE(LEFT(A96,LEN(A96)-3))</f>
        <v>185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/stypes="app*4002*20170912*" /stext=" 20:.+((SYSTEM_STATE.+slice.+state.+changed )|(ment ac)|(multiple cpu faults)|(system.+state.+changed )|(\[timeout)|(PRM\|1\|D)|(kpr)|(kdp)|(train st.+moving)|(\|lc)|(penalty))"</v>
      </c>
      <c r="AG96" s="206" t="str">
        <f>DetSubdiv(A96)</f>
        <v>EC</v>
      </c>
      <c r="AH96" s="78" t="str">
        <f t="shared" si="8"/>
        <v>"%USERPROFILE%\Documents\GitHub\eaglep3\Utilities\RefineRTDCRunTimes.py" --tripid 185-12 --locoid 4002 --swversion DE.1.0.9.0 --startMP 204:455 --initTime 2017-09-12T14:11:35 --startdatetime 2017-09-12T14:15:28 --delay 78 --endMP 204:233349 --enddatetime 2017-09-12T14:51:27 --enforcementcount 0 &gt;&gt;C:\Users\stu\Documents\GitHub\eaglep3-reporting\EC\2017-09-12-refined-times.txt</v>
      </c>
      <c r="AI96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{"issue":{"subject":"","project_id":79,"tracker_id":40,"status_id":1,"priority_id":2,"assigned_to_id":338,"start_date":"2017-09-12","description":"","custom_fields":[{"id":1,"name":"Subdivision","value":"EC"},{"id":4,"name":"Milepost","value":"23.3349"},{"id":17,"name":"Train ID","value":"185-12"},{"id":16,"name":"Locomotive ID","value":"4002"},{"id":130,"name":"Impact","value":""},{"id":150,"name":"Time of Event (Mountain Time)","value":"14:51:27"},{"id":151,"name":"Denver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0"/>
        <v>start /low /b %USERPROFILE%\Documents\GitHub\eaglep3\Utilities\DownloadLogsFromS3.py --loco 4002 --day 2017-09-12</v>
      </c>
      <c r="AN96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740</v>
      </c>
      <c r="B97" s="7">
        <v>4001</v>
      </c>
      <c r="C97" s="21" t="s">
        <v>197</v>
      </c>
      <c r="D97" s="21" t="s">
        <v>860</v>
      </c>
      <c r="E97" s="13">
        <v>42990.631006944444</v>
      </c>
      <c r="F97" s="13">
        <v>42990.633750000001</v>
      </c>
      <c r="G97" s="7">
        <v>66</v>
      </c>
      <c r="H97" s="21" t="s">
        <v>342</v>
      </c>
      <c r="I97" s="13">
        <v>42990.661712962959</v>
      </c>
      <c r="J97" s="7">
        <v>0</v>
      </c>
      <c r="K97" s="89" t="str">
        <f>IF(ISEVEN(B97),(B97-1)&amp;"/"&amp;B97,B97&amp;"/"&amp;(B97+1))</f>
        <v>4001/4002</v>
      </c>
      <c r="L97" s="214" t="str">
        <f>VLOOKUP(A97,'Trips&amp;Operators'!$C$1:$G$99911,5,FALSE)</f>
        <v>DAVIS MICHAEL</v>
      </c>
      <c r="M97" s="6">
        <f>I97-F97</f>
        <v>2.7962962958554272E-2</v>
      </c>
      <c r="N97" s="7">
        <f>24*60*SUM($M97:$M97)</f>
        <v>40.266666660318151</v>
      </c>
      <c r="O97" s="7"/>
      <c r="P97" s="7"/>
      <c r="Q97" s="22"/>
      <c r="R97" s="167"/>
      <c r="S97" s="210">
        <f>1/IF(AG97="EC",12,1)*SUM(U97:U97)</f>
        <v>1</v>
      </c>
      <c r="T97" s="192" t="str">
        <f>IF(ISEVEN(LEFT(AD97,4)),"Southbound","NorthBound")</f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-09-12T14:08:39-0600',mode:absolute,to:'2017-09-12T16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7" s="194" t="str">
        <f>IF(AA97&lt;VLOOKUP(AG97,Variables!$AC$3:$AD$8,2,FALSE),"Y","N")</f>
        <v>N</v>
      </c>
      <c r="X97" s="194">
        <f>VALUE(LEFT(AD97,4))-VALUE(LEFT(AD96,4))</f>
        <v>1</v>
      </c>
      <c r="Y97" s="194">
        <f>RIGHT(D97,LEN(D97)-4)/10000</f>
        <v>23.303599999999999</v>
      </c>
      <c r="Z97" s="194">
        <f>RIGHT(H97,LEN(H97)-4)/10000</f>
        <v>1.41E-2</v>
      </c>
      <c r="AA97" s="194">
        <f>ABS(Z97-Y97)</f>
        <v>23.2895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>VALUE(LEFT(A97,LEN(A97)-3))</f>
        <v>186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/stypes="app*4001*20170912*" /stext=" 21:.+((SYSTEM_STATE.+slice.+state.+changed )|(ment ac)|(multiple cpu faults)|(system.+state.+changed )|(\[timeout)|(PRM\|1\|D)|(kpr)|(kdp)|(train st.+moving)|(\|lc)|(penalty))"</v>
      </c>
      <c r="AG97" s="206" t="str">
        <f>DetSubdiv(A97)</f>
        <v>EC</v>
      </c>
      <c r="AH97" s="78" t="str">
        <f t="shared" si="8"/>
        <v>"%USERPROFILE%\Documents\GitHub\eaglep3\Utilities\RefineRTDCRunTimes.py" --tripid 186-12 --locoid 4001 --swversion DE.1.0.9.0 --startMP 204:233036 --initTime 2017-09-12T15:08:39 --startdatetime 2017-09-12T15:12:36 --delay 66 --endMP 204:141 --enddatetime 2017-09-12T15:52:52 --enforcementcount 0 &gt;&gt;C:\Users\stu\Documents\GitHub\eaglep3-reporting\EC\2017-09-12-refined-times.txt</v>
      </c>
      <c r="AI97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{"issue":{"subject":"","project_id":79,"tracker_id":40,"status_id":1,"priority_id":2,"assigned_to_id":338,"start_date":"2017-09-12","description":"","custom_fields":[{"id":1,"name":"Subdivision","value":"EC"},{"id":4,"name":"Milepost","value":"0.0141"},{"id":17,"name":"Train ID","value":"186-12"},{"id":16,"name":"Locomotive ID","value":"4001"},{"id":130,"name":"Impact","value":""},{"id":150,"name":"Time of Event (Mountain Time)","value":"15:52:52"},{"id":151,"name":"Denver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0"/>
        <v>start /low /b %USERPROFILE%\Documents\GitHub\eaglep3\Utilities\DownloadLogsFromS3.py --loco 4001 --day 2017-09-12</v>
      </c>
      <c r="AN97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732</v>
      </c>
      <c r="B98" s="7">
        <v>4034</v>
      </c>
      <c r="C98" s="21" t="s">
        <v>197</v>
      </c>
      <c r="D98" s="21" t="s">
        <v>537</v>
      </c>
      <c r="E98" s="13">
        <v>42990.600185185183</v>
      </c>
      <c r="F98" s="13">
        <v>42990.604664351849</v>
      </c>
      <c r="G98" s="7">
        <v>72</v>
      </c>
      <c r="H98" s="21" t="s">
        <v>463</v>
      </c>
      <c r="I98" s="13">
        <v>42990.629618055558</v>
      </c>
      <c r="J98" s="7">
        <v>0</v>
      </c>
      <c r="K98" s="89" t="str">
        <f>IF(ISEVEN(B98),(B98-1)&amp;"/"&amp;B98,B98&amp;"/"&amp;(B98+1))</f>
        <v>4033/4034</v>
      </c>
      <c r="L98" s="214" t="str">
        <f>VLOOKUP(A98,'Trips&amp;Operators'!$C$1:$G$99911,5,FALSE)</f>
        <v>SMITH MICHAEL</v>
      </c>
      <c r="M98" s="6">
        <f>I98-F98</f>
        <v>2.4953703708888497E-2</v>
      </c>
      <c r="N98" s="7">
        <f>24*60*SUM($M98:$M98)</f>
        <v>35.933333340799436</v>
      </c>
      <c r="O98" s="7"/>
      <c r="P98" s="7"/>
      <c r="Q98" s="22"/>
      <c r="R98" s="167"/>
      <c r="S98" s="210">
        <f>1/IF(AG98="EC",12,1)*SUM(U98:U98)</f>
        <v>1</v>
      </c>
      <c r="T98" s="192" t="str">
        <f>IF(ISEVEN(LEFT(AD98,4)),"Southbound","NorthBound")</f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-09-12T13:24:16-0600',mode:absolute,to:'2017-09-12T16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8" s="194" t="str">
        <f>IF(AA98&lt;VLOOKUP(AG98,Variables!$AC$3:$AD$8,2,FALSE),"Y","N")</f>
        <v>N</v>
      </c>
      <c r="X98" s="194">
        <f>VALUE(LEFT(AD98,4))-VALUE(LEFT(AD97,4))</f>
        <v>1</v>
      </c>
      <c r="Y98" s="194">
        <f>RIGHT(D98,LEN(D98)-4)/10000</f>
        <v>4.9099999999999998E-2</v>
      </c>
      <c r="Z98" s="194">
        <f>RIGHT(H98,LEN(H98)-4)/10000</f>
        <v>23.328900000000001</v>
      </c>
      <c r="AA98" s="194">
        <f>ABS(Z98-Y98)</f>
        <v>23.279800000000002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>VALUE(LEFT(A98,LEN(A98)-3))</f>
        <v>187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/stypes="app*4034*20170912*" /stext=" 21:.+((SYSTEM_STATE.+slice.+state.+changed )|(ment ac)|(multiple cpu faults)|(system.+state.+changed )|(\[timeout)|(PRM\|1\|D)|(kpr)|(kdp)|(train st.+moving)|(\|lc)|(penalty))"</v>
      </c>
      <c r="AG98" s="206" t="str">
        <f>DetSubdiv(A98)</f>
        <v>EC</v>
      </c>
      <c r="AH98" s="78" t="str">
        <f t="shared" si="8"/>
        <v>"%USERPROFILE%\Documents\GitHub\eaglep3\Utilities\RefineRTDCRunTimes.py" --tripid 187-12 --locoid 4034 --swversion DE.1.0.9.0 --startMP 204:491 --initTime 2017-09-12T14:24:16 --startdatetime 2017-09-12T14:30:43 --delay 72 --endMP 204:233289 --enddatetime 2017-09-12T15:06:39 --enforcementcount 0 &gt;&gt;C:\Users\stu\Documents\GitHub\eaglep3-reporting\EC\2017-09-12-refined-times.txt</v>
      </c>
      <c r="AI98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{"issue":{"subject":"","project_id":79,"tracker_id":40,"status_id":1,"priority_id":2,"assigned_to_id":338,"start_date":"2017-09-12","description":"","custom_fields":[{"id":1,"name":"Subdivision","value":"EC"},{"id":4,"name":"Milepost","value":"23.3289"},{"id":17,"name":"Train ID","value":"187-12"},{"id":16,"name":"Locomotive ID","value":"4034"},{"id":130,"name":"Impact","value":""},{"id":150,"name":"Time of Event (Mountain Time)","value":"15:06:39"},{"id":151,"name":"Denver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10"/>
        <v>start /low /b %USERPROFILE%\Documents\GitHub\eaglep3\Utilities\DownloadLogsFromS3.py --loco 4034 --day 2017-09-12</v>
      </c>
      <c r="AN98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742</v>
      </c>
      <c r="B99" s="7">
        <v>4033</v>
      </c>
      <c r="C99" s="21" t="s">
        <v>197</v>
      </c>
      <c r="D99" s="21" t="s">
        <v>861</v>
      </c>
      <c r="E99" s="13">
        <v>42990.636631944442</v>
      </c>
      <c r="F99" s="13">
        <v>42990.643969907411</v>
      </c>
      <c r="G99" s="7">
        <v>98</v>
      </c>
      <c r="H99" s="21" t="s">
        <v>338</v>
      </c>
      <c r="I99" s="13">
        <v>42990.66920138889</v>
      </c>
      <c r="J99" s="7">
        <v>0</v>
      </c>
      <c r="K99" s="89" t="str">
        <f>IF(ISEVEN(B99),(B99-1)&amp;"/"&amp;B99,B99&amp;"/"&amp;(B99+1))</f>
        <v>4033/4034</v>
      </c>
      <c r="L99" s="214" t="str">
        <f>VLOOKUP(A99,'Trips&amp;Operators'!$C$1:$G$99911,5,FALSE)</f>
        <v>SMITH MICHAEL</v>
      </c>
      <c r="M99" s="6">
        <f>I99-F99</f>
        <v>2.5231481478840578E-2</v>
      </c>
      <c r="N99" s="7">
        <f>24*60*SUM($M99:$M99)</f>
        <v>36.333333329530433</v>
      </c>
      <c r="O99" s="7"/>
      <c r="P99" s="7"/>
      <c r="Q99" s="22"/>
      <c r="R99" s="167"/>
      <c r="S99" s="210">
        <f>1/IF(AG99="EC",12,1)*SUM(U99:U99)</f>
        <v>1</v>
      </c>
      <c r="T99" s="192" t="str">
        <f>IF(ISEVEN(LEFT(AD99,4)),"Southbound","NorthBound")</f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-09-12T14:16:45-0600',mode:absolute,to:'2017-09-12T17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9" s="194" t="str">
        <f>IF(AA99&lt;VLOOKUP(AG99,Variables!$AC$3:$AD$8,2,FALSE),"Y","N")</f>
        <v>N</v>
      </c>
      <c r="X99" s="194">
        <f>VALUE(LEFT(AD99,4))-VALUE(LEFT(AD98,4))</f>
        <v>1</v>
      </c>
      <c r="Y99" s="194">
        <f>RIGHT(D99,LEN(D99)-4)/10000</f>
        <v>23.296500000000002</v>
      </c>
      <c r="Z99" s="194">
        <f>RIGHT(H99,LEN(H99)-4)/10000</f>
        <v>1.4999999999999999E-2</v>
      </c>
      <c r="AA99" s="194">
        <f>ABS(Z99-Y99)</f>
        <v>23.281500000000001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>VALUE(LEFT(A99,LEN(A99)-3))</f>
        <v>188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/stypes="app*4033*20170912*" /stext=" 22:.+((SYSTEM_STATE.+slice.+state.+changed )|(ment ac)|(multiple cpu faults)|(system.+state.+changed )|(\[timeout)|(PRM\|1\|D)|(kpr)|(kdp)|(train st.+moving)|(\|lc)|(penalty))"</v>
      </c>
      <c r="AG99" s="206" t="str">
        <f>DetSubdiv(A99)</f>
        <v>EC</v>
      </c>
      <c r="AH99" s="78" t="str">
        <f t="shared" si="8"/>
        <v>"%USERPROFILE%\Documents\GitHub\eaglep3\Utilities\RefineRTDCRunTimes.py" --tripid 188-12 --locoid 4033 --swversion DE.1.0.9.0 --startMP 204:232965 --initTime 2017-09-12T15:16:45 --startdatetime 2017-09-12T15:27:19 --delay 98 --endMP 204:150 --enddatetime 2017-09-12T16:03:39 --enforcementcount 0 &gt;&gt;C:\Users\stu\Documents\GitHub\eaglep3-reporting\EC\2017-09-12-refined-times.txt</v>
      </c>
      <c r="AI9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{"issue":{"subject":"","project_id":79,"tracker_id":40,"status_id":1,"priority_id":2,"assigned_to_id":338,"start_date":"2017-09-12","description":"","custom_fields":[{"id":1,"name":"Subdivision","value":"EC"},{"id":4,"name":"Milepost","value":"0.015"},{"id":17,"name":"Train ID","value":"188-12"},{"id":16,"name":"Locomotive ID","value":"4033"},{"id":130,"name":"Impact","value":""},{"id":150,"name":"Time of Event (Mountain Time)","value":"16:03:39"},{"id":151,"name":"Denver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0"/>
        <v>start /low /b %USERPROFILE%\Documents\GitHub\eaglep3\Utilities\DownloadLogsFromS3.py --loco 4033 --day 2017-09-12</v>
      </c>
      <c r="AN99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736</v>
      </c>
      <c r="B100" s="7">
        <v>4058</v>
      </c>
      <c r="C100" s="21" t="s">
        <v>197</v>
      </c>
      <c r="D100" s="21" t="s">
        <v>381</v>
      </c>
      <c r="E100" s="13">
        <v>42990.611087962963</v>
      </c>
      <c r="F100" s="13">
        <v>42990.614733796298</v>
      </c>
      <c r="G100" s="7">
        <v>80</v>
      </c>
      <c r="H100" s="21" t="s">
        <v>862</v>
      </c>
      <c r="I100" s="13">
        <v>42990.63921296296</v>
      </c>
      <c r="J100" s="7">
        <v>0</v>
      </c>
      <c r="K100" s="89" t="str">
        <f>IF(ISEVEN(B100),(B100-1)&amp;"/"&amp;B100,B100&amp;"/"&amp;(B100+1))</f>
        <v>4057/4058</v>
      </c>
      <c r="L100" s="214" t="str">
        <f>VLOOKUP(A100,'Trips&amp;Operators'!$C$1:$G$99911,5,FALSE)</f>
        <v>BRUDER RICHARD</v>
      </c>
      <c r="M100" s="6">
        <f>I100-F100</f>
        <v>2.4479166662786156E-2</v>
      </c>
      <c r="N100" s="7">
        <f>24*60*SUM($M100:$M100)</f>
        <v>35.249999994412065</v>
      </c>
      <c r="O100" s="7"/>
      <c r="P100" s="7"/>
      <c r="Q100" s="22"/>
      <c r="R100" s="167"/>
      <c r="S100" s="210">
        <f>1/IF(AG100="EC",12,1)*SUM(U100:U100)</f>
        <v>1</v>
      </c>
      <c r="T100" s="192" t="str">
        <f>IF(ISEVEN(LEFT(AD100,4)),"Southbound","NorthBound")</f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-12T13:39:58-0600',mode:absolute,to:'2017-09-12T16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0" s="194" t="str">
        <f>IF(AA100&lt;VLOOKUP(AG100,Variables!$AC$3:$AD$8,2,FALSE),"Y","N")</f>
        <v>N</v>
      </c>
      <c r="X100" s="194">
        <f>VALUE(LEFT(AD100,4))-VALUE(LEFT(AD99,4))</f>
        <v>1</v>
      </c>
      <c r="Y100" s="194">
        <f>RIGHT(D100,LEN(D100)-4)/10000</f>
        <v>4.6899999999999997E-2</v>
      </c>
      <c r="Z100" s="194">
        <f>RIGHT(H100,LEN(H100)-4)/10000</f>
        <v>23.3325</v>
      </c>
      <c r="AA100" s="194">
        <f>ABS(Z100-Y100)</f>
        <v>23.285599999999999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>VALUE(LEFT(A100,LEN(A100)-3))</f>
        <v>189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/stypes="app*4058*20170912*" /stext=" 21:.+((SYSTEM_STATE.+slice.+state.+changed )|(ment ac)|(multiple cpu faults)|(system.+state.+changed )|(\[timeout)|(PRM\|1\|D)|(kpr)|(kdp)|(train st.+moving)|(\|lc)|(penalty))"</v>
      </c>
      <c r="AG100" s="206" t="str">
        <f>DetSubdiv(A100)</f>
        <v>EC</v>
      </c>
      <c r="AH100" s="78" t="str">
        <f t="shared" si="8"/>
        <v>"%USERPROFILE%\Documents\GitHub\eaglep3\Utilities\RefineRTDCRunTimes.py" --tripid 189-12 --locoid 4058 --swversion DE.1.0.9.0 --startMP 204:469 --initTime 2017-09-12T14:39:58 --startdatetime 2017-09-12T14:45:13 --delay 80 --endMP 204:233325 --enddatetime 2017-09-12T15:20:28 --enforcementcount 0 &gt;&gt;C:\Users\stu\Documents\GitHub\eaglep3-reporting\EC\2017-09-12-refined-times.txt</v>
      </c>
      <c r="AI10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{"issue":{"subject":"","project_id":79,"tracker_id":40,"status_id":1,"priority_id":2,"assigned_to_id":338,"start_date":"2017-09-12","description":"","custom_fields":[{"id":1,"name":"Subdivision","value":"EC"},{"id":4,"name":"Milepost","value":"23.3325"},{"id":17,"name":"Train ID","value":"189-12"},{"id":16,"name":"Locomotive ID","value":"4058"},{"id":130,"name":"Impact","value":""},{"id":150,"name":"Time of Event (Mountain Time)","value":"15:20:28"},{"id":151,"name":"Denver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4058 --day 2017-09-12</v>
      </c>
      <c r="AN100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746</v>
      </c>
      <c r="B101" s="7">
        <v>4057</v>
      </c>
      <c r="C101" s="21" t="s">
        <v>197</v>
      </c>
      <c r="D101" s="21" t="s">
        <v>442</v>
      </c>
      <c r="E101" s="13">
        <v>42990.651134259257</v>
      </c>
      <c r="F101" s="13">
        <v>42990.654351851852</v>
      </c>
      <c r="G101" s="7">
        <v>65</v>
      </c>
      <c r="H101" s="21" t="s">
        <v>367</v>
      </c>
      <c r="I101" s="13">
        <v>42990.679814814815</v>
      </c>
      <c r="J101" s="7">
        <v>0</v>
      </c>
      <c r="K101" s="89" t="str">
        <f>IF(ISEVEN(B101),(B101-1)&amp;"/"&amp;B101,B101&amp;"/"&amp;(B101+1))</f>
        <v>4057/4058</v>
      </c>
      <c r="L101" s="214" t="str">
        <f>VLOOKUP(A101,'Trips&amp;Operators'!$C$1:$G$99911,5,FALSE)</f>
        <v>BRUDER RICHARD</v>
      </c>
      <c r="M101" s="6">
        <f>I101-F101</f>
        <v>2.5462962963501923E-2</v>
      </c>
      <c r="N101" s="7">
        <f>24*60*SUM($M101:$M101)</f>
        <v>36.666666667442769</v>
      </c>
      <c r="O101" s="7"/>
      <c r="P101" s="7"/>
      <c r="Q101" s="22"/>
      <c r="R101" s="167"/>
      <c r="S101" s="210">
        <f>1/IF(AG101="EC",12,1)*SUM(U101:U101)</f>
        <v>1</v>
      </c>
      <c r="T101" s="192" t="str">
        <f>IF(ISEVEN(LEFT(AD101,4)),"Southbound","NorthBound")</f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-09-12T14:37:38-0600',mode:absolute,to:'2017-09-12T17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1" s="194" t="str">
        <f>IF(AA101&lt;VLOOKUP(AG101,Variables!$AC$3:$AD$8,2,FALSE),"Y","N")</f>
        <v>N</v>
      </c>
      <c r="X101" s="194">
        <f>VALUE(LEFT(AD101,4))-VALUE(LEFT(AD100,4))</f>
        <v>1</v>
      </c>
      <c r="Y101" s="194">
        <f>RIGHT(D101,LEN(D101)-4)/10000</f>
        <v>23.2987</v>
      </c>
      <c r="Z101" s="194">
        <f>RIGHT(H101,LEN(H101)-4)/10000</f>
        <v>1.4500000000000001E-2</v>
      </c>
      <c r="AA101" s="194">
        <f>ABS(Z101-Y101)</f>
        <v>23.284199999999998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3">
        <f>VALUE(LEFT(A101,LEN(A101)-3))</f>
        <v>190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/stypes="app*4057*20170912*" /stext=" 22:.+((SYSTEM_STATE.+slice.+state.+changed )|(ment ac)|(multiple cpu faults)|(system.+state.+changed )|(\[timeout)|(PRM\|1\|D)|(kpr)|(kdp)|(train st.+moving)|(\|lc)|(penalty))"</v>
      </c>
      <c r="AG101" s="206" t="str">
        <f>DetSubdiv(A101)</f>
        <v>EC</v>
      </c>
      <c r="AH101" s="78" t="str">
        <f t="shared" si="8"/>
        <v>"%USERPROFILE%\Documents\GitHub\eaglep3\Utilities\RefineRTDCRunTimes.py" --tripid 190-12 --locoid 4057 --swversion DE.1.0.9.0 --startMP 204:232987 --initTime 2017-09-12T15:37:38 --startdatetime 2017-09-12T15:42:16 --delay 65 --endMP 204:145 --enddatetime 2017-09-12T16:18:56 --enforcementcount 0 &gt;&gt;C:\Users\stu\Documents\GitHub\eaglep3-reporting\EC\2017-09-12-refined-times.txt</v>
      </c>
      <c r="AI10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ID","value":"190-12"},{"id":16,"name":"Locomotive ID","value":"4057"},{"id":130,"name":"Impact","value":""},{"id":150,"name":"Time of Event (Mountain Time)","value":"16:18:56"},{"id":151,"name":"Denver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0"/>
        <v>start /low /b %USERPROFILE%\Documents\GitHub\eaglep3\Utilities\DownloadLogsFromS3.py --loco 4057 --day 2017-09-12</v>
      </c>
      <c r="AN101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737</v>
      </c>
      <c r="B102" s="7">
        <v>4030</v>
      </c>
      <c r="C102" s="21" t="s">
        <v>197</v>
      </c>
      <c r="D102" s="21" t="s">
        <v>385</v>
      </c>
      <c r="E102" s="13">
        <v>42990.62259259259</v>
      </c>
      <c r="F102" s="13">
        <v>42990.625196759262</v>
      </c>
      <c r="G102" s="7">
        <v>59</v>
      </c>
      <c r="H102" s="21" t="s">
        <v>475</v>
      </c>
      <c r="I102" s="13">
        <v>42990.649918981479</v>
      </c>
      <c r="J102" s="7">
        <v>0</v>
      </c>
      <c r="K102" s="89" t="str">
        <f>IF(ISEVEN(B102),(B102-1)&amp;"/"&amp;B102,B102&amp;"/"&amp;(B102+1))</f>
        <v>4029/4030</v>
      </c>
      <c r="L102" s="214" t="str">
        <f>VLOOKUP(A102,'Trips&amp;Operators'!$C$1:$G$99911,5,FALSE)</f>
        <v>MOSES BRADLEY</v>
      </c>
      <c r="M102" s="6">
        <f>I102-F102</f>
        <v>2.4722222216951195E-2</v>
      </c>
      <c r="N102" s="7">
        <f>24*60*SUM($M102:$M102)</f>
        <v>35.599999992409721</v>
      </c>
      <c r="O102" s="7"/>
      <c r="P102" s="7"/>
      <c r="Q102" s="22"/>
      <c r="R102" s="167"/>
      <c r="S102" s="210">
        <f>1/IF(AG102="EC",12,1)*SUM(U102:U102)</f>
        <v>1</v>
      </c>
      <c r="T102" s="192" t="str">
        <f>IF(ISEVEN(LEFT(AD102,4)),"Southbound","NorthBound")</f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-12T13:56:32-0600',mode:absolute,to:'2017-09-12T16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194" t="str">
        <f>IF(AA102&lt;VLOOKUP(AG102,Variables!$AC$3:$AD$8,2,FALSE),"Y","N")</f>
        <v>N</v>
      </c>
      <c r="X102" s="194">
        <f>VALUE(LEFT(AD102,4))-VALUE(LEFT(AD101,4))</f>
        <v>1</v>
      </c>
      <c r="Y102" s="194">
        <f>RIGHT(D102,LEN(D102)-4)/10000</f>
        <v>4.4200000000000003E-2</v>
      </c>
      <c r="Z102" s="194">
        <f>RIGHT(H102,LEN(H102)-4)/10000</f>
        <v>23.331199999999999</v>
      </c>
      <c r="AA102" s="194">
        <f>ABS(Z102-Y102)</f>
        <v>23.286999999999999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>VALUE(LEFT(A102,LEN(A102)-3))</f>
        <v>191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/stypes="app*4030*20170912*" /stext=" 21:.+((SYSTEM_STATE.+slice.+state.+changed )|(ment ac)|(multiple cpu faults)|(system.+state.+changed )|(\[timeout)|(PRM\|1\|D)|(kpr)|(kdp)|(train st.+moving)|(\|lc)|(penalty))"</v>
      </c>
      <c r="AG102" s="206" t="str">
        <f>DetSubdiv(A102)</f>
        <v>EC</v>
      </c>
      <c r="AH102" s="78" t="str">
        <f t="shared" si="8"/>
        <v>"%USERPROFILE%\Documents\GitHub\eaglep3\Utilities\RefineRTDCRunTimes.py" --tripid 191-12 --locoid 4030 --swversion DE.1.0.9.0 --startMP 204:442 --initTime 2017-09-12T14:56:32 --startdatetime 2017-09-12T15:00:17 --delay 59 --endMP 204:233312 --enddatetime 2017-09-12T15:35:53 --enforcementcount 0 &gt;&gt;C:\Users\stu\Documents\GitHub\eaglep3-reporting\EC\2017-09-12-refined-times.txt</v>
      </c>
      <c r="AI102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{"issue":{"subject":"","project_id":79,"tracker_id":40,"status_id":1,"priority_id":2,"assigned_to_id":338,"start_date":"2017-09-12","description":"","custom_fields":[{"id":1,"name":"Subdivision","value":"EC"},{"id":4,"name":"Milepost","value":"23.3312"},{"id":17,"name":"Train ID","value":"191-12"},{"id":16,"name":"Locomotive ID","value":"4030"},{"id":130,"name":"Impact","value":""},{"id":150,"name":"Time of Event (Mountain Time)","value":"15:35:53"},{"id":151,"name":"Denver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4030 --day 2017-09-12</v>
      </c>
      <c r="AN102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748</v>
      </c>
      <c r="B103" s="7">
        <v>4029</v>
      </c>
      <c r="C103" s="21" t="s">
        <v>197</v>
      </c>
      <c r="D103" s="21" t="s">
        <v>551</v>
      </c>
      <c r="E103" s="13">
        <v>42990.65996527778</v>
      </c>
      <c r="F103" s="13">
        <v>42990.664756944447</v>
      </c>
      <c r="G103" s="7">
        <v>68</v>
      </c>
      <c r="H103" s="21" t="s">
        <v>340</v>
      </c>
      <c r="I103" s="13">
        <v>42990.690474537034</v>
      </c>
      <c r="J103" s="7">
        <v>0</v>
      </c>
      <c r="K103" s="89" t="str">
        <f>IF(ISEVEN(B103),(B103-1)&amp;"/"&amp;B103,B103&amp;"/"&amp;(B103+1))</f>
        <v>4029/4030</v>
      </c>
      <c r="L103" s="214" t="str">
        <f>VLOOKUP(A103,'Trips&amp;Operators'!$C$1:$G$99911,5,FALSE)</f>
        <v>MOSES BRADLEY</v>
      </c>
      <c r="M103" s="6">
        <f>I103-F103</f>
        <v>2.5717592587170657E-2</v>
      </c>
      <c r="N103" s="7">
        <f>24*60*SUM($M103:$M103)</f>
        <v>37.033333325525746</v>
      </c>
      <c r="O103" s="7"/>
      <c r="P103" s="7"/>
      <c r="Q103" s="22"/>
      <c r="R103" s="167"/>
      <c r="S103" s="210">
        <f>1/IF(AG103="EC",12,1)*SUM(U103:U103)</f>
        <v>1</v>
      </c>
      <c r="T103" s="192" t="str">
        <f>IF(ISEVEN(LEFT(AD103,4)),"Southbound","NorthBound")</f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-09-12T14:50:21-0600',mode:absolute,to:'2017-09-12T17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94" t="str">
        <f>IF(AA103&lt;VLOOKUP(AG103,Variables!$AC$3:$AD$8,2,FALSE),"Y","N")</f>
        <v>N</v>
      </c>
      <c r="X103" s="194">
        <f>VALUE(LEFT(AD103,4))-VALUE(LEFT(AD102,4))</f>
        <v>1</v>
      </c>
      <c r="Y103" s="194">
        <f>RIGHT(D103,LEN(D103)-4)/10000</f>
        <v>23.2988</v>
      </c>
      <c r="Z103" s="194">
        <f>RIGHT(H103,LEN(H103)-4)/10000</f>
        <v>1.43E-2</v>
      </c>
      <c r="AA103" s="194">
        <f>ABS(Z103-Y103)</f>
        <v>23.284500000000001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>VALUE(LEFT(A103,LEN(A103)-3))</f>
        <v>192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/stypes="app*4029*20170912*" /stext=" 22:.+((SYSTEM_STATE.+slice.+state.+changed )|(ment ac)|(multiple cpu faults)|(system.+state.+changed )|(\[timeout)|(PRM\|1\|D)|(kpr)|(kdp)|(train st.+moving)|(\|lc)|(penalty))"</v>
      </c>
      <c r="AG103" s="206" t="str">
        <f>DetSubdiv(A103)</f>
        <v>EC</v>
      </c>
      <c r="AH103" s="78" t="str">
        <f t="shared" si="8"/>
        <v>"%USERPROFILE%\Documents\GitHub\eaglep3\Utilities\RefineRTDCRunTimes.py" --tripid 192-12 --locoid 4029 --swversion DE.1.0.9.0 --startMP 204:232988 --initTime 2017-09-12T15:50:21 --startdatetime 2017-09-12T15:57:15 --delay 68 --endMP 204:143 --enddatetime 2017-09-12T16:34:17 --enforcementcount 0 &gt;&gt;C:\Users\stu\Documents\GitHub\eaglep3-reporting\EC\2017-09-12-refined-times.txt</v>
      </c>
      <c r="AI103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{"issue":{"subject":"","project_id":79,"tracker_id":40,"status_id":1,"priority_id":2,"assigned_to_id":338,"start_date":"2017-09-12","description":"","custom_fields":[{"id":1,"name":"Subdivision","value":"EC"},{"id":4,"name":"Milepost","value":"0.0143"},{"id":17,"name":"Train ID","value":"192-12"},{"id":16,"name":"Locomotive ID","value":"4029"},{"id":130,"name":"Impact","value":""},{"id":150,"name":"Time of Event (Mountain Time)","value":"16:34:17"},{"id":151,"name":"Denver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4029 --day 2017-09-12</v>
      </c>
      <c r="AN103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739</v>
      </c>
      <c r="B104" s="7">
        <v>4032</v>
      </c>
      <c r="C104" s="21" t="s">
        <v>197</v>
      </c>
      <c r="D104" s="21" t="s">
        <v>863</v>
      </c>
      <c r="E104" s="13">
        <v>42990.628958333335</v>
      </c>
      <c r="F104" s="13">
        <v>42990.635729166665</v>
      </c>
      <c r="G104" s="7">
        <v>166</v>
      </c>
      <c r="H104" s="21" t="s">
        <v>849</v>
      </c>
      <c r="I104" s="13">
        <v>42990.660462962966</v>
      </c>
      <c r="J104" s="7">
        <v>0</v>
      </c>
      <c r="K104" s="89" t="str">
        <f>IF(ISEVEN(B104),(B104-1)&amp;"/"&amp;B104,B104&amp;"/"&amp;(B104+1))</f>
        <v>4031/4032</v>
      </c>
      <c r="L104" s="214" t="str">
        <f>VLOOKUP(A104,'Trips&amp;Operators'!$C$1:$G$99911,5,FALSE)</f>
        <v>LEVIN SCOTT</v>
      </c>
      <c r="M104" s="6">
        <f>I104-F104</f>
        <v>2.4733796301006805E-2</v>
      </c>
      <c r="N104" s="7">
        <f>24*60*SUM($M104:$M104)</f>
        <v>35.616666673449799</v>
      </c>
      <c r="O104" s="7"/>
      <c r="P104" s="7"/>
      <c r="Q104" s="22"/>
      <c r="R104" s="167"/>
      <c r="S104" s="210">
        <f>1/IF(AG104="EC",12,1)*SUM(U104:U104)</f>
        <v>1</v>
      </c>
      <c r="T104" s="192" t="str">
        <f>IF(ISEVEN(LEFT(AD104,4)),"Southbound","NorthBound")</f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-09-12T14:05:42-0600',mode:absolute,to:'2017-09-12T16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4" s="194" t="str">
        <f>IF(AA104&lt;VLOOKUP(AG104,Variables!$AC$3:$AD$8,2,FALSE),"Y","N")</f>
        <v>N</v>
      </c>
      <c r="X104" s="194">
        <f>VALUE(LEFT(AD104,4))-VALUE(LEFT(AD103,4))</f>
        <v>1</v>
      </c>
      <c r="Y104" s="194">
        <f>RIGHT(D104,LEN(D104)-4)/10000</f>
        <v>4.3799999999999999E-2</v>
      </c>
      <c r="Z104" s="194">
        <f>RIGHT(H104,LEN(H104)-4)/10000</f>
        <v>23.333600000000001</v>
      </c>
      <c r="AA104" s="194">
        <f>ABS(Z104-Y104)</f>
        <v>23.2898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>VALUE(LEFT(A104,LEN(A104)-3))</f>
        <v>193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/stypes="app*4032*20170912*" /stext=" 21:.+((SYSTEM_STATE.+slice.+state.+changed )|(ment ac)|(multiple cpu faults)|(system.+state.+changed )|(\[timeout)|(PRM\|1\|D)|(kpr)|(kdp)|(train st.+moving)|(\|lc)|(penalty))"</v>
      </c>
      <c r="AG104" s="206" t="str">
        <f>DetSubdiv(A104)</f>
        <v>EC</v>
      </c>
      <c r="AH104" s="78" t="str">
        <f t="shared" si="8"/>
        <v>"%USERPROFILE%\Documents\GitHub\eaglep3\Utilities\RefineRTDCRunTimes.py" --tripid 193-12 --locoid 4032 --swversion DE.1.0.9.0 --startMP 204:438 --initTime 2017-09-12T15:05:42 --startdatetime 2017-09-12T15:15:27 --delay 166 --endMP 204:233336 --enddatetime 2017-09-12T15:51:04 --enforcementcount 0 &gt;&gt;C:\Users\stu\Documents\GitHub\eaglep3-reporting\EC\2017-09-12-refined-times.txt</v>
      </c>
      <c r="AI104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{"issue":{"subject":"","project_id":79,"tracker_id":40,"status_id":1,"priority_id":2,"assigned_to_id":338,"start_date":"2017-09-12","description":"","custom_fields":[{"id":1,"name":"Subdivision","value":"EC"},{"id":4,"name":"Milepost","value":"23.3336"},{"id":17,"name":"Train ID","value":"193-12"},{"id":16,"name":"Locomotive ID","value":"4032"},{"id":130,"name":"Impact","value":""},{"id":150,"name":"Time of Event (Mountain Time)","value":"15:51:04"},{"id":151,"name":"Denver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4032 --day 2017-09-12</v>
      </c>
      <c r="AN104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753</v>
      </c>
      <c r="B105" s="7">
        <v>4031</v>
      </c>
      <c r="C105" s="21" t="s">
        <v>197</v>
      </c>
      <c r="D105" s="21" t="s">
        <v>549</v>
      </c>
      <c r="E105" s="13">
        <v>42990.666562500002</v>
      </c>
      <c r="F105" s="13">
        <v>42990.675162037034</v>
      </c>
      <c r="G105" s="7">
        <v>55</v>
      </c>
      <c r="H105" s="21" t="s">
        <v>382</v>
      </c>
      <c r="I105" s="13">
        <v>42990.70103009259</v>
      </c>
      <c r="J105" s="7">
        <v>0</v>
      </c>
      <c r="K105" s="89" t="str">
        <f>IF(ISEVEN(B105),(B105-1)&amp;"/"&amp;B105,B105&amp;"/"&amp;(B105+1))</f>
        <v>4031/4032</v>
      </c>
      <c r="L105" s="214" t="str">
        <f>VLOOKUP(A105,'Trips&amp;Operators'!$C$1:$G$99911,5,FALSE)</f>
        <v>LEVIN SCOTT</v>
      </c>
      <c r="M105" s="6">
        <f>I105-F105</f>
        <v>2.5868055556202307E-2</v>
      </c>
      <c r="N105" s="7">
        <f>24*60*SUM($M105:$M105)</f>
        <v>37.250000000931323</v>
      </c>
      <c r="O105" s="7"/>
      <c r="P105" s="7"/>
      <c r="Q105" s="22"/>
      <c r="R105" s="167"/>
      <c r="S105" s="210">
        <f>1/IF(AG105="EC",12,1)*SUM(U105:U105)</f>
        <v>1</v>
      </c>
      <c r="T105" s="192" t="str">
        <f>IF(ISEVEN(LEFT(AD105,4)),"Southbound","NorthBound")</f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-09-12T14:59:51-0600',mode:absolute,to:'2017-09-12T17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194" t="str">
        <f>IF(AA105&lt;VLOOKUP(AG105,Variables!$AC$3:$AD$8,2,FALSE),"Y","N")</f>
        <v>N</v>
      </c>
      <c r="X105" s="194">
        <f>VALUE(LEFT(AD105,4))-VALUE(LEFT(AD104,4))</f>
        <v>1</v>
      </c>
      <c r="Y105" s="194">
        <f>RIGHT(D105,LEN(D105)-4)/10000</f>
        <v>23.3019</v>
      </c>
      <c r="Z105" s="194">
        <f>RIGHT(H105,LEN(H105)-4)/10000</f>
        <v>1.61E-2</v>
      </c>
      <c r="AA105" s="194">
        <f>ABS(Z105-Y105)</f>
        <v>23.285799999999998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>VALUE(LEFT(A105,LEN(A105)-3))</f>
        <v>194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/stypes="app*4031*20170912*" /stext=" 22:.+((SYSTEM_STATE.+slice.+state.+changed )|(ment ac)|(multiple cpu faults)|(system.+state.+changed )|(\[timeout)|(PRM\|1\|D)|(kpr)|(kdp)|(train st.+moving)|(\|lc)|(penalty))"</v>
      </c>
      <c r="AG105" s="206" t="str">
        <f>DetSubdiv(A105)</f>
        <v>EC</v>
      </c>
      <c r="AH105" s="78" t="str">
        <f t="shared" si="8"/>
        <v>"%USERPROFILE%\Documents\GitHub\eaglep3\Utilities\RefineRTDCRunTimes.py" --tripid 194-12 --locoid 4031 --swversion DE.1.0.9.0 --startMP 204:233019 --initTime 2017-09-12T15:59:51 --startdatetime 2017-09-12T16:12:14 --delay 55 --endMP 204:161 --enddatetime 2017-09-12T16:49:29 --enforcementcount 0 &gt;&gt;C:\Users\stu\Documents\GitHub\eaglep3-reporting\EC\2017-09-12-refined-times.txt</v>
      </c>
      <c r="AI105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{"issue":{"subject":"","project_id":79,"tracker_id":40,"status_id":1,"priority_id":2,"assigned_to_id":338,"start_date":"2017-09-12","description":"","custom_fields":[{"id":1,"name":"Subdivision","value":"EC"},{"id":4,"name":"Milepost","value":"0.0161"},{"id":17,"name":"Train ID","value":"194-12"},{"id":16,"name":"Locomotive ID","value":"4031"},{"id":130,"name":"Impact","value":""},{"id":150,"name":"Time of Event (Mountain Time)","value":"16:49:29"},{"id":151,"name":"Denver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0"/>
        <v>start /low /b %USERPROFILE%\Documents\GitHub\eaglep3\Utilities\DownloadLogsFromS3.py --loco 4031 --day 2017-09-12</v>
      </c>
      <c r="AN105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743</v>
      </c>
      <c r="B106" s="7">
        <v>4062</v>
      </c>
      <c r="C106" s="21" t="s">
        <v>197</v>
      </c>
      <c r="D106" s="21" t="s">
        <v>337</v>
      </c>
      <c r="E106" s="13">
        <v>42990.642245370371</v>
      </c>
      <c r="F106" s="13">
        <v>42990.646064814813</v>
      </c>
      <c r="G106" s="7">
        <v>61</v>
      </c>
      <c r="H106" s="21" t="s">
        <v>489</v>
      </c>
      <c r="I106" s="13">
        <v>42990.6716087963</v>
      </c>
      <c r="J106" s="7">
        <v>0</v>
      </c>
      <c r="K106" s="89" t="str">
        <f>IF(ISEVEN(B106),(B106-1)&amp;"/"&amp;B106,B106&amp;"/"&amp;(B106+1))</f>
        <v>4061/4062</v>
      </c>
      <c r="L106" s="214" t="str">
        <f>VLOOKUP(A106,'Trips&amp;Operators'!$C$1:$G$99911,5,FALSE)</f>
        <v>LEVERE CRAIG</v>
      </c>
      <c r="M106" s="6">
        <f>I106-F106</f>
        <v>2.5543981486407574E-2</v>
      </c>
      <c r="N106" s="7">
        <f>24*60*SUM($M106:$M106)</f>
        <v>36.783333340426907</v>
      </c>
      <c r="O106" s="7"/>
      <c r="P106" s="7"/>
      <c r="Q106" s="22"/>
      <c r="R106" s="167"/>
      <c r="S106" s="210">
        <f>1/IF(AG106="EC",12,1)*SUM(U106:U106)</f>
        <v>1</v>
      </c>
      <c r="T106" s="192" t="str">
        <f>IF(ISEVEN(LEFT(AD106,4)),"Southbound","NorthBound")</f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-09-12T14:24:50-0600',mode:absolute,to:'2017-09-12T17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6" s="194" t="str">
        <f>IF(AA106&lt;VLOOKUP(AG106,Variables!$AC$3:$AD$8,2,FALSE),"Y","N")</f>
        <v>N</v>
      </c>
      <c r="X106" s="194">
        <f>VALUE(LEFT(AD106,4))-VALUE(LEFT(AD105,4))</f>
        <v>1</v>
      </c>
      <c r="Y106" s="194">
        <f>RIGHT(D106,LEN(D106)-4)/10000</f>
        <v>4.4600000000000001E-2</v>
      </c>
      <c r="Z106" s="194">
        <f>RIGHT(H106,LEN(H106)-4)/10000</f>
        <v>23.3309</v>
      </c>
      <c r="AA106" s="194">
        <f>ABS(Z106-Y106)</f>
        <v>23.286300000000001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>VALUE(LEFT(A106,LEN(A106)-3))</f>
        <v>195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/stypes="app*4062*20170912*" /stext=" 22:.+((SYSTEM_STATE.+slice.+state.+changed )|(ment ac)|(multiple cpu faults)|(system.+state.+changed )|(\[timeout)|(PRM\|1\|D)|(kpr)|(kdp)|(train st.+moving)|(\|lc)|(penalty))"</v>
      </c>
      <c r="AG106" s="206" t="str">
        <f>DetSubdiv(A106)</f>
        <v>EC</v>
      </c>
      <c r="AH106" s="78" t="str">
        <f t="shared" si="8"/>
        <v>"%USERPROFILE%\Documents\GitHub\eaglep3\Utilities\RefineRTDCRunTimes.py" --tripid 195-12 --locoid 4062 --swversion DE.1.0.9.0 --startMP 204:446 --initTime 2017-09-12T15:24:50 --startdatetime 2017-09-12T15:30:20 --delay 61 --endMP 204:233309 --enddatetime 2017-09-12T16:07:07 --enforcementcount 0 &gt;&gt;C:\Users\stu\Documents\GitHub\eaglep3-reporting\EC\2017-09-12-refined-times.txt</v>
      </c>
      <c r="AI106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{"issue":{"subject":"","project_id":79,"tracker_id":40,"status_id":1,"priority_id":2,"assigned_to_id":338,"start_date":"2017-09-12","description":"","custom_fields":[{"id":1,"name":"Subdivision","value":"EC"},{"id":4,"name":"Milepost","value":"23.3309"},{"id":17,"name":"Train ID","value":"195-12"},{"id":16,"name":"Locomotive ID","value":"4062"},{"id":130,"name":"Impact","value":""},{"id":150,"name":"Time of Event (Mountain Time)","value":"16:07:07"},{"id":151,"name":"Denver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4062 --day 2017-09-12</v>
      </c>
      <c r="AN106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755</v>
      </c>
      <c r="B107" s="7">
        <v>4061</v>
      </c>
      <c r="C107" s="21" t="s">
        <v>197</v>
      </c>
      <c r="D107" s="21" t="s">
        <v>480</v>
      </c>
      <c r="E107" s="13">
        <v>42990.678819444445</v>
      </c>
      <c r="F107" s="13">
        <v>42990.685624999998</v>
      </c>
      <c r="G107" s="7">
        <v>58</v>
      </c>
      <c r="H107" s="21" t="s">
        <v>444</v>
      </c>
      <c r="I107" s="13">
        <v>42990.712430555555</v>
      </c>
      <c r="J107" s="7">
        <v>0</v>
      </c>
      <c r="K107" s="89" t="str">
        <f>IF(ISEVEN(B107),(B107-1)&amp;"/"&amp;B107,B107&amp;"/"&amp;(B107+1))</f>
        <v>4061/4062</v>
      </c>
      <c r="L107" s="214" t="str">
        <f>VLOOKUP(A107,'Trips&amp;Operators'!$C$1:$G$99911,5,FALSE)</f>
        <v>LEVERE CRAIG</v>
      </c>
      <c r="M107" s="6">
        <f>I107-F107</f>
        <v>2.6805555557075422E-2</v>
      </c>
      <c r="N107" s="7">
        <f>24*60*SUM($M107:$M107)</f>
        <v>38.600000002188608</v>
      </c>
      <c r="O107" s="7"/>
      <c r="P107" s="7"/>
      <c r="Q107" s="22"/>
      <c r="R107" s="167"/>
      <c r="S107" s="210">
        <f>1/IF(AG107="EC",12,1)*SUM(U107:U107)</f>
        <v>1</v>
      </c>
      <c r="T107" s="192" t="str">
        <f>IF(ISEVEN(LEFT(AD107,4)),"Southbound","NorthBound")</f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-12T15:17:30-0600',mode:absolute,to:'2017-09-12T18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7" s="194" t="str">
        <f>IF(AA107&lt;VLOOKUP(AG107,Variables!$AC$3:$AD$8,2,FALSE),"Y","N")</f>
        <v>N</v>
      </c>
      <c r="X107" s="194">
        <f>VALUE(LEFT(AD107,4))-VALUE(LEFT(AD106,4))</f>
        <v>1</v>
      </c>
      <c r="Y107" s="194">
        <f>RIGHT(D107,LEN(D107)-4)/10000</f>
        <v>23.299800000000001</v>
      </c>
      <c r="Z107" s="194">
        <f>RIGHT(H107,LEN(H107)-4)/10000</f>
        <v>1.6299999999999999E-2</v>
      </c>
      <c r="AA107" s="194">
        <f>ABS(Z107-Y107)</f>
        <v>23.2835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>VALUE(LEFT(A107,LEN(A107)-3))</f>
        <v>196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/stypes="app*4061*20170912*" /stext=" 23:.+((SYSTEM_STATE.+slice.+state.+changed )|(ment ac)|(multiple cpu faults)|(system.+state.+changed )|(\[timeout)|(PRM\|1\|D)|(kpr)|(kdp)|(train st.+moving)|(\|lc)|(penalty))"</v>
      </c>
      <c r="AG107" s="206" t="str">
        <f>DetSubdiv(A107)</f>
        <v>EC</v>
      </c>
      <c r="AH107" s="78" t="str">
        <f t="shared" si="8"/>
        <v>"%USERPROFILE%\Documents\GitHub\eaglep3\Utilities\RefineRTDCRunTimes.py" --tripid 196-12 --locoid 4061 --swversion DE.1.0.9.0 --startMP 204:232998 --initTime 2017-09-12T16:17:30 --startdatetime 2017-09-12T16:27:18 --delay 58 --endMP 204:163 --enddatetime 2017-09-12T17:05:54 --enforcementcount 0 &gt;&gt;C:\Users\stu\Documents\GitHub\eaglep3-reporting\EC\2017-09-12-refined-times.txt</v>
      </c>
      <c r="AI107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{"issue":{"subject":"","project_id":79,"tracker_id":40,"status_id":1,"priority_id":2,"assigned_to_id":338,"start_date":"2017-09-12","description":"","custom_fields":[{"id":1,"name":"Subdivision","value":"EC"},{"id":4,"name":"Milepost","value":"0.0163"},{"id":17,"name":"Train ID","value":"196-12"},{"id":16,"name":"Locomotive ID","value":"4061"},{"id":130,"name":"Impact","value":""},{"id":150,"name":"Time of Event (Mountain Time)","value":"17:05:54"},{"id":151,"name":"Denver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4061 --day 2017-09-12</v>
      </c>
      <c r="AN107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747</v>
      </c>
      <c r="B108" s="7">
        <v>4012</v>
      </c>
      <c r="C108" s="21" t="s">
        <v>197</v>
      </c>
      <c r="D108" s="21" t="s">
        <v>864</v>
      </c>
      <c r="E108" s="13">
        <v>42990.653622685182</v>
      </c>
      <c r="F108" s="13">
        <v>42990.656793981485</v>
      </c>
      <c r="G108" s="7">
        <v>79</v>
      </c>
      <c r="H108" s="21" t="s">
        <v>411</v>
      </c>
      <c r="I108" s="13">
        <v>42990.681909722225</v>
      </c>
      <c r="J108" s="7">
        <v>0</v>
      </c>
      <c r="K108" s="89" t="str">
        <f>IF(ISEVEN(B108),(B108-1)&amp;"/"&amp;B108,B108&amp;"/"&amp;(B108+1))</f>
        <v>4011/4012</v>
      </c>
      <c r="L108" s="214" t="str">
        <f>VLOOKUP(A108,'Trips&amp;Operators'!$C$1:$G$99911,5,FALSE)</f>
        <v>SAFIEF AEIMEN</v>
      </c>
      <c r="M108" s="6">
        <f>I108-F108</f>
        <v>2.5115740740147885E-2</v>
      </c>
      <c r="N108" s="7">
        <f>24*60*SUM($M108:$M108)</f>
        <v>36.166666665812954</v>
      </c>
      <c r="O108" s="7"/>
      <c r="P108" s="7"/>
      <c r="Q108" s="22"/>
      <c r="R108" s="167"/>
      <c r="S108" s="210">
        <f>1/IF(AG108="EC",12,1)*SUM(U108:U108)</f>
        <v>1</v>
      </c>
      <c r="T108" s="192" t="str">
        <f>IF(ISEVEN(LEFT(AD108,4)),"Southbound","NorthBound")</f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-09-12T14:41:13-0600',mode:absolute,to:'2017-09-12T17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8" s="194" t="str">
        <f>IF(AA108&lt;VLOOKUP(AG108,Variables!$AC$3:$AD$8,2,FALSE),"Y","N")</f>
        <v>N</v>
      </c>
      <c r="X108" s="194">
        <f>VALUE(LEFT(AD108,4))-VALUE(LEFT(AD107,4))</f>
        <v>1</v>
      </c>
      <c r="Y108" s="194">
        <f>RIGHT(D108,LEN(D108)-4)/10000</f>
        <v>4.3499999999999997E-2</v>
      </c>
      <c r="Z108" s="194">
        <f>RIGHT(H108,LEN(H108)-4)/10000</f>
        <v>23.331</v>
      </c>
      <c r="AA108" s="194">
        <f>ABS(Z108-Y108)</f>
        <v>23.287499999999998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>VALUE(LEFT(A108,LEN(A108)-3))</f>
        <v>197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/stypes="app*4012*20170912*" /stext=" 22:.+((SYSTEM_STATE.+slice.+state.+changed )|(ment ac)|(multiple cpu faults)|(system.+state.+changed )|(\[timeout)|(PRM\|1\|D)|(kpr)|(kdp)|(train st.+moving)|(\|lc)|(penalty))"</v>
      </c>
      <c r="AG108" s="206" t="str">
        <f>DetSubdiv(A108)</f>
        <v>EC</v>
      </c>
      <c r="AH108" s="78" t="str">
        <f t="shared" si="8"/>
        <v>"%USERPROFILE%\Documents\GitHub\eaglep3\Utilities\RefineRTDCRunTimes.py" --tripid 197-12 --locoid 4012 --swversion DE.1.0.9.0 --startMP 204:435 --initTime 2017-09-12T15:41:13 --startdatetime 2017-09-12T15:45:47 --delay 79 --endMP 204:233310 --enddatetime 2017-09-12T16:21:57 --enforcementcount 0 &gt;&gt;C:\Users\stu\Documents\GitHub\eaglep3-reporting\EC\2017-09-12-refined-times.txt</v>
      </c>
      <c r="AI108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{"issue":{"subject":"","project_id":79,"tracker_id":40,"status_id":1,"priority_id":2,"assigned_to_id":338,"start_date":"2017-09-12","description":"","custom_fields":[{"id":1,"name":"Subdivision","value":"EC"},{"id":4,"name":"Milepost","value":"23.331"},{"id":17,"name":"Train ID","value":"197-12"},{"id":16,"name":"Locomotive ID","value":"4012"},{"id":130,"name":"Impact","value":""},{"id":150,"name":"Time of Event (Mountain Time)","value":"16:21:57"},{"id":151,"name":"Denver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4012 --day 2017-09-12</v>
      </c>
      <c r="AN108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758</v>
      </c>
      <c r="B109" s="7">
        <v>4011</v>
      </c>
      <c r="C109" s="21" t="s">
        <v>197</v>
      </c>
      <c r="D109" s="21" t="s">
        <v>492</v>
      </c>
      <c r="E109" s="13">
        <v>42990.686168981483</v>
      </c>
      <c r="F109" s="13">
        <v>42990.69630787037</v>
      </c>
      <c r="G109" s="7">
        <v>63</v>
      </c>
      <c r="H109" s="21" t="s">
        <v>367</v>
      </c>
      <c r="I109" s="13">
        <v>42990.722187500003</v>
      </c>
      <c r="J109" s="7">
        <v>0</v>
      </c>
      <c r="K109" s="89" t="str">
        <f>IF(ISEVEN(B109),(B109-1)&amp;"/"&amp;B109,B109&amp;"/"&amp;(B109+1))</f>
        <v>4011/4012</v>
      </c>
      <c r="L109" s="214" t="str">
        <f>VLOOKUP(A109,'Trips&amp;Operators'!$C$1:$G$99911,5,FALSE)</f>
        <v>SAFIEF AEIMEN</v>
      </c>
      <c r="M109" s="6">
        <f>I109-F109</f>
        <v>2.587962963298196E-2</v>
      </c>
      <c r="N109" s="7">
        <f>24*60*SUM($M109:$M109)</f>
        <v>37.266666671494022</v>
      </c>
      <c r="O109" s="7"/>
      <c r="P109" s="7"/>
      <c r="Q109" s="22"/>
      <c r="R109" s="167"/>
      <c r="S109" s="210">
        <f>1/IF(AG109="EC",12,1)*SUM(U109:U109)</f>
        <v>1</v>
      </c>
      <c r="T109" s="192" t="str">
        <f>IF(ISEVEN(LEFT(AD109,4)),"Southbound","NorthBound")</f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-12T15:28:05-0600',mode:absolute,to:'2017-09-12T18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9" s="194" t="str">
        <f>IF(AA109&lt;VLOOKUP(AG109,Variables!$AC$3:$AD$8,2,FALSE),"Y","N")</f>
        <v>N</v>
      </c>
      <c r="X109" s="194">
        <f>VALUE(LEFT(AD109,4))-VALUE(LEFT(AD108,4))</f>
        <v>1</v>
      </c>
      <c r="Y109" s="194">
        <f>RIGHT(D109,LEN(D109)-4)/10000</f>
        <v>23.3002</v>
      </c>
      <c r="Z109" s="194">
        <f>RIGHT(H109,LEN(H109)-4)/10000</f>
        <v>1.4500000000000001E-2</v>
      </c>
      <c r="AA109" s="194">
        <f>ABS(Z109-Y109)</f>
        <v>23.285699999999999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3">
        <f>VALUE(LEFT(A109,LEN(A109)-3))</f>
        <v>198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/stypes="app*4011*20170912*" /stext=" 23:.+((SYSTEM_STATE.+slice.+state.+changed )|(ment ac)|(multiple cpu faults)|(system.+state.+changed )|(\[timeout)|(PRM\|1\|D)|(kpr)|(kdp)|(train st.+moving)|(\|lc)|(penalty))"</v>
      </c>
      <c r="AG109" s="206" t="str">
        <f>DetSubdiv(A109)</f>
        <v>EC</v>
      </c>
      <c r="AH109" s="78" t="str">
        <f t="shared" si="8"/>
        <v>"%USERPROFILE%\Documents\GitHub\eaglep3\Utilities\RefineRTDCRunTimes.py" --tripid 198-12 --locoid 4011 --swversion DE.1.0.9.0 --startMP 204:233002 --initTime 2017-09-12T16:28:05 --startdatetime 2017-09-12T16:42:41 --delay 63 --endMP 204:145 --enddatetime 2017-09-12T17:19:57 --enforcementcount 0 &gt;&gt;C:\Users\stu\Documents\GitHub\eaglep3-reporting\EC\2017-09-12-refined-times.txt</v>
      </c>
      <c r="AI10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ID","value":"198-12"},{"id":16,"name":"Locomotive ID","value":"4011"},{"id":130,"name":"Impact","value":""},{"id":150,"name":"Time of Event (Mountain Time)","value":"17:19:57"},{"id":151,"name":"Denver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4011 --day 2017-09-12</v>
      </c>
      <c r="AN109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601</v>
      </c>
      <c r="B110" s="7">
        <v>4002</v>
      </c>
      <c r="C110" s="21" t="s">
        <v>197</v>
      </c>
      <c r="D110" s="21" t="s">
        <v>408</v>
      </c>
      <c r="E110" s="13">
        <v>42990.6640162037</v>
      </c>
      <c r="F110" s="13">
        <v>42990.666944444441</v>
      </c>
      <c r="G110" s="7">
        <v>56</v>
      </c>
      <c r="H110" s="21" t="s">
        <v>865</v>
      </c>
      <c r="I110" s="13">
        <v>42990.693206018521</v>
      </c>
      <c r="J110" s="7">
        <v>0</v>
      </c>
      <c r="K110" s="89" t="str">
        <f>IF(ISEVEN(B110),(B110-1)&amp;"/"&amp;B110,B110&amp;"/"&amp;(B110+1))</f>
        <v>4001/4002</v>
      </c>
      <c r="L110" s="214" t="str">
        <f>VLOOKUP(A110,'Trips&amp;Operators'!$C$1:$G$99911,5,FALSE)</f>
        <v>DAVIS MICHAEL</v>
      </c>
      <c r="M110" s="6">
        <f>I110-F110</f>
        <v>2.6261574079398997E-2</v>
      </c>
      <c r="N110" s="7">
        <f>24*60*SUM($M110:$M110)</f>
        <v>37.816666674334556</v>
      </c>
      <c r="O110" s="7"/>
      <c r="P110" s="7"/>
      <c r="Q110" s="22"/>
      <c r="R110" s="167"/>
      <c r="S110" s="210">
        <f>1/IF(AG110="EC",12,1)*SUM(U110:U110)</f>
        <v>1</v>
      </c>
      <c r="T110" s="192" t="str">
        <f>IF(ISEVEN(LEFT(AD110,4)),"Southbound","NorthBound")</f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-09-12T14:56:11-0600',mode:absolute,to:'2017-09-12T17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0" s="194" t="str">
        <f>IF(AA110&lt;VLOOKUP(AG110,Variables!$AC$3:$AD$8,2,FALSE),"Y","N")</f>
        <v>N</v>
      </c>
      <c r="X110" s="194">
        <f>VALUE(LEFT(AD110,4))-VALUE(LEFT(AD109,4))</f>
        <v>1</v>
      </c>
      <c r="Y110" s="194">
        <f>RIGHT(D110,LEN(D110)-4)/10000</f>
        <v>4.3999999999999997E-2</v>
      </c>
      <c r="Z110" s="194">
        <f>RIGHT(H110,LEN(H110)-4)/10000</f>
        <v>23.339099999999998</v>
      </c>
      <c r="AA110" s="194">
        <f>ABS(Z110-Y110)</f>
        <v>23.295099999999998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>VALUE(LEFT(A110,LEN(A110)-3))</f>
        <v>199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/stypes="app*4002*20170912*" /stext=" 22:.+((SYSTEM_STATE.+slice.+state.+changed )|(ment ac)|(multiple cpu faults)|(system.+state.+changed )|(\[timeout)|(PRM\|1\|D)|(kpr)|(kdp)|(train st.+moving)|(\|lc)|(penalty))"</v>
      </c>
      <c r="AG110" s="206" t="str">
        <f>DetSubdiv(A110)</f>
        <v>EC</v>
      </c>
      <c r="AH110" s="78" t="str">
        <f t="shared" si="8"/>
        <v>"%USERPROFILE%\Documents\GitHub\eaglep3\Utilities\RefineRTDCRunTimes.py" --tripid 199-12 --locoid 4002 --swversion DE.1.0.9.0 --startMP 204:440 --initTime 2017-09-12T15:56:11 --startdatetime 2017-09-12T16:00:24 --delay 56 --endMP 204:233391 --enddatetime 2017-09-12T16:38:13 --enforcementcount 0 &gt;&gt;C:\Users\stu\Documents\GitHub\eaglep3-reporting\EC\2017-09-12-refined-times.txt</v>
      </c>
      <c r="AI11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{"issue":{"subject":"","project_id":79,"tracker_id":40,"status_id":1,"priority_id":2,"assigned_to_id":338,"start_date":"2017-09-12","description":"","custom_fields":[{"id":1,"name":"Subdivision","value":"EC"},{"id":4,"name":"Milepost","value":"23.3391"},{"id":17,"name":"Train ID","value":"199-12"},{"id":16,"name":"Locomotive ID","value":"4002"},{"id":130,"name":"Impact","value":""},{"id":150,"name":"Time of Event (Mountain Time)","value":"16:38:13"},{"id":151,"name":"Denver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4002 --day 2017-09-12</v>
      </c>
      <c r="AN110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606</v>
      </c>
      <c r="B111" s="7">
        <v>4001</v>
      </c>
      <c r="C111" s="21" t="s">
        <v>197</v>
      </c>
      <c r="D111" s="21" t="s">
        <v>866</v>
      </c>
      <c r="E111" s="13">
        <v>42990.703819444447</v>
      </c>
      <c r="F111" s="13">
        <v>42990.706597222219</v>
      </c>
      <c r="G111" s="7">
        <v>65</v>
      </c>
      <c r="H111" s="21" t="s">
        <v>410</v>
      </c>
      <c r="I111" s="13">
        <v>42990.734143518515</v>
      </c>
      <c r="J111" s="7">
        <v>0</v>
      </c>
      <c r="K111" s="89" t="str">
        <f>IF(ISEVEN(B111),(B111-1)&amp;"/"&amp;B111,B111&amp;"/"&amp;(B111+1))</f>
        <v>4001/4002</v>
      </c>
      <c r="L111" s="214" t="str">
        <f>VLOOKUP(A111,'Trips&amp;Operators'!$C$1:$G$99911,5,FALSE)</f>
        <v>DAVIS MICHAEL</v>
      </c>
      <c r="M111" s="6">
        <f>I111-F111</f>
        <v>2.7546296296350192E-2</v>
      </c>
      <c r="N111" s="7">
        <f>24*60*SUM($M111:$M111)</f>
        <v>39.666666666744277</v>
      </c>
      <c r="O111" s="7"/>
      <c r="P111" s="7"/>
      <c r="Q111" s="22"/>
      <c r="R111" s="167"/>
      <c r="S111" s="210">
        <f>1/IF(AG111="EC",12,1)*SUM(U111:U111)</f>
        <v>1</v>
      </c>
      <c r="T111" s="192" t="str">
        <f>IF(ISEVEN(LEFT(AD111,4)),"Southbound","NorthBound")</f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-12T15:53:30-0600',mode:absolute,to:'2017-09-12T18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1" s="194" t="str">
        <f>IF(AA111&lt;VLOOKUP(AG111,Variables!$AC$3:$AD$8,2,FALSE),"Y","N")</f>
        <v>N</v>
      </c>
      <c r="X111" s="194">
        <f>VALUE(LEFT(AD111,4))-VALUE(LEFT(AD110,4))</f>
        <v>1</v>
      </c>
      <c r="Y111" s="194">
        <f>RIGHT(D111,LEN(D111)-4)/10000</f>
        <v>23.3048</v>
      </c>
      <c r="Z111" s="194">
        <f>RIGHT(H111,LEN(H111)-4)/10000</f>
        <v>1.3899999999999999E-2</v>
      </c>
      <c r="AA111" s="194">
        <f>ABS(Z111-Y111)</f>
        <v>23.290900000000001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>VALUE(LEFT(A111,LEN(A111)-3))</f>
        <v>200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/stypes="app*4001*20170912*" /stext=" 23:.+((SYSTEM_STATE.+slice.+state.+changed )|(ment ac)|(multiple cpu faults)|(system.+state.+changed )|(\[timeout)|(PRM\|1\|D)|(kpr)|(kdp)|(train st.+moving)|(\|lc)|(penalty))"</v>
      </c>
      <c r="AG111" s="206" t="str">
        <f>DetSubdiv(A111)</f>
        <v>EC</v>
      </c>
      <c r="AH111" s="78" t="str">
        <f t="shared" si="8"/>
        <v>"%USERPROFILE%\Documents\GitHub\eaglep3\Utilities\RefineRTDCRunTimes.py" --tripid 200-12 --locoid 4001 --swversion DE.1.0.9.0 --startMP 204:233048 --initTime 2017-09-12T16:53:30 --startdatetime 2017-09-12T16:57:30 --delay 65 --endMP 204:139 --enddatetime 2017-09-12T17:37:10 --enforcementcount 0 &gt;&gt;C:\Users\stu\Documents\GitHub\eaglep3-reporting\EC\2017-09-12-refined-times.txt</v>
      </c>
      <c r="AI11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{"issue":{"subject":"","project_id":79,"tracker_id":40,"status_id":1,"priority_id":2,"assigned_to_id":338,"start_date":"2017-09-12","description":"","custom_fields":[{"id":1,"name":"Subdivision","value":"EC"},{"id":4,"name":"Milepost","value":"0.0139"},{"id":17,"name":"Train ID","value":"200-12"},{"id":16,"name":"Locomotive ID","value":"4001"},{"id":130,"name":"Impact","value":""},{"id":150,"name":"Time of Event (Mountain Time)","value":"17:37:10"},{"id":151,"name":"Denver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4001 --day 2017-09-12</v>
      </c>
      <c r="AN111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754</v>
      </c>
      <c r="B112" s="7">
        <v>4034</v>
      </c>
      <c r="C112" s="21" t="s">
        <v>197</v>
      </c>
      <c r="D112" s="21" t="s">
        <v>341</v>
      </c>
      <c r="E112" s="13">
        <v>42990.673263888886</v>
      </c>
      <c r="F112" s="13">
        <v>42990.677349537036</v>
      </c>
      <c r="G112" s="7">
        <v>63</v>
      </c>
      <c r="H112" s="21" t="s">
        <v>411</v>
      </c>
      <c r="I112" s="13">
        <v>42990.70244212963</v>
      </c>
      <c r="J112" s="7">
        <v>0</v>
      </c>
      <c r="K112" s="89" t="str">
        <f>IF(ISEVEN(B112),(B112-1)&amp;"/"&amp;B112,B112&amp;"/"&amp;(B112+1))</f>
        <v>4033/4034</v>
      </c>
      <c r="L112" s="214" t="str">
        <f>VLOOKUP(A112,'Trips&amp;Operators'!$C$1:$G$99911,5,FALSE)</f>
        <v>SMITH MICHAEL</v>
      </c>
      <c r="M112" s="6">
        <f>I112-F112</f>
        <v>2.5092592593864538E-2</v>
      </c>
      <c r="N112" s="7">
        <f>24*60*SUM($M112:$M112)</f>
        <v>36.133333335164934</v>
      </c>
      <c r="O112" s="7"/>
      <c r="P112" s="7"/>
      <c r="Q112" s="22"/>
      <c r="R112" s="167"/>
      <c r="S112" s="210">
        <f>1/IF(AG112="EC",12,1)*SUM(U112:U112)</f>
        <v>1</v>
      </c>
      <c r="T112" s="192" t="str">
        <f>IF(ISEVEN(LEFT(AD112,4)),"Southbound","NorthBound")</f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-09-12T15:09:30-0600',mode:absolute,to:'2017-09-12T17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2" s="194" t="str">
        <f>IF(AA112&lt;VLOOKUP(AG112,Variables!$AC$3:$AD$8,2,FALSE),"Y","N")</f>
        <v>N</v>
      </c>
      <c r="X112" s="194">
        <f>VALUE(LEFT(AD112,4))-VALUE(LEFT(AD111,4))</f>
        <v>1</v>
      </c>
      <c r="Y112" s="194">
        <f>RIGHT(D112,LEN(D112)-4)/10000</f>
        <v>4.53E-2</v>
      </c>
      <c r="Z112" s="194">
        <f>RIGHT(H112,LEN(H112)-4)/10000</f>
        <v>23.331</v>
      </c>
      <c r="AA112" s="194">
        <f>ABS(Z112-Y112)</f>
        <v>23.285699999999999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>VALUE(LEFT(A112,LEN(A112)-3))</f>
        <v>201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/stypes="app*4034*20170912*" /stext=" 22:.+((SYSTEM_STATE.+slice.+state.+changed )|(ment ac)|(multiple cpu faults)|(system.+state.+changed )|(\[timeout)|(PRM\|1\|D)|(kpr)|(kdp)|(train st.+moving)|(\|lc)|(penalty))"</v>
      </c>
      <c r="AG112" s="206" t="str">
        <f>DetSubdiv(A112)</f>
        <v>EC</v>
      </c>
      <c r="AH112" s="78" t="str">
        <f t="shared" si="8"/>
        <v>"%USERPROFILE%\Documents\GitHub\eaglep3\Utilities\RefineRTDCRunTimes.py" --tripid 201-12 --locoid 4034 --swversion DE.1.0.9.0 --startMP 204:453 --initTime 2017-09-12T16:09:30 --startdatetime 2017-09-12T16:15:23 --delay 63 --endMP 204:233310 --enddatetime 2017-09-12T16:51:31 --enforcementcount 0 &gt;&gt;C:\Users\stu\Documents\GitHub\eaglep3-reporting\EC\2017-09-12-refined-times.txt</v>
      </c>
      <c r="AI112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{"issue":{"subject":"","project_id":79,"tracker_id":40,"status_id":1,"priority_id":2,"assigned_to_id":338,"start_date":"2017-09-12","description":"","custom_fields":[{"id":1,"name":"Subdivision","value":"EC"},{"id":4,"name":"Milepost","value":"23.331"},{"id":17,"name":"Train ID","value":"201-12"},{"id":16,"name":"Locomotive ID","value":"4034"},{"id":130,"name":"Impact","value":""},{"id":150,"name":"Time of Event (Mountain Time)","value":"16:51:31"},{"id":151,"name":"Denver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4034 --day 2017-09-12</v>
      </c>
      <c r="AN112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763</v>
      </c>
      <c r="B113" s="7">
        <v>4033</v>
      </c>
      <c r="C113" s="21" t="s">
        <v>197</v>
      </c>
      <c r="D113" s="21" t="s">
        <v>535</v>
      </c>
      <c r="E113" s="13">
        <v>42990.711782407408</v>
      </c>
      <c r="F113" s="13">
        <v>42990.716898148145</v>
      </c>
      <c r="G113" s="7">
        <v>77</v>
      </c>
      <c r="H113" s="21" t="s">
        <v>389</v>
      </c>
      <c r="I113" s="13">
        <v>42990.742962962962</v>
      </c>
      <c r="J113" s="7">
        <v>0</v>
      </c>
      <c r="K113" s="89" t="str">
        <f>IF(ISEVEN(B113),(B113-1)&amp;"/"&amp;B113,B113&amp;"/"&amp;(B113+1))</f>
        <v>4033/4034</v>
      </c>
      <c r="L113" s="214" t="str">
        <f>VLOOKUP(A113,'Trips&amp;Operators'!$C$1:$G$99911,5,FALSE)</f>
        <v>SMITH MICHAEL</v>
      </c>
      <c r="M113" s="6">
        <f>I113-F113</f>
        <v>2.6064814817800652E-2</v>
      </c>
      <c r="N113" s="7">
        <f>24*60*SUM($M113:$M113)</f>
        <v>37.533333337632939</v>
      </c>
      <c r="O113" s="7"/>
      <c r="P113" s="7"/>
      <c r="Q113" s="22"/>
      <c r="R113" s="167"/>
      <c r="S113" s="210">
        <f>1/IF(AG113="EC",12,1)*SUM(U113:U113)</f>
        <v>1</v>
      </c>
      <c r="T113" s="192" t="str">
        <f>IF(ISEVEN(LEFT(AD113,4)),"Southbound","NorthBound")</f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-09-12T16:04:58-0600',mode:absolute,to:'2017-09-12T18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3" s="194" t="str">
        <f>IF(AA113&lt;VLOOKUP(AG113,Variables!$AC$3:$AD$8,2,FALSE),"Y","N")</f>
        <v>N</v>
      </c>
      <c r="X113" s="194">
        <f>VALUE(LEFT(AD113,4))-VALUE(LEFT(AD112,4))</f>
        <v>1</v>
      </c>
      <c r="Y113" s="194">
        <f>RIGHT(D113,LEN(D113)-4)/10000</f>
        <v>23.300799999999999</v>
      </c>
      <c r="Z113" s="194">
        <f>RIGHT(H113,LEN(H113)-4)/10000</f>
        <v>1.5800000000000002E-2</v>
      </c>
      <c r="AA113" s="194">
        <f>ABS(Z113-Y113)</f>
        <v>23.285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>VALUE(LEFT(A113,LEN(A113)-3))</f>
        <v>202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/stypes="app*4033*20170912*" /stext=" 23:.+((SYSTEM_STATE.+slice.+state.+changed )|(ment ac)|(multiple cpu faults)|(system.+state.+changed )|(\[timeout)|(PRM\|1\|D)|(kpr)|(kdp)|(train st.+moving)|(\|lc)|(penalty))"</v>
      </c>
      <c r="AG113" s="206" t="str">
        <f>DetSubdiv(A113)</f>
        <v>EC</v>
      </c>
      <c r="AH113" s="78" t="str">
        <f t="shared" si="8"/>
        <v>"%USERPROFILE%\Documents\GitHub\eaglep3\Utilities\RefineRTDCRunTimes.py" --tripid 202-12 --locoid 4033 --swversion DE.1.0.9.0 --startMP 204:233008 --initTime 2017-09-12T17:04:58 --startdatetime 2017-09-12T17:12:20 --delay 77 --endMP 204:158 --enddatetime 2017-09-12T17:49:52 --enforcementcount 0 &gt;&gt;C:\Users\stu\Documents\GitHub\eaglep3-reporting\EC\2017-09-12-refined-times.txt</v>
      </c>
      <c r="AI113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{"issue":{"subject":"","project_id":79,"tracker_id":40,"status_id":1,"priority_id":2,"assigned_to_id":338,"start_date":"2017-09-12","description":"","custom_fields":[{"id":1,"name":"Subdivision","value":"EC"},{"id":4,"name":"Milepost","value":"0.0158"},{"id":17,"name":"Train ID","value":"202-12"},{"id":16,"name":"Locomotive ID","value":"4033"},{"id":130,"name":"Impact","value":""},{"id":150,"name":"Time of Event (Mountain Time)","value":"17:49:52"},{"id":151,"name":"Denver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4033 --day 2017-09-12</v>
      </c>
      <c r="AN113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756</v>
      </c>
      <c r="B114" s="7">
        <v>4058</v>
      </c>
      <c r="C114" s="21" t="s">
        <v>197</v>
      </c>
      <c r="D114" s="21" t="s">
        <v>359</v>
      </c>
      <c r="E114" s="13">
        <v>42990.683645833335</v>
      </c>
      <c r="F114" s="13">
        <v>42990.687951388885</v>
      </c>
      <c r="G114" s="7">
        <v>67</v>
      </c>
      <c r="H114" s="21" t="s">
        <v>534</v>
      </c>
      <c r="I114" s="13">
        <v>42990.712453703702</v>
      </c>
      <c r="J114" s="7">
        <v>0</v>
      </c>
      <c r="K114" s="89" t="str">
        <f>IF(ISEVEN(B114),(B114-1)&amp;"/"&amp;B114,B114&amp;"/"&amp;(B114+1))</f>
        <v>4057/4058</v>
      </c>
      <c r="L114" s="214" t="str">
        <f>VLOOKUP(A114,'Trips&amp;Operators'!$C$1:$G$99911,5,FALSE)</f>
        <v>BRUDER RICHARD</v>
      </c>
      <c r="M114" s="6">
        <f>I114-F114</f>
        <v>2.4502314816345461E-2</v>
      </c>
      <c r="N114" s="7">
        <f>24*60*SUM($M114:$M114)</f>
        <v>35.283333335537463</v>
      </c>
      <c r="O114" s="7"/>
      <c r="P114" s="7"/>
      <c r="Q114" s="22"/>
      <c r="R114" s="167"/>
      <c r="S114" s="210">
        <f>1/IF(AG114="EC",12,1)*SUM(U114:U114)</f>
        <v>1</v>
      </c>
      <c r="T114" s="192" t="str">
        <f>IF(ISEVEN(LEFT(AD114,4)),"Southbound","NorthBound")</f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-12T15:24:27-0600',mode:absolute,to:'2017-09-12T18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4" s="194" t="str">
        <f>IF(AA114&lt;VLOOKUP(AG114,Variables!$AC$3:$AD$8,2,FALSE),"Y","N")</f>
        <v>N</v>
      </c>
      <c r="X114" s="194">
        <f>VALUE(LEFT(AD114,4))-VALUE(LEFT(AD113,4))</f>
        <v>1</v>
      </c>
      <c r="Y114" s="194">
        <f>RIGHT(D114,LEN(D114)-4)/10000</f>
        <v>4.58E-2</v>
      </c>
      <c r="Z114" s="194">
        <f>RIGHT(H114,LEN(H114)-4)/10000</f>
        <v>23.330100000000002</v>
      </c>
      <c r="AA114" s="194">
        <f>ABS(Z114-Y114)</f>
        <v>23.284300000000002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>VALUE(LEFT(A114,LEN(A114)-3))</f>
        <v>203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/stypes="app*4058*20170912*" /stext=" 23:.+((SYSTEM_STATE.+slice.+state.+changed )|(ment ac)|(multiple cpu faults)|(system.+state.+changed )|(\[timeout)|(PRM\|1\|D)|(kpr)|(kdp)|(train st.+moving)|(\|lc)|(penalty))"</v>
      </c>
      <c r="AG114" s="206" t="str">
        <f>DetSubdiv(A114)</f>
        <v>EC</v>
      </c>
      <c r="AH114" s="78" t="str">
        <f t="shared" si="8"/>
        <v>"%USERPROFILE%\Documents\GitHub\eaglep3\Utilities\RefineRTDCRunTimes.py" --tripid 203-12 --locoid 4058 --swversion DE.1.0.9.0 --startMP 204:458 --initTime 2017-09-12T16:24:27 --startdatetime 2017-09-12T16:30:39 --delay 67 --endMP 204:233301 --enddatetime 2017-09-12T17:05:56 --enforcementcount 0 &gt;&gt;C:\Users\stu\Documents\GitHub\eaglep3-reporting\EC\2017-09-12-refined-times.txt</v>
      </c>
      <c r="AI114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{"issue":{"subject":"","project_id":79,"tracker_id":40,"status_id":1,"priority_id":2,"assigned_to_id":338,"start_date":"2017-09-12","description":"","custom_fields":[{"id":1,"name":"Subdivision","value":"EC"},{"id":4,"name":"Milepost","value":"23.3301"},{"id":17,"name":"Train ID","value":"203-12"},{"id":16,"name":"Locomotive ID","value":"4058"},{"id":130,"name":"Impact","value":""},{"id":150,"name":"Time of Event (Mountain Time)","value":"17:05:56"},{"id":151,"name":"Denver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4058 --day 2017-09-12</v>
      </c>
      <c r="AN114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765</v>
      </c>
      <c r="B115" s="7">
        <v>4057</v>
      </c>
      <c r="C115" s="21" t="s">
        <v>197</v>
      </c>
      <c r="D115" s="21" t="s">
        <v>530</v>
      </c>
      <c r="E115" s="13">
        <v>42990.724374999998</v>
      </c>
      <c r="F115" s="13">
        <v>42990.727418981478</v>
      </c>
      <c r="G115" s="7">
        <v>67</v>
      </c>
      <c r="H115" s="21" t="s">
        <v>338</v>
      </c>
      <c r="I115" s="13">
        <v>42990.752962962964</v>
      </c>
      <c r="J115" s="7">
        <v>0</v>
      </c>
      <c r="K115" s="89" t="str">
        <f>IF(ISEVEN(B115),(B115-1)&amp;"/"&amp;B115,B115&amp;"/"&amp;(B115+1))</f>
        <v>4057/4058</v>
      </c>
      <c r="L115" s="214" t="str">
        <f>VLOOKUP(A115,'Trips&amp;Operators'!$C$1:$G$99911,5,FALSE)</f>
        <v>BRUDER RICHARD</v>
      </c>
      <c r="M115" s="6">
        <f>I115-F115</f>
        <v>2.5543981486407574E-2</v>
      </c>
      <c r="N115" s="7">
        <f>24*60*SUM($M115:$M115)</f>
        <v>36.783333340426907</v>
      </c>
      <c r="O115" s="7"/>
      <c r="P115" s="7"/>
      <c r="Q115" s="22"/>
      <c r="R115" s="167"/>
      <c r="S115" s="210">
        <f>1/IF(AG115="EC",12,1)*SUM(U115:U115)</f>
        <v>1</v>
      </c>
      <c r="T115" s="192" t="str">
        <f>IF(ISEVEN(LEFT(AD115,4)),"Southbound","NorthBound")</f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-09-12T16:23:06-0600',mode:absolute,to:'2017-09-12T19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5" s="194" t="str">
        <f>IF(AA115&lt;VLOOKUP(AG115,Variables!$AC$3:$AD$8,2,FALSE),"Y","N")</f>
        <v>N</v>
      </c>
      <c r="X115" s="194">
        <f>VALUE(LEFT(AD115,4))-VALUE(LEFT(AD114,4))</f>
        <v>1</v>
      </c>
      <c r="Y115" s="194">
        <f>RIGHT(D115,LEN(D115)-4)/10000</f>
        <v>23.2971</v>
      </c>
      <c r="Z115" s="194">
        <f>RIGHT(H115,LEN(H115)-4)/10000</f>
        <v>1.4999999999999999E-2</v>
      </c>
      <c r="AA115" s="194">
        <f>ABS(Z115-Y115)</f>
        <v>23.2821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>VALUE(LEFT(A115,LEN(A115)-3))</f>
        <v>204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/stypes="app*4057*20170913*" /stext=" 00:.+((SYSTEM_STATE.+slice.+state.+changed )|(ment ac)|(multiple cpu faults)|(system.+state.+changed )|(\[timeout)|(PRM\|1\|D)|(kpr)|(kdp)|(train st.+moving)|(\|lc)|(penalty))"</v>
      </c>
      <c r="AG115" s="206" t="str">
        <f>DetSubdiv(A115)</f>
        <v>EC</v>
      </c>
      <c r="AH115" s="78" t="str">
        <f t="shared" si="8"/>
        <v>"%USERPROFILE%\Documents\GitHub\eaglep3\Utilities\RefineRTDCRunTimes.py" --tripid 204-12 --locoid 4057 --swversion DE.1.0.9.0 --startMP 204:232971 --initTime 2017-09-12T17:23:06 --startdatetime 2017-09-12T17:27:29 --delay 67 --endMP 204:150 --enddatetime 2017-09-12T18:04:16 --enforcementcount 0 &gt;&gt;C:\Users\stu\Documents\GitHub\eaglep3-reporting\EC\2017-09-12-refined-times.txt</v>
      </c>
      <c r="AI115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{"issue":{"subject":"","project_id":79,"tracker_id":40,"status_id":1,"priority_id":2,"assigned_to_id":338,"start_date":"2017-09-12","description":"","custom_fields":[{"id":1,"name":"Subdivision","value":"EC"},{"id":4,"name":"Milepost","value":"0.015"},{"id":17,"name":"Train ID","value":"204-12"},{"id":16,"name":"Locomotive ID","value":"4057"},{"id":130,"name":"Impact","value":""},{"id":150,"name":"Time of Event (Mountain Time)","value":"18:04:16"},{"id":151,"name":"Denver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4057 --day 2017-09-12</v>
      </c>
      <c r="AN115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760</v>
      </c>
      <c r="B116" s="7">
        <v>4030</v>
      </c>
      <c r="C116" s="21" t="s">
        <v>197</v>
      </c>
      <c r="D116" s="21" t="s">
        <v>843</v>
      </c>
      <c r="E116" s="13">
        <v>42990.694398148145</v>
      </c>
      <c r="F116" s="13">
        <v>42990.698136574072</v>
      </c>
      <c r="G116" s="7">
        <v>58</v>
      </c>
      <c r="H116" s="21" t="s">
        <v>491</v>
      </c>
      <c r="I116" s="13">
        <v>42990.72284722222</v>
      </c>
      <c r="J116" s="7">
        <v>0</v>
      </c>
      <c r="K116" s="89" t="str">
        <f>IF(ISEVEN(B116),(B116-1)&amp;"/"&amp;B116,B116&amp;"/"&amp;(B116+1))</f>
        <v>4029/4030</v>
      </c>
      <c r="L116" s="214" t="str">
        <f>VLOOKUP(A116,'Trips&amp;Operators'!$C$1:$G$99911,5,FALSE)</f>
        <v>MOSES BRADLEY</v>
      </c>
      <c r="M116" s="6">
        <f>I116-F116</f>
        <v>2.47106481474475E-2</v>
      </c>
      <c r="N116" s="7">
        <f>24*60*SUM($M116:$M116)</f>
        <v>35.583333332324401</v>
      </c>
      <c r="O116" s="7"/>
      <c r="P116" s="7"/>
      <c r="Q116" s="22"/>
      <c r="R116" s="167"/>
      <c r="S116" s="210">
        <f>1/IF(AG116="EC",12,1)*SUM(U116:U116)</f>
        <v>1</v>
      </c>
      <c r="T116" s="192" t="str">
        <f>IF(ISEVEN(LEFT(AD116,4)),"Southbound","NorthBound")</f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-09-12T15:39:56-0600',mode:absolute,to:'2017-09-12T18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94" t="str">
        <f>IF(AA116&lt;VLOOKUP(AG116,Variables!$AC$3:$AD$8,2,FALSE),"Y","N")</f>
        <v>N</v>
      </c>
      <c r="X116" s="194">
        <f>VALUE(LEFT(AD116,4))-VALUE(LEFT(AD115,4))</f>
        <v>1</v>
      </c>
      <c r="Y116" s="194">
        <f>RIGHT(D116,LEN(D116)-4)/10000</f>
        <v>4.7500000000000001E-2</v>
      </c>
      <c r="Z116" s="194">
        <f>RIGHT(H116,LEN(H116)-4)/10000</f>
        <v>23.3308</v>
      </c>
      <c r="AA116" s="194">
        <f>ABS(Z116-Y116)</f>
        <v>23.283300000000001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>VALUE(LEFT(A116,LEN(A116)-3))</f>
        <v>205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/stypes="app*4030*20170912*" /stext=" 23:.+((SYSTEM_STATE.+slice.+state.+changed )|(ment ac)|(multiple cpu faults)|(system.+state.+changed )|(\[timeout)|(PRM\|1\|D)|(kpr)|(kdp)|(train st.+moving)|(\|lc)|(penalty))"</v>
      </c>
      <c r="AG116" s="206" t="str">
        <f>DetSubdiv(A116)</f>
        <v>EC</v>
      </c>
      <c r="AH116" s="78" t="str">
        <f t="shared" si="8"/>
        <v>"%USERPROFILE%\Documents\GitHub\eaglep3\Utilities\RefineRTDCRunTimes.py" --tripid 205-12 --locoid 4030 --swversion DE.1.0.9.0 --startMP 204:475 --initTime 2017-09-12T16:39:56 --startdatetime 2017-09-12T16:45:19 --delay 58 --endMP 204:233308 --enddatetime 2017-09-12T17:20:54 --enforcementcount 0 &gt;&gt;C:\Users\stu\Documents\GitHub\eaglep3-reporting\EC\2017-09-12-refined-times.txt</v>
      </c>
      <c r="AI116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{"issue":{"subject":"","project_id":79,"tracker_id":40,"status_id":1,"priority_id":2,"assigned_to_id":338,"start_date":"2017-09-12","description":"","custom_fields":[{"id":1,"name":"Subdivision","value":"EC"},{"id":4,"name":"Milepost","value":"23.3308"},{"id":17,"name":"Train ID","value":"205-12"},{"id":16,"name":"Locomotive ID","value":"4030"},{"id":130,"name":"Impact","value":""},{"id":150,"name":"Time of Event (Mountain Time)","value":"17:20:54"},{"id":151,"name":"Denver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4030 --day 2017-09-12</v>
      </c>
      <c r="AN116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607</v>
      </c>
      <c r="B117" s="7">
        <v>4029</v>
      </c>
      <c r="C117" s="21" t="s">
        <v>197</v>
      </c>
      <c r="D117" s="21" t="s">
        <v>539</v>
      </c>
      <c r="E117" s="13">
        <v>42990.733310185184</v>
      </c>
      <c r="F117" s="13">
        <v>42990.737800925926</v>
      </c>
      <c r="G117" s="7">
        <v>50</v>
      </c>
      <c r="H117" s="21" t="s">
        <v>343</v>
      </c>
      <c r="I117" s="13">
        <v>42990.763553240744</v>
      </c>
      <c r="J117" s="7">
        <v>0</v>
      </c>
      <c r="K117" s="89" t="str">
        <f>IF(ISEVEN(B117),(B117-1)&amp;"/"&amp;B117,B117&amp;"/"&amp;(B117+1))</f>
        <v>4029/4030</v>
      </c>
      <c r="L117" s="214" t="str">
        <f>VLOOKUP(A117,'Trips&amp;Operators'!$C$1:$G$99911,5,FALSE)</f>
        <v>MOSES BRADLEY</v>
      </c>
      <c r="M117" s="6">
        <f>I117-F117</f>
        <v>2.5752314817509614E-2</v>
      </c>
      <c r="N117" s="7">
        <f>24*60*SUM($M117:$M117)</f>
        <v>37.083333337213844</v>
      </c>
      <c r="O117" s="7"/>
      <c r="P117" s="7"/>
      <c r="Q117" s="22"/>
      <c r="R117" s="167"/>
      <c r="S117" s="210">
        <f>1/IF(AG117="EC",12,1)*SUM(U117:U117)</f>
        <v>1</v>
      </c>
      <c r="T117" s="192" t="str">
        <f>IF(ISEVEN(LEFT(AD117,4)),"Southbound","NorthBound")</f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-09-12T16:35:58-0600',mode:absolute,to:'2017-09-12T19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94" t="str">
        <f>IF(AA117&lt;VLOOKUP(AG117,Variables!$AC$3:$AD$8,2,FALSE),"Y","N")</f>
        <v>N</v>
      </c>
      <c r="X117" s="194">
        <f>VALUE(LEFT(AD117,4))-VALUE(LEFT(AD116,4))</f>
        <v>1</v>
      </c>
      <c r="Y117" s="194">
        <f>RIGHT(D117,LEN(D117)-4)/10000</f>
        <v>23.299299999999999</v>
      </c>
      <c r="Z117" s="194">
        <f>RIGHT(H117,LEN(H117)-4)/10000</f>
        <v>1.47E-2</v>
      </c>
      <c r="AA117" s="194">
        <f>ABS(Z117-Y117)</f>
        <v>23.284599999999998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>VALUE(LEFT(A117,LEN(A117)-3))</f>
        <v>206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/stypes="app*4029*20170913*" /stext=" 00:.+((SYSTEM_STATE.+slice.+state.+changed )|(ment ac)|(multiple cpu faults)|(system.+state.+changed )|(\[timeout)|(PRM\|1\|D)|(kpr)|(kdp)|(train st.+moving)|(\|lc)|(penalty))"</v>
      </c>
      <c r="AG117" s="206" t="str">
        <f>DetSubdiv(A117)</f>
        <v>EC</v>
      </c>
      <c r="AH117" s="78" t="str">
        <f t="shared" si="8"/>
        <v>"%USERPROFILE%\Documents\GitHub\eaglep3\Utilities\RefineRTDCRunTimes.py" --tripid 206-12 --locoid 4029 --swversion DE.1.0.9.0 --startMP 204:232993 --initTime 2017-09-12T17:35:58 --startdatetime 2017-09-12T17:42:26 --delay 50 --endMP 204:147 --enddatetime 2017-09-12T18:19:31 --enforcementcount 0 &gt;&gt;C:\Users\stu\Documents\GitHub\eaglep3-reporting\EC\2017-09-12-refined-times.txt</v>
      </c>
      <c r="AI117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{"issue":{"subject":"","project_id":79,"tracker_id":40,"status_id":1,"priority_id":2,"assigned_to_id":338,"start_date":"2017-09-12","description":"","custom_fields":[{"id":1,"name":"Subdivision","value":"EC"},{"id":4,"name":"Milepost","value":"0.0147"},{"id":17,"name":"Train ID","value":"206-12"},{"id":16,"name":"Locomotive ID","value":"4029"},{"id":130,"name":"Impact","value":""},{"id":150,"name":"Time of Event (Mountain Time)","value":"18:19:31"},{"id":151,"name":"Denver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4029 --day 2017-09-12</v>
      </c>
      <c r="AN117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761</v>
      </c>
      <c r="B118" s="7">
        <v>4032</v>
      </c>
      <c r="C118" s="21" t="s">
        <v>197</v>
      </c>
      <c r="D118" s="21" t="s">
        <v>537</v>
      </c>
      <c r="E118" s="13">
        <v>42990.704861111109</v>
      </c>
      <c r="F118" s="13">
        <v>42990.708483796298</v>
      </c>
      <c r="G118" s="7">
        <v>57</v>
      </c>
      <c r="H118" s="21" t="s">
        <v>536</v>
      </c>
      <c r="I118" s="13">
        <v>42990.7340625</v>
      </c>
      <c r="J118" s="7">
        <v>0</v>
      </c>
      <c r="K118" s="89" t="str">
        <f>IF(ISEVEN(B118),(B118-1)&amp;"/"&amp;B118,B118&amp;"/"&amp;(B118+1))</f>
        <v>4031/4032</v>
      </c>
      <c r="L118" s="214" t="str">
        <f>VLOOKUP(A118,'Trips&amp;Operators'!$C$1:$G$99911,5,FALSE)</f>
        <v>LEVIN SCOTT</v>
      </c>
      <c r="M118" s="6">
        <f>I118-F118</f>
        <v>2.5578703702194616E-2</v>
      </c>
      <c r="N118" s="7">
        <f>24*60*SUM($M118:$M118)</f>
        <v>36.833333331160247</v>
      </c>
      <c r="O118" s="7"/>
      <c r="P118" s="7"/>
      <c r="Q118" s="22"/>
      <c r="R118" s="167"/>
      <c r="S118" s="210">
        <f>1/IF(AG118="EC",12,1)*SUM(U118:U118)</f>
        <v>1</v>
      </c>
      <c r="T118" s="192" t="str">
        <f>IF(ISEVEN(LEFT(AD118,4)),"Southbound","NorthBound")</f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-09-12T15:55:00-0600',mode:absolute,to:'2017-09-12T18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194" t="str">
        <f>IF(AA118&lt;VLOOKUP(AG118,Variables!$AC$3:$AD$8,2,FALSE),"Y","N")</f>
        <v>N</v>
      </c>
      <c r="X118" s="194">
        <f>VALUE(LEFT(AD118,4))-VALUE(LEFT(AD117,4))</f>
        <v>1</v>
      </c>
      <c r="Y118" s="194">
        <f>RIGHT(D118,LEN(D118)-4)/10000</f>
        <v>4.9099999999999998E-2</v>
      </c>
      <c r="Z118" s="194">
        <f>RIGHT(H118,LEN(H118)-4)/10000</f>
        <v>23.3322</v>
      </c>
      <c r="AA118" s="194">
        <f>ABS(Z118-Y118)</f>
        <v>23.283100000000001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>VALUE(LEFT(A118,LEN(A118)-3))</f>
        <v>207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/stypes="app*4032*20170912*" /stext=" 23:.+((SYSTEM_STATE.+slice.+state.+changed )|(ment ac)|(multiple cpu faults)|(system.+state.+changed )|(\[timeout)|(PRM\|1\|D)|(kpr)|(kdp)|(train st.+moving)|(\|lc)|(penalty))"</v>
      </c>
      <c r="AG118" s="206" t="str">
        <f>DetSubdiv(A118)</f>
        <v>EC</v>
      </c>
      <c r="AH118" s="78" t="str">
        <f t="shared" si="8"/>
        <v>"%USERPROFILE%\Documents\GitHub\eaglep3\Utilities\RefineRTDCRunTimes.py" --tripid 207-12 --locoid 4032 --swversion DE.1.0.9.0 --startMP 204:491 --initTime 2017-09-12T16:55:00 --startdatetime 2017-09-12T17:00:13 --delay 57 --endMP 204:233322 --enddatetime 2017-09-12T17:37:03 --enforcementcount 0 &gt;&gt;C:\Users\stu\Documents\GitHub\eaglep3-reporting\EC\2017-09-12-refined-times.txt</v>
      </c>
      <c r="AI118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{"issue":{"subject":"","project_id":79,"tracker_id":40,"status_id":1,"priority_id":2,"assigned_to_id":338,"start_date":"2017-09-12","description":"","custom_fields":[{"id":1,"name":"Subdivision","value":"EC"},{"id":4,"name":"Milepost","value":"23.3322"},{"id":17,"name":"Train ID","value":"207-12"},{"id":16,"name":"Locomotive ID","value":"4032"},{"id":130,"name":"Impact","value":""},{"id":150,"name":"Time of Event (Mountain Time)","value":"17:37:03"},{"id":151,"name":"Denver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4032 --day 2017-09-12</v>
      </c>
      <c r="AN118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773</v>
      </c>
      <c r="B119" s="7">
        <v>4031</v>
      </c>
      <c r="C119" s="21" t="s">
        <v>197</v>
      </c>
      <c r="D119" s="21" t="s">
        <v>481</v>
      </c>
      <c r="E119" s="13">
        <v>42990.73877314815</v>
      </c>
      <c r="F119" s="13">
        <v>42990.748055555552</v>
      </c>
      <c r="G119" s="7">
        <v>49</v>
      </c>
      <c r="H119" s="21" t="s">
        <v>410</v>
      </c>
      <c r="I119" s="13">
        <v>42990.773877314816</v>
      </c>
      <c r="J119" s="7">
        <v>0</v>
      </c>
      <c r="K119" s="89" t="str">
        <f>IF(ISEVEN(B119),(B119-1)&amp;"/"&amp;B119,B119&amp;"/"&amp;(B119+1))</f>
        <v>4031/4032</v>
      </c>
      <c r="L119" s="214" t="str">
        <f>VLOOKUP(A119,'Trips&amp;Operators'!$C$1:$G$99911,5,FALSE)</f>
        <v>LEVIN SCOTT</v>
      </c>
      <c r="M119" s="6">
        <f>I119-F119</f>
        <v>2.5821759263635613E-2</v>
      </c>
      <c r="N119" s="7">
        <f>24*60*SUM($M119:$M119)</f>
        <v>37.183333339635283</v>
      </c>
      <c r="O119" s="7"/>
      <c r="P119" s="7"/>
      <c r="Q119" s="22"/>
      <c r="R119" s="167"/>
      <c r="S119" s="210">
        <f>1/IF(AG119="EC",12,1)*SUM(U119:U119)</f>
        <v>1</v>
      </c>
      <c r="T119" s="192" t="str">
        <f>IF(ISEVEN(LEFT(AD119,4)),"Southbound","NorthBound")</f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-12T16:43:50-0600',mode:absolute,to:'2017-09-12T19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194" t="str">
        <f>IF(AA119&lt;VLOOKUP(AG119,Variables!$AC$3:$AD$8,2,FALSE),"Y","N")</f>
        <v>N</v>
      </c>
      <c r="X119" s="194">
        <f>VALUE(LEFT(AD119,4))-VALUE(LEFT(AD118,4))</f>
        <v>1</v>
      </c>
      <c r="Y119" s="194">
        <f>RIGHT(D119,LEN(D119)-4)/10000</f>
        <v>23.3003</v>
      </c>
      <c r="Z119" s="194">
        <f>RIGHT(H119,LEN(H119)-4)/10000</f>
        <v>1.3899999999999999E-2</v>
      </c>
      <c r="AA119" s="194">
        <f>ABS(Z119-Y119)</f>
        <v>23.2864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>VALUE(LEFT(A119,LEN(A119)-3))</f>
        <v>208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/stypes="app*4031*20170913*" /stext=" 00:.+((SYSTEM_STATE.+slice.+state.+changed )|(ment ac)|(multiple cpu faults)|(system.+state.+changed )|(\[timeout)|(PRM\|1\|D)|(kpr)|(kdp)|(train st.+moving)|(\|lc)|(penalty))"</v>
      </c>
      <c r="AG119" s="206" t="str">
        <f>DetSubdiv(A119)</f>
        <v>EC</v>
      </c>
      <c r="AH119" s="78" t="str">
        <f t="shared" si="8"/>
        <v>"%USERPROFILE%\Documents\GitHub\eaglep3\Utilities\RefineRTDCRunTimes.py" --tripid 208-12 --locoid 4031 --swversion DE.1.0.9.0 --startMP 204:233003 --initTime 2017-09-12T17:43:50 --startdatetime 2017-09-12T17:57:12 --delay 49 --endMP 204:139 --enddatetime 2017-09-12T18:34:23 --enforcementcount 0 &gt;&gt;C:\Users\stu\Documents\GitHub\eaglep3-reporting\EC\2017-09-12-refined-times.txt</v>
      </c>
      <c r="AI11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{"issue":{"subject":"","project_id":79,"tracker_id":40,"status_id":1,"priority_id":2,"assigned_to_id":338,"start_date":"2017-09-12","description":"","custom_fields":[{"id":1,"name":"Subdivision","value":"EC"},{"id":4,"name":"Milepost","value":"0.0139"},{"id":17,"name":"Train ID","value":"208-12"},{"id":16,"name":"Locomotive ID","value":"4031"},{"id":130,"name":"Impact","value":""},{"id":150,"name":"Time of Event (Mountain Time)","value":"18:34:23"},{"id":151,"name":"Denver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4031 --day 2017-09-12</v>
      </c>
      <c r="AN119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764</v>
      </c>
      <c r="B120" s="7">
        <v>4062</v>
      </c>
      <c r="C120" s="21" t="s">
        <v>197</v>
      </c>
      <c r="D120" s="21" t="s">
        <v>374</v>
      </c>
      <c r="E120" s="13">
        <v>42990.714432870373</v>
      </c>
      <c r="F120" s="13">
        <v>42990.718946759262</v>
      </c>
      <c r="G120" s="7">
        <v>97</v>
      </c>
      <c r="H120" s="21" t="s">
        <v>546</v>
      </c>
      <c r="I120" s="13">
        <v>42990.744780092595</v>
      </c>
      <c r="J120" s="7">
        <v>0</v>
      </c>
      <c r="K120" s="89" t="str">
        <f>IF(ISEVEN(B120),(B120-1)&amp;"/"&amp;B120,B120&amp;"/"&amp;(B120+1))</f>
        <v>4061/4062</v>
      </c>
      <c r="L120" s="214" t="str">
        <f>VLOOKUP(A120,'Trips&amp;Operators'!$C$1:$G$99911,5,FALSE)</f>
        <v>LEVERE CRAIG</v>
      </c>
      <c r="M120" s="6">
        <f>I120-F120</f>
        <v>2.5833333333139308E-2</v>
      </c>
      <c r="N120" s="7">
        <f>24*60*SUM($M120:$M120)</f>
        <v>37.199999999720603</v>
      </c>
      <c r="O120" s="7"/>
      <c r="P120" s="7"/>
      <c r="Q120" s="22"/>
      <c r="R120" s="167"/>
      <c r="S120" s="210">
        <f>1/IF(AG120="EC",12,1)*SUM(U120:U120)</f>
        <v>1</v>
      </c>
      <c r="T120" s="192" t="str">
        <f>IF(ISEVEN(LEFT(AD120,4)),"Southbound","NorthBound")</f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-12T16:08:47-0600',mode:absolute,to:'2017-09-12T18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0" s="194" t="str">
        <f>IF(AA120&lt;VLOOKUP(AG120,Variables!$AC$3:$AD$8,2,FALSE),"Y","N")</f>
        <v>N</v>
      </c>
      <c r="X120" s="194">
        <f>VALUE(LEFT(AD120,4))-VALUE(LEFT(AD119,4))</f>
        <v>1</v>
      </c>
      <c r="Y120" s="194">
        <f>RIGHT(D120,LEN(D120)-4)/10000</f>
        <v>4.6699999999999998E-2</v>
      </c>
      <c r="Z120" s="194">
        <f>RIGHT(H120,LEN(H120)-4)/10000</f>
        <v>23.333400000000001</v>
      </c>
      <c r="AA120" s="194">
        <f>ABS(Z120-Y120)</f>
        <v>23.2867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>VALUE(LEFT(A120,LEN(A120)-3))</f>
        <v>209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/stypes="app*4062*20170912*" /stext=" 23:.+((SYSTEM_STATE.+slice.+state.+changed )|(ment ac)|(multiple cpu faults)|(system.+state.+changed )|(\[timeout)|(PRM\|1\|D)|(kpr)|(kdp)|(train st.+moving)|(\|lc)|(penalty))"</v>
      </c>
      <c r="AG120" s="206" t="str">
        <f>DetSubdiv(A120)</f>
        <v>EC</v>
      </c>
      <c r="AH120" s="78" t="str">
        <f t="shared" si="8"/>
        <v>"%USERPROFILE%\Documents\GitHub\eaglep3\Utilities\RefineRTDCRunTimes.py" --tripid 209-12 --locoid 4062 --swversion DE.1.0.9.0 --startMP 204:467 --initTime 2017-09-12T17:08:47 --startdatetime 2017-09-12T17:15:17 --delay 97 --endMP 204:233334 --enddatetime 2017-09-12T17:52:29 --enforcementcount 0 &gt;&gt;C:\Users\stu\Documents\GitHub\eaglep3-reporting\EC\2017-09-12-refined-times.txt</v>
      </c>
      <c r="AI12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{"issue":{"subject":"","project_id":79,"tracker_id":40,"status_id":1,"priority_id":2,"assigned_to_id":338,"start_date":"2017-09-12","description":"","custom_fields":[{"id":1,"name":"Subdivision","value":"EC"},{"id":4,"name":"Milepost","value":"23.3334"},{"id":17,"name":"Train ID","value":"209-12"},{"id":16,"name":"Locomotive ID","value":"4062"},{"id":130,"name":"Impact","value":""},{"id":150,"name":"Time of Event (Mountain Time)","value":"17:52:29"},{"id":151,"name":"Denver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4062 --day 2017-09-12</v>
      </c>
      <c r="AN120" s="151" t="str">
        <f t="shared" si="11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779</v>
      </c>
      <c r="B121" s="7">
        <v>4061</v>
      </c>
      <c r="C121" s="21" t="s">
        <v>197</v>
      </c>
      <c r="D121" s="21" t="s">
        <v>830</v>
      </c>
      <c r="E121" s="13">
        <v>42990.754444444443</v>
      </c>
      <c r="F121" s="13">
        <v>42990.761030092595</v>
      </c>
      <c r="G121" s="7">
        <v>63</v>
      </c>
      <c r="H121" s="21" t="s">
        <v>360</v>
      </c>
      <c r="I121" s="13">
        <v>42990.788229166668</v>
      </c>
      <c r="J121" s="7">
        <v>0</v>
      </c>
      <c r="K121" s="89" t="str">
        <f>IF(ISEVEN(B121),(B121-1)&amp;"/"&amp;B121,B121&amp;"/"&amp;(B121+1))</f>
        <v>4061/4062</v>
      </c>
      <c r="L121" s="214" t="str">
        <f>VLOOKUP(A121,'Trips&amp;Operators'!$C$1:$G$99911,5,FALSE)</f>
        <v>LEVERE CRAIG</v>
      </c>
      <c r="M121" s="6">
        <f>I121-F121</f>
        <v>2.7199074072996154E-2</v>
      </c>
      <c r="N121" s="7">
        <f>24*60*SUM($M121:$M121)</f>
        <v>39.166666665114462</v>
      </c>
      <c r="O121" s="7"/>
      <c r="P121" s="7"/>
      <c r="Q121" s="22"/>
      <c r="R121" s="167"/>
      <c r="S121" s="210">
        <f>1/IF(AG121="EC",12,1)*SUM(U121:U121)</f>
        <v>1</v>
      </c>
      <c r="T121" s="192" t="str">
        <f>IF(ISEVEN(LEFT(AD121,4)),"Southbound","NorthBound")</f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-09-12T17:06:24-0600',mode:absolute,to:'2017-09-12T19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1" s="194" t="str">
        <f>IF(AA121&lt;VLOOKUP(AG121,Variables!$AC$3:$AD$8,2,FALSE),"Y","N")</f>
        <v>N</v>
      </c>
      <c r="X121" s="194">
        <f>VALUE(LEFT(AD121,4))-VALUE(LEFT(AD120,4))</f>
        <v>1</v>
      </c>
      <c r="Y121" s="194">
        <f>RIGHT(D121,LEN(D121)-4)/10000</f>
        <v>23.3017</v>
      </c>
      <c r="Z121" s="194">
        <f>RIGHT(H121,LEN(H121)-4)/10000</f>
        <v>1.52E-2</v>
      </c>
      <c r="AA121" s="194">
        <f>ABS(Z121-Y121)</f>
        <v>23.2865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>VALUE(LEFT(A121,LEN(A121)-3))</f>
        <v>210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/stypes="app*4061*20170913*" /stext=" 00:.+((SYSTEM_STATE.+slice.+state.+changed )|(ment ac)|(multiple cpu faults)|(system.+state.+changed )|(\[timeout)|(PRM\|1\|D)|(kpr)|(kdp)|(train st.+moving)|(\|lc)|(penalty))"</v>
      </c>
      <c r="AG121" s="206" t="str">
        <f>DetSubdiv(A121)</f>
        <v>EC</v>
      </c>
      <c r="AH121" s="78" t="str">
        <f t="shared" si="8"/>
        <v>"%USERPROFILE%\Documents\GitHub\eaglep3\Utilities\RefineRTDCRunTimes.py" --tripid 210-12 --locoid 4061 --swversion DE.1.0.9.0 --startMP 204:233017 --initTime 2017-09-12T18:06:24 --startdatetime 2017-09-12T18:15:53 --delay 63 --endMP 204:152 --enddatetime 2017-09-12T18:55:03 --enforcementcount 0 &gt;&gt;C:\Users\stu\Documents\GitHub\eaglep3-reporting\EC\2017-09-12-refined-times.txt</v>
      </c>
      <c r="AI12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{"issue":{"subject":"","project_id":79,"tracker_id":40,"status_id":1,"priority_id":2,"assigned_to_id":338,"start_date":"2017-09-12","description":"","custom_fields":[{"id":1,"name":"Subdivision","value":"EC"},{"id":4,"name":"Milepost","value":"0.0152"},{"id":17,"name":"Train ID","value":"210-12"},{"id":16,"name":"Locomotive ID","value":"4061"},{"id":130,"name":"Impact","value":""},{"id":150,"name":"Time of Event (Mountain Time)","value":"18:55:03"},{"id":151,"name":"Denver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4061 --day 2017-09-12</v>
      </c>
      <c r="AN121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769</v>
      </c>
      <c r="B122" s="7">
        <v>4012</v>
      </c>
      <c r="C122" s="21" t="s">
        <v>197</v>
      </c>
      <c r="D122" s="21" t="s">
        <v>362</v>
      </c>
      <c r="E122" s="13">
        <v>42990.726574074077</v>
      </c>
      <c r="F122" s="13">
        <v>42990.729560185187</v>
      </c>
      <c r="G122" s="7">
        <v>65</v>
      </c>
      <c r="H122" s="21" t="s">
        <v>552</v>
      </c>
      <c r="I122" s="13">
        <v>42990.755300925928</v>
      </c>
      <c r="J122" s="7">
        <v>0</v>
      </c>
      <c r="K122" s="89" t="str">
        <f>IF(ISEVEN(B122),(B122-1)&amp;"/"&amp;B122,B122&amp;"/"&amp;(B122+1))</f>
        <v>4011/4012</v>
      </c>
      <c r="L122" s="214" t="str">
        <f>VLOOKUP(A122,'Trips&amp;Operators'!$C$1:$G$99911,5,FALSE)</f>
        <v>SAFIEF AEIMEN</v>
      </c>
      <c r="M122" s="6">
        <f>I122-F122</f>
        <v>2.5740740740729962E-2</v>
      </c>
      <c r="N122" s="7">
        <f>24*60*SUM($M122:$M122)</f>
        <v>37.066666666651145</v>
      </c>
      <c r="O122" s="7"/>
      <c r="P122" s="7"/>
      <c r="Q122" s="22"/>
      <c r="R122" s="167"/>
      <c r="S122" s="210">
        <f>1/IF(AG122="EC",12,1)*SUM(U122:U122)</f>
        <v>1</v>
      </c>
      <c r="T122" s="192" t="str">
        <f>IF(ISEVEN(LEFT(AD122,4)),"Southbound","NorthBound")</f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-09-12T16:26:16-0600',mode:absolute,to:'2017-09-12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2" s="194" t="str">
        <f>IF(AA122&lt;VLOOKUP(AG122,Variables!$AC$3:$AD$8,2,FALSE),"Y","N")</f>
        <v>N</v>
      </c>
      <c r="X122" s="194">
        <f>VALUE(LEFT(AD122,4))-VALUE(LEFT(AD121,4))</f>
        <v>1</v>
      </c>
      <c r="Y122" s="194">
        <f>RIGHT(D122,LEN(D122)-4)/10000</f>
        <v>4.5699999999999998E-2</v>
      </c>
      <c r="Z122" s="194">
        <f>RIGHT(H122,LEN(H122)-4)/10000</f>
        <v>23.337399999999999</v>
      </c>
      <c r="AA122" s="194">
        <f>ABS(Z122-Y122)</f>
        <v>23.291699999999999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>VALUE(LEFT(A122,LEN(A122)-3))</f>
        <v>211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/stypes="app*4012*20170913*" /stext=" 00:.+((SYSTEM_STATE.+slice.+state.+changed )|(ment ac)|(multiple cpu faults)|(system.+state.+changed )|(\[timeout)|(PRM\|1\|D)|(kpr)|(kdp)|(train st.+moving)|(\|lc)|(penalty))"</v>
      </c>
      <c r="AG122" s="206" t="str">
        <f>DetSubdiv(A122)</f>
        <v>EC</v>
      </c>
      <c r="AH122" s="78" t="str">
        <f t="shared" si="8"/>
        <v>"%USERPROFILE%\Documents\GitHub\eaglep3\Utilities\RefineRTDCRunTimes.py" --tripid 211-12 --locoid 4012 --swversion DE.1.0.9.0 --startMP 204:457 --initTime 2017-09-12T17:26:16 --startdatetime 2017-09-12T17:30:34 --delay 65 --endMP 204:233374 --enddatetime 2017-09-12T18:07:38 --enforcementcount 0 &gt;&gt;C:\Users\stu\Documents\GitHub\eaglep3-reporting\EC\2017-09-12-refined-times.txt</v>
      </c>
      <c r="AI122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{"issue":{"subject":"","project_id":79,"tracker_id":40,"status_id":1,"priority_id":2,"assigned_to_id":338,"start_date":"2017-09-12","description":"","custom_fields":[{"id":1,"name":"Subdivision","value":"EC"},{"id":4,"name":"Milepost","value":"23.3374"},{"id":17,"name":"Train ID","value":"211-12"},{"id":16,"name":"Locomotive ID","value":"4012"},{"id":130,"name":"Impact","value":""},{"id":150,"name":"Time of Event (Mountain Time)","value":"18:07:38"},{"id":151,"name":"Denver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4012 --day 2017-09-12</v>
      </c>
      <c r="AN122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780</v>
      </c>
      <c r="B123" s="7">
        <v>4011</v>
      </c>
      <c r="C123" s="21" t="s">
        <v>197</v>
      </c>
      <c r="D123" s="21" t="s">
        <v>505</v>
      </c>
      <c r="E123" s="13">
        <v>42990.762731481482</v>
      </c>
      <c r="F123" s="13">
        <v>42990.769236111111</v>
      </c>
      <c r="G123" s="7">
        <v>81</v>
      </c>
      <c r="H123" s="21" t="s">
        <v>339</v>
      </c>
      <c r="I123" s="13">
        <v>42990.795486111114</v>
      </c>
      <c r="J123" s="7">
        <v>0</v>
      </c>
      <c r="K123" s="89" t="str">
        <f>IF(ISEVEN(B123),(B123-1)&amp;"/"&amp;B123,B123&amp;"/"&amp;(B123+1))</f>
        <v>4011/4012</v>
      </c>
      <c r="L123" s="214" t="str">
        <f>VLOOKUP(A123,'Trips&amp;Operators'!$C$1:$G$99911,5,FALSE)</f>
        <v>SAFIEF AEIMEN</v>
      </c>
      <c r="M123" s="6">
        <f>I123-F123</f>
        <v>2.6250000002619345E-2</v>
      </c>
      <c r="N123" s="7">
        <f>24*60*SUM($M123:$M123)</f>
        <v>37.800000003771856</v>
      </c>
      <c r="O123" s="7"/>
      <c r="P123" s="7"/>
      <c r="Q123" s="22"/>
      <c r="R123" s="167"/>
      <c r="S123" s="210">
        <f>1/IF(AG123="EC",12,1)*SUM(U123:U123)</f>
        <v>1</v>
      </c>
      <c r="T123" s="192" t="str">
        <f>IF(ISEVEN(LEFT(AD123,4)),"Southbound","NorthBound")</f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-09-12T17:18:20-0600',mode:absolute,to:'2017-09-12T20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3" s="194" t="str">
        <f>IF(AA123&lt;VLOOKUP(AG123,Variables!$AC$3:$AD$8,2,FALSE),"Y","N")</f>
        <v>N</v>
      </c>
      <c r="X123" s="194">
        <f>VALUE(LEFT(AD123,4))-VALUE(LEFT(AD122,4))</f>
        <v>1</v>
      </c>
      <c r="Y123" s="194">
        <f>RIGHT(D123,LEN(D123)-4)/10000</f>
        <v>23.302099999999999</v>
      </c>
      <c r="Z123" s="194">
        <f>RIGHT(H123,LEN(H123)-4)/10000</f>
        <v>1.49E-2</v>
      </c>
      <c r="AA123" s="194">
        <f>ABS(Z123-Y123)</f>
        <v>23.287199999999999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>VALUE(LEFT(A123,LEN(A123)-3))</f>
        <v>212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/stypes="app*4011*20170913*" /stext=" 01:.+((SYSTEM_STATE.+slice.+state.+changed )|(ment ac)|(multiple cpu faults)|(system.+state.+changed )|(\[timeout)|(PRM\|1\|D)|(kpr)|(kdp)|(train st.+moving)|(\|lc)|(penalty))"</v>
      </c>
      <c r="AG123" s="206" t="str">
        <f>DetSubdiv(A123)</f>
        <v>EC</v>
      </c>
      <c r="AH123" s="78" t="str">
        <f t="shared" si="8"/>
        <v>"%USERPROFILE%\Documents\GitHub\eaglep3\Utilities\RefineRTDCRunTimes.py" --tripid 212-12 --locoid 4011 --swversion DE.1.0.9.0 --startMP 204:233021 --initTime 2017-09-12T18:18:20 --startdatetime 2017-09-12T18:27:42 --delay 81 --endMP 204:149 --enddatetime 2017-09-12T19:05:30 --enforcementcount 0 &gt;&gt;C:\Users\stu\Documents\GitHub\eaglep3-reporting\EC\2017-09-12-refined-times.txt</v>
      </c>
      <c r="AI123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{"issue":{"subject":"","project_id":79,"tracker_id":40,"status_id":1,"priority_id":2,"assigned_to_id":338,"start_date":"2017-09-12","description":"","custom_fields":[{"id":1,"name":"Subdivision","value":"EC"},{"id":4,"name":"Milepost","value":"0.0149"},{"id":17,"name":"Train ID","value":"212-12"},{"id":16,"name":"Locomotive ID","value":"4011"},{"id":130,"name":"Impact","value":""},{"id":150,"name":"Time of Event (Mountain Time)","value":"19:05:30"},{"id":151,"name":"Denver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4011 --day 2017-09-12</v>
      </c>
      <c r="AN123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772</v>
      </c>
      <c r="B124" s="7">
        <v>4002</v>
      </c>
      <c r="C124" s="21" t="s">
        <v>197</v>
      </c>
      <c r="D124" s="21" t="s">
        <v>834</v>
      </c>
      <c r="E124" s="13">
        <v>42990.737164351849</v>
      </c>
      <c r="F124" s="13">
        <v>42990.740081018521</v>
      </c>
      <c r="G124" s="7">
        <v>77</v>
      </c>
      <c r="H124" s="21" t="s">
        <v>531</v>
      </c>
      <c r="I124" s="13">
        <v>42990.76666666667</v>
      </c>
      <c r="J124" s="7">
        <v>0</v>
      </c>
      <c r="K124" s="89" t="str">
        <f>IF(ISEVEN(B124),(B124-1)&amp;"/"&amp;B124,B124&amp;"/"&amp;(B124+1))</f>
        <v>4001/4002</v>
      </c>
      <c r="L124" s="214" t="str">
        <f>VLOOKUP(A124,'Trips&amp;Operators'!$C$1:$G$99911,5,FALSE)</f>
        <v>LOZA FIDEL</v>
      </c>
      <c r="M124" s="6">
        <f>I124-F124</f>
        <v>2.658564814919373E-2</v>
      </c>
      <c r="N124" s="7">
        <f>24*60*SUM($M124:$M124)</f>
        <v>38.283333334838971</v>
      </c>
      <c r="O124" s="7"/>
      <c r="P124" s="7"/>
      <c r="Q124" s="22"/>
      <c r="R124" s="167"/>
      <c r="S124" s="210">
        <f>1/IF(AG124="EC",12,1)*SUM(U124:U124)</f>
        <v>1</v>
      </c>
      <c r="T124" s="192" t="str">
        <f>IF(ISEVEN(LEFT(AD124,4)),"Southbound","NorthBound")</f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-09-12T16:41:31-0600',mode:absolute,to:'2017-09-12T19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94" t="str">
        <f>IF(AA124&lt;VLOOKUP(AG124,Variables!$AC$3:$AD$8,2,FALSE),"Y","N")</f>
        <v>N</v>
      </c>
      <c r="X124" s="194">
        <f>VALUE(LEFT(AD124,4))-VALUE(LEFT(AD123,4))</f>
        <v>1</v>
      </c>
      <c r="Y124" s="194">
        <f>RIGHT(D124,LEN(D124)-4)/10000</f>
        <v>4.4699999999999997E-2</v>
      </c>
      <c r="Z124" s="194">
        <f>RIGHT(H124,LEN(H124)-4)/10000</f>
        <v>23.331499999999998</v>
      </c>
      <c r="AA124" s="194">
        <f>ABS(Z124-Y124)</f>
        <v>23.286799999999999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>VALUE(LEFT(A124,LEN(A124)-3))</f>
        <v>213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/stypes="app*4002*20170913*" /stext=" 00:.+((SYSTEM_STATE.+slice.+state.+changed )|(ment ac)|(multiple cpu faults)|(system.+state.+changed )|(\[timeout)|(PRM\|1\|D)|(kpr)|(kdp)|(train st.+moving)|(\|lc)|(penalty))"</v>
      </c>
      <c r="AG124" s="206" t="str">
        <f>DetSubdiv(A124)</f>
        <v>EC</v>
      </c>
      <c r="AH124" s="78" t="str">
        <f t="shared" si="8"/>
        <v>"%USERPROFILE%\Documents\GitHub\eaglep3\Utilities\RefineRTDCRunTimes.py" --tripid 213-12 --locoid 4002 --swversion DE.1.0.9.0 --startMP 204:447 --initTime 2017-09-12T17:41:31 --startdatetime 2017-09-12T17:45:43 --delay 77 --endMP 204:233315 --enddatetime 2017-09-12T18:24:00 --enforcementcount 0 &gt;&gt;C:\Users\stu\Documents\GitHub\eaglep3-reporting\EC\2017-09-12-refined-times.txt</v>
      </c>
      <c r="AI124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{"issue":{"subject":"","project_id":79,"tracker_id":40,"status_id":1,"priority_id":2,"assigned_to_id":338,"start_date":"2017-09-12","description":"","custom_fields":[{"id":1,"name":"Subdivision","value":"EC"},{"id":4,"name":"Milepost","value":"23.3315"},{"id":17,"name":"Train ID","value":"213-12"},{"id":16,"name":"Locomotive ID","value":"4002"},{"id":130,"name":"Impact","value":""},{"id":150,"name":"Time of Event (Mountain Time)","value":"18:24:00"},{"id":151,"name":"Denver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4002 --day 2017-09-12</v>
      </c>
      <c r="AN124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785</v>
      </c>
      <c r="B125" s="7">
        <v>4001</v>
      </c>
      <c r="C125" s="21" t="s">
        <v>197</v>
      </c>
      <c r="D125" s="21" t="s">
        <v>409</v>
      </c>
      <c r="E125" s="13">
        <v>42990.776805555557</v>
      </c>
      <c r="F125" s="13">
        <v>42990.779421296298</v>
      </c>
      <c r="G125" s="7">
        <v>108</v>
      </c>
      <c r="H125" s="21" t="s">
        <v>527</v>
      </c>
      <c r="I125" s="13">
        <v>42990.804537037038</v>
      </c>
      <c r="J125" s="7">
        <v>0</v>
      </c>
      <c r="K125" s="89" t="str">
        <f>IF(ISEVEN(B125),(B125-1)&amp;"/"&amp;B125,B125&amp;"/"&amp;(B125+1))</f>
        <v>4001/4002</v>
      </c>
      <c r="L125" s="214" t="str">
        <f>VLOOKUP(A125,'Trips&amp;Operators'!$C$1:$G$99911,5,FALSE)</f>
        <v>LOZA FIDEL</v>
      </c>
      <c r="M125" s="6">
        <f>I125-F125</f>
        <v>2.5115740740147885E-2</v>
      </c>
      <c r="N125" s="7">
        <f>24*60*SUM($M125:$M125)</f>
        <v>36.166666665812954</v>
      </c>
      <c r="O125" s="7"/>
      <c r="P125" s="7"/>
      <c r="Q125" s="22"/>
      <c r="R125" s="167"/>
      <c r="S125" s="210">
        <f>1/IF(AG125="EC",12,1)*SUM(U125:U125)</f>
        <v>1</v>
      </c>
      <c r="T125" s="192" t="str">
        <f>IF(ISEVEN(LEFT(AD125,4)),"Southbound","NorthBound")</f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-09-12T17:38:36-0600',mode:absolute,to:'2017-09-12T20:18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94" t="str">
        <f>IF(AA125&lt;VLOOKUP(AG125,Variables!$AC$3:$AD$8,2,FALSE),"Y","N")</f>
        <v>N</v>
      </c>
      <c r="X125" s="194">
        <f>VALUE(LEFT(AD125,4))-VALUE(LEFT(AD124,4))</f>
        <v>1</v>
      </c>
      <c r="Y125" s="194">
        <f>RIGHT(D125,LEN(D125)-4)/10000</f>
        <v>23.3</v>
      </c>
      <c r="Z125" s="194">
        <f>RIGHT(H125,LEN(H125)-4)/10000</f>
        <v>1.54E-2</v>
      </c>
      <c r="AA125" s="194">
        <f>ABS(Z125-Y125)</f>
        <v>23.284600000000001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3">
        <f>VALUE(LEFT(A125,LEN(A125)-3))</f>
        <v>214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/stypes="app*4001*20170913*" /stext=" 01:.+((SYSTEM_STATE.+slice.+state.+changed )|(ment ac)|(multiple cpu faults)|(system.+state.+changed )|(\[timeout)|(PRM\|1\|D)|(kpr)|(kdp)|(train st.+moving)|(\|lc)|(penalty))"</v>
      </c>
      <c r="AG125" s="206" t="str">
        <f>DetSubdiv(A125)</f>
        <v>EC</v>
      </c>
      <c r="AH125" s="78" t="str">
        <f t="shared" si="8"/>
        <v>"%USERPROFILE%\Documents\GitHub\eaglep3\Utilities\RefineRTDCRunTimes.py" --tripid 214-12 --locoid 4001 --swversion DE.1.0.9.0 --startMP 204:233000 --initTime 2017-09-12T18:38:36 --startdatetime 2017-09-12T18:42:22 --delay 108 --endMP 204:154 --enddatetime 2017-09-12T19:18:32 --enforcementcount 0 &gt;&gt;C:\Users\stu\Documents\GitHub\eaglep3-reporting\EC\2017-09-12-refined-times.txt</v>
      </c>
      <c r="AI125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ID","value":"214-12"},{"id":16,"name":"Locomotive ID","value":"4001"},{"id":130,"name":"Impact","value":""},{"id":150,"name":"Time of Event (Mountain Time)","value":"19:18:32"},{"id":151,"name":"Denver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4001 --day 2017-09-12</v>
      </c>
      <c r="AN125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01:18:32"},{"id":29,"name":"Sharepoint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775</v>
      </c>
      <c r="B126" s="7">
        <v>4034</v>
      </c>
      <c r="C126" s="21" t="s">
        <v>197</v>
      </c>
      <c r="D126" s="21" t="s">
        <v>477</v>
      </c>
      <c r="E126" s="13">
        <v>42990.744652777779</v>
      </c>
      <c r="F126" s="13">
        <v>42990.750219907408</v>
      </c>
      <c r="G126" s="7">
        <v>80</v>
      </c>
      <c r="H126" s="21" t="s">
        <v>395</v>
      </c>
      <c r="I126" s="13">
        <v>42990.776053240741</v>
      </c>
      <c r="J126" s="7">
        <v>0</v>
      </c>
      <c r="K126" s="89" t="str">
        <f>IF(ISEVEN(B126),(B126-1)&amp;"/"&amp;B126,B126&amp;"/"&amp;(B126+1))</f>
        <v>4033/4034</v>
      </c>
      <c r="L126" s="214" t="str">
        <f>VLOOKUP(A126,'Trips&amp;Operators'!$C$1:$G$99911,5,FALSE)</f>
        <v>SMITH MICHAEL</v>
      </c>
      <c r="M126" s="6">
        <f>I126-F126</f>
        <v>2.5833333333139308E-2</v>
      </c>
      <c r="N126" s="7">
        <f>24*60*SUM($M126:$M126)</f>
        <v>37.199999999720603</v>
      </c>
      <c r="O126" s="7"/>
      <c r="P126" s="7"/>
      <c r="Q126" s="22"/>
      <c r="R126" s="167"/>
      <c r="S126" s="210">
        <f>1/IF(AG126="EC",12,1)*SUM(U126:U126)</f>
        <v>1</v>
      </c>
      <c r="T126" s="192" t="str">
        <f>IF(ISEVEN(LEFT(AD126,4)),"Southbound","NorthBound")</f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-09-12T16:52:18-0600',mode:absolute,to:'2017-09-12T19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6" s="194" t="str">
        <f>IF(AA126&lt;VLOOKUP(AG126,Variables!$AC$3:$AD$8,2,FALSE),"Y","N")</f>
        <v>N</v>
      </c>
      <c r="X126" s="194">
        <f>VALUE(LEFT(AD126,4))-VALUE(LEFT(AD125,4))</f>
        <v>1</v>
      </c>
      <c r="Y126" s="194">
        <f>RIGHT(D126,LEN(D126)-4)/10000</f>
        <v>4.7100000000000003E-2</v>
      </c>
      <c r="Z126" s="194">
        <f>RIGHT(H126,LEN(H126)-4)/10000</f>
        <v>23.331399999999999</v>
      </c>
      <c r="AA126" s="194">
        <f>ABS(Z126-Y126)</f>
        <v>23.284299999999998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>VALUE(LEFT(A126,LEN(A126)-3))</f>
        <v>215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/stypes="app*4034*20170913*" /stext=" 00:.+((SYSTEM_STATE.+slice.+state.+changed )|(ment ac)|(multiple cpu faults)|(system.+state.+changed )|(\[timeout)|(PRM\|1\|D)|(kpr)|(kdp)|(train st.+moving)|(\|lc)|(penalty))"</v>
      </c>
      <c r="AG126" s="206" t="str">
        <f>DetSubdiv(A126)</f>
        <v>EC</v>
      </c>
      <c r="AH126" s="78" t="str">
        <f t="shared" si="8"/>
        <v>"%USERPROFILE%\Documents\GitHub\eaglep3\Utilities\RefineRTDCRunTimes.py" --tripid 215-12 --locoid 4034 --swversion DE.1.0.9.0 --startMP 204:471 --initTime 2017-09-12T17:52:18 --startdatetime 2017-09-12T18:00:19 --delay 80 --endMP 204:233314 --enddatetime 2017-09-12T18:37:31 --enforcementcount 0 &gt;&gt;C:\Users\stu\Documents\GitHub\eaglep3-reporting\EC\2017-09-12-refined-times.txt</v>
      </c>
      <c r="AI126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{"issue":{"subject":"","project_id":79,"tracker_id":40,"status_id":1,"priority_id":2,"assigned_to_id":338,"start_date":"2017-09-12","description":"","custom_fields":[{"id":1,"name":"Subdivision","value":"EC"},{"id":4,"name":"Milepost","value":"23.3314"},{"id":17,"name":"Train ID","value":"215-12"},{"id":16,"name":"Locomotive ID","value":"4034"},{"id":130,"name":"Impact","value":""},{"id":150,"name":"Time of Event (Mountain Time)","value":"18:37:31"},{"id":151,"name":"Denver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4034 --day 2017-09-12</v>
      </c>
      <c r="AN126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786</v>
      </c>
      <c r="B127" s="7">
        <v>4033</v>
      </c>
      <c r="C127" s="21" t="s">
        <v>197</v>
      </c>
      <c r="D127" s="21" t="s">
        <v>379</v>
      </c>
      <c r="E127" s="13">
        <v>42990.78434027778</v>
      </c>
      <c r="F127" s="13">
        <v>42990.789837962962</v>
      </c>
      <c r="G127" s="7">
        <v>57</v>
      </c>
      <c r="H127" s="21" t="s">
        <v>360</v>
      </c>
      <c r="I127" s="13">
        <v>42990.815034722225</v>
      </c>
      <c r="J127" s="7">
        <v>0</v>
      </c>
      <c r="K127" s="89" t="str">
        <f>IF(ISEVEN(B127),(B127-1)&amp;"/"&amp;B127,B127&amp;"/"&amp;(B127+1))</f>
        <v>4033/4034</v>
      </c>
      <c r="L127" s="214" t="str">
        <f>VLOOKUP(A127,'Trips&amp;Operators'!$C$1:$G$99911,5,FALSE)</f>
        <v>SMITH MICHAEL</v>
      </c>
      <c r="M127" s="6">
        <f>I127-F127</f>
        <v>2.5196759263053536E-2</v>
      </c>
      <c r="N127" s="7">
        <f>24*60*SUM($M127:$M127)</f>
        <v>36.283333338797092</v>
      </c>
      <c r="O127" s="7"/>
      <c r="P127" s="7"/>
      <c r="Q127" s="22"/>
      <c r="R127" s="167"/>
      <c r="S127" s="210">
        <f>1/IF(AG127="EC",12,1)*SUM(U127:U127)</f>
        <v>1</v>
      </c>
      <c r="T127" s="192" t="str">
        <f>IF(ISEVEN(LEFT(AD127,4)),"Southbound","NorthBound")</f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-12T17:49:27-0600',mode:absolute,to:'2017-09-12T20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7" s="194" t="str">
        <f>IF(AA127&lt;VLOOKUP(AG127,Variables!$AC$3:$AD$8,2,FALSE),"Y","N")</f>
        <v>N</v>
      </c>
      <c r="X127" s="194">
        <f>VALUE(LEFT(AD127,4))-VALUE(LEFT(AD126,4))</f>
        <v>1</v>
      </c>
      <c r="Y127" s="194">
        <f>RIGHT(D127,LEN(D127)-4)/10000</f>
        <v>23.297699999999999</v>
      </c>
      <c r="Z127" s="194">
        <f>RIGHT(H127,LEN(H127)-4)/10000</f>
        <v>1.52E-2</v>
      </c>
      <c r="AA127" s="194">
        <f>ABS(Z127-Y127)</f>
        <v>23.282499999999999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>VALUE(LEFT(A127,LEN(A127)-3))</f>
        <v>216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/stypes="app*4033*20170913*" /stext=" 01:.+((SYSTEM_STATE.+slice.+state.+changed )|(ment ac)|(multiple cpu faults)|(system.+state.+changed )|(\[timeout)|(PRM\|1\|D)|(kpr)|(kdp)|(train st.+moving)|(\|lc)|(penalty))"</v>
      </c>
      <c r="AG127" s="206" t="str">
        <f>DetSubdiv(A127)</f>
        <v>EC</v>
      </c>
      <c r="AH127" s="78" t="str">
        <f t="shared" si="8"/>
        <v>"%USERPROFILE%\Documents\GitHub\eaglep3\Utilities\RefineRTDCRunTimes.py" --tripid 216-12 --locoid 4033 --swversion DE.1.0.9.0 --startMP 204:232977 --initTime 2017-09-12T18:49:27 --startdatetime 2017-09-12T18:57:22 --delay 57 --endMP 204:152 --enddatetime 2017-09-12T19:33:39 --enforcementcount 0 &gt;&gt;C:\Users\stu\Documents\GitHub\eaglep3-reporting\EC\2017-09-12-refined-times.txt</v>
      </c>
      <c r="AI127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{"issue":{"subject":"","project_id":79,"tracker_id":40,"status_id":1,"priority_id":2,"assigned_to_id":338,"start_date":"2017-09-12","description":"","custom_fields":[{"id":1,"name":"Subdivision","value":"EC"},{"id":4,"name":"Milepost","value":"0.0152"},{"id":17,"name":"Train ID","value":"216-12"},{"id":16,"name":"Locomotive ID","value":"4033"},{"id":130,"name":"Impact","value":""},{"id":150,"name":"Time of Event (Mountain Time)","value":"19:33:39"},{"id":151,"name":"Denver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4033 --day 2017-09-12</v>
      </c>
      <c r="AN127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778</v>
      </c>
      <c r="B128" s="7">
        <v>4058</v>
      </c>
      <c r="C128" s="21" t="s">
        <v>197</v>
      </c>
      <c r="D128" s="21" t="s">
        <v>863</v>
      </c>
      <c r="E128" s="13">
        <v>42990.754166666666</v>
      </c>
      <c r="F128" s="13">
        <v>42990.760648148149</v>
      </c>
      <c r="G128" s="7">
        <v>76</v>
      </c>
      <c r="H128" s="21" t="s">
        <v>867</v>
      </c>
      <c r="I128" s="13">
        <v>42990.786053240743</v>
      </c>
      <c r="J128" s="7">
        <v>0</v>
      </c>
      <c r="K128" s="89" t="str">
        <f>IF(ISEVEN(B128),(B128-1)&amp;"/"&amp;B128,B128&amp;"/"&amp;(B128+1))</f>
        <v>4057/4058</v>
      </c>
      <c r="L128" s="214" t="str">
        <f>VLOOKUP(A128,'Trips&amp;Operators'!$C$1:$G$99911,5,FALSE)</f>
        <v>ZEWDU DEREJE</v>
      </c>
      <c r="M128" s="6">
        <f>I128-F128</f>
        <v>2.5405092594155576E-2</v>
      </c>
      <c r="N128" s="7">
        <f>24*60*SUM($M128:$M128)</f>
        <v>36.58333333558403</v>
      </c>
      <c r="O128" s="7"/>
      <c r="P128" s="7"/>
      <c r="Q128" s="22"/>
      <c r="R128" s="167"/>
      <c r="S128" s="210">
        <f>1/IF(AG128="EC",12,1)*SUM(U128:U128)</f>
        <v>1</v>
      </c>
      <c r="T128" s="192" t="str">
        <f>IF(ISEVEN(LEFT(AD128,4)),"Southbound","NorthBound")</f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-09-12T17:06:00-0600',mode:absolute,to:'2017-09-12T19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8" s="194" t="str">
        <f>IF(AA128&lt;VLOOKUP(AG128,Variables!$AC$3:$AD$8,2,FALSE),"Y","N")</f>
        <v>N</v>
      </c>
      <c r="X128" s="194">
        <f>VALUE(LEFT(AD128,4))-VALUE(LEFT(AD127,4))</f>
        <v>1</v>
      </c>
      <c r="Y128" s="194">
        <f>RIGHT(D128,LEN(D128)-4)/10000</f>
        <v>4.3799999999999999E-2</v>
      </c>
      <c r="Z128" s="194">
        <f>RIGHT(H128,LEN(H128)-4)/10000</f>
        <v>23.331900000000001</v>
      </c>
      <c r="AA128" s="194">
        <f>ABS(Z128-Y128)</f>
        <v>23.2881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>VALUE(LEFT(A128,LEN(A128)-3))</f>
        <v>217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/stypes="app*4058*20170913*" /stext=" 00:.+((SYSTEM_STATE.+slice.+state.+changed )|(ment ac)|(multiple cpu faults)|(system.+state.+changed )|(\[timeout)|(PRM\|1\|D)|(kpr)|(kdp)|(train st.+moving)|(\|lc)|(penalty))"</v>
      </c>
      <c r="AG128" s="206" t="str">
        <f>DetSubdiv(A128)</f>
        <v>EC</v>
      </c>
      <c r="AH128" s="78" t="str">
        <f t="shared" si="8"/>
        <v>"%USERPROFILE%\Documents\GitHub\eaglep3\Utilities\RefineRTDCRunTimes.py" --tripid 217-12 --locoid 4058 --swversion DE.1.0.9.0 --startMP 204:438 --initTime 2017-09-12T18:06:00 --startdatetime 2017-09-12T18:15:20 --delay 76 --endMP 204:233319 --enddatetime 2017-09-12T18:51:55 --enforcementcount 0 &gt;&gt;C:\Users\stu\Documents\GitHub\eaglep3-reporting\EC\2017-09-12-refined-times.txt</v>
      </c>
      <c r="AI128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{"issue":{"subject":"","project_id":79,"tracker_id":40,"status_id":1,"priority_id":2,"assigned_to_id":338,"start_date":"2017-09-12","description":"","custom_fields":[{"id":1,"name":"Subdivision","value":"EC"},{"id":4,"name":"Milepost","value":"23.3319"},{"id":17,"name":"Train ID","value":"217-12"},{"id":16,"name":"Locomotive ID","value":"4058"},{"id":130,"name":"Impact","value":""},{"id":150,"name":"Time of Event (Mountain Time)","value":"18:51:55"},{"id":151,"name":"Denver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4058 --day 2017-09-12</v>
      </c>
      <c r="AN128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789</v>
      </c>
      <c r="B129" s="7">
        <v>4057</v>
      </c>
      <c r="C129" s="21" t="s">
        <v>197</v>
      </c>
      <c r="D129" s="21" t="s">
        <v>868</v>
      </c>
      <c r="E129" s="13">
        <v>42990.795567129629</v>
      </c>
      <c r="F129" s="13">
        <v>42990.800243055557</v>
      </c>
      <c r="G129" s="7">
        <v>71</v>
      </c>
      <c r="H129" s="21" t="s">
        <v>444</v>
      </c>
      <c r="I129" s="13">
        <v>42990.826655092591</v>
      </c>
      <c r="J129" s="7">
        <v>0</v>
      </c>
      <c r="K129" s="89" t="str">
        <f>IF(ISEVEN(B129),(B129-1)&amp;"/"&amp;B129,B129&amp;"/"&amp;(B129+1))</f>
        <v>4057/4058</v>
      </c>
      <c r="L129" s="214" t="str">
        <f>VLOOKUP(A129,'Trips&amp;Operators'!$C$1:$G$99911,5,FALSE)</f>
        <v>ZEWDU DEREJE</v>
      </c>
      <c r="M129" s="6">
        <f>I129-F129</f>
        <v>2.6412037033878732E-2</v>
      </c>
      <c r="N129" s="7">
        <f>24*60*SUM($M129:$M129)</f>
        <v>38.033333328785375</v>
      </c>
      <c r="O129" s="7"/>
      <c r="P129" s="7"/>
      <c r="Q129" s="22"/>
      <c r="R129" s="167"/>
      <c r="S129" s="210">
        <f>1/IF(AG129="EC",12,1)*SUM(U129:U129)</f>
        <v>1</v>
      </c>
      <c r="T129" s="192" t="str">
        <f>IF(ISEVEN(LEFT(AD129,4)),"Southbound","NorthBound")</f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-12T18:05:37-0600',mode:absolute,to:'2017-09-12T20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9" s="194" t="str">
        <f>IF(AA129&lt;VLOOKUP(AG129,Variables!$AC$3:$AD$8,2,FALSE),"Y","N")</f>
        <v>N</v>
      </c>
      <c r="X129" s="194">
        <f>VALUE(LEFT(AD129,4))-VALUE(LEFT(AD128,4))</f>
        <v>1</v>
      </c>
      <c r="Y129" s="194">
        <f>RIGHT(D129,LEN(D129)-4)/10000</f>
        <v>23.299099999999999</v>
      </c>
      <c r="Z129" s="194">
        <f>RIGHT(H129,LEN(H129)-4)/10000</f>
        <v>1.6299999999999999E-2</v>
      </c>
      <c r="AA129" s="194">
        <f>ABS(Z129-Y129)</f>
        <v>23.282799999999998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>VALUE(LEFT(A129,LEN(A129)-3))</f>
        <v>218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/stypes="app*4057*20170913*" /stext=" 01:.+((SYSTEM_STATE.+slice.+state.+changed )|(ment ac)|(multiple cpu faults)|(system.+state.+changed )|(\[timeout)|(PRM\|1\|D)|(kpr)|(kdp)|(train st.+moving)|(\|lc)|(penalty))"</v>
      </c>
      <c r="AG129" s="206" t="str">
        <f>DetSubdiv(A129)</f>
        <v>EC</v>
      </c>
      <c r="AH129" s="78" t="str">
        <f t="shared" si="8"/>
        <v>"%USERPROFILE%\Documents\GitHub\eaglep3\Utilities\RefineRTDCRunTimes.py" --tripid 218-12 --locoid 4057 --swversion DE.1.0.9.0 --startMP 204:232991 --initTime 2017-09-12T19:05:37 --startdatetime 2017-09-12T19:12:21 --delay 71 --endMP 204:163 --enddatetime 2017-09-12T19:50:23 --enforcementcount 0 &gt;&gt;C:\Users\stu\Documents\GitHub\eaglep3-reporting\EC\2017-09-12-refined-times.txt</v>
      </c>
      <c r="AI12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{"issue":{"subject":"","project_id":79,"tracker_id":40,"status_id":1,"priority_id":2,"assigned_to_id":338,"start_date":"2017-09-12","description":"","custom_fields":[{"id":1,"name":"Subdivision","value":"EC"},{"id":4,"name":"Milepost","value":"0.0163"},{"id":17,"name":"Train ID","value":"218-12"},{"id":16,"name":"Locomotive ID","value":"4057"},{"id":130,"name":"Impact","value":""},{"id":150,"name":"Time of Event (Mountain Time)","value":"19:50:23"},{"id":151,"name":"Denver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0"/>
        <v>start /low /b %USERPROFILE%\Documents\GitHub\eaglep3\Utilities\DownloadLogsFromS3.py --loco 4057 --day 2017-09-12</v>
      </c>
      <c r="AN129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781</v>
      </c>
      <c r="B130" s="7">
        <v>4030</v>
      </c>
      <c r="C130" s="21" t="s">
        <v>197</v>
      </c>
      <c r="D130" s="21" t="s">
        <v>544</v>
      </c>
      <c r="E130" s="13">
        <v>42990.765902777777</v>
      </c>
      <c r="F130" s="13">
        <v>42990.771006944444</v>
      </c>
      <c r="G130" s="7">
        <v>76</v>
      </c>
      <c r="H130" s="21" t="s">
        <v>534</v>
      </c>
      <c r="I130" s="13">
        <v>42990.795775462961</v>
      </c>
      <c r="J130" s="7">
        <v>0</v>
      </c>
      <c r="K130" s="89" t="str">
        <f>IF(ISEVEN(B130),(B130-1)&amp;"/"&amp;B130,B130&amp;"/"&amp;(B130+1))</f>
        <v>4029/4030</v>
      </c>
      <c r="L130" s="214" t="str">
        <f>VLOOKUP(A130,'Trips&amp;Operators'!$C$1:$G$99911,5,FALSE)</f>
        <v>HART KEVIN</v>
      </c>
      <c r="M130" s="6">
        <f>I130-F130</f>
        <v>2.4768518516793847E-2</v>
      </c>
      <c r="N130" s="7">
        <f>24*60*SUM($M130:$M130)</f>
        <v>35.66666666418314</v>
      </c>
      <c r="O130" s="7"/>
      <c r="P130" s="7"/>
      <c r="Q130" s="22"/>
      <c r="R130" s="167"/>
      <c r="S130" s="210">
        <f>1/IF(AG130="EC",12,1)*SUM(U130:U130)</f>
        <v>1</v>
      </c>
      <c r="T130" s="192" t="str">
        <f>IF(ISEVEN(LEFT(AD130,4)),"Southbound","NorthBound")</f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-12T17:22:54-0600',mode:absolute,to:'2017-09-12T20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94" t="str">
        <f>IF(AA130&lt;VLOOKUP(AG130,Variables!$AC$3:$AD$8,2,FALSE),"Y","N")</f>
        <v>N</v>
      </c>
      <c r="X130" s="194">
        <f>VALUE(LEFT(AD130,4))-VALUE(LEFT(AD129,4))</f>
        <v>1</v>
      </c>
      <c r="Y130" s="194">
        <f>RIGHT(D130,LEN(D130)-4)/10000</f>
        <v>4.6600000000000003E-2</v>
      </c>
      <c r="Z130" s="194">
        <f>RIGHT(H130,LEN(H130)-4)/10000</f>
        <v>23.330100000000002</v>
      </c>
      <c r="AA130" s="194">
        <f>ABS(Z130-Y130)</f>
        <v>23.2835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>VALUE(LEFT(A130,LEN(A130)-3))</f>
        <v>219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/stypes="app*4030*20170913*" /stext=" 01:.+((SYSTEM_STATE.+slice.+state.+changed )|(ment ac)|(multiple cpu faults)|(system.+state.+changed )|(\[timeout)|(PRM\|1\|D)|(kpr)|(kdp)|(train st.+moving)|(\|lc)|(penalty))"</v>
      </c>
      <c r="AG130" s="206" t="str">
        <f>DetSubdiv(A130)</f>
        <v>EC</v>
      </c>
      <c r="AH130" s="78" t="str">
        <f t="shared" si="8"/>
        <v>"%USERPROFILE%\Documents\GitHub\eaglep3\Utilities\RefineRTDCRunTimes.py" --tripid 219-12 --locoid 4030 --swversion DE.1.0.9.0 --startMP 204:466 --initTime 2017-09-12T18:22:54 --startdatetime 2017-09-12T18:30:15 --delay 76 --endMP 204:233301 --enddatetime 2017-09-12T19:05:55 --enforcementcount 0 &gt;&gt;C:\Users\stu\Documents\GitHub\eaglep3-reporting\EC\2017-09-12-refined-times.txt</v>
      </c>
      <c r="AI13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{"issue":{"subject":"","project_id":79,"tracker_id":40,"status_id":1,"priority_id":2,"assigned_to_id":338,"start_date":"2017-09-12","description":"","custom_fields":[{"id":1,"name":"Subdivision","value":"EC"},{"id":4,"name":"Milepost","value":"23.3301"},{"id":17,"name":"Train ID","value":"219-12"},{"id":16,"name":"Locomotive ID","value":"4030"},{"id":130,"name":"Impact","value":""},{"id":150,"name":"Time of Event (Mountain Time)","value":"19:05:55"},{"id":151,"name":"Denver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4030 --day 2017-09-12</v>
      </c>
      <c r="AN130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791</v>
      </c>
      <c r="B131" s="7">
        <v>4029</v>
      </c>
      <c r="C131" s="21" t="s">
        <v>197</v>
      </c>
      <c r="D131" s="21" t="s">
        <v>480</v>
      </c>
      <c r="E131" s="13">
        <v>42990.806585648148</v>
      </c>
      <c r="F131" s="13">
        <v>42990.810590277775</v>
      </c>
      <c r="G131" s="7">
        <v>64</v>
      </c>
      <c r="H131" s="21" t="s">
        <v>367</v>
      </c>
      <c r="I131" s="13">
        <v>42990.836435185185</v>
      </c>
      <c r="J131" s="7">
        <v>0</v>
      </c>
      <c r="K131" s="89" t="str">
        <f>IF(ISEVEN(B131),(B131-1)&amp;"/"&amp;B131,B131&amp;"/"&amp;(B131+1))</f>
        <v>4029/4030</v>
      </c>
      <c r="L131" s="214" t="str">
        <f>VLOOKUP(A131,'Trips&amp;Operators'!$C$1:$G$99911,5,FALSE)</f>
        <v>HART KEVIN</v>
      </c>
      <c r="M131" s="6">
        <f>I131-F131</f>
        <v>2.584490740991896E-2</v>
      </c>
      <c r="N131" s="7">
        <f>24*60*SUM($M131:$M131)</f>
        <v>37.216666670283303</v>
      </c>
      <c r="O131" s="7"/>
      <c r="P131" s="7"/>
      <c r="Q131" s="22"/>
      <c r="R131" s="167"/>
      <c r="S131" s="210">
        <f>1/IF(AG131="EC",12,1)*SUM(U131:U131)</f>
        <v>1</v>
      </c>
      <c r="T131" s="192" t="str">
        <f>IF(ISEVEN(LEFT(AD131,4)),"Southbound","NorthBound")</f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-12T18:21:29-0600',mode:absolute,to:'2017-09-12T21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94" t="str">
        <f>IF(AA131&lt;VLOOKUP(AG131,Variables!$AC$3:$AD$8,2,FALSE),"Y","N")</f>
        <v>N</v>
      </c>
      <c r="X131" s="194">
        <f>VALUE(LEFT(AD131,4))-VALUE(LEFT(AD130,4))</f>
        <v>1</v>
      </c>
      <c r="Y131" s="194">
        <f>RIGHT(D131,LEN(D131)-4)/10000</f>
        <v>23.299800000000001</v>
      </c>
      <c r="Z131" s="194">
        <f>RIGHT(H131,LEN(H131)-4)/10000</f>
        <v>1.4500000000000001E-2</v>
      </c>
      <c r="AA131" s="194">
        <f>ABS(Z131-Y131)</f>
        <v>23.285299999999999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>VALUE(LEFT(A131,LEN(A131)-3))</f>
        <v>220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/stypes="app*4029*20170913*" /stext=" 02:.+((SYSTEM_STATE.+slice.+state.+changed )|(ment ac)|(multiple cpu faults)|(system.+state.+changed )|(\[timeout)|(PRM\|1\|D)|(kpr)|(kdp)|(train st.+moving)|(\|lc)|(penalty))"</v>
      </c>
      <c r="AG131" s="206" t="str">
        <f>DetSubdiv(A131)</f>
        <v>EC</v>
      </c>
      <c r="AH131" s="78" t="str">
        <f t="shared" si="8"/>
        <v>"%USERPROFILE%\Documents\GitHub\eaglep3\Utilities\RefineRTDCRunTimes.py" --tripid 220-12 --locoid 4029 --swversion DE.1.0.9.0 --startMP 204:232998 --initTime 2017-09-12T19:21:29 --startdatetime 2017-09-12T19:27:15 --delay 64 --endMP 204:145 --enddatetime 2017-09-12T20:04:28 --enforcementcount 0 &gt;&gt;C:\Users\stu\Documents\GitHub\eaglep3-reporting\EC\2017-09-12-refined-times.txt</v>
      </c>
      <c r="AI13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ID","value":"220-12"},{"id":16,"name":"Locomotive ID","value":"4029"},{"id":130,"name":"Impact","value":""},{"id":150,"name":"Time of Event (Mountain Time)","value":"20:04:28"},{"id":151,"name":"Denver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4029 --day 2017-09-12</v>
      </c>
      <c r="AN131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02:04:28"},{"id":29,"name":"Sharepoint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788</v>
      </c>
      <c r="B132" s="7">
        <v>4062</v>
      </c>
      <c r="C132" s="21" t="s">
        <v>197</v>
      </c>
      <c r="D132" s="21" t="s">
        <v>869</v>
      </c>
      <c r="E132" s="13">
        <v>42990.790312500001</v>
      </c>
      <c r="F132" s="13">
        <v>42990.791875000003</v>
      </c>
      <c r="G132" s="7">
        <v>82</v>
      </c>
      <c r="H132" s="21" t="s">
        <v>870</v>
      </c>
      <c r="I132" s="13">
        <v>42990.816516203704</v>
      </c>
      <c r="J132" s="7">
        <v>0</v>
      </c>
      <c r="K132" s="89" t="str">
        <f>IF(ISEVEN(B132),(B132-1)&amp;"/"&amp;B132,B132&amp;"/"&amp;(B132+1))</f>
        <v>4061/4062</v>
      </c>
      <c r="L132" s="214" t="str">
        <f>VLOOKUP(A132,'Trips&amp;Operators'!$C$1:$G$99911,5,FALSE)</f>
        <v>DUNCAN SHEILA</v>
      </c>
      <c r="M132" s="6">
        <f>I132-F132</f>
        <v>2.4641203701321501E-2</v>
      </c>
      <c r="N132" s="7">
        <f>24*60*SUM($M132:$M132)</f>
        <v>35.483333329902962</v>
      </c>
      <c r="O132" s="7"/>
      <c r="P132" s="7"/>
      <c r="Q132" s="22"/>
      <c r="R132" s="167"/>
      <c r="S132" s="210">
        <f>1/IF(AG132="EC",12,1)*SUM(U132:U132)</f>
        <v>1</v>
      </c>
      <c r="T132" s="192" t="str">
        <f>IF(ISEVEN(LEFT(AD132,4)),"Southbound","NorthBound")</f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-09-12T17:58:03-0600',mode:absolute,to:'2017-09-12T20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2" s="194" t="str">
        <f>IF(AA132&lt;VLOOKUP(AG132,Variables!$AC$3:$AD$8,2,FALSE),"Y","N")</f>
        <v>N</v>
      </c>
      <c r="X132" s="194">
        <f>VALUE(LEFT(AD132,4))-VALUE(LEFT(AD131,4))</f>
        <v>1</v>
      </c>
      <c r="Y132" s="194">
        <f>RIGHT(D132,LEN(D132)-4)/10000</f>
        <v>4.7699999999999999E-2</v>
      </c>
      <c r="Z132" s="194">
        <f>RIGHT(H132,LEN(H132)-4)/10000</f>
        <v>23.3247</v>
      </c>
      <c r="AA132" s="194">
        <f>ABS(Z132-Y132)</f>
        <v>23.277000000000001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>VALUE(LEFT(A132,LEN(A132)-3))</f>
        <v>221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/stypes="app*4062*20170913*" /stext=" 01:.+((SYSTEM_STATE.+slice.+state.+changed )|(ment ac)|(multiple cpu faults)|(system.+state.+changed )|(\[timeout)|(PRM\|1\|D)|(kpr)|(kdp)|(train st.+moving)|(\|lc)|(penalty))"</v>
      </c>
      <c r="AG132" s="206" t="str">
        <f>DetSubdiv(A132)</f>
        <v>EC</v>
      </c>
      <c r="AH132" s="78" t="str">
        <f t="shared" si="8"/>
        <v>"%USERPROFILE%\Documents\GitHub\eaglep3\Utilities\RefineRTDCRunTimes.py" --tripid 221-12 --locoid 4062 --swversion DE.1.0.9.0 --startMP 204:477 --initTime 2017-09-12T18:58:03 --startdatetime 2017-09-12T19:00:18 --delay 82 --endMP 204:233247 --enddatetime 2017-09-12T19:35:47 --enforcementcount 0 &gt;&gt;C:\Users\stu\Documents\GitHub\eaglep3-reporting\EC\2017-09-12-refined-times.txt</v>
      </c>
      <c r="AI132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{"issue":{"subject":"","project_id":79,"tracker_id":40,"status_id":1,"priority_id":2,"assigned_to_id":338,"start_date":"2017-09-12","description":"","custom_fields":[{"id":1,"name":"Subdivision","value":"EC"},{"id":4,"name":"Milepost","value":"23.3247"},{"id":17,"name":"Train ID","value":"221-12"},{"id":16,"name":"Locomotive ID","value":"4062"},{"id":130,"name":"Impact","value":""},{"id":150,"name":"Time of Event (Mountain Time)","value":"19:35:47"},{"id":151,"name":"Denver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4062 --day 2017-09-12</v>
      </c>
      <c r="AN132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794</v>
      </c>
      <c r="B133" s="7">
        <v>4061</v>
      </c>
      <c r="C133" s="21" t="s">
        <v>197</v>
      </c>
      <c r="D133" s="21" t="s">
        <v>830</v>
      </c>
      <c r="E133" s="13">
        <v>42990.820023148146</v>
      </c>
      <c r="F133" s="13">
        <v>42990.83148148148</v>
      </c>
      <c r="G133" s="7">
        <v>65</v>
      </c>
      <c r="H133" s="21" t="s">
        <v>342</v>
      </c>
      <c r="I133" s="13">
        <v>42990.857199074075</v>
      </c>
      <c r="J133" s="7">
        <v>0</v>
      </c>
      <c r="K133" s="89" t="str">
        <f>IF(ISEVEN(B133),(B133-1)&amp;"/"&amp;B133,B133&amp;"/"&amp;(B133+1))</f>
        <v>4061/4062</v>
      </c>
      <c r="L133" s="214" t="str">
        <f>VLOOKUP(A133,'Trips&amp;Operators'!$C$1:$G$99911,5,FALSE)</f>
        <v>DUNCAN SHEILA</v>
      </c>
      <c r="M133" s="6">
        <f>I133-F133</f>
        <v>2.5717592594446614E-2</v>
      </c>
      <c r="N133" s="7">
        <f>24*60*SUM($M133:$M133)</f>
        <v>37.033333336003125</v>
      </c>
      <c r="O133" s="7"/>
      <c r="P133" s="7"/>
      <c r="Q133" s="22"/>
      <c r="R133" s="167"/>
      <c r="S133" s="210">
        <f>1/IF(AG133="EC",12,1)*SUM(U133:U133)</f>
        <v>1</v>
      </c>
      <c r="T133" s="192" t="str">
        <f>IF(ISEVEN(LEFT(AD133,4)),"Southbound","NorthBound")</f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-09-12T18:40:50-0600',mode:absolute,to:'2017-09-12T21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3" s="194" t="str">
        <f>IF(AA133&lt;VLOOKUP(AG133,Variables!$AC$3:$AD$8,2,FALSE),"Y","N")</f>
        <v>N</v>
      </c>
      <c r="X133" s="194">
        <f>VALUE(LEFT(AD133,4))-VALUE(LEFT(AD132,4))</f>
        <v>1</v>
      </c>
      <c r="Y133" s="194">
        <f>RIGHT(D133,LEN(D133)-4)/10000</f>
        <v>23.3017</v>
      </c>
      <c r="Z133" s="194">
        <f>RIGHT(H133,LEN(H133)-4)/10000</f>
        <v>1.41E-2</v>
      </c>
      <c r="AA133" s="194">
        <f>ABS(Z133-Y133)</f>
        <v>23.287600000000001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>VALUE(LEFT(A133,LEN(A133)-3))</f>
        <v>222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/stypes="app*4061*20170913*" /stext=" 02:.+((SYSTEM_STATE.+slice.+state.+changed )|(ment ac)|(multiple cpu faults)|(system.+state.+changed )|(\[timeout)|(PRM\|1\|D)|(kpr)|(kdp)|(train st.+moving)|(\|lc)|(penalty))"</v>
      </c>
      <c r="AG133" s="206" t="str">
        <f>DetSubdiv(A133)</f>
        <v>EC</v>
      </c>
      <c r="AH133" s="78" t="str">
        <f t="shared" si="8"/>
        <v>"%USERPROFILE%\Documents\GitHub\eaglep3\Utilities\RefineRTDCRunTimes.py" --tripid 222-12 --locoid 4061 --swversion DE.1.0.9.0 --startMP 204:233017 --initTime 2017-09-12T19:40:50 --startdatetime 2017-09-12T19:57:20 --delay 65 --endMP 204:141 --enddatetime 2017-09-12T20:34:22 --enforcementcount 0 &gt;&gt;C:\Users\stu\Documents\GitHub\eaglep3-reporting\EC\2017-09-12-refined-times.txt</v>
      </c>
      <c r="AI133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{"issue":{"subject":"","project_id":79,"tracker_id":40,"status_id":1,"priority_id":2,"assigned_to_id":338,"start_date":"2017-09-12","description":"","custom_fields":[{"id":1,"name":"Subdivision","value":"EC"},{"id":4,"name":"Milepost","value":"0.0141"},{"id":17,"name":"Train ID","value":"222-12"},{"id":16,"name":"Locomotive ID","value":"4061"},{"id":130,"name":"Impact","value":""},{"id":150,"name":"Time of Event (Mountain Time)","value":"20:34:22"},{"id":151,"name":"Denver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4061 --day 2017-09-12</v>
      </c>
      <c r="AN133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792</v>
      </c>
      <c r="B134" s="7">
        <v>4002</v>
      </c>
      <c r="C134" s="21" t="s">
        <v>197</v>
      </c>
      <c r="D134" s="21" t="s">
        <v>365</v>
      </c>
      <c r="E134" s="13">
        <v>42990.809664351851</v>
      </c>
      <c r="F134" s="13">
        <v>42990.812673611108</v>
      </c>
      <c r="G134" s="7">
        <v>121</v>
      </c>
      <c r="H134" s="21" t="s">
        <v>411</v>
      </c>
      <c r="I134" s="13">
        <v>42990.836898148147</v>
      </c>
      <c r="J134" s="7">
        <v>0</v>
      </c>
      <c r="K134" s="89" t="str">
        <f>IF(ISEVEN(B134),(B134-1)&amp;"/"&amp;B134,B134&amp;"/"&amp;(B134+1))</f>
        <v>4001/4002</v>
      </c>
      <c r="L134" s="214" t="str">
        <f>VLOOKUP(A134,'Trips&amp;Operators'!$C$1:$G$99911,5,FALSE)</f>
        <v>LOZA FIDEL</v>
      </c>
      <c r="M134" s="6">
        <f>I134-F134</f>
        <v>2.4224537039117422E-2</v>
      </c>
      <c r="N134" s="7">
        <f>24*60*SUM($M134:$M134)</f>
        <v>34.883333336329088</v>
      </c>
      <c r="O134" s="7"/>
      <c r="P134" s="7"/>
      <c r="Q134" s="22"/>
      <c r="R134" s="167"/>
      <c r="S134" s="210">
        <f>1/IF(AG134="EC",12,1)*SUM(U134:U134)</f>
        <v>1</v>
      </c>
      <c r="T134" s="192" t="str">
        <f>IF(ISEVEN(LEFT(AD134,4)),"Southbound","NorthBound")</f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-09-12T18:25:55-0600',mode:absolute,to:'2017-09-12T21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4" t="str">
        <f>IF(AA134&lt;VLOOKUP(AG134,Variables!$AC$3:$AD$8,2,FALSE),"Y","N")</f>
        <v>N</v>
      </c>
      <c r="X134" s="194">
        <f>VALUE(LEFT(AD134,4))-VALUE(LEFT(AD133,4))</f>
        <v>1</v>
      </c>
      <c r="Y134" s="194">
        <f>RIGHT(D134,LEN(D134)-4)/10000</f>
        <v>4.6399999999999997E-2</v>
      </c>
      <c r="Z134" s="194">
        <f>RIGHT(H134,LEN(H134)-4)/10000</f>
        <v>23.331</v>
      </c>
      <c r="AA134" s="194">
        <f>ABS(Z134-Y134)</f>
        <v>23.284600000000001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>VALUE(LEFT(A134,LEN(A134)-3))</f>
        <v>223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/stypes="app*4002*20170913*" /stext=" 02:.+((SYSTEM_STATE.+slice.+state.+changed )|(ment ac)|(multiple cpu faults)|(system.+state.+changed )|(\[timeout)|(PRM\|1\|D)|(kpr)|(kdp)|(train st.+moving)|(\|lc)|(penalty))"</v>
      </c>
      <c r="AG134" s="206" t="str">
        <f>DetSubdiv(A134)</f>
        <v>EC</v>
      </c>
      <c r="AH134" s="78" t="str">
        <f t="shared" si="8"/>
        <v>"%USERPROFILE%\Documents\GitHub\eaglep3\Utilities\RefineRTDCRunTimes.py" --tripid 223-12 --locoid 4002 --swversion DE.1.0.9.0 --startMP 204:464 --initTime 2017-09-12T19:25:55 --startdatetime 2017-09-12T19:30:15 --delay 121 --endMP 204:233310 --enddatetime 2017-09-12T20:05:08 --enforcementcount 0 &gt;&gt;C:\Users\stu\Documents\GitHub\eaglep3-reporting\EC\2017-09-12-refined-times.txt</v>
      </c>
      <c r="AI134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{"issue":{"subject":"","project_id":79,"tracker_id":40,"status_id":1,"priority_id":2,"assigned_to_id":338,"start_date":"2017-09-12","description":"","custom_fields":[{"id":1,"name":"Subdivision","value":"EC"},{"id":4,"name":"Milepost","value":"23.331"},{"id":17,"name":"Train ID","value":"223-12"},{"id":16,"name":"Locomotive ID","value":"4002"},{"id":130,"name":"Impact","value":""},{"id":150,"name":"Time of Event (Mountain Time)","value":"20:05:08"},{"id":151,"name":"Denver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4002 --day 2017-09-12</v>
      </c>
      <c r="AN134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02:05:08"},{"id":29,"name":"Sharepoint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798</v>
      </c>
      <c r="B135" s="7">
        <v>4001</v>
      </c>
      <c r="C135" s="21" t="s">
        <v>197</v>
      </c>
      <c r="D135" s="21" t="s">
        <v>539</v>
      </c>
      <c r="E135" s="13">
        <v>42990.849965277775</v>
      </c>
      <c r="F135" s="13">
        <v>42990.852268518516</v>
      </c>
      <c r="G135" s="7">
        <v>61</v>
      </c>
      <c r="H135" s="21" t="s">
        <v>410</v>
      </c>
      <c r="I135" s="13">
        <v>42990.877789351849</v>
      </c>
      <c r="J135" s="7">
        <v>0</v>
      </c>
      <c r="K135" s="89" t="str">
        <f>IF(ISEVEN(B135),(B135-1)&amp;"/"&amp;B135,B135&amp;"/"&amp;(B135+1))</f>
        <v>4001/4002</v>
      </c>
      <c r="L135" s="214" t="str">
        <f>VLOOKUP(A135,'Trips&amp;Operators'!$C$1:$G$99911,5,FALSE)</f>
        <v>LOZA FIDEL</v>
      </c>
      <c r="M135" s="6">
        <f>I135-F135</f>
        <v>2.5520833332848269E-2</v>
      </c>
      <c r="N135" s="7">
        <f>24*60*SUM($M135:$M135)</f>
        <v>36.749999999301508</v>
      </c>
      <c r="O135" s="7"/>
      <c r="P135" s="7"/>
      <c r="Q135" s="22"/>
      <c r="R135" s="167"/>
      <c r="S135" s="210">
        <f>1/IF(AG135="EC",12,1)*SUM(U135:U135)</f>
        <v>1</v>
      </c>
      <c r="T135" s="192" t="str">
        <f>IF(ISEVEN(LEFT(AD135,4)),"Southbound","NorthBound")</f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-09-12T19:23:57-0600',mode:absolute,to:'2017-09-12T22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4" t="str">
        <f>IF(AA135&lt;VLOOKUP(AG135,Variables!$AC$3:$AD$8,2,FALSE),"Y","N")</f>
        <v>N</v>
      </c>
      <c r="X135" s="194">
        <f>VALUE(LEFT(AD135,4))-VALUE(LEFT(AD134,4))</f>
        <v>1</v>
      </c>
      <c r="Y135" s="194">
        <f>RIGHT(D135,LEN(D135)-4)/10000</f>
        <v>23.299299999999999</v>
      </c>
      <c r="Z135" s="194">
        <f>RIGHT(H135,LEN(H135)-4)/10000</f>
        <v>1.3899999999999999E-2</v>
      </c>
      <c r="AA135" s="194">
        <f>ABS(Z135-Y135)</f>
        <v>23.285399999999999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>VALUE(LEFT(A135,LEN(A135)-3))</f>
        <v>224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/stypes="app*4001*20170913*" /stext=" 03:.+((SYSTEM_STATE.+slice.+state.+changed )|(ment ac)|(multiple cpu faults)|(system.+state.+changed )|(\[timeout)|(PRM\|1\|D)|(kpr)|(kdp)|(train st.+moving)|(\|lc)|(penalty))"</v>
      </c>
      <c r="AG135" s="206" t="str">
        <f>DetSubdiv(A135)</f>
        <v>EC</v>
      </c>
      <c r="AH135" s="78" t="str">
        <f t="shared" si="8"/>
        <v>"%USERPROFILE%\Documents\GitHub\eaglep3\Utilities\RefineRTDCRunTimes.py" --tripid 224-12 --locoid 4001 --swversion DE.1.0.9.0 --startMP 204:232993 --initTime 2017-09-12T20:23:57 --startdatetime 2017-09-12T20:27:16 --delay 61 --endMP 204:139 --enddatetime 2017-09-12T21:04:01 --enforcementcount 0 &gt;&gt;C:\Users\stu\Documents\GitHub\eaglep3-reporting\EC\2017-09-12-refined-times.txt</v>
      </c>
      <c r="AI135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{"issue":{"subject":"","project_id":79,"tracker_id":40,"status_id":1,"priority_id":2,"assigned_to_id":338,"start_date":"2017-09-12","description":"","custom_fields":[{"id":1,"name":"Subdivision","value":"EC"},{"id":4,"name":"Milepost","value":"0.0139"},{"id":17,"name":"Train ID","value":"224-12"},{"id":16,"name":"Locomotive ID","value":"4001"},{"id":130,"name":"Impact","value":""},{"id":150,"name":"Time of Event (Mountain Time)","value":"21:04:01"},{"id":151,"name":"Denver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4001 --day 2017-09-12</v>
      </c>
      <c r="AN135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795</v>
      </c>
      <c r="B136" s="7">
        <v>4058</v>
      </c>
      <c r="C136" s="21" t="s">
        <v>197</v>
      </c>
      <c r="D136" s="21" t="s">
        <v>449</v>
      </c>
      <c r="E136" s="13">
        <v>42990.829131944447</v>
      </c>
      <c r="F136" s="13">
        <v>42990.833495370367</v>
      </c>
      <c r="G136" s="7">
        <v>69</v>
      </c>
      <c r="H136" s="21" t="s">
        <v>871</v>
      </c>
      <c r="I136" s="13">
        <v>42990.85796296296</v>
      </c>
      <c r="J136" s="7">
        <v>0</v>
      </c>
      <c r="K136" s="89" t="str">
        <f>IF(ISEVEN(B136),(B136-1)&amp;"/"&amp;B136,B136&amp;"/"&amp;(B136+1))</f>
        <v>4057/4058</v>
      </c>
      <c r="L136" s="214" t="str">
        <f>VLOOKUP(A136,'Trips&amp;Operators'!$C$1:$G$99911,5,FALSE)</f>
        <v>PERKINS DARREN</v>
      </c>
      <c r="M136" s="6">
        <f>I136-F136</f>
        <v>2.4467592593282461E-2</v>
      </c>
      <c r="N136" s="7">
        <f>24*60*SUM($M136:$M136)</f>
        <v>35.233333334326744</v>
      </c>
      <c r="O136" s="7"/>
      <c r="P136" s="7"/>
      <c r="Q136" s="22"/>
      <c r="R136" s="167"/>
      <c r="S136" s="210">
        <f>1/IF(AG136="EC",12,1)*SUM(U136:U136)</f>
        <v>1</v>
      </c>
      <c r="T136" s="192" t="str">
        <f>IF(ISEVEN(LEFT(AD136,4)),"Southbound","NorthBound")</f>
        <v>NorthBound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-12T18:53:57-0600',mode:absolute,to:'2017-09-12T21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6" s="194" t="str">
        <f>IF(AA136&lt;VLOOKUP(AG136,Variables!$AC$3:$AD$8,2,FALSE),"Y","N")</f>
        <v>N</v>
      </c>
      <c r="X136" s="194">
        <f>VALUE(LEFT(AD136,4))-VALUE(LEFT(AD135,4))</f>
        <v>1</v>
      </c>
      <c r="Y136" s="194">
        <f>RIGHT(D136,LEN(D136)-4)/10000</f>
        <v>4.5100000000000001E-2</v>
      </c>
      <c r="Z136" s="194">
        <f>RIGHT(H136,LEN(H136)-4)/10000</f>
        <v>23.334700000000002</v>
      </c>
      <c r="AA136" s="194">
        <f>ABS(Z136-Y136)</f>
        <v>23.2896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>VALUE(LEFT(A136,LEN(A136)-3))</f>
        <v>225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/stypes="app*4058*20170913*" /stext=" 02:.+((SYSTEM_STATE.+slice.+state.+changed )|(ment ac)|(multiple cpu faults)|(system.+state.+changed )|(\[timeout)|(PRM\|1\|D)|(kpr)|(kdp)|(train st.+moving)|(\|lc)|(penalty))"</v>
      </c>
      <c r="AG136" s="206" t="str">
        <f>DetSubdiv(A136)</f>
        <v>EC</v>
      </c>
      <c r="AH136" s="78" t="str">
        <f t="shared" si="8"/>
        <v>"%USERPROFILE%\Documents\GitHub\eaglep3\Utilities\RefineRTDCRunTimes.py" --tripid 225-12 --locoid 4058 --swversion DE.1.0.9.0 --startMP 204:451 --initTime 2017-09-12T19:53:57 --startdatetime 2017-09-12T20:00:14 --delay 69 --endMP 204:233347 --enddatetime 2017-09-12T20:35:28 --enforcementcount 0 &gt;&gt;C:\Users\stu\Documents\GitHub\eaglep3-reporting\EC\2017-09-12-refined-times.txt</v>
      </c>
      <c r="AI136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{"issue":{"subject":"","project_id":79,"tracker_id":40,"status_id":1,"priority_id":2,"assigned_to_id":338,"start_date":"2017-09-12","description":"","custom_fields":[{"id":1,"name":"Subdivision","value":"EC"},{"id":4,"name":"Milepost","value":"23.3347"},{"id":17,"name":"Train ID","value":"225-12"},{"id":16,"name":"Locomotive ID","value":"4058"},{"id":130,"name":"Impact","value":""},{"id":150,"name":"Time of Event (Mountain Time)","value":"20:35:28"},{"id":151,"name":"Denver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4058 --day 2017-09-12</v>
      </c>
      <c r="AN136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610</v>
      </c>
      <c r="B137" s="7">
        <v>4057</v>
      </c>
      <c r="C137" s="21" t="s">
        <v>197</v>
      </c>
      <c r="D137" s="21" t="s">
        <v>505</v>
      </c>
      <c r="E137" s="13">
        <v>42990.862893518519</v>
      </c>
      <c r="F137" s="13">
        <v>42990.873101851852</v>
      </c>
      <c r="G137" s="7">
        <v>71</v>
      </c>
      <c r="H137" s="21" t="s">
        <v>533</v>
      </c>
      <c r="I137" s="13">
        <v>42990.899641203701</v>
      </c>
      <c r="J137" s="7">
        <v>0</v>
      </c>
      <c r="K137" s="89" t="str">
        <f>IF(ISEVEN(B137),(B137-1)&amp;"/"&amp;B137,B137&amp;"/"&amp;(B137+1))</f>
        <v>4057/4058</v>
      </c>
      <c r="L137" s="214" t="str">
        <f>VLOOKUP(A137,'Trips&amp;Operators'!$C$1:$G$99911,5,FALSE)</f>
        <v>PERKINS DARREN</v>
      </c>
      <c r="M137" s="6">
        <f>I137-F137</f>
        <v>2.6539351849351078E-2</v>
      </c>
      <c r="N137" s="7">
        <f>24*60*SUM($M137:$M137)</f>
        <v>38.216666663065553</v>
      </c>
      <c r="O137" s="7"/>
      <c r="P137" s="7"/>
      <c r="Q137" s="22"/>
      <c r="R137" s="167"/>
      <c r="S137" s="210">
        <f>1/IF(AG137="EC",12,1)*SUM(U137:U137)</f>
        <v>1</v>
      </c>
      <c r="T137" s="192" t="str">
        <f>IF(ISEVEN(LEFT(AD137,4)),"Southbound","NorthBound")</f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-09-12T19:42:34-0600',mode:absolute,to:'2017-09-12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7" s="194" t="str">
        <f>IF(AA137&lt;VLOOKUP(AG137,Variables!$AC$3:$AD$8,2,FALSE),"Y","N")</f>
        <v>N</v>
      </c>
      <c r="X137" s="194">
        <f>VALUE(LEFT(AD137,4))-VALUE(LEFT(AD136,4))</f>
        <v>1</v>
      </c>
      <c r="Y137" s="194">
        <f>RIGHT(D137,LEN(D137)-4)/10000</f>
        <v>23.302099999999999</v>
      </c>
      <c r="Z137" s="194">
        <f>RIGHT(H137,LEN(H137)-4)/10000</f>
        <v>1.2500000000000001E-2</v>
      </c>
      <c r="AA137" s="194">
        <f>ABS(Z137-Y137)</f>
        <v>23.2896</v>
      </c>
      <c r="AB137" s="54" t="str">
        <f>VLOOKUP(A137,Enforcements!$C$7:$K$11,8,0)</f>
        <v>Bulletin (2)</v>
      </c>
      <c r="AC137" s="51" t="str">
        <f>VLOOKUP(A137,Enforcements!$C$7:$E$11,3,0)</f>
        <v>GRADE CROSSING</v>
      </c>
      <c r="AD137" s="203">
        <f>VALUE(LEFT(A137,LEN(A137)-3))</f>
        <v>226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/stypes="app*4057*20170913*" /stext=" 03:.+((SYSTEM_STATE.+slice.+state.+changed )|(ment ac)|(multiple cpu faults)|(system.+state.+changed )|(\[timeout)|(PRM\|1\|D)|(kpr)|(kdp)|(train st.+moving)|(\|lc)|(penalty))"</v>
      </c>
      <c r="AG137" s="206" t="str">
        <f>DetSubdiv(A137)</f>
        <v>EC</v>
      </c>
      <c r="AH137" s="78" t="str">
        <f t="shared" si="8"/>
        <v>"%USERPROFILE%\Documents\GitHub\eaglep3\Utilities\RefineRTDCRunTimes.py" --tripid 226-12 --locoid 4057 --swversion DE.1.0.9.0 --startMP 204:233021 --initTime 2017-09-12T20:42:34 --startdatetime 2017-09-12T20:57:16 --delay 71 --endMP 204:125 --enddatetime 2017-09-12T21:35:29 --enforcementcount 0 &gt;&gt;C:\Users\stu\Documents\GitHub\eaglep3-reporting\EC\2017-09-12-refined-times.txt</v>
      </c>
      <c r="AI137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{"issue":{"subject":"","project_id":79,"tracker_id":40,"status_id":1,"priority_id":2,"assigned_to_id":338,"start_date":"2017-09-12","description":"","custom_fields":[{"id":1,"name":"Subdivision","value":"EC"},{"id":4,"name":"Milepost","value":"0.0125"},{"id":17,"name":"Train ID","value":"226-12"},{"id":16,"name":"Locomotive ID","value":"4057"},{"id":130,"name":"Impact","value":""},{"id":150,"name":"Time of Event (Mountain Time)","value":"21:35:29"},{"id":151,"name":"Denver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4057 --day 2017-09-12</v>
      </c>
      <c r="AN137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797</v>
      </c>
      <c r="B138" s="7">
        <v>4030</v>
      </c>
      <c r="C138" s="21" t="s">
        <v>197</v>
      </c>
      <c r="D138" s="21" t="s">
        <v>540</v>
      </c>
      <c r="E138" s="13">
        <v>42990.84710648148</v>
      </c>
      <c r="F138" s="13">
        <v>42990.85465277778</v>
      </c>
      <c r="G138" s="7">
        <v>75</v>
      </c>
      <c r="H138" s="21" t="s">
        <v>545</v>
      </c>
      <c r="I138" s="13">
        <v>42990.879513888889</v>
      </c>
      <c r="J138" s="7">
        <v>0</v>
      </c>
      <c r="K138" s="89" t="str">
        <f>IF(ISEVEN(B138),(B138-1)&amp;"/"&amp;B138,B138&amp;"/"&amp;(B138+1))</f>
        <v>4029/4030</v>
      </c>
      <c r="L138" s="214" t="str">
        <f>VLOOKUP(A138,'Trips&amp;Operators'!$C$1:$G$99911,5,FALSE)</f>
        <v>ANDERS STEVEN</v>
      </c>
      <c r="M138" s="6">
        <f>I138-F138</f>
        <v>2.4861111109203193E-2</v>
      </c>
      <c r="N138" s="7">
        <f>24*60*SUM($M138:$M138)</f>
        <v>35.799999997252598</v>
      </c>
      <c r="O138" s="7"/>
      <c r="P138" s="7"/>
      <c r="Q138" s="22"/>
      <c r="R138" s="167"/>
      <c r="S138" s="210">
        <f>1/IF(AG138="EC",12,1)*SUM(U138:U138)</f>
        <v>1</v>
      </c>
      <c r="T138" s="192" t="str">
        <f>IF(ISEVEN(LEFT(AD138,4)),"Southbound","NorthBound")</f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-09-12T19:19:50-0600',mode:absolute,to:'2017-09-12T22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194" t="str">
        <f>IF(AA138&lt;VLOOKUP(AG138,Variables!$AC$3:$AD$8,2,FALSE),"Y","N")</f>
        <v>N</v>
      </c>
      <c r="X138" s="194">
        <f>VALUE(LEFT(AD138,4))-VALUE(LEFT(AD137,4))</f>
        <v>1</v>
      </c>
      <c r="Y138" s="194">
        <f>RIGHT(D138,LEN(D138)-4)/10000</f>
        <v>4.3700000000000003E-2</v>
      </c>
      <c r="Z138" s="194">
        <f>RIGHT(H138,LEN(H138)-4)/10000</f>
        <v>23.332899999999999</v>
      </c>
      <c r="AA138" s="194">
        <f>ABS(Z138-Y138)</f>
        <v>23.289199999999997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>VALUE(LEFT(A138,LEN(A138)-3))</f>
        <v>227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/stypes="app*4030*20170913*" /stext=" 03:.+((SYSTEM_STATE.+slice.+state.+changed )|(ment ac)|(multiple cpu faults)|(system.+state.+changed )|(\[timeout)|(PRM\|1\|D)|(kpr)|(kdp)|(train st.+moving)|(\|lc)|(penalty))"</v>
      </c>
      <c r="AG138" s="206" t="str">
        <f>DetSubdiv(A138)</f>
        <v>EC</v>
      </c>
      <c r="AH138" s="78" t="str">
        <f t="shared" si="8"/>
        <v>"%USERPROFILE%\Documents\GitHub\eaglep3\Utilities\RefineRTDCRunTimes.py" --tripid 227-12 --locoid 4030 --swversion DE.1.0.9.0 --startMP 204:437 --initTime 2017-09-12T20:19:50 --startdatetime 2017-09-12T20:30:42 --delay 75 --endMP 204:233329 --enddatetime 2017-09-12T21:06:30 --enforcementcount 0 &gt;&gt;C:\Users\stu\Documents\GitHub\eaglep3-reporting\EC\2017-09-12-refined-times.txt</v>
      </c>
      <c r="AI138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{"issue":{"subject":"","project_id":79,"tracker_id":40,"status_id":1,"priority_id":2,"assigned_to_id":338,"start_date":"2017-09-12","description":"","custom_fields":[{"id":1,"name":"Subdivision","value":"EC"},{"id":4,"name":"Milepost","value":"23.3329"},{"id":17,"name":"Train ID","value":"227-12"},{"id":16,"name":"Locomotive ID","value":"4030"},{"id":130,"name":"Impact","value":""},{"id":150,"name":"Time of Event (Mountain Time)","value":"21:06:30"},{"id":151,"name":"Denver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4030 --day 2017-09-12</v>
      </c>
      <c r="AN138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03:06:30"},{"id":29,"name":"Sharepoint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805</v>
      </c>
      <c r="B139" s="7">
        <v>4029</v>
      </c>
      <c r="C139" s="21" t="s">
        <v>197</v>
      </c>
      <c r="D139" s="21" t="s">
        <v>539</v>
      </c>
      <c r="E139" s="13">
        <v>42990.890706018516</v>
      </c>
      <c r="F139" s="13">
        <v>42990.894293981481</v>
      </c>
      <c r="G139" s="7">
        <v>81</v>
      </c>
      <c r="H139" s="21" t="s">
        <v>340</v>
      </c>
      <c r="I139" s="13">
        <v>42990.920543981483</v>
      </c>
      <c r="J139" s="7">
        <v>0</v>
      </c>
      <c r="K139" s="89" t="str">
        <f>IF(ISEVEN(B139),(B139-1)&amp;"/"&amp;B139,B139&amp;"/"&amp;(B139+1))</f>
        <v>4029/4030</v>
      </c>
      <c r="L139" s="214" t="str">
        <f>VLOOKUP(A139,'Trips&amp;Operators'!$C$1:$G$99911,5,FALSE)</f>
        <v>ANDERS STEVEN</v>
      </c>
      <c r="M139" s="6">
        <f>I139-F139</f>
        <v>2.6250000002619345E-2</v>
      </c>
      <c r="N139" s="7">
        <f>24*60*SUM($M139:$M139)</f>
        <v>37.800000003771856</v>
      </c>
      <c r="O139" s="7"/>
      <c r="P139" s="7"/>
      <c r="Q139" s="22"/>
      <c r="R139" s="167"/>
      <c r="S139" s="210">
        <f>1/IF(AG139="EC",12,1)*SUM(U139:U139)</f>
        <v>1</v>
      </c>
      <c r="T139" s="192" t="str">
        <f>IF(ISEVEN(LEFT(AD139,4)),"Southbound","NorthBound")</f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-12T20:22:37-0600',mode:absolute,to:'2017-09-12T23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94" t="str">
        <f>IF(AA139&lt;VLOOKUP(AG139,Variables!$AC$3:$AD$8,2,FALSE),"Y","N")</f>
        <v>N</v>
      </c>
      <c r="X139" s="194">
        <f>VALUE(LEFT(AD139,4))-VALUE(LEFT(AD138,4))</f>
        <v>1</v>
      </c>
      <c r="Y139" s="194">
        <f>RIGHT(D139,LEN(D139)-4)/10000</f>
        <v>23.299299999999999</v>
      </c>
      <c r="Z139" s="194">
        <f>RIGHT(H139,LEN(H139)-4)/10000</f>
        <v>1.43E-2</v>
      </c>
      <c r="AA139" s="194">
        <f>ABS(Z139-Y139)</f>
        <v>23.285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>VALUE(LEFT(A139,LEN(A139)-3))</f>
        <v>228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/stypes="app*4029*20170913*" /stext=" 04:.+((SYSTEM_STATE.+slice.+state.+changed )|(ment ac)|(multiple cpu faults)|(system.+state.+changed )|(\[timeout)|(PRM\|1\|D)|(kpr)|(kdp)|(train st.+moving)|(\|lc)|(penalty))"</v>
      </c>
      <c r="AG139" s="206" t="str">
        <f>DetSubdiv(A139)</f>
        <v>EC</v>
      </c>
      <c r="AH139" s="78" t="str">
        <f t="shared" si="8"/>
        <v>"%USERPROFILE%\Documents\GitHub\eaglep3\Utilities\RefineRTDCRunTimes.py" --tripid 228-12 --locoid 4029 --swversion DE.1.0.9.0 --startMP 204:232993 --initTime 2017-09-12T21:22:37 --startdatetime 2017-09-12T21:27:47 --delay 81 --endMP 204:143 --enddatetime 2017-09-12T22:05:35 --enforcementcount 0 &gt;&gt;C:\Users\stu\Documents\GitHub\eaglep3-reporting\EC\2017-09-12-refined-times.txt</v>
      </c>
      <c r="AI139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{"issue":{"subject":"","project_id":79,"tracker_id":40,"status_id":1,"priority_id":2,"assigned_to_id":338,"start_date":"2017-09-12","description":"","custom_fields":[{"id":1,"name":"Subdivision","value":"EC"},{"id":4,"name":"Milepost","value":"0.0143"},{"id":17,"name":"Train ID","value":"228-12"},{"id":16,"name":"Locomotive ID","value":"4029"},{"id":130,"name":"Impact","value":""},{"id":150,"name":"Time of Event (Mountain Time)","value":"22:05:35"},{"id":151,"name":"Denver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4029 --day 2017-09-12</v>
      </c>
      <c r="AN139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04:05:35"},{"id":29,"name":"Sharepoint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800</v>
      </c>
      <c r="B140" s="7">
        <v>4062</v>
      </c>
      <c r="C140" s="21" t="s">
        <v>197</v>
      </c>
      <c r="D140" s="21" t="s">
        <v>359</v>
      </c>
      <c r="E140" s="13">
        <v>42990.861620370371</v>
      </c>
      <c r="F140" s="13">
        <v>42990.8752662037</v>
      </c>
      <c r="G140" s="7">
        <v>74</v>
      </c>
      <c r="H140" s="21" t="s">
        <v>475</v>
      </c>
      <c r="I140" s="13">
        <v>42990.900972222225</v>
      </c>
      <c r="J140" s="7">
        <v>0</v>
      </c>
      <c r="K140" s="89" t="str">
        <f>IF(ISEVEN(B140),(B140-1)&amp;"/"&amp;B140,B140&amp;"/"&amp;(B140+1))</f>
        <v>4061/4062</v>
      </c>
      <c r="L140" s="214" t="str">
        <f>VLOOKUP(A140,'Trips&amp;Operators'!$C$1:$G$99911,5,FALSE)</f>
        <v>BIRKHOLZ NADINE</v>
      </c>
      <c r="M140" s="6">
        <f>I140-F140</f>
        <v>2.570601852494292E-2</v>
      </c>
      <c r="N140" s="7">
        <f>24*60*SUM($M140:$M140)</f>
        <v>37.016666675917804</v>
      </c>
      <c r="O140" s="7"/>
      <c r="P140" s="7"/>
      <c r="Q140" s="22"/>
      <c r="R140" s="167"/>
      <c r="S140" s="210">
        <f>1/IF(AG140="EC",12,1)*SUM(U140:U140)</f>
        <v>1</v>
      </c>
      <c r="T140" s="192" t="str">
        <f>IF(ISEVEN(LEFT(AD140,4)),"Southbound","NorthBound")</f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-12T19:40:44-0600',mode:absolute,to:'2017-09-12T22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0" s="194" t="str">
        <f>IF(AA140&lt;VLOOKUP(AG140,Variables!$AC$3:$AD$8,2,FALSE),"Y","N")</f>
        <v>N</v>
      </c>
      <c r="X140" s="194">
        <f>VALUE(LEFT(AD140,4))-VALUE(LEFT(AD139,4))</f>
        <v>1</v>
      </c>
      <c r="Y140" s="194">
        <f>RIGHT(D140,LEN(D140)-4)/10000</f>
        <v>4.58E-2</v>
      </c>
      <c r="Z140" s="194">
        <f>RIGHT(H140,LEN(H140)-4)/10000</f>
        <v>23.331199999999999</v>
      </c>
      <c r="AA140" s="194">
        <f>ABS(Z140-Y140)</f>
        <v>23.285399999999999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>VALUE(LEFT(A140,LEN(A140)-3))</f>
        <v>229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/stypes="app*4062*20170913*" /stext=" 03:.+((SYSTEM_STATE.+slice.+state.+changed )|(ment ac)|(multiple cpu faults)|(system.+state.+changed )|(\[timeout)|(PRM\|1\|D)|(kpr)|(kdp)|(train st.+moving)|(\|lc)|(penalty))"</v>
      </c>
      <c r="AG140" s="206" t="str">
        <f>DetSubdiv(A140)</f>
        <v>EC</v>
      </c>
      <c r="AH140" s="78" t="str">
        <f t="shared" si="8"/>
        <v>"%USERPROFILE%\Documents\GitHub\eaglep3\Utilities\RefineRTDCRunTimes.py" --tripid 229-12 --locoid 4062 --swversion DE.1.0.9.0 --startMP 204:458 --initTime 2017-09-12T20:40:44 --startdatetime 2017-09-12T21:00:23 --delay 74 --endMP 204:233312 --enddatetime 2017-09-12T21:37:24 --enforcementcount 0 &gt;&gt;C:\Users\stu\Documents\GitHub\eaglep3-reporting\EC\2017-09-12-refined-times.txt</v>
      </c>
      <c r="AI140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{"issue":{"subject":"","project_id":79,"tracker_id":40,"status_id":1,"priority_id":2,"assigned_to_id":338,"start_date":"2017-09-12","description":"","custom_fields":[{"id":1,"name":"Subdivision","value":"EC"},{"id":4,"name":"Milepost","value":"23.3312"},{"id":17,"name":"Train ID","value":"229-12"},{"id":16,"name":"Locomotive ID","value":"4062"},{"id":130,"name":"Impact","value":""},{"id":150,"name":"Time of Event (Mountain Time)","value":"21:37:24"},{"id":151,"name":"Denver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4062 --day 2017-09-12</v>
      </c>
      <c r="AN140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807</v>
      </c>
      <c r="B141" s="7">
        <v>4061</v>
      </c>
      <c r="C141" s="21" t="s">
        <v>197</v>
      </c>
      <c r="D141" s="21" t="s">
        <v>448</v>
      </c>
      <c r="E141" s="13">
        <v>42990.902766203704</v>
      </c>
      <c r="F141" s="13">
        <v>42990.914780092593</v>
      </c>
      <c r="G141" s="7">
        <v>63</v>
      </c>
      <c r="H141" s="21" t="s">
        <v>367</v>
      </c>
      <c r="I141" s="13">
        <v>42990.942407407405</v>
      </c>
      <c r="J141" s="7">
        <v>0</v>
      </c>
      <c r="K141" s="89" t="str">
        <f>IF(ISEVEN(B141),(B141-1)&amp;"/"&amp;B141,B141&amp;"/"&amp;(B141+1))</f>
        <v>4061/4062</v>
      </c>
      <c r="L141" s="214" t="str">
        <f>VLOOKUP(A141,'Trips&amp;Operators'!$C$1:$G$99911,5,FALSE)</f>
        <v>BIRKHOLZ NADINE</v>
      </c>
      <c r="M141" s="6">
        <f>I141-F141</f>
        <v>2.7627314811979886E-2</v>
      </c>
      <c r="N141" s="7">
        <f>24*60*SUM($M141:$M141)</f>
        <v>39.783333329251036</v>
      </c>
      <c r="O141" s="7"/>
      <c r="P141" s="7"/>
      <c r="Q141" s="22"/>
      <c r="R141" s="167"/>
      <c r="S141" s="210">
        <f>1/IF(AG141="EC",12,1)*SUM(U141:U141)</f>
        <v>1</v>
      </c>
      <c r="T141" s="192" t="str">
        <f>IF(ISEVEN(LEFT(AD141,4)),"Southbound","NorthBound")</f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-12T20:39:59-0600',mode:absolute,to:'2017-09-12T23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1" s="194" t="str">
        <f>IF(AA141&lt;VLOOKUP(AG141,Variables!$AC$3:$AD$8,2,FALSE),"Y","N")</f>
        <v>N</v>
      </c>
      <c r="X141" s="194">
        <f>VALUE(LEFT(AD141,4))-VALUE(LEFT(AD140,4))</f>
        <v>1</v>
      </c>
      <c r="Y141" s="194">
        <f>RIGHT(D141,LEN(D141)-4)/10000</f>
        <v>23.299600000000002</v>
      </c>
      <c r="Z141" s="194">
        <f>RIGHT(H141,LEN(H141)-4)/10000</f>
        <v>1.4500000000000001E-2</v>
      </c>
      <c r="AA141" s="194">
        <f>ABS(Z141-Y141)</f>
        <v>23.2851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>VALUE(LEFT(A141,LEN(A141)-3))</f>
        <v>230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/stypes="app*4061*20170913*" /stext=" 04:.+((SYSTEM_STATE.+slice.+state.+changed )|(ment ac)|(multiple cpu faults)|(system.+state.+changed )|(\[timeout)|(PRM\|1\|D)|(kpr)|(kdp)|(train st.+moving)|(\|lc)|(penalty))"</v>
      </c>
      <c r="AG141" s="206" t="str">
        <f>DetSubdiv(A141)</f>
        <v>EC</v>
      </c>
      <c r="AH141" s="78" t="str">
        <f t="shared" si="8"/>
        <v>"%USERPROFILE%\Documents\GitHub\eaglep3\Utilities\RefineRTDCRunTimes.py" --tripid 230-12 --locoid 4061 --swversion DE.1.0.9.0 --startMP 204:232996 --initTime 2017-09-12T21:39:59 --startdatetime 2017-09-12T21:57:17 --delay 63 --endMP 204:145 --enddatetime 2017-09-12T22:37:04 --enforcementcount 0 &gt;&gt;C:\Users\stu\Documents\GitHub\eaglep3-reporting\EC\2017-09-12-refined-times.txt</v>
      </c>
      <c r="AI141" s="96" t="str">
        <f t="shared" si="9"/>
        <v>echo {"issue":{"subject":"","project_id":79,"tracker_id":40,"status_id":1,"priority_id":2,"assigned_to_id":338,"start_date":"2017-09-12","description":"","custom_fields":[{"id":1,"name":"Subdivision","value":"EC"},{"id":4,"name":"Milepost","value":"0.0145"},{"id":17,"name":"Train ID","value":"230-12"},{"id":16,"name":"Locomotive ID","value":"4061"},{"id":130,"name":"Impact","value":""},{"id":150,"name":"Time of Event (Mountain Time)","value":"22:37:04"},{"id":151,"name":"Denver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4061 --day 2017-09-12</v>
      </c>
      <c r="AN141" s="151" t="str">
        <f t="shared" si="11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04:37:04"},{"id":29,"name":"Sharepoint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804</v>
      </c>
      <c r="B142" s="7">
        <v>4002</v>
      </c>
      <c r="C142" s="21" t="s">
        <v>197</v>
      </c>
      <c r="D142" s="21" t="s">
        <v>445</v>
      </c>
      <c r="E142" s="13">
        <v>42990.884305555555</v>
      </c>
      <c r="F142" s="13">
        <v>42990.896111111113</v>
      </c>
      <c r="G142" s="7">
        <v>128</v>
      </c>
      <c r="H142" s="21" t="s">
        <v>862</v>
      </c>
      <c r="I142" s="13">
        <v>42990.920624999999</v>
      </c>
      <c r="J142" s="7">
        <v>0</v>
      </c>
      <c r="K142" s="89" t="str">
        <f>IF(ISEVEN(B142),(B142-1)&amp;"/"&amp;B142,B142&amp;"/"&amp;(B142+1))</f>
        <v>4001/4002</v>
      </c>
      <c r="L142" s="214" t="str">
        <f>VLOOKUP(A142,'Trips&amp;Operators'!$C$1:$G$99911,5,FALSE)</f>
        <v>LOZA FIDEL</v>
      </c>
      <c r="M142" s="6">
        <f>I142-F142</f>
        <v>2.4513888885849155E-2</v>
      </c>
      <c r="N142" s="7">
        <f>24*60*SUM($M142:$M142)</f>
        <v>35.299999995622784</v>
      </c>
      <c r="O142" s="7"/>
      <c r="P142" s="7"/>
      <c r="Q142" s="22"/>
      <c r="R142" s="167"/>
      <c r="S142" s="210">
        <f>1/IF(AG142="EC",12,1)*SUM(U142:U142)</f>
        <v>1</v>
      </c>
      <c r="T142" s="192" t="str">
        <f>IF(ISEVEN(LEFT(AD142,4)),"Southbound","NorthBound")</f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-12T20:13:24-0600',mode:absolute,to:'2017-09-12T23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4" t="str">
        <f>IF(AA142&lt;VLOOKUP(AG142,Variables!$AC$3:$AD$8,2,FALSE),"Y","N")</f>
        <v>N</v>
      </c>
      <c r="X142" s="194">
        <f>VALUE(LEFT(AD142,4))-VALUE(LEFT(AD141,4))</f>
        <v>1</v>
      </c>
      <c r="Y142" s="194">
        <f>RIGHT(D142,LEN(D142)-4)/10000</f>
        <v>4.6199999999999998E-2</v>
      </c>
      <c r="Z142" s="194">
        <f>RIGHT(H142,LEN(H142)-4)/10000</f>
        <v>23.3325</v>
      </c>
      <c r="AA142" s="194">
        <f>ABS(Z142-Y142)</f>
        <v>23.286300000000001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>VALUE(LEFT(A142,LEN(A142)-3))</f>
        <v>231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/stypes="app*4002*20170913*" /stext=" 04:.+((SYSTEM_STATE.+slice.+state.+changed )|(ment ac)|(multiple cpu faults)|(system.+state.+changed )|(\[timeout)|(PRM\|1\|D)|(kpr)|(kdp)|(train st.+moving)|(\|lc)|(penalty))"</v>
      </c>
      <c r="AG142" s="206" t="str">
        <f>DetSubdiv(A142)</f>
        <v>EC</v>
      </c>
      <c r="AH142" s="78" t="str">
        <f t="shared" ref="AH142:AH210" si="1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231-12 --locoid 4002 --swversion DE.1.0.9.0 --startMP 204:462 --initTime 2017-09-12T21:13:24 --startdatetime 2017-09-12T21:30:24 --delay 128 --endMP 204:233325 --enddatetime 2017-09-12T22:05:42 --enforcementcount 0 &gt;&gt;C:\Users\stu\Documents\GitHub\eaglep3-reporting\EC\2017-09-12-refined-times.txt</v>
      </c>
      <c r="AI142" s="96" t="str">
        <f t="shared" ref="AI142:AI210" si="1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{"issue":{"subject":"","project_id":79,"tracker_id":40,"status_id":1,"priority_id":2,"assigned_to_id":338,"start_date":"2017-09-12","description":"","custom_fields":[{"id":1,"name":"Subdivision","value":"EC"},{"id":4,"name":"Milepost","value":"23.3325"},{"id":17,"name":"Train ID","value":"231-12"},{"id":16,"name":"Locomotive ID","value":"4002"},{"id":130,"name":"Impact","value":""},{"id":150,"name":"Time of Event (Mountain Time)","value":"22:05:42"},{"id":151,"name":"Denver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10" si="14">"start /low /b "&amp;dls3logs&amp;" --loco "&amp;B142&amp;" --day "&amp;TEXT(F142,"YYYY-MM-DD")</f>
        <v>start /low /b %USERPROFILE%\Documents\GitHub\eaglep3\Utilities\DownloadLogsFromS3.py --loco 4002 --day 2017-09-12</v>
      </c>
      <c r="AN142" s="151" t="str">
        <f t="shared" ref="AN142:AN210" si="1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04:05:42"},{"id":29,"name":"Sharepoint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810</v>
      </c>
      <c r="B143" s="7">
        <v>4001</v>
      </c>
      <c r="C143" s="21" t="s">
        <v>197</v>
      </c>
      <c r="D143" s="21" t="s">
        <v>492</v>
      </c>
      <c r="E143" s="13">
        <v>42990.933819444443</v>
      </c>
      <c r="F143" s="13">
        <v>42990.935902777775</v>
      </c>
      <c r="G143" s="7">
        <v>62</v>
      </c>
      <c r="H143" s="21" t="s">
        <v>527</v>
      </c>
      <c r="I143" s="13">
        <v>42990.961446759262</v>
      </c>
      <c r="J143" s="7">
        <v>0</v>
      </c>
      <c r="K143" s="89" t="str">
        <f>IF(ISEVEN(B143),(B143-1)&amp;"/"&amp;B143,B143&amp;"/"&amp;(B143+1))</f>
        <v>4001/4002</v>
      </c>
      <c r="L143" s="214" t="str">
        <f>VLOOKUP(A143,'Trips&amp;Operators'!$C$1:$G$99911,5,FALSE)</f>
        <v>LOZA FIDEL</v>
      </c>
      <c r="M143" s="6">
        <f>I143-F143</f>
        <v>2.5543981486407574E-2</v>
      </c>
      <c r="N143" s="7">
        <f>24*60*SUM($M143:$M143)</f>
        <v>36.783333340426907</v>
      </c>
      <c r="O143" s="7"/>
      <c r="P143" s="7"/>
      <c r="Q143" s="22"/>
      <c r="R143" s="167"/>
      <c r="S143" s="210">
        <f>1/IF(AG143="EC",12,1)*SUM(U143:U143)</f>
        <v>1</v>
      </c>
      <c r="T143" s="192" t="str">
        <f>IF(ISEVEN(LEFT(AD143,4)),"Southbound","NorthBound")</f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-12T21:24:42-0600',mode:absolute,to:'2017-09-13T00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94" t="str">
        <f>IF(AA143&lt;VLOOKUP(AG143,Variables!$AC$3:$AD$8,2,FALSE),"Y","N")</f>
        <v>N</v>
      </c>
      <c r="X143" s="194">
        <f>VALUE(LEFT(AD143,4))-VALUE(LEFT(AD142,4))</f>
        <v>1</v>
      </c>
      <c r="Y143" s="194">
        <f>RIGHT(D143,LEN(D143)-4)/10000</f>
        <v>23.3002</v>
      </c>
      <c r="Z143" s="194">
        <f>RIGHT(H143,LEN(H143)-4)/10000</f>
        <v>1.54E-2</v>
      </c>
      <c r="AA143" s="194">
        <f>ABS(Z143-Y143)</f>
        <v>23.284800000000001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>VALUE(LEFT(A143,LEN(A143)-3))</f>
        <v>232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/stypes="app*4001*20170913*" /stext=" 05:.+((SYSTEM_STATE.+slice.+state.+changed )|(ment ac)|(multiple cpu faults)|(system.+state.+changed )|(\[timeout)|(PRM\|1\|D)|(kpr)|(kdp)|(train st.+moving)|(\|lc)|(penalty))"</v>
      </c>
      <c r="AG143" s="206" t="str">
        <f>DetSubdiv(A143)</f>
        <v>EC</v>
      </c>
      <c r="AH143" s="78" t="str">
        <f t="shared" si="12"/>
        <v>"%USERPROFILE%\Documents\GitHub\eaglep3\Utilities\RefineRTDCRunTimes.py" --tripid 232-12 --locoid 4001 --swversion DE.1.0.9.0 --startMP 204:233002 --initTime 2017-09-12T22:24:42 --startdatetime 2017-09-12T22:27:42 --delay 62 --endMP 204:154 --enddatetime 2017-09-12T23:04:29 --enforcementcount 0 &gt;&gt;C:\Users\stu\Documents\GitHub\eaglep3-reporting\EC\2017-09-12-refined-times.txt</v>
      </c>
      <c r="AI143" s="96" t="str">
        <f t="shared" si="13"/>
        <v>echo {"issue":{"subject":"","project_id":79,"tracker_id":40,"status_id":1,"priority_id":2,"assigned_to_id":338,"start_date":"2017-09-12","description":"","custom_fields":[{"id":1,"name":"Subdivision","value":"EC"},{"id":4,"name":"Milepost","value":"0.0154"},{"id":17,"name":"Train ID","value":"232-12"},{"id":16,"name":"Locomotive ID","value":"4001"},{"id":130,"name":"Impact","value":""},{"id":150,"name":"Time of Event (Mountain Time)","value":"23:04:29"},{"id":151,"name":"Denver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14"/>
        <v>start /low /b %USERPROFILE%\Documents\GitHub\eaglep3\Utilities\DownloadLogsFromS3.py --loco 4001 --day 2017-09-12</v>
      </c>
      <c r="AN143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05:04:29"},{"id":29,"name":"Sharepoint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808</v>
      </c>
      <c r="B144" s="7">
        <v>4058</v>
      </c>
      <c r="C144" s="21" t="s">
        <v>197</v>
      </c>
      <c r="D144" s="21" t="s">
        <v>872</v>
      </c>
      <c r="E144" s="13">
        <v>42990.903958333336</v>
      </c>
      <c r="F144" s="13">
        <v>42990.917002314818</v>
      </c>
      <c r="G144" s="7">
        <v>58</v>
      </c>
      <c r="H144" s="21" t="s">
        <v>873</v>
      </c>
      <c r="I144" s="13">
        <v>42990.941365740742</v>
      </c>
      <c r="J144" s="7">
        <v>0</v>
      </c>
      <c r="K144" s="89" t="str">
        <f>IF(ISEVEN(B144),(B144-1)&amp;"/"&amp;B144,B144&amp;"/"&amp;(B144+1))</f>
        <v>4057/4058</v>
      </c>
      <c r="L144" s="214" t="str">
        <f>VLOOKUP(A144,'Trips&amp;Operators'!$C$1:$G$99911,5,FALSE)</f>
        <v>PERKINS DARREN</v>
      </c>
      <c r="M144" s="6">
        <f>I144-F144</f>
        <v>2.4363425924093463E-2</v>
      </c>
      <c r="N144" s="7">
        <f>24*60*SUM($M144:$M144)</f>
        <v>35.083333330694586</v>
      </c>
      <c r="O144" s="7"/>
      <c r="P144" s="7"/>
      <c r="Q144" s="22"/>
      <c r="R144" s="167"/>
      <c r="S144" s="210">
        <f>1/IF(AG144="EC",12,1)*SUM(U144:U144)</f>
        <v>1</v>
      </c>
      <c r="T144" s="192" t="str">
        <f>IF(ISEVEN(LEFT(AD144,4)),"Southbound","NorthBound")</f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-12T20:41:42-0600',mode:absolute,to:'2017-09-12T23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4" s="194" t="str">
        <f>IF(AA144&lt;VLOOKUP(AG144,Variables!$AC$3:$AD$8,2,FALSE),"Y","N")</f>
        <v>N</v>
      </c>
      <c r="X144" s="194">
        <f>VALUE(LEFT(AD144,4))-VALUE(LEFT(AD143,4))</f>
        <v>1</v>
      </c>
      <c r="Y144" s="194">
        <f>RIGHT(D144,LEN(D144)-4)/10000</f>
        <v>4.1799999999999997E-2</v>
      </c>
      <c r="Z144" s="194">
        <f>RIGHT(H144,LEN(H144)-4)/10000</f>
        <v>23.338000000000001</v>
      </c>
      <c r="AA144" s="194">
        <f>ABS(Z144-Y144)</f>
        <v>23.296200000000002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>VALUE(LEFT(A144,LEN(A144)-3))</f>
        <v>233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/stypes="app*4058*20170913*" /stext=" 04:.+((SYSTEM_STATE.+slice.+state.+changed )|(ment ac)|(multiple cpu faults)|(system.+state.+changed )|(\[timeout)|(PRM\|1\|D)|(kpr)|(kdp)|(train st.+moving)|(\|lc)|(penalty))"</v>
      </c>
      <c r="AG144" s="206" t="str">
        <f>DetSubdiv(A144)</f>
        <v>EC</v>
      </c>
      <c r="AH144" s="78" t="str">
        <f t="shared" si="12"/>
        <v>"%USERPROFILE%\Documents\GitHub\eaglep3\Utilities\RefineRTDCRunTimes.py" --tripid 233-12 --locoid 4058 --swversion DE.1.0.9.0 --startMP 204:418 --initTime 2017-09-12T21:41:42 --startdatetime 2017-09-12T22:00:29 --delay 58 --endMP 204:233380 --enddatetime 2017-09-12T22:35:34 --enforcementcount 0 &gt;&gt;C:\Users\stu\Documents\GitHub\eaglep3-reporting\EC\2017-09-12-refined-times.txt</v>
      </c>
      <c r="AI144" s="96" t="str">
        <f t="shared" si="13"/>
        <v>echo {"issue":{"subject":"","project_id":79,"tracker_id":40,"status_id":1,"priority_id":2,"assigned_to_id":338,"start_date":"2017-09-12","description":"","custom_fields":[{"id":1,"name":"Subdivision","value":"EC"},{"id":4,"name":"Milepost","value":"23.338"},{"id":17,"name":"Train ID","value":"233-12"},{"id":16,"name":"Locomotive ID","value":"4058"},{"id":130,"name":"Impact","value":""},{"id":150,"name":"Time of Event (Mountain Time)","value":"22:35:34"},{"id":151,"name":"Denver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14"/>
        <v>start /low /b %USERPROFILE%\Documents\GitHub\eaglep3\Utilities\DownloadLogsFromS3.py --loco 4058 --day 2017-09-12</v>
      </c>
      <c r="AN144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04:35:34"},{"id":29,"name":"Sharepoint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813</v>
      </c>
      <c r="B145" s="7">
        <v>4057</v>
      </c>
      <c r="C145" s="21" t="s">
        <v>197</v>
      </c>
      <c r="D145" s="21" t="s">
        <v>874</v>
      </c>
      <c r="E145" s="13">
        <v>42990.943287037036</v>
      </c>
      <c r="F145" s="13">
        <v>42990.956550925926</v>
      </c>
      <c r="G145" s="7">
        <v>91</v>
      </c>
      <c r="H145" s="21" t="s">
        <v>875</v>
      </c>
      <c r="I145" s="13">
        <v>42990.983888888892</v>
      </c>
      <c r="J145" s="7">
        <v>0</v>
      </c>
      <c r="K145" s="89" t="str">
        <f>IF(ISEVEN(B145),(B145-1)&amp;"/"&amp;B145,B145&amp;"/"&amp;(B145+1))</f>
        <v>4057/4058</v>
      </c>
      <c r="L145" s="214" t="str">
        <f>VLOOKUP(A145,'Trips&amp;Operators'!$C$1:$G$99911,5,FALSE)</f>
        <v>PERKINS DARREN</v>
      </c>
      <c r="M145" s="6">
        <f>I145-F145</f>
        <v>2.7337962965248153E-2</v>
      </c>
      <c r="N145" s="7">
        <f>24*60*SUM($M145:$M145)</f>
        <v>39.36666666995734</v>
      </c>
      <c r="O145" s="7"/>
      <c r="P145" s="7"/>
      <c r="Q145" s="22"/>
      <c r="R145" s="167"/>
      <c r="S145" s="210">
        <f>1/IF(AG145="EC",12,1)*SUM(U145:U145)</f>
        <v>1</v>
      </c>
      <c r="T145" s="192" t="str">
        <f>IF(ISEVEN(LEFT(AD145,4)),"Southbound","NorthBound")</f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-12T21:38:20-0600',mode:absolute,to:'2017-09-13T00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5" s="194" t="str">
        <f>IF(AA145&lt;VLOOKUP(AG145,Variables!$AC$3:$AD$8,2,FALSE),"Y","N")</f>
        <v>N</v>
      </c>
      <c r="X145" s="194">
        <f>VALUE(LEFT(AD145,4))-VALUE(LEFT(AD144,4))</f>
        <v>1</v>
      </c>
      <c r="Y145" s="194">
        <f>RIGHT(D145,LEN(D145)-4)/10000</f>
        <v>23.306799999999999</v>
      </c>
      <c r="Z145" s="194">
        <f>RIGHT(H145,LEN(H145)-4)/10000</f>
        <v>1.2999999999999999E-2</v>
      </c>
      <c r="AA145" s="194">
        <f>ABS(Z145-Y145)</f>
        <v>23.293799999999997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>VALUE(LEFT(A145,LEN(A145)-3))</f>
        <v>234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/stypes="app*4057*20170913*" /stext=" 05:.+((SYSTEM_STATE.+slice.+state.+changed )|(ment ac)|(multiple cpu faults)|(system.+state.+changed )|(\[timeout)|(PRM\|1\|D)|(kpr)|(kdp)|(train st.+moving)|(\|lc)|(penalty))"</v>
      </c>
      <c r="AG145" s="206" t="str">
        <f>DetSubdiv(A145)</f>
        <v>EC</v>
      </c>
      <c r="AH145" s="78" t="str">
        <f t="shared" si="12"/>
        <v>"%USERPROFILE%\Documents\GitHub\eaglep3\Utilities\RefineRTDCRunTimes.py" --tripid 234-12 --locoid 4057 --swversion DE.1.0.9.0 --startMP 204:233068 --initTime 2017-09-12T22:38:20 --startdatetime 2017-09-12T22:57:26 --delay 91 --endMP 204:130 --enddatetime 2017-09-12T23:36:48 --enforcementcount 0 &gt;&gt;C:\Users\stu\Documents\GitHub\eaglep3-reporting\EC\2017-09-12-refined-times.txt</v>
      </c>
      <c r="AI145" s="96" t="str">
        <f t="shared" si="13"/>
        <v>echo {"issue":{"subject":"","project_id":79,"tracker_id":40,"status_id":1,"priority_id":2,"assigned_to_id":338,"start_date":"2017-09-12","description":"","custom_fields":[{"id":1,"name":"Subdivision","value":"EC"},{"id":4,"name":"Milepost","value":"0.013"},{"id":17,"name":"Train ID","value":"234-12"},{"id":16,"name":"Locomotive ID","value":"4057"},{"id":130,"name":"Impact","value":""},{"id":150,"name":"Time of Event (Mountain Time)","value":"23:36:48"},{"id":151,"name":"Denver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14"/>
        <v>start /low /b %USERPROFILE%\Documents\GitHub\eaglep3\Utilities\DownloadLogsFromS3.py --loco 4057 --day 2017-09-12</v>
      </c>
      <c r="AN145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05:36:48"},{"id":29,"name":"Sharepoint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811</v>
      </c>
      <c r="B146" s="7">
        <v>4030</v>
      </c>
      <c r="C146" s="21" t="s">
        <v>197</v>
      </c>
      <c r="D146" s="21" t="s">
        <v>350</v>
      </c>
      <c r="E146" s="13">
        <v>42990.934710648151</v>
      </c>
      <c r="F146" s="13">
        <v>42990.937858796293</v>
      </c>
      <c r="G146" s="7">
        <v>95</v>
      </c>
      <c r="H146" s="21" t="s">
        <v>876</v>
      </c>
      <c r="I146" s="13">
        <v>42990.962939814817</v>
      </c>
      <c r="J146" s="7">
        <v>0</v>
      </c>
      <c r="K146" s="89" t="str">
        <f>IF(ISEVEN(B146),(B146-1)&amp;"/"&amp;B146,B146&amp;"/"&amp;(B146+1))</f>
        <v>4029/4030</v>
      </c>
      <c r="L146" s="214" t="str">
        <f>VLOOKUP(A146,'Trips&amp;Operators'!$C$1:$G$99911,5,FALSE)</f>
        <v>HART KEVIN</v>
      </c>
      <c r="M146" s="6">
        <f>I146-F146</f>
        <v>2.5081018524360843E-2</v>
      </c>
      <c r="N146" s="7">
        <f>24*60*SUM($M146:$M146)</f>
        <v>36.116666675079614</v>
      </c>
      <c r="O146" s="7"/>
      <c r="P146" s="7"/>
      <c r="Q146" s="22"/>
      <c r="R146" s="167"/>
      <c r="S146" s="210">
        <f>1/IF(AG146="EC",12,1)*SUM(U146:U146)</f>
        <v>1</v>
      </c>
      <c r="T146" s="192" t="str">
        <f>IF(ISEVEN(LEFT(AD146,4)),"Southbound","NorthBound")</f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-12T21:25:59-0600',mode:absolute,to:'2017-09-13T00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94" t="str">
        <f>IF(AA146&lt;VLOOKUP(AG146,Variables!$AC$3:$AD$8,2,FALSE),"Y","N")</f>
        <v>N</v>
      </c>
      <c r="X146" s="194">
        <f>VALUE(LEFT(AD146,4))-VALUE(LEFT(AD145,4))</f>
        <v>1</v>
      </c>
      <c r="Y146" s="194">
        <f>RIGHT(D146,LEN(D146)-4)/10000</f>
        <v>4.5499999999999999E-2</v>
      </c>
      <c r="Z146" s="194">
        <f>RIGHT(H146,LEN(H146)-4)/10000</f>
        <v>23.3306</v>
      </c>
      <c r="AA146" s="194">
        <f>ABS(Z146-Y146)</f>
        <v>23.2851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>VALUE(LEFT(A146,LEN(A146)-3))</f>
        <v>235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/stypes="app*4030*20170913*" /stext=" 05:.+((SYSTEM_STATE.+slice.+state.+changed )|(ment ac)|(multiple cpu faults)|(system.+state.+changed )|(\[timeout)|(PRM\|1\|D)|(kpr)|(kdp)|(train st.+moving)|(\|lc)|(penalty))"</v>
      </c>
      <c r="AG146" s="206" t="str">
        <f>DetSubdiv(A146)</f>
        <v>EC</v>
      </c>
      <c r="AH146" s="78" t="str">
        <f t="shared" si="12"/>
        <v>"%USERPROFILE%\Documents\GitHub\eaglep3\Utilities\RefineRTDCRunTimes.py" --tripid 235-12 --locoid 4030 --swversion DE.1.0.9.0 --startMP 204:455 --initTime 2017-09-12T22:25:59 --startdatetime 2017-09-12T22:30:31 --delay 95 --endMP 204:233306 --enddatetime 2017-09-12T23:06:38 --enforcementcount 0 &gt;&gt;C:\Users\stu\Documents\GitHub\eaglep3-reporting\EC\2017-09-12-refined-times.txt</v>
      </c>
      <c r="AI146" s="96" t="str">
        <f t="shared" si="13"/>
        <v>echo {"issue":{"subject":"","project_id":79,"tracker_id":40,"status_id":1,"priority_id":2,"assigned_to_id":338,"start_date":"2017-09-12","description":"","custom_fields":[{"id":1,"name":"Subdivision","value":"EC"},{"id":4,"name":"Milepost","value":"23.3306"},{"id":17,"name":"Train ID","value":"235-12"},{"id":16,"name":"Locomotive ID","value":"4030"},{"id":130,"name":"Impact","value":""},{"id":150,"name":"Time of Event (Mountain Time)","value":"23:06:38"},{"id":151,"name":"Denver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14"/>
        <v>start /low /b %USERPROFILE%\Documents\GitHub\eaglep3\Utilities\DownloadLogsFromS3.py --loco 4030 --day 2017-09-12</v>
      </c>
      <c r="AN146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05:06:38"},{"id":29,"name":"Sharepoint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815</v>
      </c>
      <c r="B147" s="7">
        <v>4029</v>
      </c>
      <c r="C147" s="21" t="s">
        <v>197</v>
      </c>
      <c r="D147" s="21" t="s">
        <v>476</v>
      </c>
      <c r="E147" s="13">
        <v>42990.973877314813</v>
      </c>
      <c r="F147" s="13">
        <v>42990.977326388886</v>
      </c>
      <c r="G147" s="7">
        <v>68</v>
      </c>
      <c r="H147" s="21" t="s">
        <v>339</v>
      </c>
      <c r="I147" s="13">
        <v>42991.00304398148</v>
      </c>
      <c r="J147" s="7">
        <v>0</v>
      </c>
      <c r="K147" s="89" t="str">
        <f>IF(ISEVEN(B147),(B147-1)&amp;"/"&amp;B147,B147&amp;"/"&amp;(B147+1))</f>
        <v>4029/4030</v>
      </c>
      <c r="L147" s="214" t="str">
        <f>VLOOKUP(A147,'Trips&amp;Operators'!$C$1:$G$99911,5,FALSE)</f>
        <v>HART KEVIN</v>
      </c>
      <c r="M147" s="6">
        <f>I147-F147</f>
        <v>2.5717592594446614E-2</v>
      </c>
      <c r="N147" s="7">
        <f>24*60*SUM($M147:$M147)</f>
        <v>37.033333336003125</v>
      </c>
      <c r="O147" s="7"/>
      <c r="P147" s="7"/>
      <c r="Q147" s="22"/>
      <c r="R147" s="167"/>
      <c r="S147" s="210">
        <f>1/IF(AG147="EC",12,1)*SUM(U147:U147)</f>
        <v>1</v>
      </c>
      <c r="T147" s="192" t="str">
        <f>IF(ISEVEN(LEFT(AD147,4)),"Southbound","NorthBound")</f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-12T22:22:23-0600',mode:absolute,to:'2017-09-13T01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194" t="str">
        <f>IF(AA147&lt;VLOOKUP(AG147,Variables!$AC$3:$AD$8,2,FALSE),"Y","N")</f>
        <v>N</v>
      </c>
      <c r="X147" s="194">
        <f>VALUE(LEFT(AD147,4))-VALUE(LEFT(AD146,4))</f>
        <v>1</v>
      </c>
      <c r="Y147" s="194">
        <f>RIGHT(D147,LEN(D147)-4)/10000</f>
        <v>23.2989</v>
      </c>
      <c r="Z147" s="194">
        <f>RIGHT(H147,LEN(H147)-4)/10000</f>
        <v>1.49E-2</v>
      </c>
      <c r="AA147" s="194">
        <f>ABS(Z147-Y147)</f>
        <v>23.283999999999999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>VALUE(LEFT(A147,LEN(A147)-3))</f>
        <v>236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/stypes="app*4029*20170913*" /stext=" 06:.+((SYSTEM_STATE.+slice.+state.+changed )|(ment ac)|(multiple cpu faults)|(system.+state.+changed )|(\[timeout)|(PRM\|1\|D)|(kpr)|(kdp)|(train st.+moving)|(\|lc)|(penalty))"</v>
      </c>
      <c r="AG147" s="206" t="str">
        <f>DetSubdiv(A147)</f>
        <v>EC</v>
      </c>
      <c r="AH147" s="78" t="str">
        <f t="shared" si="12"/>
        <v>"%USERPROFILE%\Documents\GitHub\eaglep3\Utilities\RefineRTDCRunTimes.py" --tripid 236-12 --locoid 4029 --swversion DE.1.0.9.0 --startMP 204:232989 --initTime 2017-09-12T23:22:23 --startdatetime 2017-09-12T23:27:21 --delay 68 --endMP 204:149 --enddatetime 2017-09-13T00:04:23 --enforcementcount 0 &gt;&gt;C:\Users\stu\Documents\GitHub\eaglep3-reporting\EC\2017-09-12-refined-times.txt</v>
      </c>
      <c r="AI147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{"issue":{"subject":"","project_id":79,"tracker_id":40,"status_id":1,"priority_id":2,"assigned_to_id":338,"start_date":"2017-09-13","description":"","custom_fields":[{"id":1,"name":"Subdivision","value":"EC"},{"id":4,"name":"Milepost","value":"0.0149"},{"id":17,"name":"Train ID","value":"236-12"},{"id":16,"name":"Locomotive ID","value":"4029"},{"id":130,"name":"Impact","value":""},{"id":150,"name":"Time of Event (Mountain Time)","value":"00:04:23"},{"id":151,"name":"Denver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14"/>
        <v>start /low /b %USERPROFILE%\Documents\GitHub\eaglep3\Utilities\DownloadLogsFromS3.py --loco 4029 --day 2017-09-12</v>
      </c>
      <c r="AN147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06:04:23"},{"id":29,"name":"Sharepoint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812</v>
      </c>
      <c r="B148" s="7">
        <v>4062</v>
      </c>
      <c r="C148" s="21" t="s">
        <v>197</v>
      </c>
      <c r="D148" s="21" t="s">
        <v>544</v>
      </c>
      <c r="E148" s="13">
        <v>42990.943495370368</v>
      </c>
      <c r="F148" s="13">
        <v>42990.958506944444</v>
      </c>
      <c r="G148" s="7">
        <v>67</v>
      </c>
      <c r="H148" s="21" t="s">
        <v>550</v>
      </c>
      <c r="I148" s="13">
        <v>42990.983819444446</v>
      </c>
      <c r="J148" s="7">
        <v>0</v>
      </c>
      <c r="K148" s="89" t="str">
        <f>IF(ISEVEN(B148),(B148-1)&amp;"/"&amp;B148,B148&amp;"/"&amp;(B148+1))</f>
        <v>4061/4062</v>
      </c>
      <c r="L148" s="214" t="str">
        <f>VLOOKUP(A148,'Trips&amp;Operators'!$C$1:$G$99911,5,FALSE)</f>
        <v>DUNCAN SHEILA</v>
      </c>
      <c r="M148" s="6">
        <f>I148-F148</f>
        <v>2.531250000174623E-2</v>
      </c>
      <c r="N148" s="7">
        <f>24*60*SUM($M148:$M148)</f>
        <v>36.450000002514571</v>
      </c>
      <c r="O148" s="7"/>
      <c r="P148" s="7"/>
      <c r="Q148" s="22"/>
      <c r="R148" s="167"/>
      <c r="S148" s="210">
        <f>1/IF(AG148="EC",12,1)*SUM(U148:U148)</f>
        <v>1</v>
      </c>
      <c r="T148" s="192" t="str">
        <f>IF(ISEVEN(LEFT(AD148,4)),"Southbound","NorthBound")</f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-09-12T21:38:38-0600',mode:absolute,to:'2017-09-13T00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8" s="194" t="str">
        <f>IF(AA148&lt;VLOOKUP(AG148,Variables!$AC$3:$AD$8,2,FALSE),"Y","N")</f>
        <v>N</v>
      </c>
      <c r="X148" s="194">
        <f>VALUE(LEFT(AD148,4))-VALUE(LEFT(AD147,4))</f>
        <v>1</v>
      </c>
      <c r="Y148" s="194">
        <f>RIGHT(D148,LEN(D148)-4)/10000</f>
        <v>4.6600000000000003E-2</v>
      </c>
      <c r="Z148" s="194">
        <f>RIGHT(H148,LEN(H148)-4)/10000</f>
        <v>23.332699999999999</v>
      </c>
      <c r="AA148" s="194">
        <f>ABS(Z148-Y148)</f>
        <v>23.286099999999998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>VALUE(LEFT(A148,LEN(A148)-3))</f>
        <v>237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s3://rtdc.mdm.uploadarchive.raw/RTDC4062/ "%USERPROFILE%\AppData\Local\Temp\OnboardLogs"\RTDC4062\2017-09-12 --exclude "*" --recursive --include "*20170912*" &amp; "%USERPROFILE%\Documents\GitHub\mrs-test-scripts\Headless Mode &amp; Sideloading\WalkAndUnGZ.bat" "%USERPROFILE%\AppData\Local\Temp\OnboardLogs"\RTDC4062\2017-09-12 &amp; 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/stypes="app*4062*20170913*" /stext=" 05:.+((SYSTEM_STATE.+slice.+state.+changed )|(ment ac)|(multiple cpu faults)|(system.+state.+changed )|(\[timeout)|(PRM\|1\|D)|(kpr)|(kdp)|(train st.+moving)|(\|lc)|(penalty))"</v>
      </c>
      <c r="AG148" s="206" t="str">
        <f>DetSubdiv(A148)</f>
        <v>EC</v>
      </c>
      <c r="AH148" s="78" t="str">
        <f t="shared" si="12"/>
        <v>"%USERPROFILE%\Documents\GitHub\eaglep3\Utilities\RefineRTDCRunTimes.py" --tripid 237-12 --locoid 4062 --swversion DE.1.0.9.0 --startMP 204:466 --initTime 2017-09-12T22:38:38 --startdatetime 2017-09-12T23:00:15 --delay 67 --endMP 204:233327 --enddatetime 2017-09-12T23:36:42 --enforcementcount 0 &gt;&gt;C:\Users\stu\Documents\GitHub\eaglep3-reporting\EC\2017-09-12-refined-times.txt</v>
      </c>
      <c r="AI148" s="96" t="str">
        <f t="shared" si="13"/>
        <v>echo {"issue":{"subject":"","project_id":79,"tracker_id":40,"status_id":1,"priority_id":2,"assigned_to_id":338,"start_date":"2017-09-12","description":"","custom_fields":[{"id":1,"name":"Subdivision","value":"EC"},{"id":4,"name":"Milepost","value":"23.3327"},{"id":17,"name":"Train ID","value":"237-12"},{"id":16,"name":"Locomotive ID","value":"4062"},{"id":130,"name":"Impact","value":""},{"id":150,"name":"Time of Event (Mountain Time)","value":"23:36:42"},{"id":151,"name":"Denver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14"/>
        <v>start /low /b %USERPROFILE%\Documents\GitHub\eaglep3\Utilities\DownloadLogsFromS3.py --loco 4062 --day 2017-09-12</v>
      </c>
      <c r="AN148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819</v>
      </c>
      <c r="B149" s="7">
        <v>4061</v>
      </c>
      <c r="C149" s="21" t="s">
        <v>197</v>
      </c>
      <c r="D149" s="21" t="s">
        <v>877</v>
      </c>
      <c r="E149" s="13">
        <v>42990.98578703704</v>
      </c>
      <c r="F149" s="13">
        <v>42990.998159722221</v>
      </c>
      <c r="G149" s="7">
        <v>65</v>
      </c>
      <c r="H149" s="21" t="s">
        <v>527</v>
      </c>
      <c r="I149" s="13">
        <v>42991.025092592594</v>
      </c>
      <c r="J149" s="7">
        <v>0</v>
      </c>
      <c r="K149" s="89" t="str">
        <f>IF(ISEVEN(B149),(B149-1)&amp;"/"&amp;B149,B149&amp;"/"&amp;(B149+1))</f>
        <v>4061/4062</v>
      </c>
      <c r="L149" s="214" t="str">
        <f>VLOOKUP(A149,'Trips&amp;Operators'!$C$1:$G$99911,5,FALSE)</f>
        <v>DUNCAN SHEILA</v>
      </c>
      <c r="M149" s="6">
        <f>I149-F149</f>
        <v>2.6932870372547768E-2</v>
      </c>
      <c r="N149" s="7">
        <f>24*60*SUM($M149:$M149)</f>
        <v>38.783333336468786</v>
      </c>
      <c r="O149" s="7"/>
      <c r="P149" s="7"/>
      <c r="Q149" s="22"/>
      <c r="R149" s="167"/>
      <c r="S149" s="210">
        <f>1/IF(AG149="EC",12,1)*SUM(U149:U149)</f>
        <v>1</v>
      </c>
      <c r="T149" s="192" t="str">
        <f>IF(ISEVEN(LEFT(AD149,4)),"Southbound","NorthBound")</f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-12T22:39:32-0600',mode:absolute,to:'2017-09-13T01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9" s="194" t="str">
        <f>IF(AA149&lt;VLOOKUP(AG149,Variables!$AC$3:$AD$8,2,FALSE),"Y","N")</f>
        <v>N</v>
      </c>
      <c r="X149" s="194">
        <f>VALUE(LEFT(AD149,4))-VALUE(LEFT(AD148,4))</f>
        <v>1</v>
      </c>
      <c r="Y149" s="194">
        <f>RIGHT(D149,LEN(D149)-4)/10000</f>
        <v>23.303799999999999</v>
      </c>
      <c r="Z149" s="194">
        <f>RIGHT(H149,LEN(H149)-4)/10000</f>
        <v>1.54E-2</v>
      </c>
      <c r="AA149" s="194">
        <f>ABS(Z149-Y149)</f>
        <v>23.288399999999999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>VALUE(LEFT(A149,LEN(A149)-3))</f>
        <v>238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/stypes="app*4061*20170913*" /stext=" 06:.+((SYSTEM_STATE.+slice.+state.+changed )|(ment ac)|(multiple cpu faults)|(system.+state.+changed )|(\[timeout)|(PRM\|1\|D)|(kpr)|(kdp)|(train st.+moving)|(\|lc)|(penalty))"</v>
      </c>
      <c r="AG149" s="206" t="str">
        <f>DetSubdiv(A149)</f>
        <v>EC</v>
      </c>
      <c r="AH149" s="78" t="str">
        <f t="shared" si="12"/>
        <v>"%USERPROFILE%\Documents\GitHub\eaglep3\Utilities\RefineRTDCRunTimes.py" --tripid 238-12 --locoid 4061 --swversion DE.1.0.9.0 --startMP 204:233038 --initTime 2017-09-12T23:39:32 --startdatetime 2017-09-12T23:57:21 --delay 65 --endMP 204:154 --enddatetime 2017-09-13T00:36:08 --enforcementcount 0 &gt;&gt;C:\Users\stu\Documents\GitHub\eaglep3-reporting\EC\2017-09-12-refined-times.txt</v>
      </c>
      <c r="AI149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{"issue":{"subject":"","project_id":79,"tracker_id":40,"status_id":1,"priority_id":2,"assigned_to_id":338,"start_date":"2017-09-13","description":"","custom_fields":[{"id":1,"name":"Subdivision","value":"EC"},{"id":4,"name":"Milepost","value":"0.0154"},{"id":17,"name":"Train ID","value":"238-12"},{"id":16,"name":"Locomotive ID","value":"4061"},{"id":130,"name":"Impact","value":""},{"id":150,"name":"Time of Event (Mountain Time)","value":"00:36:08"},{"id":151,"name":"Denver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14"/>
        <v>start /low /b %USERPROFILE%\Documents\GitHub\eaglep3\Utilities\DownloadLogsFromS3.py --loco 4061 --day 2017-09-12</v>
      </c>
      <c r="AN149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817</v>
      </c>
      <c r="B150" s="7">
        <v>4002</v>
      </c>
      <c r="C150" s="21" t="s">
        <v>197</v>
      </c>
      <c r="D150" s="21" t="s">
        <v>350</v>
      </c>
      <c r="E150" s="13">
        <v>42990.976875</v>
      </c>
      <c r="F150" s="13">
        <v>42990.979409722226</v>
      </c>
      <c r="G150" s="7">
        <v>65</v>
      </c>
      <c r="H150" s="21" t="s">
        <v>545</v>
      </c>
      <c r="I150" s="13">
        <v>42991.004050925927</v>
      </c>
      <c r="J150" s="7">
        <v>0</v>
      </c>
      <c r="K150" s="89" t="str">
        <f>IF(ISEVEN(B150),(B150-1)&amp;"/"&amp;B150,B150&amp;"/"&amp;(B150+1))</f>
        <v>4001/4002</v>
      </c>
      <c r="L150" s="214" t="str">
        <f>VLOOKUP(A150,'Trips&amp;Operators'!$C$1:$G$99911,5,FALSE)</f>
        <v>LOZA FIDEL</v>
      </c>
      <c r="M150" s="6">
        <f>I150-F150</f>
        <v>2.4641203701321501E-2</v>
      </c>
      <c r="N150" s="7">
        <f>24*60*SUM($M150:$M150)</f>
        <v>35.483333329902962</v>
      </c>
      <c r="O150" s="7"/>
      <c r="P150" s="7"/>
      <c r="Q150" s="22"/>
      <c r="R150" s="167"/>
      <c r="S150" s="210">
        <f>1/IF(AG150="EC",12,1)*SUM(U150:U150)</f>
        <v>1</v>
      </c>
      <c r="T150" s="192" t="str">
        <f>IF(ISEVEN(LEFT(AD150,4)),"Southbound","NorthBound")</f>
        <v>NorthBound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-12T22:26:42-0600',mode:absolute,to:'2017-09-13T01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4" t="str">
        <f>IF(AA150&lt;VLOOKUP(AG150,Variables!$AC$3:$AD$8,2,FALSE),"Y","N")</f>
        <v>N</v>
      </c>
      <c r="X150" s="194">
        <f>VALUE(LEFT(AD150,4))-VALUE(LEFT(AD149,4))</f>
        <v>1</v>
      </c>
      <c r="Y150" s="194">
        <f>RIGHT(D150,LEN(D150)-4)/10000</f>
        <v>4.5499999999999999E-2</v>
      </c>
      <c r="Z150" s="194">
        <f>RIGHT(H150,LEN(H150)-4)/10000</f>
        <v>23.332899999999999</v>
      </c>
      <c r="AA150" s="194">
        <f>ABS(Z150-Y150)</f>
        <v>23.287399999999998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>VALUE(LEFT(A150,LEN(A150)-3))</f>
        <v>239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/stypes="app*4002*20170913*" /stext=" 06:.+((SYSTEM_STATE.+slice.+state.+changed )|(ment ac)|(multiple cpu faults)|(system.+state.+changed )|(\[timeout)|(PRM\|1\|D)|(kpr)|(kdp)|(train st.+moving)|(\|lc)|(penalty))"</v>
      </c>
      <c r="AG150" s="206" t="str">
        <f>DetSubdiv(A150)</f>
        <v>EC</v>
      </c>
      <c r="AH150" s="78" t="str">
        <f t="shared" si="12"/>
        <v>"%USERPROFILE%\Documents\GitHub\eaglep3\Utilities\RefineRTDCRunTimes.py" --tripid 239-12 --locoid 4002 --swversion DE.1.0.9.0 --startMP 204:455 --initTime 2017-09-12T23:26:42 --startdatetime 2017-09-12T23:30:21 --delay 65 --endMP 204:233329 --enddatetime 2017-09-13T00:05:50 --enforcementcount 0 &gt;&gt;C:\Users\stu\Documents\GitHub\eaglep3-reporting\EC\2017-09-12-refined-times.txt</v>
      </c>
      <c r="AI150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{"issue":{"subject":"","project_id":79,"tracker_id":40,"status_id":1,"priority_id":2,"assigned_to_id":338,"start_date":"2017-09-13","description":"","custom_fields":[{"id":1,"name":"Subdivision","value":"EC"},{"id":4,"name":"Milepost","value":"23.3329"},{"id":17,"name":"Train ID","value":"239-12"},{"id":16,"name":"Locomotive ID","value":"4002"},{"id":130,"name":"Impact","value":""},{"id":150,"name":"Time of Event (Mountain Time)","value":"00:05:50"},{"id":151,"name":"Denver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14"/>
        <v>start /low /b %USERPROFILE%\Documents\GitHub\eaglep3\Utilities\DownloadLogsFromS3.py --loco 4002 --day 2017-09-12</v>
      </c>
      <c r="AN150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06:05:50"},{"id":29,"name":"Sharepoint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820</v>
      </c>
      <c r="B151" s="7">
        <v>4001</v>
      </c>
      <c r="C151" s="21" t="s">
        <v>197</v>
      </c>
      <c r="D151" s="21" t="s">
        <v>829</v>
      </c>
      <c r="E151" s="13">
        <v>42991.015405092592</v>
      </c>
      <c r="F151" s="13">
        <v>42991.018935185188</v>
      </c>
      <c r="G151" s="7">
        <v>63</v>
      </c>
      <c r="H151" s="21" t="s">
        <v>410</v>
      </c>
      <c r="I151" s="13">
        <v>42991.044641203705</v>
      </c>
      <c r="J151" s="7">
        <v>0</v>
      </c>
      <c r="K151" s="89" t="str">
        <f>IF(ISEVEN(B151),(B151-1)&amp;"/"&amp;B151,B151&amp;"/"&amp;(B151+1))</f>
        <v>4001/4002</v>
      </c>
      <c r="L151" s="214" t="str">
        <f>VLOOKUP(A151,'Trips&amp;Operators'!$C$1:$G$99911,5,FALSE)</f>
        <v>LOZA FIDEL</v>
      </c>
      <c r="M151" s="6">
        <f>I151-F151</f>
        <v>2.5706018517666962E-2</v>
      </c>
      <c r="N151" s="7">
        <f>24*60*SUM($M151:$M151)</f>
        <v>37.016666665440425</v>
      </c>
      <c r="O151" s="7"/>
      <c r="P151" s="7"/>
      <c r="Q151" s="22"/>
      <c r="R151" s="167"/>
      <c r="S151" s="210">
        <f>1/IF(AG151="EC",12,1)*SUM(U151:U151)</f>
        <v>1</v>
      </c>
      <c r="T151" s="192" t="str">
        <f>IF(ISEVEN(LEFT(AD151,4)),"Southbound","NorthBound")</f>
        <v>Southbound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-12T23:22:11-0600',mode:absolute,to:'2017-09-13T02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4" t="str">
        <f>IF(AA151&lt;VLOOKUP(AG151,Variables!$AC$3:$AD$8,2,FALSE),"Y","N")</f>
        <v>N</v>
      </c>
      <c r="X151" s="194">
        <f>VALUE(LEFT(AD151,4))-VALUE(LEFT(AD150,4))</f>
        <v>1</v>
      </c>
      <c r="Y151" s="194">
        <f>RIGHT(D151,LEN(D151)-4)/10000</f>
        <v>23.3004</v>
      </c>
      <c r="Z151" s="194">
        <f>RIGHT(H151,LEN(H151)-4)/10000</f>
        <v>1.3899999999999999E-2</v>
      </c>
      <c r="AA151" s="194">
        <f>ABS(Z151-Y151)</f>
        <v>23.2865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>VALUE(LEFT(A151,LEN(A151)-3))</f>
        <v>240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 &amp; aws s3 cp s3://rtdc.mdm.uploadarchive.raw/RTDC4001/ "%USERPROFILE%\AppData\Local\Temp\OnboardLogs"\RTDC4001\2017-09-14 --exclude "*" --recursive --include "*20170914*" &amp; "%USERPROFILE%\Documents\GitHub\mrs-test-scripts\Headless Mode &amp; Sideloading\WalkAndUnGZ.bat" "%USERPROFILE%\AppData\Local\Temp\OnboardLogs"\RTDC4001\2017-09-14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/stypes="app*4001*20170913*" /stext=" 07:.+((SYSTEM_STATE.+slice.+state.+changed )|(ment ac)|(multiple cpu faults)|(system.+state.+changed )|(\[timeout)|(PRM\|1\|D)|(kpr)|(kdp)|(train st.+moving)|(\|lc)|(penalty))"</v>
      </c>
      <c r="AG151" s="206" t="str">
        <f>DetSubdiv(A151)</f>
        <v>EC</v>
      </c>
      <c r="AH151" s="78" t="str">
        <f t="shared" si="12"/>
        <v>"%USERPROFILE%\Documents\GitHub\eaglep3\Utilities\RefineRTDCRunTimes.py" --tripid 240-12 --locoid 4001 --swversion DE.1.0.9.0 --startMP 204:233004 --initTime 2017-09-13T00:22:11 --startdatetime 2017-09-13T00:27:16 --delay 63 --endMP 204:139 --enddatetime 2017-09-13T01:04:17 --enforcementcount 0 &gt;&gt;C:\Users\stu\Documents\GitHub\eaglep3-reporting\EC\2017-09-12-refined-times.txt</v>
      </c>
      <c r="AI151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{"issue":{"subject":"","project_id":79,"tracker_id":40,"status_id":1,"priority_id":2,"assigned_to_id":338,"start_date":"2017-09-13","description":"","custom_fields":[{"id":1,"name":"Subdivision","value":"EC"},{"id":4,"name":"Milepost","value":"0.0139"},{"id":17,"name":"Train ID","value":"240-12"},{"id":16,"name":"Locomotive ID","value":"4001"},{"id":130,"name":"Impact","value":""},{"id":150,"name":"Time of Event (Mountain Time)","value":"01:04:17"},{"id":151,"name":"Denver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14"/>
        <v>start /low /b %USERPROFILE%\Documents\GitHub\eaglep3\Utilities\DownloadLogsFromS3.py --loco 4001 --day 2017-09-13</v>
      </c>
      <c r="AN151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07:04:17"},{"id":29,"name":"Sharepoint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818</v>
      </c>
      <c r="B152" s="7">
        <v>4058</v>
      </c>
      <c r="C152" s="21" t="s">
        <v>197</v>
      </c>
      <c r="D152" s="21" t="s">
        <v>878</v>
      </c>
      <c r="E152" s="13">
        <v>42990.985520833332</v>
      </c>
      <c r="F152" s="13">
        <v>42991.000185185185</v>
      </c>
      <c r="G152" s="7">
        <v>57</v>
      </c>
      <c r="H152" s="21" t="s">
        <v>879</v>
      </c>
      <c r="I152" s="13">
        <v>42991.024837962963</v>
      </c>
      <c r="J152" s="7">
        <v>0</v>
      </c>
      <c r="K152" s="89" t="str">
        <f>IF(ISEVEN(B152),(B152-1)&amp;"/"&amp;B152,B152&amp;"/"&amp;(B152+1))</f>
        <v>4057/4058</v>
      </c>
      <c r="L152" s="214" t="str">
        <f>VLOOKUP(A152,'Trips&amp;Operators'!$C$1:$G$99911,5,FALSE)</f>
        <v>PERKINS DARREN</v>
      </c>
      <c r="M152" s="6">
        <f>I152-F152</f>
        <v>2.4652777778101154E-2</v>
      </c>
      <c r="N152" s="7">
        <f>24*60*SUM($M152:$M152)</f>
        <v>35.500000000465661</v>
      </c>
      <c r="O152" s="7"/>
      <c r="P152" s="7"/>
      <c r="Q152" s="22"/>
      <c r="R152" s="167"/>
      <c r="S152" s="210">
        <f>1/IF(AG152="EC",12,1)*SUM(U152:U152)</f>
        <v>1</v>
      </c>
      <c r="T152" s="192" t="str">
        <f>IF(ISEVEN(LEFT(AD152,4)),"Southbound","NorthBound")</f>
        <v>NorthBound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-12T22:39:09-0600',mode:absolute,to:'2017-09-13T01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2" s="194" t="str">
        <f>IF(AA152&lt;VLOOKUP(AG152,Variables!$AC$3:$AD$8,2,FALSE),"Y","N")</f>
        <v>N</v>
      </c>
      <c r="X152" s="194">
        <f>VALUE(LEFT(AD152,4))-VALUE(LEFT(AD151,4))</f>
        <v>1</v>
      </c>
      <c r="Y152" s="194">
        <f>RIGHT(D152,LEN(D152)-4)/10000</f>
        <v>4.3299999999999998E-2</v>
      </c>
      <c r="Z152" s="194">
        <f>RIGHT(H152,LEN(H152)-4)/10000</f>
        <v>23.338699999999999</v>
      </c>
      <c r="AA152" s="194">
        <f>ABS(Z152-Y152)</f>
        <v>23.295400000000001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>VALUE(LEFT(A152,LEN(A152)-3))</f>
        <v>241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 &amp; 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/stypes="app*4058*20170913*" /stext=" 06:.+((SYSTEM_STATE.+slice.+state.+changed )|(ment ac)|(multiple cpu faults)|(system.+state.+changed )|(\[timeout)|(PRM\|1\|D)|(kpr)|(kdp)|(train st.+moving)|(\|lc)|(penalty))"</v>
      </c>
      <c r="AG152" s="206" t="str">
        <f>DetSubdiv(A152)</f>
        <v>EC</v>
      </c>
      <c r="AH152" s="78" t="str">
        <f t="shared" si="12"/>
        <v>"%USERPROFILE%\Documents\GitHub\eaglep3\Utilities\RefineRTDCRunTimes.py" --tripid 241-12 --locoid 4058 --swversion DE.1.0.9.0 --startMP 204:433 --initTime 2017-09-12T23:39:09 --startdatetime 2017-09-13T00:00:16 --delay 57 --endMP 204:233387 --enddatetime 2017-09-13T00:35:46 --enforcementcount 0 &gt;&gt;C:\Users\stu\Documents\GitHub\eaglep3-reporting\EC\2017-09-12-refined-times.txt</v>
      </c>
      <c r="AI152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{"issue":{"subject":"","project_id":79,"tracker_id":40,"status_id":1,"priority_id":2,"assigned_to_id":338,"start_date":"2017-09-13","description":"","custom_fields":[{"id":1,"name":"Subdivision","value":"EC"},{"id":4,"name":"Milepost","value":"23.3387"},{"id":17,"name":"Train ID","value":"241-12"},{"id":16,"name":"Locomotive ID","value":"4058"},{"id":130,"name":"Impact","value":""},{"id":150,"name":"Time of Event (Mountain Time)","value":"00:35:46"},{"id":151,"name":"Denver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14"/>
        <v>start /low /b %USERPROFILE%\Documents\GitHub\eaglep3\Utilities\DownloadLogsFromS3.py --loco 4058 --day 2017-09-13</v>
      </c>
      <c r="AN152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612</v>
      </c>
      <c r="B153" s="7">
        <v>4057</v>
      </c>
      <c r="C153" s="21" t="s">
        <v>197</v>
      </c>
      <c r="D153" s="21" t="s">
        <v>880</v>
      </c>
      <c r="E153" s="13">
        <v>42991.02888888889</v>
      </c>
      <c r="F153" s="13">
        <v>42991.039826388886</v>
      </c>
      <c r="G153" s="7">
        <v>59</v>
      </c>
      <c r="H153" s="21" t="s">
        <v>875</v>
      </c>
      <c r="I153" s="13">
        <v>42991.065833333334</v>
      </c>
      <c r="J153" s="7">
        <v>0</v>
      </c>
      <c r="K153" s="89" t="str">
        <f>IF(ISEVEN(B153),(B153-1)&amp;"/"&amp;B153,B153&amp;"/"&amp;(B153+1))</f>
        <v>4057/4058</v>
      </c>
      <c r="L153" s="214" t="str">
        <f>VLOOKUP(A153,'Trips&amp;Operators'!$C$1:$G$99911,5,FALSE)</f>
        <v>PERKINS DARREN</v>
      </c>
      <c r="M153" s="6">
        <f>I153-F153</f>
        <v>2.6006944448454306E-2</v>
      </c>
      <c r="N153" s="7">
        <f>24*60*SUM($M153:$M153)</f>
        <v>37.4500000057742</v>
      </c>
      <c r="O153" s="7"/>
      <c r="P153" s="7"/>
      <c r="Q153" s="22"/>
      <c r="R153" s="167"/>
      <c r="S153" s="210">
        <f>1/IF(AG153="EC",12,1)*SUM(U153:U153)</f>
        <v>1</v>
      </c>
      <c r="T153" s="192" t="str">
        <f>IF(ISEVEN(LEFT(AD153,4)),"Southbound","NorthBound")</f>
        <v>Southbound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-12T23:41:36-0600',mode:absolute,to:'2017-09-13T02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3" s="194" t="str">
        <f>IF(AA153&lt;VLOOKUP(AG153,Variables!$AC$3:$AD$8,2,FALSE),"Y","N")</f>
        <v>N</v>
      </c>
      <c r="X153" s="194">
        <f>VALUE(LEFT(AD153,4))-VALUE(LEFT(AD152,4))</f>
        <v>1</v>
      </c>
      <c r="Y153" s="194">
        <f>RIGHT(D153,LEN(D153)-4)/10000</f>
        <v>23.305900000000001</v>
      </c>
      <c r="Z153" s="194">
        <f>RIGHT(H153,LEN(H153)-4)/10000</f>
        <v>1.2999999999999999E-2</v>
      </c>
      <c r="AA153" s="194">
        <f>ABS(Z153-Y153)</f>
        <v>23.292899999999999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>VALUE(LEFT(A153,LEN(A153)-3))</f>
        <v>242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 &amp; 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/stypes="app*4057*20170913*" /stext=" 07:.+((SYSTEM_STATE.+slice.+state.+changed )|(ment ac)|(multiple cpu faults)|(system.+state.+changed )|(\[timeout)|(PRM\|1\|D)|(kpr)|(kdp)|(train st.+moving)|(\|lc)|(penalty))"</v>
      </c>
      <c r="AG153" s="206" t="str">
        <f>DetSubdiv(A153)</f>
        <v>EC</v>
      </c>
      <c r="AH153" s="78" t="str">
        <f t="shared" si="12"/>
        <v>"%USERPROFILE%\Documents\GitHub\eaglep3\Utilities\RefineRTDCRunTimes.py" --tripid 242-12 --locoid 4057 --swversion DE.1.0.9.0 --startMP 204:233059 --initTime 2017-09-13T00:41:36 --startdatetime 2017-09-13T00:57:21 --delay 59 --endMP 204:130 --enddatetime 2017-09-13T01:34:48 --enforcementcount 0 &gt;&gt;C:\Users\stu\Documents\GitHub\eaglep3-reporting\EC\2017-09-12-refined-times.txt</v>
      </c>
      <c r="AI153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{"issue":{"subject":"","project_id":79,"tracker_id":40,"status_id":1,"priority_id":2,"assigned_to_id":338,"start_date":"2017-09-13","description":"","custom_fields":[{"id":1,"name":"Subdivision","value":"EC"},{"id":4,"name":"Milepost","value":"0.013"},{"id":17,"name":"Train ID","value":"242-12"},{"id":16,"name":"Locomotive ID","value":"4057"},{"id":130,"name":"Impact","value":""},{"id":150,"name":"Time of Event (Mountain Time)","value":"01:34:48"},{"id":151,"name":"Denver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14"/>
        <v>start /low /b %USERPROFILE%\Documents\GitHub\eaglep3\Utilities\DownloadLogsFromS3.py --loco 4057 --day 2017-09-13</v>
      </c>
      <c r="AN153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07:34:48"},{"id":29,"name":"Sharepoint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821</v>
      </c>
      <c r="B154" s="7">
        <v>4030</v>
      </c>
      <c r="C154" s="21" t="s">
        <v>197</v>
      </c>
      <c r="D154" s="21" t="s">
        <v>362</v>
      </c>
      <c r="E154" s="13">
        <v>42991.017928240741</v>
      </c>
      <c r="F154" s="13">
        <v>42991.021064814813</v>
      </c>
      <c r="G154" s="7">
        <v>52</v>
      </c>
      <c r="H154" s="21" t="s">
        <v>881</v>
      </c>
      <c r="I154" s="13">
        <v>42991.045428240737</v>
      </c>
      <c r="J154" s="7">
        <v>0</v>
      </c>
      <c r="K154" s="89" t="str">
        <f>IF(ISEVEN(B154),(B154-1)&amp;"/"&amp;B154,B154&amp;"/"&amp;(B154+1))</f>
        <v>4029/4030</v>
      </c>
      <c r="L154" s="214" t="str">
        <f>VLOOKUP(A154,'Trips&amp;Operators'!$C$1:$G$99911,5,FALSE)</f>
        <v>HART KEVIN</v>
      </c>
      <c r="M154" s="6">
        <f>I154-F154</f>
        <v>2.4363425924093463E-2</v>
      </c>
      <c r="N154" s="7">
        <f>24*60*SUM($M154:$M154)</f>
        <v>35.083333330694586</v>
      </c>
      <c r="O154" s="7"/>
      <c r="P154" s="7"/>
      <c r="Q154" s="22"/>
      <c r="R154" s="167" t="s">
        <v>974</v>
      </c>
      <c r="S154" s="210">
        <f>1/IF(AG154="EC",12,1)*SUM(U154:U154)</f>
        <v>1</v>
      </c>
      <c r="T154" s="192" t="str">
        <f>IF(ISEVEN(LEFT(AD154,4)),"Southbound","NorthBound")</f>
        <v>NorthBound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-09-12T23:25:49-0600',mode:absolute,to:'2017-09-13T02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94" t="str">
        <f>IF(AA154&lt;VLOOKUP(AG154,Variables!$AC$3:$AD$8,2,FALSE),"Y","N")</f>
        <v>N</v>
      </c>
      <c r="X154" s="194">
        <f>VALUE(LEFT(AD154,4))-VALUE(LEFT(AD153,4))</f>
        <v>1</v>
      </c>
      <c r="Y154" s="194">
        <f>RIGHT(D154,LEN(D154)-4)/10000</f>
        <v>4.5699999999999998E-2</v>
      </c>
      <c r="Z154" s="194">
        <v>23.3</v>
      </c>
      <c r="AA154" s="194">
        <f>ABS(Z154-Y154)</f>
        <v>23.254300000000001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>VALUE(LEFT(A154,LEN(A154)-3))</f>
        <v>243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 &amp; 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/stypes="app*4030*20170913*" /stext=" 07:.+((SYSTEM_STATE.+slice.+state.+changed )|(ment ac)|(multiple cpu faults)|(system.+state.+changed )|(\[timeout)|(PRM\|1\|D)|(kpr)|(kdp)|(train st.+moving)|(\|lc)|(penalty))"</v>
      </c>
      <c r="AG154" s="206" t="str">
        <f>DetSubdiv(A154)</f>
        <v>EC</v>
      </c>
      <c r="AH154" s="78" t="str">
        <f t="shared" si="12"/>
        <v>"%USERPROFILE%\Documents\GitHub\eaglep3\Utilities\RefineRTDCRunTimes.py" --tripid 243-12 --locoid 4030 --swversion DE.1.0.9.0 --startMP 204:457 --initTime 2017-09-13T00:25:49 --startdatetime 2017-09-13T00:30:20 --delay 52 --endMP 204:110772 --enddatetime 2017-09-13T01:05:25 --enforcementcount 0 &gt;&gt;C:\Users\stu\Documents\GitHub\eaglep3-reporting\EC\2017-09-12-refined-times.txt</v>
      </c>
      <c r="AI154" s="96" t="str">
        <f t="shared" si="13"/>
        <v>echo {"issue":{"subject":"Banner without braking against SPEED RESTRICTION, no cutout","project_id":79,"tracker_id":40,"status_id":1,"priority_id":2,"assigned_to_id":338,"start_date":"2017-09-13","description":"","custom_fields":[{"id":1,"name":"Subdivision","value":"EC"},{"id":4,"name":"Milepost","value":"23.3"},{"id":17,"name":"Train ID","value":"243-12"},{"id":16,"name":"Locomotive ID","value":"4030"},{"id":130,"name":"Impact","value":""},{"id":150,"name":"Time of Event (Mountain Time)","value":"01:05:25"},{"id":151,"name":"Denver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14"/>
        <v>start /low /b %USERPROFILE%\Documents\GitHub\eaglep3\Utilities\DownloadLogsFromS3.py --loco 4030 --day 2017-09-13</v>
      </c>
      <c r="AN154" s="151" t="str">
        <f t="shared" si="15"/>
        <v>echo {"issue":{"subject":"Banner without braking against SPEED RESTRICTION, no cutout","project_id":30,"tracker_id":4,"status_id":1,"priority_id":1,"assigned_to_id":10,"start_date":"2017-09-13","description":"","custom_fields":[{"id":30,"name":"Category","value":"Issue"},{"id":3,"name":"Functional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07:05:25"},{"id":29,"name":"Sharepoint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824</v>
      </c>
      <c r="B155" s="7">
        <v>4029</v>
      </c>
      <c r="C155" s="21" t="s">
        <v>197</v>
      </c>
      <c r="D155" s="21" t="s">
        <v>882</v>
      </c>
      <c r="E155" s="13">
        <v>42991.058229166665</v>
      </c>
      <c r="F155" s="13">
        <v>42991.060682870368</v>
      </c>
      <c r="G155" s="7">
        <v>50</v>
      </c>
      <c r="H155" s="21" t="s">
        <v>883</v>
      </c>
      <c r="I155" s="13">
        <v>42991.085532407407</v>
      </c>
      <c r="J155" s="7">
        <v>0</v>
      </c>
      <c r="K155" s="89" t="str">
        <f>IF(ISEVEN(B155),(B155-1)&amp;"/"&amp;B155,B155&amp;"/"&amp;(B155+1))</f>
        <v>4029/4030</v>
      </c>
      <c r="L155" s="214" t="str">
        <f>VLOOKUP(A155,'Trips&amp;Operators'!$C$1:$G$99911,5,FALSE)</f>
        <v>HART KEVIN</v>
      </c>
      <c r="M155" s="6">
        <f>I155-F155</f>
        <v>2.4849537039699499E-2</v>
      </c>
      <c r="N155" s="7">
        <f>24*60*SUM($M155:$M155)</f>
        <v>35.783333337167278</v>
      </c>
      <c r="O155" s="7"/>
      <c r="P155" s="7"/>
      <c r="Q155" s="22"/>
      <c r="R155" s="167"/>
      <c r="S155" s="210">
        <f>1/IF(AG155="EC",12,1)*SUM(U155:U155)</f>
        <v>1</v>
      </c>
      <c r="T155" s="192" t="str">
        <f>IF(ISEVEN(LEFT(AD155,4)),"Southbound","NorthBound")</f>
        <v>Southbound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-09-13T00:23:51-0600',mode:absolute,to:'2017-09-13T03:03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194" t="str">
        <f>IF(AA155&lt;VLOOKUP(AG155,Variables!$AC$3:$AD$8,2,FALSE),"Y","N")</f>
        <v>N</v>
      </c>
      <c r="X155" s="194">
        <f>VALUE(LEFT(AD155,4))-VALUE(LEFT(AD154,4))</f>
        <v>1</v>
      </c>
      <c r="Y155" s="194">
        <f>RIGHT(D155,LEN(D155)-4)/10000</f>
        <v>23.296399999999998</v>
      </c>
      <c r="Z155" s="194">
        <f>RIGHT(H155,LEN(H155)-4)/10000</f>
        <v>1.83E-2</v>
      </c>
      <c r="AA155" s="194">
        <f>ABS(Z155-Y155)</f>
        <v>23.278099999999998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>VALUE(LEFT(A155,LEN(A155)-3))</f>
        <v>244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 &amp; aws s3 cp s3://rtdc.mdm.uploadarchive.raw/RTDC4029/ "%USERPROFILE%\AppData\Local\Temp\OnboardLogs"\RTDC4029\2017-09-14 --exclude "*" --recursive --include "*20170914*" &amp; "%USERPROFILE%\Documents\GitHub\mrs-test-scripts\Headless Mode &amp; Sideloading\WalkAndUnGZ.bat" "%USERPROFILE%\AppData\Local\Temp\OnboardLogs"\RTDC4029\2017-09-14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/stypes="app*4029*20170913*" /stext=" 08:.+((SYSTEM_STATE.+slice.+state.+changed )|(ment ac)|(multiple cpu faults)|(system.+state.+changed )|(\[timeout)|(PRM\|1\|D)|(kpr)|(kdp)|(train st.+moving)|(\|lc)|(penalty))"</v>
      </c>
      <c r="AG155" s="206" t="str">
        <f>DetSubdiv(A155)</f>
        <v>EC</v>
      </c>
      <c r="AH155" s="78" t="str">
        <f t="shared" si="12"/>
        <v>"%USERPROFILE%\Documents\GitHub\eaglep3\Utilities\RefineRTDCRunTimes.py" --tripid 244-12 --locoid 4029 --swversion DE.1.0.9.0 --startMP 204:232964 --initTime 2017-09-13T01:23:51 --startdatetime 2017-09-13T01:27:23 --delay 50 --endMP 204:183 --enddatetime 2017-09-13T02:03:10 --enforcementcount 0 &gt;&gt;C:\Users\stu\Documents\GitHub\eaglep3-reporting\EC\2017-09-12-refined-times.txt</v>
      </c>
      <c r="AI155" s="96" t="str">
        <f t="shared" si="13"/>
        <v>echo {"issue":{"subject":"","project_id":79,"tracker_id":40,"status_id":1,"priority_id":2,"assigned_to_id":338,"start_date":"2017-09-13","description":"","custom_fields":[{"id":1,"name":"Subdivision","value":"EC"},{"id":4,"name":"Milepost","value":"0.0183"},{"id":17,"name":"Train ID","value":"244-12"},{"id":16,"name":"Locomotive ID","value":"4029"},{"id":130,"name":"Impact","value":""},{"id":150,"name":"Time of Event (Mountain Time)","value":"02:03:10"},{"id":151,"name":"Denver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14"/>
        <v>start /low /b %USERPROFILE%\Documents\GitHub\eaglep3\Utilities\DownloadLogsFromS3.py --loco 4029 --day 2017-09-13</v>
      </c>
      <c r="AN155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08:03:10"},{"id":29,"name":"Sharepoint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634</v>
      </c>
      <c r="B156" s="7">
        <v>4005</v>
      </c>
      <c r="C156" s="21" t="s">
        <v>197</v>
      </c>
      <c r="D156" s="21" t="s">
        <v>909</v>
      </c>
      <c r="E156" s="13">
        <v>42990.213356481479</v>
      </c>
      <c r="F156" s="13">
        <v>42990.215821759259</v>
      </c>
      <c r="G156" s="7">
        <v>74</v>
      </c>
      <c r="H156" s="21" t="s">
        <v>502</v>
      </c>
      <c r="I156" s="13">
        <v>42990.225763888891</v>
      </c>
      <c r="J156" s="7">
        <v>0</v>
      </c>
      <c r="K156" s="89" t="str">
        <f>IF(ISEVEN(B156),(B156-1)&amp;"/"&amp;B156,B156&amp;"/"&amp;(B156+1))</f>
        <v>4005/4006</v>
      </c>
      <c r="L156" s="214" t="str">
        <f>VLOOKUP(A156,'Trips&amp;Operators'!$C$1:$G$99911,5,FALSE)</f>
        <v>YANG JAN</v>
      </c>
      <c r="M156" s="6">
        <f>I156-F156</f>
        <v>9.9421296326909214E-3</v>
      </c>
      <c r="N156" s="7">
        <f>24*60*SUM($M156:$M156)</f>
        <v>14.316666671074927</v>
      </c>
      <c r="O156" s="7"/>
      <c r="P156" s="7"/>
      <c r="Q156" s="22"/>
      <c r="R156" s="167"/>
      <c r="S156" s="210">
        <f>1/IF(AG156="EC",12,1)*SUM(U156:U156)</f>
        <v>1</v>
      </c>
      <c r="T156" s="192" t="str">
        <f>IF(ISEVEN(LEFT(AD156,4)),"Southbound","NorthBound")</f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-09-12T04:07:14-0600',mode:absolute,to:'2017-09-12T06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194" t="str">
        <f>IF(AA156&lt;VLOOKUP(AG156,Variables!$AC$3:$AD$8,2,FALSE),"Y","N")</f>
        <v>N</v>
      </c>
      <c r="X156" s="194">
        <f>VALUE(LEFT(AD156,4))-VALUE(LEFT(AD155,4))</f>
        <v>556</v>
      </c>
      <c r="Y156" s="194">
        <f>RIGHT(D156,LEN(D156)-4)/10000</f>
        <v>5.8632</v>
      </c>
      <c r="Z156" s="194">
        <f>RIGHT(H156,LEN(H156)-4)/10000</f>
        <v>6.9199999999999998E-2</v>
      </c>
      <c r="AA156" s="194">
        <f>ABS(Z156-Y156)</f>
        <v>5.7939999999999996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>VALUE(LEFT(A156,LEN(A156)-3))</f>
        <v>800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/stypes="app*4005*20170912*" /stext=" 11:.+((SYSTEM_STATE.+slice.+state.+changed )|(ment ac)|(multiple cpu faults)|(system.+state.+changed )|(\[timeout)|(PRM\|1\|D)|(kpr)|(kdp)|(train st.+moving)|(\|lc)|(penalty))"</v>
      </c>
      <c r="AG156" s="206" t="str">
        <f>DetSubdiv(A156)</f>
        <v>NW</v>
      </c>
      <c r="AH156" s="78" t="str">
        <f t="shared" si="12"/>
        <v>"%USERPROFILE%\Documents\GitHub\eaglep3\Utilities\RefineRTDCRunTimes.py" --tripid 800-12 --locoid 4005 --swversion DE.1.0.9.0 --startMP 300:58632 --initTime 2017-09-12T05:07:14 --startdatetime 2017-09-12T05:10:47 --delay 74 --endMP 204:692 --enddatetime 2017-09-12T05:25:06 --enforcementcount 0 &gt;&gt;C:\Users\stu\Documents\GitHub\eaglep3-reporting\EC\2017-09-12-refined-times.txt</v>
      </c>
      <c r="AI156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{"issue":{"subject":"","project_id":79,"tracker_id":40,"status_id":1,"priority_id":2,"assigned_to_id":338,"start_date":"2017-09-12","description":"","custom_fields":[{"id":1,"name":"Subdivision","value":"NW"},{"id":4,"name":"Milepost","value":"0.0692"},{"id":17,"name":"Train ID","value":"800-12"},{"id":16,"name":"Locomotive ID","value":"4005"},{"id":130,"name":"Impact","value":""},{"id":150,"name":"Time of Event (Mountain Time)","value":"05:25:06"},{"id":151,"name":"Denver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14"/>
        <v>start /low /b %USERPROFILE%\Documents\GitHub\eaglep3\Utilities\DownloadLogsFromS3.py --loco 4005 --day 2017-09-12</v>
      </c>
      <c r="AN156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639</v>
      </c>
      <c r="B157" s="7">
        <v>4006</v>
      </c>
      <c r="C157" s="21" t="s">
        <v>197</v>
      </c>
      <c r="D157" s="21" t="s">
        <v>560</v>
      </c>
      <c r="E157" s="13">
        <v>42990.23238425926</v>
      </c>
      <c r="F157" s="13">
        <v>42990.235636574071</v>
      </c>
      <c r="G157" s="7">
        <v>58</v>
      </c>
      <c r="H157" s="21" t="s">
        <v>910</v>
      </c>
      <c r="I157" s="13">
        <v>42990.245150462964</v>
      </c>
      <c r="J157" s="7">
        <v>0</v>
      </c>
      <c r="K157" s="89" t="str">
        <f>IF(ISEVEN(B157),(B157-1)&amp;"/"&amp;B157,B157&amp;"/"&amp;(B157+1))</f>
        <v>4005/4006</v>
      </c>
      <c r="L157" s="214" t="str">
        <f>VLOOKUP(A157,'Trips&amp;Operators'!$C$1:$G$99911,5,FALSE)</f>
        <v>YANG JAN</v>
      </c>
      <c r="M157" s="6">
        <f>I157-F157</f>
        <v>9.5138888937071897E-3</v>
      </c>
      <c r="N157" s="7">
        <f>24*60*SUM($M157:$M157)</f>
        <v>13.700000006938353</v>
      </c>
      <c r="O157" s="7"/>
      <c r="P157" s="7"/>
      <c r="Q157" s="22"/>
      <c r="R157" s="167"/>
      <c r="S157" s="210">
        <f>1/IF(AG157="EC",12,1)*SUM(U157:U157)</f>
        <v>1</v>
      </c>
      <c r="T157" s="192" t="str">
        <f>IF(ISEVEN(LEFT(AD157,4)),"Southbound","NorthBound")</f>
        <v>NorthBound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-12T04:34:38-0600',mode:absolute,to:'2017-09-12T06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194" t="str">
        <f>IF(AA157&lt;VLOOKUP(AG157,Variables!$AC$3:$AD$8,2,FALSE),"Y","N")</f>
        <v>N</v>
      </c>
      <c r="X157" s="194">
        <f>VALUE(LEFT(AD157,4))-VALUE(LEFT(AD156,4))</f>
        <v>1</v>
      </c>
      <c r="Y157" s="194">
        <f>RIGHT(D157,LEN(D157)-4)/10000</f>
        <v>9.6500000000000002E-2</v>
      </c>
      <c r="Z157" s="194">
        <f>RIGHT(H157,LEN(H157)-4)/10000</f>
        <v>5.8948</v>
      </c>
      <c r="AA157" s="194">
        <f>ABS(Z157-Y157)</f>
        <v>5.7983000000000002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>VALUE(LEFT(A157,LEN(A157)-3))</f>
        <v>801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/stypes="app*4006*20170912*" /stext=" 11:.+((SYSTEM_STATE.+slice.+state.+changed )|(ment ac)|(multiple cpu faults)|(system.+state.+changed )|(\[timeout)|(PRM\|1\|D)|(kpr)|(kdp)|(train st.+moving)|(\|lc)|(penalty))"</v>
      </c>
      <c r="AG157" s="206" t="str">
        <f>DetSubdiv(A157)</f>
        <v>NW</v>
      </c>
      <c r="AH157" s="78" t="str">
        <f t="shared" si="12"/>
        <v>"%USERPROFILE%\Documents\GitHub\eaglep3\Utilities\RefineRTDCRunTimes.py" --tripid 801-12 --locoid 4006 --swversion DE.1.0.9.0 --startMP 204:965 --initTime 2017-09-12T05:34:38 --startdatetime 2017-09-12T05:39:19 --delay 58 --endMP 300:58948 --enddatetime 2017-09-12T05:53:01 --enforcementcount 0 &gt;&gt;C:\Users\stu\Documents\GitHub\eaglep3-reporting\EC\2017-09-12-refined-times.txt</v>
      </c>
      <c r="AI157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{"issue":{"subject":"","project_id":79,"tracker_id":40,"status_id":1,"priority_id":2,"assigned_to_id":338,"start_date":"2017-09-12","description":"","custom_fields":[{"id":1,"name":"Subdivision","value":"NW"},{"id":4,"name":"Milepost","value":"5.8948"},{"id":17,"name":"Train ID","value":"801-12"},{"id":16,"name":"Locomotive ID","value":"4006"},{"id":130,"name":"Impact","value":""},{"id":150,"name":"Time of Event (Mountain Time)","value":"05:53:01"},{"id":151,"name":"Denver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14"/>
        <v>start /low /b %USERPROFILE%\Documents\GitHub\eaglep3\Utilities\DownloadLogsFromS3.py --loco 4006 --day 2017-09-12</v>
      </c>
      <c r="AN157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649</v>
      </c>
      <c r="B158" s="7">
        <v>4005</v>
      </c>
      <c r="C158" s="21" t="s">
        <v>197</v>
      </c>
      <c r="D158" s="21" t="s">
        <v>909</v>
      </c>
      <c r="E158" s="13">
        <v>42990.247743055559</v>
      </c>
      <c r="F158" s="13">
        <v>42990.255196759259</v>
      </c>
      <c r="G158" s="7">
        <v>92</v>
      </c>
      <c r="H158" s="21" t="s">
        <v>911</v>
      </c>
      <c r="I158" s="13">
        <v>42990.267430555556</v>
      </c>
      <c r="J158" s="7">
        <v>0</v>
      </c>
      <c r="K158" s="89" t="str">
        <f>IF(ISEVEN(B158),(B158-1)&amp;"/"&amp;B158,B158&amp;"/"&amp;(B158+1))</f>
        <v>4005/4006</v>
      </c>
      <c r="L158" s="214" t="str">
        <f>VLOOKUP(A158,'Trips&amp;Operators'!$C$1:$G$99911,5,FALSE)</f>
        <v>YANG JAN</v>
      </c>
      <c r="M158" s="6">
        <f>I158-F158</f>
        <v>1.2233796296641231E-2</v>
      </c>
      <c r="N158" s="7">
        <f>24*60*SUM($M158:$M158)</f>
        <v>17.616666667163372</v>
      </c>
      <c r="O158" s="7"/>
      <c r="P158" s="7"/>
      <c r="Q158" s="22"/>
      <c r="R158" s="167"/>
      <c r="S158" s="210">
        <f>1/IF(AG158="EC",12,1)*SUM(U158:U158)</f>
        <v>1</v>
      </c>
      <c r="T158" s="192" t="str">
        <f>IF(ISEVEN(LEFT(AD158,4)),"Southbound","NorthBound")</f>
        <v>Southbound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-12T04:56:45-0600',mode:absolute,to:'2017-09-12T07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194" t="str">
        <f>IF(AA158&lt;VLOOKUP(AG158,Variables!$AC$3:$AD$8,2,FALSE),"Y","N")</f>
        <v>N</v>
      </c>
      <c r="X158" s="194">
        <f>VALUE(LEFT(AD158,4))-VALUE(LEFT(AD157,4))</f>
        <v>1</v>
      </c>
      <c r="Y158" s="194">
        <f>RIGHT(D158,LEN(D158)-4)/10000</f>
        <v>5.8632</v>
      </c>
      <c r="Z158" s="194">
        <f>RIGHT(H158,LEN(H158)-4)/10000</f>
        <v>6.8400000000000002E-2</v>
      </c>
      <c r="AA158" s="194">
        <f>ABS(Z158-Y158)</f>
        <v>5.7948000000000004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>VALUE(LEFT(A158,LEN(A158)-3))</f>
        <v>802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/stypes="app*4005*20170912*" /stext=" 12:.+((SYSTEM_STATE.+slice.+state.+changed )|(ment ac)|(multiple cpu faults)|(system.+state.+changed )|(\[timeout)|(PRM\|1\|D)|(kpr)|(kdp)|(train st.+moving)|(\|lc)|(penalty))"</v>
      </c>
      <c r="AG158" s="206" t="str">
        <f>DetSubdiv(A158)</f>
        <v>NW</v>
      </c>
      <c r="AH158" s="78" t="str">
        <f t="shared" si="12"/>
        <v>"%USERPROFILE%\Documents\GitHub\eaglep3\Utilities\RefineRTDCRunTimes.py" --tripid 802-12 --locoid 4005 --swversion DE.1.0.9.0 --startMP 300:58632 --initTime 2017-09-12T05:56:45 --startdatetime 2017-09-12T06:07:29 --delay 92 --endMP 204:684 --enddatetime 2017-09-12T06:25:06 --enforcementcount 0 &gt;&gt;C:\Users\stu\Documents\GitHub\eaglep3-reporting\EC\2017-09-12-refined-times.txt</v>
      </c>
      <c r="AI158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{"issue":{"subject":"","project_id":79,"tracker_id":40,"status_id":1,"priority_id":2,"assigned_to_id":338,"start_date":"2017-09-12","description":"","custom_fields":[{"id":1,"name":"Subdivision","value":"NW"},{"id":4,"name":"Milepost","value":"0.0684"},{"id":17,"name":"Train ID","value":"802-12"},{"id":16,"name":"Locomotive ID","value":"4005"},{"id":130,"name":"Impact","value":""},{"id":150,"name":"Time of Event (Mountain Time)","value":"06:25:06"},{"id":151,"name":"Denver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14"/>
        <v>start /low /b %USERPROFILE%\Documents\GitHub\eaglep3\Utilities\DownloadLogsFromS3.py --loco 4005 --day 2017-09-12</v>
      </c>
      <c r="AN158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578</v>
      </c>
      <c r="B159" s="7">
        <v>4064</v>
      </c>
      <c r="C159" s="21" t="s">
        <v>197</v>
      </c>
      <c r="D159" s="21" t="s">
        <v>478</v>
      </c>
      <c r="E159" s="13">
        <v>42990.247731481482</v>
      </c>
      <c r="F159" s="13">
        <v>42990.256412037037</v>
      </c>
      <c r="G159" s="7">
        <v>69</v>
      </c>
      <c r="H159" s="21" t="s">
        <v>499</v>
      </c>
      <c r="I159" s="13">
        <v>42990.266435185185</v>
      </c>
      <c r="J159" s="7">
        <v>0</v>
      </c>
      <c r="K159" s="89" t="str">
        <f>IF(ISEVEN(B159),(B159-1)&amp;"/"&amp;B159,B159&amp;"/"&amp;(B159+1))</f>
        <v>4063/4064</v>
      </c>
      <c r="L159" s="214" t="str">
        <f>VLOOKUP(A159,'Trips&amp;Operators'!$C$1:$G$99911,5,FALSE)</f>
        <v>FORTUNATO FRANK</v>
      </c>
      <c r="M159" s="6">
        <f>I159-F159</f>
        <v>1.0023148148320615E-2</v>
      </c>
      <c r="N159" s="7">
        <f>24*60*SUM($M159:$M159)</f>
        <v>14.433333333581686</v>
      </c>
      <c r="O159" s="7"/>
      <c r="P159" s="7"/>
      <c r="Q159" s="22"/>
      <c r="R159" s="167"/>
      <c r="S159" s="210">
        <f>1/IF(AG159="EC",12,1)*SUM(U159:U159)</f>
        <v>1</v>
      </c>
      <c r="T159" s="192" t="str">
        <f>IF(ISEVEN(LEFT(AD159,4)),"Southbound","NorthBound")</f>
        <v>NorthBound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-12T04:56:44-0600',mode:absolute,to:'2017-09-12T07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9" s="194" t="str">
        <f>IF(AA159&lt;VLOOKUP(AG159,Variables!$AC$3:$AD$8,2,FALSE),"Y","N")</f>
        <v>N</v>
      </c>
      <c r="X159" s="194">
        <f>VALUE(LEFT(AD159,4))-VALUE(LEFT(AD158,4))</f>
        <v>1</v>
      </c>
      <c r="Y159" s="194">
        <f>RIGHT(D159,LEN(D159)-4)/10000</f>
        <v>9.74E-2</v>
      </c>
      <c r="Z159" s="194">
        <f>RIGHT(H159,LEN(H159)-4)/10000</f>
        <v>5.8914</v>
      </c>
      <c r="AA159" s="194">
        <f>ABS(Z159-Y159)</f>
        <v>5.7939999999999996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>VALUE(LEFT(A159,LEN(A159)-3))</f>
        <v>803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/stypes="app*4064*20170912*" /stext=" 12:.+((SYSTEM_STATE.+slice.+state.+changed )|(ment ac)|(multiple cpu faults)|(system.+state.+changed )|(\[timeout)|(PRM\|1\|D)|(kpr)|(kdp)|(train st.+moving)|(\|lc)|(penalty))"</v>
      </c>
      <c r="AG159" s="206" t="str">
        <f>DetSubdiv(A159)</f>
        <v>NW</v>
      </c>
      <c r="AH159" s="78" t="str">
        <f t="shared" si="12"/>
        <v>"%USERPROFILE%\Documents\GitHub\eaglep3\Utilities\RefineRTDCRunTimes.py" --tripid 803-12 --locoid 4064 --swversion DE.1.0.9.0 --startMP 204:974 --initTime 2017-09-12T05:56:44 --startdatetime 2017-09-12T06:09:14 --delay 69 --endMP 300:58914 --enddatetime 2017-09-12T06:23:40 --enforcementcount 0 &gt;&gt;C:\Users\stu\Documents\GitHub\eaglep3-reporting\EC\2017-09-12-refined-times.txt</v>
      </c>
      <c r="AI159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{"issue":{"subject":"","project_id":79,"tracker_id":40,"status_id":1,"priority_id":2,"assigned_to_id":338,"start_date":"2017-09-12","description":"","custom_fields":[{"id":1,"name":"Subdivision","value":"NW"},{"id":4,"name":"Milepost","value":"5.8914"},{"id":17,"name":"Train ID","value":"803-12"},{"id":16,"name":"Locomotive ID","value":"4064"},{"id":130,"name":"Impact","value":""},{"id":150,"name":"Time of Event (Mountain Time)","value":"06:23:40"},{"id":151,"name":"Denver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14"/>
        <v>start /low /b %USERPROFILE%\Documents\GitHub\eaglep3\Utilities\DownloadLogsFromS3.py --loco 4064 --day 2017-09-12</v>
      </c>
      <c r="AN159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653</v>
      </c>
      <c r="B160" s="7">
        <v>4063</v>
      </c>
      <c r="C160" s="21" t="s">
        <v>197</v>
      </c>
      <c r="D160" s="21" t="s">
        <v>912</v>
      </c>
      <c r="E160" s="13">
        <v>42990.267650462964</v>
      </c>
      <c r="F160" s="13">
        <v>42990.274375000001</v>
      </c>
      <c r="G160" s="7">
        <v>77</v>
      </c>
      <c r="H160" s="21" t="s">
        <v>574</v>
      </c>
      <c r="I160" s="13">
        <v>42990.288321759261</v>
      </c>
      <c r="J160" s="7">
        <v>0</v>
      </c>
      <c r="K160" s="89" t="str">
        <f>IF(ISEVEN(B160),(B160-1)&amp;"/"&amp;B160,B160&amp;"/"&amp;(B160+1))</f>
        <v>4063/4064</v>
      </c>
      <c r="L160" s="214" t="str">
        <f>VLOOKUP(A160,'Trips&amp;Operators'!$C$1:$G$99911,5,FALSE)</f>
        <v>FORTUNATO FRANK</v>
      </c>
      <c r="M160" s="6">
        <f>I160-F160</f>
        <v>1.3946759259852115E-2</v>
      </c>
      <c r="N160" s="7">
        <f>24*60*SUM($M160:$M160)</f>
        <v>20.083333334187046</v>
      </c>
      <c r="O160" s="7"/>
      <c r="P160" s="7"/>
      <c r="Q160" s="22"/>
      <c r="R160" s="167"/>
      <c r="S160" s="210">
        <f>1/IF(AG160="EC",12,1)*SUM(U160:U160)</f>
        <v>1</v>
      </c>
      <c r="T160" s="192" t="str">
        <f>IF(ISEVEN(LEFT(AD160,4)),"Southbound","NorthBound")</f>
        <v>Southbound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-12T05:25:25-0600',mode:absolute,to:'2017-09-12T07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0" s="194" t="str">
        <f>IF(AA160&lt;VLOOKUP(AG160,Variables!$AC$3:$AD$8,2,FALSE),"Y","N")</f>
        <v>N</v>
      </c>
      <c r="X160" s="194">
        <f>VALUE(LEFT(AD160,4))-VALUE(LEFT(AD159,4))</f>
        <v>1</v>
      </c>
      <c r="Y160" s="194">
        <f>RIGHT(D160,LEN(D160)-4)/10000</f>
        <v>5.8613</v>
      </c>
      <c r="Z160" s="194">
        <f>RIGHT(H160,LEN(H160)-4)/10000</f>
        <v>6.7000000000000004E-2</v>
      </c>
      <c r="AA160" s="194">
        <f>ABS(Z160-Y160)</f>
        <v>5.7942999999999998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>VALUE(LEFT(A160,LEN(A160)-3))</f>
        <v>804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/stypes="app*4063*20170912*" /stext=" 12:.+((SYSTEM_STATE.+slice.+state.+changed )|(ment ac)|(multiple cpu faults)|(system.+state.+changed )|(\[timeout)|(PRM\|1\|D)|(kpr)|(kdp)|(train st.+moving)|(\|lc)|(penalty))"</v>
      </c>
      <c r="AG160" s="206" t="str">
        <f>DetSubdiv(A160)</f>
        <v>NW</v>
      </c>
      <c r="AH160" s="78" t="str">
        <f t="shared" si="12"/>
        <v>"%USERPROFILE%\Documents\GitHub\eaglep3\Utilities\RefineRTDCRunTimes.py" --tripid 804-12 --locoid 4063 --swversion DE.1.0.9.0 --startMP 300:58613 --initTime 2017-09-12T06:25:25 --startdatetime 2017-09-12T06:35:06 --delay 77 --endMP 204:670 --enddatetime 2017-09-12T06:55:11 --enforcementcount 0 &gt;&gt;C:\Users\stu\Documents\GitHub\eaglep3-reporting\EC\2017-09-12-refined-times.txt</v>
      </c>
      <c r="AI160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{"issue":{"subject":"","project_id":79,"tracker_id":40,"status_id":1,"priority_id":2,"assigned_to_id":338,"start_date":"2017-09-12","description":"","custom_fields":[{"id":1,"name":"Subdivision","value":"NW"},{"id":4,"name":"Milepost","value":"0.067"},{"id":17,"name":"Train ID","value":"804-12"},{"id":16,"name":"Locomotive ID","value":"4063"},{"id":130,"name":"Impact","value":""},{"id":150,"name":"Time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14"/>
        <v>start /low /b %USERPROFILE%\Documents\GitHub\eaglep3\Utilities\DownloadLogsFromS3.py --loco 4063 --day 2017-09-12</v>
      </c>
      <c r="AN160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654</v>
      </c>
      <c r="B161" s="7">
        <v>4006</v>
      </c>
      <c r="C161" s="21" t="s">
        <v>197</v>
      </c>
      <c r="D161" s="21" t="s">
        <v>560</v>
      </c>
      <c r="E161" s="13">
        <v>42990.270277777781</v>
      </c>
      <c r="F161" s="13">
        <v>42990.277256944442</v>
      </c>
      <c r="G161" s="7">
        <v>61</v>
      </c>
      <c r="H161" s="21" t="s">
        <v>913</v>
      </c>
      <c r="I161" s="13">
        <v>42990.28765046296</v>
      </c>
      <c r="J161" s="7">
        <v>0</v>
      </c>
      <c r="K161" s="89" t="str">
        <f>IF(ISEVEN(B161),(B161-1)&amp;"/"&amp;B161,B161&amp;"/"&amp;(B161+1))</f>
        <v>4005/4006</v>
      </c>
      <c r="L161" s="214" t="str">
        <f>VLOOKUP(A161,'Trips&amp;Operators'!$C$1:$G$99911,5,FALSE)</f>
        <v>YANG JAN</v>
      </c>
      <c r="M161" s="6">
        <f>I161-F161</f>
        <v>1.0393518517958E-2</v>
      </c>
      <c r="N161" s="7">
        <f>24*60*SUM($M161:$M161)</f>
        <v>14.96666666585952</v>
      </c>
      <c r="O161" s="7"/>
      <c r="P161" s="7"/>
      <c r="Q161" s="22"/>
      <c r="R161" s="167"/>
      <c r="S161" s="210">
        <f>1/IF(AG161="EC",12,1)*SUM(U161:U161)</f>
        <v>1</v>
      </c>
      <c r="T161" s="192" t="str">
        <f>IF(ISEVEN(LEFT(AD161,4)),"Southbound","NorthBound")</f>
        <v>NorthBound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-12T05:29:12-0600',mode:absolute,to:'2017-09-12T07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94" t="str">
        <f>IF(AA161&lt;VLOOKUP(AG161,Variables!$AC$3:$AD$8,2,FALSE),"Y","N")</f>
        <v>N</v>
      </c>
      <c r="X161" s="194">
        <f>VALUE(LEFT(AD161,4))-VALUE(LEFT(AD160,4))</f>
        <v>1</v>
      </c>
      <c r="Y161" s="194">
        <f>RIGHT(D161,LEN(D161)-4)/10000</f>
        <v>9.6500000000000002E-2</v>
      </c>
      <c r="Z161" s="194">
        <f>RIGHT(H161,LEN(H161)-4)/10000</f>
        <v>5.8935000000000004</v>
      </c>
      <c r="AA161" s="194">
        <f>ABS(Z161-Y161)</f>
        <v>5.7970000000000006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>VALUE(LEFT(A161,LEN(A161)-3))</f>
        <v>805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/stypes="app*4006*20170912*" /stext=" 12:.+((SYSTEM_STATE.+slice.+state.+changed )|(ment ac)|(multiple cpu faults)|(system.+state.+changed )|(\[timeout)|(PRM\|1\|D)|(kpr)|(kdp)|(train st.+moving)|(\|lc)|(penalty))"</v>
      </c>
      <c r="AG161" s="206" t="str">
        <f>DetSubdiv(A161)</f>
        <v>NW</v>
      </c>
      <c r="AH161" s="78" t="str">
        <f t="shared" si="12"/>
        <v>"%USERPROFILE%\Documents\GitHub\eaglep3\Utilities\RefineRTDCRunTimes.py" --tripid 805-12 --locoid 4006 --swversion DE.1.0.9.0 --startMP 204:965 --initTime 2017-09-12T06:29:12 --startdatetime 2017-09-12T06:39:15 --delay 61 --endMP 300:58935 --enddatetime 2017-09-12T06:54:13 --enforcementcount 0 &gt;&gt;C:\Users\stu\Documents\GitHub\eaglep3-reporting\EC\2017-09-12-refined-times.txt</v>
      </c>
      <c r="AI161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{"issue":{"subject":"","project_id":79,"tracker_id":40,"status_id":1,"priority_id":2,"assigned_to_id":338,"start_date":"2017-09-12","description":"","custom_fields":[{"id":1,"name":"Subdivision","value":"NW"},{"id":4,"name":"Milepost","value":"5.8935"},{"id":17,"name":"Train ID","value":"805-12"},{"id":16,"name":"Locomotive ID","value":"4006"},{"id":130,"name":"Impact","value":""},{"id":150,"name":"Time of Event (Mountain Time)","value":"06:54:13"},{"id":151,"name":"Denver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14"/>
        <v>start /low /b %USERPROFILE%\Documents\GitHub\eaglep3\Utilities\DownloadLogsFromS3.py --loco 4006 --day 2017-09-12</v>
      </c>
      <c r="AN161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12:54:13"},{"id":29,"name":"Sharepoint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659</v>
      </c>
      <c r="B162" s="7">
        <v>4005</v>
      </c>
      <c r="C162" s="21" t="s">
        <v>197</v>
      </c>
      <c r="D162" s="21" t="s">
        <v>563</v>
      </c>
      <c r="E162" s="13">
        <v>42990.292523148149</v>
      </c>
      <c r="F162" s="13">
        <v>42990.297418981485</v>
      </c>
      <c r="G162" s="7">
        <v>82</v>
      </c>
      <c r="H162" s="21" t="s">
        <v>559</v>
      </c>
      <c r="I162" s="13">
        <v>42990.309108796297</v>
      </c>
      <c r="J162" s="7">
        <v>0</v>
      </c>
      <c r="K162" s="89" t="str">
        <f>IF(ISEVEN(B162),(B162-1)&amp;"/"&amp;B162,B162&amp;"/"&amp;(B162+1))</f>
        <v>4005/4006</v>
      </c>
      <c r="L162" s="214" t="str">
        <f>VLOOKUP(A162,'Trips&amp;Operators'!$C$1:$G$99911,5,FALSE)</f>
        <v>YANG JAN</v>
      </c>
      <c r="M162" s="6">
        <f>I162-F162</f>
        <v>1.1689814811688848E-2</v>
      </c>
      <c r="N162" s="7">
        <f>24*60*SUM($M162:$M162)</f>
        <v>16.833333328831941</v>
      </c>
      <c r="O162" s="7"/>
      <c r="P162" s="7"/>
      <c r="Q162" s="22"/>
      <c r="R162" s="167"/>
      <c r="S162" s="210">
        <f>1/IF(AG162="EC",12,1)*SUM(U162:U162)</f>
        <v>1</v>
      </c>
      <c r="T162" s="192" t="str">
        <f>IF(ISEVEN(LEFT(AD162,4)),"Southbound","NorthBound")</f>
        <v>Southbound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-12T06:01:14-0600',mode:absolute,to:'2017-09-12T08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94" t="str">
        <f>IF(AA162&lt;VLOOKUP(AG162,Variables!$AC$3:$AD$8,2,FALSE),"Y","N")</f>
        <v>N</v>
      </c>
      <c r="X162" s="194">
        <f>VALUE(LEFT(AD162,4))-VALUE(LEFT(AD161,4))</f>
        <v>1</v>
      </c>
      <c r="Y162" s="194">
        <f>RIGHT(D162,LEN(D162)-4)/10000</f>
        <v>5.8616999999999999</v>
      </c>
      <c r="Z162" s="194">
        <f>RIGHT(H162,LEN(H162)-4)/10000</f>
        <v>6.7500000000000004E-2</v>
      </c>
      <c r="AA162" s="194">
        <f>ABS(Z162-Y162)</f>
        <v>5.7942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>VALUE(LEFT(A162,LEN(A162)-3))</f>
        <v>806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/stypes="app*4005*20170912*" /stext=" 13:.+((SYSTEM_STATE.+slice.+state.+changed )|(ment ac)|(multiple cpu faults)|(system.+state.+changed )|(\[timeout)|(PRM\|1\|D)|(kpr)|(kdp)|(train st.+moving)|(\|lc)|(penalty))"</v>
      </c>
      <c r="AG162" s="206" t="str">
        <f>DetSubdiv(A162)</f>
        <v>NW</v>
      </c>
      <c r="AH162" s="78" t="str">
        <f t="shared" si="12"/>
        <v>"%USERPROFILE%\Documents\GitHub\eaglep3\Utilities\RefineRTDCRunTimes.py" --tripid 806-12 --locoid 4005 --swversion DE.1.0.9.0 --startMP 300:58617 --initTime 2017-09-12T07:01:14 --startdatetime 2017-09-12T07:08:17 --delay 82 --endMP 204:675 --enddatetime 2017-09-12T07:25:07 --enforcementcount 0 &gt;&gt;C:\Users\stu\Documents\GitHub\eaglep3-reporting\EC\2017-09-12-refined-times.txt</v>
      </c>
      <c r="AI162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{"issue":{"subject":"","project_id":79,"tracker_id":40,"status_id":1,"priority_id":2,"assigned_to_id":338,"start_date":"2017-09-12","description":"","custom_fields":[{"id":1,"name":"Subdivision","value":"NW"},{"id":4,"name":"Milepost","value":"0.0675"},{"id":17,"name":"Train ID","value":"806-12"},{"id":16,"name":"Locomotive ID","value":"4005"},{"id":130,"name":"Impact","value":""},{"id":150,"name":"Time of Event (Mountain Time)","value":"07:25:07"},{"id":151,"name":"Denver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14"/>
        <v>start /low /b %USERPROFILE%\Documents\GitHub\eaglep3\Utilities\DownloadLogsFromS3.py --loco 4005 --day 2017-09-12</v>
      </c>
      <c r="AN162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658</v>
      </c>
      <c r="B163" s="7">
        <v>4064</v>
      </c>
      <c r="C163" s="21" t="s">
        <v>197</v>
      </c>
      <c r="D163" s="21" t="s">
        <v>562</v>
      </c>
      <c r="E163" s="13">
        <v>42990.289548611108</v>
      </c>
      <c r="F163" s="13">
        <v>42990.29824074074</v>
      </c>
      <c r="G163" s="7">
        <v>57</v>
      </c>
      <c r="H163" s="21" t="s">
        <v>914</v>
      </c>
      <c r="I163" s="13">
        <v>42990.308553240742</v>
      </c>
      <c r="J163" s="7">
        <v>0</v>
      </c>
      <c r="K163" s="89" t="str">
        <f>IF(ISEVEN(B163),(B163-1)&amp;"/"&amp;B163,B163&amp;"/"&amp;(B163+1))</f>
        <v>4063/4064</v>
      </c>
      <c r="L163" s="214" t="str">
        <f>VLOOKUP(A163,'Trips&amp;Operators'!$C$1:$G$99911,5,FALSE)</f>
        <v>FORTUNATO FRANK</v>
      </c>
      <c r="M163" s="6">
        <f>I163-F163</f>
        <v>1.0312500002328306E-2</v>
      </c>
      <c r="N163" s="7">
        <f>24*60*SUM($M163:$M163)</f>
        <v>14.850000003352761</v>
      </c>
      <c r="O163" s="7"/>
      <c r="P163" s="7"/>
      <c r="Q163" s="22"/>
      <c r="R163" s="167"/>
      <c r="S163" s="210">
        <f>1/IF(AG163="EC",12,1)*SUM(U163:U163)</f>
        <v>1</v>
      </c>
      <c r="T163" s="192" t="str">
        <f>IF(ISEVEN(LEFT(AD163,4)),"Southbound","NorthBound")</f>
        <v>NorthBound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-12T05:56:57-0600',mode:absolute,to:'2017-09-12T08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3" s="194" t="str">
        <f>IF(AA163&lt;VLOOKUP(AG163,Variables!$AC$3:$AD$8,2,FALSE),"Y","N")</f>
        <v>N</v>
      </c>
      <c r="X163" s="194">
        <f>VALUE(LEFT(AD163,4))-VALUE(LEFT(AD162,4))</f>
        <v>1</v>
      </c>
      <c r="Y163" s="194">
        <f>RIGHT(D163,LEN(D163)-4)/10000</f>
        <v>9.7199999999999995E-2</v>
      </c>
      <c r="Z163" s="194">
        <f>RIGHT(H163,LEN(H163)-4)/10000</f>
        <v>5.8997000000000002</v>
      </c>
      <c r="AA163" s="194">
        <f>ABS(Z163-Y163)</f>
        <v>5.8025000000000002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>VALUE(LEFT(A163,LEN(A163)-3))</f>
        <v>807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/stypes="app*4064*20170912*" /stext=" 13:.+((SYSTEM_STATE.+slice.+state.+changed )|(ment ac)|(multiple cpu faults)|(system.+state.+changed )|(\[timeout)|(PRM\|1\|D)|(kpr)|(kdp)|(train st.+moving)|(\|lc)|(penalty))"</v>
      </c>
      <c r="AG163" s="206" t="str">
        <f>DetSubdiv(A163)</f>
        <v>NW</v>
      </c>
      <c r="AH163" s="78" t="str">
        <f t="shared" si="12"/>
        <v>"%USERPROFILE%\Documents\GitHub\eaglep3\Utilities\RefineRTDCRunTimes.py" --tripid 807-12 --locoid 4064 --swversion DE.1.0.9.0 --startMP 204:972 --initTime 2017-09-12T06:56:57 --startdatetime 2017-09-12T07:09:28 --delay 57 --endMP 300:58997 --enddatetime 2017-09-12T07:24:19 --enforcementcount 0 &gt;&gt;C:\Users\stu\Documents\GitHub\eaglep3-reporting\EC\2017-09-12-refined-times.txt</v>
      </c>
      <c r="AI163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{"issue":{"subject":"","project_id":79,"tracker_id":40,"status_id":1,"priority_id":2,"assigned_to_id":338,"start_date":"2017-09-12","description":"","custom_fields":[{"id":1,"name":"Subdivision","value":"NW"},{"id":4,"name":"Milepost","value":"5.8997"},{"id":17,"name":"Train ID","value":"807-12"},{"id":16,"name":"Locomotive ID","value":"4064"},{"id":130,"name":"Impact","value":""},{"id":150,"name":"Time of Event (Mountain Time)","value":"07:24:19"},{"id":151,"name":"Denver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14"/>
        <v>start /low /b %USERPROFILE%\Documents\GitHub\eaglep3\Utilities\DownloadLogsFromS3.py --loco 4064 --day 2017-09-12</v>
      </c>
      <c r="AN163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663</v>
      </c>
      <c r="B164" s="7">
        <v>4063</v>
      </c>
      <c r="C164" s="21" t="s">
        <v>197</v>
      </c>
      <c r="D164" s="21" t="s">
        <v>503</v>
      </c>
      <c r="E164" s="13">
        <v>42990.314074074071</v>
      </c>
      <c r="F164" s="13">
        <v>42990.315937500003</v>
      </c>
      <c r="G164" s="7">
        <v>51</v>
      </c>
      <c r="H164" s="21" t="s">
        <v>500</v>
      </c>
      <c r="I164" s="13">
        <v>42990.329895833333</v>
      </c>
      <c r="J164" s="7">
        <v>0</v>
      </c>
      <c r="K164" s="89" t="str">
        <f>IF(ISEVEN(B164),(B164-1)&amp;"/"&amp;B164,B164&amp;"/"&amp;(B164+1))</f>
        <v>4063/4064</v>
      </c>
      <c r="L164" s="214" t="str">
        <f>VLOOKUP(A164,'Trips&amp;Operators'!$C$1:$G$99911,5,FALSE)</f>
        <v>FORTUNATO FRANK</v>
      </c>
      <c r="M164" s="6">
        <f>I164-F164</f>
        <v>1.395833332935581E-2</v>
      </c>
      <c r="N164" s="7">
        <f>24*60*SUM($M164:$M164)</f>
        <v>20.099999994272366</v>
      </c>
      <c r="O164" s="7"/>
      <c r="P164" s="7"/>
      <c r="Q164" s="22"/>
      <c r="R164" s="167"/>
      <c r="S164" s="210">
        <f>1/IF(AG164="EC",12,1)*SUM(U164:U164)</f>
        <v>1</v>
      </c>
      <c r="T164" s="192" t="str">
        <f>IF(ISEVEN(LEFT(AD164,4)),"Southbound","NorthBound")</f>
        <v>Southbound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-12T06:32:16-0600',mode:absolute,to:'2017-09-12T08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4" s="194" t="str">
        <f>IF(AA164&lt;VLOOKUP(AG164,Variables!$AC$3:$AD$8,2,FALSE),"Y","N")</f>
        <v>N</v>
      </c>
      <c r="X164" s="194">
        <f>VALUE(LEFT(AD164,4))-VALUE(LEFT(AD163,4))</f>
        <v>1</v>
      </c>
      <c r="Y164" s="194">
        <f>RIGHT(D164,LEN(D164)-4)/10000</f>
        <v>5.8674999999999997</v>
      </c>
      <c r="Z164" s="194">
        <f>RIGHT(H164,LEN(H164)-4)/10000</f>
        <v>7.0800000000000002E-2</v>
      </c>
      <c r="AA164" s="194">
        <f>ABS(Z164-Y164)</f>
        <v>5.7966999999999995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>VALUE(LEFT(A164,LEN(A164)-3))</f>
        <v>808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/stypes="app*4063*20170912*" /stext=" 13:.+((SYSTEM_STATE.+slice.+state.+changed )|(ment ac)|(multiple cpu faults)|(system.+state.+changed )|(\[timeout)|(PRM\|1\|D)|(kpr)|(kdp)|(train st.+moving)|(\|lc)|(penalty))"</v>
      </c>
      <c r="AG164" s="206" t="str">
        <f>DetSubdiv(A164)</f>
        <v>NW</v>
      </c>
      <c r="AH164" s="78" t="str">
        <f t="shared" si="12"/>
        <v>"%USERPROFILE%\Documents\GitHub\eaglep3\Utilities\RefineRTDCRunTimes.py" --tripid 808-12 --locoid 4063 --swversion DE.1.0.9.0 --startMP 300:58675 --initTime 2017-09-12T07:32:16 --startdatetime 2017-09-12T07:34:57 --delay 51 --endMP 204:708 --enddatetime 2017-09-12T07:55:03 --enforcementcount 0 &gt;&gt;C:\Users\stu\Documents\GitHub\eaglep3-reporting\EC\2017-09-12-refined-times.txt</v>
      </c>
      <c r="AI164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{"issue":{"subject":"","project_id":79,"tracker_id":40,"status_id":1,"priority_id":2,"assigned_to_id":338,"start_date":"2017-09-12","description":"","custom_fields":[{"id":1,"name":"Subdivision","value":"NW"},{"id":4,"name":"Milepost","value":"0.0708"},{"id":17,"name":"Train ID","value":"808-12"},{"id":16,"name":"Locomotive ID","value":"4063"},{"id":130,"name":"Impact","value":""},{"id":150,"name":"Time of Event (Mountain Time)","value":"07:55:03"},{"id":151,"name":"Denver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14"/>
        <v>start /low /b %USERPROFILE%\Documents\GitHub\eaglep3\Utilities\DownloadLogsFromS3.py --loco 4063 --day 2017-09-12</v>
      </c>
      <c r="AN164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664</v>
      </c>
      <c r="B165" s="7">
        <v>4006</v>
      </c>
      <c r="C165" s="21" t="s">
        <v>197</v>
      </c>
      <c r="D165" s="21" t="s">
        <v>915</v>
      </c>
      <c r="E165" s="13">
        <v>42990.315937500003</v>
      </c>
      <c r="F165" s="13">
        <v>42990.318958333337</v>
      </c>
      <c r="G165" s="7">
        <v>87</v>
      </c>
      <c r="H165" s="21" t="s">
        <v>571</v>
      </c>
      <c r="I165" s="13">
        <v>42990.329317129632</v>
      </c>
      <c r="J165" s="7">
        <v>0</v>
      </c>
      <c r="K165" s="89" t="str">
        <f>IF(ISEVEN(B165),(B165-1)&amp;"/"&amp;B165,B165&amp;"/"&amp;(B165+1))</f>
        <v>4005/4006</v>
      </c>
      <c r="L165" s="214" t="str">
        <f>VLOOKUP(A165,'Trips&amp;Operators'!$C$1:$G$99911,5,FALSE)</f>
        <v>YANG JAN</v>
      </c>
      <c r="M165" s="6">
        <f>I165-F165</f>
        <v>1.0358796294895001E-2</v>
      </c>
      <c r="N165" s="7">
        <f>24*60*SUM($M165:$M165)</f>
        <v>14.916666664648801</v>
      </c>
      <c r="O165" s="7"/>
      <c r="P165" s="7"/>
      <c r="Q165" s="22"/>
      <c r="R165" s="167"/>
      <c r="S165" s="210">
        <f>1/IF(AG165="EC",12,1)*SUM(U165:U165)</f>
        <v>1</v>
      </c>
      <c r="T165" s="192" t="str">
        <f>IF(ISEVEN(LEFT(AD165,4)),"Southbound","NorthBound")</f>
        <v>NorthBound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-12T06:34:57-0600',mode:absolute,to:'2017-09-12T08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94" t="str">
        <f>IF(AA165&lt;VLOOKUP(AG165,Variables!$AC$3:$AD$8,2,FALSE),"Y","N")</f>
        <v>N</v>
      </c>
      <c r="X165" s="194">
        <f>VALUE(LEFT(AD165,4))-VALUE(LEFT(AD164,4))</f>
        <v>1</v>
      </c>
      <c r="Y165" s="194">
        <f>RIGHT(D165,LEN(D165)-4)/10000</f>
        <v>9.7900000000000001E-2</v>
      </c>
      <c r="Z165" s="194">
        <f>RIGHT(H165,LEN(H165)-4)/10000</f>
        <v>5.8940999999999999</v>
      </c>
      <c r="AA165" s="194">
        <f>ABS(Z165-Y165)</f>
        <v>5.7961999999999998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>VALUE(LEFT(A165,LEN(A165)-3))</f>
        <v>809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/stypes="app*4006*20170912*" /stext=" 13:.+((SYSTEM_STATE.+slice.+state.+changed )|(ment ac)|(multiple cpu faults)|(system.+state.+changed )|(\[timeout)|(PRM\|1\|D)|(kpr)|(kdp)|(train st.+moving)|(\|lc)|(penalty))"</v>
      </c>
      <c r="AG165" s="206" t="str">
        <f>DetSubdiv(A165)</f>
        <v>NW</v>
      </c>
      <c r="AH165" s="78" t="str">
        <f t="shared" si="12"/>
        <v>"%USERPROFILE%\Documents\GitHub\eaglep3\Utilities\RefineRTDCRunTimes.py" --tripid 809-12 --locoid 4006 --swversion DE.1.0.9.0 --startMP 204:979 --initTime 2017-09-12T07:34:57 --startdatetime 2017-09-12T07:39:18 --delay 87 --endMP 300:58941 --enddatetime 2017-09-12T07:54:13 --enforcementcount 0 &gt;&gt;C:\Users\stu\Documents\GitHub\eaglep3-reporting\EC\2017-09-12-refined-times.txt</v>
      </c>
      <c r="AI165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{"issue":{"subject":"","project_id":79,"tracker_id":40,"status_id":1,"priority_id":2,"assigned_to_id":338,"start_date":"2017-09-12","description":"","custom_fields":[{"id":1,"name":"Subdivision","value":"NW"},{"id":4,"name":"Milepost","value":"5.8941"},{"id":17,"name":"Train ID","value":"809-12"},{"id":16,"name":"Locomotive ID","value":"4006"},{"id":130,"name":"Impact","value":""},{"id":150,"name":"Time of Event (Mountain Time)","value":"07:54:13"},{"id":151,"name":"Denver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14"/>
        <v>start /low /b %USERPROFILE%\Documents\GitHub\eaglep3\Utilities\DownloadLogsFromS3.py --loco 4006 --day 2017-09-12</v>
      </c>
      <c r="AN165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13:54:13"},{"id":29,"name":"Sharepoint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668</v>
      </c>
      <c r="B166" s="7">
        <v>4005</v>
      </c>
      <c r="C166" s="21" t="s">
        <v>197</v>
      </c>
      <c r="D166" s="21" t="s">
        <v>916</v>
      </c>
      <c r="E166" s="13">
        <v>42990.33222222222</v>
      </c>
      <c r="F166" s="13">
        <v>42990.338472222225</v>
      </c>
      <c r="G166" s="7">
        <v>68</v>
      </c>
      <c r="H166" s="21" t="s">
        <v>502</v>
      </c>
      <c r="I166" s="13">
        <v>42990.350752314815</v>
      </c>
      <c r="J166" s="7">
        <v>0</v>
      </c>
      <c r="K166" s="89" t="str">
        <f>IF(ISEVEN(B166),(B166-1)&amp;"/"&amp;B166,B166&amp;"/"&amp;(B166+1))</f>
        <v>4005/4006</v>
      </c>
      <c r="L166" s="214" t="str">
        <f>VLOOKUP(A166,'Trips&amp;Operators'!$C$1:$G$99911,5,FALSE)</f>
        <v>YANG JAN</v>
      </c>
      <c r="M166" s="6">
        <f>I166-F166</f>
        <v>1.2280092589207925E-2</v>
      </c>
      <c r="N166" s="7">
        <f>24*60*SUM($M166:$M166)</f>
        <v>17.683333328459412</v>
      </c>
      <c r="O166" s="7"/>
      <c r="P166" s="7"/>
      <c r="Q166" s="22"/>
      <c r="R166" s="167"/>
      <c r="S166" s="210">
        <f>1/IF(AG166="EC",12,1)*SUM(U166:U166)</f>
        <v>1</v>
      </c>
      <c r="T166" s="192" t="str">
        <f>IF(ISEVEN(LEFT(AD166,4)),"Southbound","NorthBound")</f>
        <v>Southbound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-12T06:58:24-0600',mode:absolute,to:'2017-09-12T09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94" t="str">
        <f>IF(AA166&lt;VLOOKUP(AG166,Variables!$AC$3:$AD$8,2,FALSE),"Y","N")</f>
        <v>N</v>
      </c>
      <c r="X166" s="194">
        <f>VALUE(LEFT(AD166,4))-VALUE(LEFT(AD165,4))</f>
        <v>1</v>
      </c>
      <c r="Y166" s="194">
        <f>RIGHT(D166,LEN(D166)-4)/10000</f>
        <v>5.8628</v>
      </c>
      <c r="Z166" s="194">
        <f>RIGHT(H166,LEN(H166)-4)/10000</f>
        <v>6.9199999999999998E-2</v>
      </c>
      <c r="AA166" s="194">
        <f>ABS(Z166-Y166)</f>
        <v>5.7935999999999996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>VALUE(LEFT(A166,LEN(A166)-3))</f>
        <v>810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/stypes="app*4005*20170912*" /stext=" 14:.+((SYSTEM_STATE.+slice.+state.+changed )|(ment ac)|(multiple cpu faults)|(system.+state.+changed )|(\[timeout)|(PRM\|1\|D)|(kpr)|(kdp)|(train st.+moving)|(\|lc)|(penalty))"</v>
      </c>
      <c r="AG166" s="206" t="str">
        <f>DetSubdiv(A166)</f>
        <v>NW</v>
      </c>
      <c r="AH166" s="78" t="str">
        <f t="shared" si="12"/>
        <v>"%USERPROFILE%\Documents\GitHub\eaglep3\Utilities\RefineRTDCRunTimes.py" --tripid 810-12 --locoid 4005 --swversion DE.1.0.9.0 --startMP 300:58628 --initTime 2017-09-12T07:58:24 --startdatetime 2017-09-12T08:07:24 --delay 68 --endMP 204:692 --enddatetime 2017-09-12T08:25:05 --enforcementcount 0 &gt;&gt;C:\Users\stu\Documents\GitHub\eaglep3-reporting\EC\2017-09-12-refined-times.txt</v>
      </c>
      <c r="AI166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{"issue":{"subject":"","project_id":79,"tracker_id":40,"status_id":1,"priority_id":2,"assigned_to_id":338,"start_date":"2017-09-12","description":"","custom_fields":[{"id":1,"name":"Subdivision","value":"NW"},{"id":4,"name":"Milepost","value":"0.0692"},{"id":17,"name":"Train ID","value":"810-12"},{"id":16,"name":"Locomotive ID","value":"4005"},{"id":130,"name":"Impact","value":""},{"id":150,"name":"Time of Event (Mountain Time)","value":"08:25:05"},{"id":151,"name":"Denver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14"/>
        <v>start /low /b %USERPROFILE%\Documents\GitHub\eaglep3\Utilities\DownloadLogsFromS3.py --loco 4005 --day 2017-09-12</v>
      </c>
      <c r="AN166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666</v>
      </c>
      <c r="B167" s="7">
        <v>4064</v>
      </c>
      <c r="C167" s="21" t="s">
        <v>197</v>
      </c>
      <c r="D167" s="21" t="s">
        <v>565</v>
      </c>
      <c r="E167" s="13">
        <v>42990.331273148149</v>
      </c>
      <c r="F167" s="13">
        <v>42990.34002314815</v>
      </c>
      <c r="G167" s="7">
        <v>61</v>
      </c>
      <c r="H167" s="21" t="s">
        <v>917</v>
      </c>
      <c r="I167" s="13">
        <v>42990.350046296298</v>
      </c>
      <c r="J167" s="7">
        <v>0</v>
      </c>
      <c r="K167" s="89" t="str">
        <f>IF(ISEVEN(B167),(B167-1)&amp;"/"&amp;B167,B167&amp;"/"&amp;(B167+1))</f>
        <v>4063/4064</v>
      </c>
      <c r="L167" s="214" t="str">
        <f>VLOOKUP(A167,'Trips&amp;Operators'!$C$1:$G$99911,5,FALSE)</f>
        <v>FORTUNATO FRANK</v>
      </c>
      <c r="M167" s="6">
        <f>I167-F167</f>
        <v>1.0023148148320615E-2</v>
      </c>
      <c r="N167" s="7">
        <f>24*60*SUM($M167:$M167)</f>
        <v>14.433333333581686</v>
      </c>
      <c r="O167" s="7"/>
      <c r="P167" s="7"/>
      <c r="Q167" s="22"/>
      <c r="R167" s="167"/>
      <c r="S167" s="210">
        <f>1/IF(AG167="EC",12,1)*SUM(U167:U167)</f>
        <v>1</v>
      </c>
      <c r="T167" s="192" t="str">
        <f>IF(ISEVEN(LEFT(AD167,4)),"Southbound","NorthBound")</f>
        <v>NorthBound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-12T06:57:02-0600',mode:absolute,to:'2017-09-12T09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7" s="194" t="str">
        <f>IF(AA167&lt;VLOOKUP(AG167,Variables!$AC$3:$AD$8,2,FALSE),"Y","N")</f>
        <v>N</v>
      </c>
      <c r="X167" s="194">
        <f>VALUE(LEFT(AD167,4))-VALUE(LEFT(AD166,4))</f>
        <v>1</v>
      </c>
      <c r="Y167" s="194">
        <f>RIGHT(D167,LEN(D167)-4)/10000</f>
        <v>9.7600000000000006E-2</v>
      </c>
      <c r="Z167" s="194">
        <f>RIGHT(H167,LEN(H167)-4)/10000</f>
        <v>5.9009999999999998</v>
      </c>
      <c r="AA167" s="194">
        <f>ABS(Z167-Y167)</f>
        <v>5.8033999999999999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>VALUE(LEFT(A167,LEN(A167)-3))</f>
        <v>811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/stypes="app*4064*20170912*" /stext=" 14:.+((SYSTEM_STATE.+slice.+state.+changed )|(ment ac)|(multiple cpu faults)|(system.+state.+changed )|(\[timeout)|(PRM\|1\|D)|(kpr)|(kdp)|(train st.+moving)|(\|lc)|(penalty))"</v>
      </c>
      <c r="AG167" s="206" t="str">
        <f>DetSubdiv(A167)</f>
        <v>NW</v>
      </c>
      <c r="AH167" s="78" t="str">
        <f t="shared" si="12"/>
        <v>"%USERPROFILE%\Documents\GitHub\eaglep3\Utilities\RefineRTDCRunTimes.py" --tripid 811-12 --locoid 4064 --swversion DE.1.0.9.0 --startMP 204:976 --initTime 2017-09-12T07:57:02 --startdatetime 2017-09-12T08:09:38 --delay 61 --endMP 300:59010 --enddatetime 2017-09-12T08:24:04 --enforcementcount 0 &gt;&gt;C:\Users\stu\Documents\GitHub\eaglep3-reporting\EC\2017-09-12-refined-times.txt</v>
      </c>
      <c r="AI167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{"issue":{"subject":"","project_id":79,"tracker_id":40,"status_id":1,"priority_id":2,"assigned_to_id":338,"start_date":"2017-09-12","description":"","custom_fields":[{"id":1,"name":"Subdivision","value":"NW"},{"id":4,"name":"Milepost","value":"5.901"},{"id":17,"name":"Train ID","value":"811-12"},{"id":16,"name":"Locomotive ID","value":"4064"},{"id":130,"name":"Impact","value":""},{"id":150,"name":"Time of Event (Mountain Time)","value":"08:24:04"},{"id":151,"name":"Denver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14"/>
        <v>start /low /b %USERPROFILE%\Documents\GitHub\eaglep3\Utilities\DownloadLogsFromS3.py --loco 4064 --day 2017-09-12</v>
      </c>
      <c r="AN167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672</v>
      </c>
      <c r="B168" s="7">
        <v>4063</v>
      </c>
      <c r="C168" s="21" t="s">
        <v>197</v>
      </c>
      <c r="D168" s="21" t="s">
        <v>918</v>
      </c>
      <c r="E168" s="13">
        <v>42990.352152777778</v>
      </c>
      <c r="F168" s="13">
        <v>42990.356238425928</v>
      </c>
      <c r="G168" s="7">
        <v>61</v>
      </c>
      <c r="H168" s="21" t="s">
        <v>919</v>
      </c>
      <c r="I168" s="13">
        <v>42990.372013888889</v>
      </c>
      <c r="J168" s="7">
        <v>0</v>
      </c>
      <c r="K168" s="89" t="str">
        <f>IF(ISEVEN(B168),(B168-1)&amp;"/"&amp;B168,B168&amp;"/"&amp;(B168+1))</f>
        <v>4063/4064</v>
      </c>
      <c r="L168" s="214" t="str">
        <f>VLOOKUP(A168,'Trips&amp;Operators'!$C$1:$G$99911,5,FALSE)</f>
        <v>FORTUNATO FRANK</v>
      </c>
      <c r="M168" s="6">
        <f>I168-F168</f>
        <v>1.5775462961755693E-2</v>
      </c>
      <c r="N168" s="7">
        <f>24*60*SUM($M168:$M168)</f>
        <v>22.716666664928198</v>
      </c>
      <c r="O168" s="7"/>
      <c r="P168" s="7"/>
      <c r="Q168" s="22"/>
      <c r="R168" s="167"/>
      <c r="S168" s="210">
        <f>1/IF(AG168="EC",12,1)*SUM(U168:U168)</f>
        <v>1</v>
      </c>
      <c r="T168" s="192" t="str">
        <f>IF(ISEVEN(LEFT(AD168,4)),"Southbound","NorthBound")</f>
        <v>Southbound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-09-12T07:27:06-0600',mode:absolute,to:'2017-09-12T09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8" s="194" t="str">
        <f>IF(AA168&lt;VLOOKUP(AG168,Variables!$AC$3:$AD$8,2,FALSE),"Y","N")</f>
        <v>N</v>
      </c>
      <c r="X168" s="194">
        <f>VALUE(LEFT(AD168,4))-VALUE(LEFT(AD167,4))</f>
        <v>1</v>
      </c>
      <c r="Y168" s="194">
        <f>RIGHT(D168,LEN(D168)-4)/10000</f>
        <v>5.8693999999999997</v>
      </c>
      <c r="Z168" s="194">
        <f>RIGHT(H168,LEN(H168)-4)/10000</f>
        <v>6.5600000000000006E-2</v>
      </c>
      <c r="AA168" s="194">
        <f>ABS(Z168-Y168)</f>
        <v>5.8037999999999998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>VALUE(LEFT(A168,LEN(A168)-3))</f>
        <v>812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/stypes="app*4063*20170912*" /stext=" 14:.+((SYSTEM_STATE.+slice.+state.+changed )|(ment ac)|(multiple cpu faults)|(system.+state.+changed )|(\[timeout)|(PRM\|1\|D)|(kpr)|(kdp)|(train st.+moving)|(\|lc)|(penalty))"</v>
      </c>
      <c r="AG168" s="206" t="str">
        <f>DetSubdiv(A168)</f>
        <v>NW</v>
      </c>
      <c r="AH168" s="78" t="str">
        <f t="shared" si="12"/>
        <v>"%USERPROFILE%\Documents\GitHub\eaglep3\Utilities\RefineRTDCRunTimes.py" --tripid 812-12 --locoid 4063 --swversion DE.1.0.9.0 --startMP 300:58694 --initTime 2017-09-12T08:27:06 --startdatetime 2017-09-12T08:32:59 --delay 61 --endMP 204:656 --enddatetime 2017-09-12T08:55:42 --enforcementcount 0 &gt;&gt;C:\Users\stu\Documents\GitHub\eaglep3-reporting\EC\2017-09-12-refined-times.txt</v>
      </c>
      <c r="AI168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{"issue":{"subject":"","project_id":79,"tracker_id":40,"status_id":1,"priority_id":2,"assigned_to_id":338,"start_date":"2017-09-12","description":"","custom_fields":[{"id":1,"name":"Subdivision","value":"NW"},{"id":4,"name":"Milepost","value":"0.0656"},{"id":17,"name":"Train ID","value":"812-12"},{"id":16,"name":"Locomotive ID","value":"4063"},{"id":130,"name":"Impact","value":""},{"id":150,"name":"Time of Event (Mountain Time)","value":"08:55:42"},{"id":151,"name":"Denver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14"/>
        <v>start /low /b %USERPROFILE%\Documents\GitHub\eaglep3\Utilities\DownloadLogsFromS3.py --loco 4063 --day 2017-09-12</v>
      </c>
      <c r="AN168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587</v>
      </c>
      <c r="B169" s="7">
        <v>4064</v>
      </c>
      <c r="C169" s="21" t="s">
        <v>197</v>
      </c>
      <c r="D169" s="21" t="s">
        <v>478</v>
      </c>
      <c r="E169" s="13">
        <v>42990.37394675926</v>
      </c>
      <c r="F169" s="13">
        <v>42990.381562499999</v>
      </c>
      <c r="G169" s="7">
        <v>57</v>
      </c>
      <c r="H169" s="21" t="s">
        <v>920</v>
      </c>
      <c r="I169" s="13">
        <v>42990.390682870369</v>
      </c>
      <c r="J169" s="7">
        <v>0</v>
      </c>
      <c r="K169" s="89" t="str">
        <f>IF(ISEVEN(B169),(B169-1)&amp;"/"&amp;B169,B169&amp;"/"&amp;(B169+1))</f>
        <v>4063/4064</v>
      </c>
      <c r="L169" s="214" t="str">
        <f>VLOOKUP(A169,'Trips&amp;Operators'!$C$1:$G$99911,5,FALSE)</f>
        <v>FORTUNATO FRANK</v>
      </c>
      <c r="M169" s="6">
        <f>I169-F169</f>
        <v>9.1203703705104999E-3</v>
      </c>
      <c r="N169" s="7">
        <f>24*60*SUM($M169:$M169)</f>
        <v>13.13333333353512</v>
      </c>
      <c r="O169" s="7"/>
      <c r="P169" s="7"/>
      <c r="Q169" s="22"/>
      <c r="R169" s="167"/>
      <c r="S169" s="210">
        <f>1/IF(AG169="EC",12,1)*SUM(U169:U169)</f>
        <v>1</v>
      </c>
      <c r="T169" s="192" t="str">
        <f>IF(ISEVEN(LEFT(AD169,4)),"Southbound","NorthBound")</f>
        <v>NorthBound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-09-12T07:58:29-0600',mode:absolute,to:'2017-09-12T10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9" s="194" t="str">
        <f>IF(AA169&lt;VLOOKUP(AG169,Variables!$AC$3:$AD$8,2,FALSE),"Y","N")</f>
        <v>N</v>
      </c>
      <c r="X169" s="194">
        <f>VALUE(LEFT(AD169,4))-VALUE(LEFT(AD168,4))</f>
        <v>1</v>
      </c>
      <c r="Y169" s="194">
        <f>RIGHT(D169,LEN(D169)-4)/10000</f>
        <v>9.74E-2</v>
      </c>
      <c r="Z169" s="194">
        <f>RIGHT(H169,LEN(H169)-4)/10000</f>
        <v>5.8983999999999996</v>
      </c>
      <c r="AA169" s="194">
        <f>ABS(Z169-Y169)</f>
        <v>5.8009999999999993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>VALUE(LEFT(A169,LEN(A169)-3))</f>
        <v>813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/stypes="app*4064*20170912*" /stext=" 15:.+((SYSTEM_STATE.+slice.+state.+changed )|(ment ac)|(multiple cpu faults)|(system.+state.+changed )|(\[timeout)|(PRM\|1\|D)|(kpr)|(kdp)|(train st.+moving)|(\|lc)|(penalty))"</v>
      </c>
      <c r="AG169" s="206" t="str">
        <f>DetSubdiv(A169)</f>
        <v>NW</v>
      </c>
      <c r="AH169" s="78" t="str">
        <f t="shared" si="12"/>
        <v>"%USERPROFILE%\Documents\GitHub\eaglep3\Utilities\RefineRTDCRunTimes.py" --tripid 813-12 --locoid 4064 --swversion DE.1.0.9.0 --startMP 204:974 --initTime 2017-09-12T08:58:29 --startdatetime 2017-09-12T09:09:27 --delay 57 --endMP 300:58984 --enddatetime 2017-09-12T09:22:35 --enforcementcount 0 &gt;&gt;C:\Users\stu\Documents\GitHub\eaglep3-reporting\EC\2017-09-12-refined-times.txt</v>
      </c>
      <c r="AI169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{"issue":{"subject":"","project_id":79,"tracker_id":40,"status_id":1,"priority_id":2,"assigned_to_id":338,"start_date":"2017-09-12","description":"","custom_fields":[{"id":1,"name":"Subdivision","value":"NW"},{"id":4,"name":"Milepost","value":"5.8984"},{"id":17,"name":"Train ID","value":"813-12"},{"id":16,"name":"Locomotive ID","value":"4064"},{"id":130,"name":"Impact","value":""},{"id":150,"name":"Time of Event (Mountain Time)","value":"09:22:35"},{"id":151,"name":"Denver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14"/>
        <v>start /low /b %USERPROFILE%\Documents\GitHub\eaglep3\Utilities\DownloadLogsFromS3.py --loco 4064 --day 2017-09-12</v>
      </c>
      <c r="AN169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589</v>
      </c>
      <c r="B170" s="7">
        <v>4063</v>
      </c>
      <c r="C170" s="21" t="s">
        <v>197</v>
      </c>
      <c r="D170" s="21" t="s">
        <v>503</v>
      </c>
      <c r="E170" s="13">
        <v>42990.392916666664</v>
      </c>
      <c r="F170" s="13">
        <v>42990.399583333332</v>
      </c>
      <c r="G170" s="7">
        <v>70</v>
      </c>
      <c r="H170" s="21" t="s">
        <v>561</v>
      </c>
      <c r="I170" s="13">
        <v>42990.414282407408</v>
      </c>
      <c r="J170" s="7">
        <v>0</v>
      </c>
      <c r="K170" s="89" t="str">
        <f>IF(ISEVEN(B170),(B170-1)&amp;"/"&amp;B170,B170&amp;"/"&amp;(B170+1))</f>
        <v>4063/4064</v>
      </c>
      <c r="L170" s="214" t="str">
        <f>VLOOKUP(A170,'Trips&amp;Operators'!$C$1:$G$99911,5,FALSE)</f>
        <v>FORTUNATO FRANK</v>
      </c>
      <c r="M170" s="6">
        <f>I170-F170</f>
        <v>1.4699074075906537E-2</v>
      </c>
      <c r="N170" s="7">
        <f>24*60*SUM($M170:$M170)</f>
        <v>21.166666669305414</v>
      </c>
      <c r="O170" s="7"/>
      <c r="P170" s="7"/>
      <c r="Q170" s="22"/>
      <c r="R170" s="167"/>
      <c r="S170" s="210">
        <f>1/IF(AG170="EC",12,1)*SUM(U170:U170)</f>
        <v>1</v>
      </c>
      <c r="T170" s="192" t="str">
        <f>IF(ISEVEN(LEFT(AD170,4)),"Southbound","NorthBound")</f>
        <v>Southbound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-09-12T08:25:48-0600',mode:absolute,to:'2017-09-12T10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0" s="194" t="str">
        <f>IF(AA170&lt;VLOOKUP(AG170,Variables!$AC$3:$AD$8,2,FALSE),"Y","N")</f>
        <v>N</v>
      </c>
      <c r="X170" s="194">
        <f>VALUE(LEFT(AD170,4))-VALUE(LEFT(AD169,4))</f>
        <v>1</v>
      </c>
      <c r="Y170" s="194">
        <f>RIGHT(D170,LEN(D170)-4)/10000</f>
        <v>5.8674999999999997</v>
      </c>
      <c r="Z170" s="194">
        <f>RIGHT(H170,LEN(H170)-4)/10000</f>
        <v>6.9099999999999995E-2</v>
      </c>
      <c r="AA170" s="194">
        <f>ABS(Z170-Y170)</f>
        <v>5.7984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>VALUE(LEFT(A170,LEN(A170)-3))</f>
        <v>814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/stypes="app*4063*20170912*" /stext=" 15:.+((SYSTEM_STATE.+slice.+state.+changed )|(ment ac)|(multiple cpu faults)|(system.+state.+changed )|(\[timeout)|(PRM\|1\|D)|(kpr)|(kdp)|(train st.+moving)|(\|lc)|(penalty))"</v>
      </c>
      <c r="AG170" s="206" t="str">
        <f>DetSubdiv(A170)</f>
        <v>NW</v>
      </c>
      <c r="AH170" s="78" t="str">
        <f t="shared" si="12"/>
        <v>"%USERPROFILE%\Documents\GitHub\eaglep3\Utilities\RefineRTDCRunTimes.py" --tripid 814-12 --locoid 4063 --swversion DE.1.0.9.0 --startMP 300:58675 --initTime 2017-09-12T09:25:48 --startdatetime 2017-09-12T09:35:24 --delay 70 --endMP 204:691 --enddatetime 2017-09-12T09:56:34 --enforcementcount 0 &gt;&gt;C:\Users\stu\Documents\GitHub\eaglep3-reporting\EC\2017-09-12-refined-times.txt</v>
      </c>
      <c r="AI170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{"issue":{"subject":"","project_id":79,"tracker_id":40,"status_id":1,"priority_id":2,"assigned_to_id":338,"start_date":"2017-09-12","description":"","custom_fields":[{"id":1,"name":"Subdivision","value":"NW"},{"id":4,"name":"Milepost","value":"0.0691"},{"id":17,"name":"Train ID","value":"814-12"},{"id":16,"name":"Locomotive ID","value":"4063"},{"id":130,"name":"Impact","value":""},{"id":150,"name":"Time of Event (Mountain Time)","value":"09:56:34"},{"id":151,"name":"Denver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14"/>
        <v>start /low /b %USERPROFILE%\Documents\GitHub\eaglep3\Utilities\DownloadLogsFromS3.py --loco 4063 --day 2017-09-12</v>
      </c>
      <c r="AN170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15:56:34"},{"id":29,"name":"Sharepoint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592</v>
      </c>
      <c r="B171" s="7">
        <v>4064</v>
      </c>
      <c r="C171" s="21" t="s">
        <v>197</v>
      </c>
      <c r="D171" s="21" t="s">
        <v>921</v>
      </c>
      <c r="E171" s="13">
        <v>42990.41611111111</v>
      </c>
      <c r="F171" s="13">
        <v>42990.423483796294</v>
      </c>
      <c r="G171" s="7">
        <v>53</v>
      </c>
      <c r="H171" s="21" t="s">
        <v>479</v>
      </c>
      <c r="I171" s="13">
        <v>42990.432719907411</v>
      </c>
      <c r="J171" s="7">
        <v>0</v>
      </c>
      <c r="K171" s="89" t="str">
        <f>IF(ISEVEN(B171),(B171-1)&amp;"/"&amp;B171,B171&amp;"/"&amp;(B171+1))</f>
        <v>4063/4064</v>
      </c>
      <c r="L171" s="214" t="str">
        <f>VLOOKUP(A171,'Trips&amp;Operators'!$C$1:$G$99911,5,FALSE)</f>
        <v>FORTUNATO FRANK</v>
      </c>
      <c r="M171" s="6">
        <f>I171-F171</f>
        <v>9.236111116479151E-3</v>
      </c>
      <c r="N171" s="7">
        <f>24*60*SUM($M171:$M171)</f>
        <v>13.300000007729977</v>
      </c>
      <c r="O171" s="7"/>
      <c r="P171" s="7"/>
      <c r="Q171" s="22"/>
      <c r="R171" s="167"/>
      <c r="S171" s="210">
        <f>1/IF(AG171="EC",12,1)*SUM(U171:U171)</f>
        <v>1</v>
      </c>
      <c r="T171" s="192" t="str">
        <f>IF(ISEVEN(LEFT(AD171,4)),"Southbound","NorthBound")</f>
        <v>NorthBound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-09-12T08:59:12-0600',mode:absolute,to:'2017-09-12T11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1" s="194" t="str">
        <f>IF(AA171&lt;VLOOKUP(AG171,Variables!$AC$3:$AD$8,2,FALSE),"Y","N")</f>
        <v>N</v>
      </c>
      <c r="X171" s="194">
        <f>VALUE(LEFT(AD171,4))-VALUE(LEFT(AD170,4))</f>
        <v>1</v>
      </c>
      <c r="Y171" s="194">
        <f>RIGHT(D171,LEN(D171)-4)/10000</f>
        <v>9.6000000000000002E-2</v>
      </c>
      <c r="Z171" s="194">
        <f>RIGHT(H171,LEN(H171)-4)/10000</f>
        <v>5.8952</v>
      </c>
      <c r="AA171" s="194">
        <f>ABS(Z171-Y171)</f>
        <v>5.7991999999999999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>VALUE(LEFT(A171,LEN(A171)-3))</f>
        <v>815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/stypes="app*4064*20170912*" /stext=" 16:.+((SYSTEM_STATE.+slice.+state.+changed )|(ment ac)|(multiple cpu faults)|(system.+state.+changed )|(\[timeout)|(PRM\|1\|D)|(kpr)|(kdp)|(train st.+moving)|(\|lc)|(penalty))"</v>
      </c>
      <c r="AG171" s="206" t="str">
        <f>DetSubdiv(A171)</f>
        <v>NW</v>
      </c>
      <c r="AH171" s="78" t="str">
        <f t="shared" si="12"/>
        <v>"%USERPROFILE%\Documents\GitHub\eaglep3\Utilities\RefineRTDCRunTimes.py" --tripid 815-12 --locoid 4064 --swversion DE.1.0.9.0 --startMP 204:960 --initTime 2017-09-12T09:59:12 --startdatetime 2017-09-12T10:09:49 --delay 53 --endMP 300:58952 --enddatetime 2017-09-12T10:23:07 --enforcementcount 0 &gt;&gt;C:\Users\stu\Documents\GitHub\eaglep3-reporting\EC\2017-09-12-refined-times.txt</v>
      </c>
      <c r="AI171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{"issue":{"subject":"","project_id":79,"tracker_id":40,"status_id":1,"priority_id":2,"assigned_to_id":338,"start_date":"2017-09-12","description":"","custom_fields":[{"id":1,"name":"Subdivision","value":"NW"},{"id":4,"name":"Milepost","value":"5.8952"},{"id":17,"name":"Train ID","value":"815-12"},{"id":16,"name":"Locomotive ID","value":"4064"},{"id":130,"name":"Impact","value":""},{"id":150,"name":"Time of Event (Mountain Time)","value":"10:23:07"},{"id":151,"name":"Denver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14"/>
        <v>start /low /b %USERPROFILE%\Documents\GitHub\eaglep3\Utilities\DownloadLogsFromS3.py --loco 4064 --day 2017-09-12</v>
      </c>
      <c r="AN171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593</v>
      </c>
      <c r="B172" s="7">
        <v>4063</v>
      </c>
      <c r="C172" s="21" t="s">
        <v>197</v>
      </c>
      <c r="D172" s="21" t="s">
        <v>922</v>
      </c>
      <c r="E172" s="13">
        <v>42990.434259259258</v>
      </c>
      <c r="F172" s="13">
        <v>42990.44127314815</v>
      </c>
      <c r="G172" s="7">
        <v>64</v>
      </c>
      <c r="H172" s="21" t="s">
        <v>567</v>
      </c>
      <c r="I172" s="13">
        <v>42990.455682870372</v>
      </c>
      <c r="J172" s="7">
        <v>0</v>
      </c>
      <c r="K172" s="89" t="str">
        <f>IF(ISEVEN(B172),(B172-1)&amp;"/"&amp;B172,B172&amp;"/"&amp;(B172+1))</f>
        <v>4063/4064</v>
      </c>
      <c r="L172" s="214" t="str">
        <f>VLOOKUP(A172,'Trips&amp;Operators'!$C$1:$G$99911,5,FALSE)</f>
        <v>FORTUNATO FRANK</v>
      </c>
      <c r="M172" s="6">
        <f>I172-F172</f>
        <v>1.4409722221898846E-2</v>
      </c>
      <c r="N172" s="7">
        <f>24*60*SUM($M172:$M172)</f>
        <v>20.749999999534339</v>
      </c>
      <c r="O172" s="7"/>
      <c r="P172" s="7"/>
      <c r="Q172" s="22"/>
      <c r="R172" s="167"/>
      <c r="S172" s="210">
        <f>1/IF(AG172="EC",12,1)*SUM(U172:U172)</f>
        <v>1</v>
      </c>
      <c r="T172" s="192" t="str">
        <f>IF(ISEVEN(LEFT(AD172,4)),"Southbound","NorthBound")</f>
        <v>Southbound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-09-12T09:25:20-0600',mode:absolute,to:'2017-09-12T11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2" s="194" t="str">
        <f>IF(AA172&lt;VLOOKUP(AG172,Variables!$AC$3:$AD$8,2,FALSE),"Y","N")</f>
        <v>N</v>
      </c>
      <c r="X172" s="194">
        <f>VALUE(LEFT(AD172,4))-VALUE(LEFT(AD171,4))</f>
        <v>1</v>
      </c>
      <c r="Y172" s="194">
        <f>RIGHT(D172,LEN(D172)-4)/10000</f>
        <v>5.8625999999999996</v>
      </c>
      <c r="Z172" s="194">
        <f>RIGHT(H172,LEN(H172)-4)/10000</f>
        <v>6.8000000000000005E-2</v>
      </c>
      <c r="AA172" s="194">
        <f>ABS(Z172-Y172)</f>
        <v>5.7946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>VALUE(LEFT(A172,LEN(A172)-3))</f>
        <v>816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/stypes="app*4063*20170912*" /stext=" 16:.+((SYSTEM_STATE.+slice.+state.+changed )|(ment ac)|(multiple cpu faults)|(system.+state.+changed )|(\[timeout)|(PRM\|1\|D)|(kpr)|(kdp)|(train st.+moving)|(\|lc)|(penalty))"</v>
      </c>
      <c r="AG172" s="206" t="str">
        <f>DetSubdiv(A172)</f>
        <v>NW</v>
      </c>
      <c r="AH172" s="78" t="str">
        <f t="shared" si="12"/>
        <v>"%USERPROFILE%\Documents\GitHub\eaglep3\Utilities\RefineRTDCRunTimes.py" --tripid 816-12 --locoid 4063 --swversion DE.1.0.9.0 --startMP 300:58626 --initTime 2017-09-12T10:25:20 --startdatetime 2017-09-12T10:35:26 --delay 64 --endMP 204:680 --enddatetime 2017-09-12T10:56:11 --enforcementcount 0 &gt;&gt;C:\Users\stu\Documents\GitHub\eaglep3-reporting\EC\2017-09-12-refined-times.txt</v>
      </c>
      <c r="AI172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{"issue":{"subject":"","project_id":79,"tracker_id":40,"status_id":1,"priority_id":2,"assigned_to_id":338,"start_date":"2017-09-12","description":"","custom_fields":[{"id":1,"name":"Subdivision","value":"NW"},{"id":4,"name":"Milepost","value":"0.068"},{"id":17,"name":"Train ID","value":"816-12"},{"id":16,"name":"Locomotive ID","value":"4063"},{"id":130,"name":"Impact","value":""},{"id":150,"name":"Time of Event (Mountain Time)","value":"10:56:11"},{"id":151,"name":"Denver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14"/>
        <v>start /low /b %USERPROFILE%\Documents\GitHub\eaglep3\Utilities\DownloadLogsFromS3.py --loco 4063 --day 2017-09-12</v>
      </c>
      <c r="AN172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693</v>
      </c>
      <c r="B173" s="7">
        <v>4064</v>
      </c>
      <c r="C173" s="21" t="s">
        <v>197</v>
      </c>
      <c r="D173" s="21" t="s">
        <v>562</v>
      </c>
      <c r="E173" s="13">
        <v>42990.457615740743</v>
      </c>
      <c r="F173" s="13">
        <v>42990.464999999997</v>
      </c>
      <c r="G173" s="7">
        <v>64</v>
      </c>
      <c r="H173" s="21" t="s">
        <v>923</v>
      </c>
      <c r="I173" s="13">
        <v>42990.474456018521</v>
      </c>
      <c r="J173" s="7">
        <v>0</v>
      </c>
      <c r="K173" s="89" t="str">
        <f>IF(ISEVEN(B173),(B173-1)&amp;"/"&amp;B173,B173&amp;"/"&amp;(B173+1))</f>
        <v>4063/4064</v>
      </c>
      <c r="L173" s="214" t="str">
        <f>VLOOKUP(A173,'Trips&amp;Operators'!$C$1:$G$99911,5,FALSE)</f>
        <v>FORTUNATO FRANK</v>
      </c>
      <c r="M173" s="6">
        <f>I173-F173</f>
        <v>9.456018524360843E-3</v>
      </c>
      <c r="N173" s="7">
        <f>24*60*SUM($M173:$M173)</f>
        <v>13.616666675079614</v>
      </c>
      <c r="O173" s="7"/>
      <c r="P173" s="7"/>
      <c r="Q173" s="22"/>
      <c r="R173" s="167"/>
      <c r="S173" s="210">
        <f>1/IF(AG173="EC",12,1)*SUM(U173:U173)</f>
        <v>1</v>
      </c>
      <c r="T173" s="192" t="str">
        <f>IF(ISEVEN(LEFT(AD173,4)),"Southbound","NorthBound")</f>
        <v>NorthBound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-12T09:58:58-0600',mode:absolute,to:'2017-09-12T12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3" s="194" t="str">
        <f>IF(AA173&lt;VLOOKUP(AG173,Variables!$AC$3:$AD$8,2,FALSE),"Y","N")</f>
        <v>N</v>
      </c>
      <c r="X173" s="194">
        <f>VALUE(LEFT(AD173,4))-VALUE(LEFT(AD172,4))</f>
        <v>1</v>
      </c>
      <c r="Y173" s="194">
        <f>RIGHT(D173,LEN(D173)-4)/10000</f>
        <v>9.7199999999999995E-2</v>
      </c>
      <c r="Z173" s="194">
        <f>RIGHT(H173,LEN(H173)-4)/10000</f>
        <v>5.9008000000000003</v>
      </c>
      <c r="AA173" s="194">
        <f>ABS(Z173-Y173)</f>
        <v>5.8036000000000003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>VALUE(LEFT(A173,LEN(A173)-3))</f>
        <v>817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/stypes="app*4064*20170912*" /stext=" 17:.+((SYSTEM_STATE.+slice.+state.+changed )|(ment ac)|(multiple cpu faults)|(system.+state.+changed )|(\[timeout)|(PRM\|1\|D)|(kpr)|(kdp)|(train st.+moving)|(\|lc)|(penalty))"</v>
      </c>
      <c r="AG173" s="206" t="str">
        <f>DetSubdiv(A173)</f>
        <v>NW</v>
      </c>
      <c r="AH173" s="78" t="str">
        <f t="shared" si="12"/>
        <v>"%USERPROFILE%\Documents\GitHub\eaglep3\Utilities\RefineRTDCRunTimes.py" --tripid 817-12 --locoid 4064 --swversion DE.1.0.9.0 --startMP 204:972 --initTime 2017-09-12T10:58:58 --startdatetime 2017-09-12T11:09:36 --delay 64 --endMP 300:59008 --enddatetime 2017-09-12T11:23:13 --enforcementcount 0 &gt;&gt;C:\Users\stu\Documents\GitHub\eaglep3-reporting\EC\2017-09-12-refined-times.txt</v>
      </c>
      <c r="AI173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{"issue":{"subject":"","project_id":79,"tracker_id":40,"status_id":1,"priority_id":2,"assigned_to_id":338,"start_date":"2017-09-12","description":"","custom_fields":[{"id":1,"name":"Subdivision","value":"NW"},{"id":4,"name":"Milepost","value":"5.9008"},{"id":17,"name":"Train ID","value":"817-12"},{"id":16,"name":"Locomotive ID","value":"4064"},{"id":130,"name":"Impact","value":""},{"id":150,"name":"Time of Event (Mountain Time)","value":"11:23:13"},{"id":151,"name":"Denver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14"/>
        <v>start /low /b %USERPROFILE%\Documents\GitHub\eaglep3\Utilities\DownloadLogsFromS3.py --loco 4064 --day 2017-09-12</v>
      </c>
      <c r="AN173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701</v>
      </c>
      <c r="B174" s="7">
        <v>4063</v>
      </c>
      <c r="C174" s="21" t="s">
        <v>197</v>
      </c>
      <c r="D174" s="21" t="s">
        <v>924</v>
      </c>
      <c r="E174" s="13">
        <v>42990.475972222222</v>
      </c>
      <c r="F174" s="13">
        <v>42990.481377314813</v>
      </c>
      <c r="G174" s="7">
        <v>59</v>
      </c>
      <c r="H174" s="21" t="s">
        <v>502</v>
      </c>
      <c r="I174" s="13">
        <v>42990.496782407405</v>
      </c>
      <c r="J174" s="7">
        <v>0</v>
      </c>
      <c r="K174" s="89" t="str">
        <f>IF(ISEVEN(B174),(B174-1)&amp;"/"&amp;B174,B174&amp;"/"&amp;(B174+1))</f>
        <v>4063/4064</v>
      </c>
      <c r="L174" s="214" t="str">
        <f>VLOOKUP(A174,'Trips&amp;Operators'!$C$1:$G$99911,5,FALSE)</f>
        <v>FORTUNATO FRANK</v>
      </c>
      <c r="M174" s="6">
        <f>I174-F174</f>
        <v>1.5405092592118308E-2</v>
      </c>
      <c r="N174" s="7">
        <f>24*60*SUM($M174:$M174)</f>
        <v>22.183333332650363</v>
      </c>
      <c r="O174" s="7"/>
      <c r="P174" s="7"/>
      <c r="Q174" s="22"/>
      <c r="R174" s="167"/>
      <c r="S174" s="210">
        <f>1/IF(AG174="EC",12,1)*SUM(U174:U174)</f>
        <v>1</v>
      </c>
      <c r="T174" s="192" t="str">
        <f>IF(ISEVEN(LEFT(AD174,4)),"Southbound","NorthBound")</f>
        <v>Southbound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-09-12T10:25:24-0600',mode:absolute,to:'2017-09-12T12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4" s="194" t="str">
        <f>IF(AA174&lt;VLOOKUP(AG174,Variables!$AC$3:$AD$8,2,FALSE),"Y","N")</f>
        <v>N</v>
      </c>
      <c r="X174" s="194">
        <f>VALUE(LEFT(AD174,4))-VALUE(LEFT(AD173,4))</f>
        <v>1</v>
      </c>
      <c r="Y174" s="194">
        <f>RIGHT(D174,LEN(D174)-4)/10000</f>
        <v>5.8686999999999996</v>
      </c>
      <c r="Z174" s="194">
        <f>RIGHT(H174,LEN(H174)-4)/10000</f>
        <v>6.9199999999999998E-2</v>
      </c>
      <c r="AA174" s="194">
        <f>ABS(Z174-Y174)</f>
        <v>5.7994999999999992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>VALUE(LEFT(A174,LEN(A174)-3))</f>
        <v>818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/stypes="app*4063*20170912*" /stext=" 17:.+((SYSTEM_STATE.+slice.+state.+changed )|(ment ac)|(multiple cpu faults)|(system.+state.+changed )|(\[timeout)|(PRM\|1\|D)|(kpr)|(kdp)|(train st.+moving)|(\|lc)|(penalty))"</v>
      </c>
      <c r="AG174" s="206" t="str">
        <f>DetSubdiv(A174)</f>
        <v>NW</v>
      </c>
      <c r="AH174" s="78" t="str">
        <f t="shared" si="12"/>
        <v>"%USERPROFILE%\Documents\GitHub\eaglep3\Utilities\RefineRTDCRunTimes.py" --tripid 818-12 --locoid 4063 --swversion DE.1.0.9.0 --startMP 300:58687 --initTime 2017-09-12T11:25:24 --startdatetime 2017-09-12T11:33:11 --delay 59 --endMP 204:692 --enddatetime 2017-09-12T11:55:22 --enforcementcount 0 &gt;&gt;C:\Users\stu\Documents\GitHub\eaglep3-reporting\EC\2017-09-12-refined-times.txt</v>
      </c>
      <c r="AI174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{"issue":{"subject":"","project_id":79,"tracker_id":40,"status_id":1,"priority_id":2,"assigned_to_id":338,"start_date":"2017-09-12","description":"","custom_fields":[{"id":1,"name":"Subdivision","value":"NW"},{"id":4,"name":"Milepost","value":"0.0692"},{"id":17,"name":"Train ID","value":"818-12"},{"id":16,"name":"Locomotive ID","value":"4063"},{"id":130,"name":"Impact","value":""},{"id":150,"name":"Time of Event (Mountain Time)","value":"11:55:22"},{"id":151,"name":"Denver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14"/>
        <v>start /low /b %USERPROFILE%\Documents\GitHub\eaglep3\Utilities\DownloadLogsFromS3.py --loco 4063 --day 2017-09-12</v>
      </c>
      <c r="AN174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712</v>
      </c>
      <c r="B175" s="7">
        <v>4064</v>
      </c>
      <c r="C175" s="21" t="s">
        <v>197</v>
      </c>
      <c r="D175" s="21" t="s">
        <v>925</v>
      </c>
      <c r="E175" s="13">
        <v>42990.499583333331</v>
      </c>
      <c r="F175" s="13">
        <v>42990.50640046296</v>
      </c>
      <c r="G175" s="7">
        <v>51</v>
      </c>
      <c r="H175" s="21" t="s">
        <v>571</v>
      </c>
      <c r="I175" s="13">
        <v>42990.515613425923</v>
      </c>
      <c r="J175" s="7">
        <v>0</v>
      </c>
      <c r="K175" s="89" t="str">
        <f>IF(ISEVEN(B175),(B175-1)&amp;"/"&amp;B175,B175&amp;"/"&amp;(B175+1))</f>
        <v>4063/4064</v>
      </c>
      <c r="L175" s="214" t="str">
        <f>VLOOKUP(A175,'Trips&amp;Operators'!$C$1:$G$99911,5,FALSE)</f>
        <v>FORTUNATO FRANK</v>
      </c>
      <c r="M175" s="6">
        <f>I175-F175</f>
        <v>9.2129629629198462E-3</v>
      </c>
      <c r="N175" s="7">
        <f>24*60*SUM($M175:$M175)</f>
        <v>13.266666666604578</v>
      </c>
      <c r="O175" s="7"/>
      <c r="P175" s="7"/>
      <c r="Q175" s="22"/>
      <c r="R175" s="167"/>
      <c r="S175" s="210">
        <f>1/IF(AG175="EC",12,1)*SUM(U175:U175)</f>
        <v>1</v>
      </c>
      <c r="T175" s="192" t="str">
        <f>IF(ISEVEN(LEFT(AD175,4)),"Southbound","NorthBound")</f>
        <v>NorthBound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-09-12T10:59:24-0600',mode:absolute,to:'2017-09-12T13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5" s="194" t="str">
        <f>IF(AA175&lt;VLOOKUP(AG175,Variables!$AC$3:$AD$8,2,FALSE),"Y","N")</f>
        <v>N</v>
      </c>
      <c r="X175" s="194">
        <f>VALUE(LEFT(AD175,4))-VALUE(LEFT(AD174,4))</f>
        <v>1</v>
      </c>
      <c r="Y175" s="194">
        <f>RIGHT(D175,LEN(D175)-4)/10000</f>
        <v>0.1</v>
      </c>
      <c r="Z175" s="194">
        <f>RIGHT(H175,LEN(H175)-4)/10000</f>
        <v>5.8940999999999999</v>
      </c>
      <c r="AA175" s="194">
        <f>ABS(Z175-Y175)</f>
        <v>5.7941000000000003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>VALUE(LEFT(A175,LEN(A175)-3))</f>
        <v>819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/stypes="app*4064*20170912*" /stext=" 18:.+((SYSTEM_STATE.+slice.+state.+changed )|(ment ac)|(multiple cpu faults)|(system.+state.+changed )|(\[timeout)|(PRM\|1\|D)|(kpr)|(kdp)|(train st.+moving)|(\|lc)|(penalty))"</v>
      </c>
      <c r="AG175" s="206" t="str">
        <f>DetSubdiv(A175)</f>
        <v>NW</v>
      </c>
      <c r="AH175" s="78" t="str">
        <f t="shared" si="12"/>
        <v>"%USERPROFILE%\Documents\GitHub\eaglep3\Utilities\RefineRTDCRunTimes.py" --tripid 819-12 --locoid 4064 --swversion DE.1.0.9.0 --startMP 204:1000 --initTime 2017-09-12T11:59:24 --startdatetime 2017-09-12T12:09:13 --delay 51 --endMP 300:58941 --enddatetime 2017-09-12T12:22:29 --enforcementcount 0 &gt;&gt;C:\Users\stu\Documents\GitHub\eaglep3-reporting\EC\2017-09-12-refined-times.txt</v>
      </c>
      <c r="AI175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{"issue":{"subject":"","project_id":79,"tracker_id":40,"status_id":1,"priority_id":2,"assigned_to_id":338,"start_date":"2017-09-12","description":"","custom_fields":[{"id":1,"name":"Subdivision","value":"NW"},{"id":4,"name":"Milepost","value":"5.8941"},{"id":17,"name":"Train ID","value":"819-12"},{"id":16,"name":"Locomotive ID","value":"4064"},{"id":130,"name":"Impact","value":""},{"id":150,"name":"Time of Event (Mountain Time)","value":"12:22:29"},{"id":151,"name":"Denver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14"/>
        <v>start /low /b %USERPROFILE%\Documents\GitHub\eaglep3\Utilities\DownloadLogsFromS3.py --loco 4064 --day 2017-09-12</v>
      </c>
      <c r="AN175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597</v>
      </c>
      <c r="B176" s="7">
        <v>4063</v>
      </c>
      <c r="C176" s="21" t="s">
        <v>197</v>
      </c>
      <c r="D176" s="21" t="s">
        <v>922</v>
      </c>
      <c r="E176" s="13">
        <v>42990.517118055555</v>
      </c>
      <c r="F176" s="13">
        <v>42990.52138888889</v>
      </c>
      <c r="G176" s="7">
        <v>52</v>
      </c>
      <c r="H176" s="21" t="s">
        <v>926</v>
      </c>
      <c r="I176" s="13">
        <v>42990.538541666669</v>
      </c>
      <c r="J176" s="7">
        <v>0</v>
      </c>
      <c r="K176" s="89" t="str">
        <f>IF(ISEVEN(B176),(B176-1)&amp;"/"&amp;B176,B176&amp;"/"&amp;(B176+1))</f>
        <v>4063/4064</v>
      </c>
      <c r="L176" s="214" t="str">
        <f>VLOOKUP(A176,'Trips&amp;Operators'!$C$1:$G$99911,5,FALSE)</f>
        <v>FORTUNATO FRANK</v>
      </c>
      <c r="M176" s="6">
        <f>I176-F176</f>
        <v>1.7152777778392192E-2</v>
      </c>
      <c r="N176" s="7">
        <f>24*60*SUM($M176:$M176)</f>
        <v>24.700000000884756</v>
      </c>
      <c r="O176" s="7"/>
      <c r="P176" s="7"/>
      <c r="Q176" s="22"/>
      <c r="R176" s="167"/>
      <c r="S176" s="210">
        <f>1/IF(AG176="EC",12,1)*SUM(U176:U176)</f>
        <v>1</v>
      </c>
      <c r="T176" s="192" t="str">
        <f>IF(ISEVEN(LEFT(AD176,4)),"Southbound","NorthBound")</f>
        <v>Southbound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-09-12T11:24:39-0600',mode:absolute,to:'2017-09-12T13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6" s="194" t="str">
        <f>IF(AA176&lt;VLOOKUP(AG176,Variables!$AC$3:$AD$8,2,FALSE),"Y","N")</f>
        <v>N</v>
      </c>
      <c r="X176" s="194">
        <f>VALUE(LEFT(AD176,4))-VALUE(LEFT(AD175,4))</f>
        <v>1</v>
      </c>
      <c r="Y176" s="194">
        <f>RIGHT(D176,LEN(D176)-4)/10000</f>
        <v>5.8625999999999996</v>
      </c>
      <c r="Z176" s="194">
        <f>RIGHT(H176,LEN(H176)-4)/10000</f>
        <v>7.0300000000000001E-2</v>
      </c>
      <c r="AA176" s="194">
        <f>ABS(Z176-Y176)</f>
        <v>5.7923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>VALUE(LEFT(A176,LEN(A176)-3))</f>
        <v>820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/stypes="app*4063*20170912*" /stext=" 18:.+((SYSTEM_STATE.+slice.+state.+changed )|(ment ac)|(multiple cpu faults)|(system.+state.+changed )|(\[timeout)|(PRM\|1\|D)|(kpr)|(kdp)|(train st.+moving)|(\|lc)|(penalty))"</v>
      </c>
      <c r="AG176" s="206" t="str">
        <f>DetSubdiv(A176)</f>
        <v>NW</v>
      </c>
      <c r="AH176" s="78" t="str">
        <f t="shared" si="12"/>
        <v>"%USERPROFILE%\Documents\GitHub\eaglep3\Utilities\RefineRTDCRunTimes.py" --tripid 820-12 --locoid 4063 --swversion DE.1.0.9.0 --startMP 300:58626 --initTime 2017-09-12T12:24:39 --startdatetime 2017-09-12T12:30:48 --delay 52 --endMP 204:703 --enddatetime 2017-09-12T12:55:30 --enforcementcount 0 &gt;&gt;C:\Users\stu\Documents\GitHub\eaglep3-reporting\EC\2017-09-12-refined-times.txt</v>
      </c>
      <c r="AI176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{"issue":{"subject":"","project_id":79,"tracker_id":40,"status_id":1,"priority_id":2,"assigned_to_id":338,"start_date":"2017-09-12","description":"","custom_fields":[{"id":1,"name":"Subdivision","value":"NW"},{"id":4,"name":"Milepost","value":"0.0703"},{"id":17,"name":"Train ID","value":"820-12"},{"id":16,"name":"Locomotive ID","value":"4063"},{"id":130,"name":"Impact","value":""},{"id":150,"name":"Time of Event (Mountain Time)","value":"12:55:30"},{"id":151,"name":"Denver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14"/>
        <v>start /low /b %USERPROFILE%\Documents\GitHub\eaglep3\Utilities\DownloadLogsFromS3.py --loco 4063 --day 2017-09-12</v>
      </c>
      <c r="AN176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720</v>
      </c>
      <c r="B177" s="7">
        <v>4064</v>
      </c>
      <c r="C177" s="21" t="s">
        <v>197</v>
      </c>
      <c r="D177" s="21" t="s">
        <v>927</v>
      </c>
      <c r="E177" s="13">
        <v>42990.540891203702</v>
      </c>
      <c r="F177" s="13">
        <v>42990.548564814817</v>
      </c>
      <c r="G177" s="7">
        <v>72</v>
      </c>
      <c r="H177" s="21" t="s">
        <v>557</v>
      </c>
      <c r="I177" s="13">
        <v>42990.557349537034</v>
      </c>
      <c r="J177" s="7">
        <v>0</v>
      </c>
      <c r="K177" s="89" t="str">
        <f>IF(ISEVEN(B177),(B177-1)&amp;"/"&amp;B177,B177&amp;"/"&amp;(B177+1))</f>
        <v>4063/4064</v>
      </c>
      <c r="L177" s="214" t="str">
        <f>VLOOKUP(A177,'Trips&amp;Operators'!$C$1:$G$99911,5,FALSE)</f>
        <v>GUZMAN DANNY</v>
      </c>
      <c r="M177" s="6">
        <f>I177-F177</f>
        <v>8.7847222166601568E-3</v>
      </c>
      <c r="N177" s="7">
        <f>24*60*SUM($M177:$M177)</f>
        <v>12.649999991990626</v>
      </c>
      <c r="O177" s="7"/>
      <c r="P177" s="7"/>
      <c r="Q177" s="22"/>
      <c r="R177" s="167"/>
      <c r="S177" s="210">
        <f>1/IF(AG177="EC",12,1)*SUM(U177:U177)</f>
        <v>1</v>
      </c>
      <c r="T177" s="192" t="str">
        <f>IF(ISEVEN(LEFT(AD177,4)),"Southbound","NorthBound")</f>
        <v>NorthBound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-09-12T11:58:53-0600',mode:absolute,to:'2017-09-12T14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7" s="194" t="str">
        <f>IF(AA177&lt;VLOOKUP(AG177,Variables!$AC$3:$AD$8,2,FALSE),"Y","N")</f>
        <v>N</v>
      </c>
      <c r="X177" s="194">
        <f>VALUE(LEFT(AD177,4))-VALUE(LEFT(AD176,4))</f>
        <v>1</v>
      </c>
      <c r="Y177" s="194">
        <f>RIGHT(D177,LEN(D177)-4)/10000</f>
        <v>9.9000000000000005E-2</v>
      </c>
      <c r="Z177" s="194">
        <f>RIGHT(H177,LEN(H177)-4)/10000</f>
        <v>5.8920000000000003</v>
      </c>
      <c r="AA177" s="194">
        <f>ABS(Z177-Y177)</f>
        <v>5.7930000000000001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>VALUE(LEFT(A177,LEN(A177)-3))</f>
        <v>821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/stypes="app*4064*20170912*" /stext=" 19:.+((SYSTEM_STATE.+slice.+state.+changed )|(ment ac)|(multiple cpu faults)|(system.+state.+changed )|(\[timeout)|(PRM\|1\|D)|(kpr)|(kdp)|(train st.+moving)|(\|lc)|(penalty))"</v>
      </c>
      <c r="AG177" s="206" t="str">
        <f>DetSubdiv(A177)</f>
        <v>NW</v>
      </c>
      <c r="AH177" s="78" t="str">
        <f t="shared" si="12"/>
        <v>"%USERPROFILE%\Documents\GitHub\eaglep3\Utilities\RefineRTDCRunTimes.py" --tripid 821-12 --locoid 4064 --swversion DE.1.0.9.0 --startMP 204:990 --initTime 2017-09-12T12:58:53 --startdatetime 2017-09-12T13:09:56 --delay 72 --endMP 300:58920 --enddatetime 2017-09-12T13:22:35 --enforcementcount 0 &gt;&gt;C:\Users\stu\Documents\GitHub\eaglep3-reporting\EC\2017-09-12-refined-times.txt</v>
      </c>
      <c r="AI177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{"issue":{"subject":"","project_id":79,"tracker_id":40,"status_id":1,"priority_id":2,"assigned_to_id":338,"start_date":"2017-09-12","description":"","custom_fields":[{"id":1,"name":"Subdivision","value":"NW"},{"id":4,"name":"Milepost","value":"5.892"},{"id":17,"name":"Train ID","value":"821-12"},{"id":16,"name":"Locomotive ID","value":"4064"},{"id":130,"name":"Impact","value":""},{"id":150,"name":"Time of Event (Mountain Time)","value":"13:22:35"},{"id":151,"name":"Denver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14"/>
        <v>start /low /b %USERPROFILE%\Documents\GitHub\eaglep3\Utilities\DownloadLogsFromS3.py --loco 4064 --day 2017-09-12</v>
      </c>
      <c r="AN177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724</v>
      </c>
      <c r="B178" s="7">
        <v>4063</v>
      </c>
      <c r="C178" s="21" t="s">
        <v>197</v>
      </c>
      <c r="D178" s="21" t="s">
        <v>928</v>
      </c>
      <c r="E178" s="13">
        <v>42990.561111111114</v>
      </c>
      <c r="F178" s="13">
        <v>42990.568333333336</v>
      </c>
      <c r="G178" s="7">
        <v>62</v>
      </c>
      <c r="H178" s="21" t="s">
        <v>561</v>
      </c>
      <c r="I178" s="13">
        <v>42990.579756944448</v>
      </c>
      <c r="J178" s="7">
        <v>0</v>
      </c>
      <c r="K178" s="89" t="str">
        <f>IF(ISEVEN(B178),(B178-1)&amp;"/"&amp;B178,B178&amp;"/"&amp;(B178+1))</f>
        <v>4063/4064</v>
      </c>
      <c r="L178" s="214" t="str">
        <f>VLOOKUP(A178,'Trips&amp;Operators'!$C$1:$G$99911,5,FALSE)</f>
        <v>GUZMAN DANNY</v>
      </c>
      <c r="M178" s="6">
        <f>I178-F178</f>
        <v>1.1423611111240461E-2</v>
      </c>
      <c r="N178" s="7">
        <f>24*60*SUM($M178:$M178)</f>
        <v>16.450000000186265</v>
      </c>
      <c r="O178" s="7"/>
      <c r="P178" s="7"/>
      <c r="Q178" s="22"/>
      <c r="R178" s="167"/>
      <c r="S178" s="210">
        <f>1/IF(AG178="EC",12,1)*SUM(U178:U178)</f>
        <v>1</v>
      </c>
      <c r="T178" s="192" t="str">
        <f>IF(ISEVEN(LEFT(AD178,4)),"Southbound","NorthBound")</f>
        <v>Southbound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-09-12T12:28:00-0600',mode:absolute,to:'2017-09-12T14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8" s="194" t="str">
        <f>IF(AA178&lt;VLOOKUP(AG178,Variables!$AC$3:$AD$8,2,FALSE),"Y","N")</f>
        <v>N</v>
      </c>
      <c r="X178" s="194">
        <f>VALUE(LEFT(AD178,4))-VALUE(LEFT(AD177,4))</f>
        <v>1</v>
      </c>
      <c r="Y178" s="194">
        <f>RIGHT(D178,LEN(D178)-4)/10000</f>
        <v>5.8604000000000003</v>
      </c>
      <c r="Z178" s="194">
        <f>RIGHT(H178,LEN(H178)-4)/10000</f>
        <v>6.9099999999999995E-2</v>
      </c>
      <c r="AA178" s="194">
        <f>ABS(Z178-Y178)</f>
        <v>5.7913000000000006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>VALUE(LEFT(A178,LEN(A178)-3))</f>
        <v>822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/stypes="app*4063*20170912*" /stext=" 19:.+((SYSTEM_STATE.+slice.+state.+changed )|(ment ac)|(multiple cpu faults)|(system.+state.+changed )|(\[timeout)|(PRM\|1\|D)|(kpr)|(kdp)|(train st.+moving)|(\|lc)|(penalty))"</v>
      </c>
      <c r="AG178" s="206" t="str">
        <f>DetSubdiv(A178)</f>
        <v>NW</v>
      </c>
      <c r="AH178" s="78" t="str">
        <f t="shared" si="12"/>
        <v>"%USERPROFILE%\Documents\GitHub\eaglep3\Utilities\RefineRTDCRunTimes.py" --tripid 822-12 --locoid 4063 --swversion DE.1.0.9.0 --startMP 300:58604 --initTime 2017-09-12T13:28:00 --startdatetime 2017-09-12T13:38:24 --delay 62 --endMP 204:691 --enddatetime 2017-09-12T13:54:51 --enforcementcount 0 &gt;&gt;C:\Users\stu\Documents\GitHub\eaglep3-reporting\EC\2017-09-12-refined-times.txt</v>
      </c>
      <c r="AI178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{"issue":{"subject":"","project_id":79,"tracker_id":40,"status_id":1,"priority_id":2,"assigned_to_id":338,"start_date":"2017-09-12","description":"","custom_fields":[{"id":1,"name":"Subdivision","value":"NW"},{"id":4,"name":"Milepost","value":"0.0691"},{"id":17,"name":"Train ID","value":"822-12"},{"id":16,"name":"Locomotive ID","value":"4063"},{"id":130,"name":"Impact","value":""},{"id":150,"name":"Time of Event (Mountain Time)","value":"13:54:51"},{"id":151,"name":"Denver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14"/>
        <v>start /low /b %USERPROFILE%\Documents\GitHub\eaglep3\Utilities\DownloadLogsFromS3.py --loco 4063 --day 2017-09-12</v>
      </c>
      <c r="AN178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19:54:51"},{"id":29,"name":"Sharepoint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728</v>
      </c>
      <c r="B179" s="7">
        <v>4064</v>
      </c>
      <c r="C179" s="21" t="s">
        <v>197</v>
      </c>
      <c r="D179" s="21" t="s">
        <v>929</v>
      </c>
      <c r="E179" s="13">
        <v>42990.5859375</v>
      </c>
      <c r="F179" s="13">
        <v>42990.589756944442</v>
      </c>
      <c r="G179" s="7">
        <v>55</v>
      </c>
      <c r="H179" s="21" t="s">
        <v>930</v>
      </c>
      <c r="I179" s="13">
        <v>42990.598865740743</v>
      </c>
      <c r="J179" s="7">
        <v>0</v>
      </c>
      <c r="K179" s="89" t="str">
        <f>IF(ISEVEN(B179),(B179-1)&amp;"/"&amp;B179,B179&amp;"/"&amp;(B179+1))</f>
        <v>4063/4064</v>
      </c>
      <c r="L179" s="214" t="str">
        <f>VLOOKUP(A179,'Trips&amp;Operators'!$C$1:$G$99911,5,FALSE)</f>
        <v>GUZMAN DANNY</v>
      </c>
      <c r="M179" s="6">
        <f>I179-F179</f>
        <v>9.1087963010068052E-3</v>
      </c>
      <c r="N179" s="7">
        <f>24*60*SUM($M179:$M179)</f>
        <v>13.116666673449799</v>
      </c>
      <c r="O179" s="7"/>
      <c r="P179" s="7"/>
      <c r="Q179" s="22"/>
      <c r="R179" s="167"/>
      <c r="S179" s="210">
        <f>1/IF(AG179="EC",12,1)*SUM(U179:U179)</f>
        <v>1</v>
      </c>
      <c r="T179" s="192" t="str">
        <f>IF(ISEVEN(LEFT(AD179,4)),"Southbound","NorthBound")</f>
        <v>NorthBound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-09-12T13:03:45-0600',mode:absolute,to:'2017-09-12T15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9" s="194" t="str">
        <f>IF(AA179&lt;VLOOKUP(AG179,Variables!$AC$3:$AD$8,2,FALSE),"Y","N")</f>
        <v>N</v>
      </c>
      <c r="X179" s="194">
        <f>VALUE(LEFT(AD179,4))-VALUE(LEFT(AD178,4))</f>
        <v>1</v>
      </c>
      <c r="Y179" s="194">
        <f>RIGHT(D179,LEN(D179)-4)/10000</f>
        <v>9.8299999999999998E-2</v>
      </c>
      <c r="Z179" s="194">
        <f>RIGHT(H179,LEN(H179)-4)/10000</f>
        <v>5.8924000000000003</v>
      </c>
      <c r="AA179" s="194">
        <f>ABS(Z179-Y179)</f>
        <v>5.7941000000000003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>VALUE(LEFT(A179,LEN(A179)-3))</f>
        <v>823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/stypes="app*4064*20170912*" /stext=" 20:.+((SYSTEM_STATE.+slice.+state.+changed )|(ment ac)|(multiple cpu faults)|(system.+state.+changed )|(\[timeout)|(PRM\|1\|D)|(kpr)|(kdp)|(train st.+moving)|(\|lc)|(penalty))"</v>
      </c>
      <c r="AG179" s="206" t="str">
        <f>DetSubdiv(A179)</f>
        <v>NW</v>
      </c>
      <c r="AH179" s="78" t="str">
        <f t="shared" si="12"/>
        <v>"%USERPROFILE%\Documents\GitHub\eaglep3\Utilities\RefineRTDCRunTimes.py" --tripid 823-12 --locoid 4064 --swversion DE.1.0.9.0 --startMP 204:983 --initTime 2017-09-12T14:03:45 --startdatetime 2017-09-12T14:09:15 --delay 55 --endMP 300:58924 --enddatetime 2017-09-12T14:22:22 --enforcementcount 0 &gt;&gt;C:\Users\stu\Documents\GitHub\eaglep3-reporting\EC\2017-09-12-refined-times.txt</v>
      </c>
      <c r="AI179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{"issue":{"subject":"","project_id":79,"tracker_id":40,"status_id":1,"priority_id":2,"assigned_to_id":338,"start_date":"2017-09-12","description":"","custom_fields":[{"id":1,"name":"Subdivision","value":"NW"},{"id":4,"name":"Milepost","value":"5.8924"},{"id":17,"name":"Train ID","value":"823-12"},{"id":16,"name":"Locomotive ID","value":"4064"},{"id":130,"name":"Impact","value":""},{"id":150,"name":"Time of Event (Mountain Time)","value":"14:22:22"},{"id":151,"name":"Denver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14"/>
        <v>start /low /b %USERPROFILE%\Documents\GitHub\eaglep3\Utilities\DownloadLogsFromS3.py --loco 4064 --day 2017-09-12</v>
      </c>
      <c r="AN179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733</v>
      </c>
      <c r="B180" s="7">
        <v>4063</v>
      </c>
      <c r="C180" s="21" t="s">
        <v>197</v>
      </c>
      <c r="D180" s="21" t="s">
        <v>556</v>
      </c>
      <c r="E180" s="13">
        <v>42990.602337962962</v>
      </c>
      <c r="F180" s="13">
        <v>42990.610011574077</v>
      </c>
      <c r="G180" s="7">
        <v>120</v>
      </c>
      <c r="H180" s="21" t="s">
        <v>931</v>
      </c>
      <c r="I180" s="13">
        <v>42990.621458333335</v>
      </c>
      <c r="J180" s="7">
        <v>0</v>
      </c>
      <c r="K180" s="89" t="str">
        <f>IF(ISEVEN(B180),(B180-1)&amp;"/"&amp;B180,B180&amp;"/"&amp;(B180+1))</f>
        <v>4063/4064</v>
      </c>
      <c r="L180" s="214" t="str">
        <f>VLOOKUP(A180,'Trips&amp;Operators'!$C$1:$G$99911,5,FALSE)</f>
        <v>GUZMAN DANNY</v>
      </c>
      <c r="M180" s="6">
        <f>I180-F180</f>
        <v>1.1446759257523809E-2</v>
      </c>
      <c r="N180" s="7">
        <f>24*60*SUM($M180:$M180)</f>
        <v>16.483333330834284</v>
      </c>
      <c r="O180" s="7"/>
      <c r="P180" s="7"/>
      <c r="Q180" s="22"/>
      <c r="R180" s="167"/>
      <c r="S180" s="210">
        <f>1/IF(AG180="EC",12,1)*SUM(U180:U180)</f>
        <v>1</v>
      </c>
      <c r="T180" s="192" t="str">
        <f>IF(ISEVEN(LEFT(AD180,4)),"Southbound","NorthBound")</f>
        <v>Southbound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-09-12T13:27:22-0600',mode:absolute,to:'2017-09-12T15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0" s="194" t="str">
        <f>IF(AA180&lt;VLOOKUP(AG180,Variables!$AC$3:$AD$8,2,FALSE),"Y","N")</f>
        <v>N</v>
      </c>
      <c r="X180" s="194">
        <f>VALUE(LEFT(AD180,4))-VALUE(LEFT(AD179,4))</f>
        <v>1</v>
      </c>
      <c r="Y180" s="194">
        <f>RIGHT(D180,LEN(D180)-4)/10000</f>
        <v>5.8611000000000004</v>
      </c>
      <c r="Z180" s="194">
        <f>RIGHT(H180,LEN(H180)-4)/10000</f>
        <v>6.9900000000000004E-2</v>
      </c>
      <c r="AA180" s="194">
        <f>ABS(Z180-Y180)</f>
        <v>5.7912000000000008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>VALUE(LEFT(A180,LEN(A180)-3))</f>
        <v>824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/stypes="app*4063*20170912*" /stext=" 20:.+((SYSTEM_STATE.+slice.+state.+changed )|(ment ac)|(multiple cpu faults)|(system.+state.+changed )|(\[timeout)|(PRM\|1\|D)|(kpr)|(kdp)|(train st.+moving)|(\|lc)|(penalty))"</v>
      </c>
      <c r="AG180" s="206" t="str">
        <f>DetSubdiv(A180)</f>
        <v>NW</v>
      </c>
      <c r="AH180" s="78" t="str">
        <f t="shared" si="12"/>
        <v>"%USERPROFILE%\Documents\GitHub\eaglep3\Utilities\RefineRTDCRunTimes.py" --tripid 824-12 --locoid 4063 --swversion DE.1.0.9.0 --startMP 300:58611 --initTime 2017-09-12T14:27:22 --startdatetime 2017-09-12T14:38:25 --delay 120 --endMP 204:699 --enddatetime 2017-09-12T14:54:54 --enforcementcount 0 &gt;&gt;C:\Users\stu\Documents\GitHub\eaglep3-reporting\EC\2017-09-12-refined-times.txt</v>
      </c>
      <c r="AI180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{"issue":{"subject":"","project_id":79,"tracker_id":40,"status_id":1,"priority_id":2,"assigned_to_id":338,"start_date":"2017-09-12","description":"","custom_fields":[{"id":1,"name":"Subdivision","value":"NW"},{"id":4,"name":"Milepost","value":"0.0699"},{"id":17,"name":"Train ID","value":"824-12"},{"id":16,"name":"Locomotive ID","value":"4063"},{"id":130,"name":"Impact","value":""},{"id":150,"name":"Time of Event (Mountain Time)","value":"14:54:54"},{"id":151,"name":"Denver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14"/>
        <v>start /low /b %USERPROFILE%\Documents\GitHub\eaglep3\Utilities\DownloadLogsFromS3.py --loco 4063 --day 2017-09-12</v>
      </c>
      <c r="AN180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20:54:54"},{"id":29,"name":"Sharepoint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738</v>
      </c>
      <c r="B181" s="7">
        <v>4064</v>
      </c>
      <c r="C181" s="21" t="s">
        <v>197</v>
      </c>
      <c r="D181" s="21" t="s">
        <v>501</v>
      </c>
      <c r="E181" s="13">
        <v>42990.622858796298</v>
      </c>
      <c r="F181" s="13">
        <v>42990.631840277776</v>
      </c>
      <c r="G181" s="7">
        <v>49</v>
      </c>
      <c r="H181" s="21" t="s">
        <v>932</v>
      </c>
      <c r="I181" s="13">
        <v>42990.640960648147</v>
      </c>
      <c r="J181" s="7">
        <v>0</v>
      </c>
      <c r="K181" s="89" t="str">
        <f>IF(ISEVEN(B181),(B181-1)&amp;"/"&amp;B181,B181&amp;"/"&amp;(B181+1))</f>
        <v>4063/4064</v>
      </c>
      <c r="L181" s="214" t="str">
        <f>VLOOKUP(A181,'Trips&amp;Operators'!$C$1:$G$99911,5,FALSE)</f>
        <v>GUZMAN DANNY</v>
      </c>
      <c r="M181" s="6">
        <f>I181-F181</f>
        <v>9.1203703705104999E-3</v>
      </c>
      <c r="N181" s="7">
        <f>24*60*SUM($M181:$M181)</f>
        <v>13.13333333353512</v>
      </c>
      <c r="O181" s="7"/>
      <c r="P181" s="7"/>
      <c r="Q181" s="22"/>
      <c r="R181" s="167"/>
      <c r="S181" s="210">
        <f>1/IF(AG181="EC",12,1)*SUM(U181:U181)</f>
        <v>1</v>
      </c>
      <c r="T181" s="192" t="str">
        <f>IF(ISEVEN(LEFT(AD181,4)),"Southbound","NorthBound")</f>
        <v>NorthBound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-09-12T13:56:55-0600',mode:absolute,to:'2017-09-12T16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1" s="194" t="str">
        <f>IF(AA181&lt;VLOOKUP(AG181,Variables!$AC$3:$AD$8,2,FALSE),"Y","N")</f>
        <v>N</v>
      </c>
      <c r="X181" s="194">
        <f>VALUE(LEFT(AD181,4))-VALUE(LEFT(AD180,4))</f>
        <v>1</v>
      </c>
      <c r="Y181" s="194">
        <f>RIGHT(D181,LEN(D181)-4)/10000</f>
        <v>9.9299999999999999E-2</v>
      </c>
      <c r="Z181" s="194">
        <f>RIGHT(H181,LEN(H181)-4)/10000</f>
        <v>5.8925999999999998</v>
      </c>
      <c r="AA181" s="194">
        <f>ABS(Z181-Y181)</f>
        <v>5.7932999999999995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>VALUE(LEFT(A181,LEN(A181)-3))</f>
        <v>825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/stypes="app*4064*20170912*" /stext=" 21:.+((SYSTEM_STATE.+slice.+state.+changed )|(ment ac)|(multiple cpu faults)|(system.+state.+changed )|(\[timeout)|(PRM\|1\|D)|(kpr)|(kdp)|(train st.+moving)|(\|lc)|(penalty))"</v>
      </c>
      <c r="AG181" s="206" t="str">
        <f>DetSubdiv(A181)</f>
        <v>NW</v>
      </c>
      <c r="AH181" s="78" t="str">
        <f t="shared" si="12"/>
        <v>"%USERPROFILE%\Documents\GitHub\eaglep3\Utilities\RefineRTDCRunTimes.py" --tripid 825-12 --locoid 4064 --swversion DE.1.0.9.0 --startMP 204:993 --initTime 2017-09-12T14:56:55 --startdatetime 2017-09-12T15:09:51 --delay 49 --endMP 300:58926 --enddatetime 2017-09-12T15:22:59 --enforcementcount 0 &gt;&gt;C:\Users\stu\Documents\GitHub\eaglep3-reporting\EC\2017-09-12-refined-times.txt</v>
      </c>
      <c r="AI181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{"issue":{"subject":"","project_id":79,"tracker_id":40,"status_id":1,"priority_id":2,"assigned_to_id":338,"start_date":"2017-09-12","description":"","custom_fields":[{"id":1,"name":"Subdivision","value":"NW"},{"id":4,"name":"Milepost","value":"5.8926"},{"id":17,"name":"Train ID","value":"825-12"},{"id":16,"name":"Locomotive ID","value":"4064"},{"id":130,"name":"Impact","value":""},{"id":150,"name":"Time of Event (Mountain Time)","value":"15:22:59"},{"id":151,"name":"Denver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14"/>
        <v>start /low /b %USERPROFILE%\Documents\GitHub\eaglep3\Utilities\DownloadLogsFromS3.py --loco 4064 --day 2017-09-12</v>
      </c>
      <c r="AN181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744</v>
      </c>
      <c r="B182" s="7">
        <v>4063</v>
      </c>
      <c r="C182" s="21" t="s">
        <v>197</v>
      </c>
      <c r="D182" s="21" t="s">
        <v>912</v>
      </c>
      <c r="E182" s="13">
        <v>42990.642118055555</v>
      </c>
      <c r="F182" s="13">
        <v>42990.651585648149</v>
      </c>
      <c r="G182" s="7">
        <v>108</v>
      </c>
      <c r="H182" s="21" t="s">
        <v>933</v>
      </c>
      <c r="I182" s="13">
        <v>42990.662974537037</v>
      </c>
      <c r="J182" s="7">
        <v>0</v>
      </c>
      <c r="K182" s="89" t="str">
        <f>IF(ISEVEN(B182),(B182-1)&amp;"/"&amp;B182,B182&amp;"/"&amp;(B182+1))</f>
        <v>4063/4064</v>
      </c>
      <c r="L182" s="214" t="str">
        <f>VLOOKUP(A182,'Trips&amp;Operators'!$C$1:$G$99911,5,FALSE)</f>
        <v>GUZMAN DANNY</v>
      </c>
      <c r="M182" s="6">
        <f>I182-F182</f>
        <v>1.1388888888177462E-2</v>
      </c>
      <c r="N182" s="7">
        <f>24*60*SUM($M182:$M182)</f>
        <v>16.399999998975545</v>
      </c>
      <c r="O182" s="7"/>
      <c r="P182" s="7"/>
      <c r="Q182" s="22"/>
      <c r="R182" s="167"/>
      <c r="S182" s="210">
        <f>1/IF(AG182="EC",12,1)*SUM(U182:U182)</f>
        <v>1</v>
      </c>
      <c r="T182" s="192" t="str">
        <f>IF(ISEVEN(LEFT(AD182,4)),"Southbound","NorthBound")</f>
        <v>Southbound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-09-12T14:24:39-0600',mode:absolute,to:'2017-09-12T16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2" s="194" t="str">
        <f>IF(AA182&lt;VLOOKUP(AG182,Variables!$AC$3:$AD$8,2,FALSE),"Y","N")</f>
        <v>N</v>
      </c>
      <c r="X182" s="194">
        <f>VALUE(LEFT(AD182,4))-VALUE(LEFT(AD181,4))</f>
        <v>1</v>
      </c>
      <c r="Y182" s="194">
        <f>RIGHT(D182,LEN(D182)-4)/10000</f>
        <v>5.8613</v>
      </c>
      <c r="Z182" s="194">
        <f>RIGHT(H182,LEN(H182)-4)/10000</f>
        <v>6.7799999999999999E-2</v>
      </c>
      <c r="AA182" s="194">
        <f>ABS(Z182-Y182)</f>
        <v>5.7934999999999999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>VALUE(LEFT(A182,LEN(A182)-3))</f>
        <v>826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/stypes="app*4063*20170912*" /stext=" 21:.+((SYSTEM_STATE.+slice.+state.+changed )|(ment ac)|(multiple cpu faults)|(system.+state.+changed )|(\[timeout)|(PRM\|1\|D)|(kpr)|(kdp)|(train st.+moving)|(\|lc)|(penalty))"</v>
      </c>
      <c r="AG182" s="206" t="str">
        <f>DetSubdiv(A182)</f>
        <v>NW</v>
      </c>
      <c r="AH182" s="78" t="str">
        <f t="shared" si="12"/>
        <v>"%USERPROFILE%\Documents\GitHub\eaglep3\Utilities\RefineRTDCRunTimes.py" --tripid 826-12 --locoid 4063 --swversion DE.1.0.9.0 --startMP 300:58613 --initTime 2017-09-12T15:24:39 --startdatetime 2017-09-12T15:38:17 --delay 108 --endMP 204:678 --enddatetime 2017-09-12T15:54:41 --enforcementcount 0 &gt;&gt;C:\Users\stu\Documents\GitHub\eaglep3-reporting\EC\2017-09-12-refined-times.txt</v>
      </c>
      <c r="AI182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{"issue":{"subject":"","project_id":79,"tracker_id":40,"status_id":1,"priority_id":2,"assigned_to_id":338,"start_date":"2017-09-12","description":"","custom_fields":[{"id":1,"name":"Subdivision","value":"NW"},{"id":4,"name":"Milepost","value":"0.0678"},{"id":17,"name":"Train ID","value":"826-12"},{"id":16,"name":"Locomotive ID","value":"4063"},{"id":130,"name":"Impact","value":""},{"id":150,"name":"Time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14"/>
        <v>start /low /b %USERPROFILE%\Documents\GitHub\eaglep3\Utilities\DownloadLogsFromS3.py --loco 4063 --day 2017-09-12</v>
      </c>
      <c r="AN182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745</v>
      </c>
      <c r="B183" s="7">
        <v>4006</v>
      </c>
      <c r="C183" s="21" t="s">
        <v>197</v>
      </c>
      <c r="D183" s="21" t="s">
        <v>934</v>
      </c>
      <c r="E183" s="13">
        <v>42990.647245370368</v>
      </c>
      <c r="F183" s="13">
        <v>42990.652430555558</v>
      </c>
      <c r="G183" s="7">
        <v>63</v>
      </c>
      <c r="H183" s="21" t="s">
        <v>935</v>
      </c>
      <c r="I183" s="13">
        <v>42990.662442129629</v>
      </c>
      <c r="J183" s="7">
        <v>0</v>
      </c>
      <c r="K183" s="89" t="str">
        <f>IF(ISEVEN(B183),(B183-1)&amp;"/"&amp;B183,B183&amp;"/"&amp;(B183+1))</f>
        <v>4005/4006</v>
      </c>
      <c r="L183" s="214" t="str">
        <f>VLOOKUP(A183,'Trips&amp;Operators'!$C$1:$G$99911,5,FALSE)</f>
        <v>STAMBAUGH JAMES</v>
      </c>
      <c r="M183" s="6">
        <f>I183-F183</f>
        <v>1.0011574071540963E-2</v>
      </c>
      <c r="N183" s="7">
        <f>24*60*SUM($M183:$M183)</f>
        <v>14.416666663018987</v>
      </c>
      <c r="O183" s="7"/>
      <c r="P183" s="7"/>
      <c r="Q183" s="22"/>
      <c r="R183" s="167"/>
      <c r="S183" s="210">
        <f>1/IF(AG183="EC",12,1)*SUM(U183:U183)</f>
        <v>1</v>
      </c>
      <c r="T183" s="192" t="str">
        <f>IF(ISEVEN(LEFT(AD183,4)),"Southbound","NorthBound")</f>
        <v>NorthBound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-09-12T14:32:02-0600',mode:absolute,to:'2017-09-12T16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94" t="str">
        <f>IF(AA183&lt;VLOOKUP(AG183,Variables!$AC$3:$AD$8,2,FALSE),"Y","N")</f>
        <v>N</v>
      </c>
      <c r="X183" s="194">
        <f>VALUE(LEFT(AD183,4))-VALUE(LEFT(AD182,4))</f>
        <v>1</v>
      </c>
      <c r="Y183" s="194">
        <f>RIGHT(D183,LEN(D183)-4)/10000</f>
        <v>9.9199999999999997E-2</v>
      </c>
      <c r="Z183" s="194">
        <f>RIGHT(H183,LEN(H183)-4)/10000</f>
        <v>5.8933</v>
      </c>
      <c r="AA183" s="194">
        <f>ABS(Z183-Y183)</f>
        <v>5.7941000000000003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>VALUE(LEFT(A183,LEN(A183)-3))</f>
        <v>827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/stypes="app*4006*20170912*" /stext=" 21:.+((SYSTEM_STATE.+slice.+state.+changed )|(ment ac)|(multiple cpu faults)|(system.+state.+changed )|(\[timeout)|(PRM\|1\|D)|(kpr)|(kdp)|(train st.+moving)|(\|lc)|(penalty))"</v>
      </c>
      <c r="AG183" s="206" t="str">
        <f>DetSubdiv(A183)</f>
        <v>NW</v>
      </c>
      <c r="AH183" s="78" t="str">
        <f t="shared" si="12"/>
        <v>"%USERPROFILE%\Documents\GitHub\eaglep3\Utilities\RefineRTDCRunTimes.py" --tripid 827-12 --locoid 4006 --swversion DE.1.0.9.0 --startMP 204:992 --initTime 2017-09-12T15:32:02 --startdatetime 2017-09-12T15:39:30 --delay 63 --endMP 300:58933 --enddatetime 2017-09-12T15:53:55 --enforcementcount 0 &gt;&gt;C:\Users\stu\Documents\GitHub\eaglep3-reporting\EC\2017-09-12-refined-times.txt</v>
      </c>
      <c r="AI183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{"issue":{"subject":"","project_id":79,"tracker_id":40,"status_id":1,"priority_id":2,"assigned_to_id":338,"start_date":"2017-09-12","description":"","custom_fields":[{"id":1,"name":"Subdivision","value":"NW"},{"id":4,"name":"Milepost","value":"5.8933"},{"id":17,"name":"Train ID","value":"827-12"},{"id":16,"name":"Locomotive ID","value":"4006"},{"id":130,"name":"Impact","value":""},{"id":150,"name":"Time of Event (Mountain Time)","value":"15:53:55"},{"id":151,"name":"Denver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14"/>
        <v>start /low /b %USERPROFILE%\Documents\GitHub\eaglep3\Utilities\DownloadLogsFromS3.py --loco 4006 --day 2017-09-12</v>
      </c>
      <c r="AN183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749</v>
      </c>
      <c r="B184" s="7">
        <v>4005</v>
      </c>
      <c r="C184" s="21" t="s">
        <v>197</v>
      </c>
      <c r="D184" s="21" t="s">
        <v>936</v>
      </c>
      <c r="E184" s="13">
        <v>42990.66333333333</v>
      </c>
      <c r="F184" s="13">
        <v>42990.674212962964</v>
      </c>
      <c r="G184" s="7">
        <v>59</v>
      </c>
      <c r="H184" s="21" t="s">
        <v>569</v>
      </c>
      <c r="I184" s="13">
        <v>42990.683449074073</v>
      </c>
      <c r="J184" s="7">
        <v>0</v>
      </c>
      <c r="K184" s="89" t="str">
        <f>IF(ISEVEN(B184),(B184-1)&amp;"/"&amp;B184,B184&amp;"/"&amp;(B184+1))</f>
        <v>4005/4006</v>
      </c>
      <c r="L184" s="214" t="str">
        <f>VLOOKUP(A184,'Trips&amp;Operators'!$C$1:$G$99911,5,FALSE)</f>
        <v>STAMBAUGH JAMES</v>
      </c>
      <c r="M184" s="6">
        <f>I184-F184</f>
        <v>9.2361111092031933E-3</v>
      </c>
      <c r="N184" s="7">
        <f>24*60*SUM($M184:$M184)</f>
        <v>13.299999997252598</v>
      </c>
      <c r="O184" s="7"/>
      <c r="P184" s="7"/>
      <c r="Q184" s="22"/>
      <c r="R184" s="167"/>
      <c r="S184" s="210">
        <f>1/IF(AG184="EC",12,1)*SUM(U184:U184)</f>
        <v>1</v>
      </c>
      <c r="T184" s="192" t="str">
        <f>IF(ISEVEN(LEFT(AD184,4)),"Southbound","NorthBound")</f>
        <v>Southbound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-09-12T14:55:12-0600',mode:absolute,to:'2017-09-12T17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94" t="str">
        <f>IF(AA184&lt;VLOOKUP(AG184,Variables!$AC$3:$AD$8,2,FALSE),"Y","N")</f>
        <v>N</v>
      </c>
      <c r="X184" s="194">
        <f>VALUE(LEFT(AD184,4))-VALUE(LEFT(AD183,4))</f>
        <v>1</v>
      </c>
      <c r="Y184" s="194">
        <f>RIGHT(D184,LEN(D184)-4)/10000</f>
        <v>5.8624000000000001</v>
      </c>
      <c r="Z184" s="194">
        <f>RIGHT(H184,LEN(H184)-4)/10000</f>
        <v>6.9400000000000003E-2</v>
      </c>
      <c r="AA184" s="194">
        <f>ABS(Z184-Y184)</f>
        <v>5.7930000000000001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>VALUE(LEFT(A184,LEN(A184)-3))</f>
        <v>828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/stypes="app*4005*20170912*" /stext=" 22:.+((SYSTEM_STATE.+slice.+state.+changed )|(ment ac)|(multiple cpu faults)|(system.+state.+changed )|(\[timeout)|(PRM\|1\|D)|(kpr)|(kdp)|(train st.+moving)|(\|lc)|(penalty))"</v>
      </c>
      <c r="AG184" s="206" t="str">
        <f>DetSubdiv(A184)</f>
        <v>NW</v>
      </c>
      <c r="AH184" s="78" t="str">
        <f t="shared" si="12"/>
        <v>"%USERPROFILE%\Documents\GitHub\eaglep3\Utilities\RefineRTDCRunTimes.py" --tripid 828-12 --locoid 4005 --swversion DE.1.0.9.0 --startMP 300:58624 --initTime 2017-09-12T15:55:12 --startdatetime 2017-09-12T16:10:52 --delay 59 --endMP 204:694 --enddatetime 2017-09-12T16:24:10 --enforcementcount 0 &gt;&gt;C:\Users\stu\Documents\GitHub\eaglep3-reporting\EC\2017-09-12-refined-times.txt</v>
      </c>
      <c r="AI184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{"issue":{"subject":"","project_id":79,"tracker_id":40,"status_id":1,"priority_id":2,"assigned_to_id":338,"start_date":"2017-09-12","description":"","custom_fields":[{"id":1,"name":"Subdivision","value":"NW"},{"id":4,"name":"Milepost","value":"0.0694"},{"id":17,"name":"Train ID","value":"828-12"},{"id":16,"name":"Locomotive ID","value":"4005"},{"id":130,"name":"Impact","value":""},{"id":150,"name":"Time of Event (Mountain Time)","value":"16:24:10"},{"id":151,"name":"Denver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14"/>
        <v>start /low /b %USERPROFILE%\Documents\GitHub\eaglep3\Utilities\DownloadLogsFromS3.py --loco 4005 --day 2017-09-12</v>
      </c>
      <c r="AN184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750</v>
      </c>
      <c r="B185" s="7">
        <v>4064</v>
      </c>
      <c r="C185" s="21" t="s">
        <v>197</v>
      </c>
      <c r="D185" s="21" t="s">
        <v>560</v>
      </c>
      <c r="E185" s="13">
        <v>42990.665497685186</v>
      </c>
      <c r="F185" s="13">
        <v>42990.673414351855</v>
      </c>
      <c r="G185" s="7">
        <v>77</v>
      </c>
      <c r="H185" s="21" t="s">
        <v>937</v>
      </c>
      <c r="I185" s="13">
        <v>42990.683275462965</v>
      </c>
      <c r="J185" s="7">
        <v>0</v>
      </c>
      <c r="K185" s="89" t="str">
        <f>IF(ISEVEN(B185),(B185-1)&amp;"/"&amp;B185,B185&amp;"/"&amp;(B185+1))</f>
        <v>4063/4064</v>
      </c>
      <c r="L185" s="214" t="str">
        <f>VLOOKUP(A185,'Trips&amp;Operators'!$C$1:$G$99911,5,FALSE)</f>
        <v>ZEWDU DEREJE</v>
      </c>
      <c r="M185" s="6">
        <f>I185-F185</f>
        <v>9.8611111097852699E-3</v>
      </c>
      <c r="N185" s="7">
        <f>24*60*SUM($M185:$M185)</f>
        <v>14.199999998090789</v>
      </c>
      <c r="O185" s="7"/>
      <c r="P185" s="7"/>
      <c r="Q185" s="22"/>
      <c r="R185" s="167"/>
      <c r="S185" s="210">
        <f>1/IF(AG185="EC",12,1)*SUM(U185:U185)</f>
        <v>1</v>
      </c>
      <c r="T185" s="192" t="str">
        <f>IF(ISEVEN(LEFT(AD185,4)),"Southbound","NorthBound")</f>
        <v>NorthBound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-12T14:58:19-0600',mode:absolute,to:'2017-09-12T17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5" s="194" t="str">
        <f>IF(AA185&lt;VLOOKUP(AG185,Variables!$AC$3:$AD$8,2,FALSE),"Y","N")</f>
        <v>N</v>
      </c>
      <c r="X185" s="194">
        <f>VALUE(LEFT(AD185,4))-VALUE(LEFT(AD184,4))</f>
        <v>1</v>
      </c>
      <c r="Y185" s="194">
        <f>RIGHT(D185,LEN(D185)-4)/10000</f>
        <v>9.6500000000000002E-2</v>
      </c>
      <c r="Z185" s="194">
        <f>RIGHT(H185,LEN(H185)-4)/10000</f>
        <v>5.8963000000000001</v>
      </c>
      <c r="AA185" s="194">
        <f>ABS(Z185-Y185)</f>
        <v>5.7998000000000003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>VALUE(LEFT(A185,LEN(A185)-3))</f>
        <v>829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/stypes="app*4064*20170912*" /stext=" 22:.+((SYSTEM_STATE.+slice.+state.+changed )|(ment ac)|(multiple cpu faults)|(system.+state.+changed )|(\[timeout)|(PRM\|1\|D)|(kpr)|(kdp)|(train st.+moving)|(\|lc)|(penalty))"</v>
      </c>
      <c r="AG185" s="206" t="str">
        <f>DetSubdiv(A185)</f>
        <v>NW</v>
      </c>
      <c r="AH185" s="78" t="str">
        <f t="shared" si="12"/>
        <v>"%USERPROFILE%\Documents\GitHub\eaglep3\Utilities\RefineRTDCRunTimes.py" --tripid 829-12 --locoid 4064 --swversion DE.1.0.9.0 --startMP 204:965 --initTime 2017-09-12T15:58:19 --startdatetime 2017-09-12T16:09:43 --delay 77 --endMP 300:58963 --enddatetime 2017-09-12T16:23:55 --enforcementcount 0 &gt;&gt;C:\Users\stu\Documents\GitHub\eaglep3-reporting\EC\2017-09-12-refined-times.txt</v>
      </c>
      <c r="AI185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{"issue":{"subject":"","project_id":79,"tracker_id":40,"status_id":1,"priority_id":2,"assigned_to_id":338,"start_date":"2017-09-12","description":"","custom_fields":[{"id":1,"name":"Subdivision","value":"NW"},{"id":4,"name":"Milepost","value":"5.8963"},{"id":17,"name":"Train ID","value":"829-12"},{"id":16,"name":"Locomotive ID","value":"4064"},{"id":130,"name":"Impact","value":""},{"id":150,"name":"Time of Event (Mountain Time)","value":"16:23:55"},{"id":151,"name":"Denver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14"/>
        <v>start /low /b %USERPROFILE%\Documents\GitHub\eaglep3\Utilities\DownloadLogsFromS3.py --loco 4064 --day 2017-09-12</v>
      </c>
      <c r="AN185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757</v>
      </c>
      <c r="B186" s="7">
        <v>4063</v>
      </c>
      <c r="C186" s="21" t="s">
        <v>197</v>
      </c>
      <c r="D186" s="21" t="s">
        <v>938</v>
      </c>
      <c r="E186" s="13">
        <v>42990.684537037036</v>
      </c>
      <c r="F186" s="13">
        <v>42990.692754629628</v>
      </c>
      <c r="G186" s="7">
        <v>76</v>
      </c>
      <c r="H186" s="21" t="s">
        <v>939</v>
      </c>
      <c r="I186" s="13">
        <v>42990.705023148148</v>
      </c>
      <c r="J186" s="7">
        <v>0</v>
      </c>
      <c r="K186" s="89" t="str">
        <f>IF(ISEVEN(B186),(B186-1)&amp;"/"&amp;B186,B186&amp;"/"&amp;(B186+1))</f>
        <v>4063/4064</v>
      </c>
      <c r="L186" s="214" t="str">
        <f>VLOOKUP(A186,'Trips&amp;Operators'!$C$1:$G$99911,5,FALSE)</f>
        <v>ZEWDU DEREJE</v>
      </c>
      <c r="M186" s="6">
        <f>I186-F186</f>
        <v>1.226851851970423E-2</v>
      </c>
      <c r="N186" s="7">
        <f>24*60*SUM($M186:$M186)</f>
        <v>17.666666668374091</v>
      </c>
      <c r="O186" s="7"/>
      <c r="P186" s="7"/>
      <c r="Q186" s="22"/>
      <c r="R186" s="167"/>
      <c r="S186" s="210">
        <f>1/IF(AG186="EC",12,1)*SUM(U186:U186)</f>
        <v>1</v>
      </c>
      <c r="T186" s="192" t="str">
        <f>IF(ISEVEN(LEFT(AD186,4)),"Southbound","NorthBound")</f>
        <v>Southbound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-09-12T15:25:44-0600',mode:absolute,to:'2017-09-12T17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6" s="194" t="str">
        <f>IF(AA186&lt;VLOOKUP(AG186,Variables!$AC$3:$AD$8,2,FALSE),"Y","N")</f>
        <v>N</v>
      </c>
      <c r="X186" s="194">
        <f>VALUE(LEFT(AD186,4))-VALUE(LEFT(AD185,4))</f>
        <v>1</v>
      </c>
      <c r="Y186" s="194">
        <f>RIGHT(D186,LEN(D186)-4)/10000</f>
        <v>5.8644999999999996</v>
      </c>
      <c r="Z186" s="194">
        <f>RIGHT(H186,LEN(H186)-4)/10000</f>
        <v>1.46E-2</v>
      </c>
      <c r="AA186" s="194">
        <f>ABS(Z186-Y186)</f>
        <v>5.8498999999999999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>VALUE(LEFT(A186,LEN(A186)-3))</f>
        <v>830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/stypes="app*4063*20170912*" /stext=" 22:.+((SYSTEM_STATE.+slice.+state.+changed )|(ment ac)|(multiple cpu faults)|(system.+state.+changed )|(\[timeout)|(PRM\|1\|D)|(kpr)|(kdp)|(train st.+moving)|(\|lc)|(penalty))"</v>
      </c>
      <c r="AG186" s="206" t="str">
        <f>DetSubdiv(A186)</f>
        <v>NW</v>
      </c>
      <c r="AH186" s="78" t="str">
        <f t="shared" si="12"/>
        <v>"%USERPROFILE%\Documents\GitHub\eaglep3\Utilities\RefineRTDCRunTimes.py" --tripid 830-12 --locoid 4063 --swversion DE.1.0.9.0 --startMP 300:58645 --initTime 2017-09-12T16:25:44 --startdatetime 2017-09-12T16:37:34 --delay 76 --endMP 204:146 --enddatetime 2017-09-12T16:55:14 --enforcementcount 0 &gt;&gt;C:\Users\stu\Documents\GitHub\eaglep3-reporting\EC\2017-09-12-refined-times.txt</v>
      </c>
      <c r="AI186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{"issue":{"subject":"","project_id":79,"tracker_id":40,"status_id":1,"priority_id":2,"assigned_to_id":338,"start_date":"2017-09-12","description":"","custom_fields":[{"id":1,"name":"Subdivision","value":"NW"},{"id":4,"name":"Milepost","value":"0.0146"},{"id":17,"name":"Train ID","value":"830-12"},{"id":16,"name":"Locomotive ID","value":"4063"},{"id":130,"name":"Impact","value":""},{"id":150,"name":"Time of Event (Mountain Time)","value":"16:55:14"},{"id":151,"name":"Denver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14"/>
        <v>start /low /b %USERPROFILE%\Documents\GitHub\eaglep3\Utilities\DownloadLogsFromS3.py --loco 4063 --day 2017-09-12</v>
      </c>
      <c r="AN186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759</v>
      </c>
      <c r="B187" s="7">
        <v>4006</v>
      </c>
      <c r="C187" s="21" t="s">
        <v>197</v>
      </c>
      <c r="D187" s="21" t="s">
        <v>562</v>
      </c>
      <c r="E187" s="13">
        <v>42990.689895833333</v>
      </c>
      <c r="F187" s="13">
        <v>42990.694074074076</v>
      </c>
      <c r="G187" s="7">
        <v>69</v>
      </c>
      <c r="H187" s="21" t="s">
        <v>568</v>
      </c>
      <c r="I187" s="13">
        <v>42990.704467592594</v>
      </c>
      <c r="J187" s="7">
        <v>0</v>
      </c>
      <c r="K187" s="89" t="str">
        <f>IF(ISEVEN(B187),(B187-1)&amp;"/"&amp;B187,B187&amp;"/"&amp;(B187+1))</f>
        <v>4005/4006</v>
      </c>
      <c r="L187" s="214" t="str">
        <f>VLOOKUP(A187,'Trips&amp;Operators'!$C$1:$G$99911,5,FALSE)</f>
        <v>STAMBAUGH JAMES</v>
      </c>
      <c r="M187" s="6">
        <f>I187-F187</f>
        <v>1.0393518517958E-2</v>
      </c>
      <c r="N187" s="7">
        <f>24*60*SUM($M187:$M187)</f>
        <v>14.96666666585952</v>
      </c>
      <c r="O187" s="7"/>
      <c r="P187" s="7"/>
      <c r="Q187" s="22"/>
      <c r="R187" s="167"/>
      <c r="S187" s="210">
        <f>1/IF(AG187="EC",12,1)*SUM(U187:U187)</f>
        <v>1</v>
      </c>
      <c r="T187" s="192" t="str">
        <f>IF(ISEVEN(LEFT(AD187,4)),"Southbound","NorthBound")</f>
        <v>NorthBound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-12T15:33:27-0600',mode:absolute,to:'2017-09-12T17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94" t="str">
        <f>IF(AA187&lt;VLOOKUP(AG187,Variables!$AC$3:$AD$8,2,FALSE),"Y","N")</f>
        <v>N</v>
      </c>
      <c r="X187" s="194">
        <f>VALUE(LEFT(AD187,4))-VALUE(LEFT(AD186,4))</f>
        <v>1</v>
      </c>
      <c r="Y187" s="194">
        <f>RIGHT(D187,LEN(D187)-4)/10000</f>
        <v>9.7199999999999995E-2</v>
      </c>
      <c r="Z187" s="194">
        <f>RIGHT(H187,LEN(H187)-4)/10000</f>
        <v>5.8943000000000003</v>
      </c>
      <c r="AA187" s="194">
        <f>ABS(Z187-Y187)</f>
        <v>5.7971000000000004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>VALUE(LEFT(A187,LEN(A187)-3))</f>
        <v>831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/stypes="app*4006*20170912*" /stext=" 22:.+((SYSTEM_STATE.+slice.+state.+changed )|(ment ac)|(multiple cpu faults)|(system.+state.+changed )|(\[timeout)|(PRM\|1\|D)|(kpr)|(kdp)|(train st.+moving)|(\|lc)|(penalty))"</v>
      </c>
      <c r="AG187" s="206" t="str">
        <f>DetSubdiv(A187)</f>
        <v>NW</v>
      </c>
      <c r="AH187" s="78" t="str">
        <f t="shared" si="12"/>
        <v>"%USERPROFILE%\Documents\GitHub\eaglep3\Utilities\RefineRTDCRunTimes.py" --tripid 831-12 --locoid 4006 --swversion DE.1.0.9.0 --startMP 204:972 --initTime 2017-09-12T16:33:27 --startdatetime 2017-09-12T16:39:28 --delay 69 --endMP 300:58943 --enddatetime 2017-09-12T16:54:26 --enforcementcount 0 &gt;&gt;C:\Users\stu\Documents\GitHub\eaglep3-reporting\EC\2017-09-12-refined-times.txt</v>
      </c>
      <c r="AI187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{"issue":{"subject":"","project_id":79,"tracker_id":40,"status_id":1,"priority_id":2,"assigned_to_id":338,"start_date":"2017-09-12","description":"","custom_fields":[{"id":1,"name":"Subdivision","value":"NW"},{"id":4,"name":"Milepost","value":"5.8943"},{"id":17,"name":"Train ID","value":"831-12"},{"id":16,"name":"Locomotive ID","value":"4006"},{"id":130,"name":"Impact","value":""},{"id":150,"name":"Time of Event (Mountain Time)","value":"16:54:26"},{"id":151,"name":"Denver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14"/>
        <v>start /low /b %USERPROFILE%\Documents\GitHub\eaglep3\Utilities\DownloadLogsFromS3.py --loco 4006 --day 2017-09-12</v>
      </c>
      <c r="AN187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604</v>
      </c>
      <c r="B188" s="7">
        <v>4005</v>
      </c>
      <c r="C188" s="21" t="s">
        <v>197</v>
      </c>
      <c r="D188" s="21" t="s">
        <v>940</v>
      </c>
      <c r="E188" s="13">
        <v>42990.706087962964</v>
      </c>
      <c r="F188" s="13">
        <v>42990.71638888889</v>
      </c>
      <c r="G188" s="7">
        <v>56</v>
      </c>
      <c r="H188" s="21" t="s">
        <v>941</v>
      </c>
      <c r="I188" s="13">
        <v>42990.725405092591</v>
      </c>
      <c r="J188" s="7">
        <v>0</v>
      </c>
      <c r="K188" s="89" t="str">
        <f>IF(ISEVEN(B188),(B188-1)&amp;"/"&amp;B188,B188&amp;"/"&amp;(B188+1))</f>
        <v>4005/4006</v>
      </c>
      <c r="L188" s="214" t="str">
        <f>VLOOKUP(A188,'Trips&amp;Operators'!$C$1:$G$99911,5,FALSE)</f>
        <v>STAMBAUGH JAMES</v>
      </c>
      <c r="M188" s="6">
        <f>I188-F188</f>
        <v>9.0162037013215013E-3</v>
      </c>
      <c r="N188" s="7">
        <f>24*60*SUM($M188:$M188)</f>
        <v>12.983333329902962</v>
      </c>
      <c r="O188" s="7"/>
      <c r="P188" s="7"/>
      <c r="Q188" s="22"/>
      <c r="R188" s="167"/>
      <c r="S188" s="210">
        <f>1/IF(AG188="EC",12,1)*SUM(U188:U188)</f>
        <v>1</v>
      </c>
      <c r="T188" s="192" t="str">
        <f>IF(ISEVEN(LEFT(AD188,4)),"Southbound","NorthBound")</f>
        <v>Southbound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-09-12T15:56:46-0600',mode:absolute,to:'2017-09-12T18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194" t="str">
        <f>IF(AA188&lt;VLOOKUP(AG188,Variables!$AC$3:$AD$8,2,FALSE),"Y","N")</f>
        <v>N</v>
      </c>
      <c r="X188" s="194">
        <f>VALUE(LEFT(AD188,4))-VALUE(LEFT(AD187,4))</f>
        <v>1</v>
      </c>
      <c r="Y188" s="194">
        <f>RIGHT(D188,LEN(D188)-4)/10000</f>
        <v>5.8634000000000004</v>
      </c>
      <c r="Z188" s="194">
        <f>RIGHT(H188,LEN(H188)-4)/10000</f>
        <v>6.8500000000000005E-2</v>
      </c>
      <c r="AA188" s="194">
        <f>ABS(Z188-Y188)</f>
        <v>5.7949000000000002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>VALUE(LEFT(A188,LEN(A188)-3))</f>
        <v>832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/stypes="app*4005*20170912*" /stext=" 23:.+((SYSTEM_STATE.+slice.+state.+changed )|(ment ac)|(multiple cpu faults)|(system.+state.+changed )|(\[timeout)|(PRM\|1\|D)|(kpr)|(kdp)|(train st.+moving)|(\|lc)|(penalty))"</v>
      </c>
      <c r="AG188" s="206" t="str">
        <f>DetSubdiv(A188)</f>
        <v>NW</v>
      </c>
      <c r="AH188" s="78" t="str">
        <f t="shared" si="12"/>
        <v>"%USERPROFILE%\Documents\GitHub\eaglep3\Utilities\RefineRTDCRunTimes.py" --tripid 832-12 --locoid 4005 --swversion DE.1.0.9.0 --startMP 300:58634 --initTime 2017-09-12T16:56:46 --startdatetime 2017-09-12T17:11:36 --delay 56 --endMP 204:685 --enddatetime 2017-09-12T17:24:35 --enforcementcount 0 &gt;&gt;C:\Users\stu\Documents\GitHub\eaglep3-reporting\EC\2017-09-12-refined-times.txt</v>
      </c>
      <c r="AI188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{"issue":{"subject":"","project_id":79,"tracker_id":40,"status_id":1,"priority_id":2,"assigned_to_id":338,"start_date":"2017-09-12","description":"","custom_fields":[{"id":1,"name":"Subdivision","value":"NW"},{"id":4,"name":"Milepost","value":"0.0685"},{"id":17,"name":"Train ID","value":"832-12"},{"id":16,"name":"Locomotive ID","value":"4005"},{"id":130,"name":"Impact","value":""},{"id":150,"name":"Time of Event (Mountain Time)","value":"17:24:35"},{"id":151,"name":"Denver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14"/>
        <v>start /low /b %USERPROFILE%\Documents\GitHub\eaglep3\Utilities\DownloadLogsFromS3.py --loco 4005 --day 2017-09-12</v>
      </c>
      <c r="AN188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762</v>
      </c>
      <c r="B189" s="7">
        <v>4066</v>
      </c>
      <c r="C189" s="21" t="s">
        <v>197</v>
      </c>
      <c r="D189" s="21" t="s">
        <v>942</v>
      </c>
      <c r="E189" s="13">
        <v>42990.7112037037</v>
      </c>
      <c r="F189" s="13">
        <v>42990.714768518519</v>
      </c>
      <c r="G189" s="7">
        <v>47</v>
      </c>
      <c r="H189" s="21" t="s">
        <v>932</v>
      </c>
      <c r="I189" s="13">
        <v>42990.72552083333</v>
      </c>
      <c r="J189" s="7">
        <v>0</v>
      </c>
      <c r="K189" s="89" t="str">
        <f>IF(ISEVEN(B189),(B189-1)&amp;"/"&amp;B189,B189&amp;"/"&amp;(B189+1))</f>
        <v>4065/4066</v>
      </c>
      <c r="L189" s="214" t="str">
        <f>VLOOKUP(A189,'Trips&amp;Operators'!$C$1:$G$99911,5,FALSE)</f>
        <v>GUZMAN DANNY</v>
      </c>
      <c r="M189" s="6">
        <f>I189-F189</f>
        <v>1.0752314810815733E-2</v>
      </c>
      <c r="N189" s="7">
        <f>24*60*SUM($M189:$M189)</f>
        <v>15.483333327574655</v>
      </c>
      <c r="O189" s="7"/>
      <c r="P189" s="7"/>
      <c r="Q189" s="22"/>
      <c r="R189" s="167"/>
      <c r="S189" s="210">
        <f>1/IF(AG189="EC",12,1)*SUM(U189:U189)</f>
        <v>1</v>
      </c>
      <c r="T189" s="192" t="str">
        <f>IF(ISEVEN(LEFT(AD189,4)),"Southbound","NorthBound")</f>
        <v>NorthBound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-09-12T16:04:08-0600',mode:absolute,to:'2017-09-12T18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89" s="194" t="str">
        <f>IF(AA189&lt;VLOOKUP(AG189,Variables!$AC$3:$AD$8,2,FALSE),"Y","N")</f>
        <v>N</v>
      </c>
      <c r="X189" s="194">
        <f>VALUE(LEFT(AD189,4))-VALUE(LEFT(AD188,4))</f>
        <v>1</v>
      </c>
      <c r="Y189" s="194">
        <f>RIGHT(D189,LEN(D189)-4)/10000</f>
        <v>9.0800000000000006E-2</v>
      </c>
      <c r="Z189" s="194">
        <f>RIGHT(H189,LEN(H189)-4)/10000</f>
        <v>5.8925999999999998</v>
      </c>
      <c r="AA189" s="194">
        <f>ABS(Z189-Y189)</f>
        <v>5.8018000000000001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>VALUE(LEFT(A189,LEN(A189)-3))</f>
        <v>833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/stypes="app*4066*20170912*" /stext=" 23:.+((SYSTEM_STATE.+slice.+state.+changed )|(ment ac)|(multiple cpu faults)|(system.+state.+changed )|(\[timeout)|(PRM\|1\|D)|(kpr)|(kdp)|(train st.+moving)|(\|lc)|(penalty))"</v>
      </c>
      <c r="AG189" s="206" t="str">
        <f>DetSubdiv(A189)</f>
        <v>NW</v>
      </c>
      <c r="AH189" s="78" t="str">
        <f t="shared" si="12"/>
        <v>"%USERPROFILE%\Documents\GitHub\eaglep3\Utilities\RefineRTDCRunTimes.py" --tripid 833-12 --locoid 4066 --swversion DE.1.0.9.0 --startMP 204:908 --initTime 2017-09-12T17:04:08 --startdatetime 2017-09-12T17:09:16 --delay 47 --endMP 300:58926 --enddatetime 2017-09-12T17:24:45 --enforcementcount 0 &gt;&gt;C:\Users\stu\Documents\GitHub\eaglep3-reporting\EC\2017-09-12-refined-times.txt</v>
      </c>
      <c r="AI189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{"issue":{"subject":"","project_id":79,"tracker_id":40,"status_id":1,"priority_id":2,"assigned_to_id":338,"start_date":"2017-09-12","description":"","custom_fields":[{"id":1,"name":"Subdivision","value":"NW"},{"id":4,"name":"Milepost","value":"5.8926"},{"id":17,"name":"Train ID","value":"833-12"},{"id":16,"name":"Locomotive ID","value":"4066"},{"id":130,"name":"Impact","value":""},{"id":150,"name":"Time of Event (Mountain Time)","value":"17:24:45"},{"id":151,"name":"Denver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14"/>
        <v>start /low /b %USERPROFILE%\Documents\GitHub\eaglep3\Utilities\DownloadLogsFromS3.py --loco 4066 --day 2017-09-12</v>
      </c>
      <c r="AN189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770</v>
      </c>
      <c r="B190" s="7">
        <v>4065</v>
      </c>
      <c r="C190" s="21" t="s">
        <v>197</v>
      </c>
      <c r="D190" s="21" t="s">
        <v>563</v>
      </c>
      <c r="E190" s="13">
        <v>42990.726863425924</v>
      </c>
      <c r="F190" s="13">
        <v>42990.7346875</v>
      </c>
      <c r="G190" s="7">
        <v>63</v>
      </c>
      <c r="H190" s="21" t="s">
        <v>567</v>
      </c>
      <c r="I190" s="13">
        <v>42990.746504629627</v>
      </c>
      <c r="J190" s="7">
        <v>0</v>
      </c>
      <c r="K190" s="89" t="str">
        <f>IF(ISEVEN(B190),(B190-1)&amp;"/"&amp;B190,B190&amp;"/"&amp;(B190+1))</f>
        <v>4065/4066</v>
      </c>
      <c r="L190" s="214" t="str">
        <f>VLOOKUP(A190,'Trips&amp;Operators'!$C$1:$G$99911,5,FALSE)</f>
        <v>GUZMAN DANNY</v>
      </c>
      <c r="M190" s="6">
        <f>I190-F190</f>
        <v>1.1817129627161194E-2</v>
      </c>
      <c r="N190" s="7">
        <f>24*60*SUM($M190:$M190)</f>
        <v>17.016666663112119</v>
      </c>
      <c r="O190" s="7"/>
      <c r="P190" s="7"/>
      <c r="Q190" s="22"/>
      <c r="R190" s="167"/>
      <c r="S190" s="210">
        <f>1/IF(AG190="EC",12,1)*SUM(U190:U190)</f>
        <v>1</v>
      </c>
      <c r="T190" s="192" t="str">
        <f>IF(ISEVEN(LEFT(AD190,4)),"Southbound","NorthBound")</f>
        <v>Southbound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-12T16:26:41-0600',mode:absolute,to:'2017-09-12T18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0" s="194" t="str">
        <f>IF(AA190&lt;VLOOKUP(AG190,Variables!$AC$3:$AD$8,2,FALSE),"Y","N")</f>
        <v>N</v>
      </c>
      <c r="X190" s="194">
        <f>VALUE(LEFT(AD190,4))-VALUE(LEFT(AD189,4))</f>
        <v>1</v>
      </c>
      <c r="Y190" s="194">
        <f>RIGHT(D190,LEN(D190)-4)/10000</f>
        <v>5.8616999999999999</v>
      </c>
      <c r="Z190" s="194">
        <f>RIGHT(H190,LEN(H190)-4)/10000</f>
        <v>6.8000000000000005E-2</v>
      </c>
      <c r="AA190" s="194">
        <f>ABS(Z190-Y190)</f>
        <v>5.7937000000000003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>VALUE(LEFT(A190,LEN(A190)-3))</f>
        <v>834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/stypes="app*4065*20170912*" /stext=" 23:.+((SYSTEM_STATE.+slice.+state.+changed )|(ment ac)|(multiple cpu faults)|(system.+state.+changed )|(\[timeout)|(PRM\|1\|D)|(kpr)|(kdp)|(train st.+moving)|(\|lc)|(penalty))"</v>
      </c>
      <c r="AG190" s="206" t="str">
        <f>DetSubdiv(A190)</f>
        <v>NW</v>
      </c>
      <c r="AH190" s="78" t="str">
        <f t="shared" si="12"/>
        <v>"%USERPROFILE%\Documents\GitHub\eaglep3\Utilities\RefineRTDCRunTimes.py" --tripid 834-12 --locoid 4065 --swversion DE.1.0.9.0 --startMP 300:58617 --initTime 2017-09-12T17:26:41 --startdatetime 2017-09-12T17:37:57 --delay 63 --endMP 204:680 --enddatetime 2017-09-12T17:54:58 --enforcementcount 0 &gt;&gt;C:\Users\stu\Documents\GitHub\eaglep3-reporting\EC\2017-09-12-refined-times.txt</v>
      </c>
      <c r="AI190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{"issue":{"subject":"","project_id":79,"tracker_id":40,"status_id":1,"priority_id":2,"assigned_to_id":338,"start_date":"2017-09-12","description":"","custom_fields":[{"id":1,"name":"Subdivision","value":"NW"},{"id":4,"name":"Milepost","value":"0.068"},{"id":17,"name":"Train ID","value":"834-12"},{"id":16,"name":"Locomotive ID","value":"4065"},{"id":130,"name":"Impact","value":""},{"id":150,"name":"Time of Event (Mountain Time)","value":"17:54:58"},{"id":151,"name":"Denver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14"/>
        <v>start /low /b %USERPROFILE%\Documents\GitHub\eaglep3\Utilities\DownloadLogsFromS3.py --loco 4065 --day 2017-09-12</v>
      </c>
      <c r="AN190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771</v>
      </c>
      <c r="B191" s="7">
        <v>4006</v>
      </c>
      <c r="C191" s="21" t="s">
        <v>197</v>
      </c>
      <c r="D191" s="21" t="s">
        <v>915</v>
      </c>
      <c r="E191" s="13">
        <v>42990.733969907407</v>
      </c>
      <c r="F191" s="13">
        <v>42990.735763888886</v>
      </c>
      <c r="G191" s="7">
        <v>70</v>
      </c>
      <c r="H191" s="21" t="s">
        <v>943</v>
      </c>
      <c r="I191" s="13">
        <v>42990.746458333335</v>
      </c>
      <c r="J191" s="7">
        <v>0</v>
      </c>
      <c r="K191" s="89" t="str">
        <f>IF(ISEVEN(B191),(B191-1)&amp;"/"&amp;B191,B191&amp;"/"&amp;(B191+1))</f>
        <v>4005/4006</v>
      </c>
      <c r="L191" s="214" t="str">
        <f>VLOOKUP(A191,'Trips&amp;Operators'!$C$1:$G$99911,5,FALSE)</f>
        <v>STAMBAUGH JAMES</v>
      </c>
      <c r="M191" s="6">
        <f>I191-F191</f>
        <v>1.0694444448745344E-2</v>
      </c>
      <c r="N191" s="7">
        <f>24*60*SUM($M191:$M191)</f>
        <v>15.400000006193295</v>
      </c>
      <c r="O191" s="7"/>
      <c r="P191" s="7"/>
      <c r="Q191" s="22"/>
      <c r="R191" s="167"/>
      <c r="S191" s="210">
        <f>1/IF(AG191="EC",12,1)*SUM(U191:U191)</f>
        <v>1</v>
      </c>
      <c r="T191" s="192" t="str">
        <f>IF(ISEVEN(LEFT(AD191,4)),"Southbound","NorthBound")</f>
        <v>NorthBound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-09-12T16:36:55-0600',mode:absolute,to:'2017-09-12T18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194" t="str">
        <f>IF(AA191&lt;VLOOKUP(AG191,Variables!$AC$3:$AD$8,2,FALSE),"Y","N")</f>
        <v>N</v>
      </c>
      <c r="X191" s="194">
        <f>VALUE(LEFT(AD191,4))-VALUE(LEFT(AD190,4))</f>
        <v>1</v>
      </c>
      <c r="Y191" s="194">
        <f>RIGHT(D191,LEN(D191)-4)/10000</f>
        <v>9.7900000000000001E-2</v>
      </c>
      <c r="Z191" s="194">
        <f>RIGHT(H191,LEN(H191)-4)/10000</f>
        <v>5.8949999999999996</v>
      </c>
      <c r="AA191" s="194">
        <f>ABS(Z191-Y191)</f>
        <v>5.7970999999999995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>VALUE(LEFT(A191,LEN(A191)-3))</f>
        <v>835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/stypes="app*4006*20170912*" /stext=" 23:.+((SYSTEM_STATE.+slice.+state.+changed )|(ment ac)|(multiple cpu faults)|(system.+state.+changed )|(\[timeout)|(PRM\|1\|D)|(kpr)|(kdp)|(train st.+moving)|(\|lc)|(penalty))"</v>
      </c>
      <c r="AG191" s="206" t="str">
        <f>DetSubdiv(A191)</f>
        <v>NW</v>
      </c>
      <c r="AH191" s="78" t="str">
        <f t="shared" si="12"/>
        <v>"%USERPROFILE%\Documents\GitHub\eaglep3\Utilities\RefineRTDCRunTimes.py" --tripid 835-12 --locoid 4006 --swversion DE.1.0.9.0 --startMP 204:979 --initTime 2017-09-12T17:36:55 --startdatetime 2017-09-12T17:39:30 --delay 70 --endMP 300:58950 --enddatetime 2017-09-12T17:54:54 --enforcementcount 0 &gt;&gt;C:\Users\stu\Documents\GitHub\eaglep3-reporting\EC\2017-09-12-refined-times.txt</v>
      </c>
      <c r="AI191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{"issue":{"subject":"","project_id":79,"tracker_id":40,"status_id":1,"priority_id":2,"assigned_to_id":338,"start_date":"2017-09-12","description":"","custom_fields":[{"id":1,"name":"Subdivision","value":"NW"},{"id":4,"name":"Milepost","value":"5.895"},{"id":17,"name":"Train ID","value":"835-12"},{"id":16,"name":"Locomotive ID","value":"4006"},{"id":130,"name":"Impact","value":""},{"id":150,"name":"Time of Event (Mountain Time)","value":"17:54:54"},{"id":151,"name":"Denver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14"/>
        <v>start /low /b %USERPROFILE%\Documents\GitHub\eaglep3\Utilities\DownloadLogsFromS3.py --loco 4006 --day 2017-09-12</v>
      </c>
      <c r="AN191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776</v>
      </c>
      <c r="B192" s="7">
        <v>4005</v>
      </c>
      <c r="C192" s="21" t="s">
        <v>197</v>
      </c>
      <c r="D192" s="21" t="s">
        <v>944</v>
      </c>
      <c r="E192" s="13">
        <v>42990.747349537036</v>
      </c>
      <c r="F192" s="13">
        <v>42990.75849537037</v>
      </c>
      <c r="G192" s="7">
        <v>53</v>
      </c>
      <c r="H192" s="21" t="s">
        <v>559</v>
      </c>
      <c r="I192" s="13">
        <v>42990.767199074071</v>
      </c>
      <c r="J192" s="7">
        <v>0</v>
      </c>
      <c r="K192" s="89" t="str">
        <f>IF(ISEVEN(B192),(B192-1)&amp;"/"&amp;B192,B192&amp;"/"&amp;(B192+1))</f>
        <v>4005/4006</v>
      </c>
      <c r="L192" s="214" t="str">
        <f>VLOOKUP(A192,'Trips&amp;Operators'!$C$1:$G$99911,5,FALSE)</f>
        <v>STAMBAUGH JAMES</v>
      </c>
      <c r="M192" s="6">
        <f>I192-F192</f>
        <v>8.703703701030463E-3</v>
      </c>
      <c r="N192" s="7">
        <f>24*60*SUM($M192:$M192)</f>
        <v>12.533333329483867</v>
      </c>
      <c r="O192" s="7"/>
      <c r="P192" s="7"/>
      <c r="Q192" s="22"/>
      <c r="R192" s="167"/>
      <c r="S192" s="210">
        <f>1/IF(AG192="EC",12,1)*SUM(U192:U192)</f>
        <v>1</v>
      </c>
      <c r="T192" s="192" t="str">
        <f>IF(ISEVEN(LEFT(AD192,4)),"Southbound","NorthBound")</f>
        <v>Southbound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-09-12T16:56:11-0600',mode:absolute,to:'2017-09-12T19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94" t="str">
        <f>IF(AA192&lt;VLOOKUP(AG192,Variables!$AC$3:$AD$8,2,FALSE),"Y","N")</f>
        <v>N</v>
      </c>
      <c r="X192" s="194">
        <f>VALUE(LEFT(AD192,4))-VALUE(LEFT(AD191,4))</f>
        <v>1</v>
      </c>
      <c r="Y192" s="194">
        <f>RIGHT(D192,LEN(D192)-4)/10000</f>
        <v>5.8635999999999999</v>
      </c>
      <c r="Z192" s="194">
        <f>RIGHT(H192,LEN(H192)-4)/10000</f>
        <v>6.7500000000000004E-2</v>
      </c>
      <c r="AA192" s="194">
        <f>ABS(Z192-Y192)</f>
        <v>5.7961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>VALUE(LEFT(A192,LEN(A192)-3))</f>
        <v>836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/stypes="app*4005*20170913*" /stext=" 00:.+((SYSTEM_STATE.+slice.+state.+changed )|(ment ac)|(multiple cpu faults)|(system.+state.+changed )|(\[timeout)|(PRM\|1\|D)|(kpr)|(kdp)|(train st.+moving)|(\|lc)|(penalty))"</v>
      </c>
      <c r="AG192" s="206" t="str">
        <f>DetSubdiv(A192)</f>
        <v>NW</v>
      </c>
      <c r="AH192" s="78" t="str">
        <f t="shared" si="12"/>
        <v>"%USERPROFILE%\Documents\GitHub\eaglep3\Utilities\RefineRTDCRunTimes.py" --tripid 836-12 --locoid 4005 --swversion DE.1.0.9.0 --startMP 300:58636 --initTime 2017-09-12T17:56:11 --startdatetime 2017-09-12T18:12:14 --delay 53 --endMP 204:675 --enddatetime 2017-09-12T18:24:46 --enforcementcount 0 &gt;&gt;C:\Users\stu\Documents\GitHub\eaglep3-reporting\EC\2017-09-12-refined-times.txt</v>
      </c>
      <c r="AI192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{"issue":{"subject":"","project_id":79,"tracker_id":40,"status_id":1,"priority_id":2,"assigned_to_id":338,"start_date":"2017-09-12","description":"","custom_fields":[{"id":1,"name":"Subdivision","value":"NW"},{"id":4,"name":"Milepost","value":"0.0675"},{"id":17,"name":"Train ID","value":"836-12"},{"id":16,"name":"Locomotive ID","value":"4005"},{"id":130,"name":"Impact","value":""},{"id":150,"name":"Time of Event (Mountain Time)","value":"18:24:46"},{"id":151,"name":"Denver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14"/>
        <v>start /low /b %USERPROFILE%\Documents\GitHub\eaglep3\Utilities\DownloadLogsFromS3.py --loco 4005 --day 2017-09-12</v>
      </c>
      <c r="AN192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777</v>
      </c>
      <c r="B193" s="7">
        <v>4066</v>
      </c>
      <c r="C193" s="21" t="s">
        <v>197</v>
      </c>
      <c r="D193" s="21" t="s">
        <v>944</v>
      </c>
      <c r="E193" s="13">
        <v>42990.747349537036</v>
      </c>
      <c r="F193" s="13">
        <v>42990.756481481483</v>
      </c>
      <c r="G193" s="7"/>
      <c r="H193" s="21"/>
      <c r="I193" s="13">
        <v>42990.76840277778</v>
      </c>
      <c r="J193" s="7">
        <v>0</v>
      </c>
      <c r="K193" s="89" t="str">
        <f>IF(ISEVEN(B193),(B193-1)&amp;"/"&amp;B193,B193&amp;"/"&amp;(B193+1))</f>
        <v>4065/4066</v>
      </c>
      <c r="L193" s="214" t="str">
        <f>VLOOKUP(A193,'Trips&amp;Operators'!$C$1:$G$99911,5,FALSE)</f>
        <v>GUZMAN DANNY</v>
      </c>
      <c r="M193" s="6">
        <f>I193-F193</f>
        <v>1.1921296296350192E-2</v>
      </c>
      <c r="N193" s="7">
        <f>24*60*SUM($M193:$M193)</f>
        <v>17.166666666744277</v>
      </c>
      <c r="O193" s="7"/>
      <c r="P193" s="7"/>
      <c r="Q193" s="22"/>
      <c r="R193" s="167"/>
      <c r="S193" s="210">
        <f>1/IF(AG193="EC",12,1)*SUM(U193:U193)</f>
        <v>1</v>
      </c>
      <c r="T193" s="192" t="str">
        <f>IF(ISEVEN(LEFT(AD193,4)),"Southbound","NorthBound")</f>
        <v>NorthBound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-12T16:56:11-0600',mode:absolute,to:'2017-09-12T19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3" s="194" t="str">
        <f>IF(AA193&lt;VLOOKUP(AG193,Variables!$AC$3:$AD$8,2,FALSE),"Y","N")</f>
        <v>N</v>
      </c>
      <c r="X193" s="194">
        <f>VALUE(LEFT(AD193,4))-VALUE(LEFT(AD192,4))</f>
        <v>1</v>
      </c>
      <c r="Y193" s="194">
        <v>9.7900000000000001E-2</v>
      </c>
      <c r="Z193" s="194">
        <v>5.8949999999999996</v>
      </c>
      <c r="AA193" s="194">
        <f>ABS(Z193-Y193)</f>
        <v>5.7970999999999995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>VALUE(LEFT(A193,LEN(A193)-3))</f>
        <v>837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/stypes="app*4066*20170913*" /stext=" 00:.+((SYSTEM_STATE.+slice.+state.+changed )|(ment ac)|(multiple cpu faults)|(system.+state.+changed )|(\[timeout)|(PRM\|1\|D)|(kpr)|(kdp)|(train st.+moving)|(\|lc)|(penalty))"</v>
      </c>
      <c r="AG193" s="206" t="str">
        <f>DetSubdiv(A193)</f>
        <v>NW</v>
      </c>
      <c r="AH193" s="78" t="str">
        <f t="shared" ref="AH193" si="16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837-12 --locoid 4066 --swversion DE.1.0.9.0 --startMP 300:58636 --initTime 2017-09-12T17:56:11 --startdatetime 2017-09-12T18:09:20 --delay  --endMP  --enddatetime 2017-09-12T18:26:30 --enforcementcount 0 &gt;&gt;C:\Users\stu\Documents\GitHub\eaglep3-reporting\EC\2017-09-12-refined-times.txt</v>
      </c>
      <c r="AI193" s="96" t="str">
        <f t="shared" ref="AI193" si="17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{"issue":{"subject":"","project_id":79,"tracker_id":40,"status_id":1,"priority_id":2,"assigned_to_id":338,"start_date":"2017-09-12","description":"","custom_fields":[{"id":1,"name":"Subdivision","value":"NW"},{"id":4,"name":"Milepost","value":"5.895"},{"id":17,"name":"Train ID","value":"837-12"},{"id":16,"name":"Locomotive ID","value":"4066"},{"id":130,"name":"Impact","value":""},{"id":150,"name":"Time of Event (Mountain Time)","value":"18:26:30"},{"id":151,"name":"Denver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ref="AM193" si="18">"start /low /b "&amp;dls3logs&amp;" --loco "&amp;B193&amp;" --day "&amp;TEXT(F193,"YYYY-MM-DD")</f>
        <v>start /low /b %USERPROFILE%\Documents\GitHub\eaglep3\Utilities\DownloadLogsFromS3.py --loco 4066 --day 2017-09-12</v>
      </c>
      <c r="AN193" s="151" t="str">
        <f t="shared" ref="AN193" si="19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782</v>
      </c>
      <c r="B194" s="7">
        <v>4065</v>
      </c>
      <c r="C194" s="21" t="s">
        <v>197</v>
      </c>
      <c r="D194" s="21" t="s">
        <v>573</v>
      </c>
      <c r="E194" s="13">
        <v>42990.770624999997</v>
      </c>
      <c r="F194" s="13">
        <v>42990.77684027778</v>
      </c>
      <c r="G194" s="7">
        <v>257</v>
      </c>
      <c r="H194" s="21" t="s">
        <v>945</v>
      </c>
      <c r="I194" s="13">
        <v>42990.788206018522</v>
      </c>
      <c r="J194" s="7">
        <v>0</v>
      </c>
      <c r="K194" s="89" t="str">
        <f>IF(ISEVEN(B194),(B194-1)&amp;"/"&amp;B194,B194&amp;"/"&amp;(B194+1))</f>
        <v>4065/4066</v>
      </c>
      <c r="L194" s="214" t="str">
        <f>VLOOKUP(A194,'Trips&amp;Operators'!$C$1:$G$99911,5,FALSE)</f>
        <v>GUZMAN DANNY</v>
      </c>
      <c r="M194" s="6">
        <f>I194-F194</f>
        <v>1.1365740741894115E-2</v>
      </c>
      <c r="N194" s="7">
        <f>24*60*SUM($M194:$M194)</f>
        <v>16.366666668327525</v>
      </c>
      <c r="O194" s="7"/>
      <c r="P194" s="7"/>
      <c r="Q194" s="22"/>
      <c r="R194" s="167"/>
      <c r="S194" s="210">
        <f>1/IF(AG194="EC",12,1)*SUM(U194:U194)</f>
        <v>1</v>
      </c>
      <c r="T194" s="192" t="str">
        <f>IF(ISEVEN(LEFT(AD194,4)),"Southbound","NorthBound")</f>
        <v>Southbound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-09-12T17:29:42-0600',mode:absolute,to:'2017-09-12T19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4" s="194" t="str">
        <f>IF(AA194&lt;VLOOKUP(AG194,Variables!$AC$3:$AD$8,2,FALSE),"Y","N")</f>
        <v>N</v>
      </c>
      <c r="X194" s="194">
        <f>VALUE(LEFT(AD194,4))-VALUE(LEFT(AD193,4))</f>
        <v>1</v>
      </c>
      <c r="Y194" s="194">
        <f>RIGHT(D194,LEN(D194)-4)/10000</f>
        <v>5.8623000000000003</v>
      </c>
      <c r="Z194" s="194">
        <f>RIGHT(H194,LEN(H194)-4)/10000</f>
        <v>6.8699999999999997E-2</v>
      </c>
      <c r="AA194" s="194">
        <f>ABS(Z194-Y194)</f>
        <v>5.7936000000000005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>VALUE(LEFT(A194,LEN(A194)-3))</f>
        <v>838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/stypes="app*4065*20170913*" /stext=" 00:.+((SYSTEM_STATE.+slice.+state.+changed )|(ment ac)|(multiple cpu faults)|(system.+state.+changed )|(\[timeout)|(PRM\|1\|D)|(kpr)|(kdp)|(train st.+moving)|(\|lc)|(penalty))"</v>
      </c>
      <c r="AG194" s="206" t="str">
        <f>DetSubdiv(A194)</f>
        <v>NW</v>
      </c>
      <c r="AH194" s="78" t="str">
        <f t="shared" si="12"/>
        <v>"%USERPROFILE%\Documents\GitHub\eaglep3\Utilities\RefineRTDCRunTimes.py" --tripid 838-12 --locoid 4065 --swversion DE.1.0.9.0 --startMP 300:58623 --initTime 2017-09-12T18:29:42 --startdatetime 2017-09-12T18:38:39 --delay 257 --endMP 204:687 --enddatetime 2017-09-12T18:55:01 --enforcementcount 0 &gt;&gt;C:\Users\stu\Documents\GitHub\eaglep3-reporting\EC\2017-09-12-refined-times.txt</v>
      </c>
      <c r="AI194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{"issue":{"subject":"","project_id":79,"tracker_id":40,"status_id":1,"priority_id":2,"assigned_to_id":338,"start_date":"2017-09-12","description":"","custom_fields":[{"id":1,"name":"Subdivision","value":"NW"},{"id":4,"name":"Milepost","value":"0.0687"},{"id":17,"name":"Train ID","value":"838-12"},{"id":16,"name":"Locomotive ID","value":"4065"},{"id":130,"name":"Impact","value":""},{"id":150,"name":"Time of Event (Mountain Time)","value":"18:55:01"},{"id":151,"name":"Denver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14"/>
        <v>start /low /b %USERPROFILE%\Documents\GitHub\eaglep3\Utilities\DownloadLogsFromS3.py --loco 4065 --day 2017-09-12</v>
      </c>
      <c r="AN194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783</v>
      </c>
      <c r="B195" s="7">
        <v>4006</v>
      </c>
      <c r="C195" s="21" t="s">
        <v>197</v>
      </c>
      <c r="D195" s="21" t="s">
        <v>451</v>
      </c>
      <c r="E195" s="13">
        <v>42990.774016203701</v>
      </c>
      <c r="F195" s="13">
        <v>42990.777418981481</v>
      </c>
      <c r="G195" s="7">
        <v>58</v>
      </c>
      <c r="H195" s="21" t="s">
        <v>571</v>
      </c>
      <c r="I195" s="13">
        <v>42990.787303240744</v>
      </c>
      <c r="J195" s="7">
        <v>0</v>
      </c>
      <c r="K195" s="89" t="str">
        <f>IF(ISEVEN(B195),(B195-1)&amp;"/"&amp;B195,B195&amp;"/"&amp;(B195+1))</f>
        <v>4005/4006</v>
      </c>
      <c r="L195" s="214" t="str">
        <f>VLOOKUP(A195,'Trips&amp;Operators'!$C$1:$G$99911,5,FALSE)</f>
        <v>STAMBAUGH JAMES</v>
      </c>
      <c r="M195" s="6">
        <f>I195-F195</f>
        <v>9.8842592633445747E-3</v>
      </c>
      <c r="N195" s="7">
        <f>24*60*SUM($M195:$M195)</f>
        <v>14.233333339216188</v>
      </c>
      <c r="O195" s="7"/>
      <c r="P195" s="7"/>
      <c r="Q195" s="22"/>
      <c r="R195" s="167"/>
      <c r="S195" s="210">
        <f>1/IF(AG195="EC",12,1)*SUM(U195:U195)</f>
        <v>1</v>
      </c>
      <c r="T195" s="192" t="str">
        <f>IF(ISEVEN(LEFT(AD195,4)),"Southbound","NorthBound")</f>
        <v>NorthBound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-12T17:34:35-0600',mode:absolute,to:'2017-09-12T19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194" t="str">
        <f>IF(AA195&lt;VLOOKUP(AG195,Variables!$AC$3:$AD$8,2,FALSE),"Y","N")</f>
        <v>N</v>
      </c>
      <c r="X195" s="194">
        <f>VALUE(LEFT(AD195,4))-VALUE(LEFT(AD194,4))</f>
        <v>1</v>
      </c>
      <c r="Y195" s="194">
        <f>RIGHT(D195,LEN(D195)-4)/10000</f>
        <v>9.6199999999999994E-2</v>
      </c>
      <c r="Z195" s="194">
        <f>RIGHT(H195,LEN(H195)-4)/10000</f>
        <v>5.8940999999999999</v>
      </c>
      <c r="AA195" s="194">
        <f>ABS(Z195-Y195)</f>
        <v>5.7979000000000003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>VALUE(LEFT(A195,LEN(A195)-3))</f>
        <v>839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/stypes="app*4006*20170913*" /stext=" 00:.+((SYSTEM_STATE.+slice.+state.+changed )|(ment ac)|(multiple cpu faults)|(system.+state.+changed )|(\[timeout)|(PRM\|1\|D)|(kpr)|(kdp)|(train st.+moving)|(\|lc)|(penalty))"</v>
      </c>
      <c r="AG195" s="206" t="str">
        <f>DetSubdiv(A195)</f>
        <v>NW</v>
      </c>
      <c r="AH195" s="78" t="str">
        <f t="shared" si="12"/>
        <v>"%USERPROFILE%\Documents\GitHub\eaglep3\Utilities\RefineRTDCRunTimes.py" --tripid 839-12 --locoid 4006 --swversion DE.1.0.9.0 --startMP 204:962 --initTime 2017-09-12T18:34:35 --startdatetime 2017-09-12T18:39:29 --delay 58 --endMP 300:58941 --enddatetime 2017-09-12T18:53:43 --enforcementcount 0 &gt;&gt;C:\Users\stu\Documents\GitHub\eaglep3-reporting\EC\2017-09-12-refined-times.txt</v>
      </c>
      <c r="AI195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{"issue":{"subject":"","project_id":79,"tracker_id":40,"status_id":1,"priority_id":2,"assigned_to_id":338,"start_date":"2017-09-12","description":"","custom_fields":[{"id":1,"name":"Subdivision","value":"NW"},{"id":4,"name":"Milepost","value":"5.8941"},{"id":17,"name":"Train ID","value":"839-12"},{"id":16,"name":"Locomotive ID","value":"4006"},{"id":130,"name":"Impact","value":""},{"id":150,"name":"Time of Event (Mountain Time)","value":"18:53:43"},{"id":151,"name":"Denver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14"/>
        <v>start /low /b %USERPROFILE%\Documents\GitHub\eaglep3\Utilities\DownloadLogsFromS3.py --loco 4006 --day 2017-09-12</v>
      </c>
      <c r="AN195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609</v>
      </c>
      <c r="B196" s="7">
        <v>4065</v>
      </c>
      <c r="C196" s="21" t="s">
        <v>197</v>
      </c>
      <c r="D196" s="21" t="s">
        <v>451</v>
      </c>
      <c r="E196" s="13">
        <v>42990.774016203701</v>
      </c>
      <c r="F196" s="13">
        <v>42990.821574074071</v>
      </c>
      <c r="G196" s="7">
        <v>58</v>
      </c>
      <c r="H196" s="21" t="s">
        <v>571</v>
      </c>
      <c r="I196" s="13">
        <v>42990.83189814815</v>
      </c>
      <c r="J196" s="7">
        <v>0</v>
      </c>
      <c r="K196" s="89" t="str">
        <f>IF(ISEVEN(B196),(B196-1)&amp;"/"&amp;B196,B196&amp;"/"&amp;(B196+1))</f>
        <v>4065/4066</v>
      </c>
      <c r="L196" s="214" t="str">
        <f>VLOOKUP(A196,'Trips&amp;Operators'!$C$1:$G$99911,5,FALSE)</f>
        <v>GUZMAN DANNY</v>
      </c>
      <c r="M196" s="6">
        <f>I196-F196</f>
        <v>1.0324074079107959E-2</v>
      </c>
      <c r="N196" s="7">
        <f>24*60*SUM($M196:$M196)</f>
        <v>14.866666673915461</v>
      </c>
      <c r="O196" s="7"/>
      <c r="P196" s="7"/>
      <c r="Q196" s="22"/>
      <c r="R196" s="167"/>
      <c r="S196" s="210">
        <f>1/IF(AG196="EC",12,1)*SUM(U196:U196)</f>
        <v>1</v>
      </c>
      <c r="T196" s="192" t="str">
        <f>IF(ISEVEN(LEFT(AD196,4)),"Southbound","NorthBound")</f>
        <v>Southbound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-09-12T17:34:35-0600',mode:absolute,to:'2017-09-12T20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6" s="194" t="str">
        <f>IF(AA196&lt;VLOOKUP(AG196,Variables!$AC$3:$AD$8,2,FALSE),"Y","N")</f>
        <v>N</v>
      </c>
      <c r="X196" s="194">
        <f>VALUE(LEFT(AD196,4))-VALUE(LEFT(AD195,4))</f>
        <v>1</v>
      </c>
      <c r="Y196" s="194">
        <v>5.8623000000000003</v>
      </c>
      <c r="Z196" s="194">
        <v>6.8699999999999997E-2</v>
      </c>
      <c r="AA196" s="194">
        <f>ABS(Z196-Y196)</f>
        <v>5.7936000000000005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>VALUE(LEFT(A196,LEN(A196)-3))</f>
        <v>840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/stypes="app*4065*20170913*" /stext=" 01:.+((SYSTEM_STATE.+slice.+state.+changed )|(ment ac)|(multiple cpu faults)|(system.+state.+changed )|(\[timeout)|(PRM\|1\|D)|(kpr)|(kdp)|(train st.+moving)|(\|lc)|(penalty))"</v>
      </c>
      <c r="AG196" s="206" t="str">
        <f>DetSubdiv(A196)</f>
        <v>NW</v>
      </c>
      <c r="AH196" s="78" t="str">
        <f t="shared" ref="AH196" si="20"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840-12 --locoid 4065 --swversion DE.1.0.9.0 --startMP 204:962 --initTime 2017-09-12T18:34:35 --startdatetime 2017-09-12T19:43:04 --delay 58 --endMP 300:58941 --enddatetime 2017-09-12T19:57:56 --enforcementcount 0 &gt;&gt;C:\Users\stu\Documents\GitHub\eaglep3-reporting\EC\2017-09-12-refined-times.txt</v>
      </c>
      <c r="AI196" s="96" t="str">
        <f t="shared" ref="AI196" si="21"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{"issue":{"subject":"","project_id":79,"tracker_id":40,"status_id":1,"priority_id":2,"assigned_to_id":338,"start_date":"2017-09-12","description":"","custom_fields":[{"id":1,"name":"Subdivision","value":"NW"},{"id":4,"name":"Milepost","value":"0.0687"},{"id":17,"name":"Train ID","value":"840-12"},{"id":16,"name":"Locomotive ID","value":"4065"},{"id":130,"name":"Impact","value":""},{"id":150,"name":"Time of Event (Mountain Time)","value":"19:57:56"},{"id":151,"name":"Denver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ref="AM196" si="22">"start /low /b "&amp;dls3logs&amp;" --loco "&amp;B196&amp;" --day "&amp;TEXT(F196,"YYYY-MM-DD")</f>
        <v>start /low /b %USERPROFILE%\Documents\GitHub\eaglep3\Utilities\DownloadLogsFromS3.py --loco 4065 --day 2017-09-12</v>
      </c>
      <c r="AN196" s="151" t="str">
        <f t="shared" ref="AN196" si="23"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s="20" customFormat="1" x14ac:dyDescent="0.25">
      <c r="A197" s="32" t="s">
        <v>787</v>
      </c>
      <c r="B197" s="7">
        <v>4066</v>
      </c>
      <c r="C197" s="21" t="s">
        <v>197</v>
      </c>
      <c r="D197" s="21" t="s">
        <v>564</v>
      </c>
      <c r="E197" s="13">
        <v>42990.789895833332</v>
      </c>
      <c r="F197" s="13">
        <v>42990.798101851855</v>
      </c>
      <c r="G197" s="7">
        <v>48</v>
      </c>
      <c r="H197" s="21" t="s">
        <v>555</v>
      </c>
      <c r="I197" s="13">
        <v>42990.807893518519</v>
      </c>
      <c r="J197" s="7">
        <v>0</v>
      </c>
      <c r="K197" s="89" t="str">
        <f>IF(ISEVEN(B197),(B197-1)&amp;"/"&amp;B197,B197&amp;"/"&amp;(B197+1))</f>
        <v>4065/4066</v>
      </c>
      <c r="L197" s="214" t="str">
        <f>VLOOKUP(A197,'Trips&amp;Operators'!$C$1:$G$99911,5,FALSE)</f>
        <v>GUZMAN DANNY</v>
      </c>
      <c r="M197" s="6">
        <f>I197-F197</f>
        <v>9.7916666636592709E-3</v>
      </c>
      <c r="N197" s="7">
        <f>24*60*SUM($M197:$M197)</f>
        <v>14.09999999566935</v>
      </c>
      <c r="O197" s="7"/>
      <c r="P197" s="7"/>
      <c r="Q197" s="22"/>
      <c r="R197" s="167"/>
      <c r="S197" s="210">
        <f>1/IF(AG197="EC",12,1)*SUM(U197:U197)</f>
        <v>1</v>
      </c>
      <c r="T197" s="192" t="str">
        <f>IF(ISEVEN(LEFT(AD197,4)),"Southbound","NorthBound")</f>
        <v>NorthBound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-09-12T17:57:27-0600',mode:absolute,to:'2017-09-12T20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7" s="194" t="str">
        <f>IF(AA197&lt;VLOOKUP(AG197,Variables!$AC$3:$AD$8,2,FALSE),"Y","N")</f>
        <v>N</v>
      </c>
      <c r="X197" s="194">
        <f>VALUE(LEFT(AD197,4))-VALUE(LEFT(AD196,4))</f>
        <v>1</v>
      </c>
      <c r="Y197" s="194">
        <f>RIGHT(D197,LEN(D197)-4)/10000</f>
        <v>9.69E-2</v>
      </c>
      <c r="Z197" s="194">
        <f>RIGHT(H197,LEN(H197)-4)/10000</f>
        <v>5.8936999999999999</v>
      </c>
      <c r="AA197" s="194">
        <f>ABS(Z197-Y197)</f>
        <v>5.7968000000000002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>VALUE(LEFT(A197,LEN(A197)-3))</f>
        <v>841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/stypes="app*4066*20170913*" /stext=" 01:.+((SYSTEM_STATE.+slice.+state.+changed )|(ment ac)|(multiple cpu faults)|(system.+state.+changed )|(\[timeout)|(PRM\|1\|D)|(kpr)|(kdp)|(train st.+moving)|(\|lc)|(penalty))"</v>
      </c>
      <c r="AG197" s="206" t="str">
        <f>DetSubdiv(A197)</f>
        <v>NW</v>
      </c>
      <c r="AH197" s="78" t="str">
        <f t="shared" si="12"/>
        <v>"%USERPROFILE%\Documents\GitHub\eaglep3\Utilities\RefineRTDCRunTimes.py" --tripid 841-12 --locoid 4066 --swversion DE.1.0.9.0 --startMP 204:969 --initTime 2017-09-12T18:57:27 --startdatetime 2017-09-12T19:09:16 --delay 48 --endMP 300:58937 --enddatetime 2017-09-12T19:23:22 --enforcementcount 0 &gt;&gt;C:\Users\stu\Documents\GitHub\eaglep3-reporting\EC\2017-09-12-refined-times.txt</v>
      </c>
      <c r="AI197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{"issue":{"subject":"","project_id":79,"tracker_id":40,"status_id":1,"priority_id":2,"assigned_to_id":338,"start_date":"2017-09-12","description":"","custom_fields":[{"id":1,"name":"Subdivision","value":"NW"},{"id":4,"name":"Milepost","value":"5.8937"},{"id":17,"name":"Train ID","value":"841-12"},{"id":16,"name":"Locomotive ID","value":"4066"},{"id":130,"name":"Impact","value":""},{"id":150,"name":"Time of Event (Mountain Time)","value":"19:23:22"},{"id":151,"name":"Denver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14"/>
        <v>start /low /b %USERPROFILE%\Documents\GitHub\eaglep3\Utilities\DownloadLogsFromS3.py --loco 4066 --day 2017-09-12</v>
      </c>
      <c r="AN197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799</v>
      </c>
      <c r="B198" s="7">
        <v>4065</v>
      </c>
      <c r="C198" s="21" t="s">
        <v>197</v>
      </c>
      <c r="D198" s="21" t="s">
        <v>912</v>
      </c>
      <c r="E198" s="13">
        <v>42990.850752314815</v>
      </c>
      <c r="F198" s="13">
        <v>42990.859861111108</v>
      </c>
      <c r="G198" s="7">
        <v>58</v>
      </c>
      <c r="H198" s="21" t="s">
        <v>946</v>
      </c>
      <c r="I198" s="13">
        <v>42990.871527777781</v>
      </c>
      <c r="J198" s="7">
        <v>0</v>
      </c>
      <c r="K198" s="89" t="str">
        <f>IF(ISEVEN(B198),(B198-1)&amp;"/"&amp;B198,B198&amp;"/"&amp;(B198+1))</f>
        <v>4065/4066</v>
      </c>
      <c r="L198" s="214" t="str">
        <f>VLOOKUP(A198,'Trips&amp;Operators'!$C$1:$G$99911,5,FALSE)</f>
        <v>GUZMAN DANNY</v>
      </c>
      <c r="M198" s="6">
        <f>I198-F198</f>
        <v>1.1666666672681458E-2</v>
      </c>
      <c r="N198" s="7">
        <f>24*60*SUM($M198:$M198)</f>
        <v>16.8000000086613</v>
      </c>
      <c r="O198" s="7"/>
      <c r="P198" s="7"/>
      <c r="Q198" s="22"/>
      <c r="R198" s="167"/>
      <c r="S198" s="210">
        <f>1/IF(AG198="EC",12,1)*SUM(U198:U198)</f>
        <v>1</v>
      </c>
      <c r="T198" s="192" t="str">
        <f>IF(ISEVEN(LEFT(AD198,4)),"Southbound","NorthBound")</f>
        <v>Southbound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-12T19:25:05-0600',mode:absolute,to:'2017-09-12T21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98" s="194" t="str">
        <f>IF(AA198&lt;VLOOKUP(AG198,Variables!$AC$3:$AD$8,2,FALSE),"Y","N")</f>
        <v>N</v>
      </c>
      <c r="X198" s="194">
        <f>VALUE(LEFT(AD198,4))-VALUE(LEFT(AD197,4))</f>
        <v>1</v>
      </c>
      <c r="Y198" s="194">
        <f>RIGHT(D198,LEN(D198)-4)/10000</f>
        <v>5.8613</v>
      </c>
      <c r="Z198" s="194">
        <f>RIGHT(H198,LEN(H198)-4)/10000</f>
        <v>7.6899999999999996E-2</v>
      </c>
      <c r="AA198" s="194">
        <f>ABS(Z198-Y198)</f>
        <v>5.7843999999999998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>VALUE(LEFT(A198,LEN(A198)-3))</f>
        <v>842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/stypes="app*4065*20170913*" /stext=" 02:.+((SYSTEM_STATE.+slice.+state.+changed )|(ment ac)|(multiple cpu faults)|(system.+state.+changed )|(\[timeout)|(PRM\|1\|D)|(kpr)|(kdp)|(train st.+moving)|(\|lc)|(penalty))"</v>
      </c>
      <c r="AG198" s="206" t="str">
        <f>DetSubdiv(A198)</f>
        <v>NW</v>
      </c>
      <c r="AH198" s="78" t="str">
        <f t="shared" si="12"/>
        <v>"%USERPROFILE%\Documents\GitHub\eaglep3\Utilities\RefineRTDCRunTimes.py" --tripid 842-12 --locoid 4065 --swversion DE.1.0.9.0 --startMP 300:58613 --initTime 2017-09-12T20:25:05 --startdatetime 2017-09-12T20:38:12 --delay 58 --endMP 204:769 --enddatetime 2017-09-12T20:55:00 --enforcementcount 0 &gt;&gt;C:\Users\stu\Documents\GitHub\eaglep3-reporting\EC\2017-09-12-refined-times.txt</v>
      </c>
      <c r="AI198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{"issue":{"subject":"","project_id":79,"tracker_id":40,"status_id":1,"priority_id":2,"assigned_to_id":338,"start_date":"2017-09-12","description":"","custom_fields":[{"id":1,"name":"Subdivision","value":"NW"},{"id":4,"name":"Milepost","value":"0.0769"},{"id":17,"name":"Train ID","value":"842-12"},{"id":16,"name":"Locomotive ID","value":"4065"},{"id":130,"name":"Impact","value":""},{"id":150,"name":"Time of Event (Mountain Time)","value":"20:55:00"},{"id":151,"name":"Denver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14"/>
        <v>start /low /b %USERPROFILE%\Documents\GitHub\eaglep3\Utilities\DownloadLogsFromS3.py --loco 4065 --day 2017-09-12</v>
      </c>
      <c r="AN198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796</v>
      </c>
      <c r="B199" s="7">
        <v>4066</v>
      </c>
      <c r="C199" s="21" t="s">
        <v>197</v>
      </c>
      <c r="D199" s="21" t="s">
        <v>912</v>
      </c>
      <c r="E199" s="13">
        <v>42990.850752314815</v>
      </c>
      <c r="F199" s="13">
        <v>42990.839988425927</v>
      </c>
      <c r="G199" s="7">
        <v>58</v>
      </c>
      <c r="H199" s="21" t="s">
        <v>946</v>
      </c>
      <c r="I199" s="13">
        <v>42990.849652777775</v>
      </c>
      <c r="J199" s="7">
        <v>0</v>
      </c>
      <c r="K199" s="89" t="str">
        <f>IF(ISEVEN(B199),(B199-1)&amp;"/"&amp;B199,B199&amp;"/"&amp;(B199+1))</f>
        <v>4065/4066</v>
      </c>
      <c r="L199" s="214" t="s">
        <v>972</v>
      </c>
      <c r="M199" s="6">
        <f>I199-F199</f>
        <v>9.6643518481869251E-3</v>
      </c>
      <c r="N199" s="7">
        <f>24*60*SUM($M199:$M199)</f>
        <v>13.916666661389172</v>
      </c>
      <c r="O199" s="7"/>
      <c r="P199" s="7"/>
      <c r="Q199" s="22"/>
      <c r="R199" s="167"/>
      <c r="S199" s="210">
        <f>1/IF(AG199="EC",12,1)*SUM(U199:U199)</f>
        <v>1</v>
      </c>
      <c r="T199" s="192" t="str">
        <f>IF(ISEVEN(LEFT(AD199,4)),"Southbound","NorthBound")</f>
        <v>NorthBound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-12T19:25:05-0600',mode:absolute,to:'2017-09-12T21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99" s="194" t="str">
        <f>IF(AA199&lt;VLOOKUP(AG199,Variables!$AC$3:$AD$8,2,FALSE),"Y","N")</f>
        <v>N</v>
      </c>
      <c r="X199" s="194">
        <f>VALUE(LEFT(AD199,4))-VALUE(LEFT(AD198,4))</f>
        <v>1</v>
      </c>
      <c r="Y199" s="194">
        <v>9.69E-2</v>
      </c>
      <c r="Z199" s="194">
        <v>5.8936999999999999</v>
      </c>
      <c r="AA199" s="194">
        <f>ABS(Z199-Y199)</f>
        <v>5.7968000000000002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>VALUE(LEFT(A199,LEN(A199)-3))</f>
        <v>843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/stypes="app*4066*20170913*" /stext=" 02:.+((SYSTEM_STATE.+slice.+state.+changed )|(ment ac)|(multiple cpu faults)|(system.+state.+changed )|(\[timeout)|(PRM\|1\|D)|(kpr)|(kdp)|(train st.+moving)|(\|lc)|(penalty))"</v>
      </c>
      <c r="AG199" s="206" t="str">
        <f>DetSubdiv(A199)</f>
        <v>NW</v>
      </c>
      <c r="AH199" s="78" t="str">
        <f t="shared" ref="AH199" si="2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843-12 --locoid 4066 --swversion DE.1.0.9.0 --startMP 300:58613 --initTime 2017-09-12T20:25:05 --startdatetime 2017-09-12T20:09:35 --delay 58 --endMP 204:769 --enddatetime 2017-09-12T20:23:30 --enforcementcount 0 &gt;&gt;C:\Users\stu\Documents\GitHub\eaglep3-reporting\EC\2017-09-12-refined-times.txt</v>
      </c>
      <c r="AI199" s="96" t="str">
        <f t="shared" ref="AI199" si="2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{"issue":{"subject":"","project_id":79,"tracker_id":40,"status_id":1,"priority_id":2,"assigned_to_id":338,"start_date":"2017-09-12","description":"","custom_fields":[{"id":1,"name":"Subdivision","value":"NW"},{"id":4,"name":"Milepost","value":"5.8937"},{"id":17,"name":"Train ID","value":"843-12"},{"id":16,"name":"Locomotive ID","value":"4066"},{"id":130,"name":"Impact","value":""},{"id":150,"name":"Time of Event (Mountain Time)","value":"20:23:30"},{"id":151,"name":"Denver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ref="AM199" si="26">"start /low /b "&amp;dls3logs&amp;" --loco "&amp;B199&amp;" --day "&amp;TEXT(F199,"YYYY-MM-DD")</f>
        <v>start /low /b %USERPROFILE%\Documents\GitHub\eaglep3\Utilities\DownloadLogsFromS3.py --loco 4066 --day 2017-09-12</v>
      </c>
      <c r="AN199" s="151" t="str">
        <f t="shared" ref="AN199" si="27"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s="20" customFormat="1" x14ac:dyDescent="0.25">
      <c r="A200" s="32" t="s">
        <v>806</v>
      </c>
      <c r="B200" s="7">
        <v>4065</v>
      </c>
      <c r="C200" s="21" t="s">
        <v>197</v>
      </c>
      <c r="D200" s="21" t="s">
        <v>912</v>
      </c>
      <c r="E200" s="13">
        <v>42990.850752314815</v>
      </c>
      <c r="F200" s="13">
        <v>42990.904930555553</v>
      </c>
      <c r="G200" s="7">
        <v>58</v>
      </c>
      <c r="H200" s="21" t="s">
        <v>946</v>
      </c>
      <c r="I200" s="13">
        <v>42990.912800925929</v>
      </c>
      <c r="J200" s="7">
        <v>0</v>
      </c>
      <c r="K200" s="89" t="str">
        <f>IF(ISEVEN(B200),(B200-1)&amp;"/"&amp;B200,B200&amp;"/"&amp;(B200+1))</f>
        <v>4065/4066</v>
      </c>
      <c r="L200" s="214" t="s">
        <v>972</v>
      </c>
      <c r="M200" s="6">
        <f>I200-F200</f>
        <v>7.8703703766223043E-3</v>
      </c>
      <c r="N200" s="7">
        <f>24*60*SUM($M200:$M200)</f>
        <v>11.333333342336118</v>
      </c>
      <c r="O200" s="7"/>
      <c r="P200" s="7"/>
      <c r="Q200" s="22"/>
      <c r="R200" s="167"/>
      <c r="S200" s="210">
        <f>1/IF(AG200="EC",12,1)*SUM(U200:U200)</f>
        <v>1</v>
      </c>
      <c r="T200" s="192" t="str">
        <f>IF(ISEVEN(LEFT(AD200,4)),"Southbound","NorthBound")</f>
        <v>Southbound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-12T19:25:05-0600',mode:absolute,to:'2017-09-12T22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0" s="194" t="str">
        <f>IF(AA200&lt;VLOOKUP(AG200,Variables!$AC$3:$AD$8,2,FALSE),"Y","N")</f>
        <v>N</v>
      </c>
      <c r="X200" s="194">
        <f>VALUE(LEFT(AD200,4))-VALUE(LEFT(AD199,4))</f>
        <v>1</v>
      </c>
      <c r="Y200" s="194">
        <v>5.8613</v>
      </c>
      <c r="Z200" s="194">
        <v>7.6899999999999996E-2</v>
      </c>
      <c r="AA200" s="194">
        <f>ABS(Z200-Y200)</f>
        <v>5.7843999999999998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>VALUE(LEFT(A200,LEN(A200)-3))</f>
        <v>844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/stypes="app*4065*20170913*" /stext=" 03:.+((SYSTEM_STATE.+slice.+state.+changed )|(ment ac)|(multiple cpu faults)|(system.+state.+changed )|(\[timeout)|(PRM\|1\|D)|(kpr)|(kdp)|(train st.+moving)|(\|lc)|(penalty))"</v>
      </c>
      <c r="AG200" s="206" t="str">
        <f>DetSubdiv(A200)</f>
        <v>NW</v>
      </c>
      <c r="AH200" s="78" t="str">
        <f t="shared" ref="AH200" si="28"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844-12 --locoid 4065 --swversion DE.1.0.9.0 --startMP 300:58613 --initTime 2017-09-12T20:25:05 --startdatetime 2017-09-12T21:43:06 --delay 58 --endMP 204:769 --enddatetime 2017-09-12T21:54:26 --enforcementcount 0 &gt;&gt;C:\Users\stu\Documents\GitHub\eaglep3-reporting\EC\2017-09-12-refined-times.txt</v>
      </c>
      <c r="AI200" s="96" t="str">
        <f t="shared" ref="AI200" si="29"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{"issue":{"subject":"","project_id":79,"tracker_id":40,"status_id":1,"priority_id":2,"assigned_to_id":338,"start_date":"2017-09-12","description":"","custom_fields":[{"id":1,"name":"Subdivision","value":"NW"},{"id":4,"name":"Milepost","value":"0.0769"},{"id":17,"name":"Train ID","value":"844-12"},{"id":16,"name":"Locomotive ID","value":"4065"},{"id":130,"name":"Impact","value":""},{"id":150,"name":"Time of Event (Mountain Time)","value":"21:54:26"},{"id":151,"name":"Denver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ref="AM200" si="30">"start /low /b "&amp;dls3logs&amp;" --loco "&amp;B200&amp;" --day "&amp;TEXT(F200,"YYYY-MM-DD")</f>
        <v>start /low /b %USERPROFILE%\Documents\GitHub\eaglep3\Utilities\DownloadLogsFromS3.py --loco 4065 --day 2017-09-12</v>
      </c>
      <c r="AN200" s="151" t="str">
        <f t="shared" ref="AN200" si="31"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03:54:26"},{"id":29,"name":"Sharepoint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803</v>
      </c>
      <c r="B201" s="7">
        <v>4066</v>
      </c>
      <c r="C201" s="21" t="s">
        <v>197</v>
      </c>
      <c r="D201" s="21" t="s">
        <v>947</v>
      </c>
      <c r="E201" s="13">
        <v>42990.873912037037</v>
      </c>
      <c r="F201" s="13">
        <v>42990.881435185183</v>
      </c>
      <c r="G201" s="7">
        <v>75</v>
      </c>
      <c r="H201" s="21" t="s">
        <v>566</v>
      </c>
      <c r="I201" s="13">
        <v>42990.890138888892</v>
      </c>
      <c r="J201" s="7">
        <v>0</v>
      </c>
      <c r="K201" s="89" t="str">
        <f>IF(ISEVEN(B201),(B201-1)&amp;"/"&amp;B201,B201&amp;"/"&amp;(B201+1))</f>
        <v>4065/4066</v>
      </c>
      <c r="L201" s="214" t="str">
        <f>VLOOKUP(A201,'Trips&amp;Operators'!$C$1:$G$99911,5,FALSE)</f>
        <v>STAMBAUGH JAMES</v>
      </c>
      <c r="M201" s="6">
        <f>I201-F201</f>
        <v>8.7037037083064206E-3</v>
      </c>
      <c r="N201" s="7">
        <f>24*60*SUM($M201:$M201)</f>
        <v>12.533333339961246</v>
      </c>
      <c r="O201" s="7"/>
      <c r="P201" s="7"/>
      <c r="Q201" s="22"/>
      <c r="R201" s="167"/>
      <c r="S201" s="210">
        <f>1/IF(AG201="EC",12,1)*SUM(U201:U201)</f>
        <v>1</v>
      </c>
      <c r="T201" s="192" t="str">
        <f>IF(ISEVEN(LEFT(AD201,4)),"Southbound","NorthBound")</f>
        <v>NorthBound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-09-12T19:58:26-0600',mode:absolute,to:'2017-09-12T22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1" s="194" t="str">
        <f>IF(AA201&lt;VLOOKUP(AG201,Variables!$AC$3:$AD$8,2,FALSE),"Y","N")</f>
        <v>N</v>
      </c>
      <c r="X201" s="194">
        <f>VALUE(LEFT(AD201,4))-VALUE(LEFT(AD200,4))</f>
        <v>1</v>
      </c>
      <c r="Y201" s="194">
        <f>RIGHT(D201,LEN(D201)-4)/10000</f>
        <v>0.1079</v>
      </c>
      <c r="Z201" s="194">
        <f>RIGHT(H201,LEN(H201)-4)/10000</f>
        <v>5.8956</v>
      </c>
      <c r="AA201" s="194">
        <f>ABS(Z201-Y201)</f>
        <v>5.7877000000000001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>VALUE(LEFT(A201,LEN(A201)-3))</f>
        <v>845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/stypes="app*4066*20170913*" /stext=" 03:.+((SYSTEM_STATE.+slice.+state.+changed )|(ment ac)|(multiple cpu faults)|(system.+state.+changed )|(\[timeout)|(PRM\|1\|D)|(kpr)|(kdp)|(train st.+moving)|(\|lc)|(penalty))"</v>
      </c>
      <c r="AG201" s="206" t="str">
        <f>DetSubdiv(A201)</f>
        <v>NW</v>
      </c>
      <c r="AH201" s="78" t="str">
        <f t="shared" si="12"/>
        <v>"%USERPROFILE%\Documents\GitHub\eaglep3\Utilities\RefineRTDCRunTimes.py" --tripid 845-12 --locoid 4066 --swversion DE.1.0.9.0 --startMP 204:1079 --initTime 2017-09-12T20:58:26 --startdatetime 2017-09-12T21:09:16 --delay 75 --endMP 300:58956 --enddatetime 2017-09-12T21:21:48 --enforcementcount 0 &gt;&gt;C:\Users\stu\Documents\GitHub\eaglep3-reporting\EC\2017-09-12-refined-times.txt</v>
      </c>
      <c r="AI201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{"issue":{"subject":"","project_id":79,"tracker_id":40,"status_id":1,"priority_id":2,"assigned_to_id":338,"start_date":"2017-09-12","description":"","custom_fields":[{"id":1,"name":"Subdivision","value":"NW"},{"id":4,"name":"Milepost","value":"5.8956"},{"id":17,"name":"Train ID","value":"845-12"},{"id":16,"name":"Locomotive ID","value":"4066"},{"id":130,"name":"Impact","value":""},{"id":150,"name":"Time of Event (Mountain Time)","value":"21:21:48"},{"id":151,"name":"Denver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14"/>
        <v>start /low /b %USERPROFILE%\Documents\GitHub\eaglep3\Utilities\DownloadLogsFromS3.py --loco 4066 --day 2017-09-12</v>
      </c>
      <c r="AN201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809</v>
      </c>
      <c r="B202" s="7">
        <v>4065</v>
      </c>
      <c r="C202" s="21" t="s">
        <v>197</v>
      </c>
      <c r="D202" s="21" t="s">
        <v>570</v>
      </c>
      <c r="E202" s="13">
        <v>42990.933379629627</v>
      </c>
      <c r="F202" s="13">
        <v>42990.945127314815</v>
      </c>
      <c r="G202" s="7">
        <v>55</v>
      </c>
      <c r="H202" s="21" t="s">
        <v>559</v>
      </c>
      <c r="I202" s="13">
        <v>42990.954398148147</v>
      </c>
      <c r="J202" s="7">
        <v>0</v>
      </c>
      <c r="K202" s="89" t="str">
        <f>IF(ISEVEN(B202),(B202-1)&amp;"/"&amp;B202,B202&amp;"/"&amp;(B202+1))</f>
        <v>4065/4066</v>
      </c>
      <c r="L202" s="214" t="str">
        <f>VLOOKUP(A202,'Trips&amp;Operators'!$C$1:$G$99911,5,FALSE)</f>
        <v>STAMBAUGH JAMES</v>
      </c>
      <c r="M202" s="6">
        <f>I202-F202</f>
        <v>9.2708333322661929E-3</v>
      </c>
      <c r="N202" s="7">
        <f>24*60*SUM($M202:$M202)</f>
        <v>13.349999998463318</v>
      </c>
      <c r="O202" s="7"/>
      <c r="P202" s="7"/>
      <c r="Q202" s="22"/>
      <c r="R202" s="167"/>
      <c r="S202" s="210">
        <f>1/IF(AG202="EC",12,1)*SUM(U202:U202)</f>
        <v>1</v>
      </c>
      <c r="T202" s="192" t="str">
        <f>IF(ISEVEN(LEFT(AD202,4)),"Southbound","NorthBound")</f>
        <v>Southbound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-12T21:24:04-0600',mode:absolute,to:'2017-09-12T23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2" s="194" t="str">
        <f>IF(AA202&lt;VLOOKUP(AG202,Variables!$AC$3:$AD$8,2,FALSE),"Y","N")</f>
        <v>N</v>
      </c>
      <c r="X202" s="194">
        <f>VALUE(LEFT(AD202,4))-VALUE(LEFT(AD201,4))</f>
        <v>1</v>
      </c>
      <c r="Y202" s="194">
        <f>RIGHT(D202,LEN(D202)-4)/10000</f>
        <v>5.8704000000000001</v>
      </c>
      <c r="Z202" s="194">
        <f>RIGHT(H202,LEN(H202)-4)/10000</f>
        <v>6.7500000000000004E-2</v>
      </c>
      <c r="AA202" s="194">
        <f>ABS(Z202-Y202)</f>
        <v>5.8029000000000002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>VALUE(LEFT(A202,LEN(A202)-3))</f>
        <v>846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/stypes="app*4065*20170913*" /stext=" 04:.+((SYSTEM_STATE.+slice.+state.+changed )|(ment ac)|(multiple cpu faults)|(system.+state.+changed )|(\[timeout)|(PRM\|1\|D)|(kpr)|(kdp)|(train st.+moving)|(\|lc)|(penalty))"</v>
      </c>
      <c r="AG202" s="206" t="str">
        <f>DetSubdiv(A202)</f>
        <v>NW</v>
      </c>
      <c r="AH202" s="78" t="str">
        <f t="shared" si="12"/>
        <v>"%USERPROFILE%\Documents\GitHub\eaglep3\Utilities\RefineRTDCRunTimes.py" --tripid 846-12 --locoid 4065 --swversion DE.1.0.9.0 --startMP 300:58704 --initTime 2017-09-12T22:24:04 --startdatetime 2017-09-12T22:40:59 --delay 55 --endMP 204:675 --enddatetime 2017-09-12T22:54:20 --enforcementcount 0 &gt;&gt;C:\Users\stu\Documents\GitHub\eaglep3-reporting\EC\2017-09-12-refined-times.txt</v>
      </c>
      <c r="AI202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{"issue":{"subject":"","project_id":79,"tracker_id":40,"status_id":1,"priority_id":2,"assigned_to_id":338,"start_date":"2017-09-12","description":"","custom_fields":[{"id":1,"name":"Subdivision","value":"NW"},{"id":4,"name":"Milepost","value":"0.0675"},{"id":17,"name":"Train ID","value":"846-12"},{"id":16,"name":"Locomotive ID","value":"4065"},{"id":130,"name":"Impact","value":""},{"id":150,"name":"Time of Event (Mountain Time)","value":"22:54:20"},{"id":151,"name":"Denver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14"/>
        <v>start /low /b %USERPROFILE%\Documents\GitHub\eaglep3\Utilities\DownloadLogsFromS3.py --loco 4065 --day 2017-09-12</v>
      </c>
      <c r="AN202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04:54:20"},{"id":29,"name":"Sharepoint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611</v>
      </c>
      <c r="B203" s="7">
        <v>4066</v>
      </c>
      <c r="C203" s="21" t="s">
        <v>197</v>
      </c>
      <c r="D203" s="21" t="s">
        <v>570</v>
      </c>
      <c r="E203" s="13">
        <v>42990.933379629627</v>
      </c>
      <c r="F203" s="13">
        <v>42990.923182870371</v>
      </c>
      <c r="G203" s="7">
        <v>55</v>
      </c>
      <c r="H203" s="21" t="s">
        <v>559</v>
      </c>
      <c r="I203" s="13">
        <v>42990.932152777779</v>
      </c>
      <c r="J203" s="7">
        <v>0</v>
      </c>
      <c r="K203" s="89" t="str">
        <f>IF(ISEVEN(B203),(B203-1)&amp;"/"&amp;B203,B203&amp;"/"&amp;(B203+1))</f>
        <v>4065/4066</v>
      </c>
      <c r="L203" s="214" t="str">
        <f>VLOOKUP(A203,'Trips&amp;Operators'!$C$1:$G$99911,5,FALSE)</f>
        <v>STAMBAUGH JAMES</v>
      </c>
      <c r="M203" s="6">
        <f>I203-F203</f>
        <v>8.969907408754807E-3</v>
      </c>
      <c r="N203" s="7">
        <f>24*60*SUM($M203:$M203)</f>
        <v>12.916666668606922</v>
      </c>
      <c r="O203" s="7"/>
      <c r="P203" s="7"/>
      <c r="Q203" s="22"/>
      <c r="R203" s="167"/>
      <c r="S203" s="210">
        <f>1/IF(AG203="EC",12,1)*SUM(U203:U203)</f>
        <v>1</v>
      </c>
      <c r="T203" s="192" t="str">
        <f>IF(ISEVEN(LEFT(AD203,4)),"Southbound","NorthBound")</f>
        <v>NorthBound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-12T21:24:04-0600',mode:absolute,to:'2017-09-12T23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3" s="194" t="str">
        <f>IF(AA203&lt;VLOOKUP(AG203,Variables!$AC$3:$AD$8,2,FALSE),"Y","N")</f>
        <v>N</v>
      </c>
      <c r="X203" s="194">
        <f>VALUE(LEFT(AD203,4))-VALUE(LEFT(AD202,4))</f>
        <v>1</v>
      </c>
      <c r="Y203" s="194">
        <v>0</v>
      </c>
      <c r="Z203" s="194">
        <v>5.9</v>
      </c>
      <c r="AA203" s="194">
        <f>ABS(Z203-Y203)</f>
        <v>5.9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>VALUE(LEFT(A203,LEN(A203)-3))</f>
        <v>847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/stypes="app*4066*20170913*" /stext=" 04:.+((SYSTEM_STATE.+slice.+state.+changed )|(ment ac)|(multiple cpu faults)|(system.+state.+changed )|(\[timeout)|(PRM\|1\|D)|(kpr)|(kdp)|(train st.+moving)|(\|lc)|(penalty))"</v>
      </c>
      <c r="AG203" s="206" t="str">
        <f>DetSubdiv(A203)</f>
        <v>NW</v>
      </c>
      <c r="AH203" s="78" t="str">
        <f t="shared" ref="AH203" si="32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847-12 --locoid 4066 --swversion DE.1.0.9.0 --startMP 300:58704 --initTime 2017-09-12T22:24:04 --startdatetime 2017-09-12T22:09:23 --delay 55 --endMP 204:675 --enddatetime 2017-09-12T22:22:18 --enforcementcount 0 &gt;&gt;C:\Users\stu\Documents\GitHub\eaglep3-reporting\EC\2017-09-12-refined-times.txt</v>
      </c>
      <c r="AI203" s="96" t="str">
        <f t="shared" ref="AI203" si="33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{"issue":{"subject":"","project_id":79,"tracker_id":40,"status_id":1,"priority_id":2,"assigned_to_id":338,"start_date":"2017-09-12","description":"","custom_fields":[{"id":1,"name":"Subdivision","value":"NW"},{"id":4,"name":"Milepost","value":"5.9"},{"id":17,"name":"Train ID","value":"847-12"},{"id":16,"name":"Locomotive ID","value":"4066"},{"id":130,"name":"Impact","value":""},{"id":150,"name":"Time of Event (Mountain Time)","value":"22:22:18"},{"id":151,"name":"Denver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ref="AM203" si="34">"start /low /b "&amp;dls3logs&amp;" --loco "&amp;B203&amp;" --day "&amp;TEXT(F203,"YYYY-MM-DD")</f>
        <v>start /low /b %USERPROFILE%\Documents\GitHub\eaglep3\Utilities\DownloadLogsFromS3.py --loco 4066 --day 2017-09-12</v>
      </c>
      <c r="AN203" s="151" t="str">
        <f t="shared" ref="AN203" si="35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04:22:18"},{"id":29,"name":"Sharepoint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s="20" customFormat="1" x14ac:dyDescent="0.25">
      <c r="A204" s="32" t="s">
        <v>814</v>
      </c>
      <c r="B204" s="7">
        <v>4066</v>
      </c>
      <c r="C204" s="21" t="s">
        <v>197</v>
      </c>
      <c r="D204" s="21" t="s">
        <v>558</v>
      </c>
      <c r="E204" s="13">
        <v>42990.961886574078</v>
      </c>
      <c r="F204" s="13">
        <v>42990.965115740742</v>
      </c>
      <c r="G204" s="7">
        <v>48</v>
      </c>
      <c r="H204" s="21" t="s">
        <v>571</v>
      </c>
      <c r="I204" s="13">
        <v>42990.973599537036</v>
      </c>
      <c r="J204" s="7">
        <v>0</v>
      </c>
      <c r="K204" s="89" t="str">
        <f>IF(ISEVEN(B204),(B204-1)&amp;"/"&amp;B204,B204&amp;"/"&amp;(B204+1))</f>
        <v>4065/4066</v>
      </c>
      <c r="L204" s="214" t="str">
        <f>VLOOKUP(A204,'Trips&amp;Operators'!$C$1:$G$99911,5,FALSE)</f>
        <v>STAMBAUGH JAMES</v>
      </c>
      <c r="M204" s="6">
        <f>I204-F204</f>
        <v>8.4837962931487709E-3</v>
      </c>
      <c r="N204" s="7">
        <f>24*60*SUM($M204:$M204)</f>
        <v>12.21666666213423</v>
      </c>
      <c r="O204" s="7"/>
      <c r="P204" s="7"/>
      <c r="Q204" s="22"/>
      <c r="R204" s="167"/>
      <c r="S204" s="210">
        <f>1/IF(AG204="EC",12,1)*SUM(U204:U204)</f>
        <v>1</v>
      </c>
      <c r="T204" s="192" t="str">
        <f>IF(ISEVEN(LEFT(AD204,4)),"Southbound","NorthBound")</f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-12T22:05:07-0600',mode:absolute,to:'2017-09-13T00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4" s="194" t="str">
        <f>IF(AA204&lt;VLOOKUP(AG204,Variables!$AC$3:$AD$8,2,FALSE),"Y","N")</f>
        <v>N</v>
      </c>
      <c r="X204" s="194">
        <f>VALUE(LEFT(AD204,4))-VALUE(LEFT(AD203,4))</f>
        <v>2</v>
      </c>
      <c r="Y204" s="194">
        <f>RIGHT(D204,LEN(D204)-4)/10000</f>
        <v>9.6699999999999994E-2</v>
      </c>
      <c r="Z204" s="194">
        <f>RIGHT(H204,LEN(H204)-4)/10000</f>
        <v>5.8940999999999999</v>
      </c>
      <c r="AA204" s="194">
        <f>ABS(Z204-Y204)</f>
        <v>5.7973999999999997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>VALUE(LEFT(A204,LEN(A204)-3))</f>
        <v>849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/stypes="app*4066*20170913*" /stext=" 05:.+((SYSTEM_STATE.+slice.+state.+changed )|(ment ac)|(multiple cpu faults)|(system.+state.+changed )|(\[timeout)|(PRM\|1\|D)|(kpr)|(kdp)|(train st.+moving)|(\|lc)|(penalty))"</v>
      </c>
      <c r="AG204" s="206" t="str">
        <f>DetSubdiv(A204)</f>
        <v>NW</v>
      </c>
      <c r="AH204" s="78" t="str">
        <f t="shared" si="12"/>
        <v>"%USERPROFILE%\Documents\GitHub\eaglep3\Utilities\RefineRTDCRunTimes.py" --tripid 849-12 --locoid 4066 --swversion DE.1.0.9.0 --startMP 204:967 --initTime 2017-09-12T23:05:07 --startdatetime 2017-09-12T23:09:46 --delay 48 --endMP 300:58941 --enddatetime 2017-09-12T23:21:59 --enforcementcount 0 &gt;&gt;C:\Users\stu\Documents\GitHub\eaglep3-reporting\EC\2017-09-12-refined-times.txt</v>
      </c>
      <c r="AI204" s="96" t="str">
        <f t="shared" si="13"/>
        <v>echo {"issue":{"subject":"","project_id":79,"tracker_id":40,"status_id":1,"priority_id":2,"assigned_to_id":338,"start_date":"2017-09-12","description":"","custom_fields":[{"id":1,"name":"Subdivision","value":"NW"},{"id":4,"name":"Milepost","value":"5.8941"},{"id":17,"name":"Train ID","value":"849-12"},{"id":16,"name":"Locomotive ID","value":"4066"},{"id":130,"name":"Impact","value":""},{"id":150,"name":"Time of Event (Mountain Time)","value":"23:21:59"},{"id":151,"name":"Denver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14"/>
        <v>start /low /b %USERPROFILE%\Documents\GitHub\eaglep3\Utilities\DownloadLogsFromS3.py --loco 4066 --day 2017-09-12</v>
      </c>
      <c r="AN204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05:21:59"},{"id":29,"name":"Sharepoint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784</v>
      </c>
      <c r="B205" s="7">
        <v>4032</v>
      </c>
      <c r="C205" s="21" t="s">
        <v>197</v>
      </c>
      <c r="D205" s="21" t="s">
        <v>450</v>
      </c>
      <c r="E205" s="13">
        <v>42990.775208333333</v>
      </c>
      <c r="F205" s="13">
        <v>42990.776319444441</v>
      </c>
      <c r="G205" s="7">
        <v>53</v>
      </c>
      <c r="H205" s="21" t="s">
        <v>884</v>
      </c>
      <c r="I205" s="13">
        <v>42990.781990740739</v>
      </c>
      <c r="J205" s="7">
        <v>0</v>
      </c>
      <c r="K205" s="89" t="str">
        <f>IF(ISEVEN(B205),(B205-1)&amp;"/"&amp;B205,B205&amp;"/"&amp;(B205+1))</f>
        <v>4031/4032</v>
      </c>
      <c r="L205" s="214" t="str">
        <f>VLOOKUP(A205,'Trips&amp;Operators'!$C$1:$G$99911,5,FALSE)</f>
        <v>LEVIN SCOTT</v>
      </c>
      <c r="M205" s="6">
        <f>I205-F205</f>
        <v>5.6712962978053838E-3</v>
      </c>
      <c r="N205" s="7">
        <f>24*60*SUM($M205:$M205)</f>
        <v>8.1666666688397527</v>
      </c>
      <c r="O205" s="7"/>
      <c r="P205" s="7"/>
      <c r="Q205" s="22"/>
      <c r="R205" s="167"/>
      <c r="S205" s="210">
        <f>1/IF(AG205="EC",12,1)*SUM(U205:U205)</f>
        <v>1</v>
      </c>
      <c r="T205" s="192" t="str">
        <f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-12T17:36:18-0600',mode:absolute,to:'2017-09-12T19:46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194" t="str">
        <f>IF(AA205&lt;VLOOKUP(AG205,Variables!$AC$3:$AD$8,2,FALSE),"Y","N")</f>
        <v>Y</v>
      </c>
      <c r="X205" s="194">
        <f>VALUE(LEFT(AD205,4))-VALUE(LEFT(AD204,4))</f>
        <v>-548</v>
      </c>
      <c r="Y205" s="194">
        <f>RIGHT(D205,LEN(D205)-4)/10000</f>
        <v>4.4400000000000002E-2</v>
      </c>
      <c r="Z205" s="194">
        <f>RIGHT(H205,LEN(H205)-4)/10000</f>
        <v>2.3346</v>
      </c>
      <c r="AA205" s="194">
        <f>ABS(Z205-Y205)</f>
        <v>2.2902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>VALUE(LEFT(A205,LEN(A205)-3))</f>
        <v>301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"%USERPROFILE%\AppData\Local\Temp\OnboardLogs"\RTDC4032\2017-09-12 --exclude "*" --recursive --include "*20170912*" &amp; "%USERPROFILE%\Documents\GitHub\mrs-test-scripts\Headless Mode &amp; Sideloading\WalkAndUnGZ.bat" "%USERPROFILE%\AppData\Local\Temp\OnboardLogs"\RTDC4032\2017-09-12 &amp; aws s3 cp s3://rtdc.mdm.uploadarchive.raw/RTDC4032/ "%USERPROFILE%\AppData\Local\Temp\OnboardLogs"\RTDC4032\2017-09-13 --exclude "*" --recursive --include "*20170913*" &amp; "%USERPROFILE%\Documents\GitHub\mrs-test-scripts\Headless Mode &amp; Sideloading\WalkAndUnGZ.bat" "%USERPROFILE%\AppData\Local\Temp\OnboardLogs"\RTDC4032\2017-09-13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/stypes="app*4032*20170913*" /stext=" 00:.+((SYSTEM_STATE.+slice.+state.+changed )|(ment ac)|(multiple cpu faults)|(system.+state.+changed )|(\[timeout)|(PRM\|1\|D)|(kpr)|(kdp)|(train st.+moving)|(\|lc)|(penalty))"</v>
      </c>
      <c r="AG205" s="206" t="str">
        <f>DetSubdiv(A205)</f>
        <v>Other</v>
      </c>
      <c r="AH205" s="78" t="str">
        <f t="shared" si="12"/>
        <v>"%USERPROFILE%\Documents\GitHub\eaglep3\Utilities\RefineRTDCRunTimes.py" --tripid 301-12 --locoid 4032 --swversion DE.1.0.9.0 --startMP 204:444 --initTime 2017-09-12T18:36:18 --startdatetime 2017-09-12T18:37:54 --delay 53 --endMP 300:23346 --enddatetime 2017-09-12T18:46:04 --enforcementcount 0 &gt;&gt;C:\Users\stu\Documents\GitHub\eaglep3-reporting\EC\2017-09-12-refined-times.txt</v>
      </c>
      <c r="AI205" s="96" t="str">
        <f t="shared" si="13"/>
        <v>echo {"issue":{"subject":"","project_id":79,"tracker_id":40,"status_id":1,"priority_id":2,"assigned_to_id":338,"start_date":"2017-09-12","description":"","custom_fields":[{"id":1,"name":"Subdivision","value":"Other"},{"id":4,"name":"Milepost","value":"2.3346"},{"id":17,"name":"Train ID","value":"301-12"},{"id":16,"name":"Locomotive ID","value":"4032"},{"id":130,"name":"Impact","value":""},{"id":150,"name":"Time of Event (Mountain Time)","value":"18:46:04"},{"id":151,"name":"Denver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14"/>
        <v>start /low /b %USERPROFILE%\Documents\GitHub\eaglep3\Utilities\DownloadLogsFromS3.py --loco 4032 --day 2017-09-12</v>
      </c>
      <c r="AN205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00:46:04"},{"id":29,"name":"Sharepoint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616</v>
      </c>
      <c r="B206" s="7">
        <v>4001</v>
      </c>
      <c r="C206" s="21" t="s">
        <v>197</v>
      </c>
      <c r="D206" s="21" t="s">
        <v>885</v>
      </c>
      <c r="E206" s="13">
        <v>42990.140335648146</v>
      </c>
      <c r="F206" s="13">
        <v>42990.143796296295</v>
      </c>
      <c r="G206" s="7">
        <v>69</v>
      </c>
      <c r="H206" s="21" t="s">
        <v>343</v>
      </c>
      <c r="I206" s="13">
        <v>42990.149328703701</v>
      </c>
      <c r="J206" s="7">
        <v>0</v>
      </c>
      <c r="K206" s="89" t="str">
        <f>IF(ISEVEN(B206),(B206-1)&amp;"/"&amp;B206,B206&amp;"/"&amp;(B206+1))</f>
        <v>4001/4002</v>
      </c>
      <c r="L206" s="214" t="str">
        <f>VLOOKUP(A206,'Trips&amp;Operators'!$C$1:$G$99911,5,FALSE)</f>
        <v>BONDS REYNALDO</v>
      </c>
      <c r="M206" s="6">
        <f>I206-F206</f>
        <v>5.5324074055533856E-3</v>
      </c>
      <c r="N206" s="7">
        <f>24*60*SUM($M206:$M206)</f>
        <v>7.9666666639968753</v>
      </c>
      <c r="O206" s="7"/>
      <c r="P206" s="7"/>
      <c r="Q206" s="22"/>
      <c r="R206" s="167"/>
      <c r="S206" s="210">
        <f>1/IF(AG206="EC",12,1)*SUM(U206:U206)</f>
        <v>1</v>
      </c>
      <c r="T206" s="192" t="str">
        <f>IF(ISEVEN(LEFT(AD206,4)),"Southbound","NorthBound")</f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-12T02:22:05-0600',mode:absolute,to:'2017-09-12T04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6" s="194" t="str">
        <f>IF(AA206&lt;VLOOKUP(AG206,Variables!$AC$3:$AD$8,2,FALSE),"Y","N")</f>
        <v>Y</v>
      </c>
      <c r="X206" s="194">
        <f>VALUE(LEFT(AD206,4))-VALUE(LEFT(AD205,4))</f>
        <v>1</v>
      </c>
      <c r="Y206" s="194">
        <f>RIGHT(D206,LEN(D206)-4)/10000</f>
        <v>2.3466</v>
      </c>
      <c r="Z206" s="194">
        <f>RIGHT(H206,LEN(H206)-4)/10000</f>
        <v>1.47E-2</v>
      </c>
      <c r="AA206" s="194">
        <f>ABS(Z206-Y206)</f>
        <v>2.3319000000000001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>VALUE(LEFT(A206,LEN(A206)-3))</f>
        <v>302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/stypes="app*4001*20170912*" /stext=" 09:.+((SYSTEM_STATE.+slice.+state.+changed )|(ment ac)|(multiple cpu faults)|(system.+state.+changed )|(\[timeout)|(PRM\|1\|D)|(kpr)|(kdp)|(train st.+moving)|(\|lc)|(penalty))"</v>
      </c>
      <c r="AG206" s="206" t="str">
        <f>DetSubdiv(A206)</f>
        <v>Other</v>
      </c>
      <c r="AH206" s="78" t="str">
        <f t="shared" si="12"/>
        <v>"%USERPROFILE%\Documents\GitHub\eaglep3\Utilities\RefineRTDCRunTimes.py" --tripid 302-12 --locoid 4001 --swversion DE.1.0.9.0 --startMP 300:23466 --initTime 2017-09-12T03:22:05 --startdatetime 2017-09-12T03:27:04 --delay 69 --endMP 204:147 --enddatetime 2017-09-12T03:35:02 --enforcementcount 0 &gt;&gt;C:\Users\stu\Documents\GitHub\eaglep3-reporting\EC\2017-09-12-refined-times.txt</v>
      </c>
      <c r="AI206" s="96" t="str">
        <f t="shared" si="13"/>
        <v>echo {"issue":{"subject":"","project_id":79,"tracker_id":40,"status_id":1,"priority_id":2,"assigned_to_id":338,"start_date":"2017-09-12","description":"","custom_fields":[{"id":1,"name":"Subdivision","value":"Other"},{"id":4,"name":"Milepost","value":"0.0147"},{"id":17,"name":"Train ID","value":"302-12"},{"id":16,"name":"Locomotive ID","value":"4001"},{"id":130,"name":"Impact","value":""},{"id":150,"name":"Time of Event (Mountain Time)","value":"03:35:02"},{"id":151,"name":"Denver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14"/>
        <v>start /low /b %USERPROFILE%\Documents\GitHub\eaglep3\Utilities\DownloadLogsFromS3.py --loco 4001 --day 2017-09-12</v>
      </c>
      <c r="AN206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09:35:02"},{"id":29,"name":"Sharepoint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790</v>
      </c>
      <c r="B207" s="7">
        <v>4012</v>
      </c>
      <c r="C207" s="21" t="s">
        <v>197</v>
      </c>
      <c r="D207" s="21" t="s">
        <v>477</v>
      </c>
      <c r="E207" s="13">
        <v>42990.798009259262</v>
      </c>
      <c r="F207" s="13">
        <v>42990.799375000002</v>
      </c>
      <c r="G207" s="7">
        <v>60</v>
      </c>
      <c r="H207" s="21" t="s">
        <v>886</v>
      </c>
      <c r="I207" s="13">
        <v>42990.805694444447</v>
      </c>
      <c r="J207" s="7">
        <v>0</v>
      </c>
      <c r="K207" s="89" t="str">
        <f>IF(ISEVEN(B207),(B207-1)&amp;"/"&amp;B207,B207&amp;"/"&amp;(B207+1))</f>
        <v>4011/4012</v>
      </c>
      <c r="L207" s="214" t="str">
        <f>VLOOKUP(A207,'Trips&amp;Operators'!$C$1:$G$99911,5,FALSE)</f>
        <v>SAFIEF AEIMEN</v>
      </c>
      <c r="M207" s="6">
        <f>I207-F207</f>
        <v>6.3194444446708076E-3</v>
      </c>
      <c r="N207" s="7">
        <f>24*60*SUM($M207:$M207)</f>
        <v>9.1000000003259629</v>
      </c>
      <c r="O207" s="7"/>
      <c r="P207" s="7"/>
      <c r="Q207" s="22"/>
      <c r="R207" s="167"/>
      <c r="S207" s="210">
        <f>1/IF(AG207="EC",12,1)*SUM(U207:U207)</f>
        <v>1</v>
      </c>
      <c r="T207" s="192" t="str">
        <f>IF(ISEVEN(LEFT(AD207,4)),"Southbound","NorthBound")</f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-12T18:09:08-0600',mode:absolute,to:'2017-09-12T20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4" t="str">
        <f>IF(AA207&lt;VLOOKUP(AG207,Variables!$AC$3:$AD$8,2,FALSE),"Y","N")</f>
        <v>Y</v>
      </c>
      <c r="X207" s="194">
        <f>VALUE(LEFT(AD207,4))-VALUE(LEFT(AD206,4))</f>
        <v>1</v>
      </c>
      <c r="Y207" s="194">
        <f>RIGHT(D207,LEN(D207)-4)/10000</f>
        <v>4.7100000000000003E-2</v>
      </c>
      <c r="Z207" s="194">
        <f>RIGHT(H207,LEN(H207)-4)/10000</f>
        <v>2.331</v>
      </c>
      <c r="AA207" s="194">
        <f>ABS(Z207-Y207)</f>
        <v>2.2839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>VALUE(LEFT(A207,LEN(A207)-3))</f>
        <v>303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s3://rtdc.mdm.uploadarchive.raw/RTDC4012/ "%USERPROFILE%\AppData\Local\Temp\OnboardLogs"\RTDC4012\2017-09-12 --exclude "*" --recursive --include "*20170912*" &amp; "%USERPROFILE%\Documents\GitHub\mrs-test-scripts\Headless Mode &amp; Sideloading\WalkAndUnGZ.bat" "%USERPROFILE%\AppData\Local\Temp\OnboardLogs"\RTDC4012\2017-09-12 &amp; aws s3 cp s3://rtdc.mdm.uploadarchive.raw/RTDC4012/ "%USERPROFILE%\AppData\Local\Temp\OnboardLogs"\RTDC4012\2017-09-13 --exclude "*" --recursive --include "*20170913*" &amp; "%USERPROFILE%\Documents\GitHub\mrs-test-scripts\Headless Mode &amp; Sideloading\WalkAndUnGZ.bat" "%USERPROFILE%\AppData\Local\Temp\OnboardLogs"\RTDC4012\2017-09-13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/stypes="app*4012*20170913*" /stext=" 01:.+((SYSTEM_STATE.+slice.+state.+changed )|(ment ac)|(multiple cpu faults)|(system.+state.+changed )|(\[timeout)|(PRM\|1\|D)|(kpr)|(kdp)|(train st.+moving)|(\|lc)|(penalty))"</v>
      </c>
      <c r="AG207" s="206" t="str">
        <f>DetSubdiv(A207)</f>
        <v>Other</v>
      </c>
      <c r="AH207" s="78" t="str">
        <f t="shared" si="12"/>
        <v>"%USERPROFILE%\Documents\GitHub\eaglep3\Utilities\RefineRTDCRunTimes.py" --tripid 303-12 --locoid 4012 --swversion DE.1.0.9.0 --startMP 204:471 --initTime 2017-09-12T19:09:08 --startdatetime 2017-09-12T19:11:06 --delay 60 --endMP 300:23310 --enddatetime 2017-09-12T19:20:12 --enforcementcount 0 &gt;&gt;C:\Users\stu\Documents\GitHub\eaglep3-reporting\EC\2017-09-12-refined-times.txt</v>
      </c>
      <c r="AI207" s="96" t="str">
        <f t="shared" si="13"/>
        <v>echo {"issue":{"subject":"","project_id":79,"tracker_id":40,"status_id":1,"priority_id":2,"assigned_to_id":338,"start_date":"2017-09-12","description":"","custom_fields":[{"id":1,"name":"Subdivision","value":"Other"},{"id":4,"name":"Milepost","value":"2.331"},{"id":17,"name":"Train ID","value":"303-12"},{"id":16,"name":"Locomotive ID","value":"4012"},{"id":130,"name":"Impact","value":""},{"id":150,"name":"Time of Event (Mountain Time)","value":"19:20:12"},{"id":151,"name":"Denver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14"/>
        <v>start /low /b %USERPROFILE%\Documents\GitHub\eaglep3\Utilities\DownloadLogsFromS3.py --loco 4012 --day 2017-09-12</v>
      </c>
      <c r="AN207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619</v>
      </c>
      <c r="B208" s="7">
        <v>4057</v>
      </c>
      <c r="C208" s="21" t="s">
        <v>197</v>
      </c>
      <c r="D208" s="21" t="s">
        <v>887</v>
      </c>
      <c r="E208" s="13">
        <v>42990.16233796296</v>
      </c>
      <c r="F208" s="13">
        <v>42990.167268518519</v>
      </c>
      <c r="G208" s="7">
        <v>75</v>
      </c>
      <c r="H208" s="21" t="s">
        <v>387</v>
      </c>
      <c r="I208" s="13">
        <v>42990.172615740739</v>
      </c>
      <c r="J208" s="7">
        <v>0</v>
      </c>
      <c r="K208" s="89" t="str">
        <f>IF(ISEVEN(B208),(B208-1)&amp;"/"&amp;B208,B208&amp;"/"&amp;(B208+1))</f>
        <v>4057/4058</v>
      </c>
      <c r="L208" s="214" t="str">
        <f>VLOOKUP(A208,'Trips&amp;Operators'!$C$1:$G$99911,5,FALSE)</f>
        <v>STARKS ANGELINA</v>
      </c>
      <c r="M208" s="6">
        <f>I208-F208</f>
        <v>5.3472222207346931E-3</v>
      </c>
      <c r="N208" s="7">
        <f>24*60*SUM($M208:$M208)</f>
        <v>7.6999999978579581</v>
      </c>
      <c r="O208" s="7"/>
      <c r="P208" s="7"/>
      <c r="Q208" s="22"/>
      <c r="R208" s="167"/>
      <c r="S208" s="210">
        <f>1/IF(AG208="EC",12,1)*SUM(U208:U208)</f>
        <v>1</v>
      </c>
      <c r="T208" s="192" t="str">
        <f>IF(ISEVEN(LEFT(AD208,4)),"Southbound","NorthBound")</f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-12T02:53:46-0600',mode:absolute,to:'2017-09-12T05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8" s="194" t="str">
        <f>IF(AA208&lt;VLOOKUP(AG208,Variables!$AC$3:$AD$8,2,FALSE),"Y","N")</f>
        <v>Y</v>
      </c>
      <c r="X208" s="194">
        <f>VALUE(LEFT(AD208,4))-VALUE(LEFT(AD207,4))</f>
        <v>1</v>
      </c>
      <c r="Y208" s="194">
        <f>RIGHT(D208,LEN(D208)-4)/10000</f>
        <v>2.0131000000000001</v>
      </c>
      <c r="Z208" s="194">
        <f>RIGHT(H208,LEN(H208)-4)/10000</f>
        <v>1.6E-2</v>
      </c>
      <c r="AA208" s="194">
        <f>ABS(Z208-Y208)</f>
        <v>1.9971000000000001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>VALUE(LEFT(A208,LEN(A208)-3))</f>
        <v>304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/stypes="app*4057*20170912*" /stext=" 10:.+((SYSTEM_STATE.+slice.+state.+changed )|(ment ac)|(multiple cpu faults)|(system.+state.+changed )|(\[timeout)|(PRM\|1\|D)|(kpr)|(kdp)|(train st.+moving)|(\|lc)|(penalty))"</v>
      </c>
      <c r="AG208" s="206" t="str">
        <f>DetSubdiv(A208)</f>
        <v>Other</v>
      </c>
      <c r="AH208" s="78" t="str">
        <f t="shared" si="12"/>
        <v>"%USERPROFILE%\Documents\GitHub\eaglep3\Utilities\RefineRTDCRunTimes.py" --tripid 304-12 --locoid 4057 --swversion DE.1.0.9.0 --startMP 300:20131 --initTime 2017-09-12T03:53:46 --startdatetime 2017-09-12T04:00:52 --delay 75 --endMP 204:160 --enddatetime 2017-09-12T04:08:34 --enforcementcount 0 &gt;&gt;C:\Users\stu\Documents\GitHub\eaglep3-reporting\EC\2017-09-12-refined-times.txt</v>
      </c>
      <c r="AI208" s="96" t="str">
        <f t="shared" si="13"/>
        <v>echo {"issue":{"subject":"","project_id":79,"tracker_id":40,"status_id":1,"priority_id":2,"assigned_to_id":338,"start_date":"2017-09-12","description":"","custom_fields":[{"id":1,"name":"Subdivision","value":"Other"},{"id":4,"name":"Milepost","value":"0.016"},{"id":17,"name":"Train ID","value":"304-12"},{"id":16,"name":"Locomotive ID","value":"4057"},{"id":130,"name":"Impact","value":""},{"id":150,"name":"Time of Event (Mountain Time)","value":"04:08:34"},{"id":151,"name":"Denver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4"/>
        <v>start /low /b %USERPROFILE%\Documents\GitHub\eaglep3\Utilities\DownloadLogsFromS3.py --loco 4057 --day 2017-09-12</v>
      </c>
      <c r="AN208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s="20" customFormat="1" x14ac:dyDescent="0.25">
      <c r="A209" s="32" t="s">
        <v>619</v>
      </c>
      <c r="B209" s="7">
        <v>4057</v>
      </c>
      <c r="C209" s="21" t="s">
        <v>197</v>
      </c>
      <c r="D209" s="21" t="s">
        <v>887</v>
      </c>
      <c r="E209" s="13">
        <v>42990.163414351853</v>
      </c>
      <c r="F209" s="13">
        <v>42990.167268518519</v>
      </c>
      <c r="G209" s="7">
        <v>55</v>
      </c>
      <c r="H209" s="21" t="s">
        <v>387</v>
      </c>
      <c r="I209" s="13">
        <v>42990.172615740739</v>
      </c>
      <c r="J209" s="7">
        <v>0</v>
      </c>
      <c r="K209" s="89" t="str">
        <f>IF(ISEVEN(B209),(B209-1)&amp;"/"&amp;B209,B209&amp;"/"&amp;(B209+1))</f>
        <v>4057/4058</v>
      </c>
      <c r="L209" s="214" t="str">
        <f>VLOOKUP(A209,'Trips&amp;Operators'!$C$1:$G$99911,5,FALSE)</f>
        <v>STARKS ANGELINA</v>
      </c>
      <c r="M209" s="6">
        <f>I209-F209</f>
        <v>5.3472222207346931E-3</v>
      </c>
      <c r="N209" s="7">
        <f>24*60*SUM($M209:$M209)</f>
        <v>7.6999999978579581</v>
      </c>
      <c r="O209" s="7"/>
      <c r="P209" s="7"/>
      <c r="Q209" s="22"/>
      <c r="R209" s="167"/>
      <c r="S209" s="210">
        <f>1/IF(AG209="EC",12,1)*SUM(U209:U209)</f>
        <v>1</v>
      </c>
      <c r="T209" s="192" t="str">
        <f>IF(ISEVEN(LEFT(AD209,4)),"Southbound","NorthBound")</f>
        <v>Southbound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-12T02:55:19-0600',mode:absolute,to:'2017-09-12T05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09" s="194" t="str">
        <f>IF(AA209&lt;VLOOKUP(AG209,Variables!$AC$3:$AD$8,2,FALSE),"Y","N")</f>
        <v>Y</v>
      </c>
      <c r="X209" s="194">
        <f>VALUE(LEFT(AD209,4))-VALUE(LEFT(AD208,4))</f>
        <v>0</v>
      </c>
      <c r="Y209" s="194">
        <f>RIGHT(D209,LEN(D209)-4)/10000</f>
        <v>2.0131000000000001</v>
      </c>
      <c r="Z209" s="194">
        <f>RIGHT(H209,LEN(H209)-4)/10000</f>
        <v>1.6E-2</v>
      </c>
      <c r="AA209" s="194">
        <f>ABS(Z209-Y209)</f>
        <v>1.9971000000000001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>VALUE(LEFT(A209,LEN(A209)-3))</f>
        <v>304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/stypes="app*4057*20170912*" /stext=" 10:.+((SYSTEM_STATE.+slice.+state.+changed )|(ment ac)|(multiple cpu faults)|(system.+state.+changed )|(\[timeout)|(PRM\|1\|D)|(kpr)|(kdp)|(train st.+moving)|(\|lc)|(penalty))"</v>
      </c>
      <c r="AG209" s="206" t="str">
        <f>DetSubdiv(A209)</f>
        <v>Other</v>
      </c>
      <c r="AH209" s="78" t="str">
        <f t="shared" si="12"/>
        <v>"%USERPROFILE%\Documents\GitHub\eaglep3\Utilities\RefineRTDCRunTimes.py" --tripid 304-12 --locoid 4057 --swversion DE.1.0.9.0 --startMP 300:20131 --initTime 2017-09-12T03:55:19 --startdatetime 2017-09-12T04:00:52 --delay 55 --endMP 204:160 --enddatetime 2017-09-12T04:08:34 --enforcementcount 0 &gt;&gt;C:\Users\stu\Documents\GitHub\eaglep3-reporting\EC\2017-09-12-refined-times.txt</v>
      </c>
      <c r="AI209" s="96" t="str">
        <f t="shared" si="13"/>
        <v>echo {"issue":{"subject":"","project_id":79,"tracker_id":40,"status_id":1,"priority_id":2,"assigned_to_id":338,"start_date":"2017-09-12","description":"","custom_fields":[{"id":1,"name":"Subdivision","value":"Other"},{"id":4,"name":"Milepost","value":"0.016"},{"id":17,"name":"Train ID","value":"304-12"},{"id":16,"name":"Locomotive ID","value":"4057"},{"id":130,"name":"Impact","value":""},{"id":150,"name":"Time of Event (Mountain Time)","value":"04:08:34"},{"id":151,"name":"Denver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4"/>
        <v>start /low /b %USERPROFILE%\Documents\GitHub\eaglep3\Utilities\DownloadLogsFromS3.py --loco 4057 --day 2017-09-12</v>
      </c>
      <c r="AN209" s="151" t="str">
        <f t="shared" si="15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x14ac:dyDescent="0.25">
      <c r="A210" s="32" t="s">
        <v>793</v>
      </c>
      <c r="B210" s="7">
        <v>4034</v>
      </c>
      <c r="C210" s="21" t="s">
        <v>197</v>
      </c>
      <c r="D210" s="21" t="s">
        <v>341</v>
      </c>
      <c r="E210" s="13">
        <v>42990.818229166667</v>
      </c>
      <c r="F210" s="13">
        <v>42990.820694444446</v>
      </c>
      <c r="G210" s="7">
        <v>59</v>
      </c>
      <c r="H210" s="21" t="s">
        <v>554</v>
      </c>
      <c r="I210" s="13">
        <v>42990.825810185182</v>
      </c>
      <c r="J210" s="7">
        <v>0</v>
      </c>
      <c r="K210" s="89" t="str">
        <f>IF(ISEVEN(B210),(B210-1)&amp;"/"&amp;B210,B210&amp;"/"&amp;(B210+1))</f>
        <v>4033/4034</v>
      </c>
      <c r="L210" s="214" t="str">
        <f>VLOOKUP(A210,'Trips&amp;Operators'!$C$1:$G$99911,5,FALSE)</f>
        <v>SMITH MICHAEL</v>
      </c>
      <c r="M210" s="6">
        <f>I210-F210</f>
        <v>5.1157407360733487E-3</v>
      </c>
      <c r="N210" s="7">
        <f>24*60*SUM($M210:$M210)</f>
        <v>7.3666666599456221</v>
      </c>
      <c r="O210" s="7"/>
      <c r="P210" s="7"/>
      <c r="Q210" s="22"/>
      <c r="R210" s="167"/>
      <c r="S210" s="210">
        <f>1/IF(AG210="EC",12,1)*SUM(U210:U210)</f>
        <v>1</v>
      </c>
      <c r="T210" s="192" t="str">
        <f>IF(ISEVEN(LEFT(AD210,4)),"Southbound","NorthBound")</f>
        <v>NorthBound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-12T18:38:15-0600',mode:absolute,to:'2017-09-12T20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0" s="194" t="str">
        <f>IF(AA210&lt;VLOOKUP(AG210,Variables!$AC$3:$AD$8,2,FALSE),"Y","N")</f>
        <v>Y</v>
      </c>
      <c r="X210" s="194">
        <f>VALUE(LEFT(AD210,4))-VALUE(LEFT(AD209,4))</f>
        <v>1</v>
      </c>
      <c r="Y210" s="194">
        <f>RIGHT(D210,LEN(D210)-4)/10000</f>
        <v>4.53E-2</v>
      </c>
      <c r="Z210" s="194">
        <f>RIGHT(H210,LEN(H210)-4)/10000</f>
        <v>2.3311999999999999</v>
      </c>
      <c r="AA210" s="194">
        <f>ABS(Z210-Y210)</f>
        <v>2.2858999999999998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>VALUE(LEFT(A210,LEN(A210)-3))</f>
        <v>305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s3://rtdc.mdm.uploadarchive.raw/RTDC4034/ "%USERPROFILE%\AppData\Local\Temp\OnboardLogs"\RTDC4034\2017-09-12 --exclude "*" --recursive --include "*20170912*" &amp; "%USERPROFILE%\Documents\GitHub\mrs-test-scripts\Headless Mode &amp; Sideloading\WalkAndUnGZ.bat" "%USERPROFILE%\AppData\Local\Temp\OnboardLogs"\RTDC4034\2017-09-12 &amp; aws s3 cp s3://rtdc.mdm.uploadarchive.raw/RTDC4034/ "%USERPROFILE%\AppData\Local\Temp\OnboardLogs"\RTDC4034\2017-09-13 --exclude "*" --recursive --include "*20170913*" &amp; "%USERPROFILE%\Documents\GitHub\mrs-test-scripts\Headless Mode &amp; Sideloading\WalkAndUnGZ.bat" "%USERPROFILE%\AppData\Local\Temp\OnboardLogs"\RTDC4034\2017-09-13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/stypes="app*4034*20170913*" /stext=" 01:.+((SYSTEM_STATE.+slice.+state.+changed )|(ment ac)|(multiple cpu faults)|(system.+state.+changed )|(\[timeout)|(PRM\|1\|D)|(kpr)|(kdp)|(train st.+moving)|(\|lc)|(penalty))"</v>
      </c>
      <c r="AG210" s="206" t="str">
        <f>DetSubdiv(A210)</f>
        <v>Other</v>
      </c>
      <c r="AH210" s="78" t="str">
        <f t="shared" si="12"/>
        <v>"%USERPROFILE%\Documents\GitHub\eaglep3\Utilities\RefineRTDCRunTimes.py" --tripid 305-12 --locoid 4034 --swversion DE.1.0.9.0 --startMP 204:453 --initTime 2017-09-12T19:38:15 --startdatetime 2017-09-12T19:41:48 --delay 59 --endMP 300:23312 --enddatetime 2017-09-12T19:49:10 --enforcementcount 0 &gt;&gt;C:\Users\stu\Documents\GitHub\eaglep3-reporting\EC\2017-09-12-refined-times.txt</v>
      </c>
      <c r="AI210" s="96" t="str">
        <f t="shared" si="13"/>
        <v>echo {"issue":{"subject":"","project_id":79,"tracker_id":40,"status_id":1,"priority_id":2,"assigned_to_id":338,"start_date":"2017-09-12","description":"","custom_fields":[{"id":1,"name":"Subdivision","value":"Other"},{"id":4,"name":"Milepost","value":"2.3312"},{"id":17,"name":"Train ID","value":"305-12"},{"id":16,"name":"Locomotive ID","value":"4034"},{"id":130,"name":"Impact","value":""},{"id":150,"name":"Time of Event (Mountain Time)","value":"19:49:10"},{"id":151,"name":"Denver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4"/>
        <v>start /low /b %USERPROFILE%\Documents\GitHub\eaglep3\Utilities\DownloadLogsFromS3.py --loco 4034 --day 2017-09-12</v>
      </c>
      <c r="AN210" s="151" t="str">
        <f t="shared" si="15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621</v>
      </c>
      <c r="B211" s="7">
        <v>4031</v>
      </c>
      <c r="C211" s="21" t="s">
        <v>197</v>
      </c>
      <c r="D211" s="21" t="s">
        <v>888</v>
      </c>
      <c r="E211" s="13">
        <v>42990.17114583333</v>
      </c>
      <c r="F211" s="13">
        <v>42990.174560185187</v>
      </c>
      <c r="G211" s="7">
        <v>56</v>
      </c>
      <c r="H211" s="21" t="s">
        <v>527</v>
      </c>
      <c r="I211" s="13">
        <v>42990.180462962962</v>
      </c>
      <c r="J211" s="7">
        <v>0</v>
      </c>
      <c r="K211" s="89" t="str">
        <f>IF(ISEVEN(B211),(B211-1)&amp;"/"&amp;B211,B211&amp;"/"&amp;(B211+1))</f>
        <v>4031/4032</v>
      </c>
      <c r="L211" s="214" t="str">
        <f>VLOOKUP(A211,'Trips&amp;Operators'!$C$1:$G$99911,5,FALSE)</f>
        <v>LALONDE GREGORY</v>
      </c>
      <c r="M211" s="6">
        <f>I211-F211</f>
        <v>5.9027777751907706E-3</v>
      </c>
      <c r="N211" s="7">
        <f>24*60*SUM($M211:$M211)</f>
        <v>8.4999999962747097</v>
      </c>
      <c r="O211" s="7"/>
      <c r="P211" s="7"/>
      <c r="Q211" s="22"/>
      <c r="R211" s="167"/>
      <c r="S211" s="210">
        <f>1/IF(AG211="EC",12,1)*SUM(U211:U211)</f>
        <v>1</v>
      </c>
      <c r="T211" s="192" t="str">
        <f>IF(ISEVEN(LEFT(AD211,4)),"Southbound","NorthBound")</f>
        <v>Southbound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-12T03:06:27-0600',mode:absolute,to:'2017-09-12T05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1" s="194" t="str">
        <f>IF(AA211&lt;VLOOKUP(AG211,Variables!$AC$3:$AD$8,2,FALSE),"Y","N")</f>
        <v>Y</v>
      </c>
      <c r="X211" s="194">
        <f>VALUE(LEFT(AD211,4))-VALUE(LEFT(AD210,4))</f>
        <v>1</v>
      </c>
      <c r="Y211" s="194">
        <f>RIGHT(D211,LEN(D211)-4)/10000</f>
        <v>2.3538000000000001</v>
      </c>
      <c r="Z211" s="194">
        <f>RIGHT(H211,LEN(H211)-4)/10000</f>
        <v>1.54E-2</v>
      </c>
      <c r="AA211" s="194">
        <f>ABS(Z211-Y211)</f>
        <v>2.3384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>VALUE(LEFT(A211,LEN(A211)-3))</f>
        <v>306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/stypes="app*4031*20170912*" /stext=" 10:.+((SYSTEM_STATE.+slice.+state.+changed )|(ment ac)|(multiple cpu faults)|(system.+state.+changed )|(\[timeout)|(PRM\|1\|D)|(kpr)|(kdp)|(train st.+moving)|(\|lc)|(penalty))"</v>
      </c>
      <c r="AG211" s="206" t="str">
        <f>DetSubdiv(A211)</f>
        <v>Other</v>
      </c>
      <c r="AH211" s="78" t="str">
        <f t="shared" ref="AH211:AH235" si="36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306-12 --locoid 4031 --swversion DE.1.0.9.0 --startMP 300:23538 --initTime 2017-09-12T04:06:27 --startdatetime 2017-09-12T04:11:22 --delay 56 --endMP 204:154 --enddatetime 2017-09-12T04:19:52 --enforcementcount 0 &gt;&gt;C:\Users\stu\Documents\GitHub\eaglep3-reporting\EC\2017-09-12-refined-times.txt</v>
      </c>
      <c r="AI211" s="96" t="str">
        <f t="shared" ref="AI211:AI235" si="37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{"issue":{"subject":"","project_id":79,"tracker_id":40,"status_id":1,"priority_id":2,"assigned_to_id":338,"start_date":"2017-09-12","description":"","custom_fields":[{"id":1,"name":"Subdivision","value":"Other"},{"id":4,"name":"Milepost","value":"0.0154"},{"id":17,"name":"Train ID","value":"306-12"},{"id":16,"name":"Locomotive ID","value":"4031"},{"id":130,"name":"Impact","value":""},{"id":150,"name":"Time of Event (Mountain Time)","value":"04:19:52"},{"id":151,"name":"Denver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ref="AM211:AM235" si="38">"start /low /b "&amp;dls3logs&amp;" --loco "&amp;B211&amp;" --day "&amp;TEXT(F211,"YYYY-MM-DD")</f>
        <v>start /low /b %USERPROFILE%\Documents\GitHub\eaglep3\Utilities\DownloadLogsFromS3.py --loco 4031 --day 2017-09-12</v>
      </c>
      <c r="AN211" s="151" t="str">
        <f t="shared" ref="AN211:AN235" si="39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822</v>
      </c>
      <c r="B212" s="7">
        <v>4062</v>
      </c>
      <c r="C212" s="21" t="s">
        <v>197</v>
      </c>
      <c r="D212" s="21" t="s">
        <v>359</v>
      </c>
      <c r="E212" s="13">
        <v>42991.028414351851</v>
      </c>
      <c r="F212" s="13">
        <v>42991.029803240737</v>
      </c>
      <c r="G212" s="7">
        <v>52</v>
      </c>
      <c r="H212" s="21" t="s">
        <v>554</v>
      </c>
      <c r="I212" s="13">
        <v>42991.03638888889</v>
      </c>
      <c r="J212" s="7">
        <v>0</v>
      </c>
      <c r="K212" s="89" t="str">
        <f>IF(ISEVEN(B212),(B212-1)&amp;"/"&amp;B212,B212&amp;"/"&amp;(B212+1))</f>
        <v>4061/4062</v>
      </c>
      <c r="L212" s="214" t="str">
        <f>VLOOKUP(A212,'Trips&amp;Operators'!$C$1:$G$99911,5,FALSE)</f>
        <v>DUNCAN SHEILA</v>
      </c>
      <c r="M212" s="6">
        <f>I212-F212</f>
        <v>6.5856481523951516E-3</v>
      </c>
      <c r="N212" s="7">
        <f>24*60*SUM($M212:$M212)</f>
        <v>9.4833333394490182</v>
      </c>
      <c r="O212" s="7"/>
      <c r="P212" s="7"/>
      <c r="Q212" s="22"/>
      <c r="R212" s="167"/>
      <c r="S212" s="210">
        <f>1/IF(AG212="EC",12,1)*SUM(U212:U212)</f>
        <v>1</v>
      </c>
      <c r="T212" s="192" t="str">
        <f>IF(ISEVEN(LEFT(AD212,4)),"Southbound","NorthBound")</f>
        <v>NorthBound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-12T23:40:55-0600',mode:absolute,to:'2017-09-13T01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2" s="194" t="str">
        <f>IF(AA212&lt;VLOOKUP(AG212,Variables!$AC$3:$AD$8,2,FALSE),"Y","N")</f>
        <v>Y</v>
      </c>
      <c r="X212" s="194">
        <f>VALUE(LEFT(AD212,4))-VALUE(LEFT(AD211,4))</f>
        <v>1</v>
      </c>
      <c r="Y212" s="194">
        <f>RIGHT(D212,LEN(D212)-4)/10000</f>
        <v>4.58E-2</v>
      </c>
      <c r="Z212" s="194">
        <f>RIGHT(H212,LEN(H212)-4)/10000</f>
        <v>2.3311999999999999</v>
      </c>
      <c r="AA212" s="194">
        <f>ABS(Z212-Y212)</f>
        <v>2.2854000000000001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>VALUE(LEFT(A212,LEN(A212)-3))</f>
        <v>307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s3://rtdc.mdm.uploadarchive.raw/RTDC4062/ "%USERPROFILE%\AppData\Local\Temp\OnboardLogs"\RTDC4062\2017-09-13 --exclude "*" --recursive --include "*20170913*" &amp; "%USERPROFILE%\Documents\GitHub\mrs-test-scripts\Headless Mode &amp; Sideloading\WalkAndUnGZ.bat" "%USERPROFILE%\AppData\Local\Temp\OnboardLogs"\RTDC4062\2017-09-13 &amp; aws s3 cp s3://rtdc.mdm.uploadarchive.raw/RTDC4062/ "%USERPROFILE%\AppData\Local\Temp\OnboardLogs"\RTDC4062\2017-09-14 --exclude "*" --recursive --include "*20170914*" &amp; "%USERPROFILE%\Documents\GitHub\mrs-test-scripts\Headless Mode &amp; Sideloading\WalkAndUnGZ.bat" "%USERPROFILE%\AppData\Local\Temp\OnboardLogs"\RTDC4062\2017-09-14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/stypes="app*4062*20170913*" /stext=" 06:.+((SYSTEM_STATE.+slice.+state.+changed )|(ment ac)|(multiple cpu faults)|(system.+state.+changed )|(\[timeout)|(PRM\|1\|D)|(kpr)|(kdp)|(train st.+moving)|(\|lc)|(penalty))"</v>
      </c>
      <c r="AG212" s="206" t="str">
        <f>DetSubdiv(A212)</f>
        <v>Other</v>
      </c>
      <c r="AH212" s="78" t="str">
        <f t="shared" si="36"/>
        <v>"%USERPROFILE%\Documents\GitHub\eaglep3\Utilities\RefineRTDCRunTimes.py" --tripid 307-12 --locoid 4062 --swversion DE.1.0.9.0 --startMP 204:458 --initTime 2017-09-13T00:40:55 --startdatetime 2017-09-13T00:42:55 --delay 52 --endMP 300:23312 --enddatetime 2017-09-13T00:52:24 --enforcementcount 0 &gt;&gt;C:\Users\stu\Documents\GitHub\eaglep3-reporting\EC\2017-09-12-refined-times.txt</v>
      </c>
      <c r="AI212" s="96" t="str">
        <f t="shared" si="37"/>
        <v>echo {"issue":{"subject":"","project_id":79,"tracker_id":40,"status_id":1,"priority_id":2,"assigned_to_id":338,"start_date":"2017-09-13","description":"","custom_fields":[{"id":1,"name":"Subdivision","value":"Other"},{"id":4,"name":"Milepost","value":"2.3312"},{"id":17,"name":"Train ID","value":"307-12"},{"id":16,"name":"Locomotive ID","value":"4062"},{"id":130,"name":"Impact","value":""},{"id":150,"name":"Time of Event (Mountain Time)","value":"00:52:24"},{"id":151,"name":"Denver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si="38"/>
        <v>start /low /b %USERPROFILE%\Documents\GitHub\eaglep3\Utilities\DownloadLogsFromS3.py --loco 4062 --day 2017-09-13</v>
      </c>
      <c r="AN212" s="151" t="str">
        <f t="shared" si="39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06:52:24"},{"id":29,"name":"Sharepoint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624</v>
      </c>
      <c r="B213" s="7">
        <v>4027</v>
      </c>
      <c r="C213" s="21" t="s">
        <v>197</v>
      </c>
      <c r="D213" s="21" t="s">
        <v>889</v>
      </c>
      <c r="E213" s="13">
        <v>42990.184548611112</v>
      </c>
      <c r="F213" s="13">
        <v>42990.189155092594</v>
      </c>
      <c r="G213" s="7">
        <v>174</v>
      </c>
      <c r="H213" s="21" t="s">
        <v>465</v>
      </c>
      <c r="I213" s="13">
        <v>42990.193553240744</v>
      </c>
      <c r="J213" s="7">
        <v>0</v>
      </c>
      <c r="K213" s="89" t="str">
        <f>IF(ISEVEN(B213),(B213-1)&amp;"/"&amp;B213,B213&amp;"/"&amp;(B213+1))</f>
        <v>4027/4028</v>
      </c>
      <c r="L213" s="214" t="str">
        <f>VLOOKUP(A213,'Trips&amp;Operators'!$C$1:$G$99911,5,FALSE)</f>
        <v>LAMAR NEKESHA</v>
      </c>
      <c r="M213" s="6">
        <f>I213-F213</f>
        <v>4.3981481503578834E-3</v>
      </c>
      <c r="N213" s="7">
        <f>24*60*SUM($M213:$M213)</f>
        <v>6.3333333365153521</v>
      </c>
      <c r="O213" s="7"/>
      <c r="P213" s="7"/>
      <c r="Q213" s="22"/>
      <c r="R213" s="167"/>
      <c r="S213" s="210">
        <f>1/IF(AG213="EC",12,1)*SUM(U213:U213)</f>
        <v>1</v>
      </c>
      <c r="T213" s="192" t="str">
        <f>IF(ISEVEN(LEFT(AD213,4)),"Southbound","NorthBound")</f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-12T03:25:45-0600',mode:absolute,to:'2017-09-12T05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194" t="str">
        <f>IF(AA213&lt;VLOOKUP(AG213,Variables!$AC$3:$AD$8,2,FALSE),"Y","N")</f>
        <v>Y</v>
      </c>
      <c r="X213" s="194">
        <f>VALUE(LEFT(AD213,4))-VALUE(LEFT(AD212,4))</f>
        <v>1</v>
      </c>
      <c r="Y213" s="194">
        <f>RIGHT(D213,LEN(D213)-4)/10000</f>
        <v>2.2698</v>
      </c>
      <c r="Z213" s="194">
        <f>RIGHT(H213,LEN(H213)-4)/10000</f>
        <v>1.6500000000000001E-2</v>
      </c>
      <c r="AA213" s="194">
        <f>ABS(Z213-Y213)</f>
        <v>2.2532999999999999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s3://rtdc.mdm.uploadarchive.raw/RTDC4027/ "%USERPROFILE%\AppData\Local\Temp\OnboardLogs"\RTDC4027\2017-09-12 --exclude "*" --recursive --include "*20170912*" &amp; "%USERPROFILE%\Documents\GitHub\mrs-test-scripts\Headless Mode &amp; Sideloading\WalkAndUnGZ.bat" "%USERPROFILE%\AppData\Local\Temp\OnboardLogs"\RTDC4027\2017-09-12 &amp; 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/stypes="app*4027*20170912*" /stext=" 10:.+((SYSTEM_STATE.+slice.+state.+changed )|(ment ac)|(multiple cpu faults)|(system.+state.+changed )|(\[timeout)|(PRM\|1\|D)|(kpr)|(kdp)|(train st.+moving)|(\|lc)|(penalty))"</v>
      </c>
      <c r="AG213" s="206" t="str">
        <f>DetSubdiv(A213)</f>
        <v>Other</v>
      </c>
      <c r="AH213" s="78" t="str">
        <f t="shared" si="36"/>
        <v>"%USERPROFILE%\Documents\GitHub\eaglep3\Utilities\RefineRTDCRunTimes.py" --tripid 308-12 --locoid 4027 --swversion DE.1.0.9.0 --startMP 300:22698 --initTime 2017-09-12T04:25:45 --startdatetime 2017-09-12T04:32:23 --delay 174 --endMP 204:165 --enddatetime 2017-09-12T04:38:43 --enforcementcount 0 &gt;&gt;C:\Users\stu\Documents\GitHub\eaglep3-reporting\EC\2017-09-12-refined-times.txt</v>
      </c>
      <c r="AI213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{"issue":{"subject":"","project_id":79,"tracker_id":40,"status_id":1,"priority_id":2,"assigned_to_id":338,"start_date":"2017-09-12","description":"","custom_fields":[{"id":1,"name":"Subdivision","value":"Other"},{"id":4,"name":"Milepost","value":"0.0165"},{"id":17,"name":"Train ID","value":"308-12"},{"id":16,"name":"Locomotive ID","value":"4027"},{"id":130,"name":"Impact","value":""},{"id":150,"name":"Time of Event (Mountain Time)","value":"04:38:43"},{"id":151,"name":"Denver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38"/>
        <v>start /low /b %USERPROFILE%\Documents\GitHub\eaglep3\Utilities\DownloadLogsFromS3.py --loco 4027 --day 2017-09-12</v>
      </c>
      <c r="AN213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823</v>
      </c>
      <c r="B214" s="7">
        <v>4002</v>
      </c>
      <c r="C214" s="21" t="s">
        <v>197</v>
      </c>
      <c r="D214" s="21" t="s">
        <v>359</v>
      </c>
      <c r="E214" s="13">
        <v>42991.046643518515</v>
      </c>
      <c r="F214" s="13">
        <v>42991.048773148148</v>
      </c>
      <c r="G214" s="7">
        <v>57</v>
      </c>
      <c r="H214" s="21" t="s">
        <v>466</v>
      </c>
      <c r="I214" s="13">
        <v>42991.056134259263</v>
      </c>
      <c r="J214" s="7">
        <v>0</v>
      </c>
      <c r="K214" s="89" t="str">
        <f>IF(ISEVEN(B214),(B214-1)&amp;"/"&amp;B214,B214&amp;"/"&amp;(B214+1))</f>
        <v>4001/4002</v>
      </c>
      <c r="L214" s="214" t="str">
        <f>VLOOKUP(A214,'Trips&amp;Operators'!$C$1:$G$99911,5,FALSE)</f>
        <v>LOZA FIDEL</v>
      </c>
      <c r="M214" s="6">
        <f>I214-F214</f>
        <v>7.3611111147329211E-3</v>
      </c>
      <c r="N214" s="7">
        <f>24*60*SUM($M214:$M214)</f>
        <v>10.600000005215406</v>
      </c>
      <c r="O214" s="7"/>
      <c r="P214" s="7"/>
      <c r="Q214" s="22"/>
      <c r="R214" s="167"/>
      <c r="S214" s="210">
        <f>1/IF(AG214="EC",12,1)*SUM(U214:U214)</f>
        <v>1</v>
      </c>
      <c r="T214" s="192" t="str">
        <f>IF(ISEVEN(LEFT(AD214,4)),"Southbound","NorthBound")</f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-13T00:07:10-0600',mode:absolute,to:'2017-09-13T02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4" s="194" t="str">
        <f>IF(AA214&lt;VLOOKUP(AG214,Variables!$AC$3:$AD$8,2,FALSE),"Y","N")</f>
        <v>Y</v>
      </c>
      <c r="X214" s="194">
        <f>VALUE(LEFT(AD214,4))-VALUE(LEFT(AD213,4))</f>
        <v>1</v>
      </c>
      <c r="Y214" s="194">
        <f>RIGHT(D214,LEN(D214)-4)/10000</f>
        <v>4.58E-2</v>
      </c>
      <c r="Z214" s="194">
        <f>RIGHT(H214,LEN(H214)-4)/10000</f>
        <v>2.3304</v>
      </c>
      <c r="AA214" s="194">
        <f>ABS(Z214-Y214)</f>
        <v>2.2846000000000002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 &amp; aws s3 cp s3://rtdc.mdm.uploadarchive.raw/RTDC4002/ "%USERPROFILE%\AppData\Local\Temp\OnboardLogs"\RTDC4002\2017-09-14 --exclude "*" --recursive --include "*20170914*" &amp; "%USERPROFILE%\Documents\GitHub\mrs-test-scripts\Headless Mode &amp; Sideloading\WalkAndUnGZ.bat" "%USERPROFILE%\AppData\Local\Temp\OnboardLogs"\RTDC4002\2017-09-14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/stypes="app*4002*20170913*" /stext=" 07:.+((SYSTEM_STATE.+slice.+state.+changed )|(ment ac)|(multiple cpu faults)|(system.+state.+changed )|(\[timeout)|(PRM\|1\|D)|(kpr)|(kdp)|(train st.+moving)|(\|lc)|(penalty))"</v>
      </c>
      <c r="AG214" s="206" t="str">
        <f>DetSubdiv(A214)</f>
        <v>Other</v>
      </c>
      <c r="AH214" s="78" t="str">
        <f t="shared" si="36"/>
        <v>"%USERPROFILE%\Documents\GitHub\eaglep3\Utilities\RefineRTDCRunTimes.py" --tripid 309-12 --locoid 4002 --swversion DE.1.0.9.0 --startMP 204:458 --initTime 2017-09-13T01:07:10 --startdatetime 2017-09-13T01:10:14 --delay 57 --endMP 300:23304 --enddatetime 2017-09-13T01:20:50 --enforcementcount 0 &gt;&gt;C:\Users\stu\Documents\GitHub\eaglep3-reporting\EC\2017-09-12-refined-times.txt</v>
      </c>
      <c r="AI214" s="96" t="str">
        <f t="shared" si="37"/>
        <v>echo {"issue":{"subject":"","project_id":79,"tracker_id":40,"status_id":1,"priority_id":2,"assigned_to_id":338,"start_date":"2017-09-13","description":"","custom_fields":[{"id":1,"name":"Subdivision","value":"Other"},{"id":4,"name":"Milepost","value":"2.3304"},{"id":17,"name":"Train ID","value":"309-12"},{"id":16,"name":"Locomotive ID","value":"4002"},{"id":130,"name":"Impact","value":""},{"id":150,"name":"Time of Event (Mountain Time)","value":"01:20:50"},{"id":151,"name":"Denver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38"/>
        <v>start /low /b %USERPROFILE%\Documents\GitHub\eaglep3\Utilities\DownloadLogsFromS3.py --loco 4002 --day 2017-09-13</v>
      </c>
      <c r="AN214" s="151" t="str">
        <f t="shared" si="39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07:20:50"},{"id":29,"name":"Sharepoint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627</v>
      </c>
      <c r="B215" s="7">
        <v>4011</v>
      </c>
      <c r="C215" s="21" t="s">
        <v>197</v>
      </c>
      <c r="D215" s="21" t="s">
        <v>890</v>
      </c>
      <c r="E215" s="13">
        <v>42990.192303240743</v>
      </c>
      <c r="F215" s="13">
        <v>42990.194733796299</v>
      </c>
      <c r="G215" s="7">
        <v>69</v>
      </c>
      <c r="H215" s="21" t="s">
        <v>387</v>
      </c>
      <c r="I215" s="13">
        <v>42990.203055555554</v>
      </c>
      <c r="J215" s="7">
        <v>0</v>
      </c>
      <c r="K215" s="89" t="str">
        <f>IF(ISEVEN(B215),(B215-1)&amp;"/"&amp;B215,B215&amp;"/"&amp;(B215+1))</f>
        <v>4011/4012</v>
      </c>
      <c r="L215" s="214" t="str">
        <f>VLOOKUP(A215,'Trips&amp;Operators'!$C$1:$G$99911,5,FALSE)</f>
        <v>YANAI IAN</v>
      </c>
      <c r="M215" s="6">
        <f>I215-F215</f>
        <v>8.3217592546134256E-3</v>
      </c>
      <c r="N215" s="7">
        <f>24*60*SUM($M215:$M215)</f>
        <v>11.983333326643333</v>
      </c>
      <c r="O215" s="7"/>
      <c r="P215" s="7"/>
      <c r="Q215" s="22"/>
      <c r="R215" s="167"/>
      <c r="S215" s="210">
        <f>1/IF(AG215="EC",12,1)*SUM(U215:U215)</f>
        <v>1</v>
      </c>
      <c r="T215" s="192" t="str">
        <f>IF(ISEVEN(LEFT(AD215,4)),"Southbound","NorthBound")</f>
        <v>Southbound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-12T03:36:55-0600',mode:absolute,to:'2017-09-12T05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5" s="194" t="str">
        <f>IF(AA215&lt;VLOOKUP(AG215,Variables!$AC$3:$AD$8,2,FALSE),"Y","N")</f>
        <v>Y</v>
      </c>
      <c r="X215" s="194">
        <f>VALUE(LEFT(AD215,4))-VALUE(LEFT(AD214,4))</f>
        <v>1</v>
      </c>
      <c r="Y215" s="194">
        <f>RIGHT(D215,LEN(D215)-4)/10000</f>
        <v>2.3620000000000001</v>
      </c>
      <c r="Z215" s="194">
        <f>RIGHT(H215,LEN(H215)-4)/10000</f>
        <v>1.6E-2</v>
      </c>
      <c r="AA215" s="194">
        <f>ABS(Z215-Y215)</f>
        <v>2.3460000000000001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s3://rtdc.mdm.uploadarchive.raw/RTDC4011/ "%USERPROFILE%\AppData\Local\Temp\OnboardLogs"\RTDC4011\2017-09-12 --exclude "*" --recursive --include "*20170912*" &amp; "%USERPROFILE%\Documents\GitHub\mrs-test-scripts\Headless Mode &amp; Sideloading\WalkAndUnGZ.bat" "%USERPROFILE%\AppData\Local\Temp\OnboardLogs"\RTDC4011\2017-09-12 &amp; aws s3 cp s3://rtdc.mdm.uploadarchive.raw/RTDC4011/ "%USERPROFILE%\AppData\Local\Temp\OnboardLogs"\RTDC4011\2017-09-13 --exclude "*" --recursive --include "*20170913*" &amp; "%USERPROFILE%\Documents\GitHub\mrs-test-scripts\Headless Mode &amp; Sideloading\WalkAndUnGZ.bat" "%USERPROFILE%\AppData\Local\Temp\OnboardLogs"\RTDC4011\2017-09-13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/stypes="app*4011*20170912*" /stext=" 10:.+((SYSTEM_STATE.+slice.+state.+changed )|(ment ac)|(multiple cpu faults)|(system.+state.+changed )|(\[timeout)|(PRM\|1\|D)|(kpr)|(kdp)|(train st.+moving)|(\|lc)|(penalty))"</v>
      </c>
      <c r="AG215" s="206" t="str">
        <f>DetSubdiv(A215)</f>
        <v>Other</v>
      </c>
      <c r="AH215" s="78" t="str">
        <f t="shared" si="36"/>
        <v>"%USERPROFILE%\Documents\GitHub\eaglep3\Utilities\RefineRTDCRunTimes.py" --tripid 310-12 --locoid 4011 --swversion DE.1.0.9.0 --startMP 300:23620 --initTime 2017-09-12T04:36:55 --startdatetime 2017-09-12T04:40:25 --delay 69 --endMP 204:160 --enddatetime 2017-09-12T04:52:24 --enforcementcount 0 &gt;&gt;C:\Users\stu\Documents\GitHub\eaglep3-reporting\EC\2017-09-12-refined-times.txt</v>
      </c>
      <c r="AI215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{"issue":{"subject":"","project_id":79,"tracker_id":40,"status_id":1,"priority_id":2,"assigned_to_id":338,"start_date":"2017-09-12","description":"","custom_fields":[{"id":1,"name":"Subdivision","value":"Other"},{"id":4,"name":"Milepost","value":"0.016"},{"id":17,"name":"Train ID","value":"310-12"},{"id":16,"name":"Locomotive ID","value":"4011"},{"id":130,"name":"Impact","value":""},{"id":150,"name":"Time of Event (Mountain Time)","value":"04:52:24"},{"id":151,"name":"Denver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38"/>
        <v>start /low /b %USERPROFILE%\Documents\GitHub\eaglep3\Utilities\DownloadLogsFromS3.py --loco 4011 --day 2017-09-12</v>
      </c>
      <c r="AN215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10:52:24"},{"id":29,"name":"Sharepoint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825</v>
      </c>
      <c r="B216" s="7">
        <v>4058</v>
      </c>
      <c r="C216" s="21" t="s">
        <v>197</v>
      </c>
      <c r="D216" s="21" t="s">
        <v>846</v>
      </c>
      <c r="E216" s="13">
        <v>42991.067442129628</v>
      </c>
      <c r="F216" s="13">
        <v>42991.068969907406</v>
      </c>
      <c r="G216" s="7">
        <v>55</v>
      </c>
      <c r="H216" s="21" t="s">
        <v>553</v>
      </c>
      <c r="I216" s="13">
        <v>42991.077974537038</v>
      </c>
      <c r="J216" s="7">
        <v>0</v>
      </c>
      <c r="K216" s="89" t="str">
        <f>IF(ISEVEN(B216),(B216-1)&amp;"/"&amp;B216,B216&amp;"/"&amp;(B216+1))</f>
        <v>4057/4058</v>
      </c>
      <c r="L216" s="214" t="str">
        <f>VLOOKUP(A216,'Trips&amp;Operators'!$C$1:$G$99911,5,FALSE)</f>
        <v>PERKINS DARREN</v>
      </c>
      <c r="M216" s="6">
        <f>I216-F216</f>
        <v>9.0046296318178065E-3</v>
      </c>
      <c r="N216" s="7">
        <f>24*60*SUM($M216:$M216)</f>
        <v>12.966666669817641</v>
      </c>
      <c r="O216" s="7"/>
      <c r="P216" s="7"/>
      <c r="Q216" s="22"/>
      <c r="R216" s="167"/>
      <c r="S216" s="210">
        <f>1/IF(AG216="EC",12,1)*SUM(U216:U216)</f>
        <v>1</v>
      </c>
      <c r="T216" s="192" t="str">
        <f>IF(ISEVEN(LEFT(AD216,4)),"Southbound","NorthBound")</f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-13T00:37:07-0600',mode:absolute,to:'2017-09-13T02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6" s="194" t="str">
        <f>IF(AA216&lt;VLOOKUP(AG216,Variables!$AC$3:$AD$8,2,FALSE),"Y","N")</f>
        <v>Y</v>
      </c>
      <c r="X216" s="194">
        <f>VALUE(LEFT(AD216,4))-VALUE(LEFT(AD215,4))</f>
        <v>1</v>
      </c>
      <c r="Y216" s="194">
        <f>RIGHT(D216,LEN(D216)-4)/10000</f>
        <v>4.24E-2</v>
      </c>
      <c r="Z216" s="194">
        <f>RIGHT(H216,LEN(H216)-4)/10000</f>
        <v>2.3302</v>
      </c>
      <c r="AA216" s="194">
        <f>ABS(Z216-Y216)</f>
        <v>2.2877999999999998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 &amp; aws s3 cp s3://rtdc.mdm.uploadarchive.raw/RTDC4058/ "%USERPROFILE%\AppData\Local\Temp\OnboardLogs"\RTDC4058\2017-09-14 --exclude "*" --recursive --include "*20170914*" &amp; "%USERPROFILE%\Documents\GitHub\mrs-test-scripts\Headless Mode &amp; Sideloading\WalkAndUnGZ.bat" "%USERPROFILE%\AppData\Local\Temp\OnboardLogs"\RTDC4058\2017-09-14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/stypes="app*4058*20170913*" /stext=" 07:.+((SYSTEM_STATE.+slice.+state.+changed )|(ment ac)|(multiple cpu faults)|(system.+state.+changed )|(\[timeout)|(PRM\|1\|D)|(kpr)|(kdp)|(train st.+moving)|(\|lc)|(penalty))"</v>
      </c>
      <c r="AG216" s="206" t="str">
        <f>DetSubdiv(A216)</f>
        <v>Other</v>
      </c>
      <c r="AH216" s="78" t="str">
        <f t="shared" si="36"/>
        <v>"%USERPROFILE%\Documents\GitHub\eaglep3\Utilities\RefineRTDCRunTimes.py" --tripid 311-12 --locoid 4058 --swversion DE.1.0.9.0 --startMP 204:424 --initTime 2017-09-13T01:37:07 --startdatetime 2017-09-13T01:39:19 --delay 55 --endMP 300:23302 --enddatetime 2017-09-13T01:52:17 --enforcementcount 0 &gt;&gt;C:\Users\stu\Documents\GitHub\eaglep3-reporting\EC\2017-09-12-refined-times.txt</v>
      </c>
      <c r="AI216" s="96" t="str">
        <f t="shared" si="37"/>
        <v>echo {"issue":{"subject":"","project_id":79,"tracker_id":40,"status_id":1,"priority_id":2,"assigned_to_id":338,"start_date":"2017-09-13","description":"","custom_fields":[{"id":1,"name":"Subdivision","value":"Other"},{"id":4,"name":"Milepost","value":"2.3302"},{"id":17,"name":"Train ID","value":"311-12"},{"id":16,"name":"Locomotive ID","value":"4058"},{"id":130,"name":"Impact","value":""},{"id":150,"name":"Time of Event (Mountain Time)","value":"01:52:17"},{"id":151,"name":"Denver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38"/>
        <v>start /low /b %USERPROFILE%\Documents\GitHub\eaglep3\Utilities\DownloadLogsFromS3.py --loco 4058 --day 2017-09-13</v>
      </c>
      <c r="AN216" s="151" t="str">
        <f t="shared" si="39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07:52:17"},{"id":29,"name":"Sharepoint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637</v>
      </c>
      <c r="B217" s="7">
        <v>4033</v>
      </c>
      <c r="C217" s="21" t="s">
        <v>197</v>
      </c>
      <c r="D217" s="21" t="s">
        <v>891</v>
      </c>
      <c r="E217" s="13">
        <v>42990.219687500001</v>
      </c>
      <c r="F217" s="13">
        <v>42990.224224537036</v>
      </c>
      <c r="G217" s="7">
        <v>225</v>
      </c>
      <c r="H217" s="21" t="s">
        <v>360</v>
      </c>
      <c r="I217" s="13">
        <v>42990.232372685183</v>
      </c>
      <c r="J217" s="7">
        <v>0</v>
      </c>
      <c r="K217" s="89" t="str">
        <f>IF(ISEVEN(B217),(B217-1)&amp;"/"&amp;B217,B217&amp;"/"&amp;(B217+1))</f>
        <v>4033/4034</v>
      </c>
      <c r="L217" s="214" t="str">
        <f>VLOOKUP(A217,'Trips&amp;Operators'!$C$1:$G$99911,5,FALSE)</f>
        <v>MACDONALD THOMAS</v>
      </c>
      <c r="M217" s="6">
        <f>I217-F217</f>
        <v>8.1481481465743855E-3</v>
      </c>
      <c r="N217" s="7">
        <f>24*60*SUM($M217:$M217)</f>
        <v>11.733333331067115</v>
      </c>
      <c r="O217" s="7"/>
      <c r="P217" s="7"/>
      <c r="Q217" s="22"/>
      <c r="R217" s="167"/>
      <c r="S217" s="210">
        <f>1/IF(AG217="EC",12,1)*SUM(U217:U217)</f>
        <v>1</v>
      </c>
      <c r="T217" s="192" t="str">
        <f>IF(ISEVEN(LEFT(AD217,4)),"Southbound","NorthBound")</f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-12T04:16:21-0600',mode:absolute,to:'2017-09-12T06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7" s="194" t="str">
        <f>IF(AA217&lt;VLOOKUP(AG217,Variables!$AC$3:$AD$8,2,FALSE),"Y","N")</f>
        <v>Y</v>
      </c>
      <c r="X217" s="194">
        <f>VALUE(LEFT(AD217,4))-VALUE(LEFT(AD216,4))</f>
        <v>1</v>
      </c>
      <c r="Y217" s="194">
        <f>RIGHT(D217,LEN(D217)-4)/10000</f>
        <v>2.3721999999999999</v>
      </c>
      <c r="Z217" s="194">
        <f>RIGHT(H217,LEN(H217)-4)/10000</f>
        <v>1.52E-2</v>
      </c>
      <c r="AA217" s="194">
        <f>ABS(Z217-Y217)</f>
        <v>2.3569999999999998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/stypes="app*4033*20170912*" /stext=" 11:.+((SYSTEM_STATE.+slice.+state.+changed )|(ment ac)|(multiple cpu faults)|(system.+state.+changed )|(\[timeout)|(PRM\|1\|D)|(kpr)|(kdp)|(train st.+moving)|(\|lc)|(penalty))"</v>
      </c>
      <c r="AG217" s="206" t="str">
        <f>DetSubdiv(A217)</f>
        <v>Other</v>
      </c>
      <c r="AH217" s="78" t="str">
        <f t="shared" si="36"/>
        <v>"%USERPROFILE%\Documents\GitHub\eaglep3\Utilities\RefineRTDCRunTimes.py" --tripid 312-12 --locoid 4033 --swversion DE.1.0.9.0 --startMP 300:23722 --initTime 2017-09-12T05:16:21 --startdatetime 2017-09-12T05:22:53 --delay 225 --endMP 204:152 --enddatetime 2017-09-12T05:34:37 --enforcementcount 0 &gt;&gt;C:\Users\stu\Documents\GitHub\eaglep3-reporting\EC\2017-09-12-refined-times.txt</v>
      </c>
      <c r="AI217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{"issue":{"subject":"","project_id":79,"tracker_id":40,"status_id":1,"priority_id":2,"assigned_to_id":338,"start_date":"2017-09-12","description":"","custom_fields":[{"id":1,"name":"Subdivision","value":"Other"},{"id":4,"name":"Milepost","value":"0.0152"},{"id":17,"name":"Train ID","value":"312-12"},{"id":16,"name":"Locomotive ID","value":"4033"},{"id":130,"name":"Impact","value":""},{"id":150,"name":"Time of Event (Mountain Time)","value":"05:34:37"},{"id":151,"name":"Denver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38"/>
        <v>start /low /b %USERPROFILE%\Documents\GitHub\eaglep3\Utilities\DownloadLogsFromS3.py --loco 4033 --day 2017-09-12</v>
      </c>
      <c r="AN217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613</v>
      </c>
      <c r="B218" s="7">
        <v>4030</v>
      </c>
      <c r="C218" s="21" t="s">
        <v>197</v>
      </c>
      <c r="D218" s="21" t="s">
        <v>869</v>
      </c>
      <c r="E218" s="13">
        <v>42991.087060185186</v>
      </c>
      <c r="F218" s="13">
        <v>42991.088923611111</v>
      </c>
      <c r="G218" s="7">
        <v>48</v>
      </c>
      <c r="H218" s="21" t="s">
        <v>892</v>
      </c>
      <c r="I218" s="13">
        <v>42991.096967592595</v>
      </c>
      <c r="J218" s="7">
        <v>0</v>
      </c>
      <c r="K218" s="89" t="str">
        <f>IF(ISEVEN(B218),(B218-1)&amp;"/"&amp;B218,B218&amp;"/"&amp;(B218+1))</f>
        <v>4029/4030</v>
      </c>
      <c r="L218" s="214" t="str">
        <f>VLOOKUP(A218,'Trips&amp;Operators'!$C$1:$G$99911,5,FALSE)</f>
        <v>HART KEVIN</v>
      </c>
      <c r="M218" s="6">
        <f>I218-F218</f>
        <v>8.0439814846613444E-3</v>
      </c>
      <c r="N218" s="7">
        <f>24*60*SUM($M218:$M218)</f>
        <v>11.583333337912336</v>
      </c>
      <c r="O218" s="7"/>
      <c r="P218" s="7"/>
      <c r="Q218" s="22"/>
      <c r="R218" s="167"/>
      <c r="S218" s="210">
        <f>1/IF(AG218="EC",12,1)*SUM(U218:U218)</f>
        <v>1</v>
      </c>
      <c r="T218" s="192" t="str">
        <f>IF(ISEVEN(LEFT(AD218,4)),"Southbound","NorthBound")</f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-09-13T01:05:22-0600',mode:absolute,to:'2017-09-13T03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8" s="194" t="str">
        <f>IF(AA218&lt;VLOOKUP(AG218,Variables!$AC$3:$AD$8,2,FALSE),"Y","N")</f>
        <v>Y</v>
      </c>
      <c r="X218" s="194">
        <f>VALUE(LEFT(AD218,4))-VALUE(LEFT(AD217,4))</f>
        <v>1</v>
      </c>
      <c r="Y218" s="194">
        <f>RIGHT(D218,LEN(D218)-4)/10000</f>
        <v>4.7699999999999999E-2</v>
      </c>
      <c r="Z218" s="194">
        <f>RIGHT(H218,LEN(H218)-4)/10000</f>
        <v>2.3300999999999998</v>
      </c>
      <c r="AA218" s="194">
        <f>ABS(Z218-Y218)</f>
        <v>2.2824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 &amp; 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/stypes="app*4030*20170913*" /stext=" 08:.+((SYSTEM_STATE.+slice.+state.+changed )|(ment ac)|(multiple cpu faults)|(system.+state.+changed )|(\[timeout)|(PRM\|1\|D)|(kpr)|(kdp)|(train st.+moving)|(\|lc)|(penalty))"</v>
      </c>
      <c r="AG218" s="206" t="str">
        <f>DetSubdiv(A218)</f>
        <v>Other</v>
      </c>
      <c r="AH218" s="78" t="str">
        <f t="shared" si="36"/>
        <v>"%USERPROFILE%\Documents\GitHub\eaglep3\Utilities\RefineRTDCRunTimes.py" --tripid 313-12 --locoid 4030 --swversion DE.1.0.9.0 --startMP 204:477 --initTime 2017-09-13T02:05:22 --startdatetime 2017-09-13T02:08:03 --delay 48 --endMP 300:23301 --enddatetime 2017-09-13T02:19:38 --enforcementcount 0 &gt;&gt;C:\Users\stu\Documents\GitHub\eaglep3-reporting\EC\2017-09-12-refined-times.txt</v>
      </c>
      <c r="AI218" s="96" t="str">
        <f t="shared" si="37"/>
        <v>echo {"issue":{"subject":"","project_id":79,"tracker_id":40,"status_id":1,"priority_id":2,"assigned_to_id":338,"start_date":"2017-09-13","description":"","custom_fields":[{"id":1,"name":"Subdivision","value":"Other"},{"id":4,"name":"Milepost","value":"2.3301"},{"id":17,"name":"Train ID","value":"313-12"},{"id":16,"name":"Locomotive ID","value":"4030"},{"id":130,"name":"Impact","value":""},{"id":150,"name":"Time of Event (Mountain Time)","value":"02:19:38"},{"id":151,"name":"Denver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38"/>
        <v>start /low /b %USERPROFILE%\Documents\GitHub\eaglep3\Utilities\DownloadLogsFromS3.py --loco 4030 --day 2017-09-13</v>
      </c>
      <c r="AN218" s="151" t="str">
        <f t="shared" si="39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08:19:38"},{"id":29,"name":"Sharepoint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628</v>
      </c>
      <c r="B219" s="7">
        <v>4006</v>
      </c>
      <c r="C219" s="21" t="s">
        <v>197</v>
      </c>
      <c r="D219" s="21" t="s">
        <v>948</v>
      </c>
      <c r="E219" s="13">
        <v>42990.20140046296</v>
      </c>
      <c r="F219" s="13">
        <v>42990.205243055556</v>
      </c>
      <c r="G219" s="7">
        <v>49</v>
      </c>
      <c r="H219" s="21" t="s">
        <v>949</v>
      </c>
      <c r="I219" s="13">
        <v>42990.211388888885</v>
      </c>
      <c r="J219" s="7">
        <v>0</v>
      </c>
      <c r="K219" s="89" t="str">
        <f>IF(ISEVEN(B219),(B219-1)&amp;"/"&amp;B219,B219&amp;"/"&amp;(B219+1))</f>
        <v>4005/4006</v>
      </c>
      <c r="L219" s="214" t="str">
        <f>VLOOKUP(A219,'Trips&amp;Operators'!$C$1:$G$99911,5,FALSE)</f>
        <v>YANG JAN</v>
      </c>
      <c r="M219" s="6">
        <f>I219-F219</f>
        <v>6.1458333293558098E-3</v>
      </c>
      <c r="N219" s="7">
        <f>24*60*SUM($M219:$M219)</f>
        <v>8.8499999942723662</v>
      </c>
      <c r="O219" s="7"/>
      <c r="P219" s="7"/>
      <c r="Q219" s="22"/>
      <c r="R219" s="167"/>
      <c r="S219" s="210">
        <f>1/IF(AG219="EC",12,1)*SUM(U219:U219)</f>
        <v>0</v>
      </c>
      <c r="T219" s="192" t="str">
        <f>IF(ISEVEN(LEFT(AD219,4)),"Southbound","NorthBound")</f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-09-12T03:50:01-0600',mode:absolute,to:'2017-09-12T06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4" t="str">
        <f>IF(AA219&lt;VLOOKUP(AG219,Variables!$AC$3:$AD$8,2,FALSE),"Y","N")</f>
        <v>Y</v>
      </c>
      <c r="X219" s="194">
        <f>VALUE(LEFT(AD219,4))-VALUE(LEFT(AD218,4))</f>
        <v>588</v>
      </c>
      <c r="Y219" s="194">
        <f>RIGHT(D219,LEN(D219)-4)/10000</f>
        <v>3.0087000000000002</v>
      </c>
      <c r="Z219" s="194">
        <f>RIGHT(H219,LEN(H219)-4)/10000</f>
        <v>5.8945999999999996</v>
      </c>
      <c r="AA219" s="194">
        <f>ABS(Z219-Y219)</f>
        <v>2.8858999999999995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>VALUE(LEFT(A219,LEN(A219)-3))</f>
        <v>901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/stypes="app*4006*20170912*" /stext=" 11:.+((SYSTEM_STATE.+slice.+state.+changed )|(ment ac)|(multiple cpu faults)|(system.+state.+changed )|(\[timeout)|(PRM\|1\|D)|(kpr)|(kdp)|(train st.+moving)|(\|lc)|(penalty))"</v>
      </c>
      <c r="AG219" s="206" t="str">
        <f>DetSubdiv(A219)</f>
        <v>Other</v>
      </c>
      <c r="AH219" s="78" t="str">
        <f t="shared" si="36"/>
        <v>"%USERPROFILE%\Documents\GitHub\eaglep3\Utilities\RefineRTDCRunTimes.py" --tripid 901-12 --locoid 4006 --swversion DE.1.0.9.0 --startMP 300:30087 --initTime 2017-09-12T04:50:01 --startdatetime 2017-09-12T04:55:33 --delay 49 --endMP 300:58946 --enddatetime 2017-09-12T05:04:24 --enforcementcount 0 &gt;&gt;C:\Users\stu\Documents\GitHub\eaglep3-reporting\EC\2017-09-12-refined-times.txt</v>
      </c>
      <c r="AI219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{"issue":{"subject":"","project_id":79,"tracker_id":40,"status_id":1,"priority_id":2,"assigned_to_id":338,"start_date":"2017-09-12","description":"","custom_fields":[{"id":1,"name":"Subdivision","value":"Other"},{"id":4,"name":"Milepost","value":"5.8946"},{"id":17,"name":"Train ID","value":"901-12"},{"id":16,"name":"Locomotive ID","value":"4006"},{"id":130,"name":"Impact","value":""},{"id":150,"name":"Time of Event (Mountain Time)","value":"05:04:24"},{"id":151,"name":"Denver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38"/>
        <v>start /low /b %USERPROFILE%\Documents\GitHub\eaglep3\Utilities\DownloadLogsFromS3.py --loco 4006 --day 2017-09-12</v>
      </c>
      <c r="AN219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643</v>
      </c>
      <c r="B220" s="7">
        <v>4063</v>
      </c>
      <c r="C220" s="21" t="s">
        <v>197</v>
      </c>
      <c r="D220" s="21" t="s">
        <v>950</v>
      </c>
      <c r="E220" s="13">
        <v>42990.238009259258</v>
      </c>
      <c r="F220" s="13">
        <v>42990.240578703706</v>
      </c>
      <c r="G220" s="7">
        <v>72</v>
      </c>
      <c r="H220" s="21" t="s">
        <v>941</v>
      </c>
      <c r="I220" s="13">
        <v>42990.246319444443</v>
      </c>
      <c r="J220" s="7">
        <v>0</v>
      </c>
      <c r="K220" s="89" t="str">
        <f>IF(ISEVEN(B220),(B220-1)&amp;"/"&amp;B220,B220&amp;"/"&amp;(B220+1))</f>
        <v>4063/4064</v>
      </c>
      <c r="L220" s="214" t="str">
        <f>VLOOKUP(A220,'Trips&amp;Operators'!$C$1:$G$99911,5,FALSE)</f>
        <v>FORTUNATO FRANK</v>
      </c>
      <c r="M220" s="6">
        <f>I220-F220</f>
        <v>5.7407407366554253E-3</v>
      </c>
      <c r="N220" s="7">
        <f>24*60*SUM($M220:$M220)</f>
        <v>8.2666666607838124</v>
      </c>
      <c r="O220" s="7"/>
      <c r="P220" s="7"/>
      <c r="Q220" s="22"/>
      <c r="R220" s="167"/>
      <c r="S220" s="210">
        <f>1/IF(AG220="EC",12,1)*SUM(U220:U220)</f>
        <v>1</v>
      </c>
      <c r="T220" s="192" t="str">
        <f>IF(ISEVEN(LEFT(AD220,4)),"Southbound","NorthBound")</f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-09-12T04:42:44-0600',mode:absolute,to:'2017-09-12T06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0" s="194" t="str">
        <f>IF(AA220&lt;VLOOKUP(AG220,Variables!$AC$3:$AD$8,2,FALSE),"Y","N")</f>
        <v>Y</v>
      </c>
      <c r="X220" s="194">
        <f>VALUE(LEFT(AD220,4))-VALUE(LEFT(AD219,4))</f>
        <v>1</v>
      </c>
      <c r="Y220" s="194">
        <f>RIGHT(D220,LEN(D220)-4)/10000</f>
        <v>2.3447</v>
      </c>
      <c r="Z220" s="194">
        <f>RIGHT(H220,LEN(H220)-4)/10000</f>
        <v>6.8500000000000005E-2</v>
      </c>
      <c r="AA220" s="194">
        <f>ABS(Z220-Y220)</f>
        <v>2.2762000000000002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>VALUE(LEFT(A220,LEN(A220)-3))</f>
        <v>902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/stypes="app*4063*20170912*" /stext=" 11:.+((SYSTEM_STATE.+slice.+state.+changed )|(ment ac)|(multiple cpu faults)|(system.+state.+changed )|(\[timeout)|(PRM\|1\|D)|(kpr)|(kdp)|(train st.+moving)|(\|lc)|(penalty))"</v>
      </c>
      <c r="AG220" s="206" t="str">
        <f>DetSubdiv(A220)</f>
        <v>Other</v>
      </c>
      <c r="AH220" s="78" t="str">
        <f t="shared" si="36"/>
        <v>"%USERPROFILE%\Documents\GitHub\eaglep3\Utilities\RefineRTDCRunTimes.py" --tripid 902-12 --locoid 4063 --swversion DE.1.0.9.0 --startMP 300:23447 --initTime 2017-09-12T05:42:44 --startdatetime 2017-09-12T05:46:26 --delay 72 --endMP 204:685 --enddatetime 2017-09-12T05:54:42 --enforcementcount 0 &gt;&gt;C:\Users\stu\Documents\GitHub\eaglep3-reporting\EC\2017-09-12-refined-times.txt</v>
      </c>
      <c r="AI220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{"issue":{"subject":"","project_id":79,"tracker_id":40,"status_id":1,"priority_id":2,"assigned_to_id":338,"start_date":"2017-09-12","description":"","custom_fields":[{"id":1,"name":"Subdivision","value":"Other"},{"id":4,"name":"Milepost","value":"0.0685"},{"id":17,"name":"Train ID","value":"902-12"},{"id":16,"name":"Locomotive ID","value":"4063"},{"id":130,"name":"Impact","value":""},{"id":150,"name":"Time of Event (Mountain Time)","value":"05:54:42"},{"id":151,"name":"Denver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38"/>
        <v>start /low /b %USERPROFILE%\Documents\GitHub\eaglep3\Utilities\DownloadLogsFromS3.py --loco 4063 --day 2017-09-12</v>
      </c>
      <c r="AN220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11:54:42"},{"id":29,"name":"Sharepoint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673</v>
      </c>
      <c r="B221" s="7">
        <v>4006</v>
      </c>
      <c r="C221" s="21" t="s">
        <v>197</v>
      </c>
      <c r="D221" s="21" t="s">
        <v>921</v>
      </c>
      <c r="E221" s="13">
        <v>42990.35324074074</v>
      </c>
      <c r="F221" s="13">
        <v>42990.356412037036</v>
      </c>
      <c r="G221" s="7">
        <v>65</v>
      </c>
      <c r="H221" s="21" t="s">
        <v>951</v>
      </c>
      <c r="I221" s="13">
        <v>42990.36178240741</v>
      </c>
      <c r="J221" s="7">
        <v>0</v>
      </c>
      <c r="K221" s="89" t="str">
        <f>IF(ISEVEN(B221),(B221-1)&amp;"/"&amp;B221,B221&amp;"/"&amp;(B221+1))</f>
        <v>4005/4006</v>
      </c>
      <c r="L221" s="214" t="str">
        <f>VLOOKUP(A221,'Trips&amp;Operators'!$C$1:$G$99911,5,FALSE)</f>
        <v>YANG JAN</v>
      </c>
      <c r="M221" s="6">
        <f>I221-F221</f>
        <v>5.3703703742939979E-3</v>
      </c>
      <c r="N221" s="7">
        <f>24*60*SUM($M221:$M221)</f>
        <v>7.733333338983357</v>
      </c>
      <c r="O221" s="7"/>
      <c r="P221" s="7"/>
      <c r="Q221" s="22"/>
      <c r="R221" s="167"/>
      <c r="S221" s="210">
        <f>1/IF(AG221="EC",12,1)*SUM(U221:U221)</f>
        <v>1</v>
      </c>
      <c r="T221" s="192" t="str">
        <f>IF(ISEVEN(LEFT(AD221,4)),"Southbound","NorthBound")</f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-09-12T07:28:40-0600',mode:absolute,to:'2017-09-12T09:40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4" t="str">
        <f>IF(AA221&lt;VLOOKUP(AG221,Variables!$AC$3:$AD$8,2,FALSE),"Y","N")</f>
        <v>Y</v>
      </c>
      <c r="X221" s="194">
        <f>VALUE(LEFT(AD221,4))-VALUE(LEFT(AD220,4))</f>
        <v>1</v>
      </c>
      <c r="Y221" s="194">
        <f>RIGHT(D221,LEN(D221)-4)/10000</f>
        <v>9.6000000000000002E-2</v>
      </c>
      <c r="Z221" s="194">
        <f>RIGHT(H221,LEN(H221)-4)/10000</f>
        <v>2.4207000000000001</v>
      </c>
      <c r="AA221" s="194">
        <f>ABS(Z221-Y221)</f>
        <v>2.3247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>VALUE(LEFT(A221,LEN(A221)-3))</f>
        <v>903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s3://rtdc.mdm.uploadarchive.raw/RTDC4006/ "%USERPROFILE%\AppData\Local\Temp\OnboardLogs"\RTDC4006\2017-09-12 --exclude "*" --recursive --include "*20170912*" &amp; "%USERPROFILE%\Documents\GitHub\mrs-test-scripts\Headless Mode &amp; Sideloading\WalkAndUnGZ.bat" "%USERPROFILE%\AppData\Local\Temp\OnboardLogs"\RTDC4006\2017-09-12 &amp; aws s3 cp s3://rtdc.mdm.uploadarchive.raw/RTDC4006/ "%USERPROFILE%\AppData\Local\Temp\OnboardLogs"\RTDC4006\2017-09-13 --exclude "*" --recursive --include "*20170913*" &amp; "%USERPROFILE%\Documents\GitHub\mrs-test-scripts\Headless Mode &amp; Sideloading\WalkAndUnGZ.bat" "%USERPROFILE%\AppData\Local\Temp\OnboardLogs"\RTDC4006\2017-09-13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/stypes="app*4006*20170912*" /stext=" 14:.+((SYSTEM_STATE.+slice.+state.+changed )|(ment ac)|(multiple cpu faults)|(system.+state.+changed )|(\[timeout)|(PRM\|1\|D)|(kpr)|(kdp)|(train st.+moving)|(\|lc)|(penalty))"</v>
      </c>
      <c r="AG221" s="206" t="str">
        <f>DetSubdiv(A221)</f>
        <v>Other</v>
      </c>
      <c r="AH221" s="78" t="str">
        <f t="shared" si="36"/>
        <v>"%USERPROFILE%\Documents\GitHub\eaglep3\Utilities\RefineRTDCRunTimes.py" --tripid 903-12 --locoid 4006 --swversion DE.1.0.9.0 --startMP 204:960 --initTime 2017-09-12T08:28:40 --startdatetime 2017-09-12T08:33:14 --delay 65 --endMP 300:24207 --enddatetime 2017-09-12T08:40:58 --enforcementcount 0 &gt;&gt;C:\Users\stu\Documents\GitHub\eaglep3-reporting\EC\2017-09-12-refined-times.txt</v>
      </c>
      <c r="AI221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{"issue":{"subject":"","project_id":79,"tracker_id":40,"status_id":1,"priority_id":2,"assigned_to_id":338,"start_date":"2017-09-12","description":"","custom_fields":[{"id":1,"name":"Subdivision","value":"Other"},{"id":4,"name":"Milepost","value":"2.4207"},{"id":17,"name":"Train ID","value":"903-12"},{"id":16,"name":"Locomotive ID","value":"4006"},{"id":130,"name":"Impact","value":""},{"id":150,"name":"Time of Event (Mountain Time)","value":"08:40:58"},{"id":151,"name":"Denver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38"/>
        <v>start /low /b %USERPROFILE%\Documents\GitHub\eaglep3\Utilities\DownloadLogsFromS3.py --loco 4006 --day 2017-09-12</v>
      </c>
      <c r="AN221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14:40:58"},{"id":29,"name":"Sharepoint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741</v>
      </c>
      <c r="B222" s="7">
        <v>4005</v>
      </c>
      <c r="C222" s="21" t="s">
        <v>197</v>
      </c>
      <c r="D222" s="21" t="s">
        <v>952</v>
      </c>
      <c r="E222" s="13">
        <v>42990.635370370372</v>
      </c>
      <c r="F222" s="13">
        <v>42990.637476851851</v>
      </c>
      <c r="G222" s="7">
        <v>65</v>
      </c>
      <c r="H222" s="21" t="s">
        <v>931</v>
      </c>
      <c r="I222" s="13">
        <v>42990.64261574074</v>
      </c>
      <c r="J222" s="7">
        <v>0</v>
      </c>
      <c r="K222" s="89" t="str">
        <f>IF(ISEVEN(B222),(B222-1)&amp;"/"&amp;B222,B222&amp;"/"&amp;(B222+1))</f>
        <v>4005/4006</v>
      </c>
      <c r="L222" s="214" t="str">
        <f>VLOOKUP(A222,'Trips&amp;Operators'!$C$1:$G$99911,5,FALSE)</f>
        <v>STAMBAUGH JAMES</v>
      </c>
      <c r="M222" s="6">
        <f>I222-F222</f>
        <v>5.1388888896326534E-3</v>
      </c>
      <c r="N222" s="7">
        <f>24*60*SUM($M222:$M222)</f>
        <v>7.400000001071021</v>
      </c>
      <c r="O222" s="7"/>
      <c r="P222" s="7"/>
      <c r="Q222" s="22"/>
      <c r="R222" s="167"/>
      <c r="S222" s="210">
        <f>1/IF(AG222="EC",12,1)*SUM(U222:U222)</f>
        <v>1</v>
      </c>
      <c r="T222" s="192" t="str">
        <f>IF(ISEVEN(LEFT(AD222,4)),"Southbound","NorthBound")</f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-09-12T14:14:56-0600',mode:absolute,to:'2017-09-12T16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194" t="str">
        <f>IF(AA222&lt;VLOOKUP(AG222,Variables!$AC$3:$AD$8,2,FALSE),"Y","N")</f>
        <v>Y</v>
      </c>
      <c r="X222" s="194">
        <f>VALUE(LEFT(AD222,4))-VALUE(LEFT(AD221,4))</f>
        <v>1</v>
      </c>
      <c r="Y222" s="194">
        <f>RIGHT(D222,LEN(D222)-4)/10000</f>
        <v>2.5114000000000001</v>
      </c>
      <c r="Z222" s="194">
        <f>RIGHT(H222,LEN(H222)-4)/10000</f>
        <v>6.9900000000000004E-2</v>
      </c>
      <c r="AA222" s="194">
        <f>ABS(Z222-Y222)</f>
        <v>2.4415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>VALUE(LEFT(A222,LEN(A222)-3))</f>
        <v>904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/stypes="app*4005*20170912*" /stext=" 21:.+((SYSTEM_STATE.+slice.+state.+changed )|(ment ac)|(multiple cpu faults)|(system.+state.+changed )|(\[timeout)|(PRM\|1\|D)|(kpr)|(kdp)|(train st.+moving)|(\|lc)|(penalty))"</v>
      </c>
      <c r="AG222" s="206" t="str">
        <f>DetSubdiv(A222)</f>
        <v>Other</v>
      </c>
      <c r="AH222" s="78" t="str">
        <f t="shared" si="36"/>
        <v>"%USERPROFILE%\Documents\GitHub\eaglep3\Utilities\RefineRTDCRunTimes.py" --tripid 904-12 --locoid 4005 --swversion DE.1.0.9.0 --startMP 300:25114 --initTime 2017-09-12T15:14:56 --startdatetime 2017-09-12T15:17:58 --delay 65 --endMP 204:699 --enddatetime 2017-09-12T15:25:22 --enforcementcount 0 &gt;&gt;C:\Users\stu\Documents\GitHub\eaglep3-reporting\EC\2017-09-12-refined-times.txt</v>
      </c>
      <c r="AI222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{"issue":{"subject":"","project_id":79,"tracker_id":40,"status_id":1,"priority_id":2,"assigned_to_id":338,"start_date":"2017-09-12","description":"","custom_fields":[{"id":1,"name":"Subdivision","value":"Other"},{"id":4,"name":"Milepost","value":"0.0699"},{"id":17,"name":"Train ID","value":"904-12"},{"id":16,"name":"Locomotive ID","value":"4005"},{"id":130,"name":"Impact","value":""},{"id":150,"name":"Time of Event (Mountain Time)","value":"15:25:22"},{"id":151,"name":"Denver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38"/>
        <v>start /low /b %USERPROFILE%\Documents\GitHub\eaglep3\Utilities\DownloadLogsFromS3.py --loco 4005 --day 2017-09-12</v>
      </c>
      <c r="AN222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608</v>
      </c>
      <c r="B223" s="7">
        <v>4005</v>
      </c>
      <c r="C223" s="21" t="s">
        <v>197</v>
      </c>
      <c r="D223" s="21" t="s">
        <v>936</v>
      </c>
      <c r="E223" s="13">
        <v>42990.788252314815</v>
      </c>
      <c r="F223" s="13">
        <v>42990.789456018516</v>
      </c>
      <c r="G223" s="7">
        <v>53</v>
      </c>
      <c r="H223" s="21" t="s">
        <v>953</v>
      </c>
      <c r="I223" s="13">
        <v>42990.796331018515</v>
      </c>
      <c r="J223" s="7">
        <v>0</v>
      </c>
      <c r="K223" s="89" t="str">
        <f>IF(ISEVEN(B223),(B223-1)&amp;"/"&amp;B223,B223&amp;"/"&amp;(B223+1))</f>
        <v>4005/4006</v>
      </c>
      <c r="L223" s="214" t="str">
        <f>VLOOKUP(A223,'Trips&amp;Operators'!$C$1:$G$99911,5,FALSE)</f>
        <v>STAMBAUGH JAMES</v>
      </c>
      <c r="M223" s="6">
        <f>I223-F223</f>
        <v>6.8749999991268851E-3</v>
      </c>
      <c r="N223" s="7">
        <f>24*60*SUM($M223:$M223)</f>
        <v>9.8999999987427145</v>
      </c>
      <c r="O223" s="7"/>
      <c r="P223" s="7"/>
      <c r="Q223" s="22"/>
      <c r="R223" s="167"/>
      <c r="S223" s="210">
        <f>1/IF(AG223="EC",12,1)*SUM(U223:U223)</f>
        <v>0</v>
      </c>
      <c r="T223" s="192" t="str">
        <f>IF(ISEVEN(LEFT(AD223,4)),"Southbound","NorthBound")</f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-09-12T17:55:05-0600',mode:absolute,to:'2017-09-12T20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194" t="str">
        <f>IF(AA223&lt;VLOOKUP(AG223,Variables!$AC$3:$AD$8,2,FALSE),"Y","N")</f>
        <v>Y</v>
      </c>
      <c r="X223" s="194">
        <f>VALUE(LEFT(AD223,4))-VALUE(LEFT(AD222,4))</f>
        <v>2</v>
      </c>
      <c r="Y223" s="194">
        <f>RIGHT(D223,LEN(D223)-4)/10000</f>
        <v>5.8624000000000001</v>
      </c>
      <c r="Z223" s="194">
        <f>RIGHT(H223,LEN(H223)-4)/10000</f>
        <v>2.8793000000000002</v>
      </c>
      <c r="AA223" s="194">
        <f>ABS(Z223-Y223)</f>
        <v>2.9830999999999999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>VALUE(LEFT(A223,LEN(A223)-3))</f>
        <v>906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/stypes="app*4005*20170913*" /stext=" 01:.+((SYSTEM_STATE.+slice.+state.+changed )|(ment ac)|(multiple cpu faults)|(system.+state.+changed )|(\[timeout)|(PRM\|1\|D)|(kpr)|(kdp)|(train st.+moving)|(\|lc)|(penalty))"</v>
      </c>
      <c r="AG223" s="206" t="str">
        <f>DetSubdiv(A223)</f>
        <v>Other</v>
      </c>
      <c r="AH223" s="78" t="str">
        <f t="shared" si="36"/>
        <v>"%USERPROFILE%\Documents\GitHub\eaglep3\Utilities\RefineRTDCRunTimes.py" --tripid 906-12 --locoid 4005 --swversion DE.1.0.9.0 --startMP 300:58624 --initTime 2017-09-12T18:55:05 --startdatetime 2017-09-12T18:56:49 --delay 53 --endMP 300:28793 --enddatetime 2017-09-12T19:06:43 --enforcementcount 0 &gt;&gt;C:\Users\stu\Documents\GitHub\eaglep3-reporting\EC\2017-09-12-refined-times.txt</v>
      </c>
      <c r="AI223" s="96" t="str">
        <f t="shared" si="37"/>
        <v>echo {"issue":{"subject":"","project_id":79,"tracker_id":40,"status_id":1,"priority_id":2,"assigned_to_id":338,"start_date":"2017-09-12","description":"","custom_fields":[{"id":1,"name":"Subdivision","value":"Other"},{"id":4,"name":"Milepost","value":"2.8793"},{"id":17,"name":"Train ID","value":"906-12"},{"id":16,"name":"Locomotive ID","value":"4005"},{"id":130,"name":"Impact","value":""},{"id":150,"name":"Time of Event (Mountain Time)","value":"19:06:43"},{"id":151,"name":"Denver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38"/>
        <v>start /low /b %USERPROFILE%\Documents\GitHub\eaglep3\Utilities\DownloadLogsFromS3.py --loco 4005 --day 2017-09-12</v>
      </c>
      <c r="AN223" s="151" t="str">
        <f t="shared" si="39"/>
        <v>echo {"issue":{"subject":"","project_id":30,"tracker_id":4,"status_id":1,"priority_id":1,"assigned_to_id":10,"start_date":"2017-09-13","description":"","custom_fields":[{"id":30,"name":"Category","value":"Issue"},{"id":3,"name":"Functional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UTC","value":"2017-09-13 01:06:43"},{"id":29,"name":"Sharepoint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689</v>
      </c>
      <c r="B224" s="7">
        <v>4015</v>
      </c>
      <c r="C224" s="21" t="s">
        <v>197</v>
      </c>
      <c r="D224" s="21" t="s">
        <v>893</v>
      </c>
      <c r="E224" s="13">
        <v>42990.446550925924</v>
      </c>
      <c r="F224" s="13">
        <v>42990.45207175926</v>
      </c>
      <c r="G224" s="7">
        <v>155</v>
      </c>
      <c r="H224" s="21" t="s">
        <v>894</v>
      </c>
      <c r="I224" s="13">
        <v>42990.45784722222</v>
      </c>
      <c r="J224" s="7">
        <v>0</v>
      </c>
      <c r="K224" s="89" t="str">
        <f>IF(ISEVEN(B224),(B224-1)&amp;"/"&amp;B224,B224&amp;"/"&amp;(B224+1))</f>
        <v>4015/4016</v>
      </c>
      <c r="L224" s="214" t="str">
        <f>VLOOKUP(A224,'Trips&amp;Operators'!$C$1:$G$99911,5,FALSE)</f>
        <v>DE LA ROSA ALEX</v>
      </c>
      <c r="M224" s="6">
        <f>I224-F224</f>
        <v>5.7754629597184248E-3</v>
      </c>
      <c r="N224" s="7">
        <f>24*60*SUM($M224:$M224)</f>
        <v>8.3166666619945318</v>
      </c>
      <c r="O224" s="7"/>
      <c r="P224" s="7"/>
      <c r="Q224" s="22"/>
      <c r="R224" s="167"/>
      <c r="S224" s="210">
        <f>1/IF(AG224="EC",12,1)*SUM(U224:U224)</f>
        <v>1</v>
      </c>
      <c r="T224" s="192" t="str">
        <f>IF(ISEVEN(LEFT(AD224,4)),"Southbound","NorthBound")</f>
        <v>Southbound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-09-12T09:43:02-0600',mode:absolute,to:'2017-09-12T11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4" s="194" t="str">
        <f>IF(AA224&lt;VLOOKUP(AG224,Variables!$AC$3:$AD$8,2,FALSE),"Y","N")</f>
        <v>Y</v>
      </c>
      <c r="X224" s="194">
        <f>VALUE(LEFT(AD224,4))-VALUE(LEFT(AD223,4))</f>
        <v>-856</v>
      </c>
      <c r="Y224" s="194">
        <f>RIGHT(D224,LEN(D224)-4)/10000</f>
        <v>2.2927</v>
      </c>
      <c r="Z224" s="194">
        <f>RIGHT(H224,LEN(H224)-4)/10000</f>
        <v>1.35E-2</v>
      </c>
      <c r="AA224" s="194">
        <f>ABS(Z224-Y224)</f>
        <v>2.2791999999999999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>VALUE(LEFT(A224,LEN(A224)-3))</f>
        <v>50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s3://rtdc.mdm.uploadarchive.raw/RTDC4015/ "%USERPROFILE%\AppData\Local\Temp\OnboardLogs"\RTDC4015\2017-09-12 --exclude "*" --recursive --include "*20170912*" &amp; "%USERPROFILE%\Documents\GitHub\mrs-test-scripts\Headless Mode &amp; Sideloading\WalkAndUnGZ.bat" "%USERPROFILE%\AppData\Local\Temp\OnboardLogs"\RTDC4015\2017-09-12 &amp; aws s3 cp s3://rtdc.mdm.uploadarchive.raw/RTDC4015/ "%USERPROFILE%\AppData\Local\Temp\OnboardLogs"\RTDC4015\2017-09-13 --exclude "*" --recursive --include "*20170913*" &amp; "%USERPROFILE%\Documents\GitHub\mrs-test-scripts\Headless Mode &amp; Sideloading\WalkAndUnGZ.bat" "%USERPROFILE%\AppData\Local\Temp\OnboardLogs"\RTDC4015\2017-09-13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/stypes="app*4015*20170912*" /stext=" 16:.+((SYSTEM_STATE.+slice.+state.+changed )|(ment ac)|(multiple cpu faults)|(system.+state.+changed )|(\[timeout)|(PRM\|1\|D)|(kpr)|(kdp)|(train st.+moving)|(\|lc)|(penalty))"</v>
      </c>
      <c r="AG224" s="206" t="str">
        <f>DetSubdiv(A224)</f>
        <v>Shuttle/Test</v>
      </c>
      <c r="AH224" s="78" t="str">
        <f t="shared" si="36"/>
        <v>"%USERPROFILE%\Documents\GitHub\eaglep3\Utilities\RefineRTDCRunTimes.py" --tripid 50-12 --locoid 4015 --swversion DE.1.0.9.0 --startMP 300:22927 --initTime 2017-09-12T10:43:02 --startdatetime 2017-09-12T10:50:59 --delay 155 --endMP 204:135 --enddatetime 2017-09-12T10:59:18 --enforcementcount 0 &gt;&gt;C:\Users\stu\Documents\GitHub\eaglep3-reporting\EC\2017-09-12-refined-times.txt</v>
      </c>
      <c r="AI224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0.0135"},{"id":17,"name":"Train ID","value":"50-12"},{"id":16,"name":"Locomotive ID","value":"4015"},{"id":130,"name":"Impact","value":""},{"id":150,"name":"Time of Event (Mountain Time)","value":"10:59:18"},{"id":151,"name":"Denver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38"/>
        <v>start /low /b %USERPROFILE%\Documents\GitHub\eaglep3\Utilities\DownloadLogsFromS3.py --loco 4015 --day 2017-09-12</v>
      </c>
      <c r="AN224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16:59:18"},{"id":29,"name":"Sharepoint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596</v>
      </c>
      <c r="B225" s="7">
        <v>4065</v>
      </c>
      <c r="C225" s="21" t="s">
        <v>197</v>
      </c>
      <c r="D225" s="21" t="s">
        <v>895</v>
      </c>
      <c r="E225" s="13">
        <v>42990.510960648149</v>
      </c>
      <c r="F225" s="13">
        <v>42990.515462962961</v>
      </c>
      <c r="G225" s="7">
        <v>64</v>
      </c>
      <c r="H225" s="21" t="s">
        <v>896</v>
      </c>
      <c r="I225" s="13">
        <v>42990.520428240743</v>
      </c>
      <c r="J225" s="7">
        <v>0</v>
      </c>
      <c r="K225" s="89" t="str">
        <f>IF(ISEVEN(B225),(B225-1)&amp;"/"&amp;B225,B225&amp;"/"&amp;(B225+1))</f>
        <v>4065/4066</v>
      </c>
      <c r="L225" s="214" t="str">
        <f>VLOOKUP(A225,'Trips&amp;Operators'!$C$1:$G$99911,5,FALSE)</f>
        <v>NEWELL JAMES</v>
      </c>
      <c r="M225" s="6">
        <f>I225-F225</f>
        <v>4.9652777815936133E-3</v>
      </c>
      <c r="N225" s="7">
        <f>24*60*SUM($M225:$M225)</f>
        <v>7.1500000054948032</v>
      </c>
      <c r="O225" s="7"/>
      <c r="P225" s="7"/>
      <c r="Q225" s="22"/>
      <c r="R225" s="167"/>
      <c r="S225" s="210">
        <f>1/IF(AG225="EC",12,1)*SUM(U225:U225)</f>
        <v>1</v>
      </c>
      <c r="T225" s="192" t="str">
        <f>IF(ISEVEN(LEFT(AD225,4)),"Southbound","NorthBound")</f>
        <v>Southbound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-09-12T11:15:47-0600',mode:absolute,to:'2017-09-12T13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5" s="194" t="str">
        <f>IF(AA225&lt;VLOOKUP(AG225,Variables!$AC$3:$AD$8,2,FALSE),"Y","N")</f>
        <v>Y</v>
      </c>
      <c r="X225" s="194">
        <f>VALUE(LEFT(AD225,4))-VALUE(LEFT(AD224,4))</f>
        <v>2</v>
      </c>
      <c r="Y225" s="194">
        <f>RIGHT(D225,LEN(D225)-4)/10000</f>
        <v>2.2202000000000002</v>
      </c>
      <c r="Z225" s="194">
        <f>RIGHT(H225,LEN(H225)-4)/10000</f>
        <v>0.1147</v>
      </c>
      <c r="AA225" s="194">
        <f>ABS(Z225-Y225)</f>
        <v>2.1055000000000001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>VALUE(LEFT(A225,LEN(A225)-3))</f>
        <v>52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/stypes="app*4065*20170912*" /stext=" 18:.+((SYSTEM_STATE.+slice.+state.+changed )|(ment ac)|(multiple cpu faults)|(system.+state.+changed )|(\[timeout)|(PRM\|1\|D)|(kpr)|(kdp)|(train st.+moving)|(\|lc)|(penalty))"</v>
      </c>
      <c r="AG225" s="206" t="str">
        <f>DetSubdiv(A225)</f>
        <v>Shuttle/Test</v>
      </c>
      <c r="AH225" s="78" t="str">
        <f t="shared" si="36"/>
        <v>"%USERPROFILE%\Documents\GitHub\eaglep3\Utilities\RefineRTDCRunTimes.py" --tripid 52-12 --locoid 4065 --swversion DE.1.0.9.0 --startMP 300:22202 --initTime 2017-09-12T12:15:47 --startdatetime 2017-09-12T12:22:16 --delay 64 --endMP 204:1147 --enddatetime 2017-09-12T12:29:25 --enforcementcount 0 &gt;&gt;C:\Users\stu\Documents\GitHub\eaglep3-reporting\EC\2017-09-12-refined-times.txt</v>
      </c>
      <c r="AI225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0.1147"},{"id":17,"name":"Train ID","value":"52-12"},{"id":16,"name":"Locomotive ID","value":"4065"},{"id":130,"name":"Impact","value":""},{"id":150,"name":"Time of Event (Mountain Time)","value":"12:29:25"},{"id":151,"name":"Denver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38"/>
        <v>start /low /b %USERPROFILE%\Documents\GitHub\eaglep3\Utilities\DownloadLogsFromS3.py --loco 4065 --day 2017-09-12</v>
      </c>
      <c r="AN225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18:29:25"},{"id":29,"name":"Sharepoint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774</v>
      </c>
      <c r="B226" s="7">
        <v>4053</v>
      </c>
      <c r="C226" s="21" t="s">
        <v>197</v>
      </c>
      <c r="D226" s="21" t="s">
        <v>572</v>
      </c>
      <c r="E226" s="13">
        <v>42990.739201388889</v>
      </c>
      <c r="F226" s="13">
        <v>42990.743425925924</v>
      </c>
      <c r="G226" s="7">
        <v>95</v>
      </c>
      <c r="H226" s="21" t="s">
        <v>897</v>
      </c>
      <c r="I226" s="13">
        <v>42990.748136574075</v>
      </c>
      <c r="J226" s="7">
        <v>0</v>
      </c>
      <c r="K226" s="89" t="str">
        <f>IF(ISEVEN(B226),(B226-1)&amp;"/"&amp;B226,B226&amp;"/"&amp;(B226+1))</f>
        <v>4053/4054</v>
      </c>
      <c r="L226" s="214" t="str">
        <f>VLOOKUP(A226,'Trips&amp;Operators'!$C$1:$G$99911,5,FALSE)</f>
        <v>RESPASS AARON</v>
      </c>
      <c r="M226" s="6">
        <f>I226-F226</f>
        <v>4.7106481506489217E-3</v>
      </c>
      <c r="N226" s="7">
        <f>24*60*SUM($M226:$M226)</f>
        <v>6.7833333369344473</v>
      </c>
      <c r="O226" s="7"/>
      <c r="P226" s="7"/>
      <c r="Q226" s="22"/>
      <c r="R226" s="167"/>
      <c r="S226" s="210">
        <f>1/IF(AG226="EC",12,1)*SUM(U226:U226)</f>
        <v>1</v>
      </c>
      <c r="T226" s="192" t="str">
        <f>IF(ISEVEN(LEFT(AD226,4)),"Southbound","NorthBound")</f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-09-12T16:44:27-0600',mode:absolute,to:'2017-09-12T18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6" s="194" t="str">
        <f>IF(AA226&lt;VLOOKUP(AG226,Variables!$AC$3:$AD$8,2,FALSE),"Y","N")</f>
        <v>Y</v>
      </c>
      <c r="X226" s="194">
        <f>VALUE(LEFT(AD226,4))-VALUE(LEFT(AD225,4))</f>
        <v>2</v>
      </c>
      <c r="Y226" s="194">
        <f>RIGHT(D226,LEN(D226)-4)/10000</f>
        <v>2.3599000000000001</v>
      </c>
      <c r="Z226" s="194">
        <f>RIGHT(H226,LEN(H226)-4)/10000</f>
        <v>0.115</v>
      </c>
      <c r="AA226" s="194">
        <f>ABS(Z226-Y226)</f>
        <v>2.2448999999999999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>VALUE(LEFT(A226,LEN(A226)-3))</f>
        <v>54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s3://rtdc.mdm.uploadarchive.raw/RTDC4053/ "%USERPROFILE%\AppData\Local\Temp\OnboardLogs"\RTDC4053\2017-09-12 --exclude "*" --recursive --include "*20170912*" &amp; "%USERPROFILE%\Documents\GitHub\mrs-test-scripts\Headless Mode &amp; Sideloading\WalkAndUnGZ.bat" "%USERPROFILE%\AppData\Local\Temp\OnboardLogs"\RTDC4053\2017-09-12 &amp; aws s3 cp s3://rtdc.mdm.uploadarchive.raw/RTDC4053/ "%USERPROFILE%\AppData\Local\Temp\OnboardLogs"\RTDC4053\2017-09-13 --exclude "*" --recursive --include "*20170913*" &amp; "%USERPROFILE%\Documents\GitHub\mrs-test-scripts\Headless Mode &amp; Sideloading\WalkAndUnGZ.bat" "%USERPROFILE%\AppData\Local\Temp\OnboardLogs"\RTDC4053\2017-09-13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/stypes="app*4053*20170912*" /stext=" 23:.+((SYSTEM_STATE.+slice.+state.+changed )|(ment ac)|(multiple cpu faults)|(system.+state.+changed )|(\[timeout)|(PRM\|1\|D)|(kpr)|(kdp)|(train st.+moving)|(\|lc)|(penalty))"</v>
      </c>
      <c r="AG226" s="206" t="str">
        <f>DetSubdiv(A226)</f>
        <v>Shuttle/Test</v>
      </c>
      <c r="AH226" s="78" t="str">
        <f t="shared" si="36"/>
        <v>"%USERPROFILE%\Documents\GitHub\eaglep3\Utilities\RefineRTDCRunTimes.py" --tripid 54-12 --locoid 4053 --swversion DE.1.0.9.0 --startMP 300:23599 --initTime 2017-09-12T17:44:27 --startdatetime 2017-09-12T17:50:32 --delay 95 --endMP 204:1150 --enddatetime 2017-09-12T17:57:19 --enforcementcount 0 &gt;&gt;C:\Users\stu\Documents\GitHub\eaglep3-reporting\EC\2017-09-12-refined-times.txt</v>
      </c>
      <c r="AI226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0.115"},{"id":17,"name":"Train ID","value":"54-12"},{"id":16,"name":"Locomotive ID","value":"4053"},{"id":130,"name":"Impact","value":""},{"id":150,"name":"Time of Event (Mountain Time)","value":"17:57:19"},{"id":151,"name":"Denver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38"/>
        <v>start /low /b %USERPROFILE%\Documents\GitHub\eaglep3\Utilities\DownloadLogsFromS3.py --loco 4053 --day 2017-09-12</v>
      </c>
      <c r="AN226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23:57:19"},{"id":29,"name":"Sharepoint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705</v>
      </c>
      <c r="B227" s="7">
        <v>4016</v>
      </c>
      <c r="C227" s="21" t="s">
        <v>197</v>
      </c>
      <c r="D227" s="21" t="s">
        <v>450</v>
      </c>
      <c r="E227" s="13">
        <v>42990.478472222225</v>
      </c>
      <c r="F227" s="13">
        <v>42990.481678240743</v>
      </c>
      <c r="G227" s="7">
        <v>147</v>
      </c>
      <c r="H227" s="21" t="s">
        <v>898</v>
      </c>
      <c r="I227" s="13">
        <v>42990.488310185188</v>
      </c>
      <c r="J227" s="7">
        <v>0</v>
      </c>
      <c r="K227" s="89" t="str">
        <f>IF(ISEVEN(B227),(B227-1)&amp;"/"&amp;B227,B227&amp;"/"&amp;(B227+1))</f>
        <v>4015/4016</v>
      </c>
      <c r="L227" s="214" t="str">
        <f>VLOOKUP(A227,'Trips&amp;Operators'!$C$1:$G$99911,5,FALSE)</f>
        <v>ROMERO CHAD</v>
      </c>
      <c r="M227" s="6">
        <f>I227-F227</f>
        <v>6.6319444449618459E-3</v>
      </c>
      <c r="N227" s="7">
        <f>24*60*SUM($M227:$M227)</f>
        <v>9.5500000007450581</v>
      </c>
      <c r="O227" s="7"/>
      <c r="P227" s="7"/>
      <c r="Q227" s="22"/>
      <c r="R227" s="167"/>
      <c r="S227" s="210">
        <f>1/IF(AG227="EC",12,1)*SUM(U227:U227)</f>
        <v>1</v>
      </c>
      <c r="T227" s="192" t="str">
        <f>IF(ISEVEN(LEFT(AD227,4)),"Southbound","NorthBound")</f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-09-12T10:29:00-0600',mode:absolute,to:'2017-09-12T12:43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7" s="194" t="str">
        <f>IF(AA227&lt;VLOOKUP(AG227,Variables!$AC$3:$AD$8,2,FALSE),"Y","N")</f>
        <v>Y</v>
      </c>
      <c r="X227" s="194">
        <f>VALUE(LEFT(AD227,4))-VALUE(LEFT(AD226,4))</f>
        <v>3</v>
      </c>
      <c r="Y227" s="194">
        <f>RIGHT(D227,LEN(D227)-4)/10000</f>
        <v>4.4400000000000002E-2</v>
      </c>
      <c r="Z227" s="194">
        <f>RIGHT(H227,LEN(H227)-4)/10000</f>
        <v>2.4232999999999998</v>
      </c>
      <c r="AA227" s="194">
        <f>ABS(Z227-Y227)</f>
        <v>2.3788999999999998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>VALUE(LEFT(A227,LEN(A227)-3))</f>
        <v>57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s3://rtdc.mdm.uploadarchive.raw/RTDC4016/ "%USERPROFILE%\AppData\Local\Temp\OnboardLogs"\RTDC4016\2017-09-12 --exclude "*" --recursive --include "*20170912*" &amp; "%USERPROFILE%\Documents\GitHub\mrs-test-scripts\Headless Mode &amp; Sideloading\WalkAndUnGZ.bat" "%USERPROFILE%\AppData\Local\Temp\OnboardLogs"\RTDC4016\2017-09-12 &amp; aws s3 cp s3://rtdc.mdm.uploadarchive.raw/RTDC4016/ "%USERPROFILE%\AppData\Local\Temp\OnboardLogs"\RTDC4016\2017-09-13 --exclude "*" --recursive --include "*20170913*" &amp; "%USERPROFILE%\Documents\GitHub\mrs-test-scripts\Headless Mode &amp; Sideloading\WalkAndUnGZ.bat" "%USERPROFILE%\AppData\Local\Temp\OnboardLogs"\RTDC4016\2017-09-13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/stypes="app*4016*20170912*" /stext=" 17:.+((SYSTEM_STATE.+slice.+state.+changed )|(ment ac)|(multiple cpu faults)|(system.+state.+changed )|(\[timeout)|(PRM\|1\|D)|(kpr)|(kdp)|(train st.+moving)|(\|lc)|(penalty))"</v>
      </c>
      <c r="AG227" s="206" t="str">
        <f>DetSubdiv(A227)</f>
        <v>Shuttle/Test</v>
      </c>
      <c r="AH227" s="78" t="str">
        <f t="shared" si="36"/>
        <v>"%USERPROFILE%\Documents\GitHub\eaglep3\Utilities\RefineRTDCRunTimes.py" --tripid 57-12 --locoid 4016 --swversion DE.1.0.9.0 --startMP 204:444 --initTime 2017-09-12T11:29:00 --startdatetime 2017-09-12T11:33:37 --delay 147 --endMP 300:24233 --enddatetime 2017-09-12T11:43:10 --enforcementcount 0 &gt;&gt;C:\Users\stu\Documents\GitHub\eaglep3-reporting\EC\2017-09-12-refined-times.txt</v>
      </c>
      <c r="AI227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2.4233"},{"id":17,"name":"Train ID","value":"57-12"},{"id":16,"name":"Locomotive ID","value":"4016"},{"id":130,"name":"Impact","value":""},{"id":150,"name":"Time of Event (Mountain Time)","value":"11:43:10"},{"id":151,"name":"Denver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38"/>
        <v>start /low /b %USERPROFILE%\Documents\GitHub\eaglep3\Utilities\DownloadLogsFromS3.py --loco 4016 --day 2017-09-12</v>
      </c>
      <c r="AN227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17:43:10"},{"id":29,"name":"Sharepoint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696</v>
      </c>
      <c r="B228" s="7">
        <v>4030</v>
      </c>
      <c r="C228" s="21" t="s">
        <v>197</v>
      </c>
      <c r="D228" s="21" t="s">
        <v>899</v>
      </c>
      <c r="E228" s="13">
        <v>42990.464525462965</v>
      </c>
      <c r="F228" s="13">
        <v>42990.473715277774</v>
      </c>
      <c r="G228" s="7">
        <v>80</v>
      </c>
      <c r="H228" s="21" t="s">
        <v>900</v>
      </c>
      <c r="I228" s="13">
        <v>42990.474895833337</v>
      </c>
      <c r="J228" s="7">
        <v>0</v>
      </c>
      <c r="K228" s="89" t="str">
        <f>IF(ISEVEN(B228),(B228-1)&amp;"/"&amp;B228,B228&amp;"/"&amp;(B228+1))</f>
        <v>4029/4030</v>
      </c>
      <c r="L228" s="214" t="str">
        <f>VLOOKUP(A228,'Trips&amp;Operators'!$C$1:$G$99911,5,FALSE)</f>
        <v>NEWELL JAMES</v>
      </c>
      <c r="M228" s="6">
        <f>I228-F228</f>
        <v>1.1805555623141117E-3</v>
      </c>
      <c r="N228" s="7">
        <f>24*60*SUM($M228:$M228)</f>
        <v>1.7000000097323209</v>
      </c>
      <c r="O228" s="7"/>
      <c r="P228" s="7"/>
      <c r="Q228" s="22"/>
      <c r="R228" s="167"/>
      <c r="S228" s="210">
        <f>1/IF(AG228="EC",12,1)*SUM(U228:U228)</f>
        <v>0</v>
      </c>
      <c r="T228" s="192" t="str">
        <f>IF(ISEVEN(LEFT(AD228,4)),"Southbound","NorthBound")</f>
        <v>Southbound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-09-12T10:08:55-0600',mode:absolute,to:'2017-09-12T12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4" t="str">
        <f>IF(AA228&lt;VLOOKUP(AG228,Variables!$AC$3:$AD$8,2,FALSE),"Y","N")</f>
        <v>Y</v>
      </c>
      <c r="X228" s="194">
        <f>VALUE(LEFT(AD228,4))-VALUE(LEFT(AD227,4))</f>
        <v>3</v>
      </c>
      <c r="Y228" s="194">
        <f>RIGHT(D228,LEN(D228)-4)/10000</f>
        <v>0.14899999999999999</v>
      </c>
      <c r="Z228" s="194">
        <f>RIGHT(H228,LEN(H228)-4)/10000</f>
        <v>0.33879999999999999</v>
      </c>
      <c r="AA228" s="194">
        <f>ABS(Z228-Y228)</f>
        <v>0.1898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>VALUE(LEFT(A228,LEN(A228)-3))</f>
        <v>60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/stypes="app*4030*20170912*" /stext=" 17:.+((SYSTEM_STATE.+slice.+state.+changed )|(ment ac)|(multiple cpu faults)|(system.+state.+changed )|(\[timeout)|(PRM\|1\|D)|(kpr)|(kdp)|(train st.+moving)|(\|lc)|(penalty))"</v>
      </c>
      <c r="AG228" s="206" t="str">
        <f>DetSubdiv(A228)</f>
        <v>Shuttle/Test</v>
      </c>
      <c r="AH228" s="78" t="str">
        <f t="shared" si="36"/>
        <v>"%USERPROFILE%\Documents\GitHub\eaglep3\Utilities\RefineRTDCRunTimes.py" --tripid 60-12 --locoid 4030 --swversion DE.1.0.9.0 --startMP 204:1490 --initTime 2017-09-12T11:08:55 --startdatetime 2017-09-12T11:22:09 --delay 80 --endMP 204:3388 --enddatetime 2017-09-12T11:23:51 --enforcementcount 0 &gt;&gt;C:\Users\stu\Documents\GitHub\eaglep3-reporting\EC\2017-09-12-refined-times.txt</v>
      </c>
      <c r="AI228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0.3388"},{"id":17,"name":"Train ID","value":"60-12"},{"id":16,"name":"Locomotive ID","value":"4030"},{"id":130,"name":"Impact","value":""},{"id":150,"name":"Time of Event (Mountain Time)","value":"11:23:51"},{"id":151,"name":"Denver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38"/>
        <v>start /low /b %USERPROFILE%\Documents\GitHub\eaglep3\Utilities\DownloadLogsFromS3.py --loco 4030 --day 2017-09-12</v>
      </c>
      <c r="AN228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696</v>
      </c>
      <c r="B229" s="7">
        <v>4029</v>
      </c>
      <c r="C229" s="21" t="s">
        <v>197</v>
      </c>
      <c r="D229" s="21" t="s">
        <v>901</v>
      </c>
      <c r="E229" s="13">
        <v>42990.472430555557</v>
      </c>
      <c r="F229" s="13">
        <v>42990.473715277774</v>
      </c>
      <c r="G229" s="7">
        <v>55</v>
      </c>
      <c r="H229" s="21" t="s">
        <v>342</v>
      </c>
      <c r="I229" s="13">
        <v>42990.474895833337</v>
      </c>
      <c r="J229" s="7">
        <v>0</v>
      </c>
      <c r="K229" s="89" t="str">
        <f>IF(ISEVEN(B229),(B229-1)&amp;"/"&amp;B229,B229&amp;"/"&amp;(B229+1))</f>
        <v>4029/4030</v>
      </c>
      <c r="L229" s="214" t="str">
        <f>VLOOKUP(A229,'Trips&amp;Operators'!$C$1:$G$99911,5,FALSE)</f>
        <v>NEWELL JAMES</v>
      </c>
      <c r="M229" s="6">
        <f>I229-F229</f>
        <v>1.1805555623141117E-3</v>
      </c>
      <c r="N229" s="7">
        <f>24*60*SUM($M229:$M229)</f>
        <v>1.7000000097323209</v>
      </c>
      <c r="O229" s="7"/>
      <c r="P229" s="7"/>
      <c r="Q229" s="22"/>
      <c r="R229" s="167"/>
      <c r="S229" s="210">
        <f>1/IF(AG229="EC",12,1)*SUM(U229:U229)</f>
        <v>0</v>
      </c>
      <c r="T229" s="192" t="str">
        <f>IF(ISEVEN(LEFT(AD229,4)),"Southbound","NorthBound")</f>
        <v>Southbound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-09-12T10:20:18-0600',mode:absolute,to:'2017-09-12T12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4" t="str">
        <f>IF(AA229&lt;VLOOKUP(AG229,Variables!$AC$3:$AD$8,2,FALSE),"Y","N")</f>
        <v>Y</v>
      </c>
      <c r="X229" s="194">
        <f>VALUE(LEFT(AD229,4))-VALUE(LEFT(AD228,4))</f>
        <v>0</v>
      </c>
      <c r="Y229" s="194">
        <f>RIGHT(D229,LEN(D229)-4)/10000</f>
        <v>0.30620000000000003</v>
      </c>
      <c r="Z229" s="194">
        <f>RIGHT(H229,LEN(H229)-4)/10000</f>
        <v>1.41E-2</v>
      </c>
      <c r="AA229" s="194">
        <f>ABS(Z229-Y229)</f>
        <v>0.29210000000000003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>VALUE(LEFT(A229,LEN(A229)-3))</f>
        <v>60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/stypes="app*4029*20170912*" /stext=" 17:.+((SYSTEM_STATE.+slice.+state.+changed )|(ment ac)|(multiple cpu faults)|(system.+state.+changed )|(\[timeout)|(PRM\|1\|D)|(kpr)|(kdp)|(train st.+moving)|(\|lc)|(penalty))"</v>
      </c>
      <c r="AG229" s="206" t="str">
        <f>DetSubdiv(A229)</f>
        <v>Shuttle/Test</v>
      </c>
      <c r="AH229" s="78" t="str">
        <f t="shared" si="36"/>
        <v>"%USERPROFILE%\Documents\GitHub\eaglep3\Utilities\RefineRTDCRunTimes.py" --tripid 60-12 --locoid 4029 --swversion DE.1.0.9.0 --startMP 204:3062 --initTime 2017-09-12T11:20:18 --startdatetime 2017-09-12T11:22:09 --delay 55 --endMP 204:141 --enddatetime 2017-09-12T11:23:51 --enforcementcount 0 &gt;&gt;C:\Users\stu\Documents\GitHub\eaglep3-reporting\EC\2017-09-12-refined-times.txt</v>
      </c>
      <c r="AI229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0.0141"},{"id":17,"name":"Train ID","value":"60-12"},{"id":16,"name":"Locomotive ID","value":"4029"},{"id":130,"name":"Impact","value":""},{"id":150,"name":"Time of Event (Mountain Time)","value":"11:23:51"},{"id":151,"name":"Denver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38"/>
        <v>start /low /b %USERPROFILE%\Documents\GitHub\eaglep3\Utilities\DownloadLogsFromS3.py --loco 4029 --day 2017-09-12</v>
      </c>
      <c r="AN229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595</v>
      </c>
      <c r="B230" s="7">
        <v>4027</v>
      </c>
      <c r="C230" s="21" t="s">
        <v>197</v>
      </c>
      <c r="D230" s="21" t="s">
        <v>902</v>
      </c>
      <c r="E230" s="13">
        <v>42990.45553240741</v>
      </c>
      <c r="F230" s="13">
        <v>42990.457268518519</v>
      </c>
      <c r="G230" s="7">
        <v>70</v>
      </c>
      <c r="H230" s="21" t="s">
        <v>903</v>
      </c>
      <c r="I230" s="13">
        <v>42990.46769675926</v>
      </c>
      <c r="J230" s="7">
        <v>0</v>
      </c>
      <c r="K230" s="89" t="str">
        <f>IF(ISEVEN(B230),(B230-1)&amp;"/"&amp;B230,B230&amp;"/"&amp;(B230+1))</f>
        <v>4027/4028</v>
      </c>
      <c r="L230" s="214" t="str">
        <f>VLOOKUP(A230,'Trips&amp;Operators'!$C$1:$G$99911,5,FALSE)</f>
        <v>ROMERO CHAD</v>
      </c>
      <c r="M230" s="6">
        <f>I230-F230</f>
        <v>1.0428240741021E-2</v>
      </c>
      <c r="N230" s="7">
        <f>24*60*SUM($M230:$M230)</f>
        <v>15.01666666707024</v>
      </c>
      <c r="O230" s="7"/>
      <c r="P230" s="7"/>
      <c r="Q230" s="22"/>
      <c r="R230" s="167"/>
      <c r="S230" s="210">
        <f>1/IF(AG230="EC",12,1)*SUM(U230:U230)</f>
        <v>0</v>
      </c>
      <c r="T230" s="192" t="str">
        <f>IF(ISEVEN(LEFT(AD230,4)),"Southbound","NorthBound")</f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-09-12T09:55:58-0600',mode:absolute,to:'2017-09-12T12:13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0" s="194" t="str">
        <f>IF(AA230&lt;VLOOKUP(AG230,Variables!$AC$3:$AD$8,2,FALSE),"Y","N")</f>
        <v>Y</v>
      </c>
      <c r="X230" s="194">
        <f>VALUE(LEFT(AD230,4))-VALUE(LEFT(AD229,4))</f>
        <v>1</v>
      </c>
      <c r="Y230" s="194">
        <f>RIGHT(D230,LEN(D230)-4)/10000</f>
        <v>6.9847999999999999</v>
      </c>
      <c r="Z230" s="194">
        <f>RIGHT(H230,LEN(H230)-4)/10000</f>
        <v>8.7800000000000003E-2</v>
      </c>
      <c r="AA230" s="194">
        <f>ABS(Z230-Y230)</f>
        <v>6.8970000000000002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>VALUE(LEFT(A230,LEN(A230)-3))</f>
        <v>61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s3://rtdc.mdm.uploadarchive.raw/RTDC4027/ "%USERPROFILE%\AppData\Local\Temp\OnboardLogs"\RTDC4027\2017-09-12 --exclude "*" --recursive --include "*20170912*" &amp; "%USERPROFILE%\Documents\GitHub\mrs-test-scripts\Headless Mode &amp; Sideloading\WalkAndUnGZ.bat" "%USERPROFILE%\AppData\Local\Temp\OnboardLogs"\RTDC4027\2017-09-12 &amp; 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/stypes="app*4027*20170912*" /stext=" 17:.+((SYSTEM_STATE.+slice.+state.+changed )|(ment ac)|(multiple cpu faults)|(system.+state.+changed )|(\[timeout)|(PRM\|1\|D)|(kpr)|(kdp)|(train st.+moving)|(\|lc)|(penalty))"</v>
      </c>
      <c r="AG230" s="206" t="str">
        <f>DetSubdiv(A230)</f>
        <v>Shuttle/Test</v>
      </c>
      <c r="AH230" s="78" t="str">
        <f t="shared" si="36"/>
        <v>"%USERPROFILE%\Documents\GitHub\eaglep3\Utilities\RefineRTDCRunTimes.py" --tripid 61-12 --locoid 4027 --swversion DE.1.0.9.0 --startMP 204:69848 --initTime 2017-09-12T10:55:58 --startdatetime 2017-09-12T10:58:28 --delay 70 --endMP 204:878 --enddatetime 2017-09-12T11:13:29 --enforcementcount 0 &gt;&gt;C:\Users\stu\Documents\GitHub\eaglep3-reporting\EC\2017-09-12-refined-times.txt</v>
      </c>
      <c r="AI230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0.0878"},{"id":17,"name":"Train ID","value":"61-12"},{"id":16,"name":"Locomotive ID","value":"4027"},{"id":130,"name":"Impact","value":""},{"id":150,"name":"Time of Event (Mountain Time)","value":"11:13:29"},{"id":151,"name":"Denver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38"/>
        <v>start /low /b %USERPROFILE%\Documents\GitHub\eaglep3\Utilities\DownloadLogsFromS3.py --loco 4027 --day 2017-09-12</v>
      </c>
      <c r="AN230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17:13:29"},{"id":29,"name":"Sharepoint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595</v>
      </c>
      <c r="B231" s="7">
        <v>4064</v>
      </c>
      <c r="C231" s="21" t="s">
        <v>197</v>
      </c>
      <c r="D231" s="21" t="s">
        <v>337</v>
      </c>
      <c r="E231" s="13">
        <v>42990.707951388889</v>
      </c>
      <c r="F231" s="13">
        <v>42990.709629629629</v>
      </c>
      <c r="G231" s="7">
        <v>96</v>
      </c>
      <c r="H231" s="21" t="s">
        <v>466</v>
      </c>
      <c r="I231" s="13">
        <v>42990.717222222222</v>
      </c>
      <c r="J231" s="7">
        <v>0</v>
      </c>
      <c r="K231" s="89" t="str">
        <f>IF(ISEVEN(B231),(B231-1)&amp;"/"&amp;B231,B231&amp;"/"&amp;(B231+1))</f>
        <v>4063/4064</v>
      </c>
      <c r="L231" s="214" t="str">
        <f>VLOOKUP(A231,'Trips&amp;Operators'!$C$1:$G$99911,5,FALSE)</f>
        <v>ROMERO CHAD</v>
      </c>
      <c r="M231" s="6">
        <f>I231-F231</f>
        <v>7.5925925921183079E-3</v>
      </c>
      <c r="N231" s="7">
        <f>24*60*SUM($M231:$M231)</f>
        <v>10.933333332650363</v>
      </c>
      <c r="O231" s="7"/>
      <c r="P231" s="7"/>
      <c r="Q231" s="22"/>
      <c r="R231" s="167"/>
      <c r="S231" s="210">
        <f>1/IF(AG231="EC",12,1)*SUM(U231:U231)</f>
        <v>1</v>
      </c>
      <c r="T231" s="192" t="str">
        <f>IF(ISEVEN(LEFT(AD231,4)),"Southbound","NorthBound")</f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-09-12T15:59:27-0600',mode:absolute,to:'2017-09-12T18:12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1" s="194" t="str">
        <f>IF(AA231&lt;VLOOKUP(AG231,Variables!$AC$3:$AD$8,2,FALSE),"Y","N")</f>
        <v>Y</v>
      </c>
      <c r="X231" s="194">
        <f>VALUE(LEFT(AD231,4))-VALUE(LEFT(AD230,4))</f>
        <v>0</v>
      </c>
      <c r="Y231" s="194">
        <f>RIGHT(D231,LEN(D231)-4)/10000</f>
        <v>4.4600000000000001E-2</v>
      </c>
      <c r="Z231" s="194">
        <f>RIGHT(H231,LEN(H231)-4)/10000</f>
        <v>2.3304</v>
      </c>
      <c r="AA231" s="194">
        <f>ABS(Z231-Y231)</f>
        <v>2.2858000000000001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>VALUE(LEFT(A231,LEN(A231)-3))</f>
        <v>61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/stypes="app*4064*20170912*" /stext=" 23:.+((SYSTEM_STATE.+slice.+state.+changed )|(ment ac)|(multiple cpu faults)|(system.+state.+changed )|(\[timeout)|(PRM\|1\|D)|(kpr)|(kdp)|(train st.+moving)|(\|lc)|(penalty))"</v>
      </c>
      <c r="AG231" s="206" t="str">
        <f>DetSubdiv(A231)</f>
        <v>Shuttle/Test</v>
      </c>
      <c r="AH231" s="78" t="str">
        <f t="shared" si="36"/>
        <v>"%USERPROFILE%\Documents\GitHub\eaglep3\Utilities\RefineRTDCRunTimes.py" --tripid 61-12 --locoid 4064 --swversion DE.1.0.9.0 --startMP 204:446 --initTime 2017-09-12T16:59:27 --startdatetime 2017-09-12T17:01:52 --delay 96 --endMP 300:23304 --enddatetime 2017-09-12T17:12:48 --enforcementcount 0 &gt;&gt;C:\Users\stu\Documents\GitHub\eaglep3-reporting\EC\2017-09-12-refined-times.txt</v>
      </c>
      <c r="AI231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2.3304"},{"id":17,"name":"Train ID","value":"61-12"},{"id":16,"name":"Locomotive ID","value":"4064"},{"id":130,"name":"Impact","value":""},{"id":150,"name":"Time of Event (Mountain Time)","value":"17:12:48"},{"id":151,"name":"Denver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38"/>
        <v>start /low /b %USERPROFILE%\Documents\GitHub\eaglep3\Utilities\DownloadLogsFromS3.py --loco 4064 --day 2017-09-12</v>
      </c>
      <c r="AN231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23:12:48"},{"id":29,"name":"Sharepoint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617</v>
      </c>
      <c r="B232" s="7">
        <v>4029</v>
      </c>
      <c r="C232" s="21" t="s">
        <v>197</v>
      </c>
      <c r="D232" s="21" t="s">
        <v>904</v>
      </c>
      <c r="E232" s="13">
        <v>42990.14199074074</v>
      </c>
      <c r="F232" s="13">
        <v>42990.143564814818</v>
      </c>
      <c r="G232" s="7">
        <v>68</v>
      </c>
      <c r="H232" s="21" t="s">
        <v>905</v>
      </c>
      <c r="I232" s="13">
        <v>42990.144548611112</v>
      </c>
      <c r="J232" s="7">
        <v>0</v>
      </c>
      <c r="K232" s="89" t="str">
        <f>IF(ISEVEN(B232),(B232-1)&amp;"/"&amp;B232,B232&amp;"/"&amp;(B232+1))</f>
        <v>4029/4030</v>
      </c>
      <c r="L232" s="214" t="str">
        <f>VLOOKUP(A232,'Trips&amp;Operators'!$C$1:$G$99911,5,FALSE)</f>
        <v>SPECTOR MICHAEL</v>
      </c>
      <c r="M232" s="6">
        <f>I232-F232</f>
        <v>9.8379629343980923E-4</v>
      </c>
      <c r="N232" s="7">
        <f>24*60*SUM($M232:$M232)</f>
        <v>1.4166666625533253</v>
      </c>
      <c r="O232" s="7"/>
      <c r="P232" s="7"/>
      <c r="Q232" s="22"/>
      <c r="R232" s="167"/>
      <c r="S232" s="210">
        <f>1/IF(AG232="EC",12,1)*SUM(U232:U232)</f>
        <v>0</v>
      </c>
      <c r="T232" s="192" t="str">
        <f>IF(ISEVEN(LEFT(AD232,4)),"Southbound","NorthBound")</f>
        <v>Southbound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-09-12T02:24:28-0600',mode:absolute,to:'2017-09-12T04:28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2" s="194" t="str">
        <f>IF(AA232&lt;VLOOKUP(AG232,Variables!$AC$3:$AD$8,2,FALSE),"Y","N")</f>
        <v>Y</v>
      </c>
      <c r="X232" s="194">
        <f>VALUE(LEFT(AD232,4))-VALUE(LEFT(AD231,4))</f>
        <v>1</v>
      </c>
      <c r="Y232" s="194">
        <f>RIGHT(D232,LEN(D232)-4)/10000</f>
        <v>0.32229999999999998</v>
      </c>
      <c r="Z232" s="194">
        <f>RIGHT(H232,LEN(H232)-4)/10000</f>
        <v>0.1169</v>
      </c>
      <c r="AA232" s="194">
        <f>ABS(Z232-Y232)</f>
        <v>0.20539999999999997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>VALUE(LEFT(A232,LEN(A232)-3))</f>
        <v>62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/stypes="app*4029*20170912*" /stext=" 09:.+((SYSTEM_STATE.+slice.+state.+changed )|(ment ac)|(multiple cpu faults)|(system.+state.+changed )|(\[timeout)|(PRM\|1\|D)|(kpr)|(kdp)|(train st.+moving)|(\|lc)|(penalty))"</v>
      </c>
      <c r="AG232" s="206" t="str">
        <f>DetSubdiv(A232)</f>
        <v>Shuttle/Test</v>
      </c>
      <c r="AH232" s="78" t="str">
        <f t="shared" si="36"/>
        <v>"%USERPROFILE%\Documents\GitHub\eaglep3\Utilities\RefineRTDCRunTimes.py" --tripid 62-12 --locoid 4029 --swversion DE.1.0.9.0 --startMP 204:3223 --initTime 2017-09-12T03:24:28 --startdatetime 2017-09-12T03:26:44 --delay 68 --endMP 204:1169 --enddatetime 2017-09-12T03:28:09 --enforcementcount 0 &gt;&gt;C:\Users\stu\Documents\GitHub\eaglep3-reporting\EC\2017-09-12-refined-times.txt</v>
      </c>
      <c r="AI232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0.1169"},{"id":17,"name":"Train ID","value":"62-12"},{"id":16,"name":"Locomotive ID","value":"4029"},{"id":130,"name":"Impact","value":""},{"id":150,"name":"Time of Event (Mountain Time)","value":"03:28:09"},{"id":151,"name":"Denver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38"/>
        <v>start /low /b %USERPROFILE%\Documents\GitHub\eaglep3\Utilities\DownloadLogsFromS3.py --loco 4029 --day 2017-09-12</v>
      </c>
      <c r="AN232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09:28:09"},{"id":29,"name":"Sharepoint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614</v>
      </c>
      <c r="B233" s="7">
        <v>4030</v>
      </c>
      <c r="C233" s="21" t="s">
        <v>197</v>
      </c>
      <c r="D233" s="21" t="s">
        <v>878</v>
      </c>
      <c r="E233" s="13">
        <v>42990.125254629631</v>
      </c>
      <c r="F233" s="13">
        <v>42990.138807870368</v>
      </c>
      <c r="G233" s="7">
        <v>90</v>
      </c>
      <c r="H233" s="21" t="s">
        <v>906</v>
      </c>
      <c r="I233" s="13">
        <v>42990.139780092592</v>
      </c>
      <c r="J233" s="7">
        <v>0</v>
      </c>
      <c r="K233" s="89" t="str">
        <f>IF(ISEVEN(B233),(B233-1)&amp;"/"&amp;B233,B233&amp;"/"&amp;(B233+1))</f>
        <v>4029/4030</v>
      </c>
      <c r="L233" s="214" t="str">
        <f>VLOOKUP(A233,'Trips&amp;Operators'!$C$1:$G$99911,5,FALSE)</f>
        <v>SPECTOR MICHAEL</v>
      </c>
      <c r="M233" s="6">
        <f>I233-F233</f>
        <v>9.7222222393611446E-4</v>
      </c>
      <c r="N233" s="7">
        <f>24*60*SUM($M233:$M233)</f>
        <v>1.4000000024680048</v>
      </c>
      <c r="O233" s="7"/>
      <c r="P233" s="7"/>
      <c r="Q233" s="22"/>
      <c r="R233" s="167"/>
      <c r="S233" s="210">
        <f>1/IF(AG233="EC",12,1)*SUM(U233:U233)</f>
        <v>0</v>
      </c>
      <c r="T233" s="192" t="str">
        <f>IF(ISEVEN(LEFT(AD233,4)),"Southbound","NorthBound")</f>
        <v>NorthBound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3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-09-12T02:00:22-0600',mode:absolute,to:'2017-09-12T04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3" s="194" t="str">
        <f>IF(AA233&lt;VLOOKUP(AG233,Variables!$AC$3:$AD$8,2,FALSE),"Y","N")</f>
        <v>Y</v>
      </c>
      <c r="X233" s="194">
        <f>VALUE(LEFT(AD233,4))-VALUE(LEFT(AD232,4))</f>
        <v>1</v>
      </c>
      <c r="Y233" s="194">
        <f>RIGHT(D233,LEN(D233)-4)/10000</f>
        <v>4.3299999999999998E-2</v>
      </c>
      <c r="Z233" s="194">
        <f>RIGHT(H233,LEN(H233)-4)/10000</f>
        <v>0.35599999999999998</v>
      </c>
      <c r="AA233" s="194">
        <f>ABS(Z233-Y233)</f>
        <v>0.31269999999999998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>VALUE(LEFT(A233,LEN(A233)-3))</f>
        <v>63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s3://rtdc.mdm.uploadarchive.raw/RTDC4030/ "%USERPROFILE%\AppData\Local\Temp\OnboardLogs"\RTDC4030\2017-09-12 --exclude "*" --recursive --include "*20170912*" &amp; "%USERPROFILE%\Documents\GitHub\mrs-test-scripts\Headless Mode &amp; Sideloading\WalkAndUnGZ.bat" "%USERPROFILE%\AppData\Local\Temp\OnboardLogs"\RTDC4030\2017-09-12 &amp; 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/stypes="app*4030*20170912*" /stext=" 09:.+((SYSTEM_STATE.+slice.+state.+changed )|(ment ac)|(multiple cpu faults)|(system.+state.+changed )|(\[timeout)|(PRM\|1\|D)|(kpr)|(kdp)|(train st.+moving)|(\|lc)|(penalty))"</v>
      </c>
      <c r="AG233" s="206" t="str">
        <f>DetSubdiv(A233)</f>
        <v>Shuttle/Test</v>
      </c>
      <c r="AH233" s="78" t="str">
        <f t="shared" si="36"/>
        <v>"%USERPROFILE%\Documents\GitHub\eaglep3\Utilities\RefineRTDCRunTimes.py" --tripid 63-12 --locoid 4030 --swversion DE.1.0.9.0 --startMP 204:433 --initTime 2017-09-12T03:00:22 --startdatetime 2017-09-12T03:19:53 --delay 90 --endMP 204:3560 --enddatetime 2017-09-12T03:21:17 --enforcementcount 0 &gt;&gt;C:\Users\stu\Documents\GitHub\eaglep3-reporting\EC\2017-09-12-refined-times.txt</v>
      </c>
      <c r="AI233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0.356"},{"id":17,"name":"Train ID","value":"63-12"},{"id":16,"name":"Locomotive ID","value":"4030"},{"id":130,"name":"Impact","value":""},{"id":150,"name":"Time of Event (Mountain Time)","value":"03:21:17"},{"id":151,"name":"Denver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38"/>
        <v>start /low /b %USERPROFILE%\Documents\GitHub\eaglep3\Utilities\DownloadLogsFromS3.py --loco 4030 --day 2017-09-12</v>
      </c>
      <c r="AN233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09:21:17"},{"id":29,"name":"Sharepoint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602</v>
      </c>
      <c r="B234" s="7">
        <v>4066</v>
      </c>
      <c r="C234" s="21" t="s">
        <v>197</v>
      </c>
      <c r="D234" s="21" t="s">
        <v>506</v>
      </c>
      <c r="E234" s="13">
        <v>42990.675266203703</v>
      </c>
      <c r="F234" s="13">
        <v>42990.694108796299</v>
      </c>
      <c r="G234" s="7">
        <v>73</v>
      </c>
      <c r="H234" s="21" t="s">
        <v>907</v>
      </c>
      <c r="I234" s="13">
        <v>42990.69699074074</v>
      </c>
      <c r="J234" s="7">
        <v>0</v>
      </c>
      <c r="K234" s="89" t="str">
        <f>IF(ISEVEN(B234),(B234-1)&amp;"/"&amp;B234,B234&amp;"/"&amp;(B234+1))</f>
        <v>4065/4066</v>
      </c>
      <c r="L234" s="214" t="str">
        <f>VLOOKUP(A234,'Trips&amp;Operators'!$C$1:$G$99911,5,FALSE)</f>
        <v>NEWELL JAMES</v>
      </c>
      <c r="M234" s="6">
        <f>I234-F234</f>
        <v>2.8819444414693862E-3</v>
      </c>
      <c r="N234" s="7">
        <f>24*60*SUM($M234:$M234)</f>
        <v>4.1499999957159162</v>
      </c>
      <c r="O234" s="7"/>
      <c r="P234" s="7"/>
      <c r="Q234" s="22"/>
      <c r="R234" s="167"/>
      <c r="S234" s="210">
        <f>1/IF(AG234="EC",12,1)*SUM(U234:U234)</f>
        <v>0</v>
      </c>
      <c r="T234" s="192" t="str">
        <f>IF(ISEVEN(LEFT(AD234,4)),"Southbound","NorthBound")</f>
        <v>NorthBound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-09-12T15:12:23-0600',mode:absolute,to:'2017-09-12T17:43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194" t="str">
        <f>IF(AA234&lt;VLOOKUP(AG234,Variables!$AC$3:$AD$8,2,FALSE),"Y","N")</f>
        <v>Y</v>
      </c>
      <c r="X234" s="194">
        <f>VALUE(LEFT(AD234,4))-VALUE(LEFT(AD233,4))</f>
        <v>12</v>
      </c>
      <c r="Y234" s="194">
        <f>RIGHT(D234,LEN(D234)-4)/10000</f>
        <v>0.1469</v>
      </c>
      <c r="Z234" s="194">
        <f>RIGHT(H234,LEN(H234)-4)/10000</f>
        <v>0.53339999999999999</v>
      </c>
      <c r="AA234" s="194">
        <f>ABS(Z234-Y234)</f>
        <v>0.38649999999999995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>VALUE(LEFT(A234,LEN(A234)-3))</f>
        <v>75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/stypes="app*4066*20170912*" /stext=" 22:.+((SYSTEM_STATE.+slice.+state.+changed )|(ment ac)|(multiple cpu faults)|(system.+state.+changed )|(\[timeout)|(PRM\|1\|D)|(kpr)|(kdp)|(train st.+moving)|(\|lc)|(penalty))"</v>
      </c>
      <c r="AG234" s="206" t="str">
        <f>DetSubdiv(A234)</f>
        <v>Shuttle/Test</v>
      </c>
      <c r="AH234" s="78" t="str">
        <f t="shared" si="36"/>
        <v>"%USERPROFILE%\Documents\GitHub\eaglep3\Utilities\RefineRTDCRunTimes.py" --tripid 75-12 --locoid 4066 --swversion DE.1.0.9.0 --startMP 204:1469 --initTime 2017-09-12T16:12:23 --startdatetime 2017-09-12T16:39:31 --delay 73 --endMP 300:5334 --enddatetime 2017-09-12T16:43:40 --enforcementcount 0 &gt;&gt;C:\Users\stu\Documents\GitHub\eaglep3-reporting\EC\2017-09-12-refined-times.txt</v>
      </c>
      <c r="AI234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0.5334"},{"id":17,"name":"Train ID","value":"75-12"},{"id":16,"name":"Locomotive ID","value":"4066"},{"id":130,"name":"Impact","value":""},{"id":150,"name":"Time of Event (Mountain Time)","value":"16:43:40"},{"id":151,"name":"Denver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38"/>
        <v>start /low /b %USERPROFILE%\Documents\GitHub\eaglep3\Utilities\DownloadLogsFromS3.py --loco 4066 --day 2017-09-12</v>
      </c>
      <c r="AN234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22:43:40"},{"id":29,"name":"Sharepoint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766</v>
      </c>
      <c r="B235" s="7">
        <v>4056</v>
      </c>
      <c r="C235" s="21" t="s">
        <v>197</v>
      </c>
      <c r="D235" s="21" t="s">
        <v>908</v>
      </c>
      <c r="E235" s="13">
        <v>42990.724814814814</v>
      </c>
      <c r="F235" s="13">
        <v>42990.734490740739</v>
      </c>
      <c r="G235" s="7">
        <v>147</v>
      </c>
      <c r="H235" s="21" t="s">
        <v>886</v>
      </c>
      <c r="I235" s="13">
        <v>42990.741643518515</v>
      </c>
      <c r="J235" s="7">
        <v>0</v>
      </c>
      <c r="K235" s="89" t="str">
        <f>IF(ISEVEN(B235),(B235-1)&amp;"/"&amp;B235,B235&amp;"/"&amp;(B235+1))</f>
        <v>4055/4056</v>
      </c>
      <c r="L235" s="214" t="str">
        <f>VLOOKUP(A235,'Trips&amp;Operators'!$C$1:$G$99911,5,FALSE)</f>
        <v>NELSON ARIANE</v>
      </c>
      <c r="M235" s="6">
        <f>I235-F235</f>
        <v>7.1527777763549238E-3</v>
      </c>
      <c r="N235" s="7">
        <f>24*60*SUM($M235:$M235)</f>
        <v>10.29999999795109</v>
      </c>
      <c r="O235" s="7"/>
      <c r="P235" s="7"/>
      <c r="Q235" s="22"/>
      <c r="R235" s="167"/>
      <c r="S235" s="210">
        <f>1/IF(AG235="EC",12,1)*SUM(U235:U235)</f>
        <v>1</v>
      </c>
      <c r="T235" s="192" t="str">
        <f>IF(ISEVEN(LEFT(AD235,4)),"Southbound","NorthBound")</f>
        <v>NorthBound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3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-09-12T16:23:44-0600',mode:absolute,to:'2017-09-12T18:47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5" s="194" t="str">
        <f>IF(AA235&lt;VLOOKUP(AG235,Variables!$AC$3:$AD$8,2,FALSE),"Y","N")</f>
        <v>Y</v>
      </c>
      <c r="X235" s="194">
        <f>VALUE(LEFT(AD235,4))-VALUE(LEFT(AD234,4))</f>
        <v>2</v>
      </c>
      <c r="Y235" s="194">
        <f>RIGHT(D235,LEN(D235)-4)/10000</f>
        <v>0.1154</v>
      </c>
      <c r="Z235" s="194">
        <f>RIGHT(H235,LEN(H235)-4)/10000</f>
        <v>2.331</v>
      </c>
      <c r="AA235" s="194">
        <f>ABS(Z235-Y235)</f>
        <v>2.2155999999999998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>VALUE(LEFT(A235,LEN(A235)-3))</f>
        <v>77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s3://rtdc.mdm.uploadarchive.raw/RTDC4056/ "%USERPROFILE%\AppData\Local\Temp\OnboardLogs"\RTDC4056\2017-09-12 --exclude "*" --recursive --include "*20170912*" &amp; "%USERPROFILE%\Documents\GitHub\mrs-test-scripts\Headless Mode &amp; Sideloading\WalkAndUnGZ.bat" "%USERPROFILE%\AppData\Local\Temp\OnboardLogs"\RTDC4056\2017-09-12 &amp; aws s3 cp s3://rtdc.mdm.uploadarchive.raw/RTDC4056/ "%USERPROFILE%\AppData\Local\Temp\OnboardLogs"\RTDC4056\2017-09-13 --exclude "*" --recursive --include "*20170913*" &amp; "%USERPROFILE%\Documents\GitHub\mrs-test-scripts\Headless Mode &amp; Sideloading\WalkAndUnGZ.bat" "%USERPROFILE%\AppData\Local\Temp\OnboardLogs"\RTDC4056\2017-09-13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/stypes="app*4056*20170912*" /stext=" 23:.+((SYSTEM_STATE.+slice.+state.+changed )|(ment ac)|(multiple cpu faults)|(system.+state.+changed )|(\[timeout)|(PRM\|1\|D)|(kpr)|(kdp)|(train st.+moving)|(\|lc)|(penalty))"</v>
      </c>
      <c r="AG235" s="206" t="str">
        <f>DetSubdiv(A235)</f>
        <v>Shuttle/Test</v>
      </c>
      <c r="AH235" s="78" t="str">
        <f t="shared" si="36"/>
        <v>"%USERPROFILE%\Documents\GitHub\eaglep3\Utilities\RefineRTDCRunTimes.py" --tripid 77-12 --locoid 4056 --swversion DE.1.0.9.0 --startMP 204:1154 --initTime 2017-09-12T17:23:44 --startdatetime 2017-09-12T17:37:40 --delay 147 --endMP 300:23310 --enddatetime 2017-09-12T17:47:58 --enforcementcount 0 &gt;&gt;C:\Users\stu\Documents\GitHub\eaglep3-reporting\EC\2017-09-12-refined-times.txt</v>
      </c>
      <c r="AI235" s="96" t="str">
        <f t="shared" si="37"/>
        <v>echo {"issue":{"subject":"","project_id":79,"tracker_id":40,"status_id":1,"priority_id":2,"assigned_to_id":338,"start_date":"2017-09-12","description":"","custom_fields":[{"id":1,"name":"Subdivision","value":"Shuttle/Test"},{"id":4,"name":"Milepost","value":"2.331"},{"id":17,"name":"Train ID","value":"77-12"},{"id":16,"name":"Locomotive ID","value":"4056"},{"id":130,"name":"Impact","value":""},{"id":150,"name":"Time of Event (Mountain Time)","value":"17:47:58"},{"id":151,"name":"Denver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38"/>
        <v>start /low /b %USERPROFILE%\Documents\GitHub\eaglep3\Utilities\DownloadLogsFromS3.py --loco 4056 --day 2017-09-12</v>
      </c>
      <c r="AN235" s="151" t="str">
        <f t="shared" si="39"/>
        <v>echo {"issue":{"subject":"","project_id":30,"tracker_id":4,"status_id":1,"priority_id":1,"assigned_to_id":10,"start_date":"2017-09-12","description":"","custom_fields":[{"id":30,"name":"Category","value":"Issue"},{"id":3,"name":"Functional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UTC","value":"2017-09-12 23:47:58"},{"id":29,"name":"Sharepoint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4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4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4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4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</sheetData>
  <autoFilter ref="A12:AG281">
    <sortState ref="A13:AG281">
      <sortCondition ref="AG13:AG235"/>
      <sortCondition ref="AD13:AD235"/>
    </sortState>
  </autoFilter>
  <sortState ref="A13:AN236">
    <sortCondition ref="AG13:AG236"/>
    <sortCondition ref="AD13:AD236"/>
  </sortState>
  <mergeCells count="1">
    <mergeCell ref="A11:P11"/>
  </mergeCells>
  <conditionalFormatting sqref="W11:W12 W287:X1048576 W13:X235">
    <cfRule type="cellIs" dxfId="10" priority="422" operator="equal">
      <formula>"Y"</formula>
    </cfRule>
  </conditionalFormatting>
  <conditionalFormatting sqref="X287:X1048576 X13:X235">
    <cfRule type="cellIs" dxfId="9" priority="405" operator="greaterThan">
      <formula>1</formula>
    </cfRule>
  </conditionalFormatting>
  <conditionalFormatting sqref="X287:X1048576 X12:X235">
    <cfRule type="cellIs" dxfId="8" priority="402" operator="equal">
      <formula>0</formula>
    </cfRule>
  </conditionalFormatting>
  <conditionalFormatting sqref="A13:S23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workbookViewId="0">
      <selection activeCell="P18" sqref="P1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COUNTIF($O$7:$O$251,"=Y")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COUNTA($O$7:$O$251)-O2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- 2017-09-12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358</v>
      </c>
      <c r="X6" s="205" t="s">
        <v>351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42990.327430555553</v>
      </c>
      <c r="B7" s="30" t="s">
        <v>521</v>
      </c>
      <c r="C7" s="30" t="s">
        <v>582</v>
      </c>
      <c r="D7" s="30" t="s">
        <v>49</v>
      </c>
      <c r="E7" s="30" t="s">
        <v>187</v>
      </c>
      <c r="F7" s="42">
        <v>0</v>
      </c>
      <c r="G7" s="42">
        <v>193</v>
      </c>
      <c r="H7" s="42">
        <v>26956</v>
      </c>
      <c r="I7" s="42">
        <v>27269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-114.048</v>
      </c>
      <c r="N7" s="133" t="str">
        <f>VLOOKUP(C7,'Trips&amp;Operators'!$C$1:$G$99911,5,FALSE)</f>
        <v>STARKS ANGELINA</v>
      </c>
      <c r="O7" s="200" t="s">
        <v>180</v>
      </c>
      <c r="P7" s="134" t="s">
        <v>372</v>
      </c>
      <c r="Q7" s="30"/>
      <c r="R7" s="81" t="str">
        <f>VLOOKUP(C7,'Train Runs'!$A$13:$AE$9940,31,0)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S7" s="84" t="str">
        <f>VLOOKUP(C7,'Train Runs'!$A$13:$AE$9940,22,0)</f>
        <v>https://d0f6bd738d7f1b3e5a7ca70fe4ff75f0.us-east-1.aws.found.io/app/kibana#/discover/Steve-Slow-Train-Analysis-(2080s-and-2083s)?_g=(refreshInterval:(display:Off,pause:!f,section:0,value:0),time:(from:'2017-09-12T06:39:45-0600',mode:absolute,to:'2017-09-12T09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/stypes="*4058*201709121*" /stext=" 13:.+((SYSTEM_STATE.+slice.+state.+changed )|(ment ac)|(multiple cpu faults)|(system.+state.+changed )|(\[timeout)|(PRM\|1\|D)|(kpr)|(kdp)|(train st.+moving)|(\|lc)|(penalty))"</v>
      </c>
      <c r="U7" s="9" t="str">
        <f>MID(B7,13,4)</f>
        <v>4058</v>
      </c>
      <c r="V7" s="31">
        <f>A7-utc_offset/24</f>
        <v>42990.577430555553</v>
      </c>
      <c r="W7" s="45" t="str">
        <f>DetSubdiv(C7)</f>
        <v>EC</v>
      </c>
      <c r="X7" s="22">
        <f>VALUE(LEFT(C7,LEN(C7)-3))</f>
        <v>133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Arrival","project_id":79,"tracker_id":40,"status_id":1,"priority_id":2,"assigned_to_id":338,"start_date":"2017-09-12","description":"","custom_fields":[{"id":1,"name":"Subdivision","value":"EC"},{"id":4,"name":"Milepost","value":"2.7053"},{"id":17,"name":"Train ID","value":"133-12"},{"id":16,"name":"Locomotive ID","value":"4058"},{"id":130,"name":"Impact","value":""},{"id":150,"name":"Time of Event (Mountain Time)","value":"07:51:30"},{"id":151,"name":"Denver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/c/Users/stu/AppData/Local/Temp/OnboardLogs/RTDC4058 --include="*4058*201709121*"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"%USERPROFILE%\AppData\Local\Temp\OnboardLogs"\RTDC4058\*4058*201709121* &gt;&gt; 2017-09-12-SliceDisagreementCheck.txt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4058 --day 2017-09-12</v>
      </c>
    </row>
    <row r="8" spans="1:32" s="1" customFormat="1" x14ac:dyDescent="0.25">
      <c r="A8" s="31">
        <v>42990.384027777778</v>
      </c>
      <c r="B8" s="30" t="s">
        <v>585</v>
      </c>
      <c r="C8" s="30" t="s">
        <v>586</v>
      </c>
      <c r="D8" s="30" t="s">
        <v>49</v>
      </c>
      <c r="E8" s="30" t="s">
        <v>187</v>
      </c>
      <c r="F8" s="42">
        <v>0</v>
      </c>
      <c r="G8" s="42">
        <v>144</v>
      </c>
      <c r="H8" s="42">
        <v>27372</v>
      </c>
      <c r="I8" s="42">
        <v>27198</v>
      </c>
      <c r="J8" s="30" t="s">
        <v>188</v>
      </c>
      <c r="K8" s="42">
        <v>27350</v>
      </c>
      <c r="L8" s="131" t="s">
        <v>51</v>
      </c>
      <c r="M8" s="132">
        <f>CONVERT((I8-K8)/10000,"mi","ft")*IF(L8="Increasing Mileposts (1)",-1,1)</f>
        <v>-80.256</v>
      </c>
      <c r="N8" s="133" t="str">
        <f>VLOOKUP(C8,'Trips&amp;Operators'!$C$1:$G$99911,5,FALSE)</f>
        <v>STARKS ANGELINA</v>
      </c>
      <c r="O8" s="200" t="s">
        <v>180</v>
      </c>
      <c r="P8" s="134" t="s">
        <v>372</v>
      </c>
      <c r="Q8" s="30"/>
      <c r="R8" s="81" t="str">
        <f>VLOOKUP(C8,'Train Runs'!$A$13:$AE$9940,31,0)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S8" s="84" t="str">
        <f>VLOOKUP(C8,'Train Runs'!$A$13:$AE$9940,22,0)</f>
        <v>https://d0f6bd738d7f1b3e5a7ca70fe4ff75f0.us-east-1.aws.found.io/app/kibana#/discover/Steve-Slow-Train-Analysis-(2080s-and-2083s)?_g=(refreshInterval:(display:Off,pause:!f,section:0,value:0),time:(from:'2017-09-12T07:24:43-0600',mode:absolute,to:'2017-09-12T10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/stypes="*4057*201709121*" /stext=" 15:.+((SYSTEM_STATE.+slice.+state.+changed )|(ment ac)|(multiple cpu faults)|(system.+state.+changed )|(\[timeout)|(PRM\|1\|D)|(kpr)|(kdp)|(train st.+moving)|(\|lc)|(penalty))"</v>
      </c>
      <c r="U8" s="9" t="str">
        <f>MID(B8,13,4)</f>
        <v>4057</v>
      </c>
      <c r="V8" s="31">
        <f>A8-utc_offset/24</f>
        <v>42990.634027777778</v>
      </c>
      <c r="W8" s="45" t="str">
        <f>DetSubdiv(C8)</f>
        <v>EC</v>
      </c>
      <c r="X8" s="22">
        <f>VALUE(LEFT(C8,LEN(C8)-3))</f>
        <v>134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Arrival","project_id":79,"tracker_id":40,"status_id":1,"priority_id":2,"assigned_to_id":338,"start_date":"2017-09-12","description":"","custom_fields":[{"id":1,"name":"Subdivision","value":"EC"},{"id":4,"name":"Milepost","value":"2.735"},{"id":17,"name":"Train ID","value":"134-12"},{"id":16,"name":"Locomotive ID","value":"4057"},{"id":130,"name":"Impact","value":""},{"id":150,"name":"Time of Event (Mountain Time)","value":"09:13:00"},{"id":151,"name":"Denver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/c/Users/stu/AppData/Local/Temp/OnboardLogs/RTDC4057 --include="*4057*201709121*"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"%USERPROFILE%\AppData\Local\Temp\OnboardLogs"\RTDC4057\*4057*201709121* &gt;&gt; 2017-09-12-SliceDisagreementCheck.txt</v>
      </c>
      <c r="AE8" s="145" t="str">
        <f t="shared" ref="AE8:AE39" si="1">"start /low /b "&amp;dls3logs&amp;" --loco "&amp;U8&amp;" --day "&amp;TEXT(V8,"YYYY-MM-DD")</f>
        <v>start /low /b %USERPROFILE%\Documents\GitHub\eaglep3\Utilities\DownloadLogsFromS3.py --loco 4057 --day 2017-09-12</v>
      </c>
    </row>
    <row r="9" spans="1:32" s="1" customFormat="1" x14ac:dyDescent="0.25">
      <c r="A9" s="31">
        <v>42990.88453703704</v>
      </c>
      <c r="B9" s="30" t="s">
        <v>585</v>
      </c>
      <c r="C9" s="30" t="s">
        <v>610</v>
      </c>
      <c r="D9" s="30" t="s">
        <v>49</v>
      </c>
      <c r="E9" s="30" t="s">
        <v>187</v>
      </c>
      <c r="F9" s="42">
        <v>360</v>
      </c>
      <c r="G9" s="42">
        <v>424</v>
      </c>
      <c r="H9" s="42">
        <v>110075</v>
      </c>
      <c r="I9" s="42">
        <v>108868</v>
      </c>
      <c r="J9" s="30" t="s">
        <v>188</v>
      </c>
      <c r="K9" s="42">
        <v>109135</v>
      </c>
      <c r="L9" s="131" t="s">
        <v>51</v>
      </c>
      <c r="M9" s="132">
        <f>CONVERT((I9-K9)/10000,"mi","ft")*IF(L9="Increasing Mileposts (1)",-1,1)</f>
        <v>-140.976</v>
      </c>
      <c r="N9" s="133" t="str">
        <f>VLOOKUP(C9,'Trips&amp;Operators'!$C$1:$G$99911,5,FALSE)</f>
        <v>PERKINS DARREN</v>
      </c>
      <c r="O9" s="200" t="s">
        <v>180</v>
      </c>
      <c r="P9" s="134" t="s">
        <v>372</v>
      </c>
      <c r="Q9" s="30"/>
      <c r="R9" s="81" t="str">
        <f>VLOOKUP(C9,'Train Runs'!$A$13:$AE$9940,31,0)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S9" s="84" t="str">
        <f>VLOOKUP(C9,'Train Runs'!$A$13:$AE$9940,22,0)</f>
        <v>https://d0f6bd738d7f1b3e5a7ca70fe4ff75f0.us-east-1.aws.found.io/app/kibana#/discover/Steve-Slow-Train-Analysis-(2080s-and-2083s)?_g=(refreshInterval:(display:Off,pause:!f,section:0,value:0),time:(from:'2017-09-12T19:42:34-0600',mode:absolute,to:'2017-09-12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/stypes="*4057*201709130*" /stext=" 03:.+((SYSTEM_STATE.+slice.+state.+changed )|(ment ac)|(multiple cpu faults)|(system.+state.+changed )|(\[timeout)|(PRM\|1\|D)|(kpr)|(kdp)|(train st.+moving)|(\|lc)|(penalty))"</v>
      </c>
      <c r="U9" s="9" t="str">
        <f>MID(B9,13,4)</f>
        <v>4057</v>
      </c>
      <c r="V9" s="31">
        <f>A9-utc_offset/24</f>
        <v>42991.13453703704</v>
      </c>
      <c r="W9" s="45" t="str">
        <f>DetSubdiv(C9)</f>
        <v>EC</v>
      </c>
      <c r="X9" s="22">
        <f>VALUE(LEFT(C9,LEN(C9)-3))</f>
        <v>226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Arrival","project_id":79,"tracker_id":40,"status_id":1,"priority_id":2,"assigned_to_id":338,"start_date":"2017-09-12","description":"","custom_fields":[{"id":1,"name":"Subdivision","value":"EC"},{"id":4,"name":"Milepost","value":"10.9135"},{"id":17,"name":"Train ID","value":"226-12"},{"id":16,"name":"Locomotive ID","value":"4057"},{"id":130,"name":"Impact","value":""},{"id":150,"name":"Time of Event (Mountain Time)","value":"21:13:44"},{"id":151,"name":"Denver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/c/Users/stu/AppData/Local/Temp/OnboardLogs/RTDC4057 --include="*4057*201709130*"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"%USERPROFILE%\AppData\Local\Temp\OnboardLogs"\RTDC4057\*4057*201709130* &gt;&gt; 2017-09-12-SliceDisagreementCheck.txt</v>
      </c>
      <c r="AE9" s="145" t="str">
        <f t="shared" si="1"/>
        <v>start /low /b %USERPROFILE%\Documents\GitHub\eaglep3\Utilities\DownloadLogsFromS3.py --loco 4057 --day 2017-09-13</v>
      </c>
    </row>
    <row r="10" spans="1:32" s="1" customFormat="1" x14ac:dyDescent="0.25">
      <c r="A10" s="31">
        <v>42990.593136574076</v>
      </c>
      <c r="B10" s="30" t="s">
        <v>585</v>
      </c>
      <c r="C10" s="30" t="s">
        <v>600</v>
      </c>
      <c r="D10" s="30" t="s">
        <v>96</v>
      </c>
      <c r="E10" s="30" t="s">
        <v>187</v>
      </c>
      <c r="F10" s="42">
        <v>440</v>
      </c>
      <c r="G10" s="42">
        <v>494</v>
      </c>
      <c r="H10" s="42">
        <v>108997</v>
      </c>
      <c r="I10" s="42">
        <v>107195</v>
      </c>
      <c r="J10" s="30" t="s">
        <v>188</v>
      </c>
      <c r="K10" s="42">
        <v>109135</v>
      </c>
      <c r="L10" s="131" t="s">
        <v>51</v>
      </c>
      <c r="M10" s="132">
        <f>CONVERT((I10-K10)/10000,"mi","ft")*IF(L10="Increasing Mileposts (1)",-1,1)</f>
        <v>-1024.32</v>
      </c>
      <c r="N10" s="133" t="str">
        <f>VLOOKUP(C10,'Trips&amp;Operators'!$C$1:$G$99911,5,FALSE)</f>
        <v>BRUDER RICHARD</v>
      </c>
      <c r="O10" s="200" t="s">
        <v>180</v>
      </c>
      <c r="P10" s="134" t="s">
        <v>372</v>
      </c>
      <c r="Q10" s="30"/>
      <c r="R10" s="81" t="str">
        <f>VLOOKUP(C10,'Train Runs'!$A$13:$AE$9940,31,0)</f>
        <v>aws s3 cp s3://rtdc.mdm.uploadarchive.raw/RTDC4057/ "%USERPROFILE%\AppData\Local\Temp\OnboardLogs"\RTDC4057\2017-09-12 --exclude "*" --recursive --include "*20170912*" &amp; "%USERPROFILE%\Documents\GitHub\mrs-test-scripts\Headless Mode &amp; Sideloading\WalkAndUnGZ.bat" "%USERPROFILE%\AppData\Local\Temp\OnboardLogs"\RTDC4057\2017-09-12 &amp; 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</v>
      </c>
      <c r="S10" s="84" t="str">
        <f>VLOOKUP(C10,'Train Runs'!$A$13:$AE$9940,22,0)</f>
        <v>https://d0f6bd738d7f1b3e5a7ca70fe4ff75f0.us-east-1.aws.found.io/app/kibana#/discover/Steve-Slow-Train-Analysis-(2080s-and-2083s)?_g=(refreshInterval:(display:Off,pause:!f,section:0,value:0),time:(from:'2017-09-12T12:52:58-0600',mode:absolute,to:'2017-09-12T15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/stypes="*4057*201709122*" /stext=" 20:.+((SYSTEM_STATE.+slice.+state.+changed )|(ment ac)|(multiple cpu faults)|(system.+state.+changed )|(\[timeout)|(PRM\|1\|D)|(kpr)|(kdp)|(train st.+moving)|(\|lc)|(penalty))"</v>
      </c>
      <c r="U10" s="9" t="str">
        <f>MID(B10,13,4)</f>
        <v>4057</v>
      </c>
      <c r="V10" s="31">
        <f>A10-utc_offset/24</f>
        <v>42990.843136574076</v>
      </c>
      <c r="W10" s="45" t="str">
        <f>DetSubdiv(C10)</f>
        <v>EC</v>
      </c>
      <c r="X10" s="22">
        <f>VALUE(LEFT(C10,LEN(C10)-3))</f>
        <v>176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Arrival","project_id":79,"tracker_id":40,"status_id":1,"priority_id":2,"assigned_to_id":338,"start_date":"2017-09-12","description":"","custom_fields":[{"id":1,"name":"Subdivision","value":"EC"},{"id":4,"name":"Milepost","value":"10.9135"},{"id":17,"name":"Train ID","value":"176-12"},{"id":16,"name":"Locomotive ID","value":"4057"},{"id":130,"name":"Impact","value":""},{"id":150,"name":"Time of Event (Mountain Time)","value":"14:14:07"},{"id":151,"name":"Denver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/c/Users/stu/AppData/Local/Temp/OnboardLogs/RTDC4057 --include="*4057*201709122*"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"%USERPROFILE%\AppData\Local\Temp\OnboardLogs"\RTDC4057\*4057*201709122* &gt;&gt; 2017-09-12-SliceDisagreementCheck.txt</v>
      </c>
      <c r="AE10" s="145" t="str">
        <f t="shared" si="1"/>
        <v>start /low /b %USERPROFILE%\Documents\GitHub\eaglep3\Utilities\DownloadLogsFromS3.py --loco 4057 --day 2017-09-12</v>
      </c>
    </row>
    <row r="11" spans="1:32" s="1" customFormat="1" x14ac:dyDescent="0.25">
      <c r="A11" s="31">
        <v>42990.200474537036</v>
      </c>
      <c r="B11" s="30" t="s">
        <v>575</v>
      </c>
      <c r="C11" s="30" t="s">
        <v>576</v>
      </c>
      <c r="D11" s="30" t="s">
        <v>49</v>
      </c>
      <c r="E11" s="30" t="s">
        <v>195</v>
      </c>
      <c r="F11" s="42">
        <v>400</v>
      </c>
      <c r="G11" s="42">
        <v>554</v>
      </c>
      <c r="H11" s="42">
        <v>15672</v>
      </c>
      <c r="I11" s="42">
        <v>17899</v>
      </c>
      <c r="J11" s="30" t="s">
        <v>196</v>
      </c>
      <c r="K11" s="42">
        <v>17867</v>
      </c>
      <c r="L11" s="131" t="s">
        <v>50</v>
      </c>
      <c r="M11" s="132">
        <f>CONVERT((I11-K11)/10000,"mi","ft")*IF(L11="Increasing Mileposts (1)",-1,1)</f>
        <v>-16.896000000000001</v>
      </c>
      <c r="N11" s="133" t="str">
        <f>VLOOKUP(C11,'Trips&amp;Operators'!$C$1:$G$99911,5,FALSE)</f>
        <v>LAMAR NEKESHA</v>
      </c>
      <c r="O11" s="200" t="s">
        <v>180</v>
      </c>
      <c r="P11" s="134"/>
      <c r="Q11" s="30"/>
      <c r="R11" s="81" t="str">
        <f>VLOOKUP(C11,'Train Runs'!$A$13:$AE$9940,31,0)</f>
        <v>aws s3 cp s3://rtdc.mdm.uploadarchive.raw/RTDC4028/ "%USERPROFILE%\AppData\Local\Temp\OnboardLogs"\RTDC4028\2017-09-12 --exclude "*" --recursive --include "*20170912*" &amp; "%USERPROFILE%\Documents\GitHub\mrs-test-scripts\Headless Mode &amp; Sideloading\WalkAndUnGZ.bat" "%USERPROFILE%\AppData\Local\Temp\OnboardLogs"\RTDC4028\2017-09-12 &amp; 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</v>
      </c>
      <c r="S11" s="84" t="str">
        <f>VLOOKUP(C11,'Train Runs'!$A$13:$AE$9940,22,0)</f>
        <v>https://d0f6bd738d7f1b3e5a7ca70fe4ff75f0.us-east-1.aws.found.io/app/kibana#/discover/Steve-Slow-Train-Analysis-(2080s-and-2083s)?_g=(refreshInterval:(display:Off,pause:!f,section:0,value:0),time:(from:'2017-09-12T03:41:48-0600',mode:absolute,to:'2017-09-12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/stypes="*4028*201709121*" /stext=" 10:.+((SYSTEM_STATE.+slice.+state.+changed )|(ment ac)|(multiple cpu faults)|(system.+state.+changed )|(\[timeout)|(PRM\|1\|D)|(kpr)|(kdp)|(train st.+moving)|(\|lc)|(penalty))"</v>
      </c>
      <c r="U11" s="9" t="str">
        <f>MID(B11,13,4)</f>
        <v>4028</v>
      </c>
      <c r="V11" s="31">
        <f>A11-utc_offset/24</f>
        <v>42990.450474537036</v>
      </c>
      <c r="W11" s="45" t="str">
        <f>DetSubdiv(C11)</f>
        <v>EC</v>
      </c>
      <c r="X11" s="22">
        <f>VALUE(LEFT(C11,LEN(C11)-3))</f>
        <v>109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{"issue":{"subject":"","project_id":79,"tracker_id":40,"status_id":1,"priority_id":2,"assigned_to_id":338,"start_date":"2017-09-12","description":"","custom_fields":[{"id":1,"name":"Subdivision","value":"EC"},{"id":4,"name":"Milepost","value":"1.7867"},{"id":17,"name":"Train ID","value":"109-12"},{"id":16,"name":"Locomotive ID","value":"4028"},{"id":130,"name":"Impact","value":""},{"id":150,"name":"Time of Event (Mountain Time)","value":"04:48:41"},{"id":151,"name":"Denver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/c/Users/stu/AppData/Local/Temp/OnboardLogs/RTDC4028 --include="*4028*201709121*"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"%USERPROFILE%\AppData\Local\Temp\OnboardLogs"\RTDC4028\*4028*201709121* &gt;&gt; 2017-09-12-SliceDisagreementCheck.txt</v>
      </c>
      <c r="AE11" s="145" t="str">
        <f t="shared" si="1"/>
        <v>start /low /b %USERPROFILE%\Documents\GitHub\eaglep3\Utilities\DownloadLogsFromS3.py --loco 4028 --day 2017-09-12</v>
      </c>
    </row>
    <row r="12" spans="1:32" x14ac:dyDescent="0.25">
      <c r="A12" s="31">
        <v>42990.372743055559</v>
      </c>
      <c r="B12" s="30" t="s">
        <v>579</v>
      </c>
      <c r="C12" s="30" t="s">
        <v>584</v>
      </c>
      <c r="D12" s="30" t="s">
        <v>49</v>
      </c>
      <c r="E12" s="30" t="s">
        <v>195</v>
      </c>
      <c r="F12" s="42">
        <v>200</v>
      </c>
      <c r="G12" s="42">
        <v>282</v>
      </c>
      <c r="H12" s="42">
        <v>31515</v>
      </c>
      <c r="I12" s="42">
        <v>30924</v>
      </c>
      <c r="J12" s="30" t="s">
        <v>196</v>
      </c>
      <c r="K12" s="42">
        <v>30562</v>
      </c>
      <c r="L12" s="131" t="s">
        <v>51</v>
      </c>
      <c r="M12" s="132">
        <f>CONVERT((I12-K12)/10000,"mi","ft")*IF(L12="Increasing Mileposts (1)",-1,1)</f>
        <v>191.136</v>
      </c>
      <c r="N12" s="133" t="str">
        <f>VLOOKUP(C12,'Trips&amp;Operators'!$C$1:$G$99911,5,FALSE)</f>
        <v>MACDONALD THOMAS</v>
      </c>
      <c r="O12" s="200" t="s">
        <v>180</v>
      </c>
      <c r="P12" s="134"/>
      <c r="Q12" s="30"/>
      <c r="R12" s="81" t="str">
        <f>VLOOKUP(C12,'Train Runs'!$A$13:$AE$9940,31,0)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S12" s="84" t="str">
        <f>VLOOKUP(C12,'Train Runs'!$A$13:$AE$9940,22,0)</f>
        <v>https://d0f6bd738d7f1b3e5a7ca70fe4ff75f0.us-east-1.aws.found.io/app/kibana#/discover/Steve-Slow-Train-Analysis-(2080s-and-2083s)?_g=(refreshInterval:(display:Off,pause:!f,section:0,value:0),time:(from:'2017-09-12T07:25:53-0600',mode:absolute,to:'2017-09-12T10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/stypes="*4033*201709121*" /stext=" 14:.+((SYSTEM_STATE.+slice.+state.+changed )|(ment ac)|(multiple cpu faults)|(system.+state.+changed )|(\[timeout)|(PRM\|1\|D)|(kpr)|(kdp)|(train st.+moving)|(\|lc)|(penalty))"</v>
      </c>
      <c r="U12" s="9" t="str">
        <f>MID(B12,13,4)</f>
        <v>4033</v>
      </c>
      <c r="V12" s="31">
        <f>A12-utc_offset/24</f>
        <v>42990.622743055559</v>
      </c>
      <c r="W12" s="45" t="str">
        <f>DetSubdiv(C12)</f>
        <v>EC</v>
      </c>
      <c r="X12" s="22">
        <f>VALUE(LEFT(C12,LEN(C12)-3))</f>
        <v>132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{"issue":{"subject":"","project_id":79,"tracker_id":40,"status_id":1,"priority_id":2,"assigned_to_id":338,"start_date":"2017-09-12","description":"","custom_fields":[{"id":1,"name":"Subdivision","value":"EC"},{"id":4,"name":"Milepost","value":"3.0562"},{"id":17,"name":"Train ID","value":"132-12"},{"id":16,"name":"Locomotive ID","value":"4033"},{"id":130,"name":"Impact","value":""},{"id":150,"name":"Time of Event (Mountain Time)","value":"08:56:45"},{"id":151,"name":"Denver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/c/Users/stu/AppData/Local/Temp/OnboardLogs/RTDC4033 --include="*4033*201709121*"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"%USERPROFILE%\AppData\Local\Temp\OnboardLogs"\RTDC4033\*4033*201709121* &gt;&gt; 2017-09-12-SliceDisagreementCheck.txt</v>
      </c>
      <c r="AE12" s="145" t="str">
        <f t="shared" si="1"/>
        <v>start /low /b %USERPROFILE%\Documents\GitHub\eaglep3\Utilities\DownloadLogsFromS3.py --loco 4033 --day 2017-09-12</v>
      </c>
      <c r="AF12" s="1"/>
    </row>
    <row r="13" spans="1:32" x14ac:dyDescent="0.25">
      <c r="A13" s="31">
        <v>42990.539664351854</v>
      </c>
      <c r="B13" s="30" t="s">
        <v>412</v>
      </c>
      <c r="C13" s="30" t="s">
        <v>598</v>
      </c>
      <c r="D13" s="30" t="s">
        <v>49</v>
      </c>
      <c r="E13" s="30" t="s">
        <v>195</v>
      </c>
      <c r="F13" s="42">
        <v>400</v>
      </c>
      <c r="G13" s="42">
        <v>480</v>
      </c>
      <c r="H13" s="42">
        <v>120878</v>
      </c>
      <c r="I13" s="42">
        <v>119546</v>
      </c>
      <c r="J13" s="30" t="s">
        <v>196</v>
      </c>
      <c r="K13" s="42">
        <v>119716</v>
      </c>
      <c r="L13" s="131" t="s">
        <v>51</v>
      </c>
      <c r="M13" s="132">
        <f>CONVERT((I13-K13)/10000,"mi","ft")*IF(L13="Increasing Mileposts (1)",-1,1)</f>
        <v>-89.76</v>
      </c>
      <c r="N13" s="133" t="str">
        <f>VLOOKUP(C13,'Trips&amp;Operators'!$C$1:$G$99911,5,FALSE)</f>
        <v>LEVIN SCOTT</v>
      </c>
      <c r="O13" s="200" t="s">
        <v>180</v>
      </c>
      <c r="P13" s="134"/>
      <c r="Q13" s="30"/>
      <c r="R13" s="81" t="str">
        <f>VLOOKUP(C13,'Train Runs'!$A$13:$AE$9940,31,0)</f>
        <v>aws s3 cp s3://rtdc.mdm.uploadarchive.raw/RTDC4031/ "%USERPROFILE%\AppData\Local\Temp\OnboardLogs"\RTDC4031\2017-09-12 --exclude "*" --recursive --include "*20170912*" &amp; "%USERPROFILE%\Documents\GitHub\mrs-test-scripts\Headless Mode &amp; Sideloading\WalkAndUnGZ.bat" "%USERPROFILE%\AppData\Local\Temp\OnboardLogs"\RTDC4031\2017-09-12 &amp; aws s3 cp s3://rtdc.mdm.uploadarchive.raw/RTDC4031/ "%USERPROFILE%\AppData\Local\Temp\OnboardLogs"\RTDC4031\2017-09-13 --exclude "*" --recursive --include "*20170913*" &amp; "%USERPROFILE%\Documents\GitHub\mrs-test-scripts\Headless Mode &amp; Sideloading\WalkAndUnGZ.bat" "%USERPROFILE%\AppData\Local\Temp\OnboardLogs"\RTDC4031\2017-09-13</v>
      </c>
      <c r="S13" s="84" t="str">
        <f>VLOOKUP(C13,'Train Runs'!$A$13:$AE$9940,22,0)</f>
        <v>https://d0f6bd738d7f1b3e5a7ca70fe4ff75f0.us-east-1.aws.found.io/app/kibana#/discover/Steve-Slow-Train-Analysis-(2080s-and-2083s)?_g=(refreshInterval:(display:Off,pause:!f,section:0,value:0),time:(from:'2017-09-12T11:36:55-0600',mode:absolute,to:'2017-09-12T14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/stypes="*4031*201709121*" /stext=" 18:.+((SYSTEM_STATE.+slice.+state.+changed )|(ment ac)|(multiple cpu faults)|(system.+state.+changed )|(\[timeout)|(PRM\|1\|D)|(kpr)|(kdp)|(train st.+moving)|(\|lc)|(penalty))"</v>
      </c>
      <c r="U13" s="9" t="str">
        <f>MID(B13,13,4)</f>
        <v>4031</v>
      </c>
      <c r="V13" s="31">
        <f>A13-utc_offset/24</f>
        <v>42990.789664351854</v>
      </c>
      <c r="W13" s="45" t="str">
        <f>DetSubdiv(C13)</f>
        <v>EC</v>
      </c>
      <c r="X13" s="22">
        <f>VALUE(LEFT(C13,LEN(C13)-3))</f>
        <v>166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{"issue":{"subject":"","project_id":79,"tracker_id":40,"status_id":1,"priority_id":2,"assigned_to_id":338,"start_date":"2017-09-12","description":"","custom_fields":[{"id":1,"name":"Subdivision","value":"EC"},{"id":4,"name":"Milepost","value":"11.9716"},{"id":17,"name":"Train ID","value":"166-12"},{"id":16,"name":"Locomotive ID","value":"4031"},{"id":130,"name":"Impact","value":""},{"id":150,"name":"Time of Event (Mountain Time)","value":"12:57:07"},{"id":151,"name":"Denver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/c/Users/stu/AppData/Local/Temp/OnboardLogs/RTDC4031 --include="*4031*201709121*"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"%USERPROFILE%\AppData\Local\Temp\OnboardLogs"\RTDC4031\*4031*201709121* &gt;&gt; 2017-09-12-SliceDisagreementCheck.txt</v>
      </c>
      <c r="AE13" s="145" t="str">
        <f t="shared" si="1"/>
        <v>start /low /b %USERPROFILE%\Documents\GitHub\eaglep3\Utilities\DownloadLogsFromS3.py --loco 4031 --day 2017-09-12</v>
      </c>
      <c r="AF13" s="1"/>
    </row>
    <row r="14" spans="1:32" x14ac:dyDescent="0.25">
      <c r="A14" s="31">
        <v>42991.049988425926</v>
      </c>
      <c r="B14" s="30" t="s">
        <v>585</v>
      </c>
      <c r="C14" s="30" t="s">
        <v>612</v>
      </c>
      <c r="D14" s="30" t="s">
        <v>49</v>
      </c>
      <c r="E14" s="30" t="s">
        <v>195</v>
      </c>
      <c r="F14" s="42">
        <v>400</v>
      </c>
      <c r="G14" s="42">
        <v>567</v>
      </c>
      <c r="H14" s="42">
        <v>122591</v>
      </c>
      <c r="I14" s="42">
        <v>120611</v>
      </c>
      <c r="J14" s="30" t="s">
        <v>196</v>
      </c>
      <c r="K14" s="42">
        <v>119716</v>
      </c>
      <c r="L14" s="131" t="s">
        <v>51</v>
      </c>
      <c r="M14" s="132">
        <f>CONVERT((I14-K14)/10000,"mi","ft")*IF(L14="Increasing Mileposts (1)",-1,1)</f>
        <v>472.56</v>
      </c>
      <c r="N14" s="133" t="str">
        <f>VLOOKUP(C14,'Trips&amp;Operators'!$C$1:$G$99911,5,FALSE)</f>
        <v>PERKINS DARREN</v>
      </c>
      <c r="O14" s="200" t="s">
        <v>180</v>
      </c>
      <c r="P14" s="134"/>
      <c r="Q14" s="30"/>
      <c r="R14" s="81" t="str">
        <f>VLOOKUP(C14,'Train Runs'!$A$13:$AE$9940,31,0)</f>
        <v>aws s3 cp s3://rtdc.mdm.uploadarchive.raw/RTDC4057/ "%USERPROFILE%\AppData\Local\Temp\OnboardLogs"\RTDC4057\2017-09-13 --exclude "*" --recursive --include "*20170913*" &amp; "%USERPROFILE%\Documents\GitHub\mrs-test-scripts\Headless Mode &amp; Sideloading\WalkAndUnGZ.bat" "%USERPROFILE%\AppData\Local\Temp\OnboardLogs"\RTDC4057\2017-09-13 &amp; aws s3 cp s3://rtdc.mdm.uploadarchive.raw/RTDC4057/ "%USERPROFILE%\AppData\Local\Temp\OnboardLogs"\RTDC4057\2017-09-14 --exclude "*" --recursive --include "*20170914*" &amp; "%USERPROFILE%\Documents\GitHub\mrs-test-scripts\Headless Mode &amp; Sideloading\WalkAndUnGZ.bat" "%USERPROFILE%\AppData\Local\Temp\OnboardLogs"\RTDC4057\2017-09-14</v>
      </c>
      <c r="S14" s="84" t="str">
        <f>VLOOKUP(C14,'Train Runs'!$A$13:$AE$9940,22,0)</f>
        <v>https://d0f6bd738d7f1b3e5a7ca70fe4ff75f0.us-east-1.aws.found.io/app/kibana#/discover/Steve-Slow-Train-Analysis-(2080s-and-2083s)?_g=(refreshInterval:(display:Off,pause:!f,section:0,value:0),time:(from:'2017-09-12T23:41:36-0600',mode:absolute,to:'2017-09-13T02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/stypes="*4057*201709130*" /stext=" 07:.+((SYSTEM_STATE.+slice.+state.+changed )|(ment ac)|(multiple cpu faults)|(system.+state.+changed )|(\[timeout)|(PRM\|1\|D)|(kpr)|(kdp)|(train st.+moving)|(\|lc)|(penalty))"</v>
      </c>
      <c r="U14" s="9" t="str">
        <f>MID(B14,13,4)</f>
        <v>4057</v>
      </c>
      <c r="V14" s="31">
        <f>A14-utc_offset/24</f>
        <v>42991.299988425926</v>
      </c>
      <c r="W14" s="45" t="str">
        <f>DetSubdiv(C14)</f>
        <v>EC</v>
      </c>
      <c r="X14" s="22">
        <f>VALUE(LEFT(C14,LEN(C14)-3))</f>
        <v>242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{"issue":{"subject":"","project_id":79,"tracker_id":40,"status_id":1,"priority_id":2,"assigned_to_id":338,"start_date":"2017-09-13","description":"","custom_fields":[{"id":1,"name":"Subdivision","value":"EC"},{"id":4,"name":"Milepost","value":"11.9716"},{"id":17,"name":"Train ID","value":"242-12"},{"id":16,"name":"Locomotive ID","value":"4057"},{"id":130,"name":"Impact","value":""},{"id":150,"name":"Time of Event (Mountain Time)","value":"01:11:59"},{"id":151,"name":"Denver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/c/Users/stu/AppData/Local/Temp/OnboardLogs/RTDC4057 --include="*4057*201709130*"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"%USERPROFILE%\AppData\Local\Temp\OnboardLogs"\RTDC4057\*4057*201709130* &gt;&gt; 2017-09-12-SliceDisagreementCheck.txt</v>
      </c>
      <c r="AE14" s="145" t="str">
        <f t="shared" si="1"/>
        <v>start /low /b %USERPROFILE%\Documents\GitHub\eaglep3\Utilities\DownloadLogsFromS3.py --loco 4057 --day 2017-09-13</v>
      </c>
      <c r="AF14" s="1"/>
    </row>
    <row r="15" spans="1:32" x14ac:dyDescent="0.25">
      <c r="A15" s="31">
        <v>42990.420416666668</v>
      </c>
      <c r="B15" s="30" t="s">
        <v>575</v>
      </c>
      <c r="C15" s="30" t="s">
        <v>590</v>
      </c>
      <c r="D15" s="30" t="s">
        <v>49</v>
      </c>
      <c r="E15" s="30" t="s">
        <v>363</v>
      </c>
      <c r="F15" s="42">
        <v>0</v>
      </c>
      <c r="G15" s="42">
        <v>287</v>
      </c>
      <c r="H15" s="42">
        <v>20077</v>
      </c>
      <c r="I15" s="42">
        <v>20861</v>
      </c>
      <c r="J15" s="30" t="s">
        <v>364</v>
      </c>
      <c r="K15" s="42">
        <v>20617</v>
      </c>
      <c r="L15" s="131" t="s">
        <v>50</v>
      </c>
      <c r="M15" s="132">
        <f>CONVERT((I15-K15)/10000,"mi","ft")*IF(L15="Increasing Mileposts (1)",-1,1)</f>
        <v>-128.83199999999999</v>
      </c>
      <c r="N15" s="133" t="str">
        <f>VLOOKUP(C15,'Trips&amp;Operators'!$C$1:$G$99911,5,FALSE)</f>
        <v>LAMAR NEKESHA</v>
      </c>
      <c r="O15" s="200" t="s">
        <v>366</v>
      </c>
      <c r="P15" s="223" t="s">
        <v>482</v>
      </c>
      <c r="Q15" s="30"/>
      <c r="R15" s="81" t="str">
        <f>VLOOKUP(C15,'Train Runs'!$A$13:$AE$9940,31,0)</f>
        <v>aws s3 cp s3://rtdc.mdm.uploadarchive.raw/RTDC4028/ "%USERPROFILE%\AppData\Local\Temp\OnboardLogs"\RTDC4028\2017-09-12 --exclude "*" --recursive --include "*20170912*" &amp; "%USERPROFILE%\Documents\GitHub\mrs-test-scripts\Headless Mode &amp; Sideloading\WalkAndUnGZ.bat" "%USERPROFILE%\AppData\Local\Temp\OnboardLogs"\RTDC4028\2017-09-12 &amp; aws s3 cp s3://rtdc.mdm.uploadarchive.raw/RTDC4028/ "%USERPROFILE%\AppData\Local\Temp\OnboardLogs"\RTDC4028\2017-09-13 --exclude "*" --recursive --include "*20170913*" &amp; "%USERPROFILE%\Documents\GitHub\mrs-test-scripts\Headless Mode &amp; Sideloading\WalkAndUnGZ.bat" "%USERPROFILE%\AppData\Local\Temp\OnboardLogs"\RTDC4028\2017-09-13</v>
      </c>
      <c r="S15" s="84" t="str">
        <f>VLOOKUP(C15,'Train Runs'!$A$13:$AE$9940,22,0)</f>
        <v>https://d0f6bd738d7f1b3e5a7ca70fe4ff75f0.us-east-1.aws.found.io/app/kibana#/discover/Steve-Slow-Train-Analysis-(2080s-and-2083s)?_g=(refreshInterval:(display:Off,pause:!f,section:0,value:0),time:(from:'2017-09-12T08:55:54-0600',mode:absolute,to:'2017-09-12T11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/stypes="*4028*201709121*" /stext=" 16:.+((SYSTEM_STATE.+slice.+state.+changed )|(ment ac)|(multiple cpu faults)|(system.+state.+changed )|(\[timeout)|(PRM\|1\|D)|(kpr)|(kdp)|(train st.+moving)|(\|lc)|(penalty))"</v>
      </c>
      <c r="U15" s="9" t="str">
        <f>MID(B15,13,4)</f>
        <v>4028</v>
      </c>
      <c r="V15" s="31">
        <f>A15-utc_offset/24</f>
        <v>42990.670416666668</v>
      </c>
      <c r="W15" s="45" t="str">
        <f>DetSubdiv(C15)</f>
        <v>EC</v>
      </c>
      <c r="X15" s="22">
        <f>VALUE(LEFT(C15,LEN(C15)-3))</f>
        <v>151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drop","project_id":79,"tracker_id":40,"status_id":1,"priority_id":2,"assigned_to_id":338,"start_date":"2017-09-12","description":"","custom_fields":[{"id":1,"name":"Subdivision","value":"EC"},{"id":4,"name":"Milepost","value":"2.0617"},{"id":17,"name":"Train ID","value":"151-12"},{"id":16,"name":"Locomotive ID","value":"4028"},{"id":130,"name":"Impact","value":""},{"id":150,"name":"Time of Event (Mountain Time)","value":"10:05:24"},{"id":151,"name":"Denver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/c/Users/stu/AppData/Local/Temp/OnboardLogs/RTDC4028 --include="*4028*201709121*"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"%USERPROFILE%\AppData\Local\Temp\OnboardLogs"\RTDC4028\*4028*201709121* &gt;&gt; 2017-09-12-SliceDisagreementCheck.txt</v>
      </c>
      <c r="AE15" s="145" t="str">
        <f t="shared" si="1"/>
        <v>start /low /b %USERPROFILE%\Documents\GitHub\eaglep3\Utilities\DownloadLogsFromS3.py --loco 4028 --day 2017-09-12</v>
      </c>
      <c r="AF15" s="1"/>
    </row>
    <row r="16" spans="1:32" x14ac:dyDescent="0.25">
      <c r="A16" s="31">
        <v>42990.722581018519</v>
      </c>
      <c r="B16" s="30" t="s">
        <v>605</v>
      </c>
      <c r="C16" s="30" t="s">
        <v>606</v>
      </c>
      <c r="D16" s="30" t="s">
        <v>49</v>
      </c>
      <c r="E16" s="30" t="s">
        <v>363</v>
      </c>
      <c r="F16" s="42">
        <v>0</v>
      </c>
      <c r="G16" s="42">
        <v>40</v>
      </c>
      <c r="H16" s="42">
        <v>64076</v>
      </c>
      <c r="I16" s="42">
        <v>64066</v>
      </c>
      <c r="J16" s="30" t="s">
        <v>364</v>
      </c>
      <c r="K16" s="42">
        <v>64008</v>
      </c>
      <c r="L16" s="131" t="s">
        <v>51</v>
      </c>
      <c r="M16" s="132">
        <f>CONVERT((I16-K16)/10000,"mi","ft")*IF(L16="Increasing Mileposts (1)",-1,1)</f>
        <v>30.623999999999999</v>
      </c>
      <c r="N16" s="133" t="str">
        <f>VLOOKUP(C16,'Trips&amp;Operators'!$C$1:$G$99911,5,FALSE)</f>
        <v>DAVIS MICHAEL</v>
      </c>
      <c r="O16" s="200" t="s">
        <v>366</v>
      </c>
      <c r="P16" s="223" t="s">
        <v>482</v>
      </c>
      <c r="Q16" s="30"/>
      <c r="R16" s="81" t="str">
        <f>VLOOKUP(C16,'Train Runs'!$A$13:$AE$9940,31,0)</f>
        <v>aws s3 cp s3://rtdc.mdm.uploadarchive.raw/RTDC4001/ "%USERPROFILE%\AppData\Local\Temp\OnboardLogs"\RTDC4001\2017-09-12 --exclude "*" --recursive --include "*20170912*" &amp; "%USERPROFILE%\Documents\GitHub\mrs-test-scripts\Headless Mode &amp; Sideloading\WalkAndUnGZ.bat" "%USERPROFILE%\AppData\Local\Temp\OnboardLogs"\RTDC4001\2017-09-12 &amp; aws s3 cp s3://rtdc.mdm.uploadarchive.raw/RTDC4001/ "%USERPROFILE%\AppData\Local\Temp\OnboardLogs"\RTDC4001\2017-09-13 --exclude "*" --recursive --include "*20170913*" &amp; "%USERPROFILE%\Documents\GitHub\mrs-test-scripts\Headless Mode &amp; Sideloading\WalkAndUnGZ.bat" "%USERPROFILE%\AppData\Local\Temp\OnboardLogs"\RTDC4001\2017-09-13</v>
      </c>
      <c r="S16" s="84" t="str">
        <f>VLOOKUP(C16,'Train Runs'!$A$13:$AE$9940,22,0)</f>
        <v>https://d0f6bd738d7f1b3e5a7ca70fe4ff75f0.us-east-1.aws.found.io/app/kibana#/discover/Steve-Slow-Train-Analysis-(2080s-and-2083s)?_g=(refreshInterval:(display:Off,pause:!f,section:0,value:0),time:(from:'2017-09-12T15:53:30-0600',mode:absolute,to:'2017-09-12T18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/stypes="*4001*201709122*" /stext=" 23:.+((SYSTEM_STATE.+slice.+state.+changed )|(ment ac)|(multiple cpu faults)|(system.+state.+changed )|(\[timeout)|(PRM\|1\|D)|(kpr)|(kdp)|(train st.+moving)|(\|lc)|(penalty))"</v>
      </c>
      <c r="U16" s="9" t="str">
        <f>MID(B16,13,4)</f>
        <v>4001</v>
      </c>
      <c r="V16" s="31">
        <f>A16-utc_offset/24</f>
        <v>42990.972581018519</v>
      </c>
      <c r="W16" s="45" t="str">
        <f>DetSubdiv(C16)</f>
        <v>EC</v>
      </c>
      <c r="X16" s="22">
        <f>VALUE(LEFT(C16,LEN(C16)-3))</f>
        <v>200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drop","project_id":79,"tracker_id":40,"status_id":1,"priority_id":2,"assigned_to_id":338,"start_date":"2017-09-12","description":"","custom_fields":[{"id":1,"name":"Subdivision","value":"EC"},{"id":4,"name":"Milepost","value":"6.4008"},{"id":17,"name":"Train ID","value":"200-12"},{"id":16,"name":"Locomotive ID","value":"4001"},{"id":130,"name":"Impact","value":""},{"id":150,"name":"Time of Event (Mountain Time)","value":"17:20:31"},{"id":151,"name":"Denver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/c/Users/stu/AppData/Local/Temp/OnboardLogs/RTDC4001 --include="*4001*201709122*"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"%USERPROFILE%\AppData\Local\Temp\OnboardLogs"\RTDC4001\*4001*201709122* &gt;&gt; 2017-09-12-SliceDisagreementCheck.txt</v>
      </c>
      <c r="AE16" s="145" t="str">
        <f t="shared" si="1"/>
        <v>start /low /b %USERPROFILE%\Documents\GitHub\eaglep3\Utilities\DownloadLogsFromS3.py --loco 4001 --day 2017-09-12</v>
      </c>
      <c r="AF16" s="1"/>
    </row>
    <row r="17" spans="1:32" x14ac:dyDescent="0.25">
      <c r="A17" s="31">
        <v>42990.306435185186</v>
      </c>
      <c r="B17" s="30" t="s">
        <v>579</v>
      </c>
      <c r="C17" s="30" t="s">
        <v>580</v>
      </c>
      <c r="D17" s="30" t="s">
        <v>49</v>
      </c>
      <c r="E17" s="30" t="s">
        <v>181</v>
      </c>
      <c r="F17" s="42">
        <v>0</v>
      </c>
      <c r="G17" s="42">
        <v>82</v>
      </c>
      <c r="H17" s="42">
        <v>329</v>
      </c>
      <c r="I17" s="42">
        <v>232</v>
      </c>
      <c r="J17" s="30" t="s">
        <v>182</v>
      </c>
      <c r="K17" s="42">
        <v>1</v>
      </c>
      <c r="L17" s="131" t="s">
        <v>51</v>
      </c>
      <c r="M17" s="132">
        <f>CONVERT((I17-K17)/10000,"mi","ft")*IF(L17="Increasing Mileposts (1)",-1,1)</f>
        <v>121.968</v>
      </c>
      <c r="N17" s="133" t="str">
        <f>VLOOKUP(C17,'Trips&amp;Operators'!$C$1:$G$99911,5,FALSE)</f>
        <v>MACDONALD THOMAS</v>
      </c>
      <c r="O17" s="200" t="s">
        <v>180</v>
      </c>
      <c r="P17" s="134"/>
      <c r="Q17" s="30"/>
      <c r="R17" s="81" t="str">
        <f>VLOOKUP(C17,'Train Runs'!$A$13:$AE$9940,31,0)</f>
        <v>aws s3 cp s3://rtdc.mdm.uploadarchive.raw/RTDC4033/ "%USERPROFILE%\AppData\Local\Temp\OnboardLogs"\RTDC4033\2017-09-12 --exclude "*" --recursive --include "*20170912*" &amp; "%USERPROFILE%\Documents\GitHub\mrs-test-scripts\Headless Mode &amp; Sideloading\WalkAndUnGZ.bat" "%USERPROFILE%\AppData\Local\Temp\OnboardLogs"\RTDC4033\2017-09-12 &amp; aws s3 cp s3://rtdc.mdm.uploadarchive.raw/RTDC4033/ "%USERPROFILE%\AppData\Local\Temp\OnboardLogs"\RTDC4033\2017-09-13 --exclude "*" --recursive --include "*20170913*" &amp; "%USERPROFILE%\Documents\GitHub\mrs-test-scripts\Headless Mode &amp; Sideloading\WalkAndUnGZ.bat" "%USERPROFILE%\AppData\Local\Temp\OnboardLogs"\RTDC4033\2017-09-13</v>
      </c>
      <c r="S17" s="84" t="str">
        <f>VLOOKUP(C17,'Train Runs'!$A$13:$AE$9940,22,0)</f>
        <v>https://d0f6bd738d7f1b3e5a7ca70fe4ff75f0.us-east-1.aws.found.io/app/kibana#/discover/Steve-Slow-Train-Analysis-(2080s-and-2083s)?_g=(refreshInterval:(display:Off,pause:!f,section:0,value:0),time:(from:'2017-09-12T05:40:40-0600',mode:absolute,to:'2017-09-12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/stypes="*4033*201709121*" /stext=" 13:.+((SYSTEM_STATE.+slice.+state.+changed )|(ment ac)|(multiple cpu faults)|(system.+state.+changed )|(\[timeout)|(PRM\|1\|D)|(kpr)|(kdp)|(train st.+moving)|(\|lc)|(penalty))"</v>
      </c>
      <c r="U17" s="9" t="str">
        <f>MID(B17,13,4)</f>
        <v>4033</v>
      </c>
      <c r="V17" s="31">
        <f>A17-utc_offset/24</f>
        <v>42990.556435185186</v>
      </c>
      <c r="W17" s="45" t="str">
        <f>DetSubdiv(C17)</f>
        <v>EC</v>
      </c>
      <c r="X17" s="22">
        <f>VALUE(LEFT(C17,LEN(C17)-3))</f>
        <v>118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{"issue":{"subject":"","project_id":79,"tracker_id":40,"status_id":1,"priority_id":2,"assigned_to_id":338,"start_date":"2017-09-12","description":"","custom_fields":[{"id":1,"name":"Subdivision","value":"EC"},{"id":4,"name":"Milepost","value":"0.0001"},{"id":17,"name":"Train ID","value":"118-12"},{"id":16,"name":"Locomotive ID","value":"4033"},{"id":130,"name":"Impact","value":""},{"id":150,"name":"Time of Event (Mountain Time)","value":"07:21:16"},{"id":151,"name":"Denver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/c/Users/stu/AppData/Local/Temp/OnboardLogs/RTDC4033 --include="*4033*201709121*"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"%USERPROFILE%\AppData\Local\Temp\OnboardLogs"\RTDC4033\*4033*201709121* &gt;&gt; 2017-09-12-SliceDisagreementCheck.txt</v>
      </c>
      <c r="AE17" s="145" t="str">
        <f t="shared" si="1"/>
        <v>start /low /b %USERPROFILE%\Documents\GitHub\eaglep3\Utilities\DownloadLogsFromS3.py --loco 4033 --day 2017-09-12</v>
      </c>
      <c r="AF17" s="1"/>
    </row>
    <row r="18" spans="1:32" x14ac:dyDescent="0.25">
      <c r="A18" s="31">
        <v>42990.348182870373</v>
      </c>
      <c r="B18" s="30" t="s">
        <v>400</v>
      </c>
      <c r="C18" s="30" t="s">
        <v>583</v>
      </c>
      <c r="D18" s="30" t="s">
        <v>49</v>
      </c>
      <c r="E18" s="30" t="s">
        <v>181</v>
      </c>
      <c r="F18" s="42">
        <v>0</v>
      </c>
      <c r="G18" s="42">
        <v>50</v>
      </c>
      <c r="H18" s="42">
        <v>158</v>
      </c>
      <c r="I18" s="42">
        <v>116</v>
      </c>
      <c r="J18" s="30" t="s">
        <v>182</v>
      </c>
      <c r="K18" s="42">
        <v>1</v>
      </c>
      <c r="L18" s="131" t="s">
        <v>51</v>
      </c>
      <c r="M18" s="132">
        <f>CONVERT((I18-K18)/10000,"mi","ft")*IF(L18="Increasing Mileposts (1)",-1,1)</f>
        <v>60.72</v>
      </c>
      <c r="N18" s="133" t="str">
        <f>VLOOKUP(C18,'Trips&amp;Operators'!$C$1:$G$99911,5,FALSE)</f>
        <v>ACKERMAN JARED</v>
      </c>
      <c r="O18" s="200" t="s">
        <v>180</v>
      </c>
      <c r="P18" s="134"/>
      <c r="Q18" s="30"/>
      <c r="R18" s="81" t="str">
        <f>VLOOKUP(C18,'Train Runs'!$A$13:$AE$9940,31,0)</f>
        <v>aws s3 cp s3://rtdc.mdm.uploadarchive.raw/RTDC4061/ "%USERPROFILE%\AppData\Local\Temp\OnboardLogs"\RTDC4061\2017-09-12 --exclude "*" --recursive --include "*20170912*" &amp; "%USERPROFILE%\Documents\GitHub\mrs-test-scripts\Headless Mode &amp; Sideloading\WalkAndUnGZ.bat" "%USERPROFILE%\AppData\Local\Temp\OnboardLogs"\RTDC4061\2017-09-12 &amp; aws s3 cp s3://rtdc.mdm.uploadarchive.raw/RTDC4061/ "%USERPROFILE%\AppData\Local\Temp\OnboardLogs"\RTDC4061\2017-09-13 --exclude "*" --recursive --include "*20170913*" &amp; "%USERPROFILE%\Documents\GitHub\mrs-test-scripts\Headless Mode &amp; Sideloading\WalkAndUnGZ.bat" "%USERPROFILE%\AppData\Local\Temp\OnboardLogs"\RTDC4061\2017-09-13</v>
      </c>
      <c r="S18" s="84" t="str">
        <f>VLOOKUP(C18,'Train Runs'!$A$13:$AE$9940,22,0)</f>
        <v>https://d0f6bd738d7f1b3e5a7ca70fe4ff75f0.us-east-1.aws.found.io/app/kibana#/discover/Steve-Slow-Train-Analysis-(2080s-and-2083s)?_g=(refreshInterval:(display:Off,pause:!f,section:0,value:0),time:(from:'2017-09-12T06:30:08-0600',mode:absolute,to:'2017-09-12T09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/stypes="*4061*201709121*" /stext=" 14:.+((SYSTEM_STATE.+slice.+state.+changed )|(ment ac)|(multiple cpu faults)|(system.+state.+changed )|(\[timeout)|(PRM\|1\|D)|(kpr)|(kdp)|(train st.+moving)|(\|lc)|(penalty))"</v>
      </c>
      <c r="U18" s="9" t="str">
        <f>MID(B18,13,4)</f>
        <v>4061</v>
      </c>
      <c r="V18" s="31">
        <f>A18-utc_offset/24</f>
        <v>42990.598182870373</v>
      </c>
      <c r="W18" s="45" t="str">
        <f>DetSubdiv(C18)</f>
        <v>EC</v>
      </c>
      <c r="X18" s="22">
        <f>VALUE(LEFT(C18,LEN(C18)-3))</f>
        <v>126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{"issue":{"subject":"","project_id":79,"tracker_id":40,"status_id":1,"priority_id":2,"assigned_to_id":338,"start_date":"2017-09-12","description":"","custom_fields":[{"id":1,"name":"Subdivision","value":"EC"},{"id":4,"name":"Milepost","value":"0.0001"},{"id":17,"name":"Train ID","value":"126-12"},{"id":16,"name":"Locomotive ID","value":"4061"},{"id":130,"name":"Impact","value":""},{"id":150,"name":"Time of Event (Mountain Time)","value":"08:21:23"},{"id":151,"name":"Denver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/c/Users/stu/AppData/Local/Temp/OnboardLogs/RTDC4061 --include="*4061*201709121*"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"%USERPROFILE%\AppData\Local\Temp\OnboardLogs"\RTDC4061\*4061*201709121* &gt;&gt; 2017-09-12-SliceDisagreementCheck.txt</v>
      </c>
      <c r="AE18" s="145" t="str">
        <f t="shared" si="1"/>
        <v>start /low /b %USERPROFILE%\Documents\GitHub\eaglep3\Utilities\DownloadLogsFromS3.py --loco 4061 --day 2017-09-12</v>
      </c>
      <c r="AF18" s="1"/>
    </row>
    <row r="19" spans="1:32" x14ac:dyDescent="0.25">
      <c r="A19" s="31">
        <v>42990.544710648152</v>
      </c>
      <c r="B19" s="30" t="s">
        <v>453</v>
      </c>
      <c r="C19" s="30" t="s">
        <v>599</v>
      </c>
      <c r="D19" s="30" t="s">
        <v>49</v>
      </c>
      <c r="E19" s="30" t="s">
        <v>181</v>
      </c>
      <c r="F19" s="42">
        <v>0</v>
      </c>
      <c r="G19" s="42">
        <v>81</v>
      </c>
      <c r="H19" s="42">
        <v>302</v>
      </c>
      <c r="I19" s="42">
        <v>216</v>
      </c>
      <c r="J19" s="30" t="s">
        <v>182</v>
      </c>
      <c r="K19" s="42">
        <v>1</v>
      </c>
      <c r="L19" s="131" t="s">
        <v>51</v>
      </c>
      <c r="M19" s="132">
        <f>CONVERT((I19-K19)/10000,"mi","ft")*IF(L19="Increasing Mileposts (1)",-1,1)</f>
        <v>113.52</v>
      </c>
      <c r="N19" s="133" t="str">
        <f>VLOOKUP(C19,'Trips&amp;Operators'!$C$1:$G$99911,5,FALSE)</f>
        <v>MOSES BRADLEY</v>
      </c>
      <c r="O19" s="200" t="s">
        <v>180</v>
      </c>
      <c r="P19" s="134"/>
      <c r="Q19" s="30"/>
      <c r="R19" s="81" t="str">
        <f>VLOOKUP(C19,'Train Runs'!$A$13:$AE$9940,31,0)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S19" s="84" t="str">
        <f>VLOOKUP(C19,'Train Runs'!$A$13:$AE$9940,22,0)</f>
        <v>https://d0f6bd738d7f1b3e5a7ca70fe4ff75f0.us-east-1.aws.found.io/app/kibana#/discover/Steve-Slow-Train-Analysis-(2080s-and-2083s)?_g=(refreshInterval:(display:Off,pause:!f,section:0,value:0),time:(from:'2017-09-12T11:23:45-0600',mode:absolute,to:'2017-09-12T14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/stypes="*4029*201709121*" /stext=" 19:.+((SYSTEM_STATE.+slice.+state.+changed )|(ment ac)|(multiple cpu faults)|(system.+state.+changed )|(\[timeout)|(PRM\|1\|D)|(kpr)|(kdp)|(train st.+moving)|(\|lc)|(penalty))"</v>
      </c>
      <c r="U19" s="9" t="str">
        <f>MID(B19,13,4)</f>
        <v>4029</v>
      </c>
      <c r="V19" s="31">
        <f>A19-utc_offset/24</f>
        <v>42990.794710648152</v>
      </c>
      <c r="W19" s="45" t="str">
        <f>DetSubdiv(C19)</f>
        <v>EC</v>
      </c>
      <c r="X19" s="22">
        <f>VALUE(LEFT(C19,LEN(C19)-3))</f>
        <v>164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{"issue":{"subject":"","project_id":79,"tracker_id":40,"status_id":1,"priority_id":2,"assigned_to_id":338,"start_date":"2017-09-12","description":"","custom_fields":[{"id":1,"name":"Subdivision","value":"EC"},{"id":4,"name":"Milepost","value":"0.0001"},{"id":17,"name":"Train ID","value":"164-12"},{"id":16,"name":"Locomotive ID","value":"4029"},{"id":130,"name":"Impact","value":""},{"id":150,"name":"Time of Event (Mountain Time)","value":"13:04:23"},{"id":151,"name":"Denver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/c/Users/stu/AppData/Local/Temp/OnboardLogs/RTDC4029 --include="*4029*201709121*"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"%USERPROFILE%\AppData\Local\Temp\OnboardLogs"\RTDC4029\*4029*201709121* &gt;&gt; 2017-09-12-SliceDisagreementCheck.txt</v>
      </c>
      <c r="AE19" s="145" t="str">
        <f t="shared" si="1"/>
        <v>start /low /b %USERPROFILE%\Documents\GitHub\eaglep3\Utilities\DownloadLogsFromS3.py --loco 4029 --day 2017-09-12</v>
      </c>
      <c r="AF19" s="1"/>
    </row>
    <row r="20" spans="1:32" x14ac:dyDescent="0.25">
      <c r="A20" s="31">
        <v>42990.763553240744</v>
      </c>
      <c r="B20" s="30" t="s">
        <v>453</v>
      </c>
      <c r="C20" s="30" t="s">
        <v>607</v>
      </c>
      <c r="D20" s="30" t="s">
        <v>49</v>
      </c>
      <c r="E20" s="30" t="s">
        <v>181</v>
      </c>
      <c r="F20" s="42">
        <v>0</v>
      </c>
      <c r="G20" s="42">
        <v>42</v>
      </c>
      <c r="H20" s="42">
        <v>147</v>
      </c>
      <c r="I20" s="42">
        <v>116</v>
      </c>
      <c r="J20" s="30" t="s">
        <v>182</v>
      </c>
      <c r="K20" s="42">
        <v>1</v>
      </c>
      <c r="L20" s="131" t="s">
        <v>51</v>
      </c>
      <c r="M20" s="132">
        <f>CONVERT((I20-K20)/10000,"mi","ft")*IF(L20="Increasing Mileposts (1)",-1,1)</f>
        <v>60.72</v>
      </c>
      <c r="N20" s="133" t="str">
        <f>VLOOKUP(C20,'Trips&amp;Operators'!$C$1:$G$99911,5,FALSE)</f>
        <v>MOSES BRADLEY</v>
      </c>
      <c r="O20" s="200" t="s">
        <v>180</v>
      </c>
      <c r="P20" s="134"/>
      <c r="Q20" s="30"/>
      <c r="R20" s="81" t="str">
        <f>VLOOKUP(C20,'Train Runs'!$A$13:$AE$9940,31,0)</f>
        <v>aws s3 cp s3://rtdc.mdm.uploadarchive.raw/RTDC4029/ "%USERPROFILE%\AppData\Local\Temp\OnboardLogs"\RTDC4029\2017-09-12 --exclude "*" --recursive --include "*20170912*" &amp; "%USERPROFILE%\Documents\GitHub\mrs-test-scripts\Headless Mode &amp; Sideloading\WalkAndUnGZ.bat" "%USERPROFILE%\AppData\Local\Temp\OnboardLogs"\RTDC4029\2017-09-12 &amp; aws s3 cp s3://rtdc.mdm.uploadarchive.raw/RTDC4029/ "%USERPROFILE%\AppData\Local\Temp\OnboardLogs"\RTDC4029\2017-09-13 --exclude "*" --recursive --include "*20170913*" &amp; "%USERPROFILE%\Documents\GitHub\mrs-test-scripts\Headless Mode &amp; Sideloading\WalkAndUnGZ.bat" "%USERPROFILE%\AppData\Local\Temp\OnboardLogs"\RTDC4029\2017-09-13</v>
      </c>
      <c r="S20" s="84" t="str">
        <f>VLOOKUP(C20,'Train Runs'!$A$13:$AE$9940,22,0)</f>
        <v>https://d0f6bd738d7f1b3e5a7ca70fe4ff75f0.us-east-1.aws.found.io/app/kibana#/discover/Steve-Slow-Train-Analysis-(2080s-and-2083s)?_g=(refreshInterval:(display:Off,pause:!f,section:0,value:0),time:(from:'2017-09-12T16:35:58-0600',mode:absolute,to:'2017-09-12T19:19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/stypes="*4029*201709130*" /stext=" 00:.+((SYSTEM_STATE.+slice.+state.+changed )|(ment ac)|(multiple cpu faults)|(system.+state.+changed )|(\[timeout)|(PRM\|1\|D)|(kpr)|(kdp)|(train st.+moving)|(\|lc)|(penalty))"</v>
      </c>
      <c r="U20" s="9" t="str">
        <f>MID(B20,13,4)</f>
        <v>4029</v>
      </c>
      <c r="V20" s="31">
        <f>A20-utc_offset/24</f>
        <v>42991.013553240744</v>
      </c>
      <c r="W20" s="45" t="str">
        <f>DetSubdiv(C20)</f>
        <v>EC</v>
      </c>
      <c r="X20" s="22">
        <f>VALUE(LEFT(C20,LEN(C20)-3))</f>
        <v>206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{"issue":{"subject":"","project_id":79,"tracker_id":40,"status_id":1,"priority_id":2,"assigned_to_id":338,"start_date":"2017-09-12","description":"","custom_fields":[{"id":1,"name":"Subdivision","value":"EC"},{"id":4,"name":"Milepost","value":"0.0001"},{"id":17,"name":"Train ID","value":"206-12"},{"id":16,"name":"Locomotive ID","value":"4029"},{"id":130,"name":"Impact","value":""},{"id":150,"name":"Time of Event (Mountain Time)","value":"18:19:31"},{"id":151,"name":"Denver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/c/Users/stu/AppData/Local/Temp/OnboardLogs/RTDC4029 --include="*4029*201709130*"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"%USERPROFILE%\AppData\Local\Temp\OnboardLogs"\RTDC4029\*4029*201709130* &gt;&gt; 2017-09-12-SliceDisagreementCheck.txt</v>
      </c>
      <c r="AE20" s="145" t="str">
        <f t="shared" si="1"/>
        <v>start /low /b %USERPROFILE%\Documents\GitHub\eaglep3\Utilities\DownloadLogsFromS3.py --loco 4029 --day 2017-09-13</v>
      </c>
      <c r="AF20" s="1"/>
    </row>
    <row r="21" spans="1:32" x14ac:dyDescent="0.25">
      <c r="A21" s="31">
        <v>42990.326956018522</v>
      </c>
      <c r="B21" s="30" t="s">
        <v>452</v>
      </c>
      <c r="C21" s="30" t="s">
        <v>581</v>
      </c>
      <c r="D21" s="30" t="s">
        <v>49</v>
      </c>
      <c r="E21" s="30" t="s">
        <v>181</v>
      </c>
      <c r="F21" s="42">
        <v>0</v>
      </c>
      <c r="G21" s="42">
        <v>77</v>
      </c>
      <c r="H21" s="42">
        <v>233186</v>
      </c>
      <c r="I21" s="42">
        <v>233270</v>
      </c>
      <c r="J21" s="30" t="s">
        <v>182</v>
      </c>
      <c r="K21" s="42">
        <v>233491</v>
      </c>
      <c r="L21" s="131" t="s">
        <v>50</v>
      </c>
      <c r="M21" s="132">
        <f>CONVERT((I21-K21)/10000,"mi","ft")*IF(L21="Increasing Mileposts (1)",-1,1)</f>
        <v>116.688</v>
      </c>
      <c r="N21" s="133" t="str">
        <f>VLOOKUP(C21,'Trips&amp;Operators'!$C$1:$G$99911,5,FALSE)</f>
        <v>BONDS REYNALDO</v>
      </c>
      <c r="O21" s="200" t="s">
        <v>180</v>
      </c>
      <c r="P21" s="134"/>
      <c r="Q21" s="30"/>
      <c r="R21" s="81" t="str">
        <f>VLOOKUP(C21,'Train Runs'!$A$13:$AE$9940,31,0)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S21" s="84" t="str">
        <f>VLOOKUP(C21,'Train Runs'!$A$13:$AE$9940,22,0)</f>
        <v>https://d0f6bd738d7f1b3e5a7ca70fe4ff75f0.us-east-1.aws.found.io/app/kibana#/discover/Steve-Slow-Train-Analysis-(2080s-and-2083s)?_g=(refreshInterval:(display:Off,pause:!f,section:0,value:0),time:(from:'2017-09-12T06:07:41-0600',mode:absolute,to:'2017-09-12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/stypes="*4002*201709121*" /stext=" 13:.+((SYSTEM_STATE.+slice.+state.+changed )|(ment ac)|(multiple cpu faults)|(system.+state.+changed )|(\[timeout)|(PRM\|1\|D)|(kpr)|(kdp)|(train st.+moving)|(\|lc)|(penalty))"</v>
      </c>
      <c r="U21" s="9" t="str">
        <f>MID(B21,13,4)</f>
        <v>4002</v>
      </c>
      <c r="V21" s="31">
        <f>A21-utc_offset/24</f>
        <v>42990.576956018522</v>
      </c>
      <c r="W21" s="45" t="str">
        <f>DetSubdiv(C21)</f>
        <v>EC</v>
      </c>
      <c r="X21" s="22">
        <f>VALUE(LEFT(C21,LEN(C21)-3))</f>
        <v>129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{"issue":{"subject":"","project_id":79,"tracker_id":40,"status_id":1,"priority_id":2,"assigned_to_id":338,"start_date":"2017-09-12","description":"","custom_fields":[{"id":1,"name":"Subdivision","value":"EC"},{"id":4,"name":"Milepost","value":"23.3491"},{"id":17,"name":"Train ID","value":"129-12"},{"id":16,"name":"Locomotive ID","value":"4002"},{"id":130,"name":"Impact","value":""},{"id":150,"name":"Time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/c/Users/stu/AppData/Local/Temp/OnboardLogs/RTDC4002 --include="*4002*201709121*"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"%USERPROFILE%\AppData\Local\Temp\OnboardLogs"\RTDC4002\*4002*201709121* &gt;&gt; 2017-09-12-SliceDisagreementCheck.txt</v>
      </c>
      <c r="AE21" s="145" t="str">
        <f t="shared" si="1"/>
        <v>start /low /b %USERPROFILE%\Documents\GitHub\eaglep3\Utilities\DownloadLogsFromS3.py --loco 4002 --day 2017-09-12</v>
      </c>
      <c r="AF21" s="1"/>
    </row>
    <row r="22" spans="1:32" x14ac:dyDescent="0.25">
      <c r="A22" s="31">
        <v>42990.421168981484</v>
      </c>
      <c r="B22" s="30" t="s">
        <v>521</v>
      </c>
      <c r="C22" s="30" t="s">
        <v>591</v>
      </c>
      <c r="D22" s="30" t="s">
        <v>49</v>
      </c>
      <c r="E22" s="30" t="s">
        <v>181</v>
      </c>
      <c r="F22" s="42">
        <v>0</v>
      </c>
      <c r="G22" s="42">
        <v>75</v>
      </c>
      <c r="H22" s="42">
        <v>233202</v>
      </c>
      <c r="I22" s="42">
        <v>233261</v>
      </c>
      <c r="J22" s="30" t="s">
        <v>182</v>
      </c>
      <c r="K22" s="42">
        <v>233491</v>
      </c>
      <c r="L22" s="131" t="s">
        <v>50</v>
      </c>
      <c r="M22" s="132">
        <f>CONVERT((I22-K22)/10000,"mi","ft")*IF(L22="Increasing Mileposts (1)",-1,1)</f>
        <v>121.44</v>
      </c>
      <c r="N22" s="133" t="str">
        <f>VLOOKUP(C22,'Trips&amp;Operators'!$C$1:$G$99911,5,FALSE)</f>
        <v>STARKS ANGELINA</v>
      </c>
      <c r="O22" s="200" t="s">
        <v>180</v>
      </c>
      <c r="P22" s="134"/>
      <c r="Q22" s="30"/>
      <c r="R22" s="81" t="str">
        <f>VLOOKUP(C22,'Train Runs'!$A$13:$AE$9940,31,0)</f>
        <v>aws s3 cp s3://rtdc.mdm.uploadarchive.raw/RTDC4058/ "%USERPROFILE%\AppData\Local\Temp\OnboardLogs"\RTDC4058\2017-09-12 --exclude "*" --recursive --include "*20170912*" &amp; "%USERPROFILE%\Documents\GitHub\mrs-test-scripts\Headless Mode &amp; Sideloading\WalkAndUnGZ.bat" "%USERPROFILE%\AppData\Local\Temp\OnboardLogs"\RTDC4058\2017-09-12 &amp; aws s3 cp s3://rtdc.mdm.uploadarchive.raw/RTDC4058/ "%USERPROFILE%\AppData\Local\Temp\OnboardLogs"\RTDC4058\2017-09-13 --exclude "*" --recursive --include "*20170913*" &amp; "%USERPROFILE%\Documents\GitHub\mrs-test-scripts\Headless Mode &amp; Sideloading\WalkAndUnGZ.bat" "%USERPROFILE%\AppData\Local\Temp\OnboardLogs"\RTDC4058\2017-09-13</v>
      </c>
      <c r="S22" s="84" t="str">
        <f>VLOOKUP(C22,'Train Runs'!$A$13:$AE$9940,22,0)</f>
        <v>https://d0f6bd738d7f1b3e5a7ca70fe4ff75f0.us-east-1.aws.found.io/app/kibana#/discover/Steve-Slow-Train-Analysis-(2080s-and-2083s)?_g=(refreshInterval:(display:Off,pause:!f,section:0,value:0),time:(from:'2017-09-12T08:22:36-0600',mode:absolute,to:'2017-09-12T11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/stypes="*4058*201709121*" /stext=" 16:.+((SYSTEM_STATE.+slice.+state.+changed )|(ment ac)|(multiple cpu faults)|(system.+state.+changed )|(\[timeout)|(PRM\|1\|D)|(kpr)|(kdp)|(train st.+moving)|(\|lc)|(penalty))"</v>
      </c>
      <c r="U22" s="9" t="str">
        <f>MID(B22,13,4)</f>
        <v>4058</v>
      </c>
      <c r="V22" s="31">
        <f>A22-utc_offset/24</f>
        <v>42990.671168981484</v>
      </c>
      <c r="W22" s="45" t="str">
        <f>DetSubdiv(C22)</f>
        <v>EC</v>
      </c>
      <c r="X22" s="22">
        <f>VALUE(LEFT(C22,LEN(C22)-3))</f>
        <v>147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{"issue":{"subject":"","project_id":79,"tracker_id":40,"status_id":1,"priority_id":2,"assigned_to_id":338,"start_date":"2017-09-12","description":"","custom_fields":[{"id":1,"name":"Subdivision","value":"EC"},{"id":4,"name":"Milepost","value":"23.3491"},{"id":17,"name":"Train ID","value":"147-12"},{"id":16,"name":"Locomotive ID","value":"4058"},{"id":130,"name":"Impact","value":""},{"id":150,"name":"Time of Event (Mountain Time)","value":"10:06:29"},{"id":151,"name":"Denver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/c/Users/stu/AppData/Local/Temp/OnboardLogs/RTDC4058 --include="*4058*201709121*"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"%USERPROFILE%\AppData\Local\Temp\OnboardLogs"\RTDC4058\*4058*201709121* &gt;&gt; 2017-09-12-SliceDisagreementCheck.txt</v>
      </c>
      <c r="AE22" s="145" t="str">
        <f t="shared" si="1"/>
        <v>start /low /b %USERPROFILE%\Documents\GitHub\eaglep3\Utilities\DownloadLogsFromS3.py --loco 4058 --day 2017-09-12</v>
      </c>
      <c r="AF22" s="1"/>
    </row>
    <row r="23" spans="1:32" x14ac:dyDescent="0.25">
      <c r="A23" s="31">
        <v>42990.693206018521</v>
      </c>
      <c r="B23" s="30" t="s">
        <v>452</v>
      </c>
      <c r="C23" s="30" t="s">
        <v>601</v>
      </c>
      <c r="D23" s="30" t="s">
        <v>49</v>
      </c>
      <c r="E23" s="30" t="s">
        <v>181</v>
      </c>
      <c r="F23" s="42">
        <v>0</v>
      </c>
      <c r="G23" s="42">
        <v>41</v>
      </c>
      <c r="H23" s="42">
        <v>233336</v>
      </c>
      <c r="I23" s="42">
        <v>233374</v>
      </c>
      <c r="J23" s="30" t="s">
        <v>182</v>
      </c>
      <c r="K23" s="42">
        <v>233491</v>
      </c>
      <c r="L23" s="131" t="s">
        <v>50</v>
      </c>
      <c r="M23" s="132">
        <f>CONVERT((I23-K23)/10000,"mi","ft")*IF(L23="Increasing Mileposts (1)",-1,1)</f>
        <v>61.776000000000003</v>
      </c>
      <c r="N23" s="133" t="str">
        <f>VLOOKUP(C23,'Trips&amp;Operators'!$C$1:$G$99911,5,FALSE)</f>
        <v>DAVIS MICHAEL</v>
      </c>
      <c r="O23" s="200" t="s">
        <v>180</v>
      </c>
      <c r="P23" s="134"/>
      <c r="Q23" s="30"/>
      <c r="R23" s="81" t="str">
        <f>VLOOKUP(C23,'Train Runs'!$A$13:$AE$9940,31,0)</f>
        <v>aws s3 cp s3://rtdc.mdm.uploadarchive.raw/RTDC4002/ "%USERPROFILE%\AppData\Local\Temp\OnboardLogs"\RTDC4002\2017-09-12 --exclude "*" --recursive --include "*20170912*" &amp; "%USERPROFILE%\Documents\GitHub\mrs-test-scripts\Headless Mode &amp; Sideloading\WalkAndUnGZ.bat" "%USERPROFILE%\AppData\Local\Temp\OnboardLogs"\RTDC4002\2017-09-12 &amp; aws s3 cp s3://rtdc.mdm.uploadarchive.raw/RTDC4002/ "%USERPROFILE%\AppData\Local\Temp\OnboardLogs"\RTDC4002\2017-09-13 --exclude "*" --recursive --include "*20170913*" &amp; "%USERPROFILE%\Documents\GitHub\mrs-test-scripts\Headless Mode &amp; Sideloading\WalkAndUnGZ.bat" "%USERPROFILE%\AppData\Local\Temp\OnboardLogs"\RTDC4002\2017-09-13</v>
      </c>
      <c r="S23" s="84" t="str">
        <f>VLOOKUP(C23,'Train Runs'!$A$13:$AE$9940,22,0)</f>
        <v>https://d0f6bd738d7f1b3e5a7ca70fe4ff75f0.us-east-1.aws.found.io/app/kibana#/discover/Steve-Slow-Train-Analysis-(2080s-and-2083s)?_g=(refreshInterval:(display:Off,pause:!f,section:0,value:0),time:(from:'2017-09-12T14:56:11-0600',mode:absolute,to:'2017-09-12T17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/stypes="*4002*201709122*" /stext=" 22:.+((SYSTEM_STATE.+slice.+state.+changed )|(ment ac)|(multiple cpu faults)|(system.+state.+changed )|(\[timeout)|(PRM\|1\|D)|(kpr)|(kdp)|(train st.+moving)|(\|lc)|(penalty))"</v>
      </c>
      <c r="U23" s="9" t="str">
        <f>MID(B23,13,4)</f>
        <v>4002</v>
      </c>
      <c r="V23" s="31">
        <f>A23-utc_offset/24</f>
        <v>42990.943206018521</v>
      </c>
      <c r="W23" s="45" t="str">
        <f>DetSubdiv(C23)</f>
        <v>EC</v>
      </c>
      <c r="X23" s="22">
        <f>VALUE(LEFT(C23,LEN(C23)-3))</f>
        <v>199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{"issue":{"subject":"","project_id":79,"tracker_id":40,"status_id":1,"priority_id":2,"assigned_to_id":338,"start_date":"2017-09-12","description":"","custom_fields":[{"id":1,"name":"Subdivision","value":"EC"},{"id":4,"name":"Milepost","value":"23.3491"},{"id":17,"name":"Train ID","value":"199-12"},{"id":16,"name":"Locomotive ID","value":"4002"},{"id":130,"name":"Impact","value":""},{"id":150,"name":"Time of Event (Mountain Time)","value":"16:38:13"},{"id":151,"name":"Denver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/c/Users/stu/AppData/Local/Temp/OnboardLogs/RTDC4002 --include="*4002*201709122*"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"%USERPROFILE%\AppData\Local\Temp\OnboardLogs"\RTDC4002\*4002*201709122* &gt;&gt; 2017-09-12-SliceDisagreementCheck.txt</v>
      </c>
      <c r="AE23" s="145" t="str">
        <f t="shared" si="1"/>
        <v>start /low /b %USERPROFILE%\Documents\GitHub\eaglep3\Utilities\DownloadLogsFromS3.py --loco 4002 --day 2017-09-12</v>
      </c>
      <c r="AF23" s="1"/>
    </row>
    <row r="24" spans="1:32" x14ac:dyDescent="0.25">
      <c r="A24" s="31">
        <v>42990.407685185186</v>
      </c>
      <c r="B24" s="30" t="s">
        <v>588</v>
      </c>
      <c r="C24" s="30" t="s">
        <v>589</v>
      </c>
      <c r="D24" s="30" t="s">
        <v>96</v>
      </c>
      <c r="E24" s="30" t="s">
        <v>195</v>
      </c>
      <c r="F24" s="42">
        <v>400</v>
      </c>
      <c r="G24" s="42">
        <v>453</v>
      </c>
      <c r="H24" s="42">
        <v>38356</v>
      </c>
      <c r="I24" s="42">
        <v>37174</v>
      </c>
      <c r="J24" s="30" t="s">
        <v>196</v>
      </c>
      <c r="K24" s="42">
        <v>40977</v>
      </c>
      <c r="L24" s="131" t="s">
        <v>51</v>
      </c>
      <c r="M24" s="132">
        <f>CONVERT((I24-K24)/10000,"mi","ft")*IF(L24="Increasing Mileposts (1)",-1,1)</f>
        <v>-2007.9839999999999</v>
      </c>
      <c r="N24" s="133" t="str">
        <f>VLOOKUP(C24,'Trips&amp;Operators'!$C$1:$G$99911,5,FALSE)</f>
        <v>FORTUNATO FRANK</v>
      </c>
      <c r="O24" s="200" t="s">
        <v>180</v>
      </c>
      <c r="P24" s="134"/>
      <c r="Q24" s="30"/>
      <c r="R24" s="81" t="str">
        <f>VLOOKUP(C24,'Train Runs'!$A$13:$AE$9940,31,0)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S24" s="84" t="str">
        <f>VLOOKUP(C24,'Train Runs'!$A$13:$AE$9940,22,0)</f>
        <v>https://d0f6bd738d7f1b3e5a7ca70fe4ff75f0.us-east-1.aws.found.io/app/kibana#/discover/Steve-Slow-Train-Analysis-(2080s-and-2083s)?_g=(refreshInterval:(display:Off,pause:!f,section:0,value:0),time:(from:'2017-09-12T08:25:48-0600',mode:absolute,to:'2017-09-12T10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/stypes="*4063*201709121*" /stext=" 15:.+((SYSTEM_STATE.+slice.+state.+changed )|(ment ac)|(multiple cpu faults)|(system.+state.+changed )|(\[timeout)|(PRM\|1\|D)|(kpr)|(kdp)|(train st.+moving)|(\|lc)|(penalty))"</v>
      </c>
      <c r="U24" s="9" t="str">
        <f>MID(B24,13,4)</f>
        <v>4063</v>
      </c>
      <c r="V24" s="31">
        <f>A24-utc_offset/24</f>
        <v>42990.657685185186</v>
      </c>
      <c r="W24" s="45" t="str">
        <f>DetSubdiv(C24)</f>
        <v>NW</v>
      </c>
      <c r="X24" s="22">
        <f>VALUE(LEFT(C24,LEN(C24)-3))</f>
        <v>814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{"issue":{"subject":"","project_id":79,"tracker_id":40,"status_id":1,"priority_id":2,"assigned_to_id":338,"start_date":"2017-09-12","description":"","custom_fields":[{"id":1,"name":"Subdivision","value":"NW"},{"id":4,"name":"Milepost","value":"4.0977"},{"id":17,"name":"Train ID","value":"814-12"},{"id":16,"name":"Locomotive ID","value":"4063"},{"id":130,"name":"Impact","value":""},{"id":150,"name":"Time of Event (Mountain Time)","value":"09:47:04"},{"id":151,"name":"Denver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/c/Users/stu/AppData/Local/Temp/OnboardLogs/RTDC4063 --include="*4063*201709121*"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"%USERPROFILE%\AppData\Local\Temp\OnboardLogs"\RTDC4063\*4063*201709121* &gt;&gt; 2017-09-12-SliceDisagreementCheck.txt</v>
      </c>
      <c r="AE24" s="145" t="str">
        <f t="shared" si="1"/>
        <v>start /low /b %USERPROFILE%\Documents\GitHub\eaglep3\Utilities\DownloadLogsFromS3.py --loco 4063 --day 2017-09-12</v>
      </c>
      <c r="AF24" s="1"/>
    </row>
    <row r="25" spans="1:32" x14ac:dyDescent="0.25">
      <c r="A25" s="31">
        <v>42990.53019675926</v>
      </c>
      <c r="B25" s="30" t="s">
        <v>588</v>
      </c>
      <c r="C25" s="30" t="s">
        <v>597</v>
      </c>
      <c r="D25" s="30" t="s">
        <v>96</v>
      </c>
      <c r="E25" s="30" t="s">
        <v>195</v>
      </c>
      <c r="F25" s="42">
        <v>150</v>
      </c>
      <c r="G25" s="42">
        <v>208</v>
      </c>
      <c r="H25" s="42">
        <v>56969</v>
      </c>
      <c r="I25" s="42">
        <v>56541</v>
      </c>
      <c r="J25" s="30" t="s">
        <v>196</v>
      </c>
      <c r="K25" s="42">
        <v>59050</v>
      </c>
      <c r="L25" s="131" t="s">
        <v>51</v>
      </c>
      <c r="M25" s="132">
        <f>CONVERT((I25-K25)/10000,"mi","ft")*IF(L25="Increasing Mileposts (1)",-1,1)</f>
        <v>-1324.752</v>
      </c>
      <c r="N25" s="133" t="str">
        <f>VLOOKUP(C25,'Trips&amp;Operators'!$C$1:$G$99911,5,FALSE)</f>
        <v>FORTUNATO FRANK</v>
      </c>
      <c r="O25" s="200" t="s">
        <v>180</v>
      </c>
      <c r="P25" s="134"/>
      <c r="Q25" s="30"/>
      <c r="R25" s="81" t="str">
        <f>VLOOKUP(C25,'Train Runs'!$A$13:$AE$9940,31,0)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S25" s="84" t="str">
        <f>VLOOKUP(C25,'Train Runs'!$A$13:$AE$9940,22,0)</f>
        <v>https://d0f6bd738d7f1b3e5a7ca70fe4ff75f0.us-east-1.aws.found.io/app/kibana#/discover/Steve-Slow-Train-Analysis-(2080s-and-2083s)?_g=(refreshInterval:(display:Off,pause:!f,section:0,value:0),time:(from:'2017-09-12T11:24:39-0600',mode:absolute,to:'2017-09-12T13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/stypes="*4063*201709121*" /stext=" 18:.+((SYSTEM_STATE.+slice.+state.+changed )|(ment ac)|(multiple cpu faults)|(system.+state.+changed )|(\[timeout)|(PRM\|1\|D)|(kpr)|(kdp)|(train st.+moving)|(\|lc)|(penalty))"</v>
      </c>
      <c r="U25" s="9" t="str">
        <f>MID(B25,13,4)</f>
        <v>4063</v>
      </c>
      <c r="V25" s="31">
        <f>A25-utc_offset/24</f>
        <v>42990.78019675926</v>
      </c>
      <c r="W25" s="45" t="str">
        <f>DetSubdiv(C25)</f>
        <v>NW</v>
      </c>
      <c r="X25" s="22">
        <f>VALUE(LEFT(C25,LEN(C25)-3))</f>
        <v>820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{"issue":{"subject":"","project_id":79,"tracker_id":40,"status_id":1,"priority_id":2,"assigned_to_id":338,"start_date":"2017-09-12","description":"","custom_fields":[{"id":1,"name":"Subdivision","value":"NW"},{"id":4,"name":"Milepost","value":"5.905"},{"id":17,"name":"Train ID","value":"820-12"},{"id":16,"name":"Locomotive ID","value":"4063"},{"id":130,"name":"Impact","value":""},{"id":150,"name":"Time of Event (Mountain Time)","value":"12:43:29"},{"id":151,"name":"Denver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/c/Users/stu/AppData/Local/Temp/OnboardLogs/RTDC4063 --include="*4063*201709121*"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"%USERPROFILE%\AppData\Local\Temp\OnboardLogs"\RTDC4063\*4063*201709121* &gt;&gt; 2017-09-12-SliceDisagreementCheck.txt</v>
      </c>
      <c r="AE25" s="145" t="str">
        <f t="shared" si="1"/>
        <v>start /low /b %USERPROFILE%\Documents\GitHub\eaglep3\Utilities\DownloadLogsFromS3.py --loco 4063 --day 2017-09-12</v>
      </c>
      <c r="AF25" s="1"/>
    </row>
    <row r="26" spans="1:32" x14ac:dyDescent="0.25">
      <c r="A26" s="31">
        <v>42990.71769675926</v>
      </c>
      <c r="B26" s="30" t="s">
        <v>603</v>
      </c>
      <c r="C26" s="30" t="s">
        <v>604</v>
      </c>
      <c r="D26" s="30" t="s">
        <v>96</v>
      </c>
      <c r="E26" s="30" t="s">
        <v>195</v>
      </c>
      <c r="F26" s="42">
        <v>150</v>
      </c>
      <c r="G26" s="42">
        <v>217</v>
      </c>
      <c r="H26" s="42">
        <v>56980</v>
      </c>
      <c r="I26" s="42">
        <v>56576</v>
      </c>
      <c r="J26" s="30" t="s">
        <v>196</v>
      </c>
      <c r="K26" s="42">
        <v>59050</v>
      </c>
      <c r="L26" s="131" t="s">
        <v>51</v>
      </c>
      <c r="M26" s="132">
        <f>CONVERT((I26-K26)/10000,"mi","ft")*IF(L26="Increasing Mileposts (1)",-1,1)</f>
        <v>-1306.2719999999999</v>
      </c>
      <c r="N26" s="133" t="str">
        <f>VLOOKUP(C26,'Trips&amp;Operators'!$C$1:$G$99911,5,FALSE)</f>
        <v>STAMBAUGH JAMES</v>
      </c>
      <c r="O26" s="200" t="s">
        <v>180</v>
      </c>
      <c r="P26" s="134"/>
      <c r="Q26" s="30"/>
      <c r="R26" s="81" t="str">
        <f>VLOOKUP(C26,'Train Runs'!$A$13:$AE$9940,31,0)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S26" s="84" t="str">
        <f>VLOOKUP(C26,'Train Runs'!$A$13:$AE$9940,22,0)</f>
        <v>https://d0f6bd738d7f1b3e5a7ca70fe4ff75f0.us-east-1.aws.found.io/app/kibana#/discover/Steve-Slow-Train-Analysis-(2080s-and-2083s)?_g=(refreshInterval:(display:Off,pause:!f,section:0,value:0),time:(from:'2017-09-12T15:56:46-0600',mode:absolute,to:'2017-09-12T18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/stypes="*4005*201709122*" /stext=" 23:.+((SYSTEM_STATE.+slice.+state.+changed )|(ment ac)|(multiple cpu faults)|(system.+state.+changed )|(\[timeout)|(PRM\|1\|D)|(kpr)|(kdp)|(train st.+moving)|(\|lc)|(penalty))"</v>
      </c>
      <c r="U26" s="9" t="str">
        <f>MID(B26,13,4)</f>
        <v>4005</v>
      </c>
      <c r="V26" s="31">
        <f>A26-utc_offset/24</f>
        <v>42990.96769675926</v>
      </c>
      <c r="W26" s="45" t="str">
        <f>DetSubdiv(C26)</f>
        <v>NW</v>
      </c>
      <c r="X26" s="22">
        <f>VALUE(LEFT(C26,LEN(C26)-3))</f>
        <v>832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{"issue":{"subject":"","project_id":79,"tracker_id":40,"status_id":1,"priority_id":2,"assigned_to_id":338,"start_date":"2017-09-12","description":"","custom_fields":[{"id":1,"name":"Subdivision","value":"NW"},{"id":4,"name":"Milepost","value":"5.905"},{"id":17,"name":"Train ID","value":"832-12"},{"id":16,"name":"Locomotive ID","value":"4005"},{"id":130,"name":"Impact","value":""},{"id":150,"name":"Time of Event (Mountain Time)","value":"17:13:29"},{"id":151,"name":"Denver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/c/Users/stu/AppData/Local/Temp/OnboardLogs/RTDC4005 --include="*4005*201709122*"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"%USERPROFILE%\AppData\Local\Temp\OnboardLogs"\RTDC4005\*4005*201709122* &gt;&gt; 2017-09-12-SliceDisagreementCheck.txt</v>
      </c>
      <c r="AE26" s="145" t="str">
        <f t="shared" si="1"/>
        <v>start /low /b %USERPROFILE%\Documents\GitHub\eaglep3\Utilities\DownloadLogsFromS3.py --loco 4005 --day 2017-09-12</v>
      </c>
      <c r="AF26" s="1"/>
    </row>
    <row r="27" spans="1:32" x14ac:dyDescent="0.25">
      <c r="A27" s="31">
        <v>42990.453877314816</v>
      </c>
      <c r="B27" s="30" t="s">
        <v>588</v>
      </c>
      <c r="C27" s="30" t="s">
        <v>593</v>
      </c>
      <c r="D27" s="30" t="s">
        <v>96</v>
      </c>
      <c r="E27" s="30" t="s">
        <v>467</v>
      </c>
      <c r="F27" s="42">
        <v>0</v>
      </c>
      <c r="G27" s="42">
        <v>144</v>
      </c>
      <c r="H27" s="42">
        <v>4588</v>
      </c>
      <c r="I27" s="42">
        <v>4348</v>
      </c>
      <c r="J27" s="30" t="s">
        <v>468</v>
      </c>
      <c r="K27" s="42">
        <v>4790</v>
      </c>
      <c r="L27" s="131" t="s">
        <v>51</v>
      </c>
      <c r="M27" s="132">
        <f>CONVERT((I27-K27)/10000,"mi","ft")*IF(L27="Increasing Mileposts (1)",-1,1)</f>
        <v>-233.376</v>
      </c>
      <c r="N27" s="133" t="str">
        <f>VLOOKUP(C27,'Trips&amp;Operators'!$C$1:$G$99911,5,FALSE)</f>
        <v>FORTUNATO FRANK</v>
      </c>
      <c r="O27" s="200" t="s">
        <v>366</v>
      </c>
      <c r="P27" s="223" t="s">
        <v>482</v>
      </c>
      <c r="Q27" s="30"/>
      <c r="R27" s="81" t="str">
        <f>VLOOKUP(C27,'Train Runs'!$A$13:$AE$9940,31,0)</f>
        <v>aws s3 cp s3://rtdc.mdm.uploadarchive.raw/RTDC4063/ "%USERPROFILE%\AppData\Local\Temp\OnboardLogs"\RTDC4063\2017-09-12 --exclude "*" --recursive --include "*20170912*" &amp; "%USERPROFILE%\Documents\GitHub\mrs-test-scripts\Headless Mode &amp; Sideloading\WalkAndUnGZ.bat" "%USERPROFILE%\AppData\Local\Temp\OnboardLogs"\RTDC4063\2017-09-12 &amp; aws s3 cp s3://rtdc.mdm.uploadarchive.raw/RTDC4063/ "%USERPROFILE%\AppData\Local\Temp\OnboardLogs"\RTDC4063\2017-09-13 --exclude "*" --recursive --include "*20170913*" &amp; "%USERPROFILE%\Documents\GitHub\mrs-test-scripts\Headless Mode &amp; Sideloading\WalkAndUnGZ.bat" "%USERPROFILE%\AppData\Local\Temp\OnboardLogs"\RTDC4063\2017-09-13</v>
      </c>
      <c r="S27" s="84" t="str">
        <f>VLOOKUP(C27,'Train Runs'!$A$13:$AE$9940,22,0)</f>
        <v>https://d0f6bd738d7f1b3e5a7ca70fe4ff75f0.us-east-1.aws.found.io/app/kibana#/discover/Steve-Slow-Train-Analysis-(2080s-and-2083s)?_g=(refreshInterval:(display:Off,pause:!f,section:0,value:0),time:(from:'2017-09-12T09:25:20-0600',mode:absolute,to:'2017-09-12T11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/stypes="*4063*201709121*" /stext=" 16:.+((SYSTEM_STATE.+slice.+state.+changed )|(ment ac)|(multiple cpu faults)|(system.+state.+changed )|(\[timeout)|(PRM\|1\|D)|(kpr)|(kdp)|(train st.+moving)|(\|lc)|(penalty))"</v>
      </c>
      <c r="U27" s="9" t="str">
        <f>MID(B27,13,4)</f>
        <v>4063</v>
      </c>
      <c r="V27" s="31">
        <f>A27-utc_offset/24</f>
        <v>42990.703877314816</v>
      </c>
      <c r="W27" s="45" t="str">
        <f>DetSubdiv(C27)</f>
        <v>NW</v>
      </c>
      <c r="X27" s="22">
        <f>VALUE(LEFT(C27,LEN(C27)-3))</f>
        <v>816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drop","project_id":79,"tracker_id":40,"status_id":1,"priority_id":2,"assigned_to_id":338,"start_date":"2017-09-12","description":"","custom_fields":[{"id":1,"name":"Subdivision","value":"NW"},{"id":4,"name":"Milepost","value":"0.479"},{"id":17,"name":"Train ID","value":"816-12"},{"id":16,"name":"Locomotive ID","value":"4063"},{"id":130,"name":"Impact","value":""},{"id":150,"name":"Time of Event (Mountain Time)","value":"10:53:35"},{"id":151,"name":"Denver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/c/Users/stu/AppData/Local/Temp/OnboardLogs/RTDC4063 --include="*4063*201709121*"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"%USERPROFILE%\AppData\Local\Temp\OnboardLogs"\RTDC4063\*4063*201709121* &gt;&gt; 2017-09-12-SliceDisagreementCheck.txt</v>
      </c>
      <c r="AE27" s="145" t="str">
        <f t="shared" si="1"/>
        <v>start /low /b %USERPROFILE%\Documents\GitHub\eaglep3\Utilities\DownloadLogsFromS3.py --loco 4063 --day 2017-09-12</v>
      </c>
      <c r="AF27" s="1"/>
    </row>
    <row r="28" spans="1:32" x14ac:dyDescent="0.25">
      <c r="A28" s="31">
        <v>42990.831828703704</v>
      </c>
      <c r="B28" s="30" t="s">
        <v>508</v>
      </c>
      <c r="C28" s="30" t="s">
        <v>609</v>
      </c>
      <c r="D28" s="30" t="s">
        <v>49</v>
      </c>
      <c r="E28" s="30" t="s">
        <v>181</v>
      </c>
      <c r="F28" s="42">
        <v>0</v>
      </c>
      <c r="G28" s="42">
        <v>43</v>
      </c>
      <c r="H28" s="42">
        <v>731</v>
      </c>
      <c r="I28" s="42">
        <v>699</v>
      </c>
      <c r="J28" s="30" t="s">
        <v>182</v>
      </c>
      <c r="K28" s="42">
        <v>575</v>
      </c>
      <c r="L28" s="131" t="s">
        <v>51</v>
      </c>
      <c r="M28" s="132">
        <f>CONVERT((I28-K28)/10000,"mi","ft")*IF(L28="Increasing Mileposts (1)",-1,1)</f>
        <v>65.471999999999994</v>
      </c>
      <c r="N28" s="133" t="str">
        <f>VLOOKUP(C28,'Trips&amp;Operators'!$C$1:$G$99911,5,FALSE)</f>
        <v>GUZMAN DANNY</v>
      </c>
      <c r="O28" s="200" t="s">
        <v>180</v>
      </c>
      <c r="P28" s="134"/>
      <c r="Q28" s="30"/>
      <c r="R28" s="81" t="str">
        <f>VLOOKUP(C28,'Train Runs'!$A$13:$AE$9940,31,0)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S28" s="84" t="str">
        <f>VLOOKUP(C28,'Train Runs'!$A$13:$AE$9940,22,0)</f>
        <v>https://d0f6bd738d7f1b3e5a7ca70fe4ff75f0.us-east-1.aws.found.io/app/kibana#/discover/Steve-Slow-Train-Analysis-(2080s-and-2083s)?_g=(refreshInterval:(display:Off,pause:!f,section:0,value:0),time:(from:'2017-09-12T17:34:35-0600',mode:absolute,to:'2017-09-12T20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/stypes="*4065*201709130*" /stext=" 01:.+((SYSTEM_STATE.+slice.+state.+changed )|(ment ac)|(multiple cpu faults)|(system.+state.+changed )|(\[timeout)|(PRM\|1\|D)|(kpr)|(kdp)|(train st.+moving)|(\|lc)|(penalty))"</v>
      </c>
      <c r="U28" s="9" t="str">
        <f>MID(B28,13,4)</f>
        <v>4065</v>
      </c>
      <c r="V28" s="31">
        <f>A28-utc_offset/24</f>
        <v>42991.081828703704</v>
      </c>
      <c r="W28" s="45" t="str">
        <f>DetSubdiv(C28)</f>
        <v>NW</v>
      </c>
      <c r="X28" s="22">
        <f>VALUE(LEFT(C28,LEN(C28)-3))</f>
        <v>840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{"issue":{"subject":"","project_id":79,"tracker_id":40,"status_id":1,"priority_id":2,"assigned_to_id":338,"start_date":"2017-09-12","description":"","custom_fields":[{"id":1,"name":"Subdivision","value":"NW"},{"id":4,"name":"Milepost","value":"0.0575"},{"id":17,"name":"Train ID","value":"840-12"},{"id":16,"name":"Locomotive ID","value":"4065"},{"id":130,"name":"Impact","value":""},{"id":150,"name":"Time of Event (Mountain Time)","value":"19:57:50"},{"id":151,"name":"Denver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/c/Users/stu/AppData/Local/Temp/OnboardLogs/RTDC4065 --include="*4065*201709130*"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"%USERPROFILE%\AppData\Local\Temp\OnboardLogs"\RTDC4065\*4065*201709130* &gt;&gt; 2017-09-12-SliceDisagreementCheck.txt</v>
      </c>
      <c r="AE28" s="145" t="str">
        <f t="shared" si="1"/>
        <v>start /low /b %USERPROFILE%\Documents\GitHub\eaglep3\Utilities\DownloadLogsFromS3.py --loco 4065 --day 2017-09-13</v>
      </c>
      <c r="AF28" s="1"/>
    </row>
    <row r="29" spans="1:32" x14ac:dyDescent="0.25">
      <c r="A29" s="31">
        <v>42990.266435185185</v>
      </c>
      <c r="B29" s="30" t="s">
        <v>577</v>
      </c>
      <c r="C29" s="30" t="s">
        <v>578</v>
      </c>
      <c r="D29" s="30" t="s">
        <v>49</v>
      </c>
      <c r="E29" s="30" t="s">
        <v>181</v>
      </c>
      <c r="F29" s="42">
        <v>0</v>
      </c>
      <c r="G29" s="42">
        <v>50</v>
      </c>
      <c r="H29" s="42">
        <v>58903</v>
      </c>
      <c r="I29" s="42">
        <v>58944</v>
      </c>
      <c r="J29" s="30" t="s">
        <v>182</v>
      </c>
      <c r="K29" s="42">
        <v>59048</v>
      </c>
      <c r="L29" s="131" t="s">
        <v>50</v>
      </c>
      <c r="M29" s="132">
        <f>CONVERT((I29-K29)/10000,"mi","ft")*IF(L29="Increasing Mileposts (1)",-1,1)</f>
        <v>54.911999999999999</v>
      </c>
      <c r="N29" s="133" t="str">
        <f>VLOOKUP(C29,'Trips&amp;Operators'!$C$1:$G$99911,5,FALSE)</f>
        <v>FORTUNATO FRANK</v>
      </c>
      <c r="O29" s="200" t="s">
        <v>180</v>
      </c>
      <c r="P29" s="134"/>
      <c r="Q29" s="30"/>
      <c r="R29" s="81" t="str">
        <f>VLOOKUP(C29,'Train Runs'!$A$13:$AE$9940,31,0)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S29" s="84" t="str">
        <f>VLOOKUP(C29,'Train Runs'!$A$13:$AE$9940,22,0)</f>
        <v>https://d0f6bd738d7f1b3e5a7ca70fe4ff75f0.us-east-1.aws.found.io/app/kibana#/discover/Steve-Slow-Train-Analysis-(2080s-and-2083s)?_g=(refreshInterval:(display:Off,pause:!f,section:0,value:0),time:(from:'2017-09-12T04:56:44-0600',mode:absolute,to:'2017-09-12T07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/stypes="*4064*201709121*" /stext=" 12:.+((SYSTEM_STATE.+slice.+state.+changed )|(ment ac)|(multiple cpu faults)|(system.+state.+changed )|(\[timeout)|(PRM\|1\|D)|(kpr)|(kdp)|(train st.+moving)|(\|lc)|(penalty))"</v>
      </c>
      <c r="U29" s="9" t="str">
        <f>MID(B29,13,4)</f>
        <v>4064</v>
      </c>
      <c r="V29" s="31">
        <f>A29-utc_offset/24</f>
        <v>42990.516435185185</v>
      </c>
      <c r="W29" s="45" t="str">
        <f>DetSubdiv(C29)</f>
        <v>NW</v>
      </c>
      <c r="X29" s="22">
        <f>VALUE(LEFT(C29,LEN(C29)-3))</f>
        <v>803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{"issue":{"subject":"","project_id":79,"tracker_id":40,"status_id":1,"priority_id":2,"assigned_to_id":338,"start_date":"2017-09-12","description":"","custom_fields":[{"id":1,"name":"Subdivision","value":"NW"},{"id":4,"name":"Milepost","value":"5.9048"},{"id":17,"name":"Train ID","value":"803-12"},{"id":16,"name":"Locomotive ID","value":"4064"},{"id":130,"name":"Impact","value":""},{"id":150,"name":"Time of Event (Mountain Time)","value":"06:23:40"},{"id":151,"name":"Denver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/c/Users/stu/AppData/Local/Temp/OnboardLogs/RTDC4064 --include="*4064*201709121*"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"%USERPROFILE%\AppData\Local\Temp\OnboardLogs"\RTDC4064\*4064*201709121* &gt;&gt; 2017-09-12-SliceDisagreementCheck.txt</v>
      </c>
      <c r="AE29" s="145" t="str">
        <f t="shared" si="1"/>
        <v>start /low /b %USERPROFILE%\Documents\GitHub\eaglep3\Utilities\DownloadLogsFromS3.py --loco 4064 --day 2017-09-12</v>
      </c>
      <c r="AF29" s="1"/>
    </row>
    <row r="30" spans="1:32" x14ac:dyDescent="0.25">
      <c r="A30" s="31">
        <v>42990.390682870369</v>
      </c>
      <c r="B30" s="30" t="s">
        <v>577</v>
      </c>
      <c r="C30" s="30" t="s">
        <v>587</v>
      </c>
      <c r="D30" s="30" t="s">
        <v>49</v>
      </c>
      <c r="E30" s="30" t="s">
        <v>181</v>
      </c>
      <c r="F30" s="42">
        <v>0</v>
      </c>
      <c r="G30" s="42">
        <v>84</v>
      </c>
      <c r="H30" s="42">
        <v>58741</v>
      </c>
      <c r="I30" s="42">
        <v>58833</v>
      </c>
      <c r="J30" s="30" t="s">
        <v>182</v>
      </c>
      <c r="K30" s="42">
        <v>59048</v>
      </c>
      <c r="L30" s="131" t="s">
        <v>50</v>
      </c>
      <c r="M30" s="132">
        <f>CONVERT((I30-K30)/10000,"mi","ft")*IF(L30="Increasing Mileposts (1)",-1,1)</f>
        <v>113.52</v>
      </c>
      <c r="N30" s="133" t="str">
        <f>VLOOKUP(C30,'Trips&amp;Operators'!$C$1:$G$99911,5,FALSE)</f>
        <v>FORTUNATO FRANK</v>
      </c>
      <c r="O30" s="200" t="s">
        <v>180</v>
      </c>
      <c r="P30" s="134"/>
      <c r="Q30" s="30"/>
      <c r="R30" s="81" t="str">
        <f>VLOOKUP(C30,'Train Runs'!$A$13:$AE$9940,31,0)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S30" s="84" t="str">
        <f>VLOOKUP(C30,'Train Runs'!$A$13:$AE$9940,22,0)</f>
        <v>https://d0f6bd738d7f1b3e5a7ca70fe4ff75f0.us-east-1.aws.found.io/app/kibana#/discover/Steve-Slow-Train-Analysis-(2080s-and-2083s)?_g=(refreshInterval:(display:Off,pause:!f,section:0,value:0),time:(from:'2017-09-12T07:58:29-0600',mode:absolute,to:'2017-09-12T10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/stypes="*4064*201709121*" /stext=" 15:.+((SYSTEM_STATE.+slice.+state.+changed )|(ment ac)|(multiple cpu faults)|(system.+state.+changed )|(\[timeout)|(PRM\|1\|D)|(kpr)|(kdp)|(train st.+moving)|(\|lc)|(penalty))"</v>
      </c>
      <c r="U30" s="9" t="str">
        <f>MID(B30,13,4)</f>
        <v>4064</v>
      </c>
      <c r="V30" s="31">
        <f>A30-utc_offset/24</f>
        <v>42990.640682870369</v>
      </c>
      <c r="W30" s="45" t="str">
        <f>DetSubdiv(C30)</f>
        <v>NW</v>
      </c>
      <c r="X30" s="22">
        <f>VALUE(LEFT(C30,LEN(C30)-3))</f>
        <v>813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{"issue":{"subject":"","project_id":79,"tracker_id":40,"status_id":1,"priority_id":2,"assigned_to_id":338,"start_date":"2017-09-12","description":"","custom_fields":[{"id":1,"name":"Subdivision","value":"NW"},{"id":4,"name":"Milepost","value":"5.9048"},{"id":17,"name":"Train ID","value":"813-12"},{"id":16,"name":"Locomotive ID","value":"4064"},{"id":130,"name":"Impact","value":""},{"id":150,"name":"Time of Event (Mountain Time)","value":"09:22:35"},{"id":151,"name":"Denver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/c/Users/stu/AppData/Local/Temp/OnboardLogs/RTDC4064 --include="*4064*201709121*"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"%USERPROFILE%\AppData\Local\Temp\OnboardLogs"\RTDC4064\*4064*201709121* &gt;&gt; 2017-09-12-SliceDisagreementCheck.txt</v>
      </c>
      <c r="AE30" s="145" t="str">
        <f t="shared" si="1"/>
        <v>start /low /b %USERPROFILE%\Documents\GitHub\eaglep3\Utilities\DownloadLogsFromS3.py --loco 4064 --day 2017-09-12</v>
      </c>
      <c r="AF30" s="1"/>
    </row>
    <row r="31" spans="1:32" x14ac:dyDescent="0.25">
      <c r="A31" s="31">
        <v>42990.391365740739</v>
      </c>
      <c r="B31" s="30" t="s">
        <v>577</v>
      </c>
      <c r="C31" s="30" t="s">
        <v>587</v>
      </c>
      <c r="D31" s="30" t="s">
        <v>49</v>
      </c>
      <c r="E31" s="30" t="s">
        <v>181</v>
      </c>
      <c r="F31" s="42">
        <v>0</v>
      </c>
      <c r="G31" s="42">
        <v>8</v>
      </c>
      <c r="H31" s="42">
        <v>59016</v>
      </c>
      <c r="I31" s="42">
        <v>59016</v>
      </c>
      <c r="J31" s="30" t="s">
        <v>182</v>
      </c>
      <c r="K31" s="42">
        <v>59048</v>
      </c>
      <c r="L31" s="131" t="s">
        <v>50</v>
      </c>
      <c r="M31" s="132">
        <f>CONVERT((I31-K31)/10000,"mi","ft")*IF(L31="Increasing Mileposts (1)",-1,1)</f>
        <v>16.896000000000001</v>
      </c>
      <c r="N31" s="133" t="str">
        <f>VLOOKUP(C31,'Trips&amp;Operators'!$C$1:$G$99911,5,FALSE)</f>
        <v>FORTUNATO FRANK</v>
      </c>
      <c r="O31" s="200" t="s">
        <v>180</v>
      </c>
      <c r="P31" s="134"/>
      <c r="Q31" s="30"/>
      <c r="R31" s="81" t="str">
        <f>VLOOKUP(C31,'Train Runs'!$A$13:$AE$9940,31,0)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S31" s="84" t="str">
        <f>VLOOKUP(C31,'Train Runs'!$A$13:$AE$9940,22,0)</f>
        <v>https://d0f6bd738d7f1b3e5a7ca70fe4ff75f0.us-east-1.aws.found.io/app/kibana#/discover/Steve-Slow-Train-Analysis-(2080s-and-2083s)?_g=(refreshInterval:(display:Off,pause:!f,section:0,value:0),time:(from:'2017-09-12T07:58:29-0600',mode:absolute,to:'2017-09-12T10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/stypes="*4064*201709121*" /stext=" 15:.+((SYSTEM_STATE.+slice.+state.+changed )|(ment ac)|(multiple cpu faults)|(system.+state.+changed )|(\[timeout)|(PRM\|1\|D)|(kpr)|(kdp)|(train st.+moving)|(\|lc)|(penalty))"</v>
      </c>
      <c r="U31" s="9" t="str">
        <f>MID(B31,13,4)</f>
        <v>4064</v>
      </c>
      <c r="V31" s="31">
        <f>A31-utc_offset/24</f>
        <v>42990.641365740739</v>
      </c>
      <c r="W31" s="45" t="str">
        <f>DetSubdiv(C31)</f>
        <v>NW</v>
      </c>
      <c r="X31" s="22">
        <f>VALUE(LEFT(C31,LEN(C31)-3))</f>
        <v>813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{"issue":{"subject":"","project_id":79,"tracker_id":40,"status_id":1,"priority_id":2,"assigned_to_id":338,"start_date":"2017-09-12","description":"","custom_fields":[{"id":1,"name":"Subdivision","value":"NW"},{"id":4,"name":"Milepost","value":"5.9048"},{"id":17,"name":"Train ID","value":"813-12"},{"id":16,"name":"Locomotive ID","value":"4064"},{"id":130,"name":"Impact","value":""},{"id":150,"name":"Time of Event (Mountain Time)","value":"09:23:34"},{"id":151,"name":"Denver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/c/Users/stu/AppData/Local/Temp/OnboardLogs/RTDC4064 --include="*4064*201709121*"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"%USERPROFILE%\AppData\Local\Temp\OnboardLogs"\RTDC4064\*4064*201709121* &gt;&gt; 2017-09-12-SliceDisagreementCheck.txt</v>
      </c>
      <c r="AE31" s="145" t="str">
        <f t="shared" si="1"/>
        <v>start /low /b %USERPROFILE%\Documents\GitHub\eaglep3\Utilities\DownloadLogsFromS3.py --loco 4064 --day 2017-09-12</v>
      </c>
      <c r="AF31" s="1"/>
    </row>
    <row r="32" spans="1:32" x14ac:dyDescent="0.25">
      <c r="A32" s="31">
        <v>42990.432719907411</v>
      </c>
      <c r="B32" s="30" t="s">
        <v>577</v>
      </c>
      <c r="C32" s="30" t="s">
        <v>592</v>
      </c>
      <c r="D32" s="30" t="s">
        <v>49</v>
      </c>
      <c r="E32" s="30" t="s">
        <v>181</v>
      </c>
      <c r="F32" s="42">
        <v>0</v>
      </c>
      <c r="G32" s="42">
        <v>28</v>
      </c>
      <c r="H32" s="42">
        <v>58969</v>
      </c>
      <c r="I32" s="42">
        <v>58984</v>
      </c>
      <c r="J32" s="30" t="s">
        <v>182</v>
      </c>
      <c r="K32" s="42">
        <v>59048</v>
      </c>
      <c r="L32" s="131" t="s">
        <v>50</v>
      </c>
      <c r="M32" s="132">
        <f>CONVERT((I32-K32)/10000,"mi","ft")*IF(L32="Increasing Mileposts (1)",-1,1)</f>
        <v>33.792000000000002</v>
      </c>
      <c r="N32" s="133" t="str">
        <f>VLOOKUP(C32,'Trips&amp;Operators'!$C$1:$G$99911,5,FALSE)</f>
        <v>FORTUNATO FRANK</v>
      </c>
      <c r="O32" s="200" t="s">
        <v>180</v>
      </c>
      <c r="P32" s="134"/>
      <c r="Q32" s="30"/>
      <c r="R32" s="81" t="str">
        <f>VLOOKUP(C32,'Train Runs'!$A$13:$AE$9940,31,0)</f>
        <v>aws s3 cp s3://rtdc.mdm.uploadarchive.raw/RTDC4064/ "%USERPROFILE%\AppData\Local\Temp\OnboardLogs"\RTDC4064\2017-09-12 --exclude "*" --recursive --include "*20170912*" &amp; "%USERPROFILE%\Documents\GitHub\mrs-test-scripts\Headless Mode &amp; Sideloading\WalkAndUnGZ.bat" "%USERPROFILE%\AppData\Local\Temp\OnboardLogs"\RTDC4064\2017-09-12 &amp; aws s3 cp s3://rtdc.mdm.uploadarchive.raw/RTDC4064/ "%USERPROFILE%\AppData\Local\Temp\OnboardLogs"\RTDC4064\2017-09-13 --exclude "*" --recursive --include "*20170913*" &amp; "%USERPROFILE%\Documents\GitHub\mrs-test-scripts\Headless Mode &amp; Sideloading\WalkAndUnGZ.bat" "%USERPROFILE%\AppData\Local\Temp\OnboardLogs"\RTDC4064\2017-09-13</v>
      </c>
      <c r="S32" s="84" t="str">
        <f>VLOOKUP(C32,'Train Runs'!$A$13:$AE$9940,22,0)</f>
        <v>https://d0f6bd738d7f1b3e5a7ca70fe4ff75f0.us-east-1.aws.found.io/app/kibana#/discover/Steve-Slow-Train-Analysis-(2080s-and-2083s)?_g=(refreshInterval:(display:Off,pause:!f,section:0,value:0),time:(from:'2017-09-12T08:59:12-0600',mode:absolute,to:'2017-09-12T11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/stypes="*4064*201709121*" /stext=" 16:.+((SYSTEM_STATE.+slice.+state.+changed )|(ment ac)|(multiple cpu faults)|(system.+state.+changed )|(\[timeout)|(PRM\|1\|D)|(kpr)|(kdp)|(train st.+moving)|(\|lc)|(penalty))"</v>
      </c>
      <c r="U32" s="9" t="str">
        <f>MID(B32,13,4)</f>
        <v>4064</v>
      </c>
      <c r="V32" s="31">
        <f>A32-utc_offset/24</f>
        <v>42990.682719907411</v>
      </c>
      <c r="W32" s="45" t="str">
        <f>DetSubdiv(C32)</f>
        <v>NW</v>
      </c>
      <c r="X32" s="22">
        <f>VALUE(LEFT(C32,LEN(C32)-3))</f>
        <v>815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{"issue":{"subject":"","project_id":79,"tracker_id":40,"status_id":1,"priority_id":2,"assigned_to_id":338,"start_date":"2017-09-12","description":"","custom_fields":[{"id":1,"name":"Subdivision","value":"NW"},{"id":4,"name":"Milepost","value":"5.9048"},{"id":17,"name":"Train ID","value":"815-12"},{"id":16,"name":"Locomotive ID","value":"4064"},{"id":130,"name":"Impact","value":""},{"id":150,"name":"Time of Event (Mountain Time)","value":"10:23:07"},{"id":151,"name":"Denver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/c/Users/stu/AppData/Local/Temp/OnboardLogs/RTDC4064 --include="*4064*201709121*"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"%USERPROFILE%\AppData\Local\Temp\OnboardLogs"\RTDC4064\*4064*201709121* &gt;&gt; 2017-09-12-SliceDisagreementCheck.txt</v>
      </c>
      <c r="AE32" s="145" t="str">
        <f t="shared" si="1"/>
        <v>start /low /b %USERPROFILE%\Documents\GitHub\eaglep3\Utilities\DownloadLogsFromS3.py --loco 4064 --day 2017-09-12</v>
      </c>
      <c r="AF32" s="1"/>
    </row>
    <row r="33" spans="1:32" x14ac:dyDescent="0.25">
      <c r="A33" s="31">
        <v>42990.931562500002</v>
      </c>
      <c r="B33" s="30" t="s">
        <v>507</v>
      </c>
      <c r="C33" s="30" t="s">
        <v>611</v>
      </c>
      <c r="D33" s="30" t="s">
        <v>49</v>
      </c>
      <c r="E33" s="30" t="s">
        <v>181</v>
      </c>
      <c r="F33" s="42">
        <v>0</v>
      </c>
      <c r="G33" s="42">
        <v>84</v>
      </c>
      <c r="H33" s="42">
        <v>58739</v>
      </c>
      <c r="I33" s="42">
        <v>58847</v>
      </c>
      <c r="J33" s="30" t="s">
        <v>182</v>
      </c>
      <c r="K33" s="42">
        <v>59048</v>
      </c>
      <c r="L33" s="131" t="s">
        <v>50</v>
      </c>
      <c r="M33" s="132">
        <f>CONVERT((I33-K33)/10000,"mi","ft")*IF(L33="Increasing Mileposts (1)",-1,1)</f>
        <v>106.128</v>
      </c>
      <c r="N33" s="133" t="str">
        <f>VLOOKUP(C33,'Trips&amp;Operators'!$C$1:$G$99911,5,FALSE)</f>
        <v>STAMBAUGH JAMES</v>
      </c>
      <c r="O33" s="200" t="s">
        <v>180</v>
      </c>
      <c r="P33" s="134"/>
      <c r="Q33" s="30"/>
      <c r="R33" s="81" t="str">
        <f>VLOOKUP(C33,'Train Runs'!$A$13:$AE$9940,31,0)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S33" s="84" t="str">
        <f>VLOOKUP(C33,'Train Runs'!$A$13:$AE$9940,22,0)</f>
        <v>https://d0f6bd738d7f1b3e5a7ca70fe4ff75f0.us-east-1.aws.found.io/app/kibana#/discover/Steve-Slow-Train-Analysis-(2080s-and-2083s)?_g=(refreshInterval:(display:Off,pause:!f,section:0,value:0),time:(from:'2017-09-12T21:24:04-0600',mode:absolute,to:'2017-09-12T23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/stypes="*4066*201709130*" /stext=" 04:.+((SYSTEM_STATE.+slice.+state.+changed )|(ment ac)|(multiple cpu faults)|(system.+state.+changed )|(\[timeout)|(PRM\|1\|D)|(kpr)|(kdp)|(train st.+moving)|(\|lc)|(penalty))"</v>
      </c>
      <c r="U33" s="9" t="str">
        <f>MID(B33,13,4)</f>
        <v>4066</v>
      </c>
      <c r="V33" s="31">
        <f>A33-utc_offset/24</f>
        <v>42991.181562500002</v>
      </c>
      <c r="W33" s="45" t="str">
        <f>DetSubdiv(C33)</f>
        <v>NW</v>
      </c>
      <c r="X33" s="22">
        <f>VALUE(LEFT(C33,LEN(C33)-3))</f>
        <v>847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{"issue":{"subject":"","project_id":79,"tracker_id":40,"status_id":1,"priority_id":2,"assigned_to_id":338,"start_date":"2017-09-12","description":"","custom_fields":[{"id":1,"name":"Subdivision","value":"NW"},{"id":4,"name":"Milepost","value":"5.9048"},{"id":17,"name":"Train ID","value":"847-12"},{"id":16,"name":"Locomotive ID","value":"4066"},{"id":130,"name":"Impact","value":""},{"id":150,"name":"Time of Event (Mountain Time)","value":"22:21:27"},{"id":151,"name":"Denver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/c/Users/stu/AppData/Local/Temp/OnboardLogs/RTDC4066 --include="*4066*201709130*"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"%USERPROFILE%\AppData\Local\Temp\OnboardLogs"\RTDC4066\*4066*201709130* &gt;&gt; 2017-09-12-SliceDisagreementCheck.txt</v>
      </c>
      <c r="AE33" s="145" t="str">
        <f t="shared" si="1"/>
        <v>start /low /b %USERPROFILE%\Documents\GitHub\eaglep3\Utilities\DownloadLogsFromS3.py --loco 4066 --day 2017-09-13</v>
      </c>
      <c r="AF33" s="1"/>
    </row>
    <row r="34" spans="1:32" x14ac:dyDescent="0.25">
      <c r="A34" s="31">
        <v>42990.932581018518</v>
      </c>
      <c r="B34" s="30" t="s">
        <v>507</v>
      </c>
      <c r="C34" s="30" t="s">
        <v>611</v>
      </c>
      <c r="D34" s="30" t="s">
        <v>96</v>
      </c>
      <c r="E34" s="30" t="s">
        <v>181</v>
      </c>
      <c r="F34" s="42">
        <v>0</v>
      </c>
      <c r="G34" s="42">
        <v>3</v>
      </c>
      <c r="H34" s="42">
        <v>59048</v>
      </c>
      <c r="I34" s="42">
        <v>0</v>
      </c>
      <c r="J34" s="30" t="s">
        <v>182</v>
      </c>
      <c r="K34" s="42">
        <v>59048</v>
      </c>
      <c r="L34" s="131" t="s">
        <v>50</v>
      </c>
      <c r="M34" s="132">
        <f>CONVERT((I34-K34)/10000,"mi","ft")*IF(L34="Increasing Mileposts (1)",-1,1)</f>
        <v>31177.344000000001</v>
      </c>
      <c r="N34" s="133" t="str">
        <f>VLOOKUP(C34,'Trips&amp;Operators'!$C$1:$G$99911,5,FALSE)</f>
        <v>STAMBAUGH JAMES</v>
      </c>
      <c r="O34" s="200" t="s">
        <v>180</v>
      </c>
      <c r="P34" s="134"/>
      <c r="Q34" s="30"/>
      <c r="R34" s="81" t="str">
        <f>VLOOKUP(C34,'Train Runs'!$A$13:$AE$9940,31,0)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S34" s="84" t="str">
        <f>VLOOKUP(C34,'Train Runs'!$A$13:$AE$9940,22,0)</f>
        <v>https://d0f6bd738d7f1b3e5a7ca70fe4ff75f0.us-east-1.aws.found.io/app/kibana#/discover/Steve-Slow-Train-Analysis-(2080s-and-2083s)?_g=(refreshInterval:(display:Off,pause:!f,section:0,value:0),time:(from:'2017-09-12T21:24:04-0600',mode:absolute,to:'2017-09-12T23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/stypes="*4066*201709130*" /stext=" 04:.+((SYSTEM_STATE.+slice.+state.+changed )|(ment ac)|(multiple cpu faults)|(system.+state.+changed )|(\[timeout)|(PRM\|1\|D)|(kpr)|(kdp)|(train st.+moving)|(\|lc)|(penalty))"</v>
      </c>
      <c r="U34" s="9" t="str">
        <f>MID(B34,13,4)</f>
        <v>4066</v>
      </c>
      <c r="V34" s="31">
        <f>A34-utc_offset/24</f>
        <v>42991.182581018518</v>
      </c>
      <c r="W34" s="45" t="str">
        <f>DetSubdiv(C34)</f>
        <v>NW</v>
      </c>
      <c r="X34" s="22">
        <f>VALUE(LEFT(C34,LEN(C34)-3))</f>
        <v>847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{"issue":{"subject":"","project_id":79,"tracker_id":40,"status_id":1,"priority_id":2,"assigned_to_id":338,"start_date":"2017-09-12","description":"","custom_fields":[{"id":1,"name":"Subdivision","value":"NW"},{"id":4,"name":"Milepost","value":"5.9048"},{"id":17,"name":"Train ID","value":"847-12"},{"id":16,"name":"Locomotive ID","value":"4066"},{"id":130,"name":"Impact","value":""},{"id":150,"name":"Time of Event (Mountain Time)","value":"22:22:55"},{"id":151,"name":"Denver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/c/Users/stu/AppData/Local/Temp/OnboardLogs/RTDC4066 --include="*4066*201709130*"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"%USERPROFILE%\AppData\Local\Temp\OnboardLogs"\RTDC4066\*4066*201709130* &gt;&gt; 2017-09-12-SliceDisagreementCheck.txt</v>
      </c>
      <c r="AE34" s="145" t="str">
        <f t="shared" si="1"/>
        <v>start /low /b %USERPROFILE%\Documents\GitHub\eaglep3\Utilities\DownloadLogsFromS3.py --loco 4066 --day 2017-09-13</v>
      </c>
      <c r="AF34" s="1"/>
    </row>
    <row r="35" spans="1:32" x14ac:dyDescent="0.25">
      <c r="A35" s="31">
        <v>42991.091666666667</v>
      </c>
      <c r="B35" s="30" t="s">
        <v>380</v>
      </c>
      <c r="C35" s="30" t="s">
        <v>613</v>
      </c>
      <c r="D35" s="30" t="s">
        <v>96</v>
      </c>
      <c r="E35" s="30" t="s">
        <v>195</v>
      </c>
      <c r="F35" s="42">
        <v>450</v>
      </c>
      <c r="G35" s="42">
        <v>502</v>
      </c>
      <c r="H35" s="42">
        <v>14369</v>
      </c>
      <c r="I35" s="42">
        <v>15768</v>
      </c>
      <c r="J35" s="30" t="s">
        <v>196</v>
      </c>
      <c r="K35" s="42">
        <v>13572</v>
      </c>
      <c r="L35" s="131" t="s">
        <v>50</v>
      </c>
      <c r="M35" s="132">
        <f>CONVERT((I35-K35)/10000,"mi","ft")*IF(L35="Increasing Mileposts (1)",-1,1)</f>
        <v>-1159.4880000000001</v>
      </c>
      <c r="N35" s="133" t="str">
        <f>VLOOKUP(C35,'Trips&amp;Operators'!$C$1:$G$99911,5,FALSE)</f>
        <v>HART KEVIN</v>
      </c>
      <c r="O35" s="200" t="s">
        <v>180</v>
      </c>
      <c r="P35" s="134"/>
      <c r="Q35" s="30"/>
      <c r="R35" s="81" t="str">
        <f>VLOOKUP(C35,'Train Runs'!$A$13:$AE$9940,31,0)</f>
        <v>aws s3 cp s3://rtdc.mdm.uploadarchive.raw/RTDC4030/ "%USERPROFILE%\AppData\Local\Temp\OnboardLogs"\RTDC4030\2017-09-13 --exclude "*" --recursive --include "*20170913*" &amp; "%USERPROFILE%\Documents\GitHub\mrs-test-scripts\Headless Mode &amp; Sideloading\WalkAndUnGZ.bat" "%USERPROFILE%\AppData\Local\Temp\OnboardLogs"\RTDC4030\2017-09-13 &amp; aws s3 cp s3://rtdc.mdm.uploadarchive.raw/RTDC4030/ "%USERPROFILE%\AppData\Local\Temp\OnboardLogs"\RTDC4030\2017-09-14 --exclude "*" --recursive --include "*20170914*" &amp; "%USERPROFILE%\Documents\GitHub\mrs-test-scripts\Headless Mode &amp; Sideloading\WalkAndUnGZ.bat" "%USERPROFILE%\AppData\Local\Temp\OnboardLogs"\RTDC4030\2017-09-14</v>
      </c>
      <c r="S35" s="84" t="str">
        <f>VLOOKUP(C35,'Train Runs'!$A$13:$AE$9940,22,0)</f>
        <v>https://d0f6bd738d7f1b3e5a7ca70fe4ff75f0.us-east-1.aws.found.io/app/kibana#/discover/Steve-Slow-Train-Analysis-(2080s-and-2083s)?_g=(refreshInterval:(display:Off,pause:!f,section:0,value:0),time:(from:'2017-09-13T01:05:22-0600',mode:absolute,to:'2017-09-13T03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/stypes="*4030*201709130*" /stext=" 08:.+((SYSTEM_STATE.+slice.+state.+changed )|(ment ac)|(multiple cpu faults)|(system.+state.+changed )|(\[timeout)|(PRM\|1\|D)|(kpr)|(kdp)|(train st.+moving)|(\|lc)|(penalty))"</v>
      </c>
      <c r="U35" s="9" t="str">
        <f>MID(B35,13,4)</f>
        <v>4030</v>
      </c>
      <c r="V35" s="31">
        <f>A35-utc_offset/24</f>
        <v>42991.341666666667</v>
      </c>
      <c r="W35" s="45" t="str">
        <f>DetSubdiv(C35)</f>
        <v>Other</v>
      </c>
      <c r="X35" s="22">
        <f>VALUE(LEFT(C35,LEN(C35)-3))</f>
        <v>313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{"issue":{"subject":"","project_id":79,"tracker_id":40,"status_id":1,"priority_id":2,"assigned_to_id":338,"start_date":"2017-09-13","description":"","custom_fields":[{"id":1,"name":"Subdivision","value":"Other"},{"id":4,"name":"Milepost","value":"1.3572"},{"id":17,"name":"Train ID","value":"313-12"},{"id":16,"name":"Locomotive ID","value":"4030"},{"id":130,"name":"Impact","value":""},{"id":150,"name":"Time of Event (Mountain Time)","value":"02:12:00"},{"id":151,"name":"Denver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/c/Users/stu/AppData/Local/Temp/OnboardLogs/RTDC4030 --include="*4030*201709130*"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"%USERPROFILE%\AppData\Local\Temp\OnboardLogs"\RTDC4030\*4030*201709130* &gt;&gt; 2017-09-12-SliceDisagreementCheck.txt</v>
      </c>
      <c r="AE35" s="145" t="str">
        <f t="shared" si="1"/>
        <v>start /low /b %USERPROFILE%\Documents\GitHub\eaglep3\Utilities\DownloadLogsFromS3.py --loco 4030 --day 2017-09-13</v>
      </c>
      <c r="AF35" s="1"/>
    </row>
    <row r="36" spans="1:32" x14ac:dyDescent="0.25">
      <c r="A36" s="31">
        <v>42990.790069444447</v>
      </c>
      <c r="B36" s="30" t="s">
        <v>603</v>
      </c>
      <c r="C36" s="30" t="s">
        <v>608</v>
      </c>
      <c r="D36" s="30" t="s">
        <v>96</v>
      </c>
      <c r="E36" s="30" t="s">
        <v>195</v>
      </c>
      <c r="F36" s="42">
        <v>150</v>
      </c>
      <c r="G36" s="42">
        <v>210</v>
      </c>
      <c r="H36" s="42">
        <v>56826</v>
      </c>
      <c r="I36" s="42">
        <v>56448</v>
      </c>
      <c r="J36" s="30" t="s">
        <v>196</v>
      </c>
      <c r="K36" s="42">
        <v>59050</v>
      </c>
      <c r="L36" s="131" t="s">
        <v>51</v>
      </c>
      <c r="M36" s="132">
        <f>CONVERT((I36-K36)/10000,"mi","ft")*IF(L36="Increasing Mileposts (1)",-1,1)</f>
        <v>-1373.856</v>
      </c>
      <c r="N36" s="133" t="str">
        <f>VLOOKUP(C36,'Trips&amp;Operators'!$C$1:$G$99911,5,FALSE)</f>
        <v>STAMBAUGH JAMES</v>
      </c>
      <c r="O36" s="200" t="s">
        <v>180</v>
      </c>
      <c r="P36" s="134"/>
      <c r="Q36" s="30"/>
      <c r="R36" s="81" t="str">
        <f>VLOOKUP(C36,'Train Runs'!$A$13:$AE$9940,31,0)</f>
        <v>aws s3 cp s3://rtdc.mdm.uploadarchive.raw/RTDC4005/ "%USERPROFILE%\AppData\Local\Temp\OnboardLogs"\RTDC4005\2017-09-12 --exclude "*" --recursive --include "*20170912*" &amp; "%USERPROFILE%\Documents\GitHub\mrs-test-scripts\Headless Mode &amp; Sideloading\WalkAndUnGZ.bat" "%USERPROFILE%\AppData\Local\Temp\OnboardLogs"\RTDC4005\2017-09-12 &amp; aws s3 cp s3://rtdc.mdm.uploadarchive.raw/RTDC4005/ "%USERPROFILE%\AppData\Local\Temp\OnboardLogs"\RTDC4005\2017-09-13 --exclude "*" --recursive --include "*20170913*" &amp; "%USERPROFILE%\Documents\GitHub\mrs-test-scripts\Headless Mode &amp; Sideloading\WalkAndUnGZ.bat" "%USERPROFILE%\AppData\Local\Temp\OnboardLogs"\RTDC4005\2017-09-13</v>
      </c>
      <c r="S36" s="84" t="str">
        <f>VLOOKUP(C36,'Train Runs'!$A$13:$AE$9940,22,0)</f>
        <v>https://d0f6bd738d7f1b3e5a7ca70fe4ff75f0.us-east-1.aws.found.io/app/kibana#/discover/Steve-Slow-Train-Analysis-(2080s-and-2083s)?_g=(refreshInterval:(display:Off,pause:!f,section:0,value:0),time:(from:'2017-09-12T17:55:05-0600',mode:absolute,to:'2017-09-12T20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/stypes="*4005*201709130*" /stext=" 00:.+((SYSTEM_STATE.+slice.+state.+changed )|(ment ac)|(multiple cpu faults)|(system.+state.+changed )|(\[timeout)|(PRM\|1\|D)|(kpr)|(kdp)|(train st.+moving)|(\|lc)|(penalty))"</v>
      </c>
      <c r="U36" s="9" t="str">
        <f>MID(B36,13,4)</f>
        <v>4005</v>
      </c>
      <c r="V36" s="31">
        <f>A36-utc_offset/24</f>
        <v>42991.040069444447</v>
      </c>
      <c r="W36" s="45" t="str">
        <f>DetSubdiv(C36)</f>
        <v>Other</v>
      </c>
      <c r="X36" s="22">
        <f>VALUE(LEFT(C36,LEN(C36)-3))</f>
        <v>906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{"issue":{"subject":"","project_id":79,"tracker_id":40,"status_id":1,"priority_id":2,"assigned_to_id":338,"start_date":"2017-09-12","description":"","custom_fields":[{"id":1,"name":"Subdivision","value":"Other"},{"id":4,"name":"Milepost","value":"5.905"},{"id":17,"name":"Train ID","value":"906-12"},{"id":16,"name":"Locomotive ID","value":"4005"},{"id":130,"name":"Impact","value":""},{"id":150,"name":"Time of Event (Mountain Time)","value":"18:57:42"},{"id":151,"name":"Denver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/c/Users/stu/AppData/Local/Temp/OnboardLogs/RTDC4005 --include="*4005*201709130*"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"%USERPROFILE%\AppData\Local\Temp\OnboardLogs"\RTDC4005\*4005*201709130* &gt;&gt; 2017-09-12-SliceDisagreementCheck.txt</v>
      </c>
      <c r="AE36" s="145" t="str">
        <f t="shared" si="1"/>
        <v>start /low /b %USERPROFILE%\Documents\GitHub\eaglep3\Utilities\DownloadLogsFromS3.py --loco 4005 --day 2017-09-13</v>
      </c>
      <c r="AF36" s="1"/>
    </row>
    <row r="37" spans="1:32" x14ac:dyDescent="0.25">
      <c r="A37" s="31">
        <v>42990.517754629633</v>
      </c>
      <c r="B37" s="30" t="s">
        <v>508</v>
      </c>
      <c r="C37" s="30" t="s">
        <v>596</v>
      </c>
      <c r="D37" s="30" t="s">
        <v>49</v>
      </c>
      <c r="E37" s="30" t="s">
        <v>363</v>
      </c>
      <c r="F37" s="42">
        <v>0</v>
      </c>
      <c r="G37" s="42">
        <v>355</v>
      </c>
      <c r="H37" s="42">
        <v>9058</v>
      </c>
      <c r="I37" s="42">
        <v>8165</v>
      </c>
      <c r="J37" s="30" t="s">
        <v>364</v>
      </c>
      <c r="K37" s="42">
        <v>6799</v>
      </c>
      <c r="L37" s="131" t="s">
        <v>51</v>
      </c>
      <c r="M37" s="132">
        <f>CONVERT((I37-K37)/10000,"mi","ft")*IF(L37="Increasing Mileposts (1)",-1,1)</f>
        <v>721.24800000000005</v>
      </c>
      <c r="N37" s="133" t="str">
        <f>VLOOKUP(C37,'Trips&amp;Operators'!$C$1:$G$99911,5,FALSE)</f>
        <v>NEWELL JAMES</v>
      </c>
      <c r="O37" s="200" t="s">
        <v>180</v>
      </c>
      <c r="P37" s="134"/>
      <c r="Q37" s="30"/>
      <c r="R37" s="81" t="str">
        <f>VLOOKUP(C37,'Train Runs'!$A$13:$AE$9940,31,0)</f>
        <v>aws s3 cp s3://rtdc.mdm.uploadarchive.raw/RTDC4065/ "%USERPROFILE%\AppData\Local\Temp\OnboardLogs"\RTDC4065\2017-09-12 --exclude "*" --recursive --include "*20170912*" &amp; "%USERPROFILE%\Documents\GitHub\mrs-test-scripts\Headless Mode &amp; Sideloading\WalkAndUnGZ.bat" "%USERPROFILE%\AppData\Local\Temp\OnboardLogs"\RTDC4065\2017-09-12 &amp; aws s3 cp s3://rtdc.mdm.uploadarchive.raw/RTDC4065/ "%USERPROFILE%\AppData\Local\Temp\OnboardLogs"\RTDC4065\2017-09-13 --exclude "*" --recursive --include "*20170913*" &amp; "%USERPROFILE%\Documents\GitHub\mrs-test-scripts\Headless Mode &amp; Sideloading\WalkAndUnGZ.bat" "%USERPROFILE%\AppData\Local\Temp\OnboardLogs"\RTDC4065\2017-09-13</v>
      </c>
      <c r="S37" s="84" t="str">
        <f>VLOOKUP(C37,'Train Runs'!$A$13:$AE$9940,22,0)</f>
        <v>https://d0f6bd738d7f1b3e5a7ca70fe4ff75f0.us-east-1.aws.found.io/app/kibana#/discover/Steve-Slow-Train-Analysis-(2080s-and-2083s)?_g=(refreshInterval:(display:Off,pause:!f,section:0,value:0),time:(from:'2017-09-12T11:15:47-0600',mode:absolute,to:'2017-09-12T13:29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/stypes="*4065*201709121*" /stext=" 18:.+((SYSTEM_STATE.+slice.+state.+changed )|(ment ac)|(multiple cpu faults)|(system.+state.+changed )|(\[timeout)|(PRM\|1\|D)|(kpr)|(kdp)|(train st.+moving)|(\|lc)|(penalty))"</v>
      </c>
      <c r="U37" s="9" t="str">
        <f>MID(B37,13,4)</f>
        <v>4065</v>
      </c>
      <c r="V37" s="31">
        <f>A37-utc_offset/24</f>
        <v>42990.767754629633</v>
      </c>
      <c r="W37" s="45" t="str">
        <f>DetSubdiv(C37)</f>
        <v>Shuttle/Test</v>
      </c>
      <c r="X37" s="22">
        <f>VALUE(LEFT(C37,LEN(C37)-3))</f>
        <v>52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Shuttle/Test"},{"id":4,"name":"Milepost","value":"0.6799"},{"id":17,"name":"Train ID","value":"52-12"},{"id":16,"name":"Locomotive ID","value":"4065"},{"id":130,"name":"Impact","value":""},{"id":150,"name":"Time of Event (Mountain Time)","value":"12:25:34"},{"id":151,"name":"Denver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/c/Users/stu/AppData/Local/Temp/OnboardLogs/RTDC4065 --include="*4065*201709121*"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"%USERPROFILE%\AppData\Local\Temp\OnboardLogs"\RTDC4065\*4065*201709121* &gt;&gt; 2017-09-12-SliceDisagreementCheck.txt</v>
      </c>
      <c r="AE37" s="145" t="str">
        <f t="shared" si="1"/>
        <v>start /low /b %USERPROFILE%\Documents\GitHub\eaglep3\Utilities\DownloadLogsFromS3.py --loco 4065 --day 2017-09-12</v>
      </c>
      <c r="AF37" s="1"/>
    </row>
    <row r="38" spans="1:32" x14ac:dyDescent="0.25">
      <c r="A38" s="31">
        <v>42990.69699074074</v>
      </c>
      <c r="B38" s="30" t="s">
        <v>508</v>
      </c>
      <c r="C38" s="30" t="s">
        <v>602</v>
      </c>
      <c r="D38" s="30" t="s">
        <v>96</v>
      </c>
      <c r="E38" s="30" t="s">
        <v>181</v>
      </c>
      <c r="F38" s="42">
        <v>0</v>
      </c>
      <c r="G38" s="42">
        <v>7</v>
      </c>
      <c r="H38" s="42">
        <v>575</v>
      </c>
      <c r="I38" s="42">
        <v>574</v>
      </c>
      <c r="J38" s="30" t="s">
        <v>182</v>
      </c>
      <c r="K38" s="42">
        <v>575</v>
      </c>
      <c r="L38" s="131" t="s">
        <v>51</v>
      </c>
      <c r="M38" s="132">
        <f>CONVERT((I38-K38)/10000,"mi","ft")*IF(L38="Increasing Mileposts (1)",-1,1)</f>
        <v>-0.52800000000000002</v>
      </c>
      <c r="N38" s="133" t="str">
        <f>VLOOKUP(C38,'Trips&amp;Operators'!$C$1:$G$99911,5,FALSE)</f>
        <v>NEWELL JAMES</v>
      </c>
      <c r="O38" s="200" t="s">
        <v>180</v>
      </c>
      <c r="P38" s="134"/>
      <c r="Q38" s="30"/>
      <c r="R38" s="81" t="str">
        <f>VLOOKUP(C38,'Train Runs'!$A$13:$AE$9940,31,0)</f>
        <v>aws s3 cp s3://rtdc.mdm.uploadarchive.raw/RTDC4066/ "%USERPROFILE%\AppData\Local\Temp\OnboardLogs"\RTDC4066\2017-09-12 --exclude "*" --recursive --include "*20170912*" &amp; "%USERPROFILE%\Documents\GitHub\mrs-test-scripts\Headless Mode &amp; Sideloading\WalkAndUnGZ.bat" "%USERPROFILE%\AppData\Local\Temp\OnboardLogs"\RTDC4066\2017-09-12 &amp; aws s3 cp s3://rtdc.mdm.uploadarchive.raw/RTDC4066/ "%USERPROFILE%\AppData\Local\Temp\OnboardLogs"\RTDC4066\2017-09-13 --exclude "*" --recursive --include "*20170913*" &amp; "%USERPROFILE%\Documents\GitHub\mrs-test-scripts\Headless Mode &amp; Sideloading\WalkAndUnGZ.bat" "%USERPROFILE%\AppData\Local\Temp\OnboardLogs"\RTDC4066\2017-09-13</v>
      </c>
      <c r="S38" s="84" t="str">
        <f>VLOOKUP(C38,'Train Runs'!$A$13:$AE$9940,22,0)</f>
        <v>https://d0f6bd738d7f1b3e5a7ca70fe4ff75f0.us-east-1.aws.found.io/app/kibana#/discover/Steve-Slow-Train-Analysis-(2080s-and-2083s)?_g=(refreshInterval:(display:Off,pause:!f,section:0,value:0),time:(from:'2017-09-12T15:12:23-0600',mode:absolute,to:'2017-09-12T17:43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/stypes="*4065*201709122*" /stext=" 22:.+((SYSTEM_STATE.+slice.+state.+changed )|(ment ac)|(multiple cpu faults)|(system.+state.+changed )|(\[timeout)|(PRM\|1\|D)|(kpr)|(kdp)|(train st.+moving)|(\|lc)|(penalty))"</v>
      </c>
      <c r="U38" s="9" t="str">
        <f>MID(B38,13,4)</f>
        <v>4065</v>
      </c>
      <c r="V38" s="31">
        <f>A38-utc_offset/24</f>
        <v>42990.94699074074</v>
      </c>
      <c r="W38" s="45" t="str">
        <f>DetSubdiv(C38)</f>
        <v>Shuttle/Test</v>
      </c>
      <c r="X38" s="22">
        <f>VALUE(LEFT(C38,LEN(C38)-3))</f>
        <v>75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Shuttle/Test"},{"id":4,"name":"Milepost","value":"0.0575"},{"id":17,"name":"Train ID","value":"75-12"},{"id":16,"name":"Locomotive ID","value":"4065"},{"id":130,"name":"Impact","value":""},{"id":150,"name":"Time of Event (Mountain Time)","value":"16:43:40"},{"id":151,"name":"Denver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/c/Users/stu/AppData/Local/Temp/OnboardLogs/RTDC4065 --include="*4065*201709122*"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"%USERPROFILE%\AppData\Local\Temp\OnboardLogs"\RTDC4065\*4065*201709122* &gt;&gt; 2017-09-12-SliceDisagreementCheck.txt</v>
      </c>
      <c r="AE38" s="145" t="str">
        <f t="shared" si="1"/>
        <v>start /low /b %USERPROFILE%\Documents\GitHub\eaglep3\Utilities\DownloadLogsFromS3.py --loco 4065 --day 2017-09-12</v>
      </c>
      <c r="AF38" s="1"/>
    </row>
    <row r="39" spans="1:32" x14ac:dyDescent="0.25">
      <c r="A39" s="31">
        <v>42990.467546296299</v>
      </c>
      <c r="B39" s="30" t="s">
        <v>594</v>
      </c>
      <c r="C39" s="30" t="s">
        <v>595</v>
      </c>
      <c r="D39" s="30" t="s">
        <v>96</v>
      </c>
      <c r="E39" s="30" t="s">
        <v>181</v>
      </c>
      <c r="F39" s="42">
        <v>0</v>
      </c>
      <c r="G39" s="42">
        <v>7</v>
      </c>
      <c r="H39" s="42">
        <v>825</v>
      </c>
      <c r="I39" s="42">
        <v>0</v>
      </c>
      <c r="J39" s="30" t="s">
        <v>182</v>
      </c>
      <c r="K39" s="42">
        <v>826</v>
      </c>
      <c r="L39" s="131" t="s">
        <v>51</v>
      </c>
      <c r="M39" s="132">
        <f>CONVERT((I39-K39)/10000,"mi","ft")*IF(L39="Increasing Mileposts (1)",-1,1)</f>
        <v>-436.12799999999999</v>
      </c>
      <c r="N39" s="133" t="str">
        <f>VLOOKUP(C39,'Trips&amp;Operators'!$C$1:$G$99911,5,FALSE)</f>
        <v>ROMERO CHAD</v>
      </c>
      <c r="O39" s="200" t="s">
        <v>180</v>
      </c>
      <c r="P39" s="134"/>
      <c r="Q39" s="30"/>
      <c r="R39" s="81" t="str">
        <f>VLOOKUP(C39,'Train Runs'!$A$13:$AE$9940,31,0)</f>
        <v>aws s3 cp s3://rtdc.mdm.uploadarchive.raw/RTDC4027/ "%USERPROFILE%\AppData\Local\Temp\OnboardLogs"\RTDC4027\2017-09-12 --exclude "*" --recursive --include "*20170912*" &amp; "%USERPROFILE%\Documents\GitHub\mrs-test-scripts\Headless Mode &amp; Sideloading\WalkAndUnGZ.bat" "%USERPROFILE%\AppData\Local\Temp\OnboardLogs"\RTDC4027\2017-09-12 &amp; aws s3 cp s3://rtdc.mdm.uploadarchive.raw/RTDC4027/ "%USERPROFILE%\AppData\Local\Temp\OnboardLogs"\RTDC4027\2017-09-13 --exclude "*" --recursive --include "*20170913*" &amp; "%USERPROFILE%\Documents\GitHub\mrs-test-scripts\Headless Mode &amp; Sideloading\WalkAndUnGZ.bat" "%USERPROFILE%\AppData\Local\Temp\OnboardLogs"\RTDC4027\2017-09-13</v>
      </c>
      <c r="S39" s="84" t="str">
        <f>VLOOKUP(C39,'Train Runs'!$A$13:$AE$9940,22,0)</f>
        <v>https://d0f6bd738d7f1b3e5a7ca70fe4ff75f0.us-east-1.aws.found.io/app/kibana#/discover/Steve-Slow-Train-Analysis-(2080s-and-2083s)?_g=(refreshInterval:(display:Off,pause:!f,section:0,value:0),time:(from:'2017-09-12T09:55:58-0600',mode:absolute,to:'2017-09-12T12:13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/stypes="*4027*201709121*" /stext=" 17:.+((SYSTEM_STATE.+slice.+state.+changed )|(ment ac)|(multiple cpu faults)|(system.+state.+changed )|(\[timeout)|(PRM\|1\|D)|(kpr)|(kdp)|(train st.+moving)|(\|lc)|(penalty))"</v>
      </c>
      <c r="U39" s="9" t="str">
        <f>MID(B39,13,4)</f>
        <v>4027</v>
      </c>
      <c r="V39" s="31">
        <f>A39-utc_offset/24</f>
        <v>42990.717546296299</v>
      </c>
      <c r="W39" s="45" t="str">
        <f>DetSubdiv(C39)</f>
        <v>Shuttle/Test</v>
      </c>
      <c r="X39" s="22">
        <f>VALUE(LEFT(C39,LEN(C39)-3))</f>
        <v>61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-12","description":"","custom_fields":[{"id":1,"name":"Subdivision","value":"Shuttle/Test"},{"id":4,"name":"Milepost","value":"0.0826"},{"id":17,"name":"Train ID","value":"61-12"},{"id":16,"name":"Locomotive ID","value":"4027"},{"id":130,"name":"Impact","value":""},{"id":150,"name":"Time of Event (Mountain Time)","value":"11:13:16"},{"id":151,"name":"Denver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/c/Users/stu/AppData/Local/Temp/OnboardLogs/RTDC4027 --include="*4027*201709121*"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"%USERPROFILE%\AppData\Local\Temp\OnboardLogs"\RTDC4027\*4027*201709121* &gt;&gt; 2017-09-12-SliceDisagreementCheck.txt</v>
      </c>
      <c r="AE39" s="145" t="str">
        <f t="shared" si="1"/>
        <v>start /low /b %USERPROFILE%\Documents\GitHub\eaglep3\Utilities\DownloadLogsFromS3.py --loco 4027 --day 2017-09-12</v>
      </c>
      <c r="AF39" s="1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9">
    <sortState ref="A7:AC49">
      <sortCondition ref="W7:W39"/>
      <sortCondition ref="E7:E39"/>
      <sortCondition ref="K7:K39"/>
      <sortCondition ref="F7:F39"/>
    </sortState>
  </autoFilter>
  <sortState ref="A7:AE31">
    <sortCondition ref="W7:W31"/>
    <sortCondition ref="E7:E31"/>
    <sortCondition ref="K7:K31"/>
    <sortCondition ref="C7:C31"/>
    <sortCondition ref="F7:F31"/>
  </sortState>
  <mergeCells count="1">
    <mergeCell ref="A5:O5"/>
  </mergeCells>
  <conditionalFormatting sqref="O6:P6 R6 O55:O1048576 O7:O3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AA7:AA39</xm:sqref>
        </x14:dataValidation>
        <x14:dataValidation type="list" allowBlank="1" showInputMessage="1" showErrorMessage="1">
          <x14:formula1>
            <xm:f>'Redmine List Values'!$C$2:$C$15</xm:f>
          </x14:formula1>
          <xm:sqref>AB7:AB39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220" customWidth="1"/>
    <col min="10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2017-09-12</v>
      </c>
      <c r="C1" s="219"/>
      <c r="D1" s="219"/>
      <c r="E1" s="219"/>
      <c r="F1" s="219"/>
      <c r="I1" s="220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21" t="s">
        <v>102</v>
      </c>
      <c r="J2" s="28" t="s">
        <v>60</v>
      </c>
    </row>
    <row r="3" spans="1:10" x14ac:dyDescent="0.25">
      <c r="A3" s="192">
        <v>152</v>
      </c>
      <c r="B3" s="42" t="str">
        <f>A3&amp;"-"&amp;IF(DAY(Variables!$A$2)&lt;10,0,"")&amp;DAY(Variables!$A$2)</f>
        <v>152-12</v>
      </c>
      <c r="C3" s="135"/>
      <c r="D3" s="153" t="e">
        <f>VLOOKUP(B3,'Trips&amp;Operators'!$C$1:$H$1072,6,FALSE)</f>
        <v>#N/A</v>
      </c>
      <c r="E3" s="30" t="s">
        <v>971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222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22152-12%22)),sort:!(Time.ISO8601,asc))</v>
      </c>
      <c r="J3" s="30" t="e">
        <f>VLOOKUP(B3,'Train Runs'!$A$13:$A$99937,1,FALSE)</f>
        <v>#N/A</v>
      </c>
    </row>
    <row r="4" spans="1:10" x14ac:dyDescent="0.25">
      <c r="A4" s="192"/>
      <c r="B4" s="42" t="str">
        <f>A4&amp;"-"&amp;IF(DAY(Variables!$A$2)&lt;10,0,"")&amp;DAY(Variables!$A$2)</f>
        <v>-12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222" t="str">
        <f t="shared" ref="I4:I1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Runs'!$A$13:$A$99937,1,FALSE)</f>
        <v>#N/A</v>
      </c>
    </row>
    <row r="5" spans="1:10" x14ac:dyDescent="0.25">
      <c r="A5" s="192"/>
      <c r="B5" s="42" t="str">
        <f>A5&amp;"-"&amp;IF(DAY(Variables!$A$2)&lt;10,0,"")&amp;DAY(Variables!$A$2)</f>
        <v>-12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Runs'!$A$13:$A$99937,1,FALSE)</f>
        <v>#N/A</v>
      </c>
    </row>
    <row r="6" spans="1:10" x14ac:dyDescent="0.25">
      <c r="A6" s="192"/>
      <c r="B6" s="42" t="str">
        <f>A6&amp;"-"&amp;IF(DAY(Variables!$A$2)&lt;10,0,"")&amp;DAY(Variables!$A$2)</f>
        <v>-12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Runs'!$A$13:$A$99937,1,FALSE)</f>
        <v>#N/A</v>
      </c>
    </row>
    <row r="7" spans="1:10" x14ac:dyDescent="0.25">
      <c r="A7" s="192"/>
      <c r="B7" s="42" t="str">
        <f>A7&amp;"-"&amp;IF(DAY(Variables!$A$2)&lt;10,0,"")&amp;DAY(Variables!$A$2)</f>
        <v>-12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Runs'!$A$13:$A$99937,1,FALSE)</f>
        <v>#N/A</v>
      </c>
    </row>
    <row r="8" spans="1:10" x14ac:dyDescent="0.25">
      <c r="A8" s="192"/>
      <c r="B8" s="42" t="str">
        <f>A8&amp;"-"&amp;IF(DAY(Variables!$A$2)&lt;10,0,"")&amp;DAY(Variables!$A$2)</f>
        <v>-12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Runs'!$A$13:$A$99937,1,FALSE)</f>
        <v>#N/A</v>
      </c>
    </row>
    <row r="9" spans="1:10" x14ac:dyDescent="0.25">
      <c r="A9" s="192"/>
      <c r="B9" s="42" t="str">
        <f>A9&amp;"-"&amp;IF(DAY(Variables!$A$2)&lt;10,0,"")&amp;DAY(Variables!$A$2)</f>
        <v>-12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Runs'!$A$13:$A$99937,1,FALSE)</f>
        <v>#N/A</v>
      </c>
    </row>
    <row r="10" spans="1:10" x14ac:dyDescent="0.25">
      <c r="A10" s="192"/>
      <c r="B10" s="42" t="str">
        <f>A10&amp;"-"&amp;IF(DAY(Variables!$A$2)&lt;10,0,"")&amp;DAY(Variables!$A$2)</f>
        <v>-12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Runs'!$A$13:$A$99937,1,FALSE)</f>
        <v>#N/A</v>
      </c>
    </row>
    <row r="11" spans="1:10" x14ac:dyDescent="0.25">
      <c r="A11" s="192"/>
      <c r="B11" s="42" t="str">
        <f>A11&amp;"-"&amp;IF(DAY(Variables!$A$2)&lt;10,0,"")&amp;DAY(Variables!$A$2)</f>
        <v>-12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Runs'!$A$13:$A$99937,1,FALSE)</f>
        <v>#N/A</v>
      </c>
    </row>
    <row r="12" spans="1:10" x14ac:dyDescent="0.25">
      <c r="A12" s="192"/>
      <c r="B12" s="42" t="str">
        <f>A12&amp;"-"&amp;IF(DAY(Variables!$A$2)&lt;10,0,"")&amp;DAY(Variables!$A$2)</f>
        <v>-12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Runs'!$A$13:$A$99937,1,FALSE)</f>
        <v>#N/A</v>
      </c>
    </row>
    <row r="13" spans="1:10" x14ac:dyDescent="0.25">
      <c r="A13" s="192"/>
      <c r="B13" s="42" t="str">
        <f>A13&amp;"-"&amp;IF(DAY(Variables!$A$2)&lt;10,0,"")&amp;DAY(Variables!$A$2)</f>
        <v>-12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Runs'!$A$13:$A$99937,1,FALSE)</f>
        <v>#N/A</v>
      </c>
    </row>
    <row r="14" spans="1:10" x14ac:dyDescent="0.25">
      <c r="A14" s="192"/>
      <c r="B14" s="42" t="str">
        <f>A14&amp;"-"&amp;IF(DAY(Variables!$A$2)&lt;10,0,"")&amp;DAY(Variables!$A$2)</f>
        <v>-12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Runs'!$A$13:$A$99937,1,FALSE)</f>
        <v>#N/A</v>
      </c>
    </row>
    <row r="15" spans="1:10" x14ac:dyDescent="0.25">
      <c r="A15" s="192"/>
      <c r="B15" s="42" t="str">
        <f>A15&amp;"-"&amp;IF(DAY(Variables!$A$2)&lt;10,0,"")&amp;DAY(Variables!$A$2)</f>
        <v>-12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Runs'!$A$13:$A$99937,1,FALSE)</f>
        <v>#N/A</v>
      </c>
    </row>
    <row r="16" spans="1:10" x14ac:dyDescent="0.25">
      <c r="A16" s="192"/>
      <c r="B16" s="42" t="str">
        <f>A16&amp;"-"&amp;IF(DAY(Variables!$A$2)&lt;10,0,"")&amp;DAY(Variables!$A$2)</f>
        <v>-12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Runs'!$A$13:$A$99937,1,FALSE)</f>
        <v>#N/A</v>
      </c>
    </row>
    <row r="17" spans="1:10" x14ac:dyDescent="0.25">
      <c r="A17" s="192"/>
      <c r="B17" s="42" t="str">
        <f>A17&amp;"-"&amp;IF(DAY(Variables!$A$2)&lt;10,0,"")&amp;DAY(Variables!$A$2)</f>
        <v>-12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Runs'!$A$13:$A$99937,1,FALSE)</f>
        <v>#N/A</v>
      </c>
    </row>
    <row r="18" spans="1:10" x14ac:dyDescent="0.25">
      <c r="A18" s="192"/>
      <c r="B18" s="42" t="str">
        <f>A18&amp;"-"&amp;IF(DAY(Variables!$A$2)&lt;10,0,"")&amp;DAY(Variables!$A$2)</f>
        <v>-12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222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Runs'!$A$13:$A$99937,1,FALSE)</f>
        <v>#N/A</v>
      </c>
    </row>
    <row r="19" spans="1:10" x14ac:dyDescent="0.25">
      <c r="A19" s="192"/>
      <c r="B19" s="42"/>
      <c r="C19" s="135"/>
      <c r="D19" s="153"/>
      <c r="E19" s="30"/>
      <c r="F19" s="21"/>
      <c r="G19" s="21"/>
      <c r="H19" s="29"/>
      <c r="I19" s="222"/>
      <c r="J19" s="30"/>
    </row>
    <row r="20" spans="1:10" x14ac:dyDescent="0.25">
      <c r="A20" s="192"/>
      <c r="B20" s="42"/>
      <c r="C20" s="135"/>
      <c r="D20" s="153"/>
      <c r="E20" s="30"/>
      <c r="F20" s="21"/>
      <c r="G20" s="21"/>
      <c r="H20" s="29"/>
      <c r="I20" s="222"/>
      <c r="J20" s="30"/>
    </row>
    <row r="21" spans="1:10" x14ac:dyDescent="0.25">
      <c r="A21" s="192"/>
      <c r="B21" s="42"/>
      <c r="C21" s="135"/>
      <c r="D21" s="153"/>
      <c r="E21" s="30"/>
      <c r="F21" s="21"/>
      <c r="G21" s="21"/>
      <c r="H21" s="29"/>
      <c r="I21" s="222"/>
      <c r="J21" s="30"/>
    </row>
    <row r="22" spans="1:10" x14ac:dyDescent="0.25">
      <c r="A22" s="192"/>
      <c r="B22" s="42"/>
      <c r="C22" s="135"/>
      <c r="D22" s="153"/>
      <c r="E22" s="30"/>
      <c r="F22" s="21"/>
      <c r="G22" s="21"/>
      <c r="H22" s="29"/>
      <c r="I22" s="222"/>
      <c r="J22" s="30"/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222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222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222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222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222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222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222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222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222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222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222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222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222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222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222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222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222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222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222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222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222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222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222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222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222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222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222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222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222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222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222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222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222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222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222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222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222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222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222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222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222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222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222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222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222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222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222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222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222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222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222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222"/>
      <c r="J74" s="30"/>
    </row>
  </sheetData>
  <autoFilter ref="A2:J26"/>
  <sortState ref="A3:J105">
    <sortCondition ref="A3:A10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4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  <c r="H1" s="20" t="s">
        <v>60</v>
      </c>
    </row>
    <row r="2" spans="1:8" x14ac:dyDescent="0.25">
      <c r="A2" s="8">
        <v>42990.048495370371</v>
      </c>
      <c r="B2" s="20" t="s">
        <v>462</v>
      </c>
      <c r="C2" s="20" t="s">
        <v>522</v>
      </c>
      <c r="D2" s="138">
        <v>890000</v>
      </c>
      <c r="E2" s="20" t="s">
        <v>375</v>
      </c>
      <c r="F2" s="20" t="s">
        <v>376</v>
      </c>
      <c r="G2" s="8" t="str">
        <f>E2&amp;" "&amp;F2</f>
        <v>LOZA FIDEL</v>
      </c>
      <c r="H2" t="str">
        <f>MID(B2,13,4)</f>
        <v>4026</v>
      </c>
    </row>
    <row r="3" spans="1:8" x14ac:dyDescent="0.25">
      <c r="A3" s="8">
        <v>42990.055763888886</v>
      </c>
      <c r="B3" s="20" t="s">
        <v>396</v>
      </c>
      <c r="C3" s="20" t="s">
        <v>523</v>
      </c>
      <c r="D3" s="138">
        <v>3040000</v>
      </c>
      <c r="E3" s="20" t="s">
        <v>446</v>
      </c>
      <c r="F3" s="20" t="s">
        <v>447</v>
      </c>
      <c r="G3" s="8" t="str">
        <f t="shared" ref="G3:G66" si="0">E3&amp;" "&amp;F3</f>
        <v>WILLIAMS DONTE</v>
      </c>
      <c r="H3" s="20" t="str">
        <f t="shared" ref="H3:H66" si="1">MID(B3,13,4)</f>
        <v>4009</v>
      </c>
    </row>
    <row r="4" spans="1:8" x14ac:dyDescent="0.25">
      <c r="A4" s="8">
        <v>42990.070324074077</v>
      </c>
      <c r="B4" s="20" t="s">
        <v>470</v>
      </c>
      <c r="C4" s="20" t="s">
        <v>524</v>
      </c>
      <c r="D4" s="138">
        <v>2680000</v>
      </c>
      <c r="E4" s="20" t="s">
        <v>398</v>
      </c>
      <c r="F4" s="20" t="s">
        <v>399</v>
      </c>
      <c r="G4" s="8" t="str">
        <f t="shared" si="0"/>
        <v>DUNCAN SHEILA</v>
      </c>
      <c r="H4" s="20" t="str">
        <f t="shared" si="1"/>
        <v>4054</v>
      </c>
    </row>
    <row r="5" spans="1:8" x14ac:dyDescent="0.25">
      <c r="A5" s="8">
        <v>42990.089849537035</v>
      </c>
      <c r="B5" s="20" t="s">
        <v>397</v>
      </c>
      <c r="C5" s="20" t="s">
        <v>525</v>
      </c>
      <c r="D5" s="138">
        <v>3040000</v>
      </c>
      <c r="E5" s="20" t="s">
        <v>446</v>
      </c>
      <c r="F5" s="20" t="s">
        <v>447</v>
      </c>
      <c r="G5" s="8" t="str">
        <f t="shared" si="0"/>
        <v>WILLIAMS DONTE</v>
      </c>
      <c r="H5" s="20" t="str">
        <f t="shared" si="1"/>
        <v>4010</v>
      </c>
    </row>
    <row r="6" spans="1:8" x14ac:dyDescent="0.25">
      <c r="A6" s="8">
        <v>42990.090694444443</v>
      </c>
      <c r="B6" s="20" t="s">
        <v>397</v>
      </c>
      <c r="C6" s="20" t="s">
        <v>525</v>
      </c>
      <c r="D6" s="138">
        <v>3040000</v>
      </c>
      <c r="E6" s="20" t="s">
        <v>446</v>
      </c>
      <c r="F6" s="20" t="s">
        <v>447</v>
      </c>
      <c r="G6" s="8" t="str">
        <f t="shared" si="0"/>
        <v>WILLIAMS DONTE</v>
      </c>
      <c r="H6" s="20" t="str">
        <f t="shared" si="1"/>
        <v>4010</v>
      </c>
    </row>
    <row r="7" spans="1:8" x14ac:dyDescent="0.25">
      <c r="A7" s="8">
        <v>42990.092175925929</v>
      </c>
      <c r="B7" s="20" t="s">
        <v>397</v>
      </c>
      <c r="C7" s="20" t="s">
        <v>525</v>
      </c>
      <c r="D7" s="138">
        <v>3040000</v>
      </c>
      <c r="E7" s="20" t="s">
        <v>446</v>
      </c>
      <c r="F7" s="20" t="s">
        <v>447</v>
      </c>
      <c r="G7" s="8" t="str">
        <f t="shared" si="0"/>
        <v>WILLIAMS DONTE</v>
      </c>
      <c r="H7" s="20" t="str">
        <f t="shared" si="1"/>
        <v>4010</v>
      </c>
    </row>
    <row r="8" spans="1:8" x14ac:dyDescent="0.25">
      <c r="A8" s="8">
        <v>42990.093449074076</v>
      </c>
      <c r="B8" s="20" t="s">
        <v>397</v>
      </c>
      <c r="C8" s="20" t="s">
        <v>525</v>
      </c>
      <c r="D8" s="138">
        <v>3040000</v>
      </c>
      <c r="E8" s="20" t="s">
        <v>446</v>
      </c>
      <c r="F8" s="20" t="s">
        <v>447</v>
      </c>
      <c r="G8" s="8" t="str">
        <f t="shared" si="0"/>
        <v>WILLIAMS DONTE</v>
      </c>
      <c r="H8" s="20" t="str">
        <f t="shared" si="1"/>
        <v>4010</v>
      </c>
    </row>
    <row r="9" spans="1:8" ht="15.75" thickBot="1" x14ac:dyDescent="0.3">
      <c r="A9" s="24">
        <v>42990.112951388888</v>
      </c>
      <c r="B9" s="20" t="s">
        <v>453</v>
      </c>
      <c r="C9" s="20" t="s">
        <v>526</v>
      </c>
      <c r="D9" s="138">
        <v>3310000</v>
      </c>
      <c r="E9" s="20" t="s">
        <v>473</v>
      </c>
      <c r="F9" s="20" t="s">
        <v>474</v>
      </c>
      <c r="G9" s="8" t="str">
        <f t="shared" si="0"/>
        <v>ANDERS STEVEN</v>
      </c>
      <c r="H9" s="20" t="str">
        <f t="shared" si="1"/>
        <v>4029</v>
      </c>
    </row>
    <row r="10" spans="1:8" x14ac:dyDescent="0.25">
      <c r="A10" s="8">
        <v>42990.125949074078</v>
      </c>
      <c r="B10" s="20" t="s">
        <v>380</v>
      </c>
      <c r="C10" s="20" t="s">
        <v>614</v>
      </c>
      <c r="D10" s="138">
        <v>1090000</v>
      </c>
      <c r="E10" s="20" t="s">
        <v>509</v>
      </c>
      <c r="F10" s="20" t="s">
        <v>191</v>
      </c>
      <c r="G10" s="8" t="str">
        <f t="shared" si="0"/>
        <v>SPECTOR MICHAEL</v>
      </c>
      <c r="H10" s="20" t="str">
        <f t="shared" si="1"/>
        <v>4030</v>
      </c>
    </row>
    <row r="11" spans="1:8" x14ac:dyDescent="0.25">
      <c r="A11" s="8">
        <v>42990.128263888888</v>
      </c>
      <c r="B11" s="20" t="s">
        <v>418</v>
      </c>
      <c r="C11" s="20" t="s">
        <v>615</v>
      </c>
      <c r="D11" s="138">
        <v>3310000</v>
      </c>
      <c r="E11" s="20" t="s">
        <v>473</v>
      </c>
      <c r="F11" s="20" t="s">
        <v>474</v>
      </c>
      <c r="G11" s="8" t="str">
        <f t="shared" si="0"/>
        <v>ANDERS STEVEN</v>
      </c>
      <c r="H11" s="20" t="str">
        <f t="shared" si="1"/>
        <v>4062</v>
      </c>
    </row>
    <row r="12" spans="1:8" x14ac:dyDescent="0.25">
      <c r="A12" s="8">
        <v>42990.140914351854</v>
      </c>
      <c r="B12" s="20" t="s">
        <v>605</v>
      </c>
      <c r="C12" s="20" t="s">
        <v>616</v>
      </c>
      <c r="D12" s="138">
        <v>940000</v>
      </c>
      <c r="E12" s="20" t="s">
        <v>510</v>
      </c>
      <c r="F12" s="20" t="s">
        <v>511</v>
      </c>
      <c r="G12" s="8" t="str">
        <f t="shared" si="0"/>
        <v>BONDS REYNALDO</v>
      </c>
      <c r="H12" s="20" t="str">
        <f t="shared" si="1"/>
        <v>4001</v>
      </c>
    </row>
    <row r="13" spans="1:8" x14ac:dyDescent="0.25">
      <c r="A13" s="8">
        <v>42990.141192129631</v>
      </c>
      <c r="B13" s="20" t="s">
        <v>453</v>
      </c>
      <c r="C13" s="20" t="s">
        <v>617</v>
      </c>
      <c r="D13" s="138">
        <v>1090000</v>
      </c>
      <c r="E13" s="20" t="s">
        <v>509</v>
      </c>
      <c r="F13" s="20" t="s">
        <v>191</v>
      </c>
      <c r="G13" s="8" t="str">
        <f t="shared" si="0"/>
        <v>SPECTOR MICHAEL</v>
      </c>
      <c r="H13" s="20" t="str">
        <f t="shared" si="1"/>
        <v>4029</v>
      </c>
    </row>
    <row r="14" spans="1:8" x14ac:dyDescent="0.25">
      <c r="A14" s="8">
        <v>42990.142453703702</v>
      </c>
      <c r="B14" s="20" t="s">
        <v>453</v>
      </c>
      <c r="C14" s="20" t="s">
        <v>617</v>
      </c>
      <c r="D14" s="138">
        <v>1090000</v>
      </c>
      <c r="E14" s="20" t="s">
        <v>509</v>
      </c>
      <c r="F14" s="20" t="s">
        <v>191</v>
      </c>
      <c r="G14" s="8" t="str">
        <f t="shared" si="0"/>
        <v>SPECTOR MICHAEL</v>
      </c>
      <c r="H14" s="20" t="str">
        <f t="shared" si="1"/>
        <v>4029</v>
      </c>
    </row>
    <row r="15" spans="1:8" x14ac:dyDescent="0.25">
      <c r="A15" s="8">
        <v>42990.15148148148</v>
      </c>
      <c r="B15" s="20" t="s">
        <v>452</v>
      </c>
      <c r="C15" s="20" t="s">
        <v>618</v>
      </c>
      <c r="D15" s="138">
        <v>940000</v>
      </c>
      <c r="E15" s="20" t="s">
        <v>510</v>
      </c>
      <c r="F15" s="20" t="s">
        <v>511</v>
      </c>
      <c r="G15" s="8" t="str">
        <f t="shared" si="0"/>
        <v>BONDS REYNALDO</v>
      </c>
      <c r="H15" s="20" t="str">
        <f t="shared" si="1"/>
        <v>4002</v>
      </c>
    </row>
    <row r="16" spans="1:8" x14ac:dyDescent="0.25">
      <c r="A16" s="8">
        <v>42990.162997685184</v>
      </c>
      <c r="B16" s="20" t="s">
        <v>585</v>
      </c>
      <c r="C16" s="20" t="s">
        <v>619</v>
      </c>
      <c r="D16" s="138">
        <v>1110000</v>
      </c>
      <c r="E16" s="20" t="s">
        <v>512</v>
      </c>
      <c r="F16" s="20" t="s">
        <v>513</v>
      </c>
      <c r="G16" s="8" t="str">
        <f t="shared" si="0"/>
        <v>STARKS ANGELINA</v>
      </c>
      <c r="H16" s="20" t="str">
        <f t="shared" si="1"/>
        <v>4057</v>
      </c>
    </row>
    <row r="17" spans="1:8" x14ac:dyDescent="0.25">
      <c r="A17" s="8">
        <v>42990.163043981483</v>
      </c>
      <c r="B17" s="20" t="s">
        <v>400</v>
      </c>
      <c r="C17" s="20" t="s">
        <v>620</v>
      </c>
      <c r="D17" s="138">
        <v>3310000</v>
      </c>
      <c r="E17" s="20" t="s">
        <v>473</v>
      </c>
      <c r="F17" s="20" t="s">
        <v>474</v>
      </c>
      <c r="G17" s="8" t="str">
        <f t="shared" si="0"/>
        <v>ANDERS STEVEN</v>
      </c>
      <c r="H17" s="20" t="str">
        <f t="shared" si="1"/>
        <v>4061</v>
      </c>
    </row>
    <row r="18" spans="1:8" x14ac:dyDescent="0.25">
      <c r="A18" s="8">
        <v>42990.163831018515</v>
      </c>
      <c r="B18" s="20" t="s">
        <v>585</v>
      </c>
      <c r="C18" s="20" t="s">
        <v>619</v>
      </c>
      <c r="D18" s="138">
        <v>1110000</v>
      </c>
      <c r="E18" s="20" t="s">
        <v>512</v>
      </c>
      <c r="F18" s="20" t="s">
        <v>513</v>
      </c>
      <c r="G18" s="8" t="str">
        <f t="shared" si="0"/>
        <v>STARKS ANGELINA</v>
      </c>
      <c r="H18" s="20" t="str">
        <f t="shared" si="1"/>
        <v>4057</v>
      </c>
    </row>
    <row r="19" spans="1:8" x14ac:dyDescent="0.25">
      <c r="A19" s="8">
        <v>42990.171574074076</v>
      </c>
      <c r="B19" s="20" t="s">
        <v>412</v>
      </c>
      <c r="C19" s="20" t="s">
        <v>621</v>
      </c>
      <c r="D19" s="138">
        <v>2530000</v>
      </c>
      <c r="E19" s="20" t="s">
        <v>457</v>
      </c>
      <c r="F19" s="20" t="s">
        <v>458</v>
      </c>
      <c r="G19" s="8" t="str">
        <f t="shared" si="0"/>
        <v>LALONDE GREGORY</v>
      </c>
      <c r="H19" s="20" t="str">
        <f t="shared" si="1"/>
        <v>4031</v>
      </c>
    </row>
    <row r="20" spans="1:8" x14ac:dyDescent="0.25">
      <c r="A20" s="8">
        <v>42990.175081018519</v>
      </c>
      <c r="B20" s="20" t="s">
        <v>521</v>
      </c>
      <c r="C20" s="20" t="s">
        <v>622</v>
      </c>
      <c r="D20" s="138">
        <v>1110000</v>
      </c>
      <c r="E20" s="20" t="s">
        <v>512</v>
      </c>
      <c r="F20" s="20" t="s">
        <v>513</v>
      </c>
      <c r="G20" s="8" t="str">
        <f t="shared" si="0"/>
        <v>STARKS ANGELINA</v>
      </c>
      <c r="H20" s="20" t="str">
        <f t="shared" si="1"/>
        <v>4058</v>
      </c>
    </row>
    <row r="21" spans="1:8" x14ac:dyDescent="0.25">
      <c r="A21" s="8">
        <v>42990.184247685182</v>
      </c>
      <c r="B21" s="20" t="s">
        <v>392</v>
      </c>
      <c r="C21" s="20" t="s">
        <v>623</v>
      </c>
      <c r="D21" s="138">
        <v>2530000</v>
      </c>
      <c r="E21" s="20" t="s">
        <v>457</v>
      </c>
      <c r="F21" s="20" t="s">
        <v>458</v>
      </c>
      <c r="G21" s="8" t="str">
        <f t="shared" si="0"/>
        <v>LALONDE GREGORY</v>
      </c>
      <c r="H21" s="20" t="str">
        <f t="shared" si="1"/>
        <v>4032</v>
      </c>
    </row>
    <row r="22" spans="1:8" x14ac:dyDescent="0.25">
      <c r="A22" s="26">
        <v>42990.186261574076</v>
      </c>
      <c r="B22" s="20" t="s">
        <v>594</v>
      </c>
      <c r="C22" s="20" t="s">
        <v>624</v>
      </c>
      <c r="D22" s="138">
        <v>3090000</v>
      </c>
      <c r="E22" s="20" t="s">
        <v>484</v>
      </c>
      <c r="F22" s="20" t="s">
        <v>485</v>
      </c>
      <c r="G22" s="8" t="str">
        <f t="shared" si="0"/>
        <v>LAMAR NEKESHA</v>
      </c>
      <c r="H22" s="20" t="str">
        <f t="shared" si="1"/>
        <v>4027</v>
      </c>
    </row>
    <row r="23" spans="1:8" x14ac:dyDescent="0.25">
      <c r="A23" s="8">
        <v>42990.192754629628</v>
      </c>
      <c r="B23" s="20" t="s">
        <v>605</v>
      </c>
      <c r="C23" s="20" t="s">
        <v>625</v>
      </c>
      <c r="D23" s="138">
        <v>940000</v>
      </c>
      <c r="E23" s="20" t="s">
        <v>510</v>
      </c>
      <c r="F23" s="20" t="s">
        <v>511</v>
      </c>
      <c r="G23" s="8" t="str">
        <f t="shared" si="0"/>
        <v>BONDS REYNALDO</v>
      </c>
      <c r="H23" s="20" t="str">
        <f t="shared" si="1"/>
        <v>4001</v>
      </c>
    </row>
    <row r="24" spans="1:8" x14ac:dyDescent="0.25">
      <c r="A24" s="8">
        <v>42990.192858796298</v>
      </c>
      <c r="B24" s="20" t="s">
        <v>626</v>
      </c>
      <c r="C24" s="20" t="s">
        <v>627</v>
      </c>
      <c r="D24" s="138">
        <v>1230000</v>
      </c>
      <c r="E24" s="20" t="s">
        <v>517</v>
      </c>
      <c r="F24" s="20" t="s">
        <v>518</v>
      </c>
      <c r="G24" s="8" t="str">
        <f t="shared" si="0"/>
        <v>YANAI IAN</v>
      </c>
      <c r="H24" s="20" t="str">
        <f t="shared" si="1"/>
        <v>4011</v>
      </c>
    </row>
    <row r="25" spans="1:8" x14ac:dyDescent="0.25">
      <c r="A25" s="8">
        <v>42990.196192129632</v>
      </c>
      <c r="B25" s="20" t="s">
        <v>575</v>
      </c>
      <c r="C25" s="20" t="s">
        <v>576</v>
      </c>
      <c r="D25" s="138">
        <v>3090000</v>
      </c>
      <c r="E25" s="20" t="s">
        <v>484</v>
      </c>
      <c r="F25" s="20" t="s">
        <v>485</v>
      </c>
      <c r="G25" s="8" t="str">
        <f t="shared" si="0"/>
        <v>LAMAR NEKESHA</v>
      </c>
      <c r="H25" s="20" t="str">
        <f t="shared" si="1"/>
        <v>4028</v>
      </c>
    </row>
    <row r="26" spans="1:8" x14ac:dyDescent="0.25">
      <c r="A26" s="8">
        <v>42990.199965277781</v>
      </c>
      <c r="B26" s="20" t="s">
        <v>454</v>
      </c>
      <c r="C26" s="20" t="s">
        <v>628</v>
      </c>
      <c r="D26" s="138">
        <v>2730000</v>
      </c>
      <c r="E26" s="20" t="s">
        <v>514</v>
      </c>
      <c r="F26" s="20" t="s">
        <v>515</v>
      </c>
      <c r="G26" s="8" t="str">
        <f t="shared" si="0"/>
        <v>YANG JAN</v>
      </c>
      <c r="H26" s="20" t="str">
        <f t="shared" si="1"/>
        <v>4006</v>
      </c>
    </row>
    <row r="27" spans="1:8" x14ac:dyDescent="0.25">
      <c r="A27" s="8">
        <v>42990.200682870367</v>
      </c>
      <c r="B27" s="20" t="s">
        <v>454</v>
      </c>
      <c r="C27" s="20" t="s">
        <v>628</v>
      </c>
      <c r="D27" s="138">
        <v>2730000</v>
      </c>
      <c r="E27" s="20" t="s">
        <v>514</v>
      </c>
      <c r="F27" s="20" t="s">
        <v>515</v>
      </c>
      <c r="G27" s="8" t="str">
        <f t="shared" si="0"/>
        <v>YANG JAN</v>
      </c>
      <c r="H27" s="20" t="str">
        <f t="shared" si="1"/>
        <v>4006</v>
      </c>
    </row>
    <row r="28" spans="1:8" x14ac:dyDescent="0.25">
      <c r="A28" s="8">
        <v>42990.201747685183</v>
      </c>
      <c r="B28" s="20" t="s">
        <v>454</v>
      </c>
      <c r="C28" s="20" t="s">
        <v>628</v>
      </c>
      <c r="D28" s="138">
        <v>2730000</v>
      </c>
      <c r="E28" s="20" t="s">
        <v>514</v>
      </c>
      <c r="F28" s="20" t="s">
        <v>515</v>
      </c>
      <c r="G28" s="8" t="str">
        <f t="shared" si="0"/>
        <v>YANG JAN</v>
      </c>
      <c r="H28" s="20" t="str">
        <f t="shared" si="1"/>
        <v>4006</v>
      </c>
    </row>
    <row r="29" spans="1:8" x14ac:dyDescent="0.25">
      <c r="A29" s="8">
        <v>42990.203946759262</v>
      </c>
      <c r="B29" s="20" t="s">
        <v>418</v>
      </c>
      <c r="C29" s="20" t="s">
        <v>629</v>
      </c>
      <c r="D29" s="138">
        <v>1260000</v>
      </c>
      <c r="E29" s="20" t="s">
        <v>630</v>
      </c>
      <c r="F29" s="20" t="s">
        <v>631</v>
      </c>
      <c r="G29" s="8" t="str">
        <f t="shared" si="0"/>
        <v>ACKERMAN JARED</v>
      </c>
      <c r="H29" s="20" t="str">
        <f t="shared" si="1"/>
        <v>4062</v>
      </c>
    </row>
    <row r="30" spans="1:8" x14ac:dyDescent="0.25">
      <c r="A30" s="8">
        <v>42990.204131944447</v>
      </c>
      <c r="B30" s="20" t="s">
        <v>585</v>
      </c>
      <c r="C30" s="20" t="s">
        <v>632</v>
      </c>
      <c r="D30" s="138">
        <v>1110000</v>
      </c>
      <c r="E30" s="20" t="s">
        <v>512</v>
      </c>
      <c r="F30" s="20" t="s">
        <v>513</v>
      </c>
      <c r="G30" s="8" t="str">
        <f t="shared" si="0"/>
        <v>STARKS ANGELINA</v>
      </c>
      <c r="H30" s="20" t="str">
        <f t="shared" si="1"/>
        <v>4057</v>
      </c>
    </row>
    <row r="31" spans="1:8" x14ac:dyDescent="0.25">
      <c r="A31" s="8">
        <v>42990.213449074072</v>
      </c>
      <c r="B31" s="20" t="s">
        <v>412</v>
      </c>
      <c r="C31" s="20" t="s">
        <v>633</v>
      </c>
      <c r="D31" s="138">
        <v>2530000</v>
      </c>
      <c r="E31" s="20" t="s">
        <v>457</v>
      </c>
      <c r="F31" s="20" t="s">
        <v>458</v>
      </c>
      <c r="G31" s="8" t="str">
        <f t="shared" si="0"/>
        <v>LALONDE GREGORY</v>
      </c>
      <c r="H31" s="20" t="str">
        <f t="shared" si="1"/>
        <v>4031</v>
      </c>
    </row>
    <row r="32" spans="1:8" x14ac:dyDescent="0.25">
      <c r="A32" s="8">
        <v>42990.213912037034</v>
      </c>
      <c r="B32" s="20" t="s">
        <v>603</v>
      </c>
      <c r="C32" s="20" t="s">
        <v>634</v>
      </c>
      <c r="D32" s="138">
        <v>2730000</v>
      </c>
      <c r="E32" s="20" t="s">
        <v>514</v>
      </c>
      <c r="F32" s="20" t="s">
        <v>515</v>
      </c>
      <c r="G32" s="8" t="str">
        <f t="shared" si="0"/>
        <v>YANG JAN</v>
      </c>
      <c r="H32" s="20" t="str">
        <f t="shared" si="1"/>
        <v>4005</v>
      </c>
    </row>
    <row r="33" spans="1:8" x14ac:dyDescent="0.25">
      <c r="A33" s="8">
        <v>42990.21565972222</v>
      </c>
      <c r="B33" s="20" t="s">
        <v>635</v>
      </c>
      <c r="C33" s="20" t="s">
        <v>636</v>
      </c>
      <c r="D33" s="138">
        <v>1230000</v>
      </c>
      <c r="E33" s="20" t="s">
        <v>517</v>
      </c>
      <c r="F33" s="20" t="s">
        <v>518</v>
      </c>
      <c r="G33" s="8" t="str">
        <f t="shared" si="0"/>
        <v>YANAI IAN</v>
      </c>
      <c r="H33" s="20" t="str">
        <f t="shared" si="1"/>
        <v>4012</v>
      </c>
    </row>
    <row r="34" spans="1:8" x14ac:dyDescent="0.25">
      <c r="A34" s="8">
        <v>42990.222071759257</v>
      </c>
      <c r="B34" s="20" t="s">
        <v>579</v>
      </c>
      <c r="C34" s="20" t="s">
        <v>637</v>
      </c>
      <c r="D34" s="138">
        <v>2560000</v>
      </c>
      <c r="E34" s="20" t="s">
        <v>455</v>
      </c>
      <c r="F34" s="20" t="s">
        <v>456</v>
      </c>
      <c r="G34" s="8" t="str">
        <f t="shared" si="0"/>
        <v>MACDONALD THOMAS</v>
      </c>
      <c r="H34" s="20" t="str">
        <f t="shared" si="1"/>
        <v>4033</v>
      </c>
    </row>
    <row r="35" spans="1:8" x14ac:dyDescent="0.25">
      <c r="A35" s="8">
        <v>42990.226539351854</v>
      </c>
      <c r="B35" s="20" t="s">
        <v>452</v>
      </c>
      <c r="C35" s="20" t="s">
        <v>638</v>
      </c>
      <c r="D35" s="138">
        <v>940000</v>
      </c>
      <c r="E35" s="20" t="s">
        <v>510</v>
      </c>
      <c r="F35" s="20" t="s">
        <v>511</v>
      </c>
      <c r="G35" s="8" t="str">
        <f t="shared" si="0"/>
        <v>BONDS REYNALDO</v>
      </c>
      <c r="H35" s="20" t="str">
        <f t="shared" si="1"/>
        <v>4002</v>
      </c>
    </row>
    <row r="36" spans="1:8" x14ac:dyDescent="0.25">
      <c r="A36" s="8">
        <v>42990.232789351852</v>
      </c>
      <c r="B36" s="20" t="s">
        <v>454</v>
      </c>
      <c r="C36" s="20" t="s">
        <v>639</v>
      </c>
      <c r="D36" s="138">
        <v>2730000</v>
      </c>
      <c r="E36" s="20" t="s">
        <v>514</v>
      </c>
      <c r="F36" s="20" t="s">
        <v>515</v>
      </c>
      <c r="G36" s="8" t="str">
        <f t="shared" si="0"/>
        <v>YANG JAN</v>
      </c>
      <c r="H36" s="20" t="str">
        <f t="shared" si="1"/>
        <v>4006</v>
      </c>
    </row>
    <row r="37" spans="1:8" x14ac:dyDescent="0.25">
      <c r="A37" s="8">
        <v>42990.2346875</v>
      </c>
      <c r="B37" s="20" t="s">
        <v>640</v>
      </c>
      <c r="C37" s="20" t="s">
        <v>641</v>
      </c>
      <c r="D37" s="138">
        <v>2560000</v>
      </c>
      <c r="E37" s="20" t="s">
        <v>455</v>
      </c>
      <c r="F37" s="20" t="s">
        <v>456</v>
      </c>
      <c r="G37" s="8" t="str">
        <f t="shared" si="0"/>
        <v>MACDONALD THOMAS</v>
      </c>
      <c r="H37" s="20" t="str">
        <f t="shared" si="1"/>
        <v>4034</v>
      </c>
    </row>
    <row r="38" spans="1:8" x14ac:dyDescent="0.25">
      <c r="A38" s="8">
        <v>42990.235763888886</v>
      </c>
      <c r="B38" s="20" t="s">
        <v>594</v>
      </c>
      <c r="C38" s="20" t="s">
        <v>642</v>
      </c>
      <c r="D38" s="138">
        <v>3090000</v>
      </c>
      <c r="E38" s="20" t="s">
        <v>484</v>
      </c>
      <c r="F38" s="20" t="s">
        <v>485</v>
      </c>
      <c r="G38" s="8" t="str">
        <f t="shared" si="0"/>
        <v>LAMAR NEKESHA</v>
      </c>
      <c r="H38" s="20" t="str">
        <f t="shared" si="1"/>
        <v>4027</v>
      </c>
    </row>
    <row r="39" spans="1:8" x14ac:dyDescent="0.25">
      <c r="A39" s="8">
        <v>42990.238599537035</v>
      </c>
      <c r="B39" s="20" t="s">
        <v>588</v>
      </c>
      <c r="C39" s="20" t="s">
        <v>643</v>
      </c>
      <c r="D39" s="138">
        <v>3000000</v>
      </c>
      <c r="E39" s="20" t="s">
        <v>644</v>
      </c>
      <c r="F39" s="20" t="s">
        <v>645</v>
      </c>
      <c r="G39" s="8" t="str">
        <f t="shared" si="0"/>
        <v>FORTUNATO FRANK</v>
      </c>
      <c r="H39" s="20" t="str">
        <f t="shared" si="1"/>
        <v>4063</v>
      </c>
    </row>
    <row r="40" spans="1:8" x14ac:dyDescent="0.25">
      <c r="A40" s="8">
        <v>42990.242349537039</v>
      </c>
      <c r="B40" s="25" t="s">
        <v>400</v>
      </c>
      <c r="C40" s="20" t="s">
        <v>646</v>
      </c>
      <c r="D40" s="138">
        <v>1260000</v>
      </c>
      <c r="E40" s="20" t="s">
        <v>630</v>
      </c>
      <c r="F40" s="20" t="s">
        <v>631</v>
      </c>
      <c r="G40" s="8" t="str">
        <f t="shared" si="0"/>
        <v>ACKERMAN JARED</v>
      </c>
      <c r="H40" s="20" t="str">
        <f t="shared" si="1"/>
        <v>4061</v>
      </c>
    </row>
    <row r="41" spans="1:8" x14ac:dyDescent="0.25">
      <c r="A41" s="8">
        <v>42990.245891203704</v>
      </c>
      <c r="B41" s="20" t="s">
        <v>626</v>
      </c>
      <c r="C41" s="20" t="s">
        <v>647</v>
      </c>
      <c r="D41" s="138">
        <v>1230000</v>
      </c>
      <c r="E41" s="20" t="s">
        <v>517</v>
      </c>
      <c r="F41" s="20" t="s">
        <v>518</v>
      </c>
      <c r="G41" s="8" t="str">
        <f t="shared" si="0"/>
        <v>YANAI IAN</v>
      </c>
      <c r="H41" s="20" t="str">
        <f t="shared" si="1"/>
        <v>4011</v>
      </c>
    </row>
    <row r="42" spans="1:8" x14ac:dyDescent="0.25">
      <c r="A42" s="8">
        <v>42990.247071759259</v>
      </c>
      <c r="B42" s="20" t="s">
        <v>521</v>
      </c>
      <c r="C42" s="20" t="s">
        <v>648</v>
      </c>
      <c r="D42" s="138">
        <v>1110000</v>
      </c>
      <c r="E42" s="20" t="s">
        <v>512</v>
      </c>
      <c r="F42" s="20" t="s">
        <v>513</v>
      </c>
      <c r="G42" s="8" t="str">
        <f t="shared" si="0"/>
        <v>STARKS ANGELINA</v>
      </c>
      <c r="H42" s="20" t="str">
        <f t="shared" si="1"/>
        <v>4058</v>
      </c>
    </row>
    <row r="43" spans="1:8" x14ac:dyDescent="0.25">
      <c r="A43" s="8">
        <v>42990.248333333337</v>
      </c>
      <c r="B43" s="20" t="s">
        <v>577</v>
      </c>
      <c r="C43" s="20" t="s">
        <v>578</v>
      </c>
      <c r="D43" s="138">
        <v>3000000</v>
      </c>
      <c r="E43" s="20" t="s">
        <v>644</v>
      </c>
      <c r="F43" s="20" t="s">
        <v>645</v>
      </c>
      <c r="G43" s="8" t="str">
        <f t="shared" si="0"/>
        <v>FORTUNATO FRANK</v>
      </c>
      <c r="H43" s="20" t="str">
        <f t="shared" si="1"/>
        <v>4064</v>
      </c>
    </row>
    <row r="44" spans="1:8" x14ac:dyDescent="0.25">
      <c r="A44" s="8">
        <v>42990.248576388891</v>
      </c>
      <c r="B44" s="20" t="s">
        <v>603</v>
      </c>
      <c r="C44" s="20" t="s">
        <v>649</v>
      </c>
      <c r="D44" s="138">
        <v>2730000</v>
      </c>
      <c r="E44" s="20" t="s">
        <v>514</v>
      </c>
      <c r="F44" s="20" t="s">
        <v>515</v>
      </c>
      <c r="G44" s="8" t="str">
        <f t="shared" si="0"/>
        <v>YANG JAN</v>
      </c>
      <c r="H44" s="20" t="str">
        <f t="shared" si="1"/>
        <v>4005</v>
      </c>
    </row>
    <row r="45" spans="1:8" x14ac:dyDescent="0.25">
      <c r="A45" s="8">
        <v>42990.254999999997</v>
      </c>
      <c r="B45" s="20" t="s">
        <v>392</v>
      </c>
      <c r="C45" s="20" t="s">
        <v>650</v>
      </c>
      <c r="D45" s="138">
        <v>3030000</v>
      </c>
      <c r="E45" s="20" t="s">
        <v>516</v>
      </c>
      <c r="F45" s="20" t="s">
        <v>456</v>
      </c>
      <c r="G45" s="8" t="str">
        <f t="shared" si="0"/>
        <v>BIRENBAUM THOMAS</v>
      </c>
      <c r="H45" s="20" t="str">
        <f t="shared" si="1"/>
        <v>4032</v>
      </c>
    </row>
    <row r="46" spans="1:8" x14ac:dyDescent="0.25">
      <c r="A46" s="8">
        <v>42990.265659722223</v>
      </c>
      <c r="B46" s="20" t="s">
        <v>575</v>
      </c>
      <c r="C46" s="20" t="s">
        <v>651</v>
      </c>
      <c r="D46" s="138">
        <v>3090000</v>
      </c>
      <c r="E46" s="20" t="s">
        <v>484</v>
      </c>
      <c r="F46" s="20" t="s">
        <v>485</v>
      </c>
      <c r="G46" s="8" t="str">
        <f t="shared" si="0"/>
        <v>LAMAR NEKESHA</v>
      </c>
      <c r="H46" s="20" t="str">
        <f t="shared" si="1"/>
        <v>4028</v>
      </c>
    </row>
    <row r="47" spans="1:8" x14ac:dyDescent="0.25">
      <c r="A47" s="8">
        <v>42990.266539351855</v>
      </c>
      <c r="B47" s="20" t="s">
        <v>605</v>
      </c>
      <c r="C47" s="20" t="s">
        <v>652</v>
      </c>
      <c r="D47" s="138">
        <v>940000</v>
      </c>
      <c r="E47" s="20" t="s">
        <v>510</v>
      </c>
      <c r="F47" s="20" t="s">
        <v>511</v>
      </c>
      <c r="G47" s="8" t="str">
        <f t="shared" si="0"/>
        <v>BONDS REYNALDO</v>
      </c>
      <c r="H47" s="20" t="str">
        <f t="shared" si="1"/>
        <v>4001</v>
      </c>
    </row>
    <row r="48" spans="1:8" x14ac:dyDescent="0.25">
      <c r="A48" s="8">
        <v>42990.268275462964</v>
      </c>
      <c r="B48" s="20" t="s">
        <v>588</v>
      </c>
      <c r="C48" s="20" t="s">
        <v>653</v>
      </c>
      <c r="D48" s="138">
        <v>3000000</v>
      </c>
      <c r="E48" s="20" t="s">
        <v>644</v>
      </c>
      <c r="F48" s="20" t="s">
        <v>645</v>
      </c>
      <c r="G48" s="8" t="str">
        <f t="shared" si="0"/>
        <v>FORTUNATO FRANK</v>
      </c>
      <c r="H48" s="20" t="str">
        <f t="shared" si="1"/>
        <v>4063</v>
      </c>
    </row>
    <row r="49" spans="1:8" x14ac:dyDescent="0.25">
      <c r="A49" s="8">
        <v>42990.270775462966</v>
      </c>
      <c r="B49" s="20" t="s">
        <v>454</v>
      </c>
      <c r="C49" s="20" t="s">
        <v>654</v>
      </c>
      <c r="D49" s="138">
        <v>2730000</v>
      </c>
      <c r="E49" s="20" t="s">
        <v>514</v>
      </c>
      <c r="F49" s="20" t="s">
        <v>515</v>
      </c>
      <c r="G49" s="8" t="str">
        <f t="shared" si="0"/>
        <v>YANG JAN</v>
      </c>
      <c r="H49" s="20" t="str">
        <f t="shared" si="1"/>
        <v>4006</v>
      </c>
    </row>
    <row r="50" spans="1:8" x14ac:dyDescent="0.25">
      <c r="A50" s="8">
        <v>42990.277743055558</v>
      </c>
      <c r="B50" s="20" t="s">
        <v>418</v>
      </c>
      <c r="C50" s="20" t="s">
        <v>655</v>
      </c>
      <c r="D50" s="138">
        <v>1260000</v>
      </c>
      <c r="E50" s="20" t="s">
        <v>630</v>
      </c>
      <c r="F50" s="20" t="s">
        <v>631</v>
      </c>
      <c r="G50" s="8" t="str">
        <f t="shared" si="0"/>
        <v>ACKERMAN JARED</v>
      </c>
      <c r="H50" s="20" t="str">
        <f t="shared" si="1"/>
        <v>4062</v>
      </c>
    </row>
    <row r="51" spans="1:8" x14ac:dyDescent="0.25">
      <c r="A51" s="8">
        <v>42990.278611111113</v>
      </c>
      <c r="B51" s="20" t="s">
        <v>579</v>
      </c>
      <c r="C51" s="20" t="s">
        <v>580</v>
      </c>
      <c r="D51" s="138">
        <v>2560000</v>
      </c>
      <c r="E51" s="20" t="s">
        <v>455</v>
      </c>
      <c r="F51" s="20" t="s">
        <v>456</v>
      </c>
      <c r="G51" s="8" t="str">
        <f t="shared" si="0"/>
        <v>MACDONALD THOMAS</v>
      </c>
      <c r="H51" s="20" t="str">
        <f t="shared" si="1"/>
        <v>4033</v>
      </c>
    </row>
    <row r="52" spans="1:8" x14ac:dyDescent="0.25">
      <c r="A52" s="8">
        <v>42990.286168981482</v>
      </c>
      <c r="B52" s="20" t="s">
        <v>585</v>
      </c>
      <c r="C52" s="20" t="s">
        <v>656</v>
      </c>
      <c r="D52" s="138">
        <v>1110000</v>
      </c>
      <c r="E52" s="20" t="s">
        <v>512</v>
      </c>
      <c r="F52" s="20" t="s">
        <v>513</v>
      </c>
      <c r="G52" s="8" t="str">
        <f t="shared" si="0"/>
        <v>STARKS ANGELINA</v>
      </c>
      <c r="H52" s="20" t="str">
        <f t="shared" si="1"/>
        <v>4057</v>
      </c>
    </row>
    <row r="53" spans="1:8" x14ac:dyDescent="0.25">
      <c r="A53" s="8">
        <v>42990.28765046296</v>
      </c>
      <c r="B53" s="20" t="s">
        <v>635</v>
      </c>
      <c r="C53" s="20" t="s">
        <v>657</v>
      </c>
      <c r="D53" s="138">
        <v>1230000</v>
      </c>
      <c r="E53" s="20" t="s">
        <v>517</v>
      </c>
      <c r="F53" s="20" t="s">
        <v>518</v>
      </c>
      <c r="G53" s="8" t="str">
        <f t="shared" si="0"/>
        <v>YANAI IAN</v>
      </c>
      <c r="H53" s="20" t="str">
        <f t="shared" si="1"/>
        <v>4012</v>
      </c>
    </row>
    <row r="54" spans="1:8" x14ac:dyDescent="0.25">
      <c r="A54" s="8">
        <v>42990.289942129632</v>
      </c>
      <c r="B54" s="20" t="s">
        <v>577</v>
      </c>
      <c r="C54" s="20" t="s">
        <v>658</v>
      </c>
      <c r="D54" s="138">
        <v>3000000</v>
      </c>
      <c r="E54" s="20" t="s">
        <v>644</v>
      </c>
      <c r="F54" s="20" t="s">
        <v>645</v>
      </c>
      <c r="G54" s="8" t="str">
        <f t="shared" si="0"/>
        <v>FORTUNATO FRANK</v>
      </c>
      <c r="H54" s="20" t="str">
        <f t="shared" si="1"/>
        <v>4064</v>
      </c>
    </row>
    <row r="55" spans="1:8" x14ac:dyDescent="0.25">
      <c r="A55" s="8">
        <v>42990.293229166666</v>
      </c>
      <c r="B55" s="20" t="s">
        <v>603</v>
      </c>
      <c r="C55" s="20" t="s">
        <v>659</v>
      </c>
      <c r="D55" s="138">
        <v>2730000</v>
      </c>
      <c r="E55" s="20" t="s">
        <v>514</v>
      </c>
      <c r="F55" s="20" t="s">
        <v>515</v>
      </c>
      <c r="G55" s="8" t="str">
        <f t="shared" si="0"/>
        <v>YANG JAN</v>
      </c>
      <c r="H55" s="20" t="str">
        <f t="shared" si="1"/>
        <v>4005</v>
      </c>
    </row>
    <row r="56" spans="1:8" x14ac:dyDescent="0.25">
      <c r="A56" s="8">
        <v>42990.296446759261</v>
      </c>
      <c r="B56" s="20" t="s">
        <v>412</v>
      </c>
      <c r="C56" s="20" t="s">
        <v>660</v>
      </c>
      <c r="D56" s="138">
        <v>3030000</v>
      </c>
      <c r="E56" s="20" t="s">
        <v>516</v>
      </c>
      <c r="F56" s="20" t="s">
        <v>456</v>
      </c>
      <c r="G56" s="8" t="str">
        <f t="shared" si="0"/>
        <v>BIRENBAUM THOMAS</v>
      </c>
      <c r="H56" s="20" t="str">
        <f t="shared" si="1"/>
        <v>4031</v>
      </c>
    </row>
    <row r="57" spans="1:8" x14ac:dyDescent="0.25">
      <c r="A57" s="8">
        <v>42990.297349537039</v>
      </c>
      <c r="B57" s="20" t="s">
        <v>452</v>
      </c>
      <c r="C57" s="20" t="s">
        <v>581</v>
      </c>
      <c r="D57" s="138">
        <v>940000</v>
      </c>
      <c r="E57" s="20" t="s">
        <v>510</v>
      </c>
      <c r="F57" s="20" t="s">
        <v>511</v>
      </c>
      <c r="G57" s="8" t="str">
        <f t="shared" si="0"/>
        <v>BONDS REYNALDO</v>
      </c>
      <c r="H57" s="20" t="str">
        <f t="shared" si="1"/>
        <v>4002</v>
      </c>
    </row>
    <row r="58" spans="1:8" x14ac:dyDescent="0.25">
      <c r="A58" s="8">
        <v>42990.308391203704</v>
      </c>
      <c r="B58" s="20" t="s">
        <v>594</v>
      </c>
      <c r="C58" s="20" t="s">
        <v>661</v>
      </c>
      <c r="D58" s="138">
        <v>3090000</v>
      </c>
      <c r="E58" s="20" t="s">
        <v>484</v>
      </c>
      <c r="F58" s="20" t="s">
        <v>485</v>
      </c>
      <c r="G58" s="8" t="str">
        <f t="shared" si="0"/>
        <v>LAMAR NEKESHA</v>
      </c>
      <c r="H58" s="20" t="str">
        <f t="shared" si="1"/>
        <v>4027</v>
      </c>
    </row>
    <row r="59" spans="1:8" x14ac:dyDescent="0.25">
      <c r="A59" s="8">
        <v>42990.311076388891</v>
      </c>
      <c r="B59" s="20" t="s">
        <v>640</v>
      </c>
      <c r="C59" s="20" t="s">
        <v>662</v>
      </c>
      <c r="D59" s="138">
        <v>2560000</v>
      </c>
      <c r="E59" s="20" t="s">
        <v>455</v>
      </c>
      <c r="F59" s="20" t="s">
        <v>456</v>
      </c>
      <c r="G59" s="8" t="str">
        <f t="shared" si="0"/>
        <v>MACDONALD THOMAS</v>
      </c>
      <c r="H59" s="20" t="str">
        <f t="shared" si="1"/>
        <v>4034</v>
      </c>
    </row>
    <row r="60" spans="1:8" x14ac:dyDescent="0.25">
      <c r="A60" s="8">
        <v>42990.313333333332</v>
      </c>
      <c r="B60" s="20" t="s">
        <v>400</v>
      </c>
      <c r="C60" s="20" t="s">
        <v>583</v>
      </c>
      <c r="D60" s="138">
        <v>1260000</v>
      </c>
      <c r="E60" s="20" t="s">
        <v>630</v>
      </c>
      <c r="F60" s="20" t="s">
        <v>631</v>
      </c>
      <c r="G60" s="8" t="str">
        <f t="shared" si="0"/>
        <v>ACKERMAN JARED</v>
      </c>
      <c r="H60" s="20" t="str">
        <f t="shared" si="1"/>
        <v>4061</v>
      </c>
    </row>
    <row r="61" spans="1:8" x14ac:dyDescent="0.25">
      <c r="A61" s="8">
        <v>42990.314444444448</v>
      </c>
      <c r="B61" s="20" t="s">
        <v>588</v>
      </c>
      <c r="C61" s="20" t="s">
        <v>663</v>
      </c>
      <c r="D61" s="138">
        <v>3000000</v>
      </c>
      <c r="E61" s="20" t="s">
        <v>644</v>
      </c>
      <c r="F61" s="20" t="s">
        <v>645</v>
      </c>
      <c r="G61" s="8" t="str">
        <f t="shared" si="0"/>
        <v>FORTUNATO FRANK</v>
      </c>
      <c r="H61" s="20" t="str">
        <f t="shared" si="1"/>
        <v>4063</v>
      </c>
    </row>
    <row r="62" spans="1:8" x14ac:dyDescent="0.25">
      <c r="A62" s="8">
        <v>42990.316620370373</v>
      </c>
      <c r="B62" s="20" t="s">
        <v>454</v>
      </c>
      <c r="C62" s="20" t="s">
        <v>664</v>
      </c>
      <c r="D62" s="138">
        <v>2730000</v>
      </c>
      <c r="E62" s="20" t="s">
        <v>514</v>
      </c>
      <c r="F62" s="20" t="s">
        <v>515</v>
      </c>
      <c r="G62" s="8" t="str">
        <f t="shared" si="0"/>
        <v>YANG JAN</v>
      </c>
      <c r="H62" s="20" t="str">
        <f t="shared" si="1"/>
        <v>4006</v>
      </c>
    </row>
    <row r="63" spans="1:8" x14ac:dyDescent="0.25">
      <c r="A63" s="8">
        <v>42990.318541666667</v>
      </c>
      <c r="B63" s="20" t="s">
        <v>626</v>
      </c>
      <c r="C63" s="20" t="s">
        <v>665</v>
      </c>
      <c r="D63" s="138">
        <v>1230000</v>
      </c>
      <c r="E63" s="20" t="s">
        <v>517</v>
      </c>
      <c r="F63" s="20" t="s">
        <v>518</v>
      </c>
      <c r="G63" s="8" t="str">
        <f t="shared" si="0"/>
        <v>YANAI IAN</v>
      </c>
      <c r="H63" s="20" t="str">
        <f t="shared" si="1"/>
        <v>4011</v>
      </c>
    </row>
    <row r="64" spans="1:8" x14ac:dyDescent="0.25">
      <c r="A64" s="26">
        <v>42990.319618055553</v>
      </c>
      <c r="B64" s="20" t="s">
        <v>521</v>
      </c>
      <c r="C64" s="20" t="s">
        <v>582</v>
      </c>
      <c r="D64" s="138">
        <v>1110000</v>
      </c>
      <c r="E64" s="20" t="s">
        <v>512</v>
      </c>
      <c r="F64" s="20" t="s">
        <v>513</v>
      </c>
      <c r="G64" s="8" t="str">
        <f t="shared" si="0"/>
        <v>STARKS ANGELINA</v>
      </c>
      <c r="H64" s="20" t="str">
        <f t="shared" si="1"/>
        <v>4058</v>
      </c>
    </row>
    <row r="65" spans="1:8" x14ac:dyDescent="0.25">
      <c r="A65" s="8">
        <v>42990.331770833334</v>
      </c>
      <c r="B65" s="20" t="s">
        <v>577</v>
      </c>
      <c r="C65" s="20" t="s">
        <v>666</v>
      </c>
      <c r="D65" s="138">
        <v>3000000</v>
      </c>
      <c r="E65" s="20" t="s">
        <v>644</v>
      </c>
      <c r="F65" s="20" t="s">
        <v>645</v>
      </c>
      <c r="G65" s="8" t="str">
        <f t="shared" si="0"/>
        <v>FORTUNATO FRANK</v>
      </c>
      <c r="H65" s="20" t="str">
        <f t="shared" si="1"/>
        <v>4064</v>
      </c>
    </row>
    <row r="66" spans="1:8" x14ac:dyDescent="0.25">
      <c r="A66" s="8">
        <v>42990.332002314812</v>
      </c>
      <c r="B66" s="20" t="s">
        <v>392</v>
      </c>
      <c r="C66" s="20" t="s">
        <v>667</v>
      </c>
      <c r="D66" s="138">
        <v>2470000</v>
      </c>
      <c r="E66" s="20" t="s">
        <v>486</v>
      </c>
      <c r="F66" s="20" t="s">
        <v>487</v>
      </c>
      <c r="G66" s="8" t="str">
        <f t="shared" si="0"/>
        <v>ROMERO CHAD</v>
      </c>
      <c r="H66" s="20" t="str">
        <f t="shared" si="1"/>
        <v>4032</v>
      </c>
    </row>
    <row r="67" spans="1:8" x14ac:dyDescent="0.25">
      <c r="A67" s="8">
        <v>42990.332789351851</v>
      </c>
      <c r="B67" s="20" t="s">
        <v>603</v>
      </c>
      <c r="C67" s="20" t="s">
        <v>668</v>
      </c>
      <c r="D67" s="138">
        <v>2730000</v>
      </c>
      <c r="E67" s="20" t="s">
        <v>514</v>
      </c>
      <c r="F67" s="20" t="s">
        <v>515</v>
      </c>
      <c r="G67" s="8" t="str">
        <f t="shared" ref="G67:G130" si="2">E67&amp;" "&amp;F67</f>
        <v>YANG JAN</v>
      </c>
      <c r="H67" s="20" t="str">
        <f t="shared" ref="H67:H130" si="3">MID(B67,13,4)</f>
        <v>4005</v>
      </c>
    </row>
    <row r="68" spans="1:8" x14ac:dyDescent="0.25">
      <c r="A68" s="8">
        <v>42990.33865740741</v>
      </c>
      <c r="B68" s="20" t="s">
        <v>605</v>
      </c>
      <c r="C68" s="20" t="s">
        <v>669</v>
      </c>
      <c r="D68" s="138">
        <v>940000</v>
      </c>
      <c r="E68" s="20" t="s">
        <v>510</v>
      </c>
      <c r="F68" s="20" t="s">
        <v>511</v>
      </c>
      <c r="G68" s="8" t="str">
        <f t="shared" si="2"/>
        <v>BONDS REYNALDO</v>
      </c>
      <c r="H68" s="20" t="str">
        <f t="shared" si="3"/>
        <v>4001</v>
      </c>
    </row>
    <row r="69" spans="1:8" x14ac:dyDescent="0.25">
      <c r="A69" s="8">
        <v>42990.341828703706</v>
      </c>
      <c r="B69" s="20" t="s">
        <v>575</v>
      </c>
      <c r="C69" s="20" t="s">
        <v>670</v>
      </c>
      <c r="D69" s="138">
        <v>3090000</v>
      </c>
      <c r="E69" s="20" t="s">
        <v>484</v>
      </c>
      <c r="F69" s="20" t="s">
        <v>485</v>
      </c>
      <c r="G69" s="8" t="str">
        <f t="shared" si="2"/>
        <v>LAMAR NEKESHA</v>
      </c>
      <c r="H69" s="20" t="str">
        <f t="shared" si="3"/>
        <v>4028</v>
      </c>
    </row>
    <row r="70" spans="1:8" x14ac:dyDescent="0.25">
      <c r="A70" s="8">
        <v>42990.350555555553</v>
      </c>
      <c r="B70" s="20" t="s">
        <v>418</v>
      </c>
      <c r="C70" s="20" t="s">
        <v>671</v>
      </c>
      <c r="D70" s="138">
        <v>1260000</v>
      </c>
      <c r="E70" s="20" t="s">
        <v>630</v>
      </c>
      <c r="F70" s="20" t="s">
        <v>631</v>
      </c>
      <c r="G70" s="8" t="str">
        <f t="shared" si="2"/>
        <v>ACKERMAN JARED</v>
      </c>
      <c r="H70" s="20" t="str">
        <f t="shared" si="3"/>
        <v>4062</v>
      </c>
    </row>
    <row r="71" spans="1:8" x14ac:dyDescent="0.25">
      <c r="A71" s="8">
        <v>42990.351018518515</v>
      </c>
      <c r="B71" s="20" t="s">
        <v>585</v>
      </c>
      <c r="C71" s="20" t="s">
        <v>586</v>
      </c>
      <c r="D71" s="138">
        <v>1110000</v>
      </c>
      <c r="E71" s="20" t="s">
        <v>512</v>
      </c>
      <c r="F71" s="20" t="s">
        <v>513</v>
      </c>
      <c r="G71" s="8" t="str">
        <f t="shared" si="2"/>
        <v>STARKS ANGELINA</v>
      </c>
      <c r="H71" s="20" t="str">
        <f t="shared" si="3"/>
        <v>4057</v>
      </c>
    </row>
    <row r="72" spans="1:8" x14ac:dyDescent="0.25">
      <c r="A72" s="8">
        <v>42990.351759259262</v>
      </c>
      <c r="B72" s="20" t="s">
        <v>579</v>
      </c>
      <c r="C72" s="20" t="s">
        <v>584</v>
      </c>
      <c r="D72" s="138">
        <v>2560000</v>
      </c>
      <c r="E72" s="20" t="s">
        <v>455</v>
      </c>
      <c r="F72" s="20" t="s">
        <v>456</v>
      </c>
      <c r="G72" s="8" t="str">
        <f t="shared" si="2"/>
        <v>MACDONALD THOMAS</v>
      </c>
      <c r="H72" s="20" t="str">
        <f t="shared" si="3"/>
        <v>4033</v>
      </c>
    </row>
    <row r="73" spans="1:8" x14ac:dyDescent="0.25">
      <c r="A73" s="8">
        <v>42990.35261574074</v>
      </c>
      <c r="B73" s="20" t="s">
        <v>588</v>
      </c>
      <c r="C73" s="20" t="s">
        <v>672</v>
      </c>
      <c r="D73" s="138">
        <v>3000000</v>
      </c>
      <c r="E73" s="20" t="s">
        <v>644</v>
      </c>
      <c r="F73" s="20" t="s">
        <v>645</v>
      </c>
      <c r="G73" s="8" t="str">
        <f t="shared" si="2"/>
        <v>FORTUNATO FRANK</v>
      </c>
      <c r="H73" s="20" t="str">
        <f t="shared" si="3"/>
        <v>4063</v>
      </c>
    </row>
    <row r="74" spans="1:8" x14ac:dyDescent="0.25">
      <c r="A74" s="8">
        <v>42990.353703703702</v>
      </c>
      <c r="B74" s="20" t="s">
        <v>454</v>
      </c>
      <c r="C74" s="20" t="s">
        <v>673</v>
      </c>
      <c r="D74" s="138">
        <v>2730000</v>
      </c>
      <c r="E74" s="20" t="s">
        <v>514</v>
      </c>
      <c r="F74" s="20" t="s">
        <v>515</v>
      </c>
      <c r="G74" s="8" t="str">
        <f t="shared" si="2"/>
        <v>YANG JAN</v>
      </c>
      <c r="H74" s="20" t="str">
        <f t="shared" si="3"/>
        <v>4006</v>
      </c>
    </row>
    <row r="75" spans="1:8" x14ac:dyDescent="0.25">
      <c r="A75" s="8">
        <v>42990.361608796295</v>
      </c>
      <c r="B75" s="20" t="s">
        <v>635</v>
      </c>
      <c r="C75" s="20" t="s">
        <v>674</v>
      </c>
      <c r="D75" s="138">
        <v>3300000</v>
      </c>
      <c r="E75" s="20" t="s">
        <v>519</v>
      </c>
      <c r="F75" s="20" t="s">
        <v>520</v>
      </c>
      <c r="G75" s="8" t="str">
        <f t="shared" si="2"/>
        <v>LANGERAK WILLIAM</v>
      </c>
      <c r="H75" s="20" t="str">
        <f t="shared" si="3"/>
        <v>4012</v>
      </c>
    </row>
    <row r="76" spans="1:8" x14ac:dyDescent="0.25">
      <c r="A76" s="8">
        <v>42990.362083333333</v>
      </c>
      <c r="B76" s="20" t="s">
        <v>412</v>
      </c>
      <c r="C76" s="20" t="s">
        <v>675</v>
      </c>
      <c r="D76" s="138">
        <v>2470000</v>
      </c>
      <c r="E76" s="20" t="s">
        <v>486</v>
      </c>
      <c r="F76" s="20" t="s">
        <v>487</v>
      </c>
      <c r="G76" s="8" t="str">
        <f t="shared" si="2"/>
        <v>ROMERO CHAD</v>
      </c>
      <c r="H76" s="20" t="str">
        <f t="shared" si="3"/>
        <v>4031</v>
      </c>
    </row>
    <row r="77" spans="1:8" x14ac:dyDescent="0.25">
      <c r="A77" s="8">
        <v>42990.372430555559</v>
      </c>
      <c r="B77" s="20" t="s">
        <v>452</v>
      </c>
      <c r="C77" s="20" t="s">
        <v>676</v>
      </c>
      <c r="D77" s="138">
        <v>940000</v>
      </c>
      <c r="E77" s="20" t="s">
        <v>510</v>
      </c>
      <c r="F77" s="20" t="s">
        <v>511</v>
      </c>
      <c r="G77" s="8" t="str">
        <f t="shared" si="2"/>
        <v>BONDS REYNALDO</v>
      </c>
      <c r="H77" s="20" t="str">
        <f t="shared" si="3"/>
        <v>4002</v>
      </c>
    </row>
    <row r="78" spans="1:8" x14ac:dyDescent="0.25">
      <c r="A78" s="8">
        <v>42990.374409722222</v>
      </c>
      <c r="B78" s="20" t="s">
        <v>577</v>
      </c>
      <c r="C78" s="20" t="s">
        <v>587</v>
      </c>
      <c r="D78" s="138">
        <v>3000000</v>
      </c>
      <c r="E78" s="20" t="s">
        <v>644</v>
      </c>
      <c r="F78" s="20" t="s">
        <v>645</v>
      </c>
      <c r="G78" s="8" t="str">
        <f t="shared" si="2"/>
        <v>FORTUNATO FRANK</v>
      </c>
      <c r="H78" s="20" t="str">
        <f t="shared" si="3"/>
        <v>4064</v>
      </c>
    </row>
    <row r="79" spans="1:8" x14ac:dyDescent="0.25">
      <c r="A79" s="8">
        <v>42990.380925925929</v>
      </c>
      <c r="B79" s="20" t="s">
        <v>594</v>
      </c>
      <c r="C79" s="20" t="s">
        <v>677</v>
      </c>
      <c r="D79" s="138">
        <v>3090000</v>
      </c>
      <c r="E79" s="20" t="s">
        <v>484</v>
      </c>
      <c r="F79" s="20" t="s">
        <v>485</v>
      </c>
      <c r="G79" s="8" t="str">
        <f t="shared" si="2"/>
        <v>LAMAR NEKESHA</v>
      </c>
      <c r="H79" s="20" t="str">
        <f t="shared" si="3"/>
        <v>4027</v>
      </c>
    </row>
    <row r="80" spans="1:8" x14ac:dyDescent="0.25">
      <c r="A80" s="8">
        <v>42990.382916666669</v>
      </c>
      <c r="B80" s="20" t="s">
        <v>640</v>
      </c>
      <c r="C80" s="20" t="s">
        <v>678</v>
      </c>
      <c r="D80" s="138">
        <v>2560000</v>
      </c>
      <c r="E80" s="20" t="s">
        <v>455</v>
      </c>
      <c r="F80" s="20" t="s">
        <v>456</v>
      </c>
      <c r="G80" s="8" t="str">
        <f t="shared" si="2"/>
        <v>MACDONALD THOMAS</v>
      </c>
      <c r="H80" s="20" t="str">
        <f t="shared" si="3"/>
        <v>4034</v>
      </c>
    </row>
    <row r="81" spans="1:8" x14ac:dyDescent="0.25">
      <c r="A81" s="8">
        <v>42990.387824074074</v>
      </c>
      <c r="B81" s="20" t="s">
        <v>400</v>
      </c>
      <c r="C81" s="20" t="s">
        <v>679</v>
      </c>
      <c r="D81" s="138">
        <v>1260000</v>
      </c>
      <c r="E81" s="20" t="s">
        <v>630</v>
      </c>
      <c r="F81" s="20" t="s">
        <v>631</v>
      </c>
      <c r="G81" s="8" t="str">
        <f t="shared" si="2"/>
        <v>ACKERMAN JARED</v>
      </c>
      <c r="H81" s="20" t="str">
        <f t="shared" si="3"/>
        <v>4061</v>
      </c>
    </row>
    <row r="82" spans="1:8" x14ac:dyDescent="0.25">
      <c r="A82" s="8">
        <v>42990.391319444447</v>
      </c>
      <c r="B82" s="20" t="s">
        <v>521</v>
      </c>
      <c r="C82" s="20" t="s">
        <v>591</v>
      </c>
      <c r="D82" s="138">
        <v>1110000</v>
      </c>
      <c r="E82" s="20" t="s">
        <v>512</v>
      </c>
      <c r="F82" s="20" t="s">
        <v>513</v>
      </c>
      <c r="G82" s="8" t="str">
        <f t="shared" si="2"/>
        <v>STARKS ANGELINA</v>
      </c>
      <c r="H82" s="20" t="str">
        <f t="shared" si="3"/>
        <v>4058</v>
      </c>
    </row>
    <row r="83" spans="1:8" x14ac:dyDescent="0.25">
      <c r="A83" s="8">
        <v>42990.392395833333</v>
      </c>
      <c r="B83" s="20" t="s">
        <v>626</v>
      </c>
      <c r="C83" s="20" t="s">
        <v>680</v>
      </c>
      <c r="D83" s="138">
        <v>3300000</v>
      </c>
      <c r="E83" s="20" t="s">
        <v>519</v>
      </c>
      <c r="F83" s="20" t="s">
        <v>520</v>
      </c>
      <c r="G83" s="8" t="str">
        <f t="shared" si="2"/>
        <v>LANGERAK WILLIAM</v>
      </c>
      <c r="H83" s="20" t="str">
        <f t="shared" si="3"/>
        <v>4011</v>
      </c>
    </row>
    <row r="84" spans="1:8" x14ac:dyDescent="0.25">
      <c r="A84" s="8">
        <v>42990.393460648149</v>
      </c>
      <c r="B84" s="20" t="s">
        <v>588</v>
      </c>
      <c r="C84" s="20" t="s">
        <v>589</v>
      </c>
      <c r="D84" s="138">
        <v>3000000</v>
      </c>
      <c r="E84" s="20" t="s">
        <v>644</v>
      </c>
      <c r="F84" s="20" t="s">
        <v>645</v>
      </c>
      <c r="G84" s="8" t="str">
        <f t="shared" si="2"/>
        <v>FORTUNATO FRANK</v>
      </c>
      <c r="H84" s="20" t="str">
        <f t="shared" si="3"/>
        <v>4063</v>
      </c>
    </row>
    <row r="85" spans="1:8" x14ac:dyDescent="0.25">
      <c r="A85" s="8">
        <v>42990.402384259258</v>
      </c>
      <c r="B85" s="20" t="s">
        <v>392</v>
      </c>
      <c r="C85" s="20" t="s">
        <v>681</v>
      </c>
      <c r="D85" s="138">
        <v>2530000</v>
      </c>
      <c r="E85" s="20" t="s">
        <v>457</v>
      </c>
      <c r="F85" s="20" t="s">
        <v>458</v>
      </c>
      <c r="G85" s="8" t="str">
        <f t="shared" si="2"/>
        <v>LALONDE GREGORY</v>
      </c>
      <c r="H85" s="20" t="str">
        <f t="shared" si="3"/>
        <v>4032</v>
      </c>
    </row>
    <row r="86" spans="1:8" x14ac:dyDescent="0.25">
      <c r="A86" s="8">
        <v>42990.411087962966</v>
      </c>
      <c r="B86" s="20" t="s">
        <v>605</v>
      </c>
      <c r="C86" s="20" t="s">
        <v>682</v>
      </c>
      <c r="D86" s="138">
        <v>940000</v>
      </c>
      <c r="E86" s="20" t="s">
        <v>510</v>
      </c>
      <c r="F86" s="20" t="s">
        <v>511</v>
      </c>
      <c r="G86" s="8" t="str">
        <f t="shared" si="2"/>
        <v>BONDS REYNALDO</v>
      </c>
      <c r="H86" s="20" t="str">
        <f t="shared" si="3"/>
        <v>4001</v>
      </c>
    </row>
    <row r="87" spans="1:8" x14ac:dyDescent="0.25">
      <c r="A87" s="8">
        <v>42990.414247685185</v>
      </c>
      <c r="B87" s="20" t="s">
        <v>575</v>
      </c>
      <c r="C87" s="20" t="s">
        <v>590</v>
      </c>
      <c r="D87" s="138">
        <v>3090000</v>
      </c>
      <c r="E87" s="20" t="s">
        <v>484</v>
      </c>
      <c r="F87" s="20" t="s">
        <v>485</v>
      </c>
      <c r="G87" s="8" t="str">
        <f t="shared" si="2"/>
        <v>LAMAR NEKESHA</v>
      </c>
      <c r="H87" s="20" t="str">
        <f t="shared" si="3"/>
        <v>4028</v>
      </c>
    </row>
    <row r="88" spans="1:8" x14ac:dyDescent="0.25">
      <c r="A88" s="8">
        <v>42990.416527777779</v>
      </c>
      <c r="B88" s="20" t="s">
        <v>577</v>
      </c>
      <c r="C88" s="20" t="s">
        <v>592</v>
      </c>
      <c r="D88" s="138">
        <v>3000000</v>
      </c>
      <c r="E88" s="20" t="s">
        <v>644</v>
      </c>
      <c r="F88" s="20" t="s">
        <v>645</v>
      </c>
      <c r="G88" s="8" t="str">
        <f t="shared" si="2"/>
        <v>FORTUNATO FRANK</v>
      </c>
      <c r="H88" s="20" t="str">
        <f t="shared" si="3"/>
        <v>4064</v>
      </c>
    </row>
    <row r="89" spans="1:8" x14ac:dyDescent="0.25">
      <c r="A89" s="8">
        <v>42990.423518518517</v>
      </c>
      <c r="B89" s="20" t="s">
        <v>579</v>
      </c>
      <c r="C89" s="20" t="s">
        <v>683</v>
      </c>
      <c r="D89" s="138">
        <v>2560000</v>
      </c>
      <c r="E89" s="20" t="s">
        <v>455</v>
      </c>
      <c r="F89" s="20" t="s">
        <v>456</v>
      </c>
      <c r="G89" s="8" t="str">
        <f t="shared" si="2"/>
        <v>MACDONALD THOMAS</v>
      </c>
      <c r="H89" s="20" t="str">
        <f t="shared" si="3"/>
        <v>4033</v>
      </c>
    </row>
    <row r="90" spans="1:8" x14ac:dyDescent="0.25">
      <c r="A90" s="8">
        <v>42990.424432870372</v>
      </c>
      <c r="B90" s="20" t="s">
        <v>418</v>
      </c>
      <c r="C90" s="20" t="s">
        <v>684</v>
      </c>
      <c r="D90" s="138">
        <v>2730000</v>
      </c>
      <c r="E90" s="20" t="s">
        <v>514</v>
      </c>
      <c r="F90" s="20" t="s">
        <v>515</v>
      </c>
      <c r="G90" s="8" t="str">
        <f t="shared" si="2"/>
        <v>YANG JAN</v>
      </c>
      <c r="H90" s="20" t="str">
        <f t="shared" si="3"/>
        <v>4062</v>
      </c>
    </row>
    <row r="91" spans="1:8" x14ac:dyDescent="0.25">
      <c r="A91" s="8">
        <v>42990.431817129633</v>
      </c>
      <c r="B91" s="20" t="s">
        <v>412</v>
      </c>
      <c r="C91" s="20" t="s">
        <v>685</v>
      </c>
      <c r="D91" s="138">
        <v>2530000</v>
      </c>
      <c r="E91" s="20" t="s">
        <v>457</v>
      </c>
      <c r="F91" s="20" t="s">
        <v>458</v>
      </c>
      <c r="G91" s="8" t="str">
        <f t="shared" si="2"/>
        <v>LALONDE GREGORY</v>
      </c>
      <c r="H91" s="20" t="str">
        <f t="shared" si="3"/>
        <v>4031</v>
      </c>
    </row>
    <row r="92" spans="1:8" x14ac:dyDescent="0.25">
      <c r="A92" s="8">
        <v>42990.433125000003</v>
      </c>
      <c r="B92" s="20" t="s">
        <v>585</v>
      </c>
      <c r="C92" s="20" t="s">
        <v>686</v>
      </c>
      <c r="D92" s="138">
        <v>1110000</v>
      </c>
      <c r="E92" s="20" t="s">
        <v>512</v>
      </c>
      <c r="F92" s="20" t="s">
        <v>513</v>
      </c>
      <c r="G92" s="8" t="str">
        <f t="shared" si="2"/>
        <v>STARKS ANGELINA</v>
      </c>
      <c r="H92" s="20" t="str">
        <f t="shared" si="3"/>
        <v>4057</v>
      </c>
    </row>
    <row r="93" spans="1:8" x14ac:dyDescent="0.25">
      <c r="A93" s="8">
        <v>42990.434178240743</v>
      </c>
      <c r="B93" s="20" t="s">
        <v>635</v>
      </c>
      <c r="C93" s="20" t="s">
        <v>687</v>
      </c>
      <c r="D93" s="138">
        <v>1230000</v>
      </c>
      <c r="E93" s="20" t="s">
        <v>517</v>
      </c>
      <c r="F93" s="20" t="s">
        <v>518</v>
      </c>
      <c r="G93" s="8" t="str">
        <f t="shared" si="2"/>
        <v>YANAI IAN</v>
      </c>
      <c r="H93" s="20" t="str">
        <f t="shared" si="3"/>
        <v>4012</v>
      </c>
    </row>
    <row r="94" spans="1:8" x14ac:dyDescent="0.25">
      <c r="A94" s="8">
        <v>42990.434699074074</v>
      </c>
      <c r="B94" s="20" t="s">
        <v>588</v>
      </c>
      <c r="C94" s="20" t="s">
        <v>593</v>
      </c>
      <c r="D94" s="138">
        <v>3000000</v>
      </c>
      <c r="E94" s="20" t="s">
        <v>644</v>
      </c>
      <c r="F94" s="20" t="s">
        <v>645</v>
      </c>
      <c r="G94" s="8" t="str">
        <f t="shared" si="2"/>
        <v>FORTUNATO FRANK</v>
      </c>
      <c r="H94" s="20" t="str">
        <f t="shared" si="3"/>
        <v>4063</v>
      </c>
    </row>
    <row r="95" spans="1:8" x14ac:dyDescent="0.25">
      <c r="A95" s="8">
        <v>42990.444386574076</v>
      </c>
      <c r="B95" s="20" t="s">
        <v>452</v>
      </c>
      <c r="C95" s="20" t="s">
        <v>688</v>
      </c>
      <c r="D95" s="138">
        <v>3030000</v>
      </c>
      <c r="E95" s="20" t="s">
        <v>516</v>
      </c>
      <c r="F95" s="20" t="s">
        <v>456</v>
      </c>
      <c r="G95" s="8" t="str">
        <f t="shared" si="2"/>
        <v>BIRENBAUM THOMAS</v>
      </c>
      <c r="H95" s="20" t="str">
        <f t="shared" si="3"/>
        <v>4002</v>
      </c>
    </row>
    <row r="96" spans="1:8" x14ac:dyDescent="0.25">
      <c r="A96" s="8">
        <v>42990.448113425926</v>
      </c>
      <c r="B96" s="20" t="s">
        <v>414</v>
      </c>
      <c r="C96" s="20" t="s">
        <v>689</v>
      </c>
      <c r="D96" s="138">
        <v>1780000</v>
      </c>
      <c r="E96" s="20" t="s">
        <v>690</v>
      </c>
      <c r="F96" s="20" t="s">
        <v>691</v>
      </c>
      <c r="G96" s="8" t="str">
        <f t="shared" si="2"/>
        <v>DE LA ROSA ALEX</v>
      </c>
      <c r="H96" s="20" t="str">
        <f t="shared" si="3"/>
        <v>4015</v>
      </c>
    </row>
    <row r="97" spans="1:8" x14ac:dyDescent="0.25">
      <c r="A97" s="8">
        <v>42990.456134259257</v>
      </c>
      <c r="B97" s="20" t="s">
        <v>594</v>
      </c>
      <c r="C97" s="20" t="s">
        <v>595</v>
      </c>
      <c r="D97" s="138">
        <v>2470000</v>
      </c>
      <c r="E97" s="20" t="s">
        <v>486</v>
      </c>
      <c r="F97" s="20" t="s">
        <v>487</v>
      </c>
      <c r="G97" s="8" t="str">
        <f t="shared" si="2"/>
        <v>ROMERO CHAD</v>
      </c>
      <c r="H97" s="20" t="str">
        <f t="shared" si="3"/>
        <v>4027</v>
      </c>
    </row>
    <row r="98" spans="1:8" x14ac:dyDescent="0.25">
      <c r="A98" s="8">
        <v>42990.45716435185</v>
      </c>
      <c r="B98" s="20" t="s">
        <v>640</v>
      </c>
      <c r="C98" s="20" t="s">
        <v>692</v>
      </c>
      <c r="D98" s="138">
        <v>2560000</v>
      </c>
      <c r="E98" s="20" t="s">
        <v>455</v>
      </c>
      <c r="F98" s="20" t="s">
        <v>456</v>
      </c>
      <c r="G98" s="8" t="str">
        <f t="shared" si="2"/>
        <v>MACDONALD THOMAS</v>
      </c>
      <c r="H98" s="20" t="str">
        <f t="shared" si="3"/>
        <v>4034</v>
      </c>
    </row>
    <row r="99" spans="1:8" x14ac:dyDescent="0.25">
      <c r="A99" s="8">
        <v>42990.458148148151</v>
      </c>
      <c r="B99" s="20" t="s">
        <v>577</v>
      </c>
      <c r="C99" s="20" t="s">
        <v>693</v>
      </c>
      <c r="D99" s="138">
        <v>3000000</v>
      </c>
      <c r="E99" s="20" t="s">
        <v>644</v>
      </c>
      <c r="F99" s="20" t="s">
        <v>645</v>
      </c>
      <c r="G99" s="8" t="str">
        <f t="shared" si="2"/>
        <v>FORTUNATO FRANK</v>
      </c>
      <c r="H99" s="20" t="str">
        <f t="shared" si="3"/>
        <v>4064</v>
      </c>
    </row>
    <row r="100" spans="1:8" x14ac:dyDescent="0.25">
      <c r="A100" s="8">
        <v>42990.462013888886</v>
      </c>
      <c r="B100" s="20" t="s">
        <v>400</v>
      </c>
      <c r="C100" s="20" t="s">
        <v>694</v>
      </c>
      <c r="D100" s="138">
        <v>2730000</v>
      </c>
      <c r="E100" s="20" t="s">
        <v>514</v>
      </c>
      <c r="F100" s="20" t="s">
        <v>515</v>
      </c>
      <c r="G100" s="8" t="str">
        <f t="shared" si="2"/>
        <v>YANG JAN</v>
      </c>
      <c r="H100" s="20" t="str">
        <f t="shared" si="3"/>
        <v>4061</v>
      </c>
    </row>
    <row r="101" spans="1:8" x14ac:dyDescent="0.25">
      <c r="A101" s="8">
        <v>42990.464548611111</v>
      </c>
      <c r="B101" s="20" t="s">
        <v>626</v>
      </c>
      <c r="C101" s="20" t="s">
        <v>695</v>
      </c>
      <c r="D101" s="138">
        <v>1230000</v>
      </c>
      <c r="E101" s="20" t="s">
        <v>517</v>
      </c>
      <c r="F101" s="20" t="s">
        <v>518</v>
      </c>
      <c r="G101" s="8" t="str">
        <f t="shared" si="2"/>
        <v>YANAI IAN</v>
      </c>
      <c r="H101" s="20" t="str">
        <f t="shared" si="3"/>
        <v>4011</v>
      </c>
    </row>
    <row r="102" spans="1:8" x14ac:dyDescent="0.25">
      <c r="A102" s="8">
        <v>42990.465011574073</v>
      </c>
      <c r="B102" s="20" t="s">
        <v>380</v>
      </c>
      <c r="C102" s="20" t="s">
        <v>696</v>
      </c>
      <c r="D102" s="138">
        <v>1810000</v>
      </c>
      <c r="E102" s="20" t="s">
        <v>697</v>
      </c>
      <c r="F102" s="20" t="s">
        <v>386</v>
      </c>
      <c r="G102" s="8" t="str">
        <f t="shared" si="2"/>
        <v>NEWELL JAMES</v>
      </c>
      <c r="H102" s="20" t="str">
        <f t="shared" si="3"/>
        <v>4030</v>
      </c>
    </row>
    <row r="103" spans="1:8" x14ac:dyDescent="0.25">
      <c r="A103" s="8">
        <v>42990.466203703705</v>
      </c>
      <c r="B103" s="20" t="s">
        <v>521</v>
      </c>
      <c r="C103" s="20" t="s">
        <v>698</v>
      </c>
      <c r="D103" s="138">
        <v>1770000</v>
      </c>
      <c r="E103" s="20" t="s">
        <v>699</v>
      </c>
      <c r="F103" s="20" t="s">
        <v>700</v>
      </c>
      <c r="G103" s="8" t="str">
        <f t="shared" si="2"/>
        <v>BRUDER RICHARD</v>
      </c>
      <c r="H103" s="20" t="str">
        <f t="shared" si="3"/>
        <v>4058</v>
      </c>
    </row>
    <row r="104" spans="1:8" x14ac:dyDescent="0.25">
      <c r="A104" s="8">
        <v>42990.47284722222</v>
      </c>
      <c r="B104" s="20" t="s">
        <v>453</v>
      </c>
      <c r="C104" s="20" t="s">
        <v>696</v>
      </c>
      <c r="D104" s="138">
        <v>1810000</v>
      </c>
      <c r="E104" s="20" t="s">
        <v>697</v>
      </c>
      <c r="F104" s="20" t="s">
        <v>386</v>
      </c>
      <c r="G104" s="8" t="str">
        <f t="shared" si="2"/>
        <v>NEWELL JAMES</v>
      </c>
      <c r="H104" s="20" t="str">
        <f t="shared" si="3"/>
        <v>4029</v>
      </c>
    </row>
    <row r="105" spans="1:8" x14ac:dyDescent="0.25">
      <c r="A105" s="8">
        <v>42990.476446759261</v>
      </c>
      <c r="B105" s="20" t="s">
        <v>588</v>
      </c>
      <c r="C105" s="20" t="s">
        <v>701</v>
      </c>
      <c r="D105" s="138">
        <v>3000000</v>
      </c>
      <c r="E105" s="20" t="s">
        <v>644</v>
      </c>
      <c r="F105" s="20" t="s">
        <v>645</v>
      </c>
      <c r="G105" s="8" t="str">
        <f t="shared" si="2"/>
        <v>FORTUNATO FRANK</v>
      </c>
      <c r="H105" s="20" t="str">
        <f t="shared" si="3"/>
        <v>4063</v>
      </c>
    </row>
    <row r="106" spans="1:8" x14ac:dyDescent="0.25">
      <c r="A106" s="8">
        <v>42990.476979166669</v>
      </c>
      <c r="B106" s="20" t="s">
        <v>392</v>
      </c>
      <c r="C106" s="20" t="s">
        <v>702</v>
      </c>
      <c r="D106" s="138">
        <v>2040000</v>
      </c>
      <c r="E106" s="20" t="s">
        <v>703</v>
      </c>
      <c r="F106" s="20" t="s">
        <v>704</v>
      </c>
      <c r="G106" s="8" t="str">
        <f t="shared" si="2"/>
        <v>MOSES BRADLEY</v>
      </c>
      <c r="H106" s="20" t="str">
        <f t="shared" si="3"/>
        <v>4032</v>
      </c>
    </row>
    <row r="107" spans="1:8" x14ac:dyDescent="0.25">
      <c r="A107" s="8">
        <v>42990.479837962965</v>
      </c>
      <c r="B107" s="20" t="s">
        <v>415</v>
      </c>
      <c r="C107" s="20" t="s">
        <v>705</v>
      </c>
      <c r="D107" s="138">
        <v>2470000</v>
      </c>
      <c r="E107" s="20" t="s">
        <v>486</v>
      </c>
      <c r="F107" s="20" t="s">
        <v>487</v>
      </c>
      <c r="G107" s="8" t="str">
        <f t="shared" si="2"/>
        <v>ROMERO CHAD</v>
      </c>
      <c r="H107" s="20" t="str">
        <f t="shared" si="3"/>
        <v>4016</v>
      </c>
    </row>
    <row r="108" spans="1:8" x14ac:dyDescent="0.25">
      <c r="A108" s="8">
        <v>42990.480578703704</v>
      </c>
      <c r="B108" s="20" t="s">
        <v>380</v>
      </c>
      <c r="C108" s="20" t="s">
        <v>702</v>
      </c>
      <c r="D108" s="138">
        <v>2040000</v>
      </c>
      <c r="E108" s="20" t="s">
        <v>703</v>
      </c>
      <c r="F108" s="20" t="s">
        <v>704</v>
      </c>
      <c r="G108" s="8" t="str">
        <f t="shared" si="2"/>
        <v>MOSES BRADLEY</v>
      </c>
      <c r="H108" s="20" t="str">
        <f t="shared" si="3"/>
        <v>4030</v>
      </c>
    </row>
    <row r="109" spans="1:8" x14ac:dyDescent="0.25">
      <c r="A109" s="8">
        <v>42990.48641203704</v>
      </c>
      <c r="B109" s="20" t="s">
        <v>605</v>
      </c>
      <c r="C109" s="20" t="s">
        <v>706</v>
      </c>
      <c r="D109" s="138">
        <v>3030000</v>
      </c>
      <c r="E109" s="20" t="s">
        <v>516</v>
      </c>
      <c r="F109" s="20" t="s">
        <v>456</v>
      </c>
      <c r="G109" s="8" t="str">
        <f t="shared" si="2"/>
        <v>BIRENBAUM THOMAS</v>
      </c>
      <c r="H109" s="20" t="str">
        <f t="shared" si="3"/>
        <v>4001</v>
      </c>
    </row>
    <row r="110" spans="1:8" x14ac:dyDescent="0.25">
      <c r="A110" s="8">
        <v>42990.487314814818</v>
      </c>
      <c r="B110" s="20" t="s">
        <v>392</v>
      </c>
      <c r="C110" s="20" t="s">
        <v>707</v>
      </c>
      <c r="D110" s="138">
        <v>1300000</v>
      </c>
      <c r="E110" s="20" t="s">
        <v>708</v>
      </c>
      <c r="F110" s="20" t="s">
        <v>709</v>
      </c>
      <c r="G110" s="8" t="str">
        <f t="shared" si="2"/>
        <v>LEVIN SCOTT</v>
      </c>
      <c r="H110" s="20" t="str">
        <f t="shared" si="3"/>
        <v>4032</v>
      </c>
    </row>
    <row r="111" spans="1:8" x14ac:dyDescent="0.25">
      <c r="A111" s="8">
        <v>42990.488194444442</v>
      </c>
      <c r="B111" s="20" t="s">
        <v>392</v>
      </c>
      <c r="C111" s="20" t="s">
        <v>707</v>
      </c>
      <c r="D111" s="138">
        <v>1300000</v>
      </c>
      <c r="E111" s="20" t="s">
        <v>708</v>
      </c>
      <c r="F111" s="20" t="s">
        <v>709</v>
      </c>
      <c r="G111" s="8" t="str">
        <f t="shared" si="2"/>
        <v>LEVIN SCOTT</v>
      </c>
      <c r="H111" s="20" t="str">
        <f t="shared" si="3"/>
        <v>4032</v>
      </c>
    </row>
    <row r="112" spans="1:8" x14ac:dyDescent="0.25">
      <c r="A112" s="8">
        <v>42990.496365740742</v>
      </c>
      <c r="B112" s="20" t="s">
        <v>579</v>
      </c>
      <c r="C112" s="20" t="s">
        <v>710</v>
      </c>
      <c r="D112" s="138">
        <v>2560000</v>
      </c>
      <c r="E112" s="20" t="s">
        <v>455</v>
      </c>
      <c r="F112" s="20" t="s">
        <v>456</v>
      </c>
      <c r="G112" s="8" t="str">
        <f t="shared" si="2"/>
        <v>MACDONALD THOMAS</v>
      </c>
      <c r="H112" s="20" t="str">
        <f t="shared" si="3"/>
        <v>4033</v>
      </c>
    </row>
    <row r="113" spans="1:8" x14ac:dyDescent="0.25">
      <c r="A113" s="8">
        <v>42990.496712962966</v>
      </c>
      <c r="B113" s="20" t="s">
        <v>418</v>
      </c>
      <c r="C113" s="20" t="s">
        <v>711</v>
      </c>
      <c r="D113" s="138">
        <v>1180000</v>
      </c>
      <c r="E113" s="20" t="s">
        <v>390</v>
      </c>
      <c r="F113" s="20" t="s">
        <v>391</v>
      </c>
      <c r="G113" s="8" t="str">
        <f t="shared" si="2"/>
        <v>LEVERE CRAIG</v>
      </c>
      <c r="H113" s="20" t="str">
        <f t="shared" si="3"/>
        <v>4062</v>
      </c>
    </row>
    <row r="114" spans="1:8" x14ac:dyDescent="0.25">
      <c r="A114" s="8">
        <v>42990.499930555554</v>
      </c>
      <c r="B114" s="20" t="s">
        <v>577</v>
      </c>
      <c r="C114" s="20" t="s">
        <v>712</v>
      </c>
      <c r="D114" s="138">
        <v>3000000</v>
      </c>
      <c r="E114" s="20" t="s">
        <v>644</v>
      </c>
      <c r="F114" s="20" t="s">
        <v>645</v>
      </c>
      <c r="G114" s="8" t="str">
        <f t="shared" si="2"/>
        <v>FORTUNATO FRANK</v>
      </c>
      <c r="H114" s="20" t="str">
        <f t="shared" si="3"/>
        <v>4064</v>
      </c>
    </row>
    <row r="115" spans="1:8" x14ac:dyDescent="0.25">
      <c r="A115" s="8">
        <v>42990.506342592591</v>
      </c>
      <c r="B115" s="20" t="s">
        <v>635</v>
      </c>
      <c r="C115" s="20" t="s">
        <v>713</v>
      </c>
      <c r="D115" s="138">
        <v>2630000</v>
      </c>
      <c r="E115" s="20" t="s">
        <v>459</v>
      </c>
      <c r="F115" s="20" t="s">
        <v>460</v>
      </c>
      <c r="G115" s="8" t="str">
        <f t="shared" si="2"/>
        <v>SAFIEF AEIMEN</v>
      </c>
      <c r="H115" s="20" t="str">
        <f t="shared" si="3"/>
        <v>4012</v>
      </c>
    </row>
    <row r="116" spans="1:8" x14ac:dyDescent="0.25">
      <c r="A116" s="8">
        <v>42990.506597222222</v>
      </c>
      <c r="B116" s="20" t="s">
        <v>585</v>
      </c>
      <c r="C116" s="20" t="s">
        <v>714</v>
      </c>
      <c r="D116" s="138">
        <v>1770000</v>
      </c>
      <c r="E116" s="20" t="s">
        <v>699</v>
      </c>
      <c r="F116" s="20" t="s">
        <v>700</v>
      </c>
      <c r="G116" s="8" t="str">
        <f t="shared" si="2"/>
        <v>BRUDER RICHARD</v>
      </c>
      <c r="H116" s="20" t="str">
        <f t="shared" si="3"/>
        <v>4057</v>
      </c>
    </row>
    <row r="117" spans="1:8" x14ac:dyDescent="0.25">
      <c r="A117" s="8">
        <v>42990.511388888888</v>
      </c>
      <c r="B117" s="20" t="s">
        <v>508</v>
      </c>
      <c r="C117" s="20" t="s">
        <v>596</v>
      </c>
      <c r="D117" s="138">
        <v>1810000</v>
      </c>
      <c r="E117" s="20" t="s">
        <v>697</v>
      </c>
      <c r="F117" s="20" t="s">
        <v>386</v>
      </c>
      <c r="G117" s="8" t="str">
        <f t="shared" si="2"/>
        <v>NEWELL JAMES</v>
      </c>
      <c r="H117" s="20" t="str">
        <f t="shared" si="3"/>
        <v>4065</v>
      </c>
    </row>
    <row r="118" spans="1:8" x14ac:dyDescent="0.25">
      <c r="A118" s="8">
        <v>42990.51699074074</v>
      </c>
      <c r="B118" s="20" t="s">
        <v>453</v>
      </c>
      <c r="C118" s="20" t="s">
        <v>599</v>
      </c>
      <c r="D118" s="138">
        <v>2040000</v>
      </c>
      <c r="E118" s="20" t="s">
        <v>703</v>
      </c>
      <c r="F118" s="20" t="s">
        <v>704</v>
      </c>
      <c r="G118" s="8" t="str">
        <f t="shared" si="2"/>
        <v>MOSES BRADLEY</v>
      </c>
      <c r="H118" s="20" t="str">
        <f t="shared" si="3"/>
        <v>4029</v>
      </c>
    </row>
    <row r="119" spans="1:8" x14ac:dyDescent="0.25">
      <c r="A119" s="8">
        <v>42990.517453703702</v>
      </c>
      <c r="B119" s="20" t="s">
        <v>588</v>
      </c>
      <c r="C119" s="20" t="s">
        <v>597</v>
      </c>
      <c r="D119" s="138">
        <v>3000000</v>
      </c>
      <c r="E119" s="20" t="s">
        <v>644</v>
      </c>
      <c r="F119" s="20" t="s">
        <v>645</v>
      </c>
      <c r="G119" s="8" t="str">
        <f t="shared" si="2"/>
        <v>FORTUNATO FRANK</v>
      </c>
      <c r="H119" s="20" t="str">
        <f t="shared" si="3"/>
        <v>4063</v>
      </c>
    </row>
    <row r="120" spans="1:8" x14ac:dyDescent="0.25">
      <c r="A120" s="8">
        <v>42990.518611111111</v>
      </c>
      <c r="B120" s="20" t="s">
        <v>452</v>
      </c>
      <c r="C120" s="20" t="s">
        <v>715</v>
      </c>
      <c r="D120" s="138">
        <v>920000</v>
      </c>
      <c r="E120" s="20" t="s">
        <v>345</v>
      </c>
      <c r="F120" s="20" t="s">
        <v>191</v>
      </c>
      <c r="G120" s="8" t="str">
        <f t="shared" si="2"/>
        <v>DAVIS MICHAEL</v>
      </c>
      <c r="H120" s="20" t="str">
        <f t="shared" si="3"/>
        <v>4002</v>
      </c>
    </row>
    <row r="121" spans="1:8" x14ac:dyDescent="0.25">
      <c r="A121" s="8">
        <v>42990.526331018518</v>
      </c>
      <c r="B121" s="20" t="s">
        <v>412</v>
      </c>
      <c r="C121" s="20" t="s">
        <v>598</v>
      </c>
      <c r="D121" s="138">
        <v>1300000</v>
      </c>
      <c r="E121" s="20" t="s">
        <v>708</v>
      </c>
      <c r="F121" s="20" t="s">
        <v>709</v>
      </c>
      <c r="G121" s="8" t="str">
        <f t="shared" si="2"/>
        <v>LEVIN SCOTT</v>
      </c>
      <c r="H121" s="20" t="str">
        <f t="shared" si="3"/>
        <v>4031</v>
      </c>
    </row>
    <row r="122" spans="1:8" x14ac:dyDescent="0.25">
      <c r="A122" s="8">
        <v>42990.53019675926</v>
      </c>
      <c r="B122" s="25" t="s">
        <v>640</v>
      </c>
      <c r="C122" s="20" t="s">
        <v>716</v>
      </c>
      <c r="D122" s="138">
        <v>2230000</v>
      </c>
      <c r="E122" s="20" t="s">
        <v>461</v>
      </c>
      <c r="F122" s="20" t="s">
        <v>191</v>
      </c>
      <c r="G122" s="8" t="str">
        <f t="shared" si="2"/>
        <v>SMITH MICHAEL</v>
      </c>
      <c r="H122" s="20" t="str">
        <f t="shared" si="3"/>
        <v>4034</v>
      </c>
    </row>
    <row r="123" spans="1:8" x14ac:dyDescent="0.25">
      <c r="A123" s="8">
        <v>42990.534351851849</v>
      </c>
      <c r="B123" s="20" t="s">
        <v>400</v>
      </c>
      <c r="C123" s="20" t="s">
        <v>717</v>
      </c>
      <c r="D123" s="138">
        <v>1180000</v>
      </c>
      <c r="E123" s="20" t="s">
        <v>390</v>
      </c>
      <c r="F123" s="20" t="s">
        <v>391</v>
      </c>
      <c r="G123" s="8" t="str">
        <f t="shared" si="2"/>
        <v>LEVERE CRAIG</v>
      </c>
      <c r="H123" s="20" t="str">
        <f t="shared" si="3"/>
        <v>4061</v>
      </c>
    </row>
    <row r="124" spans="1:8" x14ac:dyDescent="0.25">
      <c r="A124" s="8">
        <v>42990.539027777777</v>
      </c>
      <c r="B124" s="20" t="s">
        <v>521</v>
      </c>
      <c r="C124" s="20" t="s">
        <v>718</v>
      </c>
      <c r="D124" s="138">
        <v>1770000</v>
      </c>
      <c r="E124" s="20" t="s">
        <v>699</v>
      </c>
      <c r="F124" s="20" t="s">
        <v>700</v>
      </c>
      <c r="G124" s="8" t="str">
        <f t="shared" si="2"/>
        <v>BRUDER RICHARD</v>
      </c>
      <c r="H124" s="20" t="str">
        <f t="shared" si="3"/>
        <v>4058</v>
      </c>
    </row>
    <row r="125" spans="1:8" x14ac:dyDescent="0.25">
      <c r="A125" s="8">
        <v>42990.54142361111</v>
      </c>
      <c r="B125" s="20" t="s">
        <v>626</v>
      </c>
      <c r="C125" s="20" t="s">
        <v>719</v>
      </c>
      <c r="D125" s="138">
        <v>2630000</v>
      </c>
      <c r="E125" s="20" t="s">
        <v>459</v>
      </c>
      <c r="F125" s="20" t="s">
        <v>460</v>
      </c>
      <c r="G125" s="8" t="str">
        <f t="shared" si="2"/>
        <v>SAFIEF AEIMEN</v>
      </c>
      <c r="H125" s="20" t="str">
        <f t="shared" si="3"/>
        <v>4011</v>
      </c>
    </row>
    <row r="126" spans="1:8" x14ac:dyDescent="0.25">
      <c r="A126" s="8">
        <v>42990.541527777779</v>
      </c>
      <c r="B126" s="20" t="s">
        <v>577</v>
      </c>
      <c r="C126" s="20" t="s">
        <v>720</v>
      </c>
      <c r="D126" s="138">
        <v>2970000</v>
      </c>
      <c r="E126" s="20" t="s">
        <v>471</v>
      </c>
      <c r="F126" s="20" t="s">
        <v>472</v>
      </c>
      <c r="G126" s="8" t="str">
        <f t="shared" si="2"/>
        <v>GUZMAN DANNY</v>
      </c>
      <c r="H126" s="20" t="str">
        <f t="shared" si="3"/>
        <v>4064</v>
      </c>
    </row>
    <row r="127" spans="1:8" x14ac:dyDescent="0.25">
      <c r="A127" s="8">
        <v>42990.54965277778</v>
      </c>
      <c r="B127" s="20" t="s">
        <v>380</v>
      </c>
      <c r="C127" s="20" t="s">
        <v>721</v>
      </c>
      <c r="D127" s="138">
        <v>2040000</v>
      </c>
      <c r="E127" s="20" t="s">
        <v>703</v>
      </c>
      <c r="F127" s="20" t="s">
        <v>704</v>
      </c>
      <c r="G127" s="8" t="str">
        <f t="shared" si="2"/>
        <v>MOSES BRADLEY</v>
      </c>
      <c r="H127" s="20" t="str">
        <f t="shared" si="3"/>
        <v>4030</v>
      </c>
    </row>
    <row r="128" spans="1:8" x14ac:dyDescent="0.25">
      <c r="A128" s="8">
        <v>42990.55914351852</v>
      </c>
      <c r="B128" s="20" t="s">
        <v>605</v>
      </c>
      <c r="C128" s="20" t="s">
        <v>722</v>
      </c>
      <c r="D128" s="138">
        <v>920000</v>
      </c>
      <c r="E128" s="20" t="s">
        <v>345</v>
      </c>
      <c r="F128" s="20" t="s">
        <v>191</v>
      </c>
      <c r="G128" s="8" t="str">
        <f t="shared" si="2"/>
        <v>DAVIS MICHAEL</v>
      </c>
      <c r="H128" s="20" t="str">
        <f t="shared" si="3"/>
        <v>4001</v>
      </c>
    </row>
    <row r="129" spans="1:8" x14ac:dyDescent="0.25">
      <c r="A129" s="8">
        <v>42990.559606481482</v>
      </c>
      <c r="B129" s="20" t="s">
        <v>392</v>
      </c>
      <c r="C129" s="20" t="s">
        <v>723</v>
      </c>
      <c r="D129" s="138">
        <v>1300000</v>
      </c>
      <c r="E129" s="20" t="s">
        <v>708</v>
      </c>
      <c r="F129" s="20" t="s">
        <v>709</v>
      </c>
      <c r="G129" s="8" t="str">
        <f t="shared" si="2"/>
        <v>LEVIN SCOTT</v>
      </c>
      <c r="H129" s="20" t="str">
        <f t="shared" si="3"/>
        <v>4032</v>
      </c>
    </row>
    <row r="130" spans="1:8" x14ac:dyDescent="0.25">
      <c r="A130" s="8">
        <v>42990.561620370368</v>
      </c>
      <c r="B130" s="20" t="s">
        <v>588</v>
      </c>
      <c r="C130" s="20" t="s">
        <v>724</v>
      </c>
      <c r="D130" s="138">
        <v>2970000</v>
      </c>
      <c r="E130" s="20" t="s">
        <v>471</v>
      </c>
      <c r="F130" s="20" t="s">
        <v>472</v>
      </c>
      <c r="G130" s="8" t="str">
        <f t="shared" si="2"/>
        <v>GUZMAN DANNY</v>
      </c>
      <c r="H130" s="20" t="str">
        <f t="shared" si="3"/>
        <v>4063</v>
      </c>
    </row>
    <row r="131" spans="1:8" x14ac:dyDescent="0.25">
      <c r="A131" s="8">
        <v>42990.564363425925</v>
      </c>
      <c r="B131" s="20" t="s">
        <v>579</v>
      </c>
      <c r="C131" s="20" t="s">
        <v>725</v>
      </c>
      <c r="D131" s="138">
        <v>2230000</v>
      </c>
      <c r="E131" s="20" t="s">
        <v>461</v>
      </c>
      <c r="F131" s="20" t="s">
        <v>191</v>
      </c>
      <c r="G131" s="8" t="str">
        <f t="shared" ref="G131:G194" si="4">E131&amp;" "&amp;F131</f>
        <v>SMITH MICHAEL</v>
      </c>
      <c r="H131" s="20" t="str">
        <f t="shared" ref="H131:H194" si="5">MID(B131,13,4)</f>
        <v>4033</v>
      </c>
    </row>
    <row r="132" spans="1:8" x14ac:dyDescent="0.25">
      <c r="A132" s="8">
        <v>42990.569050925929</v>
      </c>
      <c r="B132" s="20" t="s">
        <v>418</v>
      </c>
      <c r="C132" s="20" t="s">
        <v>726</v>
      </c>
      <c r="D132" s="138">
        <v>1180000</v>
      </c>
      <c r="E132" s="20" t="s">
        <v>390</v>
      </c>
      <c r="F132" s="20" t="s">
        <v>391</v>
      </c>
      <c r="G132" s="8" t="str">
        <f t="shared" si="4"/>
        <v>LEVERE CRAIG</v>
      </c>
      <c r="H132" s="20" t="str">
        <f t="shared" si="5"/>
        <v>4062</v>
      </c>
    </row>
    <row r="133" spans="1:8" x14ac:dyDescent="0.25">
      <c r="A133" s="8">
        <v>42990.579050925924</v>
      </c>
      <c r="B133" s="20" t="s">
        <v>585</v>
      </c>
      <c r="C133" s="20" t="s">
        <v>600</v>
      </c>
      <c r="D133" s="138">
        <v>1770000</v>
      </c>
      <c r="E133" s="20" t="s">
        <v>699</v>
      </c>
      <c r="F133" s="20" t="s">
        <v>700</v>
      </c>
      <c r="G133" s="8" t="str">
        <f t="shared" si="4"/>
        <v>BRUDER RICHARD</v>
      </c>
      <c r="H133" s="20" t="str">
        <f t="shared" si="5"/>
        <v>4057</v>
      </c>
    </row>
    <row r="134" spans="1:8" x14ac:dyDescent="0.25">
      <c r="A134" s="8">
        <v>42990.580601851849</v>
      </c>
      <c r="B134" s="20" t="s">
        <v>635</v>
      </c>
      <c r="C134" s="20" t="s">
        <v>727</v>
      </c>
      <c r="D134" s="138">
        <v>2630000</v>
      </c>
      <c r="E134" s="20" t="s">
        <v>459</v>
      </c>
      <c r="F134" s="20" t="s">
        <v>460</v>
      </c>
      <c r="G134" s="8" t="str">
        <f t="shared" si="4"/>
        <v>SAFIEF AEIMEN</v>
      </c>
      <c r="H134" s="20" t="str">
        <f t="shared" si="5"/>
        <v>4012</v>
      </c>
    </row>
    <row r="135" spans="1:8" x14ac:dyDescent="0.25">
      <c r="A135" s="8">
        <v>42990.586354166669</v>
      </c>
      <c r="B135" s="20" t="s">
        <v>577</v>
      </c>
      <c r="C135" s="20" t="s">
        <v>728</v>
      </c>
      <c r="D135" s="138">
        <v>2970000</v>
      </c>
      <c r="E135" s="20" t="s">
        <v>471</v>
      </c>
      <c r="F135" s="20" t="s">
        <v>472</v>
      </c>
      <c r="G135" s="8" t="str">
        <f t="shared" si="4"/>
        <v>GUZMAN DANNY</v>
      </c>
      <c r="H135" s="20" t="str">
        <f t="shared" si="5"/>
        <v>4064</v>
      </c>
    </row>
    <row r="136" spans="1:8" x14ac:dyDescent="0.25">
      <c r="A136" s="8">
        <v>42990.589571759258</v>
      </c>
      <c r="B136" s="20" t="s">
        <v>453</v>
      </c>
      <c r="C136" s="20" t="s">
        <v>729</v>
      </c>
      <c r="D136" s="138">
        <v>2040000</v>
      </c>
      <c r="E136" s="20" t="s">
        <v>703</v>
      </c>
      <c r="F136" s="20" t="s">
        <v>704</v>
      </c>
      <c r="G136" s="8" t="str">
        <f t="shared" si="4"/>
        <v>MOSES BRADLEY</v>
      </c>
      <c r="H136" s="20" t="str">
        <f t="shared" si="5"/>
        <v>4029</v>
      </c>
    </row>
    <row r="137" spans="1:8" x14ac:dyDescent="0.25">
      <c r="A137" s="8">
        <v>42990.59202546296</v>
      </c>
      <c r="B137" s="20" t="s">
        <v>452</v>
      </c>
      <c r="C137" s="20" t="s">
        <v>730</v>
      </c>
      <c r="D137" s="138">
        <v>920000</v>
      </c>
      <c r="E137" s="20" t="s">
        <v>345</v>
      </c>
      <c r="F137" s="20" t="s">
        <v>191</v>
      </c>
      <c r="G137" s="8" t="str">
        <f t="shared" si="4"/>
        <v>DAVIS MICHAEL</v>
      </c>
      <c r="H137" s="20" t="str">
        <f t="shared" si="5"/>
        <v>4002</v>
      </c>
    </row>
    <row r="138" spans="1:8" x14ac:dyDescent="0.25">
      <c r="A138" s="8">
        <v>42990.593287037038</v>
      </c>
      <c r="B138" s="20" t="s">
        <v>412</v>
      </c>
      <c r="C138" s="20" t="s">
        <v>731</v>
      </c>
      <c r="D138" s="138">
        <v>1300000</v>
      </c>
      <c r="E138" s="20" t="s">
        <v>708</v>
      </c>
      <c r="F138" s="20" t="s">
        <v>709</v>
      </c>
      <c r="G138" s="8" t="str">
        <f t="shared" si="4"/>
        <v>LEVIN SCOTT</v>
      </c>
      <c r="H138" s="20" t="str">
        <f t="shared" si="5"/>
        <v>4031</v>
      </c>
    </row>
    <row r="139" spans="1:8" x14ac:dyDescent="0.25">
      <c r="A139" s="8">
        <v>42990.600763888891</v>
      </c>
      <c r="B139" s="20" t="s">
        <v>640</v>
      </c>
      <c r="C139" s="20" t="s">
        <v>732</v>
      </c>
      <c r="D139" s="138">
        <v>2230000</v>
      </c>
      <c r="E139" s="20" t="s">
        <v>461</v>
      </c>
      <c r="F139" s="20" t="s">
        <v>191</v>
      </c>
      <c r="G139" s="8" t="str">
        <f t="shared" si="4"/>
        <v>SMITH MICHAEL</v>
      </c>
      <c r="H139" s="20" t="str">
        <f t="shared" si="5"/>
        <v>4034</v>
      </c>
    </row>
    <row r="140" spans="1:8" x14ac:dyDescent="0.25">
      <c r="A140" s="8">
        <v>42990.603344907409</v>
      </c>
      <c r="B140" s="20" t="s">
        <v>588</v>
      </c>
      <c r="C140" s="20" t="s">
        <v>733</v>
      </c>
      <c r="D140" s="138">
        <v>2970000</v>
      </c>
      <c r="E140" s="20" t="s">
        <v>471</v>
      </c>
      <c r="F140" s="20" t="s">
        <v>472</v>
      </c>
      <c r="G140" s="8" t="str">
        <f t="shared" si="4"/>
        <v>GUZMAN DANNY</v>
      </c>
      <c r="H140" s="20" t="str">
        <f t="shared" si="5"/>
        <v>4063</v>
      </c>
    </row>
    <row r="141" spans="1:8" x14ac:dyDescent="0.25">
      <c r="A141" s="8">
        <v>42990.606817129628</v>
      </c>
      <c r="B141" s="20" t="s">
        <v>400</v>
      </c>
      <c r="C141" s="20" t="s">
        <v>734</v>
      </c>
      <c r="D141" s="138">
        <v>1180000</v>
      </c>
      <c r="E141" s="20" t="s">
        <v>390</v>
      </c>
      <c r="F141" s="20" t="s">
        <v>391</v>
      </c>
      <c r="G141" s="8" t="str">
        <f t="shared" si="4"/>
        <v>LEVERE CRAIG</v>
      </c>
      <c r="H141" s="20" t="str">
        <f t="shared" si="5"/>
        <v>4061</v>
      </c>
    </row>
    <row r="142" spans="1:8" x14ac:dyDescent="0.25">
      <c r="A142" s="8">
        <v>42990.611585648148</v>
      </c>
      <c r="B142" s="20" t="s">
        <v>626</v>
      </c>
      <c r="C142" s="20" t="s">
        <v>735</v>
      </c>
      <c r="D142" s="138">
        <v>2630000</v>
      </c>
      <c r="E142" s="20" t="s">
        <v>459</v>
      </c>
      <c r="F142" s="20" t="s">
        <v>460</v>
      </c>
      <c r="G142" s="8" t="str">
        <f t="shared" si="4"/>
        <v>SAFIEF AEIMEN</v>
      </c>
      <c r="H142" s="20" t="str">
        <f t="shared" si="5"/>
        <v>4011</v>
      </c>
    </row>
    <row r="143" spans="1:8" x14ac:dyDescent="0.25">
      <c r="A143" s="8">
        <v>42990.611793981479</v>
      </c>
      <c r="B143" s="20" t="s">
        <v>521</v>
      </c>
      <c r="C143" s="20" t="s">
        <v>736</v>
      </c>
      <c r="D143" s="138">
        <v>1770000</v>
      </c>
      <c r="E143" s="20" t="s">
        <v>699</v>
      </c>
      <c r="F143" s="20" t="s">
        <v>700</v>
      </c>
      <c r="G143" s="8" t="str">
        <f t="shared" si="4"/>
        <v>BRUDER RICHARD</v>
      </c>
      <c r="H143" s="20" t="str">
        <f t="shared" si="5"/>
        <v>4058</v>
      </c>
    </row>
    <row r="144" spans="1:8" x14ac:dyDescent="0.25">
      <c r="A144" s="8">
        <v>42990.623067129629</v>
      </c>
      <c r="B144" s="20" t="s">
        <v>380</v>
      </c>
      <c r="C144" s="20" t="s">
        <v>737</v>
      </c>
      <c r="D144" s="138">
        <v>2040000</v>
      </c>
      <c r="E144" s="20" t="s">
        <v>703</v>
      </c>
      <c r="F144" s="20" t="s">
        <v>704</v>
      </c>
      <c r="G144" s="8" t="str">
        <f t="shared" si="4"/>
        <v>MOSES BRADLEY</v>
      </c>
      <c r="H144" s="20" t="str">
        <f t="shared" si="5"/>
        <v>4030</v>
      </c>
    </row>
    <row r="145" spans="1:8" x14ac:dyDescent="0.25">
      <c r="A145" s="8">
        <v>42990.623194444444</v>
      </c>
      <c r="B145" s="20" t="s">
        <v>577</v>
      </c>
      <c r="C145" s="20" t="s">
        <v>738</v>
      </c>
      <c r="D145" s="138">
        <v>2970000</v>
      </c>
      <c r="E145" s="20" t="s">
        <v>471</v>
      </c>
      <c r="F145" s="20" t="s">
        <v>472</v>
      </c>
      <c r="G145" s="8" t="str">
        <f t="shared" si="4"/>
        <v>GUZMAN DANNY</v>
      </c>
      <c r="H145" s="20" t="str">
        <f t="shared" si="5"/>
        <v>4064</v>
      </c>
    </row>
    <row r="146" spans="1:8" x14ac:dyDescent="0.25">
      <c r="A146" s="8">
        <v>42990.629351851851</v>
      </c>
      <c r="B146" s="20" t="s">
        <v>392</v>
      </c>
      <c r="C146" s="20" t="s">
        <v>739</v>
      </c>
      <c r="D146" s="138">
        <v>1300000</v>
      </c>
      <c r="E146" s="20" t="s">
        <v>708</v>
      </c>
      <c r="F146" s="20" t="s">
        <v>709</v>
      </c>
      <c r="G146" s="8" t="str">
        <f t="shared" si="4"/>
        <v>LEVIN SCOTT</v>
      </c>
      <c r="H146" s="20" t="str">
        <f t="shared" si="5"/>
        <v>4032</v>
      </c>
    </row>
    <row r="147" spans="1:8" x14ac:dyDescent="0.25">
      <c r="A147" s="8">
        <v>42990.631550925929</v>
      </c>
      <c r="B147" s="20" t="s">
        <v>605</v>
      </c>
      <c r="C147" s="20" t="s">
        <v>740</v>
      </c>
      <c r="D147" s="138">
        <v>920000</v>
      </c>
      <c r="E147" s="20" t="s">
        <v>345</v>
      </c>
      <c r="F147" s="20" t="s">
        <v>191</v>
      </c>
      <c r="G147" s="8" t="str">
        <f t="shared" si="4"/>
        <v>DAVIS MICHAEL</v>
      </c>
      <c r="H147" s="20" t="str">
        <f t="shared" si="5"/>
        <v>4001</v>
      </c>
    </row>
    <row r="148" spans="1:8" x14ac:dyDescent="0.25">
      <c r="A148" s="8">
        <v>42990.63590277778</v>
      </c>
      <c r="B148" s="20" t="s">
        <v>603</v>
      </c>
      <c r="C148" s="20" t="s">
        <v>741</v>
      </c>
      <c r="D148" s="138">
        <v>2000000</v>
      </c>
      <c r="E148" s="20" t="s">
        <v>488</v>
      </c>
      <c r="F148" s="20" t="s">
        <v>386</v>
      </c>
      <c r="G148" s="8" t="str">
        <f t="shared" si="4"/>
        <v>STAMBAUGH JAMES</v>
      </c>
      <c r="H148" s="20" t="str">
        <f t="shared" si="5"/>
        <v>4005</v>
      </c>
    </row>
    <row r="149" spans="1:8" x14ac:dyDescent="0.25">
      <c r="A149" s="8">
        <v>42990.637546296297</v>
      </c>
      <c r="B149" s="20" t="s">
        <v>579</v>
      </c>
      <c r="C149" s="20" t="s">
        <v>742</v>
      </c>
      <c r="D149" s="138">
        <v>2230000</v>
      </c>
      <c r="E149" s="20" t="s">
        <v>461</v>
      </c>
      <c r="F149" s="20" t="s">
        <v>191</v>
      </c>
      <c r="G149" s="8" t="str">
        <f t="shared" si="4"/>
        <v>SMITH MICHAEL</v>
      </c>
      <c r="H149" s="20" t="str">
        <f t="shared" si="5"/>
        <v>4033</v>
      </c>
    </row>
    <row r="150" spans="1:8" x14ac:dyDescent="0.25">
      <c r="A150" s="8">
        <v>42990.642638888887</v>
      </c>
      <c r="B150" s="20" t="s">
        <v>418</v>
      </c>
      <c r="C150" s="20" t="s">
        <v>743</v>
      </c>
      <c r="D150" s="138">
        <v>1180000</v>
      </c>
      <c r="E150" s="20" t="s">
        <v>390</v>
      </c>
      <c r="F150" s="20" t="s">
        <v>391</v>
      </c>
      <c r="G150" s="8" t="str">
        <f t="shared" si="4"/>
        <v>LEVERE CRAIG</v>
      </c>
      <c r="H150" s="20" t="str">
        <f t="shared" si="5"/>
        <v>4062</v>
      </c>
    </row>
    <row r="151" spans="1:8" x14ac:dyDescent="0.25">
      <c r="A151" s="8">
        <v>42990.643125000002</v>
      </c>
      <c r="B151" s="20" t="s">
        <v>588</v>
      </c>
      <c r="C151" s="20" t="s">
        <v>744</v>
      </c>
      <c r="D151" s="138">
        <v>2970000</v>
      </c>
      <c r="E151" s="20" t="s">
        <v>471</v>
      </c>
      <c r="F151" s="20" t="s">
        <v>472</v>
      </c>
      <c r="G151" s="8" t="str">
        <f t="shared" si="4"/>
        <v>GUZMAN DANNY</v>
      </c>
      <c r="H151" s="20" t="str">
        <f t="shared" si="5"/>
        <v>4063</v>
      </c>
    </row>
    <row r="152" spans="1:8" x14ac:dyDescent="0.25">
      <c r="A152" s="8">
        <v>42990.647766203707</v>
      </c>
      <c r="B152" s="20" t="s">
        <v>454</v>
      </c>
      <c r="C152" s="20" t="s">
        <v>745</v>
      </c>
      <c r="D152" s="138">
        <v>2000000</v>
      </c>
      <c r="E152" s="20" t="s">
        <v>488</v>
      </c>
      <c r="F152" s="20" t="s">
        <v>386</v>
      </c>
      <c r="G152" s="8" t="str">
        <f t="shared" si="4"/>
        <v>STAMBAUGH JAMES</v>
      </c>
      <c r="H152" s="20" t="str">
        <f t="shared" si="5"/>
        <v>4006</v>
      </c>
    </row>
    <row r="153" spans="1:8" x14ac:dyDescent="0.25">
      <c r="A153" s="8">
        <v>42990.651655092595</v>
      </c>
      <c r="B153" s="20" t="s">
        <v>585</v>
      </c>
      <c r="C153" s="20" t="s">
        <v>746</v>
      </c>
      <c r="D153" s="138">
        <v>1770000</v>
      </c>
      <c r="E153" s="20" t="s">
        <v>699</v>
      </c>
      <c r="F153" s="20" t="s">
        <v>700</v>
      </c>
      <c r="G153" s="8" t="str">
        <f t="shared" si="4"/>
        <v>BRUDER RICHARD</v>
      </c>
      <c r="H153" s="20" t="str">
        <f t="shared" si="5"/>
        <v>4057</v>
      </c>
    </row>
    <row r="154" spans="1:8" x14ac:dyDescent="0.25">
      <c r="A154" s="8">
        <v>42990.654317129629</v>
      </c>
      <c r="B154" s="20" t="s">
        <v>635</v>
      </c>
      <c r="C154" s="20" t="s">
        <v>747</v>
      </c>
      <c r="D154" s="138">
        <v>2630000</v>
      </c>
      <c r="E154" s="20" t="s">
        <v>459</v>
      </c>
      <c r="F154" s="20" t="s">
        <v>460</v>
      </c>
      <c r="G154" s="8" t="str">
        <f t="shared" si="4"/>
        <v>SAFIEF AEIMEN</v>
      </c>
      <c r="H154" s="20" t="str">
        <f t="shared" si="5"/>
        <v>4012</v>
      </c>
    </row>
    <row r="155" spans="1:8" x14ac:dyDescent="0.25">
      <c r="A155" s="8">
        <v>42990.660393518519</v>
      </c>
      <c r="B155" s="20" t="s">
        <v>453</v>
      </c>
      <c r="C155" s="20" t="s">
        <v>748</v>
      </c>
      <c r="D155" s="138">
        <v>2040000</v>
      </c>
      <c r="E155" s="20" t="s">
        <v>703</v>
      </c>
      <c r="F155" s="20" t="s">
        <v>704</v>
      </c>
      <c r="G155" s="8" t="str">
        <f t="shared" si="4"/>
        <v>MOSES BRADLEY</v>
      </c>
      <c r="H155" s="20" t="str">
        <f t="shared" si="5"/>
        <v>4029</v>
      </c>
    </row>
    <row r="156" spans="1:8" x14ac:dyDescent="0.25">
      <c r="A156" s="8">
        <v>42990.663807870369</v>
      </c>
      <c r="B156" s="20" t="s">
        <v>603</v>
      </c>
      <c r="C156" s="20" t="s">
        <v>749</v>
      </c>
      <c r="D156" s="138">
        <v>2000000</v>
      </c>
      <c r="E156" s="20" t="s">
        <v>488</v>
      </c>
      <c r="F156" s="20" t="s">
        <v>386</v>
      </c>
      <c r="G156" s="8" t="str">
        <f t="shared" si="4"/>
        <v>STAMBAUGH JAMES</v>
      </c>
      <c r="H156" s="20" t="str">
        <f t="shared" si="5"/>
        <v>4005</v>
      </c>
    </row>
    <row r="157" spans="1:8" x14ac:dyDescent="0.25">
      <c r="A157" s="8">
        <v>42990.66443287037</v>
      </c>
      <c r="B157" s="20" t="s">
        <v>452</v>
      </c>
      <c r="C157" s="20" t="s">
        <v>601</v>
      </c>
      <c r="D157" s="138">
        <v>920000</v>
      </c>
      <c r="E157" s="20" t="s">
        <v>345</v>
      </c>
      <c r="F157" s="20" t="s">
        <v>191</v>
      </c>
      <c r="G157" s="8" t="str">
        <f t="shared" si="4"/>
        <v>DAVIS MICHAEL</v>
      </c>
      <c r="H157" s="20" t="str">
        <f t="shared" si="5"/>
        <v>4002</v>
      </c>
    </row>
    <row r="158" spans="1:8" x14ac:dyDescent="0.25">
      <c r="A158" s="8">
        <v>42990.666180555556</v>
      </c>
      <c r="B158" s="20" t="s">
        <v>577</v>
      </c>
      <c r="C158" s="20" t="s">
        <v>750</v>
      </c>
      <c r="D158" s="138">
        <v>3130000</v>
      </c>
      <c r="E158" s="20" t="s">
        <v>751</v>
      </c>
      <c r="F158" s="20" t="s">
        <v>752</v>
      </c>
      <c r="G158" s="8" t="str">
        <f t="shared" si="4"/>
        <v>ZEWDU DEREJE</v>
      </c>
      <c r="H158" s="20" t="str">
        <f t="shared" si="5"/>
        <v>4064</v>
      </c>
    </row>
    <row r="159" spans="1:8" x14ac:dyDescent="0.25">
      <c r="A159" s="8">
        <v>42990.667002314818</v>
      </c>
      <c r="B159" s="20" t="s">
        <v>412</v>
      </c>
      <c r="C159" s="20" t="s">
        <v>753</v>
      </c>
      <c r="D159" s="138">
        <v>1300000</v>
      </c>
      <c r="E159" s="20" t="s">
        <v>708</v>
      </c>
      <c r="F159" s="20" t="s">
        <v>709</v>
      </c>
      <c r="G159" s="8" t="str">
        <f t="shared" si="4"/>
        <v>LEVIN SCOTT</v>
      </c>
      <c r="H159" s="20" t="str">
        <f t="shared" si="5"/>
        <v>4031</v>
      </c>
    </row>
    <row r="160" spans="1:8" x14ac:dyDescent="0.25">
      <c r="A160" s="8">
        <v>42990.673773148148</v>
      </c>
      <c r="B160" s="20" t="s">
        <v>640</v>
      </c>
      <c r="C160" s="20" t="s">
        <v>754</v>
      </c>
      <c r="D160" s="138">
        <v>2230000</v>
      </c>
      <c r="E160" s="20" t="s">
        <v>461</v>
      </c>
      <c r="F160" s="20" t="s">
        <v>191</v>
      </c>
      <c r="G160" s="8" t="str">
        <f t="shared" si="4"/>
        <v>SMITH MICHAEL</v>
      </c>
      <c r="H160" s="20" t="str">
        <f t="shared" si="5"/>
        <v>4034</v>
      </c>
    </row>
    <row r="161" spans="1:8" x14ac:dyDescent="0.25">
      <c r="A161" s="8">
        <v>42990.675752314812</v>
      </c>
      <c r="B161" s="20" t="s">
        <v>507</v>
      </c>
      <c r="C161" s="20" t="s">
        <v>602</v>
      </c>
      <c r="D161" s="138">
        <v>1810000</v>
      </c>
      <c r="E161" s="20" t="s">
        <v>697</v>
      </c>
      <c r="F161" s="20" t="s">
        <v>386</v>
      </c>
      <c r="G161" s="8" t="str">
        <f t="shared" si="4"/>
        <v>NEWELL JAMES</v>
      </c>
      <c r="H161" s="20" t="str">
        <f t="shared" si="5"/>
        <v>4066</v>
      </c>
    </row>
    <row r="162" spans="1:8" x14ac:dyDescent="0.25">
      <c r="A162" s="8">
        <v>42990.679270833331</v>
      </c>
      <c r="B162" s="20" t="s">
        <v>400</v>
      </c>
      <c r="C162" s="20" t="s">
        <v>755</v>
      </c>
      <c r="D162" s="138">
        <v>1180000</v>
      </c>
      <c r="E162" s="20" t="s">
        <v>390</v>
      </c>
      <c r="F162" s="20" t="s">
        <v>391</v>
      </c>
      <c r="G162" s="8" t="str">
        <f t="shared" si="4"/>
        <v>LEVERE CRAIG</v>
      </c>
      <c r="H162" s="20" t="str">
        <f t="shared" si="5"/>
        <v>4061</v>
      </c>
    </row>
    <row r="163" spans="1:8" x14ac:dyDescent="0.25">
      <c r="A163" s="8">
        <v>42990.68414351852</v>
      </c>
      <c r="B163" s="20" t="s">
        <v>521</v>
      </c>
      <c r="C163" s="20" t="s">
        <v>756</v>
      </c>
      <c r="D163" s="138">
        <v>1770000</v>
      </c>
      <c r="E163" s="20" t="s">
        <v>699</v>
      </c>
      <c r="F163" s="20" t="s">
        <v>700</v>
      </c>
      <c r="G163" s="8" t="str">
        <f t="shared" si="4"/>
        <v>BRUDER RICHARD</v>
      </c>
      <c r="H163" s="20" t="str">
        <f t="shared" si="5"/>
        <v>4058</v>
      </c>
    </row>
    <row r="164" spans="1:8" x14ac:dyDescent="0.25">
      <c r="A164" s="8">
        <v>42990.685185185182</v>
      </c>
      <c r="B164" s="20" t="s">
        <v>588</v>
      </c>
      <c r="C164" s="20" t="s">
        <v>757</v>
      </c>
      <c r="D164" s="138">
        <v>3130000</v>
      </c>
      <c r="E164" s="20" t="s">
        <v>751</v>
      </c>
      <c r="F164" s="20" t="s">
        <v>752</v>
      </c>
      <c r="G164" s="8" t="str">
        <f t="shared" si="4"/>
        <v>ZEWDU DEREJE</v>
      </c>
      <c r="H164" s="20" t="str">
        <f t="shared" si="5"/>
        <v>4063</v>
      </c>
    </row>
    <row r="165" spans="1:8" x14ac:dyDescent="0.25">
      <c r="A165" s="8">
        <v>42990.686678240738</v>
      </c>
      <c r="B165" s="20" t="s">
        <v>626</v>
      </c>
      <c r="C165" s="20" t="s">
        <v>758</v>
      </c>
      <c r="D165" s="138">
        <v>2630000</v>
      </c>
      <c r="E165" s="20" t="s">
        <v>459</v>
      </c>
      <c r="F165" s="20" t="s">
        <v>460</v>
      </c>
      <c r="G165" s="8" t="str">
        <f t="shared" si="4"/>
        <v>SAFIEF AEIMEN</v>
      </c>
      <c r="H165" s="20" t="str">
        <f t="shared" si="5"/>
        <v>4011</v>
      </c>
    </row>
    <row r="166" spans="1:8" x14ac:dyDescent="0.25">
      <c r="A166" s="8">
        <v>42990.690289351849</v>
      </c>
      <c r="B166" s="20" t="s">
        <v>454</v>
      </c>
      <c r="C166" s="20" t="s">
        <v>759</v>
      </c>
      <c r="D166" s="138">
        <v>2000000</v>
      </c>
      <c r="E166" s="20" t="s">
        <v>488</v>
      </c>
      <c r="F166" s="20" t="s">
        <v>386</v>
      </c>
      <c r="G166" s="8" t="str">
        <f t="shared" si="4"/>
        <v>STAMBAUGH JAMES</v>
      </c>
      <c r="H166" s="20" t="str">
        <f t="shared" si="5"/>
        <v>4006</v>
      </c>
    </row>
    <row r="167" spans="1:8" x14ac:dyDescent="0.25">
      <c r="A167" s="8">
        <v>42990.692800925928</v>
      </c>
      <c r="B167" s="20" t="s">
        <v>508</v>
      </c>
      <c r="C167" s="20" t="s">
        <v>602</v>
      </c>
      <c r="D167" s="138">
        <v>1810000</v>
      </c>
      <c r="E167" s="20" t="s">
        <v>697</v>
      </c>
      <c r="F167" s="20" t="s">
        <v>386</v>
      </c>
      <c r="G167" s="8" t="str">
        <f t="shared" si="4"/>
        <v>NEWELL JAMES</v>
      </c>
      <c r="H167" s="20" t="str">
        <f t="shared" si="5"/>
        <v>4065</v>
      </c>
    </row>
    <row r="168" spans="1:8" x14ac:dyDescent="0.25">
      <c r="A168" s="8">
        <v>42990.694849537038</v>
      </c>
      <c r="B168" s="20" t="s">
        <v>380</v>
      </c>
      <c r="C168" s="20" t="s">
        <v>760</v>
      </c>
      <c r="D168" s="138">
        <v>2040000</v>
      </c>
      <c r="E168" s="20" t="s">
        <v>703</v>
      </c>
      <c r="F168" s="20" t="s">
        <v>704</v>
      </c>
      <c r="G168" s="8" t="str">
        <f t="shared" si="4"/>
        <v>MOSES BRADLEY</v>
      </c>
      <c r="H168" s="20" t="str">
        <f t="shared" si="5"/>
        <v>4030</v>
      </c>
    </row>
    <row r="169" spans="1:8" x14ac:dyDescent="0.25">
      <c r="A169" s="8">
        <v>42990.704317129632</v>
      </c>
      <c r="B169" s="20" t="s">
        <v>605</v>
      </c>
      <c r="C169" s="20" t="s">
        <v>606</v>
      </c>
      <c r="D169" s="138">
        <v>920000</v>
      </c>
      <c r="E169" s="20" t="s">
        <v>345</v>
      </c>
      <c r="F169" s="20" t="s">
        <v>191</v>
      </c>
      <c r="G169" s="8" t="str">
        <f t="shared" si="4"/>
        <v>DAVIS MICHAEL</v>
      </c>
      <c r="H169" s="20" t="str">
        <f t="shared" si="5"/>
        <v>4001</v>
      </c>
    </row>
    <row r="170" spans="1:8" x14ac:dyDescent="0.25">
      <c r="A170" s="8">
        <v>42990.705254629633</v>
      </c>
      <c r="B170" s="20" t="s">
        <v>392</v>
      </c>
      <c r="C170" s="20" t="s">
        <v>761</v>
      </c>
      <c r="D170" s="138">
        <v>1300000</v>
      </c>
      <c r="E170" s="20" t="s">
        <v>708</v>
      </c>
      <c r="F170" s="20" t="s">
        <v>709</v>
      </c>
      <c r="G170" s="8" t="str">
        <f t="shared" si="4"/>
        <v>LEVIN SCOTT</v>
      </c>
      <c r="H170" s="20" t="str">
        <f t="shared" si="5"/>
        <v>4032</v>
      </c>
    </row>
    <row r="171" spans="1:8" x14ac:dyDescent="0.25">
      <c r="A171" s="8">
        <v>42990.706516203703</v>
      </c>
      <c r="B171" s="20" t="s">
        <v>603</v>
      </c>
      <c r="C171" s="20" t="s">
        <v>604</v>
      </c>
      <c r="D171" s="138">
        <v>2000000</v>
      </c>
      <c r="E171" s="20" t="s">
        <v>488</v>
      </c>
      <c r="F171" s="20" t="s">
        <v>386</v>
      </c>
      <c r="G171" s="8" t="str">
        <f t="shared" si="4"/>
        <v>STAMBAUGH JAMES</v>
      </c>
      <c r="H171" s="20" t="str">
        <f t="shared" si="5"/>
        <v>4005</v>
      </c>
    </row>
    <row r="172" spans="1:8" x14ac:dyDescent="0.25">
      <c r="A172" s="8">
        <v>42990.707835648151</v>
      </c>
      <c r="B172" s="20" t="s">
        <v>577</v>
      </c>
      <c r="C172" s="20" t="s">
        <v>595</v>
      </c>
      <c r="D172" s="138">
        <v>1810000</v>
      </c>
      <c r="E172" s="20" t="s">
        <v>697</v>
      </c>
      <c r="F172" s="20" t="s">
        <v>386</v>
      </c>
      <c r="G172" s="8" t="str">
        <f t="shared" si="4"/>
        <v>NEWELL JAMES</v>
      </c>
      <c r="H172" s="20" t="str">
        <f t="shared" si="5"/>
        <v>4064</v>
      </c>
    </row>
    <row r="173" spans="1:8" x14ac:dyDescent="0.25">
      <c r="A173" s="8">
        <v>42990.708773148152</v>
      </c>
      <c r="B173" s="20" t="s">
        <v>577</v>
      </c>
      <c r="C173" s="20" t="s">
        <v>595</v>
      </c>
      <c r="D173" s="138">
        <v>1810000</v>
      </c>
      <c r="E173" s="20" t="s">
        <v>697</v>
      </c>
      <c r="F173" s="20" t="s">
        <v>386</v>
      </c>
      <c r="G173" s="8" t="str">
        <f t="shared" si="4"/>
        <v>NEWELL JAMES</v>
      </c>
      <c r="H173" s="20" t="str">
        <f t="shared" si="5"/>
        <v>4064</v>
      </c>
    </row>
    <row r="174" spans="1:8" x14ac:dyDescent="0.25">
      <c r="A174" s="8">
        <v>42990.709699074076</v>
      </c>
      <c r="B174" s="20" t="s">
        <v>507</v>
      </c>
      <c r="C174" s="20" t="s">
        <v>762</v>
      </c>
      <c r="D174" s="138">
        <v>2970000</v>
      </c>
      <c r="E174" s="20" t="s">
        <v>471</v>
      </c>
      <c r="F174" s="20" t="s">
        <v>472</v>
      </c>
      <c r="G174" s="8" t="str">
        <f t="shared" si="4"/>
        <v>GUZMAN DANNY</v>
      </c>
      <c r="H174" s="20" t="str">
        <f t="shared" si="5"/>
        <v>4066</v>
      </c>
    </row>
    <row r="175" spans="1:8" x14ac:dyDescent="0.25">
      <c r="A175" s="8">
        <v>42990.710486111115</v>
      </c>
      <c r="B175" s="20" t="s">
        <v>507</v>
      </c>
      <c r="C175" s="20" t="s">
        <v>762</v>
      </c>
      <c r="D175" s="138">
        <v>2970000</v>
      </c>
      <c r="E175" s="20" t="s">
        <v>471</v>
      </c>
      <c r="F175" s="20" t="s">
        <v>472</v>
      </c>
      <c r="G175" s="8" t="str">
        <f t="shared" si="4"/>
        <v>GUZMAN DANNY</v>
      </c>
      <c r="H175" s="20" t="str">
        <f t="shared" si="5"/>
        <v>4066</v>
      </c>
    </row>
    <row r="176" spans="1:8" x14ac:dyDescent="0.25">
      <c r="A176" s="8">
        <v>42990.711539351854</v>
      </c>
      <c r="B176" s="20" t="s">
        <v>507</v>
      </c>
      <c r="C176" s="20" t="s">
        <v>762</v>
      </c>
      <c r="D176" s="138">
        <v>2970000</v>
      </c>
      <c r="E176" s="20" t="s">
        <v>471</v>
      </c>
      <c r="F176" s="20" t="s">
        <v>472</v>
      </c>
      <c r="G176" s="8" t="str">
        <f t="shared" si="4"/>
        <v>GUZMAN DANNY</v>
      </c>
      <c r="H176" s="20" t="str">
        <f t="shared" si="5"/>
        <v>4066</v>
      </c>
    </row>
    <row r="177" spans="1:8" x14ac:dyDescent="0.25">
      <c r="A177" s="8">
        <v>42990.71234953704</v>
      </c>
      <c r="B177" s="20" t="s">
        <v>579</v>
      </c>
      <c r="C177" s="20" t="s">
        <v>763</v>
      </c>
      <c r="D177" s="138">
        <v>2230000</v>
      </c>
      <c r="E177" s="20" t="s">
        <v>461</v>
      </c>
      <c r="F177" s="20" t="s">
        <v>191</v>
      </c>
      <c r="G177" s="8" t="str">
        <f t="shared" si="4"/>
        <v>SMITH MICHAEL</v>
      </c>
      <c r="H177" s="20" t="str">
        <f t="shared" si="5"/>
        <v>4033</v>
      </c>
    </row>
    <row r="178" spans="1:8" x14ac:dyDescent="0.25">
      <c r="A178" s="8">
        <v>42990.715289351851</v>
      </c>
      <c r="B178" s="20" t="s">
        <v>418</v>
      </c>
      <c r="C178" s="20" t="s">
        <v>764</v>
      </c>
      <c r="D178" s="138">
        <v>1180000</v>
      </c>
      <c r="E178" s="20" t="s">
        <v>390</v>
      </c>
      <c r="F178" s="20" t="s">
        <v>391</v>
      </c>
      <c r="G178" s="8" t="str">
        <f t="shared" si="4"/>
        <v>LEVERE CRAIG</v>
      </c>
      <c r="H178" s="20" t="str">
        <f t="shared" si="5"/>
        <v>4062</v>
      </c>
    </row>
    <row r="179" spans="1:8" x14ac:dyDescent="0.25">
      <c r="A179" s="8">
        <v>42990.724814814814</v>
      </c>
      <c r="B179" s="20" t="s">
        <v>585</v>
      </c>
      <c r="C179" s="20" t="s">
        <v>765</v>
      </c>
      <c r="D179" s="138">
        <v>1770000</v>
      </c>
      <c r="E179" s="20" t="s">
        <v>699</v>
      </c>
      <c r="F179" s="20" t="s">
        <v>700</v>
      </c>
      <c r="G179" s="8" t="str">
        <f t="shared" si="4"/>
        <v>BRUDER RICHARD</v>
      </c>
      <c r="H179" s="20" t="str">
        <f t="shared" si="5"/>
        <v>4057</v>
      </c>
    </row>
    <row r="180" spans="1:8" x14ac:dyDescent="0.25">
      <c r="A180" s="8">
        <v>42990.726030092592</v>
      </c>
      <c r="B180" s="20" t="s">
        <v>483</v>
      </c>
      <c r="C180" s="20" t="s">
        <v>766</v>
      </c>
      <c r="D180" s="138">
        <v>2450000</v>
      </c>
      <c r="E180" s="20" t="s">
        <v>767</v>
      </c>
      <c r="F180" s="20" t="s">
        <v>768</v>
      </c>
      <c r="G180" s="8" t="str">
        <f t="shared" si="4"/>
        <v>NELSON ARIANE</v>
      </c>
      <c r="H180" s="20" t="str">
        <f t="shared" si="5"/>
        <v>4056</v>
      </c>
    </row>
    <row r="181" spans="1:8" x14ac:dyDescent="0.25">
      <c r="A181" s="8">
        <v>42990.727106481485</v>
      </c>
      <c r="B181" s="20" t="s">
        <v>635</v>
      </c>
      <c r="C181" s="20" t="s">
        <v>769</v>
      </c>
      <c r="D181" s="138">
        <v>2630000</v>
      </c>
      <c r="E181" s="20" t="s">
        <v>459</v>
      </c>
      <c r="F181" s="20" t="s">
        <v>460</v>
      </c>
      <c r="G181" s="8" t="str">
        <f t="shared" si="4"/>
        <v>SAFIEF AEIMEN</v>
      </c>
      <c r="H181" s="20" t="str">
        <f t="shared" si="5"/>
        <v>4012</v>
      </c>
    </row>
    <row r="182" spans="1:8" x14ac:dyDescent="0.25">
      <c r="A182" s="8">
        <v>42990.727384259262</v>
      </c>
      <c r="B182" s="20" t="s">
        <v>508</v>
      </c>
      <c r="C182" s="20" t="s">
        <v>770</v>
      </c>
      <c r="D182" s="138">
        <v>2970000</v>
      </c>
      <c r="E182" s="20" t="s">
        <v>471</v>
      </c>
      <c r="F182" s="20" t="s">
        <v>472</v>
      </c>
      <c r="G182" s="8" t="str">
        <f t="shared" si="4"/>
        <v>GUZMAN DANNY</v>
      </c>
      <c r="H182" s="20" t="str">
        <f t="shared" si="5"/>
        <v>4065</v>
      </c>
    </row>
    <row r="183" spans="1:8" x14ac:dyDescent="0.25">
      <c r="A183" s="8">
        <v>42990.73364583333</v>
      </c>
      <c r="B183" s="20" t="s">
        <v>453</v>
      </c>
      <c r="C183" s="20" t="s">
        <v>607</v>
      </c>
      <c r="D183" s="138">
        <v>2040000</v>
      </c>
      <c r="E183" s="20" t="s">
        <v>703</v>
      </c>
      <c r="F183" s="20" t="s">
        <v>704</v>
      </c>
      <c r="G183" s="8" t="str">
        <f t="shared" si="4"/>
        <v>MOSES BRADLEY</v>
      </c>
      <c r="H183" s="20" t="str">
        <f t="shared" si="5"/>
        <v>4029</v>
      </c>
    </row>
    <row r="184" spans="1:8" x14ac:dyDescent="0.25">
      <c r="A184" s="8">
        <v>42990.734444444446</v>
      </c>
      <c r="B184" s="20" t="s">
        <v>454</v>
      </c>
      <c r="C184" s="20" t="s">
        <v>771</v>
      </c>
      <c r="D184" s="138">
        <v>2000000</v>
      </c>
      <c r="E184" s="20" t="s">
        <v>488</v>
      </c>
      <c r="F184" s="20" t="s">
        <v>386</v>
      </c>
      <c r="G184" s="8" t="str">
        <f t="shared" si="4"/>
        <v>STAMBAUGH JAMES</v>
      </c>
      <c r="H184" s="20" t="str">
        <f t="shared" si="5"/>
        <v>4006</v>
      </c>
    </row>
    <row r="185" spans="1:8" x14ac:dyDescent="0.25">
      <c r="A185" s="8">
        <v>42990.737835648149</v>
      </c>
      <c r="B185" s="20" t="s">
        <v>452</v>
      </c>
      <c r="C185" s="20" t="s">
        <v>772</v>
      </c>
      <c r="D185" s="138">
        <v>890000</v>
      </c>
      <c r="E185" s="20" t="s">
        <v>375</v>
      </c>
      <c r="F185" s="20" t="s">
        <v>376</v>
      </c>
      <c r="G185" s="8" t="str">
        <f t="shared" si="4"/>
        <v>LOZA FIDEL</v>
      </c>
      <c r="H185" s="20" t="str">
        <f t="shared" si="5"/>
        <v>4002</v>
      </c>
    </row>
    <row r="186" spans="1:8" x14ac:dyDescent="0.25">
      <c r="A186" s="8">
        <v>42990.739120370374</v>
      </c>
      <c r="B186" s="20" t="s">
        <v>412</v>
      </c>
      <c r="C186" s="20" t="s">
        <v>773</v>
      </c>
      <c r="D186" s="138">
        <v>1300000</v>
      </c>
      <c r="E186" s="20" t="s">
        <v>708</v>
      </c>
      <c r="F186" s="20" t="s">
        <v>709</v>
      </c>
      <c r="G186" s="8" t="str">
        <f t="shared" si="4"/>
        <v>LEVIN SCOTT</v>
      </c>
      <c r="H186" s="20" t="str">
        <f t="shared" si="5"/>
        <v>4031</v>
      </c>
    </row>
    <row r="187" spans="1:8" x14ac:dyDescent="0.25">
      <c r="A187" s="8">
        <v>42990.739976851852</v>
      </c>
      <c r="B187" s="20" t="s">
        <v>469</v>
      </c>
      <c r="C187" s="20" t="s">
        <v>774</v>
      </c>
      <c r="D187" s="138">
        <v>3220000</v>
      </c>
      <c r="E187" s="20" t="s">
        <v>383</v>
      </c>
      <c r="F187" s="20" t="s">
        <v>384</v>
      </c>
      <c r="G187" s="8" t="str">
        <f t="shared" si="4"/>
        <v>RESPASS AARON</v>
      </c>
      <c r="H187" s="20" t="str">
        <f t="shared" si="5"/>
        <v>4053</v>
      </c>
    </row>
    <row r="188" spans="1:8" x14ac:dyDescent="0.25">
      <c r="A188" s="8">
        <v>42990.745347222219</v>
      </c>
      <c r="B188" s="20" t="s">
        <v>640</v>
      </c>
      <c r="C188" s="20" t="s">
        <v>775</v>
      </c>
      <c r="D188" s="138">
        <v>2230000</v>
      </c>
      <c r="E188" s="20" t="s">
        <v>461</v>
      </c>
      <c r="F188" s="20" t="s">
        <v>191</v>
      </c>
      <c r="G188" s="8" t="str">
        <f t="shared" si="4"/>
        <v>SMITH MICHAEL</v>
      </c>
      <c r="H188" s="20" t="str">
        <f t="shared" si="5"/>
        <v>4034</v>
      </c>
    </row>
    <row r="189" spans="1:8" x14ac:dyDescent="0.25">
      <c r="A189" s="8">
        <v>42990.747731481482</v>
      </c>
      <c r="B189" s="20" t="s">
        <v>603</v>
      </c>
      <c r="C189" s="20" t="s">
        <v>776</v>
      </c>
      <c r="D189" s="138">
        <v>2000000</v>
      </c>
      <c r="E189" s="20" t="s">
        <v>488</v>
      </c>
      <c r="F189" s="20" t="s">
        <v>386</v>
      </c>
      <c r="G189" s="8" t="str">
        <f t="shared" si="4"/>
        <v>STAMBAUGH JAMES</v>
      </c>
      <c r="H189" s="20" t="str">
        <f t="shared" si="5"/>
        <v>4005</v>
      </c>
    </row>
    <row r="190" spans="1:8" x14ac:dyDescent="0.25">
      <c r="A190" s="8">
        <v>42990.748854166668</v>
      </c>
      <c r="B190" s="20" t="s">
        <v>507</v>
      </c>
      <c r="C190" s="20" t="s">
        <v>777</v>
      </c>
      <c r="D190" s="138">
        <v>2970000</v>
      </c>
      <c r="E190" s="20" t="s">
        <v>471</v>
      </c>
      <c r="F190" s="20" t="s">
        <v>472</v>
      </c>
      <c r="G190" s="8" t="str">
        <f t="shared" si="4"/>
        <v>GUZMAN DANNY</v>
      </c>
      <c r="H190" s="20" t="str">
        <f t="shared" si="5"/>
        <v>4066</v>
      </c>
    </row>
    <row r="191" spans="1:8" x14ac:dyDescent="0.25">
      <c r="A191" s="8">
        <v>42990.754814814813</v>
      </c>
      <c r="B191" s="20" t="s">
        <v>521</v>
      </c>
      <c r="C191" s="20" t="s">
        <v>778</v>
      </c>
      <c r="D191" s="138">
        <v>3130000</v>
      </c>
      <c r="E191" s="20" t="s">
        <v>751</v>
      </c>
      <c r="F191" s="20" t="s">
        <v>752</v>
      </c>
      <c r="G191" s="8" t="str">
        <f t="shared" si="4"/>
        <v>ZEWDU DEREJE</v>
      </c>
      <c r="H191" s="20" t="str">
        <f t="shared" si="5"/>
        <v>4058</v>
      </c>
    </row>
    <row r="192" spans="1:8" x14ac:dyDescent="0.25">
      <c r="A192" s="8">
        <v>42990.754965277774</v>
      </c>
      <c r="B192" s="20" t="s">
        <v>400</v>
      </c>
      <c r="C192" s="20" t="s">
        <v>779</v>
      </c>
      <c r="D192" s="138">
        <v>1180000</v>
      </c>
      <c r="E192" s="20" t="s">
        <v>390</v>
      </c>
      <c r="F192" s="20" t="s">
        <v>391</v>
      </c>
      <c r="G192" s="8" t="str">
        <f t="shared" si="4"/>
        <v>LEVERE CRAIG</v>
      </c>
      <c r="H192" s="20" t="str">
        <f t="shared" si="5"/>
        <v>4061</v>
      </c>
    </row>
    <row r="193" spans="1:8" x14ac:dyDescent="0.25">
      <c r="A193" s="8">
        <v>42990.763449074075</v>
      </c>
      <c r="B193" s="20" t="s">
        <v>626</v>
      </c>
      <c r="C193" s="20" t="s">
        <v>780</v>
      </c>
      <c r="D193" s="138">
        <v>2630000</v>
      </c>
      <c r="E193" s="20" t="s">
        <v>459</v>
      </c>
      <c r="F193" s="20" t="s">
        <v>460</v>
      </c>
      <c r="G193" s="8" t="str">
        <f t="shared" si="4"/>
        <v>SAFIEF AEIMEN</v>
      </c>
      <c r="H193" s="20" t="str">
        <f t="shared" si="5"/>
        <v>4011</v>
      </c>
    </row>
    <row r="194" spans="1:8" x14ac:dyDescent="0.25">
      <c r="A194" s="8">
        <v>42990.766481481478</v>
      </c>
      <c r="B194" s="20" t="s">
        <v>380</v>
      </c>
      <c r="C194" s="20" t="s">
        <v>781</v>
      </c>
      <c r="D194" s="138">
        <v>3190000</v>
      </c>
      <c r="E194" s="20" t="s">
        <v>406</v>
      </c>
      <c r="F194" s="20" t="s">
        <v>407</v>
      </c>
      <c r="G194" s="8" t="str">
        <f t="shared" si="4"/>
        <v>HART KEVIN</v>
      </c>
      <c r="H194" s="20" t="str">
        <f t="shared" si="5"/>
        <v>4030</v>
      </c>
    </row>
    <row r="195" spans="1:8" x14ac:dyDescent="0.25">
      <c r="A195" s="8">
        <v>42990.770046296297</v>
      </c>
      <c r="B195" s="20" t="s">
        <v>508</v>
      </c>
      <c r="C195" s="20" t="s">
        <v>777</v>
      </c>
      <c r="D195" s="138">
        <v>2970000</v>
      </c>
      <c r="E195" s="20" t="s">
        <v>471</v>
      </c>
      <c r="F195" s="20" t="s">
        <v>472</v>
      </c>
      <c r="G195" s="8" t="str">
        <f t="shared" ref="G195:G258" si="6">E195&amp;" "&amp;F195</f>
        <v>GUZMAN DANNY</v>
      </c>
      <c r="H195" s="20" t="str">
        <f t="shared" ref="H195:H258" si="7">MID(B195,13,4)</f>
        <v>4065</v>
      </c>
    </row>
    <row r="196" spans="1:8" x14ac:dyDescent="0.25">
      <c r="A196" s="8">
        <v>42990.773368055554</v>
      </c>
      <c r="B196" s="20" t="s">
        <v>508</v>
      </c>
      <c r="C196" s="20" t="s">
        <v>782</v>
      </c>
      <c r="D196" s="138">
        <v>2970000</v>
      </c>
      <c r="E196" s="20" t="s">
        <v>471</v>
      </c>
      <c r="F196" s="20" t="s">
        <v>472</v>
      </c>
      <c r="G196" s="8" t="str">
        <f t="shared" si="6"/>
        <v>GUZMAN DANNY</v>
      </c>
      <c r="H196" s="20" t="str">
        <f t="shared" si="7"/>
        <v>4065</v>
      </c>
    </row>
    <row r="197" spans="1:8" x14ac:dyDescent="0.25">
      <c r="A197" s="8">
        <v>42990.774467592593</v>
      </c>
      <c r="B197" s="20" t="s">
        <v>454</v>
      </c>
      <c r="C197" s="20" t="s">
        <v>783</v>
      </c>
      <c r="D197" s="138">
        <v>2000000</v>
      </c>
      <c r="E197" s="20" t="s">
        <v>488</v>
      </c>
      <c r="F197" s="20" t="s">
        <v>386</v>
      </c>
      <c r="G197" s="8" t="str">
        <f t="shared" si="6"/>
        <v>STAMBAUGH JAMES</v>
      </c>
      <c r="H197" s="20" t="str">
        <f t="shared" si="7"/>
        <v>4006</v>
      </c>
    </row>
    <row r="198" spans="1:8" x14ac:dyDescent="0.25">
      <c r="A198" s="8">
        <v>42990.775601851848</v>
      </c>
      <c r="B198" s="20" t="s">
        <v>392</v>
      </c>
      <c r="C198" s="20" t="s">
        <v>784</v>
      </c>
      <c r="D198" s="138">
        <v>1300000</v>
      </c>
      <c r="E198" s="20" t="s">
        <v>708</v>
      </c>
      <c r="F198" s="20" t="s">
        <v>709</v>
      </c>
      <c r="G198" s="8" t="str">
        <f t="shared" si="6"/>
        <v>LEVIN SCOTT</v>
      </c>
      <c r="H198" s="20" t="str">
        <f t="shared" si="7"/>
        <v>4032</v>
      </c>
    </row>
    <row r="199" spans="1:8" x14ac:dyDescent="0.25">
      <c r="A199" s="8">
        <v>42990.777754629627</v>
      </c>
      <c r="B199" s="20" t="s">
        <v>605</v>
      </c>
      <c r="C199" s="20" t="s">
        <v>785</v>
      </c>
      <c r="D199" s="138">
        <v>890000</v>
      </c>
      <c r="E199" s="20" t="s">
        <v>375</v>
      </c>
      <c r="F199" s="20" t="s">
        <v>376</v>
      </c>
      <c r="G199" s="8" t="str">
        <f t="shared" si="6"/>
        <v>LOZA FIDEL</v>
      </c>
      <c r="H199" s="20" t="str">
        <f t="shared" si="7"/>
        <v>4001</v>
      </c>
    </row>
    <row r="200" spans="1:8" x14ac:dyDescent="0.25">
      <c r="A200" s="8">
        <v>42990.784791666665</v>
      </c>
      <c r="B200" s="20" t="s">
        <v>579</v>
      </c>
      <c r="C200" s="20" t="s">
        <v>786</v>
      </c>
      <c r="D200" s="138">
        <v>2230000</v>
      </c>
      <c r="E200" s="20" t="s">
        <v>461</v>
      </c>
      <c r="F200" s="20" t="s">
        <v>191</v>
      </c>
      <c r="G200" s="8" t="str">
        <f t="shared" si="6"/>
        <v>SMITH MICHAEL</v>
      </c>
      <c r="H200" s="20" t="str">
        <f t="shared" si="7"/>
        <v>4033</v>
      </c>
    </row>
    <row r="201" spans="1:8" x14ac:dyDescent="0.25">
      <c r="A201" s="8">
        <v>42990.788657407407</v>
      </c>
      <c r="B201" s="20" t="s">
        <v>603</v>
      </c>
      <c r="C201" s="20" t="s">
        <v>608</v>
      </c>
      <c r="D201" s="138">
        <v>2000000</v>
      </c>
      <c r="E201" s="20" t="s">
        <v>488</v>
      </c>
      <c r="F201" s="20" t="s">
        <v>386</v>
      </c>
      <c r="G201" s="8" t="str">
        <f t="shared" si="6"/>
        <v>STAMBAUGH JAMES</v>
      </c>
      <c r="H201" s="20" t="str">
        <f t="shared" si="7"/>
        <v>4005</v>
      </c>
    </row>
    <row r="202" spans="1:8" x14ac:dyDescent="0.25">
      <c r="A202" s="26">
        <v>42990.790231481478</v>
      </c>
      <c r="B202" s="20" t="s">
        <v>507</v>
      </c>
      <c r="C202" s="20" t="s">
        <v>787</v>
      </c>
      <c r="D202" s="138">
        <v>2970000</v>
      </c>
      <c r="E202" s="20" t="s">
        <v>471</v>
      </c>
      <c r="F202" s="20" t="s">
        <v>472</v>
      </c>
      <c r="G202" s="8" t="str">
        <f t="shared" si="6"/>
        <v>GUZMAN DANNY</v>
      </c>
      <c r="H202" s="20" t="str">
        <f t="shared" si="7"/>
        <v>4066</v>
      </c>
    </row>
    <row r="203" spans="1:8" x14ac:dyDescent="0.25">
      <c r="A203" s="8">
        <v>42990.79105324074</v>
      </c>
      <c r="B203" s="20" t="s">
        <v>418</v>
      </c>
      <c r="C203" s="20" t="s">
        <v>788</v>
      </c>
      <c r="D203" s="138">
        <v>2680000</v>
      </c>
      <c r="E203" s="20" t="s">
        <v>398</v>
      </c>
      <c r="F203" s="20" t="s">
        <v>399</v>
      </c>
      <c r="G203" s="8" t="str">
        <f t="shared" si="6"/>
        <v>DUNCAN SHEILA</v>
      </c>
      <c r="H203" s="20" t="str">
        <f t="shared" si="7"/>
        <v>4062</v>
      </c>
    </row>
    <row r="204" spans="1:8" x14ac:dyDescent="0.25">
      <c r="A204" s="8">
        <v>42990.796157407407</v>
      </c>
      <c r="B204" s="20" t="s">
        <v>585</v>
      </c>
      <c r="C204" s="20" t="s">
        <v>789</v>
      </c>
      <c r="D204" s="138">
        <v>3130000</v>
      </c>
      <c r="E204" s="20" t="s">
        <v>751</v>
      </c>
      <c r="F204" s="20" t="s">
        <v>752</v>
      </c>
      <c r="G204" s="8" t="str">
        <f t="shared" si="6"/>
        <v>ZEWDU DEREJE</v>
      </c>
      <c r="H204" s="20" t="str">
        <f t="shared" si="7"/>
        <v>4057</v>
      </c>
    </row>
    <row r="205" spans="1:8" x14ac:dyDescent="0.25">
      <c r="A205" s="8">
        <v>42990.798506944448</v>
      </c>
      <c r="B205" s="20" t="s">
        <v>635</v>
      </c>
      <c r="C205" s="20" t="s">
        <v>790</v>
      </c>
      <c r="D205" s="138">
        <v>2630000</v>
      </c>
      <c r="E205" s="20" t="s">
        <v>459</v>
      </c>
      <c r="F205" s="20" t="s">
        <v>460</v>
      </c>
      <c r="G205" s="8" t="str">
        <f t="shared" si="6"/>
        <v>SAFIEF AEIMEN</v>
      </c>
      <c r="H205" s="20" t="str">
        <f t="shared" si="7"/>
        <v>4012</v>
      </c>
    </row>
    <row r="206" spans="1:8" x14ac:dyDescent="0.25">
      <c r="A206" s="8">
        <v>42990.807118055556</v>
      </c>
      <c r="B206" s="20" t="s">
        <v>453</v>
      </c>
      <c r="C206" s="20" t="s">
        <v>791</v>
      </c>
      <c r="D206" s="138">
        <v>3190000</v>
      </c>
      <c r="E206" s="20" t="s">
        <v>406</v>
      </c>
      <c r="F206" s="20" t="s">
        <v>407</v>
      </c>
      <c r="G206" s="8" t="str">
        <f t="shared" si="6"/>
        <v>HART KEVIN</v>
      </c>
      <c r="H206" s="20" t="str">
        <f t="shared" si="7"/>
        <v>4029</v>
      </c>
    </row>
    <row r="207" spans="1:8" x14ac:dyDescent="0.25">
      <c r="A207" s="8">
        <v>42990.809340277781</v>
      </c>
      <c r="B207" s="20" t="s">
        <v>508</v>
      </c>
      <c r="C207" s="20" t="s">
        <v>609</v>
      </c>
      <c r="D207" s="138">
        <v>2970000</v>
      </c>
      <c r="E207" s="20" t="s">
        <v>471</v>
      </c>
      <c r="F207" s="20" t="s">
        <v>472</v>
      </c>
      <c r="G207" s="8" t="str">
        <f t="shared" si="6"/>
        <v>GUZMAN DANNY</v>
      </c>
      <c r="H207" s="20" t="str">
        <f t="shared" si="7"/>
        <v>4065</v>
      </c>
    </row>
    <row r="208" spans="1:8" x14ac:dyDescent="0.25">
      <c r="A208" s="8">
        <v>42990.810833333337</v>
      </c>
      <c r="B208" s="20" t="s">
        <v>452</v>
      </c>
      <c r="C208" s="20" t="s">
        <v>792</v>
      </c>
      <c r="D208" s="138">
        <v>890000</v>
      </c>
      <c r="E208" s="20" t="s">
        <v>375</v>
      </c>
      <c r="F208" s="20" t="s">
        <v>376</v>
      </c>
      <c r="G208" s="8" t="str">
        <f t="shared" si="6"/>
        <v>LOZA FIDEL</v>
      </c>
      <c r="H208" s="20" t="str">
        <f t="shared" si="7"/>
        <v>4002</v>
      </c>
    </row>
    <row r="209" spans="1:8" x14ac:dyDescent="0.25">
      <c r="A209" s="8">
        <v>42990.818692129629</v>
      </c>
      <c r="B209" s="20" t="s">
        <v>640</v>
      </c>
      <c r="C209" s="20" t="s">
        <v>793</v>
      </c>
      <c r="D209" s="138">
        <v>2230000</v>
      </c>
      <c r="E209" s="20" t="s">
        <v>461</v>
      </c>
      <c r="F209" s="20" t="s">
        <v>191</v>
      </c>
      <c r="G209" s="8" t="str">
        <f t="shared" si="6"/>
        <v>SMITH MICHAEL</v>
      </c>
      <c r="H209" s="20" t="str">
        <f t="shared" si="7"/>
        <v>4034</v>
      </c>
    </row>
    <row r="210" spans="1:8" x14ac:dyDescent="0.25">
      <c r="A210" s="8">
        <v>42990.8205787037</v>
      </c>
      <c r="B210" s="20" t="s">
        <v>400</v>
      </c>
      <c r="C210" s="20" t="s">
        <v>794</v>
      </c>
      <c r="D210" s="138">
        <v>2680000</v>
      </c>
      <c r="E210" s="20" t="s">
        <v>398</v>
      </c>
      <c r="F210" s="20" t="s">
        <v>399</v>
      </c>
      <c r="G210" s="8" t="str">
        <f t="shared" si="6"/>
        <v>DUNCAN SHEILA</v>
      </c>
      <c r="H210" s="20" t="str">
        <f t="shared" si="7"/>
        <v>4061</v>
      </c>
    </row>
    <row r="211" spans="1:8" x14ac:dyDescent="0.25">
      <c r="A211" s="8">
        <v>42990.829687500001</v>
      </c>
      <c r="B211" s="20" t="s">
        <v>521</v>
      </c>
      <c r="C211" s="20" t="s">
        <v>795</v>
      </c>
      <c r="D211" s="138">
        <v>2620000</v>
      </c>
      <c r="E211" s="20" t="s">
        <v>404</v>
      </c>
      <c r="F211" s="20" t="s">
        <v>405</v>
      </c>
      <c r="G211" s="8" t="str">
        <f t="shared" si="6"/>
        <v>PERKINS DARREN</v>
      </c>
      <c r="H211" s="20" t="str">
        <f t="shared" si="7"/>
        <v>4058</v>
      </c>
    </row>
    <row r="212" spans="1:8" x14ac:dyDescent="0.25">
      <c r="A212" s="8">
        <v>42990.836481481485</v>
      </c>
      <c r="B212" s="20" t="s">
        <v>507</v>
      </c>
      <c r="C212" s="20" t="s">
        <v>796</v>
      </c>
      <c r="D212" s="138">
        <v>2970000</v>
      </c>
      <c r="E212" s="20" t="s">
        <v>471</v>
      </c>
      <c r="F212" s="20" t="s">
        <v>472</v>
      </c>
      <c r="G212" s="8" t="str">
        <f t="shared" si="6"/>
        <v>GUZMAN DANNY</v>
      </c>
      <c r="H212" s="20" t="str">
        <f t="shared" si="7"/>
        <v>4066</v>
      </c>
    </row>
    <row r="213" spans="1:8" x14ac:dyDescent="0.25">
      <c r="A213" s="8">
        <v>42990.847743055558</v>
      </c>
      <c r="B213" s="20" t="s">
        <v>380</v>
      </c>
      <c r="C213" s="20" t="s">
        <v>797</v>
      </c>
      <c r="D213" s="138">
        <v>3310000</v>
      </c>
      <c r="E213" s="20" t="s">
        <v>473</v>
      </c>
      <c r="F213" s="20" t="s">
        <v>474</v>
      </c>
      <c r="G213" s="8" t="str">
        <f t="shared" si="6"/>
        <v>ANDERS STEVEN</v>
      </c>
      <c r="H213" s="20" t="str">
        <f t="shared" si="7"/>
        <v>4030</v>
      </c>
    </row>
    <row r="214" spans="1:8" x14ac:dyDescent="0.25">
      <c r="A214" s="8">
        <v>42990.850462962961</v>
      </c>
      <c r="B214" s="20" t="s">
        <v>605</v>
      </c>
      <c r="C214" s="20" t="s">
        <v>798</v>
      </c>
      <c r="D214" s="138">
        <v>890000</v>
      </c>
      <c r="E214" s="20" t="s">
        <v>375</v>
      </c>
      <c r="F214" s="20" t="s">
        <v>376</v>
      </c>
      <c r="G214" s="8" t="str">
        <f t="shared" si="6"/>
        <v>LOZA FIDEL</v>
      </c>
      <c r="H214" s="20" t="str">
        <f t="shared" si="7"/>
        <v>4001</v>
      </c>
    </row>
    <row r="215" spans="1:8" x14ac:dyDescent="0.25">
      <c r="A215" s="8">
        <v>42990.851203703707</v>
      </c>
      <c r="B215" s="20" t="s">
        <v>508</v>
      </c>
      <c r="C215" s="20" t="s">
        <v>799</v>
      </c>
      <c r="D215" s="138">
        <v>2970000</v>
      </c>
      <c r="E215" s="20" t="s">
        <v>471</v>
      </c>
      <c r="F215" s="20" t="s">
        <v>472</v>
      </c>
      <c r="G215" s="8" t="str">
        <f t="shared" si="6"/>
        <v>GUZMAN DANNY</v>
      </c>
      <c r="H215" s="20" t="str">
        <f t="shared" si="7"/>
        <v>4065</v>
      </c>
    </row>
    <row r="216" spans="1:8" x14ac:dyDescent="0.25">
      <c r="A216" s="8">
        <v>42990.862245370372</v>
      </c>
      <c r="B216" s="20" t="s">
        <v>418</v>
      </c>
      <c r="C216" s="20" t="s">
        <v>800</v>
      </c>
      <c r="D216" s="138">
        <v>3280000</v>
      </c>
      <c r="E216" s="20" t="s">
        <v>801</v>
      </c>
      <c r="F216" s="20" t="s">
        <v>802</v>
      </c>
      <c r="G216" s="8" t="str">
        <f t="shared" si="6"/>
        <v>BIRKHOLZ NADINE</v>
      </c>
      <c r="H216" s="20" t="str">
        <f t="shared" si="7"/>
        <v>4062</v>
      </c>
    </row>
    <row r="217" spans="1:8" x14ac:dyDescent="0.25">
      <c r="A217" s="8">
        <v>42990.863483796296</v>
      </c>
      <c r="B217" s="20" t="s">
        <v>585</v>
      </c>
      <c r="C217" s="20" t="s">
        <v>610</v>
      </c>
      <c r="D217" s="138">
        <v>2620000</v>
      </c>
      <c r="E217" s="20" t="s">
        <v>404</v>
      </c>
      <c r="F217" s="20" t="s">
        <v>405</v>
      </c>
      <c r="G217" s="8" t="str">
        <f t="shared" si="6"/>
        <v>PERKINS DARREN</v>
      </c>
      <c r="H217" s="20" t="str">
        <f t="shared" si="7"/>
        <v>4057</v>
      </c>
    </row>
    <row r="218" spans="1:8" x14ac:dyDescent="0.25">
      <c r="A218" s="8">
        <v>42990.874537037038</v>
      </c>
      <c r="B218" s="20" t="s">
        <v>507</v>
      </c>
      <c r="C218" s="20" t="s">
        <v>803</v>
      </c>
      <c r="D218" s="138">
        <v>2000000</v>
      </c>
      <c r="E218" s="20" t="s">
        <v>488</v>
      </c>
      <c r="F218" s="20" t="s">
        <v>386</v>
      </c>
      <c r="G218" s="8" t="str">
        <f t="shared" si="6"/>
        <v>STAMBAUGH JAMES</v>
      </c>
      <c r="H218" s="20" t="str">
        <f t="shared" si="7"/>
        <v>4066</v>
      </c>
    </row>
    <row r="219" spans="1:8" x14ac:dyDescent="0.25">
      <c r="A219" s="8">
        <v>42990.885393518518</v>
      </c>
      <c r="B219" s="20" t="s">
        <v>452</v>
      </c>
      <c r="C219" s="20" t="s">
        <v>804</v>
      </c>
      <c r="D219" s="138">
        <v>890000</v>
      </c>
      <c r="E219" s="20" t="s">
        <v>375</v>
      </c>
      <c r="F219" s="20" t="s">
        <v>376</v>
      </c>
      <c r="G219" s="8" t="str">
        <f t="shared" si="6"/>
        <v>LOZA FIDEL</v>
      </c>
      <c r="H219" s="20" t="str">
        <f t="shared" si="7"/>
        <v>4002</v>
      </c>
    </row>
    <row r="220" spans="1:8" x14ac:dyDescent="0.25">
      <c r="A220" s="8">
        <v>42990.891377314816</v>
      </c>
      <c r="B220" s="20" t="s">
        <v>453</v>
      </c>
      <c r="C220" s="20" t="s">
        <v>805</v>
      </c>
      <c r="D220" s="138">
        <v>3310000</v>
      </c>
      <c r="E220" s="20" t="s">
        <v>473</v>
      </c>
      <c r="F220" s="20" t="s">
        <v>474</v>
      </c>
      <c r="G220" s="8" t="str">
        <f t="shared" si="6"/>
        <v>ANDERS STEVEN</v>
      </c>
      <c r="H220" s="20" t="str">
        <f t="shared" si="7"/>
        <v>4029</v>
      </c>
    </row>
    <row r="221" spans="1:8" x14ac:dyDescent="0.25">
      <c r="A221" s="8">
        <v>42990.891770833332</v>
      </c>
      <c r="B221" s="20" t="s">
        <v>508</v>
      </c>
      <c r="C221" s="20" t="s">
        <v>806</v>
      </c>
      <c r="D221" s="138">
        <v>2000000</v>
      </c>
      <c r="E221" s="20" t="s">
        <v>488</v>
      </c>
      <c r="F221" s="20" t="s">
        <v>386</v>
      </c>
      <c r="G221" s="8" t="str">
        <f t="shared" si="6"/>
        <v>STAMBAUGH JAMES</v>
      </c>
      <c r="H221" s="20" t="str">
        <f t="shared" si="7"/>
        <v>4065</v>
      </c>
    </row>
    <row r="222" spans="1:8" x14ac:dyDescent="0.25">
      <c r="A222" s="8">
        <v>42990.903275462966</v>
      </c>
      <c r="B222" s="20" t="s">
        <v>400</v>
      </c>
      <c r="C222" s="20" t="s">
        <v>807</v>
      </c>
      <c r="D222" s="138">
        <v>3280000</v>
      </c>
      <c r="E222" s="20" t="s">
        <v>801</v>
      </c>
      <c r="F222" s="20" t="s">
        <v>802</v>
      </c>
      <c r="G222" s="8" t="str">
        <f t="shared" si="6"/>
        <v>BIRKHOLZ NADINE</v>
      </c>
      <c r="H222" s="20" t="str">
        <f t="shared" si="7"/>
        <v>4061</v>
      </c>
    </row>
    <row r="223" spans="1:8" x14ac:dyDescent="0.25">
      <c r="A223" s="8">
        <v>42990.904409722221</v>
      </c>
      <c r="B223" s="20" t="s">
        <v>521</v>
      </c>
      <c r="C223" s="20" t="s">
        <v>808</v>
      </c>
      <c r="D223" s="138">
        <v>2620000</v>
      </c>
      <c r="E223" s="20" t="s">
        <v>404</v>
      </c>
      <c r="F223" s="20" t="s">
        <v>405</v>
      </c>
      <c r="G223" s="8" t="str">
        <f t="shared" si="6"/>
        <v>PERKINS DARREN</v>
      </c>
      <c r="H223" s="20" t="str">
        <f t="shared" si="7"/>
        <v>4058</v>
      </c>
    </row>
    <row r="224" spans="1:8" x14ac:dyDescent="0.25">
      <c r="A224" s="8">
        <v>42990.921365740738</v>
      </c>
      <c r="B224" t="s">
        <v>507</v>
      </c>
      <c r="C224" t="s">
        <v>611</v>
      </c>
      <c r="D224" s="138">
        <v>2000000</v>
      </c>
      <c r="E224" t="s">
        <v>488</v>
      </c>
      <c r="F224" s="20" t="s">
        <v>386</v>
      </c>
      <c r="G224" s="8" t="str">
        <f t="shared" si="6"/>
        <v>STAMBAUGH JAMES</v>
      </c>
      <c r="H224" s="20" t="str">
        <f t="shared" si="7"/>
        <v>4066</v>
      </c>
    </row>
    <row r="225" spans="1:8" x14ac:dyDescent="0.25">
      <c r="A225" s="8">
        <v>42990.93378472222</v>
      </c>
      <c r="B225" t="s">
        <v>508</v>
      </c>
      <c r="C225" t="s">
        <v>809</v>
      </c>
      <c r="D225" s="138">
        <v>2000000</v>
      </c>
      <c r="E225" t="s">
        <v>488</v>
      </c>
      <c r="F225" s="20" t="s">
        <v>386</v>
      </c>
      <c r="G225" s="8" t="str">
        <f t="shared" si="6"/>
        <v>STAMBAUGH JAMES</v>
      </c>
      <c r="H225" s="20" t="str">
        <f t="shared" si="7"/>
        <v>4065</v>
      </c>
    </row>
    <row r="226" spans="1:8" x14ac:dyDescent="0.25">
      <c r="A226" s="8">
        <v>42990.934293981481</v>
      </c>
      <c r="B226" t="s">
        <v>605</v>
      </c>
      <c r="C226" t="s">
        <v>810</v>
      </c>
      <c r="D226" s="138">
        <v>890000</v>
      </c>
      <c r="E226" t="s">
        <v>375</v>
      </c>
      <c r="F226" s="20" t="s">
        <v>376</v>
      </c>
      <c r="G226" s="8" t="str">
        <f t="shared" si="6"/>
        <v>LOZA FIDEL</v>
      </c>
      <c r="H226" s="20" t="str">
        <f t="shared" si="7"/>
        <v>4001</v>
      </c>
    </row>
    <row r="227" spans="1:8" x14ac:dyDescent="0.25">
      <c r="A227" s="8">
        <v>42990.935601851852</v>
      </c>
      <c r="B227" t="s">
        <v>380</v>
      </c>
      <c r="C227" t="s">
        <v>811</v>
      </c>
      <c r="D227" s="138">
        <v>3190000</v>
      </c>
      <c r="E227" t="s">
        <v>406</v>
      </c>
      <c r="F227" s="20" t="s">
        <v>407</v>
      </c>
      <c r="G227" s="8" t="str">
        <f t="shared" si="6"/>
        <v>HART KEVIN</v>
      </c>
      <c r="H227" s="20" t="str">
        <f t="shared" si="7"/>
        <v>4030</v>
      </c>
    </row>
    <row r="228" spans="1:8" x14ac:dyDescent="0.25">
      <c r="A228" s="8">
        <v>42990.94394675926</v>
      </c>
      <c r="B228" t="s">
        <v>418</v>
      </c>
      <c r="C228" t="s">
        <v>812</v>
      </c>
      <c r="D228" s="138">
        <v>2680000</v>
      </c>
      <c r="E228" t="s">
        <v>398</v>
      </c>
      <c r="F228" s="20" t="s">
        <v>399</v>
      </c>
      <c r="G228" s="8" t="str">
        <f t="shared" si="6"/>
        <v>DUNCAN SHEILA</v>
      </c>
      <c r="H228" s="20" t="str">
        <f t="shared" si="7"/>
        <v>4062</v>
      </c>
    </row>
    <row r="229" spans="1:8" x14ac:dyDescent="0.25">
      <c r="A229" s="8">
        <v>42990.944004629629</v>
      </c>
      <c r="B229" t="s">
        <v>585</v>
      </c>
      <c r="C229" t="s">
        <v>813</v>
      </c>
      <c r="D229" s="138">
        <v>2620000</v>
      </c>
      <c r="E229" t="s">
        <v>404</v>
      </c>
      <c r="F229" s="20" t="s">
        <v>405</v>
      </c>
      <c r="G229" s="8" t="str">
        <f t="shared" si="6"/>
        <v>PERKINS DARREN</v>
      </c>
      <c r="H229" s="20" t="str">
        <f t="shared" si="7"/>
        <v>4057</v>
      </c>
    </row>
    <row r="230" spans="1:8" x14ac:dyDescent="0.25">
      <c r="A230" s="8">
        <v>42990.962199074071</v>
      </c>
      <c r="B230" t="s">
        <v>507</v>
      </c>
      <c r="C230" t="s">
        <v>814</v>
      </c>
      <c r="D230" s="138">
        <v>2000000</v>
      </c>
      <c r="E230" t="s">
        <v>488</v>
      </c>
      <c r="F230" s="20" t="s">
        <v>386</v>
      </c>
      <c r="G230" s="8" t="str">
        <f t="shared" si="6"/>
        <v>STAMBAUGH JAMES</v>
      </c>
      <c r="H230" s="20" t="str">
        <f t="shared" si="7"/>
        <v>4066</v>
      </c>
    </row>
    <row r="231" spans="1:8" x14ac:dyDescent="0.25">
      <c r="A231" s="8">
        <v>42990.974444444444</v>
      </c>
      <c r="B231" t="s">
        <v>453</v>
      </c>
      <c r="C231" t="s">
        <v>815</v>
      </c>
      <c r="D231" s="138">
        <v>3190000</v>
      </c>
      <c r="E231" t="s">
        <v>406</v>
      </c>
      <c r="F231" s="20" t="s">
        <v>407</v>
      </c>
      <c r="G231" s="8" t="str">
        <f t="shared" si="6"/>
        <v>HART KEVIN</v>
      </c>
      <c r="H231" s="20" t="str">
        <f t="shared" si="7"/>
        <v>4029</v>
      </c>
    </row>
    <row r="232" spans="1:8" x14ac:dyDescent="0.25">
      <c r="A232" s="8">
        <v>42990.974965277775</v>
      </c>
      <c r="B232" t="s">
        <v>508</v>
      </c>
      <c r="C232" t="s">
        <v>816</v>
      </c>
      <c r="D232" s="138">
        <v>2000000</v>
      </c>
      <c r="E232" t="s">
        <v>488</v>
      </c>
      <c r="F232" s="20" t="s">
        <v>386</v>
      </c>
      <c r="G232" s="8" t="str">
        <f t="shared" si="6"/>
        <v>STAMBAUGH JAMES</v>
      </c>
      <c r="H232" s="20" t="str">
        <f t="shared" si="7"/>
        <v>4065</v>
      </c>
    </row>
    <row r="233" spans="1:8" x14ac:dyDescent="0.25">
      <c r="A233" s="8">
        <v>42990.977407407408</v>
      </c>
      <c r="B233" t="s">
        <v>452</v>
      </c>
      <c r="C233" t="s">
        <v>817</v>
      </c>
      <c r="D233" s="138">
        <v>890000</v>
      </c>
      <c r="E233" t="s">
        <v>375</v>
      </c>
      <c r="F233" s="20" t="s">
        <v>376</v>
      </c>
      <c r="G233" s="8" t="str">
        <f t="shared" si="6"/>
        <v>LOZA FIDEL</v>
      </c>
      <c r="H233" s="20" t="str">
        <f t="shared" si="7"/>
        <v>4002</v>
      </c>
    </row>
    <row r="234" spans="1:8" x14ac:dyDescent="0.25">
      <c r="A234" s="8">
        <v>42990.985960648148</v>
      </c>
      <c r="B234" t="s">
        <v>521</v>
      </c>
      <c r="C234" t="s">
        <v>818</v>
      </c>
      <c r="D234" s="138">
        <v>2620000</v>
      </c>
      <c r="E234" t="s">
        <v>404</v>
      </c>
      <c r="F234" s="20" t="s">
        <v>405</v>
      </c>
      <c r="G234" s="8" t="str">
        <f t="shared" si="6"/>
        <v>PERKINS DARREN</v>
      </c>
      <c r="H234" s="20" t="str">
        <f t="shared" si="7"/>
        <v>4058</v>
      </c>
    </row>
    <row r="235" spans="1:8" x14ac:dyDescent="0.25">
      <c r="A235" s="8">
        <v>42990.986284722225</v>
      </c>
      <c r="B235" t="s">
        <v>400</v>
      </c>
      <c r="C235" t="s">
        <v>819</v>
      </c>
      <c r="D235" s="138">
        <v>2680000</v>
      </c>
      <c r="E235" t="s">
        <v>398</v>
      </c>
      <c r="F235" s="20" t="s">
        <v>399</v>
      </c>
      <c r="G235" s="8" t="str">
        <f t="shared" si="6"/>
        <v>DUNCAN SHEILA</v>
      </c>
      <c r="H235" s="20" t="str">
        <f t="shared" si="7"/>
        <v>4061</v>
      </c>
    </row>
    <row r="236" spans="1:8" x14ac:dyDescent="0.25">
      <c r="A236" s="8">
        <v>42991.015868055554</v>
      </c>
      <c r="B236" t="s">
        <v>605</v>
      </c>
      <c r="C236" t="s">
        <v>820</v>
      </c>
      <c r="D236" s="138">
        <v>890000</v>
      </c>
      <c r="E236" t="s">
        <v>375</v>
      </c>
      <c r="F236" s="20" t="s">
        <v>376</v>
      </c>
      <c r="G236" s="8" t="str">
        <f t="shared" si="6"/>
        <v>LOZA FIDEL</v>
      </c>
      <c r="H236" s="20" t="str">
        <f t="shared" si="7"/>
        <v>4001</v>
      </c>
    </row>
    <row r="237" spans="1:8" x14ac:dyDescent="0.25">
      <c r="A237" s="8">
        <v>42991.018321759257</v>
      </c>
      <c r="B237" t="s">
        <v>380</v>
      </c>
      <c r="C237" t="s">
        <v>821</v>
      </c>
      <c r="D237" s="138">
        <v>3190000</v>
      </c>
      <c r="E237" t="s">
        <v>406</v>
      </c>
      <c r="F237" s="20" t="s">
        <v>407</v>
      </c>
      <c r="G237" s="8" t="str">
        <f t="shared" si="6"/>
        <v>HART KEVIN</v>
      </c>
      <c r="H237" s="20" t="str">
        <f t="shared" si="7"/>
        <v>4030</v>
      </c>
    </row>
    <row r="238" spans="1:8" x14ac:dyDescent="0.25">
      <c r="A238" s="8">
        <v>42991.027256944442</v>
      </c>
      <c r="B238" t="s">
        <v>418</v>
      </c>
      <c r="C238" t="s">
        <v>822</v>
      </c>
      <c r="D238" s="138">
        <v>2680000</v>
      </c>
      <c r="E238" t="s">
        <v>398</v>
      </c>
      <c r="F238" s="20" t="s">
        <v>399</v>
      </c>
      <c r="G238" s="8" t="str">
        <f t="shared" si="6"/>
        <v>DUNCAN SHEILA</v>
      </c>
      <c r="H238" s="20" t="str">
        <f t="shared" si="7"/>
        <v>4062</v>
      </c>
    </row>
    <row r="239" spans="1:8" x14ac:dyDescent="0.25">
      <c r="A239" s="8">
        <v>42991.027881944443</v>
      </c>
      <c r="B239" t="s">
        <v>418</v>
      </c>
      <c r="C239" t="s">
        <v>822</v>
      </c>
      <c r="D239" s="138">
        <v>2680000</v>
      </c>
      <c r="E239" t="s">
        <v>398</v>
      </c>
      <c r="F239" s="20" t="s">
        <v>399</v>
      </c>
      <c r="G239" s="8" t="str">
        <f t="shared" si="6"/>
        <v>DUNCAN SHEILA</v>
      </c>
      <c r="H239" s="20" t="str">
        <f t="shared" si="7"/>
        <v>4062</v>
      </c>
    </row>
    <row r="240" spans="1:8" x14ac:dyDescent="0.25">
      <c r="A240" s="8">
        <v>42991.028784722221</v>
      </c>
      <c r="B240" t="s">
        <v>418</v>
      </c>
      <c r="C240" t="s">
        <v>822</v>
      </c>
      <c r="D240" s="138">
        <v>2680000</v>
      </c>
      <c r="E240" t="s">
        <v>398</v>
      </c>
      <c r="F240" s="20" t="s">
        <v>399</v>
      </c>
      <c r="G240" s="8" t="str">
        <f t="shared" si="6"/>
        <v>DUNCAN SHEILA</v>
      </c>
      <c r="H240" s="20" t="str">
        <f t="shared" si="7"/>
        <v>4062</v>
      </c>
    </row>
    <row r="241" spans="1:8" x14ac:dyDescent="0.25">
      <c r="A241" s="8">
        <v>42991.029340277775</v>
      </c>
      <c r="B241" t="s">
        <v>585</v>
      </c>
      <c r="C241" t="s">
        <v>612</v>
      </c>
      <c r="D241" s="138">
        <v>2620000</v>
      </c>
      <c r="E241" t="s">
        <v>404</v>
      </c>
      <c r="F241" s="20" t="s">
        <v>405</v>
      </c>
      <c r="G241" s="8" t="str">
        <f t="shared" si="6"/>
        <v>PERKINS DARREN</v>
      </c>
      <c r="H241" s="20" t="str">
        <f t="shared" si="7"/>
        <v>4057</v>
      </c>
    </row>
    <row r="242" spans="1:8" x14ac:dyDescent="0.25">
      <c r="A242" s="8">
        <v>42991.047094907408</v>
      </c>
      <c r="B242" t="s">
        <v>452</v>
      </c>
      <c r="C242" t="s">
        <v>823</v>
      </c>
      <c r="D242" s="138">
        <v>890000</v>
      </c>
      <c r="E242" t="s">
        <v>375</v>
      </c>
      <c r="F242" s="20" t="s">
        <v>376</v>
      </c>
      <c r="G242" s="8" t="str">
        <f t="shared" si="6"/>
        <v>LOZA FIDEL</v>
      </c>
      <c r="H242" s="20" t="str">
        <f t="shared" si="7"/>
        <v>4002</v>
      </c>
    </row>
    <row r="243" spans="1:8" x14ac:dyDescent="0.25">
      <c r="A243" s="8">
        <v>42991.058587962965</v>
      </c>
      <c r="B243" t="s">
        <v>453</v>
      </c>
      <c r="C243" t="s">
        <v>824</v>
      </c>
      <c r="D243" s="138">
        <v>3190000</v>
      </c>
      <c r="E243" t="s">
        <v>406</v>
      </c>
      <c r="F243" s="20" t="s">
        <v>407</v>
      </c>
      <c r="G243" s="8" t="str">
        <f t="shared" si="6"/>
        <v>HART KEVIN</v>
      </c>
      <c r="H243" s="20" t="str">
        <f t="shared" si="7"/>
        <v>4029</v>
      </c>
    </row>
    <row r="244" spans="1:8" x14ac:dyDescent="0.25">
      <c r="A244" s="8">
        <v>42991.067858796298</v>
      </c>
      <c r="B244" t="s">
        <v>521</v>
      </c>
      <c r="C244" t="s">
        <v>825</v>
      </c>
      <c r="D244" s="138">
        <v>2620000</v>
      </c>
      <c r="E244" t="s">
        <v>404</v>
      </c>
      <c r="F244" s="20" t="s">
        <v>405</v>
      </c>
      <c r="G244" s="8" t="str">
        <f t="shared" si="6"/>
        <v>PERKINS DARREN</v>
      </c>
      <c r="H244" s="20" t="str">
        <f t="shared" si="7"/>
        <v>4058</v>
      </c>
    </row>
    <row r="245" spans="1:8" x14ac:dyDescent="0.25">
      <c r="A245" s="8">
        <v>42991.087395833332</v>
      </c>
      <c r="B245" t="s">
        <v>380</v>
      </c>
      <c r="C245" t="s">
        <v>613</v>
      </c>
      <c r="D245" s="138">
        <v>3190000</v>
      </c>
      <c r="E245" t="s">
        <v>406</v>
      </c>
      <c r="F245" s="20" t="s">
        <v>407</v>
      </c>
      <c r="G245" s="8" t="str">
        <f t="shared" si="6"/>
        <v>HART KEVIN</v>
      </c>
      <c r="H245" s="20" t="str">
        <f t="shared" si="7"/>
        <v>4030</v>
      </c>
    </row>
    <row r="246" spans="1:8" x14ac:dyDescent="0.25">
      <c r="A246" s="8">
        <v>42990.090694444443</v>
      </c>
      <c r="B246" t="s">
        <v>397</v>
      </c>
      <c r="C246" t="s">
        <v>525</v>
      </c>
      <c r="D246" s="138">
        <v>3040000</v>
      </c>
      <c r="E246" t="s">
        <v>446</v>
      </c>
      <c r="F246" s="20" t="s">
        <v>447</v>
      </c>
      <c r="G246" s="8" t="str">
        <f t="shared" si="6"/>
        <v>WILLIAMS DONTE</v>
      </c>
      <c r="H246" s="20" t="str">
        <f t="shared" si="7"/>
        <v>4010</v>
      </c>
    </row>
    <row r="247" spans="1:8" x14ac:dyDescent="0.25">
      <c r="A247" s="8">
        <v>42990.092175925929</v>
      </c>
      <c r="B247" t="s">
        <v>397</v>
      </c>
      <c r="C247" t="s">
        <v>525</v>
      </c>
      <c r="D247" s="138">
        <v>3040000</v>
      </c>
      <c r="E247" t="s">
        <v>446</v>
      </c>
      <c r="F247" s="20" t="s">
        <v>447</v>
      </c>
      <c r="G247" s="8" t="str">
        <f t="shared" si="6"/>
        <v>WILLIAMS DONTE</v>
      </c>
      <c r="H247" s="20" t="str">
        <f t="shared" si="7"/>
        <v>4010</v>
      </c>
    </row>
    <row r="248" spans="1:8" x14ac:dyDescent="0.25">
      <c r="A248" s="8">
        <v>42990.093449074076</v>
      </c>
      <c r="B248" t="s">
        <v>397</v>
      </c>
      <c r="C248" t="s">
        <v>525</v>
      </c>
      <c r="D248" s="138">
        <v>3040000</v>
      </c>
      <c r="E248" t="s">
        <v>446</v>
      </c>
      <c r="F248" s="20" t="s">
        <v>447</v>
      </c>
      <c r="G248" s="8" t="str">
        <f t="shared" si="6"/>
        <v>WILLIAMS DONTE</v>
      </c>
      <c r="H248" s="20" t="str">
        <f t="shared" si="7"/>
        <v>4010</v>
      </c>
    </row>
    <row r="249" spans="1:8" x14ac:dyDescent="0.25">
      <c r="A249" s="8">
        <v>42990.112951388888</v>
      </c>
      <c r="B249" t="s">
        <v>453</v>
      </c>
      <c r="C249" t="s">
        <v>526</v>
      </c>
      <c r="D249" s="138">
        <v>3310000</v>
      </c>
      <c r="E249" t="s">
        <v>473</v>
      </c>
      <c r="F249" s="20" t="s">
        <v>474</v>
      </c>
      <c r="G249" s="8" t="str">
        <f t="shared" si="6"/>
        <v>ANDERS STEVEN</v>
      </c>
      <c r="H249" s="20" t="str">
        <f t="shared" si="7"/>
        <v>4029</v>
      </c>
    </row>
    <row r="250" spans="1:8" x14ac:dyDescent="0.25">
      <c r="A250" s="8">
        <v>42984.907199074078</v>
      </c>
      <c r="B250" t="s">
        <v>412</v>
      </c>
      <c r="C250" t="s">
        <v>419</v>
      </c>
      <c r="D250" s="138">
        <v>2620000</v>
      </c>
      <c r="E250" t="s">
        <v>404</v>
      </c>
      <c r="F250" s="20" t="s">
        <v>405</v>
      </c>
      <c r="G250" s="8" t="str">
        <f t="shared" si="6"/>
        <v>PERKINS DARREN</v>
      </c>
      <c r="H250" s="20" t="str">
        <f t="shared" si="7"/>
        <v>4031</v>
      </c>
    </row>
    <row r="251" spans="1:8" x14ac:dyDescent="0.25">
      <c r="A251" s="8">
        <v>42984.915034722224</v>
      </c>
      <c r="B251" t="s">
        <v>418</v>
      </c>
      <c r="C251" t="s">
        <v>420</v>
      </c>
      <c r="D251" s="138">
        <v>890000</v>
      </c>
      <c r="E251" t="s">
        <v>375</v>
      </c>
      <c r="F251" s="20" t="s">
        <v>376</v>
      </c>
      <c r="G251" s="8" t="str">
        <f t="shared" si="6"/>
        <v>LOZA FIDEL</v>
      </c>
      <c r="H251" s="20" t="str">
        <f t="shared" si="7"/>
        <v>4062</v>
      </c>
    </row>
    <row r="252" spans="1:8" x14ac:dyDescent="0.25">
      <c r="A252" s="8">
        <v>42984.91915509259</v>
      </c>
      <c r="B252" t="s">
        <v>417</v>
      </c>
      <c r="C252" t="s">
        <v>421</v>
      </c>
      <c r="D252" s="138">
        <v>3490000</v>
      </c>
      <c r="E252" t="s">
        <v>377</v>
      </c>
      <c r="F252" s="20" t="s">
        <v>378</v>
      </c>
      <c r="G252" s="8" t="str">
        <f t="shared" si="6"/>
        <v>WEST BRYAN</v>
      </c>
      <c r="H252" s="20" t="str">
        <f t="shared" si="7"/>
        <v>4060</v>
      </c>
    </row>
    <row r="253" spans="1:8" x14ac:dyDescent="0.25">
      <c r="A253" s="8">
        <v>42984.923252314817</v>
      </c>
      <c r="B253" t="s">
        <v>414</v>
      </c>
      <c r="C253" t="s">
        <v>422</v>
      </c>
      <c r="D253" s="138">
        <v>2680000</v>
      </c>
      <c r="E253" t="s">
        <v>398</v>
      </c>
      <c r="F253" s="20" t="s">
        <v>399</v>
      </c>
      <c r="G253" s="8" t="str">
        <f t="shared" si="6"/>
        <v>DUNCAN SHEILA</v>
      </c>
      <c r="H253" s="20" t="str">
        <f t="shared" si="7"/>
        <v>4015</v>
      </c>
    </row>
    <row r="254" spans="1:8" x14ac:dyDescent="0.25">
      <c r="A254" s="8">
        <v>42984.928993055553</v>
      </c>
      <c r="B254" t="s">
        <v>402</v>
      </c>
      <c r="C254" t="s">
        <v>423</v>
      </c>
      <c r="D254" s="138">
        <v>3190000</v>
      </c>
      <c r="E254" t="s">
        <v>406</v>
      </c>
      <c r="F254" s="20" t="s">
        <v>407</v>
      </c>
      <c r="G254" s="8" t="str">
        <f t="shared" si="6"/>
        <v>HART KEVIN</v>
      </c>
      <c r="H254" s="20" t="str">
        <f t="shared" si="7"/>
        <v>4020</v>
      </c>
    </row>
    <row r="255" spans="1:8" x14ac:dyDescent="0.25">
      <c r="A255" s="8">
        <v>42984.93545138889</v>
      </c>
      <c r="B255" t="s">
        <v>413</v>
      </c>
      <c r="C255" t="s">
        <v>424</v>
      </c>
      <c r="D255" s="138">
        <v>3490000</v>
      </c>
      <c r="E255" t="s">
        <v>377</v>
      </c>
      <c r="F255" s="20" t="s">
        <v>378</v>
      </c>
      <c r="G255" s="8" t="str">
        <f t="shared" si="6"/>
        <v>WEST BRYAN</v>
      </c>
      <c r="H255" s="20" t="str">
        <f t="shared" si="7"/>
        <v>4059</v>
      </c>
    </row>
    <row r="256" spans="1:8" x14ac:dyDescent="0.25">
      <c r="A256" s="8">
        <v>42984.944201388891</v>
      </c>
      <c r="B256" t="s">
        <v>392</v>
      </c>
      <c r="C256" t="s">
        <v>425</v>
      </c>
      <c r="D256" s="138">
        <v>2620000</v>
      </c>
      <c r="E256" t="s">
        <v>404</v>
      </c>
      <c r="F256" s="20" t="s">
        <v>405</v>
      </c>
      <c r="G256" s="8" t="str">
        <f t="shared" si="6"/>
        <v>PERKINS DARREN</v>
      </c>
      <c r="H256" s="20" t="str">
        <f t="shared" si="7"/>
        <v>4032</v>
      </c>
    </row>
    <row r="257" spans="1:8" x14ac:dyDescent="0.25">
      <c r="A257" s="8">
        <v>42984.955381944441</v>
      </c>
      <c r="B257" t="s">
        <v>392</v>
      </c>
      <c r="C257" t="s">
        <v>425</v>
      </c>
      <c r="D257" s="138">
        <v>2620000</v>
      </c>
      <c r="E257" t="s">
        <v>404</v>
      </c>
      <c r="F257" s="20" t="s">
        <v>405</v>
      </c>
      <c r="G257" s="8" t="str">
        <f t="shared" si="6"/>
        <v>PERKINS DARREN</v>
      </c>
      <c r="H257" s="20" t="str">
        <f t="shared" si="7"/>
        <v>4032</v>
      </c>
    </row>
    <row r="258" spans="1:8" x14ac:dyDescent="0.25">
      <c r="A258" s="8">
        <v>42984.955405092594</v>
      </c>
      <c r="B258" t="s">
        <v>400</v>
      </c>
      <c r="C258" t="s">
        <v>426</v>
      </c>
      <c r="D258" s="138">
        <v>890000</v>
      </c>
      <c r="E258" t="s">
        <v>375</v>
      </c>
      <c r="F258" s="20" t="s">
        <v>376</v>
      </c>
      <c r="G258" s="8" t="str">
        <f t="shared" si="6"/>
        <v>LOZA FIDEL</v>
      </c>
      <c r="H258" s="20" t="str">
        <f t="shared" si="7"/>
        <v>4061</v>
      </c>
    </row>
    <row r="259" spans="1:8" x14ac:dyDescent="0.25">
      <c r="A259" s="8">
        <v>42984.963391203702</v>
      </c>
      <c r="B259" t="s">
        <v>417</v>
      </c>
      <c r="C259" t="s">
        <v>427</v>
      </c>
      <c r="D259" s="138">
        <v>3490000</v>
      </c>
      <c r="E259" t="s">
        <v>377</v>
      </c>
      <c r="F259" s="20" t="s">
        <v>378</v>
      </c>
      <c r="G259" s="8" t="str">
        <f t="shared" ref="G259:G273" si="8">E259&amp;" "&amp;F259</f>
        <v>WEST BRYAN</v>
      </c>
      <c r="H259" s="20" t="str">
        <f t="shared" ref="H259:H273" si="9">MID(B259,13,4)</f>
        <v>4060</v>
      </c>
    </row>
    <row r="260" spans="1:8" x14ac:dyDescent="0.25">
      <c r="A260" s="8">
        <v>42984.966168981482</v>
      </c>
      <c r="B260" t="s">
        <v>415</v>
      </c>
      <c r="C260" t="s">
        <v>428</v>
      </c>
      <c r="D260" s="138">
        <v>3320000</v>
      </c>
      <c r="E260" t="s">
        <v>429</v>
      </c>
      <c r="F260" s="20" t="s">
        <v>430</v>
      </c>
      <c r="G260" s="8" t="str">
        <f t="shared" si="8"/>
        <v>NICHOLSON WESLEY</v>
      </c>
      <c r="H260" s="20" t="str">
        <f t="shared" si="9"/>
        <v>4016</v>
      </c>
    </row>
    <row r="261" spans="1:8" x14ac:dyDescent="0.25">
      <c r="A261" s="8">
        <v>42984.973449074074</v>
      </c>
      <c r="B261" t="s">
        <v>403</v>
      </c>
      <c r="C261" t="s">
        <v>431</v>
      </c>
      <c r="D261" s="138">
        <v>3190000</v>
      </c>
      <c r="E261" t="s">
        <v>406</v>
      </c>
      <c r="F261" s="20" t="s">
        <v>407</v>
      </c>
      <c r="G261" s="8" t="str">
        <f t="shared" si="8"/>
        <v>HART KEVIN</v>
      </c>
      <c r="H261" s="20" t="str">
        <f t="shared" si="9"/>
        <v>4019</v>
      </c>
    </row>
    <row r="262" spans="1:8" x14ac:dyDescent="0.25">
      <c r="A262" s="8">
        <v>42984.975162037037</v>
      </c>
      <c r="B262" t="s">
        <v>413</v>
      </c>
      <c r="C262" t="s">
        <v>432</v>
      </c>
      <c r="D262" s="138">
        <v>3490000</v>
      </c>
      <c r="E262" t="s">
        <v>377</v>
      </c>
      <c r="F262" s="20" t="s">
        <v>378</v>
      </c>
      <c r="G262" s="8" t="str">
        <f t="shared" si="8"/>
        <v>WEST BRYAN</v>
      </c>
      <c r="H262" s="20" t="str">
        <f t="shared" si="9"/>
        <v>4059</v>
      </c>
    </row>
    <row r="263" spans="1:8" x14ac:dyDescent="0.25">
      <c r="A263" s="8">
        <v>42984.993217592593</v>
      </c>
      <c r="B263" t="s">
        <v>412</v>
      </c>
      <c r="C263" t="s">
        <v>433</v>
      </c>
      <c r="D263" s="138">
        <v>2620000</v>
      </c>
      <c r="E263" t="s">
        <v>404</v>
      </c>
      <c r="F263" s="20" t="s">
        <v>405</v>
      </c>
      <c r="G263" s="8" t="str">
        <f t="shared" si="8"/>
        <v>PERKINS DARREN</v>
      </c>
      <c r="H263" s="20" t="str">
        <f t="shared" si="9"/>
        <v>4031</v>
      </c>
    </row>
    <row r="264" spans="1:8" x14ac:dyDescent="0.25">
      <c r="A264" s="8">
        <v>42984.998888888891</v>
      </c>
      <c r="B264" t="s">
        <v>418</v>
      </c>
      <c r="C264" t="s">
        <v>434</v>
      </c>
      <c r="D264" s="138">
        <v>890000</v>
      </c>
      <c r="E264" t="s">
        <v>375</v>
      </c>
      <c r="F264" s="20" t="s">
        <v>376</v>
      </c>
      <c r="G264" s="8" t="str">
        <f t="shared" si="8"/>
        <v>LOZA FIDEL</v>
      </c>
      <c r="H264" s="20" t="str">
        <f t="shared" si="9"/>
        <v>4062</v>
      </c>
    </row>
    <row r="265" spans="1:8" x14ac:dyDescent="0.25">
      <c r="A265" s="8">
        <v>42985.008680555555</v>
      </c>
      <c r="B265" t="s">
        <v>412</v>
      </c>
      <c r="C265" t="s">
        <v>433</v>
      </c>
      <c r="D265" s="138">
        <v>2620000</v>
      </c>
      <c r="E265" t="s">
        <v>404</v>
      </c>
      <c r="F265" s="20" t="s">
        <v>405</v>
      </c>
      <c r="G265" s="8" t="str">
        <f t="shared" si="8"/>
        <v>PERKINS DARREN</v>
      </c>
      <c r="H265" s="20" t="str">
        <f t="shared" si="9"/>
        <v>4031</v>
      </c>
    </row>
    <row r="266" spans="1:8" x14ac:dyDescent="0.25">
      <c r="A266" s="8">
        <v>42985.011296296296</v>
      </c>
      <c r="B266" t="s">
        <v>414</v>
      </c>
      <c r="C266" t="s">
        <v>435</v>
      </c>
      <c r="D266" s="138">
        <v>3320000</v>
      </c>
      <c r="E266" t="s">
        <v>429</v>
      </c>
      <c r="F266" s="20" t="s">
        <v>430</v>
      </c>
      <c r="G266" s="8" t="str">
        <f t="shared" si="8"/>
        <v>NICHOLSON WESLEY</v>
      </c>
      <c r="H266" s="20" t="str">
        <f t="shared" si="9"/>
        <v>4015</v>
      </c>
    </row>
    <row r="267" spans="1:8" x14ac:dyDescent="0.25">
      <c r="A267" s="8">
        <v>42985.017731481479</v>
      </c>
      <c r="B267" t="s">
        <v>402</v>
      </c>
      <c r="C267" t="s">
        <v>436</v>
      </c>
      <c r="D267" s="138">
        <v>3190000</v>
      </c>
      <c r="E267" t="s">
        <v>406</v>
      </c>
      <c r="F267" s="20" t="s">
        <v>407</v>
      </c>
      <c r="G267" s="8" t="str">
        <f t="shared" si="8"/>
        <v>HART KEVIN</v>
      </c>
      <c r="H267" s="20" t="str">
        <f t="shared" si="9"/>
        <v>4020</v>
      </c>
    </row>
    <row r="268" spans="1:8" x14ac:dyDescent="0.25">
      <c r="A268" s="8">
        <v>42985.028749999998</v>
      </c>
      <c r="B268" t="s">
        <v>392</v>
      </c>
      <c r="C268" t="s">
        <v>437</v>
      </c>
      <c r="D268" s="138">
        <v>2620000</v>
      </c>
      <c r="E268" t="s">
        <v>404</v>
      </c>
      <c r="F268" s="20" t="s">
        <v>405</v>
      </c>
      <c r="G268" s="8" t="str">
        <f t="shared" si="8"/>
        <v>PERKINS DARREN</v>
      </c>
      <c r="H268" s="20" t="str">
        <f t="shared" si="9"/>
        <v>4032</v>
      </c>
    </row>
    <row r="269" spans="1:8" x14ac:dyDescent="0.25">
      <c r="A269" s="8">
        <v>42985.037442129629</v>
      </c>
      <c r="B269" t="s">
        <v>400</v>
      </c>
      <c r="C269" t="s">
        <v>438</v>
      </c>
      <c r="D269" s="138">
        <v>890000</v>
      </c>
      <c r="E269" t="s">
        <v>375</v>
      </c>
      <c r="F269" s="20" t="s">
        <v>376</v>
      </c>
      <c r="G269" s="8" t="str">
        <f t="shared" si="8"/>
        <v>LOZA FIDEL</v>
      </c>
      <c r="H269" s="20" t="str">
        <f t="shared" si="9"/>
        <v>4061</v>
      </c>
    </row>
    <row r="270" spans="1:8" x14ac:dyDescent="0.25">
      <c r="A270" s="8">
        <v>42985.050081018519</v>
      </c>
      <c r="B270" t="s">
        <v>415</v>
      </c>
      <c r="C270" t="s">
        <v>439</v>
      </c>
      <c r="D270" s="138">
        <v>2680000</v>
      </c>
      <c r="E270" t="s">
        <v>398</v>
      </c>
      <c r="F270" s="20" t="s">
        <v>399</v>
      </c>
      <c r="G270" s="8" t="str">
        <f t="shared" si="8"/>
        <v>DUNCAN SHEILA</v>
      </c>
      <c r="H270" s="20" t="str">
        <f t="shared" si="9"/>
        <v>4016</v>
      </c>
    </row>
    <row r="271" spans="1:8" x14ac:dyDescent="0.25">
      <c r="A271" s="8">
        <v>42985.058425925927</v>
      </c>
      <c r="B271" t="s">
        <v>403</v>
      </c>
      <c r="C271" t="s">
        <v>440</v>
      </c>
      <c r="D271" s="138">
        <v>3190000</v>
      </c>
      <c r="E271" t="s">
        <v>406</v>
      </c>
      <c r="F271" s="20" t="s">
        <v>407</v>
      </c>
      <c r="G271" s="8" t="str">
        <f t="shared" si="8"/>
        <v>HART KEVIN</v>
      </c>
      <c r="H271" s="20" t="str">
        <f t="shared" si="9"/>
        <v>4019</v>
      </c>
    </row>
    <row r="272" spans="1:8" x14ac:dyDescent="0.25">
      <c r="A272" s="8">
        <v>42985.067395833335</v>
      </c>
      <c r="B272" t="s">
        <v>418</v>
      </c>
      <c r="C272" t="s">
        <v>441</v>
      </c>
      <c r="D272" s="138">
        <v>890000</v>
      </c>
      <c r="E272" t="s">
        <v>375</v>
      </c>
      <c r="F272" s="20" t="s">
        <v>376</v>
      </c>
      <c r="G272" s="8" t="str">
        <f t="shared" si="8"/>
        <v>LOZA FIDEL</v>
      </c>
      <c r="H272" s="20" t="str">
        <f t="shared" si="9"/>
        <v>4062</v>
      </c>
    </row>
    <row r="273" spans="1:8" x14ac:dyDescent="0.25">
      <c r="A273" s="8">
        <v>42985.088564814818</v>
      </c>
      <c r="B273" t="s">
        <v>402</v>
      </c>
      <c r="C273" t="s">
        <v>416</v>
      </c>
      <c r="D273" s="138">
        <v>3190000</v>
      </c>
      <c r="E273" t="s">
        <v>406</v>
      </c>
      <c r="F273" s="20" t="s">
        <v>407</v>
      </c>
      <c r="G273" s="8" t="str">
        <f t="shared" si="8"/>
        <v>HART KEVIN</v>
      </c>
      <c r="H273" s="20" t="str">
        <f t="shared" si="9"/>
        <v>4020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159</v>
      </c>
      <c r="K1" s="168" t="s">
        <v>157</v>
      </c>
      <c r="L1" s="168" t="s">
        <v>152</v>
      </c>
      <c r="M1" s="168" t="s">
        <v>162</v>
      </c>
      <c r="N1" s="168" t="s">
        <v>348</v>
      </c>
      <c r="O1" s="168" t="s">
        <v>156</v>
      </c>
      <c r="P1" s="168" t="s">
        <v>163</v>
      </c>
      <c r="Q1" s="168" t="s">
        <v>349</v>
      </c>
      <c r="R1" s="168" t="s">
        <v>160</v>
      </c>
      <c r="S1"/>
    </row>
    <row r="2" spans="1:19" x14ac:dyDescent="0.25">
      <c r="A2" s="169">
        <v>66.67</v>
      </c>
      <c r="B2" s="169">
        <v>0.11</v>
      </c>
      <c r="C2" s="169">
        <v>48.7</v>
      </c>
      <c r="D2" s="8">
        <v>42990</v>
      </c>
      <c r="E2" s="169">
        <v>0.52</v>
      </c>
      <c r="F2" s="169" t="s">
        <v>371</v>
      </c>
      <c r="G2" s="169">
        <v>280.2</v>
      </c>
      <c r="H2" s="169">
        <v>0</v>
      </c>
      <c r="I2" s="169">
        <v>0</v>
      </c>
      <c r="J2" s="169">
        <v>1017</v>
      </c>
      <c r="K2" s="169" t="s">
        <v>370</v>
      </c>
      <c r="L2" s="169">
        <v>66.67</v>
      </c>
      <c r="M2" s="169">
        <v>1505196000</v>
      </c>
      <c r="N2" s="169">
        <v>0</v>
      </c>
      <c r="O2" s="169">
        <v>3.84</v>
      </c>
      <c r="P2" s="169">
        <v>177</v>
      </c>
      <c r="Q2" s="169">
        <v>4.3099999999999996</v>
      </c>
      <c r="R2" s="169">
        <v>1.52</v>
      </c>
      <c r="S2"/>
    </row>
    <row r="3" spans="1:19" x14ac:dyDescent="0.25">
      <c r="A3" s="169">
        <v>64.12</v>
      </c>
      <c r="B3" s="169">
        <v>0.12</v>
      </c>
      <c r="C3" s="169">
        <v>47.87</v>
      </c>
      <c r="D3" s="8">
        <v>42990.041666666664</v>
      </c>
      <c r="E3" s="169">
        <v>0.56000000000000005</v>
      </c>
      <c r="F3" s="169" t="s">
        <v>371</v>
      </c>
      <c r="G3" s="169">
        <v>280.56</v>
      </c>
      <c r="H3" s="169">
        <v>0</v>
      </c>
      <c r="I3" s="169">
        <v>0</v>
      </c>
      <c r="J3" s="169">
        <v>1016.06</v>
      </c>
      <c r="K3" s="169" t="s">
        <v>370</v>
      </c>
      <c r="L3" s="169">
        <v>64.12</v>
      </c>
      <c r="M3" s="169">
        <v>1505199600</v>
      </c>
      <c r="N3" s="169">
        <v>0</v>
      </c>
      <c r="O3" s="169">
        <v>3.47</v>
      </c>
      <c r="P3" s="169">
        <v>185</v>
      </c>
      <c r="Q3" s="169">
        <v>3.24</v>
      </c>
      <c r="R3" s="169">
        <v>1.51</v>
      </c>
      <c r="S3"/>
    </row>
    <row r="4" spans="1:19" x14ac:dyDescent="0.25">
      <c r="A4" s="169">
        <v>61.87</v>
      </c>
      <c r="B4" s="169">
        <v>0.04</v>
      </c>
      <c r="C4" s="169">
        <v>47.64</v>
      </c>
      <c r="D4" s="8">
        <v>42990.083333333336</v>
      </c>
      <c r="E4" s="169">
        <v>0.6</v>
      </c>
      <c r="F4" s="169" t="s">
        <v>371</v>
      </c>
      <c r="G4" s="169">
        <v>280.56</v>
      </c>
      <c r="H4" s="169">
        <v>0</v>
      </c>
      <c r="I4" s="169">
        <v>0</v>
      </c>
      <c r="J4" s="169">
        <v>1016.19</v>
      </c>
      <c r="K4" s="169" t="s">
        <v>370</v>
      </c>
      <c r="L4" s="169">
        <v>61.87</v>
      </c>
      <c r="M4" s="169">
        <v>1505203200</v>
      </c>
      <c r="N4" s="169">
        <v>0</v>
      </c>
      <c r="O4" s="169">
        <v>3.21</v>
      </c>
      <c r="P4" s="169">
        <v>206</v>
      </c>
      <c r="Q4" s="169">
        <v>3.22</v>
      </c>
      <c r="R4" s="169">
        <v>1.49</v>
      </c>
      <c r="S4"/>
    </row>
    <row r="5" spans="1:19" x14ac:dyDescent="0.25">
      <c r="A5" s="169">
        <v>61.04</v>
      </c>
      <c r="B5" s="169">
        <v>0.02</v>
      </c>
      <c r="C5" s="169">
        <v>46.78</v>
      </c>
      <c r="D5" s="8">
        <v>42990.125</v>
      </c>
      <c r="E5" s="169">
        <v>0.59</v>
      </c>
      <c r="F5" s="169" t="s">
        <v>371</v>
      </c>
      <c r="G5" s="169">
        <v>280.79000000000002</v>
      </c>
      <c r="H5" s="169">
        <v>0</v>
      </c>
      <c r="I5" s="169">
        <v>0</v>
      </c>
      <c r="J5" s="169">
        <v>1015.8</v>
      </c>
      <c r="K5" s="169" t="s">
        <v>370</v>
      </c>
      <c r="L5" s="169">
        <v>61.04</v>
      </c>
      <c r="M5" s="169">
        <v>1505206800</v>
      </c>
      <c r="N5" s="169">
        <v>0</v>
      </c>
      <c r="O5" s="169">
        <v>3.53</v>
      </c>
      <c r="P5" s="169">
        <v>214</v>
      </c>
      <c r="Q5" s="169">
        <v>3.82</v>
      </c>
      <c r="R5" s="169">
        <v>1.52</v>
      </c>
      <c r="S5"/>
    </row>
    <row r="6" spans="1:19" x14ac:dyDescent="0.25">
      <c r="A6" s="169">
        <v>59.96</v>
      </c>
      <c r="B6" s="169">
        <v>0.02</v>
      </c>
      <c r="C6" s="169">
        <v>46.69</v>
      </c>
      <c r="D6" s="8">
        <v>42990.166666666664</v>
      </c>
      <c r="E6" s="169">
        <v>0.61</v>
      </c>
      <c r="F6" s="169" t="s">
        <v>371</v>
      </c>
      <c r="G6" s="169">
        <v>281.14999999999998</v>
      </c>
      <c r="H6" s="169">
        <v>0</v>
      </c>
      <c r="I6" s="169">
        <v>0</v>
      </c>
      <c r="J6" s="169">
        <v>1015</v>
      </c>
      <c r="K6" s="169" t="s">
        <v>370</v>
      </c>
      <c r="L6" s="169">
        <v>59.96</v>
      </c>
      <c r="M6" s="169">
        <v>1505210400</v>
      </c>
      <c r="N6" s="169">
        <v>0</v>
      </c>
      <c r="O6" s="169">
        <v>3.27</v>
      </c>
      <c r="P6" s="169">
        <v>209</v>
      </c>
      <c r="Q6" s="169">
        <v>3.34</v>
      </c>
      <c r="R6" s="169">
        <v>1.45</v>
      </c>
      <c r="S6"/>
    </row>
    <row r="7" spans="1:19" x14ac:dyDescent="0.25">
      <c r="A7" s="169">
        <v>58.76</v>
      </c>
      <c r="B7" s="169">
        <v>0.03</v>
      </c>
      <c r="C7" s="169">
        <v>46.39</v>
      </c>
      <c r="D7" s="8">
        <v>42990.208333333336</v>
      </c>
      <c r="E7" s="169">
        <v>0.63</v>
      </c>
      <c r="F7" s="169" t="s">
        <v>371</v>
      </c>
      <c r="G7" s="169">
        <v>281.5</v>
      </c>
      <c r="H7" s="169">
        <v>0</v>
      </c>
      <c r="I7" s="169">
        <v>0</v>
      </c>
      <c r="J7" s="169">
        <v>1015.16</v>
      </c>
      <c r="K7" s="169" t="s">
        <v>370</v>
      </c>
      <c r="L7" s="169">
        <v>58.76</v>
      </c>
      <c r="M7" s="169">
        <v>1505214000</v>
      </c>
      <c r="N7" s="169">
        <v>0</v>
      </c>
      <c r="O7" s="169">
        <v>2.92</v>
      </c>
      <c r="P7" s="169">
        <v>211</v>
      </c>
      <c r="Q7" s="169">
        <v>3.02</v>
      </c>
      <c r="R7" s="169">
        <v>1.37</v>
      </c>
      <c r="S7"/>
    </row>
    <row r="8" spans="1:19" x14ac:dyDescent="0.25">
      <c r="A8" s="169">
        <v>57.8</v>
      </c>
      <c r="B8" s="169">
        <v>0.03</v>
      </c>
      <c r="C8" s="169">
        <v>46.1</v>
      </c>
      <c r="D8" s="8">
        <v>42990.25</v>
      </c>
      <c r="E8" s="169">
        <v>0.65</v>
      </c>
      <c r="F8" s="169" t="s">
        <v>371</v>
      </c>
      <c r="G8" s="169">
        <v>281.14</v>
      </c>
      <c r="H8" s="169">
        <v>0</v>
      </c>
      <c r="I8" s="169">
        <v>0</v>
      </c>
      <c r="J8" s="169">
        <v>1015.46</v>
      </c>
      <c r="K8" s="169" t="s">
        <v>370</v>
      </c>
      <c r="L8" s="169">
        <v>57.8</v>
      </c>
      <c r="M8" s="169">
        <v>1505217600</v>
      </c>
      <c r="N8" s="169">
        <v>0</v>
      </c>
      <c r="O8" s="169">
        <v>3.34</v>
      </c>
      <c r="P8" s="169">
        <v>216</v>
      </c>
      <c r="Q8" s="169">
        <v>3.32</v>
      </c>
      <c r="R8" s="169">
        <v>1.55</v>
      </c>
      <c r="S8"/>
    </row>
    <row r="9" spans="1:19" x14ac:dyDescent="0.25">
      <c r="A9" s="169">
        <v>57.11</v>
      </c>
      <c r="B9" s="169">
        <v>0.01</v>
      </c>
      <c r="C9" s="169">
        <v>46.22</v>
      </c>
      <c r="D9" s="8">
        <v>42990.291666666664</v>
      </c>
      <c r="E9" s="169">
        <v>0.67</v>
      </c>
      <c r="F9" s="169" t="s">
        <v>369</v>
      </c>
      <c r="G9" s="169">
        <v>281.38</v>
      </c>
      <c r="H9" s="169">
        <v>0</v>
      </c>
      <c r="I9" s="169">
        <v>0</v>
      </c>
      <c r="J9" s="169">
        <v>1016.09</v>
      </c>
      <c r="K9" s="169" t="s">
        <v>370</v>
      </c>
      <c r="L9" s="169">
        <v>57.11</v>
      </c>
      <c r="M9" s="169">
        <v>1505221200</v>
      </c>
      <c r="N9" s="169">
        <v>0</v>
      </c>
      <c r="O9" s="169">
        <v>3.34</v>
      </c>
      <c r="P9" s="169">
        <v>204</v>
      </c>
      <c r="Q9" s="169">
        <v>3.02</v>
      </c>
      <c r="R9" s="169">
        <v>1.2</v>
      </c>
      <c r="S9"/>
    </row>
    <row r="10" spans="1:19" x14ac:dyDescent="0.25">
      <c r="A10" s="169">
        <v>61.81</v>
      </c>
      <c r="B10" s="169">
        <v>0.06</v>
      </c>
      <c r="C10" s="169">
        <v>47.43</v>
      </c>
      <c r="D10" s="8">
        <v>42990.333333333336</v>
      </c>
      <c r="E10" s="169">
        <v>0.59</v>
      </c>
      <c r="F10" s="169" t="s">
        <v>369</v>
      </c>
      <c r="G10" s="169">
        <v>281.62</v>
      </c>
      <c r="H10" s="169">
        <v>0</v>
      </c>
      <c r="I10" s="169">
        <v>0</v>
      </c>
      <c r="J10" s="169">
        <v>1015.48</v>
      </c>
      <c r="K10" s="169" t="s">
        <v>370</v>
      </c>
      <c r="L10" s="169">
        <v>61.81</v>
      </c>
      <c r="M10" s="169">
        <v>1505224800</v>
      </c>
      <c r="N10" s="169">
        <v>1</v>
      </c>
      <c r="O10" s="169">
        <v>3.67</v>
      </c>
      <c r="P10" s="169">
        <v>194</v>
      </c>
      <c r="Q10" s="169">
        <v>4.12</v>
      </c>
      <c r="R10" s="169">
        <v>1.76</v>
      </c>
      <c r="S10"/>
    </row>
    <row r="11" spans="1:19" x14ac:dyDescent="0.25">
      <c r="A11" s="169">
        <v>68.349999999999994</v>
      </c>
      <c r="B11" s="169">
        <v>0.05</v>
      </c>
      <c r="C11" s="169">
        <v>48.52</v>
      </c>
      <c r="D11" s="8">
        <v>42990.375</v>
      </c>
      <c r="E11" s="169">
        <v>0.49</v>
      </c>
      <c r="F11" s="169" t="s">
        <v>369</v>
      </c>
      <c r="G11" s="169">
        <v>281.85000000000002</v>
      </c>
      <c r="H11" s="169">
        <v>0</v>
      </c>
      <c r="I11" s="169">
        <v>0</v>
      </c>
      <c r="J11" s="169">
        <v>1015.2</v>
      </c>
      <c r="K11" s="169" t="s">
        <v>370</v>
      </c>
      <c r="L11" s="169">
        <v>68.349999999999994</v>
      </c>
      <c r="M11" s="169">
        <v>1505228400</v>
      </c>
      <c r="N11" s="169">
        <v>2</v>
      </c>
      <c r="O11" s="169">
        <v>3.5</v>
      </c>
      <c r="P11" s="169">
        <v>202</v>
      </c>
      <c r="Q11" s="169">
        <v>4.33</v>
      </c>
      <c r="R11" s="169">
        <v>1.69</v>
      </c>
      <c r="S11"/>
    </row>
    <row r="12" spans="1:19" x14ac:dyDescent="0.25">
      <c r="A12" s="169">
        <v>75.06</v>
      </c>
      <c r="B12" s="169">
        <v>0.04</v>
      </c>
      <c r="C12" s="169">
        <v>48.26</v>
      </c>
      <c r="D12" s="8">
        <v>42990.416666666664</v>
      </c>
      <c r="E12" s="169">
        <v>0.39</v>
      </c>
      <c r="F12" s="169" t="s">
        <v>369</v>
      </c>
      <c r="G12" s="169">
        <v>281.85000000000002</v>
      </c>
      <c r="H12" s="169">
        <v>0</v>
      </c>
      <c r="I12" s="169">
        <v>0</v>
      </c>
      <c r="J12" s="169">
        <v>1014.71</v>
      </c>
      <c r="K12" s="169" t="s">
        <v>370</v>
      </c>
      <c r="L12" s="169">
        <v>75.06</v>
      </c>
      <c r="M12" s="169">
        <v>1505232000</v>
      </c>
      <c r="N12" s="169">
        <v>3</v>
      </c>
      <c r="O12" s="169">
        <v>3.69</v>
      </c>
      <c r="P12" s="169">
        <v>171</v>
      </c>
      <c r="Q12" s="169">
        <v>4.42</v>
      </c>
      <c r="R12" s="169">
        <v>1.1599999999999999</v>
      </c>
      <c r="S12"/>
    </row>
    <row r="13" spans="1:19" x14ac:dyDescent="0.25">
      <c r="A13" s="169">
        <v>80.599999999999994</v>
      </c>
      <c r="B13" s="169">
        <v>0.04</v>
      </c>
      <c r="C13" s="169">
        <v>46.87</v>
      </c>
      <c r="D13" s="8">
        <v>42990.458333333336</v>
      </c>
      <c r="E13" s="169">
        <v>0.31</v>
      </c>
      <c r="F13" s="169" t="s">
        <v>369</v>
      </c>
      <c r="G13" s="169">
        <v>281.97000000000003</v>
      </c>
      <c r="H13" s="169">
        <v>0</v>
      </c>
      <c r="I13" s="169">
        <v>0</v>
      </c>
      <c r="J13" s="169">
        <v>1013.75</v>
      </c>
      <c r="K13" s="169" t="s">
        <v>370</v>
      </c>
      <c r="L13" s="169">
        <v>80.599999999999994</v>
      </c>
      <c r="M13" s="169">
        <v>1505235600</v>
      </c>
      <c r="N13" s="169">
        <v>5</v>
      </c>
      <c r="O13" s="169">
        <v>3.95</v>
      </c>
      <c r="P13" s="169">
        <v>141</v>
      </c>
      <c r="Q13" s="169">
        <v>4.4800000000000004</v>
      </c>
      <c r="R13" s="169">
        <v>1.22</v>
      </c>
      <c r="S13"/>
    </row>
    <row r="14" spans="1:19" x14ac:dyDescent="0.25">
      <c r="A14" s="169">
        <v>84.34</v>
      </c>
      <c r="B14" s="169">
        <v>0.05</v>
      </c>
      <c r="C14" s="169">
        <v>46.41</v>
      </c>
      <c r="D14" s="8">
        <v>42990.5</v>
      </c>
      <c r="E14" s="169">
        <v>0.27</v>
      </c>
      <c r="F14" s="169" t="s">
        <v>369</v>
      </c>
      <c r="G14" s="169">
        <v>283.72000000000003</v>
      </c>
      <c r="H14" s="169">
        <v>0</v>
      </c>
      <c r="I14" s="169">
        <v>0</v>
      </c>
      <c r="J14" s="169">
        <v>1013.08</v>
      </c>
      <c r="K14" s="169" t="s">
        <v>370</v>
      </c>
      <c r="L14" s="169">
        <v>84.34</v>
      </c>
      <c r="M14" s="169">
        <v>1505239200</v>
      </c>
      <c r="N14" s="169">
        <v>7</v>
      </c>
      <c r="O14" s="169">
        <v>4.1100000000000003</v>
      </c>
      <c r="P14" s="169">
        <v>128</v>
      </c>
      <c r="Q14" s="169">
        <v>5.98</v>
      </c>
      <c r="R14" s="169">
        <v>1.3</v>
      </c>
      <c r="S14"/>
    </row>
    <row r="15" spans="1:19" x14ac:dyDescent="0.25">
      <c r="A15" s="169">
        <v>86.68</v>
      </c>
      <c r="B15" s="169">
        <v>7.0000000000000007E-2</v>
      </c>
      <c r="C15" s="169">
        <v>45.94</v>
      </c>
      <c r="D15" s="8">
        <v>42990.541666666664</v>
      </c>
      <c r="E15" s="169">
        <v>0.24</v>
      </c>
      <c r="F15" s="169" t="s">
        <v>369</v>
      </c>
      <c r="G15" s="169">
        <v>283.70999999999998</v>
      </c>
      <c r="H15" s="169">
        <v>0</v>
      </c>
      <c r="I15" s="169">
        <v>0</v>
      </c>
      <c r="J15" s="169">
        <v>1011.76</v>
      </c>
      <c r="K15" s="169" t="s">
        <v>370</v>
      </c>
      <c r="L15" s="169">
        <v>86.68</v>
      </c>
      <c r="M15" s="169">
        <v>1505242800</v>
      </c>
      <c r="N15" s="169">
        <v>8</v>
      </c>
      <c r="O15" s="169">
        <v>3.71</v>
      </c>
      <c r="P15" s="169">
        <v>91</v>
      </c>
      <c r="Q15" s="169">
        <v>6.75</v>
      </c>
      <c r="R15" s="169">
        <v>1.4</v>
      </c>
      <c r="S15"/>
    </row>
    <row r="16" spans="1:19" x14ac:dyDescent="0.25">
      <c r="A16" s="169">
        <v>88.36</v>
      </c>
      <c r="B16" s="169">
        <v>0.08</v>
      </c>
      <c r="C16" s="169">
        <v>44.17</v>
      </c>
      <c r="D16" s="8">
        <v>42990.583333333336</v>
      </c>
      <c r="E16" s="169">
        <v>0.22</v>
      </c>
      <c r="F16" s="169" t="s">
        <v>369</v>
      </c>
      <c r="G16" s="169">
        <v>283.48</v>
      </c>
      <c r="H16" s="169">
        <v>0</v>
      </c>
      <c r="I16" s="169">
        <v>0</v>
      </c>
      <c r="J16" s="169">
        <v>1010.69</v>
      </c>
      <c r="K16" s="169" t="s">
        <v>370</v>
      </c>
      <c r="L16" s="169">
        <v>88.36</v>
      </c>
      <c r="M16" s="169">
        <v>1505246400</v>
      </c>
      <c r="N16" s="169">
        <v>7</v>
      </c>
      <c r="O16" s="169">
        <v>3.88</v>
      </c>
      <c r="P16" s="169">
        <v>59</v>
      </c>
      <c r="Q16" s="169">
        <v>8.7200000000000006</v>
      </c>
      <c r="R16" s="169">
        <v>2.6</v>
      </c>
      <c r="S16"/>
    </row>
    <row r="17" spans="1:19" x14ac:dyDescent="0.25">
      <c r="A17" s="169">
        <v>89.15</v>
      </c>
      <c r="B17" s="169">
        <v>0.09</v>
      </c>
      <c r="C17" s="169">
        <v>43.36</v>
      </c>
      <c r="D17" s="8">
        <v>42990.625</v>
      </c>
      <c r="E17" s="169">
        <v>0.2</v>
      </c>
      <c r="F17" s="169" t="s">
        <v>369</v>
      </c>
      <c r="G17" s="169">
        <v>283.25</v>
      </c>
      <c r="H17" s="169">
        <v>0</v>
      </c>
      <c r="I17" s="169">
        <v>0</v>
      </c>
      <c r="J17" s="169">
        <v>1009.63</v>
      </c>
      <c r="K17" s="169" t="s">
        <v>370</v>
      </c>
      <c r="L17" s="169">
        <v>89.15</v>
      </c>
      <c r="M17" s="169">
        <v>1505250000</v>
      </c>
      <c r="N17" s="169">
        <v>5</v>
      </c>
      <c r="O17" s="169">
        <v>4.0999999999999996</v>
      </c>
      <c r="P17" s="169">
        <v>57</v>
      </c>
      <c r="Q17" s="169">
        <v>7.77</v>
      </c>
      <c r="R17" s="169">
        <v>2.06</v>
      </c>
      <c r="S17"/>
    </row>
    <row r="18" spans="1:19" x14ac:dyDescent="0.25">
      <c r="A18" s="169">
        <v>89.42</v>
      </c>
      <c r="B18" s="169">
        <v>7.0000000000000007E-2</v>
      </c>
      <c r="C18" s="169">
        <v>41.91</v>
      </c>
      <c r="D18" s="8">
        <v>42990.666666666664</v>
      </c>
      <c r="E18" s="169">
        <v>0.19</v>
      </c>
      <c r="F18" s="169" t="s">
        <v>369</v>
      </c>
      <c r="G18" s="169">
        <v>283.37</v>
      </c>
      <c r="H18" s="169">
        <v>0</v>
      </c>
      <c r="I18" s="169">
        <v>0</v>
      </c>
      <c r="J18" s="169">
        <v>1009.12</v>
      </c>
      <c r="K18" s="169" t="s">
        <v>370</v>
      </c>
      <c r="L18" s="169">
        <v>89.42</v>
      </c>
      <c r="M18" s="169">
        <v>1505253600</v>
      </c>
      <c r="N18" s="169">
        <v>3</v>
      </c>
      <c r="O18" s="169">
        <v>3.74</v>
      </c>
      <c r="P18" s="169">
        <v>40</v>
      </c>
      <c r="Q18" s="169">
        <v>7.25</v>
      </c>
      <c r="R18" s="169">
        <v>2.2400000000000002</v>
      </c>
      <c r="S18"/>
    </row>
    <row r="19" spans="1:19" x14ac:dyDescent="0.25">
      <c r="A19" s="169">
        <v>86.93</v>
      </c>
      <c r="B19" s="169">
        <v>7.0000000000000007E-2</v>
      </c>
      <c r="C19" s="169">
        <v>42.07</v>
      </c>
      <c r="D19" s="8">
        <v>42990.708333333336</v>
      </c>
      <c r="E19" s="169">
        <v>0.21</v>
      </c>
      <c r="F19" s="169" t="s">
        <v>369</v>
      </c>
      <c r="G19" s="169">
        <v>283.60000000000002</v>
      </c>
      <c r="H19" s="169">
        <v>0</v>
      </c>
      <c r="I19" s="169">
        <v>0</v>
      </c>
      <c r="J19" s="169">
        <v>1008.73</v>
      </c>
      <c r="K19" s="169" t="s">
        <v>370</v>
      </c>
      <c r="L19" s="169">
        <v>86.93</v>
      </c>
      <c r="M19" s="169">
        <v>1505257200</v>
      </c>
      <c r="N19" s="169">
        <v>1</v>
      </c>
      <c r="O19" s="169">
        <v>4.0999999999999996</v>
      </c>
      <c r="P19" s="169">
        <v>34</v>
      </c>
      <c r="Q19" s="169">
        <v>5.22</v>
      </c>
      <c r="R19" s="169">
        <v>1.46</v>
      </c>
      <c r="S19"/>
    </row>
    <row r="20" spans="1:19" x14ac:dyDescent="0.25">
      <c r="A20" s="169">
        <v>86.31</v>
      </c>
      <c r="B20" s="169">
        <v>0.06</v>
      </c>
      <c r="C20" s="169">
        <v>42.52</v>
      </c>
      <c r="D20" s="8">
        <v>42990.75</v>
      </c>
      <c r="E20" s="169">
        <v>0.22</v>
      </c>
      <c r="F20" s="169" t="s">
        <v>369</v>
      </c>
      <c r="G20" s="169">
        <v>281.73</v>
      </c>
      <c r="H20" s="169">
        <v>0</v>
      </c>
      <c r="I20" s="169">
        <v>0</v>
      </c>
      <c r="J20" s="169">
        <v>1008.78</v>
      </c>
      <c r="K20" s="169" t="s">
        <v>370</v>
      </c>
      <c r="L20" s="169">
        <v>86.31</v>
      </c>
      <c r="M20" s="169">
        <v>1505260800</v>
      </c>
      <c r="N20" s="169">
        <v>1</v>
      </c>
      <c r="O20" s="169">
        <v>4.0999999999999996</v>
      </c>
      <c r="P20" s="169">
        <v>13</v>
      </c>
      <c r="Q20" s="169">
        <v>3.98</v>
      </c>
      <c r="R20" s="169">
        <v>1.53</v>
      </c>
      <c r="S20"/>
    </row>
    <row r="21" spans="1:19" x14ac:dyDescent="0.25">
      <c r="A21" s="169">
        <v>82.32</v>
      </c>
      <c r="B21" s="169">
        <v>0.05</v>
      </c>
      <c r="C21" s="169">
        <v>44.3</v>
      </c>
      <c r="D21" s="8">
        <v>42990.791666666664</v>
      </c>
      <c r="E21" s="169">
        <v>0.26</v>
      </c>
      <c r="F21" s="169" t="s">
        <v>369</v>
      </c>
      <c r="G21" s="169">
        <v>281.73</v>
      </c>
      <c r="H21" s="169">
        <v>0</v>
      </c>
      <c r="I21" s="169">
        <v>0</v>
      </c>
      <c r="J21" s="169">
        <v>1009</v>
      </c>
      <c r="K21" s="169" t="s">
        <v>370</v>
      </c>
      <c r="L21" s="169">
        <v>82.32</v>
      </c>
      <c r="M21" s="169">
        <v>1505264400</v>
      </c>
      <c r="N21" s="169">
        <v>0</v>
      </c>
      <c r="O21" s="169">
        <v>3.15</v>
      </c>
      <c r="P21" s="169">
        <v>3</v>
      </c>
      <c r="Q21" s="169">
        <v>1.74</v>
      </c>
      <c r="R21" s="169">
        <v>0.72</v>
      </c>
      <c r="S21"/>
    </row>
    <row r="22" spans="1:19" x14ac:dyDescent="0.25">
      <c r="A22" s="169">
        <v>76.03</v>
      </c>
      <c r="B22" s="169">
        <v>0.1</v>
      </c>
      <c r="C22" s="169">
        <v>45.62</v>
      </c>
      <c r="D22" s="8">
        <v>42990.833333333336</v>
      </c>
      <c r="E22" s="169">
        <v>0.34</v>
      </c>
      <c r="F22" s="169" t="s">
        <v>371</v>
      </c>
      <c r="G22" s="169">
        <v>281.97000000000003</v>
      </c>
      <c r="H22" s="169">
        <v>0</v>
      </c>
      <c r="I22" s="169">
        <v>0</v>
      </c>
      <c r="J22" s="169">
        <v>1009.15</v>
      </c>
      <c r="K22" s="169" t="s">
        <v>370</v>
      </c>
      <c r="L22" s="169">
        <v>76.03</v>
      </c>
      <c r="M22" s="169">
        <v>1505268000</v>
      </c>
      <c r="N22" s="169">
        <v>0</v>
      </c>
      <c r="O22" s="169">
        <v>3.49</v>
      </c>
      <c r="P22" s="169">
        <v>295</v>
      </c>
      <c r="Q22" s="169">
        <v>2.42</v>
      </c>
      <c r="R22" s="169">
        <v>0.93</v>
      </c>
      <c r="S22"/>
    </row>
    <row r="23" spans="1:19" x14ac:dyDescent="0.25">
      <c r="A23" s="169">
        <v>73</v>
      </c>
      <c r="B23" s="169">
        <v>0.1</v>
      </c>
      <c r="C23" s="169">
        <v>45.54</v>
      </c>
      <c r="D23" s="8">
        <v>42990.875</v>
      </c>
      <c r="E23" s="169">
        <v>0.38</v>
      </c>
      <c r="F23" s="169" t="s">
        <v>371</v>
      </c>
      <c r="G23" s="169">
        <v>281.98</v>
      </c>
      <c r="H23" s="169">
        <v>0</v>
      </c>
      <c r="I23" s="169">
        <v>0</v>
      </c>
      <c r="J23" s="169">
        <v>1009.56</v>
      </c>
      <c r="K23" s="169" t="s">
        <v>370</v>
      </c>
      <c r="L23" s="169">
        <v>73</v>
      </c>
      <c r="M23" s="169">
        <v>1505271600</v>
      </c>
      <c r="N23" s="169">
        <v>0</v>
      </c>
      <c r="O23" s="169">
        <v>3.51</v>
      </c>
      <c r="P23" s="169">
        <v>235</v>
      </c>
      <c r="Q23" s="169">
        <v>3.45</v>
      </c>
      <c r="R23" s="169">
        <v>1.23</v>
      </c>
      <c r="S23"/>
    </row>
    <row r="24" spans="1:19" x14ac:dyDescent="0.25">
      <c r="A24" s="169">
        <v>72.12</v>
      </c>
      <c r="B24" s="169">
        <v>0.08</v>
      </c>
      <c r="C24" s="169">
        <v>45.32</v>
      </c>
      <c r="D24" s="8">
        <v>42990.916666666664</v>
      </c>
      <c r="E24" s="169">
        <v>0.38</v>
      </c>
      <c r="F24" s="169" t="s">
        <v>371</v>
      </c>
      <c r="G24" s="169">
        <v>281.74</v>
      </c>
      <c r="H24" s="169">
        <v>0</v>
      </c>
      <c r="I24" s="169">
        <v>0</v>
      </c>
      <c r="J24" s="169">
        <v>1009.01</v>
      </c>
      <c r="K24" s="169" t="s">
        <v>370</v>
      </c>
      <c r="L24" s="169">
        <v>72.12</v>
      </c>
      <c r="M24" s="169">
        <v>1505275200</v>
      </c>
      <c r="N24" s="169">
        <v>0</v>
      </c>
      <c r="O24" s="169">
        <v>4.51</v>
      </c>
      <c r="P24" s="169">
        <v>192</v>
      </c>
      <c r="Q24" s="169">
        <v>3.67</v>
      </c>
      <c r="R24" s="169">
        <v>0.39</v>
      </c>
      <c r="S24"/>
    </row>
    <row r="25" spans="1:19" x14ac:dyDescent="0.25">
      <c r="A25" s="169">
        <v>69.239999999999995</v>
      </c>
      <c r="B25" s="169">
        <v>0.1</v>
      </c>
      <c r="C25" s="169">
        <v>44.68</v>
      </c>
      <c r="D25" s="8">
        <v>42990.958333333336</v>
      </c>
      <c r="E25" s="169">
        <v>0.41</v>
      </c>
      <c r="F25" s="169" t="s">
        <v>371</v>
      </c>
      <c r="G25" s="169">
        <v>281.16000000000003</v>
      </c>
      <c r="H25" s="169">
        <v>0</v>
      </c>
      <c r="I25" s="169">
        <v>0</v>
      </c>
      <c r="J25" s="169">
        <v>1009.16</v>
      </c>
      <c r="K25" s="169" t="s">
        <v>370</v>
      </c>
      <c r="L25" s="169">
        <v>69.239999999999995</v>
      </c>
      <c r="M25" s="169">
        <v>1505278800</v>
      </c>
      <c r="N25" s="169">
        <v>0</v>
      </c>
      <c r="O25" s="169">
        <v>2.2999999999999998</v>
      </c>
      <c r="P25" s="169">
        <v>189</v>
      </c>
      <c r="Q25" s="169">
        <v>3.86</v>
      </c>
      <c r="R25" s="169">
        <v>1.23</v>
      </c>
      <c r="S25"/>
    </row>
    <row r="26" spans="1:19" x14ac:dyDescent="0.25">
      <c r="A26" s="169">
        <v>67.510000000000005</v>
      </c>
      <c r="B26" s="169">
        <v>0.02</v>
      </c>
      <c r="C26" s="169">
        <v>43.98</v>
      </c>
      <c r="D26" s="8">
        <v>42991</v>
      </c>
      <c r="E26" s="169">
        <v>0.43</v>
      </c>
      <c r="F26" s="169" t="s">
        <v>371</v>
      </c>
      <c r="G26" s="169">
        <v>280.57</v>
      </c>
      <c r="H26" s="169">
        <v>0</v>
      </c>
      <c r="I26" s="169">
        <v>0</v>
      </c>
      <c r="J26" s="169">
        <v>1008.66</v>
      </c>
      <c r="K26" s="169" t="s">
        <v>370</v>
      </c>
      <c r="L26" s="169">
        <v>67.510000000000005</v>
      </c>
      <c r="M26" s="169">
        <v>1505282400</v>
      </c>
      <c r="N26" s="169">
        <v>0</v>
      </c>
      <c r="O26" s="169">
        <v>2.66</v>
      </c>
      <c r="P26" s="169">
        <v>192</v>
      </c>
      <c r="Q26" s="169">
        <v>4.6399999999999997</v>
      </c>
      <c r="R26" s="169">
        <v>1.1399999999999999</v>
      </c>
      <c r="S26"/>
    </row>
    <row r="27" spans="1:19" x14ac:dyDescent="0.25">
      <c r="A27" s="169">
        <v>65.86</v>
      </c>
      <c r="B27" s="169">
        <v>0.18</v>
      </c>
      <c r="C27" s="169">
        <v>43.81</v>
      </c>
      <c r="D27" s="8">
        <v>42991.041666666664</v>
      </c>
      <c r="E27" s="169">
        <v>0.45</v>
      </c>
      <c r="F27" s="169" t="s">
        <v>371</v>
      </c>
      <c r="G27" s="169">
        <v>280.10000000000002</v>
      </c>
      <c r="H27" s="169">
        <v>0</v>
      </c>
      <c r="I27" s="169">
        <v>0</v>
      </c>
      <c r="J27" s="169">
        <v>1008.39</v>
      </c>
      <c r="K27" s="169" t="s">
        <v>370</v>
      </c>
      <c r="L27" s="169">
        <v>65.86</v>
      </c>
      <c r="M27" s="169">
        <v>1505286000</v>
      </c>
      <c r="N27" s="169">
        <v>0</v>
      </c>
      <c r="O27" s="169">
        <v>2.98</v>
      </c>
      <c r="P27" s="169">
        <v>221</v>
      </c>
      <c r="Q27" s="169">
        <v>3.58</v>
      </c>
      <c r="R27" s="169">
        <v>1.18</v>
      </c>
      <c r="S27"/>
    </row>
    <row r="28" spans="1:19" x14ac:dyDescent="0.25">
      <c r="A28" s="169">
        <v>64.680000000000007</v>
      </c>
      <c r="B28" s="169">
        <v>0.04</v>
      </c>
      <c r="C28" s="169">
        <v>43.67</v>
      </c>
      <c r="D28" s="8">
        <v>42991.083333333336</v>
      </c>
      <c r="E28" s="169">
        <v>0.46</v>
      </c>
      <c r="F28" s="169" t="s">
        <v>371</v>
      </c>
      <c r="G28" s="169">
        <v>279.62</v>
      </c>
      <c r="H28" s="169">
        <v>0</v>
      </c>
      <c r="I28" s="169">
        <v>0</v>
      </c>
      <c r="J28" s="169">
        <v>1008.24</v>
      </c>
      <c r="K28" s="169" t="s">
        <v>370</v>
      </c>
      <c r="L28" s="169">
        <v>64.680000000000007</v>
      </c>
      <c r="M28" s="169">
        <v>1505289600</v>
      </c>
      <c r="N28" s="169">
        <v>0</v>
      </c>
      <c r="O28" s="169">
        <v>3.32</v>
      </c>
      <c r="P28" s="169">
        <v>206</v>
      </c>
      <c r="Q28" s="169">
        <v>3.35</v>
      </c>
      <c r="R28" s="169">
        <v>1.38</v>
      </c>
      <c r="S28"/>
    </row>
    <row r="29" spans="1:19" x14ac:dyDescent="0.25">
      <c r="A29" s="169">
        <v>63.64</v>
      </c>
      <c r="B29" s="169">
        <v>0.03</v>
      </c>
      <c r="C29" s="169">
        <v>43.41</v>
      </c>
      <c r="D29" s="8">
        <v>42991.125</v>
      </c>
      <c r="E29" s="169">
        <v>0.48</v>
      </c>
      <c r="F29" s="169" t="s">
        <v>371</v>
      </c>
      <c r="G29" s="169">
        <v>279.27</v>
      </c>
      <c r="H29" s="169">
        <v>0</v>
      </c>
      <c r="I29" s="169">
        <v>0</v>
      </c>
      <c r="J29" s="169">
        <v>1008.72</v>
      </c>
      <c r="K29" s="169" t="s">
        <v>370</v>
      </c>
      <c r="L29" s="169">
        <v>63.64</v>
      </c>
      <c r="M29" s="169">
        <v>1505293200</v>
      </c>
      <c r="N29" s="169">
        <v>0</v>
      </c>
      <c r="O29" s="169">
        <v>3.83</v>
      </c>
      <c r="P29" s="169">
        <v>208</v>
      </c>
      <c r="Q29" s="169">
        <v>3.9</v>
      </c>
      <c r="R29" s="169">
        <v>1.42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42990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352</v>
      </c>
      <c r="AE2" s="56" t="s">
        <v>355</v>
      </c>
      <c r="AF2" s="56" t="s">
        <v>356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353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354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357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954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955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956</v>
      </c>
      <c r="J20" s="140" t="s">
        <v>87</v>
      </c>
      <c r="M20" s="154" t="s">
        <v>344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957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958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959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960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961</v>
      </c>
      <c r="J25" s="140" t="s">
        <v>146</v>
      </c>
      <c r="M25" s="154" t="b">
        <v>1</v>
      </c>
    </row>
    <row r="26" spans="3:24" x14ac:dyDescent="0.25">
      <c r="C26" t="s">
        <v>962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C:\Users\stu\Documents\GitHub\eaglep3-reporting\EC\2017-09-12-refined-times.txt</v>
      </c>
    </row>
    <row r="27" spans="3:24" x14ac:dyDescent="0.25">
      <c r="C27" t="s">
        <v>963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C:\Users\stu\Documents\GitHub\eaglep3-reporting\EC\2017-09-12-Enforcements.txt</v>
      </c>
    </row>
    <row r="28" spans="3:24" x14ac:dyDescent="0.25">
      <c r="C28" t="s">
        <v>964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C:\Users\stu\Documents\GitHub\eaglep3-reporting\EC\2017-09-12-Runs-refined.txt</v>
      </c>
    </row>
    <row r="29" spans="3:24" x14ac:dyDescent="0.25">
      <c r="C29" t="s">
        <v>965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C:\Users\stu\Documents\GitHub\eaglep3-reporting\EC\2017-09-12-Trips.txt</v>
      </c>
    </row>
    <row r="30" spans="3:24" x14ac:dyDescent="0.25">
      <c r="C30" t="s">
        <v>966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C:\Users\stu\Documents\GitHub\eaglep3-reporting\EC\2017-09-12-Weather.txt</v>
      </c>
    </row>
    <row r="31" spans="3:24" x14ac:dyDescent="0.25">
      <c r="C31" t="s">
        <v>967</v>
      </c>
      <c r="J31" s="140" t="s">
        <v>193</v>
      </c>
      <c r="M31" s="154" t="s">
        <v>194</v>
      </c>
    </row>
    <row r="32" spans="3:24" x14ac:dyDescent="0.25">
      <c r="C32" t="s">
        <v>968</v>
      </c>
    </row>
    <row r="33" spans="3:3" x14ac:dyDescent="0.25">
      <c r="C33" t="s">
        <v>969</v>
      </c>
    </row>
    <row r="34" spans="3:3" x14ac:dyDescent="0.25">
      <c r="C34" t="s">
        <v>970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2017-09-13T15:33:05Z</dcterms:modified>
</cp:coreProperties>
</file>