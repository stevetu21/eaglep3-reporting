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6" i="1" l="1"/>
  <c r="L66" i="1"/>
  <c r="M66" i="1"/>
  <c r="P66" i="1" s="1"/>
  <c r="V66" i="1"/>
  <c r="Y66" i="1"/>
  <c r="Z66" i="1"/>
  <c r="AA66" i="1" s="1"/>
  <c r="AB66" i="1"/>
  <c r="AC66" i="1"/>
  <c r="AD66" i="1"/>
  <c r="AG66" i="1" s="1"/>
  <c r="AE66" i="1"/>
  <c r="AF66" i="1"/>
  <c r="AH66" i="1"/>
  <c r="V54" i="1"/>
  <c r="V55" i="1"/>
  <c r="W66" i="1" l="1"/>
  <c r="AI66" i="1"/>
  <c r="T66" i="1"/>
  <c r="U66" i="1" s="1"/>
  <c r="S66" i="1" s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X15" i="1" s="1"/>
  <c r="AE15" i="1"/>
  <c r="AF15" i="1"/>
  <c r="AH15" i="1"/>
  <c r="K16" i="1"/>
  <c r="L16" i="1"/>
  <c r="M16" i="1"/>
  <c r="P16" i="1" s="1"/>
  <c r="V16" i="1"/>
  <c r="Y16" i="1"/>
  <c r="Z16" i="1"/>
  <c r="AA16" i="1" s="1"/>
  <c r="AB16" i="1"/>
  <c r="AC16" i="1"/>
  <c r="AD16" i="1"/>
  <c r="T16" i="1" s="1"/>
  <c r="AE16" i="1"/>
  <c r="R8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V18" i="1"/>
  <c r="S9" i="3" s="1"/>
  <c r="Y18" i="1"/>
  <c r="Z18" i="1"/>
  <c r="AB18" i="1"/>
  <c r="AC18" i="1"/>
  <c r="AD18" i="1"/>
  <c r="T18" i="1" s="1"/>
  <c r="AE18" i="1"/>
  <c r="R9" i="3" s="1"/>
  <c r="AF18" i="1"/>
  <c r="AH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V21" i="1"/>
  <c r="S11" i="3" s="1"/>
  <c r="Y21" i="1"/>
  <c r="Z21" i="1"/>
  <c r="AB21" i="1"/>
  <c r="AC21" i="1"/>
  <c r="AD21" i="1"/>
  <c r="AE21" i="1"/>
  <c r="R11" i="3" s="1"/>
  <c r="AF21" i="1"/>
  <c r="AH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P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V34" i="1"/>
  <c r="S14" i="3" s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S12" i="3" s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V37" i="1"/>
  <c r="Y37" i="1"/>
  <c r="Z37" i="1"/>
  <c r="AB37" i="1"/>
  <c r="AC37" i="1"/>
  <c r="AD37" i="1"/>
  <c r="AE37" i="1"/>
  <c r="AF37" i="1"/>
  <c r="AH37" i="1"/>
  <c r="K38" i="1"/>
  <c r="L38" i="1"/>
  <c r="M38" i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V45" i="1"/>
  <c r="S16" i="3" s="1"/>
  <c r="Y45" i="1"/>
  <c r="Z45" i="1"/>
  <c r="AB45" i="1"/>
  <c r="AC45" i="1"/>
  <c r="AD45" i="1"/>
  <c r="AE45" i="1"/>
  <c r="R16" i="3" s="1"/>
  <c r="AF45" i="1"/>
  <c r="AH45" i="1"/>
  <c r="K46" i="1"/>
  <c r="L46" i="1"/>
  <c r="M46" i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19" i="3" s="1"/>
  <c r="AF52" i="1"/>
  <c r="AH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P54" i="1" s="1"/>
  <c r="Y54" i="1"/>
  <c r="Z54" i="1"/>
  <c r="AB54" i="1"/>
  <c r="AC54" i="1"/>
  <c r="AD54" i="1"/>
  <c r="AE54" i="1"/>
  <c r="AF54" i="1"/>
  <c r="AH54" i="1"/>
  <c r="K55" i="1"/>
  <c r="L55" i="1"/>
  <c r="M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K61" i="1"/>
  <c r="L61" i="1"/>
  <c r="M61" i="1"/>
  <c r="V61" i="1"/>
  <c r="Y61" i="1"/>
  <c r="Z61" i="1"/>
  <c r="AB61" i="1"/>
  <c r="AC61" i="1"/>
  <c r="AD61" i="1"/>
  <c r="AG61" i="1" s="1"/>
  <c r="AE61" i="1"/>
  <c r="R20" i="3" s="1"/>
  <c r="AF61" i="1"/>
  <c r="AH61" i="1"/>
  <c r="K62" i="1"/>
  <c r="L62" i="1"/>
  <c r="M62" i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V64" i="1"/>
  <c r="Y64" i="1"/>
  <c r="Z64" i="1"/>
  <c r="AB64" i="1"/>
  <c r="AC64" i="1"/>
  <c r="AD64" i="1"/>
  <c r="X64" i="1" s="1"/>
  <c r="AE64" i="1"/>
  <c r="R21" i="3" s="1"/>
  <c r="AF64" i="1"/>
  <c r="AH64" i="1"/>
  <c r="K65" i="1"/>
  <c r="L65" i="1"/>
  <c r="M65" i="1"/>
  <c r="V65" i="1"/>
  <c r="Y65" i="1"/>
  <c r="Z65" i="1"/>
  <c r="AB65" i="1"/>
  <c r="AC65" i="1"/>
  <c r="AD65" i="1"/>
  <c r="AG65" i="1" s="1"/>
  <c r="AE65" i="1"/>
  <c r="AF65" i="1"/>
  <c r="AH65" i="1"/>
  <c r="K67" i="1"/>
  <c r="L67" i="1"/>
  <c r="M67" i="1"/>
  <c r="V67" i="1"/>
  <c r="Y67" i="1"/>
  <c r="Z67" i="1"/>
  <c r="AB67" i="1"/>
  <c r="AC67" i="1"/>
  <c r="AD67" i="1"/>
  <c r="AE67" i="1"/>
  <c r="AF67" i="1"/>
  <c r="AH67" i="1"/>
  <c r="K68" i="1"/>
  <c r="L68" i="1"/>
  <c r="M68" i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K70" i="1"/>
  <c r="L70" i="1"/>
  <c r="M70" i="1"/>
  <c r="V70" i="1"/>
  <c r="Y70" i="1"/>
  <c r="Z70" i="1"/>
  <c r="AB70" i="1"/>
  <c r="AC70" i="1"/>
  <c r="AD70" i="1"/>
  <c r="AE70" i="1"/>
  <c r="AF70" i="1"/>
  <c r="AH70" i="1"/>
  <c r="K71" i="1"/>
  <c r="L71" i="1"/>
  <c r="M71" i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R22" i="3" s="1"/>
  <c r="AF74" i="1"/>
  <c r="AH74" i="1"/>
  <c r="K75" i="1"/>
  <c r="L75" i="1"/>
  <c r="M75" i="1"/>
  <c r="V75" i="1"/>
  <c r="Y75" i="1"/>
  <c r="Z75" i="1"/>
  <c r="AB75" i="1"/>
  <c r="AC75" i="1"/>
  <c r="AD75" i="1"/>
  <c r="AE75" i="1"/>
  <c r="R24" i="3" s="1"/>
  <c r="AF75" i="1"/>
  <c r="AH75" i="1"/>
  <c r="K76" i="1"/>
  <c r="L76" i="1"/>
  <c r="M76" i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P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R23" i="3" s="1"/>
  <c r="AF84" i="1"/>
  <c r="AH84" i="1"/>
  <c r="K85" i="1"/>
  <c r="L85" i="1"/>
  <c r="M85" i="1"/>
  <c r="P85" i="1" s="1"/>
  <c r="V85" i="1"/>
  <c r="Y85" i="1"/>
  <c r="Z85" i="1"/>
  <c r="AB85" i="1"/>
  <c r="AC85" i="1"/>
  <c r="AD85" i="1"/>
  <c r="AG85" i="1" s="1"/>
  <c r="AE85" i="1"/>
  <c r="R30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S29" i="3" s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S32" i="3" s="1"/>
  <c r="Y95" i="1"/>
  <c r="Z95" i="1"/>
  <c r="AB95" i="1"/>
  <c r="AC95" i="1"/>
  <c r="AD95" i="1"/>
  <c r="X95" i="1" s="1"/>
  <c r="AE95" i="1"/>
  <c r="R32" i="3" s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35" i="3" s="1"/>
  <c r="AF101" i="1"/>
  <c r="AH101" i="1"/>
  <c r="K102" i="1"/>
  <c r="L102" i="1"/>
  <c r="M102" i="1"/>
  <c r="N102" i="1" s="1"/>
  <c r="V102" i="1"/>
  <c r="S31" i="3" s="1"/>
  <c r="Y102" i="1"/>
  <c r="Z102" i="1"/>
  <c r="AB102" i="1"/>
  <c r="AC102" i="1"/>
  <c r="AD102" i="1"/>
  <c r="AE102" i="1"/>
  <c r="R31" i="3" s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S33" i="3" s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S37" i="3" s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R36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S39" i="3" s="1"/>
  <c r="Y126" i="1"/>
  <c r="Z126" i="1"/>
  <c r="AB126" i="1"/>
  <c r="AC126" i="1"/>
  <c r="AD126" i="1"/>
  <c r="X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R41" i="3" s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S46" i="3" s="1"/>
  <c r="Y153" i="1"/>
  <c r="Z153" i="1"/>
  <c r="AB153" i="1"/>
  <c r="AC153" i="1"/>
  <c r="AD153" i="1"/>
  <c r="AG153" i="1" s="1"/>
  <c r="AE153" i="1"/>
  <c r="R46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S45" i="3" s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R47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S49" i="3" s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64" i="1"/>
  <c r="K165" i="1"/>
  <c r="L165" i="1"/>
  <c r="M165" i="1"/>
  <c r="N165" i="1" s="1"/>
  <c r="V165" i="1"/>
  <c r="S50" i="3" s="1"/>
  <c r="Y165" i="1"/>
  <c r="Z165" i="1"/>
  <c r="AB165" i="1"/>
  <c r="AC165" i="1"/>
  <c r="AD165" i="1"/>
  <c r="AG165" i="1" s="1"/>
  <c r="AE165" i="1"/>
  <c r="R50" i="3" s="1"/>
  <c r="AF165" i="1"/>
  <c r="AH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V169" i="1"/>
  <c r="Y169" i="1"/>
  <c r="Z169" i="1"/>
  <c r="AB169" i="1"/>
  <c r="AC169" i="1"/>
  <c r="AD169" i="1"/>
  <c r="T169" i="1" s="1"/>
  <c r="AE169" i="1"/>
  <c r="AF169" i="1"/>
  <c r="AH169" i="1"/>
  <c r="K170" i="1"/>
  <c r="L170" i="1"/>
  <c r="M170" i="1"/>
  <c r="V170" i="1"/>
  <c r="Y170" i="1"/>
  <c r="Z170" i="1"/>
  <c r="AB170" i="1"/>
  <c r="AC170" i="1"/>
  <c r="AD170" i="1"/>
  <c r="T170" i="1" s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74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5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6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8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9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8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81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82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83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4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85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6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7" i="1"/>
  <c r="K241" i="1"/>
  <c r="L241" i="1"/>
  <c r="M241" i="1"/>
  <c r="N241" i="1" s="1"/>
  <c r="V241" i="1"/>
  <c r="S42" i="3" s="1"/>
  <c r="Y241" i="1"/>
  <c r="Z241" i="1"/>
  <c r="AB241" i="1"/>
  <c r="AC241" i="1"/>
  <c r="AD241" i="1"/>
  <c r="T241" i="1" s="1"/>
  <c r="AE241" i="1"/>
  <c r="AF241" i="1"/>
  <c r="AH188" i="1"/>
  <c r="K242" i="1"/>
  <c r="L242" i="1"/>
  <c r="M242" i="1"/>
  <c r="N242" i="1" s="1"/>
  <c r="V242" i="1"/>
  <c r="Y242" i="1"/>
  <c r="Z242" i="1"/>
  <c r="AA242" i="1" s="1"/>
  <c r="AB242" i="1"/>
  <c r="AC242" i="1"/>
  <c r="AD242" i="1"/>
  <c r="AE242" i="1"/>
  <c r="AF242" i="1"/>
  <c r="AH18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2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19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13" i="3" s="1"/>
  <c r="AF179" i="1"/>
  <c r="AH194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7" i="1"/>
  <c r="K183" i="1"/>
  <c r="L183" i="1"/>
  <c r="M183" i="1"/>
  <c r="N183" i="1" s="1"/>
  <c r="V183" i="1"/>
  <c r="S15" i="3" s="1"/>
  <c r="Y183" i="1"/>
  <c r="Z183" i="1"/>
  <c r="AB183" i="1"/>
  <c r="AC183" i="1"/>
  <c r="AD183" i="1"/>
  <c r="T183" i="1" s="1"/>
  <c r="AE183" i="1"/>
  <c r="R15" i="3" s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9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0" i="1"/>
  <c r="K186" i="1"/>
  <c r="L186" i="1"/>
  <c r="M186" i="1"/>
  <c r="N186" i="1" s="1"/>
  <c r="V186" i="1"/>
  <c r="S18" i="3" s="1"/>
  <c r="Y186" i="1"/>
  <c r="Z186" i="1"/>
  <c r="AB186" i="1"/>
  <c r="AC186" i="1"/>
  <c r="AD186" i="1"/>
  <c r="X186" i="1" s="1"/>
  <c r="AE186" i="1"/>
  <c r="R18" i="3" s="1"/>
  <c r="AF186" i="1"/>
  <c r="AH20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2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6" i="1"/>
  <c r="K193" i="1"/>
  <c r="L193" i="1"/>
  <c r="M193" i="1"/>
  <c r="N193" i="1" s="1"/>
  <c r="V193" i="1"/>
  <c r="S26" i="3" s="1"/>
  <c r="Y193" i="1"/>
  <c r="Z193" i="1"/>
  <c r="AB193" i="1"/>
  <c r="AC193" i="1"/>
  <c r="AD193" i="1"/>
  <c r="T193" i="1" s="1"/>
  <c r="AE193" i="1"/>
  <c r="R26" i="3" s="1"/>
  <c r="AF193" i="1"/>
  <c r="AH20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1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3" i="1"/>
  <c r="K200" i="1"/>
  <c r="L200" i="1"/>
  <c r="M200" i="1"/>
  <c r="N200" i="1" s="1"/>
  <c r="V200" i="1"/>
  <c r="S38" i="3" s="1"/>
  <c r="Y200" i="1"/>
  <c r="Z200" i="1"/>
  <c r="AB200" i="1"/>
  <c r="AC200" i="1"/>
  <c r="AD200" i="1"/>
  <c r="AE200" i="1"/>
  <c r="R38" i="3" s="1"/>
  <c r="AF200" i="1"/>
  <c r="AH21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6" i="1"/>
  <c r="AH217" i="1"/>
  <c r="K203" i="1"/>
  <c r="L203" i="1"/>
  <c r="M203" i="1"/>
  <c r="N203" i="1" s="1"/>
  <c r="V203" i="1"/>
  <c r="S40" i="3" s="1"/>
  <c r="Y203" i="1"/>
  <c r="Z203" i="1"/>
  <c r="AB203" i="1"/>
  <c r="AC203" i="1"/>
  <c r="AD203" i="1"/>
  <c r="AG203" i="1" s="1"/>
  <c r="AE203" i="1"/>
  <c r="R40" i="3" s="1"/>
  <c r="AF203" i="1"/>
  <c r="AH218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19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0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21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2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4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2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2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27" i="1"/>
  <c r="K213" i="1"/>
  <c r="L213" i="1"/>
  <c r="M213" i="1"/>
  <c r="N213" i="1" s="1"/>
  <c r="V213" i="1"/>
  <c r="S43" i="3" s="1"/>
  <c r="Y213" i="1"/>
  <c r="Z213" i="1"/>
  <c r="AB213" i="1"/>
  <c r="AC213" i="1"/>
  <c r="AD213" i="1"/>
  <c r="T213" i="1" s="1"/>
  <c r="AE213" i="1"/>
  <c r="R43" i="3" s="1"/>
  <c r="AF213" i="1"/>
  <c r="AH22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29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30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31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2" i="1"/>
  <c r="K218" i="1"/>
  <c r="L218" i="1"/>
  <c r="M218" i="1"/>
  <c r="N218" i="1" s="1"/>
  <c r="V218" i="1"/>
  <c r="S44" i="3" s="1"/>
  <c r="Y218" i="1"/>
  <c r="Z218" i="1"/>
  <c r="AB218" i="1"/>
  <c r="AC218" i="1"/>
  <c r="AD218" i="1"/>
  <c r="T218" i="1" s="1"/>
  <c r="AE218" i="1"/>
  <c r="R44" i="3" s="1"/>
  <c r="AF218" i="1"/>
  <c r="AH233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4" i="1"/>
  <c r="K220" i="1"/>
  <c r="L220" i="1"/>
  <c r="M220" i="1"/>
  <c r="N220" i="1" s="1"/>
  <c r="V220" i="1"/>
  <c r="S48" i="3" s="1"/>
  <c r="Y220" i="1"/>
  <c r="Z220" i="1"/>
  <c r="AB220" i="1"/>
  <c r="AC220" i="1"/>
  <c r="AD220" i="1"/>
  <c r="AG220" i="1" s="1"/>
  <c r="AE220" i="1"/>
  <c r="R48" i="3" s="1"/>
  <c r="AF220" i="1"/>
  <c r="AH235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36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7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238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9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40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41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242" i="1"/>
  <c r="M8" i="3"/>
  <c r="N8" i="3"/>
  <c r="S8" i="3"/>
  <c r="U8" i="3"/>
  <c r="V8" i="3"/>
  <c r="W8" i="3"/>
  <c r="X8" i="3"/>
  <c r="Y8" i="3"/>
  <c r="M9" i="3"/>
  <c r="N9" i="3"/>
  <c r="U9" i="3"/>
  <c r="AD9" i="3" s="1"/>
  <c r="V9" i="3"/>
  <c r="W9" i="3"/>
  <c r="X9" i="3"/>
  <c r="AC9" i="3"/>
  <c r="M10" i="3"/>
  <c r="N10" i="3"/>
  <c r="R10" i="3"/>
  <c r="U10" i="3"/>
  <c r="V10" i="3"/>
  <c r="W10" i="3"/>
  <c r="X10" i="3"/>
  <c r="M11" i="3"/>
  <c r="N11" i="3"/>
  <c r="U11" i="3"/>
  <c r="V11" i="3"/>
  <c r="W11" i="3"/>
  <c r="Y11" i="3" s="1"/>
  <c r="X11" i="3"/>
  <c r="AC11" i="3"/>
  <c r="M12" i="3"/>
  <c r="N12" i="3"/>
  <c r="R12" i="3"/>
  <c r="U12" i="3"/>
  <c r="V12" i="3"/>
  <c r="W12" i="3"/>
  <c r="X12" i="3"/>
  <c r="M13" i="3"/>
  <c r="N13" i="3"/>
  <c r="S13" i="3"/>
  <c r="U13" i="3"/>
  <c r="V13" i="3"/>
  <c r="W13" i="3"/>
  <c r="X13" i="3"/>
  <c r="AC13" i="3"/>
  <c r="M14" i="3"/>
  <c r="N14" i="3"/>
  <c r="R14" i="3"/>
  <c r="U14" i="3"/>
  <c r="V14" i="3"/>
  <c r="W14" i="3"/>
  <c r="X14" i="3"/>
  <c r="M15" i="3"/>
  <c r="N15" i="3"/>
  <c r="U15" i="3"/>
  <c r="V15" i="3"/>
  <c r="W15" i="3"/>
  <c r="Y15" i="3" s="1"/>
  <c r="X15" i="3"/>
  <c r="M16" i="3"/>
  <c r="N16" i="3"/>
  <c r="U16" i="3"/>
  <c r="V16" i="3"/>
  <c r="W16" i="3"/>
  <c r="X16" i="3"/>
  <c r="M17" i="3"/>
  <c r="N17" i="3"/>
  <c r="U17" i="3"/>
  <c r="V17" i="3"/>
  <c r="W17" i="3"/>
  <c r="X17" i="3"/>
  <c r="AC17" i="3"/>
  <c r="M18" i="3"/>
  <c r="N18" i="3"/>
  <c r="U18" i="3"/>
  <c r="V18" i="3"/>
  <c r="W18" i="3"/>
  <c r="Y18" i="3" s="1"/>
  <c r="X18" i="3"/>
  <c r="M19" i="3"/>
  <c r="N19" i="3"/>
  <c r="S19" i="3"/>
  <c r="U19" i="3"/>
  <c r="V19" i="3"/>
  <c r="W19" i="3"/>
  <c r="X19" i="3"/>
  <c r="AC19" i="3"/>
  <c r="M20" i="3"/>
  <c r="N20" i="3"/>
  <c r="S20" i="3"/>
  <c r="U20" i="3"/>
  <c r="V20" i="3"/>
  <c r="W20" i="3"/>
  <c r="X20" i="3"/>
  <c r="M21" i="3"/>
  <c r="N21" i="3"/>
  <c r="S21" i="3"/>
  <c r="U21" i="3"/>
  <c r="AC21" i="3" s="1"/>
  <c r="V21" i="3"/>
  <c r="W21" i="3"/>
  <c r="X21" i="3"/>
  <c r="M22" i="3"/>
  <c r="N22" i="3"/>
  <c r="S22" i="3"/>
  <c r="U22" i="3"/>
  <c r="V22" i="3"/>
  <c r="W22" i="3"/>
  <c r="X22" i="3"/>
  <c r="M23" i="3"/>
  <c r="N23" i="3"/>
  <c r="S23" i="3"/>
  <c r="U23" i="3"/>
  <c r="V23" i="3"/>
  <c r="W23" i="3"/>
  <c r="X23" i="3"/>
  <c r="M24" i="3"/>
  <c r="N24" i="3"/>
  <c r="S24" i="3"/>
  <c r="U24" i="3"/>
  <c r="V24" i="3"/>
  <c r="W24" i="3"/>
  <c r="Y24" i="3" s="1"/>
  <c r="X24" i="3"/>
  <c r="M25" i="3"/>
  <c r="N25" i="3"/>
  <c r="S25" i="3"/>
  <c r="U25" i="3"/>
  <c r="V25" i="3"/>
  <c r="W25" i="3"/>
  <c r="X25" i="3"/>
  <c r="AC25" i="3"/>
  <c r="M26" i="3"/>
  <c r="N26" i="3"/>
  <c r="U26" i="3"/>
  <c r="V26" i="3"/>
  <c r="W26" i="3"/>
  <c r="X26" i="3"/>
  <c r="M27" i="3"/>
  <c r="N27" i="3"/>
  <c r="R27" i="3"/>
  <c r="S27" i="3"/>
  <c r="U27" i="3"/>
  <c r="V27" i="3"/>
  <c r="W27" i="3"/>
  <c r="X27" i="3"/>
  <c r="Y27" i="3"/>
  <c r="M28" i="3"/>
  <c r="N28" i="3"/>
  <c r="R28" i="3"/>
  <c r="S28" i="3"/>
  <c r="U28" i="3"/>
  <c r="V28" i="3"/>
  <c r="W28" i="3"/>
  <c r="Y28" i="3" s="1"/>
  <c r="X28" i="3"/>
  <c r="M29" i="3"/>
  <c r="N29" i="3"/>
  <c r="R29" i="3"/>
  <c r="U29" i="3"/>
  <c r="V29" i="3"/>
  <c r="W29" i="3"/>
  <c r="X29" i="3"/>
  <c r="AC29" i="3"/>
  <c r="M30" i="3"/>
  <c r="N30" i="3"/>
  <c r="S30" i="3"/>
  <c r="U30" i="3"/>
  <c r="V30" i="3"/>
  <c r="W30" i="3"/>
  <c r="X30" i="3"/>
  <c r="M31" i="3"/>
  <c r="N31" i="3"/>
  <c r="U31" i="3"/>
  <c r="V31" i="3"/>
  <c r="W31" i="3"/>
  <c r="X31" i="3"/>
  <c r="M32" i="3"/>
  <c r="N32" i="3"/>
  <c r="U32" i="3"/>
  <c r="V32" i="3"/>
  <c r="W32" i="3"/>
  <c r="X32" i="3"/>
  <c r="Y32" i="3"/>
  <c r="M33" i="3"/>
  <c r="N33" i="3"/>
  <c r="R33" i="3"/>
  <c r="U33" i="3"/>
  <c r="V33" i="3"/>
  <c r="W33" i="3"/>
  <c r="X33" i="3"/>
  <c r="AC33" i="3"/>
  <c r="M34" i="3"/>
  <c r="N34" i="3"/>
  <c r="R34" i="3"/>
  <c r="U34" i="3"/>
  <c r="V34" i="3"/>
  <c r="W34" i="3"/>
  <c r="X34" i="3"/>
  <c r="M35" i="3"/>
  <c r="N35" i="3"/>
  <c r="S35" i="3"/>
  <c r="U35" i="3"/>
  <c r="V35" i="3"/>
  <c r="W35" i="3"/>
  <c r="X35" i="3"/>
  <c r="Y35" i="3"/>
  <c r="M36" i="3"/>
  <c r="N36" i="3"/>
  <c r="S36" i="3"/>
  <c r="U36" i="3"/>
  <c r="V36" i="3"/>
  <c r="W36" i="3"/>
  <c r="X36" i="3"/>
  <c r="M37" i="3"/>
  <c r="N37" i="3"/>
  <c r="R37" i="3"/>
  <c r="U37" i="3"/>
  <c r="V37" i="3"/>
  <c r="W37" i="3"/>
  <c r="X37" i="3"/>
  <c r="AC37" i="3"/>
  <c r="M38" i="3"/>
  <c r="N38" i="3"/>
  <c r="U38" i="3"/>
  <c r="V38" i="3"/>
  <c r="W38" i="3"/>
  <c r="X38" i="3"/>
  <c r="M39" i="3"/>
  <c r="N39" i="3"/>
  <c r="R39" i="3"/>
  <c r="U39" i="3"/>
  <c r="V39" i="3"/>
  <c r="W39" i="3"/>
  <c r="Y39" i="3" s="1"/>
  <c r="X39" i="3"/>
  <c r="M40" i="3"/>
  <c r="N40" i="3"/>
  <c r="U40" i="3"/>
  <c r="V40" i="3"/>
  <c r="W40" i="3"/>
  <c r="X40" i="3"/>
  <c r="M41" i="3"/>
  <c r="N41" i="3"/>
  <c r="S41" i="3"/>
  <c r="U41" i="3"/>
  <c r="V41" i="3"/>
  <c r="W41" i="3"/>
  <c r="X41" i="3"/>
  <c r="AC41" i="3"/>
  <c r="M42" i="3"/>
  <c r="N42" i="3"/>
  <c r="R42" i="3"/>
  <c r="U42" i="3"/>
  <c r="V42" i="3"/>
  <c r="W42" i="3"/>
  <c r="X42" i="3"/>
  <c r="M43" i="3"/>
  <c r="N43" i="3"/>
  <c r="U43" i="3"/>
  <c r="V43" i="3"/>
  <c r="W43" i="3"/>
  <c r="Y43" i="3" s="1"/>
  <c r="X43" i="3"/>
  <c r="AC43" i="3"/>
  <c r="M44" i="3"/>
  <c r="N44" i="3"/>
  <c r="U44" i="3"/>
  <c r="V44" i="3"/>
  <c r="W44" i="3"/>
  <c r="X44" i="3"/>
  <c r="Y44" i="3"/>
  <c r="M45" i="3"/>
  <c r="N45" i="3"/>
  <c r="R45" i="3"/>
  <c r="T45" i="3"/>
  <c r="U45" i="3"/>
  <c r="AD45" i="3" s="1"/>
  <c r="V45" i="3"/>
  <c r="W45" i="3"/>
  <c r="Y45" i="3" s="1"/>
  <c r="X45" i="3"/>
  <c r="AC45" i="3"/>
  <c r="M46" i="3"/>
  <c r="N46" i="3"/>
  <c r="U46" i="3"/>
  <c r="V46" i="3"/>
  <c r="W46" i="3"/>
  <c r="X46" i="3"/>
  <c r="M47" i="3"/>
  <c r="N47" i="3"/>
  <c r="S47" i="3"/>
  <c r="U47" i="3"/>
  <c r="V47" i="3"/>
  <c r="W47" i="3"/>
  <c r="X47" i="3"/>
  <c r="M48" i="3"/>
  <c r="N48" i="3"/>
  <c r="U48" i="3"/>
  <c r="V48" i="3"/>
  <c r="W48" i="3"/>
  <c r="X48" i="3"/>
  <c r="M49" i="3"/>
  <c r="N49" i="3"/>
  <c r="R49" i="3"/>
  <c r="U49" i="3"/>
  <c r="V49" i="3"/>
  <c r="W49" i="3"/>
  <c r="X49" i="3"/>
  <c r="M50" i="3"/>
  <c r="N50" i="3"/>
  <c r="U50" i="3"/>
  <c r="V50" i="3"/>
  <c r="W50" i="3"/>
  <c r="X50" i="3"/>
  <c r="T41" i="3" l="1"/>
  <c r="AD41" i="3"/>
  <c r="T35" i="3"/>
  <c r="AD35" i="3"/>
  <c r="AC23" i="3"/>
  <c r="AD23" i="3"/>
  <c r="AC22" i="3"/>
  <c r="AD22" i="3"/>
  <c r="AC10" i="3"/>
  <c r="AD10" i="3"/>
  <c r="T8" i="3"/>
  <c r="AD8" i="3"/>
  <c r="AC50" i="3"/>
  <c r="AD50" i="3"/>
  <c r="Y46" i="3"/>
  <c r="AC38" i="3"/>
  <c r="AD38" i="3"/>
  <c r="Y33" i="3"/>
  <c r="AC31" i="3"/>
  <c r="AD31" i="3"/>
  <c r="T24" i="3"/>
  <c r="AD24" i="3"/>
  <c r="T23" i="3"/>
  <c r="Y19" i="3"/>
  <c r="T17" i="3"/>
  <c r="AD17" i="3"/>
  <c r="Y16" i="3"/>
  <c r="AC15" i="3"/>
  <c r="AD15" i="3"/>
  <c r="T9" i="3"/>
  <c r="AC47" i="3"/>
  <c r="AD47" i="3"/>
  <c r="T37" i="3"/>
  <c r="AD37" i="3"/>
  <c r="T21" i="3"/>
  <c r="AD21" i="3"/>
  <c r="T48" i="3"/>
  <c r="AD48" i="3"/>
  <c r="Y47" i="3"/>
  <c r="T43" i="3"/>
  <c r="AD43" i="3"/>
  <c r="Y42" i="3"/>
  <c r="T39" i="3"/>
  <c r="AD39" i="3"/>
  <c r="Y37" i="3"/>
  <c r="T28" i="3"/>
  <c r="AD28" i="3"/>
  <c r="T25" i="3"/>
  <c r="AD25" i="3"/>
  <c r="Y23" i="3"/>
  <c r="AC18" i="3"/>
  <c r="AD18" i="3"/>
  <c r="T12" i="3"/>
  <c r="AD12" i="3"/>
  <c r="T11" i="3"/>
  <c r="AD11" i="3"/>
  <c r="Y10" i="3"/>
  <c r="Y9" i="3"/>
  <c r="AC42" i="3"/>
  <c r="AD42" i="3"/>
  <c r="T49" i="3"/>
  <c r="AD49" i="3"/>
  <c r="AC46" i="3"/>
  <c r="AD46" i="3"/>
  <c r="T44" i="3"/>
  <c r="AD44" i="3"/>
  <c r="T40" i="3"/>
  <c r="AD40" i="3"/>
  <c r="T36" i="3"/>
  <c r="AD36" i="3"/>
  <c r="AC35" i="3"/>
  <c r="AC34" i="3"/>
  <c r="AD34" i="3"/>
  <c r="T33" i="3"/>
  <c r="AD33" i="3"/>
  <c r="T32" i="3"/>
  <c r="AD32" i="3"/>
  <c r="AC30" i="3"/>
  <c r="AD30" i="3"/>
  <c r="T29" i="3"/>
  <c r="AD29" i="3"/>
  <c r="T27" i="3"/>
  <c r="AD27" i="3"/>
  <c r="AC26" i="3"/>
  <c r="AD26" i="3"/>
  <c r="T20" i="3"/>
  <c r="AD20" i="3"/>
  <c r="T19" i="3"/>
  <c r="AD19" i="3"/>
  <c r="T16" i="3"/>
  <c r="AD16" i="3"/>
  <c r="AC14" i="3"/>
  <c r="AD14" i="3"/>
  <c r="T13" i="3"/>
  <c r="AD13" i="3"/>
  <c r="X219" i="1"/>
  <c r="AA229" i="1"/>
  <c r="AA182" i="1"/>
  <c r="AA175" i="1"/>
  <c r="AA228" i="1"/>
  <c r="AA225" i="1"/>
  <c r="AA158" i="1"/>
  <c r="AA157" i="1"/>
  <c r="AG70" i="1"/>
  <c r="AI70" i="1" s="1"/>
  <c r="X70" i="1"/>
  <c r="AG67" i="1"/>
  <c r="X67" i="1"/>
  <c r="AG112" i="1"/>
  <c r="AI112" i="1" s="1"/>
  <c r="AG205" i="1"/>
  <c r="X205" i="1"/>
  <c r="AG204" i="1"/>
  <c r="X204" i="1"/>
  <c r="T107" i="1"/>
  <c r="T202" i="1"/>
  <c r="X203" i="1"/>
  <c r="X202" i="1"/>
  <c r="AI24" i="1"/>
  <c r="X66" i="1"/>
  <c r="S34" i="3"/>
  <c r="AA199" i="1"/>
  <c r="AA198" i="1"/>
  <c r="AA197" i="1"/>
  <c r="AA196" i="1"/>
  <c r="AA192" i="1"/>
  <c r="W192" i="1" s="1"/>
  <c r="AG14" i="1"/>
  <c r="U14" i="1" s="1"/>
  <c r="T93" i="1"/>
  <c r="X93" i="1"/>
  <c r="T223" i="1"/>
  <c r="U223" i="1" s="1"/>
  <c r="S223" i="1" s="1"/>
  <c r="AA104" i="1"/>
  <c r="AA101" i="1"/>
  <c r="AA100" i="1"/>
  <c r="AA99" i="1"/>
  <c r="W99" i="1" s="1"/>
  <c r="AA91" i="1"/>
  <c r="AA84" i="1"/>
  <c r="AA54" i="1"/>
  <c r="AI32" i="1"/>
  <c r="AA29" i="1"/>
  <c r="AA28" i="1"/>
  <c r="W28" i="1" s="1"/>
  <c r="AA27" i="1"/>
  <c r="X115" i="1"/>
  <c r="AG98" i="1"/>
  <c r="X98" i="1"/>
  <c r="T97" i="1"/>
  <c r="X97" i="1"/>
  <c r="T96" i="1"/>
  <c r="X96" i="1"/>
  <c r="T94" i="1"/>
  <c r="X94" i="1"/>
  <c r="AI79" i="1"/>
  <c r="P169" i="1"/>
  <c r="AA240" i="1"/>
  <c r="AA218" i="1"/>
  <c r="W218" i="1" s="1"/>
  <c r="AA217" i="1"/>
  <c r="AA216" i="1"/>
  <c r="W216" i="1" s="1"/>
  <c r="T99" i="1"/>
  <c r="AA210" i="1"/>
  <c r="AA147" i="1"/>
  <c r="AA123" i="1"/>
  <c r="T103" i="1"/>
  <c r="X99" i="1"/>
  <c r="AA98" i="1"/>
  <c r="AA79" i="1"/>
  <c r="AI74" i="1"/>
  <c r="X43" i="1"/>
  <c r="AA23" i="1"/>
  <c r="T82" i="1"/>
  <c r="U82" i="1" s="1"/>
  <c r="S82" i="1" s="1"/>
  <c r="AA49" i="1"/>
  <c r="AA48" i="1"/>
  <c r="W48" i="1" s="1"/>
  <c r="AA47" i="1"/>
  <c r="W47" i="1" s="1"/>
  <c r="AA45" i="1"/>
  <c r="AA239" i="1"/>
  <c r="AA238" i="1"/>
  <c r="AA190" i="1"/>
  <c r="AA187" i="1"/>
  <c r="AA186" i="1"/>
  <c r="AA184" i="1"/>
  <c r="W184" i="1" s="1"/>
  <c r="AA167" i="1"/>
  <c r="W167" i="1" s="1"/>
  <c r="AA162" i="1"/>
  <c r="AA161" i="1"/>
  <c r="W161" i="1" s="1"/>
  <c r="T160" i="1"/>
  <c r="U160" i="1" s="1"/>
  <c r="S160" i="1" s="1"/>
  <c r="AG119" i="1"/>
  <c r="X119" i="1"/>
  <c r="X118" i="1"/>
  <c r="AA117" i="1"/>
  <c r="W117" i="1" s="1"/>
  <c r="AA116" i="1"/>
  <c r="AA115" i="1"/>
  <c r="W115" i="1" s="1"/>
  <c r="T115" i="1"/>
  <c r="AA89" i="1"/>
  <c r="AG87" i="1"/>
  <c r="X87" i="1"/>
  <c r="T86" i="1"/>
  <c r="X86" i="1"/>
  <c r="AG73" i="1"/>
  <c r="X73" i="1"/>
  <c r="T23" i="1"/>
  <c r="R25" i="3"/>
  <c r="AG164" i="1"/>
  <c r="X92" i="1"/>
  <c r="AG89" i="1"/>
  <c r="AA77" i="1"/>
  <c r="AA61" i="1"/>
  <c r="AA32" i="1"/>
  <c r="AA205" i="1"/>
  <c r="AA154" i="1"/>
  <c r="AA131" i="1"/>
  <c r="AG118" i="1"/>
  <c r="U118" i="1" s="1"/>
  <c r="T87" i="1"/>
  <c r="X74" i="1"/>
  <c r="AG72" i="1"/>
  <c r="AA56" i="1"/>
  <c r="AA43" i="1"/>
  <c r="P24" i="1"/>
  <c r="AG23" i="1"/>
  <c r="AI23" i="1" s="1"/>
  <c r="AA21" i="1"/>
  <c r="AA20" i="1"/>
  <c r="P18" i="1"/>
  <c r="AG16" i="1"/>
  <c r="W16" i="1" s="1"/>
  <c r="AG194" i="1"/>
  <c r="X194" i="1"/>
  <c r="AA183" i="1"/>
  <c r="AG141" i="1"/>
  <c r="AA135" i="1"/>
  <c r="P47" i="1"/>
  <c r="P27" i="1"/>
  <c r="AG19" i="1"/>
  <c r="AI19" i="1" s="1"/>
  <c r="AG239" i="1"/>
  <c r="AG218" i="1"/>
  <c r="AI204" i="1"/>
  <c r="AA191" i="1"/>
  <c r="AI220" i="1"/>
  <c r="AA220" i="1"/>
  <c r="T216" i="1"/>
  <c r="U216" i="1" s="1"/>
  <c r="S216" i="1" s="1"/>
  <c r="AA194" i="1"/>
  <c r="AG193" i="1"/>
  <c r="AA179" i="1"/>
  <c r="AA178" i="1"/>
  <c r="AA233" i="1"/>
  <c r="AA232" i="1"/>
  <c r="AA174" i="1"/>
  <c r="AG169" i="1"/>
  <c r="AI169" i="1" s="1"/>
  <c r="X169" i="1"/>
  <c r="AA150" i="1"/>
  <c r="AA143" i="1"/>
  <c r="AA141" i="1"/>
  <c r="W141" i="1" s="1"/>
  <c r="AA140" i="1"/>
  <c r="AA139" i="1"/>
  <c r="AA127" i="1"/>
  <c r="T122" i="1"/>
  <c r="T114" i="1"/>
  <c r="AA110" i="1"/>
  <c r="T98" i="1"/>
  <c r="U98" i="1" s="1"/>
  <c r="S98" i="1" s="1"/>
  <c r="AA96" i="1"/>
  <c r="AA94" i="1"/>
  <c r="AA93" i="1"/>
  <c r="AG91" i="1"/>
  <c r="U91" i="1" s="1"/>
  <c r="S91" i="1" s="1"/>
  <c r="AG84" i="1"/>
  <c r="AA82" i="1"/>
  <c r="W82" i="1" s="1"/>
  <c r="AA81" i="1"/>
  <c r="W81" i="1" s="1"/>
  <c r="AA39" i="1"/>
  <c r="W39" i="1" s="1"/>
  <c r="AA33" i="1"/>
  <c r="T30" i="1"/>
  <c r="U30" i="1" s="1"/>
  <c r="S30" i="1" s="1"/>
  <c r="AI28" i="1"/>
  <c r="T15" i="1"/>
  <c r="P78" i="1"/>
  <c r="P75" i="1"/>
  <c r="AA71" i="1"/>
  <c r="P70" i="1"/>
  <c r="P67" i="1"/>
  <c r="T64" i="1"/>
  <c r="AA65" i="1"/>
  <c r="W65" i="1" s="1"/>
  <c r="P64" i="1"/>
  <c r="P61" i="1"/>
  <c r="X56" i="1"/>
  <c r="AA55" i="1"/>
  <c r="AG54" i="1"/>
  <c r="W54" i="1" s="1"/>
  <c r="T54" i="1"/>
  <c r="AG55" i="1"/>
  <c r="U55" i="1" s="1"/>
  <c r="P45" i="1"/>
  <c r="S17" i="3"/>
  <c r="R17" i="3"/>
  <c r="P40" i="1"/>
  <c r="AA41" i="1"/>
  <c r="AA40" i="1"/>
  <c r="W40" i="1" s="1"/>
  <c r="P37" i="1"/>
  <c r="P34" i="1"/>
  <c r="P21" i="1"/>
  <c r="S10" i="3"/>
  <c r="X236" i="1"/>
  <c r="AA214" i="1"/>
  <c r="AA211" i="1"/>
  <c r="AA209" i="1"/>
  <c r="AA207" i="1"/>
  <c r="AA206" i="1"/>
  <c r="AA202" i="1"/>
  <c r="AG201" i="1"/>
  <c r="AI201" i="1" s="1"/>
  <c r="T190" i="1"/>
  <c r="AG190" i="1"/>
  <c r="W190" i="1" s="1"/>
  <c r="AG189" i="1"/>
  <c r="X182" i="1"/>
  <c r="AA181" i="1"/>
  <c r="T242" i="1"/>
  <c r="AG242" i="1"/>
  <c r="AG241" i="1"/>
  <c r="U241" i="1" s="1"/>
  <c r="S241" i="1" s="1"/>
  <c r="X228" i="1"/>
  <c r="AA227" i="1"/>
  <c r="AA168" i="1"/>
  <c r="X165" i="1"/>
  <c r="T145" i="1"/>
  <c r="AG145" i="1"/>
  <c r="X130" i="1"/>
  <c r="T130" i="1"/>
  <c r="T68" i="1"/>
  <c r="AG68" i="1"/>
  <c r="AG42" i="1"/>
  <c r="T42" i="1"/>
  <c r="T35" i="1"/>
  <c r="AG35" i="1"/>
  <c r="AI35" i="1" s="1"/>
  <c r="T204" i="1"/>
  <c r="U204" i="1" s="1"/>
  <c r="S204" i="1" s="1"/>
  <c r="T143" i="1"/>
  <c r="X143" i="1"/>
  <c r="AG143" i="1"/>
  <c r="T142" i="1"/>
  <c r="X142" i="1"/>
  <c r="AG142" i="1"/>
  <c r="T127" i="1"/>
  <c r="X127" i="1"/>
  <c r="AG127" i="1"/>
  <c r="AI127" i="1" s="1"/>
  <c r="AG102" i="1"/>
  <c r="T102" i="1"/>
  <c r="AG95" i="1"/>
  <c r="W95" i="1" s="1"/>
  <c r="T95" i="1"/>
  <c r="AA237" i="1"/>
  <c r="T236" i="1"/>
  <c r="T219" i="1"/>
  <c r="AI216" i="1"/>
  <c r="T215" i="1"/>
  <c r="U215" i="1" s="1"/>
  <c r="S215" i="1" s="1"/>
  <c r="AA213" i="1"/>
  <c r="AG209" i="1"/>
  <c r="U209" i="1" s="1"/>
  <c r="S209" i="1" s="1"/>
  <c r="AG202" i="1"/>
  <c r="X190" i="1"/>
  <c r="AA189" i="1"/>
  <c r="W189" i="1" s="1"/>
  <c r="T182" i="1"/>
  <c r="AG182" i="1"/>
  <c r="W182" i="1" s="1"/>
  <c r="AG181" i="1"/>
  <c r="U181" i="1" s="1"/>
  <c r="S181" i="1" s="1"/>
  <c r="X242" i="1"/>
  <c r="AA241" i="1"/>
  <c r="T228" i="1"/>
  <c r="AG228" i="1"/>
  <c r="AI228" i="1" s="1"/>
  <c r="AG227" i="1"/>
  <c r="AA170" i="1"/>
  <c r="AA165" i="1"/>
  <c r="W165" i="1" s="1"/>
  <c r="U164" i="1"/>
  <c r="S164" i="1" s="1"/>
  <c r="T137" i="1"/>
  <c r="AG137" i="1"/>
  <c r="AI137" i="1" s="1"/>
  <c r="AG88" i="1"/>
  <c r="X88" i="1"/>
  <c r="T80" i="1"/>
  <c r="X80" i="1"/>
  <c r="AG80" i="1"/>
  <c r="AA44" i="1"/>
  <c r="W44" i="1" s="1"/>
  <c r="AI44" i="1"/>
  <c r="T31" i="1"/>
  <c r="U31" i="1" s="1"/>
  <c r="S31" i="1" s="1"/>
  <c r="X31" i="1"/>
  <c r="AG31" i="1"/>
  <c r="AI31" i="1" s="1"/>
  <c r="W242" i="1"/>
  <c r="T168" i="1"/>
  <c r="U168" i="1" s="1"/>
  <c r="S168" i="1" s="1"/>
  <c r="T134" i="1"/>
  <c r="X134" i="1"/>
  <c r="AG134" i="1"/>
  <c r="U89" i="1"/>
  <c r="S89" i="1" s="1"/>
  <c r="AI89" i="1"/>
  <c r="AG50" i="1"/>
  <c r="AI50" i="1" s="1"/>
  <c r="T50" i="1"/>
  <c r="AA36" i="1"/>
  <c r="W36" i="1" s="1"/>
  <c r="AI36" i="1"/>
  <c r="AI197" i="1"/>
  <c r="AA195" i="1"/>
  <c r="X224" i="1"/>
  <c r="AA224" i="1"/>
  <c r="X173" i="1"/>
  <c r="AA171" i="1"/>
  <c r="W171" i="1" s="1"/>
  <c r="AA166" i="1"/>
  <c r="T161" i="1"/>
  <c r="AA159" i="1"/>
  <c r="W159" i="1" s="1"/>
  <c r="T157" i="1"/>
  <c r="U157" i="1" s="1"/>
  <c r="S157" i="1" s="1"/>
  <c r="AA133" i="1"/>
  <c r="AA132" i="1"/>
  <c r="AA126" i="1"/>
  <c r="T126" i="1"/>
  <c r="AA122" i="1"/>
  <c r="AA119" i="1"/>
  <c r="W119" i="1" s="1"/>
  <c r="AA112" i="1"/>
  <c r="AA109" i="1"/>
  <c r="AA108" i="1"/>
  <c r="AA107" i="1"/>
  <c r="AA103" i="1"/>
  <c r="W103" i="1" s="1"/>
  <c r="AA97" i="1"/>
  <c r="AA87" i="1"/>
  <c r="W87" i="1" s="1"/>
  <c r="AA74" i="1"/>
  <c r="W74" i="1" s="1"/>
  <c r="AA70" i="1"/>
  <c r="X61" i="1"/>
  <c r="T60" i="1"/>
  <c r="AA57" i="1"/>
  <c r="X52" i="1"/>
  <c r="AA24" i="1"/>
  <c r="W24" i="1" s="1"/>
  <c r="AI119" i="1"/>
  <c r="AA19" i="1"/>
  <c r="W19" i="1" s="1"/>
  <c r="AI16" i="1"/>
  <c r="AA152" i="1"/>
  <c r="X150" i="1"/>
  <c r="AA148" i="1"/>
  <c r="AA142" i="1"/>
  <c r="AG135" i="1"/>
  <c r="U135" i="1" s="1"/>
  <c r="S135" i="1" s="1"/>
  <c r="X135" i="1"/>
  <c r="AA134" i="1"/>
  <c r="AA130" i="1"/>
  <c r="AG129" i="1"/>
  <c r="U129" i="1" s="1"/>
  <c r="S129" i="1" s="1"/>
  <c r="AG126" i="1"/>
  <c r="AA125" i="1"/>
  <c r="AA124" i="1"/>
  <c r="AA105" i="1"/>
  <c r="AA102" i="1"/>
  <c r="W102" i="1" s="1"/>
  <c r="AA95" i="1"/>
  <c r="AA78" i="1"/>
  <c r="W78" i="1" s="1"/>
  <c r="AA75" i="1"/>
  <c r="AA73" i="1"/>
  <c r="W73" i="1" s="1"/>
  <c r="AA69" i="1"/>
  <c r="AG60" i="1"/>
  <c r="AA59" i="1"/>
  <c r="AA58" i="1"/>
  <c r="AA53" i="1"/>
  <c r="W53" i="1" s="1"/>
  <c r="X51" i="1"/>
  <c r="AA50" i="1"/>
  <c r="AI48" i="1"/>
  <c r="AI40" i="1"/>
  <c r="X27" i="1"/>
  <c r="AA17" i="1"/>
  <c r="U193" i="1"/>
  <c r="S193" i="1" s="1"/>
  <c r="T237" i="1"/>
  <c r="T240" i="1"/>
  <c r="AA235" i="1"/>
  <c r="AA221" i="1"/>
  <c r="X220" i="1"/>
  <c r="AG219" i="1"/>
  <c r="X216" i="1"/>
  <c r="AG213" i="1"/>
  <c r="W213" i="1" s="1"/>
  <c r="AA200" i="1"/>
  <c r="X198" i="1"/>
  <c r="T197" i="1"/>
  <c r="U197" i="1" s="1"/>
  <c r="S197" i="1" s="1"/>
  <c r="U189" i="1"/>
  <c r="S189" i="1" s="1"/>
  <c r="AA185" i="1"/>
  <c r="AI193" i="1"/>
  <c r="AA177" i="1"/>
  <c r="AA231" i="1"/>
  <c r="U227" i="1"/>
  <c r="S227" i="1" s="1"/>
  <c r="T224" i="1"/>
  <c r="AA222" i="1"/>
  <c r="W222" i="1" s="1"/>
  <c r="AA172" i="1"/>
  <c r="AA151" i="1"/>
  <c r="W151" i="1" s="1"/>
  <c r="AA146" i="1"/>
  <c r="X139" i="1"/>
  <c r="AG139" i="1"/>
  <c r="W205" i="1"/>
  <c r="U202" i="1"/>
  <c r="S202" i="1" s="1"/>
  <c r="W198" i="1"/>
  <c r="W197" i="1"/>
  <c r="T186" i="1"/>
  <c r="T178" i="1"/>
  <c r="AA176" i="1"/>
  <c r="W176" i="1" s="1"/>
  <c r="T232" i="1"/>
  <c r="AA230" i="1"/>
  <c r="W230" i="1" s="1"/>
  <c r="W168" i="1"/>
  <c r="AA156" i="1"/>
  <c r="AA155" i="1"/>
  <c r="W155" i="1" s="1"/>
  <c r="X153" i="1"/>
  <c r="AG152" i="1"/>
  <c r="U152" i="1" s="1"/>
  <c r="S152" i="1" s="1"/>
  <c r="X146" i="1"/>
  <c r="AG146" i="1"/>
  <c r="AA138" i="1"/>
  <c r="AG240" i="1"/>
  <c r="AA236" i="1"/>
  <c r="AG235" i="1"/>
  <c r="U235" i="1" s="1"/>
  <c r="S235" i="1" s="1"/>
  <c r="T220" i="1"/>
  <c r="U220" i="1" s="1"/>
  <c r="S220" i="1" s="1"/>
  <c r="AA212" i="1"/>
  <c r="AG211" i="1"/>
  <c r="U211" i="1" s="1"/>
  <c r="S211" i="1" s="1"/>
  <c r="AG208" i="1"/>
  <c r="AI208" i="1" s="1"/>
  <c r="X208" i="1"/>
  <c r="T205" i="1"/>
  <c r="U205" i="1" s="1"/>
  <c r="S205" i="1" s="1"/>
  <c r="T198" i="1"/>
  <c r="U198" i="1" s="1"/>
  <c r="S198" i="1" s="1"/>
  <c r="AG186" i="1"/>
  <c r="W186" i="1" s="1"/>
  <c r="AG185" i="1"/>
  <c r="AG178" i="1"/>
  <c r="AG177" i="1"/>
  <c r="AI189" i="1"/>
  <c r="AG232" i="1"/>
  <c r="AG231" i="1"/>
  <c r="U231" i="1" s="1"/>
  <c r="AG224" i="1"/>
  <c r="AI224" i="1" s="1"/>
  <c r="AA173" i="1"/>
  <c r="AG172" i="1"/>
  <c r="U172" i="1" s="1"/>
  <c r="S172" i="1" s="1"/>
  <c r="T165" i="1"/>
  <c r="AA160" i="1"/>
  <c r="W160" i="1" s="1"/>
  <c r="X157" i="1"/>
  <c r="AG156" i="1"/>
  <c r="U156" i="1" s="1"/>
  <c r="S156" i="1" s="1"/>
  <c r="X147" i="1"/>
  <c r="U143" i="1"/>
  <c r="S143" i="1" s="1"/>
  <c r="X138" i="1"/>
  <c r="AG138" i="1"/>
  <c r="U138" i="1" s="1"/>
  <c r="S138" i="1" s="1"/>
  <c r="W240" i="1"/>
  <c r="W239" i="1"/>
  <c r="X237" i="1"/>
  <c r="AG236" i="1"/>
  <c r="AA219" i="1"/>
  <c r="AA215" i="1"/>
  <c r="W215" i="1" s="1"/>
  <c r="W209" i="1"/>
  <c r="AA201" i="1"/>
  <c r="AA188" i="1"/>
  <c r="W188" i="1" s="1"/>
  <c r="AA180" i="1"/>
  <c r="AA234" i="1"/>
  <c r="AA226" i="1"/>
  <c r="W226" i="1" s="1"/>
  <c r="AA223" i="1"/>
  <c r="W223" i="1" s="1"/>
  <c r="AG173" i="1"/>
  <c r="AI173" i="1" s="1"/>
  <c r="AA169" i="1"/>
  <c r="AA164" i="1"/>
  <c r="W164" i="1" s="1"/>
  <c r="AA163" i="1"/>
  <c r="W163" i="1" s="1"/>
  <c r="X161" i="1"/>
  <c r="AA153" i="1"/>
  <c r="W153" i="1" s="1"/>
  <c r="T153" i="1"/>
  <c r="U153" i="1" s="1"/>
  <c r="S153" i="1" s="1"/>
  <c r="AG147" i="1"/>
  <c r="W147" i="1" s="1"/>
  <c r="T146" i="1"/>
  <c r="T139" i="1"/>
  <c r="AI81" i="1"/>
  <c r="AI47" i="1"/>
  <c r="AI39" i="1"/>
  <c r="AG131" i="1"/>
  <c r="W131" i="1" s="1"/>
  <c r="AG130" i="1"/>
  <c r="W126" i="1"/>
  <c r="AG123" i="1"/>
  <c r="AG122" i="1"/>
  <c r="U122" i="1" s="1"/>
  <c r="S122" i="1" s="1"/>
  <c r="AG116" i="1"/>
  <c r="AI116" i="1" s="1"/>
  <c r="T110" i="1"/>
  <c r="U110" i="1" s="1"/>
  <c r="S110" i="1" s="1"/>
  <c r="X107" i="1"/>
  <c r="AG106" i="1"/>
  <c r="AI106" i="1" s="1"/>
  <c r="AG104" i="1"/>
  <c r="AI104" i="1" s="1"/>
  <c r="AA92" i="1"/>
  <c r="W92" i="1" s="1"/>
  <c r="T92" i="1"/>
  <c r="AA90" i="1"/>
  <c r="AA88" i="1"/>
  <c r="T88" i="1"/>
  <c r="AA86" i="1"/>
  <c r="AA85" i="1"/>
  <c r="W85" i="1" s="1"/>
  <c r="T85" i="1"/>
  <c r="U85" i="1" s="1"/>
  <c r="S85" i="1" s="1"/>
  <c r="AA83" i="1"/>
  <c r="X82" i="1"/>
  <c r="T81" i="1"/>
  <c r="U81" i="1" s="1"/>
  <c r="S81" i="1" s="1"/>
  <c r="T74" i="1"/>
  <c r="U74" i="1" s="1"/>
  <c r="S74" i="1" s="1"/>
  <c r="AA68" i="1"/>
  <c r="AA67" i="1"/>
  <c r="W67" i="1" s="1"/>
  <c r="X65" i="1"/>
  <c r="AG64" i="1"/>
  <c r="AI64" i="1" s="1"/>
  <c r="AA60" i="1"/>
  <c r="AG59" i="1"/>
  <c r="U59" i="1" s="1"/>
  <c r="T57" i="1"/>
  <c r="U57" i="1" s="1"/>
  <c r="S57" i="1" s="1"/>
  <c r="T56" i="1"/>
  <c r="AG51" i="1"/>
  <c r="X47" i="1"/>
  <c r="AG43" i="1"/>
  <c r="AI43" i="1" s="1"/>
  <c r="X39" i="1"/>
  <c r="X35" i="1"/>
  <c r="T34" i="1"/>
  <c r="U34" i="1" s="1"/>
  <c r="AG27" i="1"/>
  <c r="AI27" i="1" s="1"/>
  <c r="W23" i="1"/>
  <c r="X19" i="1"/>
  <c r="AA145" i="1"/>
  <c r="AA144" i="1"/>
  <c r="AA137" i="1"/>
  <c r="AA136" i="1"/>
  <c r="AG133" i="1"/>
  <c r="W133" i="1" s="1"/>
  <c r="X131" i="1"/>
  <c r="AA129" i="1"/>
  <c r="W129" i="1" s="1"/>
  <c r="AA128" i="1"/>
  <c r="AG125" i="1"/>
  <c r="X123" i="1"/>
  <c r="AA121" i="1"/>
  <c r="AA120" i="1"/>
  <c r="AA118" i="1"/>
  <c r="AA114" i="1"/>
  <c r="W114" i="1" s="1"/>
  <c r="AA113" i="1"/>
  <c r="AA111" i="1"/>
  <c r="W111" i="1" s="1"/>
  <c r="T111" i="1"/>
  <c r="X103" i="1"/>
  <c r="AG100" i="1"/>
  <c r="W100" i="1" s="1"/>
  <c r="AG96" i="1"/>
  <c r="AG93" i="1"/>
  <c r="W93" i="1" s="1"/>
  <c r="T70" i="1"/>
  <c r="U70" i="1" s="1"/>
  <c r="T69" i="1"/>
  <c r="AA63" i="1"/>
  <c r="AA62" i="1"/>
  <c r="W62" i="1" s="1"/>
  <c r="T53" i="1"/>
  <c r="U53" i="1" s="1"/>
  <c r="S53" i="1" s="1"/>
  <c r="W50" i="1"/>
  <c r="AA46" i="1"/>
  <c r="T46" i="1"/>
  <c r="U46" i="1" s="1"/>
  <c r="AA38" i="1"/>
  <c r="T38" i="1"/>
  <c r="U38" i="1" s="1"/>
  <c r="AA31" i="1"/>
  <c r="AA26" i="1"/>
  <c r="W26" i="1" s="1"/>
  <c r="T26" i="1"/>
  <c r="U26" i="1" s="1"/>
  <c r="S26" i="1" s="1"/>
  <c r="AG22" i="1"/>
  <c r="U22" i="1" s="1"/>
  <c r="AG20" i="1"/>
  <c r="AI20" i="1" s="1"/>
  <c r="AA18" i="1"/>
  <c r="AG15" i="1"/>
  <c r="W15" i="1" s="1"/>
  <c r="U127" i="1"/>
  <c r="S127" i="1" s="1"/>
  <c r="W123" i="1"/>
  <c r="U119" i="1"/>
  <c r="S119" i="1" s="1"/>
  <c r="W110" i="1"/>
  <c r="X85" i="1"/>
  <c r="AI78" i="1"/>
  <c r="AG77" i="1"/>
  <c r="AI77" i="1" s="1"/>
  <c r="T65" i="1"/>
  <c r="U65" i="1" s="1"/>
  <c r="W59" i="1"/>
  <c r="X57" i="1"/>
  <c r="AG56" i="1"/>
  <c r="W56" i="1" s="1"/>
  <c r="AA52" i="1"/>
  <c r="T47" i="1"/>
  <c r="U47" i="1" s="1"/>
  <c r="T39" i="1"/>
  <c r="U39" i="1" s="1"/>
  <c r="S39" i="1" s="1"/>
  <c r="AG121" i="1"/>
  <c r="U121" i="1" s="1"/>
  <c r="S121" i="1" s="1"/>
  <c r="X111" i="1"/>
  <c r="AG108" i="1"/>
  <c r="AA106" i="1"/>
  <c r="W98" i="1"/>
  <c r="W96" i="1"/>
  <c r="W84" i="1"/>
  <c r="AI82" i="1"/>
  <c r="W79" i="1"/>
  <c r="AG69" i="1"/>
  <c r="AA64" i="1"/>
  <c r="AG63" i="1"/>
  <c r="U63" i="1" s="1"/>
  <c r="S63" i="1" s="1"/>
  <c r="T61" i="1"/>
  <c r="U61" i="1" s="1"/>
  <c r="X53" i="1"/>
  <c r="AG52" i="1"/>
  <c r="AA51" i="1"/>
  <c r="AA37" i="1"/>
  <c r="AA35" i="1"/>
  <c r="AA25" i="1"/>
  <c r="AA22" i="1"/>
  <c r="AG18" i="1"/>
  <c r="U18" i="1" s="1"/>
  <c r="W237" i="1"/>
  <c r="AI218" i="1"/>
  <c r="U237" i="1"/>
  <c r="S237" i="1" s="1"/>
  <c r="AI239" i="1"/>
  <c r="W220" i="1"/>
  <c r="AI231" i="1"/>
  <c r="U218" i="1"/>
  <c r="S218" i="1" s="1"/>
  <c r="X215" i="1"/>
  <c r="AG214" i="1"/>
  <c r="X211" i="1"/>
  <c r="AG210" i="1"/>
  <c r="AI223" i="1"/>
  <c r="AG196" i="1"/>
  <c r="W196" i="1" s="1"/>
  <c r="X197" i="1"/>
  <c r="T196" i="1"/>
  <c r="X196" i="1"/>
  <c r="AI163" i="1"/>
  <c r="W157" i="1"/>
  <c r="AI153" i="1"/>
  <c r="U239" i="1"/>
  <c r="S239" i="1" s="1"/>
  <c r="X239" i="1"/>
  <c r="AG238" i="1"/>
  <c r="AI238" i="1" s="1"/>
  <c r="X235" i="1"/>
  <c r="AG221" i="1"/>
  <c r="AI234" i="1"/>
  <c r="X218" i="1"/>
  <c r="AG217" i="1"/>
  <c r="W217" i="1" s="1"/>
  <c r="AI230" i="1"/>
  <c r="X214" i="1"/>
  <c r="AI226" i="1"/>
  <c r="X210" i="1"/>
  <c r="T207" i="1"/>
  <c r="AI215" i="1"/>
  <c r="U194" i="1"/>
  <c r="S194" i="1" s="1"/>
  <c r="AI157" i="1"/>
  <c r="AI151" i="1"/>
  <c r="AI242" i="1"/>
  <c r="X238" i="1"/>
  <c r="AI237" i="1"/>
  <c r="X221" i="1"/>
  <c r="X217" i="1"/>
  <c r="X213" i="1"/>
  <c r="AG212" i="1"/>
  <c r="AI212" i="1" s="1"/>
  <c r="X209" i="1"/>
  <c r="AA208" i="1"/>
  <c r="AG207" i="1"/>
  <c r="AI207" i="1" s="1"/>
  <c r="AA204" i="1"/>
  <c r="W204" i="1" s="1"/>
  <c r="AA203" i="1"/>
  <c r="W203" i="1" s="1"/>
  <c r="AG200" i="1"/>
  <c r="AI200" i="1" s="1"/>
  <c r="X201" i="1"/>
  <c r="T200" i="1"/>
  <c r="X200" i="1"/>
  <c r="AI171" i="1"/>
  <c r="AI165" i="1"/>
  <c r="U165" i="1"/>
  <c r="S165" i="1" s="1"/>
  <c r="AI161" i="1"/>
  <c r="U161" i="1"/>
  <c r="S161" i="1" s="1"/>
  <c r="AI155" i="1"/>
  <c r="X212" i="1"/>
  <c r="T206" i="1"/>
  <c r="AG206" i="1"/>
  <c r="AI206" i="1" s="1"/>
  <c r="T203" i="1"/>
  <c r="U203" i="1" s="1"/>
  <c r="S203" i="1" s="1"/>
  <c r="AI211" i="1"/>
  <c r="AA193" i="1"/>
  <c r="W193" i="1" s="1"/>
  <c r="W180" i="1"/>
  <c r="W234" i="1"/>
  <c r="AI167" i="1"/>
  <c r="AI159" i="1"/>
  <c r="AG199" i="1"/>
  <c r="AI199" i="1" s="1"/>
  <c r="AG195" i="1"/>
  <c r="AI195" i="1" s="1"/>
  <c r="X192" i="1"/>
  <c r="T192" i="1"/>
  <c r="U192" i="1" s="1"/>
  <c r="S192" i="1" s="1"/>
  <c r="AG191" i="1"/>
  <c r="W191" i="1" s="1"/>
  <c r="AI203" i="1"/>
  <c r="X188" i="1"/>
  <c r="T188" i="1"/>
  <c r="U188" i="1" s="1"/>
  <c r="S188" i="1" s="1"/>
  <c r="AG187" i="1"/>
  <c r="W187" i="1" s="1"/>
  <c r="X184" i="1"/>
  <c r="T184" i="1"/>
  <c r="U184" i="1" s="1"/>
  <c r="S184" i="1" s="1"/>
  <c r="AG183" i="1"/>
  <c r="AI183" i="1" s="1"/>
  <c r="X180" i="1"/>
  <c r="T180" i="1"/>
  <c r="U180" i="1" s="1"/>
  <c r="S180" i="1" s="1"/>
  <c r="AG179" i="1"/>
  <c r="AI179" i="1" s="1"/>
  <c r="AI192" i="1"/>
  <c r="X176" i="1"/>
  <c r="T176" i="1"/>
  <c r="U176" i="1" s="1"/>
  <c r="S176" i="1" s="1"/>
  <c r="AG175" i="1"/>
  <c r="W175" i="1" s="1"/>
  <c r="AI188" i="1"/>
  <c r="X234" i="1"/>
  <c r="T234" i="1"/>
  <c r="U234" i="1" s="1"/>
  <c r="S234" i="1" s="1"/>
  <c r="AG233" i="1"/>
  <c r="W233" i="1" s="1"/>
  <c r="AI184" i="1"/>
  <c r="S231" i="1"/>
  <c r="X230" i="1"/>
  <c r="T230" i="1"/>
  <c r="U230" i="1" s="1"/>
  <c r="S230" i="1" s="1"/>
  <c r="AG229" i="1"/>
  <c r="AI180" i="1"/>
  <c r="X226" i="1"/>
  <c r="T226" i="1"/>
  <c r="U226" i="1" s="1"/>
  <c r="S226" i="1" s="1"/>
  <c r="AG225" i="1"/>
  <c r="AI176" i="1"/>
  <c r="X222" i="1"/>
  <c r="T222" i="1"/>
  <c r="U222" i="1" s="1"/>
  <c r="S222" i="1" s="1"/>
  <c r="AG174" i="1"/>
  <c r="AI172" i="1"/>
  <c r="X171" i="1"/>
  <c r="T171" i="1"/>
  <c r="U171" i="1" s="1"/>
  <c r="S171" i="1" s="1"/>
  <c r="AG170" i="1"/>
  <c r="AI168" i="1"/>
  <c r="X167" i="1"/>
  <c r="T167" i="1"/>
  <c r="U167" i="1" s="1"/>
  <c r="S167" i="1" s="1"/>
  <c r="AG166" i="1"/>
  <c r="AI164" i="1"/>
  <c r="X163" i="1"/>
  <c r="T163" i="1"/>
  <c r="U163" i="1" s="1"/>
  <c r="S163" i="1" s="1"/>
  <c r="AG162" i="1"/>
  <c r="AI160" i="1"/>
  <c r="X159" i="1"/>
  <c r="T159" i="1"/>
  <c r="U159" i="1" s="1"/>
  <c r="S159" i="1" s="1"/>
  <c r="AG158" i="1"/>
  <c r="W158" i="1" s="1"/>
  <c r="X155" i="1"/>
  <c r="T155" i="1"/>
  <c r="U155" i="1" s="1"/>
  <c r="S155" i="1" s="1"/>
  <c r="AG154" i="1"/>
  <c r="X151" i="1"/>
  <c r="T151" i="1"/>
  <c r="U151" i="1" s="1"/>
  <c r="S151" i="1" s="1"/>
  <c r="AG150" i="1"/>
  <c r="W150" i="1" s="1"/>
  <c r="T150" i="1"/>
  <c r="X199" i="1"/>
  <c r="X195" i="1"/>
  <c r="X191" i="1"/>
  <c r="X187" i="1"/>
  <c r="X183" i="1"/>
  <c r="X179" i="1"/>
  <c r="X175" i="1"/>
  <c r="X233" i="1"/>
  <c r="X229" i="1"/>
  <c r="X225" i="1"/>
  <c r="X174" i="1"/>
  <c r="X170" i="1"/>
  <c r="X166" i="1"/>
  <c r="X162" i="1"/>
  <c r="X158" i="1"/>
  <c r="X154" i="1"/>
  <c r="AA149" i="1"/>
  <c r="T148" i="1"/>
  <c r="X148" i="1"/>
  <c r="AG148" i="1"/>
  <c r="T149" i="1"/>
  <c r="X149" i="1"/>
  <c r="X193" i="1"/>
  <c r="X189" i="1"/>
  <c r="X185" i="1"/>
  <c r="X181" i="1"/>
  <c r="X177" i="1"/>
  <c r="X241" i="1"/>
  <c r="X231" i="1"/>
  <c r="X227" i="1"/>
  <c r="X223" i="1"/>
  <c r="X172" i="1"/>
  <c r="X168" i="1"/>
  <c r="X164" i="1"/>
  <c r="X160" i="1"/>
  <c r="X156" i="1"/>
  <c r="X152" i="1"/>
  <c r="AG149" i="1"/>
  <c r="U145" i="1"/>
  <c r="S145" i="1" s="1"/>
  <c r="U141" i="1"/>
  <c r="S141" i="1" s="1"/>
  <c r="U133" i="1"/>
  <c r="S133" i="1" s="1"/>
  <c r="U125" i="1"/>
  <c r="S125" i="1" s="1"/>
  <c r="AI115" i="1"/>
  <c r="U115" i="1"/>
  <c r="S115" i="1" s="1"/>
  <c r="AI103" i="1"/>
  <c r="U103" i="1"/>
  <c r="S103" i="1" s="1"/>
  <c r="AI146" i="1"/>
  <c r="X145" i="1"/>
  <c r="AG144" i="1"/>
  <c r="X141" i="1"/>
  <c r="AG140" i="1"/>
  <c r="W140" i="1" s="1"/>
  <c r="X137" i="1"/>
  <c r="AG136" i="1"/>
  <c r="AI134" i="1"/>
  <c r="X133" i="1"/>
  <c r="AG132" i="1"/>
  <c r="X129" i="1"/>
  <c r="AG128" i="1"/>
  <c r="X125" i="1"/>
  <c r="AG124" i="1"/>
  <c r="X121" i="1"/>
  <c r="AG120" i="1"/>
  <c r="AI118" i="1"/>
  <c r="AI114" i="1"/>
  <c r="AI99" i="1"/>
  <c r="U99" i="1"/>
  <c r="S99" i="1" s="1"/>
  <c r="AI92" i="1"/>
  <c r="U92" i="1"/>
  <c r="S92" i="1" s="1"/>
  <c r="AI85" i="1"/>
  <c r="X144" i="1"/>
  <c r="AI141" i="1"/>
  <c r="X140" i="1"/>
  <c r="X136" i="1"/>
  <c r="AI133" i="1"/>
  <c r="X132" i="1"/>
  <c r="X128" i="1"/>
  <c r="AI125" i="1"/>
  <c r="X124" i="1"/>
  <c r="AI121" i="1"/>
  <c r="X120" i="1"/>
  <c r="W118" i="1"/>
  <c r="T117" i="1"/>
  <c r="U117" i="1" s="1"/>
  <c r="S117" i="1" s="1"/>
  <c r="X117" i="1"/>
  <c r="U114" i="1"/>
  <c r="S114" i="1" s="1"/>
  <c r="T113" i="1"/>
  <c r="X113" i="1"/>
  <c r="AG113" i="1"/>
  <c r="X114" i="1"/>
  <c r="AI111" i="1"/>
  <c r="U111" i="1"/>
  <c r="S111" i="1" s="1"/>
  <c r="W107" i="1"/>
  <c r="S118" i="1"/>
  <c r="AI117" i="1"/>
  <c r="AI107" i="1"/>
  <c r="U107" i="1"/>
  <c r="S107" i="1" s="1"/>
  <c r="X116" i="1"/>
  <c r="X112" i="1"/>
  <c r="X108" i="1"/>
  <c r="X104" i="1"/>
  <c r="X100" i="1"/>
  <c r="X89" i="1"/>
  <c r="X81" i="1"/>
  <c r="AA80" i="1"/>
  <c r="AA76" i="1"/>
  <c r="AG75" i="1"/>
  <c r="T75" i="1"/>
  <c r="X75" i="1"/>
  <c r="AI72" i="1"/>
  <c r="AI71" i="1"/>
  <c r="AI57" i="1"/>
  <c r="AI49" i="1"/>
  <c r="U102" i="1"/>
  <c r="S102" i="1" s="1"/>
  <c r="U87" i="1"/>
  <c r="S87" i="1" s="1"/>
  <c r="U84" i="1"/>
  <c r="S84" i="1" s="1"/>
  <c r="T76" i="1"/>
  <c r="X76" i="1"/>
  <c r="U72" i="1"/>
  <c r="S72" i="1" s="1"/>
  <c r="AI67" i="1"/>
  <c r="AI53" i="1"/>
  <c r="X110" i="1"/>
  <c r="AG109" i="1"/>
  <c r="X106" i="1"/>
  <c r="AG105" i="1"/>
  <c r="X102" i="1"/>
  <c r="AG101" i="1"/>
  <c r="AG97" i="1"/>
  <c r="AG94" i="1"/>
  <c r="X91" i="1"/>
  <c r="AG90" i="1"/>
  <c r="AG86" i="1"/>
  <c r="X84" i="1"/>
  <c r="AG83" i="1"/>
  <c r="T78" i="1"/>
  <c r="U78" i="1" s="1"/>
  <c r="X77" i="1"/>
  <c r="AG76" i="1"/>
  <c r="AA72" i="1"/>
  <c r="W72" i="1" s="1"/>
  <c r="AI65" i="1"/>
  <c r="AI62" i="1"/>
  <c r="W61" i="1"/>
  <c r="W58" i="1"/>
  <c r="AI110" i="1"/>
  <c r="X109" i="1"/>
  <c r="X105" i="1"/>
  <c r="AI102" i="1"/>
  <c r="X101" i="1"/>
  <c r="AI98" i="1"/>
  <c r="X90" i="1"/>
  <c r="AI87" i="1"/>
  <c r="AI84" i="1"/>
  <c r="X83" i="1"/>
  <c r="T79" i="1"/>
  <c r="U79" i="1" s="1"/>
  <c r="X79" i="1"/>
  <c r="X78" i="1"/>
  <c r="W71" i="1"/>
  <c r="AI61" i="1"/>
  <c r="AI58" i="1"/>
  <c r="W57" i="1"/>
  <c r="X71" i="1"/>
  <c r="T71" i="1"/>
  <c r="U71" i="1" s="1"/>
  <c r="T67" i="1"/>
  <c r="U67" i="1" s="1"/>
  <c r="X62" i="1"/>
  <c r="T62" i="1"/>
  <c r="U62" i="1" s="1"/>
  <c r="AI59" i="1"/>
  <c r="S59" i="1"/>
  <c r="X58" i="1"/>
  <c r="T58" i="1"/>
  <c r="U58" i="1" s="1"/>
  <c r="S58" i="1" s="1"/>
  <c r="AI55" i="1"/>
  <c r="X54" i="1"/>
  <c r="X50" i="1"/>
  <c r="T41" i="1"/>
  <c r="X41" i="1"/>
  <c r="AG41" i="1"/>
  <c r="X42" i="1"/>
  <c r="AA34" i="1"/>
  <c r="W34" i="1" s="1"/>
  <c r="T29" i="1"/>
  <c r="X29" i="1"/>
  <c r="AG29" i="1"/>
  <c r="W29" i="1" s="1"/>
  <c r="X30" i="1"/>
  <c r="AI26" i="1"/>
  <c r="T21" i="1"/>
  <c r="X21" i="1"/>
  <c r="AG21" i="1"/>
  <c r="W21" i="1" s="1"/>
  <c r="U20" i="1"/>
  <c r="S20" i="1" s="1"/>
  <c r="T17" i="1"/>
  <c r="X17" i="1"/>
  <c r="AG17" i="1"/>
  <c r="W17" i="1" s="1"/>
  <c r="U16" i="1"/>
  <c r="S16" i="1" s="1"/>
  <c r="U73" i="1"/>
  <c r="S73" i="1" s="1"/>
  <c r="U51" i="1"/>
  <c r="S51" i="1" s="1"/>
  <c r="AI46" i="1"/>
  <c r="AA42" i="1"/>
  <c r="W42" i="1" s="1"/>
  <c r="AI38" i="1"/>
  <c r="AA30" i="1"/>
  <c r="W30" i="1" s="1"/>
  <c r="T25" i="1"/>
  <c r="X25" i="1"/>
  <c r="AG25" i="1"/>
  <c r="W25" i="1" s="1"/>
  <c r="X26" i="1"/>
  <c r="AA14" i="1"/>
  <c r="W14" i="1" s="1"/>
  <c r="W49" i="1"/>
  <c r="T45" i="1"/>
  <c r="X45" i="1"/>
  <c r="AG45" i="1"/>
  <c r="X46" i="1"/>
  <c r="T37" i="1"/>
  <c r="X37" i="1"/>
  <c r="AG37" i="1"/>
  <c r="X38" i="1"/>
  <c r="AI34" i="1"/>
  <c r="AI73" i="1"/>
  <c r="X72" i="1"/>
  <c r="X63" i="1"/>
  <c r="X59" i="1"/>
  <c r="X55" i="1"/>
  <c r="AI52" i="1"/>
  <c r="AI51" i="1"/>
  <c r="T49" i="1"/>
  <c r="U49" i="1" s="1"/>
  <c r="X49" i="1"/>
  <c r="W46" i="1"/>
  <c r="AI42" i="1"/>
  <c r="W38" i="1"/>
  <c r="T33" i="1"/>
  <c r="X33" i="1"/>
  <c r="AG33" i="1"/>
  <c r="W33" i="1" s="1"/>
  <c r="X34" i="1"/>
  <c r="W32" i="1"/>
  <c r="AI30" i="1"/>
  <c r="S14" i="1"/>
  <c r="AI14" i="1"/>
  <c r="X48" i="1"/>
  <c r="T48" i="1"/>
  <c r="U48" i="1" s="1"/>
  <c r="X44" i="1"/>
  <c r="T44" i="1"/>
  <c r="U44" i="1" s="1"/>
  <c r="S44" i="1" s="1"/>
  <c r="X40" i="1"/>
  <c r="T40" i="1"/>
  <c r="U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X24" i="1"/>
  <c r="T24" i="1"/>
  <c r="U24" i="1" s="1"/>
  <c r="U23" i="1"/>
  <c r="S23" i="1" s="1"/>
  <c r="X20" i="1"/>
  <c r="U19" i="1"/>
  <c r="X16" i="1"/>
  <c r="X22" i="1"/>
  <c r="X18" i="1"/>
  <c r="Y40" i="3"/>
  <c r="Y31" i="3"/>
  <c r="Y26" i="3"/>
  <c r="Y17" i="3"/>
  <c r="Y12" i="3"/>
  <c r="AC49" i="3"/>
  <c r="Y48" i="3"/>
  <c r="Y34" i="3"/>
  <c r="AC27" i="3"/>
  <c r="Y25" i="3"/>
  <c r="Y20" i="3"/>
  <c r="T15" i="3"/>
  <c r="T31" i="3"/>
  <c r="T47" i="3"/>
  <c r="Y49" i="3"/>
  <c r="Y41" i="3"/>
  <c r="Y30" i="3"/>
  <c r="Y22" i="3"/>
  <c r="Y14" i="3"/>
  <c r="AC39" i="3"/>
  <c r="Y38" i="3"/>
  <c r="Y29" i="3"/>
  <c r="Y21" i="3"/>
  <c r="Y13" i="3"/>
  <c r="Y50" i="3"/>
  <c r="Y36" i="3"/>
  <c r="T50" i="3"/>
  <c r="AC48" i="3"/>
  <c r="T46" i="3"/>
  <c r="AC44" i="3"/>
  <c r="T42" i="3"/>
  <c r="AC40" i="3"/>
  <c r="T38" i="3"/>
  <c r="AC36" i="3"/>
  <c r="T34" i="3"/>
  <c r="AC32" i="3"/>
  <c r="T30" i="3"/>
  <c r="AC28" i="3"/>
  <c r="T26" i="3"/>
  <c r="AC24" i="3"/>
  <c r="T22" i="3"/>
  <c r="AC20" i="3"/>
  <c r="T18" i="3"/>
  <c r="AC16" i="3"/>
  <c r="T14" i="3"/>
  <c r="AC12" i="3"/>
  <c r="T10" i="3"/>
  <c r="AC8" i="3"/>
  <c r="AI15" i="1" l="1"/>
  <c r="W90" i="1"/>
  <c r="U106" i="1"/>
  <c r="S106" i="1" s="1"/>
  <c r="AI241" i="1"/>
  <c r="W70" i="1"/>
  <c r="W112" i="1"/>
  <c r="U27" i="1"/>
  <c r="U43" i="1"/>
  <c r="S43" i="1" s="1"/>
  <c r="U112" i="1"/>
  <c r="S112" i="1" s="1"/>
  <c r="AI95" i="1"/>
  <c r="AI122" i="1"/>
  <c r="U137" i="1"/>
  <c r="S137" i="1" s="1"/>
  <c r="W219" i="1"/>
  <c r="U240" i="1"/>
  <c r="S240" i="1" s="1"/>
  <c r="W170" i="1"/>
  <c r="W137" i="1"/>
  <c r="U130" i="1"/>
  <c r="S130" i="1" s="1"/>
  <c r="W51" i="1"/>
  <c r="U182" i="1"/>
  <c r="S182" i="1" s="1"/>
  <c r="U15" i="1"/>
  <c r="S15" i="1" s="1"/>
  <c r="W127" i="1"/>
  <c r="W89" i="1"/>
  <c r="AI91" i="1"/>
  <c r="AI54" i="1"/>
  <c r="W132" i="1"/>
  <c r="W91" i="1"/>
  <c r="W105" i="1"/>
  <c r="AI129" i="1"/>
  <c r="AI135" i="1"/>
  <c r="W143" i="1"/>
  <c r="AI22" i="1"/>
  <c r="U173" i="1"/>
  <c r="S173" i="1" s="1"/>
  <c r="U201" i="1"/>
  <c r="S201" i="1" s="1"/>
  <c r="W201" i="1"/>
  <c r="W134" i="1"/>
  <c r="W22" i="1"/>
  <c r="W194" i="1"/>
  <c r="U208" i="1"/>
  <c r="S208" i="1" s="1"/>
  <c r="AI235" i="1"/>
  <c r="W125" i="1"/>
  <c r="U219" i="1"/>
  <c r="S219" i="1" s="1"/>
  <c r="W135" i="1"/>
  <c r="AI130" i="1"/>
  <c r="W208" i="1"/>
  <c r="U213" i="1"/>
  <c r="S213" i="1" s="1"/>
  <c r="W31" i="1"/>
  <c r="W142" i="1"/>
  <c r="W241" i="1"/>
  <c r="S61" i="1"/>
  <c r="W169" i="1"/>
  <c r="U169" i="1"/>
  <c r="S169" i="1" s="1"/>
  <c r="AI63" i="1"/>
  <c r="U104" i="1"/>
  <c r="S104" i="1" s="1"/>
  <c r="AI156" i="1"/>
  <c r="W69" i="1"/>
  <c r="U242" i="1"/>
  <c r="S242" i="1" s="1"/>
  <c r="U116" i="1"/>
  <c r="S116" i="1" s="1"/>
  <c r="W124" i="1"/>
  <c r="AI138" i="1"/>
  <c r="W104" i="1"/>
  <c r="U60" i="1"/>
  <c r="S60" i="1" s="1"/>
  <c r="S47" i="1"/>
  <c r="W166" i="1"/>
  <c r="U54" i="1"/>
  <c r="S54" i="1" s="1"/>
  <c r="AI196" i="1"/>
  <c r="U126" i="1"/>
  <c r="S126" i="1" s="1"/>
  <c r="U50" i="1"/>
  <c r="S50" i="1" s="1"/>
  <c r="S27" i="1"/>
  <c r="S18" i="1"/>
  <c r="S70" i="1"/>
  <c r="U80" i="1"/>
  <c r="S80" i="1" s="1"/>
  <c r="W88" i="1"/>
  <c r="U95" i="1"/>
  <c r="S95" i="1" s="1"/>
  <c r="U142" i="1"/>
  <c r="S142" i="1" s="1"/>
  <c r="W145" i="1"/>
  <c r="W227" i="1"/>
  <c r="S78" i="1"/>
  <c r="U68" i="1"/>
  <c r="S67" i="1" s="1"/>
  <c r="U64" i="1"/>
  <c r="S64" i="1" s="1"/>
  <c r="W55" i="1"/>
  <c r="W27" i="1"/>
  <c r="AI56" i="1"/>
  <c r="U35" i="1"/>
  <c r="S34" i="1" s="1"/>
  <c r="AI60" i="1"/>
  <c r="AI69" i="1"/>
  <c r="AI18" i="1"/>
  <c r="AI80" i="1"/>
  <c r="AI88" i="1"/>
  <c r="AI152" i="1"/>
  <c r="W35" i="1"/>
  <c r="W64" i="1"/>
  <c r="W52" i="1"/>
  <c r="W122" i="1"/>
  <c r="W60" i="1"/>
  <c r="W68" i="1"/>
  <c r="AI143" i="1"/>
  <c r="U232" i="1"/>
  <c r="S232" i="1" s="1"/>
  <c r="U228" i="1"/>
  <c r="S228" i="1" s="1"/>
  <c r="U42" i="1"/>
  <c r="S42" i="1" s="1"/>
  <c r="W202" i="1"/>
  <c r="W228" i="1"/>
  <c r="U69" i="1"/>
  <c r="S69" i="1" s="1"/>
  <c r="W83" i="1"/>
  <c r="W97" i="1"/>
  <c r="W80" i="1"/>
  <c r="AI126" i="1"/>
  <c r="AI142" i="1"/>
  <c r="AI145" i="1"/>
  <c r="U224" i="1"/>
  <c r="S224" i="1" s="1"/>
  <c r="AI219" i="1"/>
  <c r="W63" i="1"/>
  <c r="W77" i="1"/>
  <c r="U236" i="1"/>
  <c r="S236" i="1" s="1"/>
  <c r="AI181" i="1"/>
  <c r="W146" i="1"/>
  <c r="U190" i="1"/>
  <c r="S190" i="1" s="1"/>
  <c r="U134" i="1"/>
  <c r="S134" i="1" s="1"/>
  <c r="W181" i="1"/>
  <c r="U56" i="1"/>
  <c r="S56" i="1" s="1"/>
  <c r="AI68" i="1"/>
  <c r="U88" i="1"/>
  <c r="S88" i="1" s="1"/>
  <c r="W214" i="1"/>
  <c r="U178" i="1"/>
  <c r="S178" i="1" s="1"/>
  <c r="AI233" i="1"/>
  <c r="W106" i="1"/>
  <c r="W43" i="1"/>
  <c r="W18" i="1"/>
  <c r="U96" i="1"/>
  <c r="S96" i="1" s="1"/>
  <c r="AI96" i="1"/>
  <c r="U123" i="1"/>
  <c r="S123" i="1" s="1"/>
  <c r="AI123" i="1"/>
  <c r="W116" i="1"/>
  <c r="W156" i="1"/>
  <c r="U77" i="1"/>
  <c r="S77" i="1" s="1"/>
  <c r="W178" i="1"/>
  <c r="U108" i="1"/>
  <c r="S108" i="1" s="1"/>
  <c r="AI108" i="1"/>
  <c r="W130" i="1"/>
  <c r="U100" i="1"/>
  <c r="S100" i="1" s="1"/>
  <c r="AI100" i="1"/>
  <c r="W121" i="1"/>
  <c r="W173" i="1"/>
  <c r="U185" i="1"/>
  <c r="S185" i="1" s="1"/>
  <c r="AI185" i="1"/>
  <c r="W236" i="1"/>
  <c r="W138" i="1"/>
  <c r="W211" i="1"/>
  <c r="U139" i="1"/>
  <c r="S139" i="1" s="1"/>
  <c r="AI139" i="1"/>
  <c r="W152" i="1"/>
  <c r="W139" i="1"/>
  <c r="AI175" i="1"/>
  <c r="U147" i="1"/>
  <c r="S147" i="1" s="1"/>
  <c r="AI147" i="1"/>
  <c r="U186" i="1"/>
  <c r="S186" i="1" s="1"/>
  <c r="U146" i="1"/>
  <c r="S146" i="1" s="1"/>
  <c r="W224" i="1"/>
  <c r="W20" i="1"/>
  <c r="W172" i="1"/>
  <c r="W177" i="1"/>
  <c r="W185" i="1"/>
  <c r="W235" i="1"/>
  <c r="AI191" i="1"/>
  <c r="AI187" i="1"/>
  <c r="U52" i="1"/>
  <c r="S52" i="1" s="1"/>
  <c r="U93" i="1"/>
  <c r="S93" i="1" s="1"/>
  <c r="AI93" i="1"/>
  <c r="U131" i="1"/>
  <c r="S131" i="1" s="1"/>
  <c r="AI131" i="1"/>
  <c r="U177" i="1"/>
  <c r="S177" i="1" s="1"/>
  <c r="AI177" i="1"/>
  <c r="W108" i="1"/>
  <c r="W231" i="1"/>
  <c r="W232" i="1"/>
  <c r="U37" i="1"/>
  <c r="S37" i="1" s="1"/>
  <c r="AI37" i="1"/>
  <c r="U25" i="1"/>
  <c r="S24" i="1" s="1"/>
  <c r="AI25" i="1"/>
  <c r="U21" i="1"/>
  <c r="S21" i="1" s="1"/>
  <c r="AI21" i="1"/>
  <c r="U113" i="1"/>
  <c r="S113" i="1" s="1"/>
  <c r="AI113" i="1"/>
  <c r="W113" i="1"/>
  <c r="AI162" i="1"/>
  <c r="U162" i="1"/>
  <c r="S162" i="1" s="1"/>
  <c r="AI178" i="1"/>
  <c r="U225" i="1"/>
  <c r="S225" i="1" s="1"/>
  <c r="AI194" i="1"/>
  <c r="U179" i="1"/>
  <c r="S179" i="1" s="1"/>
  <c r="AI217" i="1"/>
  <c r="U200" i="1"/>
  <c r="S200" i="1" s="1"/>
  <c r="AI214" i="1"/>
  <c r="U207" i="1"/>
  <c r="S207" i="1" s="1"/>
  <c r="AI222" i="1"/>
  <c r="U212" i="1"/>
  <c r="S212" i="1" s="1"/>
  <c r="AI227" i="1"/>
  <c r="U196" i="1"/>
  <c r="S196" i="1" s="1"/>
  <c r="AI210" i="1"/>
  <c r="AI229" i="1"/>
  <c r="U214" i="1"/>
  <c r="S214" i="1" s="1"/>
  <c r="W212" i="1"/>
  <c r="U29" i="1"/>
  <c r="S29" i="1" s="1"/>
  <c r="AI29" i="1"/>
  <c r="U41" i="1"/>
  <c r="S40" i="1" s="1"/>
  <c r="AI41" i="1"/>
  <c r="AI76" i="1"/>
  <c r="U76" i="1"/>
  <c r="U86" i="1"/>
  <c r="S86" i="1" s="1"/>
  <c r="AI86" i="1"/>
  <c r="U94" i="1"/>
  <c r="S94" i="1" s="1"/>
  <c r="AI94" i="1"/>
  <c r="U101" i="1"/>
  <c r="S101" i="1" s="1"/>
  <c r="AI101" i="1"/>
  <c r="U109" i="1"/>
  <c r="S109" i="1" s="1"/>
  <c r="AI109" i="1"/>
  <c r="U75" i="1"/>
  <c r="AI75" i="1"/>
  <c r="W75" i="1"/>
  <c r="AI120" i="1"/>
  <c r="U120" i="1"/>
  <c r="S120" i="1" s="1"/>
  <c r="AI124" i="1"/>
  <c r="U124" i="1"/>
  <c r="S124" i="1" s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W128" i="1"/>
  <c r="W144" i="1"/>
  <c r="W149" i="1"/>
  <c r="U150" i="1"/>
  <c r="S150" i="1" s="1"/>
  <c r="AI150" i="1"/>
  <c r="AI166" i="1"/>
  <c r="U166" i="1"/>
  <c r="S166" i="1" s="1"/>
  <c r="AI182" i="1"/>
  <c r="U229" i="1"/>
  <c r="S229" i="1" s="1"/>
  <c r="AI198" i="1"/>
  <c r="U183" i="1"/>
  <c r="S183" i="1" s="1"/>
  <c r="W229" i="1"/>
  <c r="W183" i="1"/>
  <c r="W200" i="1"/>
  <c r="W225" i="1"/>
  <c r="W179" i="1"/>
  <c r="W207" i="1"/>
  <c r="U45" i="1"/>
  <c r="S45" i="1" s="1"/>
  <c r="AI45" i="1"/>
  <c r="U17" i="1"/>
  <c r="S17" i="1" s="1"/>
  <c r="AI17" i="1"/>
  <c r="W76" i="1"/>
  <c r="W109" i="1"/>
  <c r="AI149" i="1"/>
  <c r="U149" i="1"/>
  <c r="S149" i="1" s="1"/>
  <c r="U148" i="1"/>
  <c r="S148" i="1" s="1"/>
  <c r="AI148" i="1"/>
  <c r="AI154" i="1"/>
  <c r="U154" i="1"/>
  <c r="S154" i="1" s="1"/>
  <c r="AI170" i="1"/>
  <c r="U170" i="1"/>
  <c r="AI186" i="1"/>
  <c r="U233" i="1"/>
  <c r="S233" i="1" s="1"/>
  <c r="AI202" i="1"/>
  <c r="U187" i="1"/>
  <c r="S187" i="1" s="1"/>
  <c r="U195" i="1"/>
  <c r="S195" i="1" s="1"/>
  <c r="AI209" i="1"/>
  <c r="W195" i="1"/>
  <c r="U206" i="1"/>
  <c r="S206" i="1" s="1"/>
  <c r="AI221" i="1"/>
  <c r="W154" i="1"/>
  <c r="AI232" i="1"/>
  <c r="U217" i="1"/>
  <c r="S217" i="1" s="1"/>
  <c r="AI236" i="1"/>
  <c r="U221" i="1"/>
  <c r="S221" i="1" s="1"/>
  <c r="AI240" i="1"/>
  <c r="U238" i="1"/>
  <c r="S238" i="1" s="1"/>
  <c r="AI225" i="1"/>
  <c r="U210" i="1"/>
  <c r="S210" i="1" s="1"/>
  <c r="W238" i="1"/>
  <c r="W221" i="1"/>
  <c r="U33" i="1"/>
  <c r="S33" i="1" s="1"/>
  <c r="AI33" i="1"/>
  <c r="W41" i="1"/>
  <c r="W37" i="1"/>
  <c r="W45" i="1"/>
  <c r="U83" i="1"/>
  <c r="S83" i="1" s="1"/>
  <c r="AI83" i="1"/>
  <c r="U90" i="1"/>
  <c r="S90" i="1" s="1"/>
  <c r="AI90" i="1"/>
  <c r="U97" i="1"/>
  <c r="S97" i="1" s="1"/>
  <c r="AI97" i="1"/>
  <c r="U105" i="1"/>
  <c r="S105" i="1" s="1"/>
  <c r="AI105" i="1"/>
  <c r="W86" i="1"/>
  <c r="W94" i="1"/>
  <c r="W101" i="1"/>
  <c r="W120" i="1"/>
  <c r="W136" i="1"/>
  <c r="W148" i="1"/>
  <c r="AI158" i="1"/>
  <c r="U158" i="1"/>
  <c r="S158" i="1" s="1"/>
  <c r="AI174" i="1"/>
  <c r="U174" i="1"/>
  <c r="S174" i="1" s="1"/>
  <c r="AI190" i="1"/>
  <c r="U175" i="1"/>
  <c r="S175" i="1" s="1"/>
  <c r="AI205" i="1"/>
  <c r="U191" i="1"/>
  <c r="S191" i="1" s="1"/>
  <c r="U199" i="1"/>
  <c r="S199" i="1" s="1"/>
  <c r="W199" i="1"/>
  <c r="AI213" i="1"/>
  <c r="W174" i="1"/>
  <c r="W162" i="1"/>
  <c r="W206" i="1"/>
  <c r="W210" i="1"/>
  <c r="R7" i="3"/>
  <c r="M7" i="3"/>
  <c r="N7" i="3"/>
  <c r="S7" i="3"/>
  <c r="U7" i="3"/>
  <c r="V7" i="3"/>
  <c r="W7" i="3"/>
  <c r="X7" i="3"/>
  <c r="AC7" i="3"/>
  <c r="T7" i="3" l="1"/>
  <c r="AD7" i="3"/>
  <c r="S75" i="1"/>
  <c r="Y7" i="3"/>
  <c r="B4" i="6" l="1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11" i="6" l="1"/>
  <c r="G7" i="6"/>
  <c r="G4" i="6"/>
  <c r="G9" i="6"/>
  <c r="G3" i="6"/>
  <c r="H10" i="6"/>
  <c r="H9" i="6"/>
  <c r="H11" i="6"/>
  <c r="H7" i="6"/>
  <c r="H3" i="6"/>
  <c r="H4" i="6"/>
  <c r="H8" i="6"/>
  <c r="H5" i="6"/>
  <c r="H6" i="6"/>
  <c r="G8" i="6"/>
  <c r="G5" i="6"/>
  <c r="G6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<sst xmlns="http://schemas.openxmlformats.org/spreadsheetml/2006/main" count="2415" uniqueCount="837">
  <si>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</si>
  <si>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</si>
  <si>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</si>
  <si>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</si>
  <si>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</si>
  <si>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</si>
  <si>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</si>
  <si>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</si>
  <si>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</si>
  <si>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</si>
  <si>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</si>
  <si>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</si>
  <si>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</si>
  <si>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</si>
  <si>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</si>
  <si>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</si>
  <si>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</si>
  <si>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</si>
  <si>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</si>
  <si>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</si>
  <si>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</si>
  <si>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</si>
  <si>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</si>
  <si>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</si>
  <si>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</si>
  <si>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</si>
  <si>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</si>
  <si>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</si>
  <si>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</si>
  <si>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</si>
  <si>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</si>
  <si>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</si>
  <si>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</si>
  <si>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</si>
  <si>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</si>
  <si>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</si>
  <si>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</si>
  <si>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</si>
  <si>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</si>
  <si>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</si>
  <si>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</si>
  <si>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</si>
  <si>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</si>
  <si>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</si>
  <si>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</si>
  <si>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</si>
  <si>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</si>
  <si>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</si>
  <si>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</si>
  <si>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</si>
  <si>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</si>
  <si>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</si>
  <si>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</si>
  <si>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</si>
  <si>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</si>
  <si>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</si>
  <si>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</si>
  <si>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</si>
  <si>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</si>
  <si>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</si>
  <si>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</si>
  <si>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</si>
  <si>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</si>
  <si>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</si>
  <si>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</si>
  <si>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</si>
  <si>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</si>
  <si>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</si>
  <si>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</si>
  <si>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</si>
  <si>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</si>
  <si>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</si>
  <si>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</si>
  <si>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</si>
  <si>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</si>
  <si>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</si>
  <si>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</si>
  <si>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</si>
  <si>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</si>
  <si>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</si>
  <si>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</si>
  <si>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</si>
  <si>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</si>
  <si>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</si>
  <si>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</si>
  <si>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</si>
  <si>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</si>
  <si>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</si>
  <si>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</si>
  <si>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</si>
  <si>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</si>
  <si>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</si>
  <si>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</si>
  <si>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</si>
  <si>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</si>
  <si>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</si>
  <si>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</si>
  <si>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</si>
  <si>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</si>
  <si>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</si>
  <si>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</si>
  <si>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</si>
  <si>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</si>
  <si>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</si>
  <si>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</si>
  <si>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</si>
  <si>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</si>
  <si>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</si>
  <si>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</si>
  <si>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</si>
  <si>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</si>
  <si>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</si>
  <si>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</si>
  <si>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</si>
  <si>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</si>
  <si>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</si>
  <si>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</si>
  <si>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</si>
  <si>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</si>
  <si>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</si>
  <si>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</si>
  <si>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</si>
  <si>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</si>
  <si>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</si>
  <si>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</si>
  <si>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</si>
  <si>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</si>
  <si>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</si>
  <si>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</si>
  <si>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</si>
  <si>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</si>
  <si>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</si>
  <si>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</si>
  <si>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</si>
  <si>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</si>
  <si>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</si>
  <si>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</si>
  <si>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</si>
  <si>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</si>
  <si>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</si>
  <si>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</si>
  <si>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</si>
  <si>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</si>
  <si>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</si>
  <si>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</si>
  <si>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</si>
  <si>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</si>
  <si>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</si>
  <si>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</si>
  <si>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</si>
  <si>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</si>
  <si>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</si>
  <si>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</si>
  <si>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</si>
  <si>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</si>
  <si>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</si>
  <si>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</si>
  <si>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</si>
  <si>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</si>
  <si>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</si>
  <si>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</si>
  <si>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</si>
  <si>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</si>
  <si>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</si>
  <si>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</si>
  <si>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</si>
  <si>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</si>
  <si>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</si>
  <si>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</si>
  <si>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</si>
  <si>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</si>
  <si>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</si>
  <si>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</si>
  <si>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</si>
  <si>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</si>
  <si>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</si>
  <si>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</si>
  <si>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</si>
  <si>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</si>
  <si>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</si>
  <si>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</si>
  <si>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</si>
  <si>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</si>
  <si>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</si>
  <si>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</si>
  <si>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</si>
  <si>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</si>
  <si>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</si>
  <si>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</si>
  <si>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</si>
  <si>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</si>
  <si>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</si>
  <si>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</si>
  <si>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</si>
  <si>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</si>
  <si>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</si>
  <si>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</si>
  <si>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</si>
  <si>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</si>
  <si>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</si>
  <si>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</si>
  <si>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</si>
  <si>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</si>
  <si>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</si>
  <si>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</si>
  <si>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</si>
  <si>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</si>
  <si>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</si>
  <si>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</si>
  <si>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</si>
  <si>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</si>
  <si>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</si>
  <si>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</si>
  <si>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</si>
  <si>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</si>
  <si>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</si>
  <si>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</si>
  <si>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</si>
  <si>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</si>
  <si>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</si>
  <si>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</si>
  <si>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</si>
  <si>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</si>
  <si>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</si>
  <si>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</si>
  <si>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</si>
  <si>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</si>
  <si>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partly-cloudy-night</t>
  </si>
  <si>
    <t>Partly Cloudy</t>
  </si>
  <si>
    <t>204:158</t>
  </si>
  <si>
    <t>clear-night</t>
  </si>
  <si>
    <t>Clear</t>
  </si>
  <si>
    <t>rtdc.l.rtdc.4039:itc</t>
  </si>
  <si>
    <t>rtdc.l.rtdc.4032:itc</t>
  </si>
  <si>
    <t>Y</t>
  </si>
  <si>
    <t>rtdc.l.rtdc.4004:itc</t>
  </si>
  <si>
    <t>204:233298</t>
  </si>
  <si>
    <t>204:232982</t>
  </si>
  <si>
    <t>204:233312</t>
  </si>
  <si>
    <t>Human Factors</t>
  </si>
  <si>
    <t>STAMBAUGH</t>
  </si>
  <si>
    <t>204:469</t>
  </si>
  <si>
    <t>204:233306</t>
  </si>
  <si>
    <t>204:232991</t>
  </si>
  <si>
    <t>rtdc.l.rtdc.4031:itc</t>
  </si>
  <si>
    <t>rtdc.l.rtdc.4012:itc</t>
  </si>
  <si>
    <t>204:160</t>
  </si>
  <si>
    <t>204:150</t>
  </si>
  <si>
    <t>204:139</t>
  </si>
  <si>
    <t>204:233002</t>
  </si>
  <si>
    <t>204:467</t>
  </si>
  <si>
    <t>rtdc.l.rtdc.4001:itc</t>
  </si>
  <si>
    <t>rtdc.l.rtdc.4002:itc</t>
  </si>
  <si>
    <t>BADERTSCHER</t>
  </si>
  <si>
    <t>MAGEE</t>
  </si>
  <si>
    <t>YANAI</t>
  </si>
  <si>
    <t>204:233319</t>
  </si>
  <si>
    <t>204:232992</t>
  </si>
  <si>
    <t>204:233293</t>
  </si>
  <si>
    <t>rtdc.l.rtdc.4016:itc</t>
  </si>
  <si>
    <t>Track device (7)</t>
  </si>
  <si>
    <t>rtdc.l.rtdc.4015:itc</t>
  </si>
  <si>
    <t>rtdc.l.rtdc.4043:itc</t>
  </si>
  <si>
    <t>204:233299</t>
  </si>
  <si>
    <t>204:233302</t>
  </si>
  <si>
    <t>204:438</t>
  </si>
  <si>
    <t>204:232981</t>
  </si>
  <si>
    <t>204:232973</t>
  </si>
  <si>
    <t>204:446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</si>
  <si>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</si>
  <si>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</si>
  <si>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</si>
  <si>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SWITCH UNKNOWN</t>
  </si>
  <si>
    <t>rtdc.l.rtdc.4021:itc</t>
  </si>
  <si>
    <t>HOLCOMB</t>
  </si>
  <si>
    <t>204:473</t>
  </si>
  <si>
    <t>204:233303</t>
  </si>
  <si>
    <t>204:233304</t>
  </si>
  <si>
    <t>204:233310</t>
  </si>
  <si>
    <t>204:232993</t>
  </si>
  <si>
    <t>204:442</t>
  </si>
  <si>
    <t>204:471</t>
  </si>
  <si>
    <t>204:480</t>
  </si>
  <si>
    <t>204:232996</t>
  </si>
  <si>
    <t>204:134</t>
  </si>
  <si>
    <t>300:58937</t>
  </si>
  <si>
    <t>rtdc.l.rtdc.4054:itc</t>
  </si>
  <si>
    <t>rtdc.l.rtdc.4053:itc</t>
  </si>
  <si>
    <t>rtdc.l.rtdc.4038:itc</t>
  </si>
  <si>
    <t>232-10</t>
  </si>
  <si>
    <t>236-10</t>
  </si>
  <si>
    <t>239-10</t>
  </si>
  <si>
    <t>rtdc.l.rtdc.4037:itc</t>
  </si>
  <si>
    <t>SHOOK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</si>
  <si>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</si>
  <si>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</si>
  <si>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</si>
  <si>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</si>
  <si>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</si>
  <si>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</si>
  <si>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</si>
  <si>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</si>
  <si>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</si>
  <si>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</si>
  <si>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</si>
  <si>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</si>
  <si>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</si>
  <si>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</si>
  <si>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</si>
  <si>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</si>
  <si>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</si>
  <si>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</si>
  <si>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</si>
  <si>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204:233300</t>
  </si>
  <si>
    <t>204:232980</t>
  </si>
  <si>
    <t>204:232968</t>
  </si>
  <si>
    <t>204:449</t>
  </si>
  <si>
    <t>204:233008</t>
  </si>
  <si>
    <t>204:232976</t>
  </si>
  <si>
    <t>204:141</t>
  </si>
  <si>
    <t>300:58613</t>
  </si>
  <si>
    <t>CLARK</t>
  </si>
  <si>
    <t>CHANDLER</t>
  </si>
  <si>
    <t>partly-cloudy-day</t>
  </si>
  <si>
    <t>204:444</t>
  </si>
  <si>
    <t>204:233286</t>
  </si>
  <si>
    <t>204:232987</t>
  </si>
  <si>
    <t>204:163</t>
  </si>
  <si>
    <t>204:233315</t>
  </si>
  <si>
    <t>204:232983</t>
  </si>
  <si>
    <t>300:23302</t>
  </si>
  <si>
    <t>300:23312</t>
  </si>
  <si>
    <t>rtdc.l.rtdc.4014:itc</t>
  </si>
  <si>
    <t>rtdc.l.rtdc.4013:itc</t>
  </si>
  <si>
    <t>BARTLETT</t>
  </si>
  <si>
    <t>OUN</t>
  </si>
  <si>
    <t>NEWELL</t>
  </si>
  <si>
    <t>204:233301</t>
  </si>
  <si>
    <t>204:232989</t>
  </si>
  <si>
    <t>204:232972</t>
  </si>
  <si>
    <t>204:232969</t>
  </si>
  <si>
    <t>204:232975</t>
  </si>
  <si>
    <t>300:58935</t>
  </si>
  <si>
    <t>204:978</t>
  </si>
  <si>
    <t>300:58926</t>
  </si>
  <si>
    <t>204:696</t>
  </si>
  <si>
    <t>300:58969</t>
  </si>
  <si>
    <t>204:232971</t>
  </si>
  <si>
    <t>204:169</t>
  </si>
  <si>
    <t>204:495</t>
  </si>
  <si>
    <t>300:23304</t>
  </si>
  <si>
    <t>rtdc.l.rtdc.4008:itc</t>
  </si>
  <si>
    <t>HAITHCOX</t>
  </si>
  <si>
    <t>rtdc.l.rtdc.4007:itc</t>
  </si>
  <si>
    <t>YOUNG</t>
  </si>
  <si>
    <t>CRAYTON</t>
  </si>
  <si>
    <t>SMITH</t>
  </si>
  <si>
    <t>LEVERE</t>
  </si>
  <si>
    <t>rtdc.l.rtdc.4017:itc</t>
  </si>
  <si>
    <t>WHITED</t>
  </si>
  <si>
    <t>ROMERO</t>
  </si>
  <si>
    <t>238-13</t>
  </si>
  <si>
    <t>240-13</t>
  </si>
  <si>
    <t>243-13</t>
  </si>
  <si>
    <t>309-13</t>
  </si>
  <si>
    <t>242-13</t>
  </si>
  <si>
    <t>311-13</t>
  </si>
  <si>
    <t>244-13</t>
  </si>
  <si>
    <t>313-13</t>
  </si>
  <si>
    <t>204:757</t>
  </si>
  <si>
    <t>204:233000</t>
  </si>
  <si>
    <t>204:477</t>
  </si>
  <si>
    <t>204:232965</t>
  </si>
  <si>
    <t>204:233336</t>
  </si>
  <si>
    <t>204:232994</t>
  </si>
  <si>
    <t>204:233289</t>
  </si>
  <si>
    <t>204:176</t>
  </si>
  <si>
    <t>204:167</t>
  </si>
  <si>
    <t>300:58928</t>
  </si>
  <si>
    <t>300:58615</t>
  </si>
  <si>
    <t>300:58931</t>
  </si>
  <si>
    <t>300:58922</t>
  </si>
  <si>
    <t>300:58617</t>
  </si>
  <si>
    <t>204:768</t>
  </si>
  <si>
    <t>300:58929</t>
  </si>
  <si>
    <t>300:58609</t>
  </si>
  <si>
    <t>204:958</t>
  </si>
  <si>
    <t>300:58608</t>
  </si>
  <si>
    <t>204:671</t>
  </si>
  <si>
    <t>204:965</t>
  </si>
  <si>
    <t>204:233038</t>
  </si>
  <si>
    <t>204:233011</t>
  </si>
  <si>
    <t>204:233270</t>
  </si>
  <si>
    <t>204:478</t>
  </si>
  <si>
    <t>204:232970</t>
  </si>
  <si>
    <t>204:233308</t>
  </si>
  <si>
    <t>300:23313</t>
  </si>
  <si>
    <t>315-13</t>
  </si>
  <si>
    <t>901-14</t>
  </si>
  <si>
    <t>104-14</t>
  </si>
  <si>
    <t>106-14</t>
  </si>
  <si>
    <t>108-14</t>
  </si>
  <si>
    <t>119-14</t>
  </si>
  <si>
    <t>804-14</t>
  </si>
  <si>
    <t>118-14</t>
  </si>
  <si>
    <t>808-14</t>
  </si>
  <si>
    <t>rtdc.l.rtdc.4045:itc</t>
  </si>
  <si>
    <t>126-14</t>
  </si>
  <si>
    <t>811-14</t>
  </si>
  <si>
    <t>130-14</t>
  </si>
  <si>
    <t>138-14</t>
  </si>
  <si>
    <t>140-14</t>
  </si>
  <si>
    <t>147-14</t>
  </si>
  <si>
    <t>155-14</t>
  </si>
  <si>
    <t>148-14</t>
  </si>
  <si>
    <t>818-14</t>
  </si>
  <si>
    <t>158-14</t>
  </si>
  <si>
    <t>154-14</t>
  </si>
  <si>
    <t>156-14</t>
  </si>
  <si>
    <t>173-14</t>
  </si>
  <si>
    <t>166-14</t>
  </si>
  <si>
    <t>179-14</t>
  </si>
  <si>
    <t>172-14</t>
  </si>
  <si>
    <t>184-14</t>
  </si>
  <si>
    <t>182-14</t>
  </si>
  <si>
    <t>825-14</t>
  </si>
  <si>
    <t>197-14</t>
  </si>
  <si>
    <t>828-14</t>
  </si>
  <si>
    <t>204-14</t>
  </si>
  <si>
    <t>60-14</t>
  </si>
  <si>
    <t>838-14</t>
  </si>
  <si>
    <t>843-14</t>
  </si>
  <si>
    <t>226-14</t>
  </si>
  <si>
    <t>224-14</t>
  </si>
  <si>
    <t>228-14</t>
  </si>
  <si>
    <t>845-14</t>
  </si>
  <si>
    <t>230-14</t>
  </si>
  <si>
    <t>236-14</t>
  </si>
  <si>
    <t>302-14</t>
  </si>
  <si>
    <t>GRASTON</t>
  </si>
  <si>
    <t>rtdc.l.rtdc.4046:itc</t>
  </si>
  <si>
    <t>101-14</t>
  </si>
  <si>
    <t>304-14</t>
  </si>
  <si>
    <t>ROBINSON</t>
  </si>
  <si>
    <t>103-14</t>
  </si>
  <si>
    <t>306-14</t>
  </si>
  <si>
    <t>308-14</t>
  </si>
  <si>
    <t>ISHMAEL</t>
  </si>
  <si>
    <t>102-14</t>
  </si>
  <si>
    <t>105-14</t>
  </si>
  <si>
    <t>107-14</t>
  </si>
  <si>
    <t>310-14</t>
  </si>
  <si>
    <t>109-14</t>
  </si>
  <si>
    <t>BRANDNER</t>
  </si>
  <si>
    <t>111-14</t>
  </si>
  <si>
    <t>MAHAN</t>
  </si>
  <si>
    <t>113-14</t>
  </si>
  <si>
    <t>800-14</t>
  </si>
  <si>
    <t>801-14</t>
  </si>
  <si>
    <t>rtdc.l.rtdc.4018:itc</t>
  </si>
  <si>
    <t>115-14</t>
  </si>
  <si>
    <t>110-14</t>
  </si>
  <si>
    <t>117-14</t>
  </si>
  <si>
    <t>902-14</t>
  </si>
  <si>
    <t>BERLING</t>
  </si>
  <si>
    <t>112-14</t>
  </si>
  <si>
    <t>114-14</t>
  </si>
  <si>
    <t>802-14</t>
  </si>
  <si>
    <t>121-14</t>
  </si>
  <si>
    <t>803-14</t>
  </si>
  <si>
    <t>116-14</t>
  </si>
  <si>
    <t>805-14</t>
  </si>
  <si>
    <t>123-14</t>
  </si>
  <si>
    <t>125-14</t>
  </si>
  <si>
    <t>120-14</t>
  </si>
  <si>
    <t>127-14</t>
  </si>
  <si>
    <t>122-14</t>
  </si>
  <si>
    <t>807-14</t>
  </si>
  <si>
    <t>806-14</t>
  </si>
  <si>
    <t>129-14</t>
  </si>
  <si>
    <t>124-14</t>
  </si>
  <si>
    <t>131-14</t>
  </si>
  <si>
    <t>809-14</t>
  </si>
  <si>
    <t>128-14</t>
  </si>
  <si>
    <t>133-14</t>
  </si>
  <si>
    <t>135-14</t>
  </si>
  <si>
    <t>810-14</t>
  </si>
  <si>
    <t>137-14</t>
  </si>
  <si>
    <t>132-14</t>
  </si>
  <si>
    <t>903-14</t>
  </si>
  <si>
    <t>139-14</t>
  </si>
  <si>
    <t>134-14</t>
  </si>
  <si>
    <t>812-14</t>
  </si>
  <si>
    <t>141-14</t>
  </si>
  <si>
    <t>136-14</t>
  </si>
  <si>
    <t>143-14</t>
  </si>
  <si>
    <t>813-14</t>
  </si>
  <si>
    <t>145-14</t>
  </si>
  <si>
    <t>142-14</t>
  </si>
  <si>
    <t>JOHNSON</t>
  </si>
  <si>
    <t>814-14</t>
  </si>
  <si>
    <t>149-14</t>
  </si>
  <si>
    <t>144-14</t>
  </si>
  <si>
    <t>151-14</t>
  </si>
  <si>
    <t>146-14</t>
  </si>
  <si>
    <t>815-14</t>
  </si>
  <si>
    <t>153-14</t>
  </si>
  <si>
    <t>150-14</t>
  </si>
  <si>
    <t>816-14</t>
  </si>
  <si>
    <t>157-14</t>
  </si>
  <si>
    <t>152-14</t>
  </si>
  <si>
    <t>159-14</t>
  </si>
  <si>
    <t>MCREYNOLDS</t>
  </si>
  <si>
    <t>817-14</t>
  </si>
  <si>
    <t>161-14</t>
  </si>
  <si>
    <t>163-14</t>
  </si>
  <si>
    <t>MACDONALD</t>
  </si>
  <si>
    <t>165-14</t>
  </si>
  <si>
    <t>160-14</t>
  </si>
  <si>
    <t>167-14</t>
  </si>
  <si>
    <t>DELGADO</t>
  </si>
  <si>
    <t>162-14</t>
  </si>
  <si>
    <t>819-14</t>
  </si>
  <si>
    <t>164-14</t>
  </si>
  <si>
    <t>169-14</t>
  </si>
  <si>
    <t>171-14</t>
  </si>
  <si>
    <t>820-14</t>
  </si>
  <si>
    <t>168-14</t>
  </si>
  <si>
    <t>175-14</t>
  </si>
  <si>
    <t>821-14</t>
  </si>
  <si>
    <t>LALONDE</t>
  </si>
  <si>
    <t>170-14</t>
  </si>
  <si>
    <t>177-14</t>
  </si>
  <si>
    <t>174-14</t>
  </si>
  <si>
    <t>822-14</t>
  </si>
  <si>
    <t>181-14</t>
  </si>
  <si>
    <t>176-14</t>
  </si>
  <si>
    <t>183-14</t>
  </si>
  <si>
    <t>178-14</t>
  </si>
  <si>
    <t>185-14</t>
  </si>
  <si>
    <t>823-14</t>
  </si>
  <si>
    <t>180-14</t>
  </si>
  <si>
    <t>187-14</t>
  </si>
  <si>
    <t>824-14</t>
  </si>
  <si>
    <t>189-14</t>
  </si>
  <si>
    <t>191-14</t>
  </si>
  <si>
    <t>186-14</t>
  </si>
  <si>
    <t>904-14</t>
  </si>
  <si>
    <t>193-14</t>
  </si>
  <si>
    <t>188-14</t>
  </si>
  <si>
    <t>195-14</t>
  </si>
  <si>
    <t>190-14</t>
  </si>
  <si>
    <t>826-14</t>
  </si>
  <si>
    <t>192-14</t>
  </si>
  <si>
    <t>827-14</t>
  </si>
  <si>
    <t>199-14</t>
  </si>
  <si>
    <t>194-14</t>
  </si>
  <si>
    <t>201-14</t>
  </si>
  <si>
    <t>196-14</t>
  </si>
  <si>
    <t>829-14</t>
  </si>
  <si>
    <t>203-14</t>
  </si>
  <si>
    <t>198-14</t>
  </si>
  <si>
    <t>205-14</t>
  </si>
  <si>
    <t>830-14</t>
  </si>
  <si>
    <t>831-14</t>
  </si>
  <si>
    <t>200-14</t>
  </si>
  <si>
    <t>207-14</t>
  </si>
  <si>
    <t>202-14</t>
  </si>
  <si>
    <t>832-14</t>
  </si>
  <si>
    <t>209-14</t>
  </si>
  <si>
    <t>NELSON</t>
  </si>
  <si>
    <t>833-14</t>
  </si>
  <si>
    <t>211-14</t>
  </si>
  <si>
    <t>206-14</t>
  </si>
  <si>
    <t>834-14</t>
  </si>
  <si>
    <t>213-14</t>
  </si>
  <si>
    <t>835-14</t>
  </si>
  <si>
    <t>69-14</t>
  </si>
  <si>
    <t>208-14</t>
  </si>
  <si>
    <t>215-14</t>
  </si>
  <si>
    <t>210-14</t>
  </si>
  <si>
    <t>836-14</t>
  </si>
  <si>
    <t>217-14</t>
  </si>
  <si>
    <t>212-14</t>
  </si>
  <si>
    <t>837-14</t>
  </si>
  <si>
    <t>219-14</t>
  </si>
  <si>
    <t>PERKINS</t>
  </si>
  <si>
    <t>214-14</t>
  </si>
  <si>
    <t>839-14</t>
  </si>
  <si>
    <t>303-14</t>
  </si>
  <si>
    <t>216-14</t>
  </si>
  <si>
    <t>221-14</t>
  </si>
  <si>
    <t>906-14</t>
  </si>
  <si>
    <t>841-14</t>
  </si>
  <si>
    <t>218-14</t>
  </si>
  <si>
    <t>305-14</t>
  </si>
  <si>
    <t>220-14</t>
  </si>
  <si>
    <t>223-14</t>
  </si>
  <si>
    <t>840-14</t>
  </si>
  <si>
    <t>307-14</t>
  </si>
  <si>
    <t>222-14</t>
  </si>
  <si>
    <t>225-14</t>
  </si>
  <si>
    <t>227-14</t>
  </si>
  <si>
    <t>842-14</t>
  </si>
  <si>
    <t>229-14</t>
  </si>
  <si>
    <t>231-14</t>
  </si>
  <si>
    <t>844-14</t>
  </si>
  <si>
    <t>233-14</t>
  </si>
  <si>
    <t>235-14</t>
  </si>
  <si>
    <t>847-14</t>
  </si>
  <si>
    <t>232-14</t>
  </si>
  <si>
    <t>908-14</t>
  </si>
  <si>
    <t>234-14</t>
  </si>
  <si>
    <t>237-14</t>
  </si>
  <si>
    <t>239-14</t>
  </si>
  <si>
    <t>238-14</t>
  </si>
  <si>
    <t>241-14</t>
  </si>
  <si>
    <t>243-14</t>
  </si>
  <si>
    <t>240-14</t>
  </si>
  <si>
    <t>309-14</t>
  </si>
  <si>
    <t>242-14</t>
  </si>
  <si>
    <t>311-14</t>
  </si>
  <si>
    <t>clear-day</t>
  </si>
  <si>
    <t>204:233334</t>
  </si>
  <si>
    <t>204:232706</t>
  </si>
  <si>
    <t>204:51647</t>
  </si>
  <si>
    <t>204:765</t>
  </si>
  <si>
    <t>204:232687</t>
  </si>
  <si>
    <t>204:39673</t>
  </si>
  <si>
    <t>204:233285</t>
  </si>
  <si>
    <t>204:232656</t>
  </si>
  <si>
    <t>204:39769</t>
  </si>
  <si>
    <t>204:35135</t>
  </si>
  <si>
    <t>204:33411</t>
  </si>
  <si>
    <t>204:45171</t>
  </si>
  <si>
    <t>204:36776</t>
  </si>
  <si>
    <t>204:35916</t>
  </si>
  <si>
    <t>204:46158</t>
  </si>
  <si>
    <t>204:36781</t>
  </si>
  <si>
    <t>204:774</t>
  </si>
  <si>
    <t>204:46163</t>
  </si>
  <si>
    <t>204:36810</t>
  </si>
  <si>
    <t>204:233274</t>
  </si>
  <si>
    <t>204:44149</t>
  </si>
  <si>
    <t>204:46608</t>
  </si>
  <si>
    <t>204:726</t>
  </si>
  <si>
    <t>204:18184</t>
  </si>
  <si>
    <t>204:44475</t>
  </si>
  <si>
    <t>204:18769</t>
  </si>
  <si>
    <t>204:136</t>
  </si>
  <si>
    <t>204:44106</t>
  </si>
  <si>
    <t>204:44879</t>
  </si>
  <si>
    <t>204:36550</t>
  </si>
  <si>
    <t>204:484</t>
  </si>
  <si>
    <t>204:46530</t>
  </si>
  <si>
    <t>204:36794</t>
  </si>
  <si>
    <t>204:19133</t>
  </si>
  <si>
    <t>204:132</t>
  </si>
  <si>
    <t>204:233006</t>
  </si>
  <si>
    <t>204:44452</t>
  </si>
  <si>
    <t>204:437</t>
  </si>
  <si>
    <t>204:233346</t>
  </si>
  <si>
    <t>204:165</t>
  </si>
  <si>
    <t>204:18774</t>
  </si>
  <si>
    <t>204:48948</t>
  </si>
  <si>
    <t>204:233291</t>
  </si>
  <si>
    <t>204:18783</t>
  </si>
  <si>
    <t>204:47371</t>
  </si>
  <si>
    <t>204:1190</t>
  </si>
  <si>
    <t>204:51273</t>
  </si>
  <si>
    <t>204:18711</t>
  </si>
  <si>
    <t>204:46849</t>
  </si>
  <si>
    <t>204:233326</t>
  </si>
  <si>
    <t>204:233005</t>
  </si>
  <si>
    <t>204:62302</t>
  </si>
  <si>
    <t>204:44325</t>
  </si>
  <si>
    <t>204:116</t>
  </si>
  <si>
    <t>204:47199</t>
  </si>
  <si>
    <t>204:36771</t>
  </si>
  <si>
    <t>204:333</t>
  </si>
  <si>
    <t>204:19113</t>
  </si>
  <si>
    <t>204:180</t>
  </si>
  <si>
    <t>204:153985</t>
  </si>
  <si>
    <t>204:407</t>
  </si>
  <si>
    <t>204:1511</t>
  </si>
  <si>
    <t>204:233320</t>
  </si>
  <si>
    <t>204:440</t>
  </si>
  <si>
    <t>204:233359</t>
  </si>
  <si>
    <t>204:233047</t>
  </si>
  <si>
    <t>204:639</t>
  </si>
  <si>
    <t>204:232950</t>
  </si>
  <si>
    <t>204:154260</t>
  </si>
  <si>
    <t>204:488</t>
  </si>
  <si>
    <t>204:233337</t>
  </si>
  <si>
    <t>204:233325</t>
  </si>
  <si>
    <t>204:233004</t>
  </si>
  <si>
    <t>204:433</t>
  </si>
  <si>
    <t>204:232952</t>
  </si>
  <si>
    <t>204:185</t>
  </si>
  <si>
    <t>204:233340</t>
  </si>
  <si>
    <t>204:233036</t>
  </si>
  <si>
    <t>204:233003</t>
  </si>
  <si>
    <t>204:170</t>
  </si>
  <si>
    <t>204:232984</t>
  </si>
  <si>
    <t>204:491</t>
  </si>
  <si>
    <t>204:233383</t>
  </si>
  <si>
    <t>204:1192</t>
  </si>
  <si>
    <t>204:233324</t>
  </si>
  <si>
    <t>204:233001</t>
  </si>
  <si>
    <t>204:232940</t>
  </si>
  <si>
    <t>204:233283</t>
  </si>
  <si>
    <t>204:233343</t>
  </si>
  <si>
    <t>204:209</t>
  </si>
  <si>
    <t>204:233314</t>
  </si>
  <si>
    <t>204:232960</t>
  </si>
  <si>
    <t>204:178</t>
  </si>
  <si>
    <t>204:127860</t>
  </si>
  <si>
    <t>204:154024</t>
  </si>
  <si>
    <t>204:233263</t>
  </si>
  <si>
    <t>204:482</t>
  </si>
  <si>
    <t>204:233288</t>
  </si>
  <si>
    <t>244-14</t>
  </si>
  <si>
    <t>300:23491</t>
  </si>
  <si>
    <t>300:23308</t>
  </si>
  <si>
    <t>300:23030</t>
  </si>
  <si>
    <t>300:23309</t>
  </si>
  <si>
    <t>204:509</t>
  </si>
  <si>
    <t>300:23472</t>
  </si>
  <si>
    <t>300:22856</t>
  </si>
  <si>
    <t>300:23464</t>
  </si>
  <si>
    <t>313-14</t>
  </si>
  <si>
    <t>204:1185</t>
  </si>
  <si>
    <t>315-14</t>
  </si>
  <si>
    <t>300:23189</t>
  </si>
  <si>
    <t>300:21986</t>
  </si>
  <si>
    <t>204:1615</t>
  </si>
  <si>
    <t>204:1484</t>
  </si>
  <si>
    <t>300:58658</t>
  </si>
  <si>
    <t>204:1002</t>
  </si>
  <si>
    <t>300:58960</t>
  </si>
  <si>
    <t>300:58636</t>
  </si>
  <si>
    <t>204:969</t>
  </si>
  <si>
    <t>300:58920</t>
  </si>
  <si>
    <t>300:58611</t>
  </si>
  <si>
    <t>204:727</t>
  </si>
  <si>
    <t>204:1009</t>
  </si>
  <si>
    <t>300:58958</t>
  </si>
  <si>
    <t>300:58649</t>
  </si>
  <si>
    <t>204:715</t>
  </si>
  <si>
    <t>204:1027</t>
  </si>
  <si>
    <t>300:58621</t>
  </si>
  <si>
    <t>204:682</t>
  </si>
  <si>
    <t>300:58918</t>
  </si>
  <si>
    <t>204:950</t>
  </si>
  <si>
    <t>300:58914</t>
  </si>
  <si>
    <t>300:58598</t>
  </si>
  <si>
    <t>204:691</t>
  </si>
  <si>
    <t>204:988</t>
  </si>
  <si>
    <t>300:58924</t>
  </si>
  <si>
    <t>204:675</t>
  </si>
  <si>
    <t>204:670</t>
  </si>
  <si>
    <t>204:962</t>
  </si>
  <si>
    <t>300:58606</t>
  </si>
  <si>
    <t>204:684</t>
  </si>
  <si>
    <t>300:58954</t>
  </si>
  <si>
    <t>300:58626</t>
  </si>
  <si>
    <t>204:673</t>
  </si>
  <si>
    <t>204:971</t>
  </si>
  <si>
    <t>204:687</t>
  </si>
  <si>
    <t>204:710</t>
  </si>
  <si>
    <t>204:967</t>
  </si>
  <si>
    <t>204:680</t>
  </si>
  <si>
    <t>204:953</t>
  </si>
  <si>
    <t>204:657</t>
  </si>
  <si>
    <t>204:976</t>
  </si>
  <si>
    <t>300:58933</t>
  </si>
  <si>
    <t>204:689</t>
  </si>
  <si>
    <t>204:941</t>
  </si>
  <si>
    <t>204:664</t>
  </si>
  <si>
    <t>204:694</t>
  </si>
  <si>
    <t>300:58619</t>
  </si>
  <si>
    <t>204:661</t>
  </si>
  <si>
    <t>204:972</t>
  </si>
  <si>
    <t>204:948</t>
  </si>
  <si>
    <t>300:58927</t>
  </si>
  <si>
    <t>300:29661</t>
  </si>
  <si>
    <t>300:58982</t>
  </si>
  <si>
    <t>300:23329</t>
  </si>
  <si>
    <t>204:668</t>
  </si>
  <si>
    <t>204:1016</t>
  </si>
  <si>
    <t>300:24263</t>
  </si>
  <si>
    <t>300:23508</t>
  </si>
  <si>
    <t>204:724</t>
  </si>
  <si>
    <t>300:28793</t>
  </si>
  <si>
    <t>300:58604</t>
  </si>
  <si>
    <t>300:21761</t>
  </si>
  <si>
    <t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t>
  </si>
  <si>
    <t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t>
  </si>
  <si>
    <t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t>
  </si>
  <si>
    <t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t>
  </si>
  <si>
    <t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t>
  </si>
  <si>
    <t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t>
  </si>
  <si>
    <t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t>
  </si>
  <si>
    <t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t>
  </si>
  <si>
    <t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t>
  </si>
  <si>
    <t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t>
  </si>
  <si>
    <t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t>
  </si>
  <si>
    <t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t>
  </si>
  <si>
    <t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t>
  </si>
  <si>
    <t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t>
  </si>
  <si>
    <t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t>
  </si>
  <si>
    <t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t>
  </si>
  <si>
    <t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t>
  </si>
  <si>
    <t>Holly XING out of service</t>
  </si>
  <si>
    <t>An hour-long outage. Probably a CCU or onboard network issue? http://stevetu21.github.io/eaglep3/load_kml.html?kml=http://rtdc.gmaps-snips.s3.amazonaws.com/3cadb989-4167-491e-a121-3ecfad387986.kml</t>
  </si>
  <si>
    <t>Hour-long Onboard Wi-MAX outage</t>
  </si>
  <si>
    <t>Re-initialized at 61st, otherwise normal run</t>
  </si>
  <si>
    <t>Onboard in-route failure</t>
  </si>
  <si>
    <t>Around 06:57 denver time, several primary slice changes, caused operator to cut out train</t>
  </si>
  <si>
    <t>CCROC/crew/equipment mismatch</t>
  </si>
  <si>
    <t>Run couldn’t init at DUS due to mismatches</t>
  </si>
  <si>
    <t>Operator did not press Submit button (incomplete init) while at DIA</t>
  </si>
  <si>
    <t>See title</t>
  </si>
  <si>
    <t>Cut out due to Work Zone Bulletins</t>
  </si>
  <si>
    <t>Delayed due to Chambers 2N power outage</t>
  </si>
  <si>
    <t>Slices all rebooted around 08:43 denver time</t>
  </si>
  <si>
    <t>Form C</t>
  </si>
  <si>
    <t>Early arrival</t>
  </si>
  <si>
    <t>Overspeed</t>
  </si>
  <si>
    <t>Pena 4S STOP</t>
  </si>
  <si>
    <t>http://stevetu21.github.io/eaglep3/load_kml.html?kml=http://rtdc.gmaps-snips.s3.amazonaws.com/5591698c-fa11-4ba4-84f8-54f1d51a1301.kml</t>
  </si>
  <si>
    <t>Wi-MAX data drop</t>
  </si>
  <si>
    <t>Legitimate STOP aspect</t>
  </si>
  <si>
    <t>http://stevetu21.github.io/eaglep3/load_kml.html?kml=http://rtdc.gmaps-snips.s3.amazonaws.com/19aa24bb-fa3e-4397-bbfa-fae5d7dcf126.kml</t>
  </si>
  <si>
    <t>CLI Grep2 (for slice disagreement)</t>
  </si>
  <si>
    <t>Banner without braking</t>
  </si>
  <si>
    <t>Slice 1 commanded braking, other 2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</si>
</sst>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19aa24bb-fa3e-4397-bbfa-fae5d7dcf126.kml" TargetMode="External"/><Relationship Id="rId1" Type="http://schemas.openxmlformats.org/officeDocument/2006/relationships/hyperlink" Target="http://stevetu21.github.io/eaglep3/load_kml.html?kml=http://rtdc.gmaps-snips.s3.amazonaws.com/5591698c-fa11-4ba4-84f8-54f1d51a1301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opLeftCell="A145" workbookViewId="0">
      <selection activeCell="V169" sqref="V169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42688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119</v>
      </c>
      <c r="K5" s="44"/>
      <c r="L5" s="44"/>
      <c r="M5" s="45">
        <f>AVERAGEIFS($N$13:$N$9390,$AG$13:$AG$9390,I1)</f>
        <v>40.110224089859166</v>
      </c>
      <c r="N5" s="43">
        <f t="array" ref="N5">MIN(IF($AG$13:$AG$9390=I1,IF(ISNUMBER($N$13:$N$9390),IF($N$13:$N$9390&gt;0,$N$13:$N$9390))))</f>
        <v>34.299999992363155</v>
      </c>
      <c r="O5" s="3">
        <f t="array" ref="O5">MAX(IF($AG$13:$AG$9390=I1,IF(ISNUMBER($N$13:$N$9390),IF($N$13:$N$9390&gt;0,$N$13:$N$9390))))</f>
        <v>78.649999997578561</v>
      </c>
      <c r="P5" s="2"/>
      <c r="R5" s="80" t="s">
        <v>17</v>
      </c>
      <c r="S5" s="55">
        <f>COUNTIFS($N$13:$N$9390,"&gt;0",$AG$13:$AG$9390,R1)</f>
        <v>47</v>
      </c>
      <c r="T5" s="44"/>
      <c r="U5" s="169"/>
      <c r="V5" s="45">
        <f>AVERAGEIFS($N$13:$N$9390,$AG$13:$AG$9390,R1)</f>
        <v>15.245035460833064</v>
      </c>
      <c r="W5" s="43">
        <f t="array" ref="W5">MIN(IF($AG$13:$AG$9390=R1,IF(ISNUMBER($N$13:$N$9390),IF($N$13:$N$9390&gt;0,$N$13:$N$9390))))</f>
        <v>12.816666666185483</v>
      </c>
      <c r="X5" s="173">
        <f t="array" ref="X5">MAX(IF($AG$13:$AG$9390=R1,IF(ISNUMBER($N$13:$N$9390),IF($N$13:$N$9390&gt;0,$N$13:$N$9390))))</f>
        <v>20.249999997904524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COUNT($O$13:$O$163)</f>
        <v>0</v>
      </c>
      <c r="K6" s="44"/>
      <c r="L6" s="44"/>
      <c r="M6" s="45">
        <f>IFERROR(AVERAGE($O$13:$O$163),0)</f>
        <v>0</v>
      </c>
      <c r="N6" s="43">
        <f>MIN($O$13:$O$163)</f>
        <v>0</v>
      </c>
      <c r="O6" s="3">
        <f>MAX($O$13:$O$163)</f>
        <v>0</v>
      </c>
      <c r="P6" s="2"/>
      <c r="R6" s="81" t="s">
        <v>43</v>
      </c>
      <c r="S6" s="55">
        <f>COUNT($O$13:$O$163)</f>
        <v>0</v>
      </c>
      <c r="T6" s="44"/>
      <c r="U6" s="169"/>
      <c r="V6" s="45">
        <f>IFERROR(AVERAGE($O$13:$O$163),0)</f>
        <v>0</v>
      </c>
      <c r="W6" s="43">
        <f>MIN($O$13:$O$163)</f>
        <v>0</v>
      </c>
      <c r="X6" s="173">
        <f>MAX($O$13:$O$163)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25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119</v>
      </c>
      <c r="K8" s="44"/>
      <c r="L8" s="44"/>
      <c r="M8" s="45">
        <f>M5</f>
        <v>40.110224089859166</v>
      </c>
      <c r="N8" s="43">
        <f>N5</f>
        <v>34.299999992363155</v>
      </c>
      <c r="O8" s="3">
        <f>O5</f>
        <v>78.649999997578561</v>
      </c>
      <c r="P8" s="2"/>
      <c r="R8" s="80" t="s">
        <v>16</v>
      </c>
      <c r="S8" s="55">
        <f>S5</f>
        <v>47</v>
      </c>
      <c r="T8" s="44"/>
      <c r="U8" s="169"/>
      <c r="V8" s="45">
        <f>V5</f>
        <v>15.245035460833064</v>
      </c>
      <c r="W8" s="43">
        <f>W5</f>
        <v>12.816666666185483</v>
      </c>
      <c r="X8" s="173">
        <f>X5</f>
        <v>20.249999997904524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0.82638888888888884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- 2016-11-14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AVERAGE(S13:S109)</f>
        <v>0.92291666666666661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441</v>
      </c>
      <c r="B13" s="7">
        <v>4046</v>
      </c>
      <c r="C13" s="22" t="s">
        <v>224</v>
      </c>
      <c r="D13" s="22" t="s">
        <v>369</v>
      </c>
      <c r="E13" s="13">
        <v>42688.129618055558</v>
      </c>
      <c r="F13" s="13">
        <v>42688.135648148149</v>
      </c>
      <c r="G13" s="7">
        <v>1</v>
      </c>
      <c r="H13" s="22" t="s">
        <v>623</v>
      </c>
      <c r="I13" s="13">
        <v>42688.163356481484</v>
      </c>
      <c r="J13" s="7">
        <v>0</v>
      </c>
      <c r="K13" s="109" t="str">
        <f t="shared" ref="K13:K77" si="0">IF(ISEVEN(B13),(B13-1)&amp;"/"&amp;B13,B13&amp;"/"&amp;(B13+1))</f>
        <v>4045/4046</v>
      </c>
      <c r="L13" s="22" t="str">
        <f>VLOOKUP(A13,'Trips&amp;Operators'!$C$1:$E$10000,3,FALSE)</f>
        <v>GRASTON</v>
      </c>
      <c r="M13" s="6">
        <f t="shared" ref="M13:M77" si="1">I13-F13</f>
        <v>2.7708333334885538E-2</v>
      </c>
      <c r="N13" s="7">
        <f t="shared" ref="N13:P77" si="2">24*60*SUM($M13:$M13)</f>
        <v>39.900000002235174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https://search-rtdc-monitor-bjffxe2xuh6vdkpspy63sjmuny.us-east-1.es.amazonaws.com/_plugin/kibana/#/discover/Steve-Slow-Train-Analysis-(2080s-and-2083s)?_g=(refreshInterval:(display:Off,section:0,value:0),time:(from:'2016-11-14 02:06:39-700',mode:absolute,to:'2016-11-14 04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52" t="str">
        <f t="shared" ref="W13:W77" si="6">IF(AA13&lt;IF(AG13="EC",23,5.65),"Y","N")</f>
        <v>N</v>
      </c>
      <c r="X13" s="177" t="e">
        <f t="shared" ref="X13:X77" si="7">VALUE(LEFT(AD13,4))-VALUE(LEFT(AD12,4))</f>
        <v>#VALUE!</v>
      </c>
      <c r="Y13" s="67">
        <f t="shared" ref="Y13:Y77" si="8">RIGHT(D13,LEN(D13)-4)/10000</f>
        <v>7.5700000000000003E-2</v>
      </c>
      <c r="Z13" s="67">
        <f t="shared" ref="Z13:Z77" si="9">RIGHT(H13,LEN(H13)-4)/10000</f>
        <v>23.333400000000001</v>
      </c>
      <c r="AA13" s="67">
        <f t="shared" ref="AA13:AA77" si="10">ABS(Z13-Y13)</f>
        <v>23.2577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7" si="11">IF(LEN(A13)=6,"0"&amp;A13,A13)</f>
        <v>0101-14</v>
      </c>
      <c r="AE13" s="91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3" s="88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/stypes="app*4046*20161114*" /stext=" 10:.+((SYSTEM_STATE.+slice.+state.+changed )|(ment ac)|(system.+state.+changed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4046 --swversion DE.1.0.8.0 --startMP 204:757 --initTime 2016-11-14T03:06:39 --startdatetime 2016-11-14T03:15:20 --delay 1 --endMP 204:233334 --enddatetime 2016-11-14T03:55:14 --enforcementcount 0 &gt;&gt;C:\Users\stu\Documents\GitHub\eaglep3-reporting\EC\2016-11-14-refined-times.txt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{"issue":{"subject":"","project_id":79,"tracker_id":40,"status_id":1,"priority_id":2,"assigned_to_id":23,"start_date":"2016-11-14","description":"","custom_fields":[{"id":1,"name":"Subdivision","value":"EC"},{"id":4,"name":"Milepost","value":"23.3334"},{"id":17,"name":"Train ID","value":"101-14"},{"id":16,"name":"Locomotive ID","value":"4046"},{"id":130,"name":"Impact","value":""},{"id":150,"name":"Time of Event (Mountain Time)","value":"03:55:14"},{"id":151,"name":"Denver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448</v>
      </c>
      <c r="B14" s="7">
        <v>4015</v>
      </c>
      <c r="C14" s="22" t="s">
        <v>224</v>
      </c>
      <c r="D14" s="22" t="s">
        <v>624</v>
      </c>
      <c r="E14" s="13">
        <v>42688.16878472222</v>
      </c>
      <c r="F14" s="13">
        <v>42688.174583333333</v>
      </c>
      <c r="G14" s="7">
        <v>1</v>
      </c>
      <c r="H14" s="22" t="s">
        <v>625</v>
      </c>
      <c r="I14" s="13">
        <v>42688.194178240738</v>
      </c>
      <c r="J14" s="7">
        <v>0</v>
      </c>
      <c r="K14" s="109" t="str">
        <f t="shared" si="0"/>
        <v>4015/4016</v>
      </c>
      <c r="L14" s="22" t="str">
        <f>VLOOKUP(A14,'Trips&amp;Operators'!$C$1:$E$10000,3,FALSE)</f>
        <v>GRASTON</v>
      </c>
      <c r="M14" s="6">
        <f t="shared" si="1"/>
        <v>1.9594907404098194E-2</v>
      </c>
      <c r="N14" s="7"/>
      <c r="O14" s="7"/>
      <c r="P14" s="7">
        <f t="shared" si="2"/>
        <v>28.216666661901399</v>
      </c>
      <c r="Q14" s="23"/>
      <c r="R14" s="23" t="s">
        <v>813</v>
      </c>
      <c r="S14" s="35">
        <f t="shared" si="3"/>
        <v>0.58333333333333337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7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03:03:03-700',mode:absolute,to:'2016-11-14 05:39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2" t="str">
        <f t="shared" si="6"/>
        <v>Y</v>
      </c>
      <c r="X14" s="177">
        <f t="shared" si="7"/>
        <v>1</v>
      </c>
      <c r="Y14" s="67">
        <f t="shared" si="8"/>
        <v>23.270600000000002</v>
      </c>
      <c r="Z14" s="67">
        <f t="shared" si="9"/>
        <v>5.1646999999999998</v>
      </c>
      <c r="AA14" s="67">
        <f t="shared" si="10"/>
        <v>18.105900000000002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0102-14</v>
      </c>
      <c r="AE14" s="91" t="str">
        <f t="shared" si="12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14" s="88" t="str">
        <f t="shared" si="13"/>
        <v>"C:\Program Files (x86)\AstroGrep\AstroGrep.exe" /spath="%USERPROFILE%\AppData\Local\Temp\OnboardLogs" /stypes="app*4015*20161114*"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4015 --swversion DE.1.0.8.0 --startMP 204:232706 --initTime 2016-11-14T04:03:03 --startdatetime 2016-11-14T04:11:24 --delay 1 --endMP 204:51647 --enddatetime 2016-11-14T04:39:37 --enforcementcount 0 &gt;&gt;C:\Users\stu\Documents\GitHub\eaglep3-reporting\EC\2016-11-14-refined-times.txt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service","project_id":79,"tracker_id":40,"status_id":1,"priority_id":2,"assigned_to_id":23,"start_date":"2016-11-14","description":"","custom_fields":[{"id":1,"name":"Subdivision","value":"EC"},{"id":4,"name":"Milepost","value":"5.1647"},{"id":17,"name":"Train ID","value":"102-14"},{"id":16,"name":"Locomotive ID","value":"4015"},{"id":130,"name":"Impact","value":""},{"id":150,"name":"Time of Event (Mountain Time)","value":"04:39:37"},{"id":151,"name":"Denver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444</v>
      </c>
      <c r="B15" s="7">
        <v>4053</v>
      </c>
      <c r="C15" s="22" t="s">
        <v>224</v>
      </c>
      <c r="D15" s="22" t="s">
        <v>626</v>
      </c>
      <c r="E15" s="13">
        <v>42688.151076388887</v>
      </c>
      <c r="F15" s="13">
        <v>42688.156805555554</v>
      </c>
      <c r="G15" s="7">
        <v>2</v>
      </c>
      <c r="H15" s="22" t="s">
        <v>256</v>
      </c>
      <c r="I15" s="13">
        <v>42688.181481481479</v>
      </c>
      <c r="J15" s="7">
        <v>0</v>
      </c>
      <c r="K15" s="109" t="str">
        <f t="shared" si="0"/>
        <v>4053/4054</v>
      </c>
      <c r="L15" s="22" t="str">
        <f>VLOOKUP(A15,'Trips&amp;Operators'!$C$1:$E$10000,3,FALSE)</f>
        <v>ROBINSON</v>
      </c>
      <c r="M15" s="6">
        <f t="shared" si="1"/>
        <v>2.4675925924384501E-2</v>
      </c>
      <c r="N15" s="7">
        <f t="shared" si="2"/>
        <v>35.533333331113681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02:37:33-700',mode:absolute,to:'2016-11-14 05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7.6499999999999999E-2</v>
      </c>
      <c r="Z15" s="67">
        <f t="shared" si="9"/>
        <v>23.331900000000001</v>
      </c>
      <c r="AA15" s="67">
        <f t="shared" si="10"/>
        <v>23.255400000000002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0103-14</v>
      </c>
      <c r="AE15" s="91" t="str">
        <f t="shared" si="12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15" s="88" t="str">
        <f t="shared" si="13"/>
        <v>"C:\Program Files (x86)\AstroGrep\AstroGrep.exe" /spath="%USERPROFILE%\AppData\Local\Temp\OnboardLogs" /stypes="app*4053*20161114*"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103-14 --locoid 4053 --swversion DE.1.0.8.0 --startMP 204:765 --initTime 2016-11-14T03:37:33 --startdatetime 2016-11-14T03:45:48 --delay 2 --endMP 204:233319 --enddatetime 2016-11-14T04:21:20 --enforcementcount 0 &gt;&gt;C:\Users\stu\Documents\GitHub\eaglep3-reporting\EC\2016-11-14-refined-times.txt</v>
      </c>
      <c r="AI15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{"issue":{"subject":"","project_id":79,"tracker_id":40,"status_id":1,"priority_id":2,"assigned_to_id":23,"start_date":"2016-11-14","description":"","custom_fields":[{"id":1,"name":"Subdivision","value":"EC"},{"id":4,"name":"Milepost","value":"23.3319"},{"id":17,"name":"Train ID","value":"103-14"},{"id":16,"name":"Locomotive ID","value":"4053"},{"id":130,"name":"Impact","value":""},{"id":150,"name":"Time of Event (Mountain Time)","value":"04:21:20"},{"id":151,"name":"Denver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399</v>
      </c>
      <c r="B16" s="7">
        <v>4030</v>
      </c>
      <c r="C16" s="22" t="s">
        <v>224</v>
      </c>
      <c r="D16" s="22" t="s">
        <v>627</v>
      </c>
      <c r="E16" s="13">
        <v>42688.188958333332</v>
      </c>
      <c r="F16" s="13">
        <v>42688.195393518516</v>
      </c>
      <c r="G16" s="7">
        <v>1</v>
      </c>
      <c r="H16" s="22" t="s">
        <v>628</v>
      </c>
      <c r="I16" s="13">
        <v>42688.223171296297</v>
      </c>
      <c r="J16" s="7">
        <v>0</v>
      </c>
      <c r="K16" s="109" t="str">
        <f t="shared" si="0"/>
        <v>4029/4030</v>
      </c>
      <c r="L16" s="22" t="str">
        <f>VLOOKUP(A16,'Trips&amp;Operators'!$C$1:$E$10000,3,FALSE)</f>
        <v>ROBINSON</v>
      </c>
      <c r="M16" s="6">
        <f t="shared" si="1"/>
        <v>2.7777777781011537E-2</v>
      </c>
      <c r="N16" s="7"/>
      <c r="O16" s="7"/>
      <c r="P16" s="7">
        <f t="shared" si="2"/>
        <v>40.000000004656613</v>
      </c>
      <c r="Q16" s="23"/>
      <c r="R16" s="23" t="s">
        <v>813</v>
      </c>
      <c r="S16" s="35">
        <f t="shared" si="3"/>
        <v>0.75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9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03:32:06-700',mode:absolute,to:'2016-11-14 06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6"/>
        <v>Y</v>
      </c>
      <c r="X16" s="177">
        <f t="shared" si="7"/>
        <v>1</v>
      </c>
      <c r="Y16" s="67">
        <f t="shared" si="8"/>
        <v>23.268699999999999</v>
      </c>
      <c r="Z16" s="67">
        <f t="shared" si="9"/>
        <v>3.9672999999999998</v>
      </c>
      <c r="AA16" s="67">
        <f t="shared" si="10"/>
        <v>19.301400000000001</v>
      </c>
      <c r="AB16" s="64" t="str">
        <f>VLOOKUP(A16,Enforcements!$C$7:$K$20,8,0)</f>
        <v>Signal based authority (5)</v>
      </c>
      <c r="AC16" s="60" t="str">
        <f>VLOOKUP(A16,Enforcements!$C$7:$E$20,3,0)</f>
        <v>SIGNAL</v>
      </c>
      <c r="AD16" s="61" t="str">
        <f t="shared" si="11"/>
        <v>0104-14</v>
      </c>
      <c r="AE16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6" s="88" t="str">
        <f t="shared" si="13"/>
        <v>"C:\Program Files (x86)\AstroGrep\AstroGrep.exe" /spath="%USERPROFILE%\AppData\Local\Temp\OnboardLogs" /stypes="app*4030*20161114*"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104-14 --locoid 4030 --swversion DE.1.0.8.0 --startMP 204:232687 --initTime 2016-11-14T04:32:06 --startdatetime 2016-11-14T04:41:22 --delay 1 --endMP 204:39673 --enddatetime 2016-11-14T05:21:22 --enforcementcount 0 &gt;&gt;C:\Users\stu\Documents\GitHub\eaglep3-reporting\EC\2016-11-14-refined-times.txt</v>
      </c>
      <c r="AI16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service","project_id":79,"tracker_id":40,"status_id":1,"priority_id":2,"assigned_to_id":23,"start_date":"2016-11-14","description":"","custom_fields":[{"id":1,"name":"Subdivision","value":"EC"},{"id":4,"name":"Milepost","value":"3.9673"},{"id":17,"name":"Train ID","value":"104-14"},{"id":16,"name":"Locomotive ID","value":"4030"},{"id":130,"name":"Impact","value":""},{"id":150,"name":"Time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449</v>
      </c>
      <c r="B17" s="7">
        <v>4011</v>
      </c>
      <c r="C17" s="22" t="s">
        <v>224</v>
      </c>
      <c r="D17" s="22" t="s">
        <v>383</v>
      </c>
      <c r="E17" s="13">
        <v>42688.172847222224</v>
      </c>
      <c r="F17" s="13">
        <v>42688.177407407406</v>
      </c>
      <c r="G17" s="7">
        <v>1</v>
      </c>
      <c r="H17" s="22" t="s">
        <v>629</v>
      </c>
      <c r="I17" s="13">
        <v>42688.203819444447</v>
      </c>
      <c r="J17" s="7">
        <v>0</v>
      </c>
      <c r="K17" s="109" t="str">
        <f t="shared" si="0"/>
        <v>4011/4012</v>
      </c>
      <c r="L17" s="22" t="str">
        <f>VLOOKUP(A17,'Trips&amp;Operators'!$C$1:$E$10000,3,FALSE)</f>
        <v>OUN</v>
      </c>
      <c r="M17" s="6">
        <f t="shared" si="1"/>
        <v>2.641203704115469E-2</v>
      </c>
      <c r="N17" s="7">
        <f t="shared" si="2"/>
        <v>38.033333339262754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03:08:54-700',mode:absolute,to:'2016-11-14 05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7.6799999999999993E-2</v>
      </c>
      <c r="Z17" s="67">
        <f t="shared" si="9"/>
        <v>23.328499999999998</v>
      </c>
      <c r="AA17" s="67">
        <f t="shared" si="10"/>
        <v>23.2517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0105-14</v>
      </c>
      <c r="AE17" s="91" t="str">
        <f t="shared" si="12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17" s="88" t="str">
        <f t="shared" si="13"/>
        <v>"C:\Program Files (x86)\AstroGrep\AstroGrep.exe" /spath="%USERPROFILE%\AppData\Local\Temp\OnboardLogs" /stypes="app*4011*20161114*"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105-14 --locoid 4011 --swversion DE.1.0.8.0 --startMP 204:768 --initTime 2016-11-14T04:08:54 --startdatetime 2016-11-14T04:15:28 --delay 1 --endMP 204:233285 --enddatetime 2016-11-14T04:53:30 --enforcementcount 0 &gt;&gt;C:\Users\stu\Documents\GitHub\eaglep3-reporting\EC\2016-11-14-refined-times.txt</v>
      </c>
      <c r="AI17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{"issue":{"subject":"","project_id":79,"tracker_id":40,"status_id":1,"priority_id":2,"assigned_to_id":23,"start_date":"2016-11-14","description":"","custom_fields":[{"id":1,"name":"Subdivision","value":"EC"},{"id":4,"name":"Milepost","value":"23.3285"},{"id":17,"name":"Train ID","value":"105-14"},{"id":16,"name":"Locomotive ID","value":"4011"},{"id":130,"name":"Impact","value":""},{"id":150,"name":"Time of Event (Mountain Time)","value":"04:53:30"},{"id":151,"name":"Denver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400</v>
      </c>
      <c r="B18" s="7">
        <v>4004</v>
      </c>
      <c r="C18" s="22" t="s">
        <v>224</v>
      </c>
      <c r="D18" s="22" t="s">
        <v>630</v>
      </c>
      <c r="E18" s="13">
        <v>42688.212893518517</v>
      </c>
      <c r="F18" s="13">
        <v>42688.213877314818</v>
      </c>
      <c r="G18" s="7">
        <v>1</v>
      </c>
      <c r="H18" s="22" t="s">
        <v>631</v>
      </c>
      <c r="I18" s="13">
        <v>42688.239930555559</v>
      </c>
      <c r="J18" s="7">
        <v>1</v>
      </c>
      <c r="K18" s="109" t="str">
        <f t="shared" si="0"/>
        <v>4003/4004</v>
      </c>
      <c r="L18" s="22" t="str">
        <f>VLOOKUP(A18,'Trips&amp;Operators'!$C$1:$E$10000,3,FALSE)</f>
        <v>OUN</v>
      </c>
      <c r="M18" s="6">
        <f t="shared" si="1"/>
        <v>2.6053240741021E-2</v>
      </c>
      <c r="N18" s="7"/>
      <c r="O18" s="7"/>
      <c r="P18" s="7">
        <f>24*60*SUM($M18:$M19)</f>
        <v>38.43333333847113</v>
      </c>
      <c r="Q18" s="23"/>
      <c r="R18" s="23" t="s">
        <v>813</v>
      </c>
      <c r="S18" s="35">
        <f>SUM(U18:U19)/IF(AG18="EC",12,1)</f>
        <v>0.75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9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04:06:34-700',mode:absolute,to:'2016-11-14 06:45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" s="52" t="str">
        <f t="shared" si="6"/>
        <v>Y</v>
      </c>
      <c r="X18" s="177">
        <f t="shared" si="7"/>
        <v>1</v>
      </c>
      <c r="Y18" s="67">
        <f t="shared" si="8"/>
        <v>23.265599999999999</v>
      </c>
      <c r="Z18" s="67">
        <f t="shared" si="9"/>
        <v>3.9769000000000001</v>
      </c>
      <c r="AA18" s="67">
        <f t="shared" si="10"/>
        <v>19.288699999999999</v>
      </c>
      <c r="AB18" s="64" t="str">
        <f>VLOOKUP(A18,Enforcements!$C$7:$K$20,8,0)</f>
        <v>Signal based authority (5)</v>
      </c>
      <c r="AC18" s="60" t="str">
        <f>VLOOKUP(A18,Enforcements!$C$7:$E$20,3,0)</f>
        <v>SIGNAL</v>
      </c>
      <c r="AD18" s="61" t="str">
        <f t="shared" si="11"/>
        <v>0106-14</v>
      </c>
      <c r="AE18" s="91" t="str">
        <f t="shared" si="12"/>
        <v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v>
      </c>
      <c r="AF18" s="88" t="str">
        <f t="shared" si="13"/>
        <v>"C:\Program Files (x86)\AstroGrep\AstroGrep.exe" /spath="%USERPROFILE%\AppData\Local\Temp\OnboardLogs" /stypes="app*4004*20161114*"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106-14 --locoid 4004 --swversion DE.1.0.8.0 --startMP 204:232656 --initTime 2016-11-14T05:06:34 --startdatetime 2016-11-14T05:07:59 --delay 1 --endMP 204:39769 --enddatetime 2016-11-14T05:45:30 --enforcementcount 1 &gt;&gt;C:\Users\stu\Documents\GitHub\eaglep3-reporting\EC\2016-11-14-refined-times.txt</v>
      </c>
      <c r="AI18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service","project_id":79,"tracker_id":40,"status_id":1,"priority_id":2,"assigned_to_id":23,"start_date":"2016-11-14","description":"","custom_fields":[{"id":1,"name":"Subdivision","value":"EC"},{"id":4,"name":"Milepost","value":"3.9769"},{"id":17,"name":"Train ID","value":"106-14"},{"id":16,"name":"Locomotive ID","value":"4004"},{"id":130,"name":"Impact","value":""},{"id":150,"name":"Time of Event (Mountain Time)","value":"05:45:30"},{"id":151,"name":"Denver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400</v>
      </c>
      <c r="B19" s="7">
        <v>4004</v>
      </c>
      <c r="C19" s="22" t="s">
        <v>224</v>
      </c>
      <c r="D19" s="22" t="s">
        <v>632</v>
      </c>
      <c r="E19" s="13">
        <v>42688.24145833333</v>
      </c>
      <c r="F19" s="13">
        <v>42688.242280092592</v>
      </c>
      <c r="G19" s="7">
        <v>1</v>
      </c>
      <c r="H19" s="22" t="s">
        <v>633</v>
      </c>
      <c r="I19" s="13">
        <v>42688.24291666667</v>
      </c>
      <c r="J19" s="7">
        <v>1</v>
      </c>
      <c r="K19" s="109" t="str">
        <f t="shared" si="0"/>
        <v>4003/4004</v>
      </c>
      <c r="L19" s="22" t="str">
        <f>VLOOKUP(A19,'Trips&amp;Operators'!$C$1:$E$10000,3,FALSE)</f>
        <v>OUN</v>
      </c>
      <c r="M19" s="6">
        <f t="shared" si="1"/>
        <v>6.36574077361729E-4</v>
      </c>
      <c r="N19" s="7"/>
      <c r="O19" s="7"/>
      <c r="P19" s="7"/>
      <c r="Q19" s="23"/>
      <c r="R19" s="23"/>
      <c r="S19" s="35"/>
      <c r="T19" s="50" t="str">
        <f t="shared" si="4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04:47:42-700',mode:absolute,to:'2016-11-14 06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" s="52" t="str">
        <f t="shared" si="6"/>
        <v>Y</v>
      </c>
      <c r="X19" s="177">
        <f t="shared" si="7"/>
        <v>0</v>
      </c>
      <c r="Y19" s="67">
        <f t="shared" si="8"/>
        <v>3.5135000000000001</v>
      </c>
      <c r="Z19" s="67">
        <f t="shared" si="9"/>
        <v>3.3411</v>
      </c>
      <c r="AA19" s="67">
        <f t="shared" si="10"/>
        <v>0.17240000000000011</v>
      </c>
      <c r="AB19" s="64" t="str">
        <f>VLOOKUP(A19,Enforcements!$C$7:$K$20,8,0)</f>
        <v>Signal based authority (5)</v>
      </c>
      <c r="AC19" s="60" t="str">
        <f>VLOOKUP(A19,Enforcements!$C$7:$E$20,3,0)</f>
        <v>SIGNAL</v>
      </c>
      <c r="AD19" s="61" t="str">
        <f t="shared" si="11"/>
        <v>0106-14</v>
      </c>
      <c r="AE19" s="91" t="str">
        <f t="shared" si="12"/>
        <v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v>
      </c>
      <c r="AF19" s="88" t="str">
        <f t="shared" si="13"/>
        <v>"C:\Program Files (x86)\AstroGrep\AstroGrep.exe" /spath="%USERPROFILE%\AppData\Local\Temp\OnboardLogs" /stypes="app*4004*20161114*"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106-14 --locoid 4004 --swversion DE.1.0.8.0 --startMP 204:35135 --initTime 2016-11-14T05:47:42 --startdatetime 2016-11-14T05:48:53 --delay 1 --endMP 204:33411 --enddatetime 2016-11-14T05:49:48 --enforcementcount 1 &gt;&gt;C:\Users\stu\Documents\GitHub\eaglep3-reporting\EC\2016-11-14-refined-times.txt</v>
      </c>
      <c r="AI1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{"issue":{"subject":"","project_id":79,"tracker_id":40,"status_id":1,"priority_id":2,"assigned_to_id":23,"start_date":"2016-11-14","description":"","custom_fields":[{"id":1,"name":"Subdivision","value":"EC"},{"id":4,"name":"Milepost","value":"3.3411"},{"id":17,"name":"Train ID","value":"106-14"},{"id":16,"name":"Locomotive ID","value":"4004"},{"id":130,"name":"Impact","value":""},{"id":150,"name":"Time of Event (Mountain Time)","value":"05:49:48"},{"id":151,"name":"Denver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450</v>
      </c>
      <c r="B20" s="7">
        <v>4009</v>
      </c>
      <c r="C20" s="22" t="s">
        <v>224</v>
      </c>
      <c r="D20" s="22" t="s">
        <v>218</v>
      </c>
      <c r="E20" s="13">
        <v>42688.177511574075</v>
      </c>
      <c r="F20" s="13">
        <v>42688.187685185185</v>
      </c>
      <c r="G20" s="7">
        <v>1</v>
      </c>
      <c r="H20" s="22" t="s">
        <v>337</v>
      </c>
      <c r="I20" s="13">
        <v>42688.216307870367</v>
      </c>
      <c r="J20" s="7">
        <v>0</v>
      </c>
      <c r="K20" s="109" t="str">
        <f t="shared" si="0"/>
        <v>4009/4010</v>
      </c>
      <c r="L20" s="22" t="str">
        <f>VLOOKUP(A20,'Trips&amp;Operators'!$C$1:$E$10000,3,FALSE)</f>
        <v>ISHMAEL</v>
      </c>
      <c r="M20" s="6">
        <f t="shared" si="1"/>
        <v>2.8622685182199348E-2</v>
      </c>
      <c r="N20" s="7">
        <f t="shared" si="2"/>
        <v>41.216666662367061</v>
      </c>
      <c r="O20" s="7"/>
      <c r="P20" s="7"/>
      <c r="Q20" s="23"/>
      <c r="R20" s="23"/>
      <c r="S20" s="35">
        <f t="shared" si="3"/>
        <v>1</v>
      </c>
      <c r="T20" s="50" t="str">
        <f t="shared" si="4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03:15:37-700',mode:absolute,to:'2016-11-14 06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4.6199999999999998E-2</v>
      </c>
      <c r="Z20" s="67">
        <f t="shared" si="9"/>
        <v>23.330100000000002</v>
      </c>
      <c r="AA20" s="67">
        <f t="shared" si="10"/>
        <v>23.283900000000003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0107-14</v>
      </c>
      <c r="AE20" s="91" t="str">
        <f t="shared" si="12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20" s="88" t="str">
        <f t="shared" si="13"/>
        <v>"C:\Program Files (x86)\AstroGrep\AstroGrep.exe" /spath="%USERPROFILE%\AppData\Local\Temp\OnboardLogs" /stypes="app*4009*20161114*"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107-14 --locoid 4009 --swversion DE.1.0.8.0 --startMP 204:462 --initTime 2016-11-14T04:15:37 --startdatetime 2016-11-14T04:30:16 --delay 1 --endMP 204:233301 --enddatetime 2016-11-14T05:11:29 --enforcementcount 0 &gt;&gt;C:\Users\stu\Documents\GitHub\eaglep3-reporting\EC\2016-11-14-refined-times.txt</v>
      </c>
      <c r="AI20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{"issue":{"subject":"","project_id":79,"tracker_id":40,"status_id":1,"priority_id":2,"assigned_to_id":23,"start_date":"2016-11-14","description":"","custom_fields":[{"id":1,"name":"Subdivision","value":"EC"},{"id":4,"name":"Milepost","value":"23.3301"},{"id":17,"name":"Train ID","value":"107-14"},{"id":16,"name":"Locomotive ID","value":"4009"},{"id":130,"name":"Impact","value":""},{"id":150,"name":"Time of Event (Mountain Time)","value":"05:11:29"},{"id":151,"name":"Denver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401</v>
      </c>
      <c r="B21" s="7">
        <v>4010</v>
      </c>
      <c r="C21" s="22" t="s">
        <v>224</v>
      </c>
      <c r="D21" s="22" t="s">
        <v>237</v>
      </c>
      <c r="E21" s="13">
        <v>42688.221539351849</v>
      </c>
      <c r="F21" s="13">
        <v>42688.222372685188</v>
      </c>
      <c r="G21" s="7">
        <v>1</v>
      </c>
      <c r="H21" s="22" t="s">
        <v>634</v>
      </c>
      <c r="I21" s="13">
        <v>42688.248668981483</v>
      </c>
      <c r="J21" s="7">
        <v>0</v>
      </c>
      <c r="K21" s="109" t="str">
        <f t="shared" si="0"/>
        <v>4009/4010</v>
      </c>
      <c r="L21" s="22" t="str">
        <f>VLOOKUP(A21,'Trips&amp;Operators'!$C$1:$E$10000,3,FALSE)</f>
        <v>ISHMAEL</v>
      </c>
      <c r="M21" s="6">
        <f t="shared" si="1"/>
        <v>2.6296296295186039E-2</v>
      </c>
      <c r="N21" s="7"/>
      <c r="O21" s="7"/>
      <c r="P21" s="7">
        <f>24*60*SUM($M21:$M22)</f>
        <v>38.766666665906087</v>
      </c>
      <c r="Q21" s="23"/>
      <c r="R21" s="23" t="s">
        <v>813</v>
      </c>
      <c r="S21" s="35">
        <f>SUM(U21:U22)/IF(AG21="EC",12,1)</f>
        <v>0.66666666666666663</v>
      </c>
      <c r="T21" s="50" t="str">
        <f t="shared" si="4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8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04:19:01-700',mode:absolute,to:'2016-11-14 06:58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" s="52" t="str">
        <f t="shared" si="6"/>
        <v>Y</v>
      </c>
      <c r="X21" s="177">
        <f t="shared" si="7"/>
        <v>1</v>
      </c>
      <c r="Y21" s="67">
        <f t="shared" si="8"/>
        <v>23.298200000000001</v>
      </c>
      <c r="Z21" s="67">
        <f t="shared" si="9"/>
        <v>4.5171000000000001</v>
      </c>
      <c r="AA21" s="67">
        <f t="shared" si="10"/>
        <v>18.781100000000002</v>
      </c>
      <c r="AB21" s="64" t="str">
        <f>VLOOKUP(A21,Enforcements!$C$7:$K$20,8,0)</f>
        <v>Signal based authority (5)</v>
      </c>
      <c r="AC21" s="60" t="str">
        <f>VLOOKUP(A21,Enforcements!$C$7:$E$20,3,0)</f>
        <v>SIGNAL</v>
      </c>
      <c r="AD21" s="61" t="str">
        <f t="shared" si="11"/>
        <v>0108-14</v>
      </c>
      <c r="AE21" s="91" t="str">
        <f t="shared" si="12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21" s="88" t="str">
        <f t="shared" si="13"/>
        <v>"C:\Program Files (x86)\AstroGrep\AstroGrep.exe" /spath="%USERPROFILE%\AppData\Local\Temp\OnboardLogs" /stypes="app*4010*20161114*"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108-14 --locoid 4010 --swversion DE.1.0.8.0 --startMP 204:232982 --initTime 2016-11-14T05:19:01 --startdatetime 2016-11-14T05:20:13 --delay 1 --endMP 204:45171 --enddatetime 2016-11-14T05:58:05 --enforcementcount 0 &gt;&gt;C:\Users\stu\Documents\GitHub\eaglep3-reporting\EC\2016-11-14-refined-times.txt</v>
      </c>
      <c r="AI21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service","project_id":79,"tracker_id":40,"status_id":1,"priority_id":2,"assigned_to_id":23,"start_date":"2016-11-14","description":"","custom_fields":[{"id":1,"name":"Subdivision","value":"EC"},{"id":4,"name":"Milepost","value":"4.5171"},{"id":17,"name":"Train ID","value":"108-14"},{"id":16,"name":"Locomotive ID","value":"4010"},{"id":130,"name":"Impact","value":""},{"id":150,"name":"Time of Event (Mountain Time)","value":"05:58:05"},{"id":151,"name":"Denver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401</v>
      </c>
      <c r="B22" s="7">
        <v>4010</v>
      </c>
      <c r="C22" s="22" t="s">
        <v>224</v>
      </c>
      <c r="D22" s="22" t="s">
        <v>635</v>
      </c>
      <c r="E22" s="13">
        <v>42688.250196759262</v>
      </c>
      <c r="F22" s="13">
        <v>42688.251018518517</v>
      </c>
      <c r="G22" s="7">
        <v>1</v>
      </c>
      <c r="H22" s="22" t="s">
        <v>636</v>
      </c>
      <c r="I22" s="13">
        <v>42688.251643518517</v>
      </c>
      <c r="J22" s="7">
        <v>1</v>
      </c>
      <c r="K22" s="109" t="str">
        <f t="shared" si="0"/>
        <v>4009/4010</v>
      </c>
      <c r="L22" s="22" t="str">
        <f>VLOOKUP(A22,'Trips&amp;Operators'!$C$1:$E$10000,3,FALSE)</f>
        <v>ISHMAEL</v>
      </c>
      <c r="M22" s="6">
        <f t="shared" si="1"/>
        <v>6.2500000058207661E-4</v>
      </c>
      <c r="N22" s="7"/>
      <c r="O22" s="7"/>
      <c r="P22" s="7"/>
      <c r="Q22" s="23"/>
      <c r="R22" s="23"/>
      <c r="S22" s="35"/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05:00:17-700',mode:absolute,to:'2016-11-14 07:02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" s="52" t="str">
        <f t="shared" si="6"/>
        <v>Y</v>
      </c>
      <c r="X22" s="177">
        <f t="shared" si="7"/>
        <v>0</v>
      </c>
      <c r="Y22" s="67">
        <f t="shared" si="8"/>
        <v>3.6776</v>
      </c>
      <c r="Z22" s="67">
        <f t="shared" si="9"/>
        <v>3.5916000000000001</v>
      </c>
      <c r="AA22" s="67">
        <f t="shared" si="10"/>
        <v>8.5999999999999854E-2</v>
      </c>
      <c r="AB22" s="64" t="str">
        <f>VLOOKUP(A22,Enforcements!$C$7:$K$20,8,0)</f>
        <v>Signal based authority (5)</v>
      </c>
      <c r="AC22" s="60" t="str">
        <f>VLOOKUP(A22,Enforcements!$C$7:$E$20,3,0)</f>
        <v>SIGNAL</v>
      </c>
      <c r="AD22" s="61" t="str">
        <f t="shared" si="11"/>
        <v>0108-14</v>
      </c>
      <c r="AE22" s="91" t="str">
        <f t="shared" si="12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22" s="88" t="str">
        <f t="shared" si="13"/>
        <v>"C:\Program Files (x86)\AstroGrep\AstroGrep.exe" /spath="%USERPROFILE%\AppData\Local\Temp\OnboardLogs" /stypes="app*4010*20161114*"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108-14 --locoid 4010 --swversion DE.1.0.8.0 --startMP 204:36776 --initTime 2016-11-14T06:00:17 --startdatetime 2016-11-14T06:01:28 --delay 1 --endMP 204:35916 --enddatetime 2016-11-14T06:02:22 --enforcementcount 1 &gt;&gt;C:\Users\stu\Documents\GitHub\eaglep3-reporting\EC\2016-11-14-refined-times.txt</v>
      </c>
      <c r="AI22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{"issue":{"subject":"","project_id":79,"tracker_id":40,"status_id":1,"priority_id":2,"assigned_to_id":23,"start_date":"2016-11-14","description":"","custom_fields":[{"id":1,"name":"Subdivision","value":"EC"},{"id":4,"name":"Milepost","value":"3.5916"},{"id":17,"name":"Train ID","value":"108-14"},{"id":16,"name":"Locomotive ID","value":"4010"},{"id":130,"name":"Impact","value":""},{"id":150,"name":"Time of Event (Mountain Time)","value":"06:02:22"},{"id":151,"name":"Denver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452</v>
      </c>
      <c r="B23" s="7">
        <v>4040</v>
      </c>
      <c r="C23" s="22" t="s">
        <v>224</v>
      </c>
      <c r="D23" s="22" t="s">
        <v>203</v>
      </c>
      <c r="E23" s="13">
        <v>42688.194131944445</v>
      </c>
      <c r="F23" s="13">
        <v>42688.198703703703</v>
      </c>
      <c r="G23" s="7">
        <v>1</v>
      </c>
      <c r="H23" s="22" t="s">
        <v>277</v>
      </c>
      <c r="I23" s="13">
        <v>42688.230717592596</v>
      </c>
      <c r="J23" s="7">
        <v>0</v>
      </c>
      <c r="K23" s="109" t="str">
        <f t="shared" si="0"/>
        <v>4039/4040</v>
      </c>
      <c r="L23" s="22" t="str">
        <f>VLOOKUP(A23,'Trips&amp;Operators'!$C$1:$E$10000,3,FALSE)</f>
        <v>SMITH</v>
      </c>
      <c r="M23" s="6">
        <f t="shared" si="1"/>
        <v>3.2013888892834075E-2</v>
      </c>
      <c r="N23" s="7">
        <f t="shared" si="2"/>
        <v>46.100000005681068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03:39:33-700',mode:absolute,to:'2016-11-14 06:32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4.5999999999999999E-2</v>
      </c>
      <c r="Z23" s="67">
        <f t="shared" si="9"/>
        <v>23.330400000000001</v>
      </c>
      <c r="AA23" s="67">
        <f t="shared" si="10"/>
        <v>23.284400000000002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0109-14</v>
      </c>
      <c r="AE23" s="91" t="str">
        <f t="shared" si="12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23" s="88" t="str">
        <f t="shared" si="13"/>
        <v>"C:\Program Files (x86)\AstroGrep\AstroGrep.exe" /spath="%USERPROFILE%\AppData\Local\Temp\OnboardLogs" /stypes="app*4040*20161114*"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109-14 --locoid 4040 --swversion DE.1.0.8.0 --startMP 204:460 --initTime 2016-11-14T04:39:33 --startdatetime 2016-11-14T04:46:08 --delay 1 --endMP 204:233304 --enddatetime 2016-11-14T05:32:14 --enforcementcount 0 &gt;&gt;C:\Users\stu\Documents\GitHub\eaglep3-reporting\EC\2016-11-14-refined-times.txt</v>
      </c>
      <c r="AI23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{"issue":{"subject":"","project_id":79,"tracker_id":40,"status_id":1,"priority_id":2,"assigned_to_id":23,"start_date":"2016-11-14","description":"","custom_fields":[{"id":1,"name":"Subdivision","value":"EC"},{"id":4,"name":"Milepost","value":"23.3304"},{"id":17,"name":"Train ID","value":"109-14"},{"id":16,"name":"Locomotive ID","value":"4040"},{"id":130,"name":"Impact","value":""},{"id":150,"name":"Time of Event (Mountain Time)","value":"05:32:14"},{"id":151,"name":"Denver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461</v>
      </c>
      <c r="B24" s="7">
        <v>4039</v>
      </c>
      <c r="C24" s="22" t="s">
        <v>224</v>
      </c>
      <c r="D24" s="22" t="s">
        <v>326</v>
      </c>
      <c r="E24" s="13">
        <v>42688.232638888891</v>
      </c>
      <c r="F24" s="13">
        <v>42688.233472222222</v>
      </c>
      <c r="G24" s="7">
        <v>1</v>
      </c>
      <c r="H24" s="22" t="s">
        <v>637</v>
      </c>
      <c r="I24" s="13">
        <v>42688.263171296298</v>
      </c>
      <c r="J24" s="7">
        <v>0</v>
      </c>
      <c r="K24" s="109" t="str">
        <f t="shared" si="0"/>
        <v>4039/4040</v>
      </c>
      <c r="L24" s="22" t="str">
        <f>VLOOKUP(A24,'Trips&amp;Operators'!$C$1:$E$10000,3,FALSE)</f>
        <v>SMITH</v>
      </c>
      <c r="M24" s="6">
        <f t="shared" si="1"/>
        <v>2.9699074075324461E-2</v>
      </c>
      <c r="N24" s="7"/>
      <c r="O24" s="7"/>
      <c r="P24" s="7">
        <f>24*60*SUM($M24:$M25)</f>
        <v>53.816666674101725</v>
      </c>
      <c r="Q24" s="23"/>
      <c r="R24" s="23" t="s">
        <v>813</v>
      </c>
      <c r="S24" s="35">
        <f>SUM(U24:U25)/IF(AG24="EC",12,1)</f>
        <v>0.91666666666666663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8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04:35:00-700',mode:absolute,to:'2016-11-14 07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 t="shared" si="6"/>
        <v>Y</v>
      </c>
      <c r="X24" s="177">
        <f t="shared" si="7"/>
        <v>1</v>
      </c>
      <c r="Y24" s="67">
        <f t="shared" si="8"/>
        <v>23.2987</v>
      </c>
      <c r="Z24" s="67">
        <f t="shared" si="9"/>
        <v>4.6158000000000001</v>
      </c>
      <c r="AA24" s="67">
        <f t="shared" si="10"/>
        <v>18.6829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0110-14</v>
      </c>
      <c r="AE24" s="91" t="str">
        <f t="shared" si="12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24" s="88" t="str">
        <f t="shared" si="13"/>
        <v>"C:\Program Files (x86)\AstroGrep\AstroGrep.exe" /spath="%USERPROFILE%\AppData\Local\Temp\OnboardLogs" /stypes="app*4039*20161114*"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110-14 --locoid 4039 --swversion DE.1.0.8.0 --startMP 204:232987 --initTime 2016-11-14T05:35:00 --startdatetime 2016-11-14T05:36:12 --delay 1 --endMP 204:46158 --enddatetime 2016-11-14T06:18:58 --enforcementcount 0 &gt;&gt;C:\Users\stu\Documents\GitHub\eaglep3-reporting\EC\2016-11-14-refined-times.txt</v>
      </c>
      <c r="AI24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service","project_id":79,"tracker_id":40,"status_id":1,"priority_id":2,"assigned_to_id":23,"start_date":"2016-11-14","description":"","custom_fields":[{"id":1,"name":"Subdivision","value":"EC"},{"id":4,"name":"Milepost","value":"4.6158"},{"id":17,"name":"Train ID","value":"110-14"},{"id":16,"name":"Locomotive ID","value":"4039"},{"id":130,"name":"Impact","value":""},{"id":150,"name":"Time of Event (Mountain Time)","value":"06:18:58"},{"id":151,"name":"Denver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461</v>
      </c>
      <c r="B25" s="7">
        <v>4039</v>
      </c>
      <c r="C25" s="22" t="s">
        <v>224</v>
      </c>
      <c r="D25" s="22" t="s">
        <v>638</v>
      </c>
      <c r="E25" s="13">
        <v>42688.265659722223</v>
      </c>
      <c r="F25" s="13">
        <v>42688.266608796293</v>
      </c>
      <c r="G25" s="7">
        <v>1</v>
      </c>
      <c r="H25" s="22" t="s">
        <v>197</v>
      </c>
      <c r="I25" s="13">
        <v>42688.274282407408</v>
      </c>
      <c r="J25" s="7">
        <v>0</v>
      </c>
      <c r="K25" s="109" t="str">
        <f t="shared" si="0"/>
        <v>4039/4040</v>
      </c>
      <c r="L25" s="22" t="str">
        <f>VLOOKUP(A25,'Trips&amp;Operators'!$C$1:$E$10000,3,FALSE)</f>
        <v>SMITH</v>
      </c>
      <c r="M25" s="6">
        <f t="shared" si="1"/>
        <v>7.6736111150239594E-3</v>
      </c>
      <c r="N25" s="7"/>
      <c r="O25" s="7"/>
      <c r="P25" s="7"/>
      <c r="Q25" s="23"/>
      <c r="R25" s="23"/>
      <c r="S25" s="35"/>
      <c r="T25" s="50" t="str">
        <f t="shared" si="4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05:22:33-700',mode:absolute,to:'2016-11-14 07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5" s="52" t="str">
        <f t="shared" si="6"/>
        <v>Y</v>
      </c>
      <c r="X25" s="177">
        <f t="shared" si="7"/>
        <v>0</v>
      </c>
      <c r="Y25" s="67">
        <f t="shared" si="8"/>
        <v>3.6781000000000001</v>
      </c>
      <c r="Z25" s="67">
        <f t="shared" si="9"/>
        <v>1.49E-2</v>
      </c>
      <c r="AA25" s="67">
        <f t="shared" si="10"/>
        <v>3.6632000000000002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0110-14</v>
      </c>
      <c r="AE25" s="91" t="str">
        <f t="shared" si="12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25" s="88" t="str">
        <f t="shared" si="13"/>
        <v>"C:\Program Files (x86)\AstroGrep\AstroGrep.exe" /spath="%USERPROFILE%\AppData\Local\Temp\OnboardLogs" /stypes="app*4039*20161114*" /stext=" 13:.+((SYSTEM_STATE.+slice.+state.+changed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110-14 --locoid 4039 --swversion DE.1.0.8.0 --startMP 204:36781 --initTime 2016-11-14T06:22:33 --startdatetime 2016-11-14T06:23:55 --delay 1 --endMP 204:149 --enddatetime 2016-11-14T06:34:58 --enforcementcount 0 &gt;&gt;C:\Users\stu\Documents\GitHub\eaglep3-reporting\EC\2016-11-14-refined-times.txt</v>
      </c>
      <c r="AI25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{"issue":{"subject":"","project_id":79,"tracker_id":40,"status_id":1,"priority_id":2,"assigned_to_id":23,"start_date":"2016-11-14","description":"","custom_fields":[{"id":1,"name":"Subdivision","value":"EC"},{"id":4,"name":"Milepost","value":"0.0149"},{"id":17,"name":"Train ID","value":"110-14"},{"id":16,"name":"Locomotive ID","value":"4039"},{"id":130,"name":"Impact","value":""},{"id":150,"name":"Time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454</v>
      </c>
      <c r="B26" s="7">
        <v>4046</v>
      </c>
      <c r="C26" s="22" t="s">
        <v>224</v>
      </c>
      <c r="D26" s="22" t="s">
        <v>639</v>
      </c>
      <c r="E26" s="13">
        <v>42688.210196759261</v>
      </c>
      <c r="F26" s="13">
        <v>42688.212962962964</v>
      </c>
      <c r="G26" s="7">
        <v>2</v>
      </c>
      <c r="H26" s="22" t="s">
        <v>188</v>
      </c>
      <c r="I26" s="13">
        <v>42688.244097222225</v>
      </c>
      <c r="J26" s="7">
        <v>0</v>
      </c>
      <c r="K26" s="109" t="str">
        <f t="shared" si="0"/>
        <v>4045/4046</v>
      </c>
      <c r="L26" s="22" t="str">
        <f>VLOOKUP(A26,'Trips&amp;Operators'!$C$1:$E$10000,3,FALSE)</f>
        <v>MAHAN</v>
      </c>
      <c r="M26" s="6">
        <f t="shared" si="1"/>
        <v>3.1134259261307307E-2</v>
      </c>
      <c r="N26" s="7">
        <f t="shared" si="2"/>
        <v>44.833333336282521</v>
      </c>
      <c r="O26" s="7"/>
      <c r="P26" s="7"/>
      <c r="Q26" s="23"/>
      <c r="R26" s="23"/>
      <c r="S26" s="35">
        <f t="shared" si="3"/>
        <v>1</v>
      </c>
      <c r="T26" s="50" t="str">
        <f t="shared" si="4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04:02:41-700',mode:absolute,to:'2016-11-14 06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7.7399999999999997E-2</v>
      </c>
      <c r="Z26" s="67">
        <f t="shared" si="9"/>
        <v>23.329699999999999</v>
      </c>
      <c r="AA26" s="67">
        <f t="shared" si="10"/>
        <v>23.252299999999998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0111-14</v>
      </c>
      <c r="AE26" s="91" t="str">
        <f t="shared" si="12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26" s="88" t="str">
        <f t="shared" si="13"/>
        <v>"C:\Program Files (x86)\AstroGrep\AstroGrep.exe" /spath="%USERPROFILE%\AppData\Local\Temp\OnboardLogs" /stypes="app*4046*20161114*"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111-14 --locoid 4046 --swversion DE.1.0.8.0 --startMP 204:774 --initTime 2016-11-14T05:02:41 --startdatetime 2016-11-14T05:06:40 --delay 2 --endMP 204:233297 --enddatetime 2016-11-14T05:51:30 --enforcementcount 0 &gt;&gt;C:\Users\stu\Documents\GitHub\eaglep3-reporting\EC\2016-11-14-refined-times.txt</v>
      </c>
      <c r="AI26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{"issue":{"subject":"","project_id":79,"tracker_id":40,"status_id":1,"priority_id":2,"assigned_to_id":23,"start_date":"2016-11-14","description":"","custom_fields":[{"id":1,"name":"Subdivision","value":"EC"},{"id":4,"name":"Milepost","value":"23.3297"},{"id":17,"name":"Train ID","value":"111-14"},{"id":16,"name":"Locomotive ID","value":"4046"},{"id":130,"name":"Impact","value":""},{"id":150,"name":"Time of Event (Mountain Time)","value":"05:51:30"},{"id":151,"name":"Denver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465</v>
      </c>
      <c r="B27" s="7">
        <v>4045</v>
      </c>
      <c r="C27" s="22" t="s">
        <v>224</v>
      </c>
      <c r="D27" s="22" t="s">
        <v>213</v>
      </c>
      <c r="E27" s="13">
        <v>42688.245937500003</v>
      </c>
      <c r="F27" s="13">
        <v>42688.247094907405</v>
      </c>
      <c r="G27" s="7">
        <v>1</v>
      </c>
      <c r="H27" s="22" t="s">
        <v>640</v>
      </c>
      <c r="I27" s="13">
        <v>42688.269502314812</v>
      </c>
      <c r="J27" s="7">
        <v>0</v>
      </c>
      <c r="K27" s="109" t="str">
        <f t="shared" si="0"/>
        <v>4045/4046</v>
      </c>
      <c r="L27" s="22" t="str">
        <f>VLOOKUP(A27,'Trips&amp;Operators'!$C$1:$E$10000,3,FALSE)</f>
        <v>MAHAN</v>
      </c>
      <c r="M27" s="6">
        <f t="shared" si="1"/>
        <v>2.2407407406717539E-2</v>
      </c>
      <c r="N27" s="7"/>
      <c r="O27" s="7"/>
      <c r="P27" s="7">
        <f>24*60*SUM($M27:$M28)</f>
        <v>42.816666669677943</v>
      </c>
      <c r="Q27" s="23"/>
      <c r="R27" s="23" t="s">
        <v>813</v>
      </c>
      <c r="S27" s="35">
        <f>SUM(U27:U28)/IF(AG27="EC",12,1)</f>
        <v>0.91666666666666663</v>
      </c>
      <c r="T27" s="50" t="str">
        <f t="shared" si="4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8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04:54:09-700',mode:absolute,to:'2016-11-14 07:28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7" s="52" t="str">
        <f t="shared" si="6"/>
        <v>Y</v>
      </c>
      <c r="X27" s="177">
        <f t="shared" si="7"/>
        <v>1</v>
      </c>
      <c r="Y27" s="67">
        <f t="shared" si="8"/>
        <v>23.297699999999999</v>
      </c>
      <c r="Z27" s="67">
        <f t="shared" si="9"/>
        <v>4.6162999999999998</v>
      </c>
      <c r="AA27" s="67">
        <f t="shared" si="10"/>
        <v>18.6814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0112-14</v>
      </c>
      <c r="AE27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27" s="88" t="str">
        <f t="shared" si="13"/>
        <v>"C:\Program Files (x86)\AstroGrep\AstroGrep.exe" /spath="%USERPROFILE%\AppData\Local\Temp\OnboardLogs" /stypes="app*4045*20161114*"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112-14 --locoid 4045 --swversion DE.1.0.8.0 --startMP 204:232977 --initTime 2016-11-14T05:54:09 --startdatetime 2016-11-14T05:55:49 --delay 1 --endMP 204:46163 --enddatetime 2016-11-14T06:28:05 --enforcementcount 0 &gt;&gt;C:\Users\stu\Documents\GitHub\eaglep3-reporting\EC\2016-11-14-refined-times.txt</v>
      </c>
      <c r="AI27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service","project_id":79,"tracker_id":40,"status_id":1,"priority_id":2,"assigned_to_id":23,"start_date":"2016-11-14","description":"","custom_fields":[{"id":1,"name":"Subdivision","value":"EC"},{"id":4,"name":"Milepost","value":"4.6163"},{"id":17,"name":"Train ID","value":"112-14"},{"id":16,"name":"Locomotive ID","value":"4045"},{"id":130,"name":"Impact","value":""},{"id":150,"name":"Time of Event (Mountain Time)","value":"06:28:05"},{"id":151,"name":"Denver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465</v>
      </c>
      <c r="B28" s="7">
        <v>4045</v>
      </c>
      <c r="C28" s="22" t="s">
        <v>224</v>
      </c>
      <c r="D28" s="22" t="s">
        <v>641</v>
      </c>
      <c r="E28" s="13">
        <v>42688.271412037036</v>
      </c>
      <c r="F28" s="13">
        <v>42688.272465277776</v>
      </c>
      <c r="G28" s="7">
        <v>1</v>
      </c>
      <c r="H28" s="22" t="s">
        <v>248</v>
      </c>
      <c r="I28" s="13">
        <v>42688.279791666668</v>
      </c>
      <c r="J28" s="7">
        <v>0</v>
      </c>
      <c r="K28" s="109" t="str">
        <f t="shared" si="0"/>
        <v>4045/4046</v>
      </c>
      <c r="L28" s="22" t="str">
        <f>VLOOKUP(A28,'Trips&amp;Operators'!$C$1:$E$10000,3,FALSE)</f>
        <v>MAHAN</v>
      </c>
      <c r="M28" s="6">
        <f t="shared" si="1"/>
        <v>7.3263888916699216E-3</v>
      </c>
      <c r="N28" s="7"/>
      <c r="O28" s="7"/>
      <c r="P28" s="7"/>
      <c r="Q28" s="23"/>
      <c r="R28" s="23"/>
      <c r="S28" s="35"/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3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05:30:50-700',mode:absolute,to:'2016-11-14 07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8" s="52" t="str">
        <f t="shared" si="6"/>
        <v>Y</v>
      </c>
      <c r="X28" s="177">
        <f t="shared" si="7"/>
        <v>0</v>
      </c>
      <c r="Y28" s="67">
        <f t="shared" si="8"/>
        <v>3.681</v>
      </c>
      <c r="Z28" s="67">
        <f t="shared" si="9"/>
        <v>1.3899999999999999E-2</v>
      </c>
      <c r="AA28" s="67">
        <f t="shared" si="10"/>
        <v>3.6671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0112-14</v>
      </c>
      <c r="AE28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28" s="88" t="str">
        <f t="shared" si="13"/>
        <v>"C:\Program Files (x86)\AstroGrep\AstroGrep.exe" /spath="%USERPROFILE%\AppData\Local\Temp\OnboardLogs" /stypes="app*4045*20161114*"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112-14 --locoid 4045 --swversion DE.1.0.8.0 --startMP 204:36810 --initTime 2016-11-14T06:30:50 --startdatetime 2016-11-14T06:32:21 --delay 1 --endMP 204:139 --enddatetime 2016-11-14T06:42:54 --enforcementcount 0 &gt;&gt;C:\Users\stu\Documents\GitHub\eaglep3-reporting\EC\2016-11-14-refined-times.txt</v>
      </c>
      <c r="AI28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{"issue":{"subject":"","project_id":79,"tracker_id":40,"status_id":1,"priority_id":2,"assigned_to_id":23,"start_date":"2016-11-14","description":"","custom_fields":[{"id":1,"name":"Subdivision","value":"EC"},{"id":4,"name":"Milepost","value":"0.0139"},{"id":17,"name":"Train ID","value":"112-14"},{"id":16,"name":"Locomotive ID","value":"4045"},{"id":130,"name":"Impact","value":""},{"id":150,"name":"Time of Event (Mountain Time)","value":"06:42:54"},{"id":151,"name":"Denver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4016</v>
      </c>
      <c r="C29" s="22" t="s">
        <v>224</v>
      </c>
      <c r="D29" s="22" t="s">
        <v>221</v>
      </c>
      <c r="E29" s="13">
        <v>42688.21298611111</v>
      </c>
      <c r="F29" s="13">
        <v>42688.218958333331</v>
      </c>
      <c r="G29" s="7">
        <v>1</v>
      </c>
      <c r="H29" s="22" t="s">
        <v>642</v>
      </c>
      <c r="I29" s="13">
        <v>42688.245775462965</v>
      </c>
      <c r="J29" s="7">
        <v>0</v>
      </c>
      <c r="K29" s="109" t="str">
        <f t="shared" si="0"/>
        <v>4015/4016</v>
      </c>
      <c r="L29" s="22" t="str">
        <f>VLOOKUP(A29,'Trips&amp;Operators'!$C$1:$E$10000,3,FALSE)</f>
        <v>GRASTON</v>
      </c>
      <c r="M29" s="6">
        <f t="shared" si="1"/>
        <v>2.6817129633855075E-2</v>
      </c>
      <c r="N29" s="7">
        <f t="shared" si="2"/>
        <v>38.616666672751307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04:06:42-700',mode:absolute,to:'2016-11-14 06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4.5699999999999998E-2</v>
      </c>
      <c r="Z29" s="67">
        <f t="shared" si="9"/>
        <v>23.327400000000001</v>
      </c>
      <c r="AA29" s="67">
        <f t="shared" si="10"/>
        <v>23.281700000000001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0113-14</v>
      </c>
      <c r="AE29" s="91" t="str">
        <f t="shared" si="12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29" s="88" t="str">
        <f t="shared" si="13"/>
        <v>"C:\Program Files (x86)\AstroGrep\AstroGrep.exe" /spath="%USERPROFILE%\AppData\Local\Temp\OnboardLogs" /stypes="app*4016*20161114*"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113-14 --locoid 4016 --swversion DE.1.0.8.0 --startMP 204:457 --initTime 2016-11-14T05:06:42 --startdatetime 2016-11-14T05:15:18 --delay 1 --endMP 204:233274 --enddatetime 2016-11-14T05:53:55 --enforcementcount 0 &gt;&gt;C:\Users\stu\Documents\GitHub\eaglep3-reporting\EC\2016-11-14-refined-times.txt</v>
      </c>
      <c r="AI2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{"issue":{"subject":"","project_id":79,"tracker_id":40,"status_id":1,"priority_id":2,"assigned_to_id":23,"start_date":"2016-11-14","description":"","custom_fields":[{"id":1,"name":"Subdivision","value":"EC"},{"id":4,"name":"Milepost","value":"23.3274"},{"id":17,"name":"Train ID","value":"113-14"},{"id":16,"name":"Locomotive ID","value":"4016"},{"id":130,"name":"Impact","value":""},{"id":150,"name":"Time of Event (Mountain Time)","value":"05:53:55"},{"id":151,"name":"Denver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4015</v>
      </c>
      <c r="C30" s="22" t="s">
        <v>224</v>
      </c>
      <c r="D30" s="22" t="s">
        <v>267</v>
      </c>
      <c r="E30" s="13">
        <v>42688.253553240742</v>
      </c>
      <c r="F30" s="13">
        <v>42688.257847222223</v>
      </c>
      <c r="G30" s="7">
        <v>1</v>
      </c>
      <c r="H30" s="22" t="s">
        <v>643</v>
      </c>
      <c r="I30" s="13">
        <v>42688.277337962965</v>
      </c>
      <c r="J30" s="7">
        <v>0</v>
      </c>
      <c r="K30" s="109" t="str">
        <f t="shared" si="0"/>
        <v>4015/4016</v>
      </c>
      <c r="L30" s="22" t="str">
        <f>VLOOKUP(A30,'Trips&amp;Operators'!$C$1:$E$10000,3,FALSE)</f>
        <v>GRASTON</v>
      </c>
      <c r="M30" s="6">
        <f t="shared" si="1"/>
        <v>1.9490740742185153E-2</v>
      </c>
      <c r="N30" s="7"/>
      <c r="O30" s="7"/>
      <c r="P30" s="7">
        <f t="shared" si="2"/>
        <v>28.06666666874662</v>
      </c>
      <c r="Q30" s="23"/>
      <c r="R30" s="23" t="s">
        <v>813</v>
      </c>
      <c r="S30" s="35">
        <f t="shared" si="3"/>
        <v>0.66666666666666663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8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05:05:07-700',mode:absolute,to:'2016-11-14 07:39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0" s="52" t="str">
        <f t="shared" si="6"/>
        <v>Y</v>
      </c>
      <c r="X30" s="177">
        <f t="shared" si="7"/>
        <v>1</v>
      </c>
      <c r="Y30" s="67">
        <f t="shared" si="8"/>
        <v>23.2973</v>
      </c>
      <c r="Z30" s="67">
        <f t="shared" si="9"/>
        <v>4.4149000000000003</v>
      </c>
      <c r="AA30" s="67">
        <f t="shared" si="10"/>
        <v>18.882400000000001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0114-14</v>
      </c>
      <c r="AE30" s="91" t="str">
        <f t="shared" si="12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30" s="88" t="str">
        <f t="shared" si="13"/>
        <v>"C:\Program Files (x86)\AstroGrep\AstroGrep.exe" /spath="%USERPROFILE%\AppData\Local\Temp\OnboardLogs" /stypes="app*4015*20161114*"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114-14 --locoid 4015 --swversion DE.1.0.8.0 --startMP 204:232973 --initTime 2016-11-14T06:05:07 --startdatetime 2016-11-14T06:11:18 --delay 1 --endMP 204:44149 --enddatetime 2016-11-14T06:39:22 --enforcementcount 0 &gt;&gt;C:\Users\stu\Documents\GitHub\eaglep3-reporting\EC\2016-11-14-refined-times.txt</v>
      </c>
      <c r="AI30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service","project_id":79,"tracker_id":40,"status_id":1,"priority_id":2,"assigned_to_id":23,"start_date":"2016-11-14","description":"","custom_fields":[{"id":1,"name":"Subdivision","value":"EC"},{"id":4,"name":"Milepost","value":"4.4149"},{"id":17,"name":"Train ID","value":"114-14"},{"id":16,"name":"Locomotive ID","value":"4015"},{"id":130,"name":"Impact","value":""},{"id":150,"name":"Time of Event (Mountain Time)","value":"06:39:22"},{"id":151,"name":"Denver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460</v>
      </c>
      <c r="B31" s="7">
        <v>4018</v>
      </c>
      <c r="C31" s="22" t="s">
        <v>224</v>
      </c>
      <c r="D31" s="22" t="s">
        <v>203</v>
      </c>
      <c r="E31" s="13">
        <v>42688.228391203702</v>
      </c>
      <c r="F31" s="13">
        <v>42688.230520833335</v>
      </c>
      <c r="G31" s="7">
        <v>1</v>
      </c>
      <c r="H31" s="22" t="s">
        <v>277</v>
      </c>
      <c r="I31" s="13">
        <v>42688.261516203704</v>
      </c>
      <c r="J31" s="7">
        <v>0</v>
      </c>
      <c r="K31" s="109" t="str">
        <f t="shared" si="0"/>
        <v>4017/4018</v>
      </c>
      <c r="L31" s="22" t="str">
        <f>VLOOKUP(A31,'Trips&amp;Operators'!$C$1:$E$10000,3,FALSE)</f>
        <v>HAITHCOX</v>
      </c>
      <c r="M31" s="6">
        <f t="shared" si="1"/>
        <v>3.0995370369055308E-2</v>
      </c>
      <c r="N31" s="7">
        <f t="shared" si="2"/>
        <v>44.633333331439644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04:28:53-700',mode:absolute,to:'2016-11-14 07:16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4.5999999999999999E-2</v>
      </c>
      <c r="Z31" s="67">
        <f t="shared" si="9"/>
        <v>23.330400000000001</v>
      </c>
      <c r="AA31" s="67">
        <f t="shared" si="10"/>
        <v>23.284400000000002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0115-14</v>
      </c>
      <c r="AE31" s="91" t="str">
        <f t="shared" si="12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31" s="88" t="str">
        <f t="shared" si="13"/>
        <v>"C:\Program Files (x86)\AstroGrep\AstroGrep.exe" /spath="%USERPROFILE%\AppData\Local\Temp\OnboardLogs" /stypes="app*4018*20161114*"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115-14 --locoid 4018 --swversion DE.1.0.8.0 --startMP 204:460 --initTime 2016-11-14T05:28:53 --startdatetime 2016-11-14T05:31:57 --delay 1 --endMP 204:233304 --enddatetime 2016-11-14T06:16:35 --enforcementcount 0 &gt;&gt;C:\Users\stu\Documents\GitHub\eaglep3-reporting\EC\2016-11-14-refined-times.txt</v>
      </c>
      <c r="AI31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{"issue":{"subject":"","project_id":79,"tracker_id":40,"status_id":1,"priority_id":2,"assigned_to_id":23,"start_date":"2016-11-14","description":"","custom_fields":[{"id":1,"name":"Subdivision","value":"EC"},{"id":4,"name":"Milepost","value":"23.3304"},{"id":17,"name":"Train ID","value":"115-14"},{"id":16,"name":"Locomotive ID","value":"4018"},{"id":130,"name":"Impact","value":""},{"id":150,"name":"Time of Event (Mountain Time)","value":"06:16:35"},{"id":151,"name":"Denver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470</v>
      </c>
      <c r="B32" s="7">
        <v>4017</v>
      </c>
      <c r="C32" s="22" t="s">
        <v>224</v>
      </c>
      <c r="D32" s="22" t="s">
        <v>243</v>
      </c>
      <c r="E32" s="13">
        <v>42688.265381944446</v>
      </c>
      <c r="F32" s="13">
        <v>42688.268333333333</v>
      </c>
      <c r="G32" s="7">
        <v>1</v>
      </c>
      <c r="H32" s="22" t="s">
        <v>644</v>
      </c>
      <c r="I32" s="13">
        <v>42688.288298611114</v>
      </c>
      <c r="J32" s="7">
        <v>0</v>
      </c>
      <c r="K32" s="109" t="str">
        <f t="shared" si="0"/>
        <v>4017/4018</v>
      </c>
      <c r="L32" s="22" t="str">
        <f>VLOOKUP(A32,'Trips&amp;Operators'!$C$1:$E$10000,3,FALSE)</f>
        <v>HAITHCOX</v>
      </c>
      <c r="M32" s="6">
        <f t="shared" si="1"/>
        <v>1.9965277781011537E-2</v>
      </c>
      <c r="N32" s="7"/>
      <c r="O32" s="7"/>
      <c r="P32" s="7">
        <f t="shared" si="2"/>
        <v>28.750000004656613</v>
      </c>
      <c r="Q32" s="23"/>
      <c r="R32" s="23" t="s">
        <v>813</v>
      </c>
      <c r="S32" s="35">
        <f t="shared" ref="S32" si="19">SUM(U32:U32)/IF(AG32="EC",12,1)</f>
        <v>0.66666666666666663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8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05:22:09-700',mode:absolute,to:'2016-11-14 07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2" s="52" t="str">
        <f t="shared" si="6"/>
        <v>Y</v>
      </c>
      <c r="X32" s="177">
        <f t="shared" si="7"/>
        <v>1</v>
      </c>
      <c r="Y32" s="67">
        <f t="shared" si="8"/>
        <v>23.299099999999999</v>
      </c>
      <c r="Z32" s="67">
        <f t="shared" si="9"/>
        <v>4.6608000000000001</v>
      </c>
      <c r="AA32" s="67">
        <f t="shared" si="10"/>
        <v>18.638300000000001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0116-14</v>
      </c>
      <c r="AE32" s="91" t="str">
        <f t="shared" si="12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32" s="88" t="str">
        <f t="shared" si="13"/>
        <v>"C:\Program Files (x86)\AstroGrep\AstroGrep.exe" /spath="%USERPROFILE%\AppData\Local\Temp\OnboardLogs" /stypes="app*4017*20161114*"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116-14 --locoid 4017 --swversion DE.1.0.8.0 --startMP 204:232991 --initTime 2016-11-14T06:22:09 --startdatetime 2016-11-14T06:26:24 --delay 1 --endMP 204:46608 --enddatetime 2016-11-14T06:55:09 --enforcementcount 0 &gt;&gt;C:\Users\stu\Documents\GitHub\eaglep3-reporting\EC\2016-11-14-refined-times.txt</v>
      </c>
      <c r="AI32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service","project_id":79,"tracker_id":40,"status_id":1,"priority_id":2,"assigned_to_id":23,"start_date":"2016-11-14","description":"","custom_fields":[{"id":1,"name":"Subdivision","value":"EC"},{"id":4,"name":"Milepost","value":"4.6608"},{"id":17,"name":"Train ID","value":"116-14"},{"id":16,"name":"Locomotive ID","value":"4017"},{"id":130,"name":"Impact","value":""},{"id":150,"name":"Time of Event (Mountain Time)","value":"06:55:09"},{"id":151,"name":"Denver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462</v>
      </c>
      <c r="B33" s="7">
        <v>4053</v>
      </c>
      <c r="C33" s="22" t="s">
        <v>224</v>
      </c>
      <c r="D33" s="22" t="s">
        <v>645</v>
      </c>
      <c r="E33" s="13">
        <v>42688.23641203704</v>
      </c>
      <c r="F33" s="13">
        <v>42688.239768518521</v>
      </c>
      <c r="G33" s="7">
        <v>1</v>
      </c>
      <c r="H33" s="22" t="s">
        <v>337</v>
      </c>
      <c r="I33" s="13">
        <v>42688.266643518517</v>
      </c>
      <c r="J33" s="7">
        <v>0</v>
      </c>
      <c r="K33" s="109" t="str">
        <f t="shared" si="0"/>
        <v>4053/4054</v>
      </c>
      <c r="L33" s="22" t="str">
        <f>VLOOKUP(A33,'Trips&amp;Operators'!$C$1:$E$10000,3,FALSE)</f>
        <v>ROBINSON</v>
      </c>
      <c r="M33" s="6">
        <f t="shared" si="1"/>
        <v>2.6874999995925464E-2</v>
      </c>
      <c r="N33" s="7">
        <f t="shared" si="2"/>
        <v>38.699999994132668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04:40:26-700',mode:absolute,to:'2016-11-14 07:23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7.2599999999999998E-2</v>
      </c>
      <c r="Z33" s="67">
        <f t="shared" si="9"/>
        <v>23.330100000000002</v>
      </c>
      <c r="AA33" s="67">
        <f t="shared" si="10"/>
        <v>23.2575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0117-14</v>
      </c>
      <c r="AE33" s="91" t="str">
        <f t="shared" si="12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33" s="88" t="str">
        <f t="shared" si="13"/>
        <v>"C:\Program Files (x86)\AstroGrep\AstroGrep.exe" /spath="%USERPROFILE%\AppData\Local\Temp\OnboardLogs" /stypes="app*4053*20161114*"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117-14 --locoid 4053 --swversion DE.1.0.8.0 --startMP 204:726 --initTime 2016-11-14T05:40:26 --startdatetime 2016-11-14T05:45:16 --delay 1 --endMP 204:233301 --enddatetime 2016-11-14T06:23:58 --enforcementcount 0 &gt;&gt;C:\Users\stu\Documents\GitHub\eaglep3-reporting\EC\2016-11-14-refined-times.txt</v>
      </c>
      <c r="AI33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{"issue":{"subject":"","project_id":79,"tracker_id":40,"status_id":1,"priority_id":2,"assigned_to_id":23,"start_date":"2016-11-14","description":"","custom_fields":[{"id":1,"name":"Subdivision","value":"EC"},{"id":4,"name":"Milepost","value":"23.3301"},{"id":17,"name":"Train ID","value":"117-14"},{"id":16,"name":"Locomotive ID","value":"4053"},{"id":130,"name":"Impact","value":""},{"id":150,"name":"Time of Event (Mountain Time)","value":"06:23:58"},{"id":151,"name":"Denver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404</v>
      </c>
      <c r="B34" s="7">
        <v>4054</v>
      </c>
      <c r="C34" s="22" t="s">
        <v>224</v>
      </c>
      <c r="D34" s="22" t="s">
        <v>646</v>
      </c>
      <c r="E34" s="13">
        <v>42688.307141203702</v>
      </c>
      <c r="F34" s="13">
        <v>42688.308032407411</v>
      </c>
      <c r="G34" s="7">
        <v>1</v>
      </c>
      <c r="H34" s="22" t="s">
        <v>247</v>
      </c>
      <c r="I34" s="13">
        <v>42688.311979166669</v>
      </c>
      <c r="J34" s="7">
        <v>1</v>
      </c>
      <c r="K34" s="109" t="str">
        <f t="shared" si="0"/>
        <v>4053/4054</v>
      </c>
      <c r="L34" s="22" t="str">
        <f>VLOOKUP(A34,'Trips&amp;Operators'!$C$1:$E$10000,3,FALSE)</f>
        <v>ROBINSON</v>
      </c>
      <c r="M34" s="6">
        <f t="shared" si="1"/>
        <v>3.9467592578148469E-3</v>
      </c>
      <c r="N34" s="7"/>
      <c r="O34" s="7"/>
      <c r="P34" s="7">
        <f>24*60*SUM($M34:$M35)</f>
        <v>45.050000001210719</v>
      </c>
      <c r="Q34" s="23"/>
      <c r="R34" s="23" t="s">
        <v>813</v>
      </c>
      <c r="S34" s="35">
        <f>SUM(U34:U35)/IF(AG34="EC",12,1)</f>
        <v>0.66666666666666663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06:22:17-700',mode:absolute,to:'2016-11-14 08:29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4" s="52" t="str">
        <f t="shared" si="6"/>
        <v>Y</v>
      </c>
      <c r="X34" s="177">
        <f t="shared" si="7"/>
        <v>1</v>
      </c>
      <c r="Y34" s="67">
        <f t="shared" si="8"/>
        <v>1.8184</v>
      </c>
      <c r="Z34" s="67">
        <f t="shared" si="9"/>
        <v>1.4999999999999999E-2</v>
      </c>
      <c r="AA34" s="67">
        <f t="shared" si="10"/>
        <v>1.8034000000000001</v>
      </c>
      <c r="AB34" s="64" t="str">
        <f>VLOOKUP(A34,Enforcements!$C$7:$K$20,8,0)</f>
        <v>Signal based authority (5)</v>
      </c>
      <c r="AC34" s="60" t="str">
        <f>VLOOKUP(A34,Enforcements!$C$7:$E$20,3,0)</f>
        <v>SIGNAL</v>
      </c>
      <c r="AD34" s="61" t="str">
        <f t="shared" si="11"/>
        <v>0118-14</v>
      </c>
      <c r="AE34" s="91" t="str">
        <f t="shared" si="12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34" s="88" t="str">
        <f t="shared" si="13"/>
        <v>"C:\Program Files (x86)\AstroGrep\AstroGrep.exe" /spath="%USERPROFILE%\AppData\Local\Temp\OnboardLogs" /stypes="app*4054*20161114*"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118-14 --locoid 4054 --swversion DE.1.0.8.0 --startMP 204:18184 --initTime 2016-11-14T07:22:17 --startdatetime 2016-11-14T07:23:34 --delay 1 --endMP 204:150 --enddatetime 2016-11-14T07:29:15 --enforcementcount 1 &gt;&gt;C:\Users\stu\Documents\GitHub\eaglep3-reporting\EC\2016-11-14-refined-times.txt</v>
      </c>
      <c r="AI34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service","project_id":79,"tracker_id":40,"status_id":1,"priority_id":2,"assigned_to_id":23,"start_date":"2016-11-14","description":"","custom_fields":[{"id":1,"name":"Subdivision","value":"EC"},{"id":4,"name":"Milepost","value":"0.015"},{"id":17,"name":"Train ID","value":"118-14"},{"id":16,"name":"Locomotive ID","value":"4054"},{"id":130,"name":"Impact","value":""},{"id":150,"name":"Time of Event (Mountain Time)","value":"07:29:15"},{"id":151,"name":"Denver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404</v>
      </c>
      <c r="B35" s="7">
        <v>4054</v>
      </c>
      <c r="C35" s="22" t="s">
        <v>224</v>
      </c>
      <c r="D35" s="22" t="s">
        <v>213</v>
      </c>
      <c r="E35" s="13">
        <v>42688.273541666669</v>
      </c>
      <c r="F35" s="13">
        <v>42688.274594907409</v>
      </c>
      <c r="G35" s="7">
        <v>1</v>
      </c>
      <c r="H35" s="22" t="s">
        <v>647</v>
      </c>
      <c r="I35" s="13">
        <v>42688.301932870374</v>
      </c>
      <c r="J35" s="7">
        <v>0</v>
      </c>
      <c r="K35" s="109" t="str">
        <f t="shared" si="0"/>
        <v>4053/4054</v>
      </c>
      <c r="L35" s="22" t="str">
        <f>VLOOKUP(A35,'Trips&amp;Operators'!$C$1:$E$10000,3,FALSE)</f>
        <v>ROBINSON</v>
      </c>
      <c r="M35" s="6">
        <f t="shared" si="1"/>
        <v>2.7337962965248153E-2</v>
      </c>
      <c r="N35" s="7"/>
      <c r="O35" s="7"/>
      <c r="P35" s="7"/>
      <c r="Q35" s="23"/>
      <c r="R35" s="23"/>
      <c r="S35" s="35"/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8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05:33:54-700',mode:absolute,to:'2016-11-14 08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5" s="52" t="str">
        <f t="shared" si="6"/>
        <v>Y</v>
      </c>
      <c r="X35" s="177">
        <f t="shared" si="7"/>
        <v>0</v>
      </c>
      <c r="Y35" s="67">
        <f t="shared" si="8"/>
        <v>23.297699999999999</v>
      </c>
      <c r="Z35" s="67">
        <f t="shared" si="9"/>
        <v>4.4474999999999998</v>
      </c>
      <c r="AA35" s="67">
        <f t="shared" si="10"/>
        <v>18.850200000000001</v>
      </c>
      <c r="AB35" s="64" t="str">
        <f>VLOOKUP(A35,Enforcements!$C$7:$K$20,8,0)</f>
        <v>Signal based authority (5)</v>
      </c>
      <c r="AC35" s="60" t="str">
        <f>VLOOKUP(A35,Enforcements!$C$7:$E$20,3,0)</f>
        <v>SIGNAL</v>
      </c>
      <c r="AD35" s="61" t="str">
        <f t="shared" si="11"/>
        <v>0118-14</v>
      </c>
      <c r="AE35" s="91" t="str">
        <f t="shared" si="12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35" s="88" t="str">
        <f t="shared" si="13"/>
        <v>"C:\Program Files (x86)\AstroGrep\AstroGrep.exe" /spath="%USERPROFILE%\AppData\Local\Temp\OnboardLogs" /stypes="app*4054*20161114*"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118-14 --locoid 4054 --swversion DE.1.0.8.0 --startMP 204:232977 --initTime 2016-11-14T06:33:54 --startdatetime 2016-11-14T06:35:25 --delay 1 --endMP 204:44475 --enddatetime 2016-11-14T07:14:47 --enforcementcount 0 &gt;&gt;C:\Users\stu\Documents\GitHub\eaglep3-reporting\EC\2016-11-14-refined-times.txt</v>
      </c>
      <c r="AI35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{"issue":{"subject":"","project_id":79,"tracker_id":40,"status_id":1,"priority_id":2,"assigned_to_id":23,"start_date":"2016-11-14","description":"","custom_fields":[{"id":1,"name":"Subdivision","value":"EC"},{"id":4,"name":"Milepost","value":"4.4475"},{"id":17,"name":"Train ID","value":"118-14"},{"id":16,"name":"Locomotive ID","value":"4054"},{"id":130,"name":"Impact","value":""},{"id":150,"name":"Time of Event (Mountain Time)","value":"07:14:47"},{"id":151,"name":"Denver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402</v>
      </c>
      <c r="B36" s="7">
        <v>4029</v>
      </c>
      <c r="C36" s="22" t="s">
        <v>224</v>
      </c>
      <c r="D36" s="22" t="s">
        <v>221</v>
      </c>
      <c r="E36" s="13">
        <v>42688.244131944448</v>
      </c>
      <c r="F36" s="13">
        <v>42688.252581018518</v>
      </c>
      <c r="G36" s="7">
        <v>2</v>
      </c>
      <c r="H36" s="22" t="s">
        <v>256</v>
      </c>
      <c r="I36" s="13">
        <v>42688.283761574072</v>
      </c>
      <c r="J36" s="7">
        <v>0</v>
      </c>
      <c r="K36" s="109" t="str">
        <f t="shared" si="0"/>
        <v>4029/4030</v>
      </c>
      <c r="L36" s="22" t="str">
        <f>VLOOKUP(A36,'Trips&amp;Operators'!$C$1:$E$10000,3,FALSE)</f>
        <v>OUN</v>
      </c>
      <c r="M36" s="6">
        <f t="shared" si="1"/>
        <v>3.1180555553874001E-2</v>
      </c>
      <c r="N36" s="7">
        <f t="shared" si="2"/>
        <v>44.899999997578561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04:51:33-700',mode:absolute,to:'2016-11-14 07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4.5699999999999998E-2</v>
      </c>
      <c r="Z36" s="67">
        <f t="shared" si="9"/>
        <v>23.331900000000001</v>
      </c>
      <c r="AA36" s="67">
        <f t="shared" si="10"/>
        <v>23.286200000000001</v>
      </c>
      <c r="AB36" s="64" t="str">
        <f>VLOOKUP(A36,Enforcements!$C$7:$K$20,8,0)</f>
        <v>Signal based authority (5)</v>
      </c>
      <c r="AC36" s="60" t="str">
        <f>VLOOKUP(A36,Enforcements!$C$7:$E$20,3,0)</f>
        <v>SIGNAL</v>
      </c>
      <c r="AD36" s="61" t="str">
        <f t="shared" si="11"/>
        <v>0119-14</v>
      </c>
      <c r="AE36" s="91" t="str">
        <f t="shared" si="12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36" s="88" t="str">
        <f t="shared" si="13"/>
        <v>"C:\Program Files (x86)\AstroGrep\AstroGrep.exe" /spath="%USERPROFILE%\AppData\Local\Temp\OnboardLogs" /stypes="app*4029*20161114*"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119-14 --locoid 4029 --swversion DE.1.0.8.0 --startMP 204:457 --initTime 2016-11-14T05:51:33 --startdatetime 2016-11-14T06:03:43 --delay 2 --endMP 204:233319 --enddatetime 2016-11-14T06:48:37 --enforcementcount 0 &gt;&gt;C:\Users\stu\Documents\GitHub\eaglep3-reporting\EC\2016-11-14-refined-times.txt</v>
      </c>
      <c r="AI36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{"issue":{"subject":"","project_id":79,"tracker_id":40,"status_id":1,"priority_id":2,"assigned_to_id":23,"start_date":"2016-11-14","description":"","custom_fields":[{"id":1,"name":"Subdivision","value":"EC"},{"id":4,"name":"Milepost","value":"23.3319"},{"id":17,"name":"Train ID","value":"119-14"},{"id":16,"name":"Locomotive ID","value":"4029"},{"id":130,"name":"Impact","value":""},{"id":150,"name":"Time of Event (Mountain Time)","value":"06:48:37"},{"id":151,"name":"Denver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474</v>
      </c>
      <c r="B37" s="7">
        <v>4030</v>
      </c>
      <c r="C37" s="22" t="s">
        <v>224</v>
      </c>
      <c r="D37" s="22" t="s">
        <v>648</v>
      </c>
      <c r="E37" s="13">
        <v>42688.315150462964</v>
      </c>
      <c r="F37" s="13">
        <v>42688.31590277778</v>
      </c>
      <c r="G37" s="7">
        <v>1</v>
      </c>
      <c r="H37" s="22" t="s">
        <v>649</v>
      </c>
      <c r="I37" s="13">
        <v>42688.320254629631</v>
      </c>
      <c r="J37" s="7">
        <v>0</v>
      </c>
      <c r="K37" s="109" t="str">
        <f t="shared" si="0"/>
        <v>4029/4030</v>
      </c>
      <c r="L37" s="22" t="str">
        <f>VLOOKUP(A37,'Trips&amp;Operators'!$C$1:$E$10000,3,FALSE)</f>
        <v>OUN</v>
      </c>
      <c r="M37" s="6">
        <f t="shared" si="1"/>
        <v>4.3518518505152315E-3</v>
      </c>
      <c r="N37" s="7"/>
      <c r="O37" s="7"/>
      <c r="P37" s="7">
        <f>24*60*SUM($M37:$M38)</f>
        <v>39.31666666874662</v>
      </c>
      <c r="Q37" s="23"/>
      <c r="R37" s="23" t="s">
        <v>813</v>
      </c>
      <c r="S37" s="35">
        <f>SUM(U37:U38)/IF(AG37="EC",12,1)</f>
        <v>0.66666666666666663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06:33:49-700',mode:absolute,to:'2016-11-14 08:41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7" s="52" t="str">
        <f t="shared" si="6"/>
        <v>Y</v>
      </c>
      <c r="X37" s="177">
        <f t="shared" si="7"/>
        <v>1</v>
      </c>
      <c r="Y37" s="67">
        <f t="shared" si="8"/>
        <v>1.8769</v>
      </c>
      <c r="Z37" s="67">
        <f t="shared" si="9"/>
        <v>1.3599999999999999E-2</v>
      </c>
      <c r="AA37" s="67">
        <f t="shared" si="10"/>
        <v>1.8633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0120-14</v>
      </c>
      <c r="AE37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37" s="88" t="str">
        <f t="shared" si="13"/>
        <v>"C:\Program Files (x86)\AstroGrep\AstroGrep.exe" /spath="%USERPROFILE%\AppData\Local\Temp\OnboardLogs" /stypes="app*4030*20161114*"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120-14 --locoid 4030 --swversion DE.1.0.8.0 --startMP 204:18769 --initTime 2016-11-14T07:33:49 --startdatetime 2016-11-14T07:34:54 --delay 1 --endMP 204:136 --enddatetime 2016-11-14T07:41:10 --enforcementcount 0 &gt;&gt;C:\Users\stu\Documents\GitHub\eaglep3-reporting\EC\2016-11-14-refined-times.txt</v>
      </c>
      <c r="AI37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service","project_id":79,"tracker_id":40,"status_id":1,"priority_id":2,"assigned_to_id":23,"start_date":"2016-11-14","description":"","custom_fields":[{"id":1,"name":"Subdivision","value":"EC"},{"id":4,"name":"Milepost","value":"0.0136"},{"id":17,"name":"Train ID","value":"120-14"},{"id":16,"name":"Locomotive ID","value":"4030"},{"id":130,"name":"Impact","value":""},{"id":150,"name":"Time of Event (Mountain Time)","value":"07:41:10"},{"id":151,"name":"Denver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474</v>
      </c>
      <c r="B38" s="7">
        <v>4030</v>
      </c>
      <c r="C38" s="22" t="s">
        <v>224</v>
      </c>
      <c r="D38" s="22" t="s">
        <v>249</v>
      </c>
      <c r="E38" s="13">
        <v>42688.286956018521</v>
      </c>
      <c r="F38" s="13">
        <v>42688.287870370368</v>
      </c>
      <c r="G38" s="7">
        <v>1</v>
      </c>
      <c r="H38" s="22" t="s">
        <v>650</v>
      </c>
      <c r="I38" s="13">
        <v>42688.31082175926</v>
      </c>
      <c r="J38" s="7">
        <v>0</v>
      </c>
      <c r="K38" s="109" t="str">
        <f t="shared" si="0"/>
        <v>4029/4030</v>
      </c>
      <c r="L38" s="22" t="str">
        <f>VLOOKUP(A38,'Trips&amp;Operators'!$C$1:$E$10000,3,FALSE)</f>
        <v>OUN</v>
      </c>
      <c r="M38" s="6">
        <f t="shared" si="1"/>
        <v>2.2951388891669922E-2</v>
      </c>
      <c r="N38" s="7"/>
      <c r="O38" s="7"/>
      <c r="P38" s="7"/>
      <c r="Q38" s="23"/>
      <c r="R38" s="23"/>
      <c r="S38" s="35"/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8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05:53:13-700',mode:absolute,to:'2016-11-14 08:27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8" s="52" t="str">
        <f t="shared" si="6"/>
        <v>Y</v>
      </c>
      <c r="X38" s="177">
        <f t="shared" si="7"/>
        <v>0</v>
      </c>
      <c r="Y38" s="67">
        <f t="shared" si="8"/>
        <v>23.3002</v>
      </c>
      <c r="Z38" s="67">
        <f t="shared" si="9"/>
        <v>4.4105999999999996</v>
      </c>
      <c r="AA38" s="67">
        <f t="shared" si="10"/>
        <v>18.889600000000002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0120-14</v>
      </c>
      <c r="AE38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38" s="88" t="str">
        <f t="shared" si="13"/>
        <v>"C:\Program Files (x86)\AstroGrep\AstroGrep.exe" /spath="%USERPROFILE%\AppData\Local\Temp\OnboardLogs" /stypes="app*4030*20161114*"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120-14 --locoid 4030 --swversion DE.1.0.8.0 --startMP 204:233002 --initTime 2016-11-14T06:53:13 --startdatetime 2016-11-14T06:54:32 --delay 1 --endMP 204:44106 --enddatetime 2016-11-14T07:27:35 --enforcementcount 0 &gt;&gt;C:\Users\stu\Documents\GitHub\eaglep3-reporting\EC\2016-11-14-refined-times.txt</v>
      </c>
      <c r="AI38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{"issue":{"subject":"","project_id":79,"tracker_id":40,"status_id":1,"priority_id":2,"assigned_to_id":23,"start_date":"2016-11-14","description":"","custom_fields":[{"id":1,"name":"Subdivision","value":"EC"},{"id":4,"name":"Milepost","value":"4.4106"},{"id":17,"name":"Train ID","value":"120-14"},{"id":16,"name":"Locomotive ID","value":"4030"},{"id":130,"name":"Impact","value":""},{"id":150,"name":"Time of Event (Mountain Time)","value":"07:27:35"},{"id":151,"name":"Denver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468</v>
      </c>
      <c r="B39" s="7">
        <v>4009</v>
      </c>
      <c r="C39" s="22" t="s">
        <v>224</v>
      </c>
      <c r="D39" s="22" t="s">
        <v>223</v>
      </c>
      <c r="E39" s="13">
        <v>42688.259502314817</v>
      </c>
      <c r="F39" s="13">
        <v>42688.260821759257</v>
      </c>
      <c r="G39" s="7">
        <v>1</v>
      </c>
      <c r="H39" s="22" t="s">
        <v>337</v>
      </c>
      <c r="I39" s="13">
        <v>42688.287824074076</v>
      </c>
      <c r="J39" s="7">
        <v>0</v>
      </c>
      <c r="K39" s="109" t="str">
        <f t="shared" si="0"/>
        <v>4009/4010</v>
      </c>
      <c r="L39" s="22" t="str">
        <f>VLOOKUP(A39,'Trips&amp;Operators'!$C$1:$E$10000,3,FALSE)</f>
        <v>ISHMAEL</v>
      </c>
      <c r="M39" s="6">
        <f t="shared" si="1"/>
        <v>2.7002314818673767E-2</v>
      </c>
      <c r="N39" s="7">
        <f t="shared" si="2"/>
        <v>38.883333338890225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05:13:41-700',mode:absolute,to:'2016-11-14 07:54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4.6399999999999997E-2</v>
      </c>
      <c r="Z39" s="67">
        <f t="shared" si="9"/>
        <v>23.330100000000002</v>
      </c>
      <c r="AA39" s="67">
        <f t="shared" si="10"/>
        <v>23.283700000000003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0121-14</v>
      </c>
      <c r="AE39" s="91" t="str">
        <f t="shared" si="12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39" s="88" t="str">
        <f t="shared" si="13"/>
        <v>"C:\Program Files (x86)\AstroGrep\AstroGrep.exe" /spath="%USERPROFILE%\AppData\Local\Temp\OnboardLogs" /stypes="app*4009*20161114*"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121-14 --locoid 4009 --swversion DE.1.0.8.0 --startMP 204:464 --initTime 2016-11-14T06:13:41 --startdatetime 2016-11-14T06:15:35 --delay 1 --endMP 204:233301 --enddatetime 2016-11-14T06:54:28 --enforcementcount 0 &gt;&gt;C:\Users\stu\Documents\GitHub\eaglep3-reporting\EC\2016-11-14-refined-times.txt</v>
      </c>
      <c r="AI3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{"issue":{"subject":"","project_id":79,"tracker_id":40,"status_id":1,"priority_id":2,"assigned_to_id":23,"start_date":"2016-11-14","description":"","custom_fields":[{"id":1,"name":"Subdivision","value":"EC"},{"id":4,"name":"Milepost","value":"23.3301"},{"id":17,"name":"Train ID","value":"121-14"},{"id":16,"name":"Locomotive ID","value":"4009"},{"id":130,"name":"Impact","value":""},{"id":150,"name":"Time of Event (Mountain Time)","value":"06:54:28"},{"id":151,"name":"Denver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4010</v>
      </c>
      <c r="C40" s="22" t="s">
        <v>224</v>
      </c>
      <c r="D40" s="22" t="s">
        <v>237</v>
      </c>
      <c r="E40" s="13">
        <v>42688.293576388889</v>
      </c>
      <c r="F40" s="13">
        <v>42688.294768518521</v>
      </c>
      <c r="G40" s="7">
        <v>1</v>
      </c>
      <c r="H40" s="22" t="s">
        <v>651</v>
      </c>
      <c r="I40" s="13">
        <v>42688.321458333332</v>
      </c>
      <c r="J40" s="7">
        <v>0</v>
      </c>
      <c r="K40" s="109" t="str">
        <f t="shared" si="0"/>
        <v>4009/4010</v>
      </c>
      <c r="L40" s="22" t="str">
        <f>VLOOKUP(A40,'Trips&amp;Operators'!$C$1:$E$10000,3,FALSE)</f>
        <v>ISHMAEL</v>
      </c>
      <c r="M40" s="6">
        <f t="shared" si="1"/>
        <v>2.6689814811106771E-2</v>
      </c>
      <c r="N40" s="7"/>
      <c r="O40" s="7"/>
      <c r="P40" s="7">
        <f>24*60*SUM($M40:$M41)</f>
        <v>48.516666661016643</v>
      </c>
      <c r="Q40" s="23"/>
      <c r="R40" s="23" t="s">
        <v>813</v>
      </c>
      <c r="S40" s="35">
        <f>SUM(U40:U41)/IF(AG40="EC",12,1)</f>
        <v>0.91666666666666663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8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06:02:45-700',mode:absolute,to:'2016-11-14 08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Y</v>
      </c>
      <c r="X40" s="177">
        <f t="shared" si="7"/>
        <v>1</v>
      </c>
      <c r="Y40" s="67">
        <f t="shared" si="8"/>
        <v>23.298200000000001</v>
      </c>
      <c r="Z40" s="67">
        <f t="shared" si="9"/>
        <v>4.4878999999999998</v>
      </c>
      <c r="AA40" s="67">
        <f t="shared" si="10"/>
        <v>18.810300000000002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0122-14</v>
      </c>
      <c r="AE40" s="91" t="str">
        <f t="shared" si="12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40" s="88" t="str">
        <f t="shared" si="13"/>
        <v>"C:\Program Files (x86)\AstroGrep\AstroGrep.exe" /spath="%USERPROFILE%\AppData\Local\Temp\OnboardLogs" /stypes="app*4010*20161114*"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122-14 --locoid 4010 --swversion DE.1.0.8.0 --startMP 204:232982 --initTime 2016-11-14T07:02:45 --startdatetime 2016-11-14T07:04:28 --delay 1 --endMP 204:44879 --enddatetime 2016-11-14T07:42:54 --enforcementcount 0 &gt;&gt;C:\Users\stu\Documents\GitHub\eaglep3-reporting\EC\2016-11-14-refined-times.txt</v>
      </c>
      <c r="AI40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service","project_id":79,"tracker_id":40,"status_id":1,"priority_id":2,"assigned_to_id":23,"start_date":"2016-11-14","description":"","custom_fields":[{"id":1,"name":"Subdivision","value":"EC"},{"id":4,"name":"Milepost","value":"4.4879"},{"id":17,"name":"Train ID","value":"122-14"},{"id":16,"name":"Locomotive ID","value":"4010"},{"id":130,"name":"Impact","value":""},{"id":150,"name":"Time of Event (Mountain Time)","value":"07:42:54"},{"id":151,"name":"Denver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476</v>
      </c>
      <c r="B41" s="7">
        <v>4010</v>
      </c>
      <c r="C41" s="22" t="s">
        <v>224</v>
      </c>
      <c r="D41" s="22" t="s">
        <v>652</v>
      </c>
      <c r="E41" s="13">
        <v>42688.322812500002</v>
      </c>
      <c r="F41" s="13">
        <v>42688.323622685188</v>
      </c>
      <c r="G41" s="7">
        <v>1</v>
      </c>
      <c r="H41" s="22" t="s">
        <v>310</v>
      </c>
      <c r="I41" s="13">
        <v>42688.330625000002</v>
      </c>
      <c r="J41" s="7">
        <v>0</v>
      </c>
      <c r="K41" s="109" t="str">
        <f t="shared" si="0"/>
        <v>4009/4010</v>
      </c>
      <c r="L41" s="22" t="str">
        <f>VLOOKUP(A41,'Trips&amp;Operators'!$C$1:$E$10000,3,FALSE)</f>
        <v>ISHMAEL</v>
      </c>
      <c r="M41" s="6">
        <f t="shared" si="1"/>
        <v>7.0023148145992309E-3</v>
      </c>
      <c r="N41" s="7"/>
      <c r="O41" s="7"/>
      <c r="P41" s="7"/>
      <c r="Q41" s="23"/>
      <c r="R41" s="23"/>
      <c r="S41" s="35"/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3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06:44:51-700',mode:absolute,to:'2016-11-14 08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1" s="52" t="str">
        <f t="shared" si="6"/>
        <v>Y</v>
      </c>
      <c r="X41" s="177">
        <f t="shared" si="7"/>
        <v>0</v>
      </c>
      <c r="Y41" s="67">
        <f t="shared" si="8"/>
        <v>3.6549999999999998</v>
      </c>
      <c r="Z41" s="67">
        <f t="shared" si="9"/>
        <v>1.54E-2</v>
      </c>
      <c r="AA41" s="67">
        <f t="shared" si="10"/>
        <v>3.6395999999999997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0122-14</v>
      </c>
      <c r="AE41" s="91" t="str">
        <f t="shared" si="12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41" s="88" t="str">
        <f t="shared" si="13"/>
        <v>"C:\Program Files (x86)\AstroGrep\AstroGrep.exe" /spath="%USERPROFILE%\AppData\Local\Temp\OnboardLogs" /stypes="app*4010*20161114*"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122-14 --locoid 4010 --swversion DE.1.0.8.0 --startMP 204:36550 --initTime 2016-11-14T07:44:51 --startdatetime 2016-11-14T07:46:01 --delay 1 --endMP 204:154 --enddatetime 2016-11-14T07:56:06 --enforcementcount 0 &gt;&gt;C:\Users\stu\Documents\GitHub\eaglep3-reporting\EC\2016-11-14-refined-times.txt</v>
      </c>
      <c r="AI41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{"issue":{"subject":"","project_id":79,"tracker_id":40,"status_id":1,"priority_id":2,"assigned_to_id":23,"start_date":"2016-11-14","description":"","custom_fields":[{"id":1,"name":"Subdivision","value":"EC"},{"id":4,"name":"Milepost","value":"0.0154"},{"id":17,"name":"Train ID","value":"122-14"},{"id":16,"name":"Locomotive ID","value":"4010"},{"id":130,"name":"Impact","value":""},{"id":150,"name":"Time of Event (Mountain Time)","value":"07:56:06"},{"id":151,"name":"Denver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472</v>
      </c>
      <c r="B42" s="7">
        <v>4040</v>
      </c>
      <c r="C42" s="22" t="s">
        <v>224</v>
      </c>
      <c r="D42" s="22" t="s">
        <v>653</v>
      </c>
      <c r="E42" s="13">
        <v>42688.275833333333</v>
      </c>
      <c r="F42" s="13">
        <v>42688.277569444443</v>
      </c>
      <c r="G42" s="7">
        <v>2</v>
      </c>
      <c r="H42" s="22" t="s">
        <v>313</v>
      </c>
      <c r="I42" s="13">
        <v>42688.304479166669</v>
      </c>
      <c r="J42" s="7">
        <v>0</v>
      </c>
      <c r="K42" s="109" t="str">
        <f t="shared" si="0"/>
        <v>4039/4040</v>
      </c>
      <c r="L42" s="22" t="str">
        <f>VLOOKUP(A42,'Trips&amp;Operators'!$C$1:$E$10000,3,FALSE)</f>
        <v>SMITH</v>
      </c>
      <c r="M42" s="6">
        <f t="shared" si="1"/>
        <v>2.6909722226264421E-2</v>
      </c>
      <c r="N42" s="7">
        <f t="shared" si="2"/>
        <v>38.750000005820766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05:37:12-700',mode:absolute,to:'2016-11-14 08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4.8399999999999999E-2</v>
      </c>
      <c r="Z42" s="67">
        <f t="shared" si="9"/>
        <v>23.33</v>
      </c>
      <c r="AA42" s="67">
        <f t="shared" si="10"/>
        <v>23.281599999999997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0123-14</v>
      </c>
      <c r="AE42" s="91" t="str">
        <f t="shared" si="12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42" s="88" t="str">
        <f t="shared" si="13"/>
        <v>"C:\Program Files (x86)\AstroGrep\AstroGrep.exe" /spath="%USERPROFILE%\AppData\Local\Temp\OnboardLogs" /stypes="app*4040*20161114*"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123-14 --locoid 4040 --swversion DE.1.0.8.0 --startMP 204:484 --initTime 2016-11-14T06:37:12 --startdatetime 2016-11-14T06:39:42 --delay 2 --endMP 204:233300 --enddatetime 2016-11-14T07:18:27 --enforcementcount 0 &gt;&gt;C:\Users\stu\Documents\GitHub\eaglep3-reporting\EC\2016-11-14-refined-times.txt</v>
      </c>
      <c r="AI42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{"issue":{"subject":"","project_id":79,"tracker_id":40,"status_id":1,"priority_id":2,"assigned_to_id":23,"start_date":"2016-11-14","description":"","custom_fields":[{"id":1,"name":"Subdivision","value":"EC"},{"id":4,"name":"Milepost","value":"23.33"},{"id":17,"name":"Train ID","value":"123-14"},{"id":16,"name":"Locomotive ID","value":"4040"},{"id":130,"name":"Impact","value":""},{"id":150,"name":"Time of Event (Mountain Time)","value":"07:18:27"},{"id":151,"name":"Denver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480</v>
      </c>
      <c r="B43" s="7">
        <v>4039</v>
      </c>
      <c r="C43" s="22" t="s">
        <v>224</v>
      </c>
      <c r="D43" s="22" t="s">
        <v>266</v>
      </c>
      <c r="E43" s="13">
        <v>42688.305879629632</v>
      </c>
      <c r="F43" s="13">
        <v>42688.310023148151</v>
      </c>
      <c r="G43" s="7">
        <v>1</v>
      </c>
      <c r="H43" s="22" t="s">
        <v>229</v>
      </c>
      <c r="I43" s="13">
        <v>42688.343634259261</v>
      </c>
      <c r="J43" s="7">
        <v>0</v>
      </c>
      <c r="K43" s="109" t="str">
        <f t="shared" si="0"/>
        <v>4039/4040</v>
      </c>
      <c r="L43" s="22" t="str">
        <f>VLOOKUP(A43,'Trips&amp;Operators'!$C$1:$E$10000,3,FALSE)</f>
        <v>SMITH</v>
      </c>
      <c r="M43" s="6">
        <f t="shared" si="1"/>
        <v>3.3611111110076308E-2</v>
      </c>
      <c r="N43" s="7">
        <f t="shared" si="2"/>
        <v>48.399999998509884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06:20:28-700',mode:absolute,to:'2016-11-14 09:14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23.298100000000002</v>
      </c>
      <c r="Z43" s="67">
        <f t="shared" si="9"/>
        <v>1.5800000000000002E-2</v>
      </c>
      <c r="AA43" s="67">
        <f t="shared" si="10"/>
        <v>23.282300000000003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0124-14</v>
      </c>
      <c r="AE43" s="91" t="str">
        <f t="shared" si="12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43" s="88" t="str">
        <f t="shared" si="13"/>
        <v>"C:\Program Files (x86)\AstroGrep\AstroGrep.exe" /spath="%USERPROFILE%\AppData\Local\Temp\OnboardLogs" /stypes="app*4039*20161114*"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124-14 --locoid 4039 --swversion DE.1.0.8.0 --startMP 204:232981 --initTime 2016-11-14T07:20:28 --startdatetime 2016-11-14T07:26:26 --delay 1 --endMP 204:158 --enddatetime 2016-11-14T08:14:50 --enforcementcount 0 &gt;&gt;C:\Users\stu\Documents\GitHub\eaglep3-reporting\EC\2016-11-14-refined-times.txt</v>
      </c>
      <c r="AI43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{"issue":{"subject":"","project_id":79,"tracker_id":40,"status_id":1,"priority_id":2,"assigned_to_id":23,"start_date":"2016-11-14","description":"","custom_fields":[{"id":1,"name":"Subdivision","value":"EC"},{"id":4,"name":"Milepost","value":"0.0158"},{"id":17,"name":"Train ID","value":"124-14"},{"id":16,"name":"Locomotive ID","value":"4039"},{"id":130,"name":"Impact","value":""},{"id":150,"name":"Time of Event (Mountain Time)","value":"08:14:50"},{"id":151,"name":"Denver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473</v>
      </c>
      <c r="B44" s="7">
        <v>4046</v>
      </c>
      <c r="C44" s="22" t="s">
        <v>224</v>
      </c>
      <c r="D44" s="22" t="s">
        <v>201</v>
      </c>
      <c r="E44" s="13">
        <v>42688.281319444446</v>
      </c>
      <c r="F44" s="13">
        <v>42688.283437500002</v>
      </c>
      <c r="G44" s="7">
        <v>1</v>
      </c>
      <c r="H44" s="22" t="s">
        <v>276</v>
      </c>
      <c r="I44" s="13">
        <v>42688.313483796293</v>
      </c>
      <c r="J44" s="7">
        <v>0</v>
      </c>
      <c r="K44" s="109" t="str">
        <f t="shared" si="0"/>
        <v>4045/4046</v>
      </c>
      <c r="L44" s="22" t="str">
        <f>VLOOKUP(A44,'Trips&amp;Operators'!$C$1:$E$10000,3,FALSE)</f>
        <v>MAHAN</v>
      </c>
      <c r="M44" s="6">
        <f t="shared" si="1"/>
        <v>3.0046296291402541E-2</v>
      </c>
      <c r="N44" s="7">
        <f t="shared" si="2"/>
        <v>43.266666659619659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05:45:06-700',mode:absolute,to:'2016-11-14 08:31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4.5499999999999999E-2</v>
      </c>
      <c r="Z44" s="67">
        <f t="shared" si="9"/>
        <v>23.330300000000001</v>
      </c>
      <c r="AA44" s="67">
        <f t="shared" si="10"/>
        <v>23.284800000000001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0125-14</v>
      </c>
      <c r="AE44" s="91" t="str">
        <f t="shared" si="12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44" s="88" t="str">
        <f t="shared" si="13"/>
        <v>"C:\Program Files (x86)\AstroGrep\AstroGrep.exe" /spath="%USERPROFILE%\AppData\Local\Temp\OnboardLogs" /stypes="app*4046*20161114*"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125-14 --locoid 4046 --swversion DE.1.0.8.0 --startMP 204:455 --initTime 2016-11-14T06:45:06 --startdatetime 2016-11-14T06:48:09 --delay 1 --endMP 204:233303 --enddatetime 2016-11-14T07:31:25 --enforcementcount 0 &gt;&gt;C:\Users\stu\Documents\GitHub\eaglep3-reporting\EC\2016-11-14-refined-times.txt</v>
      </c>
      <c r="AI44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{"issue":{"subject":"","project_id":79,"tracker_id":40,"status_id":1,"priority_id":2,"assigned_to_id":23,"start_date":"2016-11-14","description":"","custom_fields":[{"id":1,"name":"Subdivision","value":"EC"},{"id":4,"name":"Milepost","value":"23.3303"},{"id":17,"name":"Train ID","value":"125-14"},{"id":16,"name":"Locomotive ID","value":"4046"},{"id":130,"name":"Impact","value":""},{"id":150,"name":"Time of Event (Mountain Time)","value":"07:31:25"},{"id":151,"name":"Denver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407</v>
      </c>
      <c r="B45" s="7">
        <v>4045</v>
      </c>
      <c r="C45" s="22" t="s">
        <v>224</v>
      </c>
      <c r="D45" s="22" t="s">
        <v>267</v>
      </c>
      <c r="E45" s="13">
        <v>42688.318495370368</v>
      </c>
      <c r="F45" s="13">
        <v>42688.319432870368</v>
      </c>
      <c r="G45" s="7">
        <v>1</v>
      </c>
      <c r="H45" s="22" t="s">
        <v>654</v>
      </c>
      <c r="I45" s="13">
        <v>42688.344201388885</v>
      </c>
      <c r="J45" s="7">
        <v>1</v>
      </c>
      <c r="K45" s="109" t="str">
        <f t="shared" si="0"/>
        <v>4045/4046</v>
      </c>
      <c r="L45" s="22" t="str">
        <f>VLOOKUP(A45,'Trips&amp;Operators'!$C$1:$E$10000,3,FALSE)</f>
        <v>MAHAN</v>
      </c>
      <c r="M45" s="6">
        <f t="shared" si="1"/>
        <v>2.4768518516793847E-2</v>
      </c>
      <c r="N45" s="7"/>
      <c r="O45" s="7"/>
      <c r="P45" s="7">
        <f>24*60*SUM($M45:$M46)</f>
        <v>47.049999997252598</v>
      </c>
      <c r="Q45" s="23"/>
      <c r="R45" s="23" t="s">
        <v>813</v>
      </c>
      <c r="S45" s="35">
        <f>SUM(U45:U46)/IF(AG45="EC",12,1)</f>
        <v>0.91666666666666663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8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06:38:38-700',mode:absolute,to:'2016-11-14 09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52" t="str">
        <f t="shared" si="6"/>
        <v>Y</v>
      </c>
      <c r="X45" s="177">
        <f t="shared" si="7"/>
        <v>1</v>
      </c>
      <c r="Y45" s="67">
        <f t="shared" si="8"/>
        <v>23.2973</v>
      </c>
      <c r="Z45" s="67">
        <f t="shared" si="9"/>
        <v>4.6529999999999996</v>
      </c>
      <c r="AA45" s="67">
        <f t="shared" si="10"/>
        <v>18.644300000000001</v>
      </c>
      <c r="AB45" s="64" t="str">
        <f>VLOOKUP(A45,Enforcements!$C$7:$K$20,8,0)</f>
        <v>Signal based authority (5)</v>
      </c>
      <c r="AC45" s="60" t="str">
        <f>VLOOKUP(A45,Enforcements!$C$7:$E$20,3,0)</f>
        <v>SIGNAL</v>
      </c>
      <c r="AD45" s="61" t="str">
        <f t="shared" si="11"/>
        <v>0126-14</v>
      </c>
      <c r="AE45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45" s="88" t="str">
        <f t="shared" si="13"/>
        <v>"C:\Program Files (x86)\AstroGrep\AstroGrep.exe" /spath="%USERPROFILE%\AppData\Local\Temp\OnboardLogs" /stypes="app*4045*20161114*"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126-14 --locoid 4045 --swversion DE.1.0.8.0 --startMP 204:232973 --initTime 2016-11-14T07:38:38 --startdatetime 2016-11-14T07:39:59 --delay 1 --endMP 204:46530 --enddatetime 2016-11-14T08:15:39 --enforcementcount 1 &gt;&gt;C:\Users\stu\Documents\GitHub\eaglep3-reporting\EC\2016-11-14-refined-times.txt</v>
      </c>
      <c r="AI45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service","project_id":79,"tracker_id":40,"status_id":1,"priority_id":2,"assigned_to_id":23,"start_date":"2016-11-14","description":"","custom_fields":[{"id":1,"name":"Subdivision","value":"EC"},{"id":4,"name":"Milepost","value":"4.653"},{"id":17,"name":"Train ID","value":"126-14"},{"id":16,"name":"Locomotive ID","value":"4045"},{"id":130,"name":"Impact","value":""},{"id":150,"name":"Time of Event (Mountain Time)","value":"08:15:39"},{"id":151,"name":"Denver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407</v>
      </c>
      <c r="B46" s="7">
        <v>4045</v>
      </c>
      <c r="C46" s="22" t="s">
        <v>224</v>
      </c>
      <c r="D46" s="22" t="s">
        <v>655</v>
      </c>
      <c r="E46" s="13">
        <v>42688.345266203702</v>
      </c>
      <c r="F46" s="13">
        <v>42688.346145833333</v>
      </c>
      <c r="G46" s="7">
        <v>1</v>
      </c>
      <c r="H46" s="22" t="s">
        <v>229</v>
      </c>
      <c r="I46" s="13">
        <v>42688.354050925926</v>
      </c>
      <c r="J46" s="7">
        <v>1</v>
      </c>
      <c r="K46" s="109" t="str">
        <f t="shared" si="0"/>
        <v>4045/4046</v>
      </c>
      <c r="L46" s="22" t="str">
        <f>VLOOKUP(A46,'Trips&amp;Operators'!$C$1:$E$10000,3,FALSE)</f>
        <v>MAHAN</v>
      </c>
      <c r="M46" s="6">
        <f t="shared" si="1"/>
        <v>7.9050925924093463E-3</v>
      </c>
      <c r="N46" s="7"/>
      <c r="O46" s="7"/>
      <c r="P46" s="7"/>
      <c r="Q46" s="23"/>
      <c r="R46" s="23"/>
      <c r="S46" s="35"/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3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07:17:11-700',mode:absolute,to:'2016-11-14 09:29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6" s="52" t="str">
        <f t="shared" si="6"/>
        <v>Y</v>
      </c>
      <c r="X46" s="177">
        <f t="shared" si="7"/>
        <v>0</v>
      </c>
      <c r="Y46" s="67">
        <f t="shared" si="8"/>
        <v>3.6793999999999998</v>
      </c>
      <c r="Z46" s="67">
        <f t="shared" si="9"/>
        <v>1.5800000000000002E-2</v>
      </c>
      <c r="AA46" s="67">
        <f t="shared" si="10"/>
        <v>3.6635999999999997</v>
      </c>
      <c r="AB46" s="64" t="str">
        <f>VLOOKUP(A46,Enforcements!$C$7:$K$20,8,0)</f>
        <v>Signal based authority (5)</v>
      </c>
      <c r="AC46" s="60" t="str">
        <f>VLOOKUP(A46,Enforcements!$C$7:$E$20,3,0)</f>
        <v>SIGNAL</v>
      </c>
      <c r="AD46" s="61" t="str">
        <f t="shared" si="11"/>
        <v>0126-14</v>
      </c>
      <c r="AE46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46" s="88" t="str">
        <f t="shared" si="13"/>
        <v>"C:\Program Files (x86)\AstroGrep\AstroGrep.exe" /spath="%USERPROFILE%\AppData\Local\Temp\OnboardLogs" /stypes="app*4045*20161114*"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126-14 --locoid 4045 --swversion DE.1.0.8.0 --startMP 204:36794 --initTime 2016-11-14T08:17:11 --startdatetime 2016-11-14T08:18:27 --delay 1 --endMP 204:158 --enddatetime 2016-11-14T08:29:50 --enforcementcount 1 &gt;&gt;C:\Users\stu\Documents\GitHub\eaglep3-reporting\EC\2016-11-14-refined-times.txt</v>
      </c>
      <c r="AI46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{"issue":{"subject":"","project_id":79,"tracker_id":40,"status_id":1,"priority_id":2,"assigned_to_id":23,"start_date":"2016-11-14","description":"","custom_fields":[{"id":1,"name":"Subdivision","value":"EC"},{"id":4,"name":"Milepost","value":"0.0158"},{"id":17,"name":"Train ID","value":"126-14"},{"id":16,"name":"Locomotive ID","value":"4045"},{"id":130,"name":"Impact","value":""},{"id":150,"name":"Time of Event (Mountain Time)","value":"08:29:50"},{"id":151,"name":"Denver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475</v>
      </c>
      <c r="B47" s="7">
        <v>4016</v>
      </c>
      <c r="C47" s="22" t="s">
        <v>224</v>
      </c>
      <c r="D47" s="22" t="s">
        <v>656</v>
      </c>
      <c r="E47" s="13">
        <v>42688.294976851852</v>
      </c>
      <c r="F47" s="13">
        <v>42688.295717592591</v>
      </c>
      <c r="G47" s="7">
        <v>1</v>
      </c>
      <c r="H47" s="22" t="s">
        <v>242</v>
      </c>
      <c r="I47" s="13">
        <v>42688.318981481483</v>
      </c>
      <c r="J47" s="7">
        <v>0</v>
      </c>
      <c r="K47" s="109" t="str">
        <f t="shared" si="0"/>
        <v>4015/4016</v>
      </c>
      <c r="L47" s="22" t="str">
        <f>VLOOKUP(A47,'Trips&amp;Operators'!$C$1:$E$10000,3,FALSE)</f>
        <v>GRASTON</v>
      </c>
      <c r="M47" s="6">
        <f t="shared" si="1"/>
        <v>2.326388889196096E-2</v>
      </c>
      <c r="N47" s="7"/>
      <c r="O47" s="7"/>
      <c r="P47" s="7">
        <f>24*60*SUM($M47:$M48)</f>
        <v>34.250000012107193</v>
      </c>
      <c r="Q47" s="23"/>
      <c r="R47" s="23" t="s">
        <v>817</v>
      </c>
      <c r="S47" s="35">
        <f>SUM(U47:U48)/IF(AG47="EC",12,1)</f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06:04:46-700',mode:absolute,to:'2016-11-14 08:39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6"/>
        <v>Y</v>
      </c>
      <c r="X47" s="177">
        <f t="shared" si="7"/>
        <v>1</v>
      </c>
      <c r="Y47" s="67">
        <f t="shared" si="8"/>
        <v>1.9133</v>
      </c>
      <c r="Z47" s="67">
        <f t="shared" si="9"/>
        <v>23.3306</v>
      </c>
      <c r="AA47" s="67">
        <f t="shared" si="10"/>
        <v>21.417300000000001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0127-14</v>
      </c>
      <c r="AE47" s="91" t="str">
        <f t="shared" si="12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47" s="88" t="str">
        <f t="shared" si="13"/>
        <v>"C:\Program Files (x86)\AstroGrep\AstroGrep.exe" /spath="%USERPROFILE%\AppData\Local\Temp\OnboardLogs" /stypes="app*4016*20161114*"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127-14 --locoid 4016 --swversion DE.1.0.8.0 --startMP 204:19133 --initTime 2016-11-14T07:04:46 --startdatetime 2016-11-14T07:05:50 --delay 1 --endMP 204:233306 --enddatetime 2016-11-14T07:39:20 --enforcementcount 0 &gt;&gt;C:\Users\stu\Documents\GitHub\eaglep3-reporting\EC\2016-11-14-refined-times.txt</v>
      </c>
      <c r="AI47" s="119" t="str">
        <f t="shared" si="18"/>
        <v>echo {"issue":{"subject":"Onboard in-route failure","project_id":79,"tracker_id":40,"status_id":1,"priority_id":2,"assigned_to_id":23,"start_date":"2016-11-14","description":"Around 06:57 denver time, several primary slice changes, caused operator to cut out train","custom_fields":[{"id":1,"name":"Subdivision","value":"EC"},{"id":4,"name":"Milepost","value":"23.3306"},{"id":17,"name":"Train ID","value":"127-14"},{"id":16,"name":"Locomotive ID","value":"4016"},{"id":130,"name":"Impact","value":"Initialization Problem"},{"id":150,"name":"Time of Event (Mountain Time)","value":"07:39:20"},{"id":151,"name":"Denver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7" s="53" t="s">
        <v>818</v>
      </c>
      <c r="AK47" s="53" t="s">
        <v>133</v>
      </c>
      <c r="AL47" s="53" t="s">
        <v>178</v>
      </c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475</v>
      </c>
      <c r="B48" s="7">
        <v>4016</v>
      </c>
      <c r="C48" s="22" t="s">
        <v>224</v>
      </c>
      <c r="D48" s="22" t="s">
        <v>268</v>
      </c>
      <c r="E48" s="13">
        <v>42688.288923611108</v>
      </c>
      <c r="F48" s="13">
        <v>42688.290138888886</v>
      </c>
      <c r="G48" s="7">
        <v>1</v>
      </c>
      <c r="H48" s="22" t="s">
        <v>221</v>
      </c>
      <c r="I48" s="13">
        <v>42688.290659722225</v>
      </c>
      <c r="J48" s="7">
        <v>0</v>
      </c>
      <c r="K48" s="109" t="str">
        <f t="shared" si="0"/>
        <v>4015/4016</v>
      </c>
      <c r="L48" s="22" t="str">
        <f>VLOOKUP(A48,'Trips&amp;Operators'!$C$1:$E$10000,3,FALSE)</f>
        <v>GRASTON</v>
      </c>
      <c r="M48" s="6">
        <f t="shared" si="1"/>
        <v>5.2083333866903558E-4</v>
      </c>
      <c r="N48" s="7"/>
      <c r="O48" s="7"/>
      <c r="P48" s="7"/>
      <c r="Q48" s="23"/>
      <c r="R48" s="23"/>
      <c r="S48" s="35"/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05:56:03-700',mode:absolute,to:'2016-11-14 07:58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8" s="52" t="str">
        <f t="shared" si="6"/>
        <v>Y</v>
      </c>
      <c r="X48" s="177">
        <f t="shared" si="7"/>
        <v>0</v>
      </c>
      <c r="Y48" s="67">
        <f t="shared" si="8"/>
        <v>4.4600000000000001E-2</v>
      </c>
      <c r="Z48" s="67">
        <f t="shared" si="9"/>
        <v>4.5699999999999998E-2</v>
      </c>
      <c r="AA48" s="67">
        <f t="shared" si="10"/>
        <v>1.0999999999999968E-3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0127-14</v>
      </c>
      <c r="AE48" s="91" t="str">
        <f t="shared" si="12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48" s="88" t="str">
        <f t="shared" si="13"/>
        <v>"C:\Program Files (x86)\AstroGrep\AstroGrep.exe" /spath="%USERPROFILE%\AppData\Local\Temp\OnboardLogs" /stypes="app*4016*20161114*" /stext=" 13:.+((SYSTEM_STATE.+slice.+state.+changed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127-14 --locoid 4016 --swversion DE.1.0.8.0 --startMP 204:446 --initTime 2016-11-14T06:56:03 --startdatetime 2016-11-14T06:57:48 --delay 1 --endMP 204:457 --enddatetime 2016-11-14T06:58:33 --enforcementcount 0 &gt;&gt;C:\Users\stu\Documents\GitHub\eaglep3-reporting\EC\2016-11-14-refined-times.txt</v>
      </c>
      <c r="AI48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{"issue":{"subject":"","project_id":79,"tracker_id":40,"status_id":1,"priority_id":2,"assigned_to_id":23,"start_date":"2016-11-14","description":"","custom_fields":[{"id":1,"name":"Subdivision","value":"EC"},{"id":4,"name":"Milepost","value":"0.0457"},{"id":17,"name":"Train ID","value":"127-14"},{"id":16,"name":"Locomotive ID","value":"4016"},{"id":130,"name":"Impact","value":""},{"id":150,"name":"Time of Event (Mountain Time)","value":"06:58:33"},{"id":151,"name":"Denver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475</v>
      </c>
      <c r="B49" s="7">
        <v>4016</v>
      </c>
      <c r="C49" s="22" t="s">
        <v>224</v>
      </c>
      <c r="D49" s="22" t="s">
        <v>223</v>
      </c>
      <c r="E49" s="13">
        <v>42688.290775462963</v>
      </c>
      <c r="F49" s="13">
        <v>42688.29173611111</v>
      </c>
      <c r="G49" s="7">
        <v>1</v>
      </c>
      <c r="H49" s="22" t="s">
        <v>241</v>
      </c>
      <c r="I49" s="13">
        <v>42688.292083333334</v>
      </c>
      <c r="J49" s="7">
        <v>0</v>
      </c>
      <c r="K49" s="109" t="str">
        <f t="shared" si="0"/>
        <v>4015/4016</v>
      </c>
      <c r="L49" s="22" t="str">
        <f>VLOOKUP(A49,'Trips&amp;Operators'!$C$1:$E$10000,3,FALSE)</f>
        <v>GRASTON</v>
      </c>
      <c r="M49" s="6">
        <f t="shared" si="1"/>
        <v>3.4722222335403785E-4</v>
      </c>
      <c r="N49" s="7"/>
      <c r="O49" s="7"/>
      <c r="P49" s="7"/>
      <c r="Q49" s="23"/>
      <c r="R49" s="23"/>
      <c r="S49" s="35"/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05:58:43-700',mode:absolute,to:'2016-11-14 08:00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6"/>
        <v>Y</v>
      </c>
      <c r="X49" s="177">
        <f t="shared" si="7"/>
        <v>0</v>
      </c>
      <c r="Y49" s="67">
        <f t="shared" si="8"/>
        <v>4.6399999999999997E-2</v>
      </c>
      <c r="Z49" s="67">
        <f t="shared" si="9"/>
        <v>4.6899999999999997E-2</v>
      </c>
      <c r="AA49" s="67">
        <f t="shared" si="10"/>
        <v>5.0000000000000044E-4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0127-14</v>
      </c>
      <c r="AE49" s="91" t="str">
        <f t="shared" si="12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49" s="88" t="str">
        <f t="shared" si="13"/>
        <v>"C:\Program Files (x86)\AstroGrep\AstroGrep.exe" /spath="%USERPROFILE%\AppData\Local\Temp\OnboardLogs" /stypes="app*4016*20161114*"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127-14 --locoid 4016 --swversion DE.1.0.8.0 --startMP 204:464 --initTime 2016-11-14T06:58:43 --startdatetime 2016-11-14T07:00:06 --delay 1 --endMP 204:469 --enddatetime 2016-11-14T07:00:36 --enforcementcount 0 &gt;&gt;C:\Users\stu\Documents\GitHub\eaglep3-reporting\EC\2016-11-14-refined-times.txt</v>
      </c>
      <c r="AI4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{"issue":{"subject":"","project_id":79,"tracker_id":40,"status_id":1,"priority_id":2,"assigned_to_id":23,"start_date":"2016-11-14","description":"","custom_fields":[{"id":1,"name":"Subdivision","value":"EC"},{"id":4,"name":"Milepost","value":"0.0469"},{"id":17,"name":"Train ID","value":"127-14"},{"id":16,"name":"Locomotive ID","value":"4016"},{"id":130,"name":"Impact","value":""},{"id":150,"name":"Time of Event (Mountain Time)","value":"07:00:36"},{"id":151,"name":"Denver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483</v>
      </c>
      <c r="B50" s="7">
        <v>4015</v>
      </c>
      <c r="C50" s="22" t="s">
        <v>224</v>
      </c>
      <c r="D50" s="22" t="s">
        <v>329</v>
      </c>
      <c r="E50" s="13">
        <v>42688.320254629631</v>
      </c>
      <c r="F50" s="13">
        <v>42688.330937500003</v>
      </c>
      <c r="G50" s="7">
        <v>1</v>
      </c>
      <c r="H50" s="22" t="s">
        <v>327</v>
      </c>
      <c r="I50" s="13">
        <v>42688.360960648148</v>
      </c>
      <c r="J50" s="7">
        <v>0</v>
      </c>
      <c r="K50" s="109" t="str">
        <f t="shared" si="0"/>
        <v>4015/4016</v>
      </c>
      <c r="L50" s="22" t="str">
        <f>VLOOKUP(A50,'Trips&amp;Operators'!$C$1:$E$10000,3,FALSE)</f>
        <v>GRASTON</v>
      </c>
      <c r="M50" s="6">
        <f t="shared" si="1"/>
        <v>3.0023148145119194E-2</v>
      </c>
      <c r="N50" s="7">
        <f t="shared" si="2"/>
        <v>43.233333328971639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06:41:10-700',mode:absolute,to:'2016-11-14 09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23.298300000000001</v>
      </c>
      <c r="Z50" s="67">
        <f t="shared" si="9"/>
        <v>1.6299999999999999E-2</v>
      </c>
      <c r="AA50" s="67">
        <f t="shared" si="10"/>
        <v>23.282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0128-14</v>
      </c>
      <c r="AE50" s="91" t="str">
        <f t="shared" si="12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50" s="88" t="str">
        <f t="shared" si="13"/>
        <v>"C:\Program Files (x86)\AstroGrep\AstroGrep.exe" /spath="%USERPROFILE%\AppData\Local\Temp\OnboardLogs" /stypes="app*4015*20161114*"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128-14 --locoid 4015 --swversion DE.1.0.8.0 --startMP 204:232983 --initTime 2016-11-14T07:41:10 --startdatetime 2016-11-14T07:56:33 --delay 1 --endMP 204:163 --enddatetime 2016-11-14T08:39:47 --enforcementcount 0 &gt;&gt;C:\Users\stu\Documents\GitHub\eaglep3-reporting\EC\2016-11-14-refined-times.txt</v>
      </c>
      <c r="AI50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{"issue":{"subject":"","project_id":79,"tracker_id":40,"status_id":1,"priority_id":2,"assigned_to_id":23,"start_date":"2016-11-14","description":"","custom_fields":[{"id":1,"name":"Subdivision","value":"EC"},{"id":4,"name":"Milepost","value":"0.0163"},{"id":17,"name":"Train ID","value":"128-14"},{"id":16,"name":"Locomotive ID","value":"4015"},{"id":130,"name":"Impact","value":""},{"id":150,"name":"Time of Event (Mountain Time)","value":"08:39:47"},{"id":151,"name":"Denver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479</v>
      </c>
      <c r="B51" s="7">
        <v>4018</v>
      </c>
      <c r="C51" s="22" t="s">
        <v>224</v>
      </c>
      <c r="D51" s="22" t="s">
        <v>200</v>
      </c>
      <c r="E51" s="13">
        <v>42688.300706018519</v>
      </c>
      <c r="F51" s="13">
        <v>42688.302615740744</v>
      </c>
      <c r="G51" s="7">
        <v>1</v>
      </c>
      <c r="H51" s="22" t="s">
        <v>258</v>
      </c>
      <c r="I51" s="13">
        <v>42688.329293981478</v>
      </c>
      <c r="J51" s="7">
        <v>0</v>
      </c>
      <c r="K51" s="109" t="str">
        <f t="shared" si="0"/>
        <v>4017/4018</v>
      </c>
      <c r="L51" s="22" t="str">
        <f>VLOOKUP(A51,'Trips&amp;Operators'!$C$1:$E$10000,3,FALSE)</f>
        <v>HAITHCOX</v>
      </c>
      <c r="M51" s="6">
        <f t="shared" si="1"/>
        <v>2.6678240734327119E-2</v>
      </c>
      <c r="N51" s="7">
        <f t="shared" si="2"/>
        <v>38.416666657431051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06:13:01-700',mode:absolute,to:'2016-11-14 08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4.53E-2</v>
      </c>
      <c r="Z51" s="67">
        <f t="shared" si="9"/>
        <v>23.3293</v>
      </c>
      <c r="AA51" s="67">
        <f t="shared" si="10"/>
        <v>23.283999999999999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0129-14</v>
      </c>
      <c r="AE51" s="91" t="str">
        <f t="shared" si="12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51" s="88" t="str">
        <f t="shared" si="13"/>
        <v>"C:\Program Files (x86)\AstroGrep\AstroGrep.exe" /spath="%USERPROFILE%\AppData\Local\Temp\OnboardLogs" /stypes="app*4018*20161114*"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129-14 --locoid 4018 --swversion DE.1.0.8.0 --startMP 204:453 --initTime 2016-11-14T07:13:01 --startdatetime 2016-11-14T07:15:46 --delay 1 --endMP 204:233293 --enddatetime 2016-11-14T07:54:11 --enforcementcount 0 &gt;&gt;C:\Users\stu\Documents\GitHub\eaglep3-reporting\EC\2016-11-14-refined-times.txt</v>
      </c>
      <c r="AI51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{"issue":{"subject":"","project_id":79,"tracker_id":40,"status_id":1,"priority_id":2,"assigned_to_id":23,"start_date":"2016-11-14","description":"","custom_fields":[{"id":1,"name":"Subdivision","value":"EC"},{"id":4,"name":"Milepost","value":"23.3293"},{"id":17,"name":"Train ID","value":"129-14"},{"id":16,"name":"Locomotive ID","value":"4018"},{"id":130,"name":"Impact","value":""},{"id":150,"name":"Time of Event (Mountain Time)","value":"07:54:11"},{"id":151,"name":"Denver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409</v>
      </c>
      <c r="B52" s="7">
        <v>4017</v>
      </c>
      <c r="C52" s="22" t="s">
        <v>224</v>
      </c>
      <c r="D52" s="22" t="s">
        <v>237</v>
      </c>
      <c r="E52" s="13">
        <v>42688.337592592594</v>
      </c>
      <c r="F52" s="13">
        <v>42688.341203703705</v>
      </c>
      <c r="G52" s="7">
        <v>1</v>
      </c>
      <c r="H52" s="22" t="s">
        <v>284</v>
      </c>
      <c r="I52" s="13">
        <v>42688.37462962963</v>
      </c>
      <c r="J52" s="7">
        <v>0</v>
      </c>
      <c r="K52" s="109" t="str">
        <f t="shared" si="0"/>
        <v>4017/4018</v>
      </c>
      <c r="L52" s="22" t="str">
        <f>VLOOKUP(A52,'Trips&amp;Operators'!$C$1:$E$10000,3,FALSE)</f>
        <v>HAITHCOX</v>
      </c>
      <c r="M52" s="6">
        <f t="shared" si="1"/>
        <v>3.3425925925257616E-2</v>
      </c>
      <c r="N52" s="7">
        <f t="shared" si="2"/>
        <v>48.133333332370967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07:06:08-700',mode:absolute,to:'2016-11-14 09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23.298200000000001</v>
      </c>
      <c r="Z52" s="67">
        <f t="shared" si="9"/>
        <v>1.34E-2</v>
      </c>
      <c r="AA52" s="67">
        <f t="shared" si="10"/>
        <v>23.284800000000001</v>
      </c>
      <c r="AB52" s="64" t="str">
        <f>VLOOKUP(A52,Enforcements!$C$7:$K$20,8,0)</f>
        <v>Signal based authority (5)</v>
      </c>
      <c r="AC52" s="60" t="str">
        <f>VLOOKUP(A52,Enforcements!$C$7:$E$20,3,0)</f>
        <v>SIGNAL</v>
      </c>
      <c r="AD52" s="61" t="str">
        <f t="shared" si="11"/>
        <v>0130-14</v>
      </c>
      <c r="AE52" s="91" t="str">
        <f t="shared" si="12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52" s="88" t="str">
        <f t="shared" si="13"/>
        <v>"C:\Program Files (x86)\AstroGrep\AstroGrep.exe" /spath="%USERPROFILE%\AppData\Local\Temp\OnboardLogs" /stypes="app*4017*20161114*"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130-14 --locoid 4017 --swversion DE.1.0.8.0 --startMP 204:232982 --initTime 2016-11-14T08:06:08 --startdatetime 2016-11-14T08:11:20 --delay 1 --endMP 204:134 --enddatetime 2016-11-14T08:59:28 --enforcementcount 0 &gt;&gt;C:\Users\stu\Documents\GitHub\eaglep3-reporting\EC\2016-11-14-refined-times.txt</v>
      </c>
      <c r="AI52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{"issue":{"subject":"","project_id":79,"tracker_id":40,"status_id":1,"priority_id":2,"assigned_to_id":23,"start_date":"2016-11-14","description":"","custom_fields":[{"id":1,"name":"Subdivision","value":"EC"},{"id":4,"name":"Milepost","value":"0.0134"},{"id":17,"name":"Train ID","value":"130-14"},{"id":16,"name":"Locomotive ID","value":"4017"},{"id":130,"name":"Impact","value":""},{"id":150,"name":"Time of Event (Mountain Time)","value":"08:59:28"},{"id":151,"name":"Denver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481</v>
      </c>
      <c r="B53" s="7">
        <v>4053</v>
      </c>
      <c r="C53" s="22" t="s">
        <v>224</v>
      </c>
      <c r="D53" s="22" t="s">
        <v>280</v>
      </c>
      <c r="E53" s="13">
        <v>42688.312777777777</v>
      </c>
      <c r="F53" s="13">
        <v>42688.314074074071</v>
      </c>
      <c r="G53" s="7">
        <v>1</v>
      </c>
      <c r="H53" s="22" t="s">
        <v>256</v>
      </c>
      <c r="I53" s="13">
        <v>42688.338935185187</v>
      </c>
      <c r="J53" s="7">
        <v>0</v>
      </c>
      <c r="K53" s="109" t="str">
        <f t="shared" si="0"/>
        <v>4053/4054</v>
      </c>
      <c r="L53" s="22" t="str">
        <f>VLOOKUP(A53,'Trips&amp;Operators'!$C$1:$E$10000,3,FALSE)</f>
        <v>ROBINSON</v>
      </c>
      <c r="M53" s="6">
        <f t="shared" si="1"/>
        <v>2.4861111116479151E-2</v>
      </c>
      <c r="N53" s="7">
        <f t="shared" si="2"/>
        <v>35.800000007729977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06:30:24-700',mode:absolute,to:'2016-11-14 09:08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4.4200000000000003E-2</v>
      </c>
      <c r="Z53" s="67">
        <f t="shared" si="9"/>
        <v>23.331900000000001</v>
      </c>
      <c r="AA53" s="67">
        <f t="shared" si="10"/>
        <v>23.287700000000001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0131-14</v>
      </c>
      <c r="AE53" s="91" t="str">
        <f t="shared" si="12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53" s="88" t="str">
        <f t="shared" si="13"/>
        <v>"C:\Program Files (x86)\AstroGrep\AstroGrep.exe" /spath="%USERPROFILE%\AppData\Local\Temp\OnboardLogs" /stypes="app*4053*20161114*"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131-14 --locoid 4053 --swversion DE.1.0.8.0 --startMP 204:442 --initTime 2016-11-14T07:30:24 --startdatetime 2016-11-14T07:32:16 --delay 1 --endMP 204:233319 --enddatetime 2016-11-14T08:08:04 --enforcementcount 0 &gt;&gt;C:\Users\stu\Documents\GitHub\eaglep3-reporting\EC\2016-11-14-refined-times.txt</v>
      </c>
      <c r="AI53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{"issue":{"subject":"","project_id":79,"tracker_id":40,"status_id":1,"priority_id":2,"assigned_to_id":23,"start_date":"2016-11-14","description":"","custom_fields":[{"id":1,"name":"Subdivision","value":"EC"},{"id":4,"name":"Milepost","value":"23.3319"},{"id":17,"name":"Train ID","value":"131-14"},{"id":16,"name":"Locomotive ID","value":"4053"},{"id":130,"name":"Impact","value":""},{"id":150,"name":"Time of Event (Mountain Time)","value":"08:08:04"},{"id":151,"name":"Denver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488</v>
      </c>
      <c r="B54" s="7">
        <v>4054</v>
      </c>
      <c r="C54" s="22" t="s">
        <v>224</v>
      </c>
      <c r="D54" s="22" t="s">
        <v>648</v>
      </c>
      <c r="E54" s="13">
        <v>42688.379016203704</v>
      </c>
      <c r="F54" s="13">
        <v>42688.379907407405</v>
      </c>
      <c r="G54" s="7">
        <v>1</v>
      </c>
      <c r="H54" s="22" t="s">
        <v>657</v>
      </c>
      <c r="I54" s="13">
        <v>42688.383993055555</v>
      </c>
      <c r="J54" s="7">
        <v>0</v>
      </c>
      <c r="K54" s="109" t="str">
        <f t="shared" si="0"/>
        <v>4053/4054</v>
      </c>
      <c r="L54" s="22" t="str">
        <f>VLOOKUP(A54,'Trips&amp;Operators'!$C$1:$E$10000,3,FALSE)</f>
        <v>ROBINSON</v>
      </c>
      <c r="M54" s="6">
        <f t="shared" si="1"/>
        <v>4.0856481500668451E-3</v>
      </c>
      <c r="N54" s="7"/>
      <c r="O54" s="7"/>
      <c r="P54" s="7">
        <f>24*60*SUM($M54:$M55)</f>
        <v>44.166666670935228</v>
      </c>
      <c r="Q54" s="23"/>
      <c r="R54" s="23" t="s">
        <v>813</v>
      </c>
      <c r="S54" s="35">
        <f>SUM(U54:U55)/IF(AG54="EC",12,1)</f>
        <v>0.66666666666666663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08:05:47-700',mode:absolute,to:'2016-11-14 10:12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4" s="52" t="str">
        <f t="shared" si="6"/>
        <v>Y</v>
      </c>
      <c r="X54" s="177">
        <f t="shared" si="7"/>
        <v>1</v>
      </c>
      <c r="Y54" s="67">
        <f t="shared" si="8"/>
        <v>1.8769</v>
      </c>
      <c r="Z54" s="67">
        <f t="shared" si="9"/>
        <v>1.32E-2</v>
      </c>
      <c r="AA54" s="67">
        <f t="shared" si="10"/>
        <v>1.8636999999999999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0132-14</v>
      </c>
      <c r="AE54" s="91" t="str">
        <f t="shared" si="12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54" s="88" t="str">
        <f t="shared" si="13"/>
        <v>"C:\Program Files (x86)\AstroGrep\AstroGrep.exe" /spath="%USERPROFILE%\AppData\Local\Temp\OnboardLogs" /stypes="app*4054*20161114*"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132-14 --locoid 4054 --swversion DE.1.0.8.0 --startMP 204:18769 --initTime 2016-11-14T09:05:47 --startdatetime 2016-11-14T09:07:04 --delay 1 --endMP 204:132 --enddatetime 2016-11-14T09:12:57 --enforcementcount 0 &gt;&gt;C:\Users\stu\Documents\GitHub\eaglep3-reporting\EC\2016-11-14-refined-times.txt</v>
      </c>
      <c r="AI54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service","project_id":79,"tracker_id":40,"status_id":1,"priority_id":2,"assigned_to_id":23,"start_date":"2016-11-14","description":"","custom_fields":[{"id":1,"name":"Subdivision","value":"EC"},{"id":4,"name":"Milepost","value":"0.0132"},{"id":17,"name":"Train ID","value":"132-14"},{"id":16,"name":"Locomotive ID","value":"4054"},{"id":130,"name":"Impact","value":""},{"id":150,"name":"Time of Event (Mountain Time)","value":"09:12:57"},{"id":151,"name":"Denver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488</v>
      </c>
      <c r="B55" s="7">
        <v>4054</v>
      </c>
      <c r="C55" s="22" t="s">
        <v>224</v>
      </c>
      <c r="D55" s="22" t="s">
        <v>658</v>
      </c>
      <c r="E55" s="13">
        <v>42688.347129629627</v>
      </c>
      <c r="F55" s="13">
        <v>42688.348032407404</v>
      </c>
      <c r="G55" s="7">
        <v>1</v>
      </c>
      <c r="H55" s="22" t="s">
        <v>659</v>
      </c>
      <c r="I55" s="13">
        <v>42688.374618055554</v>
      </c>
      <c r="J55" s="7">
        <v>0</v>
      </c>
      <c r="K55" s="109" t="str">
        <f t="shared" si="0"/>
        <v>4053/4054</v>
      </c>
      <c r="L55" s="22" t="str">
        <f>VLOOKUP(A55,'Trips&amp;Operators'!$C$1:$E$10000,3,FALSE)</f>
        <v>ROBINSON</v>
      </c>
      <c r="M55" s="6">
        <f t="shared" si="1"/>
        <v>2.658564814919373E-2</v>
      </c>
      <c r="N55" s="7"/>
      <c r="O55" s="7"/>
      <c r="P55" s="7"/>
      <c r="Q55" s="23"/>
      <c r="R55" s="23"/>
      <c r="S55" s="35"/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8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07:19:52-700',mode:absolute,to:'2016-11-14 09:59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5" s="52" t="str">
        <f t="shared" si="6"/>
        <v>Y</v>
      </c>
      <c r="X55" s="177">
        <f t="shared" si="7"/>
        <v>0</v>
      </c>
      <c r="Y55" s="67">
        <f t="shared" si="8"/>
        <v>23.300599999999999</v>
      </c>
      <c r="Z55" s="67">
        <f t="shared" si="9"/>
        <v>4.4451999999999998</v>
      </c>
      <c r="AA55" s="67">
        <f t="shared" si="10"/>
        <v>18.855399999999999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0132-14</v>
      </c>
      <c r="AE55" s="91" t="str">
        <f t="shared" si="12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55" s="88" t="str">
        <f t="shared" si="13"/>
        <v>"C:\Program Files (x86)\AstroGrep\AstroGrep.exe" /spath="%USERPROFILE%\AppData\Local\Temp\OnboardLogs" /stypes="app*4054*20161114*"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132-14 --locoid 4054 --swversion DE.1.0.8.0 --startMP 204:233006 --initTime 2016-11-14T08:19:52 --startdatetime 2016-11-14T08:21:10 --delay 1 --endMP 204:44452 --enddatetime 2016-11-14T08:59:27 --enforcementcount 0 &gt;&gt;C:\Users\stu\Documents\GitHub\eaglep3-reporting\EC\2016-11-14-refined-times.txt</v>
      </c>
      <c r="AI55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{"issue":{"subject":"","project_id":79,"tracker_id":40,"status_id":1,"priority_id":2,"assigned_to_id":23,"start_date":"2016-11-14","description":"","custom_fields":[{"id":1,"name":"Subdivision","value":"EC"},{"id":4,"name":"Milepost","value":"4.4452"},{"id":17,"name":"Train ID","value":"132-14"},{"id":16,"name":"Locomotive ID","value":"4054"},{"id":130,"name":"Impact","value":""},{"id":150,"name":"Time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484</v>
      </c>
      <c r="B56" s="7">
        <v>4029</v>
      </c>
      <c r="C56" s="22" t="s">
        <v>224</v>
      </c>
      <c r="D56" s="22" t="s">
        <v>226</v>
      </c>
      <c r="E56" s="13">
        <v>42688.32135416667</v>
      </c>
      <c r="F56" s="13">
        <v>42688.32335648148</v>
      </c>
      <c r="G56" s="7">
        <v>1</v>
      </c>
      <c r="H56" s="22" t="s">
        <v>373</v>
      </c>
      <c r="I56" s="13">
        <v>42688.350555555553</v>
      </c>
      <c r="J56" s="7">
        <v>0</v>
      </c>
      <c r="K56" s="109" t="str">
        <f t="shared" si="0"/>
        <v>4029/4030</v>
      </c>
      <c r="L56" s="22" t="str">
        <f>VLOOKUP(A56,'Trips&amp;Operators'!$C$1:$E$10000,3,FALSE)</f>
        <v>OUN</v>
      </c>
      <c r="M56" s="6">
        <f t="shared" si="1"/>
        <v>2.7199074072996154E-2</v>
      </c>
      <c r="N56" s="7">
        <f t="shared" si="2"/>
        <v>39.166666665114462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06:42:45-700',mode:absolute,to:'2016-11-14 09:24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4.58E-2</v>
      </c>
      <c r="Z56" s="67">
        <f t="shared" si="9"/>
        <v>23.333600000000001</v>
      </c>
      <c r="AA56" s="67">
        <f t="shared" si="10"/>
        <v>23.287800000000001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0133-14</v>
      </c>
      <c r="AE56" s="91" t="str">
        <f t="shared" si="12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56" s="88" t="str">
        <f t="shared" si="13"/>
        <v>"C:\Program Files (x86)\AstroGrep\AstroGrep.exe" /spath="%USERPROFILE%\AppData\Local\Temp\OnboardLogs" /stypes="app*4029*20161114*"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133-14 --locoid 4029 --swversion DE.1.0.8.0 --startMP 204:458 --initTime 2016-11-14T07:42:45 --startdatetime 2016-11-14T07:45:38 --delay 1 --endMP 204:233336 --enddatetime 2016-11-14T08:24:48 --enforcementcount 0 &gt;&gt;C:\Users\stu\Documents\GitHub\eaglep3-reporting\EC\2016-11-14-refined-times.txt</v>
      </c>
      <c r="AI56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{"issue":{"subject":"","project_id":79,"tracker_id":40,"status_id":1,"priority_id":2,"assigned_to_id":23,"start_date":"2016-11-14","description":"","custom_fields":[{"id":1,"name":"Subdivision","value":"EC"},{"id":4,"name":"Milepost","value":"23.3336"},{"id":17,"name":"Train ID","value":"133-14"},{"id":16,"name":"Locomotive ID","value":"4029"},{"id":130,"name":"Impact","value":""},{"id":150,"name":"Time of Event (Mountain Time)","value":"08:24:48"},{"id":151,"name":"Denver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491</v>
      </c>
      <c r="B57" s="7">
        <v>4030</v>
      </c>
      <c r="C57" s="22" t="s">
        <v>224</v>
      </c>
      <c r="D57" s="22" t="s">
        <v>391</v>
      </c>
      <c r="E57" s="13">
        <v>42688.357488425929</v>
      </c>
      <c r="F57" s="13">
        <v>42688.36204861111</v>
      </c>
      <c r="G57" s="7">
        <v>1</v>
      </c>
      <c r="H57" s="22" t="s">
        <v>247</v>
      </c>
      <c r="I57" s="13">
        <v>42688.397303240738</v>
      </c>
      <c r="J57" s="7">
        <v>0</v>
      </c>
      <c r="K57" s="109" t="str">
        <f t="shared" si="0"/>
        <v>4029/4030</v>
      </c>
      <c r="L57" s="22" t="str">
        <f>VLOOKUP(A57,'Trips&amp;Operators'!$C$1:$E$10000,3,FALSE)</f>
        <v>OUN</v>
      </c>
      <c r="M57" s="6">
        <f t="shared" si="1"/>
        <v>3.5254629627161194E-2</v>
      </c>
      <c r="N57" s="7">
        <f t="shared" si="2"/>
        <v>50.766666663112119</v>
      </c>
      <c r="O57" s="7"/>
      <c r="P57" s="7"/>
      <c r="Q57" s="23"/>
      <c r="R57" s="23"/>
      <c r="S57" s="35">
        <f t="shared" ref="S57" si="20">SUM(U57:U57)/IF(AG57="EC",12,1)</f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07:34:47-700',mode:absolute,to:'2016-11-14 10:32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23.301100000000002</v>
      </c>
      <c r="Z57" s="67">
        <f t="shared" si="9"/>
        <v>1.4999999999999999E-2</v>
      </c>
      <c r="AA57" s="67">
        <f t="shared" si="10"/>
        <v>23.286100000000001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0134-14</v>
      </c>
      <c r="AE57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57" s="88" t="str">
        <f t="shared" si="13"/>
        <v>"C:\Program Files (x86)\AstroGrep\AstroGrep.exe" /spath="%USERPROFILE%\AppData\Local\Temp\OnboardLogs" /stypes="app*4030*20161114*"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134-14 --locoid 4030 --swversion DE.1.0.8.0 --startMP 204:233011 --initTime 2016-11-14T08:34:47 --startdatetime 2016-11-14T08:41:21 --delay 1 --endMP 204:150 --enddatetime 2016-11-14T09:32:07 --enforcementcount 0 &gt;&gt;C:\Users\stu\Documents\GitHub\eaglep3-reporting\EC\2016-11-14-refined-times.txt</v>
      </c>
      <c r="AI57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{"issue":{"subject":"","project_id":79,"tracker_id":40,"status_id":1,"priority_id":2,"assigned_to_id":23,"start_date":"2016-11-14","description":"","custom_fields":[{"id":1,"name":"Subdivision","value":"EC"},{"id":4,"name":"Milepost","value":"0.015"},{"id":17,"name":"Train ID","value":"134-14"},{"id":16,"name":"Locomotive ID","value":"4030"},{"id":130,"name":"Impact","value":""},{"id":150,"name":"Time of Event (Mountain Time)","value":"09:32:07"},{"id":151,"name":"Denver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485</v>
      </c>
      <c r="B58" s="7">
        <v>4009</v>
      </c>
      <c r="C58" s="22" t="s">
        <v>224</v>
      </c>
      <c r="D58" s="22" t="s">
        <v>660</v>
      </c>
      <c r="E58" s="13">
        <v>42688.331701388888</v>
      </c>
      <c r="F58" s="13">
        <v>42688.33353009259</v>
      </c>
      <c r="G58" s="7">
        <v>1</v>
      </c>
      <c r="H58" s="22" t="s">
        <v>661</v>
      </c>
      <c r="I58" s="13">
        <v>42688.358761574076</v>
      </c>
      <c r="J58" s="7">
        <v>0</v>
      </c>
      <c r="K58" s="109" t="str">
        <f t="shared" si="0"/>
        <v>4009/4010</v>
      </c>
      <c r="L58" s="22" t="str">
        <f>VLOOKUP(A58,'Trips&amp;Operators'!$C$1:$E$10000,3,FALSE)</f>
        <v>ISHMAEL</v>
      </c>
      <c r="M58" s="6">
        <f t="shared" si="1"/>
        <v>2.5231481486116536E-2</v>
      </c>
      <c r="N58" s="7">
        <f t="shared" si="2"/>
        <v>36.333333340007812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06:57:39-700',mode:absolute,to:'2016-11-14 09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4.3700000000000003E-2</v>
      </c>
      <c r="Z58" s="67">
        <f t="shared" si="9"/>
        <v>23.334599999999998</v>
      </c>
      <c r="AA58" s="67">
        <f t="shared" si="10"/>
        <v>23.290899999999997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0135-14</v>
      </c>
      <c r="AE58" s="91" t="str">
        <f t="shared" si="12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58" s="88" t="str">
        <f t="shared" si="13"/>
        <v>"C:\Program Files (x86)\AstroGrep\AstroGrep.exe" /spath="%USERPROFILE%\AppData\Local\Temp\OnboardLogs" /stypes="app*4009*20161114*"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135-14 --locoid 4009 --swversion DE.1.0.8.0 --startMP 204:437 --initTime 2016-11-14T07:57:39 --startdatetime 2016-11-14T08:00:17 --delay 1 --endMP 204:233346 --enddatetime 2016-11-14T08:36:37 --enforcementcount 0 &gt;&gt;C:\Users\stu\Documents\GitHub\eaglep3-reporting\EC\2016-11-14-refined-times.txt</v>
      </c>
      <c r="AI58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{"issue":{"subject":"","project_id":79,"tracker_id":40,"status_id":1,"priority_id":2,"assigned_to_id":23,"start_date":"2016-11-14","description":"","custom_fields":[{"id":1,"name":"Subdivision","value":"EC"},{"id":4,"name":"Milepost","value":"23.3346"},{"id":17,"name":"Train ID","value":"135-14"},{"id":16,"name":"Locomotive ID","value":"4009"},{"id":130,"name":"Impact","value":""},{"id":150,"name":"Time of Event (Mountain Time)","value":"08:36:37"},{"id":151,"name":"Denver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494</v>
      </c>
      <c r="B59" s="7">
        <v>4010</v>
      </c>
      <c r="C59" s="22" t="s">
        <v>224</v>
      </c>
      <c r="D59" s="22" t="s">
        <v>391</v>
      </c>
      <c r="E59" s="13">
        <v>42688.365428240744</v>
      </c>
      <c r="F59" s="13">
        <v>42688.372453703705</v>
      </c>
      <c r="G59" s="7">
        <v>1</v>
      </c>
      <c r="H59" s="22" t="s">
        <v>662</v>
      </c>
      <c r="I59" s="13">
        <v>42688.403252314813</v>
      </c>
      <c r="J59" s="7">
        <v>0</v>
      </c>
      <c r="K59" s="109" t="str">
        <f t="shared" si="0"/>
        <v>4009/4010</v>
      </c>
      <c r="L59" s="22" t="str">
        <f>VLOOKUP(A59,'Trips&amp;Operators'!$C$1:$E$10000,3,FALSE)</f>
        <v>ISHMAEL</v>
      </c>
      <c r="M59" s="6">
        <f t="shared" si="1"/>
        <v>3.0798611107456964E-2</v>
      </c>
      <c r="N59" s="7">
        <f t="shared" si="2"/>
        <v>44.349999994738027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07:46:13-700',mode:absolute,to:'2016-11-14 10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23.301100000000002</v>
      </c>
      <c r="Z59" s="67">
        <f t="shared" si="9"/>
        <v>1.6500000000000001E-2</v>
      </c>
      <c r="AA59" s="67">
        <f t="shared" si="10"/>
        <v>23.284600000000001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0136-14</v>
      </c>
      <c r="AE59" s="91" t="str">
        <f t="shared" si="12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59" s="88" t="str">
        <f t="shared" si="13"/>
        <v>"C:\Program Files (x86)\AstroGrep\AstroGrep.exe" /spath="%USERPROFILE%\AppData\Local\Temp\OnboardLogs" /stypes="app*4010*20161114*"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136-14 --locoid 4010 --swversion DE.1.0.8.0 --startMP 204:233011 --initTime 2016-11-14T08:46:13 --startdatetime 2016-11-14T08:56:20 --delay 1 --endMP 204:165 --enddatetime 2016-11-14T09:40:41 --enforcementcount 0 &gt;&gt;C:\Users\stu\Documents\GitHub\eaglep3-reporting\EC\2016-11-14-refined-times.txt</v>
      </c>
      <c r="AI5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{"issue":{"subject":"","project_id":79,"tracker_id":40,"status_id":1,"priority_id":2,"assigned_to_id":23,"start_date":"2016-11-14","description":"","custom_fields":[{"id":1,"name":"Subdivision","value":"EC"},{"id":4,"name":"Milepost","value":"0.0165"},{"id":17,"name":"Train ID","value":"136-14"},{"id":16,"name":"Locomotive ID","value":"4010"},{"id":130,"name":"Impact","value":""},{"id":150,"name":"Time of Event (Mountain Time)","value":"09:40:41"},{"id":151,"name":"Denver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487</v>
      </c>
      <c r="B60" s="7">
        <v>4040</v>
      </c>
      <c r="C60" s="22" t="s">
        <v>224</v>
      </c>
      <c r="D60" s="22" t="s">
        <v>241</v>
      </c>
      <c r="E60" s="13">
        <v>42688.344895833332</v>
      </c>
      <c r="F60" s="13">
        <v>42688.346122685187</v>
      </c>
      <c r="G60" s="7">
        <v>1</v>
      </c>
      <c r="H60" s="22" t="s">
        <v>263</v>
      </c>
      <c r="I60" s="13">
        <v>42688.373020833336</v>
      </c>
      <c r="J60" s="7">
        <v>0</v>
      </c>
      <c r="K60" s="109" t="str">
        <f t="shared" si="0"/>
        <v>4039/4040</v>
      </c>
      <c r="L60" s="22" t="str">
        <f>VLOOKUP(A60,'Trips&amp;Operators'!$C$1:$E$10000,3,FALSE)</f>
        <v>SMITH</v>
      </c>
      <c r="M60" s="6">
        <f t="shared" si="1"/>
        <v>2.6898148149484769E-2</v>
      </c>
      <c r="N60" s="7">
        <f t="shared" si="2"/>
        <v>38.733333335258067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07:16:39-700',mode:absolute,to:'2016-11-14 09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4.6899999999999997E-2</v>
      </c>
      <c r="Z60" s="67">
        <f t="shared" si="9"/>
        <v>23.329899999999999</v>
      </c>
      <c r="AA60" s="67">
        <f t="shared" si="10"/>
        <v>23.282999999999998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0137-14</v>
      </c>
      <c r="AE60" s="91" t="str">
        <f t="shared" si="12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60" s="88" t="str">
        <f t="shared" si="13"/>
        <v>"C:\Program Files (x86)\AstroGrep\AstroGrep.exe" /spath="%USERPROFILE%\AppData\Local\Temp\OnboardLogs" /stypes="app*4040*20161114*" /stext=" 15:.+((SYSTEM_STATE.+slice.+state.+changed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137-14 --locoid 4040 --swversion DE.1.0.8.0 --startMP 204:469 --initTime 2016-11-14T08:16:39 --startdatetime 2016-11-14T08:18:25 --delay 1 --endMP 204:233299 --enddatetime 2016-11-14T08:57:09 --enforcementcount 0 &gt;&gt;C:\Users\stu\Documents\GitHub\eaglep3-reporting\EC\2016-11-14-refined-times.txt</v>
      </c>
      <c r="AI60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{"issue":{"subject":"","project_id":79,"tracker_id":40,"status_id":1,"priority_id":2,"assigned_to_id":23,"start_date":"2016-11-14","description":"","custom_fields":[{"id":1,"name":"Subdivision","value":"EC"},{"id":4,"name":"Milepost","value":"23.3299"},{"id":17,"name":"Train ID","value":"137-14"},{"id":16,"name":"Locomotive ID","value":"4040"},{"id":130,"name":"Impact","value":""},{"id":150,"name":"Time of Event (Mountain Time)","value":"08:57:09"},{"id":151,"name":"Denver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410</v>
      </c>
      <c r="B61" s="7">
        <v>4039</v>
      </c>
      <c r="C61" s="22" t="s">
        <v>224</v>
      </c>
      <c r="D61" s="22" t="s">
        <v>663</v>
      </c>
      <c r="E61" s="13">
        <v>42688.412673611114</v>
      </c>
      <c r="F61" s="13">
        <v>42688.413657407407</v>
      </c>
      <c r="G61" s="7">
        <v>1</v>
      </c>
      <c r="H61" s="22" t="s">
        <v>215</v>
      </c>
      <c r="I61" s="13">
        <v>42688.417847222219</v>
      </c>
      <c r="J61" s="7">
        <v>0</v>
      </c>
      <c r="K61" s="109" t="str">
        <f t="shared" si="0"/>
        <v>4039/4040</v>
      </c>
      <c r="L61" s="22" t="str">
        <f>VLOOKUP(A61,'Trips&amp;Operators'!$C$1:$E$10000,3,FALSE)</f>
        <v>SMITH</v>
      </c>
      <c r="M61" s="6">
        <f t="shared" si="1"/>
        <v>4.1898148119798861E-3</v>
      </c>
      <c r="N61" s="7"/>
      <c r="O61" s="7"/>
      <c r="P61" s="7">
        <f>24*60*SUM($M61:$M62)</f>
        <v>41.099999989382923</v>
      </c>
      <c r="Q61" s="23"/>
      <c r="R61" s="23" t="s">
        <v>813</v>
      </c>
      <c r="S61" s="35">
        <f>SUM(U61:U62)/IF(AG61="EC",12,1)</f>
        <v>0.58333333333333337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08:54:15-700',mode:absolute,to:'2016-11-14 11:01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1" s="52" t="str">
        <f t="shared" si="6"/>
        <v>Y</v>
      </c>
      <c r="X61" s="177">
        <f t="shared" si="7"/>
        <v>1</v>
      </c>
      <c r="Y61" s="67">
        <f t="shared" si="8"/>
        <v>1.8774</v>
      </c>
      <c r="Z61" s="67">
        <f t="shared" si="9"/>
        <v>1.5599999999999999E-2</v>
      </c>
      <c r="AA61" s="67">
        <f t="shared" si="10"/>
        <v>1.8617999999999999</v>
      </c>
      <c r="AB61" s="64" t="str">
        <f>VLOOKUP(A61,Enforcements!$C$7:$K$20,8,0)</f>
        <v>Signal based authority (5)</v>
      </c>
      <c r="AC61" s="60" t="str">
        <f>VLOOKUP(A61,Enforcements!$C$7:$E$20,3,0)</f>
        <v>SIGNAL</v>
      </c>
      <c r="AD61" s="61" t="str">
        <f t="shared" si="11"/>
        <v>0138-14</v>
      </c>
      <c r="AE61" s="91" t="str">
        <f t="shared" si="12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61" s="88" t="str">
        <f t="shared" si="13"/>
        <v>"C:\Program Files (x86)\AstroGrep\AstroGrep.exe" /spath="%USERPROFILE%\AppData\Local\Temp\OnboardLogs" /stypes="app*4039*20161114*"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138-14 --locoid 4039 --swversion DE.1.0.8.0 --startMP 204:18774 --initTime 2016-11-14T09:54:15 --startdatetime 2016-11-14T09:55:40 --delay 1 --endMP 204:156 --enddatetime 2016-11-14T10:01:42 --enforcementcount 0 &gt;&gt;C:\Users\stu\Documents\GitHub\eaglep3-reporting\EC\2016-11-14-refined-times.txt</v>
      </c>
      <c r="AI61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service","project_id":79,"tracker_id":40,"status_id":1,"priority_id":2,"assigned_to_id":23,"start_date":"2016-11-14","description":"","custom_fields":[{"id":1,"name":"Subdivision","value":"EC"},{"id":4,"name":"Milepost","value":"0.0156"},{"id":17,"name":"Train ID","value":"138-14"},{"id":16,"name":"Locomotive ID","value":"4039"},{"id":130,"name":"Impact","value":""},{"id":150,"name":"Time of Event (Mountain Time)","value":"10:01:42"},{"id":151,"name":"Denver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410</v>
      </c>
      <c r="B62" s="7">
        <v>4039</v>
      </c>
      <c r="C62" s="22" t="s">
        <v>224</v>
      </c>
      <c r="D62" s="22" t="s">
        <v>267</v>
      </c>
      <c r="E62" s="13">
        <v>42688.379282407404</v>
      </c>
      <c r="F62" s="13">
        <v>42688.380046296297</v>
      </c>
      <c r="G62" s="7">
        <v>1</v>
      </c>
      <c r="H62" s="22" t="s">
        <v>664</v>
      </c>
      <c r="I62" s="13">
        <v>42688.404398148145</v>
      </c>
      <c r="J62" s="7">
        <v>1</v>
      </c>
      <c r="K62" s="109" t="str">
        <f t="shared" si="0"/>
        <v>4039/4040</v>
      </c>
      <c r="L62" s="22" t="str">
        <f>VLOOKUP(A62,'Trips&amp;Operators'!$C$1:$E$10000,3,FALSE)</f>
        <v>SMITH</v>
      </c>
      <c r="M62" s="6">
        <f t="shared" si="1"/>
        <v>2.435185184731381E-2</v>
      </c>
      <c r="N62" s="7"/>
      <c r="O62" s="7"/>
      <c r="P62" s="7"/>
      <c r="Q62" s="23"/>
      <c r="R62" s="23"/>
      <c r="S62" s="35"/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7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08:06:10-700',mode:absolute,to:'2016-11-14 10:42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6"/>
        <v>Y</v>
      </c>
      <c r="X62" s="177">
        <f t="shared" si="7"/>
        <v>0</v>
      </c>
      <c r="Y62" s="67">
        <f t="shared" si="8"/>
        <v>23.2973</v>
      </c>
      <c r="Z62" s="67">
        <f t="shared" si="9"/>
        <v>4.8948</v>
      </c>
      <c r="AA62" s="67">
        <f t="shared" si="10"/>
        <v>18.4025</v>
      </c>
      <c r="AB62" s="64" t="str">
        <f>VLOOKUP(A62,Enforcements!$C$7:$K$20,8,0)</f>
        <v>Signal based authority (5)</v>
      </c>
      <c r="AC62" s="60" t="str">
        <f>VLOOKUP(A62,Enforcements!$C$7:$E$20,3,0)</f>
        <v>SIGNAL</v>
      </c>
      <c r="AD62" s="61" t="str">
        <f t="shared" si="11"/>
        <v>0138-14</v>
      </c>
      <c r="AE62" s="91" t="str">
        <f t="shared" si="12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62" s="88" t="str">
        <f t="shared" si="13"/>
        <v>"C:\Program Files (x86)\AstroGrep\AstroGrep.exe" /spath="%USERPROFILE%\AppData\Local\Temp\OnboardLogs" /stypes="app*4039*20161114*"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138-14 --locoid 4039 --swversion DE.1.0.8.0 --startMP 204:232973 --initTime 2016-11-14T09:06:10 --startdatetime 2016-11-14T09:07:16 --delay 1 --endMP 204:48948 --enddatetime 2016-11-14T09:42:20 --enforcementcount 1 &gt;&gt;C:\Users\stu\Documents\GitHub\eaglep3-reporting\EC\2016-11-14-refined-times.txt</v>
      </c>
      <c r="AI62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{"issue":{"subject":"","project_id":79,"tracker_id":40,"status_id":1,"priority_id":2,"assigned_to_id":23,"start_date":"2016-11-14","description":"","custom_fields":[{"id":1,"name":"Subdivision","value":"EC"},{"id":4,"name":"Milepost","value":"4.8948"},{"id":17,"name":"Train ID","value":"138-14"},{"id":16,"name":"Locomotive ID","value":"4039"},{"id":130,"name":"Impact","value":""},{"id":150,"name":"Time of Event (Mountain Time)","value":"09:42:20"},{"id":151,"name":"Denver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490</v>
      </c>
      <c r="B63" s="7">
        <v>4046</v>
      </c>
      <c r="C63" s="22" t="s">
        <v>224</v>
      </c>
      <c r="D63" s="22" t="s">
        <v>282</v>
      </c>
      <c r="E63" s="13">
        <v>42688.355856481481</v>
      </c>
      <c r="F63" s="13">
        <v>42688.357430555552</v>
      </c>
      <c r="G63" s="7">
        <v>1</v>
      </c>
      <c r="H63" s="22" t="s">
        <v>665</v>
      </c>
      <c r="I63" s="13">
        <v>42688.385868055557</v>
      </c>
      <c r="J63" s="7">
        <v>0</v>
      </c>
      <c r="K63" s="109" t="str">
        <f t="shared" si="0"/>
        <v>4045/4046</v>
      </c>
      <c r="L63" s="22" t="str">
        <f>VLOOKUP(A63,'Trips&amp;Operators'!$C$1:$E$10000,3,FALSE)</f>
        <v>MAHAN</v>
      </c>
      <c r="M63" s="6">
        <f t="shared" si="1"/>
        <v>2.8437500004656613E-2</v>
      </c>
      <c r="N63" s="7">
        <f t="shared" si="2"/>
        <v>40.950000006705523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07:32:26-700',mode:absolute,to:'2016-11-14 10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4.8000000000000001E-2</v>
      </c>
      <c r="Z63" s="67">
        <f t="shared" si="9"/>
        <v>23.3291</v>
      </c>
      <c r="AA63" s="67">
        <f t="shared" si="10"/>
        <v>23.281100000000002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0139-14</v>
      </c>
      <c r="AE63" s="91" t="str">
        <f t="shared" si="12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63" s="88" t="str">
        <f t="shared" si="13"/>
        <v>"C:\Program Files (x86)\AstroGrep\AstroGrep.exe" /spath="%USERPROFILE%\AppData\Local\Temp\OnboardLogs" /stypes="app*4046*20161114*"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139-14 --locoid 4046 --swversion DE.1.0.8.0 --startMP 204:480 --initTime 2016-11-14T08:32:26 --startdatetime 2016-11-14T08:34:42 --delay 1 --endMP 204:233291 --enddatetime 2016-11-14T09:15:39 --enforcementcount 0 &gt;&gt;C:\Users\stu\Documents\GitHub\eaglep3-reporting\EC\2016-11-14-refined-times.txt</v>
      </c>
      <c r="AI63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{"issue":{"subject":"","project_id":79,"tracker_id":40,"status_id":1,"priority_id":2,"assigned_to_id":23,"start_date":"2016-11-14","description":"","custom_fields":[{"id":1,"name":"Subdivision","value":"EC"},{"id":4,"name":"Milepost","value":"23.3291"},{"id":17,"name":"Train ID","value":"139-14"},{"id":16,"name":"Locomotive ID","value":"4046"},{"id":130,"name":"Impact","value":""},{"id":150,"name":"Time of Event (Mountain Time)","value":"09:15:39"},{"id":151,"name":"Denver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411</v>
      </c>
      <c r="B64" s="7">
        <v>4045</v>
      </c>
      <c r="C64" s="22" t="s">
        <v>224</v>
      </c>
      <c r="D64" s="22" t="s">
        <v>666</v>
      </c>
      <c r="E64" s="13">
        <v>42688.421643518515</v>
      </c>
      <c r="F64" s="13">
        <v>42688.423090277778</v>
      </c>
      <c r="G64" s="7">
        <v>2</v>
      </c>
      <c r="H64" s="22" t="s">
        <v>176</v>
      </c>
      <c r="I64" s="13">
        <v>42688.428113425929</v>
      </c>
      <c r="J64" s="7">
        <v>0</v>
      </c>
      <c r="K64" s="109" t="str">
        <f t="shared" si="0"/>
        <v>4045/4046</v>
      </c>
      <c r="L64" s="22" t="str">
        <f>VLOOKUP(A64,'Trips&amp;Operators'!$C$1:$E$10000,3,FALSE)</f>
        <v>MAHAN</v>
      </c>
      <c r="M64" s="6">
        <f t="shared" si="1"/>
        <v>5.02314815093996E-3</v>
      </c>
      <c r="N64" s="7"/>
      <c r="O64" s="7"/>
      <c r="P64" s="7">
        <f>24*60*SUM($M64:$M65)</f>
        <v>43.500000005587935</v>
      </c>
      <c r="Q64" s="23"/>
      <c r="R64" s="23" t="s">
        <v>813</v>
      </c>
      <c r="S64" s="35">
        <f>SUM(U64:U65)/IF(AG64="EC",12,1)</f>
        <v>0.66666666666666663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09:07:10-700',mode:absolute,to:'2016-11-14 11:16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4" s="52" t="str">
        <f t="shared" si="6"/>
        <v>Y</v>
      </c>
      <c r="X64" s="177">
        <f t="shared" si="7"/>
        <v>1</v>
      </c>
      <c r="Y64" s="67">
        <f t="shared" si="8"/>
        <v>1.8783000000000001</v>
      </c>
      <c r="Z64" s="67">
        <f t="shared" si="9"/>
        <v>1.52E-2</v>
      </c>
      <c r="AA64" s="67">
        <f t="shared" si="10"/>
        <v>1.8631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0140-14</v>
      </c>
      <c r="AE64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64" s="88" t="str">
        <f t="shared" si="13"/>
        <v>"C:\Program Files (x86)\AstroGrep\AstroGrep.exe" /spath="%USERPROFILE%\AppData\Local\Temp\OnboardLogs" /stypes="app*4045*20161114*"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140-14 --locoid 4045 --swversion DE.1.0.8.0 --startMP 204:18783 --initTime 2016-11-14T10:07:10 --startdatetime 2016-11-14T10:09:15 --delay 2 --endMP 204:152 --enddatetime 2016-11-14T10:16:29 --enforcementcount 0 &gt;&gt;C:\Users\stu\Documents\GitHub\eaglep3-reporting\EC\2016-11-14-refined-times.txt</v>
      </c>
      <c r="AI64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service","project_id":79,"tracker_id":40,"status_id":1,"priority_id":2,"assigned_to_id":23,"start_date":"2016-11-14","description":"","custom_fields":[{"id":1,"name":"Subdivision","value":"EC"},{"id":4,"name":"Milepost","value":"0.0152"},{"id":17,"name":"Train ID","value":"140-14"},{"id":16,"name":"Locomotive ID","value":"4045"},{"id":130,"name":"Impact","value":""},{"id":150,"name":"Time of Event (Mountain Time)","value":"10:16:29"},{"id":151,"name":"Denver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411</v>
      </c>
      <c r="B65" s="7">
        <v>4045</v>
      </c>
      <c r="C65" s="22" t="s">
        <v>224</v>
      </c>
      <c r="D65" s="22" t="s">
        <v>329</v>
      </c>
      <c r="E65" s="13">
        <v>42688.390752314815</v>
      </c>
      <c r="F65" s="13">
        <v>42688.391967592594</v>
      </c>
      <c r="G65" s="7">
        <v>1</v>
      </c>
      <c r="H65" s="22" t="s">
        <v>667</v>
      </c>
      <c r="I65" s="13">
        <v>42688.41715277778</v>
      </c>
      <c r="J65" s="7">
        <v>1</v>
      </c>
      <c r="K65" s="109" t="str">
        <f t="shared" si="0"/>
        <v>4045/4046</v>
      </c>
      <c r="L65" s="22" t="str">
        <f>VLOOKUP(A65,'Trips&amp;Operators'!$C$1:$E$10000,3,FALSE)</f>
        <v>MAHAN</v>
      </c>
      <c r="M65" s="6">
        <f t="shared" si="1"/>
        <v>2.5185185186273884E-2</v>
      </c>
      <c r="N65" s="7"/>
      <c r="O65" s="7"/>
      <c r="P65" s="7"/>
      <c r="Q65" s="23"/>
      <c r="R65" s="23"/>
      <c r="S65" s="35"/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8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08:22:41-700',mode:absolute,to:'2016-11-14 11:00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5" s="52" t="str">
        <f t="shared" si="6"/>
        <v>Y</v>
      </c>
      <c r="X65" s="177">
        <f t="shared" si="7"/>
        <v>0</v>
      </c>
      <c r="Y65" s="67">
        <f t="shared" si="8"/>
        <v>23.298300000000001</v>
      </c>
      <c r="Z65" s="67">
        <f t="shared" si="9"/>
        <v>4.7370999999999999</v>
      </c>
      <c r="AA65" s="67">
        <f t="shared" si="10"/>
        <v>18.561199999999999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0140-14</v>
      </c>
      <c r="AE65" s="91" t="str">
        <f t="shared" si="12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65" s="88" t="str">
        <f t="shared" si="13"/>
        <v>"C:\Program Files (x86)\AstroGrep\AstroGrep.exe" /spath="%USERPROFILE%\AppData\Local\Temp\OnboardLogs" /stypes="app*4045*20161114*"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140-14 --locoid 4045 --swversion DE.1.0.8.0 --startMP 204:232983 --initTime 2016-11-14T09:22:41 --startdatetime 2016-11-14T09:24:26 --delay 1 --endMP 204:47371 --enddatetime 2016-11-14T10:00:42 --enforcementcount 1 &gt;&gt;C:\Users\stu\Documents\GitHub\eaglep3-reporting\EC\2016-11-14-refined-times.txt</v>
      </c>
      <c r="AI65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{"issue":{"subject":"","project_id":79,"tracker_id":40,"status_id":1,"priority_id":2,"assigned_to_id":23,"start_date":"2016-11-14","description":"","custom_fields":[{"id":1,"name":"Subdivision","value":"EC"},{"id":4,"name":"Milepost","value":"4.7371"},{"id":17,"name":"Train ID","value":"140-14"},{"id":16,"name":"Locomotive ID","value":"4045"},{"id":130,"name":"Impact","value":""},{"id":150,"name":"Time of Event (Mountain Time)","value":"10:00:42"},{"id":151,"name":"Denver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493</v>
      </c>
      <c r="B66" s="7">
        <v>4016</v>
      </c>
      <c r="C66" s="22" t="s">
        <v>224</v>
      </c>
      <c r="D66" s="22" t="s">
        <v>329</v>
      </c>
      <c r="E66" s="13">
        <v>42688.390752314815</v>
      </c>
      <c r="F66" s="13">
        <v>42688.362303240741</v>
      </c>
      <c r="G66" s="7">
        <v>1</v>
      </c>
      <c r="H66" s="22" t="s">
        <v>667</v>
      </c>
      <c r="I66" s="13">
        <v>42688.36409722222</v>
      </c>
      <c r="J66" s="7">
        <v>1</v>
      </c>
      <c r="K66" s="109" t="str">
        <f t="shared" ref="K66" si="21">IF(ISEVEN(B66),(B66-1)&amp;"/"&amp;B66,B66&amp;"/"&amp;(B66+1))</f>
        <v>4015/4016</v>
      </c>
      <c r="L66" s="22" t="str">
        <f>VLOOKUP(A66,'Trips&amp;Operators'!$C$1:$E$10000,3,FALSE)</f>
        <v>GRASTON</v>
      </c>
      <c r="M66" s="6">
        <f t="shared" ref="M66" si="22">I66-F66</f>
        <v>1.7939814788405783E-3</v>
      </c>
      <c r="N66" s="7"/>
      <c r="O66" s="7"/>
      <c r="P66" s="7">
        <f t="shared" si="2"/>
        <v>2.5833333295304328</v>
      </c>
      <c r="Q66" s="23"/>
      <c r="R66" s="23" t="s">
        <v>817</v>
      </c>
      <c r="S66" s="35">
        <f t="shared" si="3"/>
        <v>0</v>
      </c>
      <c r="T66" s="50" t="str">
        <f t="shared" ref="T66" si="23">IF(ISEVEN(LEFT(AD66,4)),"Southbound","NorthBound")</f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98" t="str">
        <f t="shared" ref="V66" si="24"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https://search-rtdc-monitor-bjffxe2xuh6vdkpspy63sjmuny.us-east-1.es.amazonaws.com/_plugin/kibana/#/discover/Steve-Slow-Train-Analysis-(2080s-and-2083s)?_g=(refreshInterval:(display:Off,section:0,value:0),time:(from:'2016-11-14 08:22:41-700',mode:absolute,to:'2016-11-14 09:44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6" s="52" t="str">
        <f t="shared" ref="W66" si="25">IF(AA66&lt;IF(AG66="EC",23,5.65),"Y","N")</f>
        <v>Y</v>
      </c>
      <c r="X66" s="177">
        <f t="shared" ref="X66:X70" si="26">VALUE(LEFT(AD66,4))-VALUE(LEFT(AD65,4))</f>
        <v>1</v>
      </c>
      <c r="Y66" s="67">
        <f t="shared" ref="Y66" si="27">RIGHT(D66,LEN(D66)-4)/10000</f>
        <v>23.298300000000001</v>
      </c>
      <c r="Z66" s="67">
        <f t="shared" ref="Z66" si="28">RIGHT(H66,LEN(H66)-4)/10000</f>
        <v>4.7370999999999999</v>
      </c>
      <c r="AA66" s="67">
        <f t="shared" ref="AA66" si="29">ABS(Z66-Y66)</f>
        <v>18.561199999999999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ref="AD66" si="30">IF(LEN(A66)=6,"0"&amp;A66,A66)</f>
        <v>0141-14</v>
      </c>
      <c r="AE66" s="91" t="str">
        <f t="shared" ref="AE66" si="31"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66" s="88" t="str">
        <f t="shared" ref="AF66" si="32"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/stypes="app*4016*20161114*" /stext=" 15:.+((SYSTEM_STATE.+slice.+state.+changed )|(ment ac)|(system.+state.+changed )|(\[timeout)|(PRM\|1\|D)|(kpr)|(kdp)|(\|lc)|(penalty))" /e /r /s</v>
      </c>
      <c r="AG66" s="1" t="str">
        <f t="shared" ref="AG66" si="33">IFERROR(IF(VALUE(LEFT(AD66,2))&lt;=2,"EC",IF(OR(VALUE(LEFT(AD66,2))=8,VALUE(LEFT(AD66,2))=18),"NW","Other")),"Other")</f>
        <v>EC</v>
      </c>
      <c r="AH66" s="92" t="str">
        <f t="shared" ref="AH66" si="34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141-14 --locoid 4016 --swversion DE.1.0.8.0 --startMP 204:232983 --initTime 2016-11-14T09:22:41 --startdatetime 2016-11-14T08:41:43 --delay 1 --endMP 204:47371 --enddatetime 2016-11-14T08:44:18 --enforcementcount 1 &gt;&gt;C:\Users\stu\Documents\GitHub\eaglep3-reporting\EC\2016-11-14-refined-times.txt</v>
      </c>
      <c r="AI66" s="119" t="str">
        <f t="shared" ref="AI66" si="35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failure","project_id":79,"tracker_id":40,"status_id":1,"priority_id":2,"assigned_to_id":23,"start_date":"2016-11-14","description":"Slices all rebooted around 08:43 denver time","custom_fields":[{"id":1,"name":"Subdivision","value":"EC"},{"id":4,"name":"Milepost","value":"4.7371"},{"id":17,"name":"Train ID","value":"141-14"},{"id":16,"name":"Locomotive ID","value":"4016"},{"id":130,"name":"Impact","value":"Failed State"},{"id":150,"name":"Time of Event (Mountain Time)","value":"08:44:18"},{"id":151,"name":"Denver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6" s="53" t="s">
        <v>825</v>
      </c>
      <c r="AK66" s="53" t="s">
        <v>128</v>
      </c>
      <c r="AL66" s="53" t="s">
        <v>178</v>
      </c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</row>
    <row r="67" spans="1:91" s="1" customFormat="1" x14ac:dyDescent="0.25">
      <c r="A67" s="37" t="s">
        <v>498</v>
      </c>
      <c r="B67" s="7">
        <v>4015</v>
      </c>
      <c r="C67" s="22" t="s">
        <v>224</v>
      </c>
      <c r="D67" s="22" t="s">
        <v>663</v>
      </c>
      <c r="E67" s="13">
        <v>42688.427523148152</v>
      </c>
      <c r="F67" s="13">
        <v>42688.428067129629</v>
      </c>
      <c r="G67" s="7">
        <v>0</v>
      </c>
      <c r="H67" s="22" t="s">
        <v>668</v>
      </c>
      <c r="I67" s="13">
        <v>42688.434293981481</v>
      </c>
      <c r="J67" s="7">
        <v>0</v>
      </c>
      <c r="K67" s="109" t="str">
        <f t="shared" si="0"/>
        <v>4015/4016</v>
      </c>
      <c r="L67" s="22" t="str">
        <f>VLOOKUP(A67,'Trips&amp;Operators'!$C$1:$E$10000,3,FALSE)</f>
        <v>GRASTON</v>
      </c>
      <c r="M67" s="6">
        <f t="shared" si="1"/>
        <v>6.2268518522614613E-3</v>
      </c>
      <c r="N67" s="7"/>
      <c r="O67" s="7"/>
      <c r="P67" s="7">
        <f>24*60*SUM($M67:$M68)</f>
        <v>36.850000001722947</v>
      </c>
      <c r="Q67" s="23"/>
      <c r="R67" s="23" t="s">
        <v>813</v>
      </c>
      <c r="S67" s="35">
        <f>SUM(U67:U68)/IF(AG67="EC",12,1)</f>
        <v>0.58333333333333337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09:15:38-700',mode:absolute,to:'2016-11-14 11:25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52" t="str">
        <f t="shared" si="6"/>
        <v>Y</v>
      </c>
      <c r="X67" s="177">
        <f t="shared" si="26"/>
        <v>1</v>
      </c>
      <c r="Y67" s="67">
        <f t="shared" si="8"/>
        <v>1.8774</v>
      </c>
      <c r="Z67" s="67">
        <f t="shared" si="9"/>
        <v>0.11899999999999999</v>
      </c>
      <c r="AA67" s="67">
        <f t="shared" si="10"/>
        <v>1.7584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0142-14</v>
      </c>
      <c r="AE67" s="91" t="str">
        <f t="shared" si="12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67" s="88" t="str">
        <f t="shared" si="13"/>
        <v>"C:\Program Files (x86)\AstroGrep\AstroGrep.exe" /spath="%USERPROFILE%\AppData\Local\Temp\OnboardLogs" /stypes="app*4015*20161114*"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142-14 --locoid 4015 --swversion DE.1.0.8.0 --startMP 204:18774 --initTime 2016-11-14T10:15:38 --startdatetime 2016-11-14T10:16:25 --delay 0 --endMP 204:1190 --enddatetime 2016-11-14T10:25:23 --enforcementcount 0 &gt;&gt;C:\Users\stu\Documents\GitHub\eaglep3-reporting\EC\2016-11-14-refined-times.txt</v>
      </c>
      <c r="AI67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service","project_id":79,"tracker_id":40,"status_id":1,"priority_id":2,"assigned_to_id":23,"start_date":"2016-11-14","description":"","custom_fields":[{"id":1,"name":"Subdivision","value":"EC"},{"id":4,"name":"Milepost","value":"0.119"},{"id":17,"name":"Train ID","value":"142-14"},{"id":16,"name":"Locomotive ID","value":"4015"},{"id":130,"name":"Impact","value":""},{"id":150,"name":"Time of Event (Mountain Time)","value":"10:25:23"},{"id":151,"name":"Denver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498</v>
      </c>
      <c r="B68" s="7">
        <v>4015</v>
      </c>
      <c r="C68" s="22" t="s">
        <v>224</v>
      </c>
      <c r="D68" s="22" t="s">
        <v>347</v>
      </c>
      <c r="E68" s="13">
        <v>42688.401087962964</v>
      </c>
      <c r="F68" s="13">
        <v>42688.40184027778</v>
      </c>
      <c r="G68" s="7">
        <v>1</v>
      </c>
      <c r="H68" s="22" t="s">
        <v>669</v>
      </c>
      <c r="I68" s="13">
        <v>42688.421203703707</v>
      </c>
      <c r="J68" s="7">
        <v>0</v>
      </c>
      <c r="K68" s="109" t="str">
        <f t="shared" si="0"/>
        <v>4015/4016</v>
      </c>
      <c r="L68" s="22" t="str">
        <f>VLOOKUP(A68,'Trips&amp;Operators'!$C$1:$E$10000,3,FALSE)</f>
        <v>GRASTON</v>
      </c>
      <c r="M68" s="6">
        <f t="shared" si="1"/>
        <v>1.9363425926712807E-2</v>
      </c>
      <c r="N68" s="7"/>
      <c r="O68" s="7"/>
      <c r="P68" s="7"/>
      <c r="Q68" s="23"/>
      <c r="R68" s="23"/>
      <c r="S68" s="35"/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7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08:37:34-700',mode:absolute,to:'2016-11-14 11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8" s="52" t="str">
        <f t="shared" si="6"/>
        <v>Y</v>
      </c>
      <c r="X68" s="177">
        <f t="shared" si="26"/>
        <v>0</v>
      </c>
      <c r="Y68" s="67">
        <f t="shared" si="8"/>
        <v>23.2971</v>
      </c>
      <c r="Z68" s="67">
        <f t="shared" si="9"/>
        <v>5.1273</v>
      </c>
      <c r="AA68" s="67">
        <f t="shared" si="10"/>
        <v>18.169800000000002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0142-14</v>
      </c>
      <c r="AE68" s="91" t="str">
        <f t="shared" si="12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68" s="88" t="str">
        <f t="shared" si="13"/>
        <v>"C:\Program Files (x86)\AstroGrep\AstroGrep.exe" /spath="%USERPROFILE%\AppData\Local\Temp\OnboardLogs" /stypes="app*4015*20161114*"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142-14 --locoid 4015 --swversion DE.1.0.8.0 --startMP 204:232971 --initTime 2016-11-14T09:37:34 --startdatetime 2016-11-14T09:38:39 --delay 1 --endMP 204:51273 --enddatetime 2016-11-14T10:06:32 --enforcementcount 0 &gt;&gt;C:\Users\stu\Documents\GitHub\eaglep3-reporting\EC\2016-11-14-refined-times.txt</v>
      </c>
      <c r="AI68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{"issue":{"subject":"","project_id":79,"tracker_id":40,"status_id":1,"priority_id":2,"assigned_to_id":23,"start_date":"2016-11-14","description":"","custom_fields":[{"id":1,"name":"Subdivision","value":"EC"},{"id":4,"name":"Milepost","value":"5.1273"},{"id":17,"name":"Train ID","value":"142-14"},{"id":16,"name":"Locomotive ID","value":"4015"},{"id":130,"name":"Impact","value":""},{"id":150,"name":"Time of Event (Mountain Time)","value":"10:06:32"},{"id":151,"name":"Denver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495</v>
      </c>
      <c r="B69" s="7">
        <v>4018</v>
      </c>
      <c r="C69" s="22" t="s">
        <v>224</v>
      </c>
      <c r="D69" s="22" t="s">
        <v>199</v>
      </c>
      <c r="E69" s="13">
        <v>42688.375578703701</v>
      </c>
      <c r="F69" s="13">
        <v>42688.376944444448</v>
      </c>
      <c r="G69" s="7">
        <v>0</v>
      </c>
      <c r="H69" s="22" t="s">
        <v>264</v>
      </c>
      <c r="I69" s="13">
        <v>42688.402511574073</v>
      </c>
      <c r="J69" s="7">
        <v>0</v>
      </c>
      <c r="K69" s="109" t="str">
        <f t="shared" si="0"/>
        <v>4017/4018</v>
      </c>
      <c r="L69" s="22" t="str">
        <f>VLOOKUP(A69,'Trips&amp;Operators'!$C$1:$E$10000,3,FALSE)</f>
        <v>HAITHCOX</v>
      </c>
      <c r="M69" s="6">
        <f t="shared" si="1"/>
        <v>2.5567129625414964E-2</v>
      </c>
      <c r="N69" s="7">
        <f t="shared" si="2"/>
        <v>36.816666660597548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08:00:50-700',mode:absolute,to:'2016-11-14 10:39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52" t="str">
        <f t="shared" si="6"/>
        <v>N</v>
      </c>
      <c r="X69" s="177">
        <f t="shared" si="26"/>
        <v>1</v>
      </c>
      <c r="Y69" s="67">
        <f t="shared" si="8"/>
        <v>4.4699999999999997E-2</v>
      </c>
      <c r="Z69" s="67">
        <f t="shared" si="9"/>
        <v>23.330200000000001</v>
      </c>
      <c r="AA69" s="67">
        <f t="shared" si="10"/>
        <v>23.285500000000003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0143-14</v>
      </c>
      <c r="AE69" s="91" t="str">
        <f t="shared" si="12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69" s="88" t="str">
        <f t="shared" si="13"/>
        <v>"C:\Program Files (x86)\AstroGrep\AstroGrep.exe" /spath="%USERPROFILE%\AppData\Local\Temp\OnboardLogs" /stypes="app*4018*20161114*" /stext=" 16:.+((SYSTEM_STATE.+slice.+state.+changed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143-14 --locoid 4018 --swversion DE.1.0.8.0 --startMP 204:447 --initTime 2016-11-14T09:00:50 --startdatetime 2016-11-14T09:02:48 --delay 0 --endMP 204:233302 --enddatetime 2016-11-14T09:39:37 --enforcementcount 0 &gt;&gt;C:\Users\stu\Documents\GitHub\eaglep3-reporting\EC\2016-11-14-refined-times.txt</v>
      </c>
      <c r="AI69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{"issue":{"subject":"","project_id":79,"tracker_id":40,"status_id":1,"priority_id":2,"assigned_to_id":23,"start_date":"2016-11-14","description":"","custom_fields":[{"id":1,"name":"Subdivision","value":"EC"},{"id":4,"name":"Milepost","value":"23.3302"},{"id":17,"name":"Train ID","value":"143-14"},{"id":16,"name":"Locomotive ID","value":"4018"},{"id":130,"name":"Impact","value":""},{"id":150,"name":"Time of Event (Mountain Time)","value":"09:39:37"},{"id":151,"name":"Denver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502</v>
      </c>
      <c r="B70" s="7">
        <v>4017</v>
      </c>
      <c r="C70" s="22" t="s">
        <v>224</v>
      </c>
      <c r="D70" s="22" t="s">
        <v>670</v>
      </c>
      <c r="E70" s="13">
        <v>42688.441053240742</v>
      </c>
      <c r="F70" s="13">
        <v>42688.441944444443</v>
      </c>
      <c r="G70" s="7">
        <v>1</v>
      </c>
      <c r="H70" s="22" t="s">
        <v>310</v>
      </c>
      <c r="I70" s="13">
        <v>42688.44604166667</v>
      </c>
      <c r="J70" s="7">
        <v>0</v>
      </c>
      <c r="K70" s="109" t="str">
        <f t="shared" si="0"/>
        <v>4017/4018</v>
      </c>
      <c r="L70" s="22" t="str">
        <f>VLOOKUP(A70,'Trips&amp;Operators'!$C$1:$E$10000,3,FALSE)</f>
        <v>HAITHCOX</v>
      </c>
      <c r="M70" s="6">
        <f t="shared" si="1"/>
        <v>4.0972222268464975E-3</v>
      </c>
      <c r="N70" s="7"/>
      <c r="O70" s="7"/>
      <c r="P70" s="7">
        <f>24*60*SUM($M70:$M71)</f>
        <v>41.766666675684974</v>
      </c>
      <c r="Q70" s="23"/>
      <c r="R70" s="23" t="s">
        <v>813</v>
      </c>
      <c r="S70" s="35">
        <f>SUM(U70:U71)/IF(AG70="EC",12,1)</f>
        <v>0.66666666666666663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09:35:07-700',mode:absolute,to:'2016-11-14 11:42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52" t="str">
        <f t="shared" si="6"/>
        <v>Y</v>
      </c>
      <c r="X70" s="177">
        <f t="shared" si="26"/>
        <v>1</v>
      </c>
      <c r="Y70" s="67">
        <f t="shared" si="8"/>
        <v>1.8711</v>
      </c>
      <c r="Z70" s="67">
        <f t="shared" si="9"/>
        <v>1.54E-2</v>
      </c>
      <c r="AA70" s="67">
        <f t="shared" si="10"/>
        <v>1.8556999999999999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0144-14</v>
      </c>
      <c r="AE70" s="91" t="str">
        <f t="shared" si="12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70" s="88" t="str">
        <f t="shared" si="13"/>
        <v>"C:\Program Files (x86)\AstroGrep\AstroGrep.exe" /spath="%USERPROFILE%\AppData\Local\Temp\OnboardLogs" /stypes="app*4017*20161114*"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144-14 --locoid 4017 --swversion DE.1.0.8.0 --startMP 204:18711 --initTime 2016-11-14T10:35:07 --startdatetime 2016-11-14T10:36:24 --delay 1 --endMP 204:154 --enddatetime 2016-11-14T10:42:18 --enforcementcount 0 &gt;&gt;C:\Users\stu\Documents\GitHub\eaglep3-reporting\EC\2016-11-14-refined-times.txt</v>
      </c>
      <c r="AI70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service","project_id":79,"tracker_id":40,"status_id":1,"priority_id":2,"assigned_to_id":23,"start_date":"2016-11-14","description":"","custom_fields":[{"id":1,"name":"Subdivision","value":"EC"},{"id":4,"name":"Milepost","value":"0.0154"},{"id":17,"name":"Train ID","value":"144-14"},{"id":16,"name":"Locomotive ID","value":"4017"},{"id":130,"name":"Impact","value":""},{"id":150,"name":"Time of Event (Mountain Time)","value":"10:42:18"},{"id":151,"name":"Denver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502</v>
      </c>
      <c r="B71" s="7">
        <v>4017</v>
      </c>
      <c r="C71" s="22" t="s">
        <v>224</v>
      </c>
      <c r="D71" s="22" t="s">
        <v>318</v>
      </c>
      <c r="E71" s="13">
        <v>42688.409837962965</v>
      </c>
      <c r="F71" s="13">
        <v>42688.410821759258</v>
      </c>
      <c r="G71" s="7">
        <v>1</v>
      </c>
      <c r="H71" s="22" t="s">
        <v>671</v>
      </c>
      <c r="I71" s="13">
        <v>42688.435729166667</v>
      </c>
      <c r="J71" s="7">
        <v>0</v>
      </c>
      <c r="K71" s="109" t="str">
        <f t="shared" si="0"/>
        <v>4017/4018</v>
      </c>
      <c r="L71" s="22" t="str">
        <f>VLOOKUP(A71,'Trips&amp;Operators'!$C$1:$E$10000,3,FALSE)</f>
        <v>HAITHCOX</v>
      </c>
      <c r="M71" s="6">
        <f t="shared" si="1"/>
        <v>2.4907407409045845E-2</v>
      </c>
      <c r="N71" s="7"/>
      <c r="O71" s="7"/>
      <c r="P71" s="7"/>
      <c r="Q71" s="23"/>
      <c r="R71" s="23"/>
      <c r="S71" s="35"/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8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08:50:10-700',mode:absolute,to:'2016-11-14 11:27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 t="shared" si="6"/>
        <v>Y</v>
      </c>
      <c r="X71" s="177">
        <f t="shared" si="7"/>
        <v>0</v>
      </c>
      <c r="Y71" s="67">
        <f t="shared" si="8"/>
        <v>23.297599999999999</v>
      </c>
      <c r="Z71" s="67">
        <f t="shared" si="9"/>
        <v>4.6848999999999998</v>
      </c>
      <c r="AA71" s="67">
        <f t="shared" si="10"/>
        <v>18.6127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0144-14</v>
      </c>
      <c r="AE71" s="91" t="str">
        <f t="shared" si="12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71" s="88" t="str">
        <f t="shared" si="13"/>
        <v>"C:\Program Files (x86)\AstroGrep\AstroGrep.exe" /spath="%USERPROFILE%\AppData\Local\Temp\OnboardLogs" /stypes="app*4017*20161114*"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144-14 --locoid 4017 --swversion DE.1.0.8.0 --startMP 204:232976 --initTime 2016-11-14T09:50:10 --startdatetime 2016-11-14T09:51:35 --delay 1 --endMP 204:46849 --enddatetime 2016-11-14T10:27:27 --enforcementcount 0 &gt;&gt;C:\Users\stu\Documents\GitHub\eaglep3-reporting\EC\2016-11-14-refined-times.txt</v>
      </c>
      <c r="AI71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{"issue":{"subject":"","project_id":79,"tracker_id":40,"status_id":1,"priority_id":2,"assigned_to_id":23,"start_date":"2016-11-14","description":"","custom_fields":[{"id":1,"name":"Subdivision","value":"EC"},{"id":4,"name":"Milepost","value":"4.6849"},{"id":17,"name":"Train ID","value":"144-14"},{"id":16,"name":"Locomotive ID","value":"4017"},{"id":130,"name":"Impact","value":""},{"id":150,"name":"Time of Event (Mountain Time)","value":"10:27:27"},{"id":151,"name":"Denver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497</v>
      </c>
      <c r="B72" s="7">
        <v>4053</v>
      </c>
      <c r="C72" s="22" t="s">
        <v>224</v>
      </c>
      <c r="D72" s="22" t="s">
        <v>324</v>
      </c>
      <c r="E72" s="13">
        <v>42688.384930555556</v>
      </c>
      <c r="F72" s="13">
        <v>42688.38621527778</v>
      </c>
      <c r="G72" s="7">
        <v>1</v>
      </c>
      <c r="H72" s="22" t="s">
        <v>672</v>
      </c>
      <c r="I72" s="13">
        <v>42688.410810185182</v>
      </c>
      <c r="J72" s="7">
        <v>0</v>
      </c>
      <c r="K72" s="109" t="str">
        <f t="shared" si="0"/>
        <v>4053/4054</v>
      </c>
      <c r="L72" s="22" t="str">
        <f>VLOOKUP(A72,'Trips&amp;Operators'!$C$1:$E$10000,3,FALSE)</f>
        <v>ROBINSON</v>
      </c>
      <c r="M72" s="6">
        <f t="shared" si="1"/>
        <v>2.4594907401478849E-2</v>
      </c>
      <c r="N72" s="7">
        <f t="shared" si="2"/>
        <v>35.416666658129543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08:14:18-700',mode:absolute,to:'2016-11-14 10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4.4400000000000002E-2</v>
      </c>
      <c r="Z72" s="67">
        <f t="shared" si="9"/>
        <v>23.332599999999999</v>
      </c>
      <c r="AA72" s="67">
        <f t="shared" si="10"/>
        <v>23.2882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0145-14</v>
      </c>
      <c r="AE72" s="91" t="str">
        <f t="shared" si="12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72" s="88" t="str">
        <f t="shared" si="13"/>
        <v>"C:\Program Files (x86)\AstroGrep\AstroGrep.exe" /spath="%USERPROFILE%\AppData\Local\Temp\OnboardLogs" /stypes="app*4053*20161114*" /stext=" 16:.+((SYSTEM_STATE.+slice.+state.+changed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145-14 --locoid 4053 --swversion DE.1.0.8.0 --startMP 204:444 --initTime 2016-11-14T09:14:18 --startdatetime 2016-11-14T09:16:09 --delay 1 --endMP 204:233326 --enddatetime 2016-11-14T09:51:34 --enforcementcount 0 &gt;&gt;C:\Users\stu\Documents\GitHub\eaglep3-reporting\EC\2016-11-14-refined-times.txt</v>
      </c>
      <c r="AI72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{"issue":{"subject":"","project_id":79,"tracker_id":40,"status_id":1,"priority_id":2,"assigned_to_id":23,"start_date":"2016-11-14","description":"","custom_fields":[{"id":1,"name":"Subdivision","value":"EC"},{"id":4,"name":"Milepost","value":"23.3326"},{"id":17,"name":"Train ID","value":"145-14"},{"id":16,"name":"Locomotive ID","value":"4053"},{"id":130,"name":"Impact","value":""},{"id":150,"name":"Time of Event (Mountain Time)","value":"09:51:34"},{"id":151,"name":"Denver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504</v>
      </c>
      <c r="B73" s="7">
        <v>4054</v>
      </c>
      <c r="C73" s="22" t="s">
        <v>224</v>
      </c>
      <c r="D73" s="22" t="s">
        <v>673</v>
      </c>
      <c r="E73" s="13">
        <v>42688.420740740738</v>
      </c>
      <c r="F73" s="13">
        <v>42688.421747685185</v>
      </c>
      <c r="G73" s="7">
        <v>1</v>
      </c>
      <c r="H73" s="22" t="s">
        <v>348</v>
      </c>
      <c r="I73" s="13">
        <v>42688.421759259261</v>
      </c>
      <c r="J73" s="7">
        <v>0</v>
      </c>
      <c r="K73" s="109" t="str">
        <f t="shared" si="0"/>
        <v>4053/4054</v>
      </c>
      <c r="L73" s="22" t="str">
        <f>VLOOKUP(A73,'Trips&amp;Operators'!$C$1:$E$10000,3,FALSE)</f>
        <v>ROBINSON</v>
      </c>
      <c r="M73" s="6">
        <f t="shared" si="1"/>
        <v>1.1574076779652387E-5</v>
      </c>
      <c r="N73" s="7"/>
      <c r="O73" s="7"/>
      <c r="P73" s="7">
        <v>1</v>
      </c>
      <c r="Q73" s="23"/>
      <c r="R73" s="23" t="s">
        <v>815</v>
      </c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09:05:52-700',mode:absolute,to:'2016-11-14 11:07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23.3005</v>
      </c>
      <c r="Z73" s="67">
        <f t="shared" si="9"/>
        <v>1.6899999999999998E-2</v>
      </c>
      <c r="AA73" s="67">
        <f t="shared" si="10"/>
        <v>23.2836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0146-14</v>
      </c>
      <c r="AE73" s="91" t="str">
        <f t="shared" si="12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73" s="88" t="str">
        <f t="shared" si="13"/>
        <v>"C:\Program Files (x86)\AstroGrep\AstroGrep.exe" /spath="%USERPROFILE%\AppData\Local\Temp\OnboardLogs" /stypes="app*4054*20161114*"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146-14 --locoid 4054 --swversion DE.1.0.8.0 --startMP 204:233005 --initTime 2016-11-14T10:05:52 --startdatetime 2016-11-14T10:07:19 --delay 1 --endMP 204:169 --enddatetime 2016-11-14T10:07:20 --enforcementcount 0 &gt;&gt;C:\Users\stu\Documents\GitHub\eaglep3-reporting\EC\2016-11-14-refined-times.txt</v>
      </c>
      <c r="AI73" s="119" t="str">
        <f t="shared" si="18"/>
        <v>echo {"issue":{"subject":"Hour-long Onboard Wi-MAX outage","project_id":79,"tracker_id":40,"status_id":1,"priority_id":2,"assigned_to_id":23,"start_date":"2016-11-14","description":"An hour-long outage. Probably a CCU or onboard network issue? http://stevetu21.github.io/eaglep3/load_kml.html?kml=http://rtdc.gmaps-snips.s3.amazonaws.com/3cadb989-4167-491e-a121-3ecfad387986.kml","custom_fields":[{"id":1,"name":"Subdivision","value":"EC"},{"id":4,"name":"Milepost","value":"0.0169"},{"id":17,"name":"Train ID","value":"146-14"},{"id":16,"name":"Locomotive ID","value":"4054"},{"id":130,"name":"Impact","value":"Unexpected Cut-Out or Disengaged"},{"id":150,"name":"Time of Event (Mountain Time)","value":"10:07:20"},{"id":151,"name":"Denver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73" t="s">
        <v>814</v>
      </c>
      <c r="AK73" s="53" t="s">
        <v>131</v>
      </c>
      <c r="AL73" s="53" t="s">
        <v>138</v>
      </c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412</v>
      </c>
      <c r="B74" s="7">
        <v>4029</v>
      </c>
      <c r="C74" s="22" t="s">
        <v>224</v>
      </c>
      <c r="D74" s="22" t="s">
        <v>312</v>
      </c>
      <c r="E74" s="13">
        <v>42688.399930555555</v>
      </c>
      <c r="F74" s="13">
        <v>42688.40353009259</v>
      </c>
      <c r="G74" s="7">
        <v>3</v>
      </c>
      <c r="H74" s="22" t="s">
        <v>328</v>
      </c>
      <c r="I74" s="13">
        <v>42688.432546296295</v>
      </c>
      <c r="J74" s="7">
        <v>0</v>
      </c>
      <c r="K74" s="109" t="str">
        <f t="shared" si="0"/>
        <v>4029/4030</v>
      </c>
      <c r="L74" s="22" t="str">
        <f>VLOOKUP(A74,'Trips&amp;Operators'!$C$1:$E$10000,3,FALSE)</f>
        <v>JOHNSON</v>
      </c>
      <c r="M74" s="6">
        <f t="shared" si="1"/>
        <v>2.9016203705396038E-2</v>
      </c>
      <c r="N74" s="7">
        <f t="shared" si="2"/>
        <v>41.783333335770294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08:35:54-700',mode:absolute,to:'2016-11-14 11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4.6600000000000003E-2</v>
      </c>
      <c r="Z74" s="67">
        <f t="shared" si="9"/>
        <v>23.331499999999998</v>
      </c>
      <c r="AA74" s="67">
        <f t="shared" si="10"/>
        <v>23.284899999999997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0147-14</v>
      </c>
      <c r="AE74" s="91" t="str">
        <f t="shared" si="12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74" s="88" t="str">
        <f t="shared" si="13"/>
        <v>"C:\Program Files (x86)\AstroGrep\AstroGrep.exe" /spath="%USERPROFILE%\AppData\Local\Temp\OnboardLogs" /stypes="app*4029*20161114*"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147-14 --locoid 4029 --swversion DE.1.0.8.0 --startMP 204:466 --initTime 2016-11-14T09:35:54 --startdatetime 2016-11-14T09:41:05 --delay 3 --endMP 204:233315 --enddatetime 2016-11-14T10:22:52 --enforcementcount 0 &gt;&gt;C:\Users\stu\Documents\GitHub\eaglep3-reporting\EC\2016-11-14-refined-times.txt</v>
      </c>
      <c r="AI74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{"issue":{"subject":"","project_id":79,"tracker_id":40,"status_id":1,"priority_id":2,"assigned_to_id":23,"start_date":"2016-11-14","description":"","custom_fields":[{"id":1,"name":"Subdivision","value":"EC"},{"id":4,"name":"Milepost","value":"23.3315"},{"id":17,"name":"Train ID","value":"147-14"},{"id":16,"name":"Locomotive ID","value":"4029"},{"id":130,"name":"Impact","value":""},{"id":150,"name":"Time of Event (Mountain Time)","value":"10:22:52"},{"id":151,"name":"Denver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414</v>
      </c>
      <c r="B75" s="7">
        <v>4030</v>
      </c>
      <c r="C75" s="22" t="s">
        <v>224</v>
      </c>
      <c r="D75" s="22" t="s">
        <v>317</v>
      </c>
      <c r="E75" s="13">
        <v>42688.433912037035</v>
      </c>
      <c r="F75" s="13">
        <v>42688.435208333336</v>
      </c>
      <c r="G75" s="7">
        <v>1</v>
      </c>
      <c r="H75" s="22" t="s">
        <v>674</v>
      </c>
      <c r="I75" s="13">
        <v>42688.454988425925</v>
      </c>
      <c r="J75" s="7">
        <v>0</v>
      </c>
      <c r="K75" s="109" t="str">
        <f t="shared" si="0"/>
        <v>4029/4030</v>
      </c>
      <c r="L75" s="22" t="str">
        <f>VLOOKUP(A75,'Trips&amp;Operators'!$C$1:$E$10000,3,FALSE)</f>
        <v>JOHNSON</v>
      </c>
      <c r="M75" s="6">
        <f t="shared" si="1"/>
        <v>1.9780092588916887E-2</v>
      </c>
      <c r="N75" s="7"/>
      <c r="O75" s="7"/>
      <c r="P75" s="7">
        <f>24*60*SUM($M75:$M76)</f>
        <v>45.499999991152436</v>
      </c>
      <c r="Q75" s="23"/>
      <c r="R75" s="23" t="s">
        <v>813</v>
      </c>
      <c r="S75" s="35">
        <f>SUM(U75:U76)/IF(AG75="EC",12,1)</f>
        <v>0.66666666666666663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4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09:24:50-700',mode:absolute,to:'2016-11-14 11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5" s="52" t="str">
        <f t="shared" si="6"/>
        <v>Y</v>
      </c>
      <c r="X75" s="177">
        <f t="shared" si="7"/>
        <v>1</v>
      </c>
      <c r="Y75" s="67">
        <f t="shared" si="8"/>
        <v>23.300799999999999</v>
      </c>
      <c r="Z75" s="67">
        <f t="shared" si="9"/>
        <v>6.2302</v>
      </c>
      <c r="AA75" s="67">
        <f t="shared" si="10"/>
        <v>17.070599999999999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0148-14</v>
      </c>
      <c r="AE75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75" s="88" t="str">
        <f t="shared" si="13"/>
        <v>"C:\Program Files (x86)\AstroGrep\AstroGrep.exe" /spath="%USERPROFILE%\AppData\Local\Temp\OnboardLogs" /stypes="app*4030*20161114*"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148-14 --locoid 4030 --swversion DE.1.0.8.0 --startMP 204:233008 --initTime 2016-11-14T10:24:50 --startdatetime 2016-11-14T10:26:42 --delay 1 --endMP 204:62302 --enddatetime 2016-11-14T10:55:11 --enforcementcount 0 &gt;&gt;C:\Users\stu\Documents\GitHub\eaglep3-reporting\EC\2016-11-14-refined-times.txt</v>
      </c>
      <c r="AI75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service","project_id":79,"tracker_id":40,"status_id":1,"priority_id":2,"assigned_to_id":23,"start_date":"2016-11-14","description":"","custom_fields":[{"id":1,"name":"Subdivision","value":"EC"},{"id":4,"name":"Milepost","value":"6.2302"},{"id":17,"name":"Train ID","value":"148-14"},{"id":16,"name":"Locomotive ID","value":"4030"},{"id":130,"name":"Impact","value":""},{"id":150,"name":"Time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414</v>
      </c>
      <c r="B76" s="7">
        <v>4030</v>
      </c>
      <c r="C76" s="22" t="s">
        <v>224</v>
      </c>
      <c r="D76" s="22" t="s">
        <v>675</v>
      </c>
      <c r="E76" s="13">
        <v>42688.4606712963</v>
      </c>
      <c r="F76" s="13">
        <v>42688.461342592593</v>
      </c>
      <c r="G76" s="7">
        <v>0</v>
      </c>
      <c r="H76" s="22" t="s">
        <v>676</v>
      </c>
      <c r="I76" s="13">
        <v>42688.47315972222</v>
      </c>
      <c r="J76" s="7">
        <v>2</v>
      </c>
      <c r="K76" s="109" t="str">
        <f t="shared" si="0"/>
        <v>4029/4030</v>
      </c>
      <c r="L76" s="22" t="str">
        <f>VLOOKUP(A76,'Trips&amp;Operators'!$C$1:$E$10000,3,FALSE)</f>
        <v>JOHNSON</v>
      </c>
      <c r="M76" s="6">
        <f t="shared" si="1"/>
        <v>1.1817129627161194E-2</v>
      </c>
      <c r="N76" s="7"/>
      <c r="O76" s="7"/>
      <c r="P76" s="7"/>
      <c r="Q76" s="23"/>
      <c r="R76" s="23"/>
      <c r="S76" s="35"/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4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10:03:22-700',mode:absolute,to:'2016-11-14 12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6" s="52" t="str">
        <f t="shared" si="6"/>
        <v>Y</v>
      </c>
      <c r="X76" s="177">
        <f t="shared" si="7"/>
        <v>0</v>
      </c>
      <c r="Y76" s="67">
        <f t="shared" si="8"/>
        <v>4.4325000000000001</v>
      </c>
      <c r="Z76" s="67">
        <f t="shared" si="9"/>
        <v>1.1599999999999999E-2</v>
      </c>
      <c r="AA76" s="67">
        <f t="shared" si="10"/>
        <v>4.4209000000000005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0148-14</v>
      </c>
      <c r="AE76" s="91" t="str">
        <f t="shared" si="12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76" s="88" t="str">
        <f t="shared" si="13"/>
        <v>"C:\Program Files (x86)\AstroGrep\AstroGrep.exe" /spath="%USERPROFILE%\AppData\Local\Temp\OnboardLogs" /stypes="app*4030*20161114*"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148-14 --locoid 4030 --swversion DE.1.0.8.0 --startMP 204:44325 --initTime 2016-11-14T11:03:22 --startdatetime 2016-11-14T11:04:20 --delay 0 --endMP 204:116 --enddatetime 2016-11-14T11:21:21 --enforcementcount 2 &gt;&gt;C:\Users\stu\Documents\GitHub\eaglep3-reporting\EC\2016-11-14-refined-times.txt</v>
      </c>
      <c r="AI76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{"issue":{"subject":"","project_id":79,"tracker_id":40,"status_id":1,"priority_id":2,"assigned_to_id":23,"start_date":"2016-11-14","description":"","custom_fields":[{"id":1,"name":"Subdivision","value":"EC"},{"id":4,"name":"Milepost","value":"0.0116"},{"id":17,"name":"Train ID","value":"148-14"},{"id":16,"name":"Locomotive ID","value":"4030"},{"id":130,"name":"Impact","value":""},{"id":150,"name":"Time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501</v>
      </c>
      <c r="B77" s="7">
        <v>4009</v>
      </c>
      <c r="C77" s="22" t="s">
        <v>224</v>
      </c>
      <c r="D77" s="22" t="s">
        <v>275</v>
      </c>
      <c r="E77" s="13">
        <v>42688.404293981483</v>
      </c>
      <c r="F77" s="13">
        <v>42688.409166666665</v>
      </c>
      <c r="G77" s="7">
        <v>0</v>
      </c>
      <c r="H77" s="22" t="s">
        <v>276</v>
      </c>
      <c r="I77" s="13">
        <v>42688.440393518518</v>
      </c>
      <c r="J77" s="7">
        <v>0</v>
      </c>
      <c r="K77" s="109" t="str">
        <f t="shared" si="0"/>
        <v>4009/4010</v>
      </c>
      <c r="L77" s="22" t="str">
        <f>VLOOKUP(A77,'Trips&amp;Operators'!$C$1:$E$10000,3,FALSE)</f>
        <v>ISHMAEL</v>
      </c>
      <c r="M77" s="6">
        <f t="shared" si="1"/>
        <v>3.1226851853716653E-2</v>
      </c>
      <c r="N77" s="7">
        <f t="shared" si="2"/>
        <v>44.96666666935198</v>
      </c>
      <c r="O77" s="7"/>
      <c r="P77" s="7"/>
      <c r="Q77" s="23"/>
      <c r="R77" s="23"/>
      <c r="S77" s="35">
        <f t="shared" si="3"/>
        <v>1</v>
      </c>
      <c r="T77" s="50" t="str">
        <f t="shared" si="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https://search-rtdc-monitor-bjffxe2xuh6vdkpspy63sjmuny.us-east-1.es.amazonaws.com/_plugin/kibana/#/discover/Steve-Slow-Train-Analysis-(2080s-and-2083s)?_g=(refreshInterval:(display:Off,section:0,value:0),time:(from:'2016-11-14 08:42:11-700',mode:absolute,to:'2016-11-14 11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 t="shared" si="6"/>
        <v>N</v>
      </c>
      <c r="X77" s="177">
        <f t="shared" si="7"/>
        <v>1</v>
      </c>
      <c r="Y77" s="67">
        <f t="shared" si="8"/>
        <v>4.7300000000000002E-2</v>
      </c>
      <c r="Z77" s="67">
        <f t="shared" si="9"/>
        <v>23.330300000000001</v>
      </c>
      <c r="AA77" s="67">
        <f t="shared" si="10"/>
        <v>23.283000000000001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11"/>
        <v>0149-14</v>
      </c>
      <c r="AE77" s="91" t="str">
        <f t="shared" si="12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77" s="88" t="str">
        <f t="shared" si="13"/>
        <v>"C:\Program Files (x86)\AstroGrep\AstroGrep.exe" /spath="%USERPROFILE%\AppData\Local\Temp\OnboardLogs" /stypes="app*4009*20161114*" /stext=" 17:.+((SYSTEM_STATE.+slice.+state.+changed )|(ment ac)|(system.+state.+changed )|(\[timeout)|(PRM\|1\|D)|(kpr)|(kdp)|(\|lc)|(penalty))" /e /r /s</v>
      </c>
      <c r="AG77" s="1" t="str">
        <f t="shared" si="14"/>
        <v>EC</v>
      </c>
      <c r="AH77" s="92" t="str">
        <f t="shared" si="17"/>
        <v>"%USERPROFILE%\Documents\GitHub\eaglep3\Utilities\RefineRTDCRunTimes.py" --tripid 149-14 --locoid 4009 --swversion DE.1.0.8.0 --startMP 204:473 --initTime 2016-11-14T09:42:11 --startdatetime 2016-11-14T09:49:12 --delay 0 --endMP 204:233303 --enddatetime 2016-11-14T10:34:10 --enforcementcount 0 &gt;&gt;C:\Users\stu\Documents\GitHub\eaglep3-reporting\EC\2016-11-14-refined-times.txt</v>
      </c>
      <c r="AI77" s="119" t="str">
        <f t="shared" si="18"/>
        <v>echo {"issue":{"subject":"","project_id":79,"tracker_id":40,"status_id":1,"priority_id":2,"assigned_to_id":23,"start_date":"2016-11-14","description":"","custom_fields":[{"id":1,"name":"Subdivision","value":"EC"},{"id":4,"name":"Milepost","value":"23.3303"},{"id":17,"name":"Train ID","value":"149-14"},{"id":16,"name":"Locomotive ID","value":"4009"},{"id":130,"name":"Impact","value":""},{"id":150,"name":"Time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507</v>
      </c>
      <c r="B78" s="7">
        <v>4010</v>
      </c>
      <c r="C78" s="22" t="s">
        <v>224</v>
      </c>
      <c r="D78" s="22" t="s">
        <v>237</v>
      </c>
      <c r="E78" s="13">
        <v>42688.441423611112</v>
      </c>
      <c r="F78" s="13">
        <v>42688.442453703705</v>
      </c>
      <c r="G78" s="7">
        <v>1</v>
      </c>
      <c r="H78" s="22" t="s">
        <v>677</v>
      </c>
      <c r="I78" s="13">
        <v>42688.465474537035</v>
      </c>
      <c r="J78" s="7">
        <v>0</v>
      </c>
      <c r="K78" s="109" t="str">
        <f t="shared" ref="K78:K139" si="36">IF(ISEVEN(B78),(B78-1)&amp;"/"&amp;B78,B78&amp;"/"&amp;(B78+1))</f>
        <v>4009/4010</v>
      </c>
      <c r="L78" s="22" t="str">
        <f>VLOOKUP(A78,'Trips&amp;Operators'!$C$1:$E$10000,3,FALSE)</f>
        <v>ISHMAEL</v>
      </c>
      <c r="M78" s="6">
        <f t="shared" ref="M78:M139" si="37">I78-F78</f>
        <v>2.3020833330519963E-2</v>
      </c>
      <c r="N78" s="7"/>
      <c r="O78" s="7"/>
      <c r="P78" s="7">
        <f>24*60*SUM($M78:$M79)</f>
        <v>45.816666658502072</v>
      </c>
      <c r="Q78" s="23"/>
      <c r="R78" s="23" t="s">
        <v>813</v>
      </c>
      <c r="S78" s="35">
        <f>SUM(U78:U79)/IF(AG78="EC",12,1)</f>
        <v>0.91666666666666663</v>
      </c>
      <c r="T78" s="50" t="str">
        <f t="shared" ref="T78:T139" si="38"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8</v>
      </c>
      <c r="V78" s="98" t="str">
        <f t="shared" ref="V78:V139" si="39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https://search-rtdc-monitor-bjffxe2xuh6vdkpspy63sjmuny.us-east-1.es.amazonaws.com/_plugin/kibana/#/discover/Steve-Slow-Train-Analysis-(2080s-and-2083s)?_g=(refreshInterval:(display:Off,section:0,value:0),time:(from:'2016-11-14 09:35:39-700',mode:absolute,to:'2016-11-14 12:10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 t="shared" ref="W78:W139" si="40">IF(AA78&lt;IF(AG78="EC",23,5.65),"Y","N")</f>
        <v>Y</v>
      </c>
      <c r="X78" s="177">
        <f t="shared" ref="X78:X139" si="41">VALUE(LEFT(AD78,4))-VALUE(LEFT(AD77,4))</f>
        <v>1</v>
      </c>
      <c r="Y78" s="67">
        <f t="shared" ref="Y78:Y139" si="42">RIGHT(D78,LEN(D78)-4)/10000</f>
        <v>23.298200000000001</v>
      </c>
      <c r="Z78" s="67">
        <f t="shared" ref="Z78:Z139" si="43">RIGHT(H78,LEN(H78)-4)/10000</f>
        <v>4.7199</v>
      </c>
      <c r="AA78" s="67">
        <f t="shared" ref="AA78:AA139" si="44">ABS(Z78-Y78)</f>
        <v>18.578300000000002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39" si="45">IF(LEN(A78)=6,"0"&amp;A78,A78)</f>
        <v>0150-14</v>
      </c>
      <c r="AE78" s="91" t="str">
        <f t="shared" ref="AE78:AE139" si="46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78" s="88" t="str">
        <f t="shared" ref="AF78:AF139" si="47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/stypes="app*4010*20161114*" /stext=" 18:.+((SYSTEM_STATE.+slice.+state.+changed )|(ment ac)|(system.+state.+changed )|(\[timeout)|(PRM\|1\|D)|(kpr)|(kdp)|(\|lc)|(penalty))" /e /r /s</v>
      </c>
      <c r="AG78" s="1" t="str">
        <f t="shared" ref="AG78:AG139" si="48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150-14 --locoid 4010 --swversion DE.1.0.8.0 --startMP 204:232982 --initTime 2016-11-14T10:35:39 --startdatetime 2016-11-14T10:37:08 --delay 1 --endMP 204:47199 --enddatetime 2016-11-14T11:10:17 --enforcementcount 0 &gt;&gt;C:\Users\stu\Documents\GitHub\eaglep3-reporting\EC\2016-11-14-refined-times.txt</v>
      </c>
      <c r="AI78" s="119" t="str">
        <f t="shared" si="18"/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service","project_id":79,"tracker_id":40,"status_id":1,"priority_id":2,"assigned_to_id":23,"start_date":"2016-11-14","description":"","custom_fields":[{"id":1,"name":"Subdivision","value":"EC"},{"id":4,"name":"Milepost","value":"4.7199"},{"id":17,"name":"Train ID","value":"150-14"},{"id":16,"name":"Locomotive ID","value":"4010"},{"id":130,"name":"Impact","value":""},{"id":150,"name":"Time of Event (Mountain Time)","value":"11:10:17"},{"id":151,"name":"Denver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507</v>
      </c>
      <c r="B79" s="7">
        <v>4010</v>
      </c>
      <c r="C79" s="22" t="s">
        <v>224</v>
      </c>
      <c r="D79" s="22" t="s">
        <v>678</v>
      </c>
      <c r="E79" s="13">
        <v>42688.467905092592</v>
      </c>
      <c r="F79" s="13">
        <v>42688.468726851854</v>
      </c>
      <c r="G79" s="7">
        <v>1</v>
      </c>
      <c r="H79" s="22" t="s">
        <v>679</v>
      </c>
      <c r="I79" s="13">
        <v>42688.477523148147</v>
      </c>
      <c r="J79" s="7">
        <v>0</v>
      </c>
      <c r="K79" s="109" t="str">
        <f t="shared" si="36"/>
        <v>4009/4010</v>
      </c>
      <c r="L79" s="22" t="str">
        <f>VLOOKUP(A79,'Trips&amp;Operators'!$C$1:$E$10000,3,FALSE)</f>
        <v>ISHMAEL</v>
      </c>
      <c r="M79" s="6">
        <f t="shared" si="37"/>
        <v>8.7962962934398092E-3</v>
      </c>
      <c r="N79" s="7"/>
      <c r="O79" s="7"/>
      <c r="P79" s="7"/>
      <c r="Q79" s="23"/>
      <c r="R79" s="23"/>
      <c r="S79" s="35"/>
      <c r="T79" s="50" t="str">
        <f t="shared" si="38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3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10:13:47-700',mode:absolute,to:'2016-11-14 12:27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9" s="52" t="str">
        <f t="shared" si="40"/>
        <v>Y</v>
      </c>
      <c r="X79" s="177">
        <f t="shared" si="41"/>
        <v>0</v>
      </c>
      <c r="Y79" s="67">
        <f t="shared" si="42"/>
        <v>3.6770999999999998</v>
      </c>
      <c r="Z79" s="67">
        <f t="shared" si="43"/>
        <v>3.3300000000000003E-2</v>
      </c>
      <c r="AA79" s="67">
        <f t="shared" si="44"/>
        <v>3.6437999999999997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5"/>
        <v>0150-14</v>
      </c>
      <c r="AE79" s="91" t="str">
        <f t="shared" si="46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79" s="88" t="str">
        <f t="shared" si="47"/>
        <v>"C:\Program Files (x86)\AstroGrep\AstroGrep.exe" /spath="%USERPROFILE%\AppData\Local\Temp\OnboardLogs" /stypes="app*4010*20161114*" /stext=" 18:.+((SYSTEM_STATE.+slice.+state.+changed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ref="AH79:AH140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150-14 --locoid 4010 --swversion DE.1.0.8.0 --startMP 204:36771 --initTime 2016-11-14T11:13:47 --startdatetime 2016-11-14T11:14:58 --delay 1 --endMP 204:333 --enddatetime 2016-11-14T11:27:38 --enforcementcount 0 &gt;&gt;C:\Users\stu\Documents\GitHub\eaglep3-reporting\EC\2016-11-14-refined-times.txt</v>
      </c>
      <c r="AI79" s="119" t="str">
        <f t="shared" ref="AI79:AI140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{"issue":{"subject":"","project_id":79,"tracker_id":40,"status_id":1,"priority_id":2,"assigned_to_id":23,"start_date":"2016-11-14","description":"","custom_fields":[{"id":1,"name":"Subdivision","value":"EC"},{"id":4,"name":"Milepost","value":"0.0333"},{"id":17,"name":"Train ID","value":"150-14"},{"id":16,"name":"Locomotive ID","value":"4010"},{"id":130,"name":"Impact","value":""},{"id":150,"name":"Time of Event (Mountain Time)","value":"11:27:38"},{"id":151,"name":"Denver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503</v>
      </c>
      <c r="B80" s="7">
        <v>4040</v>
      </c>
      <c r="C80" s="22" t="s">
        <v>224</v>
      </c>
      <c r="D80" s="22" t="s">
        <v>393</v>
      </c>
      <c r="E80" s="13">
        <v>42688.419618055559</v>
      </c>
      <c r="F80" s="13">
        <v>42688.42114583333</v>
      </c>
      <c r="G80" s="7">
        <v>2</v>
      </c>
      <c r="H80" s="22" t="s">
        <v>238</v>
      </c>
      <c r="I80" s="13">
        <v>42688.450624999998</v>
      </c>
      <c r="J80" s="7">
        <v>0</v>
      </c>
      <c r="K80" s="109" t="str">
        <f t="shared" si="36"/>
        <v>4039/4040</v>
      </c>
      <c r="L80" s="22" t="str">
        <f>VLOOKUP(A80,'Trips&amp;Operators'!$C$1:$E$10000,3,FALSE)</f>
        <v>SMITH</v>
      </c>
      <c r="M80" s="6">
        <f t="shared" si="37"/>
        <v>2.9479166667442769E-2</v>
      </c>
      <c r="N80" s="7">
        <f t="shared" ref="N80:P139" si="51">24*60*SUM($M80:$M80)</f>
        <v>42.450000001117587</v>
      </c>
      <c r="O80" s="7"/>
      <c r="P80" s="7"/>
      <c r="Q80" s="23"/>
      <c r="R80" s="23"/>
      <c r="S80" s="35">
        <f t="shared" ref="S80:S139" si="52">SUM(U80:U80)/IF(AG80="EC",12,1)</f>
        <v>1</v>
      </c>
      <c r="T80" s="50" t="str">
        <f t="shared" si="38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09:04:15-700',mode:absolute,to:'2016-11-14 11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4.7800000000000002E-2</v>
      </c>
      <c r="Z80" s="67">
        <f t="shared" si="43"/>
        <v>23.331199999999999</v>
      </c>
      <c r="AA80" s="67">
        <f t="shared" si="44"/>
        <v>23.2834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5"/>
        <v>0151-14</v>
      </c>
      <c r="AE80" s="91" t="str">
        <f t="shared" si="46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80" s="88" t="str">
        <f t="shared" si="47"/>
        <v>"C:\Program Files (x86)\AstroGrep\AstroGrep.exe" /spath="%USERPROFILE%\AppData\Local\Temp\OnboardLogs" /stypes="app*4040*20161114*" /stext=" 17:.+((SYSTEM_STATE.+slice.+state.+changed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151-14 --locoid 4040 --swversion DE.1.0.8.0 --startMP 204:478 --initTime 2016-11-14T10:04:15 --startdatetime 2016-11-14T10:06:27 --delay 2 --endMP 204:233312 --enddatetime 2016-11-14T10:48:54 --enforcementcount 0 &gt;&gt;C:\Users\stu\Documents\GitHub\eaglep3-reporting\EC\2016-11-14-refined-times.txt</v>
      </c>
      <c r="AI8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{"issue":{"subject":"","project_id":79,"tracker_id":40,"status_id":1,"priority_id":2,"assigned_to_id":23,"start_date":"2016-11-14","description":"","custom_fields":[{"id":1,"name":"Subdivision","value":"EC"},{"id":4,"name":"Milepost","value":"23.3312"},{"id":17,"name":"Train ID","value":"151-14"},{"id":16,"name":"Locomotive ID","value":"4040"},{"id":130,"name":"Impact","value":""},{"id":150,"name":"Time of Event (Mountain Time)","value":"10:48:54"},{"id":151,"name":"Denver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510</v>
      </c>
      <c r="B81" s="7">
        <v>4039</v>
      </c>
      <c r="C81" s="22" t="s">
        <v>224</v>
      </c>
      <c r="D81" s="22" t="s">
        <v>326</v>
      </c>
      <c r="E81" s="13">
        <v>42688.452037037037</v>
      </c>
      <c r="F81" s="13">
        <v>42688.456087962964</v>
      </c>
      <c r="G81" s="7">
        <v>1</v>
      </c>
      <c r="H81" s="22" t="s">
        <v>175</v>
      </c>
      <c r="I81" s="13">
        <v>42688.485497685186</v>
      </c>
      <c r="J81" s="7">
        <v>0</v>
      </c>
      <c r="K81" s="109" t="str">
        <f t="shared" si="36"/>
        <v>4039/4040</v>
      </c>
      <c r="L81" s="22" t="str">
        <f>VLOOKUP(A81,'Trips&amp;Operators'!$C$1:$E$10000,3,FALSE)</f>
        <v>SMITH</v>
      </c>
      <c r="M81" s="6">
        <f t="shared" si="37"/>
        <v>2.940972222131677E-2</v>
      </c>
      <c r="N81" s="7">
        <f t="shared" si="51"/>
        <v>42.349999998696148</v>
      </c>
      <c r="O81" s="7"/>
      <c r="P81" s="7"/>
      <c r="Q81" s="23"/>
      <c r="R81" s="23"/>
      <c r="S81" s="35">
        <f t="shared" si="52"/>
        <v>1</v>
      </c>
      <c r="T81" s="50" t="str">
        <f t="shared" si="38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09:50:56-700',mode:absolute,to:'2016-11-14 12:39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23.2987</v>
      </c>
      <c r="Z81" s="67">
        <f t="shared" si="43"/>
        <v>1.47E-2</v>
      </c>
      <c r="AA81" s="67">
        <f t="shared" si="44"/>
        <v>23.283999999999999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5"/>
        <v>0152-14</v>
      </c>
      <c r="AE81" s="91" t="str">
        <f t="shared" si="46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81" s="88" t="str">
        <f t="shared" si="47"/>
        <v>"C:\Program Files (x86)\AstroGrep\AstroGrep.exe" /spath="%USERPROFILE%\AppData\Local\Temp\OnboardLogs" /stypes="app*4039*20161114*" /stext=" 18:.+((SYSTEM_STATE.+slice.+state.+changed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152-14 --locoid 4039 --swversion DE.1.0.8.0 --startMP 204:232987 --initTime 2016-11-14T10:50:56 --startdatetime 2016-11-14T10:56:46 --delay 1 --endMP 204:147 --enddatetime 2016-11-14T11:39:07 --enforcementcount 0 &gt;&gt;C:\Users\stu\Documents\GitHub\eaglep3-reporting\EC\2016-11-14-refined-times.txt</v>
      </c>
      <c r="AI8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{"issue":{"subject":"","project_id":79,"tracker_id":40,"status_id":1,"priority_id":2,"assigned_to_id":23,"start_date":"2016-11-14","description":"","custom_fields":[{"id":1,"name":"Subdivision","value":"EC"},{"id":4,"name":"Milepost","value":"0.0147"},{"id":17,"name":"Train ID","value":"152-14"},{"id":16,"name":"Locomotive ID","value":"4039"},{"id":130,"name":"Impact","value":""},{"id":150,"name":"Time of Event (Mountain Time)","value":"11:39:07"},{"id":151,"name":"Denver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506</v>
      </c>
      <c r="B82" s="7">
        <v>4046</v>
      </c>
      <c r="C82" s="22" t="s">
        <v>224</v>
      </c>
      <c r="D82" s="22" t="s">
        <v>680</v>
      </c>
      <c r="E82" s="13">
        <v>42688.437152777777</v>
      </c>
      <c r="F82" s="13">
        <v>42688.438518518517</v>
      </c>
      <c r="G82" s="7">
        <v>1</v>
      </c>
      <c r="H82" s="22" t="s">
        <v>325</v>
      </c>
      <c r="I82" s="13">
        <v>42688.461192129631</v>
      </c>
      <c r="J82" s="7">
        <v>0</v>
      </c>
      <c r="K82" s="109" t="str">
        <f t="shared" si="36"/>
        <v>4045/4046</v>
      </c>
      <c r="L82" s="22" t="str">
        <f>VLOOKUP(A82,'Trips&amp;Operators'!$C$1:$E$10000,3,FALSE)</f>
        <v>MAHAN</v>
      </c>
      <c r="M82" s="6">
        <f t="shared" si="37"/>
        <v>2.2673611114441883E-2</v>
      </c>
      <c r="N82" s="7"/>
      <c r="O82" s="7"/>
      <c r="P82" s="7">
        <f t="shared" si="51"/>
        <v>32.650000004796311</v>
      </c>
      <c r="Q82" s="23"/>
      <c r="R82" s="23" t="s">
        <v>819</v>
      </c>
      <c r="S82" s="35">
        <f t="shared" si="52"/>
        <v>1</v>
      </c>
      <c r="T82" s="50" t="str">
        <f t="shared" si="38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09:29:30-700',mode:absolute,to:'2016-11-14 12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2" s="52" t="str">
        <f t="shared" si="40"/>
        <v>Y</v>
      </c>
      <c r="X82" s="177">
        <f t="shared" si="41"/>
        <v>1</v>
      </c>
      <c r="Y82" s="67">
        <f t="shared" si="42"/>
        <v>1.9113</v>
      </c>
      <c r="Z82" s="67">
        <f t="shared" si="43"/>
        <v>23.328600000000002</v>
      </c>
      <c r="AA82" s="67">
        <f t="shared" si="44"/>
        <v>21.417300000000001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5"/>
        <v>0153-14</v>
      </c>
      <c r="AE82" s="91" t="str">
        <f t="shared" si="46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82" s="88" t="str">
        <f t="shared" si="47"/>
        <v>"C:\Program Files (x86)\AstroGrep\AstroGrep.exe" /spath="%USERPROFILE%\AppData\Local\Temp\OnboardLogs" /stypes="app*4046*20161114*" /stext=" 18:.+((SYSTEM_STATE.+slice.+state.+changed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153-14 --locoid 4046 --swversion DE.1.0.8.0 --startMP 204:19113 --initTime 2016-11-14T10:29:30 --startdatetime 2016-11-14T10:31:28 --delay 1 --endMP 204:233286 --enddatetime 2016-11-14T11:04:07 --enforcementcount 0 &gt;&gt;C:\Users\stu\Documents\GitHub\eaglep3-reporting\EC\2016-11-14-refined-times.txt</v>
      </c>
      <c r="AI82" s="119" t="str">
        <f t="shared" si="50"/>
        <v>echo {"issue":{"subject":"CCROC/crew/equipment mismatch","project_id":79,"tracker_id":40,"status_id":1,"priority_id":2,"assigned_to_id":23,"start_date":"2016-11-14","description":"Run couldn’t init at DUS due to mismatches","custom_fields":[{"id":1,"name":"Subdivision","value":"EC"},{"id":4,"name":"Milepost","value":"23.3286"},{"id":17,"name":"Train ID","value":"153-14"},{"id":16,"name":"Locomotive ID","value":"4046"},{"id":130,"name":"Impact","value":"Initialization Problem"},{"id":150,"name":"Time of Event (Mountain Time)","value":"11:04:07"},{"id":151,"name":"Denver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82" s="53" t="s">
        <v>820</v>
      </c>
      <c r="AK82" s="53" t="s">
        <v>133</v>
      </c>
      <c r="AL82" s="53" t="s">
        <v>239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417</v>
      </c>
      <c r="B83" s="7">
        <v>4045</v>
      </c>
      <c r="C83" s="22" t="s">
        <v>224</v>
      </c>
      <c r="D83" s="22" t="s">
        <v>314</v>
      </c>
      <c r="E83" s="13">
        <v>42688.463321759256</v>
      </c>
      <c r="F83" s="13">
        <v>42688.465613425928</v>
      </c>
      <c r="G83" s="7">
        <v>1</v>
      </c>
      <c r="H83" s="22" t="s">
        <v>681</v>
      </c>
      <c r="I83" s="13">
        <v>42688.493275462963</v>
      </c>
      <c r="J83" s="7">
        <v>0</v>
      </c>
      <c r="K83" s="109" t="str">
        <f t="shared" si="36"/>
        <v>4045/4046</v>
      </c>
      <c r="L83" s="22" t="str">
        <f>VLOOKUP(A83,'Trips&amp;Operators'!$C$1:$E$10000,3,FALSE)</f>
        <v>MAHAN</v>
      </c>
      <c r="M83" s="6">
        <f t="shared" si="37"/>
        <v>2.7662037035042886E-2</v>
      </c>
      <c r="N83" s="7">
        <f t="shared" si="51"/>
        <v>39.833333330461755</v>
      </c>
      <c r="O83" s="7"/>
      <c r="P83" s="7"/>
      <c r="Q83" s="23"/>
      <c r="R83" s="23"/>
      <c r="S83" s="35">
        <f t="shared" si="52"/>
        <v>1</v>
      </c>
      <c r="T83" s="50" t="str">
        <f t="shared" si="38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10:07:11-700',mode:absolute,to:'2016-11-14 12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23.297999999999998</v>
      </c>
      <c r="Z83" s="67">
        <f t="shared" si="43"/>
        <v>1.7999999999999999E-2</v>
      </c>
      <c r="AA83" s="67">
        <f t="shared" si="44"/>
        <v>23.279999999999998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5"/>
        <v>0154-14</v>
      </c>
      <c r="AE83" s="91" t="str">
        <f t="shared" si="46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83" s="88" t="str">
        <f t="shared" si="47"/>
        <v>"C:\Program Files (x86)\AstroGrep\AstroGrep.exe" /spath="%USERPROFILE%\AppData\Local\Temp\OnboardLogs" /stypes="app*4045*20161114*" /stext=" 18:.+((SYSTEM_STATE.+slice.+state.+changed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154-14 --locoid 4045 --swversion DE.1.0.8.0 --startMP 204:232980 --initTime 2016-11-14T11:07:11 --startdatetime 2016-11-14T11:10:29 --delay 1 --endMP 204:180 --enddatetime 2016-11-14T11:50:19 --enforcementcount 0 &gt;&gt;C:\Users\stu\Documents\GitHub\eaglep3-reporting\EC\2016-11-14-refined-times.txt</v>
      </c>
      <c r="AI8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{"issue":{"subject":"","project_id":79,"tracker_id":40,"status_id":1,"priority_id":2,"assigned_to_id":23,"start_date":"2016-11-14","description":"","custom_fields":[{"id":1,"name":"Subdivision","value":"EC"},{"id":4,"name":"Milepost","value":"0.018"},{"id":17,"name":"Train ID","value":"154-14"},{"id":16,"name":"Locomotive ID","value":"4045"},{"id":130,"name":"Impact","value":""},{"id":150,"name":"Time of Event (Mountain Time)","value":"11:50:19"},{"id":151,"name":"Denver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413</v>
      </c>
      <c r="B84" s="7">
        <v>4011</v>
      </c>
      <c r="C84" s="22" t="s">
        <v>224</v>
      </c>
      <c r="D84" s="22" t="s">
        <v>200</v>
      </c>
      <c r="E84" s="13">
        <v>42688.434560185182</v>
      </c>
      <c r="F84" s="13">
        <v>42688.437858796293</v>
      </c>
      <c r="G84" s="7">
        <v>1</v>
      </c>
      <c r="H84" s="22" t="s">
        <v>242</v>
      </c>
      <c r="I84" s="13">
        <v>42688.470023148147</v>
      </c>
      <c r="J84" s="7">
        <v>0</v>
      </c>
      <c r="K84" s="109" t="str">
        <f t="shared" si="36"/>
        <v>4011/4012</v>
      </c>
      <c r="L84" s="22" t="str">
        <f>VLOOKUP(A84,'Trips&amp;Operators'!$C$1:$E$10000,3,FALSE)</f>
        <v>BRANDNER</v>
      </c>
      <c r="M84" s="6">
        <f t="shared" si="37"/>
        <v>3.2164351854589768E-2</v>
      </c>
      <c r="N84" s="7">
        <f t="shared" si="51"/>
        <v>46.316666670609266</v>
      </c>
      <c r="O84" s="7"/>
      <c r="P84" s="7"/>
      <c r="Q84" s="23"/>
      <c r="R84" s="23"/>
      <c r="S84" s="35">
        <f t="shared" si="52"/>
        <v>1</v>
      </c>
      <c r="T84" s="50" t="str">
        <f t="shared" si="38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09:25:46-700',mode:absolute,to:'2016-11-14 12:16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4.53E-2</v>
      </c>
      <c r="Z84" s="67">
        <f t="shared" si="43"/>
        <v>23.3306</v>
      </c>
      <c r="AA84" s="67">
        <f t="shared" si="44"/>
        <v>23.285299999999999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5"/>
        <v>0155-14</v>
      </c>
      <c r="AE84" s="91" t="str">
        <f t="shared" si="46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84" s="88" t="str">
        <f t="shared" si="47"/>
        <v>"C:\Program Files (x86)\AstroGrep\AstroGrep.exe" /spath="%USERPROFILE%\AppData\Local\Temp\OnboardLogs" /stypes="app*4011*20161114*" /stext=" 18:.+((SYSTEM_STATE.+slice.+state.+changed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155-14 --locoid 4011 --swversion DE.1.0.8.0 --startMP 204:453 --initTime 2016-11-14T10:25:46 --startdatetime 2016-11-14T10:30:31 --delay 1 --endMP 204:233306 --enddatetime 2016-11-14T11:16:50 --enforcementcount 0 &gt;&gt;C:\Users\stu\Documents\GitHub\eaglep3-reporting\EC\2016-11-14-refined-times.txt</v>
      </c>
      <c r="AI84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{"issue":{"subject":"","project_id":79,"tracker_id":40,"status_id":1,"priority_id":2,"assigned_to_id":23,"start_date":"2016-11-14","description":"","custom_fields":[{"id":1,"name":"Subdivision","value":"EC"},{"id":4,"name":"Milepost","value":"23.3306"},{"id":17,"name":"Train ID","value":"155-14"},{"id":16,"name":"Locomotive ID","value":"4011"},{"id":130,"name":"Impact","value":""},{"id":150,"name":"Time of Event (Mountain Time)","value":"11:16:50"},{"id":151,"name":"Denver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418</v>
      </c>
      <c r="B85" s="7">
        <v>4012</v>
      </c>
      <c r="C85" s="22" t="s">
        <v>224</v>
      </c>
      <c r="D85" s="22" t="s">
        <v>682</v>
      </c>
      <c r="E85" s="13">
        <v>42688.488321759258</v>
      </c>
      <c r="F85" s="13">
        <v>42688.490543981483</v>
      </c>
      <c r="G85" s="7">
        <v>1</v>
      </c>
      <c r="H85" s="22" t="s">
        <v>247</v>
      </c>
      <c r="I85" s="13">
        <v>42688.514039351852</v>
      </c>
      <c r="J85" s="7">
        <v>0</v>
      </c>
      <c r="K85" s="109" t="str">
        <f t="shared" si="36"/>
        <v>4011/4012</v>
      </c>
      <c r="L85" s="22" t="str">
        <f>VLOOKUP(A85,'Trips&amp;Operators'!$C$1:$E$10000,3,FALSE)</f>
        <v>BRANDNER</v>
      </c>
      <c r="M85" s="6">
        <f t="shared" si="37"/>
        <v>2.3495370369346347E-2</v>
      </c>
      <c r="N85" s="7"/>
      <c r="O85" s="7"/>
      <c r="P85" s="7">
        <f t="shared" si="51"/>
        <v>33.833333331858739</v>
      </c>
      <c r="Q85" s="23"/>
      <c r="R85" s="23" t="s">
        <v>821</v>
      </c>
      <c r="S85" s="35">
        <f t="shared" si="52"/>
        <v>1</v>
      </c>
      <c r="T85" s="50" t="str">
        <f t="shared" si="38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10:43:11-700',mode:absolute,to:'2016-11-14 13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52" t="str">
        <f t="shared" si="40"/>
        <v>Y</v>
      </c>
      <c r="X85" s="177">
        <f t="shared" si="41"/>
        <v>1</v>
      </c>
      <c r="Y85" s="67">
        <f t="shared" si="42"/>
        <v>15.3985</v>
      </c>
      <c r="Z85" s="67">
        <f t="shared" si="43"/>
        <v>1.4999999999999999E-2</v>
      </c>
      <c r="AA85" s="67">
        <f t="shared" si="44"/>
        <v>15.3835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5"/>
        <v>0156-14</v>
      </c>
      <c r="AE85" s="91" t="str">
        <f t="shared" si="46"/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AF85" s="88" t="str">
        <f t="shared" si="47"/>
        <v>"C:\Program Files (x86)\AstroGrep\AstroGrep.exe" /spath="%USERPROFILE%\AppData\Local\Temp\OnboardLogs" /stypes="app*4012*20161114*" /stext=" 19:.+((SYSTEM_STATE.+slice.+state.+changed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156-14 --locoid 4012 --swversion DE.1.0.8.0 --startMP 204:153985 --initTime 2016-11-14T11:43:11 --startdatetime 2016-11-14T11:46:23 --delay 1 --endMP 204:150 --enddatetime 2016-11-14T12:20:13 --enforcementcount 0 &gt;&gt;C:\Users\stu\Documents\GitHub\eaglep3-reporting\EC\2016-11-14-refined-times.txt</v>
      </c>
      <c r="AI85" s="119" t="str">
        <f t="shared" si="50"/>
        <v>echo {"issue":{"subject":"Operator did not press Submit button (incomplete init) while at DIA","project_id":79,"tracker_id":40,"status_id":1,"priority_id":2,"assigned_to_id":23,"start_date":"2016-11-14","description":"See title","custom_fields":[{"id":1,"name":"Subdivision","value":"EC"},{"id":4,"name":"Milepost","value":"0.015"},{"id":17,"name":"Train ID","value":"156-14"},{"id":16,"name":"Locomotive ID","value":"4012"},{"id":130,"name":"Impact","value":"Initialization Problem"},{"id":150,"name":"Time of Event (Mountain Time)","value":"12:20:13"},{"id":151,"name":"Denver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85" s="53" t="s">
        <v>822</v>
      </c>
      <c r="AK85" s="53" t="s">
        <v>133</v>
      </c>
      <c r="AL85" s="53" t="s">
        <v>239</v>
      </c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509</v>
      </c>
      <c r="B86" s="7">
        <v>4018</v>
      </c>
      <c r="C86" s="22" t="s">
        <v>224</v>
      </c>
      <c r="D86" s="22" t="s">
        <v>683</v>
      </c>
      <c r="E86" s="13">
        <v>42688.447430555556</v>
      </c>
      <c r="F86" s="13">
        <v>42688.449016203704</v>
      </c>
      <c r="G86" s="7">
        <v>1</v>
      </c>
      <c r="H86" s="22" t="s">
        <v>202</v>
      </c>
      <c r="I86" s="13">
        <v>42688.479247685187</v>
      </c>
      <c r="J86" s="7">
        <v>0</v>
      </c>
      <c r="K86" s="109" t="str">
        <f t="shared" si="36"/>
        <v>4017/4018</v>
      </c>
      <c r="L86" s="22" t="str">
        <f>VLOOKUP(A86,'Trips&amp;Operators'!$C$1:$E$10000,3,FALSE)</f>
        <v>HAITHCOX</v>
      </c>
      <c r="M86" s="6">
        <f t="shared" si="37"/>
        <v>3.0231481483497191E-2</v>
      </c>
      <c r="N86" s="7">
        <f t="shared" si="51"/>
        <v>43.533333336235955</v>
      </c>
      <c r="O86" s="7"/>
      <c r="P86" s="7"/>
      <c r="Q86" s="23"/>
      <c r="R86" s="23"/>
      <c r="S86" s="35">
        <f t="shared" si="52"/>
        <v>1</v>
      </c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09:44:18-700',mode:absolute,to:'2016-11-14 12:30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6" s="52" t="str">
        <f t="shared" si="40"/>
        <v>N</v>
      </c>
      <c r="X86" s="177">
        <f t="shared" si="41"/>
        <v>1</v>
      </c>
      <c r="Y86" s="67">
        <f t="shared" si="42"/>
        <v>4.07E-2</v>
      </c>
      <c r="Z86" s="67">
        <f t="shared" si="43"/>
        <v>23.329499999999999</v>
      </c>
      <c r="AA86" s="67">
        <f t="shared" si="44"/>
        <v>23.288799999999998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5"/>
        <v>0157-14</v>
      </c>
      <c r="AE86" s="91" t="str">
        <f t="shared" si="46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86" s="88" t="str">
        <f t="shared" si="47"/>
        <v>"C:\Program Files (x86)\AstroGrep\AstroGrep.exe" /spath="%USERPROFILE%\AppData\Local\Temp\OnboardLogs" /stypes="app*4018*20161114*" /stext=" 18:.+((SYSTEM_STATE.+slice.+state.+changed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157-14 --locoid 4018 --swversion DE.1.0.8.0 --startMP 204:407 --initTime 2016-11-14T10:44:18 --startdatetime 2016-11-14T10:46:35 --delay 1 --endMP 204:233295 --enddatetime 2016-11-14T11:30:07 --enforcementcount 0 &gt;&gt;C:\Users\stu\Documents\GitHub\eaglep3-reporting\EC\2016-11-14-refined-times.txt</v>
      </c>
      <c r="AI8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{"issue":{"subject":"","project_id":79,"tracker_id":40,"status_id":1,"priority_id":2,"assigned_to_id":23,"start_date":"2016-11-14","description":"","custom_fields":[{"id":1,"name":"Subdivision","value":"EC"},{"id":4,"name":"Milepost","value":"23.3295"},{"id":17,"name":"Train ID","value":"157-14"},{"id":16,"name":"Locomotive ID","value":"4018"},{"id":130,"name":"Impact","value":""},{"id":150,"name":"Time of Event (Mountain Time)","value":"11:30:07"},{"id":151,"name":"Denver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416</v>
      </c>
      <c r="B87" s="7">
        <v>4017</v>
      </c>
      <c r="C87" s="22" t="s">
        <v>224</v>
      </c>
      <c r="D87" s="22" t="s">
        <v>257</v>
      </c>
      <c r="E87" s="13">
        <v>42688.483599537038</v>
      </c>
      <c r="F87" s="13">
        <v>42688.487083333333</v>
      </c>
      <c r="G87" s="7">
        <v>1</v>
      </c>
      <c r="H87" s="22" t="s">
        <v>197</v>
      </c>
      <c r="I87" s="13">
        <v>42688.516701388886</v>
      </c>
      <c r="J87" s="7">
        <v>0</v>
      </c>
      <c r="K87" s="109" t="str">
        <f t="shared" si="36"/>
        <v>4017/4018</v>
      </c>
      <c r="L87" s="22" t="str">
        <f>VLOOKUP(A87,'Trips&amp;Operators'!$C$1:$E$10000,3,FALSE)</f>
        <v>HAITHCOX</v>
      </c>
      <c r="M87" s="6">
        <f t="shared" si="37"/>
        <v>2.9618055552418809E-2</v>
      </c>
      <c r="N87" s="7">
        <f t="shared" si="51"/>
        <v>42.649999995483086</v>
      </c>
      <c r="O87" s="7"/>
      <c r="P87" s="7"/>
      <c r="Q87" s="23"/>
      <c r="R87" s="23"/>
      <c r="S87" s="35">
        <f t="shared" si="52"/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10:36:23-700',mode:absolute,to:'2016-11-14 13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23.299199999999999</v>
      </c>
      <c r="Z87" s="67">
        <f t="shared" si="43"/>
        <v>1.49E-2</v>
      </c>
      <c r="AA87" s="67">
        <f t="shared" si="44"/>
        <v>23.284299999999998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5"/>
        <v>0158-14</v>
      </c>
      <c r="AE87" s="91" t="str">
        <f t="shared" si="46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87" s="88" t="str">
        <f t="shared" si="47"/>
        <v>"C:\Program Files (x86)\AstroGrep\AstroGrep.exe" /spath="%USERPROFILE%\AppData\Local\Temp\OnboardLogs" /stypes="app*4017*20161114*" /stext=" 19:.+((SYSTEM_STATE.+slice.+state.+changed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158-14 --locoid 4017 --swversion DE.1.0.8.0 --startMP 204:232992 --initTime 2016-11-14T11:36:23 --startdatetime 2016-11-14T11:41:24 --delay 1 --endMP 204:149 --enddatetime 2016-11-14T12:24:03 --enforcementcount 0 &gt;&gt;C:\Users\stu\Documents\GitHub\eaglep3-reporting\EC\2016-11-14-refined-times.txt</v>
      </c>
      <c r="AI8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{"issue":{"subject":"","project_id":79,"tracker_id":40,"status_id":1,"priority_id":2,"assigned_to_id":23,"start_date":"2016-11-14","description":"","custom_fields":[{"id":1,"name":"Subdivision","value":"EC"},{"id":4,"name":"Milepost","value":"0.0149"},{"id":17,"name":"Train ID","value":"158-14"},{"id":16,"name":"Locomotive ID","value":"4017"},{"id":130,"name":"Impact","value":""},{"id":150,"name":"Time of Event (Mountain Time)","value":"12:24:03"},{"id":151,"name":"Denver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511</v>
      </c>
      <c r="B88" s="7">
        <v>4016</v>
      </c>
      <c r="C88" s="22" t="s">
        <v>224</v>
      </c>
      <c r="D88" s="22" t="s">
        <v>684</v>
      </c>
      <c r="E88" s="13">
        <v>42688.46234953704</v>
      </c>
      <c r="F88" s="13">
        <v>42688.465439814812</v>
      </c>
      <c r="G88" s="7">
        <v>3</v>
      </c>
      <c r="H88" s="22" t="s">
        <v>685</v>
      </c>
      <c r="I88" s="13">
        <v>42688.492222222223</v>
      </c>
      <c r="J88" s="7">
        <v>0</v>
      </c>
      <c r="K88" s="109" t="str">
        <f t="shared" si="36"/>
        <v>4015/4016</v>
      </c>
      <c r="L88" s="22" t="str">
        <f>VLOOKUP(A88,'Trips&amp;Operators'!$C$1:$E$10000,3,FALSE)</f>
        <v>MCREYNOLDS</v>
      </c>
      <c r="M88" s="6">
        <f t="shared" si="37"/>
        <v>2.6782407410792075E-2</v>
      </c>
      <c r="N88" s="7">
        <f t="shared" si="51"/>
        <v>38.566666671540588</v>
      </c>
      <c r="O88" s="7"/>
      <c r="P88" s="7"/>
      <c r="Q88" s="23"/>
      <c r="R88" s="23"/>
      <c r="S88" s="35">
        <f t="shared" si="52"/>
        <v>1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10:05:47-700',mode:absolute,to:'2016-11-14 12:48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0.15110000000000001</v>
      </c>
      <c r="Z88" s="67">
        <f t="shared" si="43"/>
        <v>23.332000000000001</v>
      </c>
      <c r="AA88" s="67">
        <f t="shared" si="44"/>
        <v>23.180900000000001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5"/>
        <v>0159-14</v>
      </c>
      <c r="AE88" s="91" t="str">
        <f t="shared" si="46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88" s="88" t="str">
        <f t="shared" si="47"/>
        <v>"C:\Program Files (x86)\AstroGrep\AstroGrep.exe" /spath="%USERPROFILE%\AppData\Local\Temp\OnboardLogs" /stypes="app*4016*20161114*" /stext=" 18:.+((SYSTEM_STATE.+slice.+state.+changed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159-14 --locoid 4016 --swversion DE.1.0.8.0 --startMP 204:1511 --initTime 2016-11-14T11:05:47 --startdatetime 2016-11-14T11:10:14 --delay 3 --endMP 204:233320 --enddatetime 2016-11-14T11:48:48 --enforcementcount 0 &gt;&gt;C:\Users\stu\Documents\GitHub\eaglep3-reporting\EC\2016-11-14-refined-times.txt</v>
      </c>
      <c r="AI8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{"issue":{"subject":"","project_id":79,"tracker_id":40,"status_id":1,"priority_id":2,"assigned_to_id":23,"start_date":"2016-11-14","description":"","custom_fields":[{"id":1,"name":"Subdivision","value":"EC"},{"id":4,"name":"Milepost","value":"23.332"},{"id":17,"name":"Train ID","value":"159-14"},{"id":16,"name":"Locomotive ID","value":"4016"},{"id":130,"name":"Impact","value":""},{"id":150,"name":"Time of Event (Mountain Time)","value":"11:48:48"},{"id":151,"name":"Denver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518</v>
      </c>
      <c r="B89" s="7">
        <v>4015</v>
      </c>
      <c r="C89" s="22" t="s">
        <v>224</v>
      </c>
      <c r="D89" s="22" t="s">
        <v>347</v>
      </c>
      <c r="E89" s="13">
        <v>42688.493958333333</v>
      </c>
      <c r="F89" s="13">
        <v>42688.497708333336</v>
      </c>
      <c r="G89" s="7">
        <v>1</v>
      </c>
      <c r="H89" s="22" t="s">
        <v>662</v>
      </c>
      <c r="I89" s="13">
        <v>42688.529236111113</v>
      </c>
      <c r="J89" s="7">
        <v>0</v>
      </c>
      <c r="K89" s="109" t="str">
        <f t="shared" si="36"/>
        <v>4015/4016</v>
      </c>
      <c r="L89" s="22" t="str">
        <f>VLOOKUP(A89,'Trips&amp;Operators'!$C$1:$E$10000,3,FALSE)</f>
        <v>MCREYNOLDS</v>
      </c>
      <c r="M89" s="6">
        <f t="shared" si="37"/>
        <v>3.1527777777228039E-2</v>
      </c>
      <c r="N89" s="7">
        <f t="shared" si="51"/>
        <v>45.399999999208376</v>
      </c>
      <c r="O89" s="7"/>
      <c r="P89" s="7"/>
      <c r="Q89" s="23"/>
      <c r="R89" s="23"/>
      <c r="S89" s="35">
        <f t="shared" si="52"/>
        <v>1</v>
      </c>
      <c r="T89" s="50" t="str">
        <f t="shared" si="38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10:51:18-700',mode:absolute,to:'2016-11-14 13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23.2971</v>
      </c>
      <c r="Z89" s="67">
        <f t="shared" si="43"/>
        <v>1.6500000000000001E-2</v>
      </c>
      <c r="AA89" s="67">
        <f t="shared" si="44"/>
        <v>23.2806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5"/>
        <v>0160-14</v>
      </c>
      <c r="AE89" s="91" t="str">
        <f t="shared" si="46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89" s="88" t="str">
        <f t="shared" si="47"/>
        <v>"C:\Program Files (x86)\AstroGrep\AstroGrep.exe" /spath="%USERPROFILE%\AppData\Local\Temp\OnboardLogs" /stypes="app*4015*20161114*" /stext=" 19:.+((SYSTEM_STATE.+slice.+state.+changed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160-14 --locoid 4015 --swversion DE.1.0.8.0 --startMP 204:232971 --initTime 2016-11-14T11:51:18 --startdatetime 2016-11-14T11:56:42 --delay 1 --endMP 204:165 --enddatetime 2016-11-14T12:42:06 --enforcementcount 0 &gt;&gt;C:\Users\stu\Documents\GitHub\eaglep3-reporting\EC\2016-11-14-refined-times.txt</v>
      </c>
      <c r="AI8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{"issue":{"subject":"","project_id":79,"tracker_id":40,"status_id":1,"priority_id":2,"assigned_to_id":23,"start_date":"2016-11-14","description":"","custom_fields":[{"id":1,"name":"Subdivision","value":"EC"},{"id":4,"name":"Milepost","value":"0.0165"},{"id":17,"name":"Train ID","value":"160-14"},{"id":16,"name":"Locomotive ID","value":"4015"},{"id":130,"name":"Impact","value":""},{"id":150,"name":"Time of Event (Mountain Time)","value":"12:42:06"},{"id":151,"name":"Denver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514</v>
      </c>
      <c r="B90" s="7">
        <v>4029</v>
      </c>
      <c r="C90" s="22" t="s">
        <v>224</v>
      </c>
      <c r="D90" s="22" t="s">
        <v>686</v>
      </c>
      <c r="E90" s="13">
        <v>42688.475231481483</v>
      </c>
      <c r="F90" s="13">
        <v>42688.477349537039</v>
      </c>
      <c r="G90" s="7">
        <v>1</v>
      </c>
      <c r="H90" s="22" t="s">
        <v>687</v>
      </c>
      <c r="I90" s="13">
        <v>42688.502604166664</v>
      </c>
      <c r="J90" s="7">
        <v>0</v>
      </c>
      <c r="K90" s="109" t="str">
        <f t="shared" si="36"/>
        <v>4029/4030</v>
      </c>
      <c r="L90" s="22" t="str">
        <f>VLOOKUP(A90,'Trips&amp;Operators'!$C$1:$E$10000,3,FALSE)</f>
        <v>BARTLETT</v>
      </c>
      <c r="M90" s="6">
        <f t="shared" si="37"/>
        <v>2.5254629625123926E-2</v>
      </c>
      <c r="N90" s="7">
        <f t="shared" si="51"/>
        <v>36.366666660178453</v>
      </c>
      <c r="O90" s="7"/>
      <c r="P90" s="7"/>
      <c r="Q90" s="23"/>
      <c r="R90" s="23"/>
      <c r="S90" s="35">
        <f t="shared" si="52"/>
        <v>1</v>
      </c>
      <c r="T90" s="50" t="str">
        <f t="shared" si="38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10:24:20-700',mode:absolute,to:'2016-11-14 13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4.3999999999999997E-2</v>
      </c>
      <c r="Z90" s="67">
        <f t="shared" si="43"/>
        <v>23.335899999999999</v>
      </c>
      <c r="AA90" s="67">
        <f t="shared" si="44"/>
        <v>23.291899999999998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5"/>
        <v>0161-14</v>
      </c>
      <c r="AE90" s="91" t="str">
        <f t="shared" si="46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90" s="88" t="str">
        <f t="shared" si="47"/>
        <v>"C:\Program Files (x86)\AstroGrep\AstroGrep.exe" /spath="%USERPROFILE%\AppData\Local\Temp\OnboardLogs" /stypes="app*4029*20161114*" /stext=" 19:.+((SYSTEM_STATE.+slice.+state.+changed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161-14 --locoid 4029 --swversion DE.1.0.8.0 --startMP 204:440 --initTime 2016-11-14T11:24:20 --startdatetime 2016-11-14T11:27:23 --delay 1 --endMP 204:233359 --enddatetime 2016-11-14T12:03:45 --enforcementcount 0 &gt;&gt;C:\Users\stu\Documents\GitHub\eaglep3-reporting\EC\2016-11-14-refined-times.txt</v>
      </c>
      <c r="AI9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{"issue":{"subject":"","project_id":79,"tracker_id":40,"status_id":1,"priority_id":2,"assigned_to_id":23,"start_date":"2016-11-14","description":"","custom_fields":[{"id":1,"name":"Subdivision","value":"EC"},{"id":4,"name":"Milepost","value":"23.3359"},{"id":17,"name":"Train ID","value":"161-14"},{"id":16,"name":"Locomotive ID","value":"4029"},{"id":130,"name":"Impact","value":""},{"id":150,"name":"Time of Event (Mountain Time)","value":"12:03:45"},{"id":151,"name":"Denver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521</v>
      </c>
      <c r="B91" s="7">
        <v>4030</v>
      </c>
      <c r="C91" s="22" t="s">
        <v>224</v>
      </c>
      <c r="D91" s="22" t="s">
        <v>688</v>
      </c>
      <c r="E91" s="13">
        <v>42688.504363425927</v>
      </c>
      <c r="F91" s="13">
        <v>42688.507881944446</v>
      </c>
      <c r="G91" s="7">
        <v>2</v>
      </c>
      <c r="H91" s="22" t="s">
        <v>176</v>
      </c>
      <c r="I91" s="13">
        <v>42688.541944444441</v>
      </c>
      <c r="J91" s="7">
        <v>0</v>
      </c>
      <c r="K91" s="109" t="str">
        <f t="shared" si="36"/>
        <v>4029/4030</v>
      </c>
      <c r="L91" s="22" t="str">
        <f>VLOOKUP(A91,'Trips&amp;Operators'!$C$1:$E$10000,3,FALSE)</f>
        <v>BARTLETT</v>
      </c>
      <c r="M91" s="6">
        <f t="shared" si="37"/>
        <v>3.4062499995343387E-2</v>
      </c>
      <c r="N91" s="7">
        <f t="shared" si="51"/>
        <v>49.049999993294477</v>
      </c>
      <c r="O91" s="7"/>
      <c r="P91" s="7"/>
      <c r="Q91" s="23"/>
      <c r="R91" s="23"/>
      <c r="S91" s="35">
        <f t="shared" si="52"/>
        <v>1</v>
      </c>
      <c r="T91" s="50" t="str">
        <f t="shared" si="38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11:06:17-700',mode:absolute,to:'2016-11-14 14:00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23.3047</v>
      </c>
      <c r="Z91" s="67">
        <f t="shared" si="43"/>
        <v>1.52E-2</v>
      </c>
      <c r="AA91" s="67">
        <f t="shared" si="44"/>
        <v>23.2895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5"/>
        <v>0162-14</v>
      </c>
      <c r="AE91" s="91" t="str">
        <f t="shared" si="46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91" s="88" t="str">
        <f t="shared" si="47"/>
        <v>"C:\Program Files (x86)\AstroGrep\AstroGrep.exe" /spath="%USERPROFILE%\AppData\Local\Temp\OnboardLogs" /stypes="app*4030*20161114*" /stext=" 20:.+((SYSTEM_STATE.+slice.+state.+changed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162-14 --locoid 4030 --swversion DE.1.0.8.0 --startMP 204:233047 --initTime 2016-11-14T12:06:17 --startdatetime 2016-11-14T12:11:21 --delay 2 --endMP 204:152 --enddatetime 2016-11-14T13:00:24 --enforcementcount 0 &gt;&gt;C:\Users\stu\Documents\GitHub\eaglep3-reporting\EC\2016-11-14-refined-times.txt</v>
      </c>
      <c r="AI9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{"issue":{"subject":"","project_id":79,"tracker_id":40,"status_id":1,"priority_id":2,"assigned_to_id":23,"start_date":"2016-11-14","description":"","custom_fields":[{"id":1,"name":"Subdivision","value":"EC"},{"id":4,"name":"Milepost","value":"0.0152"},{"id":17,"name":"Train ID","value":"162-14"},{"id":16,"name":"Locomotive ID","value":"4030"},{"id":130,"name":"Impact","value":""},{"id":150,"name":"Time of Event (Mountain Time)","value":"13:00:24"},{"id":151,"name":"Denver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515</v>
      </c>
      <c r="B92" s="7">
        <v>4009</v>
      </c>
      <c r="C92" s="22" t="s">
        <v>224</v>
      </c>
      <c r="D92" s="22" t="s">
        <v>689</v>
      </c>
      <c r="E92" s="13">
        <v>42688.479108796295</v>
      </c>
      <c r="F92" s="13">
        <v>42688.481863425928</v>
      </c>
      <c r="G92" s="7">
        <v>1</v>
      </c>
      <c r="H92" s="22" t="s">
        <v>392</v>
      </c>
      <c r="I92" s="13">
        <v>42688.509270833332</v>
      </c>
      <c r="J92" s="7">
        <v>0</v>
      </c>
      <c r="K92" s="109" t="str">
        <f t="shared" si="36"/>
        <v>4009/4010</v>
      </c>
      <c r="L92" s="22" t="str">
        <f>VLOOKUP(A92,'Trips&amp;Operators'!$C$1:$E$10000,3,FALSE)</f>
        <v>MACDONALD</v>
      </c>
      <c r="M92" s="6">
        <f t="shared" si="37"/>
        <v>2.7407407404098194E-2</v>
      </c>
      <c r="N92" s="7">
        <f t="shared" si="51"/>
        <v>39.466666661901399</v>
      </c>
      <c r="O92" s="7"/>
      <c r="P92" s="7"/>
      <c r="Q92" s="23"/>
      <c r="R92" s="23"/>
      <c r="S92" s="35">
        <f t="shared" si="52"/>
        <v>1</v>
      </c>
      <c r="T92" s="50" t="str">
        <f t="shared" si="38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10:29:55-700',mode:absolute,to:'2016-11-14 13:13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6.3899999999999998E-2</v>
      </c>
      <c r="Z92" s="67">
        <f t="shared" si="43"/>
        <v>23.327000000000002</v>
      </c>
      <c r="AA92" s="67">
        <f t="shared" si="44"/>
        <v>23.263100000000001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5"/>
        <v>0163-14</v>
      </c>
      <c r="AE92" s="91" t="str">
        <f t="shared" si="46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92" s="88" t="str">
        <f t="shared" si="47"/>
        <v>"C:\Program Files (x86)\AstroGrep\AstroGrep.exe" /spath="%USERPROFILE%\AppData\Local\Temp\OnboardLogs" /stypes="app*4009*20161114*" /stext=" 19:.+((SYSTEM_STATE.+slice.+state.+changed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163-14 --locoid 4009 --swversion DE.1.0.8.0 --startMP 204:639 --initTime 2016-11-14T11:29:55 --startdatetime 2016-11-14T11:33:53 --delay 1 --endMP 204:233270 --enddatetime 2016-11-14T12:13:21 --enforcementcount 0 &gt;&gt;C:\Users\stu\Documents\GitHub\eaglep3-reporting\EC\2016-11-14-refined-times.txt</v>
      </c>
      <c r="AI92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{"issue":{"subject":"","project_id":79,"tracker_id":40,"status_id":1,"priority_id":2,"assigned_to_id":23,"start_date":"2016-11-14","description":"","custom_fields":[{"id":1,"name":"Subdivision","value":"EC"},{"id":4,"name":"Milepost","value":"23.327"},{"id":17,"name":"Train ID","value":"163-14"},{"id":16,"name":"Locomotive ID","value":"4009"},{"id":130,"name":"Impact","value":""},{"id":150,"name":"Time of Event (Mountain Time)","value":"12:13:21"},{"id":151,"name":"Denver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523</v>
      </c>
      <c r="B93" s="7">
        <v>4010</v>
      </c>
      <c r="C93" s="22" t="s">
        <v>224</v>
      </c>
      <c r="D93" s="22" t="s">
        <v>690</v>
      </c>
      <c r="E93" s="13">
        <v>42688.515659722223</v>
      </c>
      <c r="F93" s="13">
        <v>42688.520069444443</v>
      </c>
      <c r="G93" s="7">
        <v>1</v>
      </c>
      <c r="H93" s="22" t="s">
        <v>246</v>
      </c>
      <c r="I93" s="13">
        <v>42688.549178240741</v>
      </c>
      <c r="J93" s="7">
        <v>0</v>
      </c>
      <c r="K93" s="109" t="str">
        <f t="shared" si="36"/>
        <v>4009/4010</v>
      </c>
      <c r="L93" s="22" t="str">
        <f>VLOOKUP(A93,'Trips&amp;Operators'!$C$1:$E$10000,3,FALSE)</f>
        <v>MACDONALD</v>
      </c>
      <c r="M93" s="6">
        <f t="shared" si="37"/>
        <v>2.9108796297805384E-2</v>
      </c>
      <c r="N93" s="7">
        <f t="shared" si="51"/>
        <v>41.916666668839753</v>
      </c>
      <c r="O93" s="7"/>
      <c r="P93" s="7"/>
      <c r="Q93" s="23"/>
      <c r="R93" s="23"/>
      <c r="S93" s="35">
        <f t="shared" si="52"/>
        <v>1</v>
      </c>
      <c r="T93" s="50" t="str">
        <f t="shared" si="38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11:22:33-700',mode:absolute,to:'2016-11-14 14:10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23.295000000000002</v>
      </c>
      <c r="Z93" s="67">
        <f t="shared" si="43"/>
        <v>1.6E-2</v>
      </c>
      <c r="AA93" s="67">
        <f t="shared" si="44"/>
        <v>23.279000000000003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5"/>
        <v>0164-14</v>
      </c>
      <c r="AE93" s="91" t="str">
        <f t="shared" si="46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93" s="88" t="str">
        <f t="shared" si="47"/>
        <v>"C:\Program Files (x86)\AstroGrep\AstroGrep.exe" /spath="%USERPROFILE%\AppData\Local\Temp\OnboardLogs" /stypes="app*4010*20161114*" /stext=" 20:.+((SYSTEM_STATE.+slice.+state.+changed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164-14 --locoid 4010 --swversion DE.1.0.8.0 --startMP 204:232950 --initTime 2016-11-14T12:22:33 --startdatetime 2016-11-14T12:28:54 --delay 1 --endMP 204:160 --enddatetime 2016-11-14T13:10:49 --enforcementcount 0 &gt;&gt;C:\Users\stu\Documents\GitHub\eaglep3-reporting\EC\2016-11-14-refined-times.txt</v>
      </c>
      <c r="AI9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ID","value":"164-14"},{"id":16,"name":"Locomotive ID","value":"4010"},{"id":130,"name":"Impact","value":""},{"id":150,"name":"Time of Event (Mountain Time)","value":"13:10:49"},{"id":151,"name":"Denver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517</v>
      </c>
      <c r="B94" s="7">
        <v>4040</v>
      </c>
      <c r="C94" s="22" t="s">
        <v>224</v>
      </c>
      <c r="D94" s="22" t="s">
        <v>691</v>
      </c>
      <c r="E94" s="13">
        <v>42688.514143518521</v>
      </c>
      <c r="F94" s="13">
        <v>42688.489803240744</v>
      </c>
      <c r="G94" s="7">
        <v>1</v>
      </c>
      <c r="H94" s="22" t="s">
        <v>277</v>
      </c>
      <c r="I94" s="13">
        <v>42688.523194444446</v>
      </c>
      <c r="J94" s="7">
        <v>0</v>
      </c>
      <c r="K94" s="109" t="str">
        <f t="shared" si="36"/>
        <v>4039/4040</v>
      </c>
      <c r="L94" s="22" t="str">
        <f>VLOOKUP(A94,'Trips&amp;Operators'!$C$1:$E$10000,3,FALSE)</f>
        <v>CLARK</v>
      </c>
      <c r="M94" s="6">
        <f t="shared" si="37"/>
        <v>3.3391203702194616E-2</v>
      </c>
      <c r="N94" s="7">
        <f>24*60*SUM($M94:$M94)</f>
        <v>48.083333331160247</v>
      </c>
      <c r="O94" s="7"/>
      <c r="P94" s="7"/>
      <c r="Q94" s="23"/>
      <c r="R94" s="23" t="s">
        <v>816</v>
      </c>
      <c r="S94" s="35">
        <f>SUM(U94:U94)/IF(AG94="EC",12,1)</f>
        <v>1</v>
      </c>
      <c r="T94" s="50" t="str">
        <f t="shared" si="38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11:20:22-700',mode:absolute,to:'2016-11-14 13:33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4" s="52" t="str">
        <f t="shared" si="40"/>
        <v>N</v>
      </c>
      <c r="X94" s="177">
        <f t="shared" si="41"/>
        <v>1</v>
      </c>
      <c r="Y94" s="67">
        <v>0.04</v>
      </c>
      <c r="Z94" s="67">
        <f t="shared" si="43"/>
        <v>23.330400000000001</v>
      </c>
      <c r="AA94" s="67">
        <f t="shared" si="44"/>
        <v>23.290400000000002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5"/>
        <v>0165-14</v>
      </c>
      <c r="AE94" s="91" t="str">
        <f t="shared" si="46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94" s="88" t="str">
        <f t="shared" si="47"/>
        <v>"C:\Program Files (x86)\AstroGrep\AstroGrep.exe" /spath="%USERPROFILE%\AppData\Local\Temp\OnboardLogs" /stypes="app*4040*20161114*" /stext=" 19:.+((SYSTEM_STATE.+slice.+state.+changed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165-14 --locoid 4040 --swversion DE.1.0.8.0 --startMP 204:154260 --initTime 2016-11-14T12:20:22 --startdatetime 2016-11-14T11:45:19 --delay 1 --endMP 204:233304 --enddatetime 2016-11-14T12:33:24 --enforcementcount 0 &gt;&gt;C:\Users\stu\Documents\GitHub\eaglep3-reporting\EC\2016-11-14-refined-times.txt</v>
      </c>
      <c r="AI94" s="119" t="str">
        <f t="shared" si="50"/>
        <v>echo {"issue":{"subject":"Re-initialized at 61st, otherwise normal run","project_id":79,"tracker_id":40,"status_id":1,"priority_id":2,"assigned_to_id":23,"start_date":"2016-11-14","description":"","custom_fields":[{"id":1,"name":"Subdivision","value":"EC"},{"id":4,"name":"Milepost","value":"23.3304"},{"id":17,"name":"Train ID","value":"165-14"},{"id":16,"name":"Locomotive ID","value":"4040"},{"id":130,"name":"Impact","value":""},{"id":150,"name":"Time of Event (Mountain Time)","value":"12:33:24"},{"id":151,"name":"Denver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420</v>
      </c>
      <c r="B95" s="7">
        <v>4039</v>
      </c>
      <c r="C95" s="22" t="s">
        <v>224</v>
      </c>
      <c r="D95" s="22" t="s">
        <v>266</v>
      </c>
      <c r="E95" s="13">
        <v>42688.530428240738</v>
      </c>
      <c r="F95" s="13">
        <v>42688.532627314817</v>
      </c>
      <c r="G95" s="7">
        <v>1</v>
      </c>
      <c r="H95" s="22" t="s">
        <v>198</v>
      </c>
      <c r="I95" s="13">
        <v>42688.562442129631</v>
      </c>
      <c r="J95" s="7">
        <v>0</v>
      </c>
      <c r="K95" s="109" t="str">
        <f t="shared" si="36"/>
        <v>4039/4040</v>
      </c>
      <c r="L95" s="22" t="str">
        <f>VLOOKUP(A95,'Trips&amp;Operators'!$C$1:$E$10000,3,FALSE)</f>
        <v>CLARK</v>
      </c>
      <c r="M95" s="6">
        <f t="shared" si="37"/>
        <v>2.9814814814017154E-2</v>
      </c>
      <c r="N95" s="7">
        <f t="shared" si="51"/>
        <v>42.933333332184702</v>
      </c>
      <c r="O95" s="7"/>
      <c r="P95" s="7"/>
      <c r="Q95" s="23"/>
      <c r="R95" s="23"/>
      <c r="S95" s="35">
        <f t="shared" si="52"/>
        <v>1</v>
      </c>
      <c r="T95" s="50" t="str">
        <f t="shared" si="38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11:43:49-700',mode:absolute,to:'2016-11-14 14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5" s="52" t="str">
        <f t="shared" si="40"/>
        <v>N</v>
      </c>
      <c r="X95" s="177">
        <f t="shared" si="41"/>
        <v>1</v>
      </c>
      <c r="Y95" s="67">
        <f t="shared" si="42"/>
        <v>23.298100000000002</v>
      </c>
      <c r="Z95" s="67">
        <f t="shared" si="43"/>
        <v>1.43E-2</v>
      </c>
      <c r="AA95" s="67">
        <f t="shared" si="44"/>
        <v>23.283800000000003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5"/>
        <v>0166-14</v>
      </c>
      <c r="AE95" s="91" t="str">
        <f t="shared" si="46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95" s="88" t="str">
        <f t="shared" si="47"/>
        <v>"C:\Program Files (x86)\AstroGrep\AstroGrep.exe" /spath="%USERPROFILE%\AppData\Local\Temp\OnboardLogs" /stypes="app*4039*20161114*" /stext=" 20:.+((SYSTEM_STATE.+slice.+state.+changed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166-14 --locoid 4039 --swversion DE.1.0.8.0 --startMP 204:232981 --initTime 2016-11-14T12:43:49 --startdatetime 2016-11-14T12:46:59 --delay 1 --endMP 204:143 --enddatetime 2016-11-14T13:29:55 --enforcementcount 0 &gt;&gt;C:\Users\stu\Documents\GitHub\eaglep3-reporting\EC\2016-11-14-refined-times.txt</v>
      </c>
      <c r="AI95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{"issue":{"subject":"","project_id":79,"tracker_id":40,"status_id":1,"priority_id":2,"assigned_to_id":23,"start_date":"2016-11-14","description":"","custom_fields":[{"id":1,"name":"Subdivision","value":"EC"},{"id":4,"name":"Milepost","value":"0.0143"},{"id":17,"name":"Train ID","value":"166-14"},{"id":16,"name":"Locomotive ID","value":"4039"},{"id":130,"name":"Impact","value":""},{"id":150,"name":"Time of Event (Mountain Time)","value":"13:29:55"},{"id":151,"name":"Denver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519</v>
      </c>
      <c r="B96" s="7">
        <v>4046</v>
      </c>
      <c r="C96" s="22" t="s">
        <v>224</v>
      </c>
      <c r="D96" s="22" t="s">
        <v>692</v>
      </c>
      <c r="E96" s="13">
        <v>42688.496180555558</v>
      </c>
      <c r="F96" s="13">
        <v>42688.500428240739</v>
      </c>
      <c r="G96" s="7">
        <v>2</v>
      </c>
      <c r="H96" s="22" t="s">
        <v>202</v>
      </c>
      <c r="I96" s="13">
        <v>42688.529722222222</v>
      </c>
      <c r="J96" s="7">
        <v>0</v>
      </c>
      <c r="K96" s="109" t="str">
        <f t="shared" si="36"/>
        <v>4045/4046</v>
      </c>
      <c r="L96" s="22" t="str">
        <f>VLOOKUP(A96,'Trips&amp;Operators'!$C$1:$E$10000,3,FALSE)</f>
        <v>DELGADO</v>
      </c>
      <c r="M96" s="6">
        <f t="shared" si="37"/>
        <v>2.9293981482624076E-2</v>
      </c>
      <c r="N96" s="7">
        <f t="shared" si="51"/>
        <v>42.18333333497867</v>
      </c>
      <c r="O96" s="7"/>
      <c r="P96" s="7"/>
      <c r="Q96" s="23"/>
      <c r="R96" s="23"/>
      <c r="S96" s="35">
        <f t="shared" si="52"/>
        <v>1</v>
      </c>
      <c r="T96" s="50" t="str">
        <f t="shared" si="38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10:54:30-700',mode:absolute,to:'2016-11-14 13:42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6" s="52" t="str">
        <f t="shared" si="40"/>
        <v>N</v>
      </c>
      <c r="X96" s="177">
        <f t="shared" si="41"/>
        <v>1</v>
      </c>
      <c r="Y96" s="67">
        <f t="shared" si="42"/>
        <v>4.8800000000000003E-2</v>
      </c>
      <c r="Z96" s="67">
        <f t="shared" si="43"/>
        <v>23.329499999999999</v>
      </c>
      <c r="AA96" s="67">
        <f t="shared" si="44"/>
        <v>23.2807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5"/>
        <v>0167-14</v>
      </c>
      <c r="AE96" s="91" t="str">
        <f t="shared" si="46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96" s="88" t="str">
        <f t="shared" si="47"/>
        <v>"C:\Program Files (x86)\AstroGrep\AstroGrep.exe" /spath="%USERPROFILE%\AppData\Local\Temp\OnboardLogs" /stypes="app*4046*20161114*" /stext=" 19:.+((SYSTEM_STATE.+slice.+state.+changed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167-14 --locoid 4046 --swversion DE.1.0.8.0 --startMP 204:488 --initTime 2016-11-14T11:54:30 --startdatetime 2016-11-14T12:00:37 --delay 2 --endMP 204:233295 --enddatetime 2016-11-14T12:42:48 --enforcementcount 0 &gt;&gt;C:\Users\stu\Documents\GitHub\eaglep3-reporting\EC\2016-11-14-refined-times.txt</v>
      </c>
      <c r="AI9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{"issue":{"subject":"","project_id":79,"tracker_id":40,"status_id":1,"priority_id":2,"assigned_to_id":23,"start_date":"2016-11-14","description":"","custom_fields":[{"id":1,"name":"Subdivision","value":"EC"},{"id":4,"name":"Milepost","value":"23.3295"},{"id":17,"name":"Train ID","value":"167-14"},{"id":16,"name":"Locomotive ID","value":"4046"},{"id":130,"name":"Impact","value":""},{"id":150,"name":"Time of Event (Mountain Time)","value":"12:42:48"},{"id":151,"name":"Denver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527</v>
      </c>
      <c r="B97" s="7">
        <v>4045</v>
      </c>
      <c r="C97" s="22" t="s">
        <v>224</v>
      </c>
      <c r="D97" s="22" t="s">
        <v>341</v>
      </c>
      <c r="E97" s="13">
        <v>42688.533599537041</v>
      </c>
      <c r="F97" s="13">
        <v>42688.539594907408</v>
      </c>
      <c r="G97" s="7">
        <v>1</v>
      </c>
      <c r="H97" s="22" t="s">
        <v>197</v>
      </c>
      <c r="I97" s="13">
        <v>42688.569988425923</v>
      </c>
      <c r="J97" s="7">
        <v>0</v>
      </c>
      <c r="K97" s="109" t="str">
        <f t="shared" si="36"/>
        <v>4045/4046</v>
      </c>
      <c r="L97" s="22" t="str">
        <f>VLOOKUP(A97,'Trips&amp;Operators'!$C$1:$E$10000,3,FALSE)</f>
        <v>DELGADO</v>
      </c>
      <c r="M97" s="6">
        <f t="shared" si="37"/>
        <v>3.0393518514756579E-2</v>
      </c>
      <c r="N97" s="7">
        <f t="shared" si="51"/>
        <v>43.766666661249474</v>
      </c>
      <c r="O97" s="7"/>
      <c r="P97" s="7"/>
      <c r="Q97" s="23"/>
      <c r="R97" s="23"/>
      <c r="S97" s="35">
        <f t="shared" si="52"/>
        <v>1</v>
      </c>
      <c r="T97" s="50" t="str">
        <f t="shared" si="38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11:48:23-700',mode:absolute,to:'2016-11-14 14:40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7" s="52" t="str">
        <f t="shared" si="40"/>
        <v>N</v>
      </c>
      <c r="X97" s="177">
        <f t="shared" si="41"/>
        <v>1</v>
      </c>
      <c r="Y97" s="67">
        <f t="shared" si="42"/>
        <v>23.297499999999999</v>
      </c>
      <c r="Z97" s="67">
        <f t="shared" si="43"/>
        <v>1.49E-2</v>
      </c>
      <c r="AA97" s="67">
        <f t="shared" si="44"/>
        <v>23.282599999999999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5"/>
        <v>0168-14</v>
      </c>
      <c r="AE97" s="91" t="str">
        <f t="shared" si="46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97" s="88" t="str">
        <f t="shared" si="47"/>
        <v>"C:\Program Files (x86)\AstroGrep\AstroGrep.exe" /spath="%USERPROFILE%\AppData\Local\Temp\OnboardLogs" /stypes="app*4045*20161114*" /stext=" 20:.+((SYSTEM_STATE.+slice.+state.+changed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168-14 --locoid 4045 --swversion DE.1.0.8.0 --startMP 204:232975 --initTime 2016-11-14T12:48:23 --startdatetime 2016-11-14T12:57:01 --delay 1 --endMP 204:149 --enddatetime 2016-11-14T13:40:47 --enforcementcount 0 &gt;&gt;C:\Users\stu\Documents\GitHub\eaglep3-reporting\EC\2016-11-14-refined-times.txt</v>
      </c>
      <c r="AI9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{"issue":{"subject":"","project_id":79,"tracker_id":40,"status_id":1,"priority_id":2,"assigned_to_id":23,"start_date":"2016-11-14","description":"","custom_fields":[{"id":1,"name":"Subdivision","value":"EC"},{"id":4,"name":"Milepost","value":"0.0149"},{"id":17,"name":"Train ID","value":"168-14"},{"id":16,"name":"Locomotive ID","value":"4045"},{"id":130,"name":"Impact","value":""},{"id":150,"name":"Time of Event (Mountain Time)","value":"13:40:47"},{"id":151,"name":"Denver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524</v>
      </c>
      <c r="B98" s="7">
        <v>4011</v>
      </c>
      <c r="C98" s="22" t="s">
        <v>224</v>
      </c>
      <c r="D98" s="22" t="s">
        <v>324</v>
      </c>
      <c r="E98" s="13">
        <v>42688.517048611109</v>
      </c>
      <c r="F98" s="13">
        <v>42688.520439814813</v>
      </c>
      <c r="G98" s="7">
        <v>1</v>
      </c>
      <c r="H98" s="22" t="s">
        <v>188</v>
      </c>
      <c r="I98" s="13">
        <v>42688.546770833331</v>
      </c>
      <c r="J98" s="7">
        <v>0</v>
      </c>
      <c r="K98" s="109" t="str">
        <f t="shared" si="36"/>
        <v>4011/4012</v>
      </c>
      <c r="L98" s="22" t="str">
        <f>VLOOKUP(A98,'Trips&amp;Operators'!$C$1:$E$10000,3,FALSE)</f>
        <v>BADERTSCHER</v>
      </c>
      <c r="M98" s="6">
        <f t="shared" si="37"/>
        <v>2.6331018518249039E-2</v>
      </c>
      <c r="N98" s="7">
        <f t="shared" si="51"/>
        <v>37.916666666278616</v>
      </c>
      <c r="O98" s="7"/>
      <c r="P98" s="7"/>
      <c r="Q98" s="23"/>
      <c r="R98" s="23"/>
      <c r="S98" s="35">
        <f t="shared" si="52"/>
        <v>1</v>
      </c>
      <c r="T98" s="50" t="str">
        <f t="shared" si="38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11:24:33-700',mode:absolute,to:'2016-11-14 14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8" s="52" t="str">
        <f t="shared" si="40"/>
        <v>N</v>
      </c>
      <c r="X98" s="177">
        <f t="shared" si="41"/>
        <v>1</v>
      </c>
      <c r="Y98" s="67">
        <f t="shared" si="42"/>
        <v>4.4400000000000002E-2</v>
      </c>
      <c r="Z98" s="67">
        <f t="shared" si="43"/>
        <v>23.329699999999999</v>
      </c>
      <c r="AA98" s="67">
        <f t="shared" si="44"/>
        <v>23.285299999999999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5"/>
        <v>0169-14</v>
      </c>
      <c r="AE98" s="91" t="str">
        <f t="shared" si="46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98" s="88" t="str">
        <f t="shared" si="47"/>
        <v>"C:\Program Files (x86)\AstroGrep\AstroGrep.exe" /spath="%USERPROFILE%\AppData\Local\Temp\OnboardLogs" /stypes="app*4011*20161114*" /stext=" 20:.+((SYSTEM_STATE.+slice.+state.+changed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169-14 --locoid 4011 --swversion DE.1.0.8.0 --startMP 204:444 --initTime 2016-11-14T12:24:33 --startdatetime 2016-11-14T12:29:26 --delay 1 --endMP 204:233297 --enddatetime 2016-11-14T13:07:21 --enforcementcount 0 &gt;&gt;C:\Users\stu\Documents\GitHub\eaglep3-reporting\EC\2016-11-14-refined-times.txt</v>
      </c>
      <c r="AI9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{"issue":{"subject":"","project_id":79,"tracker_id":40,"status_id":1,"priority_id":2,"assigned_to_id":23,"start_date":"2016-11-14","description":"","custom_fields":[{"id":1,"name":"Subdivision","value":"EC"},{"id":4,"name":"Milepost","value":"23.3297"},{"id":17,"name":"Train ID","value":"169-14"},{"id":16,"name":"Locomotive ID","value":"4011"},{"id":130,"name":"Impact","value":""},{"id":150,"name":"Time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531</v>
      </c>
      <c r="B99" s="7">
        <v>4012</v>
      </c>
      <c r="C99" s="22" t="s">
        <v>224</v>
      </c>
      <c r="D99" s="22" t="s">
        <v>338</v>
      </c>
      <c r="E99" s="13">
        <v>42688.548680555556</v>
      </c>
      <c r="F99" s="13">
        <v>42688.551168981481</v>
      </c>
      <c r="G99" s="7">
        <v>1</v>
      </c>
      <c r="H99" s="22" t="s">
        <v>246</v>
      </c>
      <c r="I99" s="13">
        <v>42688.580995370372</v>
      </c>
      <c r="J99" s="7">
        <v>0</v>
      </c>
      <c r="K99" s="109" t="str">
        <f t="shared" si="36"/>
        <v>4011/4012</v>
      </c>
      <c r="L99" s="22" t="str">
        <f>VLOOKUP(A99,'Trips&amp;Operators'!$C$1:$E$10000,3,FALSE)</f>
        <v>BADERTSCHER</v>
      </c>
      <c r="M99" s="6">
        <f t="shared" si="37"/>
        <v>2.9826388890796807E-2</v>
      </c>
      <c r="N99" s="7">
        <f t="shared" si="51"/>
        <v>42.950000002747402</v>
      </c>
      <c r="O99" s="7"/>
      <c r="P99" s="7"/>
      <c r="Q99" s="23"/>
      <c r="R99" s="23"/>
      <c r="S99" s="35">
        <f t="shared" si="52"/>
        <v>1</v>
      </c>
      <c r="T99" s="50" t="str">
        <f t="shared" si="38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12:10:06-700',mode:absolute,to:'2016-11-14 14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52" t="str">
        <f t="shared" si="40"/>
        <v>N</v>
      </c>
      <c r="X99" s="177">
        <f t="shared" si="41"/>
        <v>1</v>
      </c>
      <c r="Y99" s="67">
        <f t="shared" si="42"/>
        <v>23.2989</v>
      </c>
      <c r="Z99" s="67">
        <f t="shared" si="43"/>
        <v>1.6E-2</v>
      </c>
      <c r="AA99" s="67">
        <f t="shared" si="44"/>
        <v>23.282900000000001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5"/>
        <v>0170-14</v>
      </c>
      <c r="AE99" s="91" t="str">
        <f t="shared" si="46"/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AF99" s="88" t="str">
        <f t="shared" si="47"/>
        <v>"C:\Program Files (x86)\AstroGrep\AstroGrep.exe" /spath="%USERPROFILE%\AppData\Local\Temp\OnboardLogs" /stypes="app*4012*20161114*" /stext=" 20:.+((SYSTEM_STATE.+slice.+state.+changed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170-14 --locoid 4012 --swversion DE.1.0.8.0 --startMP 204:232989 --initTime 2016-11-14T13:10:06 --startdatetime 2016-11-14T13:13:41 --delay 1 --endMP 204:160 --enddatetime 2016-11-14T13:56:38 --enforcementcount 0 &gt;&gt;C:\Users\stu\Documents\GitHub\eaglep3-reporting\EC\2016-11-14-refined-times.txt</v>
      </c>
      <c r="AI9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ID","value":"170-14"},{"id":16,"name":"Locomotive ID","value":"4012"},{"id":130,"name":"Impact","value":""},{"id":150,"name":"Time of Event (Mountain Time)","value":"13:56:38"},{"id":151,"name":"Denver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525</v>
      </c>
      <c r="B100" s="7">
        <v>4018</v>
      </c>
      <c r="C100" s="22" t="s">
        <v>224</v>
      </c>
      <c r="D100" s="22" t="s">
        <v>268</v>
      </c>
      <c r="E100" s="13">
        <v>42688.519837962966</v>
      </c>
      <c r="F100" s="13">
        <v>42688.523865740739</v>
      </c>
      <c r="G100" s="7">
        <v>1</v>
      </c>
      <c r="H100" s="22" t="s">
        <v>693</v>
      </c>
      <c r="I100" s="13">
        <v>42688.553761574076</v>
      </c>
      <c r="J100" s="7">
        <v>0</v>
      </c>
      <c r="K100" s="109" t="str">
        <f t="shared" si="36"/>
        <v>4017/4018</v>
      </c>
      <c r="L100" s="22" t="str">
        <f>VLOOKUP(A100,'Trips&amp;Operators'!$C$1:$E$10000,3,FALSE)</f>
        <v>SHOOK</v>
      </c>
      <c r="M100" s="6">
        <f t="shared" si="37"/>
        <v>2.9895833336922806E-2</v>
      </c>
      <c r="N100" s="7">
        <f t="shared" si="51"/>
        <v>43.05000000516884</v>
      </c>
      <c r="O100" s="7"/>
      <c r="P100" s="7"/>
      <c r="Q100" s="23"/>
      <c r="R100" s="23"/>
      <c r="S100" s="35">
        <f t="shared" si="52"/>
        <v>1</v>
      </c>
      <c r="T100" s="50" t="str">
        <f t="shared" si="38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11:28:34-700',mode:absolute,to:'2016-11-14 14:17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2" t="str">
        <f t="shared" si="40"/>
        <v>N</v>
      </c>
      <c r="X100" s="177">
        <f t="shared" si="41"/>
        <v>1</v>
      </c>
      <c r="Y100" s="67">
        <f t="shared" si="42"/>
        <v>4.4600000000000001E-2</v>
      </c>
      <c r="Z100" s="67">
        <f t="shared" si="43"/>
        <v>23.3337</v>
      </c>
      <c r="AA100" s="67">
        <f t="shared" si="44"/>
        <v>23.289100000000001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5"/>
        <v>0171-14</v>
      </c>
      <c r="AE100" s="91" t="str">
        <f t="shared" si="46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100" s="88" t="str">
        <f t="shared" si="47"/>
        <v>"C:\Program Files (x86)\AstroGrep\AstroGrep.exe" /spath="%USERPROFILE%\AppData\Local\Temp\OnboardLogs" /stypes="app*4018*20161114*" /stext=" 20:.+((SYSTEM_STATE.+slice.+state.+changed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171-14 --locoid 4018 --swversion DE.1.0.8.0 --startMP 204:446 --initTime 2016-11-14T12:28:34 --startdatetime 2016-11-14T12:34:22 --delay 1 --endMP 204:233337 --enddatetime 2016-11-14T13:17:25 --enforcementcount 0 &gt;&gt;C:\Users\stu\Documents\GitHub\eaglep3-reporting\EC\2016-11-14-refined-times.txt</v>
      </c>
      <c r="AI10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{"issue":{"subject":"","project_id":79,"tracker_id":40,"status_id":1,"priority_id":2,"assigned_to_id":23,"start_date":"2016-11-14","description":"","custom_fields":[{"id":1,"name":"Subdivision","value":"EC"},{"id":4,"name":"Milepost","value":"23.3337"},{"id":17,"name":"Train ID","value":"171-14"},{"id":16,"name":"Locomotive ID","value":"4018"},{"id":130,"name":"Impact","value":""},{"id":150,"name":"Time of Event (Mountain Time)","value":"13:17:25"},{"id":151,"name":"Denver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422</v>
      </c>
      <c r="B101" s="7">
        <v>4017</v>
      </c>
      <c r="C101" s="22" t="s">
        <v>224</v>
      </c>
      <c r="D101" s="22" t="s">
        <v>390</v>
      </c>
      <c r="E101" s="13">
        <v>42688.556944444441</v>
      </c>
      <c r="F101" s="13">
        <v>42688.560115740744</v>
      </c>
      <c r="G101" s="7">
        <v>1</v>
      </c>
      <c r="H101" s="22" t="s">
        <v>247</v>
      </c>
      <c r="I101" s="13">
        <v>42688.590196759258</v>
      </c>
      <c r="J101" s="7">
        <v>0</v>
      </c>
      <c r="K101" s="109" t="str">
        <f t="shared" si="36"/>
        <v>4017/4018</v>
      </c>
      <c r="L101" s="22" t="str">
        <f>VLOOKUP(A101,'Trips&amp;Operators'!$C$1:$E$10000,3,FALSE)</f>
        <v>SHOOK</v>
      </c>
      <c r="M101" s="6">
        <f t="shared" si="37"/>
        <v>3.0081018514465541E-2</v>
      </c>
      <c r="N101" s="7">
        <f t="shared" si="51"/>
        <v>43.316666660830379</v>
      </c>
      <c r="O101" s="7"/>
      <c r="P101" s="7"/>
      <c r="Q101" s="23"/>
      <c r="R101" s="23"/>
      <c r="S101" s="35">
        <f t="shared" si="52"/>
        <v>1</v>
      </c>
      <c r="T101" s="50" t="str">
        <f t="shared" si="38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12:22:00-700',mode:absolute,to:'2016-11-14 15:09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2" t="str">
        <f t="shared" si="40"/>
        <v>N</v>
      </c>
      <c r="X101" s="177">
        <f t="shared" si="41"/>
        <v>1</v>
      </c>
      <c r="Y101" s="67">
        <f t="shared" si="42"/>
        <v>23.303799999999999</v>
      </c>
      <c r="Z101" s="67">
        <f t="shared" si="43"/>
        <v>1.4999999999999999E-2</v>
      </c>
      <c r="AA101" s="67">
        <f t="shared" si="44"/>
        <v>23.288799999999998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5"/>
        <v>0172-14</v>
      </c>
      <c r="AE101" s="91" t="str">
        <f t="shared" si="46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101" s="88" t="str">
        <f t="shared" si="47"/>
        <v>"C:\Program Files (x86)\AstroGrep\AstroGrep.exe" /spath="%USERPROFILE%\AppData\Local\Temp\OnboardLogs" /stypes="app*4017*20161114*" /stext=" 21:.+((SYSTEM_STATE.+slice.+state.+changed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172-14 --locoid 4017 --swversion DE.1.0.8.0 --startMP 204:233038 --initTime 2016-11-14T13:22:00 --startdatetime 2016-11-14T13:26:34 --delay 1 --endMP 204:150 --enddatetime 2016-11-14T14:09:53 --enforcementcount 0 &gt;&gt;C:\Users\stu\Documents\GitHub\eaglep3-reporting\EC\2016-11-14-refined-times.txt</v>
      </c>
      <c r="AI10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{"issue":{"subject":"","project_id":79,"tracker_id":40,"status_id":1,"priority_id":2,"assigned_to_id":23,"start_date":"2016-11-14","description":"","custom_fields":[{"id":1,"name":"Subdivision","value":"EC"},{"id":4,"name":"Milepost","value":"0.015"},{"id":17,"name":"Train ID","value":"172-14"},{"id":16,"name":"Locomotive ID","value":"4017"},{"id":130,"name":"Impact","value":""},{"id":150,"name":"Time of Event (Mountain Time)","value":"14:09:53"},{"id":151,"name":"Denver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419</v>
      </c>
      <c r="B102" s="7">
        <v>4016</v>
      </c>
      <c r="C102" s="22" t="s">
        <v>224</v>
      </c>
      <c r="D102" s="22" t="s">
        <v>275</v>
      </c>
      <c r="E102" s="13">
        <v>42688.530624999999</v>
      </c>
      <c r="F102" s="13">
        <v>42688.53230324074</v>
      </c>
      <c r="G102" s="7">
        <v>1</v>
      </c>
      <c r="H102" s="22" t="s">
        <v>277</v>
      </c>
      <c r="I102" s="13">
        <v>42688.560879629629</v>
      </c>
      <c r="J102" s="7">
        <v>0</v>
      </c>
      <c r="K102" s="109" t="str">
        <f t="shared" si="36"/>
        <v>4015/4016</v>
      </c>
      <c r="L102" s="22" t="str">
        <f>VLOOKUP(A102,'Trips&amp;Operators'!$C$1:$E$10000,3,FALSE)</f>
        <v>MCREYNOLDS</v>
      </c>
      <c r="M102" s="6">
        <f t="shared" si="37"/>
        <v>2.8576388889632653E-2</v>
      </c>
      <c r="N102" s="7">
        <f t="shared" si="51"/>
        <v>41.150000001071021</v>
      </c>
      <c r="O102" s="7"/>
      <c r="P102" s="7"/>
      <c r="Q102" s="23"/>
      <c r="R102" s="23"/>
      <c r="S102" s="35">
        <f t="shared" si="52"/>
        <v>1</v>
      </c>
      <c r="T102" s="50" t="str">
        <f t="shared" si="38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11:44:06-700',mode:absolute,to:'2016-11-14 14:27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2" s="52" t="str">
        <f t="shared" si="40"/>
        <v>N</v>
      </c>
      <c r="X102" s="177">
        <f t="shared" si="41"/>
        <v>1</v>
      </c>
      <c r="Y102" s="67">
        <f t="shared" si="42"/>
        <v>4.7300000000000002E-2</v>
      </c>
      <c r="Z102" s="67">
        <f t="shared" si="43"/>
        <v>23.330400000000001</v>
      </c>
      <c r="AA102" s="67">
        <f t="shared" si="44"/>
        <v>23.283100000000001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5"/>
        <v>0173-14</v>
      </c>
      <c r="AE102" s="91" t="str">
        <f t="shared" si="46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102" s="88" t="str">
        <f t="shared" si="47"/>
        <v>"C:\Program Files (x86)\AstroGrep\AstroGrep.exe" /spath="%USERPROFILE%\AppData\Local\Temp\OnboardLogs" /stypes="app*4016*20161114*" /stext=" 20:.+((SYSTEM_STATE.+slice.+state.+changed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173-14 --locoid 4016 --swversion DE.1.0.8.0 --startMP 204:473 --initTime 2016-11-14T12:44:06 --startdatetime 2016-11-14T12:46:31 --delay 1 --endMP 204:233304 --enddatetime 2016-11-14T13:27:40 --enforcementcount 0 &gt;&gt;C:\Users\stu\Documents\GitHub\eaglep3-reporting\EC\2016-11-14-refined-times.txt</v>
      </c>
      <c r="AI102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{"issue":{"subject":"","project_id":79,"tracker_id":40,"status_id":1,"priority_id":2,"assigned_to_id":23,"start_date":"2016-11-14","description":"","custom_fields":[{"id":1,"name":"Subdivision","value":"EC"},{"id":4,"name":"Milepost","value":"23.3304"},{"id":17,"name":"Train ID","value":"173-14"},{"id":16,"name":"Locomotive ID","value":"4016"},{"id":130,"name":"Impact","value":""},{"id":150,"name":"Time of Event (Mountain Time)","value":"13:27:40"},{"id":151,"name":"Denver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533</v>
      </c>
      <c r="B103" s="7">
        <v>4015</v>
      </c>
      <c r="C103" s="22" t="s">
        <v>224</v>
      </c>
      <c r="D103" s="22" t="s">
        <v>279</v>
      </c>
      <c r="E103" s="13">
        <v>42688.566053240742</v>
      </c>
      <c r="F103" s="13">
        <v>42688.571111111109</v>
      </c>
      <c r="G103" s="7">
        <v>1</v>
      </c>
      <c r="H103" s="22" t="s">
        <v>247</v>
      </c>
      <c r="I103" s="13">
        <v>42688.599930555552</v>
      </c>
      <c r="J103" s="7">
        <v>0</v>
      </c>
      <c r="K103" s="109" t="str">
        <f t="shared" si="36"/>
        <v>4015/4016</v>
      </c>
      <c r="L103" s="22" t="str">
        <f>VLOOKUP(A103,'Trips&amp;Operators'!$C$1:$E$10000,3,FALSE)</f>
        <v>MCREYNOLDS</v>
      </c>
      <c r="M103" s="6">
        <f t="shared" si="37"/>
        <v>2.8819444443797693E-2</v>
      </c>
      <c r="N103" s="7">
        <f t="shared" si="51"/>
        <v>41.499999999068677</v>
      </c>
      <c r="O103" s="7"/>
      <c r="P103" s="7"/>
      <c r="Q103" s="23"/>
      <c r="R103" s="23"/>
      <c r="S103" s="35">
        <f t="shared" si="52"/>
        <v>1</v>
      </c>
      <c r="T103" s="50" t="str">
        <f t="shared" si="38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12:35:07-700',mode:absolute,to:'2016-11-14 15:23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3" s="52" t="str">
        <f t="shared" si="40"/>
        <v>N</v>
      </c>
      <c r="X103" s="177">
        <f t="shared" si="41"/>
        <v>1</v>
      </c>
      <c r="Y103" s="67">
        <f t="shared" si="42"/>
        <v>23.299299999999999</v>
      </c>
      <c r="Z103" s="67">
        <f t="shared" si="43"/>
        <v>1.4999999999999999E-2</v>
      </c>
      <c r="AA103" s="67">
        <f t="shared" si="44"/>
        <v>23.284299999999998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5"/>
        <v>0174-14</v>
      </c>
      <c r="AE103" s="91" t="str">
        <f t="shared" si="46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103" s="88" t="str">
        <f t="shared" si="47"/>
        <v>"C:\Program Files (x86)\AstroGrep\AstroGrep.exe" /spath="%USERPROFILE%\AppData\Local\Temp\OnboardLogs" /stypes="app*4015*20161114*" /stext=" 21:.+((SYSTEM_STATE.+slice.+state.+changed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174-14 --locoid 4015 --swversion DE.1.0.8.0 --startMP 204:232993 --initTime 2016-11-14T13:35:07 --startdatetime 2016-11-14T13:42:24 --delay 1 --endMP 204:150 --enddatetime 2016-11-14T14:23:54 --enforcementcount 0 &gt;&gt;C:\Users\stu\Documents\GitHub\eaglep3-reporting\EC\2016-11-14-refined-times.txt</v>
      </c>
      <c r="AI10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{"issue":{"subject":"","project_id":79,"tracker_id":40,"status_id":1,"priority_id":2,"assigned_to_id":23,"start_date":"2016-11-14","description":"","custom_fields":[{"id":1,"name":"Subdivision","value":"EC"},{"id":4,"name":"Milepost","value":"0.015"},{"id":17,"name":"Train ID","value":"174-14"},{"id":16,"name":"Locomotive ID","value":"4015"},{"id":130,"name":"Impact","value":""},{"id":150,"name":"Time of Event (Mountain Time)","value":"14:23:54"},{"id":151,"name":"Denver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528</v>
      </c>
      <c r="B104" s="7">
        <v>4029</v>
      </c>
      <c r="C104" s="22" t="s">
        <v>224</v>
      </c>
      <c r="D104" s="22" t="s">
        <v>281</v>
      </c>
      <c r="E104" s="13">
        <v>42688.544340277775</v>
      </c>
      <c r="F104" s="13">
        <v>42688.545787037037</v>
      </c>
      <c r="G104" s="7">
        <v>1</v>
      </c>
      <c r="H104" s="22" t="s">
        <v>258</v>
      </c>
      <c r="I104" s="13">
        <v>42688.574594907404</v>
      </c>
      <c r="J104" s="7">
        <v>0</v>
      </c>
      <c r="K104" s="109" t="str">
        <f t="shared" si="36"/>
        <v>4029/4030</v>
      </c>
      <c r="L104" s="22" t="str">
        <f>VLOOKUP(A104,'Trips&amp;Operators'!$C$1:$E$10000,3,FALSE)</f>
        <v>BARTLETT</v>
      </c>
      <c r="M104" s="6">
        <f t="shared" si="37"/>
        <v>2.880787036701804E-2</v>
      </c>
      <c r="N104" s="7">
        <f t="shared" si="51"/>
        <v>41.483333328505978</v>
      </c>
      <c r="O104" s="7"/>
      <c r="P104" s="7"/>
      <c r="Q104" s="23"/>
      <c r="R104" s="23"/>
      <c r="S104" s="35">
        <f t="shared" si="52"/>
        <v>1</v>
      </c>
      <c r="T104" s="50" t="str">
        <f t="shared" si="38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12:03:51-700',mode:absolute,to:'2016-11-14 14:47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4" s="52" t="str">
        <f t="shared" si="40"/>
        <v>N</v>
      </c>
      <c r="X104" s="177">
        <f t="shared" si="41"/>
        <v>1</v>
      </c>
      <c r="Y104" s="67">
        <f t="shared" si="42"/>
        <v>4.7100000000000003E-2</v>
      </c>
      <c r="Z104" s="67">
        <f t="shared" si="43"/>
        <v>23.3293</v>
      </c>
      <c r="AA104" s="67">
        <f t="shared" si="44"/>
        <v>23.2822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5"/>
        <v>0175-14</v>
      </c>
      <c r="AE104" s="91" t="str">
        <f t="shared" si="46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04" s="88" t="str">
        <f t="shared" si="47"/>
        <v>"C:\Program Files (x86)\AstroGrep\AstroGrep.exe" /spath="%USERPROFILE%\AppData\Local\Temp\OnboardLogs" /stypes="app*4029*20161114*" /stext=" 20:.+((SYSTEM_STATE.+slice.+state.+changed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175-14 --locoid 4029 --swversion DE.1.0.8.0 --startMP 204:471 --initTime 2016-11-14T13:03:51 --startdatetime 2016-11-14T13:05:56 --delay 1 --endMP 204:233293 --enddatetime 2016-11-14T13:47:25 --enforcementcount 0 &gt;&gt;C:\Users\stu\Documents\GitHub\eaglep3-reporting\EC\2016-11-14-refined-times.txt</v>
      </c>
      <c r="AI104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{"issue":{"subject":"","project_id":79,"tracker_id":40,"status_id":1,"priority_id":2,"assigned_to_id":23,"start_date":"2016-11-14","description":"","custom_fields":[{"id":1,"name":"Subdivision","value":"EC"},{"id":4,"name":"Milepost","value":"23.3293"},{"id":17,"name":"Train ID","value":"175-14"},{"id":16,"name":"Locomotive ID","value":"4029"},{"id":130,"name":"Impact","value":""},{"id":150,"name":"Time of Event (Mountain Time)","value":"13:47:25"},{"id":151,"name":"Denver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536</v>
      </c>
      <c r="B105" s="7">
        <v>4030</v>
      </c>
      <c r="C105" s="22" t="s">
        <v>224</v>
      </c>
      <c r="D105" s="22" t="s">
        <v>237</v>
      </c>
      <c r="E105" s="13">
        <v>42688.580150462964</v>
      </c>
      <c r="F105" s="13">
        <v>42688.581736111111</v>
      </c>
      <c r="G105" s="7">
        <v>1</v>
      </c>
      <c r="H105" s="22" t="s">
        <v>246</v>
      </c>
      <c r="I105" s="13">
        <v>42688.607754629629</v>
      </c>
      <c r="J105" s="7">
        <v>0</v>
      </c>
      <c r="K105" s="109" t="str">
        <f t="shared" si="36"/>
        <v>4029/4030</v>
      </c>
      <c r="L105" s="22" t="str">
        <f>VLOOKUP(A105,'Trips&amp;Operators'!$C$1:$E$10000,3,FALSE)</f>
        <v>BARTLETT</v>
      </c>
      <c r="M105" s="6">
        <f t="shared" si="37"/>
        <v>2.6018518517958E-2</v>
      </c>
      <c r="N105" s="7">
        <f t="shared" si="51"/>
        <v>37.46666666585952</v>
      </c>
      <c r="O105" s="7"/>
      <c r="P105" s="7"/>
      <c r="Q105" s="23"/>
      <c r="R105" s="23"/>
      <c r="S105" s="35">
        <f t="shared" si="52"/>
        <v>1</v>
      </c>
      <c r="T105" s="50" t="str">
        <f t="shared" si="38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12:55:25-700',mode:absolute,to:'2016-11-14 15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5" s="52" t="str">
        <f t="shared" si="40"/>
        <v>N</v>
      </c>
      <c r="X105" s="177">
        <f t="shared" si="41"/>
        <v>1</v>
      </c>
      <c r="Y105" s="67">
        <f t="shared" si="42"/>
        <v>23.298200000000001</v>
      </c>
      <c r="Z105" s="67">
        <f t="shared" si="43"/>
        <v>1.6E-2</v>
      </c>
      <c r="AA105" s="67">
        <f t="shared" si="44"/>
        <v>23.282200000000003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5"/>
        <v>0176-14</v>
      </c>
      <c r="AE105" s="91" t="str">
        <f t="shared" si="46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05" s="88" t="str">
        <f t="shared" si="47"/>
        <v>"C:\Program Files (x86)\AstroGrep\AstroGrep.exe" /spath="%USERPROFILE%\AppData\Local\Temp\OnboardLogs" /stypes="app*4030*20161114*" /stext=" 21:.+((SYSTEM_STATE.+slice.+state.+changed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176-14 --locoid 4030 --swversion DE.1.0.8.0 --startMP 204:232982 --initTime 2016-11-14T13:55:25 --startdatetime 2016-11-14T13:57:42 --delay 1 --endMP 204:160 --enddatetime 2016-11-14T14:35:10 --enforcementcount 0 &gt;&gt;C:\Users\stu\Documents\GitHub\eaglep3-reporting\EC\2016-11-14-refined-times.txt</v>
      </c>
      <c r="AI105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ID","value":"176-14"},{"id":16,"name":"Locomotive ID","value":"4030"},{"id":130,"name":"Impact","value":""},{"id":150,"name":"Time of Event (Mountain Time)","value":"14:35:10"},{"id":151,"name":"Denver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532</v>
      </c>
      <c r="B106" s="7">
        <v>4009</v>
      </c>
      <c r="C106" s="22" t="s">
        <v>224</v>
      </c>
      <c r="D106" s="22" t="s">
        <v>268</v>
      </c>
      <c r="E106" s="13">
        <v>42688.55027777778</v>
      </c>
      <c r="F106" s="13">
        <v>42688.552777777775</v>
      </c>
      <c r="G106" s="7">
        <v>1</v>
      </c>
      <c r="H106" s="22" t="s">
        <v>694</v>
      </c>
      <c r="I106" s="13">
        <v>42688.578993055555</v>
      </c>
      <c r="J106" s="7">
        <v>0</v>
      </c>
      <c r="K106" s="109" t="str">
        <f t="shared" si="36"/>
        <v>4009/4010</v>
      </c>
      <c r="L106" s="22" t="str">
        <f>VLOOKUP(A106,'Trips&amp;Operators'!$C$1:$E$10000,3,FALSE)</f>
        <v>MACDONALD</v>
      </c>
      <c r="M106" s="6">
        <f t="shared" si="37"/>
        <v>2.6215277779556345E-2</v>
      </c>
      <c r="N106" s="7">
        <f t="shared" si="51"/>
        <v>37.750000002561137</v>
      </c>
      <c r="O106" s="7"/>
      <c r="P106" s="7"/>
      <c r="Q106" s="23"/>
      <c r="R106" s="23"/>
      <c r="S106" s="35">
        <f t="shared" si="52"/>
        <v>1</v>
      </c>
      <c r="T106" s="50" t="str">
        <f t="shared" si="38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12:12:24-700',mode:absolute,to:'2016-11-14 14:53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6" s="52" t="str">
        <f t="shared" si="40"/>
        <v>N</v>
      </c>
      <c r="X106" s="177">
        <f t="shared" si="41"/>
        <v>1</v>
      </c>
      <c r="Y106" s="67">
        <f t="shared" si="42"/>
        <v>4.4600000000000001E-2</v>
      </c>
      <c r="Z106" s="67">
        <f t="shared" si="43"/>
        <v>23.3325</v>
      </c>
      <c r="AA106" s="67">
        <f t="shared" si="44"/>
        <v>23.2879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5"/>
        <v>0177-14</v>
      </c>
      <c r="AE106" s="91" t="str">
        <f t="shared" si="46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06" s="88" t="str">
        <f t="shared" si="47"/>
        <v>"C:\Program Files (x86)\AstroGrep\AstroGrep.exe" /spath="%USERPROFILE%\AppData\Local\Temp\OnboardLogs" /stypes="app*4009*20161114*" /stext=" 20:.+((SYSTEM_STATE.+slice.+state.+changed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177-14 --locoid 4009 --swversion DE.1.0.8.0 --startMP 204:446 --initTime 2016-11-14T13:12:24 --startdatetime 2016-11-14T13:16:00 --delay 1 --endMP 204:233325 --enddatetime 2016-11-14T13:53:45 --enforcementcount 0 &gt;&gt;C:\Users\stu\Documents\GitHub\eaglep3-reporting\EC\2016-11-14-refined-times.txt</v>
      </c>
      <c r="AI10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{"issue":{"subject":"","project_id":79,"tracker_id":40,"status_id":1,"priority_id":2,"assigned_to_id":23,"start_date":"2016-11-14","description":"","custom_fields":[{"id":1,"name":"Subdivision","value":"EC"},{"id":4,"name":"Milepost","value":"23.3325"},{"id":17,"name":"Train ID","value":"177-14"},{"id":16,"name":"Locomotive ID","value":"4009"},{"id":130,"name":"Impact","value":""},{"id":150,"name":"Time of Event (Mountain Time)","value":"13:53:45"},{"id":151,"name":"Denver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538</v>
      </c>
      <c r="B107" s="7">
        <v>4010</v>
      </c>
      <c r="C107" s="22" t="s">
        <v>224</v>
      </c>
      <c r="D107" s="22" t="s">
        <v>695</v>
      </c>
      <c r="E107" s="13">
        <v>42688.584594907406</v>
      </c>
      <c r="F107" s="13">
        <v>42688.591550925928</v>
      </c>
      <c r="G107" s="7">
        <v>1</v>
      </c>
      <c r="H107" s="22" t="s">
        <v>229</v>
      </c>
      <c r="I107" s="13">
        <v>42688.618078703701</v>
      </c>
      <c r="J107" s="7">
        <v>0</v>
      </c>
      <c r="K107" s="109" t="str">
        <f t="shared" si="36"/>
        <v>4009/4010</v>
      </c>
      <c r="L107" s="22" t="str">
        <f>VLOOKUP(A107,'Trips&amp;Operators'!$C$1:$E$10000,3,FALSE)</f>
        <v>MACDONALD</v>
      </c>
      <c r="M107" s="6">
        <f t="shared" si="37"/>
        <v>2.6527777772571426E-2</v>
      </c>
      <c r="N107" s="7">
        <f t="shared" si="51"/>
        <v>38.199999992502853</v>
      </c>
      <c r="O107" s="7"/>
      <c r="P107" s="7"/>
      <c r="Q107" s="23"/>
      <c r="R107" s="23"/>
      <c r="S107" s="35">
        <f t="shared" si="52"/>
        <v>1</v>
      </c>
      <c r="T107" s="50" t="str">
        <f t="shared" si="38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13:01:49-700',mode:absolute,to:'2016-11-14 15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7" s="52" t="str">
        <f t="shared" si="40"/>
        <v>N</v>
      </c>
      <c r="X107" s="177">
        <f t="shared" si="41"/>
        <v>1</v>
      </c>
      <c r="Y107" s="67">
        <f t="shared" si="42"/>
        <v>23.3004</v>
      </c>
      <c r="Z107" s="67">
        <f t="shared" si="43"/>
        <v>1.5800000000000002E-2</v>
      </c>
      <c r="AA107" s="67">
        <f t="shared" si="44"/>
        <v>23.284600000000001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5"/>
        <v>0178-14</v>
      </c>
      <c r="AE107" s="91" t="str">
        <f t="shared" si="46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07" s="88" t="str">
        <f t="shared" si="47"/>
        <v>"C:\Program Files (x86)\AstroGrep\AstroGrep.exe" /spath="%USERPROFILE%\AppData\Local\Temp\OnboardLogs" /stypes="app*4010*20161114*" /stext=" 21:.+((SYSTEM_STATE.+slice.+state.+changed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178-14 --locoid 4010 --swversion DE.1.0.8.0 --startMP 204:233004 --initTime 2016-11-14T14:01:49 --startdatetime 2016-11-14T14:11:50 --delay 1 --endMP 204:158 --enddatetime 2016-11-14T14:50:02 --enforcementcount 0 &gt;&gt;C:\Users\stu\Documents\GitHub\eaglep3-reporting\EC\2016-11-14-refined-times.txt</v>
      </c>
      <c r="AI10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{"issue":{"subject":"","project_id":79,"tracker_id":40,"status_id":1,"priority_id":2,"assigned_to_id":23,"start_date":"2016-11-14","description":"","custom_fields":[{"id":1,"name":"Subdivision","value":"EC"},{"id":4,"name":"Milepost","value":"0.0158"},{"id":17,"name":"Train ID","value":"178-14"},{"id":16,"name":"Locomotive ID","value":"4010"},{"id":130,"name":"Impact","value":""},{"id":150,"name":"Time of Event (Mountain Time)","value":"14:50:02"},{"id":151,"name":"Denver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421</v>
      </c>
      <c r="B108" s="7">
        <v>4040</v>
      </c>
      <c r="C108" s="22" t="s">
        <v>224</v>
      </c>
      <c r="D108" s="22" t="s">
        <v>280</v>
      </c>
      <c r="E108" s="13">
        <v>42688.563483796293</v>
      </c>
      <c r="F108" s="13">
        <v>42688.56590277778</v>
      </c>
      <c r="G108" s="7">
        <v>1</v>
      </c>
      <c r="H108" s="22" t="s">
        <v>325</v>
      </c>
      <c r="I108" s="13">
        <v>42688.597048611111</v>
      </c>
      <c r="J108" s="7">
        <v>0</v>
      </c>
      <c r="K108" s="109" t="str">
        <f t="shared" si="36"/>
        <v>4039/4040</v>
      </c>
      <c r="L108" s="22" t="str">
        <f>VLOOKUP(A108,'Trips&amp;Operators'!$C$1:$E$10000,3,FALSE)</f>
        <v>CLARK</v>
      </c>
      <c r="M108" s="6">
        <f t="shared" si="37"/>
        <v>3.1145833330811001E-2</v>
      </c>
      <c r="N108" s="7">
        <f t="shared" si="51"/>
        <v>44.849999996367842</v>
      </c>
      <c r="O108" s="7"/>
      <c r="P108" s="7"/>
      <c r="Q108" s="23"/>
      <c r="R108" s="23"/>
      <c r="S108" s="35">
        <f t="shared" si="52"/>
        <v>1</v>
      </c>
      <c r="T108" s="50" t="str">
        <f t="shared" si="38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12:31:25-700',mode:absolute,to:'2016-11-14 15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8" s="52" t="str">
        <f t="shared" si="40"/>
        <v>N</v>
      </c>
      <c r="X108" s="177">
        <f t="shared" si="41"/>
        <v>1</v>
      </c>
      <c r="Y108" s="67">
        <f t="shared" si="42"/>
        <v>4.4200000000000003E-2</v>
      </c>
      <c r="Z108" s="67">
        <f t="shared" si="43"/>
        <v>23.328600000000002</v>
      </c>
      <c r="AA108" s="67">
        <f t="shared" si="44"/>
        <v>23.284400000000002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5"/>
        <v>0179-14</v>
      </c>
      <c r="AE108" s="91" t="str">
        <f t="shared" si="46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108" s="88" t="str">
        <f t="shared" si="47"/>
        <v>"C:\Program Files (x86)\AstroGrep\AstroGrep.exe" /spath="%USERPROFILE%\AppData\Local\Temp\OnboardLogs" /stypes="app*4040*20161114*" /stext=" 21:.+((SYSTEM_STATE.+slice.+state.+changed )|(ment ac)|(system.+state.+changed )|(\[timeout)|(PRM\|1\|D)|(kpr)|(kdp)|(\|lc)|(penalty))" /e /r /s</v>
      </c>
      <c r="AG108" s="1" t="str">
        <f t="shared" si="48"/>
        <v>EC</v>
      </c>
      <c r="AH108" s="92" t="str">
        <f t="shared" si="49"/>
        <v>"%USERPROFILE%\Documents\GitHub\eaglep3\Utilities\RefineRTDCRunTimes.py" --tripid 179-14 --locoid 4040 --swversion DE.1.0.8.0 --startMP 204:442 --initTime 2016-11-14T13:31:25 --startdatetime 2016-11-14T13:34:54 --delay 1 --endMP 204:233286 --enddatetime 2016-11-14T14:19:45 --enforcementcount 0 &gt;&gt;C:\Users\stu\Documents\GitHub\eaglep3-reporting\EC\2016-11-14-refined-times.txt</v>
      </c>
      <c r="AI10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{"issue":{"subject":"","project_id":79,"tracker_id":40,"status_id":1,"priority_id":2,"assigned_to_id":23,"start_date":"2016-11-14","description":"","custom_fields":[{"id":1,"name":"Subdivision","value":"EC"},{"id":4,"name":"Milepost","value":"23.3286"},{"id":17,"name":"Train ID","value":"179-14"},{"id":16,"name":"Locomotive ID","value":"4040"},{"id":130,"name":"Impact","value":""},{"id":150,"name":"Time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541</v>
      </c>
      <c r="B109" s="7">
        <v>4039</v>
      </c>
      <c r="C109" s="22" t="s">
        <v>224</v>
      </c>
      <c r="D109" s="22" t="s">
        <v>372</v>
      </c>
      <c r="E109" s="13">
        <v>42688.600462962961</v>
      </c>
      <c r="F109" s="13">
        <v>42688.602094907408</v>
      </c>
      <c r="G109" s="7">
        <v>1</v>
      </c>
      <c r="H109" s="22" t="s">
        <v>248</v>
      </c>
      <c r="I109" s="13">
        <v>42688.630196759259</v>
      </c>
      <c r="J109" s="7">
        <v>0</v>
      </c>
      <c r="K109" s="109" t="str">
        <f t="shared" si="36"/>
        <v>4039/4040</v>
      </c>
      <c r="L109" s="22" t="str">
        <f>VLOOKUP(A109,'Trips&amp;Operators'!$C$1:$E$10000,3,FALSE)</f>
        <v>CLARK</v>
      </c>
      <c r="M109" s="6">
        <f t="shared" si="37"/>
        <v>2.810185185080627E-2</v>
      </c>
      <c r="N109" s="7">
        <f t="shared" si="51"/>
        <v>40.466666665161029</v>
      </c>
      <c r="O109" s="7"/>
      <c r="P109" s="7"/>
      <c r="Q109" s="23"/>
      <c r="R109" s="23"/>
      <c r="S109" s="35">
        <f t="shared" si="52"/>
        <v>1</v>
      </c>
      <c r="T109" s="50" t="str">
        <f t="shared" si="38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13:24:40-700',mode:absolute,to:'2016-11-14 16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9" s="52" t="str">
        <f t="shared" si="40"/>
        <v>N</v>
      </c>
      <c r="X109" s="177">
        <f t="shared" si="41"/>
        <v>1</v>
      </c>
      <c r="Y109" s="67">
        <f t="shared" si="42"/>
        <v>23.296500000000002</v>
      </c>
      <c r="Z109" s="67">
        <f t="shared" si="43"/>
        <v>1.3899999999999999E-2</v>
      </c>
      <c r="AA109" s="67">
        <f t="shared" si="44"/>
        <v>23.282600000000002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45"/>
        <v>0180-14</v>
      </c>
      <c r="AE109" s="91" t="str">
        <f t="shared" si="46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109" s="88" t="str">
        <f t="shared" si="47"/>
        <v>"C:\Program Files (x86)\AstroGrep\AstroGrep.exe" /spath="%USERPROFILE%\AppData\Local\Temp\OnboardLogs" /stypes="app*4039*20161114*" /stext=" 22:.+((SYSTEM_STATE.+slice.+state.+changed )|(ment ac)|(system.+state.+changed )|(\[timeout)|(PRM\|1\|D)|(kpr)|(kdp)|(\|lc)|(penalty))" /e /r /s</v>
      </c>
      <c r="AG109" s="1" t="str">
        <f t="shared" si="48"/>
        <v>EC</v>
      </c>
      <c r="AH109" s="92" t="str">
        <f t="shared" si="49"/>
        <v>"%USERPROFILE%\Documents\GitHub\eaglep3\Utilities\RefineRTDCRunTimes.py" --tripid 180-14 --locoid 4039 --swversion DE.1.0.8.0 --startMP 204:232965 --initTime 2016-11-14T14:24:40 --startdatetime 2016-11-14T14:27:01 --delay 1 --endMP 204:139 --enddatetime 2016-11-14T15:07:29 --enforcementcount 0 &gt;&gt;C:\Users\stu\Documents\GitHub\eaglep3-reporting\EC\2016-11-14-refined-times.txt</v>
      </c>
      <c r="AI10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{"issue":{"subject":"","project_id":79,"tracker_id":40,"status_id":1,"priority_id":2,"assigned_to_id":23,"start_date":"2016-11-14","description":"","custom_fields":[{"id":1,"name":"Subdivision","value":"EC"},{"id":4,"name":"Milepost","value":"0.0139"},{"id":17,"name":"Train ID","value":"180-14"},{"id":16,"name":"Locomotive ID","value":"4039"},{"id":130,"name":"Impact","value":""},{"id":150,"name":"Time of Event (Mountain Time)","value":"15:07:29"},{"id":151,"name":"Denver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535</v>
      </c>
      <c r="B110" s="7">
        <v>4046</v>
      </c>
      <c r="C110" s="22" t="s">
        <v>224</v>
      </c>
      <c r="D110" s="22" t="s">
        <v>696</v>
      </c>
      <c r="E110" s="13">
        <v>42688.573946759258</v>
      </c>
      <c r="F110" s="13">
        <v>42688.575902777775</v>
      </c>
      <c r="G110" s="7">
        <v>1</v>
      </c>
      <c r="H110" s="22" t="s">
        <v>313</v>
      </c>
      <c r="I110" s="13">
        <v>42688.60664351852</v>
      </c>
      <c r="J110" s="7">
        <v>0</v>
      </c>
      <c r="K110" s="109" t="str">
        <f t="shared" si="36"/>
        <v>4045/4046</v>
      </c>
      <c r="L110" s="22" t="str">
        <f>VLOOKUP(A110,'Trips&amp;Operators'!$C$1:$E$10000,3,FALSE)</f>
        <v>YOUNG</v>
      </c>
      <c r="M110" s="6">
        <f t="shared" si="37"/>
        <v>3.0740740745386574E-2</v>
      </c>
      <c r="N110" s="7">
        <f t="shared" si="51"/>
        <v>44.266666673356667</v>
      </c>
      <c r="O110" s="7"/>
      <c r="P110" s="7"/>
      <c r="Q110" s="23"/>
      <c r="R110" s="23"/>
      <c r="S110" s="35">
        <f t="shared" si="52"/>
        <v>1</v>
      </c>
      <c r="T110" s="50" t="str">
        <f t="shared" si="38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12:46:29-700',mode:absolute,to:'2016-11-14 15:33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0" s="52" t="str">
        <f t="shared" si="40"/>
        <v>N</v>
      </c>
      <c r="X110" s="177">
        <f t="shared" si="41"/>
        <v>1</v>
      </c>
      <c r="Y110" s="67">
        <f t="shared" si="42"/>
        <v>4.3299999999999998E-2</v>
      </c>
      <c r="Z110" s="67">
        <f t="shared" si="43"/>
        <v>23.33</v>
      </c>
      <c r="AA110" s="67">
        <f t="shared" si="44"/>
        <v>23.2867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45"/>
        <v>0181-14</v>
      </c>
      <c r="AE110" s="91" t="str">
        <f t="shared" si="46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10" s="88" t="str">
        <f t="shared" si="47"/>
        <v>"C:\Program Files (x86)\AstroGrep\AstroGrep.exe" /spath="%USERPROFILE%\AppData\Local\Temp\OnboardLogs" /stypes="app*4046*20161114*" /stext=" 21:.+((SYSTEM_STATE.+slice.+state.+changed )|(ment ac)|(system.+state.+changed )|(\[timeout)|(PRM\|1\|D)|(kpr)|(kdp)|(\|lc)|(penalty))" /e /r /s</v>
      </c>
      <c r="AG110" s="1" t="str">
        <f t="shared" si="48"/>
        <v>EC</v>
      </c>
      <c r="AH110" s="92" t="str">
        <f t="shared" si="49"/>
        <v>"%USERPROFILE%\Documents\GitHub\eaglep3\Utilities\RefineRTDCRunTimes.py" --tripid 181-14 --locoid 4046 --swversion DE.1.0.8.0 --startMP 204:433 --initTime 2016-11-14T13:46:29 --startdatetime 2016-11-14T13:49:18 --delay 1 --endMP 204:233300 --enddatetime 2016-11-14T14:33:34 --enforcementcount 0 &gt;&gt;C:\Users\stu\Documents\GitHub\eaglep3-reporting\EC\2016-11-14-refined-times.txt</v>
      </c>
      <c r="AI11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{"issue":{"subject":"","project_id":79,"tracker_id":40,"status_id":1,"priority_id":2,"assigned_to_id":23,"start_date":"2016-11-14","description":"","custom_fields":[{"id":1,"name":"Subdivision","value":"EC"},{"id":4,"name":"Milepost","value":"23.33"},{"id":17,"name":"Train ID","value":"181-14"},{"id":16,"name":"Locomotive ID","value":"4046"},{"id":130,"name":"Impact","value":""},{"id":150,"name":"Time of Event (Mountain Time)","value":"14:33:34"},{"id":151,"name":"Denver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424</v>
      </c>
      <c r="B111" s="7">
        <v>4045</v>
      </c>
      <c r="C111" s="22" t="s">
        <v>224</v>
      </c>
      <c r="D111" s="22" t="s">
        <v>370</v>
      </c>
      <c r="E111" s="13">
        <v>42688.608229166668</v>
      </c>
      <c r="F111" s="13">
        <v>42688.611990740741</v>
      </c>
      <c r="G111" s="7">
        <v>2</v>
      </c>
      <c r="H111" s="22" t="s">
        <v>376</v>
      </c>
      <c r="I111" s="13">
        <v>42688.640208333331</v>
      </c>
      <c r="J111" s="7">
        <v>0</v>
      </c>
      <c r="K111" s="109" t="str">
        <f t="shared" si="36"/>
        <v>4045/4046</v>
      </c>
      <c r="L111" s="22" t="str">
        <f>VLOOKUP(A111,'Trips&amp;Operators'!$C$1:$E$10000,3,FALSE)</f>
        <v>YOUNG</v>
      </c>
      <c r="M111" s="6">
        <f t="shared" si="37"/>
        <v>2.8217592589498963E-2</v>
      </c>
      <c r="N111" s="7">
        <f t="shared" si="51"/>
        <v>40.633333328878507</v>
      </c>
      <c r="O111" s="7"/>
      <c r="P111" s="7"/>
      <c r="Q111" s="23"/>
      <c r="R111" s="23"/>
      <c r="S111" s="35">
        <f t="shared" si="52"/>
        <v>1</v>
      </c>
      <c r="T111" s="50" t="str">
        <f t="shared" si="38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13:35:51-700',mode:absolute,to:'2016-11-14 16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1" s="52" t="str">
        <f t="shared" si="40"/>
        <v>N</v>
      </c>
      <c r="X111" s="177">
        <f t="shared" si="41"/>
        <v>1</v>
      </c>
      <c r="Y111" s="67">
        <f t="shared" si="42"/>
        <v>23.3</v>
      </c>
      <c r="Z111" s="67">
        <f t="shared" si="43"/>
        <v>1.7600000000000001E-2</v>
      </c>
      <c r="AA111" s="67">
        <f t="shared" si="44"/>
        <v>23.282399999999999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45"/>
        <v>0182-14</v>
      </c>
      <c r="AE111" s="91" t="str">
        <f t="shared" si="46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11" s="88" t="str">
        <f t="shared" si="47"/>
        <v>"C:\Program Files (x86)\AstroGrep\AstroGrep.exe" /spath="%USERPROFILE%\AppData\Local\Temp\OnboardLogs" /stypes="app*4045*20161114*" /stext=" 22:.+((SYSTEM_STATE.+slice.+state.+changed )|(ment ac)|(system.+state.+changed )|(\[timeout)|(PRM\|1\|D)|(kpr)|(kdp)|(\|lc)|(penalty))" /e /r /s</v>
      </c>
      <c r="AG111" s="1" t="str">
        <f t="shared" si="48"/>
        <v>EC</v>
      </c>
      <c r="AH111" s="92" t="str">
        <f t="shared" si="49"/>
        <v>"%USERPROFILE%\Documents\GitHub\eaglep3\Utilities\RefineRTDCRunTimes.py" --tripid 182-14 --locoid 4045 --swversion DE.1.0.8.0 --startMP 204:233000 --initTime 2016-11-14T14:35:51 --startdatetime 2016-11-14T14:41:16 --delay 2 --endMP 204:176 --enddatetime 2016-11-14T15:21:54 --enforcementcount 0 &gt;&gt;C:\Users\stu\Documents\GitHub\eaglep3-reporting\EC\2016-11-14-refined-times.txt</v>
      </c>
      <c r="AI11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{"issue":{"subject":"","project_id":79,"tracker_id":40,"status_id":1,"priority_id":2,"assigned_to_id":23,"start_date":"2016-11-14","description":"","custom_fields":[{"id":1,"name":"Subdivision","value":"EC"},{"id":4,"name":"Milepost","value":"0.0176"},{"id":17,"name":"Train ID","value":"182-14"},{"id":16,"name":"Locomotive ID","value":"4045"},{"id":130,"name":"Impact","value":""},{"id":150,"name":"Time of Event (Mountain Time)","value":"15:21:54"},{"id":151,"name":"Denver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537</v>
      </c>
      <c r="B112" s="7">
        <v>4011</v>
      </c>
      <c r="C112" s="22" t="s">
        <v>224</v>
      </c>
      <c r="D112" s="22" t="s">
        <v>221</v>
      </c>
      <c r="E112" s="13">
        <v>42688.582662037035</v>
      </c>
      <c r="F112" s="13">
        <v>42688.584490740737</v>
      </c>
      <c r="G112" s="7">
        <v>1</v>
      </c>
      <c r="H112" s="22" t="s">
        <v>373</v>
      </c>
      <c r="I112" s="13">
        <v>42688.610231481478</v>
      </c>
      <c r="J112" s="7">
        <v>0</v>
      </c>
      <c r="K112" s="109" t="str">
        <f t="shared" si="36"/>
        <v>4011/4012</v>
      </c>
      <c r="L112" s="22" t="str">
        <f>VLOOKUP(A112,'Trips&amp;Operators'!$C$1:$E$10000,3,FALSE)</f>
        <v>BADERTSCHER</v>
      </c>
      <c r="M112" s="6">
        <f t="shared" si="37"/>
        <v>2.5740740740729962E-2</v>
      </c>
      <c r="N112" s="7">
        <f t="shared" si="51"/>
        <v>37.066666666651145</v>
      </c>
      <c r="O112" s="7"/>
      <c r="P112" s="7"/>
      <c r="Q112" s="23"/>
      <c r="R112" s="23"/>
      <c r="S112" s="35">
        <f t="shared" si="52"/>
        <v>1</v>
      </c>
      <c r="T112" s="50" t="str">
        <f t="shared" si="38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12:59:02-700',mode:absolute,to:'2016-11-14 15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52" t="str">
        <f t="shared" si="40"/>
        <v>N</v>
      </c>
      <c r="X112" s="177">
        <f t="shared" si="41"/>
        <v>1</v>
      </c>
      <c r="Y112" s="67">
        <f t="shared" si="42"/>
        <v>4.5699999999999998E-2</v>
      </c>
      <c r="Z112" s="67">
        <f t="shared" si="43"/>
        <v>23.333600000000001</v>
      </c>
      <c r="AA112" s="67">
        <f t="shared" si="44"/>
        <v>23.2879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45"/>
        <v>0183-14</v>
      </c>
      <c r="AE112" s="91" t="str">
        <f t="shared" si="46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112" s="88" t="str">
        <f t="shared" si="47"/>
        <v>"C:\Program Files (x86)\AstroGrep\AstroGrep.exe" /spath="%USERPROFILE%\AppData\Local\Temp\OnboardLogs" /stypes="app*4011*20161114*" /stext=" 21:.+((SYSTEM_STATE.+slice.+state.+changed )|(ment ac)|(system.+state.+changed )|(\[timeout)|(PRM\|1\|D)|(kpr)|(kdp)|(\|lc)|(penalty))" /e /r /s</v>
      </c>
      <c r="AG112" s="1" t="str">
        <f t="shared" si="48"/>
        <v>EC</v>
      </c>
      <c r="AH112" s="92" t="str">
        <f t="shared" si="49"/>
        <v>"%USERPROFILE%\Documents\GitHub\eaglep3\Utilities\RefineRTDCRunTimes.py" --tripid 183-14 --locoid 4011 --swversion DE.1.0.8.0 --startMP 204:457 --initTime 2016-11-14T13:59:02 --startdatetime 2016-11-14T14:01:40 --delay 1 --endMP 204:233336 --enddatetime 2016-11-14T14:38:44 --enforcementcount 0 &gt;&gt;C:\Users\stu\Documents\GitHub\eaglep3-reporting\EC\2016-11-14-refined-times.txt</v>
      </c>
      <c r="AI112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{"issue":{"subject":"","project_id":79,"tracker_id":40,"status_id":1,"priority_id":2,"assigned_to_id":23,"start_date":"2016-11-14","description":"","custom_fields":[{"id":1,"name":"Subdivision","value":"EC"},{"id":4,"name":"Milepost","value":"23.3336"},{"id":17,"name":"Train ID","value":"183-14"},{"id":16,"name":"Locomotive ID","value":"4011"},{"id":130,"name":"Impact","value":""},{"id":150,"name":"Time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423</v>
      </c>
      <c r="B113" s="7">
        <v>4012</v>
      </c>
      <c r="C113" s="22" t="s">
        <v>224</v>
      </c>
      <c r="D113" s="22" t="s">
        <v>697</v>
      </c>
      <c r="E113" s="13">
        <v>42688.614583333336</v>
      </c>
      <c r="F113" s="13">
        <v>42688.622881944444</v>
      </c>
      <c r="G113" s="7">
        <v>1</v>
      </c>
      <c r="H113" s="22" t="s">
        <v>698</v>
      </c>
      <c r="I113" s="13">
        <v>42688.649756944447</v>
      </c>
      <c r="J113" s="7">
        <v>0</v>
      </c>
      <c r="K113" s="109" t="str">
        <f t="shared" si="36"/>
        <v>4011/4012</v>
      </c>
      <c r="L113" s="22" t="str">
        <f>VLOOKUP(A113,'Trips&amp;Operators'!$C$1:$E$10000,3,FALSE)</f>
        <v>BADERTSCHER</v>
      </c>
      <c r="M113" s="6">
        <f t="shared" si="37"/>
        <v>2.6875000003201421E-2</v>
      </c>
      <c r="N113" s="7">
        <f t="shared" si="51"/>
        <v>38.700000004610047</v>
      </c>
      <c r="O113" s="7"/>
      <c r="P113" s="7"/>
      <c r="Q113" s="23"/>
      <c r="R113" s="23"/>
      <c r="S113" s="35">
        <f t="shared" si="52"/>
        <v>1</v>
      </c>
      <c r="T113" s="50" t="str">
        <f t="shared" si="38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13:45:00-700',mode:absolute,to:'2016-11-14 16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52" t="str">
        <f t="shared" si="40"/>
        <v>N</v>
      </c>
      <c r="X113" s="177">
        <f t="shared" si="41"/>
        <v>1</v>
      </c>
      <c r="Y113" s="67">
        <f t="shared" si="42"/>
        <v>23.295200000000001</v>
      </c>
      <c r="Z113" s="67">
        <f t="shared" si="43"/>
        <v>1.8499999999999999E-2</v>
      </c>
      <c r="AA113" s="67">
        <f t="shared" si="44"/>
        <v>23.276700000000002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45"/>
        <v>0184-14</v>
      </c>
      <c r="AE113" s="91" t="str">
        <f t="shared" si="46"/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AF113" s="88" t="str">
        <f t="shared" si="47"/>
        <v>"C:\Program Files (x86)\AstroGrep\AstroGrep.exe" /spath="%USERPROFILE%\AppData\Local\Temp\OnboardLogs" /stypes="app*4012*20161114*" /stext=" 22:.+((SYSTEM_STATE.+slice.+state.+changed )|(ment ac)|(system.+state.+changed )|(\[timeout)|(PRM\|1\|D)|(kpr)|(kdp)|(\|lc)|(penalty))" /e /r /s</v>
      </c>
      <c r="AG113" s="1" t="str">
        <f t="shared" si="48"/>
        <v>EC</v>
      </c>
      <c r="AH113" s="92" t="str">
        <f t="shared" si="49"/>
        <v>"%USERPROFILE%\Documents\GitHub\eaglep3\Utilities\RefineRTDCRunTimes.py" --tripid 184-14 --locoid 4012 --swversion DE.1.0.8.0 --startMP 204:232952 --initTime 2016-11-14T14:45:00 --startdatetime 2016-11-14T14:56:57 --delay 1 --endMP 204:185 --enddatetime 2016-11-14T15:35:39 --enforcementcount 0 &gt;&gt;C:\Users\stu\Documents\GitHub\eaglep3-reporting\EC\2016-11-14-refined-times.txt</v>
      </c>
      <c r="AI11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{"issue":{"subject":"","project_id":79,"tracker_id":40,"status_id":1,"priority_id":2,"assigned_to_id":23,"start_date":"2016-11-14","description":"","custom_fields":[{"id":1,"name":"Subdivision","value":"EC"},{"id":4,"name":"Milepost","value":"0.0185"},{"id":17,"name":"Train ID","value":"184-14"},{"id":16,"name":"Locomotive ID","value":"4012"},{"id":130,"name":"Impact","value":""},{"id":150,"name":"Time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539</v>
      </c>
      <c r="B114" s="7">
        <v>4018</v>
      </c>
      <c r="C114" s="22" t="s">
        <v>224</v>
      </c>
      <c r="D114" s="22" t="s">
        <v>200</v>
      </c>
      <c r="E114" s="13">
        <v>42688.591805555552</v>
      </c>
      <c r="F114" s="13">
        <v>42688.594027777777</v>
      </c>
      <c r="G114" s="7">
        <v>1</v>
      </c>
      <c r="H114" s="22" t="s">
        <v>699</v>
      </c>
      <c r="I114" s="13">
        <v>42688.619074074071</v>
      </c>
      <c r="J114" s="7">
        <v>0</v>
      </c>
      <c r="K114" s="109" t="str">
        <f t="shared" si="36"/>
        <v>4017/4018</v>
      </c>
      <c r="L114" s="22" t="str">
        <f>VLOOKUP(A114,'Trips&amp;Operators'!$C$1:$E$10000,3,FALSE)</f>
        <v>SHOOK</v>
      </c>
      <c r="M114" s="6">
        <f t="shared" si="37"/>
        <v>2.5046296294021886E-2</v>
      </c>
      <c r="N114" s="7">
        <f t="shared" si="51"/>
        <v>36.066666663391516</v>
      </c>
      <c r="O114" s="7"/>
      <c r="P114" s="7"/>
      <c r="Q114" s="23"/>
      <c r="R114" s="23"/>
      <c r="S114" s="35">
        <f t="shared" si="52"/>
        <v>1</v>
      </c>
      <c r="T114" s="50" t="str">
        <f t="shared" si="38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13:12:12-700',mode:absolute,to:'2016-11-14 15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4" s="52" t="str">
        <f t="shared" si="40"/>
        <v>N</v>
      </c>
      <c r="X114" s="177">
        <f t="shared" si="41"/>
        <v>1</v>
      </c>
      <c r="Y114" s="67">
        <f t="shared" si="42"/>
        <v>4.53E-2</v>
      </c>
      <c r="Z114" s="67">
        <f t="shared" si="43"/>
        <v>23.334</v>
      </c>
      <c r="AA114" s="67">
        <f t="shared" si="44"/>
        <v>23.288699999999999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45"/>
        <v>0185-14</v>
      </c>
      <c r="AE114" s="91" t="str">
        <f t="shared" si="46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114" s="88" t="str">
        <f t="shared" si="47"/>
        <v>"C:\Program Files (x86)\AstroGrep\AstroGrep.exe" /spath="%USERPROFILE%\AppData\Local\Temp\OnboardLogs" /stypes="app*4018*20161114*" /stext=" 21:.+((SYSTEM_STATE.+slice.+state.+changed )|(ment ac)|(system.+state.+changed )|(\[timeout)|(PRM\|1\|D)|(kpr)|(kdp)|(\|lc)|(penalty))" /e /r /s</v>
      </c>
      <c r="AG114" s="1" t="str">
        <f t="shared" si="48"/>
        <v>EC</v>
      </c>
      <c r="AH114" s="92" t="str">
        <f t="shared" si="49"/>
        <v>"%USERPROFILE%\Documents\GitHub\eaglep3\Utilities\RefineRTDCRunTimes.py" --tripid 185-14 --locoid 4018 --swversion DE.1.0.8.0 --startMP 204:453 --initTime 2016-11-14T14:12:12 --startdatetime 2016-11-14T14:15:24 --delay 1 --endMP 204:233340 --enddatetime 2016-11-14T14:51:28 --enforcementcount 0 &gt;&gt;C:\Users\stu\Documents\GitHub\eaglep3-reporting\EC\2016-11-14-refined-times.txt</v>
      </c>
      <c r="AI114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{"issue":{"subject":"","project_id":79,"tracker_id":40,"status_id":1,"priority_id":2,"assigned_to_id":23,"start_date":"2016-11-14","description":"","custom_fields":[{"id":1,"name":"Subdivision","value":"EC"},{"id":4,"name":"Milepost","value":"23.334"},{"id":17,"name":"Train ID","value":"185-14"},{"id":16,"name":"Locomotive ID","value":"4018"},{"id":130,"name":"Impact","value":""},{"id":150,"name":"Time of Event (Mountain Time)","value":"14:51:28"},{"id":151,"name":"Denver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546</v>
      </c>
      <c r="B115" s="7">
        <v>4017</v>
      </c>
      <c r="C115" s="22" t="s">
        <v>224</v>
      </c>
      <c r="D115" s="22" t="s">
        <v>700</v>
      </c>
      <c r="E115" s="13">
        <v>42688.627488425926</v>
      </c>
      <c r="F115" s="13">
        <v>42688.632881944446</v>
      </c>
      <c r="G115" s="7">
        <v>1</v>
      </c>
      <c r="H115" s="22" t="s">
        <v>215</v>
      </c>
      <c r="I115" s="13">
        <v>42688.659108796295</v>
      </c>
      <c r="J115" s="7">
        <v>0</v>
      </c>
      <c r="K115" s="109" t="str">
        <f t="shared" si="36"/>
        <v>4017/4018</v>
      </c>
      <c r="L115" s="22" t="str">
        <f>VLOOKUP(A115,'Trips&amp;Operators'!$C$1:$E$10000,3,FALSE)</f>
        <v>SHOOK</v>
      </c>
      <c r="M115" s="6">
        <f t="shared" si="37"/>
        <v>2.622685184906004E-2</v>
      </c>
      <c r="N115" s="7">
        <f t="shared" si="51"/>
        <v>37.766666662646458</v>
      </c>
      <c r="O115" s="7"/>
      <c r="P115" s="7"/>
      <c r="Q115" s="23"/>
      <c r="R115" s="23"/>
      <c r="S115" s="35">
        <f t="shared" si="52"/>
        <v>1</v>
      </c>
      <c r="T115" s="50" t="str">
        <f t="shared" si="38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14:03:35-700',mode:absolute,to:'2016-11-14 16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5" s="52" t="str">
        <f t="shared" si="40"/>
        <v>N</v>
      </c>
      <c r="X115" s="177">
        <f t="shared" si="41"/>
        <v>1</v>
      </c>
      <c r="Y115" s="67">
        <f t="shared" si="42"/>
        <v>23.303599999999999</v>
      </c>
      <c r="Z115" s="67">
        <f t="shared" si="43"/>
        <v>1.5599999999999999E-2</v>
      </c>
      <c r="AA115" s="67">
        <f t="shared" si="44"/>
        <v>23.288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45"/>
        <v>0186-14</v>
      </c>
      <c r="AE115" s="91" t="str">
        <f t="shared" si="46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115" s="88" t="str">
        <f t="shared" si="47"/>
        <v>"C:\Program Files (x86)\AstroGrep\AstroGrep.exe" /spath="%USERPROFILE%\AppData\Local\Temp\OnboardLogs" /stypes="app*4017*20161114*" /stext=" 22:.+((SYSTEM_STATE.+slice.+state.+changed )|(ment ac)|(system.+state.+changed )|(\[timeout)|(PRM\|1\|D)|(kpr)|(kdp)|(\|lc)|(penalty))" /e /r /s</v>
      </c>
      <c r="AG115" s="1" t="str">
        <f t="shared" si="48"/>
        <v>EC</v>
      </c>
      <c r="AH115" s="92" t="str">
        <f t="shared" si="49"/>
        <v>"%USERPROFILE%\Documents\GitHub\eaglep3\Utilities\RefineRTDCRunTimes.py" --tripid 186-14 --locoid 4017 --swversion DE.1.0.8.0 --startMP 204:233036 --initTime 2016-11-14T15:03:35 --startdatetime 2016-11-14T15:11:21 --delay 1 --endMP 204:156 --enddatetime 2016-11-14T15:49:07 --enforcementcount 0 &gt;&gt;C:\Users\stu\Documents\GitHub\eaglep3-reporting\EC\2016-11-14-refined-times.txt</v>
      </c>
      <c r="AI115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{"issue":{"subject":"","project_id":79,"tracker_id":40,"status_id":1,"priority_id":2,"assigned_to_id":23,"start_date":"2016-11-14","description":"","custom_fields":[{"id":1,"name":"Subdivision","value":"EC"},{"id":4,"name":"Milepost","value":"0.0156"},{"id":17,"name":"Train ID","value":"186-14"},{"id":16,"name":"Locomotive ID","value":"4017"},{"id":130,"name":"Impact","value":""},{"id":150,"name":"Time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542</v>
      </c>
      <c r="B116" s="7">
        <v>4016</v>
      </c>
      <c r="C116" s="22" t="s">
        <v>224</v>
      </c>
      <c r="D116" s="22" t="s">
        <v>268</v>
      </c>
      <c r="E116" s="13">
        <v>42688.601354166669</v>
      </c>
      <c r="F116" s="13">
        <v>42688.604583333334</v>
      </c>
      <c r="G116" s="7">
        <v>1</v>
      </c>
      <c r="H116" s="22" t="s">
        <v>188</v>
      </c>
      <c r="I116" s="13">
        <v>42688.629745370374</v>
      </c>
      <c r="J116" s="7">
        <v>0</v>
      </c>
      <c r="K116" s="109" t="str">
        <f t="shared" si="36"/>
        <v>4015/4016</v>
      </c>
      <c r="L116" s="22" t="str">
        <f>VLOOKUP(A116,'Trips&amp;Operators'!$C$1:$E$10000,3,FALSE)</f>
        <v>MCREYNOLDS</v>
      </c>
      <c r="M116" s="6">
        <f t="shared" si="37"/>
        <v>2.5162037039990537E-2</v>
      </c>
      <c r="N116" s="7">
        <f t="shared" si="51"/>
        <v>36.233333337586373</v>
      </c>
      <c r="O116" s="7"/>
      <c r="P116" s="7"/>
      <c r="Q116" s="23"/>
      <c r="R116" s="23"/>
      <c r="S116" s="35">
        <f t="shared" si="52"/>
        <v>1</v>
      </c>
      <c r="T116" s="50" t="str">
        <f t="shared" si="38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13:25:57-700',mode:absolute,to:'2016-11-14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6" s="52" t="str">
        <f t="shared" si="40"/>
        <v>N</v>
      </c>
      <c r="X116" s="177">
        <f t="shared" si="41"/>
        <v>1</v>
      </c>
      <c r="Y116" s="67">
        <f t="shared" si="42"/>
        <v>4.4600000000000001E-2</v>
      </c>
      <c r="Z116" s="67">
        <f t="shared" si="43"/>
        <v>23.329699999999999</v>
      </c>
      <c r="AA116" s="67">
        <f t="shared" si="44"/>
        <v>23.2851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45"/>
        <v>0187-14</v>
      </c>
      <c r="AE116" s="91" t="str">
        <f t="shared" si="46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116" s="88" t="str">
        <f t="shared" si="47"/>
        <v>"C:\Program Files (x86)\AstroGrep\AstroGrep.exe" /spath="%USERPROFILE%\AppData\Local\Temp\OnboardLogs" /stypes="app*4016*20161114*" /stext=" 22:.+((SYSTEM_STATE.+slice.+state.+changed )|(ment ac)|(system.+state.+changed )|(\[timeout)|(PRM\|1\|D)|(kpr)|(kdp)|(\|lc)|(penalty))" /e /r /s</v>
      </c>
      <c r="AG116" s="1" t="str">
        <f t="shared" si="48"/>
        <v>EC</v>
      </c>
      <c r="AH116" s="92" t="str">
        <f t="shared" si="49"/>
        <v>"%USERPROFILE%\Documents\GitHub\eaglep3\Utilities\RefineRTDCRunTimes.py" --tripid 187-14 --locoid 4016 --swversion DE.1.0.8.0 --startMP 204:446 --initTime 2016-11-14T14:25:57 --startdatetime 2016-11-14T14:30:36 --delay 1 --endMP 204:233297 --enddatetime 2016-11-14T15:06:50 --enforcementcount 0 &gt;&gt;C:\Users\stu\Documents\GitHub\eaglep3-reporting\EC\2016-11-14-refined-times.txt</v>
      </c>
      <c r="AI11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{"issue":{"subject":"","project_id":79,"tracker_id":40,"status_id":1,"priority_id":2,"assigned_to_id":23,"start_date":"2016-11-14","description":"","custom_fields":[{"id":1,"name":"Subdivision","value":"EC"},{"id":4,"name":"Milepost","value":"23.3297"},{"id":17,"name":"Train ID","value":"187-14"},{"id":16,"name":"Locomotive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549</v>
      </c>
      <c r="B117" s="7">
        <v>4015</v>
      </c>
      <c r="C117" s="22" t="s">
        <v>224</v>
      </c>
      <c r="D117" s="22" t="s">
        <v>701</v>
      </c>
      <c r="E117" s="13">
        <v>42688.640393518515</v>
      </c>
      <c r="F117" s="13">
        <v>42688.643425925926</v>
      </c>
      <c r="G117" s="7">
        <v>1</v>
      </c>
      <c r="H117" s="22" t="s">
        <v>702</v>
      </c>
      <c r="I117" s="13">
        <v>42688.670185185183</v>
      </c>
      <c r="J117" s="7">
        <v>0</v>
      </c>
      <c r="K117" s="109" t="str">
        <f t="shared" si="36"/>
        <v>4015/4016</v>
      </c>
      <c r="L117" s="22" t="str">
        <f>VLOOKUP(A117,'Trips&amp;Operators'!$C$1:$E$10000,3,FALSE)</f>
        <v>MCREYNOLDS</v>
      </c>
      <c r="M117" s="6">
        <f t="shared" si="37"/>
        <v>2.675925925723277E-2</v>
      </c>
      <c r="N117" s="7">
        <f t="shared" si="51"/>
        <v>38.533333330415189</v>
      </c>
      <c r="O117" s="7"/>
      <c r="P117" s="7"/>
      <c r="Q117" s="23"/>
      <c r="R117" s="23"/>
      <c r="S117" s="35">
        <f t="shared" si="52"/>
        <v>1</v>
      </c>
      <c r="T117" s="50" t="str">
        <f t="shared" si="38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14:22:10-700',mode:absolute,to:'2016-11-14 17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7" s="52" t="str">
        <f t="shared" si="40"/>
        <v>N</v>
      </c>
      <c r="X117" s="177">
        <f t="shared" si="41"/>
        <v>1</v>
      </c>
      <c r="Y117" s="67">
        <f t="shared" si="42"/>
        <v>23.3003</v>
      </c>
      <c r="Z117" s="67">
        <f t="shared" si="43"/>
        <v>1.7000000000000001E-2</v>
      </c>
      <c r="AA117" s="67">
        <f t="shared" si="44"/>
        <v>23.283300000000001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45"/>
        <v>0188-14</v>
      </c>
      <c r="AE117" s="91" t="str">
        <f t="shared" si="46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117" s="88" t="str">
        <f t="shared" si="47"/>
        <v>"C:\Program Files (x86)\AstroGrep\AstroGrep.exe" /spath="%USERPROFILE%\AppData\Local\Temp\OnboardLogs" /stypes="app*4015*20161114*" /stext=" 23:.+((SYSTEM_STATE.+slice.+state.+changed )|(ment ac)|(system.+state.+changed )|(\[timeout)|(PRM\|1\|D)|(kpr)|(kdp)|(\|lc)|(penalty))" /e /r /s</v>
      </c>
      <c r="AG117" s="1" t="str">
        <f t="shared" si="48"/>
        <v>EC</v>
      </c>
      <c r="AH117" s="92" t="str">
        <f t="shared" si="49"/>
        <v>"%USERPROFILE%\Documents\GitHub\eaglep3\Utilities\RefineRTDCRunTimes.py" --tripid 188-14 --locoid 4015 --swversion DE.1.0.8.0 --startMP 204:233003 --initTime 2016-11-14T15:22:10 --startdatetime 2016-11-14T15:26:32 --delay 1 --endMP 204:170 --enddatetime 2016-11-14T16:05:04 --enforcementcount 0 &gt;&gt;C:\Users\stu\Documents\GitHub\eaglep3-reporting\EC\2016-11-14-refined-times.txt</v>
      </c>
      <c r="AI11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{"issue":{"subject":"","project_id":79,"tracker_id":40,"status_id":1,"priority_id":2,"assigned_to_id":23,"start_date":"2016-11-14","description":"","custom_fields":[{"id":1,"name":"Subdivision","value":"EC"},{"id":4,"name":"Milepost","value":"0.017"},{"id":17,"name":"Train ID","value":"188-14"},{"id":16,"name":"Locomotive ID","value":"4015"},{"id":130,"name":"Impact","value":""},{"id":150,"name":"Time of Event (Mountain Time)","value":"16:05:04"},{"id":151,"name":"Denver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544</v>
      </c>
      <c r="B118" s="7">
        <v>4029</v>
      </c>
      <c r="C118" s="22" t="s">
        <v>224</v>
      </c>
      <c r="D118" s="22" t="s">
        <v>312</v>
      </c>
      <c r="E118" s="13">
        <v>42688.609722222223</v>
      </c>
      <c r="F118" s="13">
        <v>42688.614918981482</v>
      </c>
      <c r="G118" s="7">
        <v>2</v>
      </c>
      <c r="H118" s="22" t="s">
        <v>395</v>
      </c>
      <c r="I118" s="13">
        <v>42688.640196759261</v>
      </c>
      <c r="J118" s="7">
        <v>0</v>
      </c>
      <c r="K118" s="109" t="str">
        <f t="shared" si="36"/>
        <v>4029/4030</v>
      </c>
      <c r="L118" s="22" t="str">
        <f>VLOOKUP(A118,'Trips&amp;Operators'!$C$1:$E$10000,3,FALSE)</f>
        <v>BARTLETT</v>
      </c>
      <c r="M118" s="6">
        <f t="shared" si="37"/>
        <v>2.527777777868323E-2</v>
      </c>
      <c r="N118" s="7">
        <f t="shared" si="51"/>
        <v>36.400000001303852</v>
      </c>
      <c r="O118" s="7"/>
      <c r="P118" s="7"/>
      <c r="Q118" s="23"/>
      <c r="R118" s="23"/>
      <c r="S118" s="35">
        <f t="shared" si="52"/>
        <v>1</v>
      </c>
      <c r="T118" s="50" t="str">
        <f t="shared" si="38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13:38:00-700',mode:absolute,to:'2016-11-14 16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8" s="52" t="str">
        <f t="shared" si="40"/>
        <v>N</v>
      </c>
      <c r="X118" s="177">
        <f t="shared" si="41"/>
        <v>1</v>
      </c>
      <c r="Y118" s="67">
        <f t="shared" si="42"/>
        <v>4.6600000000000003E-2</v>
      </c>
      <c r="Z118" s="67">
        <f t="shared" si="43"/>
        <v>23.3308</v>
      </c>
      <c r="AA118" s="67">
        <f t="shared" si="44"/>
        <v>23.284199999999998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45"/>
        <v>0189-14</v>
      </c>
      <c r="AE118" s="91" t="str">
        <f t="shared" si="46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18" s="88" t="str">
        <f t="shared" si="47"/>
        <v>"C:\Program Files (x86)\AstroGrep\AstroGrep.exe" /spath="%USERPROFILE%\AppData\Local\Temp\OnboardLogs" /stypes="app*4029*20161114*" /stext=" 22:.+((SYSTEM_STATE.+slice.+state.+changed )|(ment ac)|(system.+state.+changed )|(\[timeout)|(PRM\|1\|D)|(kpr)|(kdp)|(\|lc)|(penalty))" /e /r /s</v>
      </c>
      <c r="AG118" s="1" t="str">
        <f t="shared" si="48"/>
        <v>EC</v>
      </c>
      <c r="AH118" s="92" t="str">
        <f t="shared" si="49"/>
        <v>"%USERPROFILE%\Documents\GitHub\eaglep3\Utilities\RefineRTDCRunTimes.py" --tripid 189-14 --locoid 4029 --swversion DE.1.0.8.0 --startMP 204:466 --initTime 2016-11-14T14:38:00 --startdatetime 2016-11-14T14:45:29 --delay 2 --endMP 204:233308 --enddatetime 2016-11-14T15:21:53 --enforcementcount 0 &gt;&gt;C:\Users\stu\Documents\GitHub\eaglep3-reporting\EC\2016-11-14-refined-times.txt</v>
      </c>
      <c r="AI11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{"issue":{"subject":"","project_id":79,"tracker_id":40,"status_id":1,"priority_id":2,"assigned_to_id":23,"start_date":"2016-11-14","description":"","custom_fields":[{"id":1,"name":"Subdivision","value":"EC"},{"id":4,"name":"Milepost","value":"23.3308"},{"id":17,"name":"Train ID","value":"189-14"},{"id":16,"name":"Locomotive ID","value":"4029"},{"id":130,"name":"Impact","value":""},{"id":150,"name":"Time of Event (Mountain Time)","value":"15:21:53"},{"id":151,"name":"Denver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551</v>
      </c>
      <c r="B119" s="7">
        <v>4030</v>
      </c>
      <c r="C119" s="22" t="s">
        <v>224</v>
      </c>
      <c r="D119" s="22" t="s">
        <v>695</v>
      </c>
      <c r="E119" s="13">
        <v>42688.641956018517</v>
      </c>
      <c r="F119" s="13">
        <v>42688.653912037036</v>
      </c>
      <c r="G119" s="7">
        <v>1</v>
      </c>
      <c r="H119" s="22" t="s">
        <v>176</v>
      </c>
      <c r="I119" s="13">
        <v>42688.679976851854</v>
      </c>
      <c r="J119" s="7">
        <v>0</v>
      </c>
      <c r="K119" s="109" t="str">
        <f t="shared" si="36"/>
        <v>4029/4030</v>
      </c>
      <c r="L119" s="22" t="str">
        <f>VLOOKUP(A119,'Trips&amp;Operators'!$C$1:$E$10000,3,FALSE)</f>
        <v>BARTLETT</v>
      </c>
      <c r="M119" s="6">
        <f t="shared" si="37"/>
        <v>2.6064814817800652E-2</v>
      </c>
      <c r="N119" s="7">
        <f t="shared" si="51"/>
        <v>37.533333337632939</v>
      </c>
      <c r="O119" s="7"/>
      <c r="P119" s="7"/>
      <c r="Q119" s="23"/>
      <c r="R119" s="23"/>
      <c r="S119" s="35">
        <f t="shared" si="52"/>
        <v>1</v>
      </c>
      <c r="T119" s="50" t="str">
        <f t="shared" si="38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14:24:25-700',mode:absolute,to:'2016-11-14 17:19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9" s="52" t="str">
        <f t="shared" si="40"/>
        <v>N</v>
      </c>
      <c r="X119" s="177">
        <f t="shared" si="41"/>
        <v>1</v>
      </c>
      <c r="Y119" s="67">
        <f t="shared" si="42"/>
        <v>23.3004</v>
      </c>
      <c r="Z119" s="67">
        <f t="shared" si="43"/>
        <v>1.52E-2</v>
      </c>
      <c r="AA119" s="67">
        <f t="shared" si="44"/>
        <v>23.2852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45"/>
        <v>0190-14</v>
      </c>
      <c r="AE119" s="91" t="str">
        <f t="shared" si="46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19" s="88" t="str">
        <f t="shared" si="47"/>
        <v>"C:\Program Files (x86)\AstroGrep\AstroGrep.exe" /spath="%USERPROFILE%\AppData\Local\Temp\OnboardLogs" /stypes="app*4030*20161114*" /stext=" 23:.+((SYSTEM_STATE.+slice.+state.+changed )|(ment ac)|(system.+state.+changed )|(\[timeout)|(PRM\|1\|D)|(kpr)|(kdp)|(\|lc)|(penalty))" /e /r /s</v>
      </c>
      <c r="AG119" s="1" t="str">
        <f t="shared" si="48"/>
        <v>EC</v>
      </c>
      <c r="AH119" s="92" t="str">
        <f t="shared" si="49"/>
        <v>"%USERPROFILE%\Documents\GitHub\eaglep3\Utilities\RefineRTDCRunTimes.py" --tripid 190-14 --locoid 4030 --swversion DE.1.0.8.0 --startMP 204:233004 --initTime 2016-11-14T15:24:25 --startdatetime 2016-11-14T15:41:38 --delay 1 --endMP 204:152 --enddatetime 2016-11-14T16:19:10 --enforcementcount 0 &gt;&gt;C:\Users\stu\Documents\GitHub\eaglep3-reporting\EC\2016-11-14-refined-times.txt</v>
      </c>
      <c r="AI11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{"issue":{"subject":"","project_id":79,"tracker_id":40,"status_id":1,"priority_id":2,"assigned_to_id":23,"start_date":"2016-11-14","description":"","custom_fields":[{"id":1,"name":"Subdivision","value":"EC"},{"id":4,"name":"Milepost","value":"0.0152"},{"id":17,"name":"Train ID","value":"190-14"},{"id":16,"name":"Locomotive ID","value":"4030"},{"id":130,"name":"Impact","value":""},{"id":150,"name":"Time of Event (Mountain Time)","value":"16:19:10"},{"id":151,"name":"Denver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545</v>
      </c>
      <c r="B120" s="7">
        <v>4009</v>
      </c>
      <c r="C120" s="22" t="s">
        <v>224</v>
      </c>
      <c r="D120" s="22" t="s">
        <v>316</v>
      </c>
      <c r="E120" s="13">
        <v>42688.620428240742</v>
      </c>
      <c r="F120" s="13">
        <v>42688.625219907408</v>
      </c>
      <c r="G120" s="7">
        <v>1</v>
      </c>
      <c r="H120" s="22" t="s">
        <v>337</v>
      </c>
      <c r="I120" s="13">
        <v>42688.649664351855</v>
      </c>
      <c r="J120" s="7">
        <v>0</v>
      </c>
      <c r="K120" s="109" t="str">
        <f t="shared" si="36"/>
        <v>4009/4010</v>
      </c>
      <c r="L120" s="22" t="str">
        <f>VLOOKUP(A120,'Trips&amp;Operators'!$C$1:$E$10000,3,FALSE)</f>
        <v>MACDONALD</v>
      </c>
      <c r="M120" s="6">
        <f t="shared" si="37"/>
        <v>2.4444444446999114E-2</v>
      </c>
      <c r="N120" s="7">
        <f t="shared" si="51"/>
        <v>35.200000003678724</v>
      </c>
      <c r="O120" s="7"/>
      <c r="P120" s="7"/>
      <c r="Q120" s="23"/>
      <c r="R120" s="23"/>
      <c r="S120" s="35">
        <f t="shared" si="52"/>
        <v>1</v>
      </c>
      <c r="T120" s="50" t="str">
        <f t="shared" si="38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13:53:25-700',mode:absolute,to:'2016-11-14 16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0" s="52" t="str">
        <f t="shared" si="40"/>
        <v>N</v>
      </c>
      <c r="X120" s="177">
        <f t="shared" si="41"/>
        <v>1</v>
      </c>
      <c r="Y120" s="67">
        <f t="shared" si="42"/>
        <v>4.4900000000000002E-2</v>
      </c>
      <c r="Z120" s="67">
        <f t="shared" si="43"/>
        <v>23.330100000000002</v>
      </c>
      <c r="AA120" s="67">
        <f t="shared" si="44"/>
        <v>23.285200000000003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45"/>
        <v>0191-14</v>
      </c>
      <c r="AE120" s="91" t="str">
        <f t="shared" si="46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20" s="88" t="str">
        <f t="shared" si="47"/>
        <v>"C:\Program Files (x86)\AstroGrep\AstroGrep.exe" /spath="%USERPROFILE%\AppData\Local\Temp\OnboardLogs" /stypes="app*4009*20161114*" /stext=" 22:.+((SYSTEM_STATE.+slice.+state.+changed )|(ment ac)|(system.+state.+changed )|(\[timeout)|(PRM\|1\|D)|(kpr)|(kdp)|(\|lc)|(penalty))" /e /r /s</v>
      </c>
      <c r="AG120" s="1" t="str">
        <f t="shared" si="48"/>
        <v>EC</v>
      </c>
      <c r="AH120" s="92" t="str">
        <f t="shared" si="49"/>
        <v>"%USERPROFILE%\Documents\GitHub\eaglep3\Utilities\RefineRTDCRunTimes.py" --tripid 191-14 --locoid 4009 --swversion DE.1.0.8.0 --startMP 204:449 --initTime 2016-11-14T14:53:25 --startdatetime 2016-11-14T15:00:19 --delay 1 --endMP 204:233301 --enddatetime 2016-11-14T15:35:31 --enforcementcount 0 &gt;&gt;C:\Users\stu\Documents\GitHub\eaglep3-reporting\EC\2016-11-14-refined-times.txt</v>
      </c>
      <c r="AI12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{"issue":{"subject":"","project_id":79,"tracker_id":40,"status_id":1,"priority_id":2,"assigned_to_id":23,"start_date":"2016-11-14","description":"","custom_fields":[{"id":1,"name":"Subdivision","value":"EC"},{"id":4,"name":"Milepost","value":"23.3301"},{"id":17,"name":"Train ID","value":"191-14"},{"id":16,"name":"Locomotive ID","value":"4009"},{"id":130,"name":"Impact","value":""},{"id":150,"name":"Time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553</v>
      </c>
      <c r="B121" s="7">
        <v>4010</v>
      </c>
      <c r="C121" s="22" t="s">
        <v>224</v>
      </c>
      <c r="D121" s="22" t="s">
        <v>340</v>
      </c>
      <c r="E121" s="13">
        <v>42688.653831018521</v>
      </c>
      <c r="F121" s="13">
        <v>42688.664085648146</v>
      </c>
      <c r="G121" s="7">
        <v>1</v>
      </c>
      <c r="H121" s="22" t="s">
        <v>197</v>
      </c>
      <c r="I121" s="13">
        <v>42688.691400462965</v>
      </c>
      <c r="J121" s="7">
        <v>0</v>
      </c>
      <c r="K121" s="109" t="str">
        <f t="shared" si="36"/>
        <v>4009/4010</v>
      </c>
      <c r="L121" s="22" t="str">
        <f>VLOOKUP(A121,'Trips&amp;Operators'!$C$1:$E$10000,3,FALSE)</f>
        <v>MACDONALD</v>
      </c>
      <c r="M121" s="6">
        <f t="shared" si="37"/>
        <v>2.7314814818964805E-2</v>
      </c>
      <c r="N121" s="7">
        <f t="shared" si="51"/>
        <v>39.33333333930932</v>
      </c>
      <c r="O121" s="7"/>
      <c r="P121" s="7"/>
      <c r="Q121" s="23"/>
      <c r="R121" s="23"/>
      <c r="S121" s="35">
        <f t="shared" si="52"/>
        <v>1</v>
      </c>
      <c r="T121" s="50" t="str">
        <f t="shared" si="38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14:41:31-700',mode:absolute,to:'2016-11-14 17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1" s="52" t="str">
        <f t="shared" si="40"/>
        <v>N</v>
      </c>
      <c r="X121" s="177">
        <f t="shared" si="41"/>
        <v>1</v>
      </c>
      <c r="Y121" s="67">
        <f t="shared" si="42"/>
        <v>23.296900000000001</v>
      </c>
      <c r="Z121" s="67">
        <f t="shared" si="43"/>
        <v>1.49E-2</v>
      </c>
      <c r="AA121" s="67">
        <f t="shared" si="44"/>
        <v>23.282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45"/>
        <v>0192-14</v>
      </c>
      <c r="AE121" s="91" t="str">
        <f t="shared" si="46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21" s="88" t="str">
        <f t="shared" si="47"/>
        <v>"C:\Program Files (x86)\AstroGrep\AstroGrep.exe" /spath="%USERPROFILE%\AppData\Local\Temp\OnboardLogs" /stypes="app*4010*20161114*" /stext=" 23:.+((SYSTEM_STATE.+slice.+state.+changed )|(ment ac)|(system.+state.+changed )|(\[timeout)|(PRM\|1\|D)|(kpr)|(kdp)|(\|lc)|(penalty))" /e /r /s</v>
      </c>
      <c r="AG121" s="1" t="str">
        <f t="shared" si="48"/>
        <v>EC</v>
      </c>
      <c r="AH121" s="92" t="str">
        <f t="shared" si="49"/>
        <v>"%USERPROFILE%\Documents\GitHub\eaglep3\Utilities\RefineRTDCRunTimes.py" --tripid 192-14 --locoid 4010 --swversion DE.1.0.8.0 --startMP 204:232969 --initTime 2016-11-14T15:41:31 --startdatetime 2016-11-14T15:56:17 --delay 1 --endMP 204:149 --enddatetime 2016-11-14T16:35:37 --enforcementcount 0 &gt;&gt;C:\Users\stu\Documents\GitHub\eaglep3-reporting\EC\2016-11-14-refined-times.txt</v>
      </c>
      <c r="AI12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{"issue":{"subject":"","project_id":79,"tracker_id":40,"status_id":1,"priority_id":2,"assigned_to_id":23,"start_date":"2016-11-14","description":"","custom_fields":[{"id":1,"name":"Subdivision","value":"EC"},{"id":4,"name":"Milepost","value":"0.0149"},{"id":17,"name":"Train ID","value":"192-14"},{"id":16,"name":"Locomotive ID","value":"4010"},{"id":130,"name":"Impact","value":""},{"id":150,"name":"Time of Event (Mountain Time)","value":"16:35:37"},{"id":151,"name":"Denver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548</v>
      </c>
      <c r="B122" s="7">
        <v>4040</v>
      </c>
      <c r="C122" s="22" t="s">
        <v>224</v>
      </c>
      <c r="D122" s="22" t="s">
        <v>316</v>
      </c>
      <c r="E122" s="13">
        <v>42688.632905092592</v>
      </c>
      <c r="F122" s="13">
        <v>42688.63559027778</v>
      </c>
      <c r="G122" s="7">
        <v>1</v>
      </c>
      <c r="H122" s="22" t="s">
        <v>278</v>
      </c>
      <c r="I122" s="13">
        <v>42688.663182870368</v>
      </c>
      <c r="J122" s="7">
        <v>0</v>
      </c>
      <c r="K122" s="109" t="str">
        <f t="shared" si="36"/>
        <v>4039/4040</v>
      </c>
      <c r="L122" s="22" t="str">
        <f>VLOOKUP(A122,'Trips&amp;Operators'!$C$1:$E$10000,3,FALSE)</f>
        <v>CLARK</v>
      </c>
      <c r="M122" s="6">
        <f t="shared" si="37"/>
        <v>2.7592592588916887E-2</v>
      </c>
      <c r="N122" s="7">
        <f t="shared" si="51"/>
        <v>39.733333328040317</v>
      </c>
      <c r="O122" s="7"/>
      <c r="P122" s="7"/>
      <c r="Q122" s="23"/>
      <c r="R122" s="23"/>
      <c r="S122" s="35">
        <f t="shared" si="52"/>
        <v>1</v>
      </c>
      <c r="T122" s="50" t="str">
        <f t="shared" si="38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14:11:23-700',mode:absolute,to:'2016-11-14 16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2" s="52" t="str">
        <f t="shared" si="40"/>
        <v>N</v>
      </c>
      <c r="X122" s="177">
        <f t="shared" si="41"/>
        <v>1</v>
      </c>
      <c r="Y122" s="67">
        <f t="shared" si="42"/>
        <v>4.4900000000000002E-2</v>
      </c>
      <c r="Z122" s="67">
        <f t="shared" si="43"/>
        <v>23.331</v>
      </c>
      <c r="AA122" s="67">
        <f t="shared" si="44"/>
        <v>23.286100000000001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45"/>
        <v>0193-14</v>
      </c>
      <c r="AE122" s="91" t="str">
        <f t="shared" si="46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122" s="88" t="str">
        <f t="shared" si="47"/>
        <v>"C:\Program Files (x86)\AstroGrep\AstroGrep.exe" /spath="%USERPROFILE%\AppData\Local\Temp\OnboardLogs" /stypes="app*4040*20161114*" /stext=" 22:.+((SYSTEM_STATE.+slice.+state.+changed )|(ment ac)|(system.+state.+changed )|(\[timeout)|(PRM\|1\|D)|(kpr)|(kdp)|(\|lc)|(penalty))" /e /r /s</v>
      </c>
      <c r="AG122" s="1" t="str">
        <f t="shared" si="48"/>
        <v>EC</v>
      </c>
      <c r="AH122" s="92" t="str">
        <f t="shared" si="49"/>
        <v>"%USERPROFILE%\Documents\GitHub\eaglep3\Utilities\RefineRTDCRunTimes.py" --tripid 193-14 --locoid 4040 --swversion DE.1.0.8.0 --startMP 204:449 --initTime 2016-11-14T15:11:23 --startdatetime 2016-11-14T15:15:15 --delay 1 --endMP 204:233310 --enddatetime 2016-11-14T15:54:59 --enforcementcount 0 &gt;&gt;C:\Users\stu\Documents\GitHub\eaglep3-reporting\EC\2016-11-14-refined-times.txt</v>
      </c>
      <c r="AI122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{"issue":{"subject":"","project_id":79,"tracker_id":40,"status_id":1,"priority_id":2,"assigned_to_id":23,"start_date":"2016-11-14","description":"","custom_fields":[{"id":1,"name":"Subdivision","value":"EC"},{"id":4,"name":"Milepost","value":"23.331"},{"id":17,"name":"Train ID","value":"193-14"},{"id":16,"name":"Locomotive ID","value":"4040"},{"id":130,"name":"Impact","value":""},{"id":150,"name":"Time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556</v>
      </c>
      <c r="B123" s="7">
        <v>4039</v>
      </c>
      <c r="C123" s="22" t="s">
        <v>224</v>
      </c>
      <c r="D123" s="22" t="s">
        <v>318</v>
      </c>
      <c r="E123" s="13">
        <v>42688.671655092592</v>
      </c>
      <c r="F123" s="13">
        <v>42688.674849537034</v>
      </c>
      <c r="G123" s="7">
        <v>1</v>
      </c>
      <c r="H123" s="22" t="s">
        <v>319</v>
      </c>
      <c r="I123" s="13">
        <v>42688.702662037038</v>
      </c>
      <c r="J123" s="7">
        <v>0</v>
      </c>
      <c r="K123" s="109" t="str">
        <f t="shared" si="36"/>
        <v>4039/4040</v>
      </c>
      <c r="L123" s="22" t="str">
        <f>VLOOKUP(A123,'Trips&amp;Operators'!$C$1:$E$10000,3,FALSE)</f>
        <v>CLARK</v>
      </c>
      <c r="M123" s="6">
        <f t="shared" si="37"/>
        <v>2.7812500004074536E-2</v>
      </c>
      <c r="N123" s="7">
        <f t="shared" si="51"/>
        <v>40.050000005867332</v>
      </c>
      <c r="O123" s="7"/>
      <c r="P123" s="7"/>
      <c r="Q123" s="23"/>
      <c r="R123" s="23"/>
      <c r="S123" s="35">
        <f t="shared" si="52"/>
        <v>1</v>
      </c>
      <c r="T123" s="50" t="str">
        <f t="shared" si="38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15:07:11-700',mode:absolute,to:'2016-11-14 17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3" s="52" t="str">
        <f t="shared" si="40"/>
        <v>N</v>
      </c>
      <c r="X123" s="177">
        <f t="shared" si="41"/>
        <v>1</v>
      </c>
      <c r="Y123" s="67">
        <f t="shared" si="42"/>
        <v>23.297599999999999</v>
      </c>
      <c r="Z123" s="67">
        <f t="shared" si="43"/>
        <v>1.41E-2</v>
      </c>
      <c r="AA123" s="67">
        <f t="shared" si="44"/>
        <v>23.2835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45"/>
        <v>0194-14</v>
      </c>
      <c r="AE123" s="91" t="str">
        <f t="shared" si="46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123" s="88" t="str">
        <f t="shared" si="47"/>
        <v>"C:\Program Files (x86)\AstroGrep\AstroGrep.exe" /spath="%USERPROFILE%\AppData\Local\Temp\OnboardLogs" /stypes="app*4039*20161114*" /stext=" 23:.+((SYSTEM_STATE.+slice.+state.+changed )|(ment ac)|(system.+state.+changed )|(\[timeout)|(PRM\|1\|D)|(kpr)|(kdp)|(\|lc)|(penalty))" /e /r /s</v>
      </c>
      <c r="AG123" s="1" t="str">
        <f t="shared" si="48"/>
        <v>EC</v>
      </c>
      <c r="AH123" s="92" t="str">
        <f t="shared" si="49"/>
        <v>"%USERPROFILE%\Documents\GitHub\eaglep3\Utilities\RefineRTDCRunTimes.py" --tripid 194-14 --locoid 4039 --swversion DE.1.0.8.0 --startMP 204:232976 --initTime 2016-11-14T16:07:11 --startdatetime 2016-11-14T16:11:47 --delay 1 --endMP 204:141 --enddatetime 2016-11-14T16:51:50 --enforcementcount 0 &gt;&gt;C:\Users\stu\Documents\GitHub\eaglep3-reporting\EC\2016-11-14-refined-times.txt</v>
      </c>
      <c r="AI12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{"issue":{"subject":"","project_id":79,"tracker_id":40,"status_id":1,"priority_id":2,"assigned_to_id":23,"start_date":"2016-11-14","description":"","custom_fields":[{"id":1,"name":"Subdivision","value":"EC"},{"id":4,"name":"Milepost","value":"0.0141"},{"id":17,"name":"Train ID","value":"194-14"},{"id":16,"name":"Locomotive ID","value":"4039"},{"id":130,"name":"Impact","value":""},{"id":150,"name":"Time of Event (Mountain Time)","value":"16:51:50"},{"id":151,"name":"Denver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550</v>
      </c>
      <c r="B124" s="7">
        <v>4046</v>
      </c>
      <c r="C124" s="22" t="s">
        <v>224</v>
      </c>
      <c r="D124" s="22" t="s">
        <v>653</v>
      </c>
      <c r="E124" s="13">
        <v>42688.641932870371</v>
      </c>
      <c r="F124" s="13">
        <v>42688.646064814813</v>
      </c>
      <c r="G124" s="7">
        <v>1</v>
      </c>
      <c r="H124" s="22" t="s">
        <v>337</v>
      </c>
      <c r="I124" s="13">
        <v>42688.672974537039</v>
      </c>
      <c r="J124" s="7">
        <v>0</v>
      </c>
      <c r="K124" s="109" t="str">
        <f t="shared" si="36"/>
        <v>4045/4046</v>
      </c>
      <c r="L124" s="22" t="str">
        <f>VLOOKUP(A124,'Trips&amp;Operators'!$C$1:$E$10000,3,FALSE)</f>
        <v>YOUNG</v>
      </c>
      <c r="M124" s="6">
        <f t="shared" si="37"/>
        <v>2.6909722226264421E-2</v>
      </c>
      <c r="N124" s="7">
        <f t="shared" si="51"/>
        <v>38.750000005820766</v>
      </c>
      <c r="O124" s="7"/>
      <c r="P124" s="7"/>
      <c r="Q124" s="23"/>
      <c r="R124" s="23"/>
      <c r="S124" s="35">
        <f t="shared" si="52"/>
        <v>1</v>
      </c>
      <c r="T124" s="50" t="str">
        <f t="shared" si="38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14:24:23-700',mode:absolute,to:'2016-11-14 17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4" s="52" t="str">
        <f t="shared" si="40"/>
        <v>N</v>
      </c>
      <c r="X124" s="177">
        <f t="shared" si="41"/>
        <v>1</v>
      </c>
      <c r="Y124" s="67">
        <f t="shared" si="42"/>
        <v>4.8399999999999999E-2</v>
      </c>
      <c r="Z124" s="67">
        <f t="shared" si="43"/>
        <v>23.330100000000002</v>
      </c>
      <c r="AA124" s="67">
        <f t="shared" si="44"/>
        <v>23.281700000000001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45"/>
        <v>0195-14</v>
      </c>
      <c r="AE124" s="91" t="str">
        <f t="shared" si="46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24" s="88" t="str">
        <f t="shared" si="47"/>
        <v>"C:\Program Files (x86)\AstroGrep\AstroGrep.exe" /spath="%USERPROFILE%\AppData\Local\Temp\OnboardLogs" /stypes="app*4046*20161114*" /stext=" 23:.+((SYSTEM_STATE.+slice.+state.+changed )|(ment ac)|(system.+state.+changed )|(\[timeout)|(PRM\|1\|D)|(kpr)|(kdp)|(\|lc)|(penalty))" /e /r /s</v>
      </c>
      <c r="AG124" s="1" t="str">
        <f t="shared" si="48"/>
        <v>EC</v>
      </c>
      <c r="AH124" s="92" t="str">
        <f t="shared" si="49"/>
        <v>"%USERPROFILE%\Documents\GitHub\eaglep3\Utilities\RefineRTDCRunTimes.py" --tripid 195-14 --locoid 4046 --swversion DE.1.0.8.0 --startMP 204:484 --initTime 2016-11-14T15:24:23 --startdatetime 2016-11-14T15:30:20 --delay 1 --endMP 204:233301 --enddatetime 2016-11-14T16:09:05 --enforcementcount 0 &gt;&gt;C:\Users\stu\Documents\GitHub\eaglep3-reporting\EC\2016-11-14-refined-times.txt</v>
      </c>
      <c r="AI124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{"issue":{"subject":"","project_id":79,"tracker_id":40,"status_id":1,"priority_id":2,"assigned_to_id":23,"start_date":"2016-11-14","description":"","custom_fields":[{"id":1,"name":"Subdivision","value":"EC"},{"id":4,"name":"Milepost","value":"23.3301"},{"id":17,"name":"Train ID","value":"195-14"},{"id":16,"name":"Locomotive ID","value":"4046"},{"id":130,"name":"Impact","value":""},{"id":150,"name":"Time of Event (Mountain Time)","value":"16:09:05"},{"id":151,"name":"Denver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558</v>
      </c>
      <c r="B125" s="7">
        <v>4045</v>
      </c>
      <c r="C125" s="22" t="s">
        <v>224</v>
      </c>
      <c r="D125" s="22" t="s">
        <v>703</v>
      </c>
      <c r="E125" s="13">
        <v>42688.675752314812</v>
      </c>
      <c r="F125" s="13">
        <v>42688.684930555559</v>
      </c>
      <c r="G125" s="7">
        <v>1</v>
      </c>
      <c r="H125" s="22" t="s">
        <v>246</v>
      </c>
      <c r="I125" s="13">
        <v>42688.713067129633</v>
      </c>
      <c r="J125" s="7">
        <v>0</v>
      </c>
      <c r="K125" s="109" t="str">
        <f t="shared" si="36"/>
        <v>4045/4046</v>
      </c>
      <c r="L125" s="22" t="str">
        <f>VLOOKUP(A125,'Trips&amp;Operators'!$C$1:$E$10000,3,FALSE)</f>
        <v>YOUNG</v>
      </c>
      <c r="M125" s="6">
        <f t="shared" si="37"/>
        <v>2.8136574073869269E-2</v>
      </c>
      <c r="N125" s="7">
        <f t="shared" si="51"/>
        <v>40.516666666371748</v>
      </c>
      <c r="O125" s="7"/>
      <c r="P125" s="7"/>
      <c r="Q125" s="23"/>
      <c r="R125" s="23"/>
      <c r="S125" s="35">
        <f t="shared" si="52"/>
        <v>1</v>
      </c>
      <c r="T125" s="50" t="str">
        <f t="shared" si="38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15:13:05-700',mode:absolute,to:'2016-11-14 18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5" s="52" t="str">
        <f t="shared" si="40"/>
        <v>N</v>
      </c>
      <c r="X125" s="177">
        <f t="shared" si="41"/>
        <v>1</v>
      </c>
      <c r="Y125" s="67">
        <f t="shared" si="42"/>
        <v>23.298400000000001</v>
      </c>
      <c r="Z125" s="67">
        <f t="shared" si="43"/>
        <v>1.6E-2</v>
      </c>
      <c r="AA125" s="67">
        <f t="shared" si="44"/>
        <v>23.282400000000003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45"/>
        <v>0196-14</v>
      </c>
      <c r="AE125" s="91" t="str">
        <f t="shared" si="46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25" s="88" t="str">
        <f t="shared" si="47"/>
        <v>"C:\Program Files (x86)\AstroGrep\AstroGrep.exe" /spath="%USERPROFILE%\AppData\Local\Temp\OnboardLogs" /stypes="app*4045*20161115*" /stext=" 00:.+((SYSTEM_STATE.+slice.+state.+changed )|(ment ac)|(system.+state.+changed )|(\[timeout)|(PRM\|1\|D)|(kpr)|(kdp)|(\|lc)|(penalty))" /e /r /s</v>
      </c>
      <c r="AG125" s="1" t="str">
        <f t="shared" si="48"/>
        <v>EC</v>
      </c>
      <c r="AH125" s="92" t="str">
        <f t="shared" si="49"/>
        <v>"%USERPROFILE%\Documents\GitHub\eaglep3\Utilities\RefineRTDCRunTimes.py" --tripid 196-14 --locoid 4045 --swversion DE.1.0.8.0 --startMP 204:232984 --initTime 2016-11-14T16:13:05 --startdatetime 2016-11-14T16:26:18 --delay 1 --endMP 204:160 --enddatetime 2016-11-14T17:06:49 --enforcementcount 0 &gt;&gt;C:\Users\stu\Documents\GitHub\eaglep3-reporting\EC\2016-11-14-refined-times.txt</v>
      </c>
      <c r="AI125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ID","value":"196-14"},{"id":16,"name":"Locomotive ID","value":"4045"},{"id":130,"name":"Impact","value":""},{"id":150,"name":"Time of Event (Mountain Time)","value":"17:06:49"},{"id":151,"name":"Denver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426</v>
      </c>
      <c r="B126" s="7">
        <v>4011</v>
      </c>
      <c r="C126" s="22" t="s">
        <v>224</v>
      </c>
      <c r="D126" s="22" t="s">
        <v>704</v>
      </c>
      <c r="E126" s="13">
        <v>42688.653310185182</v>
      </c>
      <c r="F126" s="13">
        <v>42688.656909722224</v>
      </c>
      <c r="G126" s="7">
        <v>1</v>
      </c>
      <c r="H126" s="22" t="s">
        <v>202</v>
      </c>
      <c r="I126" s="13">
        <v>42688.68072916667</v>
      </c>
      <c r="J126" s="7">
        <v>0</v>
      </c>
      <c r="K126" s="109" t="str">
        <f t="shared" si="36"/>
        <v>4011/4012</v>
      </c>
      <c r="L126" s="22" t="str">
        <f>VLOOKUP(A126,'Trips&amp;Operators'!$C$1:$E$10000,3,FALSE)</f>
        <v>BADERTSCHER</v>
      </c>
      <c r="M126" s="6">
        <f t="shared" si="37"/>
        <v>2.3819444446417037E-2</v>
      </c>
      <c r="N126" s="7">
        <f t="shared" si="51"/>
        <v>34.300000002840534</v>
      </c>
      <c r="O126" s="7"/>
      <c r="P126" s="7"/>
      <c r="Q126" s="23"/>
      <c r="R126" s="23"/>
      <c r="S126" s="35">
        <f t="shared" si="52"/>
        <v>1</v>
      </c>
      <c r="T126" s="50" t="str">
        <f t="shared" si="38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14:40:46-700',mode:absolute,to:'2016-11-14 17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52" t="str">
        <f t="shared" si="40"/>
        <v>N</v>
      </c>
      <c r="X126" s="177">
        <f t="shared" si="41"/>
        <v>1</v>
      </c>
      <c r="Y126" s="67">
        <f t="shared" si="42"/>
        <v>4.9099999999999998E-2</v>
      </c>
      <c r="Z126" s="67">
        <f t="shared" si="43"/>
        <v>23.329499999999999</v>
      </c>
      <c r="AA126" s="67">
        <f t="shared" si="44"/>
        <v>23.2804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45"/>
        <v>0197-14</v>
      </c>
      <c r="AE126" s="91" t="str">
        <f t="shared" si="46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126" s="88" t="str">
        <f t="shared" si="47"/>
        <v>"C:\Program Files (x86)\AstroGrep\AstroGrep.exe" /spath="%USERPROFILE%\AppData\Local\Temp\OnboardLogs" /stypes="app*4011*20161114*" /stext=" 23:.+((SYSTEM_STATE.+slice.+state.+changed )|(ment ac)|(system.+state.+changed )|(\[timeout)|(PRM\|1\|D)|(kpr)|(kdp)|(\|lc)|(penalty))" /e /r /s</v>
      </c>
      <c r="AG126" s="1" t="str">
        <f t="shared" si="48"/>
        <v>EC</v>
      </c>
      <c r="AH126" s="92" t="str">
        <f t="shared" si="49"/>
        <v>"%USERPROFILE%\Documents\GitHub\eaglep3\Utilities\RefineRTDCRunTimes.py" --tripid 197-14 --locoid 4011 --swversion DE.1.0.8.0 --startMP 204:491 --initTime 2016-11-14T15:40:46 --startdatetime 2016-11-14T15:45:57 --delay 1 --endMP 204:233295 --enddatetime 2016-11-14T16:20:15 --enforcementcount 0 &gt;&gt;C:\Users\stu\Documents\GitHub\eaglep3-reporting\EC\2016-11-14-refined-times.txt</v>
      </c>
      <c r="AI12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{"issue":{"subject":"","project_id":79,"tracker_id":40,"status_id":1,"priority_id":2,"assigned_to_id":23,"start_date":"2016-11-14","description":"","custom_fields":[{"id":1,"name":"Subdivision","value":"EC"},{"id":4,"name":"Milepost","value":"23.3295"},{"id":17,"name":"Train ID","value":"197-14"},{"id":16,"name":"Locomotive ID","value":"4011"},{"id":130,"name":"Impact","value":""},{"id":150,"name":"Time of Event (Mountain Time)","value":"16:20:15"},{"id":151,"name":"Denver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561</v>
      </c>
      <c r="B127" s="7">
        <v>4012</v>
      </c>
      <c r="C127" s="22" t="s">
        <v>224</v>
      </c>
      <c r="D127" s="22" t="s">
        <v>329</v>
      </c>
      <c r="E127" s="13">
        <v>42688.690671296295</v>
      </c>
      <c r="F127" s="13">
        <v>42688.695347222223</v>
      </c>
      <c r="G127" s="7">
        <v>1</v>
      </c>
      <c r="H127" s="22" t="s">
        <v>229</v>
      </c>
      <c r="I127" s="13">
        <v>42688.721064814818</v>
      </c>
      <c r="J127" s="7">
        <v>0</v>
      </c>
      <c r="K127" s="109" t="str">
        <f t="shared" si="36"/>
        <v>4011/4012</v>
      </c>
      <c r="L127" s="22" t="str">
        <f>VLOOKUP(A127,'Trips&amp;Operators'!$C$1:$E$10000,3,FALSE)</f>
        <v>BADERTSCHER</v>
      </c>
      <c r="M127" s="6">
        <f t="shared" si="37"/>
        <v>2.5717592594446614E-2</v>
      </c>
      <c r="N127" s="7">
        <f t="shared" si="51"/>
        <v>37.033333336003125</v>
      </c>
      <c r="O127" s="7"/>
      <c r="P127" s="7"/>
      <c r="Q127" s="23"/>
      <c r="R127" s="23"/>
      <c r="S127" s="35">
        <f t="shared" si="52"/>
        <v>1</v>
      </c>
      <c r="T127" s="50" t="str">
        <f t="shared" si="38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15:34:34-700',mode:absolute,to:'2016-11-14 18:18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52" t="str">
        <f t="shared" si="40"/>
        <v>N</v>
      </c>
      <c r="X127" s="177">
        <f t="shared" si="41"/>
        <v>1</v>
      </c>
      <c r="Y127" s="67">
        <f t="shared" si="42"/>
        <v>23.298300000000001</v>
      </c>
      <c r="Z127" s="67">
        <f t="shared" si="43"/>
        <v>1.5800000000000002E-2</v>
      </c>
      <c r="AA127" s="67">
        <f t="shared" si="44"/>
        <v>23.282500000000002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45"/>
        <v>0198-14</v>
      </c>
      <c r="AE127" s="91" t="str">
        <f t="shared" si="46"/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AF127" s="88" t="str">
        <f t="shared" si="47"/>
        <v>"C:\Program Files (x86)\AstroGrep\AstroGrep.exe" /spath="%USERPROFILE%\AppData\Local\Temp\OnboardLogs" /stypes="app*4012*20161115*" /stext=" 00:.+((SYSTEM_STATE.+slice.+state.+changed )|(ment ac)|(system.+state.+changed )|(\[timeout)|(PRM\|1\|D)|(kpr)|(kdp)|(\|lc)|(penalty))" /e /r /s</v>
      </c>
      <c r="AG127" s="1" t="str">
        <f t="shared" si="48"/>
        <v>EC</v>
      </c>
      <c r="AH127" s="92" t="str">
        <f t="shared" si="49"/>
        <v>"%USERPROFILE%\Documents\GitHub\eaglep3\Utilities\RefineRTDCRunTimes.py" --tripid 198-14 --locoid 4012 --swversion DE.1.0.8.0 --startMP 204:232983 --initTime 2016-11-14T16:34:34 --startdatetime 2016-11-14T16:41:18 --delay 1 --endMP 204:158 --enddatetime 2016-11-14T17:18:20 --enforcementcount 0 &gt;&gt;C:\Users\stu\Documents\GitHub\eaglep3-reporting\EC\2016-11-14-refined-times.txt</v>
      </c>
      <c r="AI12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{"issue":{"subject":"","project_id":79,"tracker_id":40,"status_id":1,"priority_id":2,"assigned_to_id":23,"start_date":"2016-11-14","description":"","custom_fields":[{"id":1,"name":"Subdivision","value":"EC"},{"id":4,"name":"Milepost","value":"0.0158"},{"id":17,"name":"Train ID","value":"198-14"},{"id":16,"name":"Locomotive ID","value":"4012"},{"id":130,"name":"Impact","value":""},{"id":150,"name":"Time of Event (Mountain Time)","value":"17:18:20"},{"id":151,"name":"Denver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555</v>
      </c>
      <c r="B128" s="7">
        <v>4018</v>
      </c>
      <c r="C128" s="22" t="s">
        <v>224</v>
      </c>
      <c r="D128" s="22" t="s">
        <v>653</v>
      </c>
      <c r="E128" s="13">
        <v>42688.660844907405</v>
      </c>
      <c r="F128" s="13">
        <v>42688.666886574072</v>
      </c>
      <c r="G128" s="7">
        <v>1</v>
      </c>
      <c r="H128" s="22" t="s">
        <v>705</v>
      </c>
      <c r="I128" s="13">
        <v>42688.691747685189</v>
      </c>
      <c r="J128" s="7">
        <v>0</v>
      </c>
      <c r="K128" s="109" t="str">
        <f t="shared" si="36"/>
        <v>4017/4018</v>
      </c>
      <c r="L128" s="22" t="str">
        <f>VLOOKUP(A128,'Trips&amp;Operators'!$C$1:$E$10000,3,FALSE)</f>
        <v>SHOOK</v>
      </c>
      <c r="M128" s="6">
        <f t="shared" si="37"/>
        <v>2.4861111116479151E-2</v>
      </c>
      <c r="N128" s="7">
        <f t="shared" si="51"/>
        <v>35.800000007729977</v>
      </c>
      <c r="O128" s="7"/>
      <c r="P128" s="7"/>
      <c r="Q128" s="23"/>
      <c r="R128" s="23"/>
      <c r="S128" s="35">
        <f t="shared" si="52"/>
        <v>1</v>
      </c>
      <c r="T128" s="50" t="str">
        <f t="shared" si="38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14:51:37-700',mode:absolute,to:'2016-11-14 17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8" s="52" t="str">
        <f t="shared" si="40"/>
        <v>N</v>
      </c>
      <c r="X128" s="177">
        <f t="shared" si="41"/>
        <v>1</v>
      </c>
      <c r="Y128" s="67">
        <f t="shared" si="42"/>
        <v>4.8399999999999999E-2</v>
      </c>
      <c r="Z128" s="67">
        <f t="shared" si="43"/>
        <v>23.3383</v>
      </c>
      <c r="AA128" s="67">
        <f t="shared" si="44"/>
        <v>23.289899999999999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45"/>
        <v>0199-14</v>
      </c>
      <c r="AE128" s="91" t="str">
        <f t="shared" si="46"/>
        <v>aws s3 cp s3://rtdc.mdm.uploadarchive.raw/RTDC4018/ "%USERPROFILE%\AppData\Local\Temp\OnboardLogs"\RTDC4018\2016-11-14 --exclude "*" --recursive --include "*20161114*" &amp; "%USERPROFILE%\Documents\GitHub\mrs-test-scripts\Headless Mode &amp; Sideloading\WalkAndUnGZ.bat" "%USERPROFILE%\AppData\Local\Temp\OnboardLogs"\RTDC4018\2016-11-14 &amp; 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</v>
      </c>
      <c r="AF128" s="88" t="str">
        <f t="shared" si="47"/>
        <v>"C:\Program Files (x86)\AstroGrep\AstroGrep.exe" /spath="%USERPROFILE%\AppData\Local\Temp\OnboardLogs" /stypes="app*4018*20161114*" /stext=" 23:.+((SYSTEM_STATE.+slice.+state.+changed )|(ment ac)|(system.+state.+changed )|(\[timeout)|(PRM\|1\|D)|(kpr)|(kdp)|(\|lc)|(penalty))" /e /r /s</v>
      </c>
      <c r="AG128" s="1" t="str">
        <f t="shared" si="48"/>
        <v>EC</v>
      </c>
      <c r="AH128" s="92" t="str">
        <f t="shared" si="49"/>
        <v>"%USERPROFILE%\Documents\GitHub\eaglep3\Utilities\RefineRTDCRunTimes.py" --tripid 199-14 --locoid 4018 --swversion DE.1.0.8.0 --startMP 204:484 --initTime 2016-11-14T15:51:37 --startdatetime 2016-11-14T16:00:19 --delay 1 --endMP 204:233383 --enddatetime 2016-11-14T16:36:07 --enforcementcount 0 &gt;&gt;C:\Users\stu\Documents\GitHub\eaglep3-reporting\EC\2016-11-14-refined-times.txt</v>
      </c>
      <c r="AI12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{"issue":{"subject":"","project_id":79,"tracker_id":40,"status_id":1,"priority_id":2,"assigned_to_id":23,"start_date":"2016-11-14","description":"","custom_fields":[{"id":1,"name":"Subdivision","value":"EC"},{"id":4,"name":"Milepost","value":"23.3383"},{"id":17,"name":"Train ID","value":"199-14"},{"id":16,"name":"Locomotive ID","value":"4018"},{"id":130,"name":"Impact","value":""},{"id":150,"name":"Time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565</v>
      </c>
      <c r="B129" s="7">
        <v>4017</v>
      </c>
      <c r="C129" s="22" t="s">
        <v>224</v>
      </c>
      <c r="D129" s="22" t="s">
        <v>700</v>
      </c>
      <c r="E129" s="13">
        <v>42688.700810185182</v>
      </c>
      <c r="F129" s="13">
        <v>42688.705775462964</v>
      </c>
      <c r="G129" s="7">
        <v>1</v>
      </c>
      <c r="H129" s="22" t="s">
        <v>706</v>
      </c>
      <c r="I129" s="13">
        <v>42688.733877314815</v>
      </c>
      <c r="J129" s="7">
        <v>0</v>
      </c>
      <c r="K129" s="109" t="str">
        <f t="shared" si="36"/>
        <v>4017/4018</v>
      </c>
      <c r="L129" s="22" t="str">
        <f>VLOOKUP(A129,'Trips&amp;Operators'!$C$1:$E$10000,3,FALSE)</f>
        <v>SHOOK</v>
      </c>
      <c r="M129" s="6">
        <f t="shared" si="37"/>
        <v>2.810185185080627E-2</v>
      </c>
      <c r="N129" s="7">
        <f t="shared" si="51"/>
        <v>40.466666665161029</v>
      </c>
      <c r="O129" s="7"/>
      <c r="P129" s="7"/>
      <c r="Q129" s="23"/>
      <c r="R129" s="23"/>
      <c r="S129" s="35">
        <f t="shared" si="52"/>
        <v>1</v>
      </c>
      <c r="T129" s="50" t="str">
        <f t="shared" si="38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15:49:10-700',mode:absolute,to:'2016-11-14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9" s="52" t="str">
        <f t="shared" si="40"/>
        <v>N</v>
      </c>
      <c r="X129" s="177">
        <f t="shared" si="41"/>
        <v>1</v>
      </c>
      <c r="Y129" s="67">
        <f t="shared" si="42"/>
        <v>23.303599999999999</v>
      </c>
      <c r="Z129" s="67">
        <f t="shared" si="43"/>
        <v>0.1192</v>
      </c>
      <c r="AA129" s="67">
        <f t="shared" si="44"/>
        <v>23.1844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45"/>
        <v>0200-14</v>
      </c>
      <c r="AE129" s="91" t="str">
        <f t="shared" si="46"/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AF129" s="88" t="str">
        <f t="shared" si="47"/>
        <v>"C:\Program Files (x86)\AstroGrep\AstroGrep.exe" /spath="%USERPROFILE%\AppData\Local\Temp\OnboardLogs" /stypes="app*4017*20161115*" /stext=" 00:.+((SYSTEM_STATE.+slice.+state.+changed )|(ment ac)|(system.+state.+changed )|(\[timeout)|(PRM\|1\|D)|(kpr)|(kdp)|(\|lc)|(penalty))" /e /r /s</v>
      </c>
      <c r="AG129" s="1" t="str">
        <f t="shared" si="48"/>
        <v>EC</v>
      </c>
      <c r="AH129" s="92" t="str">
        <f t="shared" si="49"/>
        <v>"%USERPROFILE%\Documents\GitHub\eaglep3\Utilities\RefineRTDCRunTimes.py" --tripid 200-14 --locoid 4017 --swversion DE.1.0.8.0 --startMP 204:233036 --initTime 2016-11-14T16:49:10 --startdatetime 2016-11-14T16:56:19 --delay 1 --endMP 204:1192 --enddatetime 2016-11-14T17:36:47 --enforcementcount 0 &gt;&gt;C:\Users\stu\Documents\GitHub\eaglep3-reporting\EC\2016-11-14-refined-times.txt</v>
      </c>
      <c r="AI12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{"issue":{"subject":"","project_id":79,"tracker_id":40,"status_id":1,"priority_id":2,"assigned_to_id":23,"start_date":"2016-11-14","description":"","custom_fields":[{"id":1,"name":"Subdivision","value":"EC"},{"id":4,"name":"Milepost","value":"0.1192"},{"id":17,"name":"Train ID","value":"200-14"},{"id":16,"name":"Locomotive ID","value":"4017"},{"id":130,"name":"Impact","value":""},{"id":150,"name":"Time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557</v>
      </c>
      <c r="B130" s="7">
        <v>4016</v>
      </c>
      <c r="C130" s="22" t="s">
        <v>224</v>
      </c>
      <c r="D130" s="22" t="s">
        <v>221</v>
      </c>
      <c r="E130" s="13">
        <v>42688.672256944446</v>
      </c>
      <c r="F130" s="13">
        <v>42688.677407407406</v>
      </c>
      <c r="G130" s="7">
        <v>1</v>
      </c>
      <c r="H130" s="22" t="s">
        <v>236</v>
      </c>
      <c r="I130" s="13">
        <v>42688.702291666668</v>
      </c>
      <c r="J130" s="7">
        <v>0</v>
      </c>
      <c r="K130" s="109" t="str">
        <f t="shared" si="36"/>
        <v>4015/4016</v>
      </c>
      <c r="L130" s="22" t="str">
        <f>VLOOKUP(A130,'Trips&amp;Operators'!$C$1:$E$10000,3,FALSE)</f>
        <v>MCREYNOLDS</v>
      </c>
      <c r="M130" s="6">
        <f t="shared" si="37"/>
        <v>2.4884259262762498E-2</v>
      </c>
      <c r="N130" s="7">
        <f t="shared" si="51"/>
        <v>35.833333338377997</v>
      </c>
      <c r="O130" s="7"/>
      <c r="P130" s="7"/>
      <c r="Q130" s="23"/>
      <c r="R130" s="23"/>
      <c r="S130" s="35">
        <f t="shared" si="52"/>
        <v>1</v>
      </c>
      <c r="T130" s="50" t="str">
        <f t="shared" si="38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15:08:03-700',mode:absolute,to:'2016-11-14 17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0" s="52" t="str">
        <f t="shared" si="40"/>
        <v>N</v>
      </c>
      <c r="X130" s="177">
        <f t="shared" si="41"/>
        <v>1</v>
      </c>
      <c r="Y130" s="67">
        <f t="shared" si="42"/>
        <v>4.5699999999999998E-2</v>
      </c>
      <c r="Z130" s="67">
        <f t="shared" si="43"/>
        <v>23.329799999999999</v>
      </c>
      <c r="AA130" s="67">
        <f t="shared" si="44"/>
        <v>23.284099999999999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45"/>
        <v>0201-14</v>
      </c>
      <c r="AE130" s="91" t="str">
        <f t="shared" si="46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130" s="88" t="str">
        <f t="shared" si="47"/>
        <v>"C:\Program Files (x86)\AstroGrep\AstroGrep.exe" /spath="%USERPROFILE%\AppData\Local\Temp\OnboardLogs" /stypes="app*4016*20161114*" /stext=" 23:.+((SYSTEM_STATE.+slice.+state.+changed )|(ment ac)|(system.+state.+changed )|(\[timeout)|(PRM\|1\|D)|(kpr)|(kdp)|(\|lc)|(penalty))" /e /r /s</v>
      </c>
      <c r="AG130" s="1" t="str">
        <f t="shared" si="48"/>
        <v>EC</v>
      </c>
      <c r="AH130" s="92" t="str">
        <f t="shared" si="49"/>
        <v>"%USERPROFILE%\Documents\GitHub\eaglep3\Utilities\RefineRTDCRunTimes.py" --tripid 201-14 --locoid 4016 --swversion DE.1.0.8.0 --startMP 204:457 --initTime 2016-11-14T16:08:03 --startdatetime 2016-11-14T16:15:28 --delay 1 --endMP 204:233298 --enddatetime 2016-11-14T16:51:18 --enforcementcount 0 &gt;&gt;C:\Users\stu\Documents\GitHub\eaglep3-reporting\EC\2016-11-14-refined-times.txt</v>
      </c>
      <c r="AI13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{"issue":{"subject":"","project_id":79,"tracker_id":40,"status_id":1,"priority_id":2,"assigned_to_id":23,"start_date":"2016-11-14","description":"","custom_fields":[{"id":1,"name":"Subdivision","value":"EC"},{"id":4,"name":"Milepost","value":"23.3298"},{"id":17,"name":"Train ID","value":"201-14"},{"id":16,"name":"Locomotive ID","value":"4016"},{"id":130,"name":"Impact","value":""},{"id":150,"name":"Time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567</v>
      </c>
      <c r="B131" s="7">
        <v>4015</v>
      </c>
      <c r="C131" s="22" t="s">
        <v>224</v>
      </c>
      <c r="D131" s="22" t="s">
        <v>283</v>
      </c>
      <c r="E131" s="13">
        <v>42688.709490740737</v>
      </c>
      <c r="F131" s="13">
        <v>42688.716423611113</v>
      </c>
      <c r="G131" s="7">
        <v>1</v>
      </c>
      <c r="H131" s="22" t="s">
        <v>247</v>
      </c>
      <c r="I131" s="13">
        <v>42688.743715277778</v>
      </c>
      <c r="J131" s="7">
        <v>0</v>
      </c>
      <c r="K131" s="109" t="str">
        <f t="shared" si="36"/>
        <v>4015/4016</v>
      </c>
      <c r="L131" s="22" t="str">
        <f>VLOOKUP(A131,'Trips&amp;Operators'!$C$1:$E$10000,3,FALSE)</f>
        <v>MCREYNOLDS</v>
      </c>
      <c r="M131" s="6">
        <f t="shared" si="37"/>
        <v>2.7291666665405501E-2</v>
      </c>
      <c r="N131" s="7">
        <f t="shared" si="51"/>
        <v>39.299999998183921</v>
      </c>
      <c r="O131" s="7"/>
      <c r="P131" s="7"/>
      <c r="Q131" s="23"/>
      <c r="R131" s="23"/>
      <c r="S131" s="35">
        <f t="shared" si="52"/>
        <v>1</v>
      </c>
      <c r="T131" s="50" t="str">
        <f t="shared" si="38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16:01:40-700',mode:absolute,to:'2016-11-14 18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1" s="52" t="str">
        <f t="shared" si="40"/>
        <v>N</v>
      </c>
      <c r="X131" s="177">
        <f t="shared" si="41"/>
        <v>1</v>
      </c>
      <c r="Y131" s="67">
        <f t="shared" si="42"/>
        <v>23.299600000000002</v>
      </c>
      <c r="Z131" s="67">
        <f t="shared" si="43"/>
        <v>1.4999999999999999E-2</v>
      </c>
      <c r="AA131" s="67">
        <f t="shared" si="44"/>
        <v>23.284600000000001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45"/>
        <v>0202-14</v>
      </c>
      <c r="AE131" s="91" t="str">
        <f t="shared" si="46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131" s="88" t="str">
        <f t="shared" si="47"/>
        <v>"C:\Program Files (x86)\AstroGrep\AstroGrep.exe" /spath="%USERPROFILE%\AppData\Local\Temp\OnboardLogs" /stypes="app*4015*20161115*" /stext=" 00:.+((SYSTEM_STATE.+slice.+state.+changed )|(ment ac)|(system.+state.+changed )|(\[timeout)|(PRM\|1\|D)|(kpr)|(kdp)|(\|lc)|(penalty))" /e /r /s</v>
      </c>
      <c r="AG131" s="1" t="str">
        <f t="shared" si="48"/>
        <v>EC</v>
      </c>
      <c r="AH131" s="92" t="str">
        <f t="shared" si="49"/>
        <v>"%USERPROFILE%\Documents\GitHub\eaglep3\Utilities\RefineRTDCRunTimes.py" --tripid 202-14 --locoid 4015 --swversion DE.1.0.8.0 --startMP 204:232996 --initTime 2016-11-14T17:01:40 --startdatetime 2016-11-14T17:11:39 --delay 1 --endMP 204:150 --enddatetime 2016-11-14T17:50:57 --enforcementcount 0 &gt;&gt;C:\Users\stu\Documents\GitHub\eaglep3-reporting\EC\2016-11-14-refined-times.txt</v>
      </c>
      <c r="AI131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{"issue":{"subject":"","project_id":79,"tracker_id":40,"status_id":1,"priority_id":2,"assigned_to_id":23,"start_date":"2016-11-14","description":"","custom_fields":[{"id":1,"name":"Subdivision","value":"EC"},{"id":4,"name":"Milepost","value":"0.015"},{"id":17,"name":"Train ID","value":"202-14"},{"id":16,"name":"Locomotive ID","value":"4015"},{"id":130,"name":"Impact","value":""},{"id":150,"name":"Time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560</v>
      </c>
      <c r="B132" s="7">
        <v>4029</v>
      </c>
      <c r="C132" s="22" t="s">
        <v>224</v>
      </c>
      <c r="D132" s="22" t="s">
        <v>312</v>
      </c>
      <c r="E132" s="13">
        <v>42688.682916666665</v>
      </c>
      <c r="F132" s="13">
        <v>42688.687800925924</v>
      </c>
      <c r="G132" s="7">
        <v>1</v>
      </c>
      <c r="H132" s="22" t="s">
        <v>707</v>
      </c>
      <c r="I132" s="13">
        <v>42688.712858796294</v>
      </c>
      <c r="J132" s="7">
        <v>0</v>
      </c>
      <c r="K132" s="109" t="str">
        <f t="shared" si="36"/>
        <v>4029/4030</v>
      </c>
      <c r="L132" s="22" t="str">
        <f>VLOOKUP(A132,'Trips&amp;Operators'!$C$1:$E$10000,3,FALSE)</f>
        <v>BARTLETT</v>
      </c>
      <c r="M132" s="6">
        <f t="shared" si="37"/>
        <v>2.5057870370801538E-2</v>
      </c>
      <c r="N132" s="7">
        <f t="shared" si="51"/>
        <v>36.083333333954215</v>
      </c>
      <c r="O132" s="7"/>
      <c r="P132" s="7"/>
      <c r="Q132" s="23"/>
      <c r="R132" s="23"/>
      <c r="S132" s="35">
        <f t="shared" si="52"/>
        <v>1</v>
      </c>
      <c r="T132" s="50" t="str">
        <f t="shared" si="38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15:23:24-700',mode:absolute,to:'2016-11-14 18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2" s="52" t="str">
        <f t="shared" si="40"/>
        <v>N</v>
      </c>
      <c r="X132" s="177">
        <f t="shared" si="41"/>
        <v>1</v>
      </c>
      <c r="Y132" s="67">
        <f t="shared" si="42"/>
        <v>4.6600000000000003E-2</v>
      </c>
      <c r="Z132" s="67">
        <f t="shared" si="43"/>
        <v>23.3324</v>
      </c>
      <c r="AA132" s="67">
        <f t="shared" si="44"/>
        <v>23.285799999999998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45"/>
        <v>0203-14</v>
      </c>
      <c r="AE132" s="91" t="str">
        <f t="shared" si="46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32" s="88" t="str">
        <f t="shared" si="47"/>
        <v>"C:\Program Files (x86)\AstroGrep\AstroGrep.exe" /spath="%USERPROFILE%\AppData\Local\Temp\OnboardLogs" /stypes="app*4029*20161115*" /stext=" 00:.+((SYSTEM_STATE.+slice.+state.+changed )|(ment ac)|(system.+state.+changed )|(\[timeout)|(PRM\|1\|D)|(kpr)|(kdp)|(\|lc)|(penalty))" /e /r /s</v>
      </c>
      <c r="AG132" s="1" t="str">
        <f t="shared" si="48"/>
        <v>EC</v>
      </c>
      <c r="AH132" s="92" t="str">
        <f t="shared" si="49"/>
        <v>"%USERPROFILE%\Documents\GitHub\eaglep3\Utilities\RefineRTDCRunTimes.py" --tripid 203-14 --locoid 4029 --swversion DE.1.0.8.0 --startMP 204:466 --initTime 2016-11-14T16:23:24 --startdatetime 2016-11-14T16:30:26 --delay 1 --endMP 204:233324 --enddatetime 2016-11-14T17:06:31 --enforcementcount 0 &gt;&gt;C:\Users\stu\Documents\GitHub\eaglep3-reporting\EC\2016-11-14-refined-times.txt</v>
      </c>
      <c r="AI132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{"issue":{"subject":"","project_id":79,"tracker_id":40,"status_id":1,"priority_id":2,"assigned_to_id":23,"start_date":"2016-11-14","description":"","custom_fields":[{"id":1,"name":"Subdivision","value":"EC"},{"id":4,"name":"Milepost","value":"23.3324"},{"id":17,"name":"Train ID","value":"203-14"},{"id":16,"name":"Locomotive ID","value":"4029"},{"id":130,"name":"Impact","value":""},{"id":150,"name":"Time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428</v>
      </c>
      <c r="B133" s="7">
        <v>4030</v>
      </c>
      <c r="C133" s="22" t="s">
        <v>224</v>
      </c>
      <c r="D133" s="22" t="s">
        <v>708</v>
      </c>
      <c r="E133" s="13">
        <v>42688.714872685188</v>
      </c>
      <c r="F133" s="13">
        <v>42688.726631944446</v>
      </c>
      <c r="G133" s="7">
        <v>1</v>
      </c>
      <c r="H133" s="22" t="s">
        <v>348</v>
      </c>
      <c r="I133" s="13">
        <v>42688.754641203705</v>
      </c>
      <c r="J133" s="7">
        <v>0</v>
      </c>
      <c r="K133" s="109" t="str">
        <f t="shared" si="36"/>
        <v>4029/4030</v>
      </c>
      <c r="L133" s="22" t="str">
        <f>VLOOKUP(A133,'Trips&amp;Operators'!$C$1:$E$10000,3,FALSE)</f>
        <v>BARTLETT</v>
      </c>
      <c r="M133" s="6">
        <f t="shared" si="37"/>
        <v>2.8009259258396924E-2</v>
      </c>
      <c r="N133" s="7">
        <f t="shared" si="51"/>
        <v>40.33333333209157</v>
      </c>
      <c r="O133" s="7"/>
      <c r="P133" s="7"/>
      <c r="Q133" s="23"/>
      <c r="R133" s="23"/>
      <c r="S133" s="35">
        <f t="shared" si="52"/>
        <v>1</v>
      </c>
      <c r="T133" s="50" t="str">
        <f t="shared" si="38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16:09:25-700',mode:absolute,to:'2016-11-14 19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3" s="52" t="str">
        <f t="shared" si="40"/>
        <v>N</v>
      </c>
      <c r="X133" s="177">
        <f t="shared" si="41"/>
        <v>1</v>
      </c>
      <c r="Y133" s="67">
        <f t="shared" si="42"/>
        <v>23.3001</v>
      </c>
      <c r="Z133" s="67">
        <f t="shared" si="43"/>
        <v>1.6899999999999998E-2</v>
      </c>
      <c r="AA133" s="67">
        <f t="shared" si="44"/>
        <v>23.283200000000001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45"/>
        <v>0204-14</v>
      </c>
      <c r="AE133" s="91" t="str">
        <f t="shared" si="46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33" s="88" t="str">
        <f t="shared" si="47"/>
        <v>"C:\Program Files (x86)\AstroGrep\AstroGrep.exe" /spath="%USERPROFILE%\AppData\Local\Temp\OnboardLogs" /stypes="app*4030*20161115*" /stext=" 01:.+((SYSTEM_STATE.+slice.+state.+changed )|(ment ac)|(system.+state.+changed )|(\[timeout)|(PRM\|1\|D)|(kpr)|(kdp)|(\|lc)|(penalty))" /e /r /s</v>
      </c>
      <c r="AG133" s="1" t="str">
        <f t="shared" si="48"/>
        <v>EC</v>
      </c>
      <c r="AH133" s="92" t="str">
        <f t="shared" si="49"/>
        <v>"%USERPROFILE%\Documents\GitHub\eaglep3\Utilities\RefineRTDCRunTimes.py" --tripid 204-14 --locoid 4030 --swversion DE.1.0.8.0 --startMP 204:233001 --initTime 2016-11-14T17:09:25 --startdatetime 2016-11-14T17:26:21 --delay 1 --endMP 204:169 --enddatetime 2016-11-14T18:06:41 --enforcementcount 0 &gt;&gt;C:\Users\stu\Documents\GitHub\eaglep3-reporting\EC\2016-11-14-refined-times.txt</v>
      </c>
      <c r="AI133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{"issue":{"subject":"","project_id":79,"tracker_id":40,"status_id":1,"priority_id":2,"assigned_to_id":23,"start_date":"2016-11-14","description":"","custom_fields":[{"id":1,"name":"Subdivision","value":"EC"},{"id":4,"name":"Milepost","value":"0.0169"},{"id":17,"name":"Train ID","value":"204-14"},{"id":16,"name":"Locomotive ID","value":"4030"},{"id":130,"name":"Impact","value":""},{"id":150,"name":"Time of Event (Mountain Time)","value":"18:06:41"},{"id":151,"name":"Denver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562</v>
      </c>
      <c r="B134" s="7">
        <v>4009</v>
      </c>
      <c r="C134" s="22" t="s">
        <v>224</v>
      </c>
      <c r="D134" s="22" t="s">
        <v>316</v>
      </c>
      <c r="E134" s="13">
        <v>42688.692685185182</v>
      </c>
      <c r="F134" s="13">
        <v>42688.698472222219</v>
      </c>
      <c r="G134" s="7">
        <v>1</v>
      </c>
      <c r="H134" s="22" t="s">
        <v>375</v>
      </c>
      <c r="I134" s="13">
        <v>42688.722986111112</v>
      </c>
      <c r="J134" s="7">
        <v>0</v>
      </c>
      <c r="K134" s="109" t="str">
        <f t="shared" si="36"/>
        <v>4009/4010</v>
      </c>
      <c r="L134" s="22" t="str">
        <f>VLOOKUP(A134,'Trips&amp;Operators'!$C$1:$E$10000,3,FALSE)</f>
        <v>MACDONALD</v>
      </c>
      <c r="M134" s="6">
        <f t="shared" si="37"/>
        <v>2.4513888893125113E-2</v>
      </c>
      <c r="N134" s="7">
        <f t="shared" si="51"/>
        <v>35.300000006100163</v>
      </c>
      <c r="O134" s="7"/>
      <c r="P134" s="7"/>
      <c r="Q134" s="23"/>
      <c r="R134" s="23"/>
      <c r="S134" s="35">
        <f t="shared" si="52"/>
        <v>1</v>
      </c>
      <c r="T134" s="50" t="str">
        <f t="shared" si="38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15:37:28-700',mode:absolute,to:'2016-11-14 18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4" s="52" t="str">
        <f t="shared" si="40"/>
        <v>N</v>
      </c>
      <c r="X134" s="177">
        <f t="shared" si="41"/>
        <v>1</v>
      </c>
      <c r="Y134" s="67">
        <f t="shared" si="42"/>
        <v>4.4900000000000002E-2</v>
      </c>
      <c r="Z134" s="67">
        <f t="shared" si="43"/>
        <v>23.328900000000001</v>
      </c>
      <c r="AA134" s="67">
        <f t="shared" si="44"/>
        <v>23.284000000000002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45"/>
        <v>0205-14</v>
      </c>
      <c r="AE134" s="91" t="str">
        <f t="shared" si="46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34" s="88" t="str">
        <f t="shared" si="47"/>
        <v>"C:\Program Files (x86)\AstroGrep\AstroGrep.exe" /spath="%USERPROFILE%\AppData\Local\Temp\OnboardLogs" /stypes="app*4009*20161115*" /stext=" 00:.+((SYSTEM_STATE.+slice.+state.+changed )|(ment ac)|(system.+state.+changed )|(\[timeout)|(PRM\|1\|D)|(kpr)|(kdp)|(\|lc)|(penalty))" /e /r /s</v>
      </c>
      <c r="AG134" s="1" t="str">
        <f t="shared" si="48"/>
        <v>EC</v>
      </c>
      <c r="AH134" s="92" t="str">
        <f t="shared" si="49"/>
        <v>"%USERPROFILE%\Documents\GitHub\eaglep3\Utilities\RefineRTDCRunTimes.py" --tripid 205-14 --locoid 4009 --swversion DE.1.0.8.0 --startMP 204:449 --initTime 2016-11-14T16:37:28 --startdatetime 2016-11-14T16:45:48 --delay 1 --endMP 204:233289 --enddatetime 2016-11-14T17:21:06 --enforcementcount 0 &gt;&gt;C:\Users\stu\Documents\GitHub\eaglep3-reporting\EC\2016-11-14-refined-times.txt</v>
      </c>
      <c r="AI134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{"issue":{"subject":"","project_id":79,"tracker_id":40,"status_id":1,"priority_id":2,"assigned_to_id":23,"start_date":"2016-11-14","description":"","custom_fields":[{"id":1,"name":"Subdivision","value":"EC"},{"id":4,"name":"Milepost","value":"23.3289"},{"id":17,"name":"Train ID","value":"205-14"},{"id":16,"name":"Locomotive ID","value":"4009"},{"id":130,"name":"Impact","value":""},{"id":150,"name":"Time of Event (Mountain Time)","value":"17:21:06"},{"id":151,"name":"Denver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573</v>
      </c>
      <c r="B135" s="7">
        <v>4010</v>
      </c>
      <c r="C135" s="22" t="s">
        <v>224</v>
      </c>
      <c r="D135" s="22" t="s">
        <v>339</v>
      </c>
      <c r="E135" s="13">
        <v>42688.726620370369</v>
      </c>
      <c r="F135" s="13">
        <v>42688.737025462964</v>
      </c>
      <c r="G135" s="7">
        <v>1</v>
      </c>
      <c r="H135" s="22" t="s">
        <v>215</v>
      </c>
      <c r="I135" s="13">
        <v>42688.763784722221</v>
      </c>
      <c r="J135" s="7">
        <v>0</v>
      </c>
      <c r="K135" s="109" t="str">
        <f t="shared" si="36"/>
        <v>4009/4010</v>
      </c>
      <c r="L135" s="22" t="str">
        <f>VLOOKUP(A135,'Trips&amp;Operators'!$C$1:$E$10000,3,FALSE)</f>
        <v>MACDONALD</v>
      </c>
      <c r="M135" s="6">
        <f t="shared" si="37"/>
        <v>2.675925925723277E-2</v>
      </c>
      <c r="N135" s="7">
        <f t="shared" si="51"/>
        <v>38.533333330415189</v>
      </c>
      <c r="O135" s="7"/>
      <c r="P135" s="7"/>
      <c r="Q135" s="23"/>
      <c r="R135" s="23"/>
      <c r="S135" s="35">
        <f t="shared" si="52"/>
        <v>1</v>
      </c>
      <c r="T135" s="50" t="str">
        <f t="shared" si="38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16:26:20-700',mode:absolute,to:'2016-11-14 19:19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5" s="52" t="str">
        <f t="shared" si="40"/>
        <v>N</v>
      </c>
      <c r="X135" s="177">
        <f t="shared" si="41"/>
        <v>1</v>
      </c>
      <c r="Y135" s="67">
        <f t="shared" si="42"/>
        <v>23.2972</v>
      </c>
      <c r="Z135" s="67">
        <f t="shared" si="43"/>
        <v>1.5599999999999999E-2</v>
      </c>
      <c r="AA135" s="67">
        <f t="shared" si="44"/>
        <v>23.281600000000001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45"/>
        <v>0206-14</v>
      </c>
      <c r="AE135" s="91" t="str">
        <f t="shared" si="46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35" s="88" t="str">
        <f t="shared" si="47"/>
        <v>"C:\Program Files (x86)\AstroGrep\AstroGrep.exe" /spath="%USERPROFILE%\AppData\Local\Temp\OnboardLogs" /stypes="app*4010*20161115*" /stext=" 01:.+((SYSTEM_STATE.+slice.+state.+changed )|(ment ac)|(system.+state.+changed )|(\[timeout)|(PRM\|1\|D)|(kpr)|(kdp)|(\|lc)|(penalty))" /e /r /s</v>
      </c>
      <c r="AG135" s="1" t="str">
        <f t="shared" si="48"/>
        <v>EC</v>
      </c>
      <c r="AH135" s="92" t="str">
        <f t="shared" si="49"/>
        <v>"%USERPROFILE%\Documents\GitHub\eaglep3\Utilities\RefineRTDCRunTimes.py" --tripid 206-14 --locoid 4010 --swversion DE.1.0.8.0 --startMP 204:232972 --initTime 2016-11-14T17:26:20 --startdatetime 2016-11-14T17:41:19 --delay 1 --endMP 204:156 --enddatetime 2016-11-14T18:19:51 --enforcementcount 0 &gt;&gt;C:\Users\stu\Documents\GitHub\eaglep3-reporting\EC\2016-11-14-refined-times.txt</v>
      </c>
      <c r="AI135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{"issue":{"subject":"","project_id":79,"tracker_id":40,"status_id":1,"priority_id":2,"assigned_to_id":23,"start_date":"2016-11-14","description":"","custom_fields":[{"id":1,"name":"Subdivision","value":"EC"},{"id":4,"name":"Milepost","value":"0.0156"},{"id":17,"name":"Train ID","value":"206-14"},{"id":16,"name":"Locomotive ID","value":"4010"},{"id":130,"name":"Impact","value":""},{"id":150,"name":"Time of Event (Mountain Time)","value":"18:19:51"},{"id":151,"name":"Denver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566</v>
      </c>
      <c r="B136" s="7">
        <v>4040</v>
      </c>
      <c r="C136" s="22" t="s">
        <v>224</v>
      </c>
      <c r="D136" s="22" t="s">
        <v>265</v>
      </c>
      <c r="E136" s="13">
        <v>42688.705104166664</v>
      </c>
      <c r="F136" s="13">
        <v>42688.70857638889</v>
      </c>
      <c r="G136" s="7">
        <v>2</v>
      </c>
      <c r="H136" s="22" t="s">
        <v>642</v>
      </c>
      <c r="I136" s="13">
        <v>42688.735879629632</v>
      </c>
      <c r="J136" s="7">
        <v>0</v>
      </c>
      <c r="K136" s="109" t="str">
        <f t="shared" si="36"/>
        <v>4039/4040</v>
      </c>
      <c r="L136" s="22" t="str">
        <f>VLOOKUP(A136,'Trips&amp;Operators'!$C$1:$E$10000,3,FALSE)</f>
        <v>CLARK</v>
      </c>
      <c r="M136" s="6">
        <f t="shared" si="37"/>
        <v>2.7303240742185153E-2</v>
      </c>
      <c r="N136" s="7">
        <f t="shared" si="51"/>
        <v>39.31666666874662</v>
      </c>
      <c r="O136" s="7"/>
      <c r="P136" s="7"/>
      <c r="Q136" s="23"/>
      <c r="R136" s="23"/>
      <c r="S136" s="35">
        <f t="shared" si="52"/>
        <v>1</v>
      </c>
      <c r="T136" s="50" t="str">
        <f t="shared" si="38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15:55:21-700',mode:absolute,to:'2016-11-14 18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6" s="52" t="str">
        <f t="shared" si="40"/>
        <v>N</v>
      </c>
      <c r="X136" s="177">
        <f t="shared" si="41"/>
        <v>1</v>
      </c>
      <c r="Y136" s="67">
        <f t="shared" si="42"/>
        <v>4.3799999999999999E-2</v>
      </c>
      <c r="Z136" s="67">
        <f t="shared" si="43"/>
        <v>23.327400000000001</v>
      </c>
      <c r="AA136" s="67">
        <f t="shared" si="44"/>
        <v>23.2836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45"/>
        <v>0207-14</v>
      </c>
      <c r="AE136" s="91" t="str">
        <f t="shared" si="46"/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AF136" s="88" t="str">
        <f t="shared" si="47"/>
        <v>"C:\Program Files (x86)\AstroGrep\AstroGrep.exe" /spath="%USERPROFILE%\AppData\Local\Temp\OnboardLogs" /stypes="app*4040*20161115*" /stext=" 00:.+((SYSTEM_STATE.+slice.+state.+changed )|(ment ac)|(system.+state.+changed )|(\[timeout)|(PRM\|1\|D)|(kpr)|(kdp)|(\|lc)|(penalty))" /e /r /s</v>
      </c>
      <c r="AG136" s="1" t="str">
        <f t="shared" si="48"/>
        <v>EC</v>
      </c>
      <c r="AH136" s="92" t="str">
        <f t="shared" si="49"/>
        <v>"%USERPROFILE%\Documents\GitHub\eaglep3\Utilities\RefineRTDCRunTimes.py" --tripid 207-14 --locoid 4040 --swversion DE.1.0.8.0 --startMP 204:438 --initTime 2016-11-14T16:55:21 --startdatetime 2016-11-14T17:00:21 --delay 2 --endMP 204:233274 --enddatetime 2016-11-14T17:39:40 --enforcementcount 0 &gt;&gt;C:\Users\stu\Documents\GitHub\eaglep3-reporting\EC\2016-11-14-refined-times.txt</v>
      </c>
      <c r="AI136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{"issue":{"subject":"","project_id":79,"tracker_id":40,"status_id":1,"priority_id":2,"assigned_to_id":23,"start_date":"2016-11-14","description":"","custom_fields":[{"id":1,"name":"Subdivision","value":"EC"},{"id":4,"name":"Milepost","value":"23.3274"},{"id":17,"name":"Train ID","value":"207-14"},{"id":16,"name":"Locomotive ID","value":"4040"},{"id":130,"name":"Impact","value":""},{"id":150,"name":"Time of Event (Mountain Time)","value":"17:39:40"},{"id":151,"name":"Denver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578</v>
      </c>
      <c r="B137" s="7">
        <v>4039</v>
      </c>
      <c r="C137" s="22" t="s">
        <v>224</v>
      </c>
      <c r="D137" s="22" t="s">
        <v>709</v>
      </c>
      <c r="E137" s="13">
        <v>42688.744768518518</v>
      </c>
      <c r="F137" s="13">
        <v>42688.747534722221</v>
      </c>
      <c r="G137" s="7">
        <v>1</v>
      </c>
      <c r="H137" s="22" t="s">
        <v>311</v>
      </c>
      <c r="I137" s="13">
        <v>42688.777071759258</v>
      </c>
      <c r="J137" s="7">
        <v>0</v>
      </c>
      <c r="K137" s="109" t="str">
        <f t="shared" si="36"/>
        <v>4039/4040</v>
      </c>
      <c r="L137" s="22" t="str">
        <f>VLOOKUP(A137,'Trips&amp;Operators'!$C$1:$E$10000,3,FALSE)</f>
        <v>CLARK</v>
      </c>
      <c r="M137" s="6">
        <f t="shared" si="37"/>
        <v>2.9537037036789116E-2</v>
      </c>
      <c r="N137" s="7">
        <f t="shared" si="51"/>
        <v>42.533333332976326</v>
      </c>
      <c r="O137" s="7"/>
      <c r="P137" s="7"/>
      <c r="Q137" s="23"/>
      <c r="R137" s="23"/>
      <c r="S137" s="35">
        <f t="shared" si="52"/>
        <v>1</v>
      </c>
      <c r="T137" s="50" t="str">
        <f t="shared" si="38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16:52:28-700',mode:absolute,to:'2016-11-14 19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7" s="52" t="str">
        <f t="shared" si="40"/>
        <v>N</v>
      </c>
      <c r="X137" s="177">
        <f t="shared" si="41"/>
        <v>1</v>
      </c>
      <c r="Y137" s="67">
        <f t="shared" si="42"/>
        <v>23.294</v>
      </c>
      <c r="Z137" s="67">
        <f t="shared" si="43"/>
        <v>1.38E-2</v>
      </c>
      <c r="AA137" s="67">
        <f t="shared" si="44"/>
        <v>23.280200000000001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45"/>
        <v>0208-14</v>
      </c>
      <c r="AE137" s="91" t="str">
        <f t="shared" si="46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137" s="88" t="str">
        <f t="shared" si="47"/>
        <v>"C:\Program Files (x86)\AstroGrep\AstroGrep.exe" /spath="%USERPROFILE%\AppData\Local\Temp\OnboardLogs" /stypes="app*4039*20161115*" /stext=" 01:.+((SYSTEM_STATE.+slice.+state.+changed )|(ment ac)|(system.+state.+changed )|(\[timeout)|(PRM\|1\|D)|(kpr)|(kdp)|(\|lc)|(penalty))" /e /r /s</v>
      </c>
      <c r="AG137" s="1" t="str">
        <f t="shared" si="48"/>
        <v>EC</v>
      </c>
      <c r="AH137" s="92" t="str">
        <f t="shared" si="49"/>
        <v>"%USERPROFILE%\Documents\GitHub\eaglep3\Utilities\RefineRTDCRunTimes.py" --tripid 208-14 --locoid 4039 --swversion DE.1.0.8.0 --startMP 204:232940 --initTime 2016-11-14T17:52:28 --startdatetime 2016-11-14T17:56:27 --delay 1 --endMP 204:138 --enddatetime 2016-11-14T18:38:59 --enforcementcount 0 &gt;&gt;C:\Users\stu\Documents\GitHub\eaglep3-reporting\EC\2016-11-14-refined-times.txt</v>
      </c>
      <c r="AI137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{"issue":{"subject":"","project_id":79,"tracker_id":40,"status_id":1,"priority_id":2,"assigned_to_id":23,"start_date":"2016-11-14","description":"","custom_fields":[{"id":1,"name":"Subdivision","value":"EC"},{"id":4,"name":"Milepost","value":"0.0138"},{"id":17,"name":"Train ID","value":"208-14"},{"id":16,"name":"Locomotive ID","value":"4039"},{"id":130,"name":"Impact","value":""},{"id":150,"name":"Time of Event (Mountain Time)","value":"18:38:59"},{"id":151,"name":"Denver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569</v>
      </c>
      <c r="B138" s="7">
        <v>4046</v>
      </c>
      <c r="C138" s="22" t="s">
        <v>224</v>
      </c>
      <c r="D138" s="22" t="s">
        <v>371</v>
      </c>
      <c r="E138" s="13">
        <v>42688.716180555559</v>
      </c>
      <c r="F138" s="13">
        <v>42688.719201388885</v>
      </c>
      <c r="G138" s="7">
        <v>1</v>
      </c>
      <c r="H138" s="22" t="s">
        <v>710</v>
      </c>
      <c r="I138" s="13">
        <v>42688.744201388887</v>
      </c>
      <c r="J138" s="7">
        <v>0</v>
      </c>
      <c r="K138" s="109" t="str">
        <f t="shared" si="36"/>
        <v>4045/4046</v>
      </c>
      <c r="L138" s="22" t="str">
        <f>VLOOKUP(A138,'Trips&amp;Operators'!$C$1:$E$10000,3,FALSE)</f>
        <v>NELSON</v>
      </c>
      <c r="M138" s="6">
        <f t="shared" si="37"/>
        <v>2.5000000001455192E-2</v>
      </c>
      <c r="N138" s="7">
        <f t="shared" si="51"/>
        <v>36.000000002095476</v>
      </c>
      <c r="O138" s="7"/>
      <c r="P138" s="7"/>
      <c r="Q138" s="23"/>
      <c r="R138" s="23"/>
      <c r="S138" s="35">
        <f t="shared" si="52"/>
        <v>1</v>
      </c>
      <c r="T138" s="50" t="str">
        <f t="shared" si="38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16:11:18-700',mode:absolute,to:'2016-11-14 18:51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8" s="52" t="str">
        <f t="shared" si="40"/>
        <v>N</v>
      </c>
      <c r="X138" s="177">
        <f t="shared" si="41"/>
        <v>1</v>
      </c>
      <c r="Y138" s="67">
        <f t="shared" si="42"/>
        <v>4.7699999999999999E-2</v>
      </c>
      <c r="Z138" s="67">
        <f t="shared" si="43"/>
        <v>23.328299999999999</v>
      </c>
      <c r="AA138" s="67">
        <f t="shared" si="44"/>
        <v>23.2806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5"/>
        <v>0209-14</v>
      </c>
      <c r="AE138" s="91" t="str">
        <f t="shared" si="46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38" s="88" t="str">
        <f t="shared" si="47"/>
        <v>"C:\Program Files (x86)\AstroGrep\AstroGrep.exe" /spath="%USERPROFILE%\AppData\Local\Temp\OnboardLogs" /stypes="app*4046*20161115*" /stext=" 00:.+((SYSTEM_STATE.+slice.+state.+changed )|(ment ac)|(system.+state.+changed )|(\[timeout)|(PRM\|1\|D)|(kpr)|(kdp)|(\|lc)|(penalty))" /e /r /s</v>
      </c>
      <c r="AG138" s="1" t="str">
        <f t="shared" si="48"/>
        <v>EC</v>
      </c>
      <c r="AH138" s="92" t="str">
        <f t="shared" si="49"/>
        <v>"%USERPROFILE%\Documents\GitHub\eaglep3\Utilities\RefineRTDCRunTimes.py" --tripid 209-14 --locoid 4046 --swversion DE.1.0.8.0 --startMP 204:477 --initTime 2016-11-14T17:11:18 --startdatetime 2016-11-14T17:15:39 --delay 1 --endMP 204:233283 --enddatetime 2016-11-14T17:51:39 --enforcementcount 0 &gt;&gt;C:\Users\stu\Documents\GitHub\eaglep3-reporting\EC\2016-11-14-refined-times.txt</v>
      </c>
      <c r="AI138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{"issue":{"subject":"","project_id":79,"tracker_id":40,"status_id":1,"priority_id":2,"assigned_to_id":23,"start_date":"2016-11-14","description":"","custom_fields":[{"id":1,"name":"Subdivision","value":"EC"},{"id":4,"name":"Milepost","value":"23.3283"},{"id":17,"name":"Train ID","value":"209-14"},{"id":16,"name":"Locomotive ID","value":"4046"},{"id":130,"name":"Impact","value":""},{"id":150,"name":"Time of Event (Mountain Time)","value":"17:51:39"},{"id":151,"name":"Denver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580</v>
      </c>
      <c r="B139" s="7">
        <v>4045</v>
      </c>
      <c r="C139" s="22" t="s">
        <v>224</v>
      </c>
      <c r="D139" s="22" t="s">
        <v>339</v>
      </c>
      <c r="E139" s="13">
        <v>42688.751909722225</v>
      </c>
      <c r="F139" s="13">
        <v>42688.757847222223</v>
      </c>
      <c r="G139" s="7">
        <v>1</v>
      </c>
      <c r="H139" s="22" t="s">
        <v>229</v>
      </c>
      <c r="I139" s="13">
        <v>42688.784062500003</v>
      </c>
      <c r="J139" s="7">
        <v>0</v>
      </c>
      <c r="K139" s="109" t="str">
        <f t="shared" si="36"/>
        <v>4045/4046</v>
      </c>
      <c r="L139" s="22" t="str">
        <f>VLOOKUP(A139,'Trips&amp;Operators'!$C$1:$E$10000,3,FALSE)</f>
        <v>NELSON</v>
      </c>
      <c r="M139" s="6">
        <f t="shared" si="37"/>
        <v>2.6215277779556345E-2</v>
      </c>
      <c r="N139" s="7">
        <f t="shared" si="51"/>
        <v>37.750000002561137</v>
      </c>
      <c r="O139" s="7"/>
      <c r="P139" s="7"/>
      <c r="Q139" s="23"/>
      <c r="R139" s="23"/>
      <c r="S139" s="35">
        <f t="shared" si="52"/>
        <v>1</v>
      </c>
      <c r="T139" s="50" t="str">
        <f t="shared" si="38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https://search-rtdc-monitor-bjffxe2xuh6vdkpspy63sjmuny.us-east-1.es.amazonaws.com/_plugin/kibana/#/discover/Steve-Slow-Train-Analysis-(2080s-and-2083s)?_g=(refreshInterval:(display:Off,section:0,value:0),time:(from:'2016-11-14 17:02:45-700',mode:absolute,to:'2016-11-14 19:49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9" s="52" t="str">
        <f t="shared" si="40"/>
        <v>N</v>
      </c>
      <c r="X139" s="177">
        <f t="shared" si="41"/>
        <v>1</v>
      </c>
      <c r="Y139" s="67">
        <f t="shared" si="42"/>
        <v>23.2972</v>
      </c>
      <c r="Z139" s="67">
        <f t="shared" si="43"/>
        <v>1.5800000000000002E-2</v>
      </c>
      <c r="AA139" s="67">
        <f t="shared" si="44"/>
        <v>23.281400000000001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5"/>
        <v>0210-14</v>
      </c>
      <c r="AE139" s="91" t="str">
        <f t="shared" si="46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39" s="88" t="str">
        <f t="shared" si="47"/>
        <v>"C:\Program Files (x86)\AstroGrep\AstroGrep.exe" /spath="%USERPROFILE%\AppData\Local\Temp\OnboardLogs" /stypes="app*4045*20161115*" /stext=" 01:.+((SYSTEM_STATE.+slice.+state.+changed )|(ment ac)|(system.+state.+changed )|(\[timeout)|(PRM\|1\|D)|(kpr)|(kdp)|(\|lc)|(penalty))" /e /r /s</v>
      </c>
      <c r="AG139" s="1" t="str">
        <f t="shared" si="48"/>
        <v>EC</v>
      </c>
      <c r="AH139" s="92" t="str">
        <f t="shared" si="49"/>
        <v>"%USERPROFILE%\Documents\GitHub\eaglep3\Utilities\RefineRTDCRunTimes.py" --tripid 210-14 --locoid 4045 --swversion DE.1.0.8.0 --startMP 204:232972 --initTime 2016-11-14T18:02:45 --startdatetime 2016-11-14T18:11:18 --delay 1 --endMP 204:158 --enddatetime 2016-11-14T18:49:03 --enforcementcount 0 &gt;&gt;C:\Users\stu\Documents\GitHub\eaglep3-reporting\EC\2016-11-14-refined-times.txt</v>
      </c>
      <c r="AI139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{"issue":{"subject":"","project_id":79,"tracker_id":40,"status_id":1,"priority_id":2,"assigned_to_id":23,"start_date":"2016-11-14","description":"","custom_fields":[{"id":1,"name":"Subdivision","value":"EC"},{"id":4,"name":"Milepost","value":"0.0158"},{"id":17,"name":"Train ID","value":"210-14"},{"id":16,"name":"Locomotive ID","value":"4045"},{"id":130,"name":"Impact","value":""},{"id":150,"name":"Time of Event (Mountain Time)","value":"18:49:03"},{"id":151,"name":"Denver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572</v>
      </c>
      <c r="B140" s="7">
        <v>4011</v>
      </c>
      <c r="C140" s="22" t="s">
        <v>224</v>
      </c>
      <c r="D140" s="22" t="s">
        <v>226</v>
      </c>
      <c r="E140" s="13">
        <v>42688.722858796296</v>
      </c>
      <c r="F140" s="13">
        <v>42688.72965277778</v>
      </c>
      <c r="G140" s="7">
        <v>1</v>
      </c>
      <c r="H140" s="22" t="s">
        <v>258</v>
      </c>
      <c r="I140" s="13">
        <v>42688.757303240738</v>
      </c>
      <c r="J140" s="7">
        <v>0</v>
      </c>
      <c r="K140" s="109" t="str">
        <f t="shared" ref="K140:K202" si="53">IF(ISEVEN(B140),(B140-1)&amp;"/"&amp;B140,B140&amp;"/"&amp;(B140+1))</f>
        <v>4011/4012</v>
      </c>
      <c r="L140" s="22" t="str">
        <f>VLOOKUP(A140,'Trips&amp;Operators'!$C$1:$E$10000,3,FALSE)</f>
        <v>YOUNG</v>
      </c>
      <c r="M140" s="6">
        <f t="shared" ref="M140:M202" si="54">I140-F140</f>
        <v>2.7650462958263233E-2</v>
      </c>
      <c r="N140" s="7">
        <f t="shared" ref="N140:N202" si="55">24*60*SUM($M140:$M140)</f>
        <v>39.816666659899056</v>
      </c>
      <c r="O140" s="7"/>
      <c r="P140" s="7"/>
      <c r="Q140" s="23"/>
      <c r="R140" s="23"/>
      <c r="S140" s="35">
        <f t="shared" ref="S140:S202" si="56">SUM(U140:U140)/IF(AG140="EC",12,1)</f>
        <v>1</v>
      </c>
      <c r="T140" s="50" t="str">
        <f t="shared" ref="T140:T202" si="57">IF(ISEVEN(LEFT(AD140,4)),"Southbound","NorthBound")</f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2" si="58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https://search-rtdc-monitor-bjffxe2xuh6vdkpspy63sjmuny.us-east-1.es.amazonaws.com/_plugin/kibana/#/discover/Steve-Slow-Train-Analysis-(2080s-and-2083s)?_g=(refreshInterval:(display:Off,section:0,value:0),time:(from:'2016-11-14 16:20:55-700',mode:absolute,to:'2016-11-14 19:10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 t="shared" ref="W140:W202" si="59">IF(AA140&lt;IF(AG140="EC",23,5.65),"Y","N")</f>
        <v>N</v>
      </c>
      <c r="X140" s="177">
        <f t="shared" ref="X140:X203" si="60">VALUE(LEFT(AD140,4))-VALUE(LEFT(AD139,4))</f>
        <v>1</v>
      </c>
      <c r="Y140" s="67">
        <f t="shared" ref="Y140:Y202" si="61">RIGHT(D140,LEN(D140)-4)/10000</f>
        <v>4.58E-2</v>
      </c>
      <c r="Z140" s="67">
        <f t="shared" ref="Z140:Z202" si="62">RIGHT(H140,LEN(H140)-4)/10000</f>
        <v>23.3293</v>
      </c>
      <c r="AA140" s="67">
        <f t="shared" ref="AA140:AA202" si="63">ABS(Z140-Y140)</f>
        <v>23.2835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ref="AD140:AD202" si="64">IF(LEN(A140)=6,"0"&amp;A140,A140)</f>
        <v>0211-14</v>
      </c>
      <c r="AE140" s="91" t="str">
        <f t="shared" ref="AE140:AE202" si="65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140" s="88" t="str">
        <f t="shared" ref="AF140:AF202" si="66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/stypes="app*4011*20161115*" /stext=" 01:.+((SYSTEM_STATE.+slice.+state.+changed )|(ment ac)|(system.+state.+changed )|(\[timeout)|(PRM\|1\|D)|(kpr)|(kdp)|(\|lc)|(penalty))" /e /r /s</v>
      </c>
      <c r="AG140" s="1" t="str">
        <f t="shared" ref="AG140:AG202" si="67">IFERROR(IF(VALUE(LEFT(AD140,2))&lt;=2,"EC",IF(OR(VALUE(LEFT(AD140,2))=8,VALUE(LEFT(AD140,2))=18),"NW","Other")),"Other")</f>
        <v>EC</v>
      </c>
      <c r="AH140" s="92" t="str">
        <f t="shared" si="49"/>
        <v>"%USERPROFILE%\Documents\GitHub\eaglep3\Utilities\RefineRTDCRunTimes.py" --tripid 211-14 --locoid 4011 --swversion DE.1.0.8.0 --startMP 204:458 --initTime 2016-11-14T17:20:55 --startdatetime 2016-11-14T17:30:42 --delay 1 --endMP 204:233293 --enddatetime 2016-11-14T18:10:31 --enforcementcount 0 &gt;&gt;C:\Users\stu\Documents\GitHub\eaglep3-reporting\EC\2016-11-14-refined-times.txt</v>
      </c>
      <c r="AI140" s="119" t="str">
        <f t="shared" si="50"/>
        <v>echo {"issue":{"subject":"","project_id":79,"tracker_id":40,"status_id":1,"priority_id":2,"assigned_to_id":23,"start_date":"2016-11-14","description":"","custom_fields":[{"id":1,"name":"Subdivision","value":"EC"},{"id":4,"name":"Milepost","value":"23.3293"},{"id":17,"name":"Train ID","value":"211-14"},{"id":16,"name":"Locomotive ID","value":"4011"},{"id":130,"name":"Impact","value":""},{"id":150,"name":"Time of Event (Mountain Time)","value":"18:10:31"},{"id":151,"name":"Denver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583</v>
      </c>
      <c r="B141" s="7">
        <v>4012</v>
      </c>
      <c r="C141" s="22" t="s">
        <v>224</v>
      </c>
      <c r="D141" s="22" t="s">
        <v>341</v>
      </c>
      <c r="E141" s="13">
        <v>42688.760451388887</v>
      </c>
      <c r="F141" s="13">
        <v>42688.768240740741</v>
      </c>
      <c r="G141" s="7">
        <v>1</v>
      </c>
      <c r="H141" s="22" t="s">
        <v>681</v>
      </c>
      <c r="I141" s="13">
        <v>42688.797962962963</v>
      </c>
      <c r="J141" s="7">
        <v>0</v>
      </c>
      <c r="K141" s="109" t="str">
        <f t="shared" si="53"/>
        <v>4011/4012</v>
      </c>
      <c r="L141" s="22" t="str">
        <f>VLOOKUP(A141,'Trips&amp;Operators'!$C$1:$E$10000,3,FALSE)</f>
        <v>YOUNG</v>
      </c>
      <c r="M141" s="6">
        <f t="shared" si="54"/>
        <v>2.9722222221607808E-2</v>
      </c>
      <c r="N141" s="7">
        <f t="shared" si="55"/>
        <v>42.799999999115244</v>
      </c>
      <c r="O141" s="7"/>
      <c r="P141" s="7"/>
      <c r="Q141" s="23"/>
      <c r="R141" s="23"/>
      <c r="S141" s="35">
        <f t="shared" si="56"/>
        <v>1</v>
      </c>
      <c r="T141" s="50" t="str">
        <f t="shared" si="57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17:15:03-700',mode:absolute,to:'2016-11-14 20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 t="shared" si="59"/>
        <v>N</v>
      </c>
      <c r="X141" s="177">
        <f t="shared" si="60"/>
        <v>1</v>
      </c>
      <c r="Y141" s="67">
        <f t="shared" si="61"/>
        <v>23.297499999999999</v>
      </c>
      <c r="Z141" s="67">
        <f t="shared" si="62"/>
        <v>1.7999999999999999E-2</v>
      </c>
      <c r="AA141" s="67">
        <f t="shared" si="63"/>
        <v>23.279499999999999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64"/>
        <v>0212-14</v>
      </c>
      <c r="AE141" s="91" t="str">
        <f t="shared" si="65"/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AF141" s="88" t="str">
        <f t="shared" si="66"/>
        <v>"C:\Program Files (x86)\AstroGrep\AstroGrep.exe" /spath="%USERPROFILE%\AppData\Local\Temp\OnboardLogs" /stypes="app*4012*20161115*" /stext=" 02:.+((SYSTEM_STATE.+slice.+state.+changed )|(ment ac)|(system.+state.+changed )|(\[timeout)|(PRM\|1\|D)|(kpr)|(kdp)|(\|lc)|(penalty))" /e /r /s</v>
      </c>
      <c r="AG141" s="1" t="str">
        <f t="shared" si="67"/>
        <v>EC</v>
      </c>
      <c r="AH141" s="92" t="str">
        <f t="shared" ref="AH141:AH203" si="6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212-14 --locoid 4012 --swversion DE.1.0.8.0 --startMP 204:232975 --initTime 2016-11-14T18:15:03 --startdatetime 2016-11-14T18:26:16 --delay 1 --endMP 204:180 --enddatetime 2016-11-14T19:09:04 --enforcementcount 0 &gt;&gt;C:\Users\stu\Documents\GitHub\eaglep3-reporting\EC\2016-11-14-refined-times.txt</v>
      </c>
      <c r="AI141" s="119" t="str">
        <f t="shared" ref="AI141:AI203" si="6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{"issue":{"subject":"","project_id":79,"tracker_id":40,"status_id":1,"priority_id":2,"assigned_to_id":23,"start_date":"2016-11-14","description":"","custom_fields":[{"id":1,"name":"Subdivision","value":"EC"},{"id":4,"name":"Milepost","value":"0.018"},{"id":17,"name":"Train ID","value":"212-14"},{"id":16,"name":"Locomotive ID","value":"4012"},{"id":130,"name":"Impact","value":""},{"id":150,"name":"Time of Event (Mountain Time)","value":"19:09:04"},{"id":151,"name":"Denver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575</v>
      </c>
      <c r="B142" s="7">
        <v>4053</v>
      </c>
      <c r="C142" s="22" t="s">
        <v>224</v>
      </c>
      <c r="D142" s="22" t="s">
        <v>223</v>
      </c>
      <c r="E142" s="13">
        <v>42688.734537037039</v>
      </c>
      <c r="F142" s="13">
        <v>42688.739837962959</v>
      </c>
      <c r="G142" s="7">
        <v>2</v>
      </c>
      <c r="H142" s="22" t="s">
        <v>395</v>
      </c>
      <c r="I142" s="13">
        <v>42688.764004629629</v>
      </c>
      <c r="J142" s="7">
        <v>0</v>
      </c>
      <c r="K142" s="109" t="str">
        <f t="shared" si="53"/>
        <v>4053/4054</v>
      </c>
      <c r="L142" s="22" t="str">
        <f>VLOOKUP(A142,'Trips&amp;Operators'!$C$1:$E$10000,3,FALSE)</f>
        <v>NEWELL</v>
      </c>
      <c r="M142" s="6">
        <f t="shared" si="54"/>
        <v>2.4166666669771075E-2</v>
      </c>
      <c r="N142" s="7">
        <f t="shared" si="55"/>
        <v>34.800000004470348</v>
      </c>
      <c r="O142" s="7"/>
      <c r="P142" s="7"/>
      <c r="Q142" s="23"/>
      <c r="R142" s="23"/>
      <c r="S142" s="35">
        <f t="shared" si="56"/>
        <v>1</v>
      </c>
      <c r="T142" s="50" t="str">
        <f t="shared" si="57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16:37:44-700',mode:absolute,to:'2016-11-14 19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2" s="52" t="str">
        <f t="shared" si="59"/>
        <v>N</v>
      </c>
      <c r="X142" s="177">
        <f t="shared" si="60"/>
        <v>1</v>
      </c>
      <c r="Y142" s="67">
        <f t="shared" si="61"/>
        <v>4.6399999999999997E-2</v>
      </c>
      <c r="Z142" s="67">
        <f t="shared" si="62"/>
        <v>23.3308</v>
      </c>
      <c r="AA142" s="67">
        <f t="shared" si="63"/>
        <v>23.284400000000002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4"/>
        <v>0213-14</v>
      </c>
      <c r="AE142" s="91" t="str">
        <f t="shared" si="65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142" s="88" t="str">
        <f t="shared" si="66"/>
        <v>"C:\Program Files (x86)\AstroGrep\AstroGrep.exe" /spath="%USERPROFILE%\AppData\Local\Temp\OnboardLogs" /stypes="app*4053*20161115*" /stext=" 01:.+((SYSTEM_STATE.+slice.+state.+changed )|(ment ac)|(system.+state.+changed )|(\[timeout)|(PRM\|1\|D)|(kpr)|(kdp)|(\|lc)|(penalty))" /e /r /s</v>
      </c>
      <c r="AG142" s="1" t="str">
        <f t="shared" si="67"/>
        <v>EC</v>
      </c>
      <c r="AH142" s="92" t="str">
        <f t="shared" si="68"/>
        <v>"%USERPROFILE%\Documents\GitHub\eaglep3\Utilities\RefineRTDCRunTimes.py" --tripid 213-14 --locoid 4053 --swversion DE.1.0.8.0 --startMP 204:464 --initTime 2016-11-14T17:37:44 --startdatetime 2016-11-14T17:45:22 --delay 2 --endMP 204:233308 --enddatetime 2016-11-14T18:20:10 --enforcementcount 0 &gt;&gt;C:\Users\stu\Documents\GitHub\eaglep3-reporting\EC\2016-11-14-refined-times.txt</v>
      </c>
      <c r="AI142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{"issue":{"subject":"","project_id":79,"tracker_id":40,"status_id":1,"priority_id":2,"assigned_to_id":23,"start_date":"2016-11-14","description":"","custom_fields":[{"id":1,"name":"Subdivision","value":"EC"},{"id":4,"name":"Milepost","value":"23.3308"},{"id":17,"name":"Train ID","value":"213-14"},{"id":16,"name":"Locomotive ID","value":"4053"},{"id":130,"name":"Impact","value":""},{"id":150,"name":"Time of Event (Mountain Time)","value":"18:20:10"},{"id":151,"name":"Denver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587</v>
      </c>
      <c r="B143" s="7">
        <v>4054</v>
      </c>
      <c r="C143" s="22" t="s">
        <v>224</v>
      </c>
      <c r="D143" s="22" t="s">
        <v>283</v>
      </c>
      <c r="E143" s="13">
        <v>42688.771504629629</v>
      </c>
      <c r="F143" s="13">
        <v>42688.778668981482</v>
      </c>
      <c r="G143" s="7">
        <v>4</v>
      </c>
      <c r="H143" s="22" t="s">
        <v>348</v>
      </c>
      <c r="I143" s="13">
        <v>42688.804108796299</v>
      </c>
      <c r="J143" s="7">
        <v>0</v>
      </c>
      <c r="K143" s="109" t="str">
        <f t="shared" si="53"/>
        <v>4053/4054</v>
      </c>
      <c r="L143" s="22" t="str">
        <f>VLOOKUP(A143,'Trips&amp;Operators'!$C$1:$E$10000,3,FALSE)</f>
        <v>NEWELL</v>
      </c>
      <c r="M143" s="6">
        <f t="shared" si="54"/>
        <v>2.5439814817218576E-2</v>
      </c>
      <c r="N143" s="7">
        <f t="shared" si="55"/>
        <v>36.633333336794749</v>
      </c>
      <c r="O143" s="7"/>
      <c r="P143" s="7"/>
      <c r="Q143" s="23"/>
      <c r="R143" s="23"/>
      <c r="S143" s="35">
        <f t="shared" si="56"/>
        <v>1</v>
      </c>
      <c r="T143" s="50" t="str">
        <f t="shared" si="57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17:30:58-700',mode:absolute,to:'2016-11-14 20:17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3" s="52" t="str">
        <f t="shared" si="59"/>
        <v>N</v>
      </c>
      <c r="X143" s="177">
        <f t="shared" si="60"/>
        <v>1</v>
      </c>
      <c r="Y143" s="67">
        <f t="shared" si="61"/>
        <v>23.299600000000002</v>
      </c>
      <c r="Z143" s="67">
        <f t="shared" si="62"/>
        <v>1.6899999999999998E-2</v>
      </c>
      <c r="AA143" s="67">
        <f t="shared" si="63"/>
        <v>23.282700000000002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4"/>
        <v>0214-14</v>
      </c>
      <c r="AE143" s="91" t="str">
        <f t="shared" si="65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143" s="88" t="str">
        <f t="shared" si="66"/>
        <v>"C:\Program Files (x86)\AstroGrep\AstroGrep.exe" /spath="%USERPROFILE%\AppData\Local\Temp\OnboardLogs" /stypes="app*4054*20161115*" /stext=" 02:.+((SYSTEM_STATE.+slice.+state.+changed )|(ment ac)|(system.+state.+changed )|(\[timeout)|(PRM\|1\|D)|(kpr)|(kdp)|(\|lc)|(penalty))" /e /r /s</v>
      </c>
      <c r="AG143" s="1" t="str">
        <f t="shared" si="67"/>
        <v>EC</v>
      </c>
      <c r="AH143" s="92" t="str">
        <f t="shared" si="68"/>
        <v>"%USERPROFILE%\Documents\GitHub\eaglep3\Utilities\RefineRTDCRunTimes.py" --tripid 214-14 --locoid 4054 --swversion DE.1.0.8.0 --startMP 204:232996 --initTime 2016-11-14T18:30:58 --startdatetime 2016-11-14T18:41:17 --delay 4 --endMP 204:169 --enddatetime 2016-11-14T19:17:55 --enforcementcount 0 &gt;&gt;C:\Users\stu\Documents\GitHub\eaglep3-reporting\EC\2016-11-14-refined-times.txt</v>
      </c>
      <c r="AI143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{"issue":{"subject":"","project_id":79,"tracker_id":40,"status_id":1,"priority_id":2,"assigned_to_id":23,"start_date":"2016-11-14","description":"","custom_fields":[{"id":1,"name":"Subdivision","value":"EC"},{"id":4,"name":"Milepost","value":"0.0169"},{"id":17,"name":"Train ID","value":"214-14"},{"id":16,"name":"Locomotive ID","value":"4054"},{"id":130,"name":"Impact","value":""},{"id":150,"name":"Time of Event (Mountain Time)","value":"19:17:55"},{"id":151,"name":"Denver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579</v>
      </c>
      <c r="B144" s="7">
        <v>4016</v>
      </c>
      <c r="C144" s="22" t="s">
        <v>224</v>
      </c>
      <c r="D144" s="22" t="s">
        <v>204</v>
      </c>
      <c r="E144" s="13">
        <v>42688.746770833335</v>
      </c>
      <c r="F144" s="13">
        <v>42688.7502662037</v>
      </c>
      <c r="G144" s="7">
        <v>2</v>
      </c>
      <c r="H144" s="22" t="s">
        <v>711</v>
      </c>
      <c r="I144" s="13">
        <v>42688.775740740741</v>
      </c>
      <c r="J144" s="7">
        <v>0</v>
      </c>
      <c r="K144" s="109" t="str">
        <f t="shared" si="53"/>
        <v>4015/4016</v>
      </c>
      <c r="L144" s="22" t="str">
        <f>VLOOKUP(A144,'Trips&amp;Operators'!$C$1:$E$10000,3,FALSE)</f>
        <v>SHOOK</v>
      </c>
      <c r="M144" s="6">
        <f t="shared" si="54"/>
        <v>2.5474537040281575E-2</v>
      </c>
      <c r="N144" s="7">
        <f t="shared" si="55"/>
        <v>36.683333338005468</v>
      </c>
      <c r="O144" s="7"/>
      <c r="P144" s="7"/>
      <c r="Q144" s="23"/>
      <c r="R144" s="23"/>
      <c r="S144" s="35">
        <f t="shared" si="56"/>
        <v>1</v>
      </c>
      <c r="T144" s="50" t="str">
        <f t="shared" si="57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16:55:21-700',mode:absolute,to:'2016-11-14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4" s="52" t="str">
        <f t="shared" si="59"/>
        <v>N</v>
      </c>
      <c r="X144" s="177">
        <f t="shared" si="60"/>
        <v>1</v>
      </c>
      <c r="Y144" s="67">
        <f t="shared" si="61"/>
        <v>4.5100000000000001E-2</v>
      </c>
      <c r="Z144" s="67">
        <f t="shared" si="62"/>
        <v>23.334299999999999</v>
      </c>
      <c r="AA144" s="67">
        <f t="shared" si="63"/>
        <v>23.289199999999997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4"/>
        <v>0215-14</v>
      </c>
      <c r="AE144" s="91" t="str">
        <f t="shared" si="65"/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AF144" s="88" t="str">
        <f t="shared" si="66"/>
        <v>"C:\Program Files (x86)\AstroGrep\AstroGrep.exe" /spath="%USERPROFILE%\AppData\Local\Temp\OnboardLogs" /stypes="app*4016*20161115*" /stext=" 01:.+((SYSTEM_STATE.+slice.+state.+changed )|(ment ac)|(system.+state.+changed )|(\[timeout)|(PRM\|1\|D)|(kpr)|(kdp)|(\|lc)|(penalty))" /e /r /s</v>
      </c>
      <c r="AG144" s="1" t="str">
        <f t="shared" si="67"/>
        <v>EC</v>
      </c>
      <c r="AH144" s="92" t="str">
        <f t="shared" si="68"/>
        <v>"%USERPROFILE%\Documents\GitHub\eaglep3\Utilities\RefineRTDCRunTimes.py" --tripid 215-14 --locoid 4016 --swversion DE.1.0.8.0 --startMP 204:451 --initTime 2016-11-14T17:55:21 --startdatetime 2016-11-14T18:00:23 --delay 2 --endMP 204:233343 --enddatetime 2016-11-14T18:37:04 --enforcementcount 0 &gt;&gt;C:\Users\stu\Documents\GitHub\eaglep3-reporting\EC\2016-11-14-refined-times.txt</v>
      </c>
      <c r="AI144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{"issue":{"subject":"","project_id":79,"tracker_id":40,"status_id":1,"priority_id":2,"assigned_to_id":23,"start_date":"2016-11-14","description":"","custom_fields":[{"id":1,"name":"Subdivision","value":"EC"},{"id":4,"name":"Milepost","value":"23.3343"},{"id":17,"name":"Train ID","value":"215-14"},{"id":16,"name":"Locomotive ID","value":"4016"},{"id":130,"name":"Impact","value":""},{"id":150,"name":"Time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590</v>
      </c>
      <c r="B145" s="7">
        <v>4015</v>
      </c>
      <c r="C145" s="22" t="s">
        <v>224</v>
      </c>
      <c r="D145" s="22" t="s">
        <v>390</v>
      </c>
      <c r="E145" s="13">
        <v>42688.782766203702</v>
      </c>
      <c r="F145" s="13">
        <v>42688.789097222223</v>
      </c>
      <c r="G145" s="7">
        <v>1</v>
      </c>
      <c r="H145" s="22" t="s">
        <v>712</v>
      </c>
      <c r="I145" s="13">
        <v>42688.815393518518</v>
      </c>
      <c r="J145" s="7">
        <v>0</v>
      </c>
      <c r="K145" s="109" t="str">
        <f t="shared" si="53"/>
        <v>4015/4016</v>
      </c>
      <c r="L145" s="22" t="str">
        <f>VLOOKUP(A145,'Trips&amp;Operators'!$C$1:$E$10000,3,FALSE)</f>
        <v>SHOOK</v>
      </c>
      <c r="M145" s="6">
        <f t="shared" si="54"/>
        <v>2.6296296295186039E-2</v>
      </c>
      <c r="N145" s="7">
        <f t="shared" si="55"/>
        <v>37.866666665067896</v>
      </c>
      <c r="O145" s="7"/>
      <c r="P145" s="7"/>
      <c r="Q145" s="23"/>
      <c r="R145" s="23"/>
      <c r="S145" s="35">
        <f t="shared" si="56"/>
        <v>1</v>
      </c>
      <c r="T145" s="50" t="str">
        <f t="shared" si="57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17:47:11-700',mode:absolute,to:'2016-11-14 20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5" s="52" t="str">
        <f t="shared" si="59"/>
        <v>N</v>
      </c>
      <c r="X145" s="177">
        <f t="shared" si="60"/>
        <v>1</v>
      </c>
      <c r="Y145" s="67">
        <f t="shared" si="61"/>
        <v>23.303799999999999</v>
      </c>
      <c r="Z145" s="67">
        <f t="shared" si="62"/>
        <v>2.0899999999999998E-2</v>
      </c>
      <c r="AA145" s="67">
        <f t="shared" si="63"/>
        <v>23.282899999999998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4"/>
        <v>0216-14</v>
      </c>
      <c r="AE145" s="91" t="str">
        <f t="shared" si="65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145" s="88" t="str">
        <f t="shared" si="66"/>
        <v>"C:\Program Files (x86)\AstroGrep\AstroGrep.exe" /spath="%USERPROFILE%\AppData\Local\Temp\OnboardLogs" /stypes="app*4015*20161115*" /stext=" 02:.+((SYSTEM_STATE.+slice.+state.+changed )|(ment ac)|(system.+state.+changed )|(\[timeout)|(PRM\|1\|D)|(kpr)|(kdp)|(\|lc)|(penalty))" /e /r /s</v>
      </c>
      <c r="AG145" s="1" t="str">
        <f t="shared" si="67"/>
        <v>EC</v>
      </c>
      <c r="AH145" s="92" t="str">
        <f t="shared" si="68"/>
        <v>"%USERPROFILE%\Documents\GitHub\eaglep3\Utilities\RefineRTDCRunTimes.py" --tripid 216-14 --locoid 4015 --swversion DE.1.0.8.0 --startMP 204:233038 --initTime 2016-11-14T18:47:11 --startdatetime 2016-11-14T18:56:18 --delay 1 --endMP 204:209 --enddatetime 2016-11-14T19:34:10 --enforcementcount 0 &gt;&gt;C:\Users\stu\Documents\GitHub\eaglep3-reporting\EC\2016-11-14-refined-times.txt</v>
      </c>
      <c r="AI145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{"issue":{"subject":"","project_id":79,"tracker_id":40,"status_id":1,"priority_id":2,"assigned_to_id":23,"start_date":"2016-11-14","description":"","custom_fields":[{"id":1,"name":"Subdivision","value":"EC"},{"id":4,"name":"Milepost","value":"0.0209"},{"id":17,"name":"Train ID","value":"216-14"},{"id":16,"name":"Locomotive ID","value":"4015"},{"id":130,"name":"Impact","value":""},{"id":150,"name":"Time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582</v>
      </c>
      <c r="B146" s="7">
        <v>4029</v>
      </c>
      <c r="C146" s="22" t="s">
        <v>224</v>
      </c>
      <c r="D146" s="22" t="s">
        <v>250</v>
      </c>
      <c r="E146" s="13">
        <v>42688.759745370371</v>
      </c>
      <c r="F146" s="13">
        <v>42688.767094907409</v>
      </c>
      <c r="G146" s="7">
        <v>1</v>
      </c>
      <c r="H146" s="22" t="s">
        <v>202</v>
      </c>
      <c r="I146" s="13">
        <v>42688.794340277775</v>
      </c>
      <c r="J146" s="7">
        <v>0</v>
      </c>
      <c r="K146" s="109" t="str">
        <f t="shared" si="53"/>
        <v>4029/4030</v>
      </c>
      <c r="L146" s="22" t="str">
        <f>VLOOKUP(A146,'Trips&amp;Operators'!$C$1:$E$10000,3,FALSE)</f>
        <v>CHANDLER</v>
      </c>
      <c r="M146" s="6">
        <f t="shared" si="54"/>
        <v>2.7245370365562849E-2</v>
      </c>
      <c r="N146" s="7">
        <f t="shared" si="55"/>
        <v>39.233333326410502</v>
      </c>
      <c r="O146" s="7"/>
      <c r="P146" s="7"/>
      <c r="Q146" s="23"/>
      <c r="R146" s="23"/>
      <c r="S146" s="35">
        <f t="shared" si="56"/>
        <v>1</v>
      </c>
      <c r="T146" s="50" t="str">
        <f t="shared" si="57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17:14:02-700',mode:absolute,to:'2016-11-14 20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6" s="52" t="str">
        <f t="shared" si="59"/>
        <v>N</v>
      </c>
      <c r="X146" s="177">
        <f t="shared" si="60"/>
        <v>1</v>
      </c>
      <c r="Y146" s="67">
        <f t="shared" si="61"/>
        <v>4.6699999999999998E-2</v>
      </c>
      <c r="Z146" s="67">
        <f t="shared" si="62"/>
        <v>23.329499999999999</v>
      </c>
      <c r="AA146" s="67">
        <f t="shared" si="63"/>
        <v>23.282799999999998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4"/>
        <v>0217-14</v>
      </c>
      <c r="AE146" s="91" t="str">
        <f t="shared" si="65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46" s="88" t="str">
        <f t="shared" si="66"/>
        <v>"C:\Program Files (x86)\AstroGrep\AstroGrep.exe" /spath="%USERPROFILE%\AppData\Local\Temp\OnboardLogs" /stypes="app*4029*20161115*" /stext=" 02:.+((SYSTEM_STATE.+slice.+state.+changed )|(ment ac)|(system.+state.+changed )|(\[timeout)|(PRM\|1\|D)|(kpr)|(kdp)|(\|lc)|(penalty))" /e /r /s</v>
      </c>
      <c r="AG146" s="1" t="str">
        <f t="shared" si="67"/>
        <v>EC</v>
      </c>
      <c r="AH146" s="92" t="str">
        <f t="shared" si="68"/>
        <v>"%USERPROFILE%\Documents\GitHub\eaglep3\Utilities\RefineRTDCRunTimes.py" --tripid 217-14 --locoid 4029 --swversion DE.1.0.8.0 --startMP 204:467 --initTime 2016-11-14T18:14:02 --startdatetime 2016-11-14T18:24:37 --delay 1 --endMP 204:233295 --enddatetime 2016-11-14T19:03:51 --enforcementcount 0 &gt;&gt;C:\Users\stu\Documents\GitHub\eaglep3-reporting\EC\2016-11-14-refined-times.txt</v>
      </c>
      <c r="AI146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{"issue":{"subject":"","project_id":79,"tracker_id":40,"status_id":1,"priority_id":2,"assigned_to_id":23,"start_date":"2016-11-14","description":"","custom_fields":[{"id":1,"name":"Subdivision","value":"EC"},{"id":4,"name":"Milepost","value":"23.3295"},{"id":17,"name":"Train ID","value":"217-14"},{"id":16,"name":"Locomotive ID","value":"4029"},{"id":130,"name":"Impact","value":""},{"id":150,"name":"Time of Event (Mountain Time)","value":"19:03:51"},{"id":151,"name":"Denver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594</v>
      </c>
      <c r="B147" s="7">
        <v>4030</v>
      </c>
      <c r="C147" s="22" t="s">
        <v>224</v>
      </c>
      <c r="D147" s="22" t="s">
        <v>283</v>
      </c>
      <c r="E147" s="13">
        <v>42688.798229166663</v>
      </c>
      <c r="F147" s="13">
        <v>42688.799756944441</v>
      </c>
      <c r="G147" s="7">
        <v>1</v>
      </c>
      <c r="H147" s="22" t="s">
        <v>246</v>
      </c>
      <c r="I147" s="13">
        <v>42688.826099537036</v>
      </c>
      <c r="J147" s="7">
        <v>0</v>
      </c>
      <c r="K147" s="109" t="str">
        <f t="shared" si="53"/>
        <v>4029/4030</v>
      </c>
      <c r="L147" s="22" t="str">
        <f>VLOOKUP(A147,'Trips&amp;Operators'!$C$1:$E$10000,3,FALSE)</f>
        <v>CHANDLER</v>
      </c>
      <c r="M147" s="6">
        <f t="shared" si="54"/>
        <v>2.6342592595028691E-2</v>
      </c>
      <c r="N147" s="7">
        <f t="shared" si="55"/>
        <v>37.933333336841315</v>
      </c>
      <c r="O147" s="7"/>
      <c r="P147" s="7"/>
      <c r="Q147" s="23"/>
      <c r="R147" s="23"/>
      <c r="S147" s="35">
        <f t="shared" si="56"/>
        <v>1</v>
      </c>
      <c r="T147" s="50" t="str">
        <f t="shared" si="57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18:09:27-700',mode:absolute,to:'2016-11-14 20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7" s="52" t="str">
        <f t="shared" si="59"/>
        <v>N</v>
      </c>
      <c r="X147" s="177">
        <f t="shared" si="60"/>
        <v>1</v>
      </c>
      <c r="Y147" s="67">
        <f t="shared" si="61"/>
        <v>23.299600000000002</v>
      </c>
      <c r="Z147" s="67">
        <f t="shared" si="62"/>
        <v>1.6E-2</v>
      </c>
      <c r="AA147" s="67">
        <f t="shared" si="63"/>
        <v>23.283600000000003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4"/>
        <v>0218-14</v>
      </c>
      <c r="AE147" s="91" t="str">
        <f t="shared" si="65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47" s="88" t="str">
        <f t="shared" si="66"/>
        <v>"C:\Program Files (x86)\AstroGrep\AstroGrep.exe" /spath="%USERPROFILE%\AppData\Local\Temp\OnboardLogs" /stypes="app*4030*20161115*" /stext=" 02:.+((SYSTEM_STATE.+slice.+state.+changed )|(ment ac)|(system.+state.+changed )|(\[timeout)|(PRM\|1\|D)|(kpr)|(kdp)|(\|lc)|(penalty))" /e /r /s</v>
      </c>
      <c r="AG147" s="1" t="str">
        <f t="shared" si="67"/>
        <v>EC</v>
      </c>
      <c r="AH147" s="92" t="str">
        <f t="shared" si="68"/>
        <v>"%USERPROFILE%\Documents\GitHub\eaglep3\Utilities\RefineRTDCRunTimes.py" --tripid 218-14 --locoid 4030 --swversion DE.1.0.8.0 --startMP 204:232996 --initTime 2016-11-14T19:09:27 --startdatetime 2016-11-14T19:11:39 --delay 1 --endMP 204:160 --enddatetime 2016-11-14T19:49:35 --enforcementcount 0 &gt;&gt;C:\Users\stu\Documents\GitHub\eaglep3-reporting\EC\2016-11-14-refined-times.txt</v>
      </c>
      <c r="AI147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ID","value":"218-14"},{"id":16,"name":"Locomotive ID","value":"4030"},{"id":130,"name":"Impact","value":""},{"id":150,"name":"Time of Event (Mountain Time)","value":"19:49:35"},{"id":151,"name":"Denver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585</v>
      </c>
      <c r="B148" s="7">
        <v>4009</v>
      </c>
      <c r="C148" s="22" t="s">
        <v>224</v>
      </c>
      <c r="D148" s="22" t="s">
        <v>223</v>
      </c>
      <c r="E148" s="13">
        <v>42688.765243055554</v>
      </c>
      <c r="F148" s="13">
        <v>42688.77107638889</v>
      </c>
      <c r="G148" s="7">
        <v>1</v>
      </c>
      <c r="H148" s="22" t="s">
        <v>188</v>
      </c>
      <c r="I148" s="13">
        <v>42688.79619212963</v>
      </c>
      <c r="J148" s="7">
        <v>0</v>
      </c>
      <c r="K148" s="109" t="str">
        <f t="shared" si="53"/>
        <v>4009/4010</v>
      </c>
      <c r="L148" s="22" t="str">
        <f>VLOOKUP(A148,'Trips&amp;Operators'!$C$1:$E$10000,3,FALSE)</f>
        <v>PERKINS</v>
      </c>
      <c r="M148" s="6">
        <f t="shared" si="54"/>
        <v>2.5115740740147885E-2</v>
      </c>
      <c r="N148" s="7">
        <f t="shared" si="55"/>
        <v>36.166666665812954</v>
      </c>
      <c r="O148" s="7"/>
      <c r="P148" s="7"/>
      <c r="Q148" s="23"/>
      <c r="R148" s="23"/>
      <c r="S148" s="35">
        <f t="shared" si="56"/>
        <v>1</v>
      </c>
      <c r="T148" s="50" t="str">
        <f t="shared" si="57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17:21:57-700',mode:absolute,to:'2016-11-14 20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8" s="52" t="str">
        <f t="shared" si="59"/>
        <v>N</v>
      </c>
      <c r="X148" s="177">
        <f t="shared" si="60"/>
        <v>1</v>
      </c>
      <c r="Y148" s="67">
        <f t="shared" si="61"/>
        <v>4.6399999999999997E-2</v>
      </c>
      <c r="Z148" s="67">
        <f t="shared" si="62"/>
        <v>23.329699999999999</v>
      </c>
      <c r="AA148" s="67">
        <f t="shared" si="63"/>
        <v>23.283300000000001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4"/>
        <v>0219-14</v>
      </c>
      <c r="AE148" s="91" t="str">
        <f t="shared" si="65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48" s="88" t="str">
        <f t="shared" si="66"/>
        <v>"C:\Program Files (x86)\AstroGrep\AstroGrep.exe" /spath="%USERPROFILE%\AppData\Local\Temp\OnboardLogs" /stypes="app*4009*20161115*" /stext=" 02:.+((SYSTEM_STATE.+slice.+state.+changed )|(ment ac)|(system.+state.+changed )|(\[timeout)|(PRM\|1\|D)|(kpr)|(kdp)|(\|lc)|(penalty))" /e /r /s</v>
      </c>
      <c r="AG148" s="1" t="str">
        <f t="shared" si="67"/>
        <v>EC</v>
      </c>
      <c r="AH148" s="92" t="str">
        <f t="shared" si="68"/>
        <v>"%USERPROFILE%\Documents\GitHub\eaglep3\Utilities\RefineRTDCRunTimes.py" --tripid 219-14 --locoid 4009 --swversion DE.1.0.8.0 --startMP 204:464 --initTime 2016-11-14T18:21:57 --startdatetime 2016-11-14T18:30:21 --delay 1 --endMP 204:233297 --enddatetime 2016-11-14T19:06:31 --enforcementcount 0 &gt;&gt;C:\Users\stu\Documents\GitHub\eaglep3-reporting\EC\2016-11-14-refined-times.txt</v>
      </c>
      <c r="AI148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{"issue":{"subject":"","project_id":79,"tracker_id":40,"status_id":1,"priority_id":2,"assigned_to_id":23,"start_date":"2016-11-14","description":"","custom_fields":[{"id":1,"name":"Subdivision","value":"EC"},{"id":4,"name":"Milepost","value":"23.3297"},{"id":17,"name":"Train ID","value":"219-14"},{"id":16,"name":"Locomotive ID","value":"4009"},{"id":130,"name":"Impact","value":""},{"id":150,"name":"Time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596</v>
      </c>
      <c r="B149" s="7">
        <v>4010</v>
      </c>
      <c r="C149" s="22" t="s">
        <v>224</v>
      </c>
      <c r="D149" s="22" t="s">
        <v>347</v>
      </c>
      <c r="E149" s="13">
        <v>42688.803680555553</v>
      </c>
      <c r="F149" s="13">
        <v>42688.810127314813</v>
      </c>
      <c r="G149" s="7">
        <v>1</v>
      </c>
      <c r="H149" s="22" t="s">
        <v>222</v>
      </c>
      <c r="I149" s="13">
        <v>42688.836354166669</v>
      </c>
      <c r="J149" s="7">
        <v>0</v>
      </c>
      <c r="K149" s="109" t="str">
        <f t="shared" si="53"/>
        <v>4009/4010</v>
      </c>
      <c r="L149" s="22" t="str">
        <f>VLOOKUP(A149,'Trips&amp;Operators'!$C$1:$E$10000,3,FALSE)</f>
        <v>PERKINS</v>
      </c>
      <c r="M149" s="6">
        <f t="shared" si="54"/>
        <v>2.6226851856335998E-2</v>
      </c>
      <c r="N149" s="7">
        <f t="shared" si="55"/>
        <v>37.766666673123837</v>
      </c>
      <c r="O149" s="7"/>
      <c r="P149" s="7"/>
      <c r="Q149" s="23"/>
      <c r="R149" s="23"/>
      <c r="S149" s="35">
        <f t="shared" si="56"/>
        <v>1</v>
      </c>
      <c r="T149" s="50" t="str">
        <f t="shared" si="57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18:17:18-700',mode:absolute,to:'2016-11-14 21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9" s="52" t="str">
        <f t="shared" si="59"/>
        <v>N</v>
      </c>
      <c r="X149" s="177">
        <f t="shared" si="60"/>
        <v>1</v>
      </c>
      <c r="Y149" s="67">
        <f t="shared" si="61"/>
        <v>23.2971</v>
      </c>
      <c r="Z149" s="67">
        <f t="shared" si="62"/>
        <v>1.61E-2</v>
      </c>
      <c r="AA149" s="67">
        <f t="shared" si="63"/>
        <v>23.280999999999999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4"/>
        <v>0220-14</v>
      </c>
      <c r="AE149" s="91" t="str">
        <f t="shared" si="65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49" s="88" t="str">
        <f t="shared" si="66"/>
        <v>"C:\Program Files (x86)\AstroGrep\AstroGrep.exe" /spath="%USERPROFILE%\AppData\Local\Temp\OnboardLogs" /stypes="app*4010*20161115*" /stext=" 03:.+((SYSTEM_STATE.+slice.+state.+changed )|(ment ac)|(system.+state.+changed )|(\[timeout)|(PRM\|1\|D)|(kpr)|(kdp)|(\|lc)|(penalty))" /e /r /s</v>
      </c>
      <c r="AG149" s="1" t="str">
        <f t="shared" si="67"/>
        <v>EC</v>
      </c>
      <c r="AH149" s="92" t="str">
        <f t="shared" si="68"/>
        <v>"%USERPROFILE%\Documents\GitHub\eaglep3\Utilities\RefineRTDCRunTimes.py" --tripid 220-14 --locoid 4010 --swversion DE.1.0.8.0 --startMP 204:232971 --initTime 2016-11-14T19:17:18 --startdatetime 2016-11-14T19:26:35 --delay 1 --endMP 204:161 --enddatetime 2016-11-14T20:04:21 --enforcementcount 0 &gt;&gt;C:\Users\stu\Documents\GitHub\eaglep3-reporting\EC\2016-11-14-refined-times.txt</v>
      </c>
      <c r="AI149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{"issue":{"subject":"","project_id":79,"tracker_id":40,"status_id":1,"priority_id":2,"assigned_to_id":23,"start_date":"2016-11-14","description":"","custom_fields":[{"id":1,"name":"Subdivision","value":"EC"},{"id":4,"name":"Milepost","value":"0.0161"},{"id":17,"name":"Train ID","value":"220-14"},{"id":16,"name":"Locomotive ID","value":"4010"},{"id":130,"name":"Impact","value":""},{"id":150,"name":"Time of Event (Mountain Time)","value":"20:04:21"},{"id":151,"name":"Denver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591</v>
      </c>
      <c r="B150" s="7">
        <v>4046</v>
      </c>
      <c r="C150" s="22" t="s">
        <v>224</v>
      </c>
      <c r="D150" s="22" t="s">
        <v>223</v>
      </c>
      <c r="E150" s="13">
        <v>42688.787314814814</v>
      </c>
      <c r="F150" s="13">
        <v>42688.792164351849</v>
      </c>
      <c r="G150" s="7">
        <v>1</v>
      </c>
      <c r="H150" s="22" t="s">
        <v>313</v>
      </c>
      <c r="I150" s="13">
        <v>42688.817465277774</v>
      </c>
      <c r="J150" s="7">
        <v>0</v>
      </c>
      <c r="K150" s="109" t="str">
        <f t="shared" si="53"/>
        <v>4045/4046</v>
      </c>
      <c r="L150" s="22" t="str">
        <f>VLOOKUP(A150,'Trips&amp;Operators'!$C$1:$E$10000,3,FALSE)</f>
        <v>NELSON</v>
      </c>
      <c r="M150" s="6">
        <f t="shared" si="54"/>
        <v>2.5300925924966577E-2</v>
      </c>
      <c r="N150" s="7">
        <f t="shared" si="55"/>
        <v>36.433333331951872</v>
      </c>
      <c r="O150" s="7"/>
      <c r="P150" s="7"/>
      <c r="Q150" s="23"/>
      <c r="R150" s="23"/>
      <c r="S150" s="35">
        <f t="shared" si="56"/>
        <v>1</v>
      </c>
      <c r="T150" s="50" t="str">
        <f t="shared" si="57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17:53:44-700',mode:absolute,to:'2016-11-14 20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 t="shared" si="59"/>
        <v>N</v>
      </c>
      <c r="X150" s="177">
        <f t="shared" si="60"/>
        <v>1</v>
      </c>
      <c r="Y150" s="67">
        <f t="shared" si="61"/>
        <v>4.6399999999999997E-2</v>
      </c>
      <c r="Z150" s="67">
        <f t="shared" si="62"/>
        <v>23.33</v>
      </c>
      <c r="AA150" s="67">
        <f t="shared" si="63"/>
        <v>23.2836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4"/>
        <v>0221-14</v>
      </c>
      <c r="AE150" s="91" t="str">
        <f t="shared" si="65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50" s="88" t="str">
        <f t="shared" si="66"/>
        <v>"C:\Program Files (x86)\AstroGrep\AstroGrep.exe" /spath="%USERPROFILE%\AppData\Local\Temp\OnboardLogs" /stypes="app*4046*20161115*" /stext=" 02:.+((SYSTEM_STATE.+slice.+state.+changed )|(ment ac)|(system.+state.+changed )|(\[timeout)|(PRM\|1\|D)|(kpr)|(kdp)|(\|lc)|(penalty))" /e /r /s</v>
      </c>
      <c r="AG150" s="1" t="str">
        <f t="shared" si="67"/>
        <v>EC</v>
      </c>
      <c r="AH150" s="92" t="str">
        <f t="shared" si="68"/>
        <v>"%USERPROFILE%\Documents\GitHub\eaglep3\Utilities\RefineRTDCRunTimes.py" --tripid 221-14 --locoid 4046 --swversion DE.1.0.8.0 --startMP 204:464 --initTime 2016-11-14T18:53:44 --startdatetime 2016-11-14T19:00:43 --delay 1 --endMP 204:233300 --enddatetime 2016-11-14T19:37:09 --enforcementcount 0 &gt;&gt;C:\Users\stu\Documents\GitHub\eaglep3-reporting\EC\2016-11-14-refined-times.txt</v>
      </c>
      <c r="AI150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{"issue":{"subject":"","project_id":79,"tracker_id":40,"status_id":1,"priority_id":2,"assigned_to_id":23,"start_date":"2016-11-14","description":"","custom_fields":[{"id":1,"name":"Subdivision","value":"EC"},{"id":4,"name":"Milepost","value":"23.33"},{"id":17,"name":"Train ID","value":"221-14"},{"id":16,"name":"Locomotive ID","value":"4046"},{"id":130,"name":"Impact","value":""},{"id":150,"name":"Time of Event (Mountain Time)","value":"19:37:09"},{"id":151,"name":"Denver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600</v>
      </c>
      <c r="B151" s="7">
        <v>4045</v>
      </c>
      <c r="C151" s="22" t="s">
        <v>224</v>
      </c>
      <c r="D151" s="22" t="s">
        <v>219</v>
      </c>
      <c r="E151" s="13">
        <v>42688.828587962962</v>
      </c>
      <c r="F151" s="13">
        <v>42688.83090277778</v>
      </c>
      <c r="G151" s="7">
        <v>3</v>
      </c>
      <c r="H151" s="22" t="s">
        <v>377</v>
      </c>
      <c r="I151" s="13">
        <v>42688.857442129629</v>
      </c>
      <c r="J151" s="7">
        <v>0</v>
      </c>
      <c r="K151" s="109" t="str">
        <f t="shared" si="53"/>
        <v>4045/4046</v>
      </c>
      <c r="L151" s="22" t="str">
        <f>VLOOKUP(A151,'Trips&amp;Operators'!$C$1:$E$10000,3,FALSE)</f>
        <v>NELSON</v>
      </c>
      <c r="M151" s="6">
        <f t="shared" si="54"/>
        <v>2.6539351849351078E-2</v>
      </c>
      <c r="N151" s="7">
        <f t="shared" si="55"/>
        <v>38.216666663065553</v>
      </c>
      <c r="O151" s="7"/>
      <c r="P151" s="7"/>
      <c r="Q151" s="23"/>
      <c r="R151" s="23"/>
      <c r="S151" s="35">
        <f t="shared" si="56"/>
        <v>1</v>
      </c>
      <c r="T151" s="50" t="str">
        <f t="shared" si="57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18:53:10-700',mode:absolute,to:'2016-11-14 21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 t="shared" si="59"/>
        <v>N</v>
      </c>
      <c r="X151" s="177">
        <f t="shared" si="60"/>
        <v>1</v>
      </c>
      <c r="Y151" s="67">
        <f t="shared" si="61"/>
        <v>23.298500000000001</v>
      </c>
      <c r="Z151" s="67">
        <f t="shared" si="62"/>
        <v>1.67E-2</v>
      </c>
      <c r="AA151" s="67">
        <f t="shared" si="63"/>
        <v>23.2818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4"/>
        <v>0222-14</v>
      </c>
      <c r="AE151" s="91" t="str">
        <f t="shared" si="65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51" s="88" t="str">
        <f t="shared" si="66"/>
        <v>"C:\Program Files (x86)\AstroGrep\AstroGrep.exe" /spath="%USERPROFILE%\AppData\Local\Temp\OnboardLogs" /stypes="app*4045*20161115*" /stext=" 03:.+((SYSTEM_STATE.+slice.+state.+changed )|(ment ac)|(system.+state.+changed )|(\[timeout)|(PRM\|1\|D)|(kpr)|(kdp)|(\|lc)|(penalty))" /e /r /s</v>
      </c>
      <c r="AG151" s="1" t="str">
        <f t="shared" si="67"/>
        <v>EC</v>
      </c>
      <c r="AH151" s="92" t="str">
        <f t="shared" si="68"/>
        <v>"%USERPROFILE%\Documents\GitHub\eaglep3\Utilities\RefineRTDCRunTimes.py" --tripid 222-14 --locoid 4045 --swversion DE.1.0.8.0 --startMP 204:232985 --initTime 2016-11-14T19:53:10 --startdatetime 2016-11-14T19:56:30 --delay 3 --endMP 204:167 --enddatetime 2016-11-14T20:34:43 --enforcementcount 0 &gt;&gt;C:\Users\stu\Documents\GitHub\eaglep3-reporting\EC\2016-11-14-refined-times.txt</v>
      </c>
      <c r="AI151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{"issue":{"subject":"","project_id":79,"tracker_id":40,"status_id":1,"priority_id":2,"assigned_to_id":23,"start_date":"2016-11-14","description":"","custom_fields":[{"id":1,"name":"Subdivision","value":"EC"},{"id":4,"name":"Milepost","value":"0.0167"},{"id":17,"name":"Train ID","value":"222-14"},{"id":16,"name":"Locomotive ID","value":"4045"},{"id":130,"name":"Impact","value":""},{"id":150,"name":"Time of Event (Mountain Time)","value":"20:34:43"},{"id":151,"name":"Denver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597</v>
      </c>
      <c r="B152" s="7">
        <v>4053</v>
      </c>
      <c r="C152" s="22" t="s">
        <v>224</v>
      </c>
      <c r="D152" s="22" t="s">
        <v>349</v>
      </c>
      <c r="E152" s="13">
        <v>42688.806608796294</v>
      </c>
      <c r="F152" s="13">
        <v>42688.813043981485</v>
      </c>
      <c r="G152" s="7">
        <v>1</v>
      </c>
      <c r="H152" s="22" t="s">
        <v>713</v>
      </c>
      <c r="I152" s="13">
        <v>42688.836863425924</v>
      </c>
      <c r="J152" s="7">
        <v>0</v>
      </c>
      <c r="K152" s="109" t="str">
        <f t="shared" si="53"/>
        <v>4053/4054</v>
      </c>
      <c r="L152" s="22" t="str">
        <f>VLOOKUP(A152,'Trips&amp;Operators'!$C$1:$E$10000,3,FALSE)</f>
        <v>HOLCOMB</v>
      </c>
      <c r="M152" s="6">
        <f t="shared" si="54"/>
        <v>2.381944443914108E-2</v>
      </c>
      <c r="N152" s="7">
        <f t="shared" si="55"/>
        <v>34.299999992363155</v>
      </c>
      <c r="O152" s="7"/>
      <c r="P152" s="7"/>
      <c r="Q152" s="23"/>
      <c r="R152" s="23"/>
      <c r="S152" s="35">
        <f t="shared" si="56"/>
        <v>1</v>
      </c>
      <c r="T152" s="50" t="str">
        <f t="shared" si="57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18:21:31-700',mode:absolute,to:'2016-11-14 21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2" s="52" t="str">
        <f t="shared" si="59"/>
        <v>N</v>
      </c>
      <c r="X152" s="177">
        <f t="shared" si="60"/>
        <v>1</v>
      </c>
      <c r="Y152" s="67">
        <f t="shared" si="61"/>
        <v>4.9500000000000002E-2</v>
      </c>
      <c r="Z152" s="67">
        <f t="shared" si="62"/>
        <v>23.331399999999999</v>
      </c>
      <c r="AA152" s="67">
        <f t="shared" si="63"/>
        <v>23.2819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4"/>
        <v>0223-14</v>
      </c>
      <c r="AE152" s="91" t="str">
        <f t="shared" si="65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152" s="88" t="str">
        <f t="shared" si="66"/>
        <v>"C:\Program Files (x86)\AstroGrep\AstroGrep.exe" /spath="%USERPROFILE%\AppData\Local\Temp\OnboardLogs" /stypes="app*4053*20161115*" /stext=" 03:.+((SYSTEM_STATE.+slice.+state.+changed )|(ment ac)|(system.+state.+changed )|(\[timeout)|(PRM\|1\|D)|(kpr)|(kdp)|(\|lc)|(penalty))" /e /r /s</v>
      </c>
      <c r="AG152" s="1" t="str">
        <f t="shared" si="67"/>
        <v>EC</v>
      </c>
      <c r="AH152" s="92" t="str">
        <f t="shared" si="68"/>
        <v>"%USERPROFILE%\Documents\GitHub\eaglep3\Utilities\RefineRTDCRunTimes.py" --tripid 223-14 --locoid 4053 --swversion DE.1.0.8.0 --startMP 204:495 --initTime 2016-11-14T19:21:31 --startdatetime 2016-11-14T19:30:47 --delay 1 --endMP 204:233314 --enddatetime 2016-11-14T20:05:05 --enforcementcount 0 &gt;&gt;C:\Users\stu\Documents\GitHub\eaglep3-reporting\EC\2016-11-14-refined-times.txt</v>
      </c>
      <c r="AI152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{"issue":{"subject":"","project_id":79,"tracker_id":40,"status_id":1,"priority_id":2,"assigned_to_id":23,"start_date":"2016-11-14","description":"","custom_fields":[{"id":1,"name":"Subdivision","value":"EC"},{"id":4,"name":"Milepost","value":"23.3314"},{"id":17,"name":"Train ID","value":"223-14"},{"id":16,"name":"Locomotive ID","value":"4053"},{"id":130,"name":"Impact","value":""},{"id":150,"name":"Time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433</v>
      </c>
      <c r="B153" s="7">
        <v>4054</v>
      </c>
      <c r="C153" s="22" t="s">
        <v>224</v>
      </c>
      <c r="D153" s="22" t="s">
        <v>249</v>
      </c>
      <c r="E153" s="13">
        <v>42688.846365740741</v>
      </c>
      <c r="F153" s="13">
        <v>42688.8515625</v>
      </c>
      <c r="G153" s="7">
        <v>1</v>
      </c>
      <c r="H153" s="22" t="s">
        <v>215</v>
      </c>
      <c r="I153" s="13">
        <v>42688.877372685187</v>
      </c>
      <c r="J153" s="7">
        <v>0</v>
      </c>
      <c r="K153" s="109" t="str">
        <f t="shared" si="53"/>
        <v>4053/4054</v>
      </c>
      <c r="L153" s="22" t="str">
        <f>VLOOKUP(A153,'Trips&amp;Operators'!$C$1:$E$10000,3,FALSE)</f>
        <v>HOLCOMB</v>
      </c>
      <c r="M153" s="6">
        <f t="shared" si="54"/>
        <v>2.5810185186855961E-2</v>
      </c>
      <c r="N153" s="7">
        <f t="shared" si="55"/>
        <v>37.166666669072583</v>
      </c>
      <c r="O153" s="7"/>
      <c r="P153" s="7"/>
      <c r="Q153" s="23"/>
      <c r="R153" s="23"/>
      <c r="S153" s="35">
        <f t="shared" si="56"/>
        <v>1</v>
      </c>
      <c r="T153" s="50" t="str">
        <f t="shared" si="57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19:18:46-700',mode:absolute,to:'2016-11-14 22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59"/>
        <v>N</v>
      </c>
      <c r="X153" s="177">
        <f t="shared" si="60"/>
        <v>1</v>
      </c>
      <c r="Y153" s="67">
        <f t="shared" si="61"/>
        <v>23.3002</v>
      </c>
      <c r="Z153" s="67">
        <f t="shared" si="62"/>
        <v>1.5599999999999999E-2</v>
      </c>
      <c r="AA153" s="67">
        <f t="shared" si="63"/>
        <v>23.284600000000001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4"/>
        <v>0224-14</v>
      </c>
      <c r="AE153" s="91" t="str">
        <f t="shared" si="65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153" s="88" t="str">
        <f t="shared" si="66"/>
        <v>"C:\Program Files (x86)\AstroGrep\AstroGrep.exe" /spath="%USERPROFILE%\AppData\Local\Temp\OnboardLogs" /stypes="app*4054*20161115*" /stext=" 04:.+((SYSTEM_STATE.+slice.+state.+changed )|(ment ac)|(system.+state.+changed )|(\[timeout)|(PRM\|1\|D)|(kpr)|(kdp)|(\|lc)|(penalty))" /e /r /s</v>
      </c>
      <c r="AG153" s="1" t="str">
        <f t="shared" si="67"/>
        <v>EC</v>
      </c>
      <c r="AH153" s="92" t="str">
        <f t="shared" si="68"/>
        <v>"%USERPROFILE%\Documents\GitHub\eaglep3\Utilities\RefineRTDCRunTimes.py" --tripid 224-14 --locoid 4054 --swversion DE.1.0.8.0 --startMP 204:233002 --initTime 2016-11-14T20:18:46 --startdatetime 2016-11-14T20:26:15 --delay 1 --endMP 204:156 --enddatetime 2016-11-14T21:03:25 --enforcementcount 0 &gt;&gt;C:\Users\stu\Documents\GitHub\eaglep3-reporting\EC\2016-11-14-refined-times.txt</v>
      </c>
      <c r="AI153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{"issue":{"subject":"","project_id":79,"tracker_id":40,"status_id":1,"priority_id":2,"assigned_to_id":23,"start_date":"2016-11-14","description":"","custom_fields":[{"id":1,"name":"Subdivision","value":"EC"},{"id":4,"name":"Milepost","value":"0.0156"},{"id":17,"name":"Train ID","value":"224-14"},{"id":16,"name":"Locomotive ID","value":"4054"},{"id":130,"name":"Impact","value":""},{"id":150,"name":"Time of Event (Mountain Time)","value":"21:03:25"},{"id":151,"name":"Denver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601</v>
      </c>
      <c r="B154" s="7">
        <v>4029</v>
      </c>
      <c r="C154" s="22" t="s">
        <v>224</v>
      </c>
      <c r="D154" s="22" t="s">
        <v>200</v>
      </c>
      <c r="E154" s="13">
        <v>42688.832511574074</v>
      </c>
      <c r="F154" s="13">
        <v>42688.833634259259</v>
      </c>
      <c r="G154" s="7">
        <v>1</v>
      </c>
      <c r="H154" s="22" t="s">
        <v>375</v>
      </c>
      <c r="I154" s="13">
        <v>42688.858518518522</v>
      </c>
      <c r="J154" s="7">
        <v>0</v>
      </c>
      <c r="K154" s="109" t="str">
        <f t="shared" si="53"/>
        <v>4029/4030</v>
      </c>
      <c r="L154" s="22" t="str">
        <f>VLOOKUP(A154,'Trips&amp;Operators'!$C$1:$E$10000,3,FALSE)</f>
        <v>CHANDLER</v>
      </c>
      <c r="M154" s="6">
        <f t="shared" si="54"/>
        <v>2.4884259262762498E-2</v>
      </c>
      <c r="N154" s="7">
        <f t="shared" si="55"/>
        <v>35.833333338377997</v>
      </c>
      <c r="O154" s="7"/>
      <c r="P154" s="7"/>
      <c r="Q154" s="23"/>
      <c r="R154" s="23"/>
      <c r="S154" s="35">
        <f t="shared" si="56"/>
        <v>1</v>
      </c>
      <c r="T154" s="50" t="str">
        <f t="shared" si="57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18:58:49-700',mode:absolute,to:'2016-11-14 21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4" s="52" t="str">
        <f t="shared" si="59"/>
        <v>N</v>
      </c>
      <c r="X154" s="177">
        <f t="shared" si="60"/>
        <v>1</v>
      </c>
      <c r="Y154" s="67">
        <f t="shared" si="61"/>
        <v>4.53E-2</v>
      </c>
      <c r="Z154" s="67">
        <f t="shared" si="62"/>
        <v>23.328900000000001</v>
      </c>
      <c r="AA154" s="67">
        <f t="shared" si="63"/>
        <v>23.2836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4"/>
        <v>0225-14</v>
      </c>
      <c r="AE154" s="91" t="str">
        <f t="shared" si="65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54" s="88" t="str">
        <f t="shared" si="66"/>
        <v>"C:\Program Files (x86)\AstroGrep\AstroGrep.exe" /spath="%USERPROFILE%\AppData\Local\Temp\OnboardLogs" /stypes="app*4029*20161115*" /stext=" 03:.+((SYSTEM_STATE.+slice.+state.+changed )|(ment ac)|(system.+state.+changed )|(\[timeout)|(PRM\|1\|D)|(kpr)|(kdp)|(\|lc)|(penalty))" /e /r /s</v>
      </c>
      <c r="AG154" s="1" t="str">
        <f t="shared" si="67"/>
        <v>EC</v>
      </c>
      <c r="AH154" s="92" t="str">
        <f t="shared" si="68"/>
        <v>"%USERPROFILE%\Documents\GitHub\eaglep3\Utilities\RefineRTDCRunTimes.py" --tripid 225-14 --locoid 4029 --swversion DE.1.0.8.0 --startMP 204:453 --initTime 2016-11-14T19:58:49 --startdatetime 2016-11-14T20:00:26 --delay 1 --endMP 204:233289 --enddatetime 2016-11-14T20:36:16 --enforcementcount 0 &gt;&gt;C:\Users\stu\Documents\GitHub\eaglep3-reporting\EC\2016-11-14-refined-times.txt</v>
      </c>
      <c r="AI154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{"issue":{"subject":"","project_id":79,"tracker_id":40,"status_id":1,"priority_id":2,"assigned_to_id":23,"start_date":"2016-11-14","description":"","custom_fields":[{"id":1,"name":"Subdivision","value":"EC"},{"id":4,"name":"Milepost","value":"23.3289"},{"id":17,"name":"Train ID","value":"225-14"},{"id":16,"name":"Locomotive ID","value":"4029"},{"id":130,"name":"Impact","value":""},{"id":150,"name":"Time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432</v>
      </c>
      <c r="B155" s="7">
        <v>4030</v>
      </c>
      <c r="C155" s="22" t="s">
        <v>224</v>
      </c>
      <c r="D155" s="22" t="s">
        <v>714</v>
      </c>
      <c r="E155" s="13">
        <v>42688.870370370372</v>
      </c>
      <c r="F155" s="13">
        <v>42688.872546296298</v>
      </c>
      <c r="G155" s="7">
        <v>1</v>
      </c>
      <c r="H155" s="22" t="s">
        <v>348</v>
      </c>
      <c r="I155" s="13">
        <v>42688.900405092594</v>
      </c>
      <c r="J155" s="7">
        <v>0</v>
      </c>
      <c r="K155" s="109" t="str">
        <f t="shared" si="53"/>
        <v>4029/4030</v>
      </c>
      <c r="L155" s="22" t="str">
        <f>VLOOKUP(A155,'Trips&amp;Operators'!$C$1:$E$10000,3,FALSE)</f>
        <v>CHANDLER</v>
      </c>
      <c r="M155" s="6">
        <f t="shared" si="54"/>
        <v>2.7858796296641231E-2</v>
      </c>
      <c r="N155" s="7">
        <f t="shared" si="55"/>
        <v>40.116666667163372</v>
      </c>
      <c r="O155" s="7"/>
      <c r="P155" s="7"/>
      <c r="Q155" s="23"/>
      <c r="R155" s="23"/>
      <c r="S155" s="35">
        <f t="shared" si="56"/>
        <v>1</v>
      </c>
      <c r="T155" s="50" t="str">
        <f t="shared" si="57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19:53:20-700',mode:absolute,to:'2016-11-14 22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5" s="52" t="str">
        <f t="shared" si="59"/>
        <v>N</v>
      </c>
      <c r="X155" s="177">
        <f t="shared" si="60"/>
        <v>1</v>
      </c>
      <c r="Y155" s="67">
        <f t="shared" si="61"/>
        <v>23.295999999999999</v>
      </c>
      <c r="Z155" s="67">
        <f t="shared" si="62"/>
        <v>1.6899999999999998E-2</v>
      </c>
      <c r="AA155" s="67">
        <f t="shared" si="63"/>
        <v>23.2791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4"/>
        <v>0226-14</v>
      </c>
      <c r="AE155" s="91" t="str">
        <f t="shared" si="65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55" s="88" t="str">
        <f t="shared" si="66"/>
        <v>"C:\Program Files (x86)\AstroGrep\AstroGrep.exe" /spath="%USERPROFILE%\AppData\Local\Temp\OnboardLogs" /stypes="app*4030*20161115*" /stext=" 04:.+((SYSTEM_STATE.+slice.+state.+changed )|(ment ac)|(system.+state.+changed )|(\[timeout)|(PRM\|1\|D)|(kpr)|(kdp)|(\|lc)|(penalty))" /e /r /s</v>
      </c>
      <c r="AG155" s="1" t="str">
        <f t="shared" si="67"/>
        <v>EC</v>
      </c>
      <c r="AH155" s="92" t="str">
        <f t="shared" si="68"/>
        <v>"%USERPROFILE%\Documents\GitHub\eaglep3\Utilities\RefineRTDCRunTimes.py" --tripid 226-14 --locoid 4030 --swversion DE.1.0.8.0 --startMP 204:232960 --initTime 2016-11-14T20:53:20 --startdatetime 2016-11-14T20:56:28 --delay 1 --endMP 204:169 --enddatetime 2016-11-14T21:36:35 --enforcementcount 0 &gt;&gt;C:\Users\stu\Documents\GitHub\eaglep3-reporting\EC\2016-11-14-refined-times.txt</v>
      </c>
      <c r="AI155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{"issue":{"subject":"","project_id":79,"tracker_id":40,"status_id":1,"priority_id":2,"assigned_to_id":23,"start_date":"2016-11-14","description":"","custom_fields":[{"id":1,"name":"Subdivision","value":"EC"},{"id":4,"name":"Milepost","value":"0.0169"},{"id":17,"name":"Train ID","value":"226-14"},{"id":16,"name":"Locomotive ID","value":"4030"},{"id":130,"name":"Impact","value":""},{"id":150,"name":"Time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602</v>
      </c>
      <c r="B156" s="7">
        <v>4009</v>
      </c>
      <c r="C156" s="22" t="s">
        <v>224</v>
      </c>
      <c r="D156" s="22" t="s">
        <v>199</v>
      </c>
      <c r="E156" s="13">
        <v>42688.847002314818</v>
      </c>
      <c r="F156" s="13">
        <v>42688.854351851849</v>
      </c>
      <c r="G156" s="7">
        <v>1</v>
      </c>
      <c r="H156" s="22" t="s">
        <v>665</v>
      </c>
      <c r="I156" s="13">
        <v>42688.87945601852</v>
      </c>
      <c r="J156" s="7">
        <v>0</v>
      </c>
      <c r="K156" s="109" t="str">
        <f t="shared" si="53"/>
        <v>4009/4010</v>
      </c>
      <c r="L156" s="22" t="str">
        <f>VLOOKUP(A156,'Trips&amp;Operators'!$C$1:$E$10000,3,FALSE)</f>
        <v>PERKINS</v>
      </c>
      <c r="M156" s="6">
        <f t="shared" si="54"/>
        <v>2.510416667064419E-2</v>
      </c>
      <c r="N156" s="7">
        <f t="shared" si="55"/>
        <v>36.150000005727634</v>
      </c>
      <c r="O156" s="7"/>
      <c r="P156" s="7"/>
      <c r="Q156" s="23"/>
      <c r="R156" s="23"/>
      <c r="S156" s="35">
        <f t="shared" si="56"/>
        <v>1</v>
      </c>
      <c r="T156" s="50" t="str">
        <f t="shared" si="57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19:19:41-700',mode:absolute,to:'2016-11-14 22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6" s="52" t="str">
        <f t="shared" si="59"/>
        <v>N</v>
      </c>
      <c r="X156" s="177">
        <f t="shared" si="60"/>
        <v>1</v>
      </c>
      <c r="Y156" s="67">
        <f t="shared" si="61"/>
        <v>4.4699999999999997E-2</v>
      </c>
      <c r="Z156" s="67">
        <f t="shared" si="62"/>
        <v>23.3291</v>
      </c>
      <c r="AA156" s="67">
        <f t="shared" si="63"/>
        <v>23.284400000000002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4"/>
        <v>0227-14</v>
      </c>
      <c r="AE156" s="91" t="str">
        <f t="shared" si="65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56" s="88" t="str">
        <f t="shared" si="66"/>
        <v>"C:\Program Files (x86)\AstroGrep\AstroGrep.exe" /spath="%USERPROFILE%\AppData\Local\Temp\OnboardLogs" /stypes="app*4009*20161115*" /stext=" 04:.+((SYSTEM_STATE.+slice.+state.+changed )|(ment ac)|(system.+state.+changed )|(\[timeout)|(PRM\|1\|D)|(kpr)|(kdp)|(\|lc)|(penalty))" /e /r /s</v>
      </c>
      <c r="AG156" s="1" t="str">
        <f t="shared" si="67"/>
        <v>EC</v>
      </c>
      <c r="AH156" s="92" t="str">
        <f t="shared" si="68"/>
        <v>"%USERPROFILE%\Documents\GitHub\eaglep3\Utilities\RefineRTDCRunTimes.py" --tripid 227-14 --locoid 4009 --swversion DE.1.0.8.0 --startMP 204:447 --initTime 2016-11-14T20:19:41 --startdatetime 2016-11-14T20:30:16 --delay 1 --endMP 204:233291 --enddatetime 2016-11-14T21:06:25 --enforcementcount 0 &gt;&gt;C:\Users\stu\Documents\GitHub\eaglep3-reporting\EC\2016-11-14-refined-times.txt</v>
      </c>
      <c r="AI156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{"issue":{"subject":"","project_id":79,"tracker_id":40,"status_id":1,"priority_id":2,"assigned_to_id":23,"start_date":"2016-11-14","description":"","custom_fields":[{"id":1,"name":"Subdivision","value":"EC"},{"id":4,"name":"Milepost","value":"23.3291"},{"id":17,"name":"Train ID","value":"227-14"},{"id":16,"name":"Locomotive ID","value":"4009"},{"id":130,"name":"Impact","value":""},{"id":150,"name":"Time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434</v>
      </c>
      <c r="B157" s="7">
        <v>4010</v>
      </c>
      <c r="C157" s="22" t="s">
        <v>224</v>
      </c>
      <c r="D157" s="22" t="s">
        <v>339</v>
      </c>
      <c r="E157" s="13">
        <v>42688.887326388889</v>
      </c>
      <c r="F157" s="13">
        <v>42688.89334490741</v>
      </c>
      <c r="G157" s="7">
        <v>1</v>
      </c>
      <c r="H157" s="22" t="s">
        <v>662</v>
      </c>
      <c r="I157" s="13">
        <v>42688.920011574075</v>
      </c>
      <c r="J157" s="7">
        <v>0</v>
      </c>
      <c r="K157" s="109" t="str">
        <f t="shared" si="53"/>
        <v>4009/4010</v>
      </c>
      <c r="L157" s="22" t="str">
        <f>VLOOKUP(A157,'Trips&amp;Operators'!$C$1:$E$10000,3,FALSE)</f>
        <v>PERKINS</v>
      </c>
      <c r="M157" s="6">
        <f t="shared" si="54"/>
        <v>2.6666666664823424E-2</v>
      </c>
      <c r="N157" s="7">
        <f t="shared" si="55"/>
        <v>38.399999997345731</v>
      </c>
      <c r="O157" s="7"/>
      <c r="P157" s="7"/>
      <c r="Q157" s="23"/>
      <c r="R157" s="23"/>
      <c r="S157" s="35">
        <f t="shared" si="56"/>
        <v>1</v>
      </c>
      <c r="T157" s="50" t="str">
        <f t="shared" si="57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20:17:45-700',mode:absolute,to:'2016-11-14 23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7" s="52" t="str">
        <f t="shared" si="59"/>
        <v>N</v>
      </c>
      <c r="X157" s="177">
        <f t="shared" si="60"/>
        <v>1</v>
      </c>
      <c r="Y157" s="67">
        <f t="shared" si="61"/>
        <v>23.2972</v>
      </c>
      <c r="Z157" s="67">
        <f t="shared" si="62"/>
        <v>1.6500000000000001E-2</v>
      </c>
      <c r="AA157" s="67">
        <f t="shared" si="63"/>
        <v>23.2807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4"/>
        <v>0228-14</v>
      </c>
      <c r="AE157" s="91" t="str">
        <f t="shared" si="65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57" s="88" t="str">
        <f t="shared" si="66"/>
        <v>"C:\Program Files (x86)\AstroGrep\AstroGrep.exe" /spath="%USERPROFILE%\AppData\Local\Temp\OnboardLogs" /stypes="app*4010*20161115*" /stext=" 05:.+((SYSTEM_STATE.+slice.+state.+changed )|(ment ac)|(system.+state.+changed )|(\[timeout)|(PRM\|1\|D)|(kpr)|(kdp)|(\|lc)|(penalty))" /e /r /s</v>
      </c>
      <c r="AG157" s="1" t="str">
        <f t="shared" si="67"/>
        <v>EC</v>
      </c>
      <c r="AH157" s="92" t="str">
        <f t="shared" si="68"/>
        <v>"%USERPROFILE%\Documents\GitHub\eaglep3\Utilities\RefineRTDCRunTimes.py" --tripid 228-14 --locoid 4010 --swversion DE.1.0.8.0 --startMP 204:232972 --initTime 2016-11-14T21:17:45 --startdatetime 2016-11-14T21:26:25 --delay 1 --endMP 204:165 --enddatetime 2016-11-14T22:04:49 --enforcementcount 0 &gt;&gt;C:\Users\stu\Documents\GitHub\eaglep3-reporting\EC\2016-11-14-refined-times.txt</v>
      </c>
      <c r="AI157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{"issue":{"subject":"","project_id":79,"tracker_id":40,"status_id":1,"priority_id":2,"assigned_to_id":23,"start_date":"2016-11-14","description":"","custom_fields":[{"id":1,"name":"Subdivision","value":"EC"},{"id":4,"name":"Milepost","value":"0.0165"},{"id":17,"name":"Train ID","value":"228-14"},{"id":16,"name":"Locomotive ID","value":"4010"},{"id":130,"name":"Impact","value":""},{"id":150,"name":"Time of Event (Mountain Time)","value":"22:04:49"},{"id":151,"name":"Denver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604</v>
      </c>
      <c r="B158" s="7">
        <v>4046</v>
      </c>
      <c r="C158" s="22" t="s">
        <v>224</v>
      </c>
      <c r="D158" s="22" t="s">
        <v>221</v>
      </c>
      <c r="E158" s="13">
        <v>42688.872395833336</v>
      </c>
      <c r="F158" s="13">
        <v>42688.875185185185</v>
      </c>
      <c r="G158" s="7">
        <v>1</v>
      </c>
      <c r="H158" s="22" t="s">
        <v>238</v>
      </c>
      <c r="I158" s="13">
        <v>42688.901354166665</v>
      </c>
      <c r="J158" s="7">
        <v>0</v>
      </c>
      <c r="K158" s="109" t="str">
        <f t="shared" si="53"/>
        <v>4045/4046</v>
      </c>
      <c r="L158" s="22" t="str">
        <f>VLOOKUP(A158,'Trips&amp;Operators'!$C$1:$E$10000,3,FALSE)</f>
        <v>NELSON</v>
      </c>
      <c r="M158" s="6">
        <f t="shared" si="54"/>
        <v>2.6168981479713693E-2</v>
      </c>
      <c r="N158" s="7">
        <f t="shared" si="55"/>
        <v>37.683333330787718</v>
      </c>
      <c r="O158" s="7"/>
      <c r="P158" s="7"/>
      <c r="Q158" s="23"/>
      <c r="R158" s="23"/>
      <c r="S158" s="35">
        <f t="shared" si="56"/>
        <v>1</v>
      </c>
      <c r="T158" s="50" t="str">
        <f t="shared" si="57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19:56:15-700',mode:absolute,to:'2016-11-14 22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8" s="52" t="str">
        <f t="shared" si="59"/>
        <v>N</v>
      </c>
      <c r="X158" s="177">
        <f t="shared" si="60"/>
        <v>1</v>
      </c>
      <c r="Y158" s="67">
        <f t="shared" si="61"/>
        <v>4.5699999999999998E-2</v>
      </c>
      <c r="Z158" s="67">
        <f t="shared" si="62"/>
        <v>23.331199999999999</v>
      </c>
      <c r="AA158" s="67">
        <f t="shared" si="63"/>
        <v>23.285499999999999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4"/>
        <v>0229-14</v>
      </c>
      <c r="AE158" s="91" t="str">
        <f t="shared" si="65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58" s="88" t="str">
        <f t="shared" si="66"/>
        <v>"C:\Program Files (x86)\AstroGrep\AstroGrep.exe" /spath="%USERPROFILE%\AppData\Local\Temp\OnboardLogs" /stypes="app*4046*20161115*" /stext=" 04:.+((SYSTEM_STATE.+slice.+state.+changed )|(ment ac)|(system.+state.+changed )|(\[timeout)|(PRM\|1\|D)|(kpr)|(kdp)|(\|lc)|(penalty))" /e /r /s</v>
      </c>
      <c r="AG158" s="1" t="str">
        <f t="shared" si="67"/>
        <v>EC</v>
      </c>
      <c r="AH158" s="92" t="str">
        <f t="shared" si="68"/>
        <v>"%USERPROFILE%\Documents\GitHub\eaglep3\Utilities\RefineRTDCRunTimes.py" --tripid 229-14 --locoid 4046 --swversion DE.1.0.8.0 --startMP 204:457 --initTime 2016-11-14T20:56:15 --startdatetime 2016-11-14T21:00:16 --delay 1 --endMP 204:233312 --enddatetime 2016-11-14T21:37:57 --enforcementcount 0 &gt;&gt;C:\Users\stu\Documents\GitHub\eaglep3-reporting\EC\2016-11-14-refined-times.txt</v>
      </c>
      <c r="AI158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{"issue":{"subject":"","project_id":79,"tracker_id":40,"status_id":1,"priority_id":2,"assigned_to_id":23,"start_date":"2016-11-14","description":"","custom_fields":[{"id":1,"name":"Subdivision","value":"EC"},{"id":4,"name":"Milepost","value":"23.3312"},{"id":17,"name":"Train ID","value":"229-14"},{"id":16,"name":"Locomotive ID","value":"4046"},{"id":130,"name":"Impact","value":""},{"id":150,"name":"Time of Event (Mountain Time)","value":"21:37:57"},{"id":151,"name":"Denver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436</v>
      </c>
      <c r="B159" s="7">
        <v>4045</v>
      </c>
      <c r="C159" s="22" t="s">
        <v>224</v>
      </c>
      <c r="D159" s="22" t="s">
        <v>266</v>
      </c>
      <c r="E159" s="13">
        <v>42688.909583333334</v>
      </c>
      <c r="F159" s="13">
        <v>42688.914085648146</v>
      </c>
      <c r="G159" s="7">
        <v>1</v>
      </c>
      <c r="H159" s="22" t="s">
        <v>175</v>
      </c>
      <c r="I159" s="13">
        <v>42688.942476851851</v>
      </c>
      <c r="J159" s="7">
        <v>0</v>
      </c>
      <c r="K159" s="109" t="str">
        <f t="shared" si="53"/>
        <v>4045/4046</v>
      </c>
      <c r="L159" s="22" t="str">
        <f>VLOOKUP(A159,'Trips&amp;Operators'!$C$1:$E$10000,3,FALSE)</f>
        <v>NELSON</v>
      </c>
      <c r="M159" s="6">
        <f t="shared" si="54"/>
        <v>2.8391203704813961E-2</v>
      </c>
      <c r="N159" s="7">
        <f t="shared" si="55"/>
        <v>40.883333334932104</v>
      </c>
      <c r="O159" s="7"/>
      <c r="P159" s="7"/>
      <c r="Q159" s="23"/>
      <c r="R159" s="23"/>
      <c r="S159" s="35">
        <f t="shared" si="56"/>
        <v>1</v>
      </c>
      <c r="T159" s="50" t="str">
        <f t="shared" si="57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20:49:48-700',mode:absolute,to:'2016-11-14 23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59"/>
        <v>N</v>
      </c>
      <c r="X159" s="177">
        <f t="shared" si="60"/>
        <v>1</v>
      </c>
      <c r="Y159" s="67">
        <f t="shared" si="61"/>
        <v>23.298100000000002</v>
      </c>
      <c r="Z159" s="67">
        <f t="shared" si="62"/>
        <v>1.47E-2</v>
      </c>
      <c r="AA159" s="67">
        <f t="shared" si="63"/>
        <v>23.2834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4"/>
        <v>0230-14</v>
      </c>
      <c r="AE159" s="91" t="str">
        <f t="shared" si="65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59" s="88" t="str">
        <f t="shared" si="66"/>
        <v>"C:\Program Files (x86)\AstroGrep\AstroGrep.exe" /spath="%USERPROFILE%\AppData\Local\Temp\OnboardLogs" /stypes="app*4045*20161115*" /stext=" 05:.+((SYSTEM_STATE.+slice.+state.+changed )|(ment ac)|(system.+state.+changed )|(\[timeout)|(PRM\|1\|D)|(kpr)|(kdp)|(\|lc)|(penalty))" /e /r /s</v>
      </c>
      <c r="AG159" s="1" t="str">
        <f t="shared" si="67"/>
        <v>EC</v>
      </c>
      <c r="AH159" s="92" t="str">
        <f t="shared" si="68"/>
        <v>"%USERPROFILE%\Documents\GitHub\eaglep3\Utilities\RefineRTDCRunTimes.py" --tripid 230-14 --locoid 4045 --swversion DE.1.0.8.0 --startMP 204:232981 --initTime 2016-11-14T21:49:48 --startdatetime 2016-11-14T21:56:17 --delay 1 --endMP 204:147 --enddatetime 2016-11-14T22:37:10 --enforcementcount 0 &gt;&gt;C:\Users\stu\Documents\GitHub\eaglep3-reporting\EC\2016-11-14-refined-times.txt</v>
      </c>
      <c r="AI159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{"issue":{"subject":"","project_id":79,"tracker_id":40,"status_id":1,"priority_id":2,"assigned_to_id":23,"start_date":"2016-11-14","description":"","custom_fields":[{"id":1,"name":"Subdivision","value":"EC"},{"id":4,"name":"Milepost","value":"0.0147"},{"id":17,"name":"Train ID","value":"230-14"},{"id":16,"name":"Locomotive ID","value":"4045"},{"id":130,"name":"Impact","value":""},{"id":150,"name":"Time of Event (Mountain Time)","value":"22:37:10"},{"id":151,"name":"Denver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605</v>
      </c>
      <c r="B160" s="7">
        <v>4053</v>
      </c>
      <c r="C160" s="22" t="s">
        <v>224</v>
      </c>
      <c r="D160" s="22" t="s">
        <v>275</v>
      </c>
      <c r="E160" s="13">
        <v>42688.878796296296</v>
      </c>
      <c r="F160" s="13">
        <v>42688.896006944444</v>
      </c>
      <c r="G160" s="7">
        <v>1</v>
      </c>
      <c r="H160" s="22" t="s">
        <v>395</v>
      </c>
      <c r="I160" s="13">
        <v>42688.921099537038</v>
      </c>
      <c r="J160" s="7">
        <v>0</v>
      </c>
      <c r="K160" s="109" t="str">
        <f t="shared" si="53"/>
        <v>4053/4054</v>
      </c>
      <c r="L160" s="22" t="str">
        <f>VLOOKUP(A160,'Trips&amp;Operators'!$C$1:$E$10000,3,FALSE)</f>
        <v>NEWELL</v>
      </c>
      <c r="M160" s="6">
        <f t="shared" si="54"/>
        <v>2.5092592593864538E-2</v>
      </c>
      <c r="N160" s="7">
        <f t="shared" si="55"/>
        <v>36.133333335164934</v>
      </c>
      <c r="O160" s="7"/>
      <c r="P160" s="7"/>
      <c r="Q160" s="23"/>
      <c r="R160" s="23"/>
      <c r="S160" s="35">
        <f t="shared" si="56"/>
        <v>1</v>
      </c>
      <c r="T160" s="50" t="str">
        <f t="shared" si="57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20:05:28-700',mode:absolute,to:'2016-11-14 23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0" s="52" t="str">
        <f t="shared" si="59"/>
        <v>N</v>
      </c>
      <c r="X160" s="177">
        <f t="shared" si="60"/>
        <v>1</v>
      </c>
      <c r="Y160" s="67">
        <f t="shared" si="61"/>
        <v>4.7300000000000002E-2</v>
      </c>
      <c r="Z160" s="67">
        <f t="shared" si="62"/>
        <v>23.3308</v>
      </c>
      <c r="AA160" s="67">
        <f t="shared" si="63"/>
        <v>23.2835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4"/>
        <v>0231-14</v>
      </c>
      <c r="AE160" s="91" t="str">
        <f t="shared" si="65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160" s="88" t="str">
        <f t="shared" si="66"/>
        <v>"C:\Program Files (x86)\AstroGrep\AstroGrep.exe" /spath="%USERPROFILE%\AppData\Local\Temp\OnboardLogs" /stypes="app*4053*20161115*" /stext=" 05:.+((SYSTEM_STATE.+slice.+state.+changed )|(ment ac)|(system.+state.+changed )|(\[timeout)|(PRM\|1\|D)|(kpr)|(kdp)|(\|lc)|(penalty))" /e /r /s</v>
      </c>
      <c r="AG160" s="1" t="str">
        <f t="shared" si="67"/>
        <v>EC</v>
      </c>
      <c r="AH160" s="92" t="str">
        <f t="shared" si="68"/>
        <v>"%USERPROFILE%\Documents\GitHub\eaglep3\Utilities\RefineRTDCRunTimes.py" --tripid 231-14 --locoid 4053 --swversion DE.1.0.8.0 --startMP 204:473 --initTime 2016-11-14T21:05:28 --startdatetime 2016-11-14T21:30:15 --delay 1 --endMP 204:233308 --enddatetime 2016-11-14T22:06:23 --enforcementcount 0 &gt;&gt;C:\Users\stu\Documents\GitHub\eaglep3-reporting\EC\2016-11-14-refined-times.txt</v>
      </c>
      <c r="AI160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{"issue":{"subject":"","project_id":79,"tracker_id":40,"status_id":1,"priority_id":2,"assigned_to_id":23,"start_date":"2016-11-14","description":"","custom_fields":[{"id":1,"name":"Subdivision","value":"EC"},{"id":4,"name":"Milepost","value":"23.3308"},{"id":17,"name":"Train ID","value":"231-14"},{"id":16,"name":"Locomotive ID","value":"4053"},{"id":130,"name":"Impact","value":""},{"id":150,"name":"Time of Event (Mountain Time)","value":"22:06:23"},{"id":151,"name":"Denver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610</v>
      </c>
      <c r="B161" s="7">
        <v>4054</v>
      </c>
      <c r="C161" s="22" t="s">
        <v>224</v>
      </c>
      <c r="D161" s="22" t="s">
        <v>374</v>
      </c>
      <c r="E161" s="13">
        <v>42688.929513888892</v>
      </c>
      <c r="F161" s="13">
        <v>42688.934861111113</v>
      </c>
      <c r="G161" s="7">
        <v>1</v>
      </c>
      <c r="H161" s="22" t="s">
        <v>176</v>
      </c>
      <c r="I161" s="13">
        <v>42688.960300925923</v>
      </c>
      <c r="J161" s="7">
        <v>0</v>
      </c>
      <c r="K161" s="109" t="str">
        <f t="shared" si="53"/>
        <v>4053/4054</v>
      </c>
      <c r="L161" s="22" t="str">
        <f>VLOOKUP(A161,'Trips&amp;Operators'!$C$1:$E$10000,3,FALSE)</f>
        <v>NEWELL</v>
      </c>
      <c r="M161" s="6">
        <f t="shared" si="54"/>
        <v>2.5439814809942618E-2</v>
      </c>
      <c r="N161" s="7">
        <f t="shared" si="55"/>
        <v>36.63333332631737</v>
      </c>
      <c r="O161" s="7"/>
      <c r="P161" s="7"/>
      <c r="Q161" s="23"/>
      <c r="R161" s="23"/>
      <c r="S161" s="35">
        <f t="shared" si="56"/>
        <v>1</v>
      </c>
      <c r="T161" s="50" t="str">
        <f t="shared" si="57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21:18:30-700',mode:absolute,to:'2016-11-15 00:02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1" s="52" t="str">
        <f t="shared" si="59"/>
        <v>N</v>
      </c>
      <c r="X161" s="177">
        <f t="shared" si="60"/>
        <v>1</v>
      </c>
      <c r="Y161" s="67">
        <f t="shared" si="61"/>
        <v>23.299399999999999</v>
      </c>
      <c r="Z161" s="67">
        <f t="shared" si="62"/>
        <v>1.52E-2</v>
      </c>
      <c r="AA161" s="67">
        <f t="shared" si="63"/>
        <v>23.284199999999998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4"/>
        <v>0232-14</v>
      </c>
      <c r="AE161" s="91" t="str">
        <f t="shared" si="65"/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AF161" s="88" t="str">
        <f t="shared" si="66"/>
        <v>"C:\Program Files (x86)\AstroGrep\AstroGrep.exe" /spath="%USERPROFILE%\AppData\Local\Temp\OnboardLogs" /stypes="app*4054*20161115*" /stext=" 06:.+((SYSTEM_STATE.+slice.+state.+changed )|(ment ac)|(system.+state.+changed )|(\[timeout)|(PRM\|1\|D)|(kpr)|(kdp)|(\|lc)|(penalty))" /e /r /s</v>
      </c>
      <c r="AG161" s="1" t="str">
        <f t="shared" si="67"/>
        <v>EC</v>
      </c>
      <c r="AH161" s="92" t="str">
        <f t="shared" si="68"/>
        <v>"%USERPROFILE%\Documents\GitHub\eaglep3\Utilities\RefineRTDCRunTimes.py" --tripid 232-14 --locoid 4054 --swversion DE.1.0.8.0 --startMP 204:232994 --initTime 2016-11-14T22:18:30 --startdatetime 2016-11-14T22:26:12 --delay 1 --endMP 204:152 --enddatetime 2016-11-14T23:02:50 --enforcementcount 0 &gt;&gt;C:\Users\stu\Documents\GitHub\eaglep3-reporting\EC\2016-11-14-refined-times.txt</v>
      </c>
      <c r="AI161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{"issue":{"subject":"","project_id":79,"tracker_id":40,"status_id":1,"priority_id":2,"assigned_to_id":23,"start_date":"2016-11-14","description":"","custom_fields":[{"id":1,"name":"Subdivision","value":"EC"},{"id":4,"name":"Milepost","value":"0.0152"},{"id":17,"name":"Train ID","value":"232-14"},{"id":16,"name":"Locomotive ID","value":"4054"},{"id":130,"name":"Impact","value":""},{"id":150,"name":"Time of Event (Mountain Time)","value":"23:02:50"},{"id":151,"name":"Denver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607</v>
      </c>
      <c r="B162" s="7">
        <v>4029</v>
      </c>
      <c r="C162" s="22" t="s">
        <v>224</v>
      </c>
      <c r="D162" s="22" t="s">
        <v>393</v>
      </c>
      <c r="E162" s="13">
        <v>42688.911469907405</v>
      </c>
      <c r="F162" s="13">
        <v>42688.916921296295</v>
      </c>
      <c r="G162" s="7">
        <v>1</v>
      </c>
      <c r="H162" s="22" t="s">
        <v>395</v>
      </c>
      <c r="I162" s="13">
        <v>42688.94259259259</v>
      </c>
      <c r="J162" s="7">
        <v>0</v>
      </c>
      <c r="K162" s="109" t="str">
        <f t="shared" si="53"/>
        <v>4029/4030</v>
      </c>
      <c r="L162" s="22" t="str">
        <f>VLOOKUP(A162,'Trips&amp;Operators'!$C$1:$E$10000,3,FALSE)</f>
        <v>CHANDLER</v>
      </c>
      <c r="M162" s="6">
        <f t="shared" si="54"/>
        <v>2.5671296294603962E-2</v>
      </c>
      <c r="N162" s="7">
        <f t="shared" si="55"/>
        <v>36.966666664229706</v>
      </c>
      <c r="O162" s="7"/>
      <c r="P162" s="7"/>
      <c r="Q162" s="23"/>
      <c r="R162" s="23"/>
      <c r="S162" s="35">
        <f t="shared" si="56"/>
        <v>1</v>
      </c>
      <c r="T162" s="50" t="str">
        <f t="shared" si="57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20:52:31-700',mode:absolute,to:'2016-11-14 23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 t="shared" si="59"/>
        <v>N</v>
      </c>
      <c r="X162" s="177">
        <f t="shared" si="60"/>
        <v>1</v>
      </c>
      <c r="Y162" s="67">
        <f t="shared" si="61"/>
        <v>4.7800000000000002E-2</v>
      </c>
      <c r="Z162" s="67">
        <f t="shared" si="62"/>
        <v>23.3308</v>
      </c>
      <c r="AA162" s="67">
        <f t="shared" si="63"/>
        <v>23.283000000000001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4"/>
        <v>0233-14</v>
      </c>
      <c r="AE162" s="91" t="str">
        <f t="shared" si="65"/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AF162" s="88" t="str">
        <f t="shared" si="66"/>
        <v>"C:\Program Files (x86)\AstroGrep\AstroGrep.exe" /spath="%USERPROFILE%\AppData\Local\Temp\OnboardLogs" /stypes="app*4029*20161115*" /stext=" 05:.+((SYSTEM_STATE.+slice.+state.+changed )|(ment ac)|(system.+state.+changed )|(\[timeout)|(PRM\|1\|D)|(kpr)|(kdp)|(\|lc)|(penalty))" /e /r /s</v>
      </c>
      <c r="AG162" s="1" t="str">
        <f t="shared" si="67"/>
        <v>EC</v>
      </c>
      <c r="AH162" s="92" t="str">
        <f t="shared" si="68"/>
        <v>"%USERPROFILE%\Documents\GitHub\eaglep3\Utilities\RefineRTDCRunTimes.py" --tripid 233-14 --locoid 4029 --swversion DE.1.0.8.0 --startMP 204:478 --initTime 2016-11-14T21:52:31 --startdatetime 2016-11-14T22:00:22 --delay 1 --endMP 204:233308 --enddatetime 2016-11-14T22:37:20 --enforcementcount 0 &gt;&gt;C:\Users\stu\Documents\GitHub\eaglep3-reporting\EC\2016-11-14-refined-times.txt</v>
      </c>
      <c r="AI162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{"issue":{"subject":"","project_id":79,"tracker_id":40,"status_id":1,"priority_id":2,"assigned_to_id":23,"start_date":"2016-11-14","description":"","custom_fields":[{"id":1,"name":"Subdivision","value":"EC"},{"id":4,"name":"Milepost","value":"23.3308"},{"id":17,"name":"Train ID","value":"233-14"},{"id":16,"name":"Locomotive ID","value":"4029"},{"id":130,"name":"Impact","value":""},{"id":150,"name":"Time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612</v>
      </c>
      <c r="B163" s="7">
        <v>4030</v>
      </c>
      <c r="C163" s="22" t="s">
        <v>224</v>
      </c>
      <c r="D163" s="22" t="s">
        <v>394</v>
      </c>
      <c r="E163" s="13">
        <v>42688.952835648146</v>
      </c>
      <c r="F163" s="13">
        <v>42688.955879629626</v>
      </c>
      <c r="G163" s="7">
        <v>1</v>
      </c>
      <c r="H163" s="22" t="s">
        <v>215</v>
      </c>
      <c r="I163" s="13">
        <v>42688.983344907407</v>
      </c>
      <c r="J163" s="7">
        <v>0</v>
      </c>
      <c r="K163" s="109" t="str">
        <f t="shared" si="53"/>
        <v>4029/4030</v>
      </c>
      <c r="L163" s="22" t="str">
        <f>VLOOKUP(A163,'Trips&amp;Operators'!$C$1:$E$10000,3,FALSE)</f>
        <v>CHANDLER</v>
      </c>
      <c r="M163" s="6">
        <f t="shared" si="54"/>
        <v>2.7465277780720498E-2</v>
      </c>
      <c r="N163" s="7">
        <f t="shared" si="55"/>
        <v>39.550000004237518</v>
      </c>
      <c r="O163" s="7"/>
      <c r="P163" s="7"/>
      <c r="Q163" s="23"/>
      <c r="R163" s="23"/>
      <c r="S163" s="35">
        <f t="shared" si="56"/>
        <v>1</v>
      </c>
      <c r="T163" s="50" t="str">
        <f t="shared" si="57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21:52:05-700',mode:absolute,to:'2016-11-15 00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 t="shared" si="59"/>
        <v>N</v>
      </c>
      <c r="X163" s="177">
        <f t="shared" si="60"/>
        <v>1</v>
      </c>
      <c r="Y163" s="67">
        <f t="shared" si="61"/>
        <v>23.297000000000001</v>
      </c>
      <c r="Z163" s="67">
        <f t="shared" si="62"/>
        <v>1.5599999999999999E-2</v>
      </c>
      <c r="AA163" s="67">
        <f t="shared" si="63"/>
        <v>23.281400000000001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4"/>
        <v>0234-14</v>
      </c>
      <c r="AE163" s="91" t="str">
        <f t="shared" si="65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163" s="88" t="str">
        <f t="shared" si="66"/>
        <v>"C:\Program Files (x86)\AstroGrep\AstroGrep.exe" /spath="%USERPROFILE%\AppData\Local\Temp\OnboardLogs" /stypes="app*4030*20161115*" /stext=" 06:.+((SYSTEM_STATE.+slice.+state.+changed )|(ment ac)|(system.+state.+changed )|(\[timeout)|(PRM\|1\|D)|(kpr)|(kdp)|(\|lc)|(penalty))" /e /r /s</v>
      </c>
      <c r="AG163" s="1" t="str">
        <f t="shared" si="67"/>
        <v>EC</v>
      </c>
      <c r="AH163" s="92" t="str">
        <f t="shared" si="68"/>
        <v>"%USERPROFILE%\Documents\GitHub\eaglep3\Utilities\RefineRTDCRunTimes.py" --tripid 234-14 --locoid 4030 --swversion DE.1.0.8.0 --startMP 204:232970 --initTime 2016-11-14T22:52:05 --startdatetime 2016-11-14T22:56:28 --delay 1 --endMP 204:156 --enddatetime 2016-11-14T23:36:01 --enforcementcount 0 &gt;&gt;C:\Users\stu\Documents\GitHub\eaglep3-reporting\EC\2016-11-14-refined-times.txt</v>
      </c>
      <c r="AI163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{"issue":{"subject":"","project_id":79,"tracker_id":40,"status_id":1,"priority_id":2,"assigned_to_id":23,"start_date":"2016-11-14","description":"","custom_fields":[{"id":1,"name":"Subdivision","value":"EC"},{"id":4,"name":"Milepost","value":"0.0156"},{"id":17,"name":"Train ID","value":"234-14"},{"id":16,"name":"Locomotive ID","value":"4030"},{"id":130,"name":"Impact","value":""},{"id":150,"name":"Time of Event (Mountain Time)","value":"23:36:01"},{"id":151,"name":"Denver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608</v>
      </c>
      <c r="B164" s="7">
        <v>4009</v>
      </c>
      <c r="C164" s="22" t="s">
        <v>224</v>
      </c>
      <c r="D164" s="22" t="s">
        <v>223</v>
      </c>
      <c r="E164" s="13">
        <v>42688.922824074078</v>
      </c>
      <c r="F164" s="13">
        <v>42688.938020833331</v>
      </c>
      <c r="G164" s="7">
        <v>3</v>
      </c>
      <c r="H164" s="22" t="s">
        <v>242</v>
      </c>
      <c r="I164" s="13">
        <v>42688.962037037039</v>
      </c>
      <c r="J164" s="7">
        <v>0</v>
      </c>
      <c r="K164" s="109" t="str">
        <f t="shared" si="53"/>
        <v>4009/4010</v>
      </c>
      <c r="L164" s="22" t="str">
        <f>VLOOKUP(A164,'Trips&amp;Operators'!$C$1:$E$10000,3,FALSE)</f>
        <v>YANAI</v>
      </c>
      <c r="M164" s="6">
        <f t="shared" si="54"/>
        <v>2.4016203708015382E-2</v>
      </c>
      <c r="N164" s="7">
        <f t="shared" si="55"/>
        <v>34.58333333954215</v>
      </c>
      <c r="O164" s="7"/>
      <c r="P164" s="7"/>
      <c r="Q164" s="23"/>
      <c r="R164" s="23"/>
      <c r="S164" s="35">
        <f t="shared" si="56"/>
        <v>1</v>
      </c>
      <c r="T164" s="50" t="str">
        <f t="shared" si="57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21:08:52-700',mode:absolute,to:'2016-11-15 00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4" s="52" t="str">
        <f t="shared" si="59"/>
        <v>N</v>
      </c>
      <c r="X164" s="177">
        <f t="shared" si="60"/>
        <v>1</v>
      </c>
      <c r="Y164" s="67">
        <f t="shared" si="61"/>
        <v>4.6399999999999997E-2</v>
      </c>
      <c r="Z164" s="67">
        <f t="shared" si="62"/>
        <v>23.3306</v>
      </c>
      <c r="AA164" s="67">
        <f t="shared" si="63"/>
        <v>23.284200000000002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4"/>
        <v>0235-14</v>
      </c>
      <c r="AE164" s="91" t="str">
        <f t="shared" si="65"/>
        <v>aws s3 cp s3://rtdc.mdm.uploadarchive.raw/RTDC4009/ "%USERPROFILE%\AppData\Local\Temp\OnboardLogs"\RTDC4009\2016-11-14 --exclude "*" --recursive --include "*20161114*" &amp; "%USERPROFILE%\Documents\GitHub\mrs-test-scripts\Headless Mode &amp; Sideloading\WalkAndUnGZ.bat" "%USERPROFILE%\AppData\Local\Temp\OnboardLogs"\RTDC4009\2016-11-14 &amp; 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</v>
      </c>
      <c r="AF164" s="88" t="str">
        <f t="shared" si="66"/>
        <v>"C:\Program Files (x86)\AstroGrep\AstroGrep.exe" /spath="%USERPROFILE%\AppData\Local\Temp\OnboardLogs" /stypes="app*4009*20161115*" /stext=" 06:.+((SYSTEM_STATE.+slice.+state.+changed )|(ment ac)|(system.+state.+changed )|(\[timeout)|(PRM\|1\|D)|(kpr)|(kdp)|(\|lc)|(penalty))" /e /r /s</v>
      </c>
      <c r="AG164" s="1" t="str">
        <f t="shared" si="67"/>
        <v>EC</v>
      </c>
      <c r="AH164" s="92" t="str">
        <f t="shared" si="68"/>
        <v>"%USERPROFILE%\Documents\GitHub\eaglep3\Utilities\RefineRTDCRunTimes.py" --tripid 235-14 --locoid 4009 --swversion DE.1.0.8.0 --startMP 204:464 --initTime 2016-11-14T22:08:52 --startdatetime 2016-11-14T22:30:45 --delay 3 --endMP 204:233306 --enddatetime 2016-11-14T23:05:20 --enforcementcount 0 &gt;&gt;C:\Users\stu\Documents\GitHub\eaglep3-reporting\EC\2016-11-14-refined-times.txt</v>
      </c>
      <c r="AI164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{"issue":{"subject":"","project_id":79,"tracker_id":40,"status_id":1,"priority_id":2,"assigned_to_id":23,"start_date":"2016-11-14","description":"","custom_fields":[{"id":1,"name":"Subdivision","value":"EC"},{"id":4,"name":"Milepost","value":"23.3306"},{"id":17,"name":"Train ID","value":"235-14"},{"id":16,"name":"Locomotive ID","value":"4009"},{"id":130,"name":"Impact","value":""},{"id":150,"name":"Time of Event (Mountain Time)","value":"23:05:20"},{"id":151,"name":"Denver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437</v>
      </c>
      <c r="B165" s="7">
        <v>4010</v>
      </c>
      <c r="C165" s="22" t="s">
        <v>224</v>
      </c>
      <c r="D165" s="22" t="s">
        <v>266</v>
      </c>
      <c r="E165" s="13">
        <v>42688.963495370372</v>
      </c>
      <c r="F165" s="13">
        <v>42688.976550925923</v>
      </c>
      <c r="G165" s="7">
        <v>1</v>
      </c>
      <c r="H165" s="22" t="s">
        <v>715</v>
      </c>
      <c r="I165" s="13">
        <v>42689.001944444448</v>
      </c>
      <c r="J165" s="7">
        <v>0</v>
      </c>
      <c r="K165" s="109" t="str">
        <f t="shared" si="53"/>
        <v>4009/4010</v>
      </c>
      <c r="L165" s="22" t="str">
        <f>VLOOKUP(A165,'Trips&amp;Operators'!$C$1:$E$10000,3,FALSE)</f>
        <v>YANAI</v>
      </c>
      <c r="M165" s="6">
        <f t="shared" si="54"/>
        <v>2.5393518524651881E-2</v>
      </c>
      <c r="N165" s="7">
        <f t="shared" si="55"/>
        <v>36.566666675498709</v>
      </c>
      <c r="O165" s="7"/>
      <c r="P165" s="7"/>
      <c r="Q165" s="23"/>
      <c r="R165" s="23"/>
      <c r="S165" s="35">
        <f t="shared" si="56"/>
        <v>1</v>
      </c>
      <c r="T165" s="50" t="str">
        <f t="shared" si="57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22:07:26-700',mode:absolute,to:'2016-11-15 01:02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5" s="52" t="str">
        <f t="shared" si="59"/>
        <v>N</v>
      </c>
      <c r="X165" s="177">
        <f t="shared" si="60"/>
        <v>1</v>
      </c>
      <c r="Y165" s="67">
        <f t="shared" si="61"/>
        <v>23.298100000000002</v>
      </c>
      <c r="Z165" s="67">
        <f t="shared" si="62"/>
        <v>1.78E-2</v>
      </c>
      <c r="AA165" s="67">
        <f t="shared" si="63"/>
        <v>23.2803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4"/>
        <v>0236-14</v>
      </c>
      <c r="AE165" s="91" t="str">
        <f t="shared" si="65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165" s="88" t="str">
        <f t="shared" si="66"/>
        <v>"C:\Program Files (x86)\AstroGrep\AstroGrep.exe" /spath="%USERPROFILE%\AppData\Local\Temp\OnboardLogs" /stypes="app*4010*20161115*" /stext=" 07:.+((SYSTEM_STATE.+slice.+state.+changed )|(ment ac)|(system.+state.+changed )|(\[timeout)|(PRM\|1\|D)|(kpr)|(kdp)|(\|lc)|(penalty))" /e /r /s</v>
      </c>
      <c r="AG165" s="1" t="str">
        <f t="shared" si="67"/>
        <v>EC</v>
      </c>
      <c r="AH165" s="92" t="str">
        <f t="shared" si="68"/>
        <v>"%USERPROFILE%\Documents\GitHub\eaglep3\Utilities\RefineRTDCRunTimes.py" --tripid 236-14 --locoid 4010 --swversion DE.1.0.8.0 --startMP 204:232981 --initTime 2016-11-14T23:07:26 --startdatetime 2016-11-14T23:26:14 --delay 1 --endMP 204:178 --enddatetime 2016-11-15T00:02:48 --enforcementcount 0 &gt;&gt;C:\Users\stu\Documents\GitHub\eaglep3-reporting\EC\2016-11-14-refined-times.txt</v>
      </c>
      <c r="AI165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{"issue":{"subject":"","project_id":79,"tracker_id":40,"status_id":1,"priority_id":2,"assigned_to_id":23,"start_date":"2016-11-15","description":"","custom_fields":[{"id":1,"name":"Subdivision","value":"EC"},{"id":4,"name":"Milepost","value":"0.0178"},{"id":17,"name":"Train ID","value":"236-14"},{"id":16,"name":"Locomotive ID","value":"4010"},{"id":130,"name":"Impact","value":""},{"id":150,"name":"Time of Event (Mountain Time)","value":"00:02:48"},{"id":151,"name":"Denver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613</v>
      </c>
      <c r="B166" s="7">
        <v>4046</v>
      </c>
      <c r="C166" s="22" t="s">
        <v>224</v>
      </c>
      <c r="D166" s="22" t="s">
        <v>203</v>
      </c>
      <c r="E166" s="13">
        <v>42688.955046296294</v>
      </c>
      <c r="F166" s="13">
        <v>42688.958634259259</v>
      </c>
      <c r="G166" s="7">
        <v>1</v>
      </c>
      <c r="H166" s="22" t="s">
        <v>258</v>
      </c>
      <c r="I166" s="13">
        <v>42688.983356481483</v>
      </c>
      <c r="J166" s="7">
        <v>0</v>
      </c>
      <c r="K166" s="109" t="str">
        <f t="shared" si="53"/>
        <v>4045/4046</v>
      </c>
      <c r="L166" s="22" t="str">
        <f>VLOOKUP(A166,'Trips&amp;Operators'!$C$1:$E$10000,3,FALSE)</f>
        <v>NELSON</v>
      </c>
      <c r="M166" s="6">
        <f t="shared" si="54"/>
        <v>2.4722222224227153E-2</v>
      </c>
      <c r="N166" s="7">
        <f t="shared" si="55"/>
        <v>35.6000000028871</v>
      </c>
      <c r="O166" s="7"/>
      <c r="P166" s="7"/>
      <c r="Q166" s="23"/>
      <c r="R166" s="23"/>
      <c r="S166" s="35">
        <f t="shared" si="56"/>
        <v>1</v>
      </c>
      <c r="T166" s="50" t="str">
        <f t="shared" si="5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21:55:16-700',mode:absolute,to:'2016-11-15 00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59"/>
        <v>N</v>
      </c>
      <c r="X166" s="177">
        <f t="shared" si="60"/>
        <v>1</v>
      </c>
      <c r="Y166" s="67">
        <f t="shared" si="61"/>
        <v>4.5999999999999999E-2</v>
      </c>
      <c r="Z166" s="67">
        <f t="shared" si="62"/>
        <v>23.3293</v>
      </c>
      <c r="AA166" s="67">
        <f t="shared" si="63"/>
        <v>23.283300000000001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4"/>
        <v>0237-14</v>
      </c>
      <c r="AE166" s="91" t="str">
        <f t="shared" si="65"/>
        <v>aws s3 cp s3://rtdc.mdm.uploadarchive.raw/RTDC4046/ "%USERPROFILE%\AppData\Local\Temp\OnboardLogs"\RTDC4046\2016-11-14 --exclude "*" --recursive --include "*20161114*" &amp; "%USERPROFILE%\Documents\GitHub\mrs-test-scripts\Headless Mode &amp; Sideloading\WalkAndUnGZ.bat" "%USERPROFILE%\AppData\Local\Temp\OnboardLogs"\RTDC4046\2016-11-14 &amp; 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</v>
      </c>
      <c r="AF166" s="88" t="str">
        <f t="shared" si="66"/>
        <v>"C:\Program Files (x86)\AstroGrep\AstroGrep.exe" /spath="%USERPROFILE%\AppData\Local\Temp\OnboardLogs" /stypes="app*4046*20161115*" /stext=" 06:.+((SYSTEM_STATE.+slice.+state.+changed )|(ment ac)|(system.+state.+changed )|(\[timeout)|(PRM\|1\|D)|(kpr)|(kdp)|(\|lc)|(penalty))" /e /r /s</v>
      </c>
      <c r="AG166" s="1" t="str">
        <f t="shared" si="67"/>
        <v>EC</v>
      </c>
      <c r="AH166" s="92" t="str">
        <f t="shared" si="68"/>
        <v>"%USERPROFILE%\Documents\GitHub\eaglep3\Utilities\RefineRTDCRunTimes.py" --tripid 237-14 --locoid 4046 --swversion DE.1.0.8.0 --startMP 204:460 --initTime 2016-11-14T22:55:16 --startdatetime 2016-11-14T23:00:26 --delay 1 --endMP 204:233293 --enddatetime 2016-11-14T23:36:02 --enforcementcount 0 &gt;&gt;C:\Users\stu\Documents\GitHub\eaglep3-reporting\EC\2016-11-14-refined-times.txt</v>
      </c>
      <c r="AI166" s="119" t="str">
        <f t="shared" si="69"/>
        <v>echo {"issue":{"subject":"","project_id":79,"tracker_id":40,"status_id":1,"priority_id":2,"assigned_to_id":23,"start_date":"2016-11-14","description":"","custom_fields":[{"id":1,"name":"Subdivision","value":"EC"},{"id":4,"name":"Milepost","value":"23.3293"},{"id":17,"name":"Train ID","value":"237-14"},{"id":16,"name":"Locomotive ID","value":"4046"},{"id":130,"name":"Impact","value":""},{"id":150,"name":"Time of Event (Mountain Time)","value":"23:36:02"},{"id":151,"name":"Denver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615</v>
      </c>
      <c r="B167" s="7">
        <v>4045</v>
      </c>
      <c r="C167" s="22" t="s">
        <v>224</v>
      </c>
      <c r="D167" s="22" t="s">
        <v>213</v>
      </c>
      <c r="E167" s="13">
        <v>42688.989849537036</v>
      </c>
      <c r="F167" s="13">
        <v>42688.99763888889</v>
      </c>
      <c r="G167" s="7">
        <v>1</v>
      </c>
      <c r="H167" s="22" t="s">
        <v>246</v>
      </c>
      <c r="I167" s="13">
        <v>42689.023946759262</v>
      </c>
      <c r="J167" s="7">
        <v>0</v>
      </c>
      <c r="K167" s="109" t="str">
        <f t="shared" si="53"/>
        <v>4045/4046</v>
      </c>
      <c r="L167" s="22" t="str">
        <f>VLOOKUP(A167,'Trips&amp;Operators'!$C$1:$E$10000,3,FALSE)</f>
        <v>NELSON</v>
      </c>
      <c r="M167" s="6">
        <f t="shared" si="54"/>
        <v>2.6307870371965691E-2</v>
      </c>
      <c r="N167" s="7">
        <f t="shared" si="55"/>
        <v>37.883333335630596</v>
      </c>
      <c r="O167" s="7"/>
      <c r="P167" s="7"/>
      <c r="Q167" s="23"/>
      <c r="R167" s="23"/>
      <c r="S167" s="35">
        <f t="shared" si="56"/>
        <v>1</v>
      </c>
      <c r="T167" s="50" t="str">
        <f t="shared" si="57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22:45:23-700',mode:absolute,to:'2016-11-15 01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59"/>
        <v>N</v>
      </c>
      <c r="X167" s="177">
        <f t="shared" si="60"/>
        <v>1</v>
      </c>
      <c r="Y167" s="67">
        <f t="shared" si="61"/>
        <v>23.297699999999999</v>
      </c>
      <c r="Z167" s="67">
        <f t="shared" si="62"/>
        <v>1.6E-2</v>
      </c>
      <c r="AA167" s="67">
        <f t="shared" si="63"/>
        <v>23.281700000000001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4"/>
        <v>0238-14</v>
      </c>
      <c r="AE167" s="91" t="str">
        <f t="shared" si="65"/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AF167" s="88" t="str">
        <f t="shared" si="66"/>
        <v>"C:\Program Files (x86)\AstroGrep\AstroGrep.exe" /spath="%USERPROFILE%\AppData\Local\Temp\OnboardLogs" /stypes="app*4045*20161115*" /stext=" 07:.+((SYSTEM_STATE.+slice.+state.+changed )|(ment ac)|(system.+state.+changed )|(\[timeout)|(PRM\|1\|D)|(kpr)|(kdp)|(\|lc)|(penalty))" /e /r /s</v>
      </c>
      <c r="AG167" s="1" t="str">
        <f t="shared" si="67"/>
        <v>EC</v>
      </c>
      <c r="AH167" s="92" t="str">
        <f t="shared" si="68"/>
        <v>"%USERPROFILE%\Documents\GitHub\eaglep3\Utilities\RefineRTDCRunTimes.py" --tripid 238-14 --locoid 4045 --swversion DE.1.0.8.0 --startMP 204:232977 --initTime 2016-11-14T23:45:23 --startdatetime 2016-11-14T23:56:36 --delay 1 --endMP 204:160 --enddatetime 2016-11-15T00:34:29 --enforcementcount 0 &gt;&gt;C:\Users\stu\Documents\GitHub\eaglep3-reporting\EC\2016-11-14-refined-times.txt</v>
      </c>
      <c r="AI167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ID","value":"238-14"},{"id":16,"name":"Locomotive ID","value":"4045"},{"id":130,"name":"Impact","value":""},{"id":150,"name":"Time of Event (Mountain Time)","value":"00:34:29"},{"id":151,"name":"Denver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614</v>
      </c>
      <c r="B168" s="7">
        <v>4053</v>
      </c>
      <c r="C168" s="22" t="s">
        <v>224</v>
      </c>
      <c r="D168" s="22" t="s">
        <v>312</v>
      </c>
      <c r="E168" s="13">
        <v>42688.966053240743</v>
      </c>
      <c r="F168" s="13">
        <v>42688.979629629626</v>
      </c>
      <c r="G168" s="7">
        <v>1</v>
      </c>
      <c r="H168" s="22" t="s">
        <v>238</v>
      </c>
      <c r="I168" s="13">
        <v>42689.003657407404</v>
      </c>
      <c r="J168" s="7">
        <v>0</v>
      </c>
      <c r="K168" s="109" t="str">
        <f t="shared" si="53"/>
        <v>4053/4054</v>
      </c>
      <c r="L168" s="22" t="str">
        <f>VLOOKUP(A168,'Trips&amp;Operators'!$C$1:$E$10000,3,FALSE)</f>
        <v>NEWELL</v>
      </c>
      <c r="M168" s="6">
        <f t="shared" si="54"/>
        <v>2.4027777777519077E-2</v>
      </c>
      <c r="N168" s="7">
        <f t="shared" si="55"/>
        <v>34.599999999627471</v>
      </c>
      <c r="O168" s="7"/>
      <c r="P168" s="7"/>
      <c r="Q168" s="23"/>
      <c r="R168" s="23"/>
      <c r="S168" s="35">
        <f t="shared" si="56"/>
        <v>1</v>
      </c>
      <c r="T168" s="50" t="str">
        <f t="shared" si="57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12</v>
      </c>
      <c r="V16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22:11:07-700',mode:absolute,to:'2016-11-15 01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8" s="52" t="str">
        <f t="shared" si="59"/>
        <v>N</v>
      </c>
      <c r="X168" s="177">
        <f t="shared" si="60"/>
        <v>1</v>
      </c>
      <c r="Y168" s="67">
        <f t="shared" si="61"/>
        <v>4.6600000000000003E-2</v>
      </c>
      <c r="Z168" s="67">
        <f t="shared" si="62"/>
        <v>23.331199999999999</v>
      </c>
      <c r="AA168" s="67">
        <f t="shared" si="63"/>
        <v>23.284599999999998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4"/>
        <v>0239-14</v>
      </c>
      <c r="AE168" s="91" t="str">
        <f t="shared" si="65"/>
        <v>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 &amp; 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</v>
      </c>
      <c r="AF168" s="88" t="str">
        <f t="shared" si="66"/>
        <v>"C:\Program Files (x86)\AstroGrep\AstroGrep.exe" /spath="%USERPROFILE%\AppData\Local\Temp\OnboardLogs" /stypes="app*4053*20161115*" /stext=" 07:.+((SYSTEM_STATE.+slice.+state.+changed )|(ment ac)|(system.+state.+changed )|(\[timeout)|(PRM\|1\|D)|(kpr)|(kdp)|(\|lc)|(penalty))" /e /r /s</v>
      </c>
      <c r="AG168" s="1" t="str">
        <f t="shared" si="67"/>
        <v>EC</v>
      </c>
      <c r="AH168" s="92" t="str">
        <f t="shared" si="68"/>
        <v>"%USERPROFILE%\Documents\GitHub\eaglep3\Utilities\RefineRTDCRunTimes.py" --tripid 239-14 --locoid 4053 --swversion DE.1.0.8.0 --startMP 204:466 --initTime 2016-11-14T23:11:07 --startdatetime 2016-11-14T23:30:40 --delay 1 --endMP 204:233312 --enddatetime 2016-11-15T00:05:16 --enforcementcount 0 &gt;&gt;C:\Users\stu\Documents\GitHub\eaglep3-reporting\EC\2016-11-14-refined-times.txt</v>
      </c>
      <c r="AI168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{"issue":{"subject":"","project_id":79,"tracker_id":40,"status_id":1,"priority_id":2,"assigned_to_id":23,"start_date":"2016-11-15","description":"","custom_fields":[{"id":1,"name":"Subdivision","value":"EC"},{"id":4,"name":"Milepost","value":"23.3312"},{"id":17,"name":"Train ID","value":"239-14"},{"id":16,"name":"Locomotive ID","value":"4053"},{"id":130,"name":"Impact","value":""},{"id":150,"name":"Time of Event (Mountain Time)","value":"00:05:16"},{"id":151,"name":"Denver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618</v>
      </c>
      <c r="B169" s="7">
        <v>4054</v>
      </c>
      <c r="C169" s="22" t="s">
        <v>224</v>
      </c>
      <c r="D169" s="22" t="s">
        <v>716</v>
      </c>
      <c r="E169" s="13">
        <v>42689.039479166669</v>
      </c>
      <c r="F169" s="13">
        <v>42689.040243055555</v>
      </c>
      <c r="G169" s="7">
        <v>1</v>
      </c>
      <c r="H169" s="22" t="s">
        <v>348</v>
      </c>
      <c r="I169" s="13">
        <v>42689.056354166663</v>
      </c>
      <c r="J169" s="7">
        <v>0</v>
      </c>
      <c r="K169" s="109" t="str">
        <f t="shared" si="53"/>
        <v>4053/4054</v>
      </c>
      <c r="L169" s="22" t="str">
        <f>VLOOKUP(A169,'Trips&amp;Operators'!$C$1:$E$10000,3,FALSE)</f>
        <v>NEWELL</v>
      </c>
      <c r="M169" s="6">
        <f t="shared" si="54"/>
        <v>1.6111111108330078E-2</v>
      </c>
      <c r="N169" s="7"/>
      <c r="O169" s="7"/>
      <c r="P169" s="7">
        <f>24*60*SUM($M169:$M170)</f>
        <v>53.033333325292915</v>
      </c>
      <c r="Q169" s="23"/>
      <c r="R169" s="23" t="s">
        <v>823</v>
      </c>
      <c r="S169" s="35">
        <f t="shared" si="56"/>
        <v>1</v>
      </c>
      <c r="T169" s="50" t="str">
        <f t="shared" si="57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12</v>
      </c>
      <c r="V16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23:56:51-700',mode:absolute,to:'2016-11-15 02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9" s="52" t="str">
        <f t="shared" si="59"/>
        <v>Y</v>
      </c>
      <c r="X169" s="177">
        <f t="shared" si="60"/>
        <v>1</v>
      </c>
      <c r="Y169" s="67">
        <f t="shared" si="61"/>
        <v>12.786</v>
      </c>
      <c r="Z169" s="67">
        <f t="shared" si="62"/>
        <v>1.6899999999999998E-2</v>
      </c>
      <c r="AA169" s="67">
        <f t="shared" si="63"/>
        <v>12.7691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4"/>
        <v>0240-14</v>
      </c>
      <c r="AE169" s="91" t="str">
        <f t="shared" si="65"/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AF169" s="88" t="str">
        <f t="shared" si="66"/>
        <v>"C:\Program Files (x86)\AstroGrep\AstroGrep.exe" /spath="%USERPROFILE%\AppData\Local\Temp\OnboardLogs" /stypes="app*4054*20161115*" /stext=" 08:.+((SYSTEM_STATE.+slice.+state.+changed )|(ment ac)|(system.+state.+changed )|(\[timeout)|(PRM\|1\|D)|(kpr)|(kdp)|(\|lc)|(penalty))" /e /r /s</v>
      </c>
      <c r="AG169" s="1" t="str">
        <f t="shared" si="67"/>
        <v>EC</v>
      </c>
      <c r="AH169" s="92" t="str">
        <f t="shared" si="68"/>
        <v>"%USERPROFILE%\Documents\GitHub\eaglep3\Utilities\RefineRTDCRunTimes.py" --tripid 240-14 --locoid 4054 --swversion DE.1.0.8.0 --startMP 204:127860 --initTime 2016-11-15T00:56:51 --startdatetime 2016-11-15T00:57:57 --delay 1 --endMP 204:169 --enddatetime 2016-11-15T01:21:09 --enforcementcount 0 &gt;&gt;C:\Users\stu\Documents\GitHub\eaglep3-reporting\EC\2016-11-14-refined-times.txt</v>
      </c>
      <c r="AI169" s="119" t="str">
        <f t="shared" si="69"/>
        <v>echo {"issue":{"subject":"Cut out due to Work Zone Bulletins","project_id":79,"tracker_id":40,"status_id":1,"priority_id":2,"assigned_to_id":23,"start_date":"2016-11-15","description":"","custom_fields":[{"id":1,"name":"Subdivision","value":"EC"},{"id":4,"name":"Milepost","value":"0.0169"},{"id":17,"name":"Train ID","value":"240-14"},{"id":16,"name":"Locomotive ID","value":"4054"},{"id":130,"name":"Impact","value":""},{"id":150,"name":"Time of Event (Mountain Time)","value":"01:21:09"},{"id":151,"name":"Denver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618</v>
      </c>
      <c r="B170" s="7">
        <v>4054</v>
      </c>
      <c r="C170" s="22" t="s">
        <v>224</v>
      </c>
      <c r="D170" s="22" t="s">
        <v>283</v>
      </c>
      <c r="E170" s="13">
        <v>42689.015601851854</v>
      </c>
      <c r="F170" s="13">
        <v>42689.016412037039</v>
      </c>
      <c r="G170" s="7">
        <v>1</v>
      </c>
      <c r="H170" s="22" t="s">
        <v>717</v>
      </c>
      <c r="I170" s="13">
        <v>42689.037129629629</v>
      </c>
      <c r="J170" s="7">
        <v>0</v>
      </c>
      <c r="K170" s="109" t="str">
        <f t="shared" si="53"/>
        <v>4053/4054</v>
      </c>
      <c r="L170" s="22" t="str">
        <f>VLOOKUP(A170,'Trips&amp;Operators'!$C$1:$E$10000,3,FALSE)</f>
        <v>NEWELL</v>
      </c>
      <c r="M170" s="6">
        <f t="shared" si="54"/>
        <v>2.0717592589790002E-2</v>
      </c>
      <c r="N170" s="7"/>
      <c r="O170" s="7"/>
      <c r="P170" s="7"/>
      <c r="Q170" s="23"/>
      <c r="R170" s="23"/>
      <c r="S170" s="35"/>
      <c r="T170" s="50" t="str">
        <f t="shared" si="57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23:22:28-700',mode:absolute,to:'2016-11-15 01:53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0" s="52" t="str">
        <f t="shared" si="59"/>
        <v>Y</v>
      </c>
      <c r="X170" s="177">
        <f t="shared" si="60"/>
        <v>0</v>
      </c>
      <c r="Y170" s="67">
        <f t="shared" si="61"/>
        <v>23.299600000000002</v>
      </c>
      <c r="Z170" s="67">
        <f t="shared" si="62"/>
        <v>15.4024</v>
      </c>
      <c r="AA170" s="67">
        <f t="shared" si="63"/>
        <v>7.8972000000000016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4"/>
        <v>0240-14</v>
      </c>
      <c r="AE170" s="91" t="str">
        <f t="shared" si="65"/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AF170" s="88" t="str">
        <f t="shared" si="66"/>
        <v>"C:\Program Files (x86)\AstroGrep\AstroGrep.exe" /spath="%USERPROFILE%\AppData\Local\Temp\OnboardLogs" /stypes="app*4054*20161115*" /stext=" 07:.+((SYSTEM_STATE.+slice.+state.+changed )|(ment ac)|(system.+state.+changed )|(\[timeout)|(PRM\|1\|D)|(kpr)|(kdp)|(\|lc)|(penalty))" /e /r /s</v>
      </c>
      <c r="AG170" s="1" t="str">
        <f t="shared" si="67"/>
        <v>EC</v>
      </c>
      <c r="AH170" s="92" t="str">
        <f t="shared" si="68"/>
        <v>"%USERPROFILE%\Documents\GitHub\eaglep3\Utilities\RefineRTDCRunTimes.py" --tripid 240-14 --locoid 4054 --swversion DE.1.0.8.0 --startMP 204:232996 --initTime 2016-11-15T00:22:28 --startdatetime 2016-11-15T00:23:38 --delay 1 --endMP 204:154024 --enddatetime 2016-11-15T00:53:28 --enforcementcount 0 &gt;&gt;C:\Users\stu\Documents\GitHub\eaglep3-reporting\EC\2016-11-14-refined-times.txt</v>
      </c>
      <c r="AI170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{"issue":{"subject":"","project_id":79,"tracker_id":40,"status_id":1,"priority_id":2,"assigned_to_id":23,"start_date":"2016-11-15","description":"","custom_fields":[{"id":1,"name":"Subdivision","value":"EC"},{"id":4,"name":"Milepost","value":"15.4024"},{"id":17,"name":"Train ID","value":"240-14"},{"id":16,"name":"Locomotive ID","value":"4054"},{"id":130,"name":"Impact","value":""},{"id":150,"name":"Time of Event (Mountain Time)","value":"00:53:28"},{"id":151,"name":"Denver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616</v>
      </c>
      <c r="B171" s="7">
        <v>4029</v>
      </c>
      <c r="C171" s="22" t="s">
        <v>224</v>
      </c>
      <c r="D171" s="22" t="s">
        <v>203</v>
      </c>
      <c r="E171" s="13">
        <v>42688.996435185189</v>
      </c>
      <c r="F171" s="13">
        <v>42689.000231481485</v>
      </c>
      <c r="G171" s="7">
        <v>1</v>
      </c>
      <c r="H171" s="22" t="s">
        <v>718</v>
      </c>
      <c r="I171" s="13">
        <v>42689.035057870373</v>
      </c>
      <c r="J171" s="7">
        <v>0</v>
      </c>
      <c r="K171" s="109" t="str">
        <f t="shared" si="53"/>
        <v>4029/4030</v>
      </c>
      <c r="L171" s="22" t="str">
        <f>VLOOKUP(A171,'Trips&amp;Operators'!$C$1:$E$10000,3,FALSE)</f>
        <v>CHANDLER</v>
      </c>
      <c r="M171" s="6">
        <f t="shared" si="54"/>
        <v>3.4826388888177462E-2</v>
      </c>
      <c r="N171" s="7">
        <f t="shared" si="55"/>
        <v>50.149999998975545</v>
      </c>
      <c r="O171" s="7"/>
      <c r="P171" s="7"/>
      <c r="Q171" s="23"/>
      <c r="R171" s="23"/>
      <c r="S171" s="35">
        <f t="shared" si="56"/>
        <v>1</v>
      </c>
      <c r="T171" s="50" t="str">
        <f t="shared" si="57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12</v>
      </c>
      <c r="V17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22:54:52-700',mode:absolute,to:'2016-11-15 01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1" s="52" t="str">
        <f t="shared" si="59"/>
        <v>N</v>
      </c>
      <c r="X171" s="177">
        <f t="shared" si="60"/>
        <v>1</v>
      </c>
      <c r="Y171" s="67">
        <f t="shared" si="61"/>
        <v>4.5999999999999999E-2</v>
      </c>
      <c r="Z171" s="67">
        <f t="shared" si="62"/>
        <v>23.3263</v>
      </c>
      <c r="AA171" s="67">
        <f t="shared" si="63"/>
        <v>23.2803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4"/>
        <v>0241-14</v>
      </c>
      <c r="AE171" s="91" t="str">
        <f t="shared" si="65"/>
        <v>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 &amp; 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</v>
      </c>
      <c r="AF171" s="88" t="str">
        <f t="shared" si="66"/>
        <v>"C:\Program Files (x86)\AstroGrep\AstroGrep.exe" /spath="%USERPROFILE%\AppData\Local\Temp\OnboardLogs" /stypes="app*4029*20161115*" /stext=" 07:.+((SYSTEM_STATE.+slice.+state.+changed )|(ment ac)|(system.+state.+changed )|(\[timeout)|(PRM\|1\|D)|(kpr)|(kdp)|(\|lc)|(penalty))" /e /r /s</v>
      </c>
      <c r="AG171" s="1" t="str">
        <f t="shared" si="67"/>
        <v>EC</v>
      </c>
      <c r="AH171" s="92" t="str">
        <f t="shared" si="68"/>
        <v>"%USERPROFILE%\Documents\GitHub\eaglep3\Utilities\RefineRTDCRunTimes.py" --tripid 241-14 --locoid 4029 --swversion DE.1.0.8.0 --startMP 204:460 --initTime 2016-11-14T23:54:52 --startdatetime 2016-11-15T00:00:20 --delay 1 --endMP 204:233263 --enddatetime 2016-11-15T00:50:29 --enforcementcount 0 &gt;&gt;C:\Users\stu\Documents\GitHub\eaglep3-reporting\EC\2016-11-14-refined-times.txt</v>
      </c>
      <c r="AI171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{"issue":{"subject":"","project_id":79,"tracker_id":40,"status_id":1,"priority_id":2,"assigned_to_id":23,"start_date":"2016-11-15","description":"","custom_fields":[{"id":1,"name":"Subdivision","value":"EC"},{"id":4,"name":"Milepost","value":"23.3263"},{"id":17,"name":"Train ID","value":"241-14"},{"id":16,"name":"Locomotive ID","value":"4029"},{"id":130,"name":"Impact","value":""},{"id":150,"name":"Time of Event (Mountain Time)","value":"00:50:29"},{"id":151,"name":"Denver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620</v>
      </c>
      <c r="B172" s="7">
        <v>4030</v>
      </c>
      <c r="C172" s="22" t="s">
        <v>224</v>
      </c>
      <c r="D172" s="22" t="s">
        <v>315</v>
      </c>
      <c r="E172" s="13">
        <v>42689.037083333336</v>
      </c>
      <c r="F172" s="13">
        <v>42689.040520833332</v>
      </c>
      <c r="G172" s="7">
        <v>1</v>
      </c>
      <c r="H172" s="22" t="s">
        <v>327</v>
      </c>
      <c r="I172" s="13">
        <v>42689.07471064815</v>
      </c>
      <c r="J172" s="7">
        <v>0</v>
      </c>
      <c r="K172" s="109" t="str">
        <f t="shared" si="53"/>
        <v>4029/4030</v>
      </c>
      <c r="L172" s="22" t="str">
        <f>VLOOKUP(A172,'Trips&amp;Operators'!$C$1:$E$10000,3,FALSE)</f>
        <v>CHANDLER</v>
      </c>
      <c r="M172" s="6">
        <f t="shared" si="54"/>
        <v>3.4189814818091691E-2</v>
      </c>
      <c r="N172" s="7">
        <f t="shared" si="55"/>
        <v>49.233333338052034</v>
      </c>
      <c r="O172" s="7"/>
      <c r="P172" s="7"/>
      <c r="Q172" s="23"/>
      <c r="R172" s="23"/>
      <c r="S172" s="35">
        <f t="shared" si="56"/>
        <v>1</v>
      </c>
      <c r="T172" s="50" t="str">
        <f t="shared" si="57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12</v>
      </c>
      <c r="V17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23:53:24-700',mode:absolute,to:'2016-11-15 02:47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2" s="52" t="str">
        <f t="shared" si="59"/>
        <v>N</v>
      </c>
      <c r="X172" s="177">
        <f t="shared" si="60"/>
        <v>1</v>
      </c>
      <c r="Y172" s="67">
        <f t="shared" si="61"/>
        <v>23.296800000000001</v>
      </c>
      <c r="Z172" s="67">
        <f t="shared" si="62"/>
        <v>1.6299999999999999E-2</v>
      </c>
      <c r="AA172" s="67">
        <f t="shared" si="63"/>
        <v>23.2805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4"/>
        <v>0242-14</v>
      </c>
      <c r="AE172" s="91" t="str">
        <f t="shared" si="65"/>
        <v>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 &amp; 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</v>
      </c>
      <c r="AF172" s="88" t="str">
        <f t="shared" si="66"/>
        <v>"C:\Program Files (x86)\AstroGrep\AstroGrep.exe" /spath="%USERPROFILE%\AppData\Local\Temp\OnboardLogs" /stypes="app*4030*20161115*" /stext=" 08:.+((SYSTEM_STATE.+slice.+state.+changed )|(ment ac)|(system.+state.+changed )|(\[timeout)|(PRM\|1\|D)|(kpr)|(kdp)|(\|lc)|(penalty))" /e /r /s</v>
      </c>
      <c r="AG172" s="1" t="str">
        <f t="shared" si="67"/>
        <v>EC</v>
      </c>
      <c r="AH172" s="92" t="str">
        <f t="shared" si="68"/>
        <v>"%USERPROFILE%\Documents\GitHub\eaglep3\Utilities\RefineRTDCRunTimes.py" --tripid 242-14 --locoid 4030 --swversion DE.1.0.8.0 --startMP 204:232968 --initTime 2016-11-15T00:53:24 --startdatetime 2016-11-15T00:58:21 --delay 1 --endMP 204:163 --enddatetime 2016-11-15T01:47:35 --enforcementcount 0 &gt;&gt;C:\Users\stu\Documents\GitHub\eaglep3-reporting\EC\2016-11-14-refined-times.txt</v>
      </c>
      <c r="AI172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{"issue":{"subject":"","project_id":79,"tracker_id":40,"status_id":1,"priority_id":2,"assigned_to_id":23,"start_date":"2016-11-15","description":"","custom_fields":[{"id":1,"name":"Subdivision","value":"EC"},{"id":4,"name":"Milepost","value":"0.0163"},{"id":17,"name":"Train ID","value":"242-14"},{"id":16,"name":"Locomotive ID","value":"4030"},{"id":130,"name":"Impact","value":""},{"id":150,"name":"Time of Event (Mountain Time)","value":"01:47:35"},{"id":151,"name":"Denver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617</v>
      </c>
      <c r="B173" s="7">
        <v>4009</v>
      </c>
      <c r="C173" s="22" t="s">
        <v>224</v>
      </c>
      <c r="D173" s="22" t="s">
        <v>719</v>
      </c>
      <c r="E173" s="13">
        <v>42689.003229166665</v>
      </c>
      <c r="F173" s="13">
        <v>42689.020983796298</v>
      </c>
      <c r="G173" s="7">
        <v>1</v>
      </c>
      <c r="H173" s="22" t="s">
        <v>720</v>
      </c>
      <c r="I173" s="13">
        <v>42689.075601851851</v>
      </c>
      <c r="J173" s="7">
        <v>0</v>
      </c>
      <c r="K173" s="109" t="str">
        <f t="shared" si="53"/>
        <v>4009/4010</v>
      </c>
      <c r="L173" s="22" t="str">
        <f>VLOOKUP(A173,'Trips&amp;Operators'!$C$1:$E$10000,3,FALSE)</f>
        <v>YANAI</v>
      </c>
      <c r="M173" s="6">
        <f t="shared" si="54"/>
        <v>5.4618055553874001E-2</v>
      </c>
      <c r="N173" s="7">
        <f t="shared" si="55"/>
        <v>78.649999997578561</v>
      </c>
      <c r="O173" s="7"/>
      <c r="P173" s="7"/>
      <c r="Q173" s="23"/>
      <c r="R173" s="23" t="s">
        <v>824</v>
      </c>
      <c r="S173" s="35">
        <f t="shared" si="56"/>
        <v>1</v>
      </c>
      <c r="T173" s="50" t="str">
        <f t="shared" si="57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12</v>
      </c>
      <c r="V17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23:04:39-700',mode:absolute,to:'2016-11-15 02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3" s="52" t="str">
        <f t="shared" si="59"/>
        <v>N</v>
      </c>
      <c r="X173" s="177">
        <f t="shared" si="60"/>
        <v>1</v>
      </c>
      <c r="Y173" s="67">
        <f t="shared" si="61"/>
        <v>4.82E-2</v>
      </c>
      <c r="Z173" s="67">
        <f t="shared" si="62"/>
        <v>23.328800000000001</v>
      </c>
      <c r="AA173" s="67">
        <f t="shared" si="63"/>
        <v>23.2806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4"/>
        <v>0243-14</v>
      </c>
      <c r="AE173" s="91" t="str">
        <f t="shared" si="65"/>
        <v>aws s3 cp s3://rtdc.mdm.uploadarchive.raw/RTDC4009/ "%USERPROFILE%\AppData\Local\Temp\OnboardLogs"\RTDC4009\2016-11-15 --exclude "*" --recursive --include "*20161115*" &amp; "%USERPROFILE%\Documents\GitHub\mrs-test-scripts\Headless Mode &amp; Sideloading\WalkAndUnGZ.bat" "%USERPROFILE%\AppData\Local\Temp\OnboardLogs"\RTDC4009\2016-11-15 &amp; 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</v>
      </c>
      <c r="AF173" s="88" t="str">
        <f t="shared" si="66"/>
        <v>"C:\Program Files (x86)\AstroGrep\AstroGrep.exe" /spath="%USERPROFILE%\AppData\Local\Temp\OnboardLogs" /stypes="app*4009*20161115*" /stext=" 08:.+((SYSTEM_STATE.+slice.+state.+changed )|(ment ac)|(system.+state.+changed )|(\[timeout)|(PRM\|1\|D)|(kpr)|(kdp)|(\|lc)|(penalty))" /e /r /s</v>
      </c>
      <c r="AG173" s="1" t="str">
        <f t="shared" si="67"/>
        <v>EC</v>
      </c>
      <c r="AH173" s="92" t="str">
        <f t="shared" si="68"/>
        <v>"%USERPROFILE%\Documents\GitHub\eaglep3\Utilities\RefineRTDCRunTimes.py" --tripid 243-14 --locoid 4009 --swversion DE.1.0.8.0 --startMP 204:482 --initTime 2016-11-15T00:04:39 --startdatetime 2016-11-15T00:30:13 --delay 1 --endMP 204:233288 --enddatetime 2016-11-15T01:48:52 --enforcementcount 0 &gt;&gt;C:\Users\stu\Documents\GitHub\eaglep3-reporting\EC\2016-11-14-refined-times.txt</v>
      </c>
      <c r="AI173" s="119" t="str">
        <f t="shared" si="69"/>
        <v>echo {"issue":{"subject":"Delayed due to Chambers 2N power outage","project_id":79,"tracker_id":40,"status_id":1,"priority_id":2,"assigned_to_id":23,"start_date":"2016-11-15","description":"See title","custom_fields":[{"id":1,"name":"Subdivision","value":"EC"},{"id":4,"name":"Milepost","value":"23.3288"},{"id":17,"name":"Train ID","value":"243-14"},{"id":16,"name":"Locomotive ID","value":"4009"},{"id":130,"name":"Impact","value":"Others"},{"id":150,"name":"Time of Event (Mountain Time)","value":"01:48:52"},{"id":151,"name":"Denver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3" s="53" t="s">
        <v>822</v>
      </c>
      <c r="AK173" s="53" t="s">
        <v>137</v>
      </c>
      <c r="AL173" s="53" t="s">
        <v>130</v>
      </c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721</v>
      </c>
      <c r="B174" s="7">
        <v>4010</v>
      </c>
      <c r="C174" s="22" t="s">
        <v>224</v>
      </c>
      <c r="D174" s="22" t="s">
        <v>267</v>
      </c>
      <c r="E174" s="13">
        <v>42689.07671296296</v>
      </c>
      <c r="F174" s="13">
        <v>42689.0778125</v>
      </c>
      <c r="G174" s="7">
        <v>0</v>
      </c>
      <c r="H174" s="22" t="s">
        <v>222</v>
      </c>
      <c r="I174" s="13">
        <v>42689.101921296293</v>
      </c>
      <c r="J174" s="7">
        <v>0</v>
      </c>
      <c r="K174" s="109" t="str">
        <f t="shared" si="53"/>
        <v>4009/4010</v>
      </c>
      <c r="L174" s="22" t="str">
        <f>VLOOKUP(A174,'Trips&amp;Operators'!$C$1:$E$10000,3,FALSE)</f>
        <v>YANAI</v>
      </c>
      <c r="M174" s="6">
        <f t="shared" si="54"/>
        <v>2.4108796293148771E-2</v>
      </c>
      <c r="N174" s="7">
        <f t="shared" si="55"/>
        <v>34.71666666213423</v>
      </c>
      <c r="O174" s="7"/>
      <c r="P174" s="7"/>
      <c r="Q174" s="23"/>
      <c r="R174" s="23"/>
      <c r="S174" s="35">
        <f t="shared" si="56"/>
        <v>1</v>
      </c>
      <c r="T174" s="50" t="str">
        <f t="shared" si="57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12</v>
      </c>
      <c r="V17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https://search-rtdc-monitor-bjffxe2xuh6vdkpspy63sjmuny.us-east-1.es.amazonaws.com/_plugin/kibana/#/discover/Steve-Slow-Train-Analysis-(2080s-and-2083s)?_g=(refreshInterval:(display:Off,section:0,value:0),time:(from:'2016-11-15 00:50:28-700',mode:absolute,to:'2016-11-15 03:26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4" s="52" t="str">
        <f t="shared" si="59"/>
        <v>N</v>
      </c>
      <c r="X174" s="177">
        <f t="shared" si="60"/>
        <v>1</v>
      </c>
      <c r="Y174" s="67">
        <f t="shared" si="61"/>
        <v>23.2973</v>
      </c>
      <c r="Z174" s="67">
        <f t="shared" si="62"/>
        <v>1.61E-2</v>
      </c>
      <c r="AA174" s="67">
        <f t="shared" si="63"/>
        <v>23.281199999999998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4"/>
        <v>0244-14</v>
      </c>
      <c r="AE174" s="91" t="str">
        <f t="shared" si="65"/>
        <v>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 &amp; 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</v>
      </c>
      <c r="AF174" s="88" t="str">
        <f t="shared" si="66"/>
        <v>"C:\Program Files (x86)\AstroGrep\AstroGrep.exe" /spath="%USERPROFILE%\AppData\Local\Temp\OnboardLogs" /stypes="app*4010*20161115*" /stext=" 09:.+((SYSTEM_STATE.+slice.+state.+changed )|(ment ac)|(system.+state.+changed )|(\[timeout)|(PRM\|1\|D)|(kpr)|(kdp)|(\|lc)|(penalty))" /e /r /s</v>
      </c>
      <c r="AG174" s="1" t="str">
        <f t="shared" si="67"/>
        <v>EC</v>
      </c>
      <c r="AH174" s="92" t="str">
        <f t="shared" si="68"/>
        <v>"%USERPROFILE%\Documents\GitHub\eaglep3\Utilities\RefineRTDCRunTimes.py" --tripid 244-14 --locoid 4010 --swversion DE.1.0.8.0 --startMP 204:232973 --initTime 2016-11-15T01:50:28 --startdatetime 2016-11-15T01:52:03 --delay 0 --endMP 204:161 --enddatetime 2016-11-15T02:26:46 --enforcementcount 0 &gt;&gt;C:\Users\stu\Documents\GitHub\eaglep3-reporting\EC\2016-11-14-refined-times.txt</v>
      </c>
      <c r="AI174" s="119" t="str">
        <f t="shared" si="69"/>
        <v>echo {"issue":{"subject":"","project_id":79,"tracker_id":40,"status_id":1,"priority_id":2,"assigned_to_id":23,"start_date":"2016-11-15","description":"","custom_fields":[{"id":1,"name":"Subdivision","value":"EC"},{"id":4,"name":"Milepost","value":"0.0161"},{"id":17,"name":"Train ID","value":"244-14"},{"id":16,"name":"Locomotive ID","value":"4010"},{"id":130,"name":"Impact","value":""},{"id":150,"name":"Time of Event (Mountain Time)","value":"02:26:46"},{"id":151,"name":"Denver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457</v>
      </c>
      <c r="B175" s="7">
        <v>4037</v>
      </c>
      <c r="C175" s="22" t="s">
        <v>224</v>
      </c>
      <c r="D175" s="22" t="s">
        <v>737</v>
      </c>
      <c r="E175" s="13">
        <v>42688.213854166665</v>
      </c>
      <c r="F175" s="13">
        <v>42688.215868055559</v>
      </c>
      <c r="G175" s="7">
        <v>1</v>
      </c>
      <c r="H175" s="22" t="s">
        <v>645</v>
      </c>
      <c r="I175" s="13">
        <v>42688.226342592592</v>
      </c>
      <c r="J175" s="7">
        <v>0</v>
      </c>
      <c r="K175" s="109" t="str">
        <f t="shared" si="53"/>
        <v>4037/4038</v>
      </c>
      <c r="L175" s="22" t="str">
        <f>VLOOKUP(A175,'Trips&amp;Operators'!$C$1:$E$10000,3,FALSE)</f>
        <v>BRANDNER</v>
      </c>
      <c r="M175" s="6">
        <f t="shared" si="54"/>
        <v>1.0474537033587694E-2</v>
      </c>
      <c r="N175" s="7">
        <f t="shared" si="55"/>
        <v>15.08333332836628</v>
      </c>
      <c r="O175" s="7"/>
      <c r="P175" s="7"/>
      <c r="Q175" s="23"/>
      <c r="R175" s="23"/>
      <c r="S175" s="35">
        <f t="shared" si="56"/>
        <v>1</v>
      </c>
      <c r="T175" s="50" t="str">
        <f t="shared" si="5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04:07:57-700',mode:absolute,to:'2016-11-14 06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5" s="52" t="str">
        <f t="shared" si="59"/>
        <v>N</v>
      </c>
      <c r="X175" s="177">
        <f t="shared" si="60"/>
        <v>556</v>
      </c>
      <c r="Y175" s="67">
        <f t="shared" si="61"/>
        <v>5.8658000000000001</v>
      </c>
      <c r="Z175" s="67">
        <f t="shared" si="62"/>
        <v>7.2599999999999998E-2</v>
      </c>
      <c r="AA175" s="67">
        <f t="shared" si="63"/>
        <v>5.7932000000000006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4"/>
        <v>0800-14</v>
      </c>
      <c r="AE175" s="91" t="str">
        <f t="shared" si="65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175" s="88" t="str">
        <f t="shared" si="66"/>
        <v>"C:\Program Files (x86)\AstroGrep\AstroGrep.exe" /spath="%USERPROFILE%\AppData\Local\Temp\OnboardLogs" /stypes="app*4037*20161114*" /stext=" 12:.+((SYSTEM_STATE.+slice.+state.+changed )|(ment ac)|(system.+state.+changed )|(\[timeout)|(PRM\|1\|D)|(kpr)|(kdp)|(\|lc)|(penalty))" /e /r /s</v>
      </c>
      <c r="AG175" s="1" t="str">
        <f t="shared" si="67"/>
        <v>NW</v>
      </c>
      <c r="AH175" s="92" t="str">
        <f t="shared" si="68"/>
        <v>"%USERPROFILE%\Documents\GitHub\eaglep3\Utilities\RefineRTDCRunTimes.py" --tripid 800-14 --locoid 4037 --swversion DE.1.0.8.0 --startMP 300:58658 --initTime 2016-11-14T05:07:57 --startdatetime 2016-11-14T05:10:51 --delay 1 --endMP 204:726 --enddatetime 2016-11-14T05:25:56 --enforcementcount 0 &gt;&gt;C:\Users\stu\Documents\GitHub\eaglep3-reporting\EC\2016-11-14-refined-times.txt</v>
      </c>
      <c r="AI175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{"issue":{"subject":"","project_id":79,"tracker_id":40,"status_id":1,"priority_id":2,"assigned_to_id":23,"start_date":"2016-11-14","description":"","custom_fields":[{"id":1,"name":"Subdivision","value":"NW"},{"id":4,"name":"Milepost","value":"0.0726"},{"id":17,"name":"Train ID","value":"800-14"},{"id":16,"name":"Locomotive ID","value":"4037"},{"id":130,"name":"Impact","value":""},{"id":150,"name":"Time of Event (Mountain Time)","value":"05:25:56"},{"id":151,"name":"Denver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458</v>
      </c>
      <c r="B176" s="7">
        <v>4038</v>
      </c>
      <c r="C176" s="22" t="s">
        <v>224</v>
      </c>
      <c r="D176" s="22" t="s">
        <v>738</v>
      </c>
      <c r="E176" s="13">
        <v>42688.228321759256</v>
      </c>
      <c r="F176" s="13">
        <v>42688.243946759256</v>
      </c>
      <c r="G176" s="7">
        <v>1</v>
      </c>
      <c r="H176" s="22" t="s">
        <v>739</v>
      </c>
      <c r="I176" s="13">
        <v>42688.254155092596</v>
      </c>
      <c r="J176" s="7">
        <v>0</v>
      </c>
      <c r="K176" s="109" t="str">
        <f t="shared" si="53"/>
        <v>4037/4038</v>
      </c>
      <c r="L176" s="22" t="str">
        <f>VLOOKUP(A176,'Trips&amp;Operators'!$C$1:$E$10000,3,FALSE)</f>
        <v>BRANDNER</v>
      </c>
      <c r="M176" s="6">
        <f t="shared" si="54"/>
        <v>1.0208333340415265E-2</v>
      </c>
      <c r="N176" s="7">
        <f t="shared" si="55"/>
        <v>14.700000010197982</v>
      </c>
      <c r="O176" s="7"/>
      <c r="P176" s="7"/>
      <c r="Q176" s="23"/>
      <c r="R176" s="23"/>
      <c r="S176" s="35">
        <f t="shared" si="56"/>
        <v>1</v>
      </c>
      <c r="T176" s="50" t="str">
        <f t="shared" si="5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04:28:47-700',mode:absolute,to:'2016-11-14 07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6" s="52" t="str">
        <f t="shared" si="59"/>
        <v>N</v>
      </c>
      <c r="X176" s="177">
        <f t="shared" si="60"/>
        <v>1</v>
      </c>
      <c r="Y176" s="67">
        <f t="shared" si="61"/>
        <v>0.1002</v>
      </c>
      <c r="Z176" s="67">
        <f t="shared" si="62"/>
        <v>5.8959999999999999</v>
      </c>
      <c r="AA176" s="67">
        <f t="shared" si="63"/>
        <v>5.7957999999999998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4"/>
        <v>0801-14</v>
      </c>
      <c r="AE176" s="91" t="str">
        <f t="shared" si="65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176" s="88" t="str">
        <f t="shared" si="66"/>
        <v>"C:\Program Files (x86)\AstroGrep\AstroGrep.exe" /spath="%USERPROFILE%\AppData\Local\Temp\OnboardLogs" /stypes="app*4038*20161114*" /stext=" 13:.+((SYSTEM_STATE.+slice.+state.+changed )|(ment ac)|(system.+state.+changed )|(\[timeout)|(PRM\|1\|D)|(kpr)|(kdp)|(\|lc)|(penalty))" /e /r /s</v>
      </c>
      <c r="AG176" s="1" t="str">
        <f t="shared" si="67"/>
        <v>NW</v>
      </c>
      <c r="AH176" s="92" t="str">
        <f t="shared" si="68"/>
        <v>"%USERPROFILE%\Documents\GitHub\eaglep3\Utilities\RefineRTDCRunTimes.py" --tripid 801-14 --locoid 4038 --swversion DE.1.0.8.0 --startMP 204:1002 --initTime 2016-11-14T05:28:47 --startdatetime 2016-11-14T05:51:17 --delay 1 --endMP 300:58960 --enddatetime 2016-11-14T06:05:59 --enforcementcount 0 &gt;&gt;C:\Users\stu\Documents\GitHub\eaglep3-reporting\EC\2016-11-14-refined-times.txt</v>
      </c>
      <c r="AI176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{"issue":{"subject":"","project_id":79,"tracker_id":40,"status_id":1,"priority_id":2,"assigned_to_id":23,"start_date":"2016-11-14","description":"","custom_fields":[{"id":1,"name":"Subdivision","value":"NW"},{"id":4,"name":"Milepost","value":"5.896"},{"id":17,"name":"Train ID","value":"801-14"},{"id":16,"name":"Locomotive ID","value":"4038"},{"id":130,"name":"Impact","value":""},{"id":150,"name":"Time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467</v>
      </c>
      <c r="B177" s="7">
        <v>4037</v>
      </c>
      <c r="C177" s="22" t="s">
        <v>224</v>
      </c>
      <c r="D177" s="22" t="s">
        <v>740</v>
      </c>
      <c r="E177" s="13">
        <v>42688.255115740743</v>
      </c>
      <c r="F177" s="13">
        <v>42688.256851851853</v>
      </c>
      <c r="G177" s="7">
        <v>1</v>
      </c>
      <c r="H177" s="22" t="s">
        <v>345</v>
      </c>
      <c r="I177" s="13">
        <v>42688.268553240741</v>
      </c>
      <c r="J177" s="7">
        <v>0</v>
      </c>
      <c r="K177" s="109" t="str">
        <f t="shared" si="53"/>
        <v>4037/4038</v>
      </c>
      <c r="L177" s="22" t="str">
        <f>VLOOKUP(A177,'Trips&amp;Operators'!$C$1:$E$10000,3,FALSE)</f>
        <v>BRANDNER</v>
      </c>
      <c r="M177" s="6">
        <f t="shared" si="54"/>
        <v>1.17013888884685E-2</v>
      </c>
      <c r="N177" s="7">
        <f t="shared" si="55"/>
        <v>16.84999999939464</v>
      </c>
      <c r="O177" s="7"/>
      <c r="P177" s="7"/>
      <c r="Q177" s="23"/>
      <c r="R177" s="23"/>
      <c r="S177" s="35">
        <f t="shared" si="56"/>
        <v>1</v>
      </c>
      <c r="T177" s="50" t="str">
        <f t="shared" si="5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05:07:22-700',mode:absolute,to:'2016-11-14 07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7" s="52" t="str">
        <f t="shared" si="59"/>
        <v>N</v>
      </c>
      <c r="X177" s="177">
        <f t="shared" si="60"/>
        <v>1</v>
      </c>
      <c r="Y177" s="67">
        <f t="shared" si="61"/>
        <v>5.8635999999999999</v>
      </c>
      <c r="Z177" s="67">
        <f t="shared" si="62"/>
        <v>6.9599999999999995E-2</v>
      </c>
      <c r="AA177" s="67">
        <f t="shared" si="63"/>
        <v>5.7939999999999996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4"/>
        <v>0802-14</v>
      </c>
      <c r="AE177" s="91" t="str">
        <f t="shared" si="65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177" s="88" t="str">
        <f t="shared" si="66"/>
        <v>"C:\Program Files (x86)\AstroGrep\AstroGrep.exe" /spath="%USERPROFILE%\AppData\Local\Temp\OnboardLogs" /stypes="app*4037*20161114*" /stext=" 13:.+((SYSTEM_STATE.+slice.+state.+changed )|(ment ac)|(system.+state.+changed )|(\[timeout)|(PRM\|1\|D)|(kpr)|(kdp)|(\|lc)|(penalty))" /e /r /s</v>
      </c>
      <c r="AG177" s="1" t="str">
        <f t="shared" si="67"/>
        <v>NW</v>
      </c>
      <c r="AH177" s="92" t="str">
        <f t="shared" si="68"/>
        <v>"%USERPROFILE%\Documents\GitHub\eaglep3\Utilities\RefineRTDCRunTimes.py" --tripid 802-14 --locoid 4037 --swversion DE.1.0.8.0 --startMP 300:58636 --initTime 2016-11-14T06:07:22 --startdatetime 2016-11-14T06:09:52 --delay 1 --endMP 204:696 --enddatetime 2016-11-14T06:26:43 --enforcementcount 0 &gt;&gt;C:\Users\stu\Documents\GitHub\eaglep3-reporting\EC\2016-11-14-refined-times.txt</v>
      </c>
      <c r="AI177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{"issue":{"subject":"","project_id":79,"tracker_id":40,"status_id":1,"priority_id":2,"assigned_to_id":23,"start_date":"2016-11-14","description":"","custom_fields":[{"id":1,"name":"Subdivision","value":"NW"},{"id":4,"name":"Milepost","value":"0.0696"},{"id":17,"name":"Train ID","value":"802-14"},{"id":16,"name":"Locomotive ID","value":"4037"},{"id":130,"name":"Impact","value":""},{"id":150,"name":"Time of Event (Mountain Time)","value":"06:26:43"},{"id":151,"name":"Denver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469</v>
      </c>
      <c r="B178" s="7">
        <v>4022</v>
      </c>
      <c r="C178" s="22" t="s">
        <v>224</v>
      </c>
      <c r="D178" s="22" t="s">
        <v>741</v>
      </c>
      <c r="E178" s="13">
        <v>42688.262789351851</v>
      </c>
      <c r="F178" s="13">
        <v>42688.264918981484</v>
      </c>
      <c r="G178" s="7">
        <v>2</v>
      </c>
      <c r="H178" s="22" t="s">
        <v>742</v>
      </c>
      <c r="I178" s="13">
        <v>42688.274965277778</v>
      </c>
      <c r="J178" s="7">
        <v>0</v>
      </c>
      <c r="K178" s="109" t="str">
        <f t="shared" si="53"/>
        <v>4021/4022</v>
      </c>
      <c r="L178" s="22" t="str">
        <f>VLOOKUP(A178,'Trips&amp;Operators'!$C$1:$E$10000,3,FALSE)</f>
        <v>BERLING</v>
      </c>
      <c r="M178" s="6">
        <f t="shared" si="54"/>
        <v>1.0046296294603962E-2</v>
      </c>
      <c r="N178" s="7">
        <f t="shared" si="55"/>
        <v>14.466666664229706</v>
      </c>
      <c r="O178" s="7"/>
      <c r="P178" s="7"/>
      <c r="Q178" s="23"/>
      <c r="R178" s="23"/>
      <c r="S178" s="35">
        <f t="shared" si="56"/>
        <v>1</v>
      </c>
      <c r="T178" s="50" t="str">
        <f t="shared" si="5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05:18:25-700',mode:absolute,to:'2016-11-14 07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8" s="52" t="str">
        <f t="shared" si="59"/>
        <v>N</v>
      </c>
      <c r="X178" s="177">
        <f t="shared" si="60"/>
        <v>1</v>
      </c>
      <c r="Y178" s="67">
        <f t="shared" si="61"/>
        <v>9.69E-2</v>
      </c>
      <c r="Z178" s="67">
        <f t="shared" si="62"/>
        <v>5.8920000000000003</v>
      </c>
      <c r="AA178" s="67">
        <f t="shared" si="63"/>
        <v>5.7951000000000006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4"/>
        <v>0803-14</v>
      </c>
      <c r="AE178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78" s="88" t="str">
        <f t="shared" si="66"/>
        <v>"C:\Program Files (x86)\AstroGrep\AstroGrep.exe" /spath="%USERPROFILE%\AppData\Local\Temp\OnboardLogs" /stypes="app*4022*20161114*" /stext=" 13:.+((SYSTEM_STATE.+slice.+state.+changed )|(ment ac)|(system.+state.+changed )|(\[timeout)|(PRM\|1\|D)|(kpr)|(kdp)|(\|lc)|(penalty))" /e /r /s</v>
      </c>
      <c r="AG178" s="1" t="str">
        <f t="shared" si="67"/>
        <v>NW</v>
      </c>
      <c r="AH178" s="92" t="str">
        <f t="shared" si="68"/>
        <v>"%USERPROFILE%\Documents\GitHub\eaglep3\Utilities\RefineRTDCRunTimes.py" --tripid 803-14 --locoid 4022 --swversion DE.1.0.8.0 --startMP 204:969 --initTime 2016-11-14T06:18:25 --startdatetime 2016-11-14T06:21:29 --delay 2 --endMP 300:58920 --enddatetime 2016-11-14T06:35:57 --enforcementcount 0 &gt;&gt;C:\Users\stu\Documents\GitHub\eaglep3-reporting\EC\2016-11-14-refined-times.txt</v>
      </c>
      <c r="AI178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{"issue":{"subject":"","project_id":79,"tracker_id":40,"status_id":1,"priority_id":2,"assigned_to_id":23,"start_date":"2016-11-14","description":"","custom_fields":[{"id":1,"name":"Subdivision","value":"NW"},{"id":4,"name":"Milepost","value":"5.892"},{"id":17,"name":"Train ID","value":"803-14"},{"id":16,"name":"Locomotive ID","value":"4022"},{"id":130,"name":"Impact","value":""},{"id":150,"name":"Time of Event (Mountain Time)","value":"06:35:57"},{"id":151,"name":"Denver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403</v>
      </c>
      <c r="B179" s="7">
        <v>4021</v>
      </c>
      <c r="C179" s="22" t="s">
        <v>224</v>
      </c>
      <c r="D179" s="22" t="s">
        <v>743</v>
      </c>
      <c r="E179" s="13">
        <v>42688.27615740741</v>
      </c>
      <c r="F179" s="13">
        <v>42688.277557870373</v>
      </c>
      <c r="G179" s="7">
        <v>1</v>
      </c>
      <c r="H179" s="22" t="s">
        <v>744</v>
      </c>
      <c r="I179" s="13">
        <v>42688.289537037039</v>
      </c>
      <c r="J179" s="7">
        <v>0</v>
      </c>
      <c r="K179" s="109" t="str">
        <f t="shared" si="53"/>
        <v>4021/4022</v>
      </c>
      <c r="L179" s="22" t="str">
        <f>VLOOKUP(A179,'Trips&amp;Operators'!$C$1:$E$10000,3,FALSE)</f>
        <v>BERLING</v>
      </c>
      <c r="M179" s="6">
        <f t="shared" si="54"/>
        <v>1.1979166665696539E-2</v>
      </c>
      <c r="N179" s="7">
        <f t="shared" si="55"/>
        <v>17.249999998603016</v>
      </c>
      <c r="O179" s="7"/>
      <c r="P179" s="7"/>
      <c r="Q179" s="23"/>
      <c r="R179" s="23"/>
      <c r="S179" s="35">
        <f t="shared" si="56"/>
        <v>1</v>
      </c>
      <c r="T179" s="50" t="str">
        <f t="shared" si="5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05:37:40-700',mode:absolute,to:'2016-11-14 07:56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9" s="52" t="str">
        <f t="shared" si="59"/>
        <v>N</v>
      </c>
      <c r="X179" s="177">
        <f t="shared" si="60"/>
        <v>1</v>
      </c>
      <c r="Y179" s="67">
        <f t="shared" si="61"/>
        <v>5.8611000000000004</v>
      </c>
      <c r="Z179" s="67">
        <f t="shared" si="62"/>
        <v>7.2700000000000001E-2</v>
      </c>
      <c r="AA179" s="67">
        <f t="shared" si="63"/>
        <v>5.7884000000000002</v>
      </c>
      <c r="AB179" s="64" t="str">
        <f>VLOOKUP(A179,Enforcements!$C$7:$K$20,8,0)</f>
        <v>Form based authority (4)</v>
      </c>
      <c r="AC179" s="60" t="str">
        <f>VLOOKUP(A179,Enforcements!$C$7:$E$20,3,0)</f>
        <v>TRACK WARRANT AUTHORITY</v>
      </c>
      <c r="AD179" s="61" t="str">
        <f t="shared" si="64"/>
        <v>0804-14</v>
      </c>
      <c r="AE179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79" s="88" t="str">
        <f t="shared" si="66"/>
        <v>"C:\Program Files (x86)\AstroGrep\AstroGrep.exe" /spath="%USERPROFILE%\AppData\Local\Temp\OnboardLogs" /stypes="app*4021*20161114*" /stext=" 13:.+((SYSTEM_STATE.+slice.+state.+changed )|(ment ac)|(system.+state.+changed )|(\[timeout)|(PRM\|1\|D)|(kpr)|(kdp)|(\|lc)|(penalty))" /e /r /s</v>
      </c>
      <c r="AG179" s="1" t="str">
        <f t="shared" si="67"/>
        <v>NW</v>
      </c>
      <c r="AH179" s="92" t="str">
        <f t="shared" si="68"/>
        <v>"%USERPROFILE%\Documents\GitHub\eaglep3\Utilities\RefineRTDCRunTimes.py" --tripid 804-14 --locoid 4021 --swversion DE.1.0.8.0 --startMP 300:58611 --initTime 2016-11-14T06:37:40 --startdatetime 2016-11-14T06:39:41 --delay 1 --endMP 204:727 --enddatetime 2016-11-14T06:56:56 --enforcementcount 0 &gt;&gt;C:\Users\stu\Documents\GitHub\eaglep3-reporting\EC\2016-11-14-refined-times.txt</v>
      </c>
      <c r="AI179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{"issue":{"subject":"","project_id":79,"tracker_id":40,"status_id":1,"priority_id":2,"assigned_to_id":23,"start_date":"2016-11-14","description":"","custom_fields":[{"id":1,"name":"Subdivision","value":"NW"},{"id":4,"name":"Milepost","value":"0.0727"},{"id":17,"name":"Train ID","value":"804-14"},{"id":16,"name":"Locomotive ID","value":"4021"},{"id":130,"name":"Impact","value":""},{"id":150,"name":"Time of Event (Mountain Time)","value":"06:56:56"},{"id":151,"name":"Denver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471</v>
      </c>
      <c r="B180" s="7">
        <v>4038</v>
      </c>
      <c r="C180" s="22" t="s">
        <v>224</v>
      </c>
      <c r="D180" s="22" t="s">
        <v>745</v>
      </c>
      <c r="E180" s="13">
        <v>42688.27070601852</v>
      </c>
      <c r="F180" s="13">
        <v>42688.285578703704</v>
      </c>
      <c r="G180" s="7">
        <v>1</v>
      </c>
      <c r="H180" s="22" t="s">
        <v>746</v>
      </c>
      <c r="I180" s="13">
        <v>42688.295300925929</v>
      </c>
      <c r="J180" s="7">
        <v>0</v>
      </c>
      <c r="K180" s="109" t="str">
        <f t="shared" si="53"/>
        <v>4037/4038</v>
      </c>
      <c r="L180" s="22" t="str">
        <f>VLOOKUP(A180,'Trips&amp;Operators'!$C$1:$E$10000,3,FALSE)</f>
        <v>BRANDNER</v>
      </c>
      <c r="M180" s="6">
        <f t="shared" si="54"/>
        <v>9.7222222248092294E-3</v>
      </c>
      <c r="N180" s="7">
        <f t="shared" si="55"/>
        <v>14.00000000372529</v>
      </c>
      <c r="O180" s="7"/>
      <c r="P180" s="7"/>
      <c r="Q180" s="23"/>
      <c r="R180" s="23"/>
      <c r="S180" s="35">
        <f t="shared" si="56"/>
        <v>1</v>
      </c>
      <c r="T180" s="50" t="str">
        <f t="shared" si="5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05:29:49-700',mode:absolute,to:'2016-11-14 08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0" s="52" t="str">
        <f t="shared" si="59"/>
        <v>N</v>
      </c>
      <c r="X180" s="177">
        <f t="shared" si="60"/>
        <v>1</v>
      </c>
      <c r="Y180" s="67">
        <f t="shared" si="61"/>
        <v>0.1009</v>
      </c>
      <c r="Z180" s="67">
        <f t="shared" si="62"/>
        <v>5.8958000000000004</v>
      </c>
      <c r="AA180" s="67">
        <f t="shared" si="63"/>
        <v>5.7949000000000002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4"/>
        <v>0805-14</v>
      </c>
      <c r="AE180" s="91" t="str">
        <f t="shared" si="65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180" s="88" t="str">
        <f t="shared" si="66"/>
        <v>"C:\Program Files (x86)\AstroGrep\AstroGrep.exe" /spath="%USERPROFILE%\AppData\Local\Temp\OnboardLogs" /stypes="app*4038*20161114*" /stext=" 14:.+((SYSTEM_STATE.+slice.+state.+changed )|(ment ac)|(system.+state.+changed )|(\[timeout)|(PRM\|1\|D)|(kpr)|(kdp)|(\|lc)|(penalty))" /e /r /s</v>
      </c>
      <c r="AG180" s="1" t="str">
        <f t="shared" si="67"/>
        <v>NW</v>
      </c>
      <c r="AH180" s="92" t="str">
        <f t="shared" si="68"/>
        <v>"%USERPROFILE%\Documents\GitHub\eaglep3\Utilities\RefineRTDCRunTimes.py" --tripid 805-14 --locoid 4038 --swversion DE.1.0.8.0 --startMP 204:1009 --initTime 2016-11-14T06:29:49 --startdatetime 2016-11-14T06:51:14 --delay 1 --endMP 300:58958 --enddatetime 2016-11-14T07:05:14 --enforcementcount 0 &gt;&gt;C:\Users\stu\Documents\GitHub\eaglep3-reporting\EC\2016-11-14-refined-times.txt</v>
      </c>
      <c r="AI180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{"issue":{"subject":"","project_id":79,"tracker_id":40,"status_id":1,"priority_id":2,"assigned_to_id":23,"start_date":"2016-11-14","description":"","custom_fields":[{"id":1,"name":"Subdivision","value":"NW"},{"id":4,"name":"Milepost","value":"5.8958"},{"id":17,"name":"Train ID","value":"805-14"},{"id":16,"name":"Locomotive ID","value":"4038"},{"id":130,"name":"Impact","value":""},{"id":150,"name":"Time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478</v>
      </c>
      <c r="B181" s="7">
        <v>4037</v>
      </c>
      <c r="C181" s="22" t="s">
        <v>224</v>
      </c>
      <c r="D181" s="22" t="s">
        <v>747</v>
      </c>
      <c r="E181" s="13">
        <v>42688.296203703707</v>
      </c>
      <c r="F181" s="13">
        <v>42688.29791666667</v>
      </c>
      <c r="G181" s="7">
        <v>1</v>
      </c>
      <c r="H181" s="22" t="s">
        <v>748</v>
      </c>
      <c r="I181" s="13">
        <v>42688.309918981482</v>
      </c>
      <c r="J181" s="7">
        <v>0</v>
      </c>
      <c r="K181" s="109" t="str">
        <f t="shared" si="53"/>
        <v>4037/4038</v>
      </c>
      <c r="L181" s="22" t="str">
        <f>VLOOKUP(A181,'Trips&amp;Operators'!$C$1:$E$10000,3,FALSE)</f>
        <v>BRANDNER</v>
      </c>
      <c r="M181" s="6">
        <f t="shared" si="54"/>
        <v>1.2002314811979886E-2</v>
      </c>
      <c r="N181" s="7">
        <f t="shared" si="55"/>
        <v>17.283333329251036</v>
      </c>
      <c r="O181" s="7"/>
      <c r="P181" s="7"/>
      <c r="Q181" s="23"/>
      <c r="R181" s="23"/>
      <c r="S181" s="35">
        <f t="shared" si="56"/>
        <v>1</v>
      </c>
      <c r="T181" s="50" t="str">
        <f t="shared" si="5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06:06:32-700',mode:absolute,to:'2016-11-14 08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1" s="52" t="str">
        <f t="shared" si="59"/>
        <v>N</v>
      </c>
      <c r="X181" s="177">
        <f t="shared" si="60"/>
        <v>1</v>
      </c>
      <c r="Y181" s="67">
        <f t="shared" si="61"/>
        <v>5.8648999999999996</v>
      </c>
      <c r="Z181" s="67">
        <f t="shared" si="62"/>
        <v>7.1499999999999994E-2</v>
      </c>
      <c r="AA181" s="67">
        <f t="shared" si="63"/>
        <v>5.7933999999999992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4"/>
        <v>0806-14</v>
      </c>
      <c r="AE181" s="91" t="str">
        <f t="shared" si="65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181" s="88" t="str">
        <f t="shared" si="66"/>
        <v>"C:\Program Files (x86)\AstroGrep\AstroGrep.exe" /spath="%USERPROFILE%\AppData\Local\Temp\OnboardLogs" /stypes="app*4037*20161114*" /stext=" 14:.+((SYSTEM_STATE.+slice.+state.+changed )|(ment ac)|(system.+state.+changed )|(\[timeout)|(PRM\|1\|D)|(kpr)|(kdp)|(\|lc)|(penalty))" /e /r /s</v>
      </c>
      <c r="AG181" s="1" t="str">
        <f t="shared" si="67"/>
        <v>NW</v>
      </c>
      <c r="AH181" s="92" t="str">
        <f t="shared" si="68"/>
        <v>"%USERPROFILE%\Documents\GitHub\eaglep3\Utilities\RefineRTDCRunTimes.py" --tripid 806-14 --locoid 4037 --swversion DE.1.0.8.0 --startMP 300:58649 --initTime 2016-11-14T07:06:32 --startdatetime 2016-11-14T07:09:00 --delay 1 --endMP 204:715 --enddatetime 2016-11-14T07:26:17 --enforcementcount 0 &gt;&gt;C:\Users\stu\Documents\GitHub\eaglep3-reporting\EC\2016-11-14-refined-times.txt</v>
      </c>
      <c r="AI181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{"issue":{"subject":"","project_id":79,"tracker_id":40,"status_id":1,"priority_id":2,"assigned_to_id":23,"start_date":"2016-11-14","description":"","custom_fields":[{"id":1,"name":"Subdivision","value":"NW"},{"id":4,"name":"Milepost","value":"0.0715"},{"id":17,"name":"Train ID","value":"806-14"},{"id":16,"name":"Locomotive ID","value":"4037"},{"id":130,"name":"Impact","value":""},{"id":150,"name":"Time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477</v>
      </c>
      <c r="B182" s="7">
        <v>4022</v>
      </c>
      <c r="C182" s="22" t="s">
        <v>224</v>
      </c>
      <c r="D182" s="22" t="s">
        <v>749</v>
      </c>
      <c r="E182" s="13">
        <v>42688.295358796298</v>
      </c>
      <c r="F182" s="13">
        <v>42688.306793981479</v>
      </c>
      <c r="G182" s="7">
        <v>1</v>
      </c>
      <c r="H182" s="22" t="s">
        <v>344</v>
      </c>
      <c r="I182" s="13">
        <v>42688.316620370373</v>
      </c>
      <c r="J182" s="7">
        <v>0</v>
      </c>
      <c r="K182" s="109" t="str">
        <f t="shared" si="53"/>
        <v>4021/4022</v>
      </c>
      <c r="L182" s="22" t="str">
        <f>VLOOKUP(A182,'Trips&amp;Operators'!$C$1:$E$10000,3,FALSE)</f>
        <v>BERLING</v>
      </c>
      <c r="M182" s="6">
        <f t="shared" si="54"/>
        <v>9.826388893998228E-3</v>
      </c>
      <c r="N182" s="7">
        <f t="shared" si="55"/>
        <v>14.150000007357448</v>
      </c>
      <c r="O182" s="7"/>
      <c r="P182" s="7"/>
      <c r="Q182" s="23"/>
      <c r="R182" s="23"/>
      <c r="S182" s="35">
        <f t="shared" si="56"/>
        <v>1</v>
      </c>
      <c r="T182" s="50" t="str">
        <f t="shared" si="5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06:05:19-700',mode:absolute,to:'2016-11-14 08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2" s="52" t="str">
        <f t="shared" si="59"/>
        <v>N</v>
      </c>
      <c r="X182" s="177">
        <f t="shared" si="60"/>
        <v>1</v>
      </c>
      <c r="Y182" s="67">
        <f t="shared" si="61"/>
        <v>0.1027</v>
      </c>
      <c r="Z182" s="67">
        <f t="shared" si="62"/>
        <v>5.8925999999999998</v>
      </c>
      <c r="AA182" s="67">
        <f t="shared" si="63"/>
        <v>5.7899000000000003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4"/>
        <v>0807-14</v>
      </c>
      <c r="AE182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82" s="88" t="str">
        <f t="shared" si="66"/>
        <v>"C:\Program Files (x86)\AstroGrep\AstroGrep.exe" /spath="%USERPROFILE%\AppData\Local\Temp\OnboardLogs" /stypes="app*4022*20161114*" /stext=" 14:.+((SYSTEM_STATE.+slice.+state.+changed )|(ment ac)|(system.+state.+changed )|(\[timeout)|(PRM\|1\|D)|(kpr)|(kdp)|(\|lc)|(penalty))" /e /r /s</v>
      </c>
      <c r="AG182" s="1" t="str">
        <f t="shared" si="67"/>
        <v>NW</v>
      </c>
      <c r="AH182" s="92" t="str">
        <f t="shared" si="68"/>
        <v>"%USERPROFILE%\Documents\GitHub\eaglep3\Utilities\RefineRTDCRunTimes.py" --tripid 807-14 --locoid 4022 --swversion DE.1.0.8.0 --startMP 204:1027 --initTime 2016-11-14T07:05:19 --startdatetime 2016-11-14T07:21:47 --delay 1 --endMP 300:58926 --enddatetime 2016-11-14T07:35:56 --enforcementcount 0 &gt;&gt;C:\Users\stu\Documents\GitHub\eaglep3-reporting\EC\2016-11-14-refined-times.txt</v>
      </c>
      <c r="AI182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{"issue":{"subject":"","project_id":79,"tracker_id":40,"status_id":1,"priority_id":2,"assigned_to_id":23,"start_date":"2016-11-14","description":"","custom_fields":[{"id":1,"name":"Subdivision","value":"NW"},{"id":4,"name":"Milepost","value":"5.8926"},{"id":17,"name":"Train ID","value":"807-14"},{"id":16,"name":"Locomotive ID","value":"4022"},{"id":130,"name":"Impact","value":""},{"id":150,"name":"Time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405</v>
      </c>
      <c r="B183" s="7">
        <v>4021</v>
      </c>
      <c r="C183" s="22" t="s">
        <v>224</v>
      </c>
      <c r="D183" s="22" t="s">
        <v>750</v>
      </c>
      <c r="E183" s="13">
        <v>42688.317893518521</v>
      </c>
      <c r="F183" s="13">
        <v>42688.319571759261</v>
      </c>
      <c r="G183" s="7">
        <v>1</v>
      </c>
      <c r="H183" s="22" t="s">
        <v>751</v>
      </c>
      <c r="I183" s="13">
        <v>42688.33090277778</v>
      </c>
      <c r="J183" s="7">
        <v>0</v>
      </c>
      <c r="K183" s="109" t="str">
        <f t="shared" si="53"/>
        <v>4021/4022</v>
      </c>
      <c r="L183" s="22" t="str">
        <f>VLOOKUP(A183,'Trips&amp;Operators'!$C$1:$E$10000,3,FALSE)</f>
        <v>BERLING</v>
      </c>
      <c r="M183" s="6">
        <f t="shared" si="54"/>
        <v>1.1331018518831115E-2</v>
      </c>
      <c r="N183" s="7">
        <f t="shared" si="55"/>
        <v>16.316666667116806</v>
      </c>
      <c r="O183" s="7"/>
      <c r="P183" s="7"/>
      <c r="Q183" s="23"/>
      <c r="R183" s="23"/>
      <c r="S183" s="35">
        <f t="shared" si="56"/>
        <v>1</v>
      </c>
      <c r="T183" s="50" t="str">
        <f t="shared" si="5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06:37:46-700',mode:absolute,to:'2016-11-14 08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3" s="52" t="str">
        <f t="shared" si="59"/>
        <v>N</v>
      </c>
      <c r="X183" s="177">
        <f t="shared" si="60"/>
        <v>1</v>
      </c>
      <c r="Y183" s="67">
        <f t="shared" si="61"/>
        <v>5.8620999999999999</v>
      </c>
      <c r="Z183" s="67">
        <f t="shared" si="62"/>
        <v>6.8199999999999997E-2</v>
      </c>
      <c r="AA183" s="67">
        <f t="shared" si="63"/>
        <v>5.7938999999999998</v>
      </c>
      <c r="AB183" s="64" t="str">
        <f>VLOOKUP(A183,Enforcements!$C$7:$K$20,8,0)</f>
        <v>Form based authority (4)</v>
      </c>
      <c r="AC183" s="60" t="str">
        <f>VLOOKUP(A183,Enforcements!$C$7:$E$20,3,0)</f>
        <v>TRACK WARRANT AUTHORITY</v>
      </c>
      <c r="AD183" s="61" t="str">
        <f t="shared" si="64"/>
        <v>0808-14</v>
      </c>
      <c r="AE183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83" s="88" t="str">
        <f t="shared" si="66"/>
        <v>"C:\Program Files (x86)\AstroGrep\AstroGrep.exe" /spath="%USERPROFILE%\AppData\Local\Temp\OnboardLogs" /stypes="app*4021*20161114*" /stext=" 14:.+((SYSTEM_STATE.+slice.+state.+changed )|(ment ac)|(system.+state.+changed )|(\[timeout)|(PRM\|1\|D)|(kpr)|(kdp)|(\|lc)|(penalty))" /e /r /s</v>
      </c>
      <c r="AG183" s="1" t="str">
        <f t="shared" si="67"/>
        <v>NW</v>
      </c>
      <c r="AH183" s="92" t="str">
        <f t="shared" si="68"/>
        <v>"%USERPROFILE%\Documents\GitHub\eaglep3\Utilities\RefineRTDCRunTimes.py" --tripid 808-14 --locoid 4021 --swversion DE.1.0.8.0 --startMP 300:58621 --initTime 2016-11-14T07:37:46 --startdatetime 2016-11-14T07:40:11 --delay 1 --endMP 204:682 --enddatetime 2016-11-14T07:56:30 --enforcementcount 0 &gt;&gt;C:\Users\stu\Documents\GitHub\eaglep3-reporting\EC\2016-11-14-refined-times.txt</v>
      </c>
      <c r="AI183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{"issue":{"subject":"","project_id":79,"tracker_id":40,"status_id":1,"priority_id":2,"assigned_to_id":23,"start_date":"2016-11-14","description":"","custom_fields":[{"id":1,"name":"Subdivision","value":"NW"},{"id":4,"name":"Milepost","value":"0.0682"},{"id":17,"name":"Train ID","value":"808-14"},{"id":16,"name":"Locomotive ID","value":"4021"},{"id":130,"name":"Impact","value":""},{"id":150,"name":"Time of Event (Mountain Time)","value":"07:56:30"},{"id":151,"name":"Denver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482</v>
      </c>
      <c r="B184" s="7">
        <v>4038</v>
      </c>
      <c r="C184" s="22" t="s">
        <v>224</v>
      </c>
      <c r="D184" s="22" t="s">
        <v>745</v>
      </c>
      <c r="E184" s="13">
        <v>42688.31858796296</v>
      </c>
      <c r="F184" s="13">
        <v>42688.327268518522</v>
      </c>
      <c r="G184" s="7">
        <v>1</v>
      </c>
      <c r="H184" s="22" t="s">
        <v>346</v>
      </c>
      <c r="I184" s="13">
        <v>42688.337256944447</v>
      </c>
      <c r="J184" s="7">
        <v>0</v>
      </c>
      <c r="K184" s="109" t="str">
        <f t="shared" si="53"/>
        <v>4037/4038</v>
      </c>
      <c r="L184" s="22" t="str">
        <f>VLOOKUP(A184,'Trips&amp;Operators'!$C$1:$E$10000,3,FALSE)</f>
        <v>BRANDNER</v>
      </c>
      <c r="M184" s="6">
        <f t="shared" si="54"/>
        <v>9.9884259252576157E-3</v>
      </c>
      <c r="N184" s="7">
        <f t="shared" si="55"/>
        <v>14.383333332370967</v>
      </c>
      <c r="O184" s="7"/>
      <c r="P184" s="7"/>
      <c r="Q184" s="23"/>
      <c r="R184" s="23"/>
      <c r="S184" s="35">
        <f t="shared" si="56"/>
        <v>1</v>
      </c>
      <c r="T184" s="50" t="str">
        <f t="shared" si="5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06:38:46-700',mode:absolute,to:'2016-11-14 09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4" s="52" t="str">
        <f t="shared" si="59"/>
        <v>N</v>
      </c>
      <c r="X184" s="177">
        <f t="shared" si="60"/>
        <v>1</v>
      </c>
      <c r="Y184" s="67">
        <f t="shared" si="61"/>
        <v>0.1009</v>
      </c>
      <c r="Z184" s="67">
        <f t="shared" si="62"/>
        <v>5.8968999999999996</v>
      </c>
      <c r="AA184" s="67">
        <f t="shared" si="63"/>
        <v>5.7959999999999994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4"/>
        <v>0809-14</v>
      </c>
      <c r="AE184" s="91" t="str">
        <f t="shared" si="65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184" s="88" t="str">
        <f t="shared" si="66"/>
        <v>"C:\Program Files (x86)\AstroGrep\AstroGrep.exe" /spath="%USERPROFILE%\AppData\Local\Temp\OnboardLogs" /stypes="app*4038*20161114*" /stext=" 15:.+((SYSTEM_STATE.+slice.+state.+changed )|(ment ac)|(system.+state.+changed )|(\[timeout)|(PRM\|1\|D)|(kpr)|(kdp)|(\|lc)|(penalty))" /e /r /s</v>
      </c>
      <c r="AG184" s="1" t="str">
        <f t="shared" si="67"/>
        <v>NW</v>
      </c>
      <c r="AH184" s="92" t="str">
        <f t="shared" si="68"/>
        <v>"%USERPROFILE%\Documents\GitHub\eaglep3\Utilities\RefineRTDCRunTimes.py" --tripid 809-14 --locoid 4038 --swversion DE.1.0.8.0 --startMP 204:1009 --initTime 2016-11-14T07:38:46 --startdatetime 2016-11-14T07:51:16 --delay 1 --endMP 300:58969 --enddatetime 2016-11-14T08:05:39 --enforcementcount 0 &gt;&gt;C:\Users\stu\Documents\GitHub\eaglep3-reporting\EC\2016-11-14-refined-times.txt</v>
      </c>
      <c r="AI184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{"issue":{"subject":"","project_id":79,"tracker_id":40,"status_id":1,"priority_id":2,"assigned_to_id":23,"start_date":"2016-11-14","description":"","custom_fields":[{"id":1,"name":"Subdivision","value":"NW"},{"id":4,"name":"Milepost","value":"5.8969"},{"id":17,"name":"Train ID","value":"809-14"},{"id":16,"name":"Locomotive ID","value":"4038"},{"id":130,"name":"Impact","value":""},{"id":150,"name":"Time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486</v>
      </c>
      <c r="B185" s="7">
        <v>4037</v>
      </c>
      <c r="C185" s="22" t="s">
        <v>224</v>
      </c>
      <c r="D185" s="22" t="s">
        <v>747</v>
      </c>
      <c r="E185" s="13">
        <v>42688.339201388888</v>
      </c>
      <c r="F185" s="13">
        <v>42688.340960648151</v>
      </c>
      <c r="G185" s="7">
        <v>1</v>
      </c>
      <c r="H185" s="22" t="s">
        <v>744</v>
      </c>
      <c r="I185" s="13">
        <v>42688.351875</v>
      </c>
      <c r="J185" s="7">
        <v>0</v>
      </c>
      <c r="K185" s="109" t="str">
        <f t="shared" si="53"/>
        <v>4037/4038</v>
      </c>
      <c r="L185" s="22" t="str">
        <f>VLOOKUP(A185,'Trips&amp;Operators'!$C$1:$E$10000,3,FALSE)</f>
        <v>BRANDNER</v>
      </c>
      <c r="M185" s="6">
        <f t="shared" si="54"/>
        <v>1.0914351849351078E-2</v>
      </c>
      <c r="N185" s="7">
        <f t="shared" si="55"/>
        <v>15.716666663065553</v>
      </c>
      <c r="O185" s="7"/>
      <c r="P185" s="7"/>
      <c r="Q185" s="23"/>
      <c r="R185" s="23"/>
      <c r="S185" s="35">
        <f t="shared" si="56"/>
        <v>1</v>
      </c>
      <c r="T185" s="50" t="str">
        <f t="shared" si="5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07:08:27-700',mode:absolute,to:'2016-11-14 09:26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5" s="52" t="str">
        <f t="shared" si="59"/>
        <v>N</v>
      </c>
      <c r="X185" s="177">
        <f t="shared" si="60"/>
        <v>1</v>
      </c>
      <c r="Y185" s="67">
        <f t="shared" si="61"/>
        <v>5.8648999999999996</v>
      </c>
      <c r="Z185" s="67">
        <f t="shared" si="62"/>
        <v>7.2700000000000001E-2</v>
      </c>
      <c r="AA185" s="67">
        <f t="shared" si="63"/>
        <v>5.7921999999999993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4"/>
        <v>0810-14</v>
      </c>
      <c r="AE185" s="91" t="str">
        <f t="shared" si="65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185" s="88" t="str">
        <f t="shared" si="66"/>
        <v>"C:\Program Files (x86)\AstroGrep\AstroGrep.exe" /spath="%USERPROFILE%\AppData\Local\Temp\OnboardLogs" /stypes="app*4037*20161114*" /stext=" 15:.+((SYSTEM_STATE.+slice.+state.+changed )|(ment ac)|(system.+state.+changed )|(\[timeout)|(PRM\|1\|D)|(kpr)|(kdp)|(\|lc)|(penalty))" /e /r /s</v>
      </c>
      <c r="AG185" s="1" t="str">
        <f t="shared" si="67"/>
        <v>NW</v>
      </c>
      <c r="AH185" s="92" t="str">
        <f t="shared" si="68"/>
        <v>"%USERPROFILE%\Documents\GitHub\eaglep3\Utilities\RefineRTDCRunTimes.py" --tripid 810-14 --locoid 4037 --swversion DE.1.0.8.0 --startMP 300:58649 --initTime 2016-11-14T08:08:27 --startdatetime 2016-11-14T08:10:59 --delay 1 --endMP 204:727 --enddatetime 2016-11-14T08:26:42 --enforcementcount 0 &gt;&gt;C:\Users\stu\Documents\GitHub\eaglep3-reporting\EC\2016-11-14-refined-times.txt</v>
      </c>
      <c r="AI185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{"issue":{"subject":"","project_id":79,"tracker_id":40,"status_id":1,"priority_id":2,"assigned_to_id":23,"start_date":"2016-11-14","description":"","custom_fields":[{"id":1,"name":"Subdivision","value":"NW"},{"id":4,"name":"Milepost","value":"0.0727"},{"id":17,"name":"Train ID","value":"810-14"},{"id":16,"name":"Locomotive ID","value":"4037"},{"id":130,"name":"Impact","value":""},{"id":150,"name":"Time of Event (Mountain Time)","value":"08:26:42"},{"id":151,"name":"Denver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408</v>
      </c>
      <c r="B186" s="7">
        <v>4022</v>
      </c>
      <c r="C186" s="22" t="s">
        <v>224</v>
      </c>
      <c r="D186" s="22" t="s">
        <v>741</v>
      </c>
      <c r="E186" s="13">
        <v>42688.33525462963</v>
      </c>
      <c r="F186" s="13">
        <v>42688.348171296297</v>
      </c>
      <c r="G186" s="7">
        <v>1</v>
      </c>
      <c r="H186" s="22" t="s">
        <v>752</v>
      </c>
      <c r="I186" s="13">
        <v>42688.358946759261</v>
      </c>
      <c r="J186" s="7">
        <v>0</v>
      </c>
      <c r="K186" s="109" t="str">
        <f t="shared" si="53"/>
        <v>4021/4022</v>
      </c>
      <c r="L186" s="22" t="str">
        <f>VLOOKUP(A186,'Trips&amp;Operators'!$C$1:$E$10000,3,FALSE)</f>
        <v>BERLING</v>
      </c>
      <c r="M186" s="6">
        <f t="shared" si="54"/>
        <v>1.0775462964375038E-2</v>
      </c>
      <c r="N186" s="7">
        <f t="shared" si="55"/>
        <v>15.516666668700054</v>
      </c>
      <c r="O186" s="7"/>
      <c r="P186" s="7"/>
      <c r="Q186" s="23"/>
      <c r="R186" s="23"/>
      <c r="S186" s="35">
        <f t="shared" si="56"/>
        <v>1</v>
      </c>
      <c r="T186" s="50" t="str">
        <f t="shared" si="5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07:02:46-700',mode:absolute,to:'2016-11-14 09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6" s="52" t="str">
        <f t="shared" si="59"/>
        <v>N</v>
      </c>
      <c r="X186" s="177">
        <f t="shared" si="60"/>
        <v>1</v>
      </c>
      <c r="Y186" s="67">
        <f t="shared" si="61"/>
        <v>9.69E-2</v>
      </c>
      <c r="Z186" s="67">
        <f t="shared" si="62"/>
        <v>5.8917999999999999</v>
      </c>
      <c r="AA186" s="67">
        <f t="shared" si="63"/>
        <v>5.7949000000000002</v>
      </c>
      <c r="AB186" s="64" t="str">
        <f>VLOOKUP(A186,Enforcements!$C$7:$K$20,8,0)</f>
        <v>Speed (6)</v>
      </c>
      <c r="AC186" s="60" t="str">
        <f>VLOOKUP(A186,Enforcements!$C$7:$E$20,3,0)</f>
        <v>PERMANENT SPEED RESTRICTION</v>
      </c>
      <c r="AD186" s="61" t="str">
        <f t="shared" si="64"/>
        <v>0811-14</v>
      </c>
      <c r="AE186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86" s="88" t="str">
        <f t="shared" si="66"/>
        <v>"C:\Program Files (x86)\AstroGrep\AstroGrep.exe" /spath="%USERPROFILE%\AppData\Local\Temp\OnboardLogs" /stypes="app*4022*20161114*" /stext=" 15:.+((SYSTEM_STATE.+slice.+state.+changed )|(ment ac)|(system.+state.+changed )|(\[timeout)|(PRM\|1\|D)|(kpr)|(kdp)|(\|lc)|(penalty))" /e /r /s</v>
      </c>
      <c r="AG186" s="1" t="str">
        <f t="shared" si="67"/>
        <v>NW</v>
      </c>
      <c r="AH186" s="92" t="str">
        <f t="shared" si="68"/>
        <v>"%USERPROFILE%\Documents\GitHub\eaglep3\Utilities\RefineRTDCRunTimes.py" --tripid 811-14 --locoid 4022 --swversion DE.1.0.8.0 --startMP 204:969 --initTime 2016-11-14T08:02:46 --startdatetime 2016-11-14T08:21:22 --delay 1 --endMP 300:58918 --enddatetime 2016-11-14T08:36:53 --enforcementcount 0 &gt;&gt;C:\Users\stu\Documents\GitHub\eaglep3-reporting\EC\2016-11-14-refined-times.txt</v>
      </c>
      <c r="AI186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{"issue":{"subject":"","project_id":79,"tracker_id":40,"status_id":1,"priority_id":2,"assigned_to_id":23,"start_date":"2016-11-14","description":"","custom_fields":[{"id":1,"name":"Subdivision","value":"NW"},{"id":4,"name":"Milepost","value":"5.8918"},{"id":17,"name":"Train ID","value":"811-14"},{"id":16,"name":"Locomotive ID","value":"4022"},{"id":130,"name":"Impact","value":""},{"id":150,"name":"Time of Event (Mountain Time)","value":"08:36:53"},{"id":151,"name":"Denver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492</v>
      </c>
      <c r="B187" s="7">
        <v>4021</v>
      </c>
      <c r="C187" s="22" t="s">
        <v>224</v>
      </c>
      <c r="D187" s="22" t="s">
        <v>379</v>
      </c>
      <c r="E187" s="13">
        <v>42688.36041666667</v>
      </c>
      <c r="F187" s="13">
        <v>42688.361689814818</v>
      </c>
      <c r="G187" s="7">
        <v>1</v>
      </c>
      <c r="H187" s="22" t="s">
        <v>388</v>
      </c>
      <c r="I187" s="13">
        <v>42688.372245370374</v>
      </c>
      <c r="J187" s="7">
        <v>0</v>
      </c>
      <c r="K187" s="109" t="str">
        <f t="shared" si="53"/>
        <v>4021/4022</v>
      </c>
      <c r="L187" s="22" t="str">
        <f>VLOOKUP(A187,'Trips&amp;Operators'!$C$1:$E$10000,3,FALSE)</f>
        <v>BERLING</v>
      </c>
      <c r="M187" s="6">
        <f t="shared" si="54"/>
        <v>1.0555555556493346E-2</v>
      </c>
      <c r="N187" s="7">
        <f t="shared" si="55"/>
        <v>15.200000001350418</v>
      </c>
      <c r="O187" s="7"/>
      <c r="P187" s="7"/>
      <c r="Q187" s="23"/>
      <c r="R187" s="23"/>
      <c r="S187" s="35">
        <f t="shared" si="56"/>
        <v>1</v>
      </c>
      <c r="T187" s="50" t="str">
        <f t="shared" si="5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07:39:00-700',mode:absolute,to:'2016-11-14 09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7" s="52" t="str">
        <f t="shared" si="59"/>
        <v>N</v>
      </c>
      <c r="X187" s="177">
        <f t="shared" si="60"/>
        <v>1</v>
      </c>
      <c r="Y187" s="67">
        <f t="shared" si="61"/>
        <v>5.8615000000000004</v>
      </c>
      <c r="Z187" s="67">
        <f t="shared" si="62"/>
        <v>6.7100000000000007E-2</v>
      </c>
      <c r="AA187" s="67">
        <f t="shared" si="63"/>
        <v>5.7944000000000004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4"/>
        <v>0812-14</v>
      </c>
      <c r="AE187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87" s="88" t="str">
        <f t="shared" si="66"/>
        <v>"C:\Program Files (x86)\AstroGrep\AstroGrep.exe" /spath="%USERPROFILE%\AppData\Local\Temp\OnboardLogs" /stypes="app*4021*20161114*" /stext=" 15:.+((SYSTEM_STATE.+slice.+state.+changed )|(ment ac)|(system.+state.+changed )|(\[timeout)|(PRM\|1\|D)|(kpr)|(kdp)|(\|lc)|(penalty))" /e /r /s</v>
      </c>
      <c r="AG187" s="1" t="str">
        <f t="shared" si="67"/>
        <v>NW</v>
      </c>
      <c r="AH187" s="92" t="str">
        <f t="shared" si="68"/>
        <v>"%USERPROFILE%\Documents\GitHub\eaglep3\Utilities\RefineRTDCRunTimes.py" --tripid 812-14 --locoid 4021 --swversion DE.1.0.8.0 --startMP 300:58615 --initTime 2016-11-14T08:39:00 --startdatetime 2016-11-14T08:40:50 --delay 1 --endMP 204:671 --enddatetime 2016-11-14T08:56:02 --enforcementcount 0 &gt;&gt;C:\Users\stu\Documents\GitHub\eaglep3-reporting\EC\2016-11-14-refined-times.txt</v>
      </c>
      <c r="AI187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{"issue":{"subject":"","project_id":79,"tracker_id":40,"status_id":1,"priority_id":2,"assigned_to_id":23,"start_date":"2016-11-14","description":"","custom_fields":[{"id":1,"name":"Subdivision","value":"NW"},{"id":4,"name":"Milepost","value":"0.0671"},{"id":17,"name":"Train ID","value":"812-14"},{"id":16,"name":"Locomotive ID","value":"4021"},{"id":130,"name":"Impact","value":""},{"id":150,"name":"Time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496</v>
      </c>
      <c r="B188" s="7">
        <v>4022</v>
      </c>
      <c r="C188" s="22" t="s">
        <v>224</v>
      </c>
      <c r="D188" s="22" t="s">
        <v>753</v>
      </c>
      <c r="E188" s="13">
        <v>42688.383483796293</v>
      </c>
      <c r="F188" s="13">
        <v>42688.389791666668</v>
      </c>
      <c r="G188" s="7">
        <v>1</v>
      </c>
      <c r="H188" s="22" t="s">
        <v>754</v>
      </c>
      <c r="I188" s="13">
        <v>42688.400289351855</v>
      </c>
      <c r="J188" s="7">
        <v>0</v>
      </c>
      <c r="K188" s="109" t="str">
        <f t="shared" si="53"/>
        <v>4021/4022</v>
      </c>
      <c r="L188" s="22" t="str">
        <f>VLOOKUP(A188,'Trips&amp;Operators'!$C$1:$E$10000,3,FALSE)</f>
        <v>BERLING</v>
      </c>
      <c r="M188" s="6">
        <f t="shared" si="54"/>
        <v>1.0497685187146999E-2</v>
      </c>
      <c r="N188" s="7">
        <f t="shared" si="55"/>
        <v>15.116666669491678</v>
      </c>
      <c r="O188" s="7"/>
      <c r="P188" s="7"/>
      <c r="Q188" s="23"/>
      <c r="R188" s="23"/>
      <c r="S188" s="35">
        <f t="shared" si="56"/>
        <v>1</v>
      </c>
      <c r="T188" s="50" t="str">
        <f t="shared" si="5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08:12:13-700',mode:absolute,to:'2016-11-14 10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8" s="52" t="str">
        <f t="shared" si="59"/>
        <v>N</v>
      </c>
      <c r="X188" s="177">
        <f t="shared" si="60"/>
        <v>1</v>
      </c>
      <c r="Y188" s="67">
        <f t="shared" si="61"/>
        <v>9.5000000000000001E-2</v>
      </c>
      <c r="Z188" s="67">
        <f t="shared" si="62"/>
        <v>5.8914</v>
      </c>
      <c r="AA188" s="67">
        <f t="shared" si="63"/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4"/>
        <v>0813-14</v>
      </c>
      <c r="AE188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88" s="88" t="str">
        <f t="shared" si="66"/>
        <v>"C:\Program Files (x86)\AstroGrep\AstroGrep.exe" /spath="%USERPROFILE%\AppData\Local\Temp\OnboardLogs" /stypes="app*4022*20161114*" /stext=" 16:.+((SYSTEM_STATE.+slice.+state.+changed )|(ment ac)|(system.+state.+changed )|(\[timeout)|(PRM\|1\|D)|(kpr)|(kdp)|(\|lc)|(penalty))" /e /r /s</v>
      </c>
      <c r="AG188" s="1" t="str">
        <f t="shared" si="67"/>
        <v>NW</v>
      </c>
      <c r="AH188" s="92" t="str">
        <f t="shared" si="68"/>
        <v>"%USERPROFILE%\Documents\GitHub\eaglep3\Utilities\RefineRTDCRunTimes.py" --tripid 813-14 --locoid 4022 --swversion DE.1.0.8.0 --startMP 204:950 --initTime 2016-11-14T09:12:13 --startdatetime 2016-11-14T09:21:18 --delay 1 --endMP 300:58914 --enddatetime 2016-11-14T09:36:25 --enforcementcount 0 &gt;&gt;C:\Users\stu\Documents\GitHub\eaglep3-reporting\EC\2016-11-14-refined-times.txt</v>
      </c>
      <c r="AI188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{"issue":{"subject":"","project_id":79,"tracker_id":40,"status_id":1,"priority_id":2,"assigned_to_id":23,"start_date":"2016-11-14","description":"","custom_fields":[{"id":1,"name":"Subdivision","value":"NW"},{"id":4,"name":"Milepost","value":"5.8914"},{"id":17,"name":"Train ID","value":"813-14"},{"id":16,"name":"Locomotive ID","value":"4022"},{"id":130,"name":"Impact","value":""},{"id":150,"name":"Time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500</v>
      </c>
      <c r="B189" s="7">
        <v>4021</v>
      </c>
      <c r="C189" s="22" t="s">
        <v>224</v>
      </c>
      <c r="D189" s="22" t="s">
        <v>755</v>
      </c>
      <c r="E189" s="13">
        <v>42688.401562500003</v>
      </c>
      <c r="F189" s="13">
        <v>42688.402731481481</v>
      </c>
      <c r="G189" s="7">
        <v>1</v>
      </c>
      <c r="H189" s="22" t="s">
        <v>756</v>
      </c>
      <c r="I189" s="13">
        <v>42688.414027777777</v>
      </c>
      <c r="J189" s="7">
        <v>0</v>
      </c>
      <c r="K189" s="109" t="str">
        <f t="shared" si="53"/>
        <v>4021/4022</v>
      </c>
      <c r="L189" s="22" t="str">
        <f>VLOOKUP(A189,'Trips&amp;Operators'!$C$1:$E$10000,3,FALSE)</f>
        <v>BERLING</v>
      </c>
      <c r="M189" s="6">
        <f t="shared" si="54"/>
        <v>1.1296296295768116E-2</v>
      </c>
      <c r="N189" s="7">
        <f t="shared" si="55"/>
        <v>16.266666665906087</v>
      </c>
      <c r="O189" s="7"/>
      <c r="P189" s="7"/>
      <c r="Q189" s="23"/>
      <c r="R189" s="23"/>
      <c r="S189" s="35">
        <f t="shared" si="56"/>
        <v>1</v>
      </c>
      <c r="T189" s="50" t="str">
        <f t="shared" si="5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08:38:15-700',mode:absolute,to:'2016-11-14 10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9" s="52" t="str">
        <f t="shared" si="59"/>
        <v>N</v>
      </c>
      <c r="X189" s="177">
        <f t="shared" si="60"/>
        <v>1</v>
      </c>
      <c r="Y189" s="67">
        <f t="shared" si="61"/>
        <v>5.8597999999999999</v>
      </c>
      <c r="Z189" s="67">
        <f t="shared" si="62"/>
        <v>6.9099999999999995E-2</v>
      </c>
      <c r="AA189" s="67">
        <f t="shared" si="63"/>
        <v>5.7907000000000002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4"/>
        <v>0814-14</v>
      </c>
      <c r="AE189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89" s="88" t="str">
        <f t="shared" si="66"/>
        <v>"C:\Program Files (x86)\AstroGrep\AstroGrep.exe" /spath="%USERPROFILE%\AppData\Local\Temp\OnboardLogs" /stypes="app*4021*20161114*" /stext=" 16:.+((SYSTEM_STATE.+slice.+state.+changed )|(ment ac)|(system.+state.+changed )|(\[timeout)|(PRM\|1\|D)|(kpr)|(kdp)|(\|lc)|(penalty))" /e /r /s</v>
      </c>
      <c r="AG189" s="1" t="str">
        <f t="shared" si="67"/>
        <v>NW</v>
      </c>
      <c r="AH189" s="92" t="str">
        <f t="shared" si="68"/>
        <v>"%USERPROFILE%\Documents\GitHub\eaglep3\Utilities\RefineRTDCRunTimes.py" --tripid 814-14 --locoid 4021 --swversion DE.1.0.8.0 --startMP 300:58598 --initTime 2016-11-14T09:38:15 --startdatetime 2016-11-14T09:39:56 --delay 1 --endMP 204:691 --enddatetime 2016-11-14T09:56:12 --enforcementcount 0 &gt;&gt;C:\Users\stu\Documents\GitHub\eaglep3-reporting\EC\2016-11-14-refined-times.txt</v>
      </c>
      <c r="AI189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{"issue":{"subject":"","project_id":79,"tracker_id":40,"status_id":1,"priority_id":2,"assigned_to_id":23,"start_date":"2016-11-14","description":"","custom_fields":[{"id":1,"name":"Subdivision","value":"NW"},{"id":4,"name":"Milepost","value":"0.0691"},{"id":17,"name":"Train ID","value":"814-14"},{"id":16,"name":"Locomotive ID","value":"4021"},{"id":130,"name":"Impact","value":""},{"id":150,"name":"Time of Event (Mountain Time)","value":"09:56:12"},{"id":151,"name":"Denver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505</v>
      </c>
      <c r="B190" s="7">
        <v>4022</v>
      </c>
      <c r="C190" s="22" t="s">
        <v>224</v>
      </c>
      <c r="D190" s="22" t="s">
        <v>757</v>
      </c>
      <c r="E190" s="13">
        <v>42688.424143518518</v>
      </c>
      <c r="F190" s="13">
        <v>42688.431446759256</v>
      </c>
      <c r="G190" s="7">
        <v>1</v>
      </c>
      <c r="H190" s="22" t="s">
        <v>758</v>
      </c>
      <c r="I190" s="13">
        <v>42688.441608796296</v>
      </c>
      <c r="J190" s="7">
        <v>0</v>
      </c>
      <c r="K190" s="109" t="str">
        <f t="shared" si="53"/>
        <v>4021/4022</v>
      </c>
      <c r="L190" s="22" t="str">
        <f>VLOOKUP(A190,'Trips&amp;Operators'!$C$1:$E$10000,3,FALSE)</f>
        <v>BERLING</v>
      </c>
      <c r="M190" s="6">
        <f t="shared" si="54"/>
        <v>1.0162037040572613E-2</v>
      </c>
      <c r="N190" s="7">
        <f t="shared" si="55"/>
        <v>14.633333338424563</v>
      </c>
      <c r="O190" s="7"/>
      <c r="P190" s="7"/>
      <c r="Q190" s="23"/>
      <c r="R190" s="23"/>
      <c r="S190" s="35">
        <f t="shared" si="56"/>
        <v>1</v>
      </c>
      <c r="T190" s="50" t="str">
        <f t="shared" si="5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09:10:46-700',mode:absolute,to:'2016-11-14 11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0" s="52" t="str">
        <f t="shared" si="59"/>
        <v>N</v>
      </c>
      <c r="X190" s="177">
        <f t="shared" si="60"/>
        <v>1</v>
      </c>
      <c r="Y190" s="67">
        <f t="shared" si="61"/>
        <v>9.8799999999999999E-2</v>
      </c>
      <c r="Z190" s="67">
        <f t="shared" si="62"/>
        <v>5.8924000000000003</v>
      </c>
      <c r="AA190" s="67">
        <f t="shared" si="63"/>
        <v>5.7936000000000005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4"/>
        <v>0815-14</v>
      </c>
      <c r="AE190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90" s="88" t="str">
        <f t="shared" si="66"/>
        <v>"C:\Program Files (x86)\AstroGrep\AstroGrep.exe" /spath="%USERPROFILE%\AppData\Local\Temp\OnboardLogs" /stypes="app*4022*20161114*" /stext=" 17:.+((SYSTEM_STATE.+slice.+state.+changed )|(ment ac)|(system.+state.+changed )|(\[timeout)|(PRM\|1\|D)|(kpr)|(kdp)|(\|lc)|(penalty))" /e /r /s</v>
      </c>
      <c r="AG190" s="1" t="str">
        <f t="shared" si="67"/>
        <v>NW</v>
      </c>
      <c r="AH190" s="92" t="str">
        <f t="shared" si="68"/>
        <v>"%USERPROFILE%\Documents\GitHub\eaglep3\Utilities\RefineRTDCRunTimes.py" --tripid 815-14 --locoid 4022 --swversion DE.1.0.8.0 --startMP 204:988 --initTime 2016-11-14T10:10:46 --startdatetime 2016-11-14T10:21:17 --delay 1 --endMP 300:58924 --enddatetime 2016-11-14T10:35:55 --enforcementcount 0 &gt;&gt;C:\Users\stu\Documents\GitHub\eaglep3-reporting\EC\2016-11-14-refined-times.txt</v>
      </c>
      <c r="AI190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{"issue":{"subject":"","project_id":79,"tracker_id":40,"status_id":1,"priority_id":2,"assigned_to_id":23,"start_date":"2016-11-14","description":"","custom_fields":[{"id":1,"name":"Subdivision","value":"NW"},{"id":4,"name":"Milepost","value":"5.8924"},{"id":17,"name":"Train ID","value":"815-14"},{"id":16,"name":"Locomotive ID","value":"4022"},{"id":130,"name":"Impact","value":""},{"id":150,"name":"Time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508</v>
      </c>
      <c r="B191" s="7">
        <v>4021</v>
      </c>
      <c r="C191" s="22" t="s">
        <v>224</v>
      </c>
      <c r="D191" s="22" t="s">
        <v>379</v>
      </c>
      <c r="E191" s="13">
        <v>42688.442777777775</v>
      </c>
      <c r="F191" s="13">
        <v>42688.44425925926</v>
      </c>
      <c r="G191" s="7">
        <v>1</v>
      </c>
      <c r="H191" s="22" t="s">
        <v>759</v>
      </c>
      <c r="I191" s="13">
        <v>42688.455671296295</v>
      </c>
      <c r="J191" s="7">
        <v>0</v>
      </c>
      <c r="K191" s="109" t="str">
        <f t="shared" si="53"/>
        <v>4021/4022</v>
      </c>
      <c r="L191" s="22" t="str">
        <f>VLOOKUP(A191,'Trips&amp;Operators'!$C$1:$E$10000,3,FALSE)</f>
        <v>BERLING</v>
      </c>
      <c r="M191" s="6">
        <f t="shared" si="54"/>
        <v>1.1412037034460809E-2</v>
      </c>
      <c r="N191" s="7">
        <f t="shared" si="55"/>
        <v>16.433333329623565</v>
      </c>
      <c r="O191" s="7"/>
      <c r="P191" s="7"/>
      <c r="Q191" s="23"/>
      <c r="R191" s="23"/>
      <c r="S191" s="35">
        <f t="shared" si="56"/>
        <v>1</v>
      </c>
      <c r="T191" s="50" t="str">
        <f t="shared" si="57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09:37:36-700',mode:absolute,to:'2016-11-14 11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1" s="52" t="str">
        <f t="shared" si="59"/>
        <v>N</v>
      </c>
      <c r="X191" s="177">
        <f t="shared" si="60"/>
        <v>1</v>
      </c>
      <c r="Y191" s="67">
        <f t="shared" si="61"/>
        <v>5.8615000000000004</v>
      </c>
      <c r="Z191" s="67">
        <f t="shared" si="62"/>
        <v>6.7500000000000004E-2</v>
      </c>
      <c r="AA191" s="67">
        <f t="shared" si="63"/>
        <v>5.7940000000000005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4"/>
        <v>0816-14</v>
      </c>
      <c r="AE191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91" s="88" t="str">
        <f t="shared" si="66"/>
        <v>"C:\Program Files (x86)\AstroGrep\AstroGrep.exe" /spath="%USERPROFILE%\AppData\Local\Temp\OnboardLogs" /stypes="app*4021*20161114*" /stext=" 17:.+((SYSTEM_STATE.+slice.+state.+changed )|(ment ac)|(system.+state.+changed )|(\[timeout)|(PRM\|1\|D)|(kpr)|(kdp)|(\|lc)|(penalty))" /e /r /s</v>
      </c>
      <c r="AG191" s="1" t="str">
        <f t="shared" si="67"/>
        <v>NW</v>
      </c>
      <c r="AH191" s="92" t="str">
        <f t="shared" si="68"/>
        <v>"%USERPROFILE%\Documents\GitHub\eaglep3\Utilities\RefineRTDCRunTimes.py" --tripid 816-14 --locoid 4021 --swversion DE.1.0.8.0 --startMP 300:58615 --initTime 2016-11-14T10:37:36 --startdatetime 2016-11-14T10:39:44 --delay 1 --endMP 204:675 --enddatetime 2016-11-14T10:56:10 --enforcementcount 0 &gt;&gt;C:\Users\stu\Documents\GitHub\eaglep3-reporting\EC\2016-11-14-refined-times.txt</v>
      </c>
      <c r="AI191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{"issue":{"subject":"","project_id":79,"tracker_id":40,"status_id":1,"priority_id":2,"assigned_to_id":23,"start_date":"2016-11-14","description":"","custom_fields":[{"id":1,"name":"Subdivision","value":"NW"},{"id":4,"name":"Milepost","value":"0.0675"},{"id":17,"name":"Train ID","value":"816-14"},{"id":16,"name":"Locomotive ID","value":"4021"},{"id":130,"name":"Impact","value":""},{"id":150,"name":"Time of Event (Mountain Time)","value":"10:56:10"},{"id":151,"name":"Denver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513</v>
      </c>
      <c r="B192" s="7">
        <v>4022</v>
      </c>
      <c r="C192" s="22" t="s">
        <v>224</v>
      </c>
      <c r="D192" s="22" t="s">
        <v>386</v>
      </c>
      <c r="E192" s="13">
        <v>42688.465405092589</v>
      </c>
      <c r="F192" s="13">
        <v>42688.473136574074</v>
      </c>
      <c r="G192" s="7">
        <v>1</v>
      </c>
      <c r="H192" s="22" t="s">
        <v>742</v>
      </c>
      <c r="I192" s="13">
        <v>42688.48332175926</v>
      </c>
      <c r="J192" s="7">
        <v>0</v>
      </c>
      <c r="K192" s="109" t="str">
        <f t="shared" si="53"/>
        <v>4021/4022</v>
      </c>
      <c r="L192" s="22" t="str">
        <f>VLOOKUP(A192,'Trips&amp;Operators'!$C$1:$E$10000,3,FALSE)</f>
        <v>BERLING</v>
      </c>
      <c r="M192" s="6">
        <f t="shared" si="54"/>
        <v>1.0185185186855961E-2</v>
      </c>
      <c r="N192" s="7">
        <f t="shared" si="55"/>
        <v>14.666666669072583</v>
      </c>
      <c r="O192" s="7"/>
      <c r="P192" s="7"/>
      <c r="Q192" s="23"/>
      <c r="R192" s="23"/>
      <c r="S192" s="35">
        <f t="shared" si="56"/>
        <v>1</v>
      </c>
      <c r="T192" s="50" t="str">
        <f t="shared" si="5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10:10:11-700',mode:absolute,to:'2016-11-14 12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2" s="52" t="str">
        <f t="shared" si="59"/>
        <v>N</v>
      </c>
      <c r="X192" s="177">
        <f t="shared" si="60"/>
        <v>1</v>
      </c>
      <c r="Y192" s="67">
        <f t="shared" si="61"/>
        <v>9.5799999999999996E-2</v>
      </c>
      <c r="Z192" s="67">
        <f t="shared" si="62"/>
        <v>5.8920000000000003</v>
      </c>
      <c r="AA192" s="67">
        <f t="shared" si="63"/>
        <v>5.7962000000000007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4"/>
        <v>0817-14</v>
      </c>
      <c r="AE192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92" s="88" t="str">
        <f t="shared" si="66"/>
        <v>"C:\Program Files (x86)\AstroGrep\AstroGrep.exe" /spath="%USERPROFILE%\AppData\Local\Temp\OnboardLogs" /stypes="app*4022*20161114*" /stext=" 18:.+((SYSTEM_STATE.+slice.+state.+changed )|(ment ac)|(system.+state.+changed )|(\[timeout)|(PRM\|1\|D)|(kpr)|(kdp)|(\|lc)|(penalty))" /e /r /s</v>
      </c>
      <c r="AG192" s="1" t="str">
        <f t="shared" si="67"/>
        <v>NW</v>
      </c>
      <c r="AH192" s="92" t="str">
        <f t="shared" si="68"/>
        <v>"%USERPROFILE%\Documents\GitHub\eaglep3\Utilities\RefineRTDCRunTimes.py" --tripid 817-14 --locoid 4022 --swversion DE.1.0.8.0 --startMP 204:958 --initTime 2016-11-14T11:10:11 --startdatetime 2016-11-14T11:21:19 --delay 1 --endMP 300:58920 --enddatetime 2016-11-14T11:35:59 --enforcementcount 0 &gt;&gt;C:\Users\stu\Documents\GitHub\eaglep3-reporting\EC\2016-11-14-refined-times.txt</v>
      </c>
      <c r="AI192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{"issue":{"subject":"","project_id":79,"tracker_id":40,"status_id":1,"priority_id":2,"assigned_to_id":23,"start_date":"2016-11-14","description":"","custom_fields":[{"id":1,"name":"Subdivision","value":"NW"},{"id":4,"name":"Milepost","value":"5.892"},{"id":17,"name":"Train ID","value":"817-14"},{"id":16,"name":"Locomotive ID","value":"4022"},{"id":130,"name":"Impact","value":""},{"id":150,"name":"Time of Event (Mountain Time)","value":"11:35:59"},{"id":151,"name":"Denver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415</v>
      </c>
      <c r="B193" s="7">
        <v>4021</v>
      </c>
      <c r="C193" s="22" t="s">
        <v>224</v>
      </c>
      <c r="D193" s="22" t="s">
        <v>320</v>
      </c>
      <c r="E193" s="13">
        <v>42688.484502314815</v>
      </c>
      <c r="F193" s="13">
        <v>42688.485636574071</v>
      </c>
      <c r="G193" s="7">
        <v>1</v>
      </c>
      <c r="H193" s="22" t="s">
        <v>760</v>
      </c>
      <c r="I193" s="13">
        <v>42688.497118055559</v>
      </c>
      <c r="J193" s="7">
        <v>0</v>
      </c>
      <c r="K193" s="109" t="str">
        <f t="shared" si="53"/>
        <v>4021/4022</v>
      </c>
      <c r="L193" s="22" t="str">
        <f>VLOOKUP(A193,'Trips&amp;Operators'!$C$1:$E$10000,3,FALSE)</f>
        <v>BERLING</v>
      </c>
      <c r="M193" s="6">
        <f t="shared" si="54"/>
        <v>1.1481481487862766E-2</v>
      </c>
      <c r="N193" s="7">
        <f t="shared" si="55"/>
        <v>16.533333342522383</v>
      </c>
      <c r="O193" s="7"/>
      <c r="P193" s="7"/>
      <c r="Q193" s="23"/>
      <c r="R193" s="23"/>
      <c r="S193" s="35">
        <f t="shared" si="56"/>
        <v>1</v>
      </c>
      <c r="T193" s="50" t="str">
        <f t="shared" si="5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10:37:41-700',mode:absolute,to:'2016-11-14 12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3" s="52" t="str">
        <f t="shared" si="59"/>
        <v>N</v>
      </c>
      <c r="X193" s="177">
        <f t="shared" si="60"/>
        <v>1</v>
      </c>
      <c r="Y193" s="67">
        <f t="shared" si="61"/>
        <v>5.8613</v>
      </c>
      <c r="Z193" s="67">
        <f t="shared" si="62"/>
        <v>6.7000000000000004E-2</v>
      </c>
      <c r="AA193" s="67">
        <f t="shared" si="63"/>
        <v>5.7942999999999998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4"/>
        <v>0818-14</v>
      </c>
      <c r="AE193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93" s="88" t="str">
        <f t="shared" si="66"/>
        <v>"C:\Program Files (x86)\AstroGrep\AstroGrep.exe" /spath="%USERPROFILE%\AppData\Local\Temp\OnboardLogs" /stypes="app*4021*20161114*" /stext=" 18:.+((SYSTEM_STATE.+slice.+state.+changed )|(ment ac)|(system.+state.+changed )|(\[timeout)|(PRM\|1\|D)|(kpr)|(kdp)|(\|lc)|(penalty))" /e /r /s</v>
      </c>
      <c r="AG193" s="1" t="str">
        <f t="shared" si="67"/>
        <v>NW</v>
      </c>
      <c r="AH193" s="92" t="str">
        <f t="shared" si="68"/>
        <v>"%USERPROFILE%\Documents\GitHub\eaglep3\Utilities\RefineRTDCRunTimes.py" --tripid 818-14 --locoid 4021 --swversion DE.1.0.8.0 --startMP 300:58613 --initTime 2016-11-14T11:37:41 --startdatetime 2016-11-14T11:39:19 --delay 1 --endMP 204:670 --enddatetime 2016-11-14T11:55:51 --enforcementcount 0 &gt;&gt;C:\Users\stu\Documents\GitHub\eaglep3-reporting\EC\2016-11-14-refined-times.txt</v>
      </c>
      <c r="AI193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{"issue":{"subject":"","project_id":79,"tracker_id":40,"status_id":1,"priority_id":2,"assigned_to_id":23,"start_date":"2016-11-14","description":"","custom_fields":[{"id":1,"name":"Subdivision","value":"NW"},{"id":4,"name":"Milepost","value":"0.067"},{"id":17,"name":"Train ID","value":"818-14"},{"id":16,"name":"Locomotive ID","value":"4021"},{"id":130,"name":"Impact","value":""},{"id":150,"name":"Time of Event (Mountain Time)","value":"11:55:51"},{"id":151,"name":"Denver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522</v>
      </c>
      <c r="B194" s="7">
        <v>4022</v>
      </c>
      <c r="C194" s="22" t="s">
        <v>224</v>
      </c>
      <c r="D194" s="22" t="s">
        <v>761</v>
      </c>
      <c r="E194" s="13">
        <v>42688.507893518516</v>
      </c>
      <c r="F194" s="13">
        <v>42688.514768518522</v>
      </c>
      <c r="G194" s="7">
        <v>1</v>
      </c>
      <c r="H194" s="22" t="s">
        <v>380</v>
      </c>
      <c r="I194" s="13">
        <v>42688.524583333332</v>
      </c>
      <c r="J194" s="7">
        <v>0</v>
      </c>
      <c r="K194" s="109" t="str">
        <f t="shared" si="53"/>
        <v>4021/4022</v>
      </c>
      <c r="L194" s="22" t="str">
        <f>VLOOKUP(A194,'Trips&amp;Operators'!$C$1:$E$10000,3,FALSE)</f>
        <v>BERLING</v>
      </c>
      <c r="M194" s="6">
        <f t="shared" si="54"/>
        <v>9.814814809942618E-3</v>
      </c>
      <c r="N194" s="7">
        <f t="shared" si="55"/>
        <v>14.13333332631737</v>
      </c>
      <c r="O194" s="7"/>
      <c r="P194" s="7"/>
      <c r="Q194" s="23"/>
      <c r="R194" s="23"/>
      <c r="S194" s="35">
        <f t="shared" si="56"/>
        <v>1</v>
      </c>
      <c r="T194" s="50" t="str">
        <f t="shared" si="5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11:11:22-700',mode:absolute,to:'2016-11-14 13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4" s="52" t="str">
        <f t="shared" si="59"/>
        <v>N</v>
      </c>
      <c r="X194" s="177">
        <f t="shared" si="60"/>
        <v>1</v>
      </c>
      <c r="Y194" s="67">
        <f t="shared" si="61"/>
        <v>9.6199999999999994E-2</v>
      </c>
      <c r="Z194" s="67">
        <f t="shared" si="62"/>
        <v>5.8930999999999996</v>
      </c>
      <c r="AA194" s="67">
        <f t="shared" si="63"/>
        <v>5.7968999999999999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4"/>
        <v>0819-14</v>
      </c>
      <c r="AE194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94" s="88" t="str">
        <f t="shared" si="66"/>
        <v>"C:\Program Files (x86)\AstroGrep\AstroGrep.exe" /spath="%USERPROFILE%\AppData\Local\Temp\OnboardLogs" /stypes="app*4022*20161114*" /stext=" 19:.+((SYSTEM_STATE.+slice.+state.+changed )|(ment ac)|(system.+state.+changed )|(\[timeout)|(PRM\|1\|D)|(kpr)|(kdp)|(\|lc)|(penalty))" /e /r /s</v>
      </c>
      <c r="AG194" s="1" t="str">
        <f t="shared" si="67"/>
        <v>NW</v>
      </c>
      <c r="AH194" s="92" t="str">
        <f t="shared" si="68"/>
        <v>"%USERPROFILE%\Documents\GitHub\eaglep3\Utilities\RefineRTDCRunTimes.py" --tripid 819-14 --locoid 4022 --swversion DE.1.0.8.0 --startMP 204:962 --initTime 2016-11-14T12:11:22 --startdatetime 2016-11-14T12:21:16 --delay 1 --endMP 300:58931 --enddatetime 2016-11-14T12:35:24 --enforcementcount 0 &gt;&gt;C:\Users\stu\Documents\GitHub\eaglep3-reporting\EC\2016-11-14-refined-times.txt</v>
      </c>
      <c r="AI194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{"issue":{"subject":"","project_id":79,"tracker_id":40,"status_id":1,"priority_id":2,"assigned_to_id":23,"start_date":"2016-11-14","description":"","custom_fields":[{"id":1,"name":"Subdivision","value":"NW"},{"id":4,"name":"Milepost","value":"5.8931"},{"id":17,"name":"Train ID","value":"819-14"},{"id":16,"name":"Locomotive ID","value":"4022"},{"id":130,"name":"Impact","value":""},{"id":150,"name":"Time of Event (Mountain Time)","value":"12:35:24"},{"id":151,"name":"Denver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526</v>
      </c>
      <c r="B195" s="7">
        <v>4021</v>
      </c>
      <c r="C195" s="22" t="s">
        <v>224</v>
      </c>
      <c r="D195" s="22" t="s">
        <v>762</v>
      </c>
      <c r="E195" s="13">
        <v>42688.525636574072</v>
      </c>
      <c r="F195" s="13">
        <v>42688.526932870373</v>
      </c>
      <c r="G195" s="7">
        <v>1</v>
      </c>
      <c r="H195" s="22" t="s">
        <v>763</v>
      </c>
      <c r="I195" s="13">
        <v>42688.5390162037</v>
      </c>
      <c r="J195" s="7">
        <v>0</v>
      </c>
      <c r="K195" s="109" t="str">
        <f t="shared" si="53"/>
        <v>4021/4022</v>
      </c>
      <c r="L195" s="22" t="str">
        <f>VLOOKUP(A195,'Trips&amp;Operators'!$C$1:$E$10000,3,FALSE)</f>
        <v>BERLING</v>
      </c>
      <c r="M195" s="6">
        <f t="shared" si="54"/>
        <v>1.208333332760958E-2</v>
      </c>
      <c r="N195" s="7">
        <f t="shared" si="55"/>
        <v>17.399999991757795</v>
      </c>
      <c r="O195" s="7"/>
      <c r="P195" s="7"/>
      <c r="Q195" s="23"/>
      <c r="R195" s="23"/>
      <c r="S195" s="35">
        <f t="shared" si="56"/>
        <v>1</v>
      </c>
      <c r="T195" s="50" t="str">
        <f t="shared" si="5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11:36:55-700',mode:absolute,to:'2016-11-14 13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5" s="52" t="str">
        <f t="shared" si="59"/>
        <v>N</v>
      </c>
      <c r="X195" s="177">
        <f t="shared" si="60"/>
        <v>1</v>
      </c>
      <c r="Y195" s="67">
        <f t="shared" si="61"/>
        <v>5.8605999999999998</v>
      </c>
      <c r="Z195" s="67">
        <f t="shared" si="62"/>
        <v>6.8400000000000002E-2</v>
      </c>
      <c r="AA195" s="67">
        <f t="shared" si="63"/>
        <v>5.7922000000000002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4"/>
        <v>0820-14</v>
      </c>
      <c r="AE195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95" s="88" t="str">
        <f t="shared" si="66"/>
        <v>"C:\Program Files (x86)\AstroGrep\AstroGrep.exe" /spath="%USERPROFILE%\AppData\Local\Temp\OnboardLogs" /stypes="app*4021*20161114*" /stext=" 19:.+((SYSTEM_STATE.+slice.+state.+changed )|(ment ac)|(system.+state.+changed )|(\[timeout)|(PRM\|1\|D)|(kpr)|(kdp)|(\|lc)|(penalty))" /e /r /s</v>
      </c>
      <c r="AG195" s="1" t="str">
        <f t="shared" si="67"/>
        <v>NW</v>
      </c>
      <c r="AH195" s="92" t="str">
        <f t="shared" si="68"/>
        <v>"%USERPROFILE%\Documents\GitHub\eaglep3\Utilities\RefineRTDCRunTimes.py" --tripid 820-14 --locoid 4021 --swversion DE.1.0.8.0 --startMP 300:58606 --initTime 2016-11-14T12:36:55 --startdatetime 2016-11-14T12:38:47 --delay 1 --endMP 204:684 --enddatetime 2016-11-14T12:56:11 --enforcementcount 0 &gt;&gt;C:\Users\stu\Documents\GitHub\eaglep3-reporting\EC\2016-11-14-refined-times.txt</v>
      </c>
      <c r="AI195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{"issue":{"subject":"","project_id":79,"tracker_id":40,"status_id":1,"priority_id":2,"assigned_to_id":23,"start_date":"2016-11-14","description":"","custom_fields":[{"id":1,"name":"Subdivision","value":"NW"},{"id":4,"name":"Milepost","value":"0.0684"},{"id":17,"name":"Train ID","value":"820-14"},{"id":16,"name":"Locomotive ID","value":"4021"},{"id":130,"name":"Impact","value":""},{"id":150,"name":"Time of Event (Mountain Time)","value":"12:56:11"},{"id":151,"name":"Denver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529</v>
      </c>
      <c r="B196" s="7">
        <v>4022</v>
      </c>
      <c r="C196" s="22" t="s">
        <v>224</v>
      </c>
      <c r="D196" s="22" t="s">
        <v>761</v>
      </c>
      <c r="E196" s="13">
        <v>42688.548368055555</v>
      </c>
      <c r="F196" s="13">
        <v>42688.556469907409</v>
      </c>
      <c r="G196" s="7">
        <v>1</v>
      </c>
      <c r="H196" s="22" t="s">
        <v>764</v>
      </c>
      <c r="I196" s="13">
        <v>42688.565833333334</v>
      </c>
      <c r="J196" s="7">
        <v>0</v>
      </c>
      <c r="K196" s="109" t="str">
        <f t="shared" si="53"/>
        <v>4021/4022</v>
      </c>
      <c r="L196" s="22" t="str">
        <f>VLOOKUP(A196,'Trips&amp;Operators'!$C$1:$E$10000,3,FALSE)</f>
        <v>LALONDE</v>
      </c>
      <c r="M196" s="6">
        <f t="shared" si="54"/>
        <v>9.3634259246755391E-3</v>
      </c>
      <c r="N196" s="7">
        <f t="shared" si="55"/>
        <v>13.483333331532776</v>
      </c>
      <c r="O196" s="7"/>
      <c r="P196" s="7"/>
      <c r="Q196" s="23"/>
      <c r="R196" s="23"/>
      <c r="S196" s="35">
        <f t="shared" si="56"/>
        <v>1</v>
      </c>
      <c r="T196" s="50" t="str">
        <f t="shared" si="5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12:09:39-700',mode:absolute,to:'2016-11-14 14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6" s="52" t="str">
        <f t="shared" si="59"/>
        <v>N</v>
      </c>
      <c r="X196" s="177">
        <f t="shared" si="60"/>
        <v>1</v>
      </c>
      <c r="Y196" s="67">
        <f t="shared" si="61"/>
        <v>9.6199999999999994E-2</v>
      </c>
      <c r="Z196" s="67">
        <f t="shared" si="62"/>
        <v>5.8954000000000004</v>
      </c>
      <c r="AA196" s="67">
        <f t="shared" si="63"/>
        <v>5.7992000000000008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4"/>
        <v>0821-14</v>
      </c>
      <c r="AE196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96" s="88" t="str">
        <f t="shared" si="66"/>
        <v>"C:\Program Files (x86)\AstroGrep\AstroGrep.exe" /spath="%USERPROFILE%\AppData\Local\Temp\OnboardLogs" /stypes="app*4022*20161114*" /stext=" 20:.+((SYSTEM_STATE.+slice.+state.+changed )|(ment ac)|(system.+state.+changed )|(\[timeout)|(PRM\|1\|D)|(kpr)|(kdp)|(\|lc)|(penalty))" /e /r /s</v>
      </c>
      <c r="AG196" s="1" t="str">
        <f t="shared" si="67"/>
        <v>NW</v>
      </c>
      <c r="AH196" s="92" t="str">
        <f t="shared" si="68"/>
        <v>"%USERPROFILE%\Documents\GitHub\eaglep3\Utilities\RefineRTDCRunTimes.py" --tripid 821-14 --locoid 4022 --swversion DE.1.0.8.0 --startMP 204:962 --initTime 2016-11-14T13:09:39 --startdatetime 2016-11-14T13:21:19 --delay 1 --endMP 300:58954 --enddatetime 2016-11-14T13:34:48 --enforcementcount 0 &gt;&gt;C:\Users\stu\Documents\GitHub\eaglep3-reporting\EC\2016-11-14-refined-times.txt</v>
      </c>
      <c r="AI196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{"issue":{"subject":"","project_id":79,"tracker_id":40,"status_id":1,"priority_id":2,"assigned_to_id":23,"start_date":"2016-11-14","description":"","custom_fields":[{"id":1,"name":"Subdivision","value":"NW"},{"id":4,"name":"Milepost","value":"5.8954"},{"id":17,"name":"Train ID","value":"821-14"},{"id":16,"name":"Locomotive ID","value":"4022"},{"id":130,"name":"Impact","value":""},{"id":150,"name":"Time of Event (Mountain Time)","value":"13:34:48"},{"id":151,"name":"Denver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534</v>
      </c>
      <c r="B197" s="7">
        <v>4021</v>
      </c>
      <c r="C197" s="22" t="s">
        <v>224</v>
      </c>
      <c r="D197" s="22" t="s">
        <v>765</v>
      </c>
      <c r="E197" s="13">
        <v>42688.567928240744</v>
      </c>
      <c r="F197" s="13">
        <v>42688.570833333331</v>
      </c>
      <c r="G197" s="7">
        <v>2</v>
      </c>
      <c r="H197" s="22" t="s">
        <v>766</v>
      </c>
      <c r="I197" s="13">
        <v>42688.579733796294</v>
      </c>
      <c r="J197" s="7">
        <v>0</v>
      </c>
      <c r="K197" s="109" t="str">
        <f t="shared" si="53"/>
        <v>4021/4022</v>
      </c>
      <c r="L197" s="22" t="str">
        <f>VLOOKUP(A197,'Trips&amp;Operators'!$C$1:$E$10000,3,FALSE)</f>
        <v>LALONDE</v>
      </c>
      <c r="M197" s="6">
        <f t="shared" si="54"/>
        <v>8.9004629626288079E-3</v>
      </c>
      <c r="N197" s="7">
        <f t="shared" si="55"/>
        <v>12.816666666185483</v>
      </c>
      <c r="O197" s="7"/>
      <c r="P197" s="7"/>
      <c r="Q197" s="23"/>
      <c r="R197" s="23"/>
      <c r="S197" s="35">
        <f t="shared" si="56"/>
        <v>1</v>
      </c>
      <c r="T197" s="50" t="str">
        <f t="shared" si="57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12:37:49-700',mode:absolute,to:'2016-11-14 14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7" s="52" t="str">
        <f t="shared" si="59"/>
        <v>N</v>
      </c>
      <c r="X197" s="177">
        <f t="shared" si="60"/>
        <v>1</v>
      </c>
      <c r="Y197" s="67">
        <f t="shared" si="61"/>
        <v>5.8625999999999996</v>
      </c>
      <c r="Z197" s="67">
        <f t="shared" si="62"/>
        <v>6.7299999999999999E-2</v>
      </c>
      <c r="AA197" s="67">
        <f t="shared" si="63"/>
        <v>5.7952999999999992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4"/>
        <v>0822-14</v>
      </c>
      <c r="AE197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97" s="88" t="str">
        <f t="shared" si="66"/>
        <v>"C:\Program Files (x86)\AstroGrep\AstroGrep.exe" /spath="%USERPROFILE%\AppData\Local\Temp\OnboardLogs" /stypes="app*4021*20161114*" /stext=" 20:.+((SYSTEM_STATE.+slice.+state.+changed )|(ment ac)|(system.+state.+changed )|(\[timeout)|(PRM\|1\|D)|(kpr)|(kdp)|(\|lc)|(penalty))" /e /r /s</v>
      </c>
      <c r="AG197" s="1" t="str">
        <f t="shared" si="67"/>
        <v>NW</v>
      </c>
      <c r="AH197" s="92" t="str">
        <f t="shared" si="68"/>
        <v>"%USERPROFILE%\Documents\GitHub\eaglep3\Utilities\RefineRTDCRunTimes.py" --tripid 822-14 --locoid 4021 --swversion DE.1.0.8.0 --startMP 300:58626 --initTime 2016-11-14T13:37:49 --startdatetime 2016-11-14T13:42:00 --delay 2 --endMP 204:673 --enddatetime 2016-11-14T13:54:49 --enforcementcount 0 &gt;&gt;C:\Users\stu\Documents\GitHub\eaglep3-reporting\EC\2016-11-14-refined-times.txt</v>
      </c>
      <c r="AI197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{"issue":{"subject":"","project_id":79,"tracker_id":40,"status_id":1,"priority_id":2,"assigned_to_id":23,"start_date":"2016-11-14","description":"","custom_fields":[{"id":1,"name":"Subdivision","value":"NW"},{"id":4,"name":"Milepost","value":"0.0673"},{"id":17,"name":"Train ID","value":"822-14"},{"id":16,"name":"Locomotive ID","value":"4021"},{"id":130,"name":"Impact","value":""},{"id":150,"name":"Time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540</v>
      </c>
      <c r="B198" s="7">
        <v>4022</v>
      </c>
      <c r="C198" s="22" t="s">
        <v>224</v>
      </c>
      <c r="D198" s="22" t="s">
        <v>767</v>
      </c>
      <c r="E198" s="13">
        <v>42688.593368055554</v>
      </c>
      <c r="F198" s="13">
        <v>42688.598113425927</v>
      </c>
      <c r="G198" s="7">
        <v>1</v>
      </c>
      <c r="H198" s="22" t="s">
        <v>380</v>
      </c>
      <c r="I198" s="13">
        <v>42688.607476851852</v>
      </c>
      <c r="J198" s="7">
        <v>0</v>
      </c>
      <c r="K198" s="109" t="str">
        <f t="shared" si="53"/>
        <v>4021/4022</v>
      </c>
      <c r="L198" s="22" t="str">
        <f>VLOOKUP(A198,'Trips&amp;Operators'!$C$1:$E$10000,3,FALSE)</f>
        <v>LALONDE</v>
      </c>
      <c r="M198" s="6">
        <f t="shared" si="54"/>
        <v>9.3634259246755391E-3</v>
      </c>
      <c r="N198" s="7">
        <f t="shared" si="55"/>
        <v>13.483333331532776</v>
      </c>
      <c r="O198" s="7"/>
      <c r="P198" s="7"/>
      <c r="Q198" s="23"/>
      <c r="R198" s="23"/>
      <c r="S198" s="35">
        <f t="shared" si="56"/>
        <v>1</v>
      </c>
      <c r="T198" s="50" t="str">
        <f t="shared" si="57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13:14:27-700',mode:absolute,to:'2016-11-14 15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8" s="52" t="str">
        <f t="shared" si="59"/>
        <v>N</v>
      </c>
      <c r="X198" s="177">
        <f t="shared" si="60"/>
        <v>1</v>
      </c>
      <c r="Y198" s="67">
        <f t="shared" si="61"/>
        <v>9.7100000000000006E-2</v>
      </c>
      <c r="Z198" s="67">
        <f t="shared" si="62"/>
        <v>5.8930999999999996</v>
      </c>
      <c r="AA198" s="67">
        <f t="shared" si="63"/>
        <v>5.7959999999999994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4"/>
        <v>0823-14</v>
      </c>
      <c r="AE198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198" s="88" t="str">
        <f t="shared" si="66"/>
        <v>"C:\Program Files (x86)\AstroGrep\AstroGrep.exe" /spath="%USERPROFILE%\AppData\Local\Temp\OnboardLogs" /stypes="app*4022*20161114*" /stext=" 21:.+((SYSTEM_STATE.+slice.+state.+changed )|(ment ac)|(system.+state.+changed )|(\[timeout)|(PRM\|1\|D)|(kpr)|(kdp)|(\|lc)|(penalty))" /e /r /s</v>
      </c>
      <c r="AG198" s="1" t="str">
        <f t="shared" si="67"/>
        <v>NW</v>
      </c>
      <c r="AH198" s="92" t="str">
        <f t="shared" si="68"/>
        <v>"%USERPROFILE%\Documents\GitHub\eaglep3\Utilities\RefineRTDCRunTimes.py" --tripid 823-14 --locoid 4022 --swversion DE.1.0.8.0 --startMP 204:971 --initTime 2016-11-14T14:14:27 --startdatetime 2016-11-14T14:21:17 --delay 1 --endMP 300:58931 --enddatetime 2016-11-14T14:34:46 --enforcementcount 0 &gt;&gt;C:\Users\stu\Documents\GitHub\eaglep3-reporting\EC\2016-11-14-refined-times.txt</v>
      </c>
      <c r="AI198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{"issue":{"subject":"","project_id":79,"tracker_id":40,"status_id":1,"priority_id":2,"assigned_to_id":23,"start_date":"2016-11-14","description":"","custom_fields":[{"id":1,"name":"Subdivision","value":"NW"},{"id":4,"name":"Milepost","value":"5.8931"},{"id":17,"name":"Train ID","value":"823-14"},{"id":16,"name":"Locomotive ID","value":"4022"},{"id":130,"name":"Impact","value":""},{"id":150,"name":"Time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543</v>
      </c>
      <c r="B199" s="7">
        <v>4021</v>
      </c>
      <c r="C199" s="22" t="s">
        <v>224</v>
      </c>
      <c r="D199" s="22" t="s">
        <v>379</v>
      </c>
      <c r="E199" s="13">
        <v>42688.609340277777</v>
      </c>
      <c r="F199" s="13">
        <v>42688.611597222225</v>
      </c>
      <c r="G199" s="7">
        <v>1</v>
      </c>
      <c r="H199" s="22" t="s">
        <v>768</v>
      </c>
      <c r="I199" s="13">
        <v>42688.621678240743</v>
      </c>
      <c r="J199" s="7">
        <v>0</v>
      </c>
      <c r="K199" s="109" t="str">
        <f t="shared" si="53"/>
        <v>4021/4022</v>
      </c>
      <c r="L199" s="22" t="str">
        <f>VLOOKUP(A199,'Trips&amp;Operators'!$C$1:$E$10000,3,FALSE)</f>
        <v>LALONDE</v>
      </c>
      <c r="M199" s="6">
        <f t="shared" si="54"/>
        <v>1.0081018517666962E-2</v>
      </c>
      <c r="N199" s="7">
        <f t="shared" si="55"/>
        <v>14.516666665440425</v>
      </c>
      <c r="O199" s="7"/>
      <c r="P199" s="7"/>
      <c r="Q199" s="23"/>
      <c r="R199" s="23"/>
      <c r="S199" s="35">
        <f t="shared" si="56"/>
        <v>1</v>
      </c>
      <c r="T199" s="50" t="str">
        <f t="shared" si="57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13:37:27-700',mode:absolute,to:'2016-11-14 15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9" s="52" t="str">
        <f t="shared" si="59"/>
        <v>N</v>
      </c>
      <c r="X199" s="177">
        <f t="shared" si="60"/>
        <v>1</v>
      </c>
      <c r="Y199" s="67">
        <f t="shared" si="61"/>
        <v>5.8615000000000004</v>
      </c>
      <c r="Z199" s="67">
        <f t="shared" si="62"/>
        <v>6.8699999999999997E-2</v>
      </c>
      <c r="AA199" s="67">
        <f t="shared" si="63"/>
        <v>5.7928000000000006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4"/>
        <v>0824-14</v>
      </c>
      <c r="AE199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199" s="88" t="str">
        <f t="shared" si="66"/>
        <v>"C:\Program Files (x86)\AstroGrep\AstroGrep.exe" /spath="%USERPROFILE%\AppData\Local\Temp\OnboardLogs" /stypes="app*4021*20161114*" /stext=" 21:.+((SYSTEM_STATE.+slice.+state.+changed )|(ment ac)|(system.+state.+changed )|(\[timeout)|(PRM\|1\|D)|(kpr)|(kdp)|(\|lc)|(penalty))" /e /r /s</v>
      </c>
      <c r="AG199" s="1" t="str">
        <f t="shared" si="67"/>
        <v>NW</v>
      </c>
      <c r="AH199" s="92" t="str">
        <f t="shared" si="68"/>
        <v>"%USERPROFILE%\Documents\GitHub\eaglep3\Utilities\RefineRTDCRunTimes.py" --tripid 824-14 --locoid 4021 --swversion DE.1.0.8.0 --startMP 300:58615 --initTime 2016-11-14T14:37:27 --startdatetime 2016-11-14T14:40:42 --delay 1 --endMP 204:687 --enddatetime 2016-11-14T14:55:13 --enforcementcount 0 &gt;&gt;C:\Users\stu\Documents\GitHub\eaglep3-reporting\EC\2016-11-14-refined-times.txt</v>
      </c>
      <c r="AI199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{"issue":{"subject":"","project_id":79,"tracker_id":40,"status_id":1,"priority_id":2,"assigned_to_id":23,"start_date":"2016-11-14","description":"","custom_fields":[{"id":1,"name":"Subdivision","value":"NW"},{"id":4,"name":"Milepost","value":"0.0687"},{"id":17,"name":"Train ID","value":"824-14"},{"id":16,"name":"Locomotive ID","value":"4021"},{"id":130,"name":"Impact","value":""},{"id":150,"name":"Time of Event (Mountain Time)","value":"14:55:13"},{"id":151,"name":"Denver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425</v>
      </c>
      <c r="B200" s="7">
        <v>4022</v>
      </c>
      <c r="C200" s="22" t="s">
        <v>224</v>
      </c>
      <c r="D200" s="22" t="s">
        <v>389</v>
      </c>
      <c r="E200" s="13">
        <v>42688.635659722226</v>
      </c>
      <c r="F200" s="13">
        <v>42688.639780092592</v>
      </c>
      <c r="G200" s="7">
        <v>1</v>
      </c>
      <c r="H200" s="22" t="s">
        <v>380</v>
      </c>
      <c r="I200" s="13">
        <v>42688.649502314816</v>
      </c>
      <c r="J200" s="7">
        <v>0</v>
      </c>
      <c r="K200" s="109" t="str">
        <f t="shared" si="53"/>
        <v>4021/4022</v>
      </c>
      <c r="L200" s="22" t="str">
        <f>VLOOKUP(A200,'Trips&amp;Operators'!$C$1:$E$10000,3,FALSE)</f>
        <v>LALONDE</v>
      </c>
      <c r="M200" s="6">
        <f t="shared" si="54"/>
        <v>9.7222222248092294E-3</v>
      </c>
      <c r="N200" s="7">
        <f t="shared" si="55"/>
        <v>14.00000000372529</v>
      </c>
      <c r="O200" s="7"/>
      <c r="P200" s="7"/>
      <c r="Q200" s="23"/>
      <c r="R200" s="23"/>
      <c r="S200" s="35">
        <f t="shared" si="56"/>
        <v>1</v>
      </c>
      <c r="T200" s="50" t="str">
        <f t="shared" si="57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14:15:21-700',mode:absolute,to:'2016-11-14 16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52" t="str">
        <f t="shared" si="59"/>
        <v>N</v>
      </c>
      <c r="X200" s="177">
        <f t="shared" si="60"/>
        <v>1</v>
      </c>
      <c r="Y200" s="67">
        <f t="shared" si="61"/>
        <v>9.6500000000000002E-2</v>
      </c>
      <c r="Z200" s="67">
        <f t="shared" si="62"/>
        <v>5.8930999999999996</v>
      </c>
      <c r="AA200" s="67">
        <f t="shared" si="63"/>
        <v>5.7965999999999998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4"/>
        <v>0825-14</v>
      </c>
      <c r="AE200" s="91" t="str">
        <f t="shared" si="65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00" s="88" t="str">
        <f t="shared" si="66"/>
        <v>"C:\Program Files (x86)\AstroGrep\AstroGrep.exe" /spath="%USERPROFILE%\AppData\Local\Temp\OnboardLogs" /stypes="app*4022*20161114*" /stext=" 22:.+((SYSTEM_STATE.+slice.+state.+changed )|(ment ac)|(system.+state.+changed )|(\[timeout)|(PRM\|1\|D)|(kpr)|(kdp)|(\|lc)|(penalty))" /e /r /s</v>
      </c>
      <c r="AG200" s="1" t="str">
        <f t="shared" si="67"/>
        <v>NW</v>
      </c>
      <c r="AH200" s="92" t="str">
        <f t="shared" si="68"/>
        <v>"%USERPROFILE%\Documents\GitHub\eaglep3\Utilities\RefineRTDCRunTimes.py" --tripid 825-14 --locoid 4022 --swversion DE.1.0.8.0 --startMP 204:965 --initTime 2016-11-14T15:15:21 --startdatetime 2016-11-14T15:21:17 --delay 1 --endMP 300:58931 --enddatetime 2016-11-14T15:35:17 --enforcementcount 0 &gt;&gt;C:\Users\stu\Documents\GitHub\eaglep3-reporting\EC\2016-11-14-refined-times.txt</v>
      </c>
      <c r="AI200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{"issue":{"subject":"","project_id":79,"tracker_id":40,"status_id":1,"priority_id":2,"assigned_to_id":23,"start_date":"2016-11-14","description":"","custom_fields":[{"id":1,"name":"Subdivision","value":"NW"},{"id":4,"name":"Milepost","value":"5.8931"},{"id":17,"name":"Train ID","value":"825-14"},{"id":16,"name":"Locomotive ID","value":"4022"},{"id":130,"name":"Impact","value":""},{"id":150,"name":"Time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552</v>
      </c>
      <c r="B201" s="7">
        <v>4021</v>
      </c>
      <c r="C201" s="22" t="s">
        <v>224</v>
      </c>
      <c r="D201" s="22" t="s">
        <v>743</v>
      </c>
      <c r="E201" s="13">
        <v>42688.651747685188</v>
      </c>
      <c r="F201" s="13">
        <v>42688.65353009259</v>
      </c>
      <c r="G201" s="7">
        <v>1</v>
      </c>
      <c r="H201" s="22" t="s">
        <v>769</v>
      </c>
      <c r="I201" s="13">
        <v>42688.663831018515</v>
      </c>
      <c r="J201" s="7">
        <v>0</v>
      </c>
      <c r="K201" s="109" t="str">
        <f t="shared" si="53"/>
        <v>4021/4022</v>
      </c>
      <c r="L201" s="22" t="str">
        <f>VLOOKUP(A201,'Trips&amp;Operators'!$C$1:$E$10000,3,FALSE)</f>
        <v>LALONDE</v>
      </c>
      <c r="M201" s="6">
        <f t="shared" si="54"/>
        <v>1.0300925925548654E-2</v>
      </c>
      <c r="N201" s="7">
        <f t="shared" si="55"/>
        <v>14.833333332790062</v>
      </c>
      <c r="O201" s="7"/>
      <c r="P201" s="7"/>
      <c r="Q201" s="23"/>
      <c r="R201" s="23"/>
      <c r="S201" s="35">
        <f t="shared" si="56"/>
        <v>1</v>
      </c>
      <c r="T201" s="50" t="str">
        <f t="shared" si="57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14:38:31-700',mode:absolute,to:'2016-11-14 16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1" s="52" t="str">
        <f t="shared" si="59"/>
        <v>N</v>
      </c>
      <c r="X201" s="177">
        <f t="shared" si="60"/>
        <v>1</v>
      </c>
      <c r="Y201" s="67">
        <f t="shared" si="61"/>
        <v>5.8611000000000004</v>
      </c>
      <c r="Z201" s="67">
        <f t="shared" si="62"/>
        <v>7.0999999999999994E-2</v>
      </c>
      <c r="AA201" s="67">
        <f t="shared" si="63"/>
        <v>5.7901000000000007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4"/>
        <v>0826-14</v>
      </c>
      <c r="AE201" s="91" t="str">
        <f t="shared" si="65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01" s="88" t="str">
        <f t="shared" si="66"/>
        <v>"C:\Program Files (x86)\AstroGrep\AstroGrep.exe" /spath="%USERPROFILE%\AppData\Local\Temp\OnboardLogs" /stypes="app*4021*20161114*" /stext=" 22:.+((SYSTEM_STATE.+slice.+state.+changed )|(ment ac)|(system.+state.+changed )|(\[timeout)|(PRM\|1\|D)|(kpr)|(kdp)|(\|lc)|(penalty))" /e /r /s</v>
      </c>
      <c r="AG201" s="1" t="str">
        <f t="shared" si="67"/>
        <v>NW</v>
      </c>
      <c r="AH201" s="92" t="str">
        <f t="shared" si="68"/>
        <v>"%USERPROFILE%\Documents\GitHub\eaglep3\Utilities\RefineRTDCRunTimes.py" --tripid 826-14 --locoid 4021 --swversion DE.1.0.8.0 --startMP 300:58611 --initTime 2016-11-14T15:38:31 --startdatetime 2016-11-14T15:41:05 --delay 1 --endMP 204:710 --enddatetime 2016-11-14T15:55:55 --enforcementcount 0 &gt;&gt;C:\Users\stu\Documents\GitHub\eaglep3-reporting\EC\2016-11-14-refined-times.txt</v>
      </c>
      <c r="AI201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{"issue":{"subject":"","project_id":79,"tracker_id":40,"status_id":1,"priority_id":2,"assigned_to_id":23,"start_date":"2016-11-14","description":"","custom_fields":[{"id":1,"name":"Subdivision","value":"NW"},{"id":4,"name":"Milepost","value":"0.071"},{"id":17,"name":"Train ID","value":"826-14"},{"id":16,"name":"Locomotive ID","value":"4021"},{"id":130,"name":"Impact","value":""},{"id":150,"name":"Time of Event (Mountain Time)","value":"15:55:55"},{"id":151,"name":"Denver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554</v>
      </c>
      <c r="B202" s="7">
        <v>4038</v>
      </c>
      <c r="C202" s="22" t="s">
        <v>224</v>
      </c>
      <c r="D202" s="22" t="s">
        <v>738</v>
      </c>
      <c r="E202" s="13">
        <v>42688.657222222224</v>
      </c>
      <c r="F202" s="13">
        <v>42688.66064814815</v>
      </c>
      <c r="G202" s="7">
        <v>1</v>
      </c>
      <c r="H202" s="22" t="s">
        <v>384</v>
      </c>
      <c r="I202" s="13">
        <v>42688.670706018522</v>
      </c>
      <c r="J202" s="7">
        <v>0</v>
      </c>
      <c r="K202" s="109" t="str">
        <f t="shared" si="53"/>
        <v>4037/4038</v>
      </c>
      <c r="L202" s="22" t="str">
        <f>VLOOKUP(A202,'Trips&amp;Operators'!$C$1:$E$10000,3,FALSE)</f>
        <v>CRAYTON</v>
      </c>
      <c r="M202" s="6">
        <f t="shared" si="54"/>
        <v>1.0057870371383615E-2</v>
      </c>
      <c r="N202" s="7">
        <f t="shared" si="55"/>
        <v>14.483333334792405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14:46:24-700',mode:absolute,to:'2016-11-14 17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2" s="52" t="str">
        <f t="shared" si="59"/>
        <v>N</v>
      </c>
      <c r="X202" s="177">
        <f t="shared" si="60"/>
        <v>1</v>
      </c>
      <c r="Y202" s="67">
        <f t="shared" si="61"/>
        <v>0.1002</v>
      </c>
      <c r="Z202" s="67">
        <f t="shared" si="62"/>
        <v>5.8929</v>
      </c>
      <c r="AA202" s="67">
        <f t="shared" si="63"/>
        <v>5.7927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4"/>
        <v>0827-14</v>
      </c>
      <c r="AE202" s="91" t="str">
        <f t="shared" si="65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202" s="88" t="str">
        <f t="shared" si="66"/>
        <v>"C:\Program Files (x86)\AstroGrep\AstroGrep.exe" /spath="%USERPROFILE%\AppData\Local\Temp\OnboardLogs" /stypes="app*4038*20161114*" /stext=" 23:.+((SYSTEM_STATE.+slice.+state.+changed )|(ment ac)|(system.+state.+changed )|(\[timeout)|(PRM\|1\|D)|(kpr)|(kdp)|(\|lc)|(penalty))" /e /r /s</v>
      </c>
      <c r="AG202" s="1" t="str">
        <f t="shared" si="67"/>
        <v>NW</v>
      </c>
      <c r="AH202" s="92" t="str">
        <f t="shared" si="68"/>
        <v>"%USERPROFILE%\Documents\GitHub\eaglep3\Utilities\RefineRTDCRunTimes.py" --tripid 827-14 --locoid 4038 --swversion DE.1.0.8.0 --startMP 204:1002 --initTime 2016-11-14T15:46:24 --startdatetime 2016-11-14T15:51:20 --delay 1 --endMP 300:58929 --enddatetime 2016-11-14T16:05:49 --enforcementcount 0 &gt;&gt;C:\Users\stu\Documents\GitHub\eaglep3-reporting\EC\2016-11-14-refined-times.txt</v>
      </c>
      <c r="AI202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{"issue":{"subject":"","project_id":79,"tracker_id":40,"status_id":1,"priority_id":2,"assigned_to_id":23,"start_date":"2016-11-14","description":"","custom_fields":[{"id":1,"name":"Subdivision","value":"NW"},{"id":4,"name":"Milepost","value":"5.8929"},{"id":17,"name":"Train ID","value":"827-14"},{"id":16,"name":"Locomotive ID","value":"4038"},{"id":130,"name":"Impact","value":""},{"id":150,"name":"Time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427</v>
      </c>
      <c r="B203" s="7">
        <v>4037</v>
      </c>
      <c r="C203" s="22" t="s">
        <v>224</v>
      </c>
      <c r="D203" s="22" t="s">
        <v>762</v>
      </c>
      <c r="E203" s="13">
        <v>42688.671585648146</v>
      </c>
      <c r="F203" s="13">
        <v>42688.673171296294</v>
      </c>
      <c r="G203" s="7">
        <v>1</v>
      </c>
      <c r="H203" s="22" t="s">
        <v>388</v>
      </c>
      <c r="I203" s="13">
        <v>42688.685798611114</v>
      </c>
      <c r="J203" s="7">
        <v>0</v>
      </c>
      <c r="K203" s="109" t="str">
        <f t="shared" ref="K203:K242" si="70">IF(ISEVEN(B203),(B203-1)&amp;"/"&amp;B203,B203&amp;"/"&amp;(B203+1))</f>
        <v>4037/4038</v>
      </c>
      <c r="L203" s="22" t="str">
        <f>VLOOKUP(A203,'Trips&amp;Operators'!$C$1:$E$10000,3,FALSE)</f>
        <v>CRAYTON</v>
      </c>
      <c r="M203" s="6">
        <f t="shared" ref="M203:M242" si="71">I203-F203</f>
        <v>1.262731481983792E-2</v>
      </c>
      <c r="N203" s="7">
        <f t="shared" ref="N203:N242" si="72">24*60*SUM($M203:$M203)</f>
        <v>18.183333340566605</v>
      </c>
      <c r="O203" s="7"/>
      <c r="P203" s="7"/>
      <c r="Q203" s="23"/>
      <c r="R203" s="23"/>
      <c r="S203" s="35">
        <f t="shared" ref="S203:S242" si="73">SUM(U203:U203)/IF(AG203="EC",12,1)</f>
        <v>1</v>
      </c>
      <c r="T203" s="50" t="str">
        <f t="shared" ref="T203:T242" si="74"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42" si="75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https://search-rtdc-monitor-bjffxe2xuh6vdkpspy63sjmuny.us-east-1.es.amazonaws.com/_plugin/kibana/#/discover/Steve-Slow-Train-Analysis-(2080s-and-2083s)?_g=(refreshInterval:(display:Off,section:0,value:0),time:(from:'2016-11-14 15:07:05-700',mode:absolute,to:'2016-11-14 17:27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3" s="52" t="str">
        <f t="shared" ref="W203:W242" si="76">IF(AA203&lt;IF(AG203="EC",23,5.65),"Y","N")</f>
        <v>N</v>
      </c>
      <c r="X203" s="177">
        <f t="shared" si="60"/>
        <v>1</v>
      </c>
      <c r="Y203" s="67">
        <f t="shared" ref="Y203:Y242" si="77">RIGHT(D203,LEN(D203)-4)/10000</f>
        <v>5.8605999999999998</v>
      </c>
      <c r="Z203" s="67">
        <f t="shared" ref="Z203:Z242" si="78">RIGHT(H203,LEN(H203)-4)/10000</f>
        <v>6.7100000000000007E-2</v>
      </c>
      <c r="AA203" s="67">
        <f t="shared" ref="AA203:AA266" si="79">ABS(Z203-Y203)</f>
        <v>5.7934999999999999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ref="AD203:AD242" si="80">IF(LEN(A203)=6,"0"&amp;A203,A203)</f>
        <v>0828-14</v>
      </c>
      <c r="AE203" s="91" t="str">
        <f t="shared" ref="AE203:AE242" si="8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203" s="88" t="str">
        <f t="shared" ref="AF203:AF242" si="82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/stypes="app*4037*20161114*" /stext=" 23:.+((SYSTEM_STATE.+slice.+state.+changed )|(ment ac)|(system.+state.+changed )|(\[timeout)|(PRM\|1\|D)|(kpr)|(kdp)|(\|lc)|(penalty))" /e /r /s</v>
      </c>
      <c r="AG203" s="1" t="str">
        <f t="shared" ref="AG203:AG242" si="83">IFERROR(IF(VALUE(LEFT(AD203,2))&lt;=2,"EC",IF(OR(VALUE(LEFT(AD203,2))=8,VALUE(LEFT(AD203,2))=18),"NW","Other")),"Other")</f>
        <v>NW</v>
      </c>
      <c r="AH203" s="92" t="str">
        <f t="shared" si="68"/>
        <v>"%USERPROFILE%\Documents\GitHub\eaglep3\Utilities\RefineRTDCRunTimes.py" --tripid 828-14 --locoid 4037 --swversion DE.1.0.8.0 --startMP 300:58606 --initTime 2016-11-14T16:07:05 --startdatetime 2016-11-14T16:09:22 --delay 1 --endMP 204:671 --enddatetime 2016-11-14T16:27:33 --enforcementcount 0 &gt;&gt;C:\Users\stu\Documents\GitHub\eaglep3-reporting\EC\2016-11-14-refined-times.txt</v>
      </c>
      <c r="AI203" s="119" t="str">
        <f t="shared" si="69"/>
        <v>echo {"issue":{"subject":"","project_id":79,"tracker_id":40,"status_id":1,"priority_id":2,"assigned_to_id":23,"start_date":"2016-11-14","description":"","custom_fields":[{"id":1,"name":"Subdivision","value":"NW"},{"id":4,"name":"Milepost","value":"0.0671"},{"id":17,"name":"Train ID","value":"828-14"},{"id":16,"name":"Locomotive ID","value":"4037"},{"id":130,"name":"Impact","value":""},{"id":150,"name":"Time of Event (Mountain Time)","value":"16:27:33"},{"id":151,"name":"Denver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559</v>
      </c>
      <c r="B204" s="7">
        <v>4022</v>
      </c>
      <c r="C204" s="22" t="s">
        <v>224</v>
      </c>
      <c r="D204" s="22" t="s">
        <v>770</v>
      </c>
      <c r="E204" s="13">
        <v>42688.67627314815</v>
      </c>
      <c r="F204" s="13">
        <v>42688.681469907409</v>
      </c>
      <c r="G204" s="7">
        <v>1</v>
      </c>
      <c r="H204" s="22" t="s">
        <v>342</v>
      </c>
      <c r="I204" s="13">
        <v>42688.691238425927</v>
      </c>
      <c r="J204" s="7">
        <v>0</v>
      </c>
      <c r="K204" s="109" t="str">
        <f t="shared" si="70"/>
        <v>4021/4022</v>
      </c>
      <c r="L204" s="22" t="str">
        <f>VLOOKUP(A204,'Trips&amp;Operators'!$C$1:$E$10000,3,FALSE)</f>
        <v>LALONDE</v>
      </c>
      <c r="M204" s="6">
        <f t="shared" si="71"/>
        <v>9.7685185173759237E-3</v>
      </c>
      <c r="N204" s="7">
        <f t="shared" si="72"/>
        <v>14.06666666502133</v>
      </c>
      <c r="O204" s="7"/>
      <c r="P204" s="7"/>
      <c r="Q204" s="23"/>
      <c r="R204" s="23"/>
      <c r="S204" s="35">
        <f t="shared" si="73"/>
        <v>1</v>
      </c>
      <c r="T204" s="50" t="str">
        <f t="shared" si="74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15:13:50-700',mode:absolute,to:'2016-11-14 17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4" s="52" t="str">
        <f t="shared" si="76"/>
        <v>N</v>
      </c>
      <c r="X204" s="177">
        <f t="shared" ref="X204:X207" si="84">VALUE(LEFT(AD204,4))-VALUE(LEFT(AD203,4))</f>
        <v>1</v>
      </c>
      <c r="Y204" s="67">
        <f t="shared" si="77"/>
        <v>9.6699999999999994E-2</v>
      </c>
      <c r="Z204" s="67">
        <f t="shared" si="78"/>
        <v>5.8935000000000004</v>
      </c>
      <c r="AA204" s="67">
        <f t="shared" si="79"/>
        <v>5.7968000000000002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80"/>
        <v>0829-14</v>
      </c>
      <c r="AE204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04" s="88" t="str">
        <f t="shared" si="82"/>
        <v>"C:\Program Files (x86)\AstroGrep\AstroGrep.exe" /spath="%USERPROFILE%\AppData\Local\Temp\OnboardLogs" /stypes="app*4022*20161114*" /stext=" 23:.+((SYSTEM_STATE.+slice.+state.+changed )|(ment ac)|(system.+state.+changed )|(\[timeout)|(PRM\|1\|D)|(kpr)|(kdp)|(\|lc)|(penalty))" /e /r /s</v>
      </c>
      <c r="AG204" s="1" t="str">
        <f t="shared" si="83"/>
        <v>NW</v>
      </c>
      <c r="AH204" s="92" t="str">
        <f t="shared" ref="AH204:AH242" si="85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829-14 --locoid 4022 --swversion DE.1.0.8.0 --startMP 204:967 --initTime 2016-11-14T16:13:50 --startdatetime 2016-11-14T16:21:19 --delay 1 --endMP 300:58935 --enddatetime 2016-11-14T16:35:23 --enforcementcount 0 &gt;&gt;C:\Users\stu\Documents\GitHub\eaglep3-reporting\EC\2016-11-14-refined-times.txt</v>
      </c>
      <c r="AI204" s="119" t="str">
        <f t="shared" ref="AI204:AI242" si="86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{"issue":{"subject":"","project_id":79,"tracker_id":40,"status_id":1,"priority_id":2,"assigned_to_id":23,"start_date":"2016-11-14","description":"","custom_fields":[{"id":1,"name":"Subdivision","value":"NW"},{"id":4,"name":"Milepost","value":"5.8935"},{"id":17,"name":"Train ID","value":"829-14"},{"id":16,"name":"Locomotive ID","value":"4022"},{"id":130,"name":"Impact","value":""},{"id":150,"name":"Time of Event (Mountain Time)","value":"16:35:23"},{"id":151,"name":"Denver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563</v>
      </c>
      <c r="B205" s="7">
        <v>4021</v>
      </c>
      <c r="C205" s="22" t="s">
        <v>224</v>
      </c>
      <c r="D205" s="22" t="s">
        <v>382</v>
      </c>
      <c r="E205" s="13">
        <v>42688.692650462966</v>
      </c>
      <c r="F205" s="13">
        <v>42688.69458333333</v>
      </c>
      <c r="G205" s="7">
        <v>1</v>
      </c>
      <c r="H205" s="22" t="s">
        <v>771</v>
      </c>
      <c r="I205" s="13">
        <v>42688.705555555556</v>
      </c>
      <c r="J205" s="7">
        <v>0</v>
      </c>
      <c r="K205" s="109" t="str">
        <f t="shared" si="70"/>
        <v>4021/4022</v>
      </c>
      <c r="L205" s="22" t="str">
        <f>VLOOKUP(A205,'Trips&amp;Operators'!$C$1:$E$10000,3,FALSE)</f>
        <v>LALONDE</v>
      </c>
      <c r="M205" s="6">
        <f t="shared" si="71"/>
        <v>1.0972222225973383E-2</v>
      </c>
      <c r="N205" s="7">
        <f t="shared" si="72"/>
        <v>15.800000005401671</v>
      </c>
      <c r="O205" s="7"/>
      <c r="P205" s="7"/>
      <c r="Q205" s="23"/>
      <c r="R205" s="23"/>
      <c r="S205" s="35">
        <f t="shared" si="73"/>
        <v>1</v>
      </c>
      <c r="T205" s="50" t="str">
        <f t="shared" si="74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15:37:25-700',mode:absolute,to:'2016-11-14 17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5" s="52" t="str">
        <f t="shared" si="76"/>
        <v>N</v>
      </c>
      <c r="X205" s="177">
        <f t="shared" si="84"/>
        <v>1</v>
      </c>
      <c r="Y205" s="67">
        <f t="shared" si="77"/>
        <v>5.8616999999999999</v>
      </c>
      <c r="Z205" s="67">
        <f t="shared" si="78"/>
        <v>6.8000000000000005E-2</v>
      </c>
      <c r="AA205" s="67">
        <f t="shared" si="79"/>
        <v>5.7937000000000003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80"/>
        <v>0830-14</v>
      </c>
      <c r="AE205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05" s="88" t="str">
        <f t="shared" si="82"/>
        <v>"C:\Program Files (x86)\AstroGrep\AstroGrep.exe" /spath="%USERPROFILE%\AppData\Local\Temp\OnboardLogs" /stypes="app*4021*20161114*" /stext=" 23:.+((SYSTEM_STATE.+slice.+state.+changed )|(ment ac)|(system.+state.+changed )|(\[timeout)|(PRM\|1\|D)|(kpr)|(kdp)|(\|lc)|(penalty))" /e /r /s</v>
      </c>
      <c r="AG205" s="1" t="str">
        <f t="shared" si="83"/>
        <v>NW</v>
      </c>
      <c r="AH205" s="92" t="str">
        <f t="shared" si="85"/>
        <v>"%USERPROFILE%\Documents\GitHub\eaglep3\Utilities\RefineRTDCRunTimes.py" --tripid 830-14 --locoid 4021 --swversion DE.1.0.8.0 --startMP 300:58617 --initTime 2016-11-14T16:37:25 --startdatetime 2016-11-14T16:40:12 --delay 1 --endMP 204:680 --enddatetime 2016-11-14T16:56:00 --enforcementcount 0 &gt;&gt;C:\Users\stu\Documents\GitHub\eaglep3-reporting\EC\2016-11-14-refined-times.txt</v>
      </c>
      <c r="AI205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{"issue":{"subject":"","project_id":79,"tracker_id":40,"status_id":1,"priority_id":2,"assigned_to_id":23,"start_date":"2016-11-14","description":"","custom_fields":[{"id":1,"name":"Subdivision","value":"NW"},{"id":4,"name":"Milepost","value":"0.068"},{"id":17,"name":"Train ID","value":"830-14"},{"id":16,"name":"Locomotive ID","value":"4021"},{"id":130,"name":"Impact","value":""},{"id":150,"name":"Time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564</v>
      </c>
      <c r="B206" s="7">
        <v>4038</v>
      </c>
      <c r="C206" s="22" t="s">
        <v>224</v>
      </c>
      <c r="D206" s="22" t="s">
        <v>772</v>
      </c>
      <c r="E206" s="13">
        <v>42688.696168981478</v>
      </c>
      <c r="F206" s="13">
        <v>42688.702326388891</v>
      </c>
      <c r="G206" s="7">
        <v>1</v>
      </c>
      <c r="H206" s="22" t="s">
        <v>378</v>
      </c>
      <c r="I206" s="13">
        <v>42688.712094907409</v>
      </c>
      <c r="J206" s="7">
        <v>0</v>
      </c>
      <c r="K206" s="109" t="str">
        <f t="shared" si="70"/>
        <v>4037/4038</v>
      </c>
      <c r="L206" s="22" t="str">
        <f>VLOOKUP(A206,'Trips&amp;Operators'!$C$1:$E$10000,3,FALSE)</f>
        <v>CRAYTON</v>
      </c>
      <c r="M206" s="6">
        <f t="shared" si="71"/>
        <v>9.7685185173759237E-3</v>
      </c>
      <c r="N206" s="7">
        <f t="shared" si="72"/>
        <v>14.06666666502133</v>
      </c>
      <c r="O206" s="7"/>
      <c r="P206" s="7"/>
      <c r="Q206" s="23"/>
      <c r="R206" s="23"/>
      <c r="S206" s="35">
        <f t="shared" si="73"/>
        <v>1</v>
      </c>
      <c r="T206" s="50" t="str">
        <f t="shared" si="74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15:42:29-700',mode:absolute,to:'2016-11-14 18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6" s="52" t="str">
        <f t="shared" si="76"/>
        <v>N</v>
      </c>
      <c r="X206" s="177">
        <f t="shared" si="84"/>
        <v>1</v>
      </c>
      <c r="Y206" s="67">
        <f t="shared" si="77"/>
        <v>9.5299999999999996E-2</v>
      </c>
      <c r="Z206" s="67">
        <f t="shared" si="78"/>
        <v>5.8928000000000003</v>
      </c>
      <c r="AA206" s="67">
        <f t="shared" si="79"/>
        <v>5.7975000000000003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0"/>
        <v>0831-14</v>
      </c>
      <c r="AE206" s="91" t="str">
        <f t="shared" si="81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206" s="88" t="str">
        <f t="shared" si="82"/>
        <v>"C:\Program Files (x86)\AstroGrep\AstroGrep.exe" /spath="%USERPROFILE%\AppData\Local\Temp\OnboardLogs" /stypes="app*4038*20161115*" /stext=" 00:.+((SYSTEM_STATE.+slice.+state.+changed )|(ment ac)|(system.+state.+changed )|(\[timeout)|(PRM\|1\|D)|(kpr)|(kdp)|(\|lc)|(penalty))" /e /r /s</v>
      </c>
      <c r="AG206" s="1" t="str">
        <f t="shared" si="83"/>
        <v>NW</v>
      </c>
      <c r="AH206" s="92" t="str">
        <f t="shared" si="85"/>
        <v>"%USERPROFILE%\Documents\GitHub\eaglep3\Utilities\RefineRTDCRunTimes.py" --tripid 831-14 --locoid 4038 --swversion DE.1.0.8.0 --startMP 204:953 --initTime 2016-11-14T16:42:29 --startdatetime 2016-11-14T16:51:21 --delay 1 --endMP 300:58928 --enddatetime 2016-11-14T17:05:25 --enforcementcount 0 &gt;&gt;C:\Users\stu\Documents\GitHub\eaglep3-reporting\EC\2016-11-14-refined-times.txt</v>
      </c>
      <c r="AI206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{"issue":{"subject":"","project_id":79,"tracker_id":40,"status_id":1,"priority_id":2,"assigned_to_id":23,"start_date":"2016-11-14","description":"","custom_fields":[{"id":1,"name":"Subdivision","value":"NW"},{"id":4,"name":"Milepost","value":"5.8928"},{"id":17,"name":"Train ID","value":"831-14"},{"id":16,"name":"Locomotive ID","value":"4038"},{"id":130,"name":"Impact","value":""},{"id":150,"name":"Time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568</v>
      </c>
      <c r="B207" s="7">
        <v>4037</v>
      </c>
      <c r="C207" s="22" t="s">
        <v>224</v>
      </c>
      <c r="D207" s="22" t="s">
        <v>379</v>
      </c>
      <c r="E207" s="13">
        <v>42688.713159722225</v>
      </c>
      <c r="F207" s="13">
        <v>42688.714722222219</v>
      </c>
      <c r="G207" s="7">
        <v>1</v>
      </c>
      <c r="H207" s="22" t="s">
        <v>773</v>
      </c>
      <c r="I207" s="13">
        <v>42688.726400462961</v>
      </c>
      <c r="J207" s="7">
        <v>0</v>
      </c>
      <c r="K207" s="109" t="str">
        <f t="shared" si="70"/>
        <v>4037/4038</v>
      </c>
      <c r="L207" s="22" t="str">
        <f>VLOOKUP(A207,'Trips&amp;Operators'!$C$1:$E$10000,3,FALSE)</f>
        <v>CRAYTON</v>
      </c>
      <c r="M207" s="6">
        <f t="shared" si="71"/>
        <v>1.1678240742185153E-2</v>
      </c>
      <c r="N207" s="7">
        <f t="shared" si="72"/>
        <v>16.81666666874662</v>
      </c>
      <c r="O207" s="7"/>
      <c r="P207" s="7"/>
      <c r="Q207" s="23"/>
      <c r="R207" s="23"/>
      <c r="S207" s="35">
        <f t="shared" si="73"/>
        <v>1</v>
      </c>
      <c r="T207" s="50" t="str">
        <f t="shared" si="74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16:06:57-700',mode:absolute,to:'2016-11-14 18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7" s="52" t="str">
        <f t="shared" si="76"/>
        <v>N</v>
      </c>
      <c r="X207" s="177">
        <f t="shared" si="84"/>
        <v>1</v>
      </c>
      <c r="Y207" s="67">
        <f t="shared" si="77"/>
        <v>5.8615000000000004</v>
      </c>
      <c r="Z207" s="67">
        <f t="shared" si="78"/>
        <v>6.5699999999999995E-2</v>
      </c>
      <c r="AA207" s="67">
        <f t="shared" si="79"/>
        <v>5.7958000000000007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0"/>
        <v>0832-14</v>
      </c>
      <c r="AE207" s="91" t="str">
        <f t="shared" si="81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207" s="88" t="str">
        <f t="shared" si="82"/>
        <v>"C:\Program Files (x86)\AstroGrep\AstroGrep.exe" /spath="%USERPROFILE%\AppData\Local\Temp\OnboardLogs" /stypes="app*4037*20161115*" /stext=" 00:.+((SYSTEM_STATE.+slice.+state.+changed )|(ment ac)|(system.+state.+changed )|(\[timeout)|(PRM\|1\|D)|(kpr)|(kdp)|(\|lc)|(penalty))" /e /r /s</v>
      </c>
      <c r="AG207" s="1" t="str">
        <f t="shared" si="83"/>
        <v>NW</v>
      </c>
      <c r="AH207" s="92" t="str">
        <f t="shared" si="85"/>
        <v>"%USERPROFILE%\Documents\GitHub\eaglep3\Utilities\RefineRTDCRunTimes.py" --tripid 832-14 --locoid 4037 --swversion DE.1.0.8.0 --startMP 300:58615 --initTime 2016-11-14T17:06:57 --startdatetime 2016-11-14T17:09:12 --delay 1 --endMP 204:657 --enddatetime 2016-11-14T17:26:01 --enforcementcount 0 &gt;&gt;C:\Users\stu\Documents\GitHub\eaglep3-reporting\EC\2016-11-14-refined-times.txt</v>
      </c>
      <c r="AI207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{"issue":{"subject":"","project_id":79,"tracker_id":40,"status_id":1,"priority_id":2,"assigned_to_id":23,"start_date":"2016-11-14","description":"","custom_fields":[{"id":1,"name":"Subdivision","value":"NW"},{"id":4,"name":"Milepost","value":"0.0657"},{"id":17,"name":"Train ID","value":"832-14"},{"id":16,"name":"Locomotive ID","value":"4037"},{"id":130,"name":"Impact","value":""},{"id":150,"name":"Time of Event (Mountain Time)","value":"17:26:01"},{"id":151,"name":"Denver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571</v>
      </c>
      <c r="B208" s="7">
        <v>4022</v>
      </c>
      <c r="C208" s="22" t="s">
        <v>224</v>
      </c>
      <c r="D208" s="22" t="s">
        <v>774</v>
      </c>
      <c r="E208" s="13">
        <v>42688.719270833331</v>
      </c>
      <c r="F208" s="13">
        <v>42688.72320601852</v>
      </c>
      <c r="G208" s="7">
        <v>1</v>
      </c>
      <c r="H208" s="22" t="s">
        <v>775</v>
      </c>
      <c r="I208" s="13">
        <v>42688.732939814814</v>
      </c>
      <c r="J208" s="7">
        <v>0</v>
      </c>
      <c r="K208" s="109" t="str">
        <f t="shared" si="70"/>
        <v>4021/4022</v>
      </c>
      <c r="L208" s="22" t="str">
        <f>VLOOKUP(A208,'Trips&amp;Operators'!$C$1:$E$10000,3,FALSE)</f>
        <v>LALONDE</v>
      </c>
      <c r="M208" s="6">
        <f t="shared" si="71"/>
        <v>9.7337962943129241E-3</v>
      </c>
      <c r="N208" s="7">
        <f t="shared" si="72"/>
        <v>14.016666663810611</v>
      </c>
      <c r="O208" s="7"/>
      <c r="P208" s="7"/>
      <c r="Q208" s="23"/>
      <c r="R208" s="23"/>
      <c r="S208" s="35">
        <f t="shared" si="73"/>
        <v>1</v>
      </c>
      <c r="T208" s="50" t="str">
        <f t="shared" si="74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16:15:45-700',mode:absolute,to:'2016-11-14 18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52" t="str">
        <f t="shared" si="76"/>
        <v>N</v>
      </c>
      <c r="X208" s="177">
        <f t="shared" ref="X208:X242" si="87">VALUE(LEFT(AD208,4))-VALUE(LEFT(AD207,4))</f>
        <v>1</v>
      </c>
      <c r="Y208" s="67">
        <f t="shared" si="77"/>
        <v>9.7600000000000006E-2</v>
      </c>
      <c r="Z208" s="67">
        <f t="shared" si="78"/>
        <v>5.8933</v>
      </c>
      <c r="AA208" s="67">
        <f t="shared" si="79"/>
        <v>5.7957000000000001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0"/>
        <v>0833-14</v>
      </c>
      <c r="AE208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08" s="88" t="str">
        <f t="shared" si="82"/>
        <v>"C:\Program Files (x86)\AstroGrep\AstroGrep.exe" /spath="%USERPROFILE%\AppData\Local\Temp\OnboardLogs" /stypes="app*4022*20161115*" /stext=" 00:.+((SYSTEM_STATE.+slice.+state.+changed )|(ment ac)|(system.+state.+changed )|(\[timeout)|(PRM\|1\|D)|(kpr)|(kdp)|(\|lc)|(penalty))" /e /r /s</v>
      </c>
      <c r="AG208" s="1" t="str">
        <f t="shared" si="83"/>
        <v>NW</v>
      </c>
      <c r="AH208" s="92" t="str">
        <f t="shared" si="85"/>
        <v>"%USERPROFILE%\Documents\GitHub\eaglep3\Utilities\RefineRTDCRunTimes.py" --tripid 833-14 --locoid 4022 --swversion DE.1.0.8.0 --startMP 204:976 --initTime 2016-11-14T17:15:45 --startdatetime 2016-11-14T17:21:25 --delay 1 --endMP 300:58933 --enddatetime 2016-11-14T17:35:26 --enforcementcount 0 &gt;&gt;C:\Users\stu\Documents\GitHub\eaglep3-reporting\EC\2016-11-14-refined-times.txt</v>
      </c>
      <c r="AI208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{"issue":{"subject":"","project_id":79,"tracker_id":40,"status_id":1,"priority_id":2,"assigned_to_id":23,"start_date":"2016-11-14","description":"","custom_fields":[{"id":1,"name":"Subdivision","value":"NW"},{"id":4,"name":"Milepost","value":"5.8933"},{"id":17,"name":"Train ID","value":"833-14"},{"id":16,"name":"Locomotive ID","value":"4022"},{"id":130,"name":"Impact","value":""},{"id":150,"name":"Time of Event (Mountain Time)","value":"17:35:26"},{"id":151,"name":"Denver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574</v>
      </c>
      <c r="B209" s="7">
        <v>4021</v>
      </c>
      <c r="C209" s="22" t="s">
        <v>224</v>
      </c>
      <c r="D209" s="22" t="s">
        <v>320</v>
      </c>
      <c r="E209" s="13">
        <v>42688.734351851854</v>
      </c>
      <c r="F209" s="13">
        <v>42688.736631944441</v>
      </c>
      <c r="G209" s="7">
        <v>1</v>
      </c>
      <c r="H209" s="22" t="s">
        <v>776</v>
      </c>
      <c r="I209" s="13">
        <v>42688.747499999998</v>
      </c>
      <c r="J209" s="7">
        <v>0</v>
      </c>
      <c r="K209" s="109" t="str">
        <f t="shared" si="70"/>
        <v>4021/4022</v>
      </c>
      <c r="L209" s="22" t="str">
        <f>VLOOKUP(A209,'Trips&amp;Operators'!$C$1:$E$10000,3,FALSE)</f>
        <v>LALONDE</v>
      </c>
      <c r="M209" s="6">
        <f t="shared" si="71"/>
        <v>1.0868055556784384E-2</v>
      </c>
      <c r="N209" s="7">
        <f t="shared" si="72"/>
        <v>15.650000001769513</v>
      </c>
      <c r="O209" s="7"/>
      <c r="P209" s="7"/>
      <c r="Q209" s="23"/>
      <c r="R209" s="23"/>
      <c r="S209" s="35">
        <f t="shared" si="73"/>
        <v>1</v>
      </c>
      <c r="T209" s="50" t="str">
        <f t="shared" si="74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16:37:28-700',mode:absolute,to:'2016-11-14 18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9" s="52" t="str">
        <f t="shared" si="76"/>
        <v>N</v>
      </c>
      <c r="X209" s="177">
        <f t="shared" si="87"/>
        <v>1</v>
      </c>
      <c r="Y209" s="67">
        <f t="shared" si="77"/>
        <v>5.8613</v>
      </c>
      <c r="Z209" s="67">
        <f t="shared" si="78"/>
        <v>6.8900000000000003E-2</v>
      </c>
      <c r="AA209" s="67">
        <f t="shared" si="79"/>
        <v>5.7923999999999998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0"/>
        <v>0834-14</v>
      </c>
      <c r="AE209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09" s="88" t="str">
        <f t="shared" si="82"/>
        <v>"C:\Program Files (x86)\AstroGrep\AstroGrep.exe" /spath="%USERPROFILE%\AppData\Local\Temp\OnboardLogs" /stypes="app*4021*20161115*" /stext=" 00:.+((SYSTEM_STATE.+slice.+state.+changed )|(ment ac)|(system.+state.+changed )|(\[timeout)|(PRM\|1\|D)|(kpr)|(kdp)|(\|lc)|(penalty))" /e /r /s</v>
      </c>
      <c r="AG209" s="1" t="str">
        <f t="shared" si="83"/>
        <v>NW</v>
      </c>
      <c r="AH209" s="92" t="str">
        <f t="shared" si="85"/>
        <v>"%USERPROFILE%\Documents\GitHub\eaglep3\Utilities\RefineRTDCRunTimes.py" --tripid 834-14 --locoid 4021 --swversion DE.1.0.8.0 --startMP 300:58613 --initTime 2016-11-14T17:37:28 --startdatetime 2016-11-14T17:40:45 --delay 1 --endMP 204:689 --enddatetime 2016-11-14T17:56:24 --enforcementcount 0 &gt;&gt;C:\Users\stu\Documents\GitHub\eaglep3-reporting\EC\2016-11-14-refined-times.txt</v>
      </c>
      <c r="AI209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{"issue":{"subject":"","project_id":79,"tracker_id":40,"status_id":1,"priority_id":2,"assigned_to_id":23,"start_date":"2016-11-14","description":"","custom_fields":[{"id":1,"name":"Subdivision","value":"NW"},{"id":4,"name":"Milepost","value":"0.0689"},{"id":17,"name":"Train ID","value":"834-14"},{"id":16,"name":"Locomotive ID","value":"4021"},{"id":130,"name":"Impact","value":""},{"id":150,"name":"Time of Event (Mountain Time)","value":"17:56:24"},{"id":151,"name":"Denver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576</v>
      </c>
      <c r="B210" s="7">
        <v>4038</v>
      </c>
      <c r="C210" s="22" t="s">
        <v>224</v>
      </c>
      <c r="D210" s="22" t="s">
        <v>777</v>
      </c>
      <c r="E210" s="13">
        <v>42688.737395833334</v>
      </c>
      <c r="F210" s="13">
        <v>42688.744039351855</v>
      </c>
      <c r="G210" s="7">
        <v>1</v>
      </c>
      <c r="H210" s="22" t="s">
        <v>285</v>
      </c>
      <c r="I210" s="13">
        <v>42688.754224537035</v>
      </c>
      <c r="J210" s="7">
        <v>0</v>
      </c>
      <c r="K210" s="109" t="str">
        <f t="shared" si="70"/>
        <v>4037/4038</v>
      </c>
      <c r="L210" s="22" t="str">
        <f>VLOOKUP(A210,'Trips&amp;Operators'!$C$1:$E$10000,3,FALSE)</f>
        <v>CRAYTON</v>
      </c>
      <c r="M210" s="6">
        <f t="shared" si="71"/>
        <v>1.0185185179580003E-2</v>
      </c>
      <c r="N210" s="7">
        <f t="shared" si="72"/>
        <v>14.666666658595204</v>
      </c>
      <c r="O210" s="7"/>
      <c r="P210" s="7"/>
      <c r="Q210" s="23"/>
      <c r="R210" s="23"/>
      <c r="S210" s="35">
        <f t="shared" si="73"/>
        <v>1</v>
      </c>
      <c r="T210" s="50" t="str">
        <f t="shared" si="74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16:41:51-700',mode:absolute,to:'2016-11-14 19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 t="shared" si="76"/>
        <v>N</v>
      </c>
      <c r="X210" s="177">
        <f t="shared" si="87"/>
        <v>1</v>
      </c>
      <c r="Y210" s="67">
        <f t="shared" si="77"/>
        <v>9.4100000000000003E-2</v>
      </c>
      <c r="Z210" s="67">
        <f t="shared" si="78"/>
        <v>5.8936999999999999</v>
      </c>
      <c r="AA210" s="67">
        <f t="shared" si="79"/>
        <v>5.7995999999999999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0"/>
        <v>0835-14</v>
      </c>
      <c r="AE210" s="91" t="str">
        <f t="shared" si="81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210" s="88" t="str">
        <f t="shared" si="82"/>
        <v>"C:\Program Files (x86)\AstroGrep\AstroGrep.exe" /spath="%USERPROFILE%\AppData\Local\Temp\OnboardLogs" /stypes="app*4038*20161115*" /stext=" 01:.+((SYSTEM_STATE.+slice.+state.+changed )|(ment ac)|(system.+state.+changed )|(\[timeout)|(PRM\|1\|D)|(kpr)|(kdp)|(\|lc)|(penalty))" /e /r /s</v>
      </c>
      <c r="AG210" s="1" t="str">
        <f t="shared" si="83"/>
        <v>NW</v>
      </c>
      <c r="AH210" s="92" t="str">
        <f t="shared" si="85"/>
        <v>"%USERPROFILE%\Documents\GitHub\eaglep3\Utilities\RefineRTDCRunTimes.py" --tripid 835-14 --locoid 4038 --swversion DE.1.0.8.0 --startMP 204:941 --initTime 2016-11-14T17:41:51 --startdatetime 2016-11-14T17:51:25 --delay 1 --endMP 300:58937 --enddatetime 2016-11-14T18:06:05 --enforcementcount 0 &gt;&gt;C:\Users\stu\Documents\GitHub\eaglep3-reporting\EC\2016-11-14-refined-times.txt</v>
      </c>
      <c r="AI210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{"issue":{"subject":"","project_id":79,"tracker_id":40,"status_id":1,"priority_id":2,"assigned_to_id":23,"start_date":"2016-11-14","description":"","custom_fields":[{"id":1,"name":"Subdivision","value":"NW"},{"id":4,"name":"Milepost","value":"5.8937"},{"id":17,"name":"Train ID","value":"835-14"},{"id":16,"name":"Locomotive ID","value":"4038"},{"id":130,"name":"Impact","value":""},{"id":150,"name":"Time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581</v>
      </c>
      <c r="B211" s="7">
        <v>4037</v>
      </c>
      <c r="C211" s="22" t="s">
        <v>224</v>
      </c>
      <c r="D211" s="22" t="s">
        <v>379</v>
      </c>
      <c r="E211" s="13">
        <v>42688.755312499998</v>
      </c>
      <c r="F211" s="13">
        <v>42688.75681712963</v>
      </c>
      <c r="G211" s="7">
        <v>1</v>
      </c>
      <c r="H211" s="22" t="s">
        <v>778</v>
      </c>
      <c r="I211" s="13">
        <v>42688.768379629626</v>
      </c>
      <c r="J211" s="7">
        <v>0</v>
      </c>
      <c r="K211" s="109" t="str">
        <f t="shared" si="70"/>
        <v>4037/4038</v>
      </c>
      <c r="L211" s="22" t="str">
        <f>VLOOKUP(A211,'Trips&amp;Operators'!$C$1:$E$10000,3,FALSE)</f>
        <v>CRAYTON</v>
      </c>
      <c r="M211" s="6">
        <f t="shared" si="71"/>
        <v>1.1562499996216502E-2</v>
      </c>
      <c r="N211" s="7">
        <f t="shared" si="72"/>
        <v>16.649999994551763</v>
      </c>
      <c r="O211" s="7"/>
      <c r="P211" s="7"/>
      <c r="Q211" s="23"/>
      <c r="R211" s="23"/>
      <c r="S211" s="35">
        <f t="shared" si="73"/>
        <v>1</v>
      </c>
      <c r="T211" s="50" t="str">
        <f t="shared" si="74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17:07:39-700',mode:absolute,to:'2016-11-14 19:26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1" s="52" t="str">
        <f t="shared" si="76"/>
        <v>N</v>
      </c>
      <c r="X211" s="177">
        <f t="shared" si="87"/>
        <v>1</v>
      </c>
      <c r="Y211" s="67">
        <f t="shared" si="77"/>
        <v>5.8615000000000004</v>
      </c>
      <c r="Z211" s="67">
        <f t="shared" si="78"/>
        <v>6.6400000000000001E-2</v>
      </c>
      <c r="AA211" s="67">
        <f t="shared" si="79"/>
        <v>5.7951000000000006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0"/>
        <v>0836-14</v>
      </c>
      <c r="AE211" s="91" t="str">
        <f t="shared" si="81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211" s="88" t="str">
        <f t="shared" si="82"/>
        <v>"C:\Program Files (x86)\AstroGrep\AstroGrep.exe" /spath="%USERPROFILE%\AppData\Local\Temp\OnboardLogs" /stypes="app*4037*20161115*" /stext=" 01:.+((SYSTEM_STATE.+slice.+state.+changed )|(ment ac)|(system.+state.+changed )|(\[timeout)|(PRM\|1\|D)|(kpr)|(kdp)|(\|lc)|(penalty))" /e /r /s</v>
      </c>
      <c r="AG211" s="1" t="str">
        <f t="shared" si="83"/>
        <v>NW</v>
      </c>
      <c r="AH211" s="92" t="str">
        <f t="shared" si="85"/>
        <v>"%USERPROFILE%\Documents\GitHub\eaglep3\Utilities\RefineRTDCRunTimes.py" --tripid 836-14 --locoid 4037 --swversion DE.1.0.8.0 --startMP 300:58615 --initTime 2016-11-14T18:07:39 --startdatetime 2016-11-14T18:09:49 --delay 1 --endMP 204:664 --enddatetime 2016-11-14T18:26:28 --enforcementcount 0 &gt;&gt;C:\Users\stu\Documents\GitHub\eaglep3-reporting\EC\2016-11-14-refined-times.txt</v>
      </c>
      <c r="AI211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{"issue":{"subject":"","project_id":79,"tracker_id":40,"status_id":1,"priority_id":2,"assigned_to_id":23,"start_date":"2016-11-14","description":"","custom_fields":[{"id":1,"name":"Subdivision","value":"NW"},{"id":4,"name":"Milepost","value":"0.0664"},{"id":17,"name":"Train ID","value":"836-14"},{"id":16,"name":"Locomotive ID","value":"4037"},{"id":130,"name":"Impact","value":""},{"id":150,"name":"Time of Event (Mountain Time)","value":"18:26:28"},{"id":151,"name":"Denver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584</v>
      </c>
      <c r="B212" s="7">
        <v>4022</v>
      </c>
      <c r="C212" s="22" t="s">
        <v>224</v>
      </c>
      <c r="D212" s="22" t="s">
        <v>343</v>
      </c>
      <c r="E212" s="13">
        <v>42688.761354166665</v>
      </c>
      <c r="F212" s="13">
        <v>42688.765219907407</v>
      </c>
      <c r="G212" s="7">
        <v>1</v>
      </c>
      <c r="H212" s="22" t="s">
        <v>380</v>
      </c>
      <c r="I212" s="13">
        <v>42688.775208333333</v>
      </c>
      <c r="J212" s="7">
        <v>0</v>
      </c>
      <c r="K212" s="109" t="str">
        <f t="shared" si="70"/>
        <v>4021/4022</v>
      </c>
      <c r="L212" s="22" t="str">
        <f>VLOOKUP(A212,'Trips&amp;Operators'!$C$1:$E$10000,3,FALSE)</f>
        <v>LALONDE</v>
      </c>
      <c r="M212" s="6">
        <f t="shared" si="71"/>
        <v>9.9884259252576157E-3</v>
      </c>
      <c r="N212" s="7">
        <f t="shared" si="72"/>
        <v>14.383333332370967</v>
      </c>
      <c r="O212" s="7"/>
      <c r="P212" s="7"/>
      <c r="Q212" s="23"/>
      <c r="R212" s="23"/>
      <c r="S212" s="35">
        <f t="shared" si="73"/>
        <v>1</v>
      </c>
      <c r="T212" s="50" t="str">
        <f t="shared" si="74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17:16:21-700',mode:absolute,to:'2016-11-14 19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2" s="52" t="str">
        <f t="shared" si="76"/>
        <v>N</v>
      </c>
      <c r="X212" s="177">
        <f t="shared" si="87"/>
        <v>1</v>
      </c>
      <c r="Y212" s="67">
        <f t="shared" si="77"/>
        <v>9.7799999999999998E-2</v>
      </c>
      <c r="Z212" s="67">
        <f t="shared" si="78"/>
        <v>5.8930999999999996</v>
      </c>
      <c r="AA212" s="67">
        <f t="shared" si="79"/>
        <v>5.7952999999999992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0"/>
        <v>0837-14</v>
      </c>
      <c r="AE212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12" s="88" t="str">
        <f t="shared" si="82"/>
        <v>"C:\Program Files (x86)\AstroGrep\AstroGrep.exe" /spath="%USERPROFILE%\AppData\Local\Temp\OnboardLogs" /stypes="app*4022*20161115*" /stext=" 01:.+((SYSTEM_STATE.+slice.+state.+changed )|(ment ac)|(system.+state.+changed )|(\[timeout)|(PRM\|1\|D)|(kpr)|(kdp)|(\|lc)|(penalty))" /e /r /s</v>
      </c>
      <c r="AG212" s="1" t="str">
        <f t="shared" si="83"/>
        <v>NW</v>
      </c>
      <c r="AH212" s="92" t="str">
        <f t="shared" si="85"/>
        <v>"%USERPROFILE%\Documents\GitHub\eaglep3\Utilities\RefineRTDCRunTimes.py" --tripid 837-14 --locoid 4022 --swversion DE.1.0.8.0 --startMP 204:978 --initTime 2016-11-14T18:16:21 --startdatetime 2016-11-14T18:21:55 --delay 1 --endMP 300:58931 --enddatetime 2016-11-14T18:36:18 --enforcementcount 0 &gt;&gt;C:\Users\stu\Documents\GitHub\eaglep3-reporting\EC\2016-11-14-refined-times.txt</v>
      </c>
      <c r="AI212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{"issue":{"subject":"","project_id":79,"tracker_id":40,"status_id":1,"priority_id":2,"assigned_to_id":23,"start_date":"2016-11-14","description":"","custom_fields":[{"id":1,"name":"Subdivision","value":"NW"},{"id":4,"name":"Milepost","value":"5.8931"},{"id":17,"name":"Train ID","value":"837-14"},{"id":16,"name":"Locomotive ID","value":"4022"},{"id":130,"name":"Impact","value":""},{"id":150,"name":"Time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430</v>
      </c>
      <c r="B213" s="7">
        <v>4021</v>
      </c>
      <c r="C213" s="22" t="s">
        <v>224</v>
      </c>
      <c r="D213" s="22" t="s">
        <v>765</v>
      </c>
      <c r="E213" s="13">
        <v>42688.776597222219</v>
      </c>
      <c r="F213" s="13">
        <v>42688.778229166666</v>
      </c>
      <c r="G213" s="7">
        <v>1</v>
      </c>
      <c r="H213" s="22" t="s">
        <v>766</v>
      </c>
      <c r="I213" s="13">
        <v>42688.792291666665</v>
      </c>
      <c r="J213" s="7">
        <v>0</v>
      </c>
      <c r="K213" s="109" t="str">
        <f t="shared" si="70"/>
        <v>4021/4022</v>
      </c>
      <c r="L213" s="22" t="str">
        <f>VLOOKUP(A213,'Trips&amp;Operators'!$C$1:$E$10000,3,FALSE)</f>
        <v>LALONDE</v>
      </c>
      <c r="M213" s="6">
        <f t="shared" si="71"/>
        <v>1.4062499998544808E-2</v>
      </c>
      <c r="N213" s="7">
        <f t="shared" si="72"/>
        <v>20.249999997904524</v>
      </c>
      <c r="O213" s="7"/>
      <c r="P213" s="7"/>
      <c r="Q213" s="23"/>
      <c r="R213" s="23"/>
      <c r="S213" s="35">
        <f t="shared" si="73"/>
        <v>1</v>
      </c>
      <c r="T213" s="50" t="str">
        <f t="shared" si="74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17:38:18-700',mode:absolute,to:'2016-11-14 20:00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3" s="52" t="str">
        <f t="shared" si="76"/>
        <v>N</v>
      </c>
      <c r="X213" s="177">
        <f t="shared" si="87"/>
        <v>1</v>
      </c>
      <c r="Y213" s="67">
        <f t="shared" si="77"/>
        <v>5.8625999999999996</v>
      </c>
      <c r="Z213" s="67">
        <f t="shared" si="78"/>
        <v>6.7299999999999999E-2</v>
      </c>
      <c r="AA213" s="67">
        <f t="shared" si="79"/>
        <v>5.7952999999999992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0"/>
        <v>0838-14</v>
      </c>
      <c r="AE213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13" s="88" t="str">
        <f t="shared" si="82"/>
        <v>"C:\Program Files (x86)\AstroGrep\AstroGrep.exe" /spath="%USERPROFILE%\AppData\Local\Temp\OnboardLogs" /stypes="app*4021*20161115*" /stext=" 02:.+((SYSTEM_STATE.+slice.+state.+changed )|(ment ac)|(system.+state.+changed )|(\[timeout)|(PRM\|1\|D)|(kpr)|(kdp)|(\|lc)|(penalty))" /e /r /s</v>
      </c>
      <c r="AG213" s="1" t="str">
        <f t="shared" si="83"/>
        <v>NW</v>
      </c>
      <c r="AH213" s="92" t="str">
        <f t="shared" si="85"/>
        <v>"%USERPROFILE%\Documents\GitHub\eaglep3\Utilities\RefineRTDCRunTimes.py" --tripid 838-14 --locoid 4021 --swversion DE.1.0.8.0 --startMP 300:58626 --initTime 2016-11-14T18:38:18 --startdatetime 2016-11-14T18:40:39 --delay 1 --endMP 204:673 --enddatetime 2016-11-14T19:00:54 --enforcementcount 0 &gt;&gt;C:\Users\stu\Documents\GitHub\eaglep3-reporting\EC\2016-11-14-refined-times.txt</v>
      </c>
      <c r="AI213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{"issue":{"subject":"","project_id":79,"tracker_id":40,"status_id":1,"priority_id":2,"assigned_to_id":23,"start_date":"2016-11-14","description":"","custom_fields":[{"id":1,"name":"Subdivision","value":"NW"},{"id":4,"name":"Milepost","value":"0.0673"},{"id":17,"name":"Train ID","value":"838-14"},{"id":16,"name":"Locomotive ID","value":"4021"},{"id":130,"name":"Impact","value":""},{"id":150,"name":"Time of Event (Mountain Time)","value":"19:00:54"},{"id":151,"name":"Denver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588</v>
      </c>
      <c r="B214" s="7">
        <v>4038</v>
      </c>
      <c r="C214" s="22" t="s">
        <v>224</v>
      </c>
      <c r="D214" s="22" t="s">
        <v>761</v>
      </c>
      <c r="E214" s="13">
        <v>42688.77957175926</v>
      </c>
      <c r="F214" s="13">
        <v>42688.785694444443</v>
      </c>
      <c r="G214" s="7">
        <v>1</v>
      </c>
      <c r="H214" s="22" t="s">
        <v>381</v>
      </c>
      <c r="I214" s="13">
        <v>42688.796076388891</v>
      </c>
      <c r="J214" s="7">
        <v>0</v>
      </c>
      <c r="K214" s="109" t="str">
        <f t="shared" si="70"/>
        <v>4037/4038</v>
      </c>
      <c r="L214" s="22" t="str">
        <f>VLOOKUP(A214,'Trips&amp;Operators'!$C$1:$E$10000,3,FALSE)</f>
        <v>CRAYTON</v>
      </c>
      <c r="M214" s="6">
        <f t="shared" si="71"/>
        <v>1.0381944448454306E-2</v>
      </c>
      <c r="N214" s="7">
        <f t="shared" si="72"/>
        <v>14.9500000057742</v>
      </c>
      <c r="O214" s="7"/>
      <c r="P214" s="7"/>
      <c r="Q214" s="23"/>
      <c r="R214" s="23"/>
      <c r="S214" s="35">
        <f t="shared" si="73"/>
        <v>1</v>
      </c>
      <c r="T214" s="50" t="str">
        <f t="shared" si="74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17:42:35-700',mode:absolute,to:'2016-11-14 20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4" s="52" t="str">
        <f t="shared" si="76"/>
        <v>N</v>
      </c>
      <c r="X214" s="177">
        <f t="shared" si="87"/>
        <v>1</v>
      </c>
      <c r="Y214" s="67">
        <f t="shared" si="77"/>
        <v>9.6199999999999994E-2</v>
      </c>
      <c r="Z214" s="67">
        <f t="shared" si="78"/>
        <v>5.8921999999999999</v>
      </c>
      <c r="AA214" s="67">
        <f t="shared" si="79"/>
        <v>5.7960000000000003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0"/>
        <v>0839-14</v>
      </c>
      <c r="AE214" s="91" t="str">
        <f t="shared" si="81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214" s="88" t="str">
        <f t="shared" si="82"/>
        <v>"C:\Program Files (x86)\AstroGrep\AstroGrep.exe" /spath="%USERPROFILE%\AppData\Local\Temp\OnboardLogs" /stypes="app*4038*20161115*" /stext=" 02:.+((SYSTEM_STATE.+slice.+state.+changed )|(ment ac)|(system.+state.+changed )|(\[timeout)|(PRM\|1\|D)|(kpr)|(kdp)|(\|lc)|(penalty))" /e /r /s</v>
      </c>
      <c r="AG214" s="1" t="str">
        <f t="shared" si="83"/>
        <v>NW</v>
      </c>
      <c r="AH214" s="92" t="str">
        <f t="shared" si="85"/>
        <v>"%USERPROFILE%\Documents\GitHub\eaglep3\Utilities\RefineRTDCRunTimes.py" --tripid 839-14 --locoid 4038 --swversion DE.1.0.8.0 --startMP 204:962 --initTime 2016-11-14T18:42:35 --startdatetime 2016-11-14T18:51:24 --delay 1 --endMP 300:58922 --enddatetime 2016-11-14T19:06:21 --enforcementcount 0 &gt;&gt;C:\Users\stu\Documents\GitHub\eaglep3-reporting\EC\2016-11-14-refined-times.txt</v>
      </c>
      <c r="AI214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{"issue":{"subject":"","project_id":79,"tracker_id":40,"status_id":1,"priority_id":2,"assigned_to_id":23,"start_date":"2016-11-14","description":"","custom_fields":[{"id":1,"name":"Subdivision","value":"NW"},{"id":4,"name":"Milepost","value":"5.8922"},{"id":17,"name":"Train ID","value":"839-14"},{"id":16,"name":"Locomotive ID","value":"4038"},{"id":130,"name":"Impact","value":""},{"id":150,"name":"Time of Event (Mountain Time)","value":"19:06:21"},{"id":151,"name":"Denver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598</v>
      </c>
      <c r="B215" s="7">
        <v>4021</v>
      </c>
      <c r="C215" s="22" t="s">
        <v>224</v>
      </c>
      <c r="D215" s="22" t="s">
        <v>382</v>
      </c>
      <c r="E215" s="13">
        <v>42688.81795138889</v>
      </c>
      <c r="F215" s="13">
        <v>42688.819953703707</v>
      </c>
      <c r="G215" s="7">
        <v>1</v>
      </c>
      <c r="H215" s="22" t="s">
        <v>779</v>
      </c>
      <c r="I215" s="13">
        <v>42688.830208333333</v>
      </c>
      <c r="J215" s="7">
        <v>0</v>
      </c>
      <c r="K215" s="109" t="str">
        <f t="shared" si="70"/>
        <v>4021/4022</v>
      </c>
      <c r="L215" s="22" t="str">
        <f>VLOOKUP(A215,'Trips&amp;Operators'!$C$1:$E$10000,3,FALSE)</f>
        <v>LALONDE</v>
      </c>
      <c r="M215" s="6">
        <f t="shared" si="71"/>
        <v>1.0254629625706002E-2</v>
      </c>
      <c r="N215" s="7">
        <f t="shared" si="72"/>
        <v>14.766666661016643</v>
      </c>
      <c r="O215" s="7"/>
      <c r="P215" s="7"/>
      <c r="Q215" s="23"/>
      <c r="R215" s="23"/>
      <c r="S215" s="35">
        <f t="shared" si="73"/>
        <v>1</v>
      </c>
      <c r="T215" s="50" t="str">
        <f t="shared" si="74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18:37:51-700',mode:absolute,to:'2016-11-14 20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5" s="52" t="str">
        <f t="shared" si="76"/>
        <v>N</v>
      </c>
      <c r="X215" s="177">
        <f t="shared" si="87"/>
        <v>1</v>
      </c>
      <c r="Y215" s="67">
        <f t="shared" si="77"/>
        <v>5.8616999999999999</v>
      </c>
      <c r="Z215" s="67">
        <f t="shared" si="78"/>
        <v>6.9400000000000003E-2</v>
      </c>
      <c r="AA215" s="67">
        <f t="shared" si="79"/>
        <v>5.7923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0"/>
        <v>0840-14</v>
      </c>
      <c r="AE215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15" s="88" t="str">
        <f t="shared" si="82"/>
        <v>"C:\Program Files (x86)\AstroGrep\AstroGrep.exe" /spath="%USERPROFILE%\AppData\Local\Temp\OnboardLogs" /stypes="app*4021*20161115*" /stext=" 02:.+((SYSTEM_STATE.+slice.+state.+changed )|(ment ac)|(system.+state.+changed )|(\[timeout)|(PRM\|1\|D)|(kpr)|(kdp)|(\|lc)|(penalty))" /e /r /s</v>
      </c>
      <c r="AG215" s="1" t="str">
        <f t="shared" si="83"/>
        <v>NW</v>
      </c>
      <c r="AH215" s="92" t="str">
        <f t="shared" si="85"/>
        <v>"%USERPROFILE%\Documents\GitHub\eaglep3\Utilities\RefineRTDCRunTimes.py" --tripid 840-14 --locoid 4021 --swversion DE.1.0.8.0 --startMP 300:58617 --initTime 2016-11-14T19:37:51 --startdatetime 2016-11-14T19:40:44 --delay 1 --endMP 204:694 --enddatetime 2016-11-14T19:55:30 --enforcementcount 0 &gt;&gt;C:\Users\stu\Documents\GitHub\eaglep3-reporting\EC\2016-11-14-refined-times.txt</v>
      </c>
      <c r="AI215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{"issue":{"subject":"","project_id":79,"tracker_id":40,"status_id":1,"priority_id":2,"assigned_to_id":23,"start_date":"2016-11-14","description":"","custom_fields":[{"id":1,"name":"Subdivision","value":"NW"},{"id":4,"name":"Milepost","value":"0.0694"},{"id":17,"name":"Train ID","value":"840-14"},{"id":16,"name":"Locomotive ID","value":"4021"},{"id":130,"name":"Impact","value":""},{"id":150,"name":"Time of Event (Mountain Time)","value":"19:55:30"},{"id":151,"name":"Denver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593</v>
      </c>
      <c r="B216" s="7">
        <v>4022</v>
      </c>
      <c r="C216" s="22" t="s">
        <v>224</v>
      </c>
      <c r="D216" s="22" t="s">
        <v>774</v>
      </c>
      <c r="E216" s="13">
        <v>42688.798032407409</v>
      </c>
      <c r="F216" s="13">
        <v>42688.806527777779</v>
      </c>
      <c r="G216" s="7">
        <v>1</v>
      </c>
      <c r="H216" s="22" t="s">
        <v>342</v>
      </c>
      <c r="I216" s="13">
        <v>42688.816030092596</v>
      </c>
      <c r="J216" s="7">
        <v>0</v>
      </c>
      <c r="K216" s="109" t="str">
        <f t="shared" si="70"/>
        <v>4021/4022</v>
      </c>
      <c r="L216" s="22" t="str">
        <f>VLOOKUP(A216,'Trips&amp;Operators'!$C$1:$E$10000,3,FALSE)</f>
        <v>LALONDE</v>
      </c>
      <c r="M216" s="6">
        <f t="shared" si="71"/>
        <v>9.5023148169275373E-3</v>
      </c>
      <c r="N216" s="7">
        <f t="shared" si="72"/>
        <v>13.683333336375654</v>
      </c>
      <c r="O216" s="7"/>
      <c r="P216" s="7"/>
      <c r="Q216" s="23"/>
      <c r="R216" s="23"/>
      <c r="S216" s="35">
        <f t="shared" si="73"/>
        <v>1</v>
      </c>
      <c r="T216" s="50" t="str">
        <f t="shared" si="74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18:09:10-700',mode:absolute,to:'2016-11-14 20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 t="shared" si="76"/>
        <v>N</v>
      </c>
      <c r="X216" s="177">
        <f t="shared" si="87"/>
        <v>1</v>
      </c>
      <c r="Y216" s="67">
        <f t="shared" si="77"/>
        <v>9.7600000000000006E-2</v>
      </c>
      <c r="Z216" s="67">
        <f t="shared" si="78"/>
        <v>5.8935000000000004</v>
      </c>
      <c r="AA216" s="67">
        <f t="shared" si="79"/>
        <v>5.7959000000000005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0"/>
        <v>0841-14</v>
      </c>
      <c r="AE216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16" s="88" t="str">
        <f t="shared" si="82"/>
        <v>"C:\Program Files (x86)\AstroGrep\AstroGrep.exe" /spath="%USERPROFILE%\AppData\Local\Temp\OnboardLogs" /stypes="app*4022*20161115*" /stext=" 02:.+((SYSTEM_STATE.+slice.+state.+changed )|(ment ac)|(system.+state.+changed )|(\[timeout)|(PRM\|1\|D)|(kpr)|(kdp)|(\|lc)|(penalty))" /e /r /s</v>
      </c>
      <c r="AG216" s="1" t="str">
        <f t="shared" si="83"/>
        <v>NW</v>
      </c>
      <c r="AH216" s="92" t="str">
        <f t="shared" si="85"/>
        <v>"%USERPROFILE%\Documents\GitHub\eaglep3\Utilities\RefineRTDCRunTimes.py" --tripid 841-14 --locoid 4022 --swversion DE.1.0.8.0 --startMP 204:976 --initTime 2016-11-14T19:09:10 --startdatetime 2016-11-14T19:21:24 --delay 1 --endMP 300:58935 --enddatetime 2016-11-14T19:35:05 --enforcementcount 0 &gt;&gt;C:\Users\stu\Documents\GitHub\eaglep3-reporting\EC\2016-11-14-refined-times.txt</v>
      </c>
      <c r="AI216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{"issue":{"subject":"","project_id":79,"tracker_id":40,"status_id":1,"priority_id":2,"assigned_to_id":23,"start_date":"2016-11-14","description":"","custom_fields":[{"id":1,"name":"Subdivision","value":"NW"},{"id":4,"name":"Milepost","value":"5.8935"},{"id":17,"name":"Train ID","value":"841-14"},{"id":16,"name":"Locomotive ID","value":"4022"},{"id":130,"name":"Impact","value":""},{"id":150,"name":"Time of Event (Mountain Time)","value":"19:35:05"},{"id":151,"name":"Denver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603</v>
      </c>
      <c r="B217" s="7">
        <v>4021</v>
      </c>
      <c r="C217" s="22" t="s">
        <v>224</v>
      </c>
      <c r="D217" s="22" t="s">
        <v>780</v>
      </c>
      <c r="E217" s="13">
        <v>42688.86005787037</v>
      </c>
      <c r="F217" s="13">
        <v>42688.861689814818</v>
      </c>
      <c r="G217" s="7">
        <v>1</v>
      </c>
      <c r="H217" s="22" t="s">
        <v>751</v>
      </c>
      <c r="I217" s="13">
        <v>42688.871412037035</v>
      </c>
      <c r="J217" s="7">
        <v>0</v>
      </c>
      <c r="K217" s="109" t="str">
        <f t="shared" si="70"/>
        <v>4021/4022</v>
      </c>
      <c r="L217" s="22" t="str">
        <f>VLOOKUP(A217,'Trips&amp;Operators'!$C$1:$E$10000,3,FALSE)</f>
        <v>LALONDE</v>
      </c>
      <c r="M217" s="6">
        <f t="shared" si="71"/>
        <v>9.7222222175332718E-3</v>
      </c>
      <c r="N217" s="7">
        <f t="shared" si="72"/>
        <v>13.999999993247911</v>
      </c>
      <c r="O217" s="7"/>
      <c r="P217" s="7"/>
      <c r="Q217" s="23"/>
      <c r="R217" s="23"/>
      <c r="S217" s="35">
        <f t="shared" si="73"/>
        <v>1</v>
      </c>
      <c r="T217" s="50" t="str">
        <f t="shared" si="74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19:38:29-700',mode:absolute,to:'2016-11-14 21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7" s="52" t="str">
        <f t="shared" si="76"/>
        <v>N</v>
      </c>
      <c r="X217" s="177">
        <f t="shared" si="87"/>
        <v>1</v>
      </c>
      <c r="Y217" s="67">
        <f t="shared" si="77"/>
        <v>5.8619000000000003</v>
      </c>
      <c r="Z217" s="67">
        <f t="shared" si="78"/>
        <v>6.8199999999999997E-2</v>
      </c>
      <c r="AA217" s="67">
        <f t="shared" si="79"/>
        <v>5.7937000000000003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0"/>
        <v>0842-14</v>
      </c>
      <c r="AE217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17" s="88" t="str">
        <f t="shared" si="82"/>
        <v>"C:\Program Files (x86)\AstroGrep\AstroGrep.exe" /spath="%USERPROFILE%\AppData\Local\Temp\OnboardLogs" /stypes="app*4021*20161115*" /stext=" 03:.+((SYSTEM_STATE.+slice.+state.+changed )|(ment ac)|(system.+state.+changed )|(\[timeout)|(PRM\|1\|D)|(kpr)|(kdp)|(\|lc)|(penalty))" /e /r /s</v>
      </c>
      <c r="AG217" s="1" t="str">
        <f t="shared" si="83"/>
        <v>NW</v>
      </c>
      <c r="AH217" s="92" t="str">
        <f t="shared" si="85"/>
        <v>"%USERPROFILE%\Documents\GitHub\eaglep3\Utilities\RefineRTDCRunTimes.py" --tripid 842-14 --locoid 4021 --swversion DE.1.0.8.0 --startMP 300:58619 --initTime 2016-11-14T20:38:29 --startdatetime 2016-11-14T20:40:50 --delay 1 --endMP 204:682 --enddatetime 2016-11-14T20:54:50 --enforcementcount 0 &gt;&gt;C:\Users\stu\Documents\GitHub\eaglep3-reporting\EC\2016-11-14-refined-times.txt</v>
      </c>
      <c r="AI217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{"issue":{"subject":"","project_id":79,"tracker_id":40,"status_id":1,"priority_id":2,"assigned_to_id":23,"start_date":"2016-11-14","description":"","custom_fields":[{"id":1,"name":"Subdivision","value":"NW"},{"id":4,"name":"Milepost","value":"0.0682"},{"id":17,"name":"Train ID","value":"842-14"},{"id":16,"name":"Locomotive ID","value":"4021"},{"id":130,"name":"Impact","value":""},{"id":150,"name":"Time of Event (Mountain Time)","value":"20:54:50"},{"id":151,"name":"Denver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431</v>
      </c>
      <c r="B218" s="7">
        <v>4022</v>
      </c>
      <c r="C218" s="22" t="s">
        <v>224</v>
      </c>
      <c r="D218" s="22" t="s">
        <v>774</v>
      </c>
      <c r="E218" s="13">
        <v>42688.840057870373</v>
      </c>
      <c r="F218" s="13">
        <v>42688.848113425927</v>
      </c>
      <c r="G218" s="7">
        <v>1</v>
      </c>
      <c r="H218" s="22" t="s">
        <v>384</v>
      </c>
      <c r="I218" s="13">
        <v>42688.858923611115</v>
      </c>
      <c r="J218" s="7">
        <v>0</v>
      </c>
      <c r="K218" s="109" t="str">
        <f t="shared" si="70"/>
        <v>4021/4022</v>
      </c>
      <c r="L218" s="22" t="str">
        <f>VLOOKUP(A218,'Trips&amp;Operators'!$C$1:$E$10000,3,FALSE)</f>
        <v>LALONDE</v>
      </c>
      <c r="M218" s="6">
        <f t="shared" si="71"/>
        <v>1.0810185187438037E-2</v>
      </c>
      <c r="N218" s="7">
        <f t="shared" si="72"/>
        <v>15.566666669910774</v>
      </c>
      <c r="O218" s="7"/>
      <c r="P218" s="7"/>
      <c r="Q218" s="23"/>
      <c r="R218" s="23"/>
      <c r="S218" s="35">
        <f t="shared" si="73"/>
        <v>1</v>
      </c>
      <c r="T218" s="50" t="str">
        <f t="shared" si="74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19:09:41-700',mode:absolute,to:'2016-11-14 21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8" s="52" t="str">
        <f t="shared" si="76"/>
        <v>N</v>
      </c>
      <c r="X218" s="177">
        <f t="shared" si="87"/>
        <v>1</v>
      </c>
      <c r="Y218" s="67">
        <f t="shared" si="77"/>
        <v>9.7600000000000006E-2</v>
      </c>
      <c r="Z218" s="67">
        <f t="shared" si="78"/>
        <v>5.8929</v>
      </c>
      <c r="AA218" s="67">
        <f t="shared" si="79"/>
        <v>5.7953000000000001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0"/>
        <v>0843-14</v>
      </c>
      <c r="AE218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18" s="88" t="str">
        <f t="shared" si="82"/>
        <v>"C:\Program Files (x86)\AstroGrep\AstroGrep.exe" /spath="%USERPROFILE%\AppData\Local\Temp\OnboardLogs" /stypes="app*4022*20161115*" /stext=" 03:.+((SYSTEM_STATE.+slice.+state.+changed )|(ment ac)|(system.+state.+changed )|(\[timeout)|(PRM\|1\|D)|(kpr)|(kdp)|(\|lc)|(penalty))" /e /r /s</v>
      </c>
      <c r="AG218" s="1" t="str">
        <f t="shared" si="83"/>
        <v>NW</v>
      </c>
      <c r="AH218" s="92" t="str">
        <f t="shared" si="85"/>
        <v>"%USERPROFILE%\Documents\GitHub\eaglep3\Utilities\RefineRTDCRunTimes.py" --tripid 843-14 --locoid 4022 --swversion DE.1.0.8.0 --startMP 204:976 --initTime 2016-11-14T20:09:41 --startdatetime 2016-11-14T20:21:17 --delay 1 --endMP 300:58929 --enddatetime 2016-11-14T20:36:51 --enforcementcount 0 &gt;&gt;C:\Users\stu\Documents\GitHub\eaglep3-reporting\EC\2016-11-14-refined-times.txt</v>
      </c>
      <c r="AI218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{"issue":{"subject":"","project_id":79,"tracker_id":40,"status_id":1,"priority_id":2,"assigned_to_id":23,"start_date":"2016-11-14","description":"","custom_fields":[{"id":1,"name":"Subdivision","value":"NW"},{"id":4,"name":"Milepost","value":"5.8929"},{"id":17,"name":"Train ID","value":"843-14"},{"id":16,"name":"Locomotive ID","value":"4022"},{"id":130,"name":"Impact","value":""},{"id":150,"name":"Time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606</v>
      </c>
      <c r="B219" s="7">
        <v>4021</v>
      </c>
      <c r="C219" s="22" t="s">
        <v>224</v>
      </c>
      <c r="D219" s="22" t="s">
        <v>385</v>
      </c>
      <c r="E219" s="13">
        <v>42688.902569444443</v>
      </c>
      <c r="F219" s="13">
        <v>42688.904004629629</v>
      </c>
      <c r="G219" s="7">
        <v>1</v>
      </c>
      <c r="H219" s="22" t="s">
        <v>781</v>
      </c>
      <c r="I219" s="13">
        <v>42688.913969907408</v>
      </c>
      <c r="J219" s="7">
        <v>0</v>
      </c>
      <c r="K219" s="109" t="str">
        <f t="shared" si="70"/>
        <v>4021/4022</v>
      </c>
      <c r="L219" s="22" t="str">
        <f>VLOOKUP(A219,'Trips&amp;Operators'!$C$1:$E$10000,3,FALSE)</f>
        <v>CRAYTON</v>
      </c>
      <c r="M219" s="6">
        <f t="shared" si="71"/>
        <v>9.9652777789742686E-3</v>
      </c>
      <c r="N219" s="7">
        <f t="shared" si="72"/>
        <v>14.350000001722947</v>
      </c>
      <c r="O219" s="7"/>
      <c r="P219" s="7"/>
      <c r="Q219" s="23"/>
      <c r="R219" s="23"/>
      <c r="S219" s="35">
        <f t="shared" si="73"/>
        <v>1</v>
      </c>
      <c r="T219" s="50" t="str">
        <f t="shared" si="74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20:39:42-700',mode:absolute,to:'2016-11-14 22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9" s="52" t="str">
        <f t="shared" si="76"/>
        <v>N</v>
      </c>
      <c r="X219" s="177">
        <f t="shared" si="87"/>
        <v>1</v>
      </c>
      <c r="Y219" s="67">
        <f t="shared" si="77"/>
        <v>5.8609</v>
      </c>
      <c r="Z219" s="67">
        <f t="shared" si="78"/>
        <v>6.6100000000000006E-2</v>
      </c>
      <c r="AA219" s="67">
        <f t="shared" si="79"/>
        <v>5.7948000000000004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0"/>
        <v>0844-14</v>
      </c>
      <c r="AE219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19" s="88" t="str">
        <f t="shared" si="82"/>
        <v>"C:\Program Files (x86)\AstroGrep\AstroGrep.exe" /spath="%USERPROFILE%\AppData\Local\Temp\OnboardLogs" /stypes="app*4021*20161115*" /stext=" 04:.+((SYSTEM_STATE.+slice.+state.+changed )|(ment ac)|(system.+state.+changed )|(\[timeout)|(PRM\|1\|D)|(kpr)|(kdp)|(\|lc)|(penalty))" /e /r /s</v>
      </c>
      <c r="AG219" s="1" t="str">
        <f t="shared" si="83"/>
        <v>NW</v>
      </c>
      <c r="AH219" s="92" t="str">
        <f t="shared" si="85"/>
        <v>"%USERPROFILE%\Documents\GitHub\eaglep3\Utilities\RefineRTDCRunTimes.py" --tripid 844-14 --locoid 4021 --swversion DE.1.0.8.0 --startMP 300:58609 --initTime 2016-11-14T21:39:42 --startdatetime 2016-11-14T21:41:46 --delay 1 --endMP 204:661 --enddatetime 2016-11-14T21:56:07 --enforcementcount 0 &gt;&gt;C:\Users\stu\Documents\GitHub\eaglep3-reporting\EC\2016-11-14-refined-times.txt</v>
      </c>
      <c r="AI219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{"issue":{"subject":"","project_id":79,"tracker_id":40,"status_id":1,"priority_id":2,"assigned_to_id":23,"start_date":"2016-11-14","description":"","custom_fields":[{"id":1,"name":"Subdivision","value":"NW"},{"id":4,"name":"Milepost","value":"0.0661"},{"id":17,"name":"Train ID","value":"844-14"},{"id":16,"name":"Locomotive ID","value":"4021"},{"id":130,"name":"Impact","value":""},{"id":150,"name":"Time of Event (Mountain Time)","value":"21:56:07"},{"id":151,"name":"Denver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435</v>
      </c>
      <c r="B220" s="7">
        <v>4022</v>
      </c>
      <c r="C220" s="22" t="s">
        <v>224</v>
      </c>
      <c r="D220" s="22" t="s">
        <v>782</v>
      </c>
      <c r="E220" s="13">
        <v>42688.881921296299</v>
      </c>
      <c r="F220" s="13">
        <v>42688.889826388891</v>
      </c>
      <c r="G220" s="7">
        <v>1</v>
      </c>
      <c r="H220" s="22" t="s">
        <v>380</v>
      </c>
      <c r="I220" s="13">
        <v>42688.90111111111</v>
      </c>
      <c r="J220" s="7">
        <v>0</v>
      </c>
      <c r="K220" s="109" t="str">
        <f t="shared" si="70"/>
        <v>4021/4022</v>
      </c>
      <c r="L220" s="22" t="str">
        <f>VLOOKUP(A220,'Trips&amp;Operators'!$C$1:$E$10000,3,FALSE)</f>
        <v>CRAYTON</v>
      </c>
      <c r="M220" s="6">
        <f t="shared" si="71"/>
        <v>1.1284722218988463E-2</v>
      </c>
      <c r="N220" s="7">
        <f t="shared" si="72"/>
        <v>16.249999995343387</v>
      </c>
      <c r="O220" s="7"/>
      <c r="P220" s="7"/>
      <c r="Q220" s="23"/>
      <c r="R220" s="23"/>
      <c r="S220" s="35">
        <f t="shared" si="73"/>
        <v>1</v>
      </c>
      <c r="T220" s="50" t="str">
        <f t="shared" si="74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20:09:58-700',mode:absolute,to:'2016-11-14 22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0" s="52" t="str">
        <f t="shared" si="76"/>
        <v>N</v>
      </c>
      <c r="X220" s="177">
        <f t="shared" si="87"/>
        <v>1</v>
      </c>
      <c r="Y220" s="67">
        <f t="shared" si="77"/>
        <v>9.7199999999999995E-2</v>
      </c>
      <c r="Z220" s="67">
        <f t="shared" si="78"/>
        <v>5.8930999999999996</v>
      </c>
      <c r="AA220" s="67">
        <f t="shared" si="79"/>
        <v>5.7958999999999996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0"/>
        <v>0845-14</v>
      </c>
      <c r="AE220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20" s="88" t="str">
        <f t="shared" si="82"/>
        <v>"C:\Program Files (x86)\AstroGrep\AstroGrep.exe" /spath="%USERPROFILE%\AppData\Local\Temp\OnboardLogs" /stypes="app*4022*20161115*" /stext=" 04:.+((SYSTEM_STATE.+slice.+state.+changed )|(ment ac)|(system.+state.+changed )|(\[timeout)|(PRM\|1\|D)|(kpr)|(kdp)|(\|lc)|(penalty))" /e /r /s</v>
      </c>
      <c r="AG220" s="1" t="str">
        <f t="shared" si="83"/>
        <v>NW</v>
      </c>
      <c r="AH220" s="92" t="str">
        <f t="shared" si="85"/>
        <v>"%USERPROFILE%\Documents\GitHub\eaglep3\Utilities\RefineRTDCRunTimes.py" --tripid 845-14 --locoid 4022 --swversion DE.1.0.8.0 --startMP 204:972 --initTime 2016-11-14T21:09:58 --startdatetime 2016-11-14T21:21:21 --delay 1 --endMP 300:58931 --enddatetime 2016-11-14T21:37:36 --enforcementcount 0 &gt;&gt;C:\Users\stu\Documents\GitHub\eaglep3-reporting\EC\2016-11-14-refined-times.txt</v>
      </c>
      <c r="AI220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{"issue":{"subject":"","project_id":79,"tracker_id":40,"status_id":1,"priority_id":2,"assigned_to_id":23,"start_date":"2016-11-14","description":"","custom_fields":[{"id":1,"name":"Subdivision","value":"NW"},{"id":4,"name":"Milepost","value":"5.8931"},{"id":17,"name":"Train ID","value":"845-14"},{"id":16,"name":"Locomotive ID","value":"4022"},{"id":130,"name":"Impact","value":""},{"id":150,"name":"Time of Event (Mountain Time)","value":"21:37:36"},{"id":151,"name":"Denver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609</v>
      </c>
      <c r="B221" s="7">
        <v>4022</v>
      </c>
      <c r="C221" s="22" t="s">
        <v>224</v>
      </c>
      <c r="D221" s="22" t="s">
        <v>783</v>
      </c>
      <c r="E221" s="13">
        <v>42688.92559027778</v>
      </c>
      <c r="F221" s="13">
        <v>42688.931435185186</v>
      </c>
      <c r="G221" s="7">
        <v>1</v>
      </c>
      <c r="H221" s="22" t="s">
        <v>784</v>
      </c>
      <c r="I221" s="13">
        <v>42688.941631944443</v>
      </c>
      <c r="J221" s="7">
        <v>0</v>
      </c>
      <c r="K221" s="109" t="str">
        <f t="shared" si="70"/>
        <v>4021/4022</v>
      </c>
      <c r="L221" s="22" t="str">
        <f>VLOOKUP(A221,'Trips&amp;Operators'!$C$1:$E$10000,3,FALSE)</f>
        <v>CRAYTON</v>
      </c>
      <c r="M221" s="6">
        <f t="shared" si="71"/>
        <v>1.0196759256359655E-2</v>
      </c>
      <c r="N221" s="7">
        <f t="shared" si="72"/>
        <v>14.683333329157904</v>
      </c>
      <c r="O221" s="7"/>
      <c r="P221" s="7"/>
      <c r="Q221" s="23"/>
      <c r="R221" s="23"/>
      <c r="S221" s="35">
        <f t="shared" si="73"/>
        <v>1</v>
      </c>
      <c r="T221" s="50" t="str">
        <f t="shared" si="74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21:12:51-700',mode:absolute,to:'2016-11-14 23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1" s="52" t="str">
        <f t="shared" si="76"/>
        <v>N</v>
      </c>
      <c r="X221" s="177">
        <f t="shared" si="87"/>
        <v>2</v>
      </c>
      <c r="Y221" s="67">
        <f t="shared" si="77"/>
        <v>9.4799999999999995E-2</v>
      </c>
      <c r="Z221" s="67">
        <f t="shared" si="78"/>
        <v>5.8926999999999996</v>
      </c>
      <c r="AA221" s="67">
        <f t="shared" si="79"/>
        <v>5.7978999999999994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0"/>
        <v>0847-14</v>
      </c>
      <c r="AE221" s="91" t="str">
        <f t="shared" si="81"/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AF221" s="88" t="str">
        <f t="shared" si="82"/>
        <v>"C:\Program Files (x86)\AstroGrep\AstroGrep.exe" /spath="%USERPROFILE%\AppData\Local\Temp\OnboardLogs" /stypes="app*4022*20161115*" /stext=" 05:.+((SYSTEM_STATE.+slice.+state.+changed )|(ment ac)|(system.+state.+changed )|(\[timeout)|(PRM\|1\|D)|(kpr)|(kdp)|(\|lc)|(penalty))" /e /r /s</v>
      </c>
      <c r="AG221" s="1" t="str">
        <f t="shared" si="83"/>
        <v>NW</v>
      </c>
      <c r="AH221" s="92" t="str">
        <f t="shared" si="85"/>
        <v>"%USERPROFILE%\Documents\GitHub\eaglep3\Utilities\RefineRTDCRunTimes.py" --tripid 847-14 --locoid 4022 --swversion DE.1.0.8.0 --startMP 204:948 --initTime 2016-11-14T22:12:51 --startdatetime 2016-11-14T22:21:16 --delay 1 --endMP 300:58927 --enddatetime 2016-11-14T22:35:57 --enforcementcount 0 &gt;&gt;C:\Users\stu\Documents\GitHub\eaglep3-reporting\EC\2016-11-14-refined-times.txt</v>
      </c>
      <c r="AI221" s="119" t="str">
        <f t="shared" si="86"/>
        <v>echo {"issue":{"subject":"","project_id":79,"tracker_id":40,"status_id":1,"priority_id":2,"assigned_to_id":23,"start_date":"2016-11-14","description":"","custom_fields":[{"id":1,"name":"Subdivision","value":"NW"},{"id":4,"name":"Milepost","value":"5.8927"},{"id":17,"name":"Train ID","value":"847-14"},{"id":16,"name":"Locomotive ID","value":"4022"},{"id":130,"name":"Impact","value":""},{"id":150,"name":"Time of Event (Mountain Time)","value":"22:35:57"},{"id":151,"name":"Denver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438</v>
      </c>
      <c r="B222" s="7">
        <v>4015</v>
      </c>
      <c r="C222" s="22" t="s">
        <v>224</v>
      </c>
      <c r="D222" s="22" t="s">
        <v>722</v>
      </c>
      <c r="E222" s="13">
        <v>42688.119016203702</v>
      </c>
      <c r="F222" s="13">
        <v>42688.120486111111</v>
      </c>
      <c r="G222" s="7">
        <v>1</v>
      </c>
      <c r="H222" s="22" t="s">
        <v>229</v>
      </c>
      <c r="I222" s="13">
        <v>42688.126331018517</v>
      </c>
      <c r="J222" s="7">
        <v>0</v>
      </c>
      <c r="K222" s="109" t="str">
        <f t="shared" si="70"/>
        <v>4015/4016</v>
      </c>
      <c r="L222" s="22" t="str">
        <f>VLOOKUP(A222,'Trips&amp;Operators'!$C$1:$E$10000,3,FALSE)</f>
        <v>GRASTON</v>
      </c>
      <c r="M222" s="6">
        <f t="shared" si="71"/>
        <v>5.8449074058444239E-3</v>
      </c>
      <c r="N222" s="7">
        <f t="shared" si="72"/>
        <v>8.4166666644159704</v>
      </c>
      <c r="O222" s="7"/>
      <c r="P222" s="7"/>
      <c r="Q222" s="23"/>
      <c r="R222" s="23"/>
      <c r="S222" s="35">
        <f t="shared" si="73"/>
        <v>1</v>
      </c>
      <c r="T222" s="50" t="str">
        <f t="shared" si="74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01:51:23-700',mode:absolute,to:'2016-11-14 04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76"/>
        <v>Y</v>
      </c>
      <c r="X222" s="177">
        <f t="shared" si="87"/>
        <v>-545</v>
      </c>
      <c r="Y222" s="67">
        <f t="shared" si="77"/>
        <v>2.3491</v>
      </c>
      <c r="Z222" s="67">
        <f t="shared" si="78"/>
        <v>1.5800000000000002E-2</v>
      </c>
      <c r="AA222" s="67">
        <f t="shared" si="79"/>
        <v>2.3332999999999999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0"/>
        <v>0302-14</v>
      </c>
      <c r="AE222" s="91" t="str">
        <f t="shared" si="81"/>
        <v>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 &amp; 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</v>
      </c>
      <c r="AF222" s="88" t="str">
        <f t="shared" si="82"/>
        <v>"C:\Program Files (x86)\AstroGrep\AstroGrep.exe" /spath="%USERPROFILE%\AppData\Local\Temp\OnboardLogs" /stypes="app*4015*20161114*" /stext=" 10:.+((SYSTEM_STATE.+slice.+state.+changed )|(ment ac)|(system.+state.+changed )|(\[timeout)|(PRM\|1\|D)|(kpr)|(kdp)|(\|lc)|(penalty))" /e /r /s</v>
      </c>
      <c r="AG222" s="1" t="str">
        <f t="shared" si="83"/>
        <v>Other</v>
      </c>
      <c r="AH222" s="92" t="str">
        <f t="shared" si="85"/>
        <v>"%USERPROFILE%\Documents\GitHub\eaglep3\Utilities\RefineRTDCRunTimes.py" --tripid 302-14 --locoid 4015 --swversion DE.1.0.8.0 --startMP 300:23491 --initTime 2016-11-14T02:51:23 --startdatetime 2016-11-14T02:53:30 --delay 1 --endMP 204:158 --enddatetime 2016-11-14T03:01:55 --enforcementcount 0 &gt;&gt;C:\Users\stu\Documents\GitHub\eaglep3-reporting\EC\2016-11-14-refined-times.txt</v>
      </c>
      <c r="AI222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{"issue":{"subject":"","project_id":79,"tracker_id":40,"status_id":1,"priority_id":2,"assigned_to_id":23,"start_date":"2016-11-14","description":"","custom_fields":[{"id":1,"name":"Subdivision","value":"Other"},{"id":4,"name":"Milepost","value":"0.0158"},{"id":17,"name":"Train ID","value":"302-14"},{"id":16,"name":"Locomotive ID","value":"4015"},{"id":130,"name":"Impact","value":""},{"id":150,"name":"Time of Event (Mountain Time)","value":"03:01:55"},{"id":151,"name":"Denver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589</v>
      </c>
      <c r="B223" s="7">
        <v>4040</v>
      </c>
      <c r="C223" s="22" t="s">
        <v>224</v>
      </c>
      <c r="D223" s="22" t="s">
        <v>316</v>
      </c>
      <c r="E223" s="13">
        <v>42688.779687499999</v>
      </c>
      <c r="F223" s="13">
        <v>25568.708333333332</v>
      </c>
      <c r="G223" s="7">
        <v>1</v>
      </c>
      <c r="H223" s="22" t="s">
        <v>723</v>
      </c>
      <c r="I223" s="13">
        <v>25568.708333333332</v>
      </c>
      <c r="J223" s="7">
        <v>0</v>
      </c>
      <c r="K223" s="109" t="str">
        <f t="shared" si="70"/>
        <v>4039/4040</v>
      </c>
      <c r="L223" s="22" t="str">
        <f>VLOOKUP(A223,'Trips&amp;Operators'!$C$1:$E$10000,3,FALSE)</f>
        <v>CLARK</v>
      </c>
      <c r="M223" s="6">
        <f t="shared" si="71"/>
        <v>0</v>
      </c>
      <c r="N223" s="7">
        <f t="shared" si="72"/>
        <v>0</v>
      </c>
      <c r="O223" s="7"/>
      <c r="P223" s="7"/>
      <c r="Q223" s="23"/>
      <c r="R223" s="23"/>
      <c r="S223" s="35">
        <f t="shared" si="73"/>
        <v>1</v>
      </c>
      <c r="T223" s="50" t="str">
        <f t="shared" si="74"/>
        <v>NorthBound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17:42:45-700',mode:absolute,to:'1969-12-31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3" s="52" t="str">
        <f t="shared" si="76"/>
        <v>Y</v>
      </c>
      <c r="X223" s="177">
        <f t="shared" si="87"/>
        <v>1</v>
      </c>
      <c r="Y223" s="67">
        <f t="shared" si="77"/>
        <v>4.4900000000000002E-2</v>
      </c>
      <c r="Z223" s="67">
        <f t="shared" si="78"/>
        <v>2.3308</v>
      </c>
      <c r="AA223" s="67">
        <f t="shared" si="79"/>
        <v>2.2858999999999998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0"/>
        <v>0303-14</v>
      </c>
      <c r="AE223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3" s="88" t="str">
        <f t="shared" si="82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23" s="1" t="str">
        <f t="shared" si="83"/>
        <v>Other</v>
      </c>
      <c r="AH223" s="92" t="str">
        <f t="shared" si="85"/>
        <v>"%USERPROFILE%\Documents\GitHub\eaglep3\Utilities\RefineRTDCRunTimes.py" --tripid 303-14 --locoid 4040 --swversion DE.1.0.8.0 --startMP 204:449 --initTime 2016-11-14T18:42:45 --startdatetime 1969-12-31T17:00:00 --delay 1 --endMP 300:23308 --enddatetime 1969-12-31T17:00:00 --enforcementcount 0 &gt;&gt;C:\Users\stu\Documents\GitHub\eaglep3-reporting\EC\2016-11-14-refined-times.txt</v>
      </c>
      <c r="AI223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ID","value":"303-14"},{"id":16,"name":"Locomotive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442</v>
      </c>
      <c r="B224" s="7">
        <v>4030</v>
      </c>
      <c r="C224" s="22" t="s">
        <v>224</v>
      </c>
      <c r="D224" s="22" t="s">
        <v>396</v>
      </c>
      <c r="E224" s="13">
        <v>42688.14099537037</v>
      </c>
      <c r="F224" s="13">
        <v>42688.142395833333</v>
      </c>
      <c r="G224" s="7">
        <v>1</v>
      </c>
      <c r="H224" s="22" t="s">
        <v>248</v>
      </c>
      <c r="I224" s="13">
        <v>42688.148680555554</v>
      </c>
      <c r="J224" s="7">
        <v>0</v>
      </c>
      <c r="K224" s="109" t="str">
        <f t="shared" si="70"/>
        <v>4029/4030</v>
      </c>
      <c r="L224" s="22" t="str">
        <f>VLOOKUP(A224,'Trips&amp;Operators'!$C$1:$E$10000,3,FALSE)</f>
        <v>ROBINSON</v>
      </c>
      <c r="M224" s="6">
        <f t="shared" si="71"/>
        <v>6.284722221607808E-3</v>
      </c>
      <c r="N224" s="7">
        <f t="shared" si="72"/>
        <v>9.0499999991152436</v>
      </c>
      <c r="O224" s="7"/>
      <c r="P224" s="7"/>
      <c r="Q224" s="23"/>
      <c r="R224" s="23"/>
      <c r="S224" s="35">
        <f t="shared" si="73"/>
        <v>1</v>
      </c>
      <c r="T224" s="50" t="str">
        <f t="shared" si="74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02:23:02-700',mode:absolute,to:'2016-11-14 04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4" s="52" t="str">
        <f t="shared" si="76"/>
        <v>Y</v>
      </c>
      <c r="X224" s="177">
        <f t="shared" si="87"/>
        <v>1</v>
      </c>
      <c r="Y224" s="67">
        <f t="shared" si="77"/>
        <v>2.3313000000000001</v>
      </c>
      <c r="Z224" s="67">
        <f t="shared" si="78"/>
        <v>1.3899999999999999E-2</v>
      </c>
      <c r="AA224" s="67">
        <f t="shared" si="79"/>
        <v>2.3174000000000001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0"/>
        <v>0304-14</v>
      </c>
      <c r="AE224" s="91" t="str">
        <f t="shared" si="81"/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AF224" s="88" t="str">
        <f t="shared" si="82"/>
        <v>"C:\Program Files (x86)\AstroGrep\AstroGrep.exe" /spath="%USERPROFILE%\AppData\Local\Temp\OnboardLogs" /stypes="app*4030*20161114*" /stext=" 10:.+((SYSTEM_STATE.+slice.+state.+changed )|(ment ac)|(system.+state.+changed )|(\[timeout)|(PRM\|1\|D)|(kpr)|(kdp)|(\|lc)|(penalty))" /e /r /s</v>
      </c>
      <c r="AG224" s="1" t="str">
        <f t="shared" si="83"/>
        <v>Other</v>
      </c>
      <c r="AH224" s="92" t="str">
        <f t="shared" si="85"/>
        <v>"%USERPROFILE%\Documents\GitHub\eaglep3\Utilities\RefineRTDCRunTimes.py" --tripid 304-14 --locoid 4030 --swversion DE.1.0.8.0 --startMP 300:23313 --initTime 2016-11-14T03:23:02 --startdatetime 2016-11-14T03:25:03 --delay 1 --endMP 204:139 --enddatetime 2016-11-14T03:34:06 --enforcementcount 0 &gt;&gt;C:\Users\stu\Documents\GitHub\eaglep3-reporting\EC\2016-11-14-refined-times.txt</v>
      </c>
      <c r="AI224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{"issue":{"subject":"","project_id":79,"tracker_id":40,"status_id":1,"priority_id":2,"assigned_to_id":23,"start_date":"2016-11-14","description":"","custom_fields":[{"id":1,"name":"Subdivision","value":"Other"},{"id":4,"name":"Milepost","value":"0.0139"},{"id":17,"name":"Train ID","value":"304-14"},{"id":16,"name":"Locomotive ID","value":"4030"},{"id":130,"name":"Impact","value":""},{"id":150,"name":"Time of Event (Mountain Time)","value":"03:34:06"},{"id":151,"name":"Denver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595</v>
      </c>
      <c r="B225" s="7">
        <v>4011</v>
      </c>
      <c r="C225" s="22" t="s">
        <v>224</v>
      </c>
      <c r="D225" s="22" t="s">
        <v>719</v>
      </c>
      <c r="E225" s="13">
        <v>42688.799791666665</v>
      </c>
      <c r="F225" s="13">
        <v>42688.807546296295</v>
      </c>
      <c r="G225" s="7">
        <v>1</v>
      </c>
      <c r="H225" s="22" t="s">
        <v>724</v>
      </c>
      <c r="I225" s="13">
        <v>42688.814247685186</v>
      </c>
      <c r="J225" s="7">
        <v>0</v>
      </c>
      <c r="K225" s="109" t="str">
        <f t="shared" si="70"/>
        <v>4011/4012</v>
      </c>
      <c r="L225" s="22" t="str">
        <f>VLOOKUP(A225,'Trips&amp;Operators'!$C$1:$E$10000,3,FALSE)</f>
        <v>YOUNG</v>
      </c>
      <c r="M225" s="6">
        <f t="shared" si="71"/>
        <v>6.701388891087845E-3</v>
      </c>
      <c r="N225" s="7">
        <f t="shared" si="72"/>
        <v>9.6500000031664968</v>
      </c>
      <c r="O225" s="7"/>
      <c r="P225" s="7"/>
      <c r="Q225" s="23"/>
      <c r="R225" s="23"/>
      <c r="S225" s="35">
        <f t="shared" si="73"/>
        <v>1</v>
      </c>
      <c r="T225" s="50" t="str">
        <f t="shared" si="74"/>
        <v>NorthBound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18:11:42-700',mode:absolute,to:'2016-11-14 20:32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5" s="52" t="str">
        <f t="shared" si="76"/>
        <v>Y</v>
      </c>
      <c r="X225" s="177">
        <f t="shared" si="87"/>
        <v>1</v>
      </c>
      <c r="Y225" s="67">
        <f t="shared" si="77"/>
        <v>4.82E-2</v>
      </c>
      <c r="Z225" s="67">
        <f t="shared" si="78"/>
        <v>2.3029999999999999</v>
      </c>
      <c r="AA225" s="67">
        <f t="shared" si="79"/>
        <v>2.2547999999999999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0"/>
        <v>0305-14</v>
      </c>
      <c r="AE225" s="91" t="str">
        <f t="shared" si="81"/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AF225" s="88" t="str">
        <f t="shared" si="82"/>
        <v>"C:\Program Files (x86)\AstroGrep\AstroGrep.exe" /spath="%USERPROFILE%\AppData\Local\Temp\OnboardLogs" /stypes="app*4011*20161115*" /stext=" 02:.+((SYSTEM_STATE.+slice.+state.+changed )|(ment ac)|(system.+state.+changed )|(\[timeout)|(PRM\|1\|D)|(kpr)|(kdp)|(\|lc)|(penalty))" /e /r /s</v>
      </c>
      <c r="AG225" s="1" t="str">
        <f t="shared" si="83"/>
        <v>Other</v>
      </c>
      <c r="AH225" s="92" t="str">
        <f t="shared" si="85"/>
        <v>"%USERPROFILE%\Documents\GitHub\eaglep3\Utilities\RefineRTDCRunTimes.py" --tripid 305-14 --locoid 4011 --swversion DE.1.0.8.0 --startMP 204:482 --initTime 2016-11-14T19:11:42 --startdatetime 2016-11-14T19:22:52 --delay 1 --endMP 300:23030 --enddatetime 2016-11-14T19:32:31 --enforcementcount 0 &gt;&gt;C:\Users\stu\Documents\GitHub\eaglep3-reporting\EC\2016-11-14-refined-times.txt</v>
      </c>
      <c r="AI225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{"issue":{"subject":"","project_id":79,"tracker_id":40,"status_id":1,"priority_id":2,"assigned_to_id":23,"start_date":"2016-11-14","description":"","custom_fields":[{"id":1,"name":"Subdivision","value":"Other"},{"id":4,"name":"Milepost","value":"2.303"},{"id":17,"name":"Train ID","value":"305-14"},{"id":16,"name":"Locomotive ID","value":"4011"},{"id":130,"name":"Impact","value":""},{"id":150,"name":"Time of Event (Mountain Time)","value":"19:32:31"},{"id":151,"name":"Denver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445</v>
      </c>
      <c r="B226" s="7">
        <v>4004</v>
      </c>
      <c r="C226" s="22" t="s">
        <v>224</v>
      </c>
      <c r="D226" s="22" t="s">
        <v>725</v>
      </c>
      <c r="E226" s="13">
        <v>42688.160960648151</v>
      </c>
      <c r="F226" s="13">
        <v>42688.162129629629</v>
      </c>
      <c r="G226" s="7">
        <v>1</v>
      </c>
      <c r="H226" s="22" t="s">
        <v>246</v>
      </c>
      <c r="I226" s="13">
        <v>42688.168749999997</v>
      </c>
      <c r="J226" s="7">
        <v>0</v>
      </c>
      <c r="K226" s="109" t="str">
        <f t="shared" si="70"/>
        <v>4003/4004</v>
      </c>
      <c r="L226" s="22" t="str">
        <f>VLOOKUP(A226,'Trips&amp;Operators'!$C$1:$E$10000,3,FALSE)</f>
        <v>OUN</v>
      </c>
      <c r="M226" s="6">
        <f t="shared" si="71"/>
        <v>6.6203703681821935E-3</v>
      </c>
      <c r="N226" s="7">
        <f t="shared" si="72"/>
        <v>9.5333333301823586</v>
      </c>
      <c r="O226" s="7"/>
      <c r="P226" s="7"/>
      <c r="Q226" s="23"/>
      <c r="R226" s="23"/>
      <c r="S226" s="35">
        <f t="shared" si="73"/>
        <v>1</v>
      </c>
      <c r="T226" s="50" t="str">
        <f t="shared" si="74"/>
        <v>Southbound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02:51:47-700',mode:absolute,to:'2016-11-14 05:03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6" s="52" t="str">
        <f t="shared" si="76"/>
        <v>Y</v>
      </c>
      <c r="X226" s="177">
        <f t="shared" si="87"/>
        <v>1</v>
      </c>
      <c r="Y226" s="67">
        <f t="shared" si="77"/>
        <v>2.3309000000000002</v>
      </c>
      <c r="Z226" s="67">
        <f t="shared" si="78"/>
        <v>1.6E-2</v>
      </c>
      <c r="AA226" s="67">
        <f t="shared" si="79"/>
        <v>2.3149000000000002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0"/>
        <v>0306-14</v>
      </c>
      <c r="AE226" s="91" t="str">
        <f t="shared" si="81"/>
        <v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v>
      </c>
      <c r="AF226" s="88" t="str">
        <f t="shared" si="82"/>
        <v>"C:\Program Files (x86)\AstroGrep\AstroGrep.exe" /spath="%USERPROFILE%\AppData\Local\Temp\OnboardLogs" /stypes="app*4004*20161114*" /stext=" 11:.+((SYSTEM_STATE.+slice.+state.+changed )|(ment ac)|(system.+state.+changed )|(\[timeout)|(PRM\|1\|D)|(kpr)|(kdp)|(\|lc)|(penalty))" /e /r /s</v>
      </c>
      <c r="AG226" s="1" t="str">
        <f t="shared" si="83"/>
        <v>Other</v>
      </c>
      <c r="AH226" s="92" t="str">
        <f t="shared" si="85"/>
        <v>"%USERPROFILE%\Documents\GitHub\eaglep3\Utilities\RefineRTDCRunTimes.py" --tripid 306-14 --locoid 4004 --swversion DE.1.0.8.0 --startMP 300:23309 --initTime 2016-11-14T03:51:47 --startdatetime 2016-11-14T03:53:28 --delay 1 --endMP 204:160 --enddatetime 2016-11-14T04:03:00 --enforcementcount 0 &gt;&gt;C:\Users\stu\Documents\GitHub\eaglep3-reporting\EC\2016-11-14-refined-times.txt</v>
      </c>
      <c r="AI226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{"issue":{"subject":"","project_id":79,"tracker_id":40,"status_id":1,"priority_id":2,"assigned_to_id":23,"start_date":"2016-11-14","description":"","custom_fields":[{"id":1,"name":"Subdivision","value":"Other"},{"id":4,"name":"Milepost","value":"0.016"},{"id":17,"name":"Train ID","value":"306-14"},{"id":16,"name":"Locomotive ID","value":"4004"},{"id":130,"name":"Impact","value":""},{"id":150,"name":"Time of Event (Mountain Time)","value":"04:03:00"},{"id":151,"name":"Denver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599</v>
      </c>
      <c r="B227" s="7">
        <v>4016</v>
      </c>
      <c r="C227" s="22" t="s">
        <v>224</v>
      </c>
      <c r="D227" s="22" t="s">
        <v>726</v>
      </c>
      <c r="E227" s="13">
        <v>42688.818553240744</v>
      </c>
      <c r="F227" s="13">
        <v>25568.708333333332</v>
      </c>
      <c r="G227" s="7">
        <v>1</v>
      </c>
      <c r="H227" s="22" t="s">
        <v>331</v>
      </c>
      <c r="I227" s="13">
        <v>25568.708333333332</v>
      </c>
      <c r="J227" s="7">
        <v>0</v>
      </c>
      <c r="K227" s="109" t="str">
        <f t="shared" si="70"/>
        <v>4015/4016</v>
      </c>
      <c r="L227" s="22" t="str">
        <f>VLOOKUP(A227,'Trips&amp;Operators'!$C$1:$E$10000,3,FALSE)</f>
        <v>SHOOK</v>
      </c>
      <c r="M227" s="6">
        <f t="shared" si="71"/>
        <v>0</v>
      </c>
      <c r="N227" s="7">
        <f t="shared" si="72"/>
        <v>0</v>
      </c>
      <c r="O227" s="7"/>
      <c r="P227" s="7"/>
      <c r="Q227" s="23"/>
      <c r="R227" s="23"/>
      <c r="S227" s="35">
        <f t="shared" si="73"/>
        <v>1</v>
      </c>
      <c r="T227" s="50" t="str">
        <f t="shared" si="74"/>
        <v>NorthBound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18:38:43-700',mode:absolute,to:'1969-12-31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7" s="52" t="str">
        <f t="shared" si="76"/>
        <v>Y</v>
      </c>
      <c r="X227" s="177">
        <f t="shared" si="87"/>
        <v>1</v>
      </c>
      <c r="Y227" s="67">
        <f t="shared" si="77"/>
        <v>5.0900000000000001E-2</v>
      </c>
      <c r="Z227" s="67">
        <f t="shared" si="78"/>
        <v>2.3311999999999999</v>
      </c>
      <c r="AA227" s="67">
        <f t="shared" si="79"/>
        <v>2.2803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0"/>
        <v>0307-14</v>
      </c>
      <c r="AE227" s="91" t="str">
        <f t="shared" si="8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7" s="88" t="str">
        <f t="shared" si="82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27" s="1" t="str">
        <f t="shared" si="83"/>
        <v>Other</v>
      </c>
      <c r="AH227" s="92" t="str">
        <f t="shared" si="85"/>
        <v>"%USERPROFILE%\Documents\GitHub\eaglep3\Utilities\RefineRTDCRunTimes.py" --tripid 307-14 --locoid 4016 --swversion DE.1.0.8.0 --startMP 204:509 --initTime 2016-11-14T19:38:43 --startdatetime 1969-12-31T17:00:00 --delay 1 --endMP 300:23312 --enddatetime 1969-12-31T17:00:00 --enforcementcount 0 &gt;&gt;C:\Users\stu\Documents\GitHub\eaglep3-reporting\EC\2016-11-14-refined-times.txt</v>
      </c>
      <c r="AI227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ID","value":"307-14"},{"id":16,"name":"Locomotive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446</v>
      </c>
      <c r="B228" s="7">
        <v>4010</v>
      </c>
      <c r="C228" s="22" t="s">
        <v>224</v>
      </c>
      <c r="D228" s="22" t="s">
        <v>727</v>
      </c>
      <c r="E228" s="13">
        <v>42688.164988425924</v>
      </c>
      <c r="F228" s="13">
        <v>42688.166168981479</v>
      </c>
      <c r="G228" s="7">
        <v>1</v>
      </c>
      <c r="H228" s="22" t="s">
        <v>247</v>
      </c>
      <c r="I228" s="13">
        <v>42688.17260416667</v>
      </c>
      <c r="J228" s="7">
        <v>0</v>
      </c>
      <c r="K228" s="109" t="str">
        <f t="shared" si="70"/>
        <v>4009/4010</v>
      </c>
      <c r="L228" s="22" t="str">
        <f>VLOOKUP(A228,'Trips&amp;Operators'!$C$1:$E$10000,3,FALSE)</f>
        <v>ISHMAEL</v>
      </c>
      <c r="M228" s="6">
        <f t="shared" si="71"/>
        <v>6.4351851906394586E-3</v>
      </c>
      <c r="N228" s="7">
        <f t="shared" si="72"/>
        <v>9.2666666745208204</v>
      </c>
      <c r="O228" s="7"/>
      <c r="P228" s="7"/>
      <c r="Q228" s="23"/>
      <c r="R228" s="23"/>
      <c r="S228" s="35">
        <f t="shared" si="73"/>
        <v>1</v>
      </c>
      <c r="T228" s="50" t="str">
        <f t="shared" si="74"/>
        <v>Southbound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02:57:35-700',mode:absolute,to:'2016-11-14 05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8" s="52" t="str">
        <f t="shared" si="76"/>
        <v>Y</v>
      </c>
      <c r="X228" s="177">
        <f t="shared" si="87"/>
        <v>1</v>
      </c>
      <c r="Y228" s="67">
        <f t="shared" si="77"/>
        <v>2.3472</v>
      </c>
      <c r="Z228" s="67">
        <f t="shared" si="78"/>
        <v>1.4999999999999999E-2</v>
      </c>
      <c r="AA228" s="67">
        <f t="shared" si="79"/>
        <v>2.3321999999999998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0"/>
        <v>0308-14</v>
      </c>
      <c r="AE228" s="91" t="str">
        <f t="shared" si="81"/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AF228" s="88" t="str">
        <f t="shared" si="82"/>
        <v>"C:\Program Files (x86)\AstroGrep\AstroGrep.exe" /spath="%USERPROFILE%\AppData\Local\Temp\OnboardLogs" /stypes="app*4010*20161114*" /stext=" 11:.+((SYSTEM_STATE.+slice.+state.+changed )|(ment ac)|(system.+state.+changed )|(\[timeout)|(PRM\|1\|D)|(kpr)|(kdp)|(\|lc)|(penalty))" /e /r /s</v>
      </c>
      <c r="AG228" s="1" t="str">
        <f t="shared" si="83"/>
        <v>Other</v>
      </c>
      <c r="AH228" s="92" t="str">
        <f t="shared" si="85"/>
        <v>"%USERPROFILE%\Documents\GitHub\eaglep3\Utilities\RefineRTDCRunTimes.py" --tripid 308-14 --locoid 4010 --swversion DE.1.0.8.0 --startMP 300:23472 --initTime 2016-11-14T03:57:35 --startdatetime 2016-11-14T03:59:17 --delay 1 --endMP 204:150 --enddatetime 2016-11-14T04:08:33 --enforcementcount 0 &gt;&gt;C:\Users\stu\Documents\GitHub\eaglep3-reporting\EC\2016-11-14-refined-times.txt</v>
      </c>
      <c r="AI228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{"issue":{"subject":"","project_id":79,"tracker_id":40,"status_id":1,"priority_id":2,"assigned_to_id":23,"start_date":"2016-11-14","description":"","custom_fields":[{"id":1,"name":"Subdivision","value":"Other"},{"id":4,"name":"Milepost","value":"0.015"},{"id":17,"name":"Train ID","value":"308-14"},{"id":16,"name":"Locomotive ID","value":"4010"},{"id":130,"name":"Impact","value":""},{"id":150,"name":"Time of Event (Mountain Time)","value":"04:08:33"},{"id":151,"name":"Denver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619</v>
      </c>
      <c r="B229" s="7">
        <v>4046</v>
      </c>
      <c r="C229" s="22" t="s">
        <v>224</v>
      </c>
      <c r="D229" s="22" t="s">
        <v>371</v>
      </c>
      <c r="E229" s="13">
        <v>42689.026273148149</v>
      </c>
      <c r="F229" s="13">
        <v>42689.028217592589</v>
      </c>
      <c r="G229" s="7">
        <v>1</v>
      </c>
      <c r="H229" s="22" t="s">
        <v>728</v>
      </c>
      <c r="I229" s="13">
        <v>42689.034062500003</v>
      </c>
      <c r="J229" s="7">
        <v>0</v>
      </c>
      <c r="K229" s="109" t="str">
        <f t="shared" si="70"/>
        <v>4045/4046</v>
      </c>
      <c r="L229" s="22" t="str">
        <f>VLOOKUP(A229,'Trips&amp;Operators'!$C$1:$E$10000,3,FALSE)</f>
        <v>NELSON</v>
      </c>
      <c r="M229" s="6">
        <f t="shared" si="71"/>
        <v>5.8449074131203815E-3</v>
      </c>
      <c r="N229" s="7">
        <f t="shared" si="72"/>
        <v>8.4166666748933494</v>
      </c>
      <c r="O229" s="7"/>
      <c r="P229" s="7"/>
      <c r="Q229" s="23"/>
      <c r="R229" s="23"/>
      <c r="S229" s="35">
        <f t="shared" si="73"/>
        <v>1</v>
      </c>
      <c r="T229" s="50" t="str">
        <f t="shared" si="74"/>
        <v>NorthBound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23:37:50-700',mode:absolute,to:'2016-11-15 01:49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9" s="52" t="str">
        <f t="shared" si="76"/>
        <v>Y</v>
      </c>
      <c r="X229" s="177">
        <f t="shared" si="87"/>
        <v>1</v>
      </c>
      <c r="Y229" s="67">
        <f t="shared" si="77"/>
        <v>4.7699999999999999E-2</v>
      </c>
      <c r="Z229" s="67">
        <f t="shared" si="78"/>
        <v>2.2856000000000001</v>
      </c>
      <c r="AA229" s="67">
        <f t="shared" si="79"/>
        <v>2.2379000000000002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0"/>
        <v>0309-14</v>
      </c>
      <c r="AE229" s="91" t="str">
        <f t="shared" si="81"/>
        <v>aws s3 cp s3://rtdc.mdm.uploadarchive.raw/RTDC4046/ "%USERPROFILE%\AppData\Local\Temp\OnboardLogs"\RTDC4046\2016-11-15 --exclude "*" --recursive --include "*20161115*" &amp; "%USERPROFILE%\Documents\GitHub\mrs-test-scripts\Headless Mode &amp; Sideloading\WalkAndUnGZ.bat" "%USERPROFILE%\AppData\Local\Temp\OnboardLogs"\RTDC4046\2016-11-15 &amp; 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</v>
      </c>
      <c r="AF229" s="88" t="str">
        <f t="shared" si="82"/>
        <v>"C:\Program Files (x86)\AstroGrep\AstroGrep.exe" /spath="%USERPROFILE%\AppData\Local\Temp\OnboardLogs" /stypes="app*4046*20161115*" /stext=" 07:.+((SYSTEM_STATE.+slice.+state.+changed )|(ment ac)|(system.+state.+changed )|(\[timeout)|(PRM\|1\|D)|(kpr)|(kdp)|(\|lc)|(penalty))" /e /r /s</v>
      </c>
      <c r="AG229" s="1" t="str">
        <f t="shared" si="83"/>
        <v>Other</v>
      </c>
      <c r="AH229" s="92" t="str">
        <f t="shared" si="85"/>
        <v>"%USERPROFILE%\Documents\GitHub\eaglep3\Utilities\RefineRTDCRunTimes.py" --tripid 309-14 --locoid 4046 --swversion DE.1.0.8.0 --startMP 204:477 --initTime 2016-11-15T00:37:50 --startdatetime 2016-11-15T00:40:38 --delay 1 --endMP 300:22856 --enddatetime 2016-11-15T00:49:03 --enforcementcount 0 &gt;&gt;C:\Users\stu\Documents\GitHub\eaglep3-reporting\EC\2016-11-14-refined-times.txt</v>
      </c>
      <c r="AI229" s="119" t="str">
        <f t="shared" si="86"/>
        <v>echo {"issue":{"subject":"","project_id":79,"tracker_id":40,"status_id":1,"priority_id":2,"assigned_to_id":23,"start_date":"2016-11-15","description":"","custom_fields":[{"id":1,"name":"Subdivision","value":"Other"},{"id":4,"name":"Milepost","value":"2.2856"},{"id":17,"name":"Train ID","value":"309-14"},{"id":16,"name":"Locomotive ID","value":"4046"},{"id":130,"name":"Impact","value":""},{"id":150,"name":"Time of Event (Mountain Time)","value":"00:49:03"},{"id":151,"name":"Denver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451</v>
      </c>
      <c r="B230" s="7">
        <v>4039</v>
      </c>
      <c r="C230" s="22" t="s">
        <v>224</v>
      </c>
      <c r="D230" s="22" t="s">
        <v>729</v>
      </c>
      <c r="E230" s="13">
        <v>42688.181793981479</v>
      </c>
      <c r="F230" s="13">
        <v>42688.183159722219</v>
      </c>
      <c r="G230" s="7">
        <v>1</v>
      </c>
      <c r="H230" s="22" t="s">
        <v>222</v>
      </c>
      <c r="I230" s="13">
        <v>42688.192106481481</v>
      </c>
      <c r="J230" s="7">
        <v>0</v>
      </c>
      <c r="K230" s="109" t="str">
        <f t="shared" si="70"/>
        <v>4039/4040</v>
      </c>
      <c r="L230" s="22" t="str">
        <f>VLOOKUP(A230,'Trips&amp;Operators'!$C$1:$E$10000,3,FALSE)</f>
        <v>SMITH</v>
      </c>
      <c r="M230" s="6">
        <f t="shared" si="71"/>
        <v>8.9467592624714598E-3</v>
      </c>
      <c r="N230" s="7">
        <f t="shared" si="72"/>
        <v>12.883333337958902</v>
      </c>
      <c r="O230" s="7"/>
      <c r="P230" s="7"/>
      <c r="Q230" s="23"/>
      <c r="R230" s="23"/>
      <c r="S230" s="35">
        <f t="shared" si="73"/>
        <v>1</v>
      </c>
      <c r="T230" s="50" t="str">
        <f t="shared" si="74"/>
        <v>Southbound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03:21:47-700',mode:absolute,to:'2016-11-14 05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0" s="52" t="str">
        <f t="shared" si="76"/>
        <v>Y</v>
      </c>
      <c r="X230" s="177">
        <f t="shared" si="87"/>
        <v>1</v>
      </c>
      <c r="Y230" s="67">
        <f t="shared" si="77"/>
        <v>2.3464</v>
      </c>
      <c r="Z230" s="67">
        <f t="shared" si="78"/>
        <v>1.61E-2</v>
      </c>
      <c r="AA230" s="67">
        <f t="shared" si="79"/>
        <v>2.3303000000000003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0"/>
        <v>0310-14</v>
      </c>
      <c r="AE230" s="91" t="str">
        <f t="shared" si="81"/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AF230" s="88" t="str">
        <f t="shared" si="82"/>
        <v>"C:\Program Files (x86)\AstroGrep\AstroGrep.exe" /spath="%USERPROFILE%\AppData\Local\Temp\OnboardLogs" /stypes="app*4039*20161114*" /stext=" 11:.+((SYSTEM_STATE.+slice.+state.+changed )|(ment ac)|(system.+state.+changed )|(\[timeout)|(PRM\|1\|D)|(kpr)|(kdp)|(\|lc)|(penalty))" /e /r /s</v>
      </c>
      <c r="AG230" s="1" t="str">
        <f t="shared" si="83"/>
        <v>Other</v>
      </c>
      <c r="AH230" s="92" t="str">
        <f t="shared" si="85"/>
        <v>"%USERPROFILE%\Documents\GitHub\eaglep3\Utilities\RefineRTDCRunTimes.py" --tripid 310-14 --locoid 4039 --swversion DE.1.0.8.0 --startMP 300:23464 --initTime 2016-11-14T04:21:47 --startdatetime 2016-11-14T04:23:45 --delay 1 --endMP 204:161 --enddatetime 2016-11-14T04:36:38 --enforcementcount 0 &gt;&gt;C:\Users\stu\Documents\GitHub\eaglep3-reporting\EC\2016-11-14-refined-times.txt</v>
      </c>
      <c r="AI230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{"issue":{"subject":"","project_id":79,"tracker_id":40,"status_id":1,"priority_id":2,"assigned_to_id":23,"start_date":"2016-11-14","description":"","custom_fields":[{"id":1,"name":"Subdivision","value":"Other"},{"id":4,"name":"Milepost","value":"0.0161"},{"id":17,"name":"Train ID","value":"310-14"},{"id":16,"name":"Locomotive ID","value":"4039"},{"id":130,"name":"Impact","value":""},{"id":150,"name":"Time of Event (Mountain Time)","value":"04:36:38"},{"id":151,"name":"Denver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621</v>
      </c>
      <c r="B231" s="7">
        <v>4053</v>
      </c>
      <c r="C231" s="22" t="s">
        <v>224</v>
      </c>
      <c r="D231" s="22" t="s">
        <v>275</v>
      </c>
      <c r="E231" s="13">
        <v>42689.058287037034</v>
      </c>
      <c r="F231" s="13">
        <v>25568.708333333332</v>
      </c>
      <c r="G231" s="7">
        <v>1</v>
      </c>
      <c r="H231" s="22" t="s">
        <v>723</v>
      </c>
      <c r="I231" s="13">
        <v>25568.708333333332</v>
      </c>
      <c r="J231" s="7">
        <v>0</v>
      </c>
      <c r="K231" s="109" t="str">
        <f t="shared" si="70"/>
        <v>4053/4054</v>
      </c>
      <c r="L231" s="22" t="str">
        <f>VLOOKUP(A231,'Trips&amp;Operators'!$C$1:$E$10000,3,FALSE)</f>
        <v>NEWELL</v>
      </c>
      <c r="M231" s="6">
        <f t="shared" si="71"/>
        <v>0</v>
      </c>
      <c r="N231" s="7">
        <f t="shared" si="72"/>
        <v>0</v>
      </c>
      <c r="O231" s="7"/>
      <c r="P231" s="7"/>
      <c r="Q231" s="23"/>
      <c r="R231" s="23"/>
      <c r="S231" s="35">
        <f t="shared" si="73"/>
        <v>1</v>
      </c>
      <c r="T231" s="50" t="str">
        <f t="shared" si="74"/>
        <v>NorthBound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https://search-rtdc-monitor-bjffxe2xuh6vdkpspy63sjmuny.us-east-1.es.amazonaws.com/_plugin/kibana/#/discover/Steve-Slow-Train-Analysis-(2080s-and-2083s)?_g=(refreshInterval:(display:Off,section:0,value:0),time:(from:'2016-11-15 00:23:56-700',mode:absolute,to:'1969-12-31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1" s="52" t="str">
        <f t="shared" si="76"/>
        <v>Y</v>
      </c>
      <c r="X231" s="177">
        <f t="shared" si="87"/>
        <v>1</v>
      </c>
      <c r="Y231" s="67">
        <f t="shared" si="77"/>
        <v>4.7300000000000002E-2</v>
      </c>
      <c r="Z231" s="67">
        <f t="shared" si="78"/>
        <v>2.3308</v>
      </c>
      <c r="AA231" s="67">
        <f t="shared" si="79"/>
        <v>2.2835000000000001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0"/>
        <v>0311-14</v>
      </c>
      <c r="AE231" s="91" t="str">
        <f t="shared" si="8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1" s="88" t="str">
        <f t="shared" si="82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31" s="1" t="str">
        <f t="shared" si="83"/>
        <v>Other</v>
      </c>
      <c r="AH231" s="92" t="str">
        <f t="shared" si="85"/>
        <v>"%USERPROFILE%\Documents\GitHub\eaglep3\Utilities\RefineRTDCRunTimes.py" --tripid 311-14 --locoid 4053 --swversion DE.1.0.8.0 --startMP 204:473 --initTime 2016-11-15T01:23:56 --startdatetime 1969-12-31T17:00:00 --delay 1 --endMP 300:23308 --enddatetime 1969-12-31T17:00:00 --enforcementcount 0 &gt;&gt;C:\Users\stu\Documents\GitHub\eaglep3-reporting\EC\2016-11-14-refined-times.txt</v>
      </c>
      <c r="AI231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ID","value":"311-14"},{"id":16,"name":"Locomotive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730</v>
      </c>
      <c r="B232" s="7">
        <v>4029</v>
      </c>
      <c r="C232" s="22" t="s">
        <v>224</v>
      </c>
      <c r="D232" s="22" t="s">
        <v>221</v>
      </c>
      <c r="E232" s="13">
        <v>42689.077013888891</v>
      </c>
      <c r="F232" s="13">
        <v>42689.078472222223</v>
      </c>
      <c r="G232" s="7">
        <v>2</v>
      </c>
      <c r="H232" s="22" t="s">
        <v>731</v>
      </c>
      <c r="I232" s="13">
        <v>42689.078680555554</v>
      </c>
      <c r="J232" s="7">
        <v>0</v>
      </c>
      <c r="K232" s="109" t="str">
        <f t="shared" si="70"/>
        <v>4029/4030</v>
      </c>
      <c r="L232" s="22" t="e">
        <f>VLOOKUP(A232,'Trips&amp;Operators'!$C$1:$E$10000,3,FALSE)</f>
        <v>#N/A</v>
      </c>
      <c r="M232" s="6">
        <f t="shared" si="71"/>
        <v>2.0833333110203966E-4</v>
      </c>
      <c r="N232" s="7">
        <f t="shared" si="72"/>
        <v>0.29999999678693712</v>
      </c>
      <c r="O232" s="7"/>
      <c r="P232" s="7"/>
      <c r="Q232" s="23"/>
      <c r="R232" s="23"/>
      <c r="S232" s="35">
        <f t="shared" si="73"/>
        <v>0</v>
      </c>
      <c r="T232" s="50" t="str">
        <f t="shared" si="74"/>
        <v>NorthBound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https://search-rtdc-monitor-bjffxe2xuh6vdkpspy63sjmuny.us-east-1.es.amazonaws.com/_plugin/kibana/#/discover/Steve-Slow-Train-Analysis-(2080s-and-2083s)?_g=(refreshInterval:(display:Off,section:0,value:0),time:(from:'2016-11-15 00:50:54-700',mode:absolute,to:'2016-11-15 02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2" s="52" t="str">
        <f t="shared" si="76"/>
        <v>Y</v>
      </c>
      <c r="X232" s="177">
        <f t="shared" si="87"/>
        <v>2</v>
      </c>
      <c r="Y232" s="67">
        <f t="shared" si="77"/>
        <v>4.5699999999999998E-2</v>
      </c>
      <c r="Z232" s="67">
        <f t="shared" si="78"/>
        <v>0.11849999999999999</v>
      </c>
      <c r="AA232" s="67">
        <f t="shared" si="79"/>
        <v>7.2800000000000004E-2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0"/>
        <v>0313-14</v>
      </c>
      <c r="AE232" s="91" t="str">
        <f t="shared" si="81"/>
        <v>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 &amp; 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</v>
      </c>
      <c r="AF232" s="88" t="str">
        <f t="shared" si="82"/>
        <v>"C:\Program Files (x86)\AstroGrep\AstroGrep.exe" /spath="%USERPROFILE%\AppData\Local\Temp\OnboardLogs" /stypes="app*4029*20161115*" /stext=" 08:.+((SYSTEM_STATE.+slice.+state.+changed )|(ment ac)|(system.+state.+changed )|(\[timeout)|(PRM\|1\|D)|(kpr)|(kdp)|(\|lc)|(penalty))" /e /r /s</v>
      </c>
      <c r="AG232" s="1" t="str">
        <f t="shared" si="83"/>
        <v>Other</v>
      </c>
      <c r="AH232" s="92" t="str">
        <f t="shared" si="85"/>
        <v>"%USERPROFILE%\Documents\GitHub\eaglep3\Utilities\RefineRTDCRunTimes.py" --tripid 313-14 --locoid 4029 --swversion DE.1.0.8.0 --startMP 204:457 --initTime 2016-11-15T01:50:54 --startdatetime 2016-11-15T01:53:00 --delay 2 --endMP 204:1185 --enddatetime 2016-11-15T01:53:18 --enforcementcount 0 &gt;&gt;C:\Users\stu\Documents\GitHub\eaglep3-reporting\EC\2016-11-14-refined-times.txt</v>
      </c>
      <c r="AI232" s="119" t="str">
        <f t="shared" si="86"/>
        <v>echo {"issue":{"subject":"","project_id":79,"tracker_id":40,"status_id":1,"priority_id":2,"assigned_to_id":23,"start_date":"2016-11-15","description":"","custom_fields":[{"id":1,"name":"Subdivision","value":"Other"},{"id":4,"name":"Milepost","value":"0.1185"},{"id":17,"name":"Train ID","value":"313-14"},{"id":16,"name":"Locomotive ID","value":"4029"},{"id":130,"name":"Impact","value":""},{"id":150,"name":"Time of Event (Mountain Time)","value":"01:53:18"},{"id":151,"name":"Denver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397</v>
      </c>
      <c r="B233" s="7">
        <v>4044</v>
      </c>
      <c r="C233" s="22" t="s">
        <v>224</v>
      </c>
      <c r="D233" s="22" t="s">
        <v>312</v>
      </c>
      <c r="E233" s="13">
        <v>42688.098043981481</v>
      </c>
      <c r="F233" s="13">
        <v>42688.099108796298</v>
      </c>
      <c r="G233" s="7">
        <v>1</v>
      </c>
      <c r="H233" s="22" t="s">
        <v>330</v>
      </c>
      <c r="I233" s="13">
        <v>42688.105104166665</v>
      </c>
      <c r="J233" s="7">
        <v>0</v>
      </c>
      <c r="K233" s="109" t="str">
        <f t="shared" si="70"/>
        <v>4043/4044</v>
      </c>
      <c r="L233" s="22" t="str">
        <f>VLOOKUP(A233,'Trips&amp;Operators'!$C$1:$E$10000,3,FALSE)</f>
        <v>CHANDLER</v>
      </c>
      <c r="M233" s="6">
        <f t="shared" si="71"/>
        <v>5.9953703676001169E-3</v>
      </c>
      <c r="N233" s="7">
        <f t="shared" si="72"/>
        <v>8.6333333293441683</v>
      </c>
      <c r="O233" s="7"/>
      <c r="P233" s="7"/>
      <c r="Q233" s="23"/>
      <c r="R233" s="23"/>
      <c r="S233" s="35">
        <f t="shared" si="73"/>
        <v>1</v>
      </c>
      <c r="T233" s="50" t="str">
        <f t="shared" si="74"/>
        <v>NorthBound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01:21:11-700',mode:absolute,to:'2016-11-14 03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3" s="52" t="str">
        <f t="shared" si="76"/>
        <v>Y</v>
      </c>
      <c r="X233" s="177">
        <f t="shared" si="87"/>
        <v>2</v>
      </c>
      <c r="Y233" s="67">
        <f t="shared" si="77"/>
        <v>4.6600000000000003E-2</v>
      </c>
      <c r="Z233" s="67">
        <f t="shared" si="78"/>
        <v>2.3302</v>
      </c>
      <c r="AA233" s="67">
        <f t="shared" si="79"/>
        <v>2.2835999999999999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0"/>
        <v>0315-13</v>
      </c>
      <c r="AE233" s="91" t="str">
        <f t="shared" si="81"/>
        <v>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 &amp; 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</v>
      </c>
      <c r="AF233" s="88" t="str">
        <f t="shared" si="82"/>
        <v>"C:\Program Files (x86)\AstroGrep\AstroGrep.exe" /spath="%USERPROFILE%\AppData\Local\Temp\OnboardLogs" /stypes="app*4044*20161114*" /stext=" 09:.+((SYSTEM_STATE.+slice.+state.+changed )|(ment ac)|(system.+state.+changed )|(\[timeout)|(PRM\|1\|D)|(kpr)|(kdp)|(\|lc)|(penalty))" /e /r /s</v>
      </c>
      <c r="AG233" s="1" t="str">
        <f t="shared" si="83"/>
        <v>Other</v>
      </c>
      <c r="AH233" s="92" t="str">
        <f t="shared" si="85"/>
        <v>"%USERPROFILE%\Documents\GitHub\eaglep3\Utilities\RefineRTDCRunTimes.py" --tripid 315-13 --locoid 4044 --swversion DE.1.0.8.0 --startMP 204:466 --initTime 2016-11-14T02:21:11 --startdatetime 2016-11-14T02:22:43 --delay 1 --endMP 300:23302 --enddatetime 2016-11-14T02:31:21 --enforcementcount 0 &gt;&gt;C:\Users\stu\Documents\GitHub\eaglep3-reporting\EC\2016-11-14-refined-times.txt</v>
      </c>
      <c r="AI233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{"issue":{"subject":"","project_id":79,"tracker_id":40,"status_id":1,"priority_id":2,"assigned_to_id":23,"start_date":"2016-11-14","description":"","custom_fields":[{"id":1,"name":"Subdivision","value":"Other"},{"id":4,"name":"Milepost","value":"2.3302"},{"id":17,"name":"Train ID","value":"315-13"},{"id":16,"name":"Locomotive ID","value":"4044"},{"id":130,"name":"Impact","value":""},{"id":150,"name":"Time of Event (Mountain Time)","value":"02:31:21"},{"id":151,"name":"Denver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732</v>
      </c>
      <c r="B234" s="7">
        <v>4009</v>
      </c>
      <c r="C234" s="22" t="s">
        <v>224</v>
      </c>
      <c r="D234" s="22" t="s">
        <v>203</v>
      </c>
      <c r="E234" s="13">
        <v>42689.107824074075</v>
      </c>
      <c r="F234" s="13">
        <v>25568.708333333332</v>
      </c>
      <c r="G234" s="7">
        <v>0</v>
      </c>
      <c r="H234" s="22" t="s">
        <v>733</v>
      </c>
      <c r="I234" s="13">
        <v>25568.708333333332</v>
      </c>
      <c r="J234" s="7">
        <v>0</v>
      </c>
      <c r="K234" s="109" t="str">
        <f t="shared" si="70"/>
        <v>4009/4010</v>
      </c>
      <c r="L234" s="22" t="e">
        <f>VLOOKUP(A234,'Trips&amp;Operators'!$C$1:$E$10000,3,FALSE)</f>
        <v>#N/A</v>
      </c>
      <c r="M234" s="6">
        <f t="shared" si="71"/>
        <v>0</v>
      </c>
      <c r="N234" s="7">
        <f t="shared" si="72"/>
        <v>0</v>
      </c>
      <c r="O234" s="7"/>
      <c r="P234" s="7"/>
      <c r="Q234" s="23"/>
      <c r="R234" s="23"/>
      <c r="S234" s="35">
        <f t="shared" si="73"/>
        <v>1</v>
      </c>
      <c r="T234" s="50" t="str">
        <f t="shared" si="74"/>
        <v>NorthBound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https://search-rtdc-monitor-bjffxe2xuh6vdkpspy63sjmuny.us-east-1.es.amazonaws.com/_plugin/kibana/#/discover/Steve-Slow-Train-Analysis-(2080s-and-2083s)?_g=(refreshInterval:(display:Off,section:0,value:0),time:(from:'2016-11-15 01:35:16-700',mode:absolute,to:'1969-12-31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4" s="52" t="str">
        <f t="shared" si="76"/>
        <v>Y</v>
      </c>
      <c r="X234" s="177">
        <f t="shared" si="87"/>
        <v>0</v>
      </c>
      <c r="Y234" s="67">
        <f t="shared" si="77"/>
        <v>4.5999999999999999E-2</v>
      </c>
      <c r="Z234" s="67">
        <f t="shared" si="78"/>
        <v>2.3189000000000002</v>
      </c>
      <c r="AA234" s="67">
        <f t="shared" si="79"/>
        <v>2.2729000000000004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0"/>
        <v>0315-14</v>
      </c>
      <c r="AE234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34" s="88" t="str">
        <f t="shared" si="82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34" s="1" t="str">
        <f t="shared" si="83"/>
        <v>Other</v>
      </c>
      <c r="AH234" s="92" t="str">
        <f t="shared" si="85"/>
        <v>"%USERPROFILE%\Documents\GitHub\eaglep3\Utilities\RefineRTDCRunTimes.py" --tripid 315-14 --locoid 4009 --swversion DE.1.0.8.0 --startMP 204:460 --initTime 2016-11-15T02:35:16 --startdatetime 1969-12-31T17:00:00 --delay 0 --endMP 300:23189 --enddatetime 1969-12-31T17:00:00 --enforcementcount 0 &gt;&gt;C:\Users\stu\Documents\GitHub\eaglep3-reporting\EC\2016-11-14-refined-times.txt</v>
      </c>
      <c r="AI234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{"issue":{"subject":"","project_id":79,"tracker_id":40,"status_id":1,"priority_id":2,"assigned_to_id":23,"start_date":"1969-12-31","description":"","custom_fields":[{"id":1,"name":"Subdivision","value":"Other"},{"id":4,"name":"Milepost","value":"2.3189"},{"id":17,"name":"Train ID","value":"315-14"},{"id":16,"name":"Locomotive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398</v>
      </c>
      <c r="B235" s="7">
        <v>4038</v>
      </c>
      <c r="C235" s="22" t="s">
        <v>224</v>
      </c>
      <c r="D235" s="22" t="s">
        <v>785</v>
      </c>
      <c r="E235" s="13">
        <v>42688.204328703701</v>
      </c>
      <c r="F235" s="13">
        <v>42688.205821759257</v>
      </c>
      <c r="G235" s="7">
        <v>1</v>
      </c>
      <c r="H235" s="22" t="s">
        <v>786</v>
      </c>
      <c r="I235" s="13">
        <v>42688.212002314816</v>
      </c>
      <c r="J235" s="7">
        <v>0</v>
      </c>
      <c r="K235" s="109" t="str">
        <f t="shared" si="70"/>
        <v>4037/4038</v>
      </c>
      <c r="L235" s="22" t="str">
        <f>VLOOKUP(A235,'Trips&amp;Operators'!$C$1:$E$10000,3,FALSE)</f>
        <v>BRANDNER</v>
      </c>
      <c r="M235" s="6">
        <f t="shared" si="71"/>
        <v>6.180555559694767E-3</v>
      </c>
      <c r="N235" s="7">
        <f t="shared" si="72"/>
        <v>8.9000000059604645</v>
      </c>
      <c r="O235" s="7"/>
      <c r="P235" s="7"/>
      <c r="Q235" s="23"/>
      <c r="R235" s="23"/>
      <c r="S235" s="35">
        <f t="shared" si="73"/>
        <v>0</v>
      </c>
      <c r="T235" s="50" t="str">
        <f t="shared" si="74"/>
        <v>NorthBound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03:54:14-700',mode:absolute,to:'2016-11-14 06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5" s="52" t="str">
        <f t="shared" si="76"/>
        <v>Y</v>
      </c>
      <c r="X235" s="177">
        <f t="shared" si="87"/>
        <v>586</v>
      </c>
      <c r="Y235" s="67">
        <f t="shared" si="77"/>
        <v>2.9661</v>
      </c>
      <c r="Z235" s="67">
        <f t="shared" si="78"/>
        <v>5.8982000000000001</v>
      </c>
      <c r="AA235" s="67">
        <f t="shared" si="79"/>
        <v>2.9321000000000002</v>
      </c>
      <c r="AB235" s="64" t="str">
        <f>VLOOKUP(A235,Enforcements!$C$7:$K$20,8,0)</f>
        <v>Form based authority (4)</v>
      </c>
      <c r="AC235" s="60" t="str">
        <f>VLOOKUP(A235,Enforcements!$C$7:$E$20,3,0)</f>
        <v>TRACK WARRANT AUTHORITY</v>
      </c>
      <c r="AD235" s="61" t="str">
        <f t="shared" si="80"/>
        <v>0901-14</v>
      </c>
      <c r="AE235" s="91" t="str">
        <f t="shared" si="81"/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AF235" s="88" t="str">
        <f t="shared" si="82"/>
        <v>"C:\Program Files (x86)\AstroGrep\AstroGrep.exe" /spath="%USERPROFILE%\AppData\Local\Temp\OnboardLogs" /stypes="app*4038*20161114*" /stext=" 12:.+((SYSTEM_STATE.+slice.+state.+changed )|(ment ac)|(system.+state.+changed )|(\[timeout)|(PRM\|1\|D)|(kpr)|(kdp)|(\|lc)|(penalty))" /e /r /s</v>
      </c>
      <c r="AG235" s="1" t="str">
        <f t="shared" si="83"/>
        <v>Other</v>
      </c>
      <c r="AH235" s="92" t="str">
        <f t="shared" si="85"/>
        <v>"%USERPROFILE%\Documents\GitHub\eaglep3\Utilities\RefineRTDCRunTimes.py" --tripid 901-14 --locoid 4038 --swversion DE.1.0.8.0 --startMP 300:29661 --initTime 2016-11-14T04:54:14 --startdatetime 2016-11-14T04:56:23 --delay 1 --endMP 300:58982 --enddatetime 2016-11-14T05:05:17 --enforcementcount 0 &gt;&gt;C:\Users\stu\Documents\GitHub\eaglep3-reporting\EC\2016-11-14-refined-times.txt</v>
      </c>
      <c r="AI235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{"issue":{"subject":"","project_id":79,"tracker_id":40,"status_id":1,"priority_id":2,"assigned_to_id":23,"start_date":"2016-11-14","description":"","custom_fields":[{"id":1,"name":"Subdivision","value":"Other"},{"id":4,"name":"Milepost","value":"5.8982"},{"id":17,"name":"Train ID","value":"901-14"},{"id":16,"name":"Locomotive ID","value":"4038"},{"id":130,"name":"Impact","value":""},{"id":150,"name":"Time of Event (Mountain Time)","value":"05:05:17"},{"id":151,"name":"Denver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463</v>
      </c>
      <c r="B236" s="7">
        <v>4021</v>
      </c>
      <c r="C236" s="22" t="s">
        <v>224</v>
      </c>
      <c r="D236" s="22" t="s">
        <v>787</v>
      </c>
      <c r="E236" s="13">
        <v>42688.240081018521</v>
      </c>
      <c r="F236" s="13">
        <v>42688.251319444447</v>
      </c>
      <c r="G236" s="7">
        <v>16</v>
      </c>
      <c r="H236" s="22" t="s">
        <v>788</v>
      </c>
      <c r="I236" s="13">
        <v>42688.257638888892</v>
      </c>
      <c r="J236" s="7">
        <v>0</v>
      </c>
      <c r="K236" s="109" t="str">
        <f t="shared" si="70"/>
        <v>4021/4022</v>
      </c>
      <c r="L236" s="22" t="str">
        <f>VLOOKUP(A236,'Trips&amp;Operators'!$C$1:$E$10000,3,FALSE)</f>
        <v>BERLING</v>
      </c>
      <c r="M236" s="6">
        <f t="shared" si="71"/>
        <v>6.3194444446708076E-3</v>
      </c>
      <c r="N236" s="7">
        <f t="shared" si="72"/>
        <v>9.1000000003259629</v>
      </c>
      <c r="O236" s="7"/>
      <c r="P236" s="7"/>
      <c r="Q236" s="23"/>
      <c r="R236" s="23"/>
      <c r="S236" s="35">
        <f t="shared" si="73"/>
        <v>1</v>
      </c>
      <c r="T236" s="50" t="str">
        <f t="shared" si="74"/>
        <v>Southbound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04:45:43-700',mode:absolute,to:'2016-11-14 07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6" s="52" t="str">
        <f t="shared" si="76"/>
        <v>Y</v>
      </c>
      <c r="X236" s="177">
        <f t="shared" si="87"/>
        <v>1</v>
      </c>
      <c r="Y236" s="67">
        <f t="shared" si="77"/>
        <v>2.3329</v>
      </c>
      <c r="Z236" s="67">
        <f t="shared" si="78"/>
        <v>6.6799999999999998E-2</v>
      </c>
      <c r="AA236" s="67">
        <f t="shared" si="79"/>
        <v>2.2660999999999998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80"/>
        <v>0902-14</v>
      </c>
      <c r="AE236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36" s="88" t="str">
        <f t="shared" si="82"/>
        <v>"C:\Program Files (x86)\AstroGrep\AstroGrep.exe" /spath="%USERPROFILE%\AppData\Local\Temp\OnboardLogs" /stypes="app*4021*20161114*" /stext=" 13:.+((SYSTEM_STATE.+slice.+state.+changed )|(ment ac)|(system.+state.+changed )|(\[timeout)|(PRM\|1\|D)|(kpr)|(kdp)|(\|lc)|(penalty))" /e /r /s</v>
      </c>
      <c r="AG236" s="1" t="str">
        <f t="shared" si="83"/>
        <v>Other</v>
      </c>
      <c r="AH236" s="92" t="str">
        <f t="shared" si="85"/>
        <v>"%USERPROFILE%\Documents\GitHub\eaglep3\Utilities\RefineRTDCRunTimes.py" --tripid 902-14 --locoid 4021 --swversion DE.1.0.8.0 --startMP 300:23329 --initTime 2016-11-14T05:45:43 --startdatetime 2016-11-14T06:01:54 --delay 16 --endMP 204:668 --enddatetime 2016-11-14T06:11:00 --enforcementcount 0 &gt;&gt;C:\Users\stu\Documents\GitHub\eaglep3-reporting\EC\2016-11-14-refined-times.txt</v>
      </c>
      <c r="AI236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{"issue":{"subject":"","project_id":79,"tracker_id":40,"status_id":1,"priority_id":2,"assigned_to_id":23,"start_date":"2016-11-14","description":"","custom_fields":[{"id":1,"name":"Subdivision","value":"Other"},{"id":4,"name":"Milepost","value":"0.0668"},{"id":17,"name":"Train ID","value":"902-14"},{"id":16,"name":"Locomotive ID","value":"4021"},{"id":130,"name":"Impact","value":""},{"id":150,"name":"Time of Event (Mountain Time)","value":"06:11:00"},{"id":151,"name":"Denver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489</v>
      </c>
      <c r="B237" s="7">
        <v>4038</v>
      </c>
      <c r="C237" s="22" t="s">
        <v>224</v>
      </c>
      <c r="D237" s="22" t="s">
        <v>789</v>
      </c>
      <c r="E237" s="13">
        <v>42688.353993055556</v>
      </c>
      <c r="F237" s="13">
        <v>25568.708333333332</v>
      </c>
      <c r="G237" s="7">
        <v>1</v>
      </c>
      <c r="H237" s="22" t="s">
        <v>790</v>
      </c>
      <c r="I237" s="13">
        <v>25568.708333333332</v>
      </c>
      <c r="J237" s="7">
        <v>0</v>
      </c>
      <c r="K237" s="109" t="str">
        <f t="shared" si="70"/>
        <v>4037/4038</v>
      </c>
      <c r="L237" s="22" t="str">
        <f>VLOOKUP(A237,'Trips&amp;Operators'!$C$1:$E$10000,3,FALSE)</f>
        <v>BRANDNER</v>
      </c>
      <c r="M237" s="6">
        <f t="shared" si="71"/>
        <v>0</v>
      </c>
      <c r="N237" s="7">
        <f t="shared" si="72"/>
        <v>0</v>
      </c>
      <c r="O237" s="7"/>
      <c r="P237" s="7"/>
      <c r="Q237" s="23"/>
      <c r="R237" s="23"/>
      <c r="S237" s="35">
        <f t="shared" si="73"/>
        <v>1</v>
      </c>
      <c r="T237" s="50" t="str">
        <f t="shared" si="74"/>
        <v>NorthBound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07:29:45-700',mode:absolute,to:'1969-12-31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7" s="52" t="str">
        <f t="shared" si="76"/>
        <v>Y</v>
      </c>
      <c r="X237" s="177">
        <f t="shared" si="87"/>
        <v>1</v>
      </c>
      <c r="Y237" s="67">
        <f t="shared" si="77"/>
        <v>0.1016</v>
      </c>
      <c r="Z237" s="67">
        <f t="shared" si="78"/>
        <v>2.4262999999999999</v>
      </c>
      <c r="AA237" s="67">
        <f t="shared" si="79"/>
        <v>2.3247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80"/>
        <v>0903-14</v>
      </c>
      <c r="AE237" s="91" t="str">
        <f t="shared" si="81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37" s="88" t="str">
        <f t="shared" si="82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37" s="1" t="str">
        <f t="shared" si="83"/>
        <v>Other</v>
      </c>
      <c r="AH237" s="92" t="str">
        <f t="shared" si="85"/>
        <v>"%USERPROFILE%\Documents\GitHub\eaglep3\Utilities\RefineRTDCRunTimes.py" --tripid 903-14 --locoid 4038 --swversion DE.1.0.8.0 --startMP 204:1016 --initTime 2016-11-14T08:29:45 --startdatetime 1969-12-31T17:00:00 --delay 1 --endMP 300:24263 --enddatetime 1969-12-31T17:00:00 --enforcementcount 0 &gt;&gt;C:\Users\stu\Documents\GitHub\eaglep3-reporting\EC\2016-11-14-refined-times.txt</v>
      </c>
      <c r="AI237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{"issue":{"subject":"","project_id":79,"tracker_id":40,"status_id":1,"priority_id":2,"assigned_to_id":23,"start_date":"1969-12-31","description":"","custom_fields":[{"id":1,"name":"Subdivision","value":"Other"},{"id":4,"name":"Milepost","value":"2.4263"},{"id":17,"name":"Train ID","value":"903-14"},{"id":16,"name":"Locomotive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547</v>
      </c>
      <c r="B238" s="7">
        <v>4037</v>
      </c>
      <c r="C238" s="22" t="s">
        <v>224</v>
      </c>
      <c r="D238" s="22" t="s">
        <v>791</v>
      </c>
      <c r="E238" s="13">
        <v>42688.631226851852</v>
      </c>
      <c r="F238" s="13">
        <v>42688.633449074077</v>
      </c>
      <c r="G238" s="7">
        <v>2</v>
      </c>
      <c r="H238" s="22" t="s">
        <v>792</v>
      </c>
      <c r="I238" s="13">
        <v>42688.642916666664</v>
      </c>
      <c r="J238" s="7">
        <v>0</v>
      </c>
      <c r="K238" s="109" t="str">
        <f t="shared" si="70"/>
        <v>4037/4038</v>
      </c>
      <c r="L238" s="22" t="str">
        <f>VLOOKUP(A238,'Trips&amp;Operators'!$C$1:$E$10000,3,FALSE)</f>
        <v>CRAYTON</v>
      </c>
      <c r="M238" s="6">
        <f t="shared" si="71"/>
        <v>9.4675925865885802E-3</v>
      </c>
      <c r="N238" s="7">
        <f t="shared" si="72"/>
        <v>13.633333324687555</v>
      </c>
      <c r="O238" s="7"/>
      <c r="P238" s="7"/>
      <c r="Q238" s="23"/>
      <c r="R238" s="23"/>
      <c r="S238" s="35">
        <f t="shared" si="73"/>
        <v>1</v>
      </c>
      <c r="T238" s="50" t="str">
        <f t="shared" si="74"/>
        <v>Southbound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14:08:58-700',mode:absolute,to:'2016-11-14 16:25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8" s="52" t="str">
        <f t="shared" si="76"/>
        <v>Y</v>
      </c>
      <c r="X238" s="177">
        <f t="shared" si="87"/>
        <v>1</v>
      </c>
      <c r="Y238" s="67">
        <f t="shared" si="77"/>
        <v>2.3508</v>
      </c>
      <c r="Z238" s="67">
        <f t="shared" si="78"/>
        <v>7.2400000000000006E-2</v>
      </c>
      <c r="AA238" s="67">
        <f t="shared" si="79"/>
        <v>2.2784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80"/>
        <v>0904-14</v>
      </c>
      <c r="AE238" s="91" t="str">
        <f t="shared" si="81"/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AF238" s="88" t="str">
        <f t="shared" si="82"/>
        <v>"C:\Program Files (x86)\AstroGrep\AstroGrep.exe" /spath="%USERPROFILE%\AppData\Local\Temp\OnboardLogs" /stypes="app*4037*20161114*" /stext=" 22:.+((SYSTEM_STATE.+slice.+state.+changed )|(ment ac)|(system.+state.+changed )|(\[timeout)|(PRM\|1\|D)|(kpr)|(kdp)|(\|lc)|(penalty))" /e /r /s</v>
      </c>
      <c r="AG238" s="1" t="str">
        <f t="shared" si="83"/>
        <v>Other</v>
      </c>
      <c r="AH238" s="92" t="str">
        <f t="shared" si="85"/>
        <v>"%USERPROFILE%\Documents\GitHub\eaglep3\Utilities\RefineRTDCRunTimes.py" --tripid 904-14 --locoid 4037 --swversion DE.1.0.8.0 --startMP 300:23508 --initTime 2016-11-14T15:08:58 --startdatetime 2016-11-14T15:12:10 --delay 2 --endMP 204:724 --enddatetime 2016-11-14T15:25:48 --enforcementcount 0 &gt;&gt;C:\Users\stu\Documents\GitHub\eaglep3-reporting\EC\2016-11-14-refined-times.txt</v>
      </c>
      <c r="AI238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{"issue":{"subject":"","project_id":79,"tracker_id":40,"status_id":1,"priority_id":2,"assigned_to_id":23,"start_date":"2016-11-14","description":"","custom_fields":[{"id":1,"name":"Subdivision","value":"Other"},{"id":4,"name":"Milepost","value":"0.0724"},{"id":17,"name":"Train ID","value":"904-14"},{"id":16,"name":"Locomotive ID","value":"4037"},{"id":130,"name":"Impact","value":""},{"id":150,"name":"Time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592</v>
      </c>
      <c r="B239" s="7">
        <v>4037</v>
      </c>
      <c r="C239" s="22" t="s">
        <v>224</v>
      </c>
      <c r="D239" s="22" t="s">
        <v>387</v>
      </c>
      <c r="E239" s="13">
        <v>42688.797256944446</v>
      </c>
      <c r="F239" s="13">
        <v>25568.708333333332</v>
      </c>
      <c r="G239" s="7">
        <v>1</v>
      </c>
      <c r="H239" s="22" t="s">
        <v>793</v>
      </c>
      <c r="I239" s="13">
        <v>25568.708333333332</v>
      </c>
      <c r="J239" s="7">
        <v>0</v>
      </c>
      <c r="K239" s="109" t="str">
        <f t="shared" si="70"/>
        <v>4037/4038</v>
      </c>
      <c r="L239" s="22" t="str">
        <f>VLOOKUP(A239,'Trips&amp;Operators'!$C$1:$E$10000,3,FALSE)</f>
        <v>CRAYTON</v>
      </c>
      <c r="M239" s="6">
        <f t="shared" si="71"/>
        <v>0</v>
      </c>
      <c r="N239" s="7">
        <f t="shared" si="72"/>
        <v>0</v>
      </c>
      <c r="O239" s="7"/>
      <c r="P239" s="7"/>
      <c r="Q239" s="23"/>
      <c r="R239" s="23"/>
      <c r="S239" s="35">
        <f t="shared" si="73"/>
        <v>0</v>
      </c>
      <c r="T239" s="50" t="str">
        <f t="shared" si="74"/>
        <v>Southbound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18:08:03-700',mode:absolute,to:'1969-12-31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9" s="52" t="str">
        <f t="shared" si="76"/>
        <v>Y</v>
      </c>
      <c r="X239" s="177">
        <f t="shared" si="87"/>
        <v>2</v>
      </c>
      <c r="Y239" s="67">
        <f t="shared" si="77"/>
        <v>5.8608000000000002</v>
      </c>
      <c r="Z239" s="67">
        <f t="shared" si="78"/>
        <v>2.8793000000000002</v>
      </c>
      <c r="AA239" s="67">
        <f t="shared" si="79"/>
        <v>2.9815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80"/>
        <v>0906-14</v>
      </c>
      <c r="AE239" s="91" t="str">
        <f t="shared" si="81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239" s="88" t="str">
        <f t="shared" si="82"/>
        <v>"C:\Program Files (x86)\AstroGrep\AstroGrep.exe" /spath="%USERPROFILE%\AppData\Local\Temp\OnboardLogs" /stypes="app*4037*19700101*" /stext=" 00:.+((SYSTEM_STATE.+slice.+state.+changed )|(ment ac)|(system.+state.+changed )|(\[timeout)|(PRM\|1\|D)|(kpr)|(kdp)|(\|lc)|(penalty))" /e /r /s</v>
      </c>
      <c r="AG239" s="1" t="str">
        <f t="shared" si="83"/>
        <v>Other</v>
      </c>
      <c r="AH239" s="92" t="str">
        <f t="shared" si="85"/>
        <v>"%USERPROFILE%\Documents\GitHub\eaglep3\Utilities\RefineRTDCRunTimes.py" --tripid 906-14 --locoid 4037 --swversion DE.1.0.8.0 --startMP 300:58608 --initTime 2016-11-14T19:08:03 --startdatetime 1969-12-31T17:00:00 --delay 1 --endMP 300:28793 --enddatetime 1969-12-31T17:00:00 --enforcementcount 0 &gt;&gt;C:\Users\stu\Documents\GitHub\eaglep3-reporting\EC\2016-11-14-refined-times.txt</v>
      </c>
      <c r="AI239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ID","value":"906-14"},{"id":16,"name":"Locomotive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611</v>
      </c>
      <c r="B240" s="7">
        <v>4021</v>
      </c>
      <c r="C240" s="22" t="s">
        <v>224</v>
      </c>
      <c r="D240" s="22" t="s">
        <v>794</v>
      </c>
      <c r="E240" s="13">
        <v>42688.942476851851</v>
      </c>
      <c r="F240" s="13">
        <v>42688.944108796299</v>
      </c>
      <c r="G240" s="7">
        <v>1</v>
      </c>
      <c r="H240" s="22" t="s">
        <v>795</v>
      </c>
      <c r="I240" s="13">
        <v>42688.94872685185</v>
      </c>
      <c r="J240" s="7">
        <v>0</v>
      </c>
      <c r="K240" s="109" t="str">
        <f t="shared" si="70"/>
        <v>4021/4022</v>
      </c>
      <c r="L240" s="22" t="str">
        <f>VLOOKUP(A240,'Trips&amp;Operators'!$C$1:$E$10000,3,FALSE)</f>
        <v>CRAYTON</v>
      </c>
      <c r="M240" s="6">
        <f t="shared" si="71"/>
        <v>4.6180555509636179E-3</v>
      </c>
      <c r="N240" s="7">
        <f t="shared" si="72"/>
        <v>6.6499999933876097</v>
      </c>
      <c r="O240" s="7"/>
      <c r="P240" s="7"/>
      <c r="Q240" s="23"/>
      <c r="R240" s="23"/>
      <c r="S240" s="35">
        <f t="shared" si="73"/>
        <v>0</v>
      </c>
      <c r="T240" s="50" t="str">
        <f t="shared" si="74"/>
        <v>Southbound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21:37:10-700',mode:absolute,to:'2016-11-14 23:46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0" s="52" t="str">
        <f t="shared" si="76"/>
        <v>Y</v>
      </c>
      <c r="X240" s="177">
        <f t="shared" si="87"/>
        <v>2</v>
      </c>
      <c r="Y240" s="67">
        <f t="shared" si="77"/>
        <v>5.8604000000000003</v>
      </c>
      <c r="Z240" s="67">
        <f t="shared" si="78"/>
        <v>2.1760999999999999</v>
      </c>
      <c r="AA240" s="67">
        <f t="shared" si="79"/>
        <v>3.6843000000000004</v>
      </c>
      <c r="AB240" s="64" t="e">
        <f>VLOOKUP(A240,Enforcements!$C$7:$K$20,8,0)</f>
        <v>#N/A</v>
      </c>
      <c r="AC240" s="60" t="e">
        <f>VLOOKUP(A240,Enforcements!$C$7:$E$20,3,0)</f>
        <v>#N/A</v>
      </c>
      <c r="AD240" s="61" t="str">
        <f t="shared" si="80"/>
        <v>0908-14</v>
      </c>
      <c r="AE240" s="91" t="str">
        <f t="shared" si="81"/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AF240" s="88" t="str">
        <f t="shared" si="82"/>
        <v>"C:\Program Files (x86)\AstroGrep\AstroGrep.exe" /spath="%USERPROFILE%\AppData\Local\Temp\OnboardLogs" /stypes="app*4021*20161115*" /stext=" 05:.+((SYSTEM_STATE.+slice.+state.+changed )|(ment ac)|(system.+state.+changed )|(\[timeout)|(PRM\|1\|D)|(kpr)|(kdp)|(\|lc)|(penalty))" /e /r /s</v>
      </c>
      <c r="AG240" s="1" t="str">
        <f t="shared" si="83"/>
        <v>Other</v>
      </c>
      <c r="AH240" s="92" t="str">
        <f t="shared" si="85"/>
        <v>"%USERPROFILE%\Documents\GitHub\eaglep3\Utilities\RefineRTDCRunTimes.py" --tripid 908-14 --locoid 4021 --swversion DE.1.0.8.0 --startMP 300:58604 --initTime 2016-11-14T22:37:10 --startdatetime 2016-11-14T22:39:31 --delay 1 --endMP 300:21761 --enddatetime 2016-11-14T22:46:10 --enforcementcount 0 &gt;&gt;C:\Users\stu\Documents\GitHub\eaglep3-reporting\EC\2016-11-14-refined-times.txt</v>
      </c>
      <c r="AI240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{"issue":{"subject":"","project_id":79,"tracker_id":40,"status_id":1,"priority_id":2,"assigned_to_id":23,"start_date":"2016-11-14","description":"","custom_fields":[{"id":1,"name":"Subdivision","value":"Other"},{"id":4,"name":"Milepost","value":"2.1761"},{"id":17,"name":"Train ID","value":"908-14"},{"id":16,"name":"Locomotive ID","value":"4021"},{"id":130,"name":"Impact","value":""},{"id":150,"name":"Time of Event (Mountain Time)","value":"22:46:10"},{"id":151,"name":"Denver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429</v>
      </c>
      <c r="B241" s="7">
        <v>4008</v>
      </c>
      <c r="C241" s="22" t="s">
        <v>224</v>
      </c>
      <c r="D241" s="22" t="s">
        <v>734</v>
      </c>
      <c r="E241" s="13">
        <v>42688.743842592594</v>
      </c>
      <c r="F241" s="13">
        <v>42688.745324074072</v>
      </c>
      <c r="G241" s="7">
        <v>1</v>
      </c>
      <c r="H241" s="22" t="s">
        <v>735</v>
      </c>
      <c r="I241" s="13">
        <v>42688.752650462964</v>
      </c>
      <c r="J241" s="7">
        <v>0</v>
      </c>
      <c r="K241" s="109" t="str">
        <f t="shared" si="70"/>
        <v>4007/4008</v>
      </c>
      <c r="L241" s="22" t="str">
        <f>VLOOKUP(A241,'Trips&amp;Operators'!$C$1:$E$10000,3,FALSE)</f>
        <v>WHITED</v>
      </c>
      <c r="M241" s="6">
        <f t="shared" si="71"/>
        <v>7.3263888916699216E-3</v>
      </c>
      <c r="N241" s="7">
        <f t="shared" si="72"/>
        <v>10.550000004004687</v>
      </c>
      <c r="O241" s="7"/>
      <c r="P241" s="7"/>
      <c r="Q241" s="23"/>
      <c r="R241" s="23"/>
      <c r="S241" s="35">
        <f t="shared" si="73"/>
        <v>0</v>
      </c>
      <c r="T241" s="50" t="e">
        <f t="shared" si="74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16:51:08-700',mode:absolute,to:'2016-11-14 19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1" s="52" t="str">
        <f t="shared" si="76"/>
        <v>Y</v>
      </c>
      <c r="X241" s="177" t="e">
        <f t="shared" si="87"/>
        <v>#VALUE!</v>
      </c>
      <c r="Y241" s="67">
        <f t="shared" si="77"/>
        <v>2.1985999999999999</v>
      </c>
      <c r="Z241" s="67">
        <f t="shared" si="78"/>
        <v>0.1615</v>
      </c>
      <c r="AA241" s="67">
        <f t="shared" si="79"/>
        <v>2.0370999999999997</v>
      </c>
      <c r="AB241" s="64" t="e">
        <f>VLOOKUP(A241,Enforcements!$C$7:$K$20,8,0)</f>
        <v>#N/A</v>
      </c>
      <c r="AC241" s="60" t="e">
        <f>VLOOKUP(A241,Enforcements!$C$7:$E$20,3,0)</f>
        <v>#N/A</v>
      </c>
      <c r="AD241" s="61" t="str">
        <f t="shared" si="80"/>
        <v>60-14</v>
      </c>
      <c r="AE241" s="91" t="str">
        <f t="shared" si="81"/>
        <v>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 &amp; aws s3 cp s3://rtdc.mdm.uploadarchive.raw/RTDC4008/ "%USERPROFILE%\AppData\Local\Temp\OnboardLogs"\RTDC4008\2016-11-15 --exclude "*" --recursive --include "*20161115*" &amp; "%USERPROFILE%\Documents\GitHub\mrs-test-scripts\Headless Mode &amp; Sideloading\WalkAndUnGZ.bat" "%USERPROFILE%\AppData\Local\Temp\OnboardLogs"\RTDC4008\2016-11-15</v>
      </c>
      <c r="AF241" s="88" t="str">
        <f t="shared" si="82"/>
        <v>"C:\Program Files (x86)\AstroGrep\AstroGrep.exe" /spath="%USERPROFILE%\AppData\Local\Temp\OnboardLogs" /stypes="app*4008*20161115*" /stext=" 01:.+((SYSTEM_STATE.+slice.+state.+changed )|(ment ac)|(system.+state.+changed )|(\[timeout)|(PRM\|1\|D)|(kpr)|(kdp)|(\|lc)|(penalty))" /e /r /s</v>
      </c>
      <c r="AG241" s="1" t="str">
        <f t="shared" si="83"/>
        <v>Other</v>
      </c>
      <c r="AH241" s="92" t="str">
        <f t="shared" si="85"/>
        <v>"%USERPROFILE%\Documents\GitHub\eaglep3\Utilities\RefineRTDCRunTimes.py" --tripid 60-14 --locoid 4008 --swversion DE.1.0.8.0 --startMP 300:21986 --initTime 2016-11-14T17:51:08 --startdatetime 2016-11-14T17:53:16 --delay 1 --endMP 204:1615 --enddatetime 2016-11-14T18:03:49 --enforcementcount 0 &gt;&gt;C:\Users\stu\Documents\GitHub\eaglep3-reporting\EC\2016-11-14-refined-times.txt</v>
      </c>
      <c r="AI241" s="119" t="str">
        <f t="shared" si="86"/>
        <v>echo {"issue":{"subject":"","project_id":79,"tracker_id":40,"status_id":1,"priority_id":2,"assigned_to_id":23,"start_date":"2016-11-14","description":"","custom_fields":[{"id":1,"name":"Subdivision","value":"Other"},{"id":4,"name":"Milepost","value":"0.1615"},{"id":17,"name":"Train ID","value":"60-14"},{"id":16,"name":"Locomotive ID","value":"4008"},{"id":130,"name":"Impact","value":""},{"id":150,"name":"Time of Event (Mountain Time)","value":"18:03:49"},{"id":151,"name":"Denver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577</v>
      </c>
      <c r="B242" s="7">
        <v>4018</v>
      </c>
      <c r="C242" s="22" t="s">
        <v>224</v>
      </c>
      <c r="D242" s="22" t="s">
        <v>736</v>
      </c>
      <c r="E242" s="13">
        <v>42688.739340277774</v>
      </c>
      <c r="F242" s="13">
        <v>25568.708333333332</v>
      </c>
      <c r="G242" s="7">
        <v>1</v>
      </c>
      <c r="H242" s="22" t="s">
        <v>350</v>
      </c>
      <c r="I242" s="13">
        <v>25568.708333333332</v>
      </c>
      <c r="J242" s="7">
        <v>0</v>
      </c>
      <c r="K242" s="109" t="str">
        <f t="shared" si="70"/>
        <v>4017/4018</v>
      </c>
      <c r="L242" s="22" t="str">
        <f>VLOOKUP(A242,'Trips&amp;Operators'!$C$1:$E$10000,3,FALSE)</f>
        <v>ROMERO</v>
      </c>
      <c r="M242" s="6">
        <f t="shared" si="71"/>
        <v>0</v>
      </c>
      <c r="N242" s="7">
        <f t="shared" si="72"/>
        <v>0</v>
      </c>
      <c r="O242" s="7"/>
      <c r="P242" s="7"/>
      <c r="Q242" s="23"/>
      <c r="R242" s="23"/>
      <c r="S242" s="35">
        <f t="shared" si="73"/>
        <v>0</v>
      </c>
      <c r="T242" s="50" t="e">
        <f t="shared" si="74"/>
        <v>#VALUE!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https://search-rtdc-monitor-bjffxe2xuh6vdkpspy63sjmuny.us-east-1.es.amazonaws.com/_plugin/kibana/#/discover/Steve-Slow-Train-Analysis-(2080s-and-2083s)?_g=(refreshInterval:(display:Off,section:0,value:0),time:(from:'2016-11-14 16:44:39-700',mode:absolute,to:'1969-12-31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42" s="52" t="str">
        <f t="shared" si="76"/>
        <v>Y</v>
      </c>
      <c r="X242" s="177" t="e">
        <f t="shared" si="87"/>
        <v>#VALUE!</v>
      </c>
      <c r="Y242" s="67">
        <f t="shared" si="77"/>
        <v>0.1484</v>
      </c>
      <c r="Z242" s="67">
        <f t="shared" si="78"/>
        <v>2.3304</v>
      </c>
      <c r="AA242" s="67">
        <f t="shared" si="79"/>
        <v>2.1819999999999999</v>
      </c>
      <c r="AB242" s="64" t="e">
        <f>VLOOKUP(A242,Enforcements!$C$7:$K$20,8,0)</f>
        <v>#N/A</v>
      </c>
      <c r="AC242" s="60" t="e">
        <f>VLOOKUP(A242,Enforcements!$C$7:$E$20,3,0)</f>
        <v>#N/A</v>
      </c>
      <c r="AD242" s="61" t="str">
        <f t="shared" si="80"/>
        <v>69-14</v>
      </c>
      <c r="AE242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42" s="88" t="str">
        <f t="shared" si="82"/>
        <v>"C:\Program Files (x86)\AstroGrep\AstroGrep.exe" /spath="%USERPROFILE%\AppData\Local\Temp\OnboardLogs" /stypes="app*4018*19700101*" /stext=" 00:.+((SYSTEM_STATE.+slice.+state.+changed )|(ment ac)|(system.+state.+changed )|(\[timeout)|(PRM\|1\|D)|(kpr)|(kdp)|(\|lc)|(penalty))" /e /r /s</v>
      </c>
      <c r="AG242" s="1" t="str">
        <f t="shared" si="83"/>
        <v>Other</v>
      </c>
      <c r="AH242" s="92" t="str">
        <f t="shared" si="85"/>
        <v>"%USERPROFILE%\Documents\GitHub\eaglep3\Utilities\RefineRTDCRunTimes.py" --tripid 69-14 --locoid 4018 --swversion DE.1.0.8.0 --startMP 204:1484 --initTime 2016-11-14T17:44:39 --startdatetime 1969-12-31T17:00:00 --delay 1 --endMP 300:23304 --enddatetime 1969-12-31T17:00:00 --enforcementcount 0 &gt;&gt;C:\Users\stu\Documents\GitHub\eaglep3-reporting\EC\2016-11-14-refined-times.txt</v>
      </c>
      <c r="AI242" s="119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ID","value":"69-14"},{"id":16,"name":"Locomotive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/>
  <sortState ref="A13:AH200">
    <sortCondition ref="AG13:AG200"/>
    <sortCondition ref="AD13:AD200"/>
  </sortState>
  <mergeCells count="1">
    <mergeCell ref="A11:P11"/>
  </mergeCells>
  <conditionalFormatting sqref="W11:W12 W258:X1048576 W13:X242">
    <cfRule type="cellIs" dxfId="13" priority="344" operator="equal">
      <formula>"Y"</formula>
    </cfRule>
  </conditionalFormatting>
  <conditionalFormatting sqref="X258:X1048576 X13:X242">
    <cfRule type="cellIs" dxfId="12" priority="327" operator="greaterThan">
      <formula>1</formula>
    </cfRule>
  </conditionalFormatting>
  <conditionalFormatting sqref="X258:X1048576 X12:X242">
    <cfRule type="cellIs" dxfId="11" priority="324" operator="equal">
      <formula>0</formula>
    </cfRule>
  </conditionalFormatting>
  <conditionalFormatting sqref="A13:S242">
    <cfRule type="expression" dxfId="10" priority="318" stopIfTrue="1">
      <formula>$P13&gt;0</formula>
    </cfRule>
    <cfRule type="expression" dxfId="9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9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- 2016-11-14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  <c r="AD6" s="130" t="s">
        <v>834</v>
      </c>
    </row>
    <row r="7" spans="1:30" s="1" customFormat="1" x14ac:dyDescent="0.25">
      <c r="A7" s="36">
        <v>42688.212002314816</v>
      </c>
      <c r="B7" s="31" t="s">
        <v>288</v>
      </c>
      <c r="C7" s="31" t="s">
        <v>398</v>
      </c>
      <c r="D7" s="31" t="s">
        <v>49</v>
      </c>
      <c r="E7" s="31" t="s">
        <v>210</v>
      </c>
      <c r="F7" s="47">
        <v>0</v>
      </c>
      <c r="G7" s="47">
        <v>13</v>
      </c>
      <c r="H7" s="47">
        <v>59010</v>
      </c>
      <c r="I7" s="47">
        <v>59014</v>
      </c>
      <c r="J7" s="31" t="s">
        <v>211</v>
      </c>
      <c r="K7" s="47">
        <v>59048</v>
      </c>
      <c r="L7" s="154" t="s">
        <v>50</v>
      </c>
      <c r="M7" s="155">
        <f>CONVERT((I7-K7)/10000,"mi","ft")*IF(L7="Increasing Mileposts (1)",-1,1)</f>
        <v>17.952000000000002</v>
      </c>
      <c r="N7" s="156" t="str">
        <f>VLOOKUP(C7,'Trips&amp;Operators'!$C$1:$E$99999,3,FALSE)</f>
        <v>BRANDNER</v>
      </c>
      <c r="O7" s="183" t="s">
        <v>205</v>
      </c>
      <c r="P7" s="157"/>
      <c r="Q7" s="31"/>
      <c r="R7" s="100" t="str">
        <f>VLOOKUP(C7,'Train Runs'!$A$13:$AE$10001,31,0)</f>
        <v>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 &amp; 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https://search-rtdc-monitor-bjffxe2xuh6vdkpspy63sjmuny.us-east-1.es.amazonaws.com/_plugin/kibana/#/discover/Steve-Slow-Train-Analysis-(2080s-and-2083s)?_g=(refreshInterval:(display:Off,section:0,value:0),time:(from:'2016-11-14 03:54:14-700',mode:absolute,to:'2016-11-14 06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/stypes="*4038*201611141*" /stext=" 12:.+((SYSTEM_STATE.+slice.+state.+changed )|(ment ac)|(system.+state.+changed )|(\[timeout)|(PRM\|1\|D)|(kpr)|(kdp)|(\|lc)|(penalty))" /e /r /s</v>
      </c>
      <c r="U7" s="9" t="str">
        <f>MID(B7,13,4)</f>
        <v>4038</v>
      </c>
      <c r="V7" s="36">
        <f>A7-utc_offset/24</f>
        <v>42688.503668981481</v>
      </c>
      <c r="W7" s="50" t="str">
        <f>IF(VALUE(LEFT(IF(LEN(C7)=6,"0"&amp;C7,C7),2))&lt;=2,"EC",IF(OR(VALUE(LEFT(IF(LEN(C7)=6,"0"&amp;C7,C7),2))=8,VALUE(LEFT(IF(LEN(C7)=6,"0"&amp;C7,C7),2))=18),"NW","Other"))</f>
        <v>Other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{"issue":{"subject":"","project_id":79,"tracker_id":40,"status_id":1,"priority_id":2,"assigned_to_id":23,"start_date":"2016-11-14","description":"","custom_fields":[{"id":1,"name":"Subdivision","value":"Other"},{"id":4,"name":"Milepost","value":"5.9048"},{"id":17,"name":"Train ID","value":"901-14"},{"id":16,"name":"Locomotive ID","value":"4038"},{"id":130,"name":"Impact","value":""},{"id":150,"name":"Time of Event (Mountain Time)","value":"05:05:17"},{"id":151,"name":"Denver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"%USERPROFILE%\AppData\Local\Temp\OnboardLogs"\RTDC4038\*4038*201611141*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"%USERPROFILE%\AppData\Local\Temp\OnboardLogs"\RTDC4038\*4038*201611141* &gt;&gt; 42688-slicedisagreementcheck.txt</v>
      </c>
    </row>
    <row r="8" spans="1:30" s="1" customFormat="1" x14ac:dyDescent="0.25">
      <c r="A8" s="36">
        <v>42688.223171296297</v>
      </c>
      <c r="B8" s="31" t="s">
        <v>217</v>
      </c>
      <c r="C8" s="31" t="s">
        <v>399</v>
      </c>
      <c r="D8" s="31" t="s">
        <v>98</v>
      </c>
      <c r="E8" s="31" t="s">
        <v>208</v>
      </c>
      <c r="F8" s="47">
        <v>200</v>
      </c>
      <c r="G8" s="47">
        <v>263</v>
      </c>
      <c r="H8" s="47">
        <v>40379</v>
      </c>
      <c r="I8" s="47">
        <v>39641</v>
      </c>
      <c r="J8" s="31" t="s">
        <v>209</v>
      </c>
      <c r="K8" s="47">
        <v>43664</v>
      </c>
      <c r="L8" s="154" t="s">
        <v>51</v>
      </c>
      <c r="M8" s="155">
        <f>CONVERT((I8-K8)/10000,"mi","ft")*IF(L8="Increasing Mileposts (1)",-1,1)</f>
        <v>-2124.1439999999998</v>
      </c>
      <c r="N8" s="156" t="str">
        <f>VLOOKUP(C8,'Trips&amp;Operators'!$C$1:$E$99999,3,FALSE)</f>
        <v>ROBINSON</v>
      </c>
      <c r="O8" s="183" t="s">
        <v>205</v>
      </c>
      <c r="P8" s="157" t="s">
        <v>828</v>
      </c>
      <c r="Q8" s="31"/>
      <c r="R8" s="100" t="str">
        <f>VLOOKUP(C8,'Train Runs'!$A$13:$AE$10001,31,0)</f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https://search-rtdc-monitor-bjffxe2xuh6vdkpspy63sjmuny.us-east-1.es.amazonaws.com/_plugin/kibana/#/discover/Steve-Slow-Train-Analysis-(2080s-and-2083s)?_g=(refreshInterval:(display:Off,section:0,value:0),time:(from:'2016-11-14 03:32:06-700',mode:absolute,to:'2016-11-14 06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/stypes="*4030*201611141*" /stext=" 12:.+((SYSTEM_STATE.+slice.+state.+changed )|(ment ac)|(system.+state.+changed )|(\[timeout)|(PRM\|1\|D)|(kpr)|(kdp)|(\|lc)|(penalty))" /e /r /s</v>
      </c>
      <c r="U8" s="9" t="str">
        <f>MID(B8,13,4)</f>
        <v>4030</v>
      </c>
      <c r="V8" s="36">
        <f>A8-utc_offset/24</f>
        <v>42688.514837962961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4.3664"},{"id":17,"name":"Train ID","value":"104-14"},{"id":16,"name":"Locomotive ID","value":"4030"},{"id":130,"name":"Impact","value":""},{"id":150,"name":"Time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"%USERPROFILE%\AppData\Local\Temp\OnboardLogs"\RTDC4030\*4030*201611141*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"%USERPROFILE%\AppData\Local\Temp\OnboardLogs"\RTDC4030\*4030*201611141* &gt;&gt; 42688-slicedisagreementcheck.txt</v>
      </c>
    </row>
    <row r="9" spans="1:30" s="1" customFormat="1" x14ac:dyDescent="0.25">
      <c r="A9" s="36">
        <v>42688.239837962959</v>
      </c>
      <c r="B9" s="31" t="s">
        <v>235</v>
      </c>
      <c r="C9" s="31" t="s">
        <v>400</v>
      </c>
      <c r="D9" s="31" t="s">
        <v>98</v>
      </c>
      <c r="E9" s="31" t="s">
        <v>208</v>
      </c>
      <c r="F9" s="47">
        <v>200</v>
      </c>
      <c r="G9" s="47">
        <v>256</v>
      </c>
      <c r="H9" s="47">
        <v>40273</v>
      </c>
      <c r="I9" s="47">
        <v>39736</v>
      </c>
      <c r="J9" s="31" t="s">
        <v>209</v>
      </c>
      <c r="K9" s="47">
        <v>43664</v>
      </c>
      <c r="L9" s="154" t="s">
        <v>51</v>
      </c>
      <c r="M9" s="155">
        <f>CONVERT((I9-K9)/10000,"mi","ft")*IF(L9="Increasing Mileposts (1)",-1,1)</f>
        <v>-2073.9839999999999</v>
      </c>
      <c r="N9" s="156" t="str">
        <f>VLOOKUP(C9,'Trips&amp;Operators'!$C$1:$E$99999,3,FALSE)</f>
        <v>OUN</v>
      </c>
      <c r="O9" s="183" t="s">
        <v>205</v>
      </c>
      <c r="P9" s="157" t="s">
        <v>828</v>
      </c>
      <c r="Q9" s="31"/>
      <c r="R9" s="100" t="str">
        <f>VLOOKUP(C9,'Train Runs'!$A$13:$AE$10001,31,0)</f>
        <v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https://search-rtdc-monitor-bjffxe2xuh6vdkpspy63sjmuny.us-east-1.es.amazonaws.com/_plugin/kibana/#/discover/Steve-Slow-Train-Analysis-(2080s-and-2083s)?_g=(refreshInterval:(display:Off,section:0,value:0),time:(from:'2016-11-14 04:06:34-700',mode:absolute,to:'2016-11-14 06:45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/stypes="*4004*201611141*" /stext=" 12:.+((SYSTEM_STATE.+slice.+state.+changed )|(ment ac)|(system.+state.+changed )|(\[timeout)|(PRM\|1\|D)|(kpr)|(kdp)|(\|lc)|(penalty))" /e /r /s</v>
      </c>
      <c r="U9" s="9" t="str">
        <f>MID(B9,13,4)</f>
        <v>4004</v>
      </c>
      <c r="V9" s="36">
        <f>A9-utc_offset/24</f>
        <v>42688.531504629624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4.3664"},{"id":17,"name":"Train ID","value":"106-14"},{"id":16,"name":"Locomotive ID","value":"4004"},{"id":130,"name":"Impact","value":""},{"id":150,"name":"Time of Event (Mountain Time)","value":"05:45:22"},{"id":151,"name":"Denver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"%USERPROFILE%\AppData\Local\Temp\OnboardLogs"\RTDC4004\*4004*201611141*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"%USERPROFILE%\AppData\Local\Temp\OnboardLogs"\RTDC4004\*4004*201611141* &gt;&gt; 42688-slicedisagreementcheck.txt</v>
      </c>
    </row>
    <row r="10" spans="1:30" s="1" customFormat="1" x14ac:dyDescent="0.25">
      <c r="A10" s="36">
        <v>42688.242604166669</v>
      </c>
      <c r="B10" s="31" t="s">
        <v>235</v>
      </c>
      <c r="C10" s="31" t="s">
        <v>400</v>
      </c>
      <c r="D10" s="31" t="s">
        <v>98</v>
      </c>
      <c r="E10" s="31" t="s">
        <v>208</v>
      </c>
      <c r="F10" s="47">
        <v>200</v>
      </c>
      <c r="G10" s="47">
        <v>262</v>
      </c>
      <c r="H10" s="47">
        <v>34072</v>
      </c>
      <c r="I10" s="47">
        <v>33379</v>
      </c>
      <c r="J10" s="31" t="s">
        <v>209</v>
      </c>
      <c r="K10" s="47">
        <v>36657</v>
      </c>
      <c r="L10" s="154" t="s">
        <v>51</v>
      </c>
      <c r="M10" s="155">
        <f>CONVERT((I10-K10)/10000,"mi","ft")*IF(L10="Increasing Mileposts (1)",-1,1)</f>
        <v>-1730.7840000000001</v>
      </c>
      <c r="N10" s="156" t="str">
        <f>VLOOKUP(C10,'Trips&amp;Operators'!$C$1:$E$99999,3,FALSE)</f>
        <v>OUN</v>
      </c>
      <c r="O10" s="183" t="s">
        <v>205</v>
      </c>
      <c r="P10" s="157" t="s">
        <v>828</v>
      </c>
      <c r="Q10" s="31"/>
      <c r="R10" s="100" t="str">
        <f>VLOOKUP(C10,'Train Runs'!$A$13:$AE$10001,31,0)</f>
        <v>aws s3 cp s3://rtdc.mdm.uploadarchive.raw/RTDC4004/ "%USERPROFILE%\AppData\Local\Temp\OnboardLogs"\RTDC4004\2016-11-14 --exclude "*" --recursive --include "*20161114*" &amp; "%USERPROFILE%\Documents\GitHub\mrs-test-scripts\Headless Mode &amp; Sideloading\WalkAndUnGZ.bat" "%USERPROFILE%\AppData\Local\Temp\OnboardLogs"\RTDC4004\2016-11-14 &amp; 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https://search-rtdc-monitor-bjffxe2xuh6vdkpspy63sjmuny.us-east-1.es.amazonaws.com/_plugin/kibana/#/discover/Steve-Slow-Train-Analysis-(2080s-and-2083s)?_g=(refreshInterval:(display:Off,section:0,value:0),time:(from:'2016-11-14 04:06:34-700',mode:absolute,to:'2016-11-14 06:45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/stypes="*4004*201611141*" /stext=" 12:.+((SYSTEM_STATE.+slice.+state.+changed )|(ment ac)|(system.+state.+changed )|(\[timeout)|(PRM\|1\|D)|(kpr)|(kdp)|(\|lc)|(penalty))" /e /r /s</v>
      </c>
      <c r="U10" s="9" t="str">
        <f>MID(B10,13,4)</f>
        <v>4004</v>
      </c>
      <c r="V10" s="36">
        <f>A10-utc_offset/24</f>
        <v>42688.534270833334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3.6657"},{"id":17,"name":"Train ID","value":"106-14"},{"id":16,"name":"Locomotive ID","value":"4004"},{"id":130,"name":"Impact","value":""},{"id":150,"name":"Time of Event (Mountain Time)","value":"05:49:21"},{"id":151,"name":"Denver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"%USERPROFILE%\AppData\Local\Temp\OnboardLogs"\RTDC4004\*4004*201611141*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"%USERPROFILE%\AppData\Local\Temp\OnboardLogs"\RTDC4004\*4004*201611141* &gt;&gt; 42688-slicedisagreementcheck.txt</v>
      </c>
    </row>
    <row r="11" spans="1:30" s="1" customFormat="1" x14ac:dyDescent="0.25">
      <c r="A11" s="36">
        <v>42688.251400462963</v>
      </c>
      <c r="B11" s="31" t="s">
        <v>270</v>
      </c>
      <c r="C11" s="31" t="s">
        <v>401</v>
      </c>
      <c r="D11" s="31" t="s">
        <v>98</v>
      </c>
      <c r="E11" s="31" t="s">
        <v>208</v>
      </c>
      <c r="F11" s="47">
        <v>0</v>
      </c>
      <c r="G11" s="47">
        <v>141</v>
      </c>
      <c r="H11" s="47">
        <v>36202</v>
      </c>
      <c r="I11" s="47">
        <v>35880</v>
      </c>
      <c r="J11" s="31" t="s">
        <v>209</v>
      </c>
      <c r="K11" s="47">
        <v>36657</v>
      </c>
      <c r="L11" s="154" t="s">
        <v>51</v>
      </c>
      <c r="M11" s="155">
        <f>CONVERT((I11-K11)/10000,"mi","ft")*IF(L11="Increasing Mileposts (1)",-1,1)</f>
        <v>-410.25599999999997</v>
      </c>
      <c r="N11" s="156" t="str">
        <f>VLOOKUP(C11,'Trips&amp;Operators'!$C$1:$E$99999,3,FALSE)</f>
        <v>ISHMAEL</v>
      </c>
      <c r="O11" s="183" t="s">
        <v>234</v>
      </c>
      <c r="P11" s="157" t="s">
        <v>813</v>
      </c>
      <c r="Q11" s="31"/>
      <c r="R11" s="100" t="str">
        <f>VLOOKUP(C11,'Train Runs'!$A$13:$AE$10001,31,0)</f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https://search-rtdc-monitor-bjffxe2xuh6vdkpspy63sjmuny.us-east-1.es.amazonaws.com/_plugin/kibana/#/discover/Steve-Slow-Train-Analysis-(2080s-and-2083s)?_g=(refreshInterval:(display:Off,section:0,value:0),time:(from:'2016-11-14 04:19:01-700',mode:absolute,to:'2016-11-14 06:58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/stypes="*4010*201611141*" /stext=" 13:.+((SYSTEM_STATE.+slice.+state.+changed )|(ment ac)|(system.+state.+changed )|(\[timeout)|(PRM\|1\|D)|(kpr)|(kdp)|(\|lc)|(penalty))" /e /r /s</v>
      </c>
      <c r="U11" s="9" t="str">
        <f>MID(B11,13,4)</f>
        <v>4010</v>
      </c>
      <c r="V11" s="36">
        <f>A11-utc_offset/24</f>
        <v>42688.543067129627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service","project_id":79,"tracker_id":40,"status_id":1,"priority_id":2,"assigned_to_id":23,"start_date":"2016-11-14","description":"","custom_fields":[{"id":1,"name":"Subdivision","value":"EC"},{"id":4,"name":"Milepost","value":"3.6657"},{"id":17,"name":"Train ID","value":"108-14"},{"id":16,"name":"Locomotive ID","value":"4010"},{"id":130,"name":"Impact","value":""},{"id":150,"name":"Time of Event (Mountain Time)","value":"06:02:01"},{"id":151,"name":"Denver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"%USERPROFILE%\AppData\Local\Temp\OnboardLogs"\RTDC4010\*4010*201611141*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"%USERPROFILE%\AppData\Local\Temp\OnboardLogs"\RTDC4010\*4010*201611141* &gt;&gt; 42688-slicedisagreementcheck.txt</v>
      </c>
    </row>
    <row r="12" spans="1:30" s="1" customFormat="1" x14ac:dyDescent="0.25">
      <c r="A12" s="36">
        <v>42688.275405092594</v>
      </c>
      <c r="B12" s="31" t="s">
        <v>216</v>
      </c>
      <c r="C12" s="31" t="s">
        <v>402</v>
      </c>
      <c r="D12" s="31" t="s">
        <v>49</v>
      </c>
      <c r="E12" s="31" t="s">
        <v>208</v>
      </c>
      <c r="F12" s="47">
        <v>0</v>
      </c>
      <c r="G12" s="47">
        <v>809</v>
      </c>
      <c r="H12" s="47">
        <v>141401</v>
      </c>
      <c r="I12" s="47">
        <v>145754</v>
      </c>
      <c r="J12" s="31" t="s">
        <v>209</v>
      </c>
      <c r="K12" s="47">
        <v>144300</v>
      </c>
      <c r="L12" s="154" t="s">
        <v>50</v>
      </c>
      <c r="M12" s="155">
        <f>CONVERT((I12-K12)/10000,"mi","ft")*IF(L12="Increasing Mileposts (1)",-1,1)</f>
        <v>-767.71199999999999</v>
      </c>
      <c r="N12" s="156" t="str">
        <f>VLOOKUP(C12,'Trips&amp;Operators'!$C$1:$E$99999,3,FALSE)</f>
        <v>OUN</v>
      </c>
      <c r="O12" s="183" t="s">
        <v>234</v>
      </c>
      <c r="P12" s="157" t="s">
        <v>813</v>
      </c>
      <c r="Q12" s="31"/>
      <c r="R12" s="100" t="str">
        <f>VLOOKUP(C12,'Train Runs'!$A$13:$AE$10001,31,0)</f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https://search-rtdc-monitor-bjffxe2xuh6vdkpspy63sjmuny.us-east-1.es.amazonaws.com/_plugin/kibana/#/discover/Steve-Slow-Train-Analysis-(2080s-and-2083s)?_g=(refreshInterval:(display:Off,section:0,value:0),time:(from:'2016-11-14 04:51:33-700',mode:absolute,to:'2016-11-14 07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/stypes="*4029*201611141*" /stext=" 13:.+((SYSTEM_STATE.+slice.+state.+changed )|(ment ac)|(system.+state.+changed )|(\[timeout)|(PRM\|1\|D)|(kpr)|(kdp)|(\|lc)|(penalty))" /e /r /s</v>
      </c>
      <c r="U12" s="9" t="str">
        <f>MID(B12,13,4)</f>
        <v>4029</v>
      </c>
      <c r="V12" s="36">
        <f>A12-utc_offset/24</f>
        <v>42688.567071759258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service","project_id":79,"tracker_id":40,"status_id":1,"priority_id":2,"assigned_to_id":23,"start_date":"2016-11-14","description":"","custom_fields":[{"id":1,"name":"Subdivision","value":"EC"},{"id":4,"name":"Milepost","value":"14.43"},{"id":17,"name":"Train ID","value":"119-14"},{"id":16,"name":"Locomotive ID","value":"4029"},{"id":130,"name":"Impact","value":""},{"id":150,"name":"Time of Event (Mountain Time)","value":"06:36:35"},{"id":151,"name":"Denver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"%USERPROFILE%\AppData\Local\Temp\OnboardLogs"\RTDC4029\*4029*201611141*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"%USERPROFILE%\AppData\Local\Temp\OnboardLogs"\RTDC4029\*4029*201611141* &gt;&gt; 42688-slicedisagreementcheck.txt</v>
      </c>
    </row>
    <row r="13" spans="1:30" s="1" customFormat="1" x14ac:dyDescent="0.25">
      <c r="A13" s="36">
        <v>42688.289525462962</v>
      </c>
      <c r="B13" s="31" t="s">
        <v>273</v>
      </c>
      <c r="C13" s="31" t="s">
        <v>403</v>
      </c>
      <c r="D13" s="31" t="s">
        <v>49</v>
      </c>
      <c r="E13" s="31" t="s">
        <v>210</v>
      </c>
      <c r="F13" s="47">
        <v>0</v>
      </c>
      <c r="G13" s="47">
        <v>51</v>
      </c>
      <c r="H13" s="47">
        <v>747</v>
      </c>
      <c r="I13" s="47">
        <v>698</v>
      </c>
      <c r="J13" s="31" t="s">
        <v>211</v>
      </c>
      <c r="K13" s="47">
        <v>575</v>
      </c>
      <c r="L13" s="154" t="s">
        <v>51</v>
      </c>
      <c r="M13" s="155">
        <f>CONVERT((I13-K13)/10000,"mi","ft")*IF(L13="Increasing Mileposts (1)",-1,1)</f>
        <v>64.944000000000003</v>
      </c>
      <c r="N13" s="156" t="str">
        <f>VLOOKUP(C13,'Trips&amp;Operators'!$C$1:$E$99999,3,FALSE)</f>
        <v>BERLING</v>
      </c>
      <c r="O13" s="183" t="s">
        <v>205</v>
      </c>
      <c r="P13" s="157"/>
      <c r="Q13" s="31"/>
      <c r="R13" s="100" t="str">
        <f>VLOOKUP(C13,'Train Runs'!$A$13:$AE$10001,31,0)</f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https://search-rtdc-monitor-bjffxe2xuh6vdkpspy63sjmuny.us-east-1.es.amazonaws.com/_plugin/kibana/#/discover/Steve-Slow-Train-Analysis-(2080s-and-2083s)?_g=(refreshInterval:(display:Off,section:0,value:0),time:(from:'2016-11-14 05:37:40-700',mode:absolute,to:'2016-11-14 07:56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/stypes="*4021*201611141*" /stext=" 13:.+((SYSTEM_STATE.+slice.+state.+changed )|(ment ac)|(system.+state.+changed )|(\[timeout)|(PRM\|1\|D)|(kpr)|(kdp)|(\|lc)|(penalty))" /e /r /s</v>
      </c>
      <c r="U13" s="9" t="str">
        <f>MID(B13,13,4)</f>
        <v>4021</v>
      </c>
      <c r="V13" s="36">
        <f>A13-utc_offset/24</f>
        <v>42688.581192129626</v>
      </c>
      <c r="W13" s="50" t="str">
        <f>IF(VALUE(LEFT(IF(LEN(C13)=6,"0"&amp;C13,C13),2))&lt;=2,"EC",IF(OR(VALUE(LEFT(IF(LEN(C13)=6,"0"&amp;C13,C13),2))=8,VALUE(LEFT(IF(LEN(C13)=6,"0"&amp;C13,C13),2))=18),"NW","Other"))</f>
        <v>NW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{"issue":{"subject":"","project_id":79,"tracker_id":40,"status_id":1,"priority_id":2,"assigned_to_id":23,"start_date":"2016-11-14","description":"","custom_fields":[{"id":1,"name":"Subdivision","value":"NW"},{"id":4,"name":"Milepost","value":"0.0575"},{"id":17,"name":"Train ID","value":"804-14"},{"id":16,"name":"Locomotive ID","value":"4021"},{"id":130,"name":"Impact","value":""},{"id":150,"name":"Time of Event (Mountain Time)","value":"06:56:55"},{"id":151,"name":"Denver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"%USERPROFILE%\AppData\Local\Temp\OnboardLogs"\RTDC4021\*4021*201611141*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"%USERPROFILE%\AppData\Local\Temp\OnboardLogs"\RTDC4021\*4021*201611141* &gt;&gt; 42688-slicedisagreementcheck.txt</v>
      </c>
    </row>
    <row r="14" spans="1:30" s="1" customFormat="1" x14ac:dyDescent="0.25">
      <c r="A14" s="36">
        <v>42688.308310185188</v>
      </c>
      <c r="B14" s="31" t="s">
        <v>286</v>
      </c>
      <c r="C14" s="31" t="s">
        <v>404</v>
      </c>
      <c r="D14" s="31" t="s">
        <v>98</v>
      </c>
      <c r="E14" s="31" t="s">
        <v>208</v>
      </c>
      <c r="F14" s="47">
        <v>200</v>
      </c>
      <c r="G14" s="47">
        <v>306</v>
      </c>
      <c r="H14" s="47">
        <v>17655</v>
      </c>
      <c r="I14" s="47">
        <v>17297</v>
      </c>
      <c r="J14" s="31" t="s">
        <v>209</v>
      </c>
      <c r="K14" s="47">
        <v>20632</v>
      </c>
      <c r="L14" s="154" t="s">
        <v>51</v>
      </c>
      <c r="M14" s="155">
        <f>CONVERT((I14-K14)/10000,"mi","ft")*IF(L14="Increasing Mileposts (1)",-1,1)</f>
        <v>-1760.88</v>
      </c>
      <c r="N14" s="156" t="str">
        <f>VLOOKUP(C14,'Trips&amp;Operators'!$C$1:$E$99999,3,FALSE)</f>
        <v>ROBINSON</v>
      </c>
      <c r="O14" s="183" t="s">
        <v>205</v>
      </c>
      <c r="P14" s="157" t="s">
        <v>828</v>
      </c>
      <c r="Q14" s="31"/>
      <c r="R14" s="100" t="str">
        <f>VLOOKUP(C14,'Train Runs'!$A$13:$AE$10001,31,0)</f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https://search-rtdc-monitor-bjffxe2xuh6vdkpspy63sjmuny.us-east-1.es.amazonaws.com/_plugin/kibana/#/discover/Steve-Slow-Train-Analysis-(2080s-and-2083s)?_g=(refreshInterval:(display:Off,section:0,value:0),time:(from:'2016-11-14 06:22:17-700',mode:absolute,to:'2016-11-14 08:29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/stypes="*4054*201611141*" /stext=" 14:.+((SYSTEM_STATE.+slice.+state.+changed )|(ment ac)|(system.+state.+changed )|(\[timeout)|(PRM\|1\|D)|(kpr)|(kdp)|(\|lc)|(penalty))" /e /r /s</v>
      </c>
      <c r="U14" s="9" t="str">
        <f>MID(B14,13,4)</f>
        <v>4054</v>
      </c>
      <c r="V14" s="36">
        <f>A14-utc_offset/24</f>
        <v>42688.599976851852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2.0632"},{"id":17,"name":"Train ID","value":"118-14"},{"id":16,"name":"Locomotive ID","value":"4054"},{"id":130,"name":"Impact","value":""},{"id":150,"name":"Time of Event (Mountain Time)","value":"07:23:58"},{"id":151,"name":"Denver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"%USERPROFILE%\AppData\Local\Temp\OnboardLogs"\RTDC4054\*4054*201611141*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"%USERPROFILE%\AppData\Local\Temp\OnboardLogs"\RTDC4054\*4054*201611141* &gt;&gt; 42688-slicedisagreementcheck.txt</v>
      </c>
    </row>
    <row r="15" spans="1:30" s="1" customFormat="1" x14ac:dyDescent="0.25">
      <c r="A15" s="36">
        <v>42688.330891203703</v>
      </c>
      <c r="B15" s="31" t="s">
        <v>273</v>
      </c>
      <c r="C15" s="31" t="s">
        <v>405</v>
      </c>
      <c r="D15" s="31" t="s">
        <v>49</v>
      </c>
      <c r="E15" s="31" t="s">
        <v>210</v>
      </c>
      <c r="F15" s="47">
        <v>0</v>
      </c>
      <c r="G15" s="47">
        <v>72</v>
      </c>
      <c r="H15" s="47">
        <v>845</v>
      </c>
      <c r="I15" s="47">
        <v>759</v>
      </c>
      <c r="J15" s="31" t="s">
        <v>211</v>
      </c>
      <c r="K15" s="47">
        <v>575</v>
      </c>
      <c r="L15" s="154" t="s">
        <v>51</v>
      </c>
      <c r="M15" s="155">
        <f>CONVERT((I15-K15)/10000,"mi","ft")*IF(L15="Increasing Mileposts (1)",-1,1)</f>
        <v>97.152000000000001</v>
      </c>
      <c r="N15" s="156" t="str">
        <f>VLOOKUP(C15,'Trips&amp;Operators'!$C$1:$E$99999,3,FALSE)</f>
        <v>BERLING</v>
      </c>
      <c r="O15" s="183" t="s">
        <v>205</v>
      </c>
      <c r="P15" s="157" t="s">
        <v>835</v>
      </c>
      <c r="Q15" s="31"/>
      <c r="R15" s="100" t="str">
        <f>VLOOKUP(C15,'Train Runs'!$A$13:$AE$10001,31,0)</f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https://search-rtdc-monitor-bjffxe2xuh6vdkpspy63sjmuny.us-east-1.es.amazonaws.com/_plugin/kibana/#/discover/Steve-Slow-Train-Analysis-(2080s-and-2083s)?_g=(refreshInterval:(display:Off,section:0,value:0),time:(from:'2016-11-14 06:37:46-700',mode:absolute,to:'2016-11-14 08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/stypes="*4021*201611141*" /stext=" 14:.+((SYSTEM_STATE.+slice.+state.+changed )|(ment ac)|(system.+state.+changed )|(\[timeout)|(PRM\|1\|D)|(kpr)|(kdp)|(\|lc)|(penalty))" /e /r /s</v>
      </c>
      <c r="U15" s="9" t="str">
        <f>MID(B15,13,4)</f>
        <v>4021</v>
      </c>
      <c r="V15" s="36">
        <f>A15-utc_offset/24</f>
        <v>42688.622557870367</v>
      </c>
      <c r="W15" s="50" t="str">
        <f>IF(VALUE(LEFT(IF(LEN(C15)=6,"0"&amp;C15,C15),2))&lt;=2,"EC",IF(OR(VALUE(LEFT(IF(LEN(C15)=6,"0"&amp;C15,C15),2))=8,VALUE(LEFT(IF(LEN(C15)=6,"0"&amp;C15,C15),2))=18),"NW","Other"))</f>
        <v>NW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braking","project_id":79,"tracker_id":40,"status_id":1,"priority_id":2,"assigned_to_id":23,"start_date":"2016-11-14","description":"Slice 1 commanded braking, other 2 did not","custom_fields":[{"id":1,"name":"Subdivision","value":"NW"},{"id":4,"name":"Milepost","value":"0.0575"},{"id":17,"name":"Train ID","value":"808-14"},{"id":16,"name":"Locomotive ID","value":"4021"},{"id":130,"name":"Impact","value":"Others"},{"id":150,"name":"Time of Event (Mountain Time)","value":"07:56:29"},{"id":151,"name":"Denver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5" s="53" t="s">
        <v>836</v>
      </c>
      <c r="AA15" s="53" t="s">
        <v>137</v>
      </c>
      <c r="AB15" s="53" t="s">
        <v>178</v>
      </c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"%USERPROFILE%\AppData\Local\Temp\OnboardLogs"\RTDC4021\*4021*201611141*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"%USERPROFILE%\AppData\Local\Temp\OnboardLogs"\RTDC4021\*4021*201611141* &gt;&gt; 42688-slicedisagreementcheck.txt</v>
      </c>
    </row>
    <row r="16" spans="1:30" s="1" customFormat="1" x14ac:dyDescent="0.25">
      <c r="A16" s="36">
        <v>42688.341539351852</v>
      </c>
      <c r="B16" s="31" t="s">
        <v>406</v>
      </c>
      <c r="C16" s="31" t="s">
        <v>407</v>
      </c>
      <c r="D16" s="31" t="s">
        <v>49</v>
      </c>
      <c r="E16" s="31" t="s">
        <v>208</v>
      </c>
      <c r="F16" s="47">
        <v>0</v>
      </c>
      <c r="G16" s="47">
        <v>167</v>
      </c>
      <c r="H16" s="47">
        <v>51631</v>
      </c>
      <c r="I16" s="47">
        <v>51263</v>
      </c>
      <c r="J16" s="31" t="s">
        <v>209</v>
      </c>
      <c r="K16" s="47">
        <v>50763</v>
      </c>
      <c r="L16" s="154" t="s">
        <v>51</v>
      </c>
      <c r="M16" s="155">
        <f>CONVERT((I16-K16)/10000,"mi","ft")*IF(L16="Increasing Mileposts (1)",-1,1)</f>
        <v>264</v>
      </c>
      <c r="N16" s="156" t="str">
        <f>VLOOKUP(C16,'Trips&amp;Operators'!$C$1:$E$99999,3,FALSE)</f>
        <v>MAHAN</v>
      </c>
      <c r="O16" s="183" t="s">
        <v>234</v>
      </c>
      <c r="P16" s="157" t="s">
        <v>813</v>
      </c>
      <c r="Q16" s="31"/>
      <c r="R16" s="100" t="str">
        <f>VLOOKUP(C16,'Train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https://search-rtdc-monitor-bjffxe2xuh6vdkpspy63sjmuny.us-east-1.es.amazonaws.com/_plugin/kibana/#/discover/Steve-Slow-Train-Analysis-(2080s-and-2083s)?_g=(refreshInterval:(display:Off,section:0,value:0),time:(from:'2016-11-14 06:38:38-700',mode:absolute,to:'2016-11-14 09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/stypes="*4045*201611141*" /stext=" 15:.+((SYSTEM_STATE.+slice.+state.+changed )|(ment ac)|(system.+state.+changed )|(\[timeout)|(PRM\|1\|D)|(kpr)|(kdp)|(\|lc)|(penalty))" /e /r /s</v>
      </c>
      <c r="U16" s="9" t="str">
        <f>MID(B16,13,4)</f>
        <v>4045</v>
      </c>
      <c r="V16" s="36">
        <f>A16-utc_offset/24</f>
        <v>42688.633206018516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service","project_id":79,"tracker_id":40,"status_id":1,"priority_id":2,"assigned_to_id":23,"start_date":"2016-11-14","description":"","custom_fields":[{"id":1,"name":"Subdivision","value":"EC"},{"id":4,"name":"Milepost","value":"5.0763"},{"id":17,"name":"Train ID","value":"126-14"},{"id":16,"name":"Locomotive ID","value":"4045"},{"id":130,"name":"Impact","value":""},{"id":150,"name":"Time of Event (Mountain Time)","value":"08:11:49"},{"id":151,"name":"Denver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"%USERPROFILE%\AppData\Local\Temp\OnboardLogs"\RTDC4045\*4045*201611141*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"%USERPROFILE%\AppData\Local\Temp\OnboardLogs"\RTDC4045\*4045*201611141* &gt;&gt; 42688-slicedisagreementcheck.txt</v>
      </c>
    </row>
    <row r="17" spans="1:30" s="1" customFormat="1" x14ac:dyDescent="0.25">
      <c r="A17" s="36">
        <v>42688.353796296295</v>
      </c>
      <c r="B17" s="31" t="s">
        <v>406</v>
      </c>
      <c r="C17" s="31" t="s">
        <v>407</v>
      </c>
      <c r="D17" s="31" t="s">
        <v>49</v>
      </c>
      <c r="E17" s="31" t="s">
        <v>210</v>
      </c>
      <c r="F17" s="47">
        <v>0</v>
      </c>
      <c r="G17" s="47">
        <v>49</v>
      </c>
      <c r="H17" s="47">
        <v>174</v>
      </c>
      <c r="I17" s="47">
        <v>121</v>
      </c>
      <c r="J17" s="31" t="s">
        <v>211</v>
      </c>
      <c r="K17" s="47">
        <v>1</v>
      </c>
      <c r="L17" s="154" t="s">
        <v>51</v>
      </c>
      <c r="M17" s="155">
        <f>CONVERT((I17-K17)/10000,"mi","ft")*IF(L17="Increasing Mileposts (1)",-1,1)</f>
        <v>63.36</v>
      </c>
      <c r="N17" s="156" t="str">
        <f>VLOOKUP(C17,'Trips&amp;Operators'!$C$1:$E$99999,3,FALSE)</f>
        <v>MAHAN</v>
      </c>
      <c r="O17" s="183" t="s">
        <v>205</v>
      </c>
      <c r="P17" s="157"/>
      <c r="Q17" s="31"/>
      <c r="R17" s="100" t="str">
        <f>VLOOKUP(C17,'Train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https://search-rtdc-monitor-bjffxe2xuh6vdkpspy63sjmuny.us-east-1.es.amazonaws.com/_plugin/kibana/#/discover/Steve-Slow-Train-Analysis-(2080s-and-2083s)?_g=(refreshInterval:(display:Off,section:0,value:0),time:(from:'2016-11-14 06:38:38-700',mode:absolute,to:'2016-11-14 09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/stypes="*4045*201611141*" /stext=" 15:.+((SYSTEM_STATE.+slice.+state.+changed )|(ment ac)|(system.+state.+changed )|(\[timeout)|(PRM\|1\|D)|(kpr)|(kdp)|(\|lc)|(penalty))" /e /r /s</v>
      </c>
      <c r="U17" s="9" t="str">
        <f>MID(B17,13,4)</f>
        <v>4045</v>
      </c>
      <c r="V17" s="36">
        <f>A17-utc_offset/24</f>
        <v>42688.645462962959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{"issue":{"subject":"","project_id":79,"tracker_id":40,"status_id":1,"priority_id":2,"assigned_to_id":23,"start_date":"2016-11-14","description":"","custom_fields":[{"id":1,"name":"Subdivision","value":"EC"},{"id":4,"name":"Milepost","value":"0.0001"},{"id":17,"name":"Train ID","value":"126-14"},{"id":16,"name":"Locomotive ID","value":"4045"},{"id":130,"name":"Impact","value":""},{"id":150,"name":"Time of Event (Mountain Time)","value":"08:29:28"},{"id":151,"name":"Denver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"%USERPROFILE%\AppData\Local\Temp\OnboardLogs"\RTDC4045\*4045*201611141*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"%USERPROFILE%\AppData\Local\Temp\OnboardLogs"\RTDC4045\*4045*201611141* &gt;&gt; 42688-slicedisagreementcheck.txt</v>
      </c>
    </row>
    <row r="18" spans="1:30" s="1" customFormat="1" x14ac:dyDescent="0.25">
      <c r="A18" s="36">
        <v>42688.355405092596</v>
      </c>
      <c r="B18" s="31" t="s">
        <v>271</v>
      </c>
      <c r="C18" s="31" t="s">
        <v>408</v>
      </c>
      <c r="D18" s="31" t="s">
        <v>98</v>
      </c>
      <c r="E18" s="31" t="s">
        <v>206</v>
      </c>
      <c r="F18" s="47">
        <v>400</v>
      </c>
      <c r="G18" s="47">
        <v>455</v>
      </c>
      <c r="H18" s="47">
        <v>43858</v>
      </c>
      <c r="I18" s="47">
        <v>45182</v>
      </c>
      <c r="J18" s="31" t="s">
        <v>207</v>
      </c>
      <c r="K18" s="47">
        <v>41797</v>
      </c>
      <c r="L18" s="154" t="s">
        <v>50</v>
      </c>
      <c r="M18" s="155">
        <f>CONVERT((I18-K18)/10000,"mi","ft")*IF(L18="Increasing Mileposts (1)",-1,1)</f>
        <v>-1787.28</v>
      </c>
      <c r="N18" s="156" t="str">
        <f>VLOOKUP(C18,'Trips&amp;Operators'!$C$1:$E$99999,3,FALSE)</f>
        <v>BERLING</v>
      </c>
      <c r="O18" s="183" t="s">
        <v>205</v>
      </c>
      <c r="P18" s="157"/>
      <c r="Q18" s="31"/>
      <c r="R18" s="100" t="str">
        <f>VLOOKUP(C18,'Train Runs'!$A$13:$AE$10001,31,0)</f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https://search-rtdc-monitor-bjffxe2xuh6vdkpspy63sjmuny.us-east-1.es.amazonaws.com/_plugin/kibana/#/discover/Steve-Slow-Train-Analysis-(2080s-and-2083s)?_g=(refreshInterval:(display:Off,section:0,value:0),time:(from:'2016-11-14 07:02:46-700',mode:absolute,to:'2016-11-14 09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/stypes="*4022*201611141*" /stext=" 15:.+((SYSTEM_STATE.+slice.+state.+changed )|(ment ac)|(system.+state.+changed )|(\[timeout)|(PRM\|1\|D)|(kpr)|(kdp)|(\|lc)|(penalty))" /e /r /s</v>
      </c>
      <c r="U18" s="9" t="str">
        <f>MID(B18,13,4)</f>
        <v>4022</v>
      </c>
      <c r="V18" s="36">
        <f>A18-utc_offset/24</f>
        <v>42688.64707175926</v>
      </c>
      <c r="W18" s="50" t="str">
        <f>IF(VALUE(LEFT(IF(LEN(C18)=6,"0"&amp;C18,C18),2))&lt;=2,"EC",IF(OR(VALUE(LEFT(IF(LEN(C18)=6,"0"&amp;C18,C18),2))=8,VALUE(LEFT(IF(LEN(C18)=6,"0"&amp;C18,C18),2))=18),"NW","Other"))</f>
        <v>NW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{"issue":{"subject":"","project_id":79,"tracker_id":40,"status_id":1,"priority_id":2,"assigned_to_id":23,"start_date":"2016-11-14","description":"","custom_fields":[{"id":1,"name":"Subdivision","value":"NW"},{"id":4,"name":"Milepost","value":"4.1797"},{"id":17,"name":"Train ID","value":"811-14"},{"id":16,"name":"Locomotive ID","value":"4022"},{"id":130,"name":"Impact","value":""},{"id":150,"name":"Time of Event (Mountain Time)","value":"08:31:47"},{"id":151,"name":"Denver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"%USERPROFILE%\AppData\Local\Temp\OnboardLogs"\RTDC4022\*4022*201611141*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"%USERPROFILE%\AppData\Local\Temp\OnboardLogs"\RTDC4022\*4022*201611141* &gt;&gt; 42688-slicedisagreementcheck.txt</v>
      </c>
    </row>
    <row r="19" spans="1:30" s="1" customFormat="1" x14ac:dyDescent="0.25">
      <c r="A19" s="36">
        <v>42688.365902777776</v>
      </c>
      <c r="B19" s="31" t="s">
        <v>358</v>
      </c>
      <c r="C19" s="31" t="s">
        <v>409</v>
      </c>
      <c r="D19" s="31" t="s">
        <v>98</v>
      </c>
      <c r="E19" s="31" t="s">
        <v>208</v>
      </c>
      <c r="F19" s="47">
        <v>200</v>
      </c>
      <c r="G19" s="47">
        <v>250</v>
      </c>
      <c r="H19" s="47">
        <v>40591</v>
      </c>
      <c r="I19" s="47">
        <v>39949</v>
      </c>
      <c r="J19" s="31" t="s">
        <v>209</v>
      </c>
      <c r="K19" s="47">
        <v>43664</v>
      </c>
      <c r="L19" s="154" t="s">
        <v>51</v>
      </c>
      <c r="M19" s="155">
        <f>CONVERT((I19-K19)/10000,"mi","ft")*IF(L19="Increasing Mileposts (1)",-1,1)</f>
        <v>-1961.52</v>
      </c>
      <c r="N19" s="156" t="str">
        <f>VLOOKUP(C19,'Trips&amp;Operators'!$C$1:$E$99999,3,FALSE)</f>
        <v>HAITHCOX</v>
      </c>
      <c r="O19" s="183" t="s">
        <v>205</v>
      </c>
      <c r="P19" s="157" t="s">
        <v>828</v>
      </c>
      <c r="Q19" s="31"/>
      <c r="R19" s="100" t="str">
        <f>VLOOKUP(C19,'Train Runs'!$A$13:$AE$10001,31,0)</f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https://search-rtdc-monitor-bjffxe2xuh6vdkpspy63sjmuny.us-east-1.es.amazonaws.com/_plugin/kibana/#/discover/Steve-Slow-Train-Analysis-(2080s-and-2083s)?_g=(refreshInterval:(display:Off,section:0,value:0),time:(from:'2016-11-14 07:06:08-700',mode:absolute,to:'2016-11-14 09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/stypes="*4017*201611141*" /stext=" 15:.+((SYSTEM_STATE.+slice.+state.+changed )|(ment ac)|(system.+state.+changed )|(\[timeout)|(PRM\|1\|D)|(kpr)|(kdp)|(\|lc)|(penalty))" /e /r /s</v>
      </c>
      <c r="U19" s="9" t="str">
        <f>MID(B19,13,4)</f>
        <v>4017</v>
      </c>
      <c r="V19" s="36">
        <f>A19-utc_offset/24</f>
        <v>42688.65756944444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4.3664"},{"id":17,"name":"Train ID","value":"130-14"},{"id":16,"name":"Locomotive ID","value":"4017"},{"id":130,"name":"Impact","value":""},{"id":150,"name":"Time of Event (Mountain Time)","value":"08:46:54"},{"id":151,"name":"Denver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"%USERPROFILE%\AppData\Local\Temp\OnboardLogs"\RTDC4017\*4017*201611141*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"%USERPROFILE%\AppData\Local\Temp\OnboardLogs"\RTDC4017\*4017*201611141* &gt;&gt; 42688-slicedisagreementcheck.txt</v>
      </c>
    </row>
    <row r="20" spans="1:30" s="1" customFormat="1" x14ac:dyDescent="0.25">
      <c r="A20" s="36">
        <v>42688.393807870372</v>
      </c>
      <c r="B20" s="31" t="s">
        <v>232</v>
      </c>
      <c r="C20" s="31" t="s">
        <v>410</v>
      </c>
      <c r="D20" s="31" t="s">
        <v>49</v>
      </c>
      <c r="E20" s="31" t="s">
        <v>208</v>
      </c>
      <c r="F20" s="47">
        <v>0</v>
      </c>
      <c r="G20" s="47">
        <v>490</v>
      </c>
      <c r="H20" s="47">
        <v>130193</v>
      </c>
      <c r="I20" s="47">
        <v>128484</v>
      </c>
      <c r="J20" s="31" t="s">
        <v>209</v>
      </c>
      <c r="K20" s="47">
        <v>127587</v>
      </c>
      <c r="L20" s="154" t="s">
        <v>51</v>
      </c>
      <c r="M20" s="155">
        <f>CONVERT((I20-K20)/10000,"mi","ft")*IF(L20="Increasing Mileposts (1)",-1,1)</f>
        <v>473.61599999999999</v>
      </c>
      <c r="N20" s="156" t="str">
        <f>VLOOKUP(C20,'Trips&amp;Operators'!$C$1:$E$99999,3,FALSE)</f>
        <v>SMITH</v>
      </c>
      <c r="O20" s="183" t="s">
        <v>234</v>
      </c>
      <c r="P20" s="157" t="s">
        <v>813</v>
      </c>
      <c r="Q20" s="31"/>
      <c r="R20" s="100" t="str">
        <f>VLOOKUP(C20,'Train Runs'!$A$13:$AE$10001,31,0)</f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https://search-rtdc-monitor-bjffxe2xuh6vdkpspy63sjmuny.us-east-1.es.amazonaws.com/_plugin/kibana/#/discover/Steve-Slow-Train-Analysis-(2080s-and-2083s)?_g=(refreshInterval:(display:Off,section:0,value:0),time:(from:'2016-11-14 08:54:15-700',mode:absolute,to:'2016-11-14 11:01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/stypes="*4039*201611141*" /stext=" 16:.+((SYSTEM_STATE.+slice.+state.+changed )|(ment ac)|(system.+state.+changed )|(\[timeout)|(PRM\|1\|D)|(kpr)|(kdp)|(\|lc)|(penalty))" /e /r /s</v>
      </c>
      <c r="U20" s="9" t="str">
        <f>MID(B20,13,4)</f>
        <v>4039</v>
      </c>
      <c r="V20" s="36">
        <f>A20-utc_offset/24</f>
        <v>42688.685474537036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service","project_id":79,"tracker_id":40,"status_id":1,"priority_id":2,"assigned_to_id":23,"start_date":"2016-11-14","description":"","custom_fields":[{"id":1,"name":"Subdivision","value":"EC"},{"id":4,"name":"Milepost","value":"12.7587"},{"id":17,"name":"Train ID","value":"138-14"},{"id":16,"name":"Locomotive ID","value":"4039"},{"id":130,"name":"Impact","value":""},{"id":150,"name":"Time of Event (Mountain Time)","value":"09:27:05"},{"id":151,"name":"Denver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"%USERPROFILE%\AppData\Local\Temp\OnboardLogs"\RTDC4039\*4039*201611141*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"%USERPROFILE%\AppData\Local\Temp\OnboardLogs"\RTDC4039\*4039*201611141* &gt;&gt; 42688-slicedisagreementcheck.txt</v>
      </c>
    </row>
    <row r="21" spans="1:30" x14ac:dyDescent="0.25">
      <c r="A21" s="36">
        <v>42688.414942129632</v>
      </c>
      <c r="B21" s="31" t="s">
        <v>406</v>
      </c>
      <c r="C21" s="31" t="s">
        <v>411</v>
      </c>
      <c r="D21" s="31" t="s">
        <v>49</v>
      </c>
      <c r="E21" s="31" t="s">
        <v>208</v>
      </c>
      <c r="F21" s="47">
        <v>0</v>
      </c>
      <c r="G21" s="47">
        <v>81</v>
      </c>
      <c r="H21" s="47">
        <v>51156</v>
      </c>
      <c r="I21" s="47">
        <v>51012</v>
      </c>
      <c r="J21" s="31" t="s">
        <v>209</v>
      </c>
      <c r="K21" s="47">
        <v>50763</v>
      </c>
      <c r="L21" s="154" t="s">
        <v>51</v>
      </c>
      <c r="M21" s="155">
        <f>CONVERT((I21-K21)/10000,"mi","ft")*IF(L21="Increasing Mileposts (1)",-1,1)</f>
        <v>131.47200000000001</v>
      </c>
      <c r="N21" s="156" t="str">
        <f>VLOOKUP(C21,'Trips&amp;Operators'!$C$1:$E$99999,3,FALSE)</f>
        <v>MAHAN</v>
      </c>
      <c r="O21" s="183" t="s">
        <v>234</v>
      </c>
      <c r="P21" s="157" t="s">
        <v>813</v>
      </c>
      <c r="Q21" s="31"/>
      <c r="R21" s="100" t="str">
        <f>VLOOKUP(C21,'Train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https://search-rtdc-monitor-bjffxe2xuh6vdkpspy63sjmuny.us-east-1.es.amazonaws.com/_plugin/kibana/#/discover/Steve-Slow-Train-Analysis-(2080s-and-2083s)?_g=(refreshInterval:(display:Off,section:0,value:0),time:(from:'2016-11-14 09:07:10-700',mode:absolute,to:'2016-11-14 11:16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/stypes="*4045*201611141*" /stext=" 16:.+((SYSTEM_STATE.+slice.+state.+changed )|(ment ac)|(system.+state.+changed )|(\[timeout)|(PRM\|1\|D)|(kpr)|(kdp)|(\|lc)|(penalty))" /e /r /s</v>
      </c>
      <c r="U21" s="9" t="str">
        <f>MID(B21,13,4)</f>
        <v>4045</v>
      </c>
      <c r="V21" s="36">
        <f>A21-utc_offset/24</f>
        <v>42688.706608796296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service","project_id":79,"tracker_id":40,"status_id":1,"priority_id":2,"assigned_to_id":23,"start_date":"2016-11-14","description":"","custom_fields":[{"id":1,"name":"Subdivision","value":"EC"},{"id":4,"name":"Milepost","value":"5.0763"},{"id":17,"name":"Train ID","value":"140-14"},{"id":16,"name":"Locomotive ID","value":"4045"},{"id":130,"name":"Impact","value":""},{"id":150,"name":"Time of Event (Mountain Time)","value":"09:57:31"},{"id":151,"name":"Denver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"%USERPROFILE%\AppData\Local\Temp\OnboardLogs"\RTDC4045\*4045*201611141*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"%USERPROFILE%\AppData\Local\Temp\OnboardLogs"\RTDC4045\*4045*201611141* &gt;&gt; 42688-slicedisagreementcheck.txt</v>
      </c>
    </row>
    <row r="22" spans="1:30" x14ac:dyDescent="0.25">
      <c r="A22" s="36">
        <v>42688.432546296295</v>
      </c>
      <c r="B22" s="31" t="s">
        <v>216</v>
      </c>
      <c r="C22" s="31" t="s">
        <v>412</v>
      </c>
      <c r="D22" s="31" t="s">
        <v>49</v>
      </c>
      <c r="E22" s="31" t="s">
        <v>210</v>
      </c>
      <c r="F22" s="47">
        <v>0</v>
      </c>
      <c r="G22" s="47">
        <v>50</v>
      </c>
      <c r="H22" s="47">
        <v>233295</v>
      </c>
      <c r="I22" s="47">
        <v>233351</v>
      </c>
      <c r="J22" s="31" t="s">
        <v>211</v>
      </c>
      <c r="K22" s="47">
        <v>233491</v>
      </c>
      <c r="L22" s="154" t="s">
        <v>50</v>
      </c>
      <c r="M22" s="155">
        <f>CONVERT((I22-K22)/10000,"mi","ft")*IF(L22="Increasing Mileposts (1)",-1,1)</f>
        <v>73.92</v>
      </c>
      <c r="N22" s="156" t="str">
        <f>VLOOKUP(C22,'Trips&amp;Operators'!$C$1:$E$99999,3,FALSE)</f>
        <v>JOHNSON</v>
      </c>
      <c r="O22" s="183" t="s">
        <v>205</v>
      </c>
      <c r="P22" s="157"/>
      <c r="Q22" s="31"/>
      <c r="R22" s="100" t="str">
        <f>VLOOKUP(C22,'Train Runs'!$A$13:$AE$10001,31,0)</f>
        <v>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 &amp; 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https://search-rtdc-monitor-bjffxe2xuh6vdkpspy63sjmuny.us-east-1.es.amazonaws.com/_plugin/kibana/#/discover/Steve-Slow-Train-Analysis-(2080s-and-2083s)?_g=(refreshInterval:(display:Off,section:0,value:0),time:(from:'2016-11-14 08:35:54-700',mode:absolute,to:'2016-11-14 11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/stypes="*4029*201611141*" /stext=" 17:.+((SYSTEM_STATE.+slice.+state.+changed )|(ment ac)|(system.+state.+changed )|(\[timeout)|(PRM\|1\|D)|(kpr)|(kdp)|(\|lc)|(penalty))" /e /r /s</v>
      </c>
      <c r="U22" s="9" t="str">
        <f>MID(B22,13,4)</f>
        <v>4029</v>
      </c>
      <c r="V22" s="36">
        <f>A22-utc_offset/24</f>
        <v>42688.724212962959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{"issue":{"subject":"","project_id":79,"tracker_id":40,"status_id":1,"priority_id":2,"assigned_to_id":23,"start_date":"2016-11-14","description":"","custom_fields":[{"id":1,"name":"Subdivision","value":"EC"},{"id":4,"name":"Milepost","value":"23.3491"},{"id":17,"name":"Train ID","value":"147-14"},{"id":16,"name":"Locomotive ID","value":"4029"},{"id":130,"name":"Impact","value":""},{"id":150,"name":"Time of Event (Mountain Time)","value":"10:22:52"},{"id":151,"name":"Denver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"%USERPROFILE%\AppData\Local\Temp\OnboardLogs"\RTDC4029\*4029*201611141*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"%USERPROFILE%\AppData\Local\Temp\OnboardLogs"\RTDC4029\*4029*201611141* &gt;&gt; 42688-slicedisagreementcheck.txt</v>
      </c>
    </row>
    <row r="23" spans="1:30" x14ac:dyDescent="0.25">
      <c r="A23" s="36">
        <v>42688.451631944445</v>
      </c>
      <c r="B23" s="31" t="s">
        <v>220</v>
      </c>
      <c r="C23" s="31" t="s">
        <v>413</v>
      </c>
      <c r="D23" s="31" t="s">
        <v>49</v>
      </c>
      <c r="E23" s="31" t="s">
        <v>208</v>
      </c>
      <c r="F23" s="47">
        <v>0</v>
      </c>
      <c r="G23" s="47">
        <v>545</v>
      </c>
      <c r="H23" s="47">
        <v>78323</v>
      </c>
      <c r="I23" s="47">
        <v>80178</v>
      </c>
      <c r="J23" s="31" t="s">
        <v>209</v>
      </c>
      <c r="K23" s="47">
        <v>81738</v>
      </c>
      <c r="L23" s="154" t="s">
        <v>50</v>
      </c>
      <c r="M23" s="155">
        <f>CONVERT((I23-K23)/10000,"mi","ft")*IF(L23="Increasing Mileposts (1)",-1,1)</f>
        <v>823.68</v>
      </c>
      <c r="N23" s="156" t="str">
        <f>VLOOKUP(C23,'Trips&amp;Operators'!$C$1:$E$99999,3,FALSE)</f>
        <v>BRANDNER</v>
      </c>
      <c r="O23" s="183" t="s">
        <v>234</v>
      </c>
      <c r="P23" s="157" t="s">
        <v>813</v>
      </c>
      <c r="Q23" s="31"/>
      <c r="R23" s="100" t="str">
        <f>VLOOKUP(C23,'Train Runs'!$A$13:$AE$10001,31,0)</f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https://search-rtdc-monitor-bjffxe2xuh6vdkpspy63sjmuny.us-east-1.es.amazonaws.com/_plugin/kibana/#/discover/Steve-Slow-Train-Analysis-(2080s-and-2083s)?_g=(refreshInterval:(display:Off,section:0,value:0),time:(from:'2016-11-14 09:25:46-700',mode:absolute,to:'2016-11-14 12:16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/stypes="*4011*201611141*" /stext=" 17:.+((SYSTEM_STATE.+slice.+state.+changed )|(ment ac)|(system.+state.+changed )|(\[timeout)|(PRM\|1\|D)|(kpr)|(kdp)|(\|lc)|(penalty))" /e /r /s</v>
      </c>
      <c r="U23" s="9" t="str">
        <f>MID(B23,13,4)</f>
        <v>4011</v>
      </c>
      <c r="V23" s="36">
        <f>A23-utc_offset/24</f>
        <v>42688.743298611109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service","project_id":79,"tracker_id":40,"status_id":1,"priority_id":2,"assigned_to_id":23,"start_date":"2016-11-14","description":"","custom_fields":[{"id":1,"name":"Subdivision","value":"EC"},{"id":4,"name":"Milepost","value":"8.1738"},{"id":17,"name":"Train ID","value":"155-14"},{"id":16,"name":"Locomotive ID","value":"4011"},{"id":130,"name":"Impact","value":""},{"id":150,"name":"Time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"%USERPROFILE%\AppData\Local\Temp\OnboardLogs"\RTDC4011\*4011*201611141*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"%USERPROFILE%\AppData\Local\Temp\OnboardLogs"\RTDC4011\*4011*201611141* &gt;&gt; 42688-slicedisagreementcheck.txt</v>
      </c>
    </row>
    <row r="24" spans="1:30" ht="15" customHeight="1" x14ac:dyDescent="0.25">
      <c r="A24" s="36">
        <v>42688.461712962962</v>
      </c>
      <c r="B24" s="31" t="s">
        <v>217</v>
      </c>
      <c r="C24" s="31" t="s">
        <v>414</v>
      </c>
      <c r="D24" s="31" t="s">
        <v>98</v>
      </c>
      <c r="E24" s="31" t="s">
        <v>208</v>
      </c>
      <c r="F24" s="47">
        <v>0</v>
      </c>
      <c r="G24" s="47">
        <v>151</v>
      </c>
      <c r="H24" s="47">
        <v>43220</v>
      </c>
      <c r="I24" s="47">
        <v>42932</v>
      </c>
      <c r="J24" s="31" t="s">
        <v>209</v>
      </c>
      <c r="K24" s="47">
        <v>43664</v>
      </c>
      <c r="L24" s="154" t="s">
        <v>51</v>
      </c>
      <c r="M24" s="155">
        <f>CONVERT((I24-K24)/10000,"mi","ft")*IF(L24="Increasing Mileposts (1)",-1,1)</f>
        <v>-386.49599999999998</v>
      </c>
      <c r="N24" s="156" t="str">
        <f>VLOOKUP(C24,'Trips&amp;Operators'!$C$1:$E$99999,3,FALSE)</f>
        <v>JOHNSON</v>
      </c>
      <c r="O24" s="183" t="s">
        <v>234</v>
      </c>
      <c r="P24" s="157" t="s">
        <v>813</v>
      </c>
      <c r="Q24" s="31"/>
      <c r="R24" s="100" t="str">
        <f>VLOOKUP(C24,'Train Runs'!$A$13:$AE$10001,31,0)</f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https://search-rtdc-monitor-bjffxe2xuh6vdkpspy63sjmuny.us-east-1.es.amazonaws.com/_plugin/kibana/#/discover/Steve-Slow-Train-Analysis-(2080s-and-2083s)?_g=(refreshInterval:(display:Off,section:0,value:0),time:(from:'2016-11-14 09:24:50-700',mode:absolute,to:'2016-11-14 11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/stypes="*4030*201611141*" /stext=" 18:.+((SYSTEM_STATE.+slice.+state.+changed )|(ment ac)|(system.+state.+changed )|(\[timeout)|(PRM\|1\|D)|(kpr)|(kdp)|(\|lc)|(penalty))" /e /r /s</v>
      </c>
      <c r="U24" s="9" t="str">
        <f>MID(B24,13,4)</f>
        <v>4030</v>
      </c>
      <c r="V24" s="36">
        <f>A24-utc_offset/24</f>
        <v>42688.753379629627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{"issue":{"subject":"Holly XING out of service","project_id":79,"tracker_id":40,"status_id":1,"priority_id":2,"assigned_to_id":23,"start_date":"2016-11-14","description":"","custom_fields":[{"id":1,"name":"Subdivision","value":"EC"},{"id":4,"name":"Milepost","value":"4.3664"},{"id":17,"name":"Train ID","value":"148-14"},{"id":16,"name":"Locomotive ID","value":"4030"},{"id":130,"name":"Impact","value":""},{"id":150,"name":"Time of Event (Mountain Time)","value":"11:04:52"},{"id":151,"name":"Denver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"%USERPROFILE%\AppData\Local\Temp\OnboardLogs"\RTDC4030\*4030*201611141*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"%USERPROFILE%\AppData\Local\Temp\OnboardLogs"\RTDC4030\*4030*201611141* &gt;&gt; 42688-slicedisagreementcheck.txt</v>
      </c>
    </row>
    <row r="25" spans="1:30" x14ac:dyDescent="0.25">
      <c r="A25" s="36">
        <v>42688.46298611111</v>
      </c>
      <c r="B25" s="31" t="s">
        <v>217</v>
      </c>
      <c r="C25" s="31" t="s">
        <v>414</v>
      </c>
      <c r="D25" s="31" t="s">
        <v>98</v>
      </c>
      <c r="E25" s="31" t="s">
        <v>208</v>
      </c>
      <c r="F25" s="47">
        <v>200</v>
      </c>
      <c r="G25" s="47">
        <v>253</v>
      </c>
      <c r="H25" s="47">
        <v>40404</v>
      </c>
      <c r="I25" s="47">
        <v>39734</v>
      </c>
      <c r="J25" s="31" t="s">
        <v>209</v>
      </c>
      <c r="K25" s="47">
        <v>43664</v>
      </c>
      <c r="L25" s="154" t="s">
        <v>51</v>
      </c>
      <c r="M25" s="155">
        <f>CONVERT((I25-K25)/10000,"mi","ft")*IF(L25="Increasing Mileposts (1)",-1,1)</f>
        <v>-2075.04</v>
      </c>
      <c r="N25" s="156" t="str">
        <f>VLOOKUP(C25,'Trips&amp;Operators'!$C$1:$E$99999,3,FALSE)</f>
        <v>JOHNSON</v>
      </c>
      <c r="O25" s="183" t="s">
        <v>205</v>
      </c>
      <c r="P25" s="157" t="s">
        <v>828</v>
      </c>
      <c r="Q25" s="31"/>
      <c r="R25" s="100" t="str">
        <f>VLOOKUP(C25,'Train Runs'!$A$13:$AE$10001,31,0)</f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https://search-rtdc-monitor-bjffxe2xuh6vdkpspy63sjmuny.us-east-1.es.amazonaws.com/_plugin/kibana/#/discover/Steve-Slow-Train-Analysis-(2080s-and-2083s)?_g=(refreshInterval:(display:Off,section:0,value:0),time:(from:'2016-11-14 09:24:50-700',mode:absolute,to:'2016-11-14 11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/stypes="*4030*201611141*" /stext=" 18:.+((SYSTEM_STATE.+slice.+state.+changed )|(ment ac)|(system.+state.+changed )|(\[timeout)|(PRM\|1\|D)|(kpr)|(kdp)|(\|lc)|(penalty))" /e /r /s</v>
      </c>
      <c r="U25" s="9" t="str">
        <f>MID(B25,13,4)</f>
        <v>4030</v>
      </c>
      <c r="V25" s="36">
        <f>A25-utc_offset/24</f>
        <v>42688.754652777774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-14","description":"","custom_fields":[{"id":1,"name":"Subdivision","value":"EC"},{"id":4,"name":"Milepost","value":"4.3664"},{"id":17,"name":"Train ID","value":"148-14"},{"id":16,"name":"Locomotive ID","value":"4030"},{"id":130,"name":"Impact","value":""},{"id":150,"name":"Time of Event (Mountain Time)","value":"11:06:42"},{"id":151,"name":"Denver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"%USERPROFILE%\AppData\Local\Temp\OnboardLogs"\RTDC4030\*4030*201611141*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"%USERPROFILE%\AppData\Local\Temp\OnboardLogs"\RTDC4030\*4030*201611141* &gt;&gt; 42688-slicedisagreementcheck.txt</v>
      </c>
    </row>
    <row r="26" spans="1:30" x14ac:dyDescent="0.25">
      <c r="A26" s="36">
        <v>42688.486342592594</v>
      </c>
      <c r="B26" s="31" t="s">
        <v>273</v>
      </c>
      <c r="C26" s="31" t="s">
        <v>415</v>
      </c>
      <c r="D26" s="31" t="s">
        <v>49</v>
      </c>
      <c r="E26" s="31" t="s">
        <v>210</v>
      </c>
      <c r="F26" s="47">
        <v>0</v>
      </c>
      <c r="G26" s="47">
        <v>103</v>
      </c>
      <c r="H26" s="47">
        <v>57758</v>
      </c>
      <c r="I26" s="47">
        <v>57584</v>
      </c>
      <c r="J26" s="31" t="s">
        <v>211</v>
      </c>
      <c r="K26" s="47">
        <v>575</v>
      </c>
      <c r="L26" s="154" t="s">
        <v>51</v>
      </c>
      <c r="M26" s="155">
        <f>CONVERT((I26-K26)/10000,"mi","ft")*IF(L26="Increasing Mileposts (1)",-1,1)</f>
        <v>30100.752</v>
      </c>
      <c r="N26" s="156" t="str">
        <f>VLOOKUP(C26,'Trips&amp;Operators'!$C$1:$E$99999,3,FALSE)</f>
        <v>BERLING</v>
      </c>
      <c r="O26" s="183" t="s">
        <v>205</v>
      </c>
      <c r="P26" s="157"/>
      <c r="Q26" s="31"/>
      <c r="R26" s="100" t="str">
        <f>VLOOKUP(C26,'Train Runs'!$A$13:$AE$10001,31,0)</f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https://search-rtdc-monitor-bjffxe2xuh6vdkpspy63sjmuny.us-east-1.es.amazonaws.com/_plugin/kibana/#/discover/Steve-Slow-Train-Analysis-(2080s-and-2083s)?_g=(refreshInterval:(display:Off,section:0,value:0),time:(from:'2016-11-14 10:37:41-700',mode:absolute,to:'2016-11-14 12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/stypes="*4021*201611141*" /stext=" 18:.+((SYSTEM_STATE.+slice.+state.+changed )|(ment ac)|(system.+state.+changed )|(\[timeout)|(PRM\|1\|D)|(kpr)|(kdp)|(\|lc)|(penalty))" /e /r /s</v>
      </c>
      <c r="U26" s="9" t="str">
        <f>MID(B26,13,4)</f>
        <v>4021</v>
      </c>
      <c r="V26" s="36">
        <f>A26-utc_offset/24</f>
        <v>42688.778009259258</v>
      </c>
      <c r="W26" s="50" t="str">
        <f>IF(VALUE(LEFT(IF(LEN(C26)=6,"0"&amp;C26,C26),2))&lt;=2,"EC",IF(OR(VALUE(LEFT(IF(LEN(C26)=6,"0"&amp;C26,C26),2))=8,VALUE(LEFT(IF(LEN(C26)=6,"0"&amp;C26,C26),2))=18),"NW","Other"))</f>
        <v>NW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{"issue":{"subject":"","project_id":79,"tracker_id":40,"status_id":1,"priority_id":2,"assigned_to_id":23,"start_date":"2016-11-14","description":"","custom_fields":[{"id":1,"name":"Subdivision","value":"NW"},{"id":4,"name":"Milepost","value":"0.0575"},{"id":17,"name":"Train ID","value":"818-14"},{"id":16,"name":"Locomotive ID","value":"4021"},{"id":130,"name":"Impact","value":""},{"id":150,"name":"Time of Event (Mountain Time)","value":"11:40:20"},{"id":151,"name":"Denver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"%USERPROFILE%\AppData\Local\Temp\OnboardLogs"\RTDC4021\*4021*201611141*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"%USERPROFILE%\AppData\Local\Temp\OnboardLogs"\RTDC4021\*4021*201611141* &gt;&gt; 42688-slicedisagreementcheck.txt</v>
      </c>
    </row>
    <row r="27" spans="1:30" x14ac:dyDescent="0.25">
      <c r="A27" s="36">
        <v>42688.488981481481</v>
      </c>
      <c r="B27" s="31" t="s">
        <v>358</v>
      </c>
      <c r="C27" s="31" t="s">
        <v>416</v>
      </c>
      <c r="D27" s="31" t="s">
        <v>98</v>
      </c>
      <c r="E27" s="31" t="s">
        <v>206</v>
      </c>
      <c r="F27" s="47">
        <v>350</v>
      </c>
      <c r="G27" s="47">
        <v>402</v>
      </c>
      <c r="H27" s="47">
        <v>225565</v>
      </c>
      <c r="I27" s="47">
        <v>224292</v>
      </c>
      <c r="J27" s="31" t="s">
        <v>207</v>
      </c>
      <c r="K27" s="47">
        <v>228668</v>
      </c>
      <c r="L27" s="154" t="s">
        <v>51</v>
      </c>
      <c r="M27" s="155">
        <f>CONVERT((I27-K27)/10000,"mi","ft")*IF(L27="Increasing Mileposts (1)",-1,1)</f>
        <v>-2310.5279999999998</v>
      </c>
      <c r="N27" s="156" t="str">
        <f>VLOOKUP(C27,'Trips&amp;Operators'!$C$1:$E$99999,3,FALSE)</f>
        <v>HAITHCOX</v>
      </c>
      <c r="O27" s="183" t="s">
        <v>205</v>
      </c>
      <c r="P27" s="157"/>
      <c r="Q27" s="31"/>
      <c r="R27" s="100" t="str">
        <f>VLOOKUP(C27,'Train Runs'!$A$13:$AE$10001,31,0)</f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https://search-rtdc-monitor-bjffxe2xuh6vdkpspy63sjmuny.us-east-1.es.amazonaws.com/_plugin/kibana/#/discover/Steve-Slow-Train-Analysis-(2080s-and-2083s)?_g=(refreshInterval:(display:Off,section:0,value:0),time:(from:'2016-11-14 10:36:23-700',mode:absolute,to:'2016-11-14 13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/stypes="*4017*201611141*" /stext=" 18:.+((SYSTEM_STATE.+slice.+state.+changed )|(ment ac)|(system.+state.+changed )|(\[timeout)|(PRM\|1\|D)|(kpr)|(kdp)|(\|lc)|(penalty))" /e /r /s</v>
      </c>
      <c r="U27" s="9" t="str">
        <f>MID(B27,13,4)</f>
        <v>4017</v>
      </c>
      <c r="V27" s="36">
        <f>A27-utc_offset/24</f>
        <v>42688.780648148146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{"issue":{"subject":"","project_id":79,"tracker_id":40,"status_id":1,"priority_id":2,"assigned_to_id":23,"start_date":"2016-11-14","description":"","custom_fields":[{"id":1,"name":"Subdivision","value":"EC"},{"id":4,"name":"Milepost","value":"22.8668"},{"id":17,"name":"Train ID","value":"158-14"},{"id":16,"name":"Locomotive ID","value":"4017"},{"id":130,"name":"Impact","value":""},{"id":150,"name":"Time of Event (Mountain Time)","value":"11:44:08"},{"id":151,"name":"Denver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"%USERPROFILE%\AppData\Local\Temp\OnboardLogs"\RTDC4017\*4017*201611141*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"%USERPROFILE%\AppData\Local\Temp\OnboardLogs"\RTDC4017\*4017*201611141* &gt;&gt; 42688-slicedisagreementcheck.txt</v>
      </c>
    </row>
    <row r="28" spans="1:30" x14ac:dyDescent="0.25">
      <c r="A28" s="36">
        <v>42688.493287037039</v>
      </c>
      <c r="B28" s="31" t="s">
        <v>406</v>
      </c>
      <c r="C28" s="31" t="s">
        <v>417</v>
      </c>
      <c r="D28" s="31" t="s">
        <v>49</v>
      </c>
      <c r="E28" s="31" t="s">
        <v>210</v>
      </c>
      <c r="F28" s="47">
        <v>0</v>
      </c>
      <c r="G28" s="47">
        <v>56</v>
      </c>
      <c r="H28" s="47">
        <v>205</v>
      </c>
      <c r="I28" s="47">
        <v>147</v>
      </c>
      <c r="J28" s="31" t="s">
        <v>211</v>
      </c>
      <c r="K28" s="47">
        <v>1</v>
      </c>
      <c r="L28" s="154" t="s">
        <v>51</v>
      </c>
      <c r="M28" s="155">
        <f>CONVERT((I28-K28)/10000,"mi","ft")*IF(L28="Increasing Mileposts (1)",-1,1)</f>
        <v>77.087999999999994</v>
      </c>
      <c r="N28" s="156" t="str">
        <f>VLOOKUP(C28,'Trips&amp;Operators'!$C$1:$E$99999,3,FALSE)</f>
        <v>MAHAN</v>
      </c>
      <c r="O28" s="183" t="s">
        <v>205</v>
      </c>
      <c r="P28" s="157"/>
      <c r="Q28" s="31"/>
      <c r="R28" s="100" t="str">
        <f>VLOOKUP(C28,'Train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https://search-rtdc-monitor-bjffxe2xuh6vdkpspy63sjmuny.us-east-1.es.amazonaws.com/_plugin/kibana/#/discover/Steve-Slow-Train-Analysis-(2080s-and-2083s)?_g=(refreshInterval:(display:Off,section:0,value:0),time:(from:'2016-11-14 10:07:11-700',mode:absolute,to:'2016-11-14 12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/stypes="*4045*201611141*" /stext=" 18:.+((SYSTEM_STATE.+slice.+state.+changed )|(ment ac)|(system.+state.+changed )|(\[timeout)|(PRM\|1\|D)|(kpr)|(kdp)|(\|lc)|(penalty))" /e /r /s</v>
      </c>
      <c r="U28" s="9" t="str">
        <f>MID(B28,13,4)</f>
        <v>4045</v>
      </c>
      <c r="V28" s="36">
        <f>A28-utc_offset/24</f>
        <v>42688.784953703704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{"issue":{"subject":"","project_id":79,"tracker_id":40,"status_id":1,"priority_id":2,"assigned_to_id":23,"start_date":"2016-11-14","description":"","custom_fields":[{"id":1,"name":"Subdivision","value":"EC"},{"id":4,"name":"Milepost","value":"0.0001"},{"id":17,"name":"Train ID","value":"154-14"},{"id":16,"name":"Locomotive ID","value":"4045"},{"id":130,"name":"Impact","value":""},{"id":150,"name":"Time of Event (Mountain Time)","value":"11:50:20"},{"id":151,"name":"Denver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"%USERPROFILE%\AppData\Local\Temp\OnboardLogs"\RTDC4045\*4045*201611141*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"%USERPROFILE%\AppData\Local\Temp\OnboardLogs"\RTDC4045\*4045*201611141* &gt;&gt; 42688-slicedisagreementcheck.txt</v>
      </c>
    </row>
    <row r="29" spans="1:30" x14ac:dyDescent="0.25">
      <c r="A29" s="36">
        <v>42688.501192129632</v>
      </c>
      <c r="B29" s="31" t="s">
        <v>358</v>
      </c>
      <c r="C29" s="31" t="s">
        <v>416</v>
      </c>
      <c r="D29" s="31" t="s">
        <v>98</v>
      </c>
      <c r="E29" s="31" t="s">
        <v>206</v>
      </c>
      <c r="F29" s="47">
        <v>400</v>
      </c>
      <c r="G29" s="47">
        <v>454</v>
      </c>
      <c r="H29" s="47">
        <v>119361</v>
      </c>
      <c r="I29" s="47">
        <v>118199</v>
      </c>
      <c r="J29" s="31" t="s">
        <v>207</v>
      </c>
      <c r="K29" s="47">
        <v>119716</v>
      </c>
      <c r="L29" s="154" t="s">
        <v>51</v>
      </c>
      <c r="M29" s="155">
        <f>CONVERT((I29-K29)/10000,"mi","ft")*IF(L29="Increasing Mileposts (1)",-1,1)</f>
        <v>-800.976</v>
      </c>
      <c r="N29" s="156" t="str">
        <f>VLOOKUP(C29,'Trips&amp;Operators'!$C$1:$E$99999,3,FALSE)</f>
        <v>HAITHCOX</v>
      </c>
      <c r="O29" s="183" t="s">
        <v>205</v>
      </c>
      <c r="P29" s="157"/>
      <c r="Q29" s="31"/>
      <c r="R29" s="100" t="str">
        <f>VLOOKUP(C29,'Train Runs'!$A$13:$AE$10001,31,0)</f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https://search-rtdc-monitor-bjffxe2xuh6vdkpspy63sjmuny.us-east-1.es.amazonaws.com/_plugin/kibana/#/discover/Steve-Slow-Train-Analysis-(2080s-and-2083s)?_g=(refreshInterval:(display:Off,section:0,value:0),time:(from:'2016-11-14 10:36:23-700',mode:absolute,to:'2016-11-14 13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/stypes="*4017*201611141*" /stext=" 19:.+((SYSTEM_STATE.+slice.+state.+changed )|(ment ac)|(system.+state.+changed )|(\[timeout)|(PRM\|1\|D)|(kpr)|(kdp)|(\|lc)|(penalty))" /e /r /s</v>
      </c>
      <c r="U29" s="9" t="str">
        <f>MID(B29,13,4)</f>
        <v>4017</v>
      </c>
      <c r="V29" s="36">
        <f>A29-utc_offset/24</f>
        <v>42688.792858796296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{"issue":{"subject":"","project_id":79,"tracker_id":40,"status_id":1,"priority_id":2,"assigned_to_id":23,"start_date":"2016-11-14","description":"","custom_fields":[{"id":1,"name":"Subdivision","value":"EC"},{"id":4,"name":"Milepost","value":"11.9716"},{"id":17,"name":"Train ID","value":"158-14"},{"id":16,"name":"Locomotive ID","value":"4017"},{"id":130,"name":"Impact","value":""},{"id":150,"name":"Time of Event (Mountain Time)","value":"12:01:43"},{"id":151,"name":"Denver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"%USERPROFILE%\AppData\Local\Temp\OnboardLogs"\RTDC4017\*4017*201611141*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"%USERPROFILE%\AppData\Local\Temp\OnboardLogs"\RTDC4017\*4017*201611141* &gt;&gt; 42688-slicedisagreementcheck.txt</v>
      </c>
    </row>
    <row r="30" spans="1:30" ht="15" customHeight="1" x14ac:dyDescent="0.25">
      <c r="A30" s="36">
        <v>42688.508923611109</v>
      </c>
      <c r="B30" s="31" t="s">
        <v>245</v>
      </c>
      <c r="C30" s="31" t="s">
        <v>418</v>
      </c>
      <c r="D30" s="31" t="s">
        <v>49</v>
      </c>
      <c r="E30" s="31" t="s">
        <v>206</v>
      </c>
      <c r="F30" s="47">
        <v>300</v>
      </c>
      <c r="G30" s="47">
        <v>361</v>
      </c>
      <c r="H30" s="47">
        <v>22779</v>
      </c>
      <c r="I30" s="47">
        <v>21709</v>
      </c>
      <c r="J30" s="31" t="s">
        <v>207</v>
      </c>
      <c r="K30" s="47">
        <v>21848</v>
      </c>
      <c r="L30" s="154" t="s">
        <v>51</v>
      </c>
      <c r="M30" s="155">
        <f>CONVERT((I30-K30)/10000,"mi","ft")*IF(L30="Increasing Mileposts (1)",-1,1)</f>
        <v>-73.391999999999996</v>
      </c>
      <c r="N30" s="156" t="str">
        <f>VLOOKUP(C30,'Trips&amp;Operators'!$C$1:$E$99999,3,FALSE)</f>
        <v>BRANDNER</v>
      </c>
      <c r="O30" s="183" t="s">
        <v>205</v>
      </c>
      <c r="P30" s="157"/>
      <c r="Q30" s="31"/>
      <c r="R30" s="100" t="str">
        <f>VLOOKUP(C30,'Train Runs'!$A$13:$AE$10001,31,0)</f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https://search-rtdc-monitor-bjffxe2xuh6vdkpspy63sjmuny.us-east-1.es.amazonaws.com/_plugin/kibana/#/discover/Steve-Slow-Train-Analysis-(2080s-and-2083s)?_g=(refreshInterval:(display:Off,section:0,value:0),time:(from:'2016-11-14 10:43:11-700',mode:absolute,to:'2016-11-14 13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/stypes="*4012*201611141*" /stext=" 19:.+((SYSTEM_STATE.+slice.+state.+changed )|(ment ac)|(system.+state.+changed )|(\[timeout)|(PRM\|1\|D)|(kpr)|(kdp)|(\|lc)|(penalty))" /e /r /s</v>
      </c>
      <c r="U30" s="9" t="str">
        <f>MID(B30,13,4)</f>
        <v>4012</v>
      </c>
      <c r="V30" s="36">
        <f>A30-utc_offset/24</f>
        <v>42688.800590277773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{"issue":{"subject":"","project_id":79,"tracker_id":40,"status_id":1,"priority_id":2,"assigned_to_id":23,"start_date":"2016-11-14","description":"","custom_fields":[{"id":1,"name":"Subdivision","value":"EC"},{"id":4,"name":"Milepost","value":"2.1848"},{"id":17,"name":"Train ID","value":"156-14"},{"id":16,"name":"Locomotive ID","value":"4012"},{"id":130,"name":"Impact","value":""},{"id":150,"name":"Time of Event (Mountain Time)","value":"12:12:51"},{"id":151,"name":"Denver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"%USERPROFILE%\AppData\Local\Temp\OnboardLogs"\RTDC4012\*4012*201611141*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"%USERPROFILE%\AppData\Local\Temp\OnboardLogs"\RTDC4012\*4012*201611141* &gt;&gt; 42688-slicedisagreementcheck.txt</v>
      </c>
    </row>
    <row r="31" spans="1:30" x14ac:dyDescent="0.25">
      <c r="A31" s="36">
        <v>42688.536759259259</v>
      </c>
      <c r="B31" s="31" t="s">
        <v>259</v>
      </c>
      <c r="C31" s="31" t="s">
        <v>419</v>
      </c>
      <c r="D31" s="31" t="s">
        <v>49</v>
      </c>
      <c r="E31" s="31" t="s">
        <v>154</v>
      </c>
      <c r="F31" s="47">
        <v>0</v>
      </c>
      <c r="G31" s="47">
        <v>231</v>
      </c>
      <c r="H31" s="47">
        <v>26897</v>
      </c>
      <c r="I31" s="47">
        <v>27279</v>
      </c>
      <c r="J31" s="31" t="s">
        <v>153</v>
      </c>
      <c r="K31" s="47">
        <v>27053</v>
      </c>
      <c r="L31" s="154" t="s">
        <v>50</v>
      </c>
      <c r="M31" s="155">
        <f>CONVERT((I31-K31)/10000,"mi","ft")*IF(L31="Increasing Mileposts (1)",-1,1)</f>
        <v>-119.328</v>
      </c>
      <c r="N31" s="156" t="str">
        <f>VLOOKUP(C31,'Trips&amp;Operators'!$C$1:$E$99999,3,FALSE)</f>
        <v>MCREYNOLDS</v>
      </c>
      <c r="O31" s="183" t="s">
        <v>205</v>
      </c>
      <c r="P31" s="157" t="s">
        <v>827</v>
      </c>
      <c r="Q31" s="31"/>
      <c r="R31" s="100" t="str">
        <f>VLOOKUP(C31,'Train Runs'!$A$13:$AE$10001,31,0)</f>
        <v>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 &amp; 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</v>
      </c>
      <c r="S31" s="103" t="str">
        <f>VLOOKUP(C31,'Train Runs'!$A$13:$AE$10001,22,0)</f>
        <v>https://search-rtdc-monitor-bjffxe2xuh6vdkpspy63sjmuny.us-east-1.es.amazonaws.com/_plugin/kibana/#/discover/Steve-Slow-Train-Analysis-(2080s-and-2083s)?_g=(refreshInterval:(display:Off,section:0,value:0),time:(from:'2016-11-14 11:44:06-700',mode:absolute,to:'2016-11-14 14:27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/stypes="*4016*201611141*" /stext=" 19:.+((SYSTEM_STATE.+slice.+state.+changed )|(ment ac)|(system.+state.+changed )|(\[timeout)|(PRM\|1\|D)|(kpr)|(kdp)|(\|lc)|(penalty))" /e /r /s</v>
      </c>
      <c r="U31" s="9" t="str">
        <f>MID(B31,13,4)</f>
        <v>4016</v>
      </c>
      <c r="V31" s="36">
        <f>A31-utc_offset/24</f>
        <v>42688.828425925924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arrival","project_id":79,"tracker_id":40,"status_id":1,"priority_id":2,"assigned_to_id":23,"start_date":"2016-11-14","description":"","custom_fields":[{"id":1,"name":"Subdivision","value":"EC"},{"id":4,"name":"Milepost","value":"2.7053"},{"id":17,"name":"Train ID","value":"173-14"},{"id":16,"name":"Locomotive ID","value":"4016"},{"id":130,"name":"Impact","value":""},{"id":150,"name":"Time of Event (Mountain Time)","value":"12:52:56"},{"id":151,"name":"Denver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"%USERPROFILE%\AppData\Local\Temp\OnboardLogs"\RTDC4016\*4016*201611141*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"%USERPROFILE%\AppData\Local\Temp\OnboardLogs"\RTDC4016\*4016*201611141* &gt;&gt; 42688-slicedisagreementcheck.txt</v>
      </c>
    </row>
    <row r="32" spans="1:30" ht="15" customHeight="1" x14ac:dyDescent="0.25">
      <c r="A32" s="36">
        <v>42688.551215277781</v>
      </c>
      <c r="B32" s="31" t="s">
        <v>232</v>
      </c>
      <c r="C32" s="31" t="s">
        <v>420</v>
      </c>
      <c r="D32" s="31" t="s">
        <v>49</v>
      </c>
      <c r="E32" s="31" t="s">
        <v>154</v>
      </c>
      <c r="F32" s="47">
        <v>0</v>
      </c>
      <c r="G32" s="47">
        <v>112</v>
      </c>
      <c r="H32" s="47">
        <v>64046</v>
      </c>
      <c r="I32" s="47">
        <v>63898</v>
      </c>
      <c r="J32" s="31" t="s">
        <v>153</v>
      </c>
      <c r="K32" s="47">
        <v>63309</v>
      </c>
      <c r="L32" s="154" t="s">
        <v>51</v>
      </c>
      <c r="M32" s="155">
        <f>CONVERT((I32-K32)/10000,"mi","ft")*IF(L32="Increasing Mileposts (1)",-1,1)</f>
        <v>310.99200000000002</v>
      </c>
      <c r="N32" s="156" t="str">
        <f>VLOOKUP(C32,'Trips&amp;Operators'!$C$1:$E$99999,3,FALSE)</f>
        <v>CLARK</v>
      </c>
      <c r="O32" s="183" t="s">
        <v>205</v>
      </c>
      <c r="P32" s="157" t="s">
        <v>826</v>
      </c>
      <c r="Q32" s="31"/>
      <c r="R32" s="100" t="str">
        <f>VLOOKUP(C32,'Train Runs'!$A$13:$AE$10001,31,0)</f>
        <v>aws s3 cp s3://rtdc.mdm.uploadarchive.raw/RTDC4039/ "%USERPROFILE%\AppData\Local\Temp\OnboardLogs"\RTDC4039\2016-11-14 --exclude "*" --recursive --include "*20161114*" &amp; "%USERPROFILE%\Documents\GitHub\mrs-test-scripts\Headless Mode &amp; Sideloading\WalkAndUnGZ.bat" "%USERPROFILE%\AppData\Local\Temp\OnboardLogs"\RTDC4039\2016-11-14 &amp; 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</v>
      </c>
      <c r="S32" s="103" t="str">
        <f>VLOOKUP(C32,'Train Runs'!$A$13:$AE$10001,22,0)</f>
        <v>https://search-rtdc-monitor-bjffxe2xuh6vdkpspy63sjmuny.us-east-1.es.amazonaws.com/_plugin/kibana/#/discover/Steve-Slow-Train-Analysis-(2080s-and-2083s)?_g=(refreshInterval:(display:Off,section:0,value:0),time:(from:'2016-11-14 11:43:49-700',mode:absolute,to:'2016-11-14 14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/stypes="*4039*201611142*" /stext=" 20:.+((SYSTEM_STATE.+slice.+state.+changed )|(ment ac)|(system.+state.+changed )|(\[timeout)|(PRM\|1\|D)|(kpr)|(kdp)|(\|lc)|(penalty))" /e /r /s</v>
      </c>
      <c r="U32" s="9" t="str">
        <f>MID(B32,13,4)</f>
        <v>4039</v>
      </c>
      <c r="V32" s="36">
        <f>A32-utc_offset/24</f>
        <v>42688.842881944445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C","project_id":79,"tracker_id":40,"status_id":1,"priority_id":2,"assigned_to_id":23,"start_date":"2016-11-14","description":"","custom_fields":[{"id":1,"name":"Subdivision","value":"EC"},{"id":4,"name":"Milepost","value":"6.3309"},{"id":17,"name":"Train ID","value":"166-14"},{"id":16,"name":"Locomotive ID","value":"4039"},{"id":130,"name":"Impact","value":""},{"id":150,"name":"Time of Event (Mountain Time)","value":"13:13:45"},{"id":151,"name":"Denver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"%USERPROFILE%\AppData\Local\Temp\OnboardLogs"\RTDC4039\*4039*201611142*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"%USERPROFILE%\AppData\Local\Temp\OnboardLogs"\RTDC4039\*4039*201611142* &gt;&gt; 42688-slicedisagreementcheck.txt</v>
      </c>
    </row>
    <row r="33" spans="1:30" x14ac:dyDescent="0.25">
      <c r="A33" s="36">
        <v>42688.575937499998</v>
      </c>
      <c r="B33" s="31" t="s">
        <v>225</v>
      </c>
      <c r="C33" s="31" t="s">
        <v>421</v>
      </c>
      <c r="D33" s="31" t="s">
        <v>49</v>
      </c>
      <c r="E33" s="31" t="s">
        <v>154</v>
      </c>
      <c r="F33" s="47">
        <v>0</v>
      </c>
      <c r="G33" s="47">
        <v>113</v>
      </c>
      <c r="H33" s="47">
        <v>62051</v>
      </c>
      <c r="I33" s="47">
        <v>62141</v>
      </c>
      <c r="J33" s="31" t="s">
        <v>153</v>
      </c>
      <c r="K33" s="47">
        <v>63068</v>
      </c>
      <c r="L33" s="154" t="s">
        <v>50</v>
      </c>
      <c r="M33" s="155">
        <f>CONVERT((I33-K33)/10000,"mi","ft")*IF(L33="Increasing Mileposts (1)",-1,1)</f>
        <v>489.45600000000002</v>
      </c>
      <c r="N33" s="156" t="str">
        <f>VLOOKUP(C33,'Trips&amp;Operators'!$C$1:$E$99999,3,FALSE)</f>
        <v>CLARK</v>
      </c>
      <c r="O33" s="183" t="s">
        <v>205</v>
      </c>
      <c r="P33" s="157" t="s">
        <v>826</v>
      </c>
      <c r="Q33" s="31"/>
      <c r="R33" s="100" t="str">
        <f>VLOOKUP(C33,'Train Runs'!$A$13:$AE$10001,31,0)</f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S33" s="103" t="str">
        <f>VLOOKUP(C33,'Train Runs'!$A$13:$AE$10001,22,0)</f>
        <v>https://search-rtdc-monitor-bjffxe2xuh6vdkpspy63sjmuny.us-east-1.es.amazonaws.com/_plugin/kibana/#/discover/Steve-Slow-Train-Analysis-(2080s-and-2083s)?_g=(refreshInterval:(display:Off,section:0,value:0),time:(from:'2016-11-14 12:31:25-700',mode:absolute,to:'2016-11-14 15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/stypes="*4040*201611142*" /stext=" 20:.+((SYSTEM_STATE.+slice.+state.+changed )|(ment ac)|(system.+state.+changed )|(\[timeout)|(PRM\|1\|D)|(kpr)|(kdp)|(\|lc)|(penalty))" /e /r /s</v>
      </c>
      <c r="U33" s="9" t="str">
        <f>MID(B33,13,4)</f>
        <v>4040</v>
      </c>
      <c r="V33" s="36">
        <f>A33-utc_offset/24</f>
        <v>42688.867604166662</v>
      </c>
      <c r="W33" s="50" t="str">
        <f>IF(VALUE(LEFT(IF(LEN(C33)=6,"0"&amp;C33,C33),2))&lt;=2,"EC",IF(OR(VALUE(LEFT(IF(LEN(C33)=6,"0"&amp;C33,C33),2))=8,VALUE(LEFT(IF(LEN(C33)=6,"0"&amp;C33,C33),2))=18),"NW","Other"))</f>
        <v>EC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C","project_id":79,"tracker_id":40,"status_id":1,"priority_id":2,"assigned_to_id":23,"start_date":"2016-11-14","description":"","custom_fields":[{"id":1,"name":"Subdivision","value":"EC"},{"id":4,"name":"Milepost","value":"6.3068"},{"id":17,"name":"Train ID","value":"179-14"},{"id":16,"name":"Locomotive ID","value":"4040"},{"id":130,"name":"Impact","value":""},{"id":150,"name":"Time of Event (Mountain Time)","value":"13:49:21"},{"id":151,"name":"Denver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"%USERPROFILE%\AppData\Local\Temp\OnboardLogs"\RTDC4040\*4040*201611142*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"%USERPROFILE%\AppData\Local\Temp\OnboardLogs"\RTDC4040\*4040*201611142* &gt;&gt; 42688-slicedisagreementcheck.txt</v>
      </c>
    </row>
    <row r="34" spans="1:30" x14ac:dyDescent="0.25">
      <c r="A34" s="36">
        <v>42688.576851851853</v>
      </c>
      <c r="B34" s="31" t="s">
        <v>225</v>
      </c>
      <c r="C34" s="31" t="s">
        <v>421</v>
      </c>
      <c r="D34" s="31" t="s">
        <v>49</v>
      </c>
      <c r="E34" s="31" t="s">
        <v>154</v>
      </c>
      <c r="F34" s="47">
        <v>0</v>
      </c>
      <c r="G34" s="47">
        <v>71</v>
      </c>
      <c r="H34" s="47">
        <v>62186</v>
      </c>
      <c r="I34" s="47">
        <v>62314</v>
      </c>
      <c r="J34" s="31" t="s">
        <v>153</v>
      </c>
      <c r="K34" s="47">
        <v>63068</v>
      </c>
      <c r="L34" s="154" t="s">
        <v>50</v>
      </c>
      <c r="M34" s="155">
        <f>CONVERT((I34-K34)/10000,"mi","ft")*IF(L34="Increasing Mileposts (1)",-1,1)</f>
        <v>398.11200000000002</v>
      </c>
      <c r="N34" s="156" t="str">
        <f>VLOOKUP(C34,'Trips&amp;Operators'!$C$1:$E$99999,3,FALSE)</f>
        <v>CLARK</v>
      </c>
      <c r="O34" s="183" t="s">
        <v>205</v>
      </c>
      <c r="P34" s="157" t="s">
        <v>826</v>
      </c>
      <c r="Q34" s="31"/>
      <c r="R34" s="100" t="str">
        <f>VLOOKUP(C34,'Train Runs'!$A$13:$AE$10001,31,0)</f>
        <v>aws s3 cp s3://rtdc.mdm.uploadarchive.raw/RTDC4040/ "%USERPROFILE%\AppData\Local\Temp\OnboardLogs"\RTDC4040\2016-11-14 --exclude "*" --recursive --include "*20161114*" &amp; "%USERPROFILE%\Documents\GitHub\mrs-test-scripts\Headless Mode &amp; Sideloading\WalkAndUnGZ.bat" "%USERPROFILE%\AppData\Local\Temp\OnboardLogs"\RTDC4040\2016-11-14 &amp; 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</v>
      </c>
      <c r="S34" s="103" t="str">
        <f>VLOOKUP(C34,'Train Runs'!$A$13:$AE$10001,22,0)</f>
        <v>https://search-rtdc-monitor-bjffxe2xuh6vdkpspy63sjmuny.us-east-1.es.amazonaws.com/_plugin/kibana/#/discover/Steve-Slow-Train-Analysis-(2080s-and-2083s)?_g=(refreshInterval:(display:Off,section:0,value:0),time:(from:'2016-11-14 12:31:25-700',mode:absolute,to:'2016-11-14 15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/stypes="*4040*201611142*" /stext=" 20:.+((SYSTEM_STATE.+slice.+state.+changed )|(ment ac)|(system.+state.+changed )|(\[timeout)|(PRM\|1\|D)|(kpr)|(kdp)|(\|lc)|(penalty))" /e /r /s</v>
      </c>
      <c r="U34" s="9" t="str">
        <f>MID(B34,13,4)</f>
        <v>4040</v>
      </c>
      <c r="V34" s="36">
        <f>A34-utc_offset/24</f>
        <v>42688.868518518517</v>
      </c>
      <c r="W34" s="50" t="str">
        <f>IF(VALUE(LEFT(IF(LEN(C34)=6,"0"&amp;C34,C34),2))&lt;=2,"EC",IF(OR(VALUE(LEFT(IF(LEN(C34)=6,"0"&amp;C34,C34),2))=8,VALUE(LEFT(IF(LEN(C34)=6,"0"&amp;C34,C34),2))=18),"NW","Other"))</f>
        <v>EC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C","project_id":79,"tracker_id":40,"status_id":1,"priority_id":2,"assigned_to_id":23,"start_date":"2016-11-14","description":"","custom_fields":[{"id":1,"name":"Subdivision","value":"EC"},{"id":4,"name":"Milepost","value":"6.3068"},{"id":17,"name":"Train ID","value":"179-14"},{"id":16,"name":"Locomotive ID","value":"4040"},{"id":130,"name":"Impact","value":""},{"id":150,"name":"Time of Event (Mountain Time)","value":"13:50:40"},{"id":151,"name":"Denver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"%USERPROFILE%\AppData\Local\Temp\OnboardLogs"\RTDC4040\*4040*201611142*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"%USERPROFILE%\AppData\Local\Temp\OnboardLogs"\RTDC4040\*4040*201611142* &gt;&gt; 42688-slicedisagreementcheck.txt</v>
      </c>
    </row>
    <row r="35" spans="1:30" x14ac:dyDescent="0.25">
      <c r="A35" s="36">
        <v>42688.579259259262</v>
      </c>
      <c r="B35" s="31" t="s">
        <v>358</v>
      </c>
      <c r="C35" s="31" t="s">
        <v>422</v>
      </c>
      <c r="D35" s="31" t="s">
        <v>49</v>
      </c>
      <c r="E35" s="31" t="s">
        <v>154</v>
      </c>
      <c r="F35" s="47">
        <v>0</v>
      </c>
      <c r="G35" s="47">
        <v>28</v>
      </c>
      <c r="H35" s="47">
        <v>63400</v>
      </c>
      <c r="I35" s="47">
        <v>63375</v>
      </c>
      <c r="J35" s="31" t="s">
        <v>153</v>
      </c>
      <c r="K35" s="47">
        <v>63309</v>
      </c>
      <c r="L35" s="154" t="s">
        <v>51</v>
      </c>
      <c r="M35" s="155">
        <f>CONVERT((I35-K35)/10000,"mi","ft")*IF(L35="Increasing Mileposts (1)",-1,1)</f>
        <v>34.847999999999999</v>
      </c>
      <c r="N35" s="156" t="str">
        <f>VLOOKUP(C35,'Trips&amp;Operators'!$C$1:$E$99999,3,FALSE)</f>
        <v>SHOOK</v>
      </c>
      <c r="O35" s="183" t="s">
        <v>205</v>
      </c>
      <c r="P35" s="157" t="s">
        <v>826</v>
      </c>
      <c r="Q35" s="31"/>
      <c r="R35" s="100" t="str">
        <f>VLOOKUP(C35,'Train Runs'!$A$13:$AE$10001,31,0)</f>
        <v>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 &amp; 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</v>
      </c>
      <c r="S35" s="103" t="str">
        <f>VLOOKUP(C35,'Train Runs'!$A$13:$AE$10001,22,0)</f>
        <v>https://search-rtdc-monitor-bjffxe2xuh6vdkpspy63sjmuny.us-east-1.es.amazonaws.com/_plugin/kibana/#/discover/Steve-Slow-Train-Analysis-(2080s-and-2083s)?_g=(refreshInterval:(display:Off,section:0,value:0),time:(from:'2016-11-14 12:22:00-700',mode:absolute,to:'2016-11-14 15:09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/stypes="*4017*201611142*" /stext=" 20:.+((SYSTEM_STATE.+slice.+state.+changed )|(ment ac)|(system.+state.+changed )|(\[timeout)|(PRM\|1\|D)|(kpr)|(kdp)|(\|lc)|(penalty))" /e /r /s</v>
      </c>
      <c r="U35" s="9" t="str">
        <f>MID(B35,13,4)</f>
        <v>4017</v>
      </c>
      <c r="V35" s="36">
        <f>A35-utc_offset/24</f>
        <v>42688.870925925927</v>
      </c>
      <c r="W35" s="50" t="str">
        <f>IF(VALUE(LEFT(IF(LEN(C35)=6,"0"&amp;C35,C35),2))&lt;=2,"EC",IF(OR(VALUE(LEFT(IF(LEN(C35)=6,"0"&amp;C35,C35),2))=8,VALUE(LEFT(IF(LEN(C35)=6,"0"&amp;C35,C35),2))=18),"NW","Other"))</f>
        <v>EC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C","project_id":79,"tracker_id":40,"status_id":1,"priority_id":2,"assigned_to_id":23,"start_date":"2016-11-14","description":"","custom_fields":[{"id":1,"name":"Subdivision","value":"EC"},{"id":4,"name":"Milepost","value":"6.3309"},{"id":17,"name":"Train ID","value":"172-14"},{"id":16,"name":"Locomotive ID","value":"4017"},{"id":130,"name":"Impact","value":""},{"id":150,"name":"Time of Event (Mountain Time)","value":"13:54:08"},{"id":151,"name":"Denver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"%USERPROFILE%\AppData\Local\Temp\OnboardLogs"\RTDC4017\*4017*201611142*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"%USERPROFILE%\AppData\Local\Temp\OnboardLogs"\RTDC4017\*4017*201611142* &gt;&gt; 42688-slicedisagreementcheck.txt</v>
      </c>
    </row>
    <row r="36" spans="1:30" x14ac:dyDescent="0.25">
      <c r="A36" s="36">
        <v>42688.639999999999</v>
      </c>
      <c r="B36" s="31" t="s">
        <v>245</v>
      </c>
      <c r="C36" s="31" t="s">
        <v>423</v>
      </c>
      <c r="D36" s="31" t="s">
        <v>49</v>
      </c>
      <c r="E36" s="31" t="s">
        <v>154</v>
      </c>
      <c r="F36" s="47">
        <v>0</v>
      </c>
      <c r="G36" s="47">
        <v>417</v>
      </c>
      <c r="H36" s="47">
        <v>58988</v>
      </c>
      <c r="I36" s="47">
        <v>58122</v>
      </c>
      <c r="J36" s="31" t="s">
        <v>153</v>
      </c>
      <c r="K36" s="47">
        <v>58904</v>
      </c>
      <c r="L36" s="154" t="s">
        <v>51</v>
      </c>
      <c r="M36" s="155">
        <f>CONVERT((I36-K36)/10000,"mi","ft")*IF(L36="Increasing Mileposts (1)",-1,1)</f>
        <v>-412.89600000000002</v>
      </c>
      <c r="N36" s="156" t="str">
        <f>VLOOKUP(C36,'Trips&amp;Operators'!$C$1:$E$99999,3,FALSE)</f>
        <v>BADERTSCHER</v>
      </c>
      <c r="O36" s="183" t="s">
        <v>205</v>
      </c>
      <c r="P36" s="157" t="s">
        <v>827</v>
      </c>
      <c r="Q36" s="31"/>
      <c r="R36" s="100" t="str">
        <f>VLOOKUP(C36,'Train Runs'!$A$13:$AE$10001,31,0)</f>
        <v>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 &amp; 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</v>
      </c>
      <c r="S36" s="103" t="str">
        <f>VLOOKUP(C36,'Train Runs'!$A$13:$AE$10001,22,0)</f>
        <v>https://search-rtdc-monitor-bjffxe2xuh6vdkpspy63sjmuny.us-east-1.es.amazonaws.com/_plugin/kibana/#/discover/Steve-Slow-Train-Analysis-(2080s-and-2083s)?_g=(refreshInterval:(display:Off,section:0,value:0),time:(from:'2016-11-14 13:45:00-700',mode:absolute,to:'2016-11-14 16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/stypes="*4012*201611142*" /stext=" 22:.+((SYSTEM_STATE.+slice.+state.+changed )|(ment ac)|(system.+state.+changed )|(\[timeout)|(PRM\|1\|D)|(kpr)|(kdp)|(\|lc)|(penalty))" /e /r /s</v>
      </c>
      <c r="U36" s="9" t="str">
        <f>MID(B36,13,4)</f>
        <v>4012</v>
      </c>
      <c r="V36" s="36">
        <f>A36-utc_offset/24</f>
        <v>42688.931666666664</v>
      </c>
      <c r="W36" s="50" t="str">
        <f>IF(VALUE(LEFT(IF(LEN(C36)=6,"0"&amp;C36,C36),2))&lt;=2,"EC",IF(OR(VALUE(LEFT(IF(LEN(C36)=6,"0"&amp;C36,C36),2))=8,VALUE(LEFT(IF(LEN(C36)=6,"0"&amp;C36,C36),2))=18),"NW","Other"))</f>
        <v>EC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arrival","project_id":79,"tracker_id":40,"status_id":1,"priority_id":2,"assigned_to_id":23,"start_date":"2016-11-14","description":"","custom_fields":[{"id":1,"name":"Subdivision","value":"EC"},{"id":4,"name":"Milepost","value":"5.8904"},{"id":17,"name":"Train ID","value":"184-14"},{"id":16,"name":"Locomotive ID","value":"4012"},{"id":130,"name":"Impact","value":""},{"id":150,"name":"Time of Event (Mountain Time)","value":"15:21:36"},{"id":151,"name":"Denver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"%USERPROFILE%\AppData\Local\Temp\OnboardLogs"\RTDC4012\*4012*201611142*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"%USERPROFILE%\AppData\Local\Temp\OnboardLogs"\RTDC4012\*4012*201611142* &gt;&gt; 42688-slicedisagreementcheck.txt</v>
      </c>
    </row>
    <row r="37" spans="1:30" x14ac:dyDescent="0.25">
      <c r="A37" s="36">
        <v>42688.640219907407</v>
      </c>
      <c r="B37" s="31" t="s">
        <v>406</v>
      </c>
      <c r="C37" s="31" t="s">
        <v>424</v>
      </c>
      <c r="D37" s="31" t="s">
        <v>49</v>
      </c>
      <c r="E37" s="31" t="s">
        <v>210</v>
      </c>
      <c r="F37" s="47">
        <v>0</v>
      </c>
      <c r="G37" s="47">
        <v>39</v>
      </c>
      <c r="H37" s="47">
        <v>170</v>
      </c>
      <c r="I37" s="47">
        <v>145</v>
      </c>
      <c r="J37" s="31" t="s">
        <v>211</v>
      </c>
      <c r="K37" s="47">
        <v>1</v>
      </c>
      <c r="L37" s="154" t="s">
        <v>51</v>
      </c>
      <c r="M37" s="155">
        <f>CONVERT((I37-K37)/10000,"mi","ft")*IF(L37="Increasing Mileposts (1)",-1,1)</f>
        <v>76.031999999999996</v>
      </c>
      <c r="N37" s="156" t="str">
        <f>VLOOKUP(C37,'Trips&amp;Operators'!$C$1:$E$99999,3,FALSE)</f>
        <v>YOUNG</v>
      </c>
      <c r="O37" s="183" t="s">
        <v>205</v>
      </c>
      <c r="P37" s="157"/>
      <c r="Q37" s="31"/>
      <c r="R37" s="100" t="str">
        <f>VLOOKUP(C37,'Train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37" s="103" t="str">
        <f>VLOOKUP(C37,'Train Runs'!$A$13:$AE$10001,22,0)</f>
        <v>https://search-rtdc-monitor-bjffxe2xuh6vdkpspy63sjmuny.us-east-1.es.amazonaws.com/_plugin/kibana/#/discover/Steve-Slow-Train-Analysis-(2080s-and-2083s)?_g=(refreshInterval:(display:Off,section:0,value:0),time:(from:'2016-11-14 13:35:51-700',mode:absolute,to:'2016-11-14 16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/stypes="*4045*201611142*" /stext=" 22:.+((SYSTEM_STATE.+slice.+state.+changed )|(ment ac)|(system.+state.+changed )|(\[timeout)|(PRM\|1\|D)|(kpr)|(kdp)|(\|lc)|(penalty))" /e /r /s</v>
      </c>
      <c r="U37" s="9" t="str">
        <f>MID(B37,13,4)</f>
        <v>4045</v>
      </c>
      <c r="V37" s="36">
        <f>A37-utc_offset/24</f>
        <v>42688.931886574072</v>
      </c>
      <c r="W37" s="50" t="str">
        <f>IF(VALUE(LEFT(IF(LEN(C37)=6,"0"&amp;C37,C37),2))&lt;=2,"EC",IF(OR(VALUE(LEFT(IF(LEN(C37)=6,"0"&amp;C37,C37),2))=8,VALUE(LEFT(IF(LEN(C37)=6,"0"&amp;C37,C37),2))=18),"NW","Other"))</f>
        <v>EC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{"issue":{"subject":"","project_id":79,"tracker_id":40,"status_id":1,"priority_id":2,"assigned_to_id":23,"start_date":"2016-11-14","description":"","custom_fields":[{"id":1,"name":"Subdivision","value":"EC"},{"id":4,"name":"Milepost","value":"0.0001"},{"id":17,"name":"Train ID","value":"182-14"},{"id":16,"name":"Locomotive ID","value":"4045"},{"id":130,"name":"Impact","value":""},{"id":150,"name":"Time of Event (Mountain Time)","value":"15:21:55"},{"id":151,"name":"Denver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"%USERPROFILE%\AppData\Local\Temp\OnboardLogs"\RTDC4045\*4045*201611142*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"%USERPROFILE%\AppData\Local\Temp\OnboardLogs"\RTDC4045\*4045*201611142* &gt;&gt; 42688-slicedisagreementcheck.txt</v>
      </c>
    </row>
    <row r="38" spans="1:30" x14ac:dyDescent="0.25">
      <c r="A38" s="36">
        <v>42688.64949074074</v>
      </c>
      <c r="B38" s="31" t="s">
        <v>271</v>
      </c>
      <c r="C38" s="31" t="s">
        <v>425</v>
      </c>
      <c r="D38" s="31" t="s">
        <v>49</v>
      </c>
      <c r="E38" s="31" t="s">
        <v>210</v>
      </c>
      <c r="F38" s="47">
        <v>0</v>
      </c>
      <c r="G38" s="47">
        <v>39</v>
      </c>
      <c r="H38" s="47">
        <v>58905</v>
      </c>
      <c r="I38" s="47">
        <v>58935</v>
      </c>
      <c r="J38" s="31" t="s">
        <v>211</v>
      </c>
      <c r="K38" s="47">
        <v>59048</v>
      </c>
      <c r="L38" s="154" t="s">
        <v>50</v>
      </c>
      <c r="M38" s="155">
        <f>CONVERT((I38-K38)/10000,"mi","ft")*IF(L38="Increasing Mileposts (1)",-1,1)</f>
        <v>59.664000000000001</v>
      </c>
      <c r="N38" s="156" t="str">
        <f>VLOOKUP(C38,'Trips&amp;Operators'!$C$1:$E$99999,3,FALSE)</f>
        <v>LALONDE</v>
      </c>
      <c r="O38" s="183" t="s">
        <v>205</v>
      </c>
      <c r="P38" s="157"/>
      <c r="Q38" s="31"/>
      <c r="R38" s="100" t="str">
        <f>VLOOKUP(C38,'Train Runs'!$A$13:$AE$10001,31,0)</f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S38" s="103" t="str">
        <f>VLOOKUP(C38,'Train Runs'!$A$13:$AE$10001,22,0)</f>
        <v>https://search-rtdc-monitor-bjffxe2xuh6vdkpspy63sjmuny.us-east-1.es.amazonaws.com/_plugin/kibana/#/discover/Steve-Slow-Train-Analysis-(2080s-and-2083s)?_g=(refreshInterval:(display:Off,section:0,value:0),time:(from:'2016-11-14 14:15:21-700',mode:absolute,to:'2016-11-14 16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/stypes="*4022*201611142*" /stext=" 22:.+((SYSTEM_STATE.+slice.+state.+changed )|(ment ac)|(system.+state.+changed )|(\[timeout)|(PRM\|1\|D)|(kpr)|(kdp)|(\|lc)|(penalty))" /e /r /s</v>
      </c>
      <c r="U38" s="9" t="str">
        <f>MID(B38,13,4)</f>
        <v>4022</v>
      </c>
      <c r="V38" s="36">
        <f>A38-utc_offset/24</f>
        <v>42688.941157407404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{"issue":{"subject":"","project_id":79,"tracker_id":40,"status_id":1,"priority_id":2,"assigned_to_id":23,"start_date":"2016-11-14","description":"","custom_fields":[{"id":1,"name":"Subdivision","value":"NW"},{"id":4,"name":"Milepost","value":"5.9048"},{"id":17,"name":"Train ID","value":"825-14"},{"id":16,"name":"Locomotive ID","value":"4022"},{"id":130,"name":"Impact","value":""},{"id":150,"name":"Time of Event (Mountain Time)","value":"15:35:16"},{"id":151,"name":"Denver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"%USERPROFILE%\AppData\Local\Temp\OnboardLogs"\RTDC4022\*4022*201611142*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"%USERPROFILE%\AppData\Local\Temp\OnboardLogs"\RTDC4022\*4022*201611142* &gt;&gt; 42688-slicedisagreementcheck.txt</v>
      </c>
    </row>
    <row r="39" spans="1:30" x14ac:dyDescent="0.25">
      <c r="A39" s="36">
        <v>42688.661817129629</v>
      </c>
      <c r="B39" s="31" t="s">
        <v>220</v>
      </c>
      <c r="C39" s="31" t="s">
        <v>426</v>
      </c>
      <c r="D39" s="31" t="s">
        <v>49</v>
      </c>
      <c r="E39" s="31" t="s">
        <v>154</v>
      </c>
      <c r="F39" s="47">
        <v>0</v>
      </c>
      <c r="G39" s="47">
        <v>149</v>
      </c>
      <c r="H39" s="47">
        <v>30776</v>
      </c>
      <c r="I39" s="47">
        <v>30925</v>
      </c>
      <c r="J39" s="31" t="s">
        <v>153</v>
      </c>
      <c r="K39" s="47">
        <v>30830</v>
      </c>
      <c r="L39" s="154" t="s">
        <v>50</v>
      </c>
      <c r="M39" s="155">
        <f>CONVERT((I39-K39)/10000,"mi","ft")*IF(L39="Increasing Mileposts (1)",-1,1)</f>
        <v>-50.16</v>
      </c>
      <c r="N39" s="156" t="str">
        <f>VLOOKUP(C39,'Trips&amp;Operators'!$C$1:$E$99999,3,FALSE)</f>
        <v>BADERTSCHER</v>
      </c>
      <c r="O39" s="183" t="s">
        <v>205</v>
      </c>
      <c r="P39" s="157" t="s">
        <v>827</v>
      </c>
      <c r="Q39" s="31"/>
      <c r="R39" s="100" t="str">
        <f>VLOOKUP(C39,'Train Runs'!$A$13:$AE$10001,31,0)</f>
        <v>aws s3 cp s3://rtdc.mdm.uploadarchive.raw/RTDC4011/ "%USERPROFILE%\AppData\Local\Temp\OnboardLogs"\RTDC4011\2016-11-14 --exclude "*" --recursive --include "*20161114*" &amp; "%USERPROFILE%\Documents\GitHub\mrs-test-scripts\Headless Mode &amp; Sideloading\WalkAndUnGZ.bat" "%USERPROFILE%\AppData\Local\Temp\OnboardLogs"\RTDC4011\2016-11-14 &amp; 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</v>
      </c>
      <c r="S39" s="103" t="str">
        <f>VLOOKUP(C39,'Train Runs'!$A$13:$AE$10001,22,0)</f>
        <v>https://search-rtdc-monitor-bjffxe2xuh6vdkpspy63sjmuny.us-east-1.es.amazonaws.com/_plugin/kibana/#/discover/Steve-Slow-Train-Analysis-(2080s-and-2083s)?_g=(refreshInterval:(display:Off,section:0,value:0),time:(from:'2016-11-14 14:40:46-700',mode:absolute,to:'2016-11-14 17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/stypes="*4011*201611142*" /stext=" 22:.+((SYSTEM_STATE.+slice.+state.+changed )|(ment ac)|(system.+state.+changed )|(\[timeout)|(PRM\|1\|D)|(kpr)|(kdp)|(\|lc)|(penalty))" /e /r /s</v>
      </c>
      <c r="U39" s="9" t="str">
        <f>MID(B39,13,4)</f>
        <v>4011</v>
      </c>
      <c r="V39" s="36">
        <f>A39-utc_offset/24</f>
        <v>42688.953483796293</v>
      </c>
      <c r="W39" s="50" t="str">
        <f>IF(VALUE(LEFT(IF(LEN(C39)=6,"0"&amp;C39,C39),2))&lt;=2,"EC",IF(OR(VALUE(LEFT(IF(LEN(C39)=6,"0"&amp;C39,C39),2))=8,VALUE(LEFT(IF(LEN(C39)=6,"0"&amp;C39,C39),2))=18),"NW","Other"))</f>
        <v>EC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arrival","project_id":79,"tracker_id":40,"status_id":1,"priority_id":2,"assigned_to_id":23,"start_date":"2016-11-14","description":"","custom_fields":[{"id":1,"name":"Subdivision","value":"EC"},{"id":4,"name":"Milepost","value":"3.083"},{"id":17,"name":"Train ID","value":"197-14"},{"id":16,"name":"Locomotive ID","value":"4011"},{"id":130,"name":"Impact","value":""},{"id":150,"name":"Time of Event (Mountain Time)","value":"15:53:01"},{"id":151,"name":"Denver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"%USERPROFILE%\AppData\Local\Temp\OnboardLogs"\RTDC4011\*4011*201611142*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"%USERPROFILE%\AppData\Local\Temp\OnboardLogs"\RTDC4011\*4011*201611142* &gt;&gt; 42688-slicedisagreementcheck.txt</v>
      </c>
    </row>
    <row r="40" spans="1:30" x14ac:dyDescent="0.25">
      <c r="A40" s="36">
        <v>42688.678240740737</v>
      </c>
      <c r="B40" s="31" t="s">
        <v>292</v>
      </c>
      <c r="C40" s="31" t="s">
        <v>427</v>
      </c>
      <c r="D40" s="31" t="s">
        <v>98</v>
      </c>
      <c r="E40" s="31" t="s">
        <v>206</v>
      </c>
      <c r="F40" s="47">
        <v>400</v>
      </c>
      <c r="G40" s="47">
        <v>452</v>
      </c>
      <c r="H40" s="47">
        <v>39009</v>
      </c>
      <c r="I40" s="47">
        <v>37938</v>
      </c>
      <c r="J40" s="31" t="s">
        <v>207</v>
      </c>
      <c r="K40" s="47">
        <v>40977</v>
      </c>
      <c r="L40" s="154" t="s">
        <v>51</v>
      </c>
      <c r="M40" s="155">
        <f>CONVERT((I40-K40)/10000,"mi","ft")*IF(L40="Increasing Mileposts (1)",-1,1)</f>
        <v>-1604.5920000000001</v>
      </c>
      <c r="N40" s="156" t="str">
        <f>VLOOKUP(C40,'Trips&amp;Operators'!$C$1:$E$99999,3,FALSE)</f>
        <v>CRAYTON</v>
      </c>
      <c r="O40" s="183" t="s">
        <v>205</v>
      </c>
      <c r="P40" s="157"/>
      <c r="Q40" s="31"/>
      <c r="R40" s="100" t="str">
        <f>VLOOKUP(C40,'Train Runs'!$A$13:$AE$10001,31,0)</f>
        <v>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 &amp; 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</v>
      </c>
      <c r="S40" s="103" t="str">
        <f>VLOOKUP(C40,'Train Runs'!$A$13:$AE$10001,22,0)</f>
        <v>https://search-rtdc-monitor-bjffxe2xuh6vdkpspy63sjmuny.us-east-1.es.amazonaws.com/_plugin/kibana/#/discover/Steve-Slow-Train-Analysis-(2080s-and-2083s)?_g=(refreshInterval:(display:Off,section:0,value:0),time:(from:'2016-11-14 15:07:05-700',mode:absolute,to:'2016-11-14 17:27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/stypes="*4037*201611142*" /stext=" 23:.+((SYSTEM_STATE.+slice.+state.+changed )|(ment ac)|(system.+state.+changed )|(\[timeout)|(PRM\|1\|D)|(kpr)|(kdp)|(\|lc)|(penalty))" /e /r /s</v>
      </c>
      <c r="U40" s="9" t="str">
        <f>MID(B40,13,4)</f>
        <v>4037</v>
      </c>
      <c r="V40" s="36">
        <f>A40-utc_offset/24</f>
        <v>42688.969907407401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{"issue":{"subject":"","project_id":79,"tracker_id":40,"status_id":1,"priority_id":2,"assigned_to_id":23,"start_date":"2016-11-14","description":"","custom_fields":[{"id":1,"name":"Subdivision","value":"NW"},{"id":4,"name":"Milepost","value":"4.0977"},{"id":17,"name":"Train ID","value":"828-14"},{"id":16,"name":"Locomotive ID","value":"4037"},{"id":130,"name":"Impact","value":""},{"id":150,"name":"Time of Event (Mountain Time)","value":"16:16:40"},{"id":151,"name":"Denver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"%USERPROFILE%\AppData\Local\Temp\OnboardLogs"\RTDC4037\*4037*201611142*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"%USERPROFILE%\AppData\Local\Temp\OnboardLogs"\RTDC4037\*4037*201611142* &gt;&gt; 42688-slicedisagreementcheck.txt</v>
      </c>
    </row>
    <row r="41" spans="1:30" x14ac:dyDescent="0.25">
      <c r="A41" s="36">
        <v>42688.731979166667</v>
      </c>
      <c r="B41" s="31" t="s">
        <v>217</v>
      </c>
      <c r="C41" s="31" t="s">
        <v>428</v>
      </c>
      <c r="D41" s="31" t="s">
        <v>49</v>
      </c>
      <c r="E41" s="31" t="s">
        <v>208</v>
      </c>
      <c r="F41" s="47">
        <v>0</v>
      </c>
      <c r="G41" s="47">
        <v>187</v>
      </c>
      <c r="H41" s="47">
        <v>193122</v>
      </c>
      <c r="I41" s="47">
        <v>192519</v>
      </c>
      <c r="J41" s="31" t="s">
        <v>209</v>
      </c>
      <c r="K41" s="47">
        <v>191723</v>
      </c>
      <c r="L41" s="154" t="s">
        <v>51</v>
      </c>
      <c r="M41" s="155">
        <f>CONVERT((I41-K41)/10000,"mi","ft")*IF(L41="Increasing Mileposts (1)",-1,1)</f>
        <v>420.28800000000001</v>
      </c>
      <c r="N41" s="156" t="str">
        <f>VLOOKUP(C41,'Trips&amp;Operators'!$C$1:$E$99999,3,FALSE)</f>
        <v>BARTLETT</v>
      </c>
      <c r="O41" s="183" t="s">
        <v>205</v>
      </c>
      <c r="P41" s="157" t="s">
        <v>829</v>
      </c>
      <c r="Q41" s="31"/>
      <c r="R41" s="100" t="str">
        <f>VLOOKUP(C41,'Train Runs'!$A$13:$AE$10001,31,0)</f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S41" s="103" t="str">
        <f>VLOOKUP(C41,'Train Runs'!$A$13:$AE$10001,22,0)</f>
        <v>https://search-rtdc-monitor-bjffxe2xuh6vdkpspy63sjmuny.us-east-1.es.amazonaws.com/_plugin/kibana/#/discover/Steve-Slow-Train-Analysis-(2080s-and-2083s)?_g=(refreshInterval:(display:Off,section:0,value:0),time:(from:'2016-11-14 16:09:25-700',mode:absolute,to:'2016-11-14 19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/stypes="*4030*201611150*" /stext=" 00:.+((SYSTEM_STATE.+slice.+state.+changed )|(ment ac)|(system.+state.+changed )|(\[timeout)|(PRM\|1\|D)|(kpr)|(kdp)|(\|lc)|(penalty))" /e /r /s</v>
      </c>
      <c r="U41" s="9" t="str">
        <f>MID(B41,13,4)</f>
        <v>4030</v>
      </c>
      <c r="V41" s="36">
        <f>A41-utc_offset/24</f>
        <v>42689.023645833331</v>
      </c>
      <c r="W41" s="50" t="str">
        <f>IF(VALUE(LEFT(IF(LEN(C41)=6,"0"&amp;C41,C41),2))&lt;=2,"EC",IF(OR(VALUE(LEFT(IF(LEN(C41)=6,"0"&amp;C41,C41),2))=8,VALUE(LEFT(IF(LEN(C41)=6,"0"&amp;C41,C41),2))=18),"NW","Other"))</f>
        <v>EC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STOP","project_id":79,"tracker_id":40,"status_id":1,"priority_id":2,"assigned_to_id":23,"start_date":"2016-11-14","description":"","custom_fields":[{"id":1,"name":"Subdivision","value":"EC"},{"id":4,"name":"Milepost","value":"19.1723"},{"id":17,"name":"Train ID","value":"204-14"},{"id":16,"name":"Locomotive ID","value":"4030"},{"id":130,"name":"Impact","value":""},{"id":150,"name":"Time of Event (Mountain Time)","value":"17:34:03"},{"id":151,"name":"Denver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"%USERPROFILE%\AppData\Local\Temp\OnboardLogs"\RTDC4030\*4030*201611150*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"%USERPROFILE%\AppData\Local\Temp\OnboardLogs"\RTDC4030\*4030*201611150* &gt;&gt; 42688-slicedisagreementcheck.txt</v>
      </c>
    </row>
    <row r="42" spans="1:30" x14ac:dyDescent="0.25">
      <c r="A42" s="36">
        <v>42688.752650462964</v>
      </c>
      <c r="B42" s="31" t="s">
        <v>351</v>
      </c>
      <c r="C42" s="31" t="s">
        <v>429</v>
      </c>
      <c r="D42" s="31" t="s">
        <v>98</v>
      </c>
      <c r="E42" s="31" t="s">
        <v>210</v>
      </c>
      <c r="F42" s="47">
        <v>0</v>
      </c>
      <c r="G42" s="47">
        <v>9</v>
      </c>
      <c r="H42" s="47">
        <v>826</v>
      </c>
      <c r="I42" s="47">
        <v>0</v>
      </c>
      <c r="J42" s="31" t="s">
        <v>211</v>
      </c>
      <c r="K42" s="47">
        <v>826</v>
      </c>
      <c r="L42" s="154" t="s">
        <v>51</v>
      </c>
      <c r="M42" s="155">
        <f>CONVERT((I42-K42)/10000,"mi","ft")*IF(L42="Increasing Mileposts (1)",-1,1)</f>
        <v>-436.12799999999999</v>
      </c>
      <c r="N42" s="156" t="str">
        <f>VLOOKUP(C42,'Trips&amp;Operators'!$C$1:$E$99999,3,FALSE)</f>
        <v>WHITED</v>
      </c>
      <c r="O42" s="183" t="s">
        <v>205</v>
      </c>
      <c r="P42" s="157"/>
      <c r="Q42" s="31"/>
      <c r="R42" s="100" t="str">
        <f>VLOOKUP(C42,'Train Runs'!$A$13:$AE$10001,31,0)</f>
        <v>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 &amp; aws s3 cp s3://rtdc.mdm.uploadarchive.raw/RTDC4008/ "%USERPROFILE%\AppData\Local\Temp\OnboardLogs"\RTDC4008\2016-11-15 --exclude "*" --recursive --include "*20161115*" &amp; "%USERPROFILE%\Documents\GitHub\mrs-test-scripts\Headless Mode &amp; Sideloading\WalkAndUnGZ.bat" "%USERPROFILE%\AppData\Local\Temp\OnboardLogs"\RTDC4008\2016-11-15</v>
      </c>
      <c r="S42" s="103" t="str">
        <f>VLOOKUP(C42,'Train Runs'!$A$13:$AE$10001,22,0)</f>
        <v>https://search-rtdc-monitor-bjffxe2xuh6vdkpspy63sjmuny.us-east-1.es.amazonaws.com/_plugin/kibana/#/discover/Steve-Slow-Train-Analysis-(2080s-and-2083s)?_g=(refreshInterval:(display:Off,section:0,value:0),time:(from:'2016-11-14 16:51:08-700',mode:absolute,to:'2016-11-14 19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/stypes="*4008*201611150*" /stext=" 01:.+((SYSTEM_STATE.+slice.+state.+changed )|(ment ac)|(system.+state.+changed )|(\[timeout)|(PRM\|1\|D)|(kpr)|(kdp)|(\|lc)|(penalty))" /e /r /s</v>
      </c>
      <c r="U42" s="9" t="str">
        <f>MID(B42,13,4)</f>
        <v>4008</v>
      </c>
      <c r="V42" s="36">
        <f>A42-utc_offset/24</f>
        <v>42689.044317129628</v>
      </c>
      <c r="W42" s="50" t="str">
        <f>IF(VALUE(LEFT(IF(LEN(C42)=6,"0"&amp;C42,C42),2))&lt;=2,"EC",IF(OR(VALUE(LEFT(IF(LEN(C42)=6,"0"&amp;C42,C42),2))=8,VALUE(LEFT(IF(LEN(C42)=6,"0"&amp;C42,C42),2))=18),"NW","Other"))</f>
        <v>Other</v>
      </c>
      <c r="X42" s="50" t="str">
        <f>IF(AND(E42="TRACK WARRANT AUTHORITY",G42&lt;10),"OMIT","KEEP")</f>
        <v>OMIT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{"issue":{"subject":"","project_id":79,"tracker_id":40,"status_id":1,"priority_id":2,"assigned_to_id":23,"start_date":"2016-11-14","description":"","custom_fields":[{"id":1,"name":"Subdivision","value":"Other"},{"id":4,"name":"Milepost","value":"0.0826"},{"id":17,"name":"Train ID","value":"60-14"},{"id":16,"name":"Locomotive ID","value":"4008"},{"id":130,"name":"Impact","value":""},{"id":150,"name":"Time of Event (Mountain Time)","value":"18:03:49"},{"id":151,"name":"Denver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"%USERPROFILE%\AppData\Local\Temp\OnboardLogs"\RTDC4008\*4008*201611150*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"%USERPROFILE%\AppData\Local\Temp\OnboardLogs"\RTDC4008\*4008*201611150* &gt;&gt; 42688-slicedisagreementcheck.txt</v>
      </c>
    </row>
    <row r="43" spans="1:30" x14ac:dyDescent="0.25">
      <c r="A43" s="36">
        <v>42688.788865740738</v>
      </c>
      <c r="B43" s="31" t="s">
        <v>273</v>
      </c>
      <c r="C43" s="31" t="s">
        <v>430</v>
      </c>
      <c r="D43" s="31" t="s">
        <v>98</v>
      </c>
      <c r="E43" s="31" t="s">
        <v>208</v>
      </c>
      <c r="F43" s="47">
        <v>0</v>
      </c>
      <c r="G43" s="47">
        <v>90</v>
      </c>
      <c r="H43" s="47">
        <v>11010</v>
      </c>
      <c r="I43" s="47">
        <v>10895</v>
      </c>
      <c r="J43" s="31" t="s">
        <v>209</v>
      </c>
      <c r="K43" s="47">
        <v>11016</v>
      </c>
      <c r="L43" s="154" t="s">
        <v>51</v>
      </c>
      <c r="M43" s="155">
        <f>CONVERT((I43-K43)/10000,"mi","ft")*IF(L43="Increasing Mileposts (1)",-1,1)</f>
        <v>-63.887999999999998</v>
      </c>
      <c r="N43" s="156" t="str">
        <f>VLOOKUP(C43,'Trips&amp;Operators'!$C$1:$E$99999,3,FALSE)</f>
        <v>LALONDE</v>
      </c>
      <c r="O43" s="183" t="s">
        <v>205</v>
      </c>
      <c r="P43" s="157" t="s">
        <v>832</v>
      </c>
      <c r="Q43" s="31"/>
      <c r="R43" s="100" t="str">
        <f>VLOOKUP(C43,'Train Runs'!$A$13:$AE$10001,31,0)</f>
        <v>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 &amp; 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</v>
      </c>
      <c r="S43" s="103" t="str">
        <f>VLOOKUP(C43,'Train Runs'!$A$13:$AE$10001,22,0)</f>
        <v>https://search-rtdc-monitor-bjffxe2xuh6vdkpspy63sjmuny.us-east-1.es.amazonaws.com/_plugin/kibana/#/discover/Steve-Slow-Train-Analysis-(2080s-and-2083s)?_g=(refreshInterval:(display:Off,section:0,value:0),time:(from:'2016-11-14 17:38:18-700',mode:absolute,to:'2016-11-14 20:00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/stypes="*4021*201611150*" /stext=" 01:.+((SYSTEM_STATE.+slice.+state.+changed )|(ment ac)|(system.+state.+changed )|(\[timeout)|(PRM\|1\|D)|(kpr)|(kdp)|(\|lc)|(penalty))" /e /r /s</v>
      </c>
      <c r="U43" s="9" t="str">
        <f>MID(B43,13,4)</f>
        <v>4021</v>
      </c>
      <c r="V43" s="36">
        <f>A43-utc_offset/24</f>
        <v>42689.080532407403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{"issue":{"subject":"Legitimate STOP aspect","project_id":79,"tracker_id":40,"status_id":1,"priority_id":2,"assigned_to_id":23,"start_date":"2016-11-14","description":"","custom_fields":[{"id":1,"name":"Subdivision","value":"NW"},{"id":4,"name":"Milepost","value":"1.1016"},{"id":17,"name":"Train ID","value":"838-14"},{"id":16,"name":"Locomotive ID","value":"4021"},{"id":130,"name":"Impact","value":""},{"id":150,"name":"Time of Event (Mountain Time)","value":"18:55:58"},{"id":151,"name":"Denver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"%USERPROFILE%\AppData\Local\Temp\OnboardLogs"\RTDC4021\*4021*201611150*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"%USERPROFILE%\AppData\Local\Temp\OnboardLogs"\RTDC4021\*4021*201611150* &gt;&gt; 42688-slicedisagreementcheck.txt</v>
      </c>
    </row>
    <row r="44" spans="1:30" x14ac:dyDescent="0.25">
      <c r="A44" s="36">
        <v>42688.853888888887</v>
      </c>
      <c r="B44" s="31" t="s">
        <v>271</v>
      </c>
      <c r="C44" s="31" t="s">
        <v>431</v>
      </c>
      <c r="D44" s="31" t="s">
        <v>49</v>
      </c>
      <c r="E44" s="31" t="s">
        <v>272</v>
      </c>
      <c r="F44" s="47">
        <v>0</v>
      </c>
      <c r="G44" s="47">
        <v>319</v>
      </c>
      <c r="H44" s="47">
        <v>38709</v>
      </c>
      <c r="I44" s="47">
        <v>39456</v>
      </c>
      <c r="J44" s="31" t="s">
        <v>260</v>
      </c>
      <c r="K44" s="47">
        <v>39609</v>
      </c>
      <c r="L44" s="154" t="s">
        <v>50</v>
      </c>
      <c r="M44" s="155">
        <f>CONVERT((I44-K44)/10000,"mi","ft")*IF(L44="Increasing Mileposts (1)",-1,1)</f>
        <v>80.784000000000006</v>
      </c>
      <c r="N44" s="156" t="str">
        <f>VLOOKUP(C44,'Trips&amp;Operators'!$C$1:$E$99999,3,FALSE)</f>
        <v>LALONDE</v>
      </c>
      <c r="O44" s="183" t="s">
        <v>234</v>
      </c>
      <c r="P44" s="157" t="s">
        <v>831</v>
      </c>
      <c r="Q44" s="31"/>
      <c r="R44" s="100" t="str">
        <f>VLOOKUP(C44,'Train Runs'!$A$13:$AE$10001,31,0)</f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S44" s="103" t="str">
        <f>VLOOKUP(C44,'Train Runs'!$A$13:$AE$10001,22,0)</f>
        <v>https://search-rtdc-monitor-bjffxe2xuh6vdkpspy63sjmuny.us-east-1.es.amazonaws.com/_plugin/kibana/#/discover/Steve-Slow-Train-Analysis-(2080s-and-2083s)?_g=(refreshInterval:(display:Off,section:0,value:0),time:(from:'2016-11-14 19:09:41-700',mode:absolute,to:'2016-11-14 21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/stypes="*4022*201611150*" /stext=" 03:.+((SYSTEM_STATE.+slice.+state.+changed )|(ment ac)|(system.+state.+changed )|(\[timeout)|(PRM\|1\|D)|(kpr)|(kdp)|(\|lc)|(penalty))" /e /r /s</v>
      </c>
      <c r="U44" s="9" t="str">
        <f>MID(B44,13,4)</f>
        <v>4022</v>
      </c>
      <c r="V44" s="36">
        <f>A44-utc_offset/24</f>
        <v>42689.145555555551</v>
      </c>
      <c r="W44" s="50" t="str">
        <f>IF(VALUE(LEFT(IF(LEN(C44)=6,"0"&amp;C44,C44),2))&lt;=2,"EC",IF(OR(VALUE(LEFT(IF(LEN(C44)=6,"0"&amp;C44,C44),2))=8,VALUE(LEFT(IF(LEN(C44)=6,"0"&amp;C44,C44),2))=18),"NW","Other"))</f>
        <v>NW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-14","description":"http://stevetu21.github.io/eaglep3/load_kml.html?kml=http://rtdc.gmaps-snips.s3.amazonaws.com/19aa24bb-fa3e-4397-bbfa-fae5d7dcf126.kml","custom_fields":[{"id":1,"name":"Subdivision","value":"NW"},{"id":4,"name":"Milepost","value":"3.9609"},{"id":17,"name":"Train ID","value":"843-14"},{"id":16,"name":"Locomotive ID","value":"4022"},{"id":130,"name":"Impact","value":"Enforcement"},{"id":150,"name":"Time of Event (Mountain Time)","value":"20:29:36"},{"id":151,"name":"Denver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4" s="186" t="s">
        <v>833</v>
      </c>
      <c r="AA44" s="53" t="s">
        <v>125</v>
      </c>
      <c r="AB44" s="53" t="s">
        <v>138</v>
      </c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"%USERPROFILE%\AppData\Local\Temp\OnboardLogs"\RTDC4022\*4022*201611150*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"%USERPROFILE%\AppData\Local\Temp\OnboardLogs"\RTDC4022\*4022*201611150* &gt;&gt; 42688-slicedisagreementcheck.txt</v>
      </c>
    </row>
    <row r="45" spans="1:30" x14ac:dyDescent="0.25">
      <c r="A45" s="36">
        <v>42688.87605324074</v>
      </c>
      <c r="B45" s="31" t="s">
        <v>217</v>
      </c>
      <c r="C45" s="31" t="s">
        <v>432</v>
      </c>
      <c r="D45" s="31" t="s">
        <v>49</v>
      </c>
      <c r="E45" s="31" t="s">
        <v>208</v>
      </c>
      <c r="F45" s="47">
        <v>0</v>
      </c>
      <c r="G45" s="47">
        <v>742</v>
      </c>
      <c r="H45" s="47">
        <v>203167</v>
      </c>
      <c r="I45" s="47">
        <v>199552</v>
      </c>
      <c r="J45" s="31" t="s">
        <v>209</v>
      </c>
      <c r="K45" s="47">
        <v>198256</v>
      </c>
      <c r="L45" s="154" t="s">
        <v>51</v>
      </c>
      <c r="M45" s="155">
        <f>CONVERT((I45-K45)/10000,"mi","ft")*IF(L45="Increasing Mileposts (1)",-1,1)</f>
        <v>684.28800000000001</v>
      </c>
      <c r="N45" s="156" t="str">
        <f>VLOOKUP(C45,'Trips&amp;Operators'!$C$1:$E$99999,3,FALSE)</f>
        <v>CHANDLER</v>
      </c>
      <c r="O45" s="183" t="s">
        <v>234</v>
      </c>
      <c r="P45" s="157" t="s">
        <v>831</v>
      </c>
      <c r="Q45" s="31"/>
      <c r="R45" s="100" t="str">
        <f>VLOOKUP(C45,'Train Runs'!$A$13:$AE$10001,31,0)</f>
        <v>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 &amp; aws s3 cp s3://rtdc.mdm.uploadarchive.raw/RTDC4030/ "%USERPROFILE%\AppData\Local\Temp\OnboardLogs"\RTDC4030\2016-11-15 --exclude "*" --recursive --include "*20161115*" &amp; "%USERPROFILE%\Documents\GitHub\mrs-test-scripts\Headless Mode &amp; Sideloading\WalkAndUnGZ.bat" "%USERPROFILE%\AppData\Local\Temp\OnboardLogs"\RTDC4030\2016-11-15</v>
      </c>
      <c r="S45" s="103" t="str">
        <f>VLOOKUP(C45,'Train Runs'!$A$13:$AE$10001,22,0)</f>
        <v>https://search-rtdc-monitor-bjffxe2xuh6vdkpspy63sjmuny.us-east-1.es.amazonaws.com/_plugin/kibana/#/discover/Steve-Slow-Train-Analysis-(2080s-and-2083s)?_g=(refreshInterval:(display:Off,section:0,value:0),time:(from:'2016-11-14 19:53:20-700',mode:absolute,to:'2016-11-14 22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/stypes="*4030*201611150*" /stext=" 04:.+((SYSTEM_STATE.+slice.+state.+changed )|(ment ac)|(system.+state.+changed )|(\[timeout)|(PRM\|1\|D)|(kpr)|(kdp)|(\|lc)|(penalty))" /e /r /s</v>
      </c>
      <c r="U45" s="9" t="str">
        <f>MID(B45,13,4)</f>
        <v>4030</v>
      </c>
      <c r="V45" s="36">
        <f>A45-utc_offset/24</f>
        <v>42689.167719907404</v>
      </c>
      <c r="W45" s="50" t="str">
        <f>IF(VALUE(LEFT(IF(LEN(C45)=6,"0"&amp;C45,C45),2))&lt;=2,"EC",IF(OR(VALUE(LEFT(IF(LEN(C45)=6,"0"&amp;C45,C45),2))=8,VALUE(LEFT(IF(LEN(C45)=6,"0"&amp;C45,C45),2))=18),"NW","Other"))</f>
        <v>EC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-14","description":"http://stevetu21.github.io/eaglep3/load_kml.html?kml=http://rtdc.gmaps-snips.s3.amazonaws.com/5591698c-fa11-4ba4-84f8-54f1d51a1301.kml","custom_fields":[{"id":1,"name":"Subdivision","value":"EC"},{"id":4,"name":"Milepost","value":"19.8256"},{"id":17,"name":"Train ID","value":"226-14"},{"id":16,"name":"Locomotive ID","value":"4030"},{"id":130,"name":"Impact","value":"Enforcement"},{"id":150,"name":"Time of Event (Mountain Time)","value":"21:01:31"},{"id":151,"name":"Denver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s="186" t="s">
        <v>830</v>
      </c>
      <c r="AA45" s="53" t="s">
        <v>125</v>
      </c>
      <c r="AB45" s="53" t="s">
        <v>138</v>
      </c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"%USERPROFILE%\AppData\Local\Temp\OnboardLogs"\RTDC4030\*4030*201611150*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"%USERPROFILE%\AppData\Local\Temp\OnboardLogs"\RTDC4030\*4030*201611150* &gt;&gt; 42688-slicedisagreementcheck.txt</v>
      </c>
    </row>
    <row r="46" spans="1:30" x14ac:dyDescent="0.25">
      <c r="A46" s="36">
        <v>42688.877372685187</v>
      </c>
      <c r="B46" s="31" t="s">
        <v>286</v>
      </c>
      <c r="C46" s="31" t="s">
        <v>433</v>
      </c>
      <c r="D46" s="31" t="s">
        <v>49</v>
      </c>
      <c r="E46" s="31" t="s">
        <v>210</v>
      </c>
      <c r="F46" s="47">
        <v>0</v>
      </c>
      <c r="G46" s="47">
        <v>58</v>
      </c>
      <c r="H46" s="47">
        <v>185</v>
      </c>
      <c r="I46" s="47">
        <v>130</v>
      </c>
      <c r="J46" s="31" t="s">
        <v>211</v>
      </c>
      <c r="K46" s="47">
        <v>1</v>
      </c>
      <c r="L46" s="154" t="s">
        <v>51</v>
      </c>
      <c r="M46" s="155">
        <f>CONVERT((I46-K46)/10000,"mi","ft")*IF(L46="Increasing Mileposts (1)",-1,1)</f>
        <v>68.111999999999995</v>
      </c>
      <c r="N46" s="156" t="str">
        <f>VLOOKUP(C46,'Trips&amp;Operators'!$C$1:$E$99999,3,FALSE)</f>
        <v>HOLCOMB</v>
      </c>
      <c r="O46" s="183" t="s">
        <v>205</v>
      </c>
      <c r="P46" s="157"/>
      <c r="Q46" s="31"/>
      <c r="R46" s="100" t="str">
        <f>VLOOKUP(C46,'Train Runs'!$A$13:$AE$10001,31,0)</f>
        <v>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 &amp; 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</v>
      </c>
      <c r="S46" s="103" t="str">
        <f>VLOOKUP(C46,'Train Runs'!$A$13:$AE$10001,22,0)</f>
        <v>https://search-rtdc-monitor-bjffxe2xuh6vdkpspy63sjmuny.us-east-1.es.amazonaws.com/_plugin/kibana/#/discover/Steve-Slow-Train-Analysis-(2080s-and-2083s)?_g=(refreshInterval:(display:Off,section:0,value:0),time:(from:'2016-11-14 19:18:46-700',mode:absolute,to:'2016-11-14 22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/stypes="*4054*201611150*" /stext=" 04:.+((SYSTEM_STATE.+slice.+state.+changed )|(ment ac)|(system.+state.+changed )|(\[timeout)|(PRM\|1\|D)|(kpr)|(kdp)|(\|lc)|(penalty))" /e /r /s</v>
      </c>
      <c r="U46" s="9" t="str">
        <f>MID(B46,13,4)</f>
        <v>4054</v>
      </c>
      <c r="V46" s="36">
        <f>A46-utc_offset/24</f>
        <v>42689.169039351851</v>
      </c>
      <c r="W46" s="50" t="str">
        <f>IF(VALUE(LEFT(IF(LEN(C46)=6,"0"&amp;C46,C46),2))&lt;=2,"EC",IF(OR(VALUE(LEFT(IF(LEN(C46)=6,"0"&amp;C46,C46),2))=8,VALUE(LEFT(IF(LEN(C46)=6,"0"&amp;C46,C46),2))=18),"NW","Other"))</f>
        <v>EC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{"issue":{"subject":"","project_id":79,"tracker_id":40,"status_id":1,"priority_id":2,"assigned_to_id":23,"start_date":"2016-11-14","description":"","custom_fields":[{"id":1,"name":"Subdivision","value":"EC"},{"id":4,"name":"Milepost","value":"0.0001"},{"id":17,"name":"Train ID","value":"224-14"},{"id":16,"name":"Locomotive ID","value":"4054"},{"id":130,"name":"Impact","value":""},{"id":150,"name":"Time of Event (Mountain Time)","value":"21:03:25"},{"id":151,"name":"Denver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"%USERPROFILE%\AppData\Local\Temp\OnboardLogs"\RTDC4054\*4054*201611150*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"%USERPROFILE%\AppData\Local\Temp\OnboardLogs"\RTDC4054\*4054*201611150* &gt;&gt; 42688-slicedisagreementcheck.txt</v>
      </c>
    </row>
    <row r="47" spans="1:30" x14ac:dyDescent="0.25">
      <c r="A47" s="36">
        <v>42688.894085648149</v>
      </c>
      <c r="B47" s="31" t="s">
        <v>270</v>
      </c>
      <c r="C47" s="31" t="s">
        <v>434</v>
      </c>
      <c r="D47" s="31" t="s">
        <v>98</v>
      </c>
      <c r="E47" s="31" t="s">
        <v>206</v>
      </c>
      <c r="F47" s="47">
        <v>150</v>
      </c>
      <c r="G47" s="47">
        <v>205</v>
      </c>
      <c r="H47" s="47">
        <v>231093</v>
      </c>
      <c r="I47" s="47">
        <v>230567</v>
      </c>
      <c r="J47" s="31" t="s">
        <v>207</v>
      </c>
      <c r="K47" s="47">
        <v>231269</v>
      </c>
      <c r="L47" s="154" t="s">
        <v>51</v>
      </c>
      <c r="M47" s="155">
        <f>CONVERT((I47-K47)/10000,"mi","ft")*IF(L47="Increasing Mileposts (1)",-1,1)</f>
        <v>-370.65600000000001</v>
      </c>
      <c r="N47" s="156" t="str">
        <f>VLOOKUP(C47,'Trips&amp;Operators'!$C$1:$E$99999,3,FALSE)</f>
        <v>PERKINS</v>
      </c>
      <c r="O47" s="183" t="s">
        <v>205</v>
      </c>
      <c r="P47" s="157"/>
      <c r="Q47" s="31"/>
      <c r="R47" s="100" t="str">
        <f>VLOOKUP(C47,'Train Runs'!$A$13:$AE$10001,31,0)</f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S47" s="103" t="str">
        <f>VLOOKUP(C47,'Train Runs'!$A$13:$AE$10001,22,0)</f>
        <v>https://search-rtdc-monitor-bjffxe2xuh6vdkpspy63sjmuny.us-east-1.es.amazonaws.com/_plugin/kibana/#/discover/Steve-Slow-Train-Analysis-(2080s-and-2083s)?_g=(refreshInterval:(display:Off,section:0,value:0),time:(from:'2016-11-14 20:17:45-700',mode:absolute,to:'2016-11-14 23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/stypes="*4010*201611150*" /stext=" 04:.+((SYSTEM_STATE.+slice.+state.+changed )|(ment ac)|(system.+state.+changed )|(\[timeout)|(PRM\|1\|D)|(kpr)|(kdp)|(\|lc)|(penalty))" /e /r /s</v>
      </c>
      <c r="U47" s="9" t="str">
        <f>MID(B47,13,4)</f>
        <v>4010</v>
      </c>
      <c r="V47" s="36">
        <f>A47-utc_offset/24</f>
        <v>42689.185752314814</v>
      </c>
      <c r="W47" s="50" t="str">
        <f>IF(VALUE(LEFT(IF(LEN(C47)=6,"0"&amp;C47,C47),2))&lt;=2,"EC",IF(OR(VALUE(LEFT(IF(LEN(C47)=6,"0"&amp;C47,C47),2))=8,VALUE(LEFT(IF(LEN(C47)=6,"0"&amp;C47,C47),2))=18),"NW","Other"))</f>
        <v>EC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{"issue":{"subject":"","project_id":79,"tracker_id":40,"status_id":1,"priority_id":2,"assigned_to_id":23,"start_date":"2016-11-14","description":"","custom_fields":[{"id":1,"name":"Subdivision","value":"EC"},{"id":4,"name":"Milepost","value":"23.1269"},{"id":17,"name":"Train ID","value":"228-14"},{"id":16,"name":"Locomotive ID","value":"4010"},{"id":130,"name":"Impact","value":""},{"id":150,"name":"Time of Event (Mountain Time)","value":"21:27:29"},{"id":151,"name":"Denver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"%USERPROFILE%\AppData\Local\Temp\OnboardLogs"\RTDC4010\*4010*201611150*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"%USERPROFILE%\AppData\Local\Temp\OnboardLogs"\RTDC4010\*4010*201611150* &gt;&gt; 42688-slicedisagreementcheck.txt</v>
      </c>
    </row>
    <row r="48" spans="1:30" x14ac:dyDescent="0.25">
      <c r="A48" s="36">
        <v>42688.901099537034</v>
      </c>
      <c r="B48" s="31" t="s">
        <v>271</v>
      </c>
      <c r="C48" s="31" t="s">
        <v>435</v>
      </c>
      <c r="D48" s="31" t="s">
        <v>49</v>
      </c>
      <c r="E48" s="31" t="s">
        <v>210</v>
      </c>
      <c r="F48" s="47">
        <v>0</v>
      </c>
      <c r="G48" s="47">
        <v>54</v>
      </c>
      <c r="H48" s="47">
        <v>58860</v>
      </c>
      <c r="I48" s="47">
        <v>58918</v>
      </c>
      <c r="J48" s="31" t="s">
        <v>211</v>
      </c>
      <c r="K48" s="47">
        <v>59048</v>
      </c>
      <c r="L48" s="154" t="s">
        <v>50</v>
      </c>
      <c r="M48" s="155">
        <f>CONVERT((I48-K48)/10000,"mi","ft")*IF(L48="Increasing Mileposts (1)",-1,1)</f>
        <v>68.64</v>
      </c>
      <c r="N48" s="156" t="str">
        <f>VLOOKUP(C48,'Trips&amp;Operators'!$C$1:$E$99999,3,FALSE)</f>
        <v>CRAYTON</v>
      </c>
      <c r="O48" s="183" t="s">
        <v>205</v>
      </c>
      <c r="P48" s="157"/>
      <c r="Q48" s="31"/>
      <c r="R48" s="100" t="str">
        <f>VLOOKUP(C48,'Train Runs'!$A$13:$AE$10001,31,0)</f>
        <v>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 &amp; 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</v>
      </c>
      <c r="S48" s="103" t="str">
        <f>VLOOKUP(C48,'Train Runs'!$A$13:$AE$10001,22,0)</f>
        <v>https://search-rtdc-monitor-bjffxe2xuh6vdkpspy63sjmuny.us-east-1.es.amazonaws.com/_plugin/kibana/#/discover/Steve-Slow-Train-Analysis-(2080s-and-2083s)?_g=(refreshInterval:(display:Off,section:0,value:0),time:(from:'2016-11-14 20:09:58-700',mode:absolute,to:'2016-11-14 22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/stypes="*4022*201611150*" /stext=" 04:.+((SYSTEM_STATE.+slice.+state.+changed )|(ment ac)|(system.+state.+changed )|(\[timeout)|(PRM\|1\|D)|(kpr)|(kdp)|(\|lc)|(penalty))" /e /r /s</v>
      </c>
      <c r="U48" s="9" t="str">
        <f>MID(B48,13,4)</f>
        <v>4022</v>
      </c>
      <c r="V48" s="36">
        <f>A48-utc_offset/24</f>
        <v>42689.192766203698</v>
      </c>
      <c r="W48" s="50" t="str">
        <f>IF(VALUE(LEFT(IF(LEN(C48)=6,"0"&amp;C48,C48),2))&lt;=2,"EC",IF(OR(VALUE(LEFT(IF(LEN(C48)=6,"0"&amp;C48,C48),2))=8,VALUE(LEFT(IF(LEN(C48)=6,"0"&amp;C48,C48),2))=18),"NW","Other"))</f>
        <v>NW</v>
      </c>
      <c r="X48" s="50" t="str">
        <f>IF(AND(E48="TRACK WARRANT AUTHORITY",G48&lt;10),"OMIT","KEEP")</f>
        <v>KEEP</v>
      </c>
      <c r="Y48" s="11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{"issue":{"subject":"","project_id":79,"tracker_id":40,"status_id":1,"priority_id":2,"assigned_to_id":23,"start_date":"2016-11-14","description":"","custom_fields":[{"id":1,"name":"Subdivision","value":"NW"},{"id":4,"name":"Milepost","value":"5.9048"},{"id":17,"name":"Train ID","value":"845-14"},{"id":16,"name":"Locomotive ID","value":"4022"},{"id":130,"name":"Impact","value":""},{"id":150,"name":"Time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"%USERPROFILE%\AppData\Local\Temp\OnboardLogs"\RTDC4022\*4022*201611150*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"%USERPROFILE%\AppData\Local\Temp\OnboardLogs"\RTDC4022\*4022*201611150* &gt;&gt; 42688-slicedisagreementcheck.txt</v>
      </c>
    </row>
    <row r="49" spans="1:30" x14ac:dyDescent="0.25">
      <c r="A49" s="36">
        <v>42688.936793981484</v>
      </c>
      <c r="B49" s="31" t="s">
        <v>406</v>
      </c>
      <c r="C49" s="31" t="s">
        <v>436</v>
      </c>
      <c r="D49" s="31" t="s">
        <v>98</v>
      </c>
      <c r="E49" s="31" t="s">
        <v>154</v>
      </c>
      <c r="F49" s="47">
        <v>190</v>
      </c>
      <c r="G49" s="47">
        <v>240</v>
      </c>
      <c r="H49" s="47">
        <v>27015</v>
      </c>
      <c r="I49" s="47">
        <v>27015</v>
      </c>
      <c r="J49" s="31" t="s">
        <v>153</v>
      </c>
      <c r="K49" s="47">
        <v>27350</v>
      </c>
      <c r="L49" s="154" t="s">
        <v>51</v>
      </c>
      <c r="M49" s="155">
        <f>CONVERT((I49-K49)/10000,"mi","ft")*IF(L49="Increasing Mileposts (1)",-1,1)</f>
        <v>-176.88000000000002</v>
      </c>
      <c r="N49" s="156" t="str">
        <f>VLOOKUP(C49,'Trips&amp;Operators'!$C$1:$E$99999,3,FALSE)</f>
        <v>NELSON</v>
      </c>
      <c r="O49" s="183" t="s">
        <v>205</v>
      </c>
      <c r="P49" s="157" t="s">
        <v>827</v>
      </c>
      <c r="Q49" s="31"/>
      <c r="R49" s="100" t="str">
        <f>VLOOKUP(C49,'Train Runs'!$A$13:$AE$10001,31,0)</f>
        <v>aws s3 cp s3://rtdc.mdm.uploadarchive.raw/RTDC4045/ "%USERPROFILE%\AppData\Local\Temp\OnboardLogs"\RTDC4045\2016-11-14 --exclude "*" --recursive --include "*20161114*" &amp; "%USERPROFILE%\Documents\GitHub\mrs-test-scripts\Headless Mode &amp; Sideloading\WalkAndUnGZ.bat" "%USERPROFILE%\AppData\Local\Temp\OnboardLogs"\RTDC4045\2016-11-14 &amp; aws s3 cp s3://rtdc.mdm.uploadarchive.raw/RTDC4045/ "%USERPROFILE%\AppData\Local\Temp\OnboardLogs"\RTDC4045\2016-11-15 --exclude "*" --recursive --include "*20161115*" &amp; "%USERPROFILE%\Documents\GitHub\mrs-test-scripts\Headless Mode &amp; Sideloading\WalkAndUnGZ.bat" "%USERPROFILE%\AppData\Local\Temp\OnboardLogs"\RTDC4045\2016-11-15</v>
      </c>
      <c r="S49" s="103" t="str">
        <f>VLOOKUP(C49,'Train Runs'!$A$13:$AE$10001,22,0)</f>
        <v>https://search-rtdc-monitor-bjffxe2xuh6vdkpspy63sjmuny.us-east-1.es.amazonaws.com/_plugin/kibana/#/discover/Steve-Slow-Train-Analysis-(2080s-and-2083s)?_g=(refreshInterval:(display:Off,section:0,value:0),time:(from:'2016-11-14 20:49:48-700',mode:absolute,to:'2016-11-14 23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/stypes="*4045*201611150*" /stext=" 05:.+((SYSTEM_STATE.+slice.+state.+changed )|(ment ac)|(system.+state.+changed )|(\[timeout)|(PRM\|1\|D)|(kpr)|(kdp)|(\|lc)|(penalty))" /e /r /s</v>
      </c>
      <c r="U49" s="9" t="str">
        <f>MID(B49,13,4)</f>
        <v>4045</v>
      </c>
      <c r="V49" s="36">
        <f>A49-utc_offset/24</f>
        <v>42689.228460648148</v>
      </c>
      <c r="W49" s="50" t="str">
        <f>IF(VALUE(LEFT(IF(LEN(C49)=6,"0"&amp;C49,C49),2))&lt;=2,"EC",IF(OR(VALUE(LEFT(IF(LEN(C49)=6,"0"&amp;C49,C49),2))=8,VALUE(LEFT(IF(LEN(C49)=6,"0"&amp;C49,C49),2))=18),"NW","Other"))</f>
        <v>EC</v>
      </c>
      <c r="X49" s="50" t="str">
        <f>IF(AND(E49="TRACK WARRANT AUTHORITY",G49&lt;10),"OMIT","KEEP")</f>
        <v>KEEP</v>
      </c>
      <c r="Y49" s="11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arrival","project_id":79,"tracker_id":40,"status_id":1,"priority_id":2,"assigned_to_id":23,"start_date":"2016-11-14","description":"","custom_fields":[{"id":1,"name":"Subdivision","value":"EC"},{"id":4,"name":"Milepost","value":"2.735"},{"id":17,"name":"Train ID","value":"230-14"},{"id":16,"name":"Locomotive ID","value":"4045"},{"id":130,"name":"Impact","value":""},{"id":150,"name":"Time of Event (Mountain Time)","value":"22:28:59"},{"id":151,"name":"Denver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"%USERPROFILE%\AppData\Local\Temp\OnboardLogs"\RTDC4045\*4045*201611150*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"%USERPROFILE%\AppData\Local\Temp\OnboardLogs"\RTDC4045\*4045*201611150* &gt;&gt; 42688-slicedisagreementcheck.txt</v>
      </c>
    </row>
    <row r="50" spans="1:30" x14ac:dyDescent="0.25">
      <c r="A50" s="36">
        <v>42689.001932870371</v>
      </c>
      <c r="B50" s="31" t="s">
        <v>270</v>
      </c>
      <c r="C50" s="31" t="s">
        <v>437</v>
      </c>
      <c r="D50" s="31" t="s">
        <v>49</v>
      </c>
      <c r="E50" s="31" t="s">
        <v>210</v>
      </c>
      <c r="F50" s="47">
        <v>0</v>
      </c>
      <c r="G50" s="47">
        <v>64</v>
      </c>
      <c r="H50" s="47">
        <v>223</v>
      </c>
      <c r="I50" s="47">
        <v>149</v>
      </c>
      <c r="J50" s="31" t="s">
        <v>211</v>
      </c>
      <c r="K50" s="47">
        <v>1</v>
      </c>
      <c r="L50" s="154" t="s">
        <v>51</v>
      </c>
      <c r="M50" s="155">
        <f>CONVERT((I50-K50)/10000,"mi","ft")*IF(L50="Increasing Mileposts (1)",-1,1)</f>
        <v>78.144000000000005</v>
      </c>
      <c r="N50" s="156" t="str">
        <f>VLOOKUP(C50,'Trips&amp;Operators'!$C$1:$E$99999,3,FALSE)</f>
        <v>YANAI</v>
      </c>
      <c r="O50" s="183" t="s">
        <v>205</v>
      </c>
      <c r="P50" s="157"/>
      <c r="Q50" s="31"/>
      <c r="R50" s="100" t="str">
        <f>VLOOKUP(C50,'Train Runs'!$A$13:$AE$10001,31,0)</f>
        <v>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 &amp; aws s3 cp s3://rtdc.mdm.uploadarchive.raw/RTDC4010/ "%USERPROFILE%\AppData\Local\Temp\OnboardLogs"\RTDC4010\2016-11-15 --exclude "*" --recursive --include "*20161115*" &amp; "%USERPROFILE%\Documents\GitHub\mrs-test-scripts\Headless Mode &amp; Sideloading\WalkAndUnGZ.bat" "%USERPROFILE%\AppData\Local\Temp\OnboardLogs"\RTDC4010\2016-11-15</v>
      </c>
      <c r="S50" s="103" t="str">
        <f>VLOOKUP(C50,'Train Runs'!$A$13:$AE$10001,22,0)</f>
        <v>https://search-rtdc-monitor-bjffxe2xuh6vdkpspy63sjmuny.us-east-1.es.amazonaws.com/_plugin/kibana/#/discover/Steve-Slow-Train-Analysis-(2080s-and-2083s)?_g=(refreshInterval:(display:Off,section:0,value:0),time:(from:'2016-11-14 22:07:26-700',mode:absolute,to:'2016-11-15 01:02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/stypes="*4010*201611150*" /stext=" 07:.+((SYSTEM_STATE.+slice.+state.+changed )|(ment ac)|(system.+state.+changed )|(\[timeout)|(PRM\|1\|D)|(kpr)|(kdp)|(\|lc)|(penalty))" /e /r /s</v>
      </c>
      <c r="U50" s="9" t="str">
        <f>MID(B50,13,4)</f>
        <v>4010</v>
      </c>
      <c r="V50" s="36">
        <f>A50-utc_offset/24</f>
        <v>42689.293599537035</v>
      </c>
      <c r="W50" s="50" t="str">
        <f>IF(VALUE(LEFT(IF(LEN(C50)=6,"0"&amp;C50,C50),2))&lt;=2,"EC",IF(OR(VALUE(LEFT(IF(LEN(C50)=6,"0"&amp;C50,C50),2))=8,VALUE(LEFT(IF(LEN(C50)=6,"0"&amp;C50,C50),2))=18),"NW","Other"))</f>
        <v>EC</v>
      </c>
      <c r="X50" s="50" t="str">
        <f>IF(AND(E50="TRACK WARRANT AUTHORITY",G50&lt;10),"OMIT","KEEP")</f>
        <v>KEEP</v>
      </c>
      <c r="Y50" s="11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ID","value":"236-14"},{"id":16,"name":"Locomotive ID","value":"4010"},{"id":130,"name":"Impact","value":""},{"id":150,"name":"Time of Event (Mountain Time)","value":"00:02:47"},{"id":151,"name":"Denver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"%USERPROFILE%\AppData\Local\Temp\OnboardLogs"\RTDC4010\*4010*201611150*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"%USERPROFILE%\AppData\Local\Temp\OnboardLogs"\RTDC4010\*4010*201611150* &gt;&gt; 42688-slicedisagreementcheck.txt</v>
      </c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3">
    <sortState ref="A7:AC50">
      <sortCondition ref="V6:V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50">
    <cfRule type="cellIs" dxfId="6" priority="36" operator="equal">
      <formula>"Y"</formula>
    </cfRule>
  </conditionalFormatting>
  <conditionalFormatting sqref="O2:O3">
    <cfRule type="cellIs" dxfId="5" priority="27" operator="equal">
      <formula>"Y"</formula>
    </cfRule>
  </conditionalFormatting>
  <conditionalFormatting sqref="A7:P50">
    <cfRule type="expression" dxfId="4" priority="20">
      <formula>$O7="Y"</formula>
    </cfRule>
  </conditionalFormatting>
  <hyperlinks>
    <hyperlink ref="Z45" r:id="rId1"/>
    <hyperlink ref="Z44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2016-11-14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-14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3" s="31" t="e">
        <f>VLOOKUP(B3,'Train Runs'!$A$13:$A$99998,1,FALSE)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/>
      <c r="B4" s="47" t="str">
        <f>A4&amp;"-"&amp;IF(DAY(Variables!$A$2)&lt;10,0,"")&amp;DAY(Variables!$A$2)</f>
        <v>-14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4" s="31" t="e">
        <f>VLOOKUP(B4,'Train Runs'!$A$13:$A$99998,1,FALSE)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/>
      <c r="B5" s="47" t="str">
        <f>A5&amp;"-"&amp;IF(DAY(Variables!$A$2)&lt;10,0,"")&amp;DAY(Variables!$A$2)</f>
        <v>-14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5" s="31" t="e">
        <f>VLOOKUP(B5,'Train Runs'!$A$13:$A$99998,1,FALSE)</f>
        <v>#N/A</v>
      </c>
      <c r="K5" s="31" t="e">
        <f t="shared" si="1"/>
        <v>#N/A</v>
      </c>
    </row>
    <row r="6" spans="1:11" x14ac:dyDescent="0.25">
      <c r="A6" s="179"/>
      <c r="B6" s="47" t="str">
        <f>A6&amp;"-"&amp;IF(DAY(Variables!$A$2)&lt;10,0,"")&amp;DAY(Variables!$A$2)</f>
        <v>-14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6" s="31" t="e">
        <f>VLOOKUP(B6,'Train Runs'!$A$13:$A$99998,1,FALSE)</f>
        <v>#N/A</v>
      </c>
      <c r="K6" s="31" t="e">
        <f t="shared" si="1"/>
        <v>#N/A</v>
      </c>
    </row>
    <row r="7" spans="1:11" x14ac:dyDescent="0.25">
      <c r="A7" s="179"/>
      <c r="B7" s="47" t="str">
        <f>A7&amp;"-"&amp;IF(DAY(Variables!$A$2)&lt;10,0,"")&amp;DAY(Variables!$A$2)</f>
        <v>-14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7" s="31" t="e">
        <f>VLOOKUP(B7,'Train Runs'!$A$13:$A$99998,1,FALSE)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-14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8" s="31" t="e">
        <f>VLOOKUP(B8,'Train Runs'!$A$13:$A$99998,1,FALSE)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-14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9" s="31" t="e">
        <f>VLOOKUP(B9,'Train Runs'!$A$13:$A$99998,1,FALSE)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-14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0" s="31" t="e">
        <f>VLOOKUP(B10,'Train Runs'!$A$13:$A$99998,1,FALSE)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-14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1" s="31" t="e">
        <f>VLOOKUP(B11,'Train Runs'!$A$13:$A$99998,1,FALSE)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35" workbookViewId="0">
      <selection activeCell="E249" sqref="E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42687.991689814815</v>
      </c>
      <c r="B2" s="21" t="s">
        <v>233</v>
      </c>
      <c r="C2" s="21" t="s">
        <v>361</v>
      </c>
      <c r="D2" s="21">
        <v>1180000</v>
      </c>
      <c r="E2" s="21" t="s">
        <v>357</v>
      </c>
      <c r="F2" s="21" t="str">
        <f t="shared" ref="F2:F65" si="0">B2</f>
        <v>rtdc.l.rtdc.4032:itc</v>
      </c>
      <c r="G2" s="8">
        <f t="shared" ref="G2:G65" si="1">A2</f>
        <v>42687.991689814815</v>
      </c>
    </row>
    <row r="3" spans="1:7" x14ac:dyDescent="0.25">
      <c r="A3" s="8">
        <v>42688.011562500003</v>
      </c>
      <c r="B3" s="21" t="s">
        <v>351</v>
      </c>
      <c r="C3" s="21" t="s">
        <v>362</v>
      </c>
      <c r="D3" s="21">
        <v>2250000</v>
      </c>
      <c r="E3" s="21" t="s">
        <v>355</v>
      </c>
      <c r="F3" s="21" t="str">
        <f t="shared" si="0"/>
        <v>rtdc.l.rtdc.4008:itc</v>
      </c>
      <c r="G3" s="8">
        <f t="shared" si="1"/>
        <v>42688.011562500003</v>
      </c>
    </row>
    <row r="4" spans="1:7" x14ac:dyDescent="0.25">
      <c r="A4" s="8">
        <v>42688.020138888889</v>
      </c>
      <c r="B4" s="21" t="s">
        <v>189</v>
      </c>
      <c r="C4" s="21" t="s">
        <v>363</v>
      </c>
      <c r="D4" s="21">
        <v>1800000</v>
      </c>
      <c r="E4" s="21" t="s">
        <v>322</v>
      </c>
      <c r="F4" s="21" t="str">
        <f t="shared" si="0"/>
        <v>rtdc.l.rtdc.4044:itc</v>
      </c>
      <c r="G4" s="8">
        <f t="shared" si="1"/>
        <v>42688.020138888889</v>
      </c>
    </row>
    <row r="5" spans="1:7" x14ac:dyDescent="0.25">
      <c r="A5" s="8">
        <v>42688.027141203704</v>
      </c>
      <c r="B5" s="21" t="s">
        <v>244</v>
      </c>
      <c r="C5" s="21" t="s">
        <v>364</v>
      </c>
      <c r="D5" s="21">
        <v>1180000</v>
      </c>
      <c r="E5" s="21" t="s">
        <v>357</v>
      </c>
      <c r="F5" s="21" t="str">
        <f t="shared" si="0"/>
        <v>rtdc.l.rtdc.4031:itc</v>
      </c>
      <c r="G5" s="8">
        <f t="shared" si="1"/>
        <v>42688.027141203704</v>
      </c>
    </row>
    <row r="6" spans="1:7" x14ac:dyDescent="0.25">
      <c r="A6" s="8">
        <v>42688.028749999998</v>
      </c>
      <c r="B6" s="21" t="s">
        <v>244</v>
      </c>
      <c r="C6" s="21" t="s">
        <v>364</v>
      </c>
      <c r="D6" s="21">
        <v>1180000</v>
      </c>
      <c r="E6" s="21" t="s">
        <v>357</v>
      </c>
      <c r="F6" s="21" t="str">
        <f t="shared" si="0"/>
        <v>rtdc.l.rtdc.4031:itc</v>
      </c>
      <c r="G6" s="8">
        <f t="shared" si="1"/>
        <v>42688.028749999998</v>
      </c>
    </row>
    <row r="7" spans="1:7" x14ac:dyDescent="0.25">
      <c r="A7" s="8">
        <v>42688.033252314817</v>
      </c>
      <c r="B7" s="21" t="s">
        <v>333</v>
      </c>
      <c r="C7" s="21" t="s">
        <v>365</v>
      </c>
      <c r="D7" s="21">
        <v>1810000</v>
      </c>
      <c r="E7" s="21" t="s">
        <v>336</v>
      </c>
      <c r="F7" s="21" t="str">
        <f t="shared" si="0"/>
        <v>rtdc.l.rtdc.4013:itc</v>
      </c>
      <c r="G7" s="8">
        <f t="shared" si="1"/>
        <v>42688.033252314817</v>
      </c>
    </row>
    <row r="8" spans="1:7" x14ac:dyDescent="0.25">
      <c r="A8" s="8">
        <v>42688.047210648147</v>
      </c>
      <c r="B8" s="21" t="s">
        <v>353</v>
      </c>
      <c r="C8" s="21" t="s">
        <v>366</v>
      </c>
      <c r="D8" s="21">
        <v>2250000</v>
      </c>
      <c r="E8" s="21" t="s">
        <v>355</v>
      </c>
      <c r="F8" s="21" t="str">
        <f t="shared" si="0"/>
        <v>rtdc.l.rtdc.4007:itc</v>
      </c>
      <c r="G8" s="8">
        <f t="shared" si="1"/>
        <v>42688.047210648147</v>
      </c>
    </row>
    <row r="9" spans="1:7" ht="15.75" thickBot="1" x14ac:dyDescent="0.3">
      <c r="A9" s="25">
        <v>42688.050729166665</v>
      </c>
      <c r="B9" s="21" t="s">
        <v>262</v>
      </c>
      <c r="C9" s="21" t="s">
        <v>367</v>
      </c>
      <c r="D9" s="21">
        <v>1800000</v>
      </c>
      <c r="E9" s="21" t="s">
        <v>322</v>
      </c>
      <c r="F9" s="21" t="str">
        <f t="shared" si="0"/>
        <v>rtdc.l.rtdc.4043:itc</v>
      </c>
      <c r="G9" s="8">
        <f t="shared" si="1"/>
        <v>42688.050729166665</v>
      </c>
    </row>
    <row r="10" spans="1:7" x14ac:dyDescent="0.25">
      <c r="A10" s="8">
        <v>42688.068715277775</v>
      </c>
      <c r="B10" s="21" t="s">
        <v>332</v>
      </c>
      <c r="C10" s="21" t="s">
        <v>368</v>
      </c>
      <c r="D10" s="21">
        <v>1810000</v>
      </c>
      <c r="E10" s="21" t="s">
        <v>336</v>
      </c>
      <c r="F10" s="21" t="str">
        <f t="shared" si="0"/>
        <v>rtdc.l.rtdc.4014:itc</v>
      </c>
      <c r="G10" s="8">
        <f t="shared" si="1"/>
        <v>42688.068715277775</v>
      </c>
    </row>
    <row r="11" spans="1:7" x14ac:dyDescent="0.25">
      <c r="A11" s="8">
        <v>42688.097662037035</v>
      </c>
      <c r="B11" s="21" t="s">
        <v>189</v>
      </c>
      <c r="C11" s="21" t="s">
        <v>397</v>
      </c>
      <c r="D11" s="21">
        <v>1800000</v>
      </c>
      <c r="E11" s="21" t="s">
        <v>322</v>
      </c>
      <c r="F11" s="21" t="str">
        <f t="shared" si="0"/>
        <v>rtdc.l.rtdc.4044:itc</v>
      </c>
      <c r="G11" s="8">
        <f t="shared" si="1"/>
        <v>42688.097662037035</v>
      </c>
    </row>
    <row r="12" spans="1:7" x14ac:dyDescent="0.25">
      <c r="A12" s="8">
        <v>42688.098356481481</v>
      </c>
      <c r="B12" s="21" t="s">
        <v>189</v>
      </c>
      <c r="C12" s="21" t="s">
        <v>397</v>
      </c>
      <c r="D12" s="21">
        <v>1800000</v>
      </c>
      <c r="E12" s="21" t="s">
        <v>322</v>
      </c>
      <c r="F12" s="21" t="str">
        <f t="shared" si="0"/>
        <v>rtdc.l.rtdc.4044:itc</v>
      </c>
      <c r="G12" s="8">
        <f t="shared" si="1"/>
        <v>42688.098356481481</v>
      </c>
    </row>
    <row r="13" spans="1:7" x14ac:dyDescent="0.25">
      <c r="A13" s="8">
        <v>42688.119502314818</v>
      </c>
      <c r="B13" s="21" t="s">
        <v>261</v>
      </c>
      <c r="C13" s="21" t="s">
        <v>438</v>
      </c>
      <c r="D13" s="21">
        <v>1240000</v>
      </c>
      <c r="E13" s="21" t="s">
        <v>439</v>
      </c>
      <c r="F13" s="21" t="str">
        <f t="shared" si="0"/>
        <v>rtdc.l.rtdc.4015:itc</v>
      </c>
      <c r="G13" s="8">
        <f t="shared" si="1"/>
        <v>42688.119502314818</v>
      </c>
    </row>
    <row r="14" spans="1:7" x14ac:dyDescent="0.25">
      <c r="A14" s="8">
        <v>42688.130150462966</v>
      </c>
      <c r="B14" s="21" t="s">
        <v>440</v>
      </c>
      <c r="C14" s="21" t="s">
        <v>441</v>
      </c>
      <c r="D14" s="21">
        <v>1240000</v>
      </c>
      <c r="E14" s="21" t="s">
        <v>439</v>
      </c>
      <c r="F14" s="21" t="str">
        <f t="shared" si="0"/>
        <v>rtdc.l.rtdc.4046:itc</v>
      </c>
      <c r="G14" s="8">
        <f t="shared" si="1"/>
        <v>42688.130150462966</v>
      </c>
    </row>
    <row r="15" spans="1:7" x14ac:dyDescent="0.25">
      <c r="A15" s="8">
        <v>42688.141655092593</v>
      </c>
      <c r="B15" s="21" t="s">
        <v>217</v>
      </c>
      <c r="C15" s="21" t="s">
        <v>442</v>
      </c>
      <c r="D15" s="21">
        <v>2140000</v>
      </c>
      <c r="E15" s="21" t="s">
        <v>443</v>
      </c>
      <c r="F15" s="21" t="str">
        <f t="shared" si="0"/>
        <v>rtdc.l.rtdc.4030:itc</v>
      </c>
      <c r="G15" s="8">
        <f t="shared" si="1"/>
        <v>42688.141655092593</v>
      </c>
    </row>
    <row r="16" spans="1:7" x14ac:dyDescent="0.25">
      <c r="A16" s="8">
        <v>42688.15179398148</v>
      </c>
      <c r="B16" s="21" t="s">
        <v>287</v>
      </c>
      <c r="C16" s="21" t="s">
        <v>444</v>
      </c>
      <c r="D16" s="21">
        <v>2140000</v>
      </c>
      <c r="E16" s="21" t="s">
        <v>443</v>
      </c>
      <c r="F16" s="21" t="str">
        <f t="shared" si="0"/>
        <v>rtdc.l.rtdc.4053:itc</v>
      </c>
      <c r="G16" s="8">
        <f t="shared" si="1"/>
        <v>42688.15179398148</v>
      </c>
    </row>
    <row r="17" spans="1:7" x14ac:dyDescent="0.25">
      <c r="A17" s="8">
        <v>42688.159837962965</v>
      </c>
      <c r="B17" s="21" t="s">
        <v>235</v>
      </c>
      <c r="C17" s="21" t="s">
        <v>445</v>
      </c>
      <c r="D17" s="21">
        <v>2110000</v>
      </c>
      <c r="E17" s="21" t="s">
        <v>335</v>
      </c>
      <c r="F17" s="21" t="str">
        <f t="shared" si="0"/>
        <v>rtdc.l.rtdc.4004:itc</v>
      </c>
      <c r="G17" s="8">
        <f t="shared" si="1"/>
        <v>42688.159837962965</v>
      </c>
    </row>
    <row r="18" spans="1:7" x14ac:dyDescent="0.25">
      <c r="A18" s="8">
        <v>42688.160451388889</v>
      </c>
      <c r="B18" s="21" t="s">
        <v>235</v>
      </c>
      <c r="C18" s="21" t="s">
        <v>445</v>
      </c>
      <c r="D18" s="21">
        <v>2110000</v>
      </c>
      <c r="E18" s="21" t="s">
        <v>335</v>
      </c>
      <c r="F18" s="21" t="str">
        <f t="shared" si="0"/>
        <v>rtdc.l.rtdc.4004:itc</v>
      </c>
      <c r="G18" s="8">
        <f t="shared" si="1"/>
        <v>42688.160451388889</v>
      </c>
    </row>
    <row r="19" spans="1:7" x14ac:dyDescent="0.25">
      <c r="A19" s="8">
        <v>42688.16138888889</v>
      </c>
      <c r="B19" s="21" t="s">
        <v>235</v>
      </c>
      <c r="C19" s="21" t="s">
        <v>445</v>
      </c>
      <c r="D19" s="21">
        <v>2110000</v>
      </c>
      <c r="E19" s="21" t="s">
        <v>335</v>
      </c>
      <c r="F19" s="21" t="str">
        <f t="shared" si="0"/>
        <v>rtdc.l.rtdc.4004:itc</v>
      </c>
      <c r="G19" s="8">
        <f t="shared" si="1"/>
        <v>42688.16138888889</v>
      </c>
    </row>
    <row r="20" spans="1:7" x14ac:dyDescent="0.25">
      <c r="A20" s="8">
        <v>42688.165451388886</v>
      </c>
      <c r="B20" s="21" t="s">
        <v>270</v>
      </c>
      <c r="C20" s="21" t="s">
        <v>446</v>
      </c>
      <c r="D20" s="21">
        <v>2100000</v>
      </c>
      <c r="E20" s="21" t="s">
        <v>447</v>
      </c>
      <c r="F20" s="21" t="str">
        <f t="shared" si="0"/>
        <v>rtdc.l.rtdc.4010:itc</v>
      </c>
      <c r="G20" s="8">
        <f t="shared" si="1"/>
        <v>42688.165451388886</v>
      </c>
    </row>
    <row r="21" spans="1:7" x14ac:dyDescent="0.25">
      <c r="A21" s="8">
        <v>42688.169108796297</v>
      </c>
      <c r="B21" s="21" t="s">
        <v>261</v>
      </c>
      <c r="C21" s="21" t="s">
        <v>448</v>
      </c>
      <c r="D21" s="21">
        <v>1240000</v>
      </c>
      <c r="E21" s="21" t="s">
        <v>439</v>
      </c>
      <c r="F21" s="21" t="str">
        <f t="shared" si="0"/>
        <v>rtdc.l.rtdc.4015:itc</v>
      </c>
      <c r="G21" s="8">
        <f t="shared" si="1"/>
        <v>42688.169108796297</v>
      </c>
    </row>
    <row r="22" spans="1:7" x14ac:dyDescent="0.25">
      <c r="A22" s="27">
        <v>42688.173472222225</v>
      </c>
      <c r="B22" s="21" t="s">
        <v>220</v>
      </c>
      <c r="C22" s="21" t="s">
        <v>449</v>
      </c>
      <c r="D22" s="21">
        <v>2110000</v>
      </c>
      <c r="E22" s="21" t="s">
        <v>335</v>
      </c>
      <c r="F22" s="21" t="str">
        <f t="shared" si="0"/>
        <v>rtdc.l.rtdc.4011:itc</v>
      </c>
      <c r="G22" s="8">
        <f t="shared" si="1"/>
        <v>42688.173472222225</v>
      </c>
    </row>
    <row r="23" spans="1:7" x14ac:dyDescent="0.25">
      <c r="A23" s="8">
        <v>42688.177928240744</v>
      </c>
      <c r="B23" s="21" t="s">
        <v>187</v>
      </c>
      <c r="C23" s="21" t="s">
        <v>450</v>
      </c>
      <c r="D23" s="21">
        <v>2100000</v>
      </c>
      <c r="E23" s="21" t="s">
        <v>447</v>
      </c>
      <c r="F23" s="21" t="str">
        <f t="shared" si="0"/>
        <v>rtdc.l.rtdc.4009:itc</v>
      </c>
      <c r="G23" s="8">
        <f t="shared" si="1"/>
        <v>42688.177928240744</v>
      </c>
    </row>
    <row r="24" spans="1:7" x14ac:dyDescent="0.25">
      <c r="A24" s="8">
        <v>42688.18241898148</v>
      </c>
      <c r="B24" s="21" t="s">
        <v>232</v>
      </c>
      <c r="C24" s="21" t="s">
        <v>451</v>
      </c>
      <c r="D24" s="21">
        <v>2230000</v>
      </c>
      <c r="E24" s="21" t="s">
        <v>356</v>
      </c>
      <c r="F24" s="21" t="str">
        <f t="shared" si="0"/>
        <v>rtdc.l.rtdc.4039:itc</v>
      </c>
      <c r="G24" s="8">
        <f t="shared" si="1"/>
        <v>42688.18241898148</v>
      </c>
    </row>
    <row r="25" spans="1:7" x14ac:dyDescent="0.25">
      <c r="A25" s="8">
        <v>42688.189305555556</v>
      </c>
      <c r="B25" s="21" t="s">
        <v>217</v>
      </c>
      <c r="C25" s="21" t="s">
        <v>399</v>
      </c>
      <c r="D25" s="21">
        <v>2140000</v>
      </c>
      <c r="E25" s="21" t="s">
        <v>443</v>
      </c>
      <c r="F25" s="21" t="str">
        <f t="shared" si="0"/>
        <v>rtdc.l.rtdc.4030:itc</v>
      </c>
      <c r="G25" s="8">
        <f t="shared" si="1"/>
        <v>42688.189305555556</v>
      </c>
    </row>
    <row r="26" spans="1:7" x14ac:dyDescent="0.25">
      <c r="A26" s="8">
        <v>42688.194895833331</v>
      </c>
      <c r="B26" s="21" t="s">
        <v>225</v>
      </c>
      <c r="C26" s="21" t="s">
        <v>452</v>
      </c>
      <c r="D26" s="21">
        <v>2230000</v>
      </c>
      <c r="E26" s="21" t="s">
        <v>356</v>
      </c>
      <c r="F26" s="21" t="str">
        <f t="shared" si="0"/>
        <v>rtdc.l.rtdc.4040:itc</v>
      </c>
      <c r="G26" s="8">
        <f t="shared" si="1"/>
        <v>42688.194895833331</v>
      </c>
    </row>
    <row r="27" spans="1:7" x14ac:dyDescent="0.25">
      <c r="A27" s="8">
        <v>42688.205034722225</v>
      </c>
      <c r="B27" s="21" t="s">
        <v>288</v>
      </c>
      <c r="C27" s="21" t="s">
        <v>398</v>
      </c>
      <c r="D27" s="21">
        <v>2360000</v>
      </c>
      <c r="E27" s="21" t="s">
        <v>453</v>
      </c>
      <c r="F27" s="21" t="str">
        <f t="shared" si="0"/>
        <v>rtdc.l.rtdc.4038:itc</v>
      </c>
      <c r="G27" s="8">
        <f t="shared" si="1"/>
        <v>42688.205034722225</v>
      </c>
    </row>
    <row r="28" spans="1:7" x14ac:dyDescent="0.25">
      <c r="A28" s="8">
        <v>42688.211041666669</v>
      </c>
      <c r="B28" s="21" t="s">
        <v>440</v>
      </c>
      <c r="C28" s="21" t="s">
        <v>454</v>
      </c>
      <c r="D28" s="21">
        <v>2280000</v>
      </c>
      <c r="E28" s="21" t="s">
        <v>455</v>
      </c>
      <c r="F28" s="21" t="str">
        <f t="shared" si="0"/>
        <v>rtdc.l.rtdc.4046:itc</v>
      </c>
      <c r="G28" s="8">
        <f t="shared" si="1"/>
        <v>42688.211041666669</v>
      </c>
    </row>
    <row r="29" spans="1:7" x14ac:dyDescent="0.25">
      <c r="A29" s="8">
        <v>42688.213368055556</v>
      </c>
      <c r="B29" s="21" t="s">
        <v>259</v>
      </c>
      <c r="C29" s="21" t="s">
        <v>456</v>
      </c>
      <c r="D29" s="21">
        <v>1240000</v>
      </c>
      <c r="E29" s="21" t="s">
        <v>439</v>
      </c>
      <c r="F29" s="21" t="str">
        <f t="shared" si="0"/>
        <v>rtdc.l.rtdc.4016:itc</v>
      </c>
      <c r="G29" s="8">
        <f t="shared" si="1"/>
        <v>42688.213368055556</v>
      </c>
    </row>
    <row r="30" spans="1:7" x14ac:dyDescent="0.25">
      <c r="A30" s="8">
        <v>42688.213437500002</v>
      </c>
      <c r="B30" s="21" t="s">
        <v>235</v>
      </c>
      <c r="C30" s="21" t="s">
        <v>400</v>
      </c>
      <c r="D30" s="21">
        <v>2110000</v>
      </c>
      <c r="E30" s="21" t="s">
        <v>335</v>
      </c>
      <c r="F30" s="21" t="str">
        <f t="shared" si="0"/>
        <v>rtdc.l.rtdc.4004:itc</v>
      </c>
      <c r="G30" s="8">
        <f t="shared" si="1"/>
        <v>42688.213437500002</v>
      </c>
    </row>
    <row r="31" spans="1:7" x14ac:dyDescent="0.25">
      <c r="A31" s="8">
        <v>42688.21465277778</v>
      </c>
      <c r="B31" s="21" t="s">
        <v>292</v>
      </c>
      <c r="C31" s="21" t="s">
        <v>457</v>
      </c>
      <c r="D31" s="21">
        <v>2360000</v>
      </c>
      <c r="E31" s="21" t="s">
        <v>453</v>
      </c>
      <c r="F31" s="21" t="str">
        <f t="shared" si="0"/>
        <v>rtdc.l.rtdc.4037:itc</v>
      </c>
      <c r="G31" s="8">
        <f t="shared" si="1"/>
        <v>42688.21465277778</v>
      </c>
    </row>
    <row r="32" spans="1:7" x14ac:dyDescent="0.25">
      <c r="A32" s="8">
        <v>42688.221921296295</v>
      </c>
      <c r="B32" s="21" t="s">
        <v>270</v>
      </c>
      <c r="C32" s="21" t="s">
        <v>401</v>
      </c>
      <c r="D32" s="21">
        <v>2100000</v>
      </c>
      <c r="E32" s="21" t="s">
        <v>447</v>
      </c>
      <c r="F32" s="21" t="str">
        <f t="shared" si="0"/>
        <v>rtdc.l.rtdc.4010:itc</v>
      </c>
      <c r="G32" s="8">
        <f t="shared" si="1"/>
        <v>42688.221921296295</v>
      </c>
    </row>
    <row r="33" spans="1:7" x14ac:dyDescent="0.25">
      <c r="A33" s="8">
        <v>42688.228726851848</v>
      </c>
      <c r="B33" s="21" t="s">
        <v>288</v>
      </c>
      <c r="C33" s="21" t="s">
        <v>458</v>
      </c>
      <c r="D33" s="21">
        <v>2360000</v>
      </c>
      <c r="E33" s="21" t="s">
        <v>453</v>
      </c>
      <c r="F33" s="21" t="str">
        <f t="shared" si="0"/>
        <v>rtdc.l.rtdc.4038:itc</v>
      </c>
      <c r="G33" s="8">
        <f t="shared" si="1"/>
        <v>42688.228726851848</v>
      </c>
    </row>
    <row r="34" spans="1:7" x14ac:dyDescent="0.25">
      <c r="A34" s="8">
        <v>42688.229166666664</v>
      </c>
      <c r="B34" s="21" t="s">
        <v>459</v>
      </c>
      <c r="C34" s="21" t="s">
        <v>460</v>
      </c>
      <c r="D34" s="21">
        <v>2090000</v>
      </c>
      <c r="E34" s="21" t="s">
        <v>352</v>
      </c>
      <c r="F34" s="21" t="str">
        <f t="shared" si="0"/>
        <v>rtdc.l.rtdc.4018:itc</v>
      </c>
      <c r="G34" s="8">
        <f t="shared" si="1"/>
        <v>42688.229166666664</v>
      </c>
    </row>
    <row r="35" spans="1:7" x14ac:dyDescent="0.25">
      <c r="A35" s="8">
        <v>42688.233113425929</v>
      </c>
      <c r="B35" s="21" t="s">
        <v>232</v>
      </c>
      <c r="C35" s="21" t="s">
        <v>461</v>
      </c>
      <c r="D35" s="21">
        <v>2230000</v>
      </c>
      <c r="E35" s="21" t="s">
        <v>356</v>
      </c>
      <c r="F35" s="21" t="str">
        <f t="shared" si="0"/>
        <v>rtdc.l.rtdc.4039:itc</v>
      </c>
      <c r="G35" s="8">
        <f t="shared" si="1"/>
        <v>42688.233113425929</v>
      </c>
    </row>
    <row r="36" spans="1:7" x14ac:dyDescent="0.25">
      <c r="A36" s="8">
        <v>42688.236759259256</v>
      </c>
      <c r="B36" s="21" t="s">
        <v>287</v>
      </c>
      <c r="C36" s="21" t="s">
        <v>462</v>
      </c>
      <c r="D36" s="21">
        <v>2140000</v>
      </c>
      <c r="E36" s="21" t="s">
        <v>443</v>
      </c>
      <c r="F36" s="21" t="str">
        <f t="shared" si="0"/>
        <v>rtdc.l.rtdc.4053:itc</v>
      </c>
      <c r="G36" s="8">
        <f t="shared" si="1"/>
        <v>42688.236759259256</v>
      </c>
    </row>
    <row r="37" spans="1:7" x14ac:dyDescent="0.25">
      <c r="A37" s="8">
        <v>42688.241006944445</v>
      </c>
      <c r="B37" s="21" t="s">
        <v>273</v>
      </c>
      <c r="C37" s="21" t="s">
        <v>463</v>
      </c>
      <c r="D37" s="21">
        <v>2350000</v>
      </c>
      <c r="E37" s="21" t="s">
        <v>464</v>
      </c>
      <c r="F37" s="21" t="str">
        <f t="shared" si="0"/>
        <v>rtdc.l.rtdc.4021:itc</v>
      </c>
      <c r="G37" s="8">
        <f t="shared" si="1"/>
        <v>42688.241006944445</v>
      </c>
    </row>
    <row r="38" spans="1:7" x14ac:dyDescent="0.25">
      <c r="A38" s="8">
        <v>42688.241689814815</v>
      </c>
      <c r="B38" s="21" t="s">
        <v>235</v>
      </c>
      <c r="C38" s="21" t="s">
        <v>400</v>
      </c>
      <c r="D38" s="21">
        <v>2110000</v>
      </c>
      <c r="E38" s="21" t="s">
        <v>335</v>
      </c>
      <c r="F38" s="21" t="str">
        <f t="shared" si="0"/>
        <v>rtdc.l.rtdc.4004:itc</v>
      </c>
      <c r="G38" s="8">
        <f t="shared" si="1"/>
        <v>42688.241689814815</v>
      </c>
    </row>
    <row r="39" spans="1:7" x14ac:dyDescent="0.25">
      <c r="A39" s="8">
        <v>42688.245011574072</v>
      </c>
      <c r="B39" s="21" t="s">
        <v>216</v>
      </c>
      <c r="C39" s="21" t="s">
        <v>402</v>
      </c>
      <c r="D39" s="21">
        <v>2110000</v>
      </c>
      <c r="E39" s="21" t="s">
        <v>335</v>
      </c>
      <c r="F39" s="21" t="str">
        <f t="shared" si="0"/>
        <v>rtdc.l.rtdc.4029:itc</v>
      </c>
      <c r="G39" s="8">
        <f t="shared" si="1"/>
        <v>42688.245011574072</v>
      </c>
    </row>
    <row r="40" spans="1:7" x14ac:dyDescent="0.25">
      <c r="A40" s="8">
        <v>42688.246655092589</v>
      </c>
      <c r="B40" s="26" t="s">
        <v>406</v>
      </c>
      <c r="C40" s="21" t="s">
        <v>465</v>
      </c>
      <c r="D40" s="21">
        <v>2280000</v>
      </c>
      <c r="E40" s="21" t="s">
        <v>455</v>
      </c>
      <c r="F40" s="21" t="str">
        <f t="shared" si="0"/>
        <v>rtdc.l.rtdc.4045:itc</v>
      </c>
      <c r="G40" s="8">
        <f t="shared" si="1"/>
        <v>42688.246655092589</v>
      </c>
    </row>
    <row r="41" spans="1:7" x14ac:dyDescent="0.25">
      <c r="A41" s="8">
        <v>42688.250474537039</v>
      </c>
      <c r="B41" s="21" t="s">
        <v>270</v>
      </c>
      <c r="C41" s="21" t="s">
        <v>401</v>
      </c>
      <c r="D41" s="21">
        <v>2100000</v>
      </c>
      <c r="E41" s="21" t="s">
        <v>447</v>
      </c>
      <c r="F41" s="21" t="str">
        <f t="shared" si="0"/>
        <v>rtdc.l.rtdc.4010:itc</v>
      </c>
      <c r="G41" s="8">
        <f t="shared" si="1"/>
        <v>42688.250474537039</v>
      </c>
    </row>
    <row r="42" spans="1:7" x14ac:dyDescent="0.25">
      <c r="A42" s="8">
        <v>42688.253888888888</v>
      </c>
      <c r="B42" s="21" t="s">
        <v>261</v>
      </c>
      <c r="C42" s="21" t="s">
        <v>466</v>
      </c>
      <c r="D42" s="21">
        <v>1240000</v>
      </c>
      <c r="E42" s="21" t="s">
        <v>439</v>
      </c>
      <c r="F42" s="21" t="str">
        <f t="shared" si="0"/>
        <v>rtdc.l.rtdc.4015:itc</v>
      </c>
      <c r="G42" s="8">
        <f t="shared" si="1"/>
        <v>42688.253888888888</v>
      </c>
    </row>
    <row r="43" spans="1:7" x14ac:dyDescent="0.25">
      <c r="A43" s="8">
        <v>42688.255555555559</v>
      </c>
      <c r="B43" s="21" t="s">
        <v>292</v>
      </c>
      <c r="C43" s="21" t="s">
        <v>467</v>
      </c>
      <c r="D43" s="21">
        <v>2360000</v>
      </c>
      <c r="E43" s="21" t="s">
        <v>453</v>
      </c>
      <c r="F43" s="21" t="str">
        <f t="shared" si="0"/>
        <v>rtdc.l.rtdc.4037:itc</v>
      </c>
      <c r="G43" s="8">
        <f t="shared" si="1"/>
        <v>42688.255555555559</v>
      </c>
    </row>
    <row r="44" spans="1:7" x14ac:dyDescent="0.25">
      <c r="A44" s="8">
        <v>42688.259872685187</v>
      </c>
      <c r="B44" s="21" t="s">
        <v>187</v>
      </c>
      <c r="C44" s="21" t="s">
        <v>468</v>
      </c>
      <c r="D44" s="21">
        <v>2100000</v>
      </c>
      <c r="E44" s="21" t="s">
        <v>447</v>
      </c>
      <c r="F44" s="21" t="str">
        <f t="shared" si="0"/>
        <v>rtdc.l.rtdc.4009:itc</v>
      </c>
      <c r="G44" s="8">
        <f t="shared" si="1"/>
        <v>42688.259872685187</v>
      </c>
    </row>
    <row r="45" spans="1:7" x14ac:dyDescent="0.25">
      <c r="A45" s="8">
        <v>42688.263622685183</v>
      </c>
      <c r="B45" s="21" t="s">
        <v>271</v>
      </c>
      <c r="C45" s="21" t="s">
        <v>469</v>
      </c>
      <c r="D45" s="21">
        <v>2350000</v>
      </c>
      <c r="E45" s="21" t="s">
        <v>464</v>
      </c>
      <c r="F45" s="21" t="str">
        <f t="shared" si="0"/>
        <v>rtdc.l.rtdc.4022:itc</v>
      </c>
      <c r="G45" s="8">
        <f t="shared" si="1"/>
        <v>42688.263622685183</v>
      </c>
    </row>
    <row r="46" spans="1:7" x14ac:dyDescent="0.25">
      <c r="A46" s="8">
        <v>42688.266006944446</v>
      </c>
      <c r="B46" s="21" t="s">
        <v>358</v>
      </c>
      <c r="C46" s="21" t="s">
        <v>470</v>
      </c>
      <c r="D46" s="21">
        <v>2090000</v>
      </c>
      <c r="E46" s="21" t="s">
        <v>352</v>
      </c>
      <c r="F46" s="21" t="str">
        <f t="shared" si="0"/>
        <v>rtdc.l.rtdc.4017:itc</v>
      </c>
      <c r="G46" s="8">
        <f t="shared" si="1"/>
        <v>42688.266006944446</v>
      </c>
    </row>
    <row r="47" spans="1:7" x14ac:dyDescent="0.25">
      <c r="A47" s="8">
        <v>42688.266030092593</v>
      </c>
      <c r="B47" s="21" t="s">
        <v>232</v>
      </c>
      <c r="C47" s="21" t="s">
        <v>461</v>
      </c>
      <c r="D47" s="21">
        <v>2230000</v>
      </c>
      <c r="E47" s="21" t="s">
        <v>356</v>
      </c>
      <c r="F47" s="21" t="str">
        <f t="shared" si="0"/>
        <v>rtdc.l.rtdc.4039:itc</v>
      </c>
      <c r="G47" s="8">
        <f t="shared" si="1"/>
        <v>42688.266030092593</v>
      </c>
    </row>
    <row r="48" spans="1:7" x14ac:dyDescent="0.25">
      <c r="A48" s="8">
        <v>42688.271168981482</v>
      </c>
      <c r="B48" s="21" t="s">
        <v>288</v>
      </c>
      <c r="C48" s="21" t="s">
        <v>471</v>
      </c>
      <c r="D48" s="21">
        <v>2360000</v>
      </c>
      <c r="E48" s="21" t="s">
        <v>453</v>
      </c>
      <c r="F48" s="21" t="str">
        <f t="shared" si="0"/>
        <v>rtdc.l.rtdc.4038:itc</v>
      </c>
      <c r="G48" s="8">
        <f t="shared" si="1"/>
        <v>42688.271168981482</v>
      </c>
    </row>
    <row r="49" spans="1:7" x14ac:dyDescent="0.25">
      <c r="A49" s="8">
        <v>42688.271898148145</v>
      </c>
      <c r="B49" s="21" t="s">
        <v>406</v>
      </c>
      <c r="C49" s="21" t="s">
        <v>465</v>
      </c>
      <c r="D49" s="21">
        <v>2280000</v>
      </c>
      <c r="E49" s="21" t="s">
        <v>455</v>
      </c>
      <c r="F49" s="21" t="str">
        <f t="shared" si="0"/>
        <v>rtdc.l.rtdc.4045:itc</v>
      </c>
      <c r="G49" s="8">
        <f t="shared" si="1"/>
        <v>42688.271898148145</v>
      </c>
    </row>
    <row r="50" spans="1:7" x14ac:dyDescent="0.25">
      <c r="A50" s="8">
        <v>42688.274247685185</v>
      </c>
      <c r="B50" s="21" t="s">
        <v>286</v>
      </c>
      <c r="C50" s="21" t="s">
        <v>404</v>
      </c>
      <c r="D50" s="21">
        <v>2140000</v>
      </c>
      <c r="E50" s="21" t="s">
        <v>443</v>
      </c>
      <c r="F50" s="21" t="str">
        <f t="shared" si="0"/>
        <v>rtdc.l.rtdc.4054:itc</v>
      </c>
      <c r="G50" s="8">
        <f t="shared" si="1"/>
        <v>42688.274247685185</v>
      </c>
    </row>
    <row r="51" spans="1:7" x14ac:dyDescent="0.25">
      <c r="A51" s="8">
        <v>42688.276273148149</v>
      </c>
      <c r="B51" s="21" t="s">
        <v>225</v>
      </c>
      <c r="C51" s="21" t="s">
        <v>472</v>
      </c>
      <c r="D51" s="21">
        <v>2230000</v>
      </c>
      <c r="E51" s="21" t="s">
        <v>356</v>
      </c>
      <c r="F51" s="21" t="str">
        <f t="shared" si="0"/>
        <v>rtdc.l.rtdc.4040:itc</v>
      </c>
      <c r="G51" s="8">
        <f t="shared" si="1"/>
        <v>42688.276273148149</v>
      </c>
    </row>
    <row r="52" spans="1:7" x14ac:dyDescent="0.25">
      <c r="A52" s="8">
        <v>42688.276689814818</v>
      </c>
      <c r="B52" s="21" t="s">
        <v>273</v>
      </c>
      <c r="C52" s="21" t="s">
        <v>403</v>
      </c>
      <c r="D52" s="21">
        <v>2350000</v>
      </c>
      <c r="E52" s="21" t="s">
        <v>464</v>
      </c>
      <c r="F52" s="21" t="str">
        <f t="shared" si="0"/>
        <v>rtdc.l.rtdc.4021:itc</v>
      </c>
      <c r="G52" s="8">
        <f t="shared" si="1"/>
        <v>42688.276689814818</v>
      </c>
    </row>
    <row r="53" spans="1:7" x14ac:dyDescent="0.25">
      <c r="A53" s="8">
        <v>42688.281759259262</v>
      </c>
      <c r="B53" s="21" t="s">
        <v>440</v>
      </c>
      <c r="C53" s="21" t="s">
        <v>473</v>
      </c>
      <c r="D53" s="21">
        <v>2280000</v>
      </c>
      <c r="E53" s="21" t="s">
        <v>455</v>
      </c>
      <c r="F53" s="21" t="str">
        <f t="shared" si="0"/>
        <v>rtdc.l.rtdc.4046:itc</v>
      </c>
      <c r="G53" s="8">
        <f t="shared" si="1"/>
        <v>42688.281759259262</v>
      </c>
    </row>
    <row r="54" spans="1:7" x14ac:dyDescent="0.25">
      <c r="A54" s="8">
        <v>42688.287488425929</v>
      </c>
      <c r="B54" s="21" t="s">
        <v>217</v>
      </c>
      <c r="C54" s="21" t="s">
        <v>474</v>
      </c>
      <c r="D54" s="21">
        <v>2110000</v>
      </c>
      <c r="E54" s="21" t="s">
        <v>335</v>
      </c>
      <c r="F54" s="21" t="str">
        <f t="shared" si="0"/>
        <v>rtdc.l.rtdc.4030:itc</v>
      </c>
      <c r="G54" s="8">
        <f t="shared" si="1"/>
        <v>42688.287488425929</v>
      </c>
    </row>
    <row r="55" spans="1:7" x14ac:dyDescent="0.25">
      <c r="A55" s="8">
        <v>42688.289224537039</v>
      </c>
      <c r="B55" s="21" t="s">
        <v>259</v>
      </c>
      <c r="C55" s="21" t="s">
        <v>475</v>
      </c>
      <c r="D55" s="21">
        <v>1240000</v>
      </c>
      <c r="E55" s="21" t="s">
        <v>439</v>
      </c>
      <c r="F55" s="21" t="str">
        <f t="shared" si="0"/>
        <v>rtdc.l.rtdc.4016:itc</v>
      </c>
      <c r="G55" s="8">
        <f t="shared" si="1"/>
        <v>42688.289224537039</v>
      </c>
    </row>
    <row r="56" spans="1:7" x14ac:dyDescent="0.25">
      <c r="A56" s="8">
        <v>42688.291168981479</v>
      </c>
      <c r="B56" s="21" t="s">
        <v>259</v>
      </c>
      <c r="C56" s="21" t="s">
        <v>475</v>
      </c>
      <c r="D56" s="21">
        <v>1240000</v>
      </c>
      <c r="E56" s="21" t="s">
        <v>439</v>
      </c>
      <c r="F56" s="21" t="str">
        <f t="shared" si="0"/>
        <v>rtdc.l.rtdc.4016:itc</v>
      </c>
      <c r="G56" s="8">
        <f t="shared" si="1"/>
        <v>42688.291168981479</v>
      </c>
    </row>
    <row r="57" spans="1:7" x14ac:dyDescent="0.25">
      <c r="A57" s="8">
        <v>42688.29420138889</v>
      </c>
      <c r="B57" s="21" t="s">
        <v>270</v>
      </c>
      <c r="C57" s="21" t="s">
        <v>476</v>
      </c>
      <c r="D57" s="21">
        <v>2100000</v>
      </c>
      <c r="E57" s="21" t="s">
        <v>447</v>
      </c>
      <c r="F57" s="21" t="str">
        <f t="shared" si="0"/>
        <v>rtdc.l.rtdc.4010:itc</v>
      </c>
      <c r="G57" s="8">
        <f t="shared" si="1"/>
        <v>42688.29420138889</v>
      </c>
    </row>
    <row r="58" spans="1:7" x14ac:dyDescent="0.25">
      <c r="A58" s="8">
        <v>42688.29515046296</v>
      </c>
      <c r="B58" s="21" t="s">
        <v>259</v>
      </c>
      <c r="C58" s="21" t="s">
        <v>475</v>
      </c>
      <c r="D58" s="21">
        <v>1240000</v>
      </c>
      <c r="E58" s="21" t="s">
        <v>439</v>
      </c>
      <c r="F58" s="21" t="str">
        <f t="shared" si="0"/>
        <v>rtdc.l.rtdc.4016:itc</v>
      </c>
      <c r="G58" s="8">
        <f t="shared" si="1"/>
        <v>42688.29515046296</v>
      </c>
    </row>
    <row r="59" spans="1:7" x14ac:dyDescent="0.25">
      <c r="A59" s="8">
        <v>42688.295752314814</v>
      </c>
      <c r="B59" s="21" t="s">
        <v>271</v>
      </c>
      <c r="C59" s="21" t="s">
        <v>477</v>
      </c>
      <c r="D59" s="21">
        <v>2350000</v>
      </c>
      <c r="E59" s="21" t="s">
        <v>464</v>
      </c>
      <c r="F59" s="21" t="str">
        <f t="shared" si="0"/>
        <v>rtdc.l.rtdc.4022:itc</v>
      </c>
      <c r="G59" s="8">
        <f t="shared" si="1"/>
        <v>42688.295752314814</v>
      </c>
    </row>
    <row r="60" spans="1:7" x14ac:dyDescent="0.25">
      <c r="A60" s="8">
        <v>42688.296724537038</v>
      </c>
      <c r="B60" s="21" t="s">
        <v>292</v>
      </c>
      <c r="C60" s="21" t="s">
        <v>478</v>
      </c>
      <c r="D60" s="21">
        <v>2360000</v>
      </c>
      <c r="E60" s="21" t="s">
        <v>453</v>
      </c>
      <c r="F60" s="21" t="str">
        <f t="shared" si="0"/>
        <v>rtdc.l.rtdc.4037:itc</v>
      </c>
      <c r="G60" s="8">
        <f t="shared" si="1"/>
        <v>42688.296724537038</v>
      </c>
    </row>
    <row r="61" spans="1:7" x14ac:dyDescent="0.25">
      <c r="A61" s="8">
        <v>42688.301006944443</v>
      </c>
      <c r="B61" s="21" t="s">
        <v>459</v>
      </c>
      <c r="C61" s="21" t="s">
        <v>479</v>
      </c>
      <c r="D61" s="21">
        <v>2090000</v>
      </c>
      <c r="E61" s="21" t="s">
        <v>352</v>
      </c>
      <c r="F61" s="21" t="str">
        <f t="shared" si="0"/>
        <v>rtdc.l.rtdc.4018:itc</v>
      </c>
      <c r="G61" s="8">
        <f t="shared" si="1"/>
        <v>42688.301006944443</v>
      </c>
    </row>
    <row r="62" spans="1:7" x14ac:dyDescent="0.25">
      <c r="A62" s="8">
        <v>42688.306296296294</v>
      </c>
      <c r="B62" s="21" t="s">
        <v>232</v>
      </c>
      <c r="C62" s="21" t="s">
        <v>480</v>
      </c>
      <c r="D62" s="21">
        <v>2230000</v>
      </c>
      <c r="E62" s="21" t="s">
        <v>356</v>
      </c>
      <c r="F62" s="21" t="str">
        <f t="shared" si="0"/>
        <v>rtdc.l.rtdc.4039:itc</v>
      </c>
      <c r="G62" s="8">
        <f t="shared" si="1"/>
        <v>42688.306296296294</v>
      </c>
    </row>
    <row r="63" spans="1:7" x14ac:dyDescent="0.25">
      <c r="A63" s="8">
        <v>42688.306759259256</v>
      </c>
      <c r="B63" s="21" t="s">
        <v>286</v>
      </c>
      <c r="C63" s="21" t="s">
        <v>404</v>
      </c>
      <c r="D63" s="21">
        <v>2140000</v>
      </c>
      <c r="E63" s="21" t="s">
        <v>443</v>
      </c>
      <c r="F63" s="21" t="str">
        <f t="shared" si="0"/>
        <v>rtdc.l.rtdc.4054:itc</v>
      </c>
      <c r="G63" s="8">
        <f t="shared" si="1"/>
        <v>42688.306759259256</v>
      </c>
    </row>
    <row r="64" spans="1:7" x14ac:dyDescent="0.25">
      <c r="A64" s="27">
        <v>42688.30746527778</v>
      </c>
      <c r="B64" s="21" t="s">
        <v>286</v>
      </c>
      <c r="C64" s="21" t="s">
        <v>404</v>
      </c>
      <c r="D64" s="21">
        <v>2140000</v>
      </c>
      <c r="E64" s="21" t="s">
        <v>443</v>
      </c>
      <c r="F64" s="21" t="str">
        <f t="shared" si="0"/>
        <v>rtdc.l.rtdc.4054:itc</v>
      </c>
      <c r="G64" s="8">
        <f t="shared" si="1"/>
        <v>42688.30746527778</v>
      </c>
    </row>
    <row r="65" spans="1:7" x14ac:dyDescent="0.25">
      <c r="A65" s="8">
        <v>42688.313136574077</v>
      </c>
      <c r="B65" s="21" t="s">
        <v>287</v>
      </c>
      <c r="C65" s="21" t="s">
        <v>481</v>
      </c>
      <c r="D65" s="21">
        <v>2140000</v>
      </c>
      <c r="E65" s="21" t="s">
        <v>443</v>
      </c>
      <c r="F65" s="21" t="str">
        <f t="shared" si="0"/>
        <v>rtdc.l.rtdc.4053:itc</v>
      </c>
      <c r="G65" s="8">
        <f t="shared" si="1"/>
        <v>42688.313136574077</v>
      </c>
    </row>
    <row r="66" spans="1:7" x14ac:dyDescent="0.25">
      <c r="A66" s="8">
        <v>42688.315324074072</v>
      </c>
      <c r="B66" s="21" t="s">
        <v>217</v>
      </c>
      <c r="C66" s="21" t="s">
        <v>474</v>
      </c>
      <c r="D66" s="21">
        <v>2110000</v>
      </c>
      <c r="E66" s="21" t="s">
        <v>335</v>
      </c>
      <c r="F66" s="21" t="str">
        <f t="shared" ref="F66:F129" si="2">B66</f>
        <v>rtdc.l.rtdc.4030:itc</v>
      </c>
      <c r="G66" s="8">
        <f t="shared" ref="G66:G129" si="3">A66</f>
        <v>42688.315324074072</v>
      </c>
    </row>
    <row r="67" spans="1:7" x14ac:dyDescent="0.25">
      <c r="A67" s="8">
        <v>42688.318530092591</v>
      </c>
      <c r="B67" s="21" t="s">
        <v>273</v>
      </c>
      <c r="C67" s="21" t="s">
        <v>405</v>
      </c>
      <c r="D67" s="21">
        <v>2350000</v>
      </c>
      <c r="E67" s="21" t="s">
        <v>464</v>
      </c>
      <c r="F67" s="21" t="str">
        <f t="shared" si="2"/>
        <v>rtdc.l.rtdc.4021:itc</v>
      </c>
      <c r="G67" s="8">
        <f t="shared" si="3"/>
        <v>42688.318530092591</v>
      </c>
    </row>
    <row r="68" spans="1:7" x14ac:dyDescent="0.25">
      <c r="A68" s="8">
        <v>42688.318912037037</v>
      </c>
      <c r="B68" s="21" t="s">
        <v>288</v>
      </c>
      <c r="C68" s="21" t="s">
        <v>482</v>
      </c>
      <c r="D68" s="21">
        <v>2360000</v>
      </c>
      <c r="E68" s="21" t="s">
        <v>453</v>
      </c>
      <c r="F68" s="21" t="str">
        <f t="shared" si="2"/>
        <v>rtdc.l.rtdc.4038:itc</v>
      </c>
      <c r="G68" s="8">
        <f t="shared" si="3"/>
        <v>42688.318912037037</v>
      </c>
    </row>
    <row r="69" spans="1:7" x14ac:dyDescent="0.25">
      <c r="A69" s="8">
        <v>42688.318912037037</v>
      </c>
      <c r="B69" s="21" t="s">
        <v>406</v>
      </c>
      <c r="C69" s="21" t="s">
        <v>407</v>
      </c>
      <c r="D69" s="21">
        <v>2280000</v>
      </c>
      <c r="E69" s="21" t="s">
        <v>455</v>
      </c>
      <c r="F69" s="21" t="str">
        <f t="shared" si="2"/>
        <v>rtdc.l.rtdc.4045:itc</v>
      </c>
      <c r="G69" s="8">
        <f t="shared" si="3"/>
        <v>42688.318912037037</v>
      </c>
    </row>
    <row r="70" spans="1:7" x14ac:dyDescent="0.25">
      <c r="A70" s="8">
        <v>42688.320590277777</v>
      </c>
      <c r="B70" s="21" t="s">
        <v>261</v>
      </c>
      <c r="C70" s="21" t="s">
        <v>483</v>
      </c>
      <c r="D70" s="21">
        <v>1240000</v>
      </c>
      <c r="E70" s="21" t="s">
        <v>439</v>
      </c>
      <c r="F70" s="21" t="str">
        <f t="shared" si="2"/>
        <v>rtdc.l.rtdc.4015:itc</v>
      </c>
      <c r="G70" s="8">
        <f t="shared" si="3"/>
        <v>42688.320590277777</v>
      </c>
    </row>
    <row r="71" spans="1:7" x14ac:dyDescent="0.25">
      <c r="A71" s="8">
        <v>42688.321793981479</v>
      </c>
      <c r="B71" s="21" t="s">
        <v>216</v>
      </c>
      <c r="C71" s="21" t="s">
        <v>484</v>
      </c>
      <c r="D71" s="21">
        <v>2110000</v>
      </c>
      <c r="E71" s="21" t="s">
        <v>335</v>
      </c>
      <c r="F71" s="21" t="str">
        <f t="shared" si="2"/>
        <v>rtdc.l.rtdc.4029:itc</v>
      </c>
      <c r="G71" s="8">
        <f t="shared" si="3"/>
        <v>42688.321793981479</v>
      </c>
    </row>
    <row r="72" spans="1:7" x14ac:dyDescent="0.25">
      <c r="A72" s="8">
        <v>42688.322997685187</v>
      </c>
      <c r="B72" s="21" t="s">
        <v>270</v>
      </c>
      <c r="C72" s="21" t="s">
        <v>476</v>
      </c>
      <c r="D72" s="21">
        <v>2100000</v>
      </c>
      <c r="E72" s="21" t="s">
        <v>447</v>
      </c>
      <c r="F72" s="21" t="str">
        <f t="shared" si="2"/>
        <v>rtdc.l.rtdc.4010:itc</v>
      </c>
      <c r="G72" s="8">
        <f t="shared" si="3"/>
        <v>42688.322997685187</v>
      </c>
    </row>
    <row r="73" spans="1:7" x14ac:dyDescent="0.25">
      <c r="A73" s="8">
        <v>42688.332048611112</v>
      </c>
      <c r="B73" s="21" t="s">
        <v>187</v>
      </c>
      <c r="C73" s="21" t="s">
        <v>485</v>
      </c>
      <c r="D73" s="21">
        <v>2100000</v>
      </c>
      <c r="E73" s="21" t="s">
        <v>447</v>
      </c>
      <c r="F73" s="21" t="str">
        <f t="shared" si="2"/>
        <v>rtdc.l.rtdc.4009:itc</v>
      </c>
      <c r="G73" s="8">
        <f t="shared" si="3"/>
        <v>42688.332048611112</v>
      </c>
    </row>
    <row r="74" spans="1:7" x14ac:dyDescent="0.25">
      <c r="A74" s="8">
        <v>42688.335613425923</v>
      </c>
      <c r="B74" s="21" t="s">
        <v>271</v>
      </c>
      <c r="C74" s="21" t="s">
        <v>408</v>
      </c>
      <c r="D74" s="21">
        <v>2350000</v>
      </c>
      <c r="E74" s="21" t="s">
        <v>464</v>
      </c>
      <c r="F74" s="21" t="str">
        <f t="shared" si="2"/>
        <v>rtdc.l.rtdc.4022:itc</v>
      </c>
      <c r="G74" s="8">
        <f t="shared" si="3"/>
        <v>42688.335613425923</v>
      </c>
    </row>
    <row r="75" spans="1:7" x14ac:dyDescent="0.25">
      <c r="A75" s="8">
        <v>42688.337962962964</v>
      </c>
      <c r="B75" s="21" t="s">
        <v>358</v>
      </c>
      <c r="C75" s="21" t="s">
        <v>409</v>
      </c>
      <c r="D75" s="21">
        <v>2090000</v>
      </c>
      <c r="E75" s="21" t="s">
        <v>352</v>
      </c>
      <c r="F75" s="21" t="str">
        <f t="shared" si="2"/>
        <v>rtdc.l.rtdc.4017:itc</v>
      </c>
      <c r="G75" s="8">
        <f t="shared" si="3"/>
        <v>42688.337962962964</v>
      </c>
    </row>
    <row r="76" spans="1:7" x14ac:dyDescent="0.25">
      <c r="A76" s="8">
        <v>42688.339583333334</v>
      </c>
      <c r="B76" s="21" t="s">
        <v>292</v>
      </c>
      <c r="C76" s="21" t="s">
        <v>486</v>
      </c>
      <c r="D76" s="21">
        <v>2360000</v>
      </c>
      <c r="E76" s="21" t="s">
        <v>453</v>
      </c>
      <c r="F76" s="21" t="str">
        <f t="shared" si="2"/>
        <v>rtdc.l.rtdc.4037:itc</v>
      </c>
      <c r="G76" s="8">
        <f t="shared" si="3"/>
        <v>42688.339583333334</v>
      </c>
    </row>
    <row r="77" spans="1:7" x14ac:dyDescent="0.25">
      <c r="A77" s="8">
        <v>42688.345277777778</v>
      </c>
      <c r="B77" s="21" t="s">
        <v>225</v>
      </c>
      <c r="C77" s="21" t="s">
        <v>487</v>
      </c>
      <c r="D77" s="21">
        <v>2230000</v>
      </c>
      <c r="E77" s="21" t="s">
        <v>356</v>
      </c>
      <c r="F77" s="21" t="str">
        <f t="shared" si="2"/>
        <v>rtdc.l.rtdc.4040:itc</v>
      </c>
      <c r="G77" s="8">
        <f t="shared" si="3"/>
        <v>42688.345277777778</v>
      </c>
    </row>
    <row r="78" spans="1:7" x14ac:dyDescent="0.25">
      <c r="A78" s="8">
        <v>42688.345439814817</v>
      </c>
      <c r="B78" s="21" t="s">
        <v>406</v>
      </c>
      <c r="C78" s="21" t="s">
        <v>407</v>
      </c>
      <c r="D78" s="21">
        <v>2280000</v>
      </c>
      <c r="E78" s="21" t="s">
        <v>455</v>
      </c>
      <c r="F78" s="21" t="str">
        <f t="shared" si="2"/>
        <v>rtdc.l.rtdc.4045:itc</v>
      </c>
      <c r="G78" s="8">
        <f t="shared" si="3"/>
        <v>42688.345439814817</v>
      </c>
    </row>
    <row r="79" spans="1:7" x14ac:dyDescent="0.25">
      <c r="A79" s="8">
        <v>42688.347569444442</v>
      </c>
      <c r="B79" s="21" t="s">
        <v>286</v>
      </c>
      <c r="C79" s="21" t="s">
        <v>488</v>
      </c>
      <c r="D79" s="21">
        <v>2140000</v>
      </c>
      <c r="E79" s="21" t="s">
        <v>443</v>
      </c>
      <c r="F79" s="21" t="str">
        <f t="shared" si="2"/>
        <v>rtdc.l.rtdc.4054:itc</v>
      </c>
      <c r="G79" s="8">
        <f t="shared" si="3"/>
        <v>42688.347569444442</v>
      </c>
    </row>
    <row r="80" spans="1:7" x14ac:dyDescent="0.25">
      <c r="A80" s="8">
        <v>42688.354479166665</v>
      </c>
      <c r="B80" s="21" t="s">
        <v>288</v>
      </c>
      <c r="C80" s="21" t="s">
        <v>489</v>
      </c>
      <c r="D80" s="21">
        <v>2360000</v>
      </c>
      <c r="E80" s="21" t="s">
        <v>453</v>
      </c>
      <c r="F80" s="21" t="str">
        <f t="shared" si="2"/>
        <v>rtdc.l.rtdc.4038:itc</v>
      </c>
      <c r="G80" s="8">
        <f t="shared" si="3"/>
        <v>42688.354479166665</v>
      </c>
    </row>
    <row r="81" spans="1:7" x14ac:dyDescent="0.25">
      <c r="A81" s="8">
        <v>42688.356504629628</v>
      </c>
      <c r="B81" s="21" t="s">
        <v>440</v>
      </c>
      <c r="C81" s="21" t="s">
        <v>490</v>
      </c>
      <c r="D81" s="21">
        <v>2280000</v>
      </c>
      <c r="E81" s="21" t="s">
        <v>455</v>
      </c>
      <c r="F81" s="21" t="str">
        <f t="shared" si="2"/>
        <v>rtdc.l.rtdc.4046:itc</v>
      </c>
      <c r="G81" s="8">
        <f t="shared" si="3"/>
        <v>42688.356504629628</v>
      </c>
    </row>
    <row r="82" spans="1:7" x14ac:dyDescent="0.25">
      <c r="A82" s="8">
        <v>42688.357835648145</v>
      </c>
      <c r="B82" s="21" t="s">
        <v>217</v>
      </c>
      <c r="C82" s="21" t="s">
        <v>491</v>
      </c>
      <c r="D82" s="21">
        <v>2110000</v>
      </c>
      <c r="E82" s="21" t="s">
        <v>335</v>
      </c>
      <c r="F82" s="21" t="str">
        <f t="shared" si="2"/>
        <v>rtdc.l.rtdc.4030:itc</v>
      </c>
      <c r="G82" s="8">
        <f t="shared" si="3"/>
        <v>42688.357835648145</v>
      </c>
    </row>
    <row r="83" spans="1:7" x14ac:dyDescent="0.25">
      <c r="A83" s="8">
        <v>42688.360810185186</v>
      </c>
      <c r="B83" s="21" t="s">
        <v>273</v>
      </c>
      <c r="C83" s="21" t="s">
        <v>492</v>
      </c>
      <c r="D83" s="21">
        <v>2350000</v>
      </c>
      <c r="E83" s="21" t="s">
        <v>464</v>
      </c>
      <c r="F83" s="21" t="str">
        <f t="shared" si="2"/>
        <v>rtdc.l.rtdc.4021:itc</v>
      </c>
      <c r="G83" s="8">
        <f t="shared" si="3"/>
        <v>42688.360810185186</v>
      </c>
    </row>
    <row r="84" spans="1:7" x14ac:dyDescent="0.25">
      <c r="A84" s="8">
        <v>42688.362407407411</v>
      </c>
      <c r="B84" s="21" t="s">
        <v>259</v>
      </c>
      <c r="C84" s="21" t="s">
        <v>493</v>
      </c>
      <c r="D84" s="21">
        <v>1240000</v>
      </c>
      <c r="E84" s="21" t="s">
        <v>439</v>
      </c>
      <c r="F84" s="21" t="str">
        <f t="shared" si="2"/>
        <v>rtdc.l.rtdc.4016:itc</v>
      </c>
      <c r="G84" s="8">
        <f t="shared" si="3"/>
        <v>42688.362407407411</v>
      </c>
    </row>
    <row r="85" spans="1:7" x14ac:dyDescent="0.25">
      <c r="A85" s="8">
        <v>42688.365752314814</v>
      </c>
      <c r="B85" s="21" t="s">
        <v>270</v>
      </c>
      <c r="C85" s="21" t="s">
        <v>494</v>
      </c>
      <c r="D85" s="21">
        <v>2100000</v>
      </c>
      <c r="E85" s="21" t="s">
        <v>447</v>
      </c>
      <c r="F85" s="21" t="str">
        <f t="shared" si="2"/>
        <v>rtdc.l.rtdc.4010:itc</v>
      </c>
      <c r="G85" s="8">
        <f t="shared" si="3"/>
        <v>42688.365752314814</v>
      </c>
    </row>
    <row r="86" spans="1:7" x14ac:dyDescent="0.25">
      <c r="A86" s="8">
        <v>42688.375868055555</v>
      </c>
      <c r="B86" s="21" t="s">
        <v>459</v>
      </c>
      <c r="C86" s="21" t="s">
        <v>495</v>
      </c>
      <c r="D86" s="21">
        <v>2090000</v>
      </c>
      <c r="E86" s="21" t="s">
        <v>352</v>
      </c>
      <c r="F86" s="21" t="str">
        <f t="shared" si="2"/>
        <v>rtdc.l.rtdc.4018:itc</v>
      </c>
      <c r="G86" s="8">
        <f t="shared" si="3"/>
        <v>42688.375868055555</v>
      </c>
    </row>
    <row r="87" spans="1:7" x14ac:dyDescent="0.25">
      <c r="A87" s="8">
        <v>42688.379467592589</v>
      </c>
      <c r="B87" s="21" t="s">
        <v>286</v>
      </c>
      <c r="C87" s="21" t="s">
        <v>488</v>
      </c>
      <c r="D87" s="21">
        <v>2140000</v>
      </c>
      <c r="E87" s="21" t="s">
        <v>443</v>
      </c>
      <c r="F87" s="21" t="str">
        <f t="shared" si="2"/>
        <v>rtdc.l.rtdc.4054:itc</v>
      </c>
      <c r="G87" s="8">
        <f t="shared" si="3"/>
        <v>42688.379467592589</v>
      </c>
    </row>
    <row r="88" spans="1:7" x14ac:dyDescent="0.25">
      <c r="A88" s="8">
        <v>42688.379652777781</v>
      </c>
      <c r="B88" s="21" t="s">
        <v>232</v>
      </c>
      <c r="C88" s="21" t="s">
        <v>410</v>
      </c>
      <c r="D88" s="21">
        <v>2230000</v>
      </c>
      <c r="E88" s="21" t="s">
        <v>356</v>
      </c>
      <c r="F88" s="21" t="str">
        <f t="shared" si="2"/>
        <v>rtdc.l.rtdc.4039:itc</v>
      </c>
      <c r="G88" s="8">
        <f t="shared" si="3"/>
        <v>42688.379652777781</v>
      </c>
    </row>
    <row r="89" spans="1:7" x14ac:dyDescent="0.25">
      <c r="A89" s="8">
        <v>42688.383888888886</v>
      </c>
      <c r="B89" s="21" t="s">
        <v>271</v>
      </c>
      <c r="C89" s="21" t="s">
        <v>496</v>
      </c>
      <c r="D89" s="21">
        <v>2350000</v>
      </c>
      <c r="E89" s="21" t="s">
        <v>464</v>
      </c>
      <c r="F89" s="21" t="str">
        <f t="shared" si="2"/>
        <v>rtdc.l.rtdc.4022:itc</v>
      </c>
      <c r="G89" s="8">
        <f t="shared" si="3"/>
        <v>42688.383888888886</v>
      </c>
    </row>
    <row r="90" spans="1:7" x14ac:dyDescent="0.25">
      <c r="A90" s="8">
        <v>42688.385312500002</v>
      </c>
      <c r="B90" s="21" t="s">
        <v>287</v>
      </c>
      <c r="C90" s="21" t="s">
        <v>497</v>
      </c>
      <c r="D90" s="21">
        <v>2140000</v>
      </c>
      <c r="E90" s="21" t="s">
        <v>443</v>
      </c>
      <c r="F90" s="21" t="str">
        <f t="shared" si="2"/>
        <v>rtdc.l.rtdc.4053:itc</v>
      </c>
      <c r="G90" s="8">
        <f t="shared" si="3"/>
        <v>42688.385312500002</v>
      </c>
    </row>
    <row r="91" spans="1:7" x14ac:dyDescent="0.25">
      <c r="A91" s="8">
        <v>42688.391400462962</v>
      </c>
      <c r="B91" s="21" t="s">
        <v>406</v>
      </c>
      <c r="C91" s="21" t="s">
        <v>411</v>
      </c>
      <c r="D91" s="21">
        <v>2280000</v>
      </c>
      <c r="E91" s="21" t="s">
        <v>455</v>
      </c>
      <c r="F91" s="21" t="str">
        <f t="shared" si="2"/>
        <v>rtdc.l.rtdc.4045:itc</v>
      </c>
      <c r="G91" s="8">
        <f t="shared" si="3"/>
        <v>42688.391400462962</v>
      </c>
    </row>
    <row r="92" spans="1:7" x14ac:dyDescent="0.25">
      <c r="A92" s="8">
        <v>42688.401400462964</v>
      </c>
      <c r="B92" s="21" t="s">
        <v>261</v>
      </c>
      <c r="C92" s="21" t="s">
        <v>498</v>
      </c>
      <c r="D92" s="21">
        <v>1240000</v>
      </c>
      <c r="E92" s="21" t="s">
        <v>439</v>
      </c>
      <c r="F92" s="21" t="str">
        <f t="shared" si="2"/>
        <v>rtdc.l.rtdc.4015:itc</v>
      </c>
      <c r="G92" s="8">
        <f t="shared" si="3"/>
        <v>42688.401400462964</v>
      </c>
    </row>
    <row r="93" spans="1:7" x14ac:dyDescent="0.25">
      <c r="A93" s="8">
        <v>42688.401782407411</v>
      </c>
      <c r="B93" s="21" t="s">
        <v>216</v>
      </c>
      <c r="C93" s="21" t="s">
        <v>412</v>
      </c>
      <c r="D93" s="21">
        <v>2430000</v>
      </c>
      <c r="E93" s="21" t="s">
        <v>499</v>
      </c>
      <c r="F93" s="21" t="str">
        <f t="shared" si="2"/>
        <v>rtdc.l.rtdc.4029:itc</v>
      </c>
      <c r="G93" s="8">
        <f t="shared" si="3"/>
        <v>42688.401782407411</v>
      </c>
    </row>
    <row r="94" spans="1:7" x14ac:dyDescent="0.25">
      <c r="A94" s="8">
        <v>42688.401956018519</v>
      </c>
      <c r="B94" s="21" t="s">
        <v>273</v>
      </c>
      <c r="C94" s="21" t="s">
        <v>500</v>
      </c>
      <c r="D94" s="21">
        <v>2350000</v>
      </c>
      <c r="E94" s="21" t="s">
        <v>464</v>
      </c>
      <c r="F94" s="21" t="str">
        <f t="shared" si="2"/>
        <v>rtdc.l.rtdc.4021:itc</v>
      </c>
      <c r="G94" s="8">
        <f t="shared" si="3"/>
        <v>42688.401956018519</v>
      </c>
    </row>
    <row r="95" spans="1:7" x14ac:dyDescent="0.25">
      <c r="A95" s="8">
        <v>42688.404594907406</v>
      </c>
      <c r="B95" s="21" t="s">
        <v>187</v>
      </c>
      <c r="C95" s="21" t="s">
        <v>501</v>
      </c>
      <c r="D95" s="21">
        <v>2100000</v>
      </c>
      <c r="E95" s="21" t="s">
        <v>447</v>
      </c>
      <c r="F95" s="21" t="str">
        <f t="shared" si="2"/>
        <v>rtdc.l.rtdc.4009:itc</v>
      </c>
      <c r="G95" s="8">
        <f t="shared" si="3"/>
        <v>42688.404594907406</v>
      </c>
    </row>
    <row r="96" spans="1:7" x14ac:dyDescent="0.25">
      <c r="A96" s="8">
        <v>42688.410219907404</v>
      </c>
      <c r="B96" s="21" t="s">
        <v>358</v>
      </c>
      <c r="C96" s="21" t="s">
        <v>502</v>
      </c>
      <c r="D96" s="21">
        <v>2090000</v>
      </c>
      <c r="E96" s="21" t="s">
        <v>352</v>
      </c>
      <c r="F96" s="21" t="str">
        <f t="shared" si="2"/>
        <v>rtdc.l.rtdc.4017:itc</v>
      </c>
      <c r="G96" s="8">
        <f t="shared" si="3"/>
        <v>42688.410219907404</v>
      </c>
    </row>
    <row r="97" spans="1:7" x14ac:dyDescent="0.25">
      <c r="A97" s="8">
        <v>42688.413032407407</v>
      </c>
      <c r="B97" s="21" t="s">
        <v>232</v>
      </c>
      <c r="C97" s="21" t="s">
        <v>410</v>
      </c>
      <c r="D97" s="21">
        <v>2230000</v>
      </c>
      <c r="E97" s="21" t="s">
        <v>356</v>
      </c>
      <c r="F97" s="21" t="str">
        <f t="shared" si="2"/>
        <v>rtdc.l.rtdc.4039:itc</v>
      </c>
      <c r="G97" s="8">
        <f t="shared" si="3"/>
        <v>42688.413032407407</v>
      </c>
    </row>
    <row r="98" spans="1:7" x14ac:dyDescent="0.25">
      <c r="A98" s="8">
        <v>42688.419988425929</v>
      </c>
      <c r="B98" s="21" t="s">
        <v>225</v>
      </c>
      <c r="C98" s="21" t="s">
        <v>503</v>
      </c>
      <c r="D98" s="21">
        <v>2230000</v>
      </c>
      <c r="E98" s="21" t="s">
        <v>356</v>
      </c>
      <c r="F98" s="21" t="str">
        <f t="shared" si="2"/>
        <v>rtdc.l.rtdc.4040:itc</v>
      </c>
      <c r="G98" s="8">
        <f t="shared" si="3"/>
        <v>42688.419988425929</v>
      </c>
    </row>
    <row r="99" spans="1:7" x14ac:dyDescent="0.25">
      <c r="A99" s="8">
        <v>42688.42119212963</v>
      </c>
      <c r="B99" s="21" t="s">
        <v>286</v>
      </c>
      <c r="C99" s="21" t="s">
        <v>504</v>
      </c>
      <c r="D99" s="21">
        <v>2140000</v>
      </c>
      <c r="E99" s="21" t="s">
        <v>443</v>
      </c>
      <c r="F99" s="21" t="str">
        <f t="shared" si="2"/>
        <v>rtdc.l.rtdc.4054:itc</v>
      </c>
      <c r="G99" s="8">
        <f t="shared" si="3"/>
        <v>42688.42119212963</v>
      </c>
    </row>
    <row r="100" spans="1:7" x14ac:dyDescent="0.25">
      <c r="A100" s="8">
        <v>42688.421875</v>
      </c>
      <c r="B100" s="21" t="s">
        <v>406</v>
      </c>
      <c r="C100" s="21" t="s">
        <v>411</v>
      </c>
      <c r="D100" s="21">
        <v>2280000</v>
      </c>
      <c r="E100" s="21" t="s">
        <v>455</v>
      </c>
      <c r="F100" s="21" t="str">
        <f t="shared" si="2"/>
        <v>rtdc.l.rtdc.4045:itc</v>
      </c>
      <c r="G100" s="8">
        <f t="shared" si="3"/>
        <v>42688.421875</v>
      </c>
    </row>
    <row r="101" spans="1:7" x14ac:dyDescent="0.25">
      <c r="A101" s="8">
        <v>42688.424733796295</v>
      </c>
      <c r="B101" s="21" t="s">
        <v>271</v>
      </c>
      <c r="C101" s="21" t="s">
        <v>505</v>
      </c>
      <c r="D101" s="21">
        <v>2350000</v>
      </c>
      <c r="E101" s="21" t="s">
        <v>464</v>
      </c>
      <c r="F101" s="21" t="str">
        <f t="shared" si="2"/>
        <v>rtdc.l.rtdc.4022:itc</v>
      </c>
      <c r="G101" s="8">
        <f t="shared" si="3"/>
        <v>42688.424733796295</v>
      </c>
    </row>
    <row r="102" spans="1:7" x14ac:dyDescent="0.25">
      <c r="A102" s="8">
        <v>42688.427708333336</v>
      </c>
      <c r="B102" s="21" t="s">
        <v>261</v>
      </c>
      <c r="C102" s="21" t="s">
        <v>498</v>
      </c>
      <c r="D102" s="21">
        <v>1240000</v>
      </c>
      <c r="E102" s="21" t="s">
        <v>439</v>
      </c>
      <c r="F102" s="21" t="str">
        <f t="shared" si="2"/>
        <v>rtdc.l.rtdc.4015:itc</v>
      </c>
      <c r="G102" s="8">
        <f t="shared" si="3"/>
        <v>42688.427708333336</v>
      </c>
    </row>
    <row r="103" spans="1:7" x14ac:dyDescent="0.25">
      <c r="A103" s="8">
        <v>42688.430902777778</v>
      </c>
      <c r="B103" s="21" t="s">
        <v>440</v>
      </c>
      <c r="C103" s="21" t="s">
        <v>506</v>
      </c>
      <c r="D103" s="21">
        <v>2280000</v>
      </c>
      <c r="E103" s="21" t="s">
        <v>455</v>
      </c>
      <c r="F103" s="21" t="str">
        <f t="shared" si="2"/>
        <v>rtdc.l.rtdc.4046:itc</v>
      </c>
      <c r="G103" s="8">
        <f t="shared" si="3"/>
        <v>42688.430902777778</v>
      </c>
    </row>
    <row r="104" spans="1:7" x14ac:dyDescent="0.25">
      <c r="A104" s="8">
        <v>42688.431828703702</v>
      </c>
      <c r="B104" s="21" t="s">
        <v>440</v>
      </c>
      <c r="C104" s="21" t="s">
        <v>506</v>
      </c>
      <c r="D104" s="21">
        <v>2280000</v>
      </c>
      <c r="E104" s="21" t="s">
        <v>455</v>
      </c>
      <c r="F104" s="21" t="str">
        <f t="shared" si="2"/>
        <v>rtdc.l.rtdc.4046:itc</v>
      </c>
      <c r="G104" s="8">
        <f t="shared" si="3"/>
        <v>42688.431828703702</v>
      </c>
    </row>
    <row r="105" spans="1:7" x14ac:dyDescent="0.25">
      <c r="A105" s="8">
        <v>42688.434803240743</v>
      </c>
      <c r="B105" s="21" t="s">
        <v>217</v>
      </c>
      <c r="C105" s="21" t="s">
        <v>414</v>
      </c>
      <c r="D105" s="21">
        <v>2430000</v>
      </c>
      <c r="E105" s="21" t="s">
        <v>499</v>
      </c>
      <c r="F105" s="21" t="str">
        <f t="shared" si="2"/>
        <v>rtdc.l.rtdc.4030:itc</v>
      </c>
      <c r="G105" s="8">
        <f t="shared" si="3"/>
        <v>42688.434803240743</v>
      </c>
    </row>
    <row r="106" spans="1:7" x14ac:dyDescent="0.25">
      <c r="A106" s="8">
        <v>42688.435115740744</v>
      </c>
      <c r="B106" s="21" t="s">
        <v>220</v>
      </c>
      <c r="C106" s="21" t="s">
        <v>413</v>
      </c>
      <c r="D106" s="21">
        <v>2360000</v>
      </c>
      <c r="E106" s="21" t="s">
        <v>453</v>
      </c>
      <c r="F106" s="21" t="str">
        <f t="shared" si="2"/>
        <v>rtdc.l.rtdc.4011:itc</v>
      </c>
      <c r="G106" s="8">
        <f t="shared" si="3"/>
        <v>42688.435115740744</v>
      </c>
    </row>
    <row r="107" spans="1:7" x14ac:dyDescent="0.25">
      <c r="A107" s="8">
        <v>42688.4375</v>
      </c>
      <c r="B107" s="21" t="s">
        <v>440</v>
      </c>
      <c r="C107" s="21" t="s">
        <v>506</v>
      </c>
      <c r="D107" s="21">
        <v>2280000</v>
      </c>
      <c r="E107" s="21" t="s">
        <v>455</v>
      </c>
      <c r="F107" s="21" t="str">
        <f t="shared" si="2"/>
        <v>rtdc.l.rtdc.4046:itc</v>
      </c>
      <c r="G107" s="8">
        <f t="shared" si="3"/>
        <v>42688.4375</v>
      </c>
    </row>
    <row r="108" spans="1:7" x14ac:dyDescent="0.25">
      <c r="A108" s="8">
        <v>42688.441365740742</v>
      </c>
      <c r="B108" s="21" t="s">
        <v>358</v>
      </c>
      <c r="C108" s="21" t="s">
        <v>502</v>
      </c>
      <c r="D108" s="21">
        <v>2090000</v>
      </c>
      <c r="E108" s="21" t="s">
        <v>352</v>
      </c>
      <c r="F108" s="21" t="str">
        <f t="shared" si="2"/>
        <v>rtdc.l.rtdc.4017:itc</v>
      </c>
      <c r="G108" s="8">
        <f t="shared" si="3"/>
        <v>42688.441365740742</v>
      </c>
    </row>
    <row r="109" spans="1:7" x14ac:dyDescent="0.25">
      <c r="A109" s="8">
        <v>42688.441851851851</v>
      </c>
      <c r="B109" s="21" t="s">
        <v>270</v>
      </c>
      <c r="C109" s="21" t="s">
        <v>507</v>
      </c>
      <c r="D109" s="21">
        <v>2100000</v>
      </c>
      <c r="E109" s="21" t="s">
        <v>447</v>
      </c>
      <c r="F109" s="21" t="str">
        <f t="shared" si="2"/>
        <v>rtdc.l.rtdc.4010:itc</v>
      </c>
      <c r="G109" s="8">
        <f t="shared" si="3"/>
        <v>42688.441851851851</v>
      </c>
    </row>
    <row r="110" spans="1:7" x14ac:dyDescent="0.25">
      <c r="A110" s="8">
        <v>42688.44332175926</v>
      </c>
      <c r="B110" s="21" t="s">
        <v>273</v>
      </c>
      <c r="C110" s="21" t="s">
        <v>508</v>
      </c>
      <c r="D110" s="21">
        <v>2350000</v>
      </c>
      <c r="E110" s="21" t="s">
        <v>464</v>
      </c>
      <c r="F110" s="21" t="str">
        <f t="shared" si="2"/>
        <v>rtdc.l.rtdc.4021:itc</v>
      </c>
      <c r="G110" s="8">
        <f t="shared" si="3"/>
        <v>42688.44332175926</v>
      </c>
    </row>
    <row r="111" spans="1:7" x14ac:dyDescent="0.25">
      <c r="A111" s="8">
        <v>42688.447789351849</v>
      </c>
      <c r="B111" s="21" t="s">
        <v>459</v>
      </c>
      <c r="C111" s="21" t="s">
        <v>509</v>
      </c>
      <c r="D111" s="21">
        <v>2090000</v>
      </c>
      <c r="E111" s="21" t="s">
        <v>352</v>
      </c>
      <c r="F111" s="21" t="str">
        <f t="shared" si="2"/>
        <v>rtdc.l.rtdc.4018:itc</v>
      </c>
      <c r="G111" s="8">
        <f t="shared" si="3"/>
        <v>42688.447789351849</v>
      </c>
    </row>
    <row r="112" spans="1:7" x14ac:dyDescent="0.25">
      <c r="A112" s="8">
        <v>42688.452418981484</v>
      </c>
      <c r="B112" s="21" t="s">
        <v>232</v>
      </c>
      <c r="C112" s="21" t="s">
        <v>510</v>
      </c>
      <c r="D112" s="21">
        <v>2230000</v>
      </c>
      <c r="E112" s="21" t="s">
        <v>356</v>
      </c>
      <c r="F112" s="21" t="str">
        <f t="shared" si="2"/>
        <v>rtdc.l.rtdc.4039:itc</v>
      </c>
      <c r="G112" s="8">
        <f t="shared" si="3"/>
        <v>42688.452418981484</v>
      </c>
    </row>
    <row r="113" spans="1:7" x14ac:dyDescent="0.25">
      <c r="A113" s="8">
        <v>42688.460844907408</v>
      </c>
      <c r="B113" s="21" t="s">
        <v>217</v>
      </c>
      <c r="C113" s="21" t="s">
        <v>414</v>
      </c>
      <c r="D113" s="21">
        <v>2430000</v>
      </c>
      <c r="E113" s="21" t="s">
        <v>499</v>
      </c>
      <c r="F113" s="21" t="str">
        <f t="shared" si="2"/>
        <v>rtdc.l.rtdc.4030:itc</v>
      </c>
      <c r="G113" s="8">
        <f t="shared" si="3"/>
        <v>42688.460844907408</v>
      </c>
    </row>
    <row r="114" spans="1:7" x14ac:dyDescent="0.25">
      <c r="A114" s="8">
        <v>42688.463842592595</v>
      </c>
      <c r="B114" s="21" t="s">
        <v>406</v>
      </c>
      <c r="C114" s="21" t="s">
        <v>417</v>
      </c>
      <c r="D114" s="21">
        <v>2280000</v>
      </c>
      <c r="E114" s="21" t="s">
        <v>455</v>
      </c>
      <c r="F114" s="21" t="str">
        <f t="shared" si="2"/>
        <v>rtdc.l.rtdc.4045:itc</v>
      </c>
      <c r="G114" s="8">
        <f t="shared" si="3"/>
        <v>42688.463842592595</v>
      </c>
    </row>
    <row r="115" spans="1:7" x14ac:dyDescent="0.25">
      <c r="A115" s="8">
        <v>42688.464120370372</v>
      </c>
      <c r="B115" s="21" t="s">
        <v>259</v>
      </c>
      <c r="C115" s="21" t="s">
        <v>511</v>
      </c>
      <c r="D115" s="21">
        <v>2540000</v>
      </c>
      <c r="E115" s="21" t="s">
        <v>512</v>
      </c>
      <c r="F115" s="21" t="str">
        <f t="shared" si="2"/>
        <v>rtdc.l.rtdc.4016:itc</v>
      </c>
      <c r="G115" s="8">
        <f t="shared" si="3"/>
        <v>42688.464120370372</v>
      </c>
    </row>
    <row r="116" spans="1:7" x14ac:dyDescent="0.25">
      <c r="A116" s="8">
        <v>42688.465787037036</v>
      </c>
      <c r="B116" s="21" t="s">
        <v>271</v>
      </c>
      <c r="C116" s="21" t="s">
        <v>513</v>
      </c>
      <c r="D116" s="21">
        <v>2350000</v>
      </c>
      <c r="E116" s="21" t="s">
        <v>464</v>
      </c>
      <c r="F116" s="21" t="str">
        <f t="shared" si="2"/>
        <v>rtdc.l.rtdc.4022:itc</v>
      </c>
      <c r="G116" s="8">
        <f t="shared" si="3"/>
        <v>42688.465787037036</v>
      </c>
    </row>
    <row r="117" spans="1:7" x14ac:dyDescent="0.25">
      <c r="A117" s="8">
        <v>42688.468078703707</v>
      </c>
      <c r="B117" s="21" t="s">
        <v>270</v>
      </c>
      <c r="C117" s="21" t="s">
        <v>507</v>
      </c>
      <c r="D117" s="21">
        <v>2100000</v>
      </c>
      <c r="E117" s="21" t="s">
        <v>447</v>
      </c>
      <c r="F117" s="21" t="str">
        <f t="shared" si="2"/>
        <v>rtdc.l.rtdc.4010:itc</v>
      </c>
      <c r="G117" s="8">
        <f t="shared" si="3"/>
        <v>42688.468078703707</v>
      </c>
    </row>
    <row r="118" spans="1:7" x14ac:dyDescent="0.25">
      <c r="A118" s="8">
        <v>42688.475775462961</v>
      </c>
      <c r="B118" s="21" t="s">
        <v>216</v>
      </c>
      <c r="C118" s="21" t="s">
        <v>514</v>
      </c>
      <c r="D118" s="21">
        <v>1280000</v>
      </c>
      <c r="E118" s="21" t="s">
        <v>334</v>
      </c>
      <c r="F118" s="21" t="str">
        <f t="shared" si="2"/>
        <v>rtdc.l.rtdc.4029:itc</v>
      </c>
      <c r="G118" s="8">
        <f t="shared" si="3"/>
        <v>42688.475775462961</v>
      </c>
    </row>
    <row r="119" spans="1:7" x14ac:dyDescent="0.25">
      <c r="A119" s="8">
        <v>42688.479780092595</v>
      </c>
      <c r="B119" s="21" t="s">
        <v>187</v>
      </c>
      <c r="C119" s="21" t="s">
        <v>515</v>
      </c>
      <c r="D119" s="21">
        <v>2560000</v>
      </c>
      <c r="E119" s="21" t="s">
        <v>516</v>
      </c>
      <c r="F119" s="21" t="str">
        <f t="shared" si="2"/>
        <v>rtdc.l.rtdc.4009:itc</v>
      </c>
      <c r="G119" s="8">
        <f t="shared" si="3"/>
        <v>42688.479780092595</v>
      </c>
    </row>
    <row r="120" spans="1:7" x14ac:dyDescent="0.25">
      <c r="A120" s="8">
        <v>42688.484039351853</v>
      </c>
      <c r="B120" s="21" t="s">
        <v>358</v>
      </c>
      <c r="C120" s="21" t="s">
        <v>416</v>
      </c>
      <c r="D120" s="21">
        <v>2090000</v>
      </c>
      <c r="E120" s="21" t="s">
        <v>352</v>
      </c>
      <c r="F120" s="21" t="str">
        <f t="shared" si="2"/>
        <v>rtdc.l.rtdc.4017:itc</v>
      </c>
      <c r="G120" s="8">
        <f t="shared" si="3"/>
        <v>42688.484039351853</v>
      </c>
    </row>
    <row r="121" spans="1:7" x14ac:dyDescent="0.25">
      <c r="A121" s="8">
        <v>42688.484918981485</v>
      </c>
      <c r="B121" s="21" t="s">
        <v>273</v>
      </c>
      <c r="C121" s="21" t="s">
        <v>415</v>
      </c>
      <c r="D121" s="21">
        <v>2350000</v>
      </c>
      <c r="E121" s="21" t="s">
        <v>464</v>
      </c>
      <c r="F121" s="21" t="str">
        <f t="shared" si="2"/>
        <v>rtdc.l.rtdc.4021:itc</v>
      </c>
      <c r="G121" s="8">
        <f t="shared" si="3"/>
        <v>42688.484918981485</v>
      </c>
    </row>
    <row r="122" spans="1:7" x14ac:dyDescent="0.25">
      <c r="A122" s="8">
        <v>42688.486145833333</v>
      </c>
      <c r="B122" s="26" t="s">
        <v>245</v>
      </c>
      <c r="C122" s="21" t="s">
        <v>418</v>
      </c>
      <c r="D122" s="21">
        <v>2360000</v>
      </c>
      <c r="E122" s="21" t="s">
        <v>453</v>
      </c>
      <c r="F122" s="21" t="str">
        <f t="shared" si="2"/>
        <v>rtdc.l.rtdc.4012:itc</v>
      </c>
      <c r="G122" s="8">
        <f t="shared" si="3"/>
        <v>42688.486145833333</v>
      </c>
    </row>
    <row r="123" spans="1:7" x14ac:dyDescent="0.25">
      <c r="A123" s="8">
        <v>42688.487916666665</v>
      </c>
      <c r="B123" s="21" t="s">
        <v>225</v>
      </c>
      <c r="C123" s="21" t="s">
        <v>517</v>
      </c>
      <c r="D123" s="21">
        <v>930000</v>
      </c>
      <c r="E123" s="21" t="s">
        <v>321</v>
      </c>
      <c r="F123" s="21" t="str">
        <f t="shared" si="2"/>
        <v>rtdc.l.rtdc.4040:itc</v>
      </c>
      <c r="G123" s="8">
        <f t="shared" si="3"/>
        <v>42688.487916666665</v>
      </c>
    </row>
    <row r="124" spans="1:7" x14ac:dyDescent="0.25">
      <c r="A124" s="8">
        <v>42688.488761574074</v>
      </c>
      <c r="B124" s="21" t="s">
        <v>245</v>
      </c>
      <c r="C124" s="21" t="s">
        <v>418</v>
      </c>
      <c r="D124" s="21">
        <v>2360000</v>
      </c>
      <c r="E124" s="21" t="s">
        <v>453</v>
      </c>
      <c r="F124" s="21" t="str">
        <f t="shared" si="2"/>
        <v>rtdc.l.rtdc.4012:itc</v>
      </c>
      <c r="G124" s="8">
        <f t="shared" si="3"/>
        <v>42688.488761574074</v>
      </c>
    </row>
    <row r="125" spans="1:7" x14ac:dyDescent="0.25">
      <c r="A125" s="8">
        <v>42688.494699074072</v>
      </c>
      <c r="B125" s="21" t="s">
        <v>261</v>
      </c>
      <c r="C125" s="21" t="s">
        <v>518</v>
      </c>
      <c r="D125" s="21">
        <v>2540000</v>
      </c>
      <c r="E125" s="21" t="s">
        <v>512</v>
      </c>
      <c r="F125" s="21" t="str">
        <f t="shared" si="2"/>
        <v>rtdc.l.rtdc.4015:itc</v>
      </c>
      <c r="G125" s="8">
        <f t="shared" si="3"/>
        <v>42688.494699074072</v>
      </c>
    </row>
    <row r="126" spans="1:7" x14ac:dyDescent="0.25">
      <c r="A126" s="8">
        <v>42688.497511574074</v>
      </c>
      <c r="B126" s="21" t="s">
        <v>440</v>
      </c>
      <c r="C126" s="21" t="s">
        <v>519</v>
      </c>
      <c r="D126" s="21">
        <v>2370000</v>
      </c>
      <c r="E126" s="21" t="s">
        <v>520</v>
      </c>
      <c r="F126" s="21" t="str">
        <f t="shared" si="2"/>
        <v>rtdc.l.rtdc.4046:itc</v>
      </c>
      <c r="G126" s="8">
        <f t="shared" si="3"/>
        <v>42688.497511574074</v>
      </c>
    </row>
    <row r="127" spans="1:7" x14ac:dyDescent="0.25">
      <c r="A127" s="8">
        <v>42688.505208333336</v>
      </c>
      <c r="B127" s="21" t="s">
        <v>217</v>
      </c>
      <c r="C127" s="21" t="s">
        <v>521</v>
      </c>
      <c r="D127" s="21">
        <v>1280000</v>
      </c>
      <c r="E127" s="21" t="s">
        <v>334</v>
      </c>
      <c r="F127" s="21" t="str">
        <f t="shared" si="2"/>
        <v>rtdc.l.rtdc.4030:itc</v>
      </c>
      <c r="G127" s="8">
        <f t="shared" si="3"/>
        <v>42688.505208333336</v>
      </c>
    </row>
    <row r="128" spans="1:7" x14ac:dyDescent="0.25">
      <c r="A128" s="8">
        <v>42688.508831018517</v>
      </c>
      <c r="B128" s="21" t="s">
        <v>271</v>
      </c>
      <c r="C128" s="21" t="s">
        <v>522</v>
      </c>
      <c r="D128" s="21">
        <v>2350000</v>
      </c>
      <c r="E128" s="21" t="s">
        <v>464</v>
      </c>
      <c r="F128" s="21" t="str">
        <f t="shared" si="2"/>
        <v>rtdc.l.rtdc.4022:itc</v>
      </c>
      <c r="G128" s="8">
        <f t="shared" si="3"/>
        <v>42688.508831018517</v>
      </c>
    </row>
    <row r="129" spans="1:7" x14ac:dyDescent="0.25">
      <c r="A129" s="8">
        <v>42688.511608796296</v>
      </c>
      <c r="B129" s="21" t="s">
        <v>232</v>
      </c>
      <c r="C129" s="21" t="s">
        <v>517</v>
      </c>
      <c r="D129" s="21">
        <v>930000</v>
      </c>
      <c r="E129" s="21" t="s">
        <v>321</v>
      </c>
      <c r="F129" s="21" t="str">
        <f t="shared" si="2"/>
        <v>rtdc.l.rtdc.4039:itc</v>
      </c>
      <c r="G129" s="8">
        <f t="shared" si="3"/>
        <v>42688.511608796296</v>
      </c>
    </row>
    <row r="130" spans="1:7" x14ac:dyDescent="0.25">
      <c r="A130" s="8">
        <v>42688.512280092589</v>
      </c>
      <c r="B130" s="21" t="s">
        <v>232</v>
      </c>
      <c r="C130" s="21" t="s">
        <v>517</v>
      </c>
      <c r="D130" s="21">
        <v>930000</v>
      </c>
      <c r="E130" s="21" t="s">
        <v>321</v>
      </c>
      <c r="F130" s="21" t="str">
        <f t="shared" ref="F130:F193" si="4">B130</f>
        <v>rtdc.l.rtdc.4039:itc</v>
      </c>
      <c r="G130" s="8">
        <f t="shared" ref="G130:G193" si="5">A130</f>
        <v>42688.512280092589</v>
      </c>
    </row>
    <row r="131" spans="1:7" x14ac:dyDescent="0.25">
      <c r="A131" s="8">
        <v>42688.514479166668</v>
      </c>
      <c r="B131" s="21" t="s">
        <v>225</v>
      </c>
      <c r="C131" s="21" t="s">
        <v>517</v>
      </c>
      <c r="D131" s="21">
        <v>930000</v>
      </c>
      <c r="E131" s="21" t="s">
        <v>321</v>
      </c>
      <c r="F131" s="21" t="str">
        <f t="shared" si="4"/>
        <v>rtdc.l.rtdc.4040:itc</v>
      </c>
      <c r="G131" s="8">
        <f t="shared" si="5"/>
        <v>42688.514479166668</v>
      </c>
    </row>
    <row r="132" spans="1:7" x14ac:dyDescent="0.25">
      <c r="A132" s="8">
        <v>42688.516446759262</v>
      </c>
      <c r="B132" s="21" t="s">
        <v>270</v>
      </c>
      <c r="C132" s="21" t="s">
        <v>523</v>
      </c>
      <c r="D132" s="21">
        <v>2560000</v>
      </c>
      <c r="E132" s="21" t="s">
        <v>516</v>
      </c>
      <c r="F132" s="21" t="str">
        <f t="shared" si="4"/>
        <v>rtdc.l.rtdc.4010:itc</v>
      </c>
      <c r="G132" s="8">
        <f t="shared" si="5"/>
        <v>42688.516446759262</v>
      </c>
    </row>
    <row r="133" spans="1:7" x14ac:dyDescent="0.25">
      <c r="A133" s="8">
        <v>42688.517685185187</v>
      </c>
      <c r="B133" s="21" t="s">
        <v>220</v>
      </c>
      <c r="C133" s="21" t="s">
        <v>524</v>
      </c>
      <c r="D133" s="21">
        <v>2550000</v>
      </c>
      <c r="E133" s="21" t="s">
        <v>253</v>
      </c>
      <c r="F133" s="21" t="str">
        <f t="shared" si="4"/>
        <v>rtdc.l.rtdc.4011:itc</v>
      </c>
      <c r="G133" s="8">
        <f t="shared" si="5"/>
        <v>42688.517685185187</v>
      </c>
    </row>
    <row r="134" spans="1:7" x14ac:dyDescent="0.25">
      <c r="A134" s="8">
        <v>42688.520335648151</v>
      </c>
      <c r="B134" s="21" t="s">
        <v>459</v>
      </c>
      <c r="C134" s="21" t="s">
        <v>525</v>
      </c>
      <c r="D134" s="21">
        <v>2020000</v>
      </c>
      <c r="E134" s="21" t="s">
        <v>293</v>
      </c>
      <c r="F134" s="21" t="str">
        <f t="shared" si="4"/>
        <v>rtdc.l.rtdc.4018:itc</v>
      </c>
      <c r="G134" s="8">
        <f t="shared" si="5"/>
        <v>42688.520335648151</v>
      </c>
    </row>
    <row r="135" spans="1:7" x14ac:dyDescent="0.25">
      <c r="A135" s="8">
        <v>42688.52616898148</v>
      </c>
      <c r="B135" s="21" t="s">
        <v>273</v>
      </c>
      <c r="C135" s="21" t="s">
        <v>526</v>
      </c>
      <c r="D135" s="21">
        <v>2350000</v>
      </c>
      <c r="E135" s="21" t="s">
        <v>464</v>
      </c>
      <c r="F135" s="21" t="str">
        <f t="shared" si="4"/>
        <v>rtdc.l.rtdc.4021:itc</v>
      </c>
      <c r="G135" s="8">
        <f t="shared" si="5"/>
        <v>42688.52616898148</v>
      </c>
    </row>
    <row r="136" spans="1:7" x14ac:dyDescent="0.25">
      <c r="A136" s="8">
        <v>42688.5309375</v>
      </c>
      <c r="B136" s="21" t="s">
        <v>232</v>
      </c>
      <c r="C136" s="21" t="s">
        <v>420</v>
      </c>
      <c r="D136" s="21">
        <v>930000</v>
      </c>
      <c r="E136" s="21" t="s">
        <v>321</v>
      </c>
      <c r="F136" s="21" t="str">
        <f t="shared" si="4"/>
        <v>rtdc.l.rtdc.4039:itc</v>
      </c>
      <c r="G136" s="8">
        <f t="shared" si="5"/>
        <v>42688.5309375</v>
      </c>
    </row>
    <row r="137" spans="1:7" x14ac:dyDescent="0.25">
      <c r="A137" s="8">
        <v>42688.531284722223</v>
      </c>
      <c r="B137" s="21" t="s">
        <v>259</v>
      </c>
      <c r="C137" s="21" t="s">
        <v>419</v>
      </c>
      <c r="D137" s="21">
        <v>2540000</v>
      </c>
      <c r="E137" s="21" t="s">
        <v>512</v>
      </c>
      <c r="F137" s="21" t="str">
        <f t="shared" si="4"/>
        <v>rtdc.l.rtdc.4016:itc</v>
      </c>
      <c r="G137" s="8">
        <f t="shared" si="5"/>
        <v>42688.531284722223</v>
      </c>
    </row>
    <row r="138" spans="1:7" x14ac:dyDescent="0.25">
      <c r="A138" s="8">
        <v>42688.534224537034</v>
      </c>
      <c r="B138" s="21" t="s">
        <v>406</v>
      </c>
      <c r="C138" s="21" t="s">
        <v>527</v>
      </c>
      <c r="D138" s="21">
        <v>2370000</v>
      </c>
      <c r="E138" s="21" t="s">
        <v>520</v>
      </c>
      <c r="F138" s="21" t="str">
        <f t="shared" si="4"/>
        <v>rtdc.l.rtdc.4045:itc</v>
      </c>
      <c r="G138" s="8">
        <f t="shared" si="5"/>
        <v>42688.534224537034</v>
      </c>
    </row>
    <row r="139" spans="1:7" x14ac:dyDescent="0.25">
      <c r="A139" s="8">
        <v>42688.544814814813</v>
      </c>
      <c r="B139" s="21" t="s">
        <v>216</v>
      </c>
      <c r="C139" s="21" t="s">
        <v>528</v>
      </c>
      <c r="D139" s="21">
        <v>1280000</v>
      </c>
      <c r="E139" s="21" t="s">
        <v>334</v>
      </c>
      <c r="F139" s="21" t="str">
        <f t="shared" si="4"/>
        <v>rtdc.l.rtdc.4029:itc</v>
      </c>
      <c r="G139" s="8">
        <f t="shared" si="5"/>
        <v>42688.544814814813</v>
      </c>
    </row>
    <row r="140" spans="1:7" x14ac:dyDescent="0.25">
      <c r="A140" s="8">
        <v>42688.54896990741</v>
      </c>
      <c r="B140" s="21" t="s">
        <v>271</v>
      </c>
      <c r="C140" s="21" t="s">
        <v>529</v>
      </c>
      <c r="D140" s="21">
        <v>2530000</v>
      </c>
      <c r="E140" s="21" t="s">
        <v>530</v>
      </c>
      <c r="F140" s="21" t="str">
        <f t="shared" si="4"/>
        <v>rtdc.l.rtdc.4022:itc</v>
      </c>
      <c r="G140" s="8">
        <f t="shared" si="5"/>
        <v>42688.54896990741</v>
      </c>
    </row>
    <row r="141" spans="1:7" x14ac:dyDescent="0.25">
      <c r="A141" s="8">
        <v>42688.549444444441</v>
      </c>
      <c r="B141" s="21" t="s">
        <v>245</v>
      </c>
      <c r="C141" s="21" t="s">
        <v>531</v>
      </c>
      <c r="D141" s="21">
        <v>2550000</v>
      </c>
      <c r="E141" s="21" t="s">
        <v>253</v>
      </c>
      <c r="F141" s="21" t="str">
        <f t="shared" si="4"/>
        <v>rtdc.l.rtdc.4012:itc</v>
      </c>
      <c r="G141" s="8">
        <f t="shared" si="5"/>
        <v>42688.549444444441</v>
      </c>
    </row>
    <row r="142" spans="1:7" x14ac:dyDescent="0.25">
      <c r="A142" s="8">
        <v>42688.550717592596</v>
      </c>
      <c r="B142" s="21" t="s">
        <v>187</v>
      </c>
      <c r="C142" s="21" t="s">
        <v>532</v>
      </c>
      <c r="D142" s="21">
        <v>2560000</v>
      </c>
      <c r="E142" s="21" t="s">
        <v>516</v>
      </c>
      <c r="F142" s="21" t="str">
        <f t="shared" si="4"/>
        <v>rtdc.l.rtdc.4009:itc</v>
      </c>
      <c r="G142" s="8">
        <f t="shared" si="5"/>
        <v>42688.550717592596</v>
      </c>
    </row>
    <row r="143" spans="1:7" x14ac:dyDescent="0.25">
      <c r="A143" s="8">
        <v>42688.557453703703</v>
      </c>
      <c r="B143" s="21" t="s">
        <v>358</v>
      </c>
      <c r="C143" s="21" t="s">
        <v>422</v>
      </c>
      <c r="D143" s="21">
        <v>2020000</v>
      </c>
      <c r="E143" s="21" t="s">
        <v>293</v>
      </c>
      <c r="F143" s="21" t="str">
        <f t="shared" si="4"/>
        <v>rtdc.l.rtdc.4017:itc</v>
      </c>
      <c r="G143" s="8">
        <f t="shared" si="5"/>
        <v>42688.557453703703</v>
      </c>
    </row>
    <row r="144" spans="1:7" x14ac:dyDescent="0.25">
      <c r="A144" s="8">
        <v>42688.563993055555</v>
      </c>
      <c r="B144" s="21" t="s">
        <v>225</v>
      </c>
      <c r="C144" s="21" t="s">
        <v>421</v>
      </c>
      <c r="D144" s="21">
        <v>930000</v>
      </c>
      <c r="E144" s="21" t="s">
        <v>321</v>
      </c>
      <c r="F144" s="21" t="str">
        <f t="shared" si="4"/>
        <v>rtdc.l.rtdc.4040:itc</v>
      </c>
      <c r="G144" s="8">
        <f t="shared" si="5"/>
        <v>42688.563993055555</v>
      </c>
    </row>
    <row r="145" spans="1:7" x14ac:dyDescent="0.25">
      <c r="A145" s="8">
        <v>42688.566736111112</v>
      </c>
      <c r="B145" s="21" t="s">
        <v>261</v>
      </c>
      <c r="C145" s="21" t="s">
        <v>533</v>
      </c>
      <c r="D145" s="21">
        <v>2540000</v>
      </c>
      <c r="E145" s="21" t="s">
        <v>512</v>
      </c>
      <c r="F145" s="21" t="str">
        <f t="shared" si="4"/>
        <v>rtdc.l.rtdc.4015:itc</v>
      </c>
      <c r="G145" s="8">
        <f t="shared" si="5"/>
        <v>42688.566736111112</v>
      </c>
    </row>
    <row r="146" spans="1:7" x14ac:dyDescent="0.25">
      <c r="A146" s="8">
        <v>42688.569155092591</v>
      </c>
      <c r="B146" s="21" t="s">
        <v>273</v>
      </c>
      <c r="C146" s="21" t="s">
        <v>534</v>
      </c>
      <c r="D146" s="21">
        <v>2530000</v>
      </c>
      <c r="E146" s="21" t="s">
        <v>530</v>
      </c>
      <c r="F146" s="21" t="str">
        <f t="shared" si="4"/>
        <v>rtdc.l.rtdc.4021:itc</v>
      </c>
      <c r="G146" s="8">
        <f t="shared" si="5"/>
        <v>42688.569155092591</v>
      </c>
    </row>
    <row r="147" spans="1:7" x14ac:dyDescent="0.25">
      <c r="A147" s="8">
        <v>42688.574652777781</v>
      </c>
      <c r="B147" s="21" t="s">
        <v>440</v>
      </c>
      <c r="C147" s="21" t="s">
        <v>535</v>
      </c>
      <c r="D147" s="21">
        <v>1140000</v>
      </c>
      <c r="E147" s="21" t="s">
        <v>354</v>
      </c>
      <c r="F147" s="21" t="str">
        <f t="shared" si="4"/>
        <v>rtdc.l.rtdc.4046:itc</v>
      </c>
      <c r="G147" s="8">
        <f t="shared" si="5"/>
        <v>42688.574652777781</v>
      </c>
    </row>
    <row r="148" spans="1:7" x14ac:dyDescent="0.25">
      <c r="A148" s="8">
        <v>42688.580578703702</v>
      </c>
      <c r="B148" s="21" t="s">
        <v>217</v>
      </c>
      <c r="C148" s="21" t="s">
        <v>536</v>
      </c>
      <c r="D148" s="21">
        <v>1280000</v>
      </c>
      <c r="E148" s="21" t="s">
        <v>334</v>
      </c>
      <c r="F148" s="21" t="str">
        <f t="shared" si="4"/>
        <v>rtdc.l.rtdc.4030:itc</v>
      </c>
      <c r="G148" s="8">
        <f t="shared" si="5"/>
        <v>42688.580578703702</v>
      </c>
    </row>
    <row r="149" spans="1:7" x14ac:dyDescent="0.25">
      <c r="A149" s="8">
        <v>42688.583113425928</v>
      </c>
      <c r="B149" s="21" t="s">
        <v>220</v>
      </c>
      <c r="C149" s="21" t="s">
        <v>537</v>
      </c>
      <c r="D149" s="21">
        <v>2550000</v>
      </c>
      <c r="E149" s="21" t="s">
        <v>253</v>
      </c>
      <c r="F149" s="21" t="str">
        <f t="shared" si="4"/>
        <v>rtdc.l.rtdc.4011:itc</v>
      </c>
      <c r="G149" s="8">
        <f t="shared" si="5"/>
        <v>42688.583113425928</v>
      </c>
    </row>
    <row r="150" spans="1:7" x14ac:dyDescent="0.25">
      <c r="A150" s="8">
        <v>42688.585046296299</v>
      </c>
      <c r="B150" s="21" t="s">
        <v>270</v>
      </c>
      <c r="C150" s="21" t="s">
        <v>538</v>
      </c>
      <c r="D150" s="21">
        <v>2560000</v>
      </c>
      <c r="E150" s="21" t="s">
        <v>516</v>
      </c>
      <c r="F150" s="21" t="str">
        <f t="shared" si="4"/>
        <v>rtdc.l.rtdc.4010:itc</v>
      </c>
      <c r="G150" s="8">
        <f t="shared" si="5"/>
        <v>42688.585046296299</v>
      </c>
    </row>
    <row r="151" spans="1:7" x14ac:dyDescent="0.25">
      <c r="A151" s="8">
        <v>42688.592291666668</v>
      </c>
      <c r="B151" s="21" t="s">
        <v>459</v>
      </c>
      <c r="C151" s="21" t="s">
        <v>539</v>
      </c>
      <c r="D151" s="21">
        <v>2020000</v>
      </c>
      <c r="E151" s="21" t="s">
        <v>293</v>
      </c>
      <c r="F151" s="21" t="str">
        <f t="shared" si="4"/>
        <v>rtdc.l.rtdc.4018:itc</v>
      </c>
      <c r="G151" s="8">
        <f t="shared" si="5"/>
        <v>42688.592291666668</v>
      </c>
    </row>
    <row r="152" spans="1:7" x14ac:dyDescent="0.25">
      <c r="A152" s="8">
        <v>42688.593877314815</v>
      </c>
      <c r="B152" s="21" t="s">
        <v>271</v>
      </c>
      <c r="C152" s="21" t="s">
        <v>540</v>
      </c>
      <c r="D152" s="21">
        <v>2530000</v>
      </c>
      <c r="E152" s="21" t="s">
        <v>530</v>
      </c>
      <c r="F152" s="21" t="str">
        <f t="shared" si="4"/>
        <v>rtdc.l.rtdc.4022:itc</v>
      </c>
      <c r="G152" s="8">
        <f t="shared" si="5"/>
        <v>42688.593877314815</v>
      </c>
    </row>
    <row r="153" spans="1:7" x14ac:dyDescent="0.25">
      <c r="A153" s="8">
        <v>42688.60087962963</v>
      </c>
      <c r="B153" s="21" t="s">
        <v>232</v>
      </c>
      <c r="C153" s="21" t="s">
        <v>541</v>
      </c>
      <c r="D153" s="21">
        <v>930000</v>
      </c>
      <c r="E153" s="21" t="s">
        <v>321</v>
      </c>
      <c r="F153" s="21" t="str">
        <f t="shared" si="4"/>
        <v>rtdc.l.rtdc.4039:itc</v>
      </c>
      <c r="G153" s="8">
        <f t="shared" si="5"/>
        <v>42688.60087962963</v>
      </c>
    </row>
    <row r="154" spans="1:7" x14ac:dyDescent="0.25">
      <c r="A154" s="8">
        <v>42688.601736111108</v>
      </c>
      <c r="B154" s="21" t="s">
        <v>259</v>
      </c>
      <c r="C154" s="21" t="s">
        <v>542</v>
      </c>
      <c r="D154" s="21">
        <v>2540000</v>
      </c>
      <c r="E154" s="21" t="s">
        <v>512</v>
      </c>
      <c r="F154" s="21" t="str">
        <f t="shared" si="4"/>
        <v>rtdc.l.rtdc.4016:itc</v>
      </c>
      <c r="G154" s="8">
        <f t="shared" si="5"/>
        <v>42688.601736111108</v>
      </c>
    </row>
    <row r="155" spans="1:7" x14ac:dyDescent="0.25">
      <c r="A155" s="8">
        <v>42688.609317129631</v>
      </c>
      <c r="B155" s="21" t="s">
        <v>406</v>
      </c>
      <c r="C155" s="21" t="s">
        <v>424</v>
      </c>
      <c r="D155" s="21">
        <v>1140000</v>
      </c>
      <c r="E155" s="21" t="s">
        <v>354</v>
      </c>
      <c r="F155" s="21" t="str">
        <f t="shared" si="4"/>
        <v>rtdc.l.rtdc.4045:itc</v>
      </c>
      <c r="G155" s="8">
        <f t="shared" si="5"/>
        <v>42688.609317129631</v>
      </c>
    </row>
    <row r="156" spans="1:7" x14ac:dyDescent="0.25">
      <c r="A156" s="8">
        <v>42688.609710648147</v>
      </c>
      <c r="B156" s="21" t="s">
        <v>273</v>
      </c>
      <c r="C156" s="21" t="s">
        <v>543</v>
      </c>
      <c r="D156" s="21">
        <v>2530000</v>
      </c>
      <c r="E156" s="21" t="s">
        <v>530</v>
      </c>
      <c r="F156" s="21" t="str">
        <f t="shared" si="4"/>
        <v>rtdc.l.rtdc.4021:itc</v>
      </c>
      <c r="G156" s="8">
        <f t="shared" si="5"/>
        <v>42688.609710648147</v>
      </c>
    </row>
    <row r="157" spans="1:7" x14ac:dyDescent="0.25">
      <c r="A157" s="8">
        <v>42688.610682870371</v>
      </c>
      <c r="B157" s="21" t="s">
        <v>216</v>
      </c>
      <c r="C157" s="21" t="s">
        <v>544</v>
      </c>
      <c r="D157" s="21">
        <v>1280000</v>
      </c>
      <c r="E157" s="21" t="s">
        <v>334</v>
      </c>
      <c r="F157" s="21" t="str">
        <f t="shared" si="4"/>
        <v>rtdc.l.rtdc.4029:itc</v>
      </c>
      <c r="G157" s="8">
        <f t="shared" si="5"/>
        <v>42688.610682870371</v>
      </c>
    </row>
    <row r="158" spans="1:7" x14ac:dyDescent="0.25">
      <c r="A158" s="8">
        <v>42688.615104166667</v>
      </c>
      <c r="B158" s="21" t="s">
        <v>245</v>
      </c>
      <c r="C158" s="21" t="s">
        <v>423</v>
      </c>
      <c r="D158" s="21">
        <v>2550000</v>
      </c>
      <c r="E158" s="21" t="s">
        <v>253</v>
      </c>
      <c r="F158" s="21" t="str">
        <f t="shared" si="4"/>
        <v>rtdc.l.rtdc.4012:itc</v>
      </c>
      <c r="G158" s="8">
        <f t="shared" si="5"/>
        <v>42688.615104166667</v>
      </c>
    </row>
    <row r="159" spans="1:7" x14ac:dyDescent="0.25">
      <c r="A159" s="8">
        <v>42688.620752314811</v>
      </c>
      <c r="B159" s="21" t="s">
        <v>187</v>
      </c>
      <c r="C159" s="21" t="s">
        <v>545</v>
      </c>
      <c r="D159" s="21">
        <v>2560000</v>
      </c>
      <c r="E159" s="21" t="s">
        <v>516</v>
      </c>
      <c r="F159" s="21" t="str">
        <f t="shared" si="4"/>
        <v>rtdc.l.rtdc.4009:itc</v>
      </c>
      <c r="G159" s="8">
        <f t="shared" si="5"/>
        <v>42688.620752314811</v>
      </c>
    </row>
    <row r="160" spans="1:7" x14ac:dyDescent="0.25">
      <c r="A160" s="8">
        <v>42688.627962962964</v>
      </c>
      <c r="B160" s="21" t="s">
        <v>358</v>
      </c>
      <c r="C160" s="21" t="s">
        <v>546</v>
      </c>
      <c r="D160" s="21">
        <v>2020000</v>
      </c>
      <c r="E160" s="21" t="s">
        <v>293</v>
      </c>
      <c r="F160" s="21" t="str">
        <f t="shared" si="4"/>
        <v>rtdc.l.rtdc.4017:itc</v>
      </c>
      <c r="G160" s="8">
        <f t="shared" si="5"/>
        <v>42688.627962962964</v>
      </c>
    </row>
    <row r="161" spans="1:7" x14ac:dyDescent="0.25">
      <c r="A161" s="8">
        <v>42688.632847222223</v>
      </c>
      <c r="B161" s="21" t="s">
        <v>292</v>
      </c>
      <c r="C161" s="21" t="s">
        <v>547</v>
      </c>
      <c r="D161" s="21">
        <v>2250000</v>
      </c>
      <c r="E161" s="21" t="s">
        <v>355</v>
      </c>
      <c r="F161" s="21" t="str">
        <f t="shared" si="4"/>
        <v>rtdc.l.rtdc.4037:itc</v>
      </c>
      <c r="G161" s="8">
        <f t="shared" si="5"/>
        <v>42688.632847222223</v>
      </c>
    </row>
    <row r="162" spans="1:7" x14ac:dyDescent="0.25">
      <c r="A162" s="8">
        <v>42688.633217592593</v>
      </c>
      <c r="B162" s="21" t="s">
        <v>225</v>
      </c>
      <c r="C162" s="21" t="s">
        <v>548</v>
      </c>
      <c r="D162" s="21">
        <v>930000</v>
      </c>
      <c r="E162" s="21" t="s">
        <v>321</v>
      </c>
      <c r="F162" s="21" t="str">
        <f t="shared" si="4"/>
        <v>rtdc.l.rtdc.4040:itc</v>
      </c>
      <c r="G162" s="8">
        <f t="shared" si="5"/>
        <v>42688.633217592593</v>
      </c>
    </row>
    <row r="163" spans="1:7" x14ac:dyDescent="0.25">
      <c r="A163" s="8">
        <v>42688.636041666665</v>
      </c>
      <c r="B163" s="21" t="s">
        <v>271</v>
      </c>
      <c r="C163" s="21" t="s">
        <v>425</v>
      </c>
      <c r="D163" s="21">
        <v>2530000</v>
      </c>
      <c r="E163" s="21" t="s">
        <v>530</v>
      </c>
      <c r="F163" s="21" t="str">
        <f t="shared" si="4"/>
        <v>rtdc.l.rtdc.4022:itc</v>
      </c>
      <c r="G163" s="8">
        <f t="shared" si="5"/>
        <v>42688.636041666665</v>
      </c>
    </row>
    <row r="164" spans="1:7" x14ac:dyDescent="0.25">
      <c r="A164" s="8">
        <v>42688.641018518516</v>
      </c>
      <c r="B164" s="21" t="s">
        <v>261</v>
      </c>
      <c r="C164" s="21" t="s">
        <v>549</v>
      </c>
      <c r="D164" s="21">
        <v>2540000</v>
      </c>
      <c r="E164" s="21" t="s">
        <v>512</v>
      </c>
      <c r="F164" s="21" t="str">
        <f t="shared" si="4"/>
        <v>rtdc.l.rtdc.4015:itc</v>
      </c>
      <c r="G164" s="8">
        <f t="shared" si="5"/>
        <v>42688.641018518516</v>
      </c>
    </row>
    <row r="165" spans="1:7" x14ac:dyDescent="0.25">
      <c r="A165" s="8">
        <v>42688.642256944448</v>
      </c>
      <c r="B165" s="21" t="s">
        <v>440</v>
      </c>
      <c r="C165" s="21" t="s">
        <v>550</v>
      </c>
      <c r="D165" s="21">
        <v>1140000</v>
      </c>
      <c r="E165" s="21" t="s">
        <v>354</v>
      </c>
      <c r="F165" s="21" t="str">
        <f t="shared" si="4"/>
        <v>rtdc.l.rtdc.4046:itc</v>
      </c>
      <c r="G165" s="8">
        <f t="shared" si="5"/>
        <v>42688.642256944448</v>
      </c>
    </row>
    <row r="166" spans="1:7" x14ac:dyDescent="0.25">
      <c r="A166" s="8">
        <v>42688.642337962963</v>
      </c>
      <c r="B166" s="21" t="s">
        <v>217</v>
      </c>
      <c r="C166" s="21" t="s">
        <v>551</v>
      </c>
      <c r="D166" s="21">
        <v>1280000</v>
      </c>
      <c r="E166" s="21" t="s">
        <v>334</v>
      </c>
      <c r="F166" s="21" t="str">
        <f t="shared" si="4"/>
        <v>rtdc.l.rtdc.4030:itc</v>
      </c>
      <c r="G166" s="8">
        <f t="shared" si="5"/>
        <v>42688.642337962963</v>
      </c>
    </row>
    <row r="167" spans="1:7" x14ac:dyDescent="0.25">
      <c r="A167" s="8">
        <v>42688.652141203704</v>
      </c>
      <c r="B167" s="21" t="s">
        <v>273</v>
      </c>
      <c r="C167" s="21" t="s">
        <v>552</v>
      </c>
      <c r="D167" s="21">
        <v>2530000</v>
      </c>
      <c r="E167" s="21" t="s">
        <v>530</v>
      </c>
      <c r="F167" s="21" t="str">
        <f t="shared" si="4"/>
        <v>rtdc.l.rtdc.4021:itc</v>
      </c>
      <c r="G167" s="8">
        <f t="shared" si="5"/>
        <v>42688.652141203704</v>
      </c>
    </row>
    <row r="168" spans="1:7" x14ac:dyDescent="0.25">
      <c r="A168" s="8">
        <v>42688.653657407405</v>
      </c>
      <c r="B168" s="21" t="s">
        <v>220</v>
      </c>
      <c r="C168" s="21" t="s">
        <v>426</v>
      </c>
      <c r="D168" s="21">
        <v>2550000</v>
      </c>
      <c r="E168" s="21" t="s">
        <v>253</v>
      </c>
      <c r="F168" s="21" t="str">
        <f t="shared" si="4"/>
        <v>rtdc.l.rtdc.4011:itc</v>
      </c>
      <c r="G168" s="8">
        <f t="shared" si="5"/>
        <v>42688.653657407405</v>
      </c>
    </row>
    <row r="169" spans="1:7" x14ac:dyDescent="0.25">
      <c r="A169" s="8">
        <v>42688.65420138889</v>
      </c>
      <c r="B169" s="21" t="s">
        <v>270</v>
      </c>
      <c r="C169" s="21" t="s">
        <v>553</v>
      </c>
      <c r="D169" s="21">
        <v>2560000</v>
      </c>
      <c r="E169" s="21" t="s">
        <v>516</v>
      </c>
      <c r="F169" s="21" t="str">
        <f t="shared" si="4"/>
        <v>rtdc.l.rtdc.4010:itc</v>
      </c>
      <c r="G169" s="8">
        <f t="shared" si="5"/>
        <v>42688.65420138889</v>
      </c>
    </row>
    <row r="170" spans="1:7" x14ac:dyDescent="0.25">
      <c r="A170" s="8">
        <v>42688.656145833331</v>
      </c>
      <c r="B170" s="21" t="s">
        <v>288</v>
      </c>
      <c r="C170" s="21" t="s">
        <v>554</v>
      </c>
      <c r="D170" s="21">
        <v>2250000</v>
      </c>
      <c r="E170" s="21" t="s">
        <v>355</v>
      </c>
      <c r="F170" s="21" t="str">
        <f t="shared" si="4"/>
        <v>rtdc.l.rtdc.4038:itc</v>
      </c>
      <c r="G170" s="8">
        <f t="shared" si="5"/>
        <v>42688.656145833331</v>
      </c>
    </row>
    <row r="171" spans="1:7" x14ac:dyDescent="0.25">
      <c r="A171" s="8">
        <v>42688.658101851855</v>
      </c>
      <c r="B171" s="21" t="s">
        <v>288</v>
      </c>
      <c r="C171" s="21" t="s">
        <v>554</v>
      </c>
      <c r="D171" s="21">
        <v>2250000</v>
      </c>
      <c r="E171" s="21" t="s">
        <v>355</v>
      </c>
      <c r="F171" s="21" t="str">
        <f t="shared" si="4"/>
        <v>rtdc.l.rtdc.4038:itc</v>
      </c>
      <c r="G171" s="8">
        <f t="shared" si="5"/>
        <v>42688.658101851855</v>
      </c>
    </row>
    <row r="172" spans="1:7" x14ac:dyDescent="0.25">
      <c r="A172" s="8">
        <v>42688.661377314813</v>
      </c>
      <c r="B172" s="21" t="s">
        <v>459</v>
      </c>
      <c r="C172" s="21" t="s">
        <v>555</v>
      </c>
      <c r="D172" s="21">
        <v>2020000</v>
      </c>
      <c r="E172" s="21" t="s">
        <v>293</v>
      </c>
      <c r="F172" s="21" t="str">
        <f t="shared" si="4"/>
        <v>rtdc.l.rtdc.4018:itc</v>
      </c>
      <c r="G172" s="8">
        <f t="shared" si="5"/>
        <v>42688.661377314813</v>
      </c>
    </row>
    <row r="173" spans="1:7" x14ac:dyDescent="0.25">
      <c r="A173" s="8">
        <v>42688.672199074077</v>
      </c>
      <c r="B173" s="21" t="s">
        <v>292</v>
      </c>
      <c r="C173" s="21" t="s">
        <v>427</v>
      </c>
      <c r="D173" s="21">
        <v>2250000</v>
      </c>
      <c r="E173" s="21" t="s">
        <v>355</v>
      </c>
      <c r="F173" s="21" t="str">
        <f t="shared" si="4"/>
        <v>rtdc.l.rtdc.4037:itc</v>
      </c>
      <c r="G173" s="8">
        <f t="shared" si="5"/>
        <v>42688.672199074077</v>
      </c>
    </row>
    <row r="174" spans="1:7" x14ac:dyDescent="0.25">
      <c r="A174" s="8">
        <v>42688.672395833331</v>
      </c>
      <c r="B174" s="21" t="s">
        <v>232</v>
      </c>
      <c r="C174" s="21" t="s">
        <v>556</v>
      </c>
      <c r="D174" s="21">
        <v>930000</v>
      </c>
      <c r="E174" s="21" t="s">
        <v>321</v>
      </c>
      <c r="F174" s="21" t="str">
        <f t="shared" si="4"/>
        <v>rtdc.l.rtdc.4039:itc</v>
      </c>
      <c r="G174" s="8">
        <f t="shared" si="5"/>
        <v>42688.672395833331</v>
      </c>
    </row>
    <row r="175" spans="1:7" x14ac:dyDescent="0.25">
      <c r="A175" s="8">
        <v>42688.672650462962</v>
      </c>
      <c r="B175" s="21" t="s">
        <v>259</v>
      </c>
      <c r="C175" s="21" t="s">
        <v>557</v>
      </c>
      <c r="D175" s="21">
        <v>2540000</v>
      </c>
      <c r="E175" s="21" t="s">
        <v>512</v>
      </c>
      <c r="F175" s="21" t="str">
        <f t="shared" si="4"/>
        <v>rtdc.l.rtdc.4016:itc</v>
      </c>
      <c r="G175" s="8">
        <f t="shared" si="5"/>
        <v>42688.672650462962</v>
      </c>
    </row>
    <row r="176" spans="1:7" x14ac:dyDescent="0.25">
      <c r="A176" s="8">
        <v>42688.676064814812</v>
      </c>
      <c r="B176" s="21" t="s">
        <v>406</v>
      </c>
      <c r="C176" s="21" t="s">
        <v>558</v>
      </c>
      <c r="D176" s="21">
        <v>1140000</v>
      </c>
      <c r="E176" s="21" t="s">
        <v>354</v>
      </c>
      <c r="F176" s="21" t="str">
        <f t="shared" si="4"/>
        <v>rtdc.l.rtdc.4045:itc</v>
      </c>
      <c r="G176" s="8">
        <f t="shared" si="5"/>
        <v>42688.676064814812</v>
      </c>
    </row>
    <row r="177" spans="1:7" x14ac:dyDescent="0.25">
      <c r="A177" s="8">
        <v>42688.676759259259</v>
      </c>
      <c r="B177" s="21" t="s">
        <v>271</v>
      </c>
      <c r="C177" s="21" t="s">
        <v>559</v>
      </c>
      <c r="D177" s="21">
        <v>2530000</v>
      </c>
      <c r="E177" s="21" t="s">
        <v>530</v>
      </c>
      <c r="F177" s="21" t="str">
        <f t="shared" si="4"/>
        <v>rtdc.l.rtdc.4022:itc</v>
      </c>
      <c r="G177" s="8">
        <f t="shared" si="5"/>
        <v>42688.676759259259</v>
      </c>
    </row>
    <row r="178" spans="1:7" x14ac:dyDescent="0.25">
      <c r="A178" s="8">
        <v>42688.683449074073</v>
      </c>
      <c r="B178" s="21" t="s">
        <v>216</v>
      </c>
      <c r="C178" s="21" t="s">
        <v>560</v>
      </c>
      <c r="D178" s="21">
        <v>1280000</v>
      </c>
      <c r="E178" s="21" t="s">
        <v>334</v>
      </c>
      <c r="F178" s="21" t="str">
        <f t="shared" si="4"/>
        <v>rtdc.l.rtdc.4029:itc</v>
      </c>
      <c r="G178" s="8">
        <f t="shared" si="5"/>
        <v>42688.683449074073</v>
      </c>
    </row>
    <row r="179" spans="1:7" x14ac:dyDescent="0.25">
      <c r="A179" s="8">
        <v>42688.691006944442</v>
      </c>
      <c r="B179" s="21" t="s">
        <v>245</v>
      </c>
      <c r="C179" s="21" t="s">
        <v>561</v>
      </c>
      <c r="D179" s="21">
        <v>2550000</v>
      </c>
      <c r="E179" s="21" t="s">
        <v>253</v>
      </c>
      <c r="F179" s="21" t="str">
        <f t="shared" si="4"/>
        <v>rtdc.l.rtdc.4012:itc</v>
      </c>
      <c r="G179" s="8">
        <f t="shared" si="5"/>
        <v>42688.691006944442</v>
      </c>
    </row>
    <row r="180" spans="1:7" x14ac:dyDescent="0.25">
      <c r="A180" s="8">
        <v>42688.693032407406</v>
      </c>
      <c r="B180" s="21" t="s">
        <v>187</v>
      </c>
      <c r="C180" s="21" t="s">
        <v>562</v>
      </c>
      <c r="D180" s="21">
        <v>2560000</v>
      </c>
      <c r="E180" s="21" t="s">
        <v>516</v>
      </c>
      <c r="F180" s="21" t="str">
        <f t="shared" si="4"/>
        <v>rtdc.l.rtdc.4009:itc</v>
      </c>
      <c r="G180" s="8">
        <f t="shared" si="5"/>
        <v>42688.693032407406</v>
      </c>
    </row>
    <row r="181" spans="1:7" x14ac:dyDescent="0.25">
      <c r="A181" s="8">
        <v>42688.693136574075</v>
      </c>
      <c r="B181" s="21" t="s">
        <v>273</v>
      </c>
      <c r="C181" s="21" t="s">
        <v>563</v>
      </c>
      <c r="D181" s="21">
        <v>2530000</v>
      </c>
      <c r="E181" s="21" t="s">
        <v>530</v>
      </c>
      <c r="F181" s="21" t="str">
        <f t="shared" si="4"/>
        <v>rtdc.l.rtdc.4021:itc</v>
      </c>
      <c r="G181" s="8">
        <f t="shared" si="5"/>
        <v>42688.693136574075</v>
      </c>
    </row>
    <row r="182" spans="1:7" x14ac:dyDescent="0.25">
      <c r="A182" s="8">
        <v>42688.696793981479</v>
      </c>
      <c r="B182" s="21" t="s">
        <v>288</v>
      </c>
      <c r="C182" s="21" t="s">
        <v>564</v>
      </c>
      <c r="D182" s="21">
        <v>2250000</v>
      </c>
      <c r="E182" s="21" t="s">
        <v>355</v>
      </c>
      <c r="F182" s="21" t="str">
        <f t="shared" si="4"/>
        <v>rtdc.l.rtdc.4038:itc</v>
      </c>
      <c r="G182" s="8">
        <f t="shared" si="5"/>
        <v>42688.696793981479</v>
      </c>
    </row>
    <row r="183" spans="1:7" x14ac:dyDescent="0.25">
      <c r="A183" s="8">
        <v>42688.70113425926</v>
      </c>
      <c r="B183" s="21" t="s">
        <v>358</v>
      </c>
      <c r="C183" s="21" t="s">
        <v>565</v>
      </c>
      <c r="D183" s="21">
        <v>2020000</v>
      </c>
      <c r="E183" s="21" t="s">
        <v>293</v>
      </c>
      <c r="F183" s="21" t="str">
        <f t="shared" si="4"/>
        <v>rtdc.l.rtdc.4017:itc</v>
      </c>
      <c r="G183" s="8">
        <f t="shared" si="5"/>
        <v>42688.70113425926</v>
      </c>
    </row>
    <row r="184" spans="1:7" x14ac:dyDescent="0.25">
      <c r="A184" s="8">
        <v>42688.70616898148</v>
      </c>
      <c r="B184" s="21" t="s">
        <v>225</v>
      </c>
      <c r="C184" s="21" t="s">
        <v>566</v>
      </c>
      <c r="D184" s="21">
        <v>930000</v>
      </c>
      <c r="E184" s="21" t="s">
        <v>321</v>
      </c>
      <c r="F184" s="21" t="str">
        <f t="shared" si="4"/>
        <v>rtdc.l.rtdc.4040:itc</v>
      </c>
      <c r="G184" s="8">
        <f t="shared" si="5"/>
        <v>42688.70616898148</v>
      </c>
    </row>
    <row r="185" spans="1:7" x14ac:dyDescent="0.25">
      <c r="A185" s="8">
        <v>42688.71</v>
      </c>
      <c r="B185" s="21" t="s">
        <v>261</v>
      </c>
      <c r="C185" s="21" t="s">
        <v>567</v>
      </c>
      <c r="D185" s="21">
        <v>2540000</v>
      </c>
      <c r="E185" s="21" t="s">
        <v>512</v>
      </c>
      <c r="F185" s="21" t="str">
        <f t="shared" si="4"/>
        <v>rtdc.l.rtdc.4015:itc</v>
      </c>
      <c r="G185" s="8">
        <f t="shared" si="5"/>
        <v>42688.71</v>
      </c>
    </row>
    <row r="186" spans="1:7" x14ac:dyDescent="0.25">
      <c r="A186" s="8">
        <v>42688.713645833333</v>
      </c>
      <c r="B186" s="21" t="s">
        <v>292</v>
      </c>
      <c r="C186" s="21" t="s">
        <v>568</v>
      </c>
      <c r="D186" s="21">
        <v>2250000</v>
      </c>
      <c r="E186" s="21" t="s">
        <v>355</v>
      </c>
      <c r="F186" s="21" t="str">
        <f t="shared" si="4"/>
        <v>rtdc.l.rtdc.4037:itc</v>
      </c>
      <c r="G186" s="8">
        <f t="shared" si="5"/>
        <v>42688.713645833333</v>
      </c>
    </row>
    <row r="187" spans="1:7" x14ac:dyDescent="0.25">
      <c r="A187" s="8">
        <v>42688.715254629627</v>
      </c>
      <c r="B187" s="21" t="s">
        <v>217</v>
      </c>
      <c r="C187" s="21" t="s">
        <v>428</v>
      </c>
      <c r="D187" s="21">
        <v>1280000</v>
      </c>
      <c r="E187" s="21" t="s">
        <v>334</v>
      </c>
      <c r="F187" s="21" t="str">
        <f t="shared" si="4"/>
        <v>rtdc.l.rtdc.4030:itc</v>
      </c>
      <c r="G187" s="8">
        <f t="shared" si="5"/>
        <v>42688.715254629627</v>
      </c>
    </row>
    <row r="188" spans="1:7" x14ac:dyDescent="0.25">
      <c r="A188" s="8">
        <v>42688.716863425929</v>
      </c>
      <c r="B188" s="21" t="s">
        <v>440</v>
      </c>
      <c r="C188" s="21" t="s">
        <v>569</v>
      </c>
      <c r="D188" s="21">
        <v>2450000</v>
      </c>
      <c r="E188" s="21" t="s">
        <v>570</v>
      </c>
      <c r="F188" s="21" t="str">
        <f t="shared" si="4"/>
        <v>rtdc.l.rtdc.4046:itc</v>
      </c>
      <c r="G188" s="8">
        <f t="shared" si="5"/>
        <v>42688.716863425929</v>
      </c>
    </row>
    <row r="189" spans="1:7" x14ac:dyDescent="0.25">
      <c r="A189" s="8">
        <v>42688.719641203701</v>
      </c>
      <c r="B189" s="21" t="s">
        <v>271</v>
      </c>
      <c r="C189" s="21" t="s">
        <v>571</v>
      </c>
      <c r="D189" s="21">
        <v>2530000</v>
      </c>
      <c r="E189" s="21" t="s">
        <v>530</v>
      </c>
      <c r="F189" s="21" t="str">
        <f t="shared" si="4"/>
        <v>rtdc.l.rtdc.4022:itc</v>
      </c>
      <c r="G189" s="8">
        <f t="shared" si="5"/>
        <v>42688.719641203701</v>
      </c>
    </row>
    <row r="190" spans="1:7" x14ac:dyDescent="0.25">
      <c r="A190" s="8">
        <v>42688.723587962966</v>
      </c>
      <c r="B190" s="21" t="s">
        <v>220</v>
      </c>
      <c r="C190" s="21" t="s">
        <v>572</v>
      </c>
      <c r="D190" s="21">
        <v>1140000</v>
      </c>
      <c r="E190" s="21" t="s">
        <v>354</v>
      </c>
      <c r="F190" s="21" t="str">
        <f t="shared" si="4"/>
        <v>rtdc.l.rtdc.4011:itc</v>
      </c>
      <c r="G190" s="8">
        <f t="shared" si="5"/>
        <v>42688.723587962966</v>
      </c>
    </row>
    <row r="191" spans="1:7" x14ac:dyDescent="0.25">
      <c r="A191" s="8">
        <v>42688.726990740739</v>
      </c>
      <c r="B191" s="21" t="s">
        <v>270</v>
      </c>
      <c r="C191" s="21" t="s">
        <v>573</v>
      </c>
      <c r="D191" s="21">
        <v>2560000</v>
      </c>
      <c r="E191" s="21" t="s">
        <v>516</v>
      </c>
      <c r="F191" s="21" t="str">
        <f t="shared" si="4"/>
        <v>rtdc.l.rtdc.4010:itc</v>
      </c>
      <c r="G191" s="8">
        <f t="shared" si="5"/>
        <v>42688.726990740739</v>
      </c>
    </row>
    <row r="192" spans="1:7" x14ac:dyDescent="0.25">
      <c r="A192" s="8">
        <v>42688.734699074077</v>
      </c>
      <c r="B192" s="21" t="s">
        <v>273</v>
      </c>
      <c r="C192" s="21" t="s">
        <v>574</v>
      </c>
      <c r="D192" s="21">
        <v>2530000</v>
      </c>
      <c r="E192" s="21" t="s">
        <v>530</v>
      </c>
      <c r="F192" s="21" t="str">
        <f t="shared" si="4"/>
        <v>rtdc.l.rtdc.4021:itc</v>
      </c>
      <c r="G192" s="8">
        <f t="shared" si="5"/>
        <v>42688.734699074077</v>
      </c>
    </row>
    <row r="193" spans="1:7" x14ac:dyDescent="0.25">
      <c r="A193" s="8">
        <v>42688.735324074078</v>
      </c>
      <c r="B193" s="21" t="s">
        <v>287</v>
      </c>
      <c r="C193" s="21" t="s">
        <v>575</v>
      </c>
      <c r="D193" s="21">
        <v>1810000</v>
      </c>
      <c r="E193" s="21" t="s">
        <v>336</v>
      </c>
      <c r="F193" s="21" t="str">
        <f t="shared" si="4"/>
        <v>rtdc.l.rtdc.4053:itc</v>
      </c>
      <c r="G193" s="8">
        <f t="shared" si="5"/>
        <v>42688.735324074078</v>
      </c>
    </row>
    <row r="194" spans="1:7" x14ac:dyDescent="0.25">
      <c r="A194" s="8">
        <v>42688.737708333334</v>
      </c>
      <c r="B194" s="21" t="s">
        <v>288</v>
      </c>
      <c r="C194" s="21" t="s">
        <v>576</v>
      </c>
      <c r="D194" s="21">
        <v>2250000</v>
      </c>
      <c r="E194" s="21" t="s">
        <v>355</v>
      </c>
      <c r="F194" s="21" t="str">
        <f t="shared" ref="F194:F235" si="6">B194</f>
        <v>rtdc.l.rtdc.4038:itc</v>
      </c>
      <c r="G194" s="8">
        <f t="shared" ref="G194:G235" si="7">A194</f>
        <v>42688.737708333334</v>
      </c>
    </row>
    <row r="195" spans="1:7" x14ac:dyDescent="0.25">
      <c r="A195" s="8">
        <v>42688.739907407406</v>
      </c>
      <c r="B195" s="21" t="s">
        <v>459</v>
      </c>
      <c r="C195" s="21" t="s">
        <v>577</v>
      </c>
      <c r="D195" s="21">
        <v>2470000</v>
      </c>
      <c r="E195" s="21" t="s">
        <v>360</v>
      </c>
      <c r="F195" s="21" t="str">
        <f t="shared" si="6"/>
        <v>rtdc.l.rtdc.4018:itc</v>
      </c>
      <c r="G195" s="8">
        <f t="shared" si="7"/>
        <v>42688.739907407406</v>
      </c>
    </row>
    <row r="196" spans="1:7" x14ac:dyDescent="0.25">
      <c r="A196" s="8">
        <v>42688.74454861111</v>
      </c>
      <c r="B196" s="21" t="s">
        <v>351</v>
      </c>
      <c r="C196" s="21" t="s">
        <v>429</v>
      </c>
      <c r="D196" s="21">
        <v>2480000</v>
      </c>
      <c r="E196" s="21" t="s">
        <v>359</v>
      </c>
      <c r="F196" s="21" t="str">
        <f t="shared" si="6"/>
        <v>rtdc.l.rtdc.4008:itc</v>
      </c>
      <c r="G196" s="8">
        <f t="shared" si="7"/>
        <v>42688.74454861111</v>
      </c>
    </row>
    <row r="197" spans="1:7" x14ac:dyDescent="0.25">
      <c r="A197" s="8">
        <v>42688.745173611111</v>
      </c>
      <c r="B197" s="21" t="s">
        <v>232</v>
      </c>
      <c r="C197" s="21" t="s">
        <v>578</v>
      </c>
      <c r="D197" s="21">
        <v>930000</v>
      </c>
      <c r="E197" s="21" t="s">
        <v>321</v>
      </c>
      <c r="F197" s="21" t="str">
        <f t="shared" si="6"/>
        <v>rtdc.l.rtdc.4039:itc</v>
      </c>
      <c r="G197" s="8">
        <f t="shared" si="7"/>
        <v>42688.745173611111</v>
      </c>
    </row>
    <row r="198" spans="1:7" x14ac:dyDescent="0.25">
      <c r="A198" s="8">
        <v>42688.747523148151</v>
      </c>
      <c r="B198" s="21" t="s">
        <v>259</v>
      </c>
      <c r="C198" s="21" t="s">
        <v>579</v>
      </c>
      <c r="D198" s="21">
        <v>2020000</v>
      </c>
      <c r="E198" s="21" t="s">
        <v>293</v>
      </c>
      <c r="F198" s="21" t="str">
        <f t="shared" si="6"/>
        <v>rtdc.l.rtdc.4016:itc</v>
      </c>
      <c r="G198" s="8">
        <f t="shared" si="7"/>
        <v>42688.747523148151</v>
      </c>
    </row>
    <row r="199" spans="1:7" x14ac:dyDescent="0.25">
      <c r="A199" s="8">
        <v>42688.75271990741</v>
      </c>
      <c r="B199" s="21" t="s">
        <v>406</v>
      </c>
      <c r="C199" s="21" t="s">
        <v>580</v>
      </c>
      <c r="D199" s="21">
        <v>2450000</v>
      </c>
      <c r="E199" s="21" t="s">
        <v>570</v>
      </c>
      <c r="F199" s="21" t="str">
        <f t="shared" si="6"/>
        <v>rtdc.l.rtdc.4045:itc</v>
      </c>
      <c r="G199" s="8">
        <f t="shared" si="7"/>
        <v>42688.75271990741</v>
      </c>
    </row>
    <row r="200" spans="1:7" x14ac:dyDescent="0.25">
      <c r="A200" s="8">
        <v>42688.755682870367</v>
      </c>
      <c r="B200" s="21" t="s">
        <v>292</v>
      </c>
      <c r="C200" s="21" t="s">
        <v>581</v>
      </c>
      <c r="D200" s="21">
        <v>2250000</v>
      </c>
      <c r="E200" s="21" t="s">
        <v>355</v>
      </c>
      <c r="F200" s="21" t="str">
        <f t="shared" si="6"/>
        <v>rtdc.l.rtdc.4037:itc</v>
      </c>
      <c r="G200" s="8">
        <f t="shared" si="7"/>
        <v>42688.755682870367</v>
      </c>
    </row>
    <row r="201" spans="1:7" x14ac:dyDescent="0.25">
      <c r="A201" s="8">
        <v>42688.760312500002</v>
      </c>
      <c r="B201" s="21" t="s">
        <v>216</v>
      </c>
      <c r="C201" s="21" t="s">
        <v>582</v>
      </c>
      <c r="D201" s="21">
        <v>1800000</v>
      </c>
      <c r="E201" s="21" t="s">
        <v>322</v>
      </c>
      <c r="F201" s="21" t="str">
        <f t="shared" si="6"/>
        <v>rtdc.l.rtdc.4029:itc</v>
      </c>
      <c r="G201" s="8">
        <f t="shared" si="7"/>
        <v>42688.760312500002</v>
      </c>
    </row>
    <row r="202" spans="1:7" x14ac:dyDescent="0.25">
      <c r="A202" s="27">
        <v>42688.761122685188</v>
      </c>
      <c r="B202" s="21" t="s">
        <v>245</v>
      </c>
      <c r="C202" s="21" t="s">
        <v>583</v>
      </c>
      <c r="D202" s="21">
        <v>1140000</v>
      </c>
      <c r="E202" s="21" t="s">
        <v>354</v>
      </c>
      <c r="F202" s="21" t="str">
        <f t="shared" si="6"/>
        <v>rtdc.l.rtdc.4012:itc</v>
      </c>
      <c r="G202" s="8">
        <f t="shared" si="7"/>
        <v>42688.761122685188</v>
      </c>
    </row>
    <row r="203" spans="1:7" x14ac:dyDescent="0.25">
      <c r="A203" s="8">
        <v>42688.761817129627</v>
      </c>
      <c r="B203" s="21" t="s">
        <v>271</v>
      </c>
      <c r="C203" s="21" t="s">
        <v>584</v>
      </c>
      <c r="D203" s="21">
        <v>2530000</v>
      </c>
      <c r="E203" s="21" t="s">
        <v>530</v>
      </c>
      <c r="F203" s="21" t="str">
        <f t="shared" si="6"/>
        <v>rtdc.l.rtdc.4022:itc</v>
      </c>
      <c r="G203" s="8">
        <f t="shared" si="7"/>
        <v>42688.761817129627</v>
      </c>
    </row>
    <row r="204" spans="1:7" x14ac:dyDescent="0.25">
      <c r="A204" s="8">
        <v>42688.765868055554</v>
      </c>
      <c r="B204" s="21" t="s">
        <v>187</v>
      </c>
      <c r="C204" s="21" t="s">
        <v>585</v>
      </c>
      <c r="D204" s="21">
        <v>2620000</v>
      </c>
      <c r="E204" s="21" t="s">
        <v>586</v>
      </c>
      <c r="F204" s="21" t="str">
        <f t="shared" si="6"/>
        <v>rtdc.l.rtdc.4009:itc</v>
      </c>
      <c r="G204" s="8">
        <f t="shared" si="7"/>
        <v>42688.765868055554</v>
      </c>
    </row>
    <row r="205" spans="1:7" x14ac:dyDescent="0.25">
      <c r="A205" s="8">
        <v>42688.774328703701</v>
      </c>
      <c r="B205" s="21" t="s">
        <v>286</v>
      </c>
      <c r="C205" s="21" t="s">
        <v>587</v>
      </c>
      <c r="D205" s="21">
        <v>1810000</v>
      </c>
      <c r="E205" s="21" t="s">
        <v>336</v>
      </c>
      <c r="F205" s="21" t="str">
        <f t="shared" si="6"/>
        <v>rtdc.l.rtdc.4054:itc</v>
      </c>
      <c r="G205" s="8">
        <f t="shared" si="7"/>
        <v>42688.774328703701</v>
      </c>
    </row>
    <row r="206" spans="1:7" x14ac:dyDescent="0.25">
      <c r="A206" s="8">
        <v>42688.777048611111</v>
      </c>
      <c r="B206" s="21" t="s">
        <v>273</v>
      </c>
      <c r="C206" s="21" t="s">
        <v>430</v>
      </c>
      <c r="D206" s="21">
        <v>2530000</v>
      </c>
      <c r="E206" s="21" t="s">
        <v>530</v>
      </c>
      <c r="F206" s="21" t="str">
        <f t="shared" si="6"/>
        <v>rtdc.l.rtdc.4021:itc</v>
      </c>
      <c r="G206" s="8">
        <f t="shared" si="7"/>
        <v>42688.777048611111</v>
      </c>
    </row>
    <row r="207" spans="1:7" x14ac:dyDescent="0.25">
      <c r="A207" s="8">
        <v>42688.779965277776</v>
      </c>
      <c r="B207" s="21" t="s">
        <v>288</v>
      </c>
      <c r="C207" s="21" t="s">
        <v>588</v>
      </c>
      <c r="D207" s="21">
        <v>2250000</v>
      </c>
      <c r="E207" s="21" t="s">
        <v>355</v>
      </c>
      <c r="F207" s="21" t="str">
        <f t="shared" si="6"/>
        <v>rtdc.l.rtdc.4038:itc</v>
      </c>
      <c r="G207" s="8">
        <f t="shared" si="7"/>
        <v>42688.779965277776</v>
      </c>
    </row>
    <row r="208" spans="1:7" x14ac:dyDescent="0.25">
      <c r="A208" s="8">
        <v>42688.780023148145</v>
      </c>
      <c r="B208" s="21" t="s">
        <v>225</v>
      </c>
      <c r="C208" s="21" t="s">
        <v>589</v>
      </c>
      <c r="D208" s="21">
        <v>930000</v>
      </c>
      <c r="E208" s="21" t="s">
        <v>321</v>
      </c>
      <c r="F208" s="21" t="str">
        <f t="shared" si="6"/>
        <v>rtdc.l.rtdc.4040:itc</v>
      </c>
      <c r="G208" s="8">
        <f t="shared" si="7"/>
        <v>42688.780023148145</v>
      </c>
    </row>
    <row r="209" spans="1:7" x14ac:dyDescent="0.25">
      <c r="A209" s="8">
        <v>42688.783495370371</v>
      </c>
      <c r="B209" s="21" t="s">
        <v>261</v>
      </c>
      <c r="C209" s="21" t="s">
        <v>590</v>
      </c>
      <c r="D209" s="21">
        <v>2020000</v>
      </c>
      <c r="E209" s="21" t="s">
        <v>293</v>
      </c>
      <c r="F209" s="21" t="str">
        <f t="shared" si="6"/>
        <v>rtdc.l.rtdc.4015:itc</v>
      </c>
      <c r="G209" s="8">
        <f t="shared" si="7"/>
        <v>42688.783495370371</v>
      </c>
    </row>
    <row r="210" spans="1:7" x14ac:dyDescent="0.25">
      <c r="A210" s="8">
        <v>42688.787731481483</v>
      </c>
      <c r="B210" s="21" t="s">
        <v>440</v>
      </c>
      <c r="C210" s="21" t="s">
        <v>591</v>
      </c>
      <c r="D210" s="21">
        <v>2450000</v>
      </c>
      <c r="E210" s="21" t="s">
        <v>570</v>
      </c>
      <c r="F210" s="21" t="str">
        <f t="shared" si="6"/>
        <v>rtdc.l.rtdc.4046:itc</v>
      </c>
      <c r="G210" s="8">
        <f t="shared" si="7"/>
        <v>42688.787731481483</v>
      </c>
    </row>
    <row r="211" spans="1:7" x14ac:dyDescent="0.25">
      <c r="A211" s="8">
        <v>42688.798020833332</v>
      </c>
      <c r="B211" s="21" t="s">
        <v>292</v>
      </c>
      <c r="C211" s="21" t="s">
        <v>592</v>
      </c>
      <c r="D211" s="21">
        <v>2250000</v>
      </c>
      <c r="E211" s="21" t="s">
        <v>355</v>
      </c>
      <c r="F211" s="21" t="str">
        <f t="shared" si="6"/>
        <v>rtdc.l.rtdc.4037:itc</v>
      </c>
      <c r="G211" s="8">
        <f t="shared" si="7"/>
        <v>42688.798020833332</v>
      </c>
    </row>
    <row r="212" spans="1:7" x14ac:dyDescent="0.25">
      <c r="A212" s="8">
        <v>42688.798506944448</v>
      </c>
      <c r="B212" s="21" t="s">
        <v>271</v>
      </c>
      <c r="C212" s="21" t="s">
        <v>593</v>
      </c>
      <c r="D212" s="21">
        <v>2530000</v>
      </c>
      <c r="E212" s="21" t="s">
        <v>530</v>
      </c>
      <c r="F212" s="21" t="str">
        <f t="shared" si="6"/>
        <v>rtdc.l.rtdc.4022:itc</v>
      </c>
      <c r="G212" s="8">
        <f t="shared" si="7"/>
        <v>42688.798506944448</v>
      </c>
    </row>
    <row r="213" spans="1:7" x14ac:dyDescent="0.25">
      <c r="A213" s="8">
        <v>42688.798761574071</v>
      </c>
      <c r="B213" s="21" t="s">
        <v>217</v>
      </c>
      <c r="C213" s="21" t="s">
        <v>594</v>
      </c>
      <c r="D213" s="21">
        <v>1800000</v>
      </c>
      <c r="E213" s="21" t="s">
        <v>322</v>
      </c>
      <c r="F213" s="21" t="str">
        <f t="shared" si="6"/>
        <v>rtdc.l.rtdc.4030:itc</v>
      </c>
      <c r="G213" s="8">
        <f t="shared" si="7"/>
        <v>42688.798761574071</v>
      </c>
    </row>
    <row r="214" spans="1:7" x14ac:dyDescent="0.25">
      <c r="A214" s="8">
        <v>42688.800092592595</v>
      </c>
      <c r="B214" s="21" t="s">
        <v>220</v>
      </c>
      <c r="C214" s="21" t="s">
        <v>595</v>
      </c>
      <c r="D214" s="21">
        <v>1140000</v>
      </c>
      <c r="E214" s="21" t="s">
        <v>354</v>
      </c>
      <c r="F214" s="21" t="str">
        <f t="shared" si="6"/>
        <v>rtdc.l.rtdc.4011:itc</v>
      </c>
      <c r="G214" s="8">
        <f t="shared" si="7"/>
        <v>42688.800092592595</v>
      </c>
    </row>
    <row r="215" spans="1:7" x14ac:dyDescent="0.25">
      <c r="A215" s="8">
        <v>42688.804375</v>
      </c>
      <c r="B215" s="21" t="s">
        <v>270</v>
      </c>
      <c r="C215" s="21" t="s">
        <v>596</v>
      </c>
      <c r="D215" s="21">
        <v>2620000</v>
      </c>
      <c r="E215" s="21" t="s">
        <v>586</v>
      </c>
      <c r="F215" s="21" t="str">
        <f t="shared" si="6"/>
        <v>rtdc.l.rtdc.4010:itc</v>
      </c>
      <c r="G215" s="8">
        <f t="shared" si="7"/>
        <v>42688.804375</v>
      </c>
    </row>
    <row r="216" spans="1:7" x14ac:dyDescent="0.25">
      <c r="A216" s="8">
        <v>42688.807222222225</v>
      </c>
      <c r="B216" s="21" t="s">
        <v>287</v>
      </c>
      <c r="C216" s="21" t="s">
        <v>597</v>
      </c>
      <c r="D216" s="21">
        <v>2420000</v>
      </c>
      <c r="E216" s="21" t="s">
        <v>274</v>
      </c>
      <c r="F216" s="21" t="str">
        <f t="shared" si="6"/>
        <v>rtdc.l.rtdc.4053:itc</v>
      </c>
      <c r="G216" s="8">
        <f t="shared" si="7"/>
        <v>42688.807222222225</v>
      </c>
    </row>
    <row r="217" spans="1:7" x14ac:dyDescent="0.25">
      <c r="A217" s="8">
        <v>42688.818344907406</v>
      </c>
      <c r="B217" s="21" t="s">
        <v>273</v>
      </c>
      <c r="C217" s="21" t="s">
        <v>598</v>
      </c>
      <c r="D217" s="21">
        <v>2530000</v>
      </c>
      <c r="E217" s="21" t="s">
        <v>530</v>
      </c>
      <c r="F217" s="21" t="str">
        <f t="shared" si="6"/>
        <v>rtdc.l.rtdc.4021:itc</v>
      </c>
      <c r="G217" s="8">
        <f t="shared" si="7"/>
        <v>42688.818344907406</v>
      </c>
    </row>
    <row r="218" spans="1:7" x14ac:dyDescent="0.25">
      <c r="A218" s="8">
        <v>42688.818912037037</v>
      </c>
      <c r="B218" s="21" t="s">
        <v>259</v>
      </c>
      <c r="C218" s="21" t="s">
        <v>599</v>
      </c>
      <c r="D218" s="21">
        <v>2020000</v>
      </c>
      <c r="E218" s="21" t="s">
        <v>293</v>
      </c>
      <c r="F218" s="21" t="str">
        <f t="shared" si="6"/>
        <v>rtdc.l.rtdc.4016:itc</v>
      </c>
      <c r="G218" s="8">
        <f t="shared" si="7"/>
        <v>42688.818912037037</v>
      </c>
    </row>
    <row r="219" spans="1:7" x14ac:dyDescent="0.25">
      <c r="A219" s="8">
        <v>42688.828969907408</v>
      </c>
      <c r="B219" s="21" t="s">
        <v>406</v>
      </c>
      <c r="C219" s="21" t="s">
        <v>600</v>
      </c>
      <c r="D219" s="21">
        <v>2450000</v>
      </c>
      <c r="E219" s="21" t="s">
        <v>570</v>
      </c>
      <c r="F219" s="21" t="str">
        <f t="shared" si="6"/>
        <v>rtdc.l.rtdc.4045:itc</v>
      </c>
      <c r="G219" s="8">
        <f t="shared" si="7"/>
        <v>42688.828969907408</v>
      </c>
    </row>
    <row r="220" spans="1:7" x14ac:dyDescent="0.25">
      <c r="A220" s="8">
        <v>42688.83289351852</v>
      </c>
      <c r="B220" s="21" t="s">
        <v>216</v>
      </c>
      <c r="C220" s="21" t="s">
        <v>601</v>
      </c>
      <c r="D220" s="21">
        <v>1800000</v>
      </c>
      <c r="E220" s="21" t="s">
        <v>322</v>
      </c>
      <c r="F220" s="21" t="str">
        <f t="shared" si="6"/>
        <v>rtdc.l.rtdc.4029:itc</v>
      </c>
      <c r="G220" s="8">
        <f t="shared" si="7"/>
        <v>42688.83289351852</v>
      </c>
    </row>
    <row r="221" spans="1:7" x14ac:dyDescent="0.25">
      <c r="A221" s="8">
        <v>42688.840497685182</v>
      </c>
      <c r="B221" s="21" t="s">
        <v>271</v>
      </c>
      <c r="C221" s="21" t="s">
        <v>431</v>
      </c>
      <c r="D221" s="21">
        <v>2530000</v>
      </c>
      <c r="E221" s="21" t="s">
        <v>530</v>
      </c>
      <c r="F221" s="21" t="str">
        <f t="shared" si="6"/>
        <v>rtdc.l.rtdc.4022:itc</v>
      </c>
      <c r="G221" s="8">
        <f t="shared" si="7"/>
        <v>42688.840497685182</v>
      </c>
    </row>
    <row r="222" spans="1:7" x14ac:dyDescent="0.25">
      <c r="A222" s="8">
        <v>42688.847187500003</v>
      </c>
      <c r="B222" s="21" t="s">
        <v>286</v>
      </c>
      <c r="C222" s="21" t="s">
        <v>433</v>
      </c>
      <c r="D222" s="21">
        <v>2420000</v>
      </c>
      <c r="E222" s="21" t="s">
        <v>274</v>
      </c>
      <c r="F222" s="21" t="str">
        <f t="shared" si="6"/>
        <v>rtdc.l.rtdc.4054:itc</v>
      </c>
      <c r="G222" s="8">
        <f t="shared" si="7"/>
        <v>42688.847187500003</v>
      </c>
    </row>
    <row r="223" spans="1:7" x14ac:dyDescent="0.25">
      <c r="A223" s="8">
        <v>42688.847372685188</v>
      </c>
      <c r="B223" s="21" t="s">
        <v>187</v>
      </c>
      <c r="C223" s="21" t="s">
        <v>602</v>
      </c>
      <c r="D223" s="21">
        <v>2620000</v>
      </c>
      <c r="E223" s="21" t="s">
        <v>586</v>
      </c>
      <c r="F223" s="21" t="str">
        <f t="shared" si="6"/>
        <v>rtdc.l.rtdc.4009:itc</v>
      </c>
      <c r="G223" s="8">
        <f t="shared" si="7"/>
        <v>42688.847372685188</v>
      </c>
    </row>
    <row r="224" spans="1:7" x14ac:dyDescent="0.25">
      <c r="A224" s="8">
        <v>42688.860520833332</v>
      </c>
      <c r="B224" t="s">
        <v>273</v>
      </c>
      <c r="C224" t="s">
        <v>603</v>
      </c>
      <c r="D224">
        <v>2530000</v>
      </c>
      <c r="E224" t="s">
        <v>530</v>
      </c>
      <c r="F224" s="21" t="str">
        <f t="shared" si="6"/>
        <v>rtdc.l.rtdc.4021:itc</v>
      </c>
      <c r="G224" s="8">
        <f t="shared" si="7"/>
        <v>42688.860520833332</v>
      </c>
    </row>
    <row r="225" spans="1:7" x14ac:dyDescent="0.25">
      <c r="A225" s="8">
        <v>42688.870717592596</v>
      </c>
      <c r="B225" t="s">
        <v>217</v>
      </c>
      <c r="C225" t="s">
        <v>432</v>
      </c>
      <c r="D225">
        <v>1800000</v>
      </c>
      <c r="E225" t="s">
        <v>322</v>
      </c>
      <c r="F225" s="21" t="str">
        <f t="shared" si="6"/>
        <v>rtdc.l.rtdc.4030:itc</v>
      </c>
      <c r="G225" s="8">
        <f t="shared" si="7"/>
        <v>42688.870717592596</v>
      </c>
    </row>
    <row r="226" spans="1:7" x14ac:dyDescent="0.25">
      <c r="A226" s="8">
        <v>42688.872800925928</v>
      </c>
      <c r="B226" t="s">
        <v>440</v>
      </c>
      <c r="C226" t="s">
        <v>604</v>
      </c>
      <c r="D226">
        <v>2450000</v>
      </c>
      <c r="E226" t="s">
        <v>570</v>
      </c>
      <c r="F226" s="21" t="str">
        <f t="shared" si="6"/>
        <v>rtdc.l.rtdc.4046:itc</v>
      </c>
      <c r="G226" s="8">
        <f t="shared" si="7"/>
        <v>42688.872800925928</v>
      </c>
    </row>
    <row r="227" spans="1:7" x14ac:dyDescent="0.25">
      <c r="A227" s="8">
        <v>42688.879236111112</v>
      </c>
      <c r="B227" t="s">
        <v>287</v>
      </c>
      <c r="C227" t="s">
        <v>605</v>
      </c>
      <c r="D227">
        <v>1810000</v>
      </c>
      <c r="E227" t="s">
        <v>336</v>
      </c>
      <c r="F227" s="21" t="str">
        <f t="shared" si="6"/>
        <v>rtdc.l.rtdc.4053:itc</v>
      </c>
      <c r="G227" s="8">
        <f t="shared" si="7"/>
        <v>42688.879236111112</v>
      </c>
    </row>
    <row r="228" spans="1:7" x14ac:dyDescent="0.25">
      <c r="A228" s="8">
        <v>42688.882476851853</v>
      </c>
      <c r="B228" t="s">
        <v>271</v>
      </c>
      <c r="C228" t="s">
        <v>435</v>
      </c>
      <c r="D228">
        <v>2250000</v>
      </c>
      <c r="E228" t="s">
        <v>355</v>
      </c>
      <c r="F228" s="21" t="str">
        <f t="shared" si="6"/>
        <v>rtdc.l.rtdc.4022:itc</v>
      </c>
      <c r="G228" s="8">
        <f t="shared" si="7"/>
        <v>42688.882476851853</v>
      </c>
    </row>
    <row r="229" spans="1:7" x14ac:dyDescent="0.25">
      <c r="A229" s="8">
        <v>42688.887696759259</v>
      </c>
      <c r="B229" t="s">
        <v>270</v>
      </c>
      <c r="C229" t="s">
        <v>434</v>
      </c>
      <c r="D229">
        <v>2620000</v>
      </c>
      <c r="E229" t="s">
        <v>586</v>
      </c>
      <c r="F229" s="21" t="str">
        <f t="shared" si="6"/>
        <v>rtdc.l.rtdc.4010:itc</v>
      </c>
      <c r="G229" s="8">
        <f t="shared" si="7"/>
        <v>42688.887696759259</v>
      </c>
    </row>
    <row r="230" spans="1:7" x14ac:dyDescent="0.25">
      <c r="A230" s="8">
        <v>42688.903090277781</v>
      </c>
      <c r="B230" t="s">
        <v>273</v>
      </c>
      <c r="C230" t="s">
        <v>606</v>
      </c>
      <c r="D230">
        <v>2250000</v>
      </c>
      <c r="E230" t="s">
        <v>355</v>
      </c>
      <c r="F230" s="21" t="str">
        <f t="shared" si="6"/>
        <v>rtdc.l.rtdc.4021:itc</v>
      </c>
      <c r="G230" s="8">
        <f t="shared" si="7"/>
        <v>42688.903090277781</v>
      </c>
    </row>
    <row r="231" spans="1:7" x14ac:dyDescent="0.25">
      <c r="A231" s="8">
        <v>42688.909988425927</v>
      </c>
      <c r="B231" t="s">
        <v>406</v>
      </c>
      <c r="C231" t="s">
        <v>436</v>
      </c>
      <c r="D231">
        <v>2450000</v>
      </c>
      <c r="E231" t="s">
        <v>570</v>
      </c>
      <c r="F231" s="21" t="str">
        <f t="shared" si="6"/>
        <v>rtdc.l.rtdc.4045:itc</v>
      </c>
      <c r="G231" s="8">
        <f t="shared" si="7"/>
        <v>42688.909988425927</v>
      </c>
    </row>
    <row r="232" spans="1:7" x14ac:dyDescent="0.25">
      <c r="A232" s="8">
        <v>42688.911782407406</v>
      </c>
      <c r="B232" t="s">
        <v>216</v>
      </c>
      <c r="C232" t="s">
        <v>607</v>
      </c>
      <c r="D232">
        <v>1800000</v>
      </c>
      <c r="E232" t="s">
        <v>322</v>
      </c>
      <c r="F232" s="21" t="str">
        <f t="shared" si="6"/>
        <v>rtdc.l.rtdc.4029:itc</v>
      </c>
      <c r="G232" s="8">
        <f t="shared" si="7"/>
        <v>42688.911782407406</v>
      </c>
    </row>
    <row r="233" spans="1:7" x14ac:dyDescent="0.25">
      <c r="A233" s="8">
        <v>42688.924768518518</v>
      </c>
      <c r="B233" t="s">
        <v>187</v>
      </c>
      <c r="C233" t="s">
        <v>608</v>
      </c>
      <c r="D233">
        <v>1230000</v>
      </c>
      <c r="E233" t="s">
        <v>255</v>
      </c>
      <c r="F233" s="21" t="str">
        <f t="shared" si="6"/>
        <v>rtdc.l.rtdc.4009:itc</v>
      </c>
      <c r="G233" s="8">
        <f t="shared" si="7"/>
        <v>42688.924768518518</v>
      </c>
    </row>
    <row r="234" spans="1:7" x14ac:dyDescent="0.25">
      <c r="A234" s="8">
        <v>42688.925902777781</v>
      </c>
      <c r="B234" t="s">
        <v>271</v>
      </c>
      <c r="C234" t="s">
        <v>609</v>
      </c>
      <c r="D234">
        <v>2250000</v>
      </c>
      <c r="E234" t="s">
        <v>355</v>
      </c>
      <c r="F234" s="21" t="str">
        <f t="shared" si="6"/>
        <v>rtdc.l.rtdc.4022:itc</v>
      </c>
      <c r="G234" s="8">
        <f t="shared" si="7"/>
        <v>42688.925902777781</v>
      </c>
    </row>
    <row r="235" spans="1:7" x14ac:dyDescent="0.25">
      <c r="A235" s="8">
        <v>42688.930034722223</v>
      </c>
      <c r="B235" t="s">
        <v>286</v>
      </c>
      <c r="C235" t="s">
        <v>610</v>
      </c>
      <c r="D235">
        <v>1810000</v>
      </c>
      <c r="E235" t="s">
        <v>336</v>
      </c>
      <c r="F235" s="21" t="str">
        <f t="shared" si="6"/>
        <v>rtdc.l.rtdc.4054:itc</v>
      </c>
      <c r="G235" s="8">
        <f t="shared" si="7"/>
        <v>42688.930034722223</v>
      </c>
    </row>
    <row r="236" spans="1:7" x14ac:dyDescent="0.25">
      <c r="A236" s="8">
        <v>42688.942939814813</v>
      </c>
      <c r="B236" t="s">
        <v>273</v>
      </c>
      <c r="C236" t="s">
        <v>611</v>
      </c>
      <c r="D236">
        <v>2250000</v>
      </c>
      <c r="E236" t="s">
        <v>355</v>
      </c>
      <c r="F236" s="21" t="str">
        <f t="shared" ref="F236:F265" si="8">B236</f>
        <v>rtdc.l.rtdc.4021:itc</v>
      </c>
      <c r="G236" s="8">
        <f t="shared" ref="G236:G265" si="9">A236</f>
        <v>42688.942939814813</v>
      </c>
    </row>
    <row r="237" spans="1:7" x14ac:dyDescent="0.25">
      <c r="A237" s="8">
        <v>42688.953148148146</v>
      </c>
      <c r="B237" t="s">
        <v>217</v>
      </c>
      <c r="C237" t="s">
        <v>612</v>
      </c>
      <c r="D237">
        <v>1800000</v>
      </c>
      <c r="E237" t="s">
        <v>322</v>
      </c>
      <c r="F237" s="21" t="str">
        <f t="shared" si="8"/>
        <v>rtdc.l.rtdc.4030:itc</v>
      </c>
      <c r="G237" s="8">
        <f t="shared" si="9"/>
        <v>42688.953148148146</v>
      </c>
    </row>
    <row r="238" spans="1:7" x14ac:dyDescent="0.25">
      <c r="A238" s="8">
        <v>42688.955567129633</v>
      </c>
      <c r="B238" t="s">
        <v>440</v>
      </c>
      <c r="C238" t="s">
        <v>613</v>
      </c>
      <c r="D238">
        <v>2450000</v>
      </c>
      <c r="E238" t="s">
        <v>570</v>
      </c>
      <c r="F238" s="21" t="str">
        <f t="shared" si="8"/>
        <v>rtdc.l.rtdc.4046:itc</v>
      </c>
      <c r="G238" s="8">
        <f t="shared" si="9"/>
        <v>42688.955567129633</v>
      </c>
    </row>
    <row r="239" spans="1:7" x14ac:dyDescent="0.25">
      <c r="A239" s="8">
        <v>42688.963993055557</v>
      </c>
      <c r="B239" t="s">
        <v>270</v>
      </c>
      <c r="C239" t="s">
        <v>437</v>
      </c>
      <c r="D239">
        <v>1230000</v>
      </c>
      <c r="E239" t="s">
        <v>255</v>
      </c>
      <c r="F239" s="21" t="str">
        <f t="shared" si="8"/>
        <v>rtdc.l.rtdc.4010:itc</v>
      </c>
      <c r="G239" s="8">
        <f t="shared" si="9"/>
        <v>42688.963993055557</v>
      </c>
    </row>
    <row r="240" spans="1:7" x14ac:dyDescent="0.25">
      <c r="A240" s="8">
        <v>42688.966331018521</v>
      </c>
      <c r="B240" t="s">
        <v>287</v>
      </c>
      <c r="C240" t="s">
        <v>614</v>
      </c>
      <c r="D240">
        <v>1810000</v>
      </c>
      <c r="E240" t="s">
        <v>336</v>
      </c>
      <c r="F240" s="21" t="str">
        <f t="shared" si="8"/>
        <v>rtdc.l.rtdc.4053:itc</v>
      </c>
      <c r="G240" s="8">
        <f t="shared" si="9"/>
        <v>42688.966331018521</v>
      </c>
    </row>
    <row r="241" spans="1:7" x14ac:dyDescent="0.25">
      <c r="A241" s="8">
        <v>42688.990682870368</v>
      </c>
      <c r="B241" t="s">
        <v>406</v>
      </c>
      <c r="C241" t="s">
        <v>615</v>
      </c>
      <c r="D241">
        <v>2450000</v>
      </c>
      <c r="E241" t="s">
        <v>570</v>
      </c>
      <c r="F241" s="21" t="str">
        <f t="shared" si="8"/>
        <v>rtdc.l.rtdc.4045:itc</v>
      </c>
      <c r="G241" s="8">
        <f t="shared" si="9"/>
        <v>42688.990682870368</v>
      </c>
    </row>
    <row r="242" spans="1:7" x14ac:dyDescent="0.25">
      <c r="A242" s="8">
        <v>42688.996921296297</v>
      </c>
      <c r="B242" t="s">
        <v>216</v>
      </c>
      <c r="C242" t="s">
        <v>616</v>
      </c>
      <c r="D242">
        <v>1800000</v>
      </c>
      <c r="E242" t="s">
        <v>322</v>
      </c>
      <c r="F242" s="21" t="str">
        <f t="shared" si="8"/>
        <v>rtdc.l.rtdc.4029:itc</v>
      </c>
      <c r="G242" s="8">
        <f t="shared" si="9"/>
        <v>42688.996921296297</v>
      </c>
    </row>
    <row r="243" spans="1:7" x14ac:dyDescent="0.25">
      <c r="A243" s="8">
        <v>42689.003692129627</v>
      </c>
      <c r="B243" t="s">
        <v>187</v>
      </c>
      <c r="C243" t="s">
        <v>617</v>
      </c>
      <c r="D243">
        <v>1230000</v>
      </c>
      <c r="E243" t="s">
        <v>255</v>
      </c>
      <c r="F243" s="21" t="str">
        <f t="shared" si="8"/>
        <v>rtdc.l.rtdc.4009:itc</v>
      </c>
      <c r="G243" s="8">
        <f t="shared" si="9"/>
        <v>42689.003692129627</v>
      </c>
    </row>
    <row r="244" spans="1:7" x14ac:dyDescent="0.25">
      <c r="A244" s="8">
        <v>42689.016041666669</v>
      </c>
      <c r="B244" t="s">
        <v>286</v>
      </c>
      <c r="C244" t="s">
        <v>618</v>
      </c>
      <c r="D244">
        <v>1810000</v>
      </c>
      <c r="E244" t="s">
        <v>336</v>
      </c>
      <c r="F244" s="21" t="str">
        <f t="shared" si="8"/>
        <v>rtdc.l.rtdc.4054:itc</v>
      </c>
      <c r="G244" s="8">
        <f t="shared" si="9"/>
        <v>42689.016041666669</v>
      </c>
    </row>
    <row r="245" spans="1:7" x14ac:dyDescent="0.25">
      <c r="A245" s="8">
        <v>42689.026770833334</v>
      </c>
      <c r="B245" t="s">
        <v>440</v>
      </c>
      <c r="C245" t="s">
        <v>619</v>
      </c>
      <c r="D245">
        <v>2450000</v>
      </c>
      <c r="E245" t="s">
        <v>570</v>
      </c>
      <c r="F245" s="21" t="str">
        <f t="shared" si="8"/>
        <v>rtdc.l.rtdc.4046:itc</v>
      </c>
      <c r="G245" s="8">
        <f t="shared" si="9"/>
        <v>42689.026770833334</v>
      </c>
    </row>
    <row r="246" spans="1:7" x14ac:dyDescent="0.25">
      <c r="A246" s="8">
        <v>42689.037893518522</v>
      </c>
      <c r="B246" t="s">
        <v>217</v>
      </c>
      <c r="C246" t="s">
        <v>620</v>
      </c>
      <c r="D246">
        <v>1800000</v>
      </c>
      <c r="E246" t="s">
        <v>322</v>
      </c>
      <c r="F246" s="21" t="str">
        <f t="shared" si="8"/>
        <v>rtdc.l.rtdc.4030:itc</v>
      </c>
      <c r="G246" s="8">
        <f t="shared" si="9"/>
        <v>42689.037893518522</v>
      </c>
    </row>
    <row r="247" spans="1:7" x14ac:dyDescent="0.25">
      <c r="A247" s="8">
        <v>42689.039652777778</v>
      </c>
      <c r="B247" t="s">
        <v>286</v>
      </c>
      <c r="C247" t="s">
        <v>618</v>
      </c>
      <c r="D247">
        <v>1810000</v>
      </c>
      <c r="E247" t="s">
        <v>336</v>
      </c>
      <c r="F247" s="21" t="str">
        <f t="shared" si="8"/>
        <v>rtdc.l.rtdc.4054:itc</v>
      </c>
      <c r="G247" s="8">
        <f t="shared" si="9"/>
        <v>42689.039652777778</v>
      </c>
    </row>
    <row r="248" spans="1:7" x14ac:dyDescent="0.25">
      <c r="A248" s="8">
        <v>42689.058749999997</v>
      </c>
      <c r="B248" t="s">
        <v>287</v>
      </c>
      <c r="C248" t="s">
        <v>621</v>
      </c>
      <c r="D248">
        <v>1810000</v>
      </c>
      <c r="E248" t="s">
        <v>336</v>
      </c>
      <c r="F248" s="21" t="str">
        <f t="shared" si="8"/>
        <v>rtdc.l.rtdc.4053:itc</v>
      </c>
      <c r="G248" s="8">
        <f t="shared" si="9"/>
        <v>42689.058749999997</v>
      </c>
    </row>
    <row r="249" spans="1:7" x14ac:dyDescent="0.25">
      <c r="A249" s="8">
        <v>42684.900092592594</v>
      </c>
      <c r="B249" t="s">
        <v>262</v>
      </c>
      <c r="C249" t="s">
        <v>721</v>
      </c>
      <c r="D249">
        <v>2610000</v>
      </c>
      <c r="E249" t="s">
        <v>255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273</v>
      </c>
      <c r="C250" t="s">
        <v>294</v>
      </c>
      <c r="D250">
        <v>2550000</v>
      </c>
      <c r="E250" t="s">
        <v>253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288</v>
      </c>
      <c r="C251" t="s">
        <v>295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296</v>
      </c>
      <c r="D252">
        <v>2610000</v>
      </c>
      <c r="E252" t="s">
        <v>254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251</v>
      </c>
      <c r="C253" t="s">
        <v>289</v>
      </c>
      <c r="D253">
        <v>2420000</v>
      </c>
      <c r="E253" t="s">
        <v>274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220</v>
      </c>
      <c r="C254" t="s">
        <v>297</v>
      </c>
      <c r="D254">
        <v>2000000</v>
      </c>
      <c r="E254" t="s">
        <v>240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262</v>
      </c>
      <c r="C255" t="s">
        <v>298</v>
      </c>
      <c r="D255">
        <v>2610000</v>
      </c>
      <c r="E255" t="s">
        <v>254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292</v>
      </c>
      <c r="C256" t="s">
        <v>299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271</v>
      </c>
      <c r="C257" t="s">
        <v>300</v>
      </c>
      <c r="D257">
        <v>2550000</v>
      </c>
      <c r="E257" t="s">
        <v>253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252</v>
      </c>
      <c r="C258" t="s">
        <v>291</v>
      </c>
      <c r="D258">
        <v>2420000</v>
      </c>
      <c r="E258" t="s">
        <v>274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245</v>
      </c>
      <c r="C259" t="s">
        <v>290</v>
      </c>
      <c r="D259">
        <v>2000000</v>
      </c>
      <c r="E259" t="s">
        <v>240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273</v>
      </c>
      <c r="C260" t="s">
        <v>301</v>
      </c>
      <c r="D260">
        <v>2550000</v>
      </c>
      <c r="E260" t="s">
        <v>253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288</v>
      </c>
      <c r="C261" t="s">
        <v>302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251</v>
      </c>
      <c r="C262" t="s">
        <v>303</v>
      </c>
      <c r="D262">
        <v>2420000</v>
      </c>
      <c r="E262" t="s">
        <v>274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220</v>
      </c>
      <c r="C263" t="s">
        <v>304</v>
      </c>
      <c r="D263">
        <v>2000000</v>
      </c>
      <c r="E263" t="s">
        <v>240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271</v>
      </c>
      <c r="C264" t="s">
        <v>305</v>
      </c>
      <c r="D264">
        <v>2550000</v>
      </c>
      <c r="E264" t="s">
        <v>253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292</v>
      </c>
      <c r="C265" t="s">
        <v>306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252</v>
      </c>
      <c r="C266" t="s">
        <v>307</v>
      </c>
      <c r="D266">
        <v>2420000</v>
      </c>
      <c r="E266" t="s">
        <v>274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245</v>
      </c>
      <c r="C267" t="s">
        <v>308</v>
      </c>
      <c r="D267">
        <v>2000000</v>
      </c>
      <c r="E267" t="s">
        <v>240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288</v>
      </c>
      <c r="C268" t="s">
        <v>309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177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43.34</v>
      </c>
      <c r="B2" s="165">
        <v>0.11</v>
      </c>
      <c r="C2" s="165">
        <v>23.91</v>
      </c>
      <c r="D2" s="8">
        <v>42688</v>
      </c>
      <c r="E2" s="165">
        <v>0.46</v>
      </c>
      <c r="F2" s="165" t="s">
        <v>230</v>
      </c>
      <c r="G2" s="165">
        <v>243.62</v>
      </c>
      <c r="H2" s="165">
        <v>0</v>
      </c>
      <c r="I2" s="165">
        <v>0</v>
      </c>
      <c r="J2" s="165">
        <v>1021.69</v>
      </c>
      <c r="K2" s="165" t="s">
        <v>231</v>
      </c>
      <c r="L2" s="165">
        <v>43.34</v>
      </c>
      <c r="M2" s="165">
        <v>1479106800</v>
      </c>
      <c r="N2" s="165">
        <v>7.87</v>
      </c>
      <c r="O2" s="165">
        <v>243</v>
      </c>
      <c r="P2" s="165">
        <v>2.92</v>
      </c>
      <c r="Q2"/>
    </row>
    <row r="3" spans="1:17" x14ac:dyDescent="0.25">
      <c r="A3" s="165">
        <v>42.3</v>
      </c>
      <c r="B3" s="165">
        <v>0.11</v>
      </c>
      <c r="C3" s="165">
        <v>23.79</v>
      </c>
      <c r="D3" s="8">
        <v>42688.041666666664</v>
      </c>
      <c r="E3" s="165">
        <v>0.48</v>
      </c>
      <c r="F3" s="165" t="s">
        <v>230</v>
      </c>
      <c r="G3" s="165">
        <v>241.49</v>
      </c>
      <c r="H3" s="165">
        <v>0</v>
      </c>
      <c r="I3" s="165">
        <v>0</v>
      </c>
      <c r="J3" s="165">
        <v>1022.06</v>
      </c>
      <c r="K3" s="165" t="s">
        <v>231</v>
      </c>
      <c r="L3" s="165">
        <v>42.3</v>
      </c>
      <c r="M3" s="165">
        <v>1479110400</v>
      </c>
      <c r="N3" s="165">
        <v>7.66</v>
      </c>
      <c r="O3" s="165">
        <v>235</v>
      </c>
      <c r="P3" s="165">
        <v>2.78</v>
      </c>
      <c r="Q3"/>
    </row>
    <row r="4" spans="1:17" x14ac:dyDescent="0.25">
      <c r="A4" s="165">
        <v>39.659999999999997</v>
      </c>
      <c r="B4" s="165">
        <v>0.12</v>
      </c>
      <c r="C4" s="165">
        <v>23.34</v>
      </c>
      <c r="D4" s="8">
        <v>42688.083333333336</v>
      </c>
      <c r="E4" s="165">
        <v>0.49</v>
      </c>
      <c r="F4" s="165" t="s">
        <v>230</v>
      </c>
      <c r="G4" s="165">
        <v>239.36</v>
      </c>
      <c r="H4" s="165">
        <v>0</v>
      </c>
      <c r="I4" s="165">
        <v>0</v>
      </c>
      <c r="J4" s="165">
        <v>1022.31</v>
      </c>
      <c r="K4" s="165" t="s">
        <v>231</v>
      </c>
      <c r="L4" s="165">
        <v>41.29</v>
      </c>
      <c r="M4" s="165">
        <v>1479114000</v>
      </c>
      <c r="N4" s="165">
        <v>7.01</v>
      </c>
      <c r="O4" s="165">
        <v>240</v>
      </c>
      <c r="P4" s="165">
        <v>3.15</v>
      </c>
      <c r="Q4"/>
    </row>
    <row r="5" spans="1:17" x14ac:dyDescent="0.25">
      <c r="A5" s="165">
        <v>38.18</v>
      </c>
      <c r="B5" s="165">
        <v>0.11</v>
      </c>
      <c r="C5" s="165">
        <v>21.58</v>
      </c>
      <c r="D5" s="8">
        <v>42688.125</v>
      </c>
      <c r="E5" s="165">
        <v>0.48</v>
      </c>
      <c r="F5" s="165" t="s">
        <v>230</v>
      </c>
      <c r="G5" s="165">
        <v>238.66</v>
      </c>
      <c r="H5" s="165">
        <v>0</v>
      </c>
      <c r="I5" s="165">
        <v>0</v>
      </c>
      <c r="J5" s="165">
        <v>1022.02</v>
      </c>
      <c r="K5" s="165" t="s">
        <v>231</v>
      </c>
      <c r="L5" s="165">
        <v>39.89</v>
      </c>
      <c r="M5" s="165">
        <v>1479117600</v>
      </c>
      <c r="N5" s="165">
        <v>6.55</v>
      </c>
      <c r="O5" s="165">
        <v>229</v>
      </c>
      <c r="P5" s="165">
        <v>3.05</v>
      </c>
      <c r="Q5"/>
    </row>
    <row r="6" spans="1:17" x14ac:dyDescent="0.25">
      <c r="A6" s="165">
        <v>39.15</v>
      </c>
      <c r="B6" s="165">
        <v>0.14000000000000001</v>
      </c>
      <c r="C6" s="165">
        <v>20.96</v>
      </c>
      <c r="D6" s="8">
        <v>42688.166666666664</v>
      </c>
      <c r="E6" s="165">
        <v>0.48</v>
      </c>
      <c r="F6" s="165" t="s">
        <v>230</v>
      </c>
      <c r="G6" s="165">
        <v>238.58</v>
      </c>
      <c r="H6" s="165">
        <v>0</v>
      </c>
      <c r="I6" s="165">
        <v>0</v>
      </c>
      <c r="J6" s="165">
        <v>1021.43</v>
      </c>
      <c r="K6" s="165" t="s">
        <v>231</v>
      </c>
      <c r="L6" s="165">
        <v>39.15</v>
      </c>
      <c r="M6" s="165">
        <v>1479121200</v>
      </c>
      <c r="N6" s="165">
        <v>6.82</v>
      </c>
      <c r="O6" s="165">
        <v>227</v>
      </c>
      <c r="P6" s="165">
        <v>3</v>
      </c>
      <c r="Q6"/>
    </row>
    <row r="7" spans="1:17" x14ac:dyDescent="0.25">
      <c r="A7" s="165">
        <v>37.520000000000003</v>
      </c>
      <c r="B7" s="165">
        <v>0.15</v>
      </c>
      <c r="C7" s="165">
        <v>21.27</v>
      </c>
      <c r="D7" s="8">
        <v>42688.208333333336</v>
      </c>
      <c r="E7" s="165">
        <v>0.48</v>
      </c>
      <c r="F7" s="165" t="s">
        <v>230</v>
      </c>
      <c r="G7" s="165">
        <v>238.51</v>
      </c>
      <c r="H7" s="165">
        <v>0</v>
      </c>
      <c r="I7" s="165">
        <v>0</v>
      </c>
      <c r="J7" s="165">
        <v>1020.87</v>
      </c>
      <c r="K7" s="165" t="s">
        <v>231</v>
      </c>
      <c r="L7" s="165">
        <v>39.51</v>
      </c>
      <c r="M7" s="165">
        <v>1479124800</v>
      </c>
      <c r="N7" s="165">
        <v>7.52</v>
      </c>
      <c r="O7" s="165">
        <v>231</v>
      </c>
      <c r="P7" s="165">
        <v>3.25</v>
      </c>
      <c r="Q7"/>
    </row>
    <row r="8" spans="1:17" x14ac:dyDescent="0.25">
      <c r="A8" s="165">
        <v>38.04</v>
      </c>
      <c r="B8" s="165">
        <v>0.16</v>
      </c>
      <c r="C8" s="165">
        <v>21.29</v>
      </c>
      <c r="D8" s="8">
        <v>42688.25</v>
      </c>
      <c r="E8" s="165">
        <v>0.47</v>
      </c>
      <c r="F8" s="165" t="s">
        <v>230</v>
      </c>
      <c r="G8" s="165">
        <v>238.27</v>
      </c>
      <c r="H8" s="165">
        <v>0</v>
      </c>
      <c r="I8" s="165">
        <v>0</v>
      </c>
      <c r="J8" s="165">
        <v>1020.81</v>
      </c>
      <c r="K8" s="165" t="s">
        <v>231</v>
      </c>
      <c r="L8" s="165">
        <v>40.130000000000003</v>
      </c>
      <c r="M8" s="165">
        <v>1479128400</v>
      </c>
      <c r="N8" s="165">
        <v>6.23</v>
      </c>
      <c r="O8" s="165">
        <v>233</v>
      </c>
      <c r="P8" s="165">
        <v>3.42</v>
      </c>
      <c r="Q8"/>
    </row>
    <row r="9" spans="1:17" x14ac:dyDescent="0.25">
      <c r="A9" s="165">
        <v>38.42</v>
      </c>
      <c r="B9" s="165">
        <v>0.19</v>
      </c>
      <c r="C9" s="165">
        <v>21.57</v>
      </c>
      <c r="D9" s="8">
        <v>42688.291666666664</v>
      </c>
      <c r="E9" s="165">
        <v>0.46</v>
      </c>
      <c r="F9" s="165" t="s">
        <v>622</v>
      </c>
      <c r="G9" s="165">
        <v>238.03</v>
      </c>
      <c r="H9" s="165">
        <v>0</v>
      </c>
      <c r="I9" s="165">
        <v>0</v>
      </c>
      <c r="J9" s="165">
        <v>1020.99</v>
      </c>
      <c r="K9" s="165" t="s">
        <v>231</v>
      </c>
      <c r="L9" s="165">
        <v>40.619999999999997</v>
      </c>
      <c r="M9" s="165">
        <v>1479132000</v>
      </c>
      <c r="N9" s="165">
        <v>6.62</v>
      </c>
      <c r="O9" s="165">
        <v>237</v>
      </c>
      <c r="P9" s="165">
        <v>3.59</v>
      </c>
      <c r="Q9"/>
    </row>
    <row r="10" spans="1:17" x14ac:dyDescent="0.25">
      <c r="A10" s="165">
        <v>43.09</v>
      </c>
      <c r="B10" s="165">
        <v>0.19</v>
      </c>
      <c r="C10" s="165">
        <v>23.99</v>
      </c>
      <c r="D10" s="8">
        <v>42688.333333333336</v>
      </c>
      <c r="E10" s="165">
        <v>0.44</v>
      </c>
      <c r="F10" s="165" t="s">
        <v>622</v>
      </c>
      <c r="G10" s="165">
        <v>237.76</v>
      </c>
      <c r="H10" s="165">
        <v>0</v>
      </c>
      <c r="I10" s="165">
        <v>0</v>
      </c>
      <c r="J10" s="165">
        <v>1020.7</v>
      </c>
      <c r="K10" s="165" t="s">
        <v>231</v>
      </c>
      <c r="L10" s="165">
        <v>44.54</v>
      </c>
      <c r="M10" s="165">
        <v>1479135600</v>
      </c>
      <c r="N10" s="165">
        <v>7</v>
      </c>
      <c r="O10" s="165">
        <v>244</v>
      </c>
      <c r="P10" s="165">
        <v>3.4</v>
      </c>
      <c r="Q10"/>
    </row>
    <row r="11" spans="1:17" x14ac:dyDescent="0.25">
      <c r="A11" s="165">
        <v>48.42</v>
      </c>
      <c r="B11" s="165">
        <v>0.25</v>
      </c>
      <c r="C11" s="165">
        <v>26.91</v>
      </c>
      <c r="D11" s="8">
        <v>42688.375</v>
      </c>
      <c r="E11" s="165">
        <v>0.41</v>
      </c>
      <c r="F11" s="165" t="s">
        <v>323</v>
      </c>
      <c r="G11" s="165">
        <v>237.43</v>
      </c>
      <c r="H11" s="165">
        <v>0</v>
      </c>
      <c r="I11" s="165">
        <v>0</v>
      </c>
      <c r="J11" s="165">
        <v>1019.48</v>
      </c>
      <c r="K11" s="165" t="s">
        <v>228</v>
      </c>
      <c r="L11" s="165">
        <v>49.4</v>
      </c>
      <c r="M11" s="165">
        <v>1479139200</v>
      </c>
      <c r="N11" s="165">
        <v>4.99</v>
      </c>
      <c r="O11" s="165">
        <v>252</v>
      </c>
      <c r="P11" s="165">
        <v>3.67</v>
      </c>
      <c r="Q11"/>
    </row>
    <row r="12" spans="1:17" x14ac:dyDescent="0.25">
      <c r="A12" s="165">
        <v>57</v>
      </c>
      <c r="B12" s="165">
        <v>0.24</v>
      </c>
      <c r="C12" s="165">
        <v>26.29</v>
      </c>
      <c r="D12" s="8">
        <v>42688.416666666664</v>
      </c>
      <c r="E12" s="165">
        <v>0.31</v>
      </c>
      <c r="F12" s="165" t="s">
        <v>622</v>
      </c>
      <c r="G12" s="165">
        <v>237.06</v>
      </c>
      <c r="H12" s="165">
        <v>0</v>
      </c>
      <c r="I12" s="165">
        <v>0</v>
      </c>
      <c r="J12" s="165">
        <v>1018.17</v>
      </c>
      <c r="K12" s="165" t="s">
        <v>231</v>
      </c>
      <c r="L12" s="165">
        <v>57</v>
      </c>
      <c r="M12" s="165">
        <v>1479142800</v>
      </c>
      <c r="N12" s="165">
        <v>4.95</v>
      </c>
      <c r="O12" s="165">
        <v>269</v>
      </c>
      <c r="P12" s="165">
        <v>3.43</v>
      </c>
      <c r="Q12"/>
    </row>
    <row r="13" spans="1:17" x14ac:dyDescent="0.25">
      <c r="A13" s="165">
        <v>65.41</v>
      </c>
      <c r="B13" s="165">
        <v>0.23</v>
      </c>
      <c r="C13" s="165">
        <v>27.61</v>
      </c>
      <c r="D13" s="8">
        <v>42688.458333333336</v>
      </c>
      <c r="E13" s="165">
        <v>0.24</v>
      </c>
      <c r="F13" s="165" t="s">
        <v>622</v>
      </c>
      <c r="G13" s="165">
        <v>236.66</v>
      </c>
      <c r="H13" s="165">
        <v>0</v>
      </c>
      <c r="I13" s="165">
        <v>0</v>
      </c>
      <c r="J13" s="165">
        <v>1017.17</v>
      </c>
      <c r="K13" s="165" t="s">
        <v>231</v>
      </c>
      <c r="L13" s="165">
        <v>65.41</v>
      </c>
      <c r="M13" s="165">
        <v>1479146400</v>
      </c>
      <c r="N13" s="165">
        <v>4.96</v>
      </c>
      <c r="O13" s="165">
        <v>309</v>
      </c>
      <c r="P13" s="165">
        <v>3.23</v>
      </c>
      <c r="Q13"/>
    </row>
    <row r="14" spans="1:17" x14ac:dyDescent="0.25">
      <c r="A14" s="165">
        <v>68.3</v>
      </c>
      <c r="B14" s="165">
        <v>0.23</v>
      </c>
      <c r="C14" s="165">
        <v>27.92</v>
      </c>
      <c r="D14" s="8">
        <v>42688.5</v>
      </c>
      <c r="E14" s="165">
        <v>0.22</v>
      </c>
      <c r="F14" s="165" t="s">
        <v>622</v>
      </c>
      <c r="G14" s="165">
        <v>236.28</v>
      </c>
      <c r="H14" s="165">
        <v>0</v>
      </c>
      <c r="I14" s="165">
        <v>0</v>
      </c>
      <c r="J14" s="165">
        <v>1016.45</v>
      </c>
      <c r="K14" s="165" t="s">
        <v>231</v>
      </c>
      <c r="L14" s="165">
        <v>68.3</v>
      </c>
      <c r="M14" s="165">
        <v>1479150000</v>
      </c>
      <c r="N14" s="165">
        <v>4.96</v>
      </c>
      <c r="O14" s="165">
        <v>330</v>
      </c>
      <c r="P14" s="165">
        <v>4.58</v>
      </c>
      <c r="Q14"/>
    </row>
    <row r="15" spans="1:17" x14ac:dyDescent="0.25">
      <c r="A15" s="165">
        <v>70.760000000000005</v>
      </c>
      <c r="B15" s="165">
        <v>0.21</v>
      </c>
      <c r="C15" s="165">
        <v>28.66</v>
      </c>
      <c r="D15" s="8">
        <v>42688.541666666664</v>
      </c>
      <c r="E15" s="165">
        <v>0.21</v>
      </c>
      <c r="F15" s="165" t="s">
        <v>622</v>
      </c>
      <c r="G15" s="165">
        <v>235.87</v>
      </c>
      <c r="H15" s="165">
        <v>0</v>
      </c>
      <c r="I15" s="165">
        <v>0</v>
      </c>
      <c r="J15" s="165">
        <v>1015.86</v>
      </c>
      <c r="K15" s="165" t="s">
        <v>231</v>
      </c>
      <c r="L15" s="165">
        <v>70.760000000000005</v>
      </c>
      <c r="M15" s="165">
        <v>1479153600</v>
      </c>
      <c r="N15" s="165">
        <v>4.9000000000000004</v>
      </c>
      <c r="O15" s="165">
        <v>336</v>
      </c>
      <c r="P15" s="165">
        <v>7.35</v>
      </c>
      <c r="Q15"/>
    </row>
    <row r="16" spans="1:17" x14ac:dyDescent="0.25">
      <c r="A16" s="165">
        <v>71.180000000000007</v>
      </c>
      <c r="B16" s="165">
        <v>0.15</v>
      </c>
      <c r="C16" s="165">
        <v>29.02</v>
      </c>
      <c r="D16" s="8">
        <v>42688.583333333336</v>
      </c>
      <c r="E16" s="165">
        <v>0.21</v>
      </c>
      <c r="F16" s="165" t="s">
        <v>622</v>
      </c>
      <c r="G16" s="165">
        <v>235.31</v>
      </c>
      <c r="H16" s="165">
        <v>0</v>
      </c>
      <c r="I16" s="165">
        <v>0</v>
      </c>
      <c r="J16" s="165">
        <v>1015.39</v>
      </c>
      <c r="K16" s="165" t="s">
        <v>231</v>
      </c>
      <c r="L16" s="165">
        <v>71.180000000000007</v>
      </c>
      <c r="M16" s="165">
        <v>1479157200</v>
      </c>
      <c r="N16" s="165">
        <v>4.8099999999999996</v>
      </c>
      <c r="O16" s="165">
        <v>325</v>
      </c>
      <c r="P16" s="165">
        <v>6.73</v>
      </c>
      <c r="Q16"/>
    </row>
    <row r="17" spans="1:17" x14ac:dyDescent="0.25">
      <c r="A17" s="165">
        <v>70.209999999999994</v>
      </c>
      <c r="B17" s="165">
        <v>0.15</v>
      </c>
      <c r="C17" s="165">
        <v>29.09</v>
      </c>
      <c r="D17" s="8">
        <v>42688.625</v>
      </c>
      <c r="E17" s="165">
        <v>0.22</v>
      </c>
      <c r="F17" s="165" t="s">
        <v>622</v>
      </c>
      <c r="G17" s="165">
        <v>234.4</v>
      </c>
      <c r="H17" s="165">
        <v>0</v>
      </c>
      <c r="I17" s="165">
        <v>0</v>
      </c>
      <c r="J17" s="165">
        <v>1015.02</v>
      </c>
      <c r="K17" s="165" t="s">
        <v>231</v>
      </c>
      <c r="L17" s="165">
        <v>70.209999999999994</v>
      </c>
      <c r="M17" s="165">
        <v>1479160800</v>
      </c>
      <c r="N17" s="165">
        <v>5.15</v>
      </c>
      <c r="O17" s="165">
        <v>318</v>
      </c>
      <c r="P17" s="165">
        <v>6.67</v>
      </c>
      <c r="Q17"/>
    </row>
    <row r="18" spans="1:17" x14ac:dyDescent="0.25">
      <c r="A18" s="165">
        <v>67.59</v>
      </c>
      <c r="B18" s="165">
        <v>0.1</v>
      </c>
      <c r="C18" s="165">
        <v>27.87</v>
      </c>
      <c r="D18" s="8">
        <v>42688.666666666664</v>
      </c>
      <c r="E18" s="165">
        <v>0.22</v>
      </c>
      <c r="F18" s="165" t="s">
        <v>622</v>
      </c>
      <c r="G18" s="165">
        <v>233.33</v>
      </c>
      <c r="H18" s="165">
        <v>0</v>
      </c>
      <c r="I18" s="165">
        <v>0</v>
      </c>
      <c r="J18" s="165">
        <v>1014.8</v>
      </c>
      <c r="K18" s="165" t="s">
        <v>231</v>
      </c>
      <c r="L18" s="165">
        <v>67.59</v>
      </c>
      <c r="M18" s="165">
        <v>1479164400</v>
      </c>
      <c r="N18" s="165">
        <v>5.55</v>
      </c>
      <c r="O18" s="165">
        <v>310</v>
      </c>
      <c r="P18" s="165">
        <v>6.15</v>
      </c>
      <c r="Q18"/>
    </row>
    <row r="19" spans="1:17" x14ac:dyDescent="0.25">
      <c r="A19" s="165">
        <v>64.75</v>
      </c>
      <c r="B19" s="165">
        <v>0.09</v>
      </c>
      <c r="C19" s="165">
        <v>26.94</v>
      </c>
      <c r="D19" s="8">
        <v>42688.708333333336</v>
      </c>
      <c r="E19" s="165">
        <v>0.24</v>
      </c>
      <c r="F19" s="165" t="s">
        <v>230</v>
      </c>
      <c r="G19" s="165">
        <v>232.61</v>
      </c>
      <c r="H19" s="165">
        <v>0</v>
      </c>
      <c r="I19" s="165">
        <v>0</v>
      </c>
      <c r="J19" s="165">
        <v>1014.84</v>
      </c>
      <c r="K19" s="165" t="s">
        <v>231</v>
      </c>
      <c r="L19" s="165">
        <v>64.75</v>
      </c>
      <c r="M19" s="165">
        <v>1479168000</v>
      </c>
      <c r="N19" s="165">
        <v>5.84</v>
      </c>
      <c r="O19" s="165">
        <v>297</v>
      </c>
      <c r="P19" s="165">
        <v>5.47</v>
      </c>
      <c r="Q19"/>
    </row>
    <row r="20" spans="1:17" x14ac:dyDescent="0.25">
      <c r="A20" s="165">
        <v>60.18</v>
      </c>
      <c r="B20" s="165">
        <v>0.14000000000000001</v>
      </c>
      <c r="C20" s="165">
        <v>25.45</v>
      </c>
      <c r="D20" s="8">
        <v>42688.75</v>
      </c>
      <c r="E20" s="165">
        <v>0.26</v>
      </c>
      <c r="F20" s="165" t="s">
        <v>230</v>
      </c>
      <c r="G20" s="165">
        <v>232.52</v>
      </c>
      <c r="H20" s="165">
        <v>0</v>
      </c>
      <c r="I20" s="165">
        <v>0</v>
      </c>
      <c r="J20" s="165">
        <v>1014.97</v>
      </c>
      <c r="K20" s="165" t="s">
        <v>231</v>
      </c>
      <c r="L20" s="165">
        <v>60.18</v>
      </c>
      <c r="M20" s="165">
        <v>1479171600</v>
      </c>
      <c r="N20" s="165">
        <v>6.54</v>
      </c>
      <c r="O20" s="165">
        <v>284</v>
      </c>
      <c r="P20" s="165">
        <v>4.75</v>
      </c>
      <c r="Q20"/>
    </row>
    <row r="21" spans="1:17" x14ac:dyDescent="0.25">
      <c r="A21" s="165">
        <v>59.48</v>
      </c>
      <c r="B21" s="165">
        <v>0.12</v>
      </c>
      <c r="C21" s="165">
        <v>26.49</v>
      </c>
      <c r="D21" s="8">
        <v>42688.791666666664</v>
      </c>
      <c r="E21" s="165">
        <v>0.28000000000000003</v>
      </c>
      <c r="F21" s="165" t="s">
        <v>230</v>
      </c>
      <c r="G21" s="165">
        <v>232.77</v>
      </c>
      <c r="H21" s="165">
        <v>0</v>
      </c>
      <c r="I21" s="165">
        <v>0</v>
      </c>
      <c r="J21" s="165">
        <v>1015.6</v>
      </c>
      <c r="K21" s="165" t="s">
        <v>231</v>
      </c>
      <c r="L21" s="165">
        <v>59.48</v>
      </c>
      <c r="M21" s="165">
        <v>1479175200</v>
      </c>
      <c r="N21" s="165">
        <v>7.55</v>
      </c>
      <c r="O21" s="165">
        <v>264</v>
      </c>
      <c r="P21" s="165">
        <v>4.32</v>
      </c>
      <c r="Q21"/>
    </row>
    <row r="22" spans="1:17" x14ac:dyDescent="0.25">
      <c r="A22" s="165">
        <v>58.15</v>
      </c>
      <c r="B22" s="165">
        <v>0.12</v>
      </c>
      <c r="C22" s="165">
        <v>25.28</v>
      </c>
      <c r="D22" s="8">
        <v>42688.833333333336</v>
      </c>
      <c r="E22" s="165">
        <v>0.28000000000000003</v>
      </c>
      <c r="F22" s="165" t="s">
        <v>230</v>
      </c>
      <c r="G22" s="165">
        <v>233.01</v>
      </c>
      <c r="H22" s="165">
        <v>0</v>
      </c>
      <c r="I22" s="165">
        <v>0</v>
      </c>
      <c r="J22" s="165">
        <v>1016.22</v>
      </c>
      <c r="K22" s="165" t="s">
        <v>231</v>
      </c>
      <c r="L22" s="165">
        <v>58.15</v>
      </c>
      <c r="M22" s="165">
        <v>1479178800</v>
      </c>
      <c r="N22" s="165">
        <v>10</v>
      </c>
      <c r="O22" s="165">
        <v>260</v>
      </c>
      <c r="P22" s="165">
        <v>4.3</v>
      </c>
      <c r="Q22"/>
    </row>
    <row r="23" spans="1:17" x14ac:dyDescent="0.25">
      <c r="A23" s="165">
        <v>56.73</v>
      </c>
      <c r="B23" s="165">
        <v>0.14000000000000001</v>
      </c>
      <c r="C23" s="165">
        <v>25.18</v>
      </c>
      <c r="D23" s="8">
        <v>42688.875</v>
      </c>
      <c r="E23" s="165">
        <v>0.28999999999999998</v>
      </c>
      <c r="F23" s="165" t="s">
        <v>230</v>
      </c>
      <c r="G23" s="165">
        <v>233.09</v>
      </c>
      <c r="H23" s="165">
        <v>0</v>
      </c>
      <c r="I23" s="165">
        <v>0</v>
      </c>
      <c r="J23" s="165">
        <v>1016.49</v>
      </c>
      <c r="K23" s="165" t="s">
        <v>231</v>
      </c>
      <c r="L23" s="165">
        <v>56.73</v>
      </c>
      <c r="M23" s="165">
        <v>1479182400</v>
      </c>
      <c r="N23" s="165">
        <v>7.02</v>
      </c>
      <c r="O23" s="165">
        <v>272</v>
      </c>
      <c r="P23" s="165">
        <v>3.86</v>
      </c>
      <c r="Q23"/>
    </row>
    <row r="24" spans="1:17" x14ac:dyDescent="0.25">
      <c r="A24" s="165">
        <v>54.11</v>
      </c>
      <c r="B24" s="165">
        <v>0.12</v>
      </c>
      <c r="C24" s="165">
        <v>24.3</v>
      </c>
      <c r="D24" s="8">
        <v>42688.916666666664</v>
      </c>
      <c r="E24" s="165">
        <v>0.31</v>
      </c>
      <c r="F24" s="165" t="s">
        <v>230</v>
      </c>
      <c r="G24" s="165">
        <v>233.17</v>
      </c>
      <c r="H24" s="165">
        <v>0</v>
      </c>
      <c r="I24" s="165">
        <v>0</v>
      </c>
      <c r="J24" s="165">
        <v>1016.61</v>
      </c>
      <c r="K24" s="165" t="s">
        <v>231</v>
      </c>
      <c r="L24" s="165">
        <v>54.11</v>
      </c>
      <c r="M24" s="165">
        <v>1479186000</v>
      </c>
      <c r="N24" s="165">
        <v>7.05</v>
      </c>
      <c r="O24" s="165">
        <v>261</v>
      </c>
      <c r="P24" s="165">
        <v>3.91</v>
      </c>
      <c r="Q24"/>
    </row>
    <row r="25" spans="1:17" x14ac:dyDescent="0.25">
      <c r="A25" s="165">
        <v>53.74</v>
      </c>
      <c r="B25" s="165">
        <v>0.12</v>
      </c>
      <c r="C25" s="165">
        <v>25.75</v>
      </c>
      <c r="D25" s="8">
        <v>42688.958333333336</v>
      </c>
      <c r="E25" s="165">
        <v>0.34</v>
      </c>
      <c r="F25" s="165" t="s">
        <v>230</v>
      </c>
      <c r="G25" s="165">
        <v>233.31</v>
      </c>
      <c r="H25" s="165">
        <v>0</v>
      </c>
      <c r="I25" s="165">
        <v>0</v>
      </c>
      <c r="J25" s="165">
        <v>1016.8</v>
      </c>
      <c r="K25" s="165" t="s">
        <v>231</v>
      </c>
      <c r="L25" s="165">
        <v>53.74</v>
      </c>
      <c r="M25" s="165">
        <v>1479189600</v>
      </c>
      <c r="N25" s="165">
        <v>10</v>
      </c>
      <c r="O25" s="165">
        <v>268</v>
      </c>
      <c r="P25" s="165">
        <v>3.07</v>
      </c>
      <c r="Q25"/>
    </row>
    <row r="26" spans="1:17" x14ac:dyDescent="0.25">
      <c r="A26" s="165">
        <v>51.4</v>
      </c>
      <c r="B26" s="165">
        <v>0.21</v>
      </c>
      <c r="C26" s="165">
        <v>25.26</v>
      </c>
      <c r="D26" s="8">
        <v>42689</v>
      </c>
      <c r="E26" s="165">
        <v>0.36</v>
      </c>
      <c r="F26" s="165" t="s">
        <v>230</v>
      </c>
      <c r="G26" s="165">
        <v>233.63</v>
      </c>
      <c r="H26" s="165">
        <v>0</v>
      </c>
      <c r="I26" s="165">
        <v>0</v>
      </c>
      <c r="J26" s="165">
        <v>1017.33</v>
      </c>
      <c r="K26" s="165" t="s">
        <v>231</v>
      </c>
      <c r="L26" s="165">
        <v>51.4</v>
      </c>
      <c r="M26" s="165">
        <v>1479193200</v>
      </c>
      <c r="N26" s="165">
        <v>7.95</v>
      </c>
      <c r="O26" s="165">
        <v>247</v>
      </c>
      <c r="P26" s="165">
        <v>2.71</v>
      </c>
      <c r="Q26"/>
    </row>
    <row r="27" spans="1:17" x14ac:dyDescent="0.25">
      <c r="A27" s="165">
        <v>51.21</v>
      </c>
      <c r="B27" s="165">
        <v>0.19</v>
      </c>
      <c r="C27" s="165">
        <v>24.05</v>
      </c>
      <c r="D27" s="8">
        <v>42689.041666666664</v>
      </c>
      <c r="E27" s="165">
        <v>0.34</v>
      </c>
      <c r="F27" s="165" t="s">
        <v>230</v>
      </c>
      <c r="G27" s="165">
        <v>233.95</v>
      </c>
      <c r="H27" s="165">
        <v>0</v>
      </c>
      <c r="I27" s="165">
        <v>0</v>
      </c>
      <c r="J27" s="165">
        <v>1017.79</v>
      </c>
      <c r="K27" s="165" t="s">
        <v>231</v>
      </c>
      <c r="L27" s="165">
        <v>51.21</v>
      </c>
      <c r="M27" s="165">
        <v>1479196800</v>
      </c>
      <c r="N27" s="165">
        <v>7.76</v>
      </c>
      <c r="O27" s="165">
        <v>261</v>
      </c>
      <c r="P27" s="165">
        <v>2.81</v>
      </c>
      <c r="Q27"/>
    </row>
    <row r="28" spans="1:17" x14ac:dyDescent="0.25">
      <c r="A28" s="165">
        <v>51.12</v>
      </c>
      <c r="B28" s="165">
        <v>0.28000000000000003</v>
      </c>
      <c r="C28" s="165">
        <v>26.27</v>
      </c>
      <c r="D28" s="8">
        <v>42689.083333333336</v>
      </c>
      <c r="E28" s="165">
        <v>0.38</v>
      </c>
      <c r="F28" s="165" t="s">
        <v>227</v>
      </c>
      <c r="G28" s="165">
        <v>234.26</v>
      </c>
      <c r="H28" s="165">
        <v>0</v>
      </c>
      <c r="I28" s="165">
        <v>0</v>
      </c>
      <c r="J28" s="165">
        <v>1018.33</v>
      </c>
      <c r="K28" s="165" t="s">
        <v>228</v>
      </c>
      <c r="L28" s="165">
        <v>51.12</v>
      </c>
      <c r="M28" s="165">
        <v>1479200400</v>
      </c>
      <c r="N28" s="165">
        <v>5.87</v>
      </c>
      <c r="O28" s="165">
        <v>258</v>
      </c>
      <c r="P28" s="165">
        <v>2.64</v>
      </c>
      <c r="Q28"/>
    </row>
    <row r="29" spans="1:17" x14ac:dyDescent="0.25">
      <c r="A29" s="165">
        <v>46.32</v>
      </c>
      <c r="B29" s="165">
        <v>0.42</v>
      </c>
      <c r="C29" s="165">
        <v>21.91</v>
      </c>
      <c r="D29" s="8">
        <v>42689.125</v>
      </c>
      <c r="E29" s="165">
        <v>0.38</v>
      </c>
      <c r="F29" s="165" t="s">
        <v>227</v>
      </c>
      <c r="G29" s="165">
        <v>234.29</v>
      </c>
      <c r="H29" s="165">
        <v>0</v>
      </c>
      <c r="I29" s="165">
        <v>0</v>
      </c>
      <c r="J29" s="165">
        <v>1018.92</v>
      </c>
      <c r="K29" s="165" t="s">
        <v>228</v>
      </c>
      <c r="L29" s="165">
        <v>46.32</v>
      </c>
      <c r="M29" s="165">
        <v>1479204000</v>
      </c>
      <c r="N29" s="165">
        <v>7.65</v>
      </c>
      <c r="O29" s="165">
        <v>245</v>
      </c>
      <c r="P29" s="165">
        <v>2.94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212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214</v>
      </c>
      <c r="J17" s="33"/>
      <c r="K17" s="34"/>
      <c r="L17" s="34"/>
    </row>
    <row r="18" spans="3:13" x14ac:dyDescent="0.25">
      <c r="C18" t="s">
        <v>796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797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798</v>
      </c>
      <c r="J20" t="s">
        <v>87</v>
      </c>
      <c r="M20" s="68" t="s">
        <v>269</v>
      </c>
    </row>
    <row r="21" spans="3:13" x14ac:dyDescent="0.25">
      <c r="C21" t="s">
        <v>799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800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801</v>
      </c>
      <c r="J23" s="29" t="s">
        <v>95</v>
      </c>
      <c r="K23" s="21"/>
      <c r="M23" s="69">
        <v>-7</v>
      </c>
    </row>
    <row r="24" spans="3:13" x14ac:dyDescent="0.25">
      <c r="C24" t="s">
        <v>802</v>
      </c>
      <c r="J24" s="21" t="s">
        <v>108</v>
      </c>
      <c r="K24" s="21"/>
      <c r="M24" s="68" t="s">
        <v>110</v>
      </c>
    </row>
    <row r="25" spans="3:13" x14ac:dyDescent="0.25">
      <c r="C25" t="s">
        <v>803</v>
      </c>
      <c r="J25" t="s">
        <v>151</v>
      </c>
      <c r="M25" s="68" t="b">
        <v>1</v>
      </c>
    </row>
    <row r="26" spans="3:13" x14ac:dyDescent="0.25">
      <c r="C26" t="s">
        <v>804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C:\Users\stu\Documents\GitHub\eaglep3-reporting\EC\2016-11-14-refined-times.txt</v>
      </c>
    </row>
    <row r="27" spans="3:13" x14ac:dyDescent="0.25">
      <c r="C27" t="s">
        <v>805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C:\Users\stu\Documents\GitHub\eaglep3-reporting\EC\2016-11-14-Enforcements.txt</v>
      </c>
    </row>
    <row r="28" spans="3:13" x14ac:dyDescent="0.25">
      <c r="C28" t="s">
        <v>806</v>
      </c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C:\Users\stu\Documents\GitHub\eaglep3-reporting\EC\2016-11-14-Runs-Refined.txt</v>
      </c>
    </row>
    <row r="29" spans="3:13" x14ac:dyDescent="0.25">
      <c r="C29" t="s">
        <v>807</v>
      </c>
      <c r="J29" t="s">
        <v>195</v>
      </c>
      <c r="M29" s="106" t="str">
        <f>"C:\Users\stu\Documents\GitHub\eaglep3-reporting\EC\"&amp;TEXT(A2,"YYYY-MM-DD")&amp;"-Trips.txt"</f>
        <v>C:\Users\stu\Documents\GitHub\eaglep3-reporting\EC\2016-11-14-Trips.txt</v>
      </c>
    </row>
    <row r="30" spans="3:13" x14ac:dyDescent="0.25">
      <c r="C30" t="s">
        <v>808</v>
      </c>
      <c r="J30" t="s">
        <v>196</v>
      </c>
      <c r="M30" s="106" t="str">
        <f>"C:\Users\stu\Documents\GitHub\eaglep3-reporting\EC\"&amp;TEXT(A2,"YYYY-MM-DD")&amp;"-Weather.txt"</f>
        <v>C:\Users\stu\Documents\GitHub\eaglep3-reporting\EC\2016-11-14-Weather.txt</v>
      </c>
    </row>
    <row r="31" spans="3:13" x14ac:dyDescent="0.25">
      <c r="C31" t="s">
        <v>809</v>
      </c>
    </row>
    <row r="32" spans="3:13" x14ac:dyDescent="0.25">
      <c r="C32" t="s">
        <v>810</v>
      </c>
    </row>
    <row r="33" spans="3:3" x14ac:dyDescent="0.25">
      <c r="C33" t="s">
        <v>811</v>
      </c>
    </row>
    <row r="34" spans="3:3" x14ac:dyDescent="0.25">
      <c r="C34" t="s">
        <v>812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239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2016-11-15T18:57:14Z</dcterms:modified>
</cp:coreProperties>
</file>