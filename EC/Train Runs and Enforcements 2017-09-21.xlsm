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Enforcements!$A$6:$AC$45</definedName>
    <definedName name="_xlnm._FilterDatabase" localSheetId="2" hidden="1">'Missing Trips'!$A$2:$J$26</definedName>
    <definedName name="_xlnm._FilterDatabase" localSheetId="0" hidden="1">'Train Runs'!$A$12:$AG$308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Runs'!$A$12:$J$77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64" i="1" l="1"/>
  <c r="M164" i="1"/>
  <c r="N164" i="1" s="1"/>
  <c r="AA164" i="1"/>
  <c r="AB164" i="1"/>
  <c r="AC164" i="1"/>
  <c r="AD164" i="1"/>
  <c r="T164" i="1" s="1"/>
  <c r="AE164" i="1"/>
  <c r="AM164" i="1"/>
  <c r="K160" i="1"/>
  <c r="M160" i="1"/>
  <c r="N160" i="1"/>
  <c r="AA160" i="1"/>
  <c r="AB160" i="1"/>
  <c r="AC160" i="1"/>
  <c r="AD160" i="1"/>
  <c r="T160" i="1" s="1"/>
  <c r="AE160" i="1"/>
  <c r="AM160" i="1"/>
  <c r="K151" i="1"/>
  <c r="M151" i="1"/>
  <c r="N151" i="1" s="1"/>
  <c r="AA151" i="1"/>
  <c r="AB151" i="1"/>
  <c r="AC151" i="1"/>
  <c r="AD151" i="1"/>
  <c r="T151" i="1" s="1"/>
  <c r="AE151" i="1"/>
  <c r="AM151" i="1"/>
  <c r="K152" i="1"/>
  <c r="M152" i="1"/>
  <c r="N152" i="1" s="1"/>
  <c r="Y152" i="1"/>
  <c r="Z152" i="1"/>
  <c r="AB152" i="1"/>
  <c r="AC152" i="1"/>
  <c r="AD152" i="1"/>
  <c r="T152" i="1" s="1"/>
  <c r="AE152" i="1"/>
  <c r="AM152" i="1"/>
  <c r="Y135" i="1"/>
  <c r="K109" i="1"/>
  <c r="M109" i="1"/>
  <c r="N109" i="1" s="1"/>
  <c r="AA109" i="1"/>
  <c r="AB109" i="1"/>
  <c r="AC109" i="1"/>
  <c r="AD109" i="1"/>
  <c r="T109" i="1" s="1"/>
  <c r="AE109" i="1"/>
  <c r="AM109" i="1"/>
  <c r="K110" i="1"/>
  <c r="M110" i="1"/>
  <c r="N110" i="1"/>
  <c r="Y110" i="1"/>
  <c r="Z110" i="1"/>
  <c r="AB110" i="1"/>
  <c r="AC110" i="1"/>
  <c r="AD110" i="1"/>
  <c r="T110" i="1" s="1"/>
  <c r="AE110" i="1"/>
  <c r="AM110" i="1"/>
  <c r="K40" i="1"/>
  <c r="M40" i="1"/>
  <c r="N40" i="1" s="1"/>
  <c r="AA40" i="1"/>
  <c r="AB40" i="1"/>
  <c r="AC40" i="1"/>
  <c r="AD40" i="1"/>
  <c r="T40" i="1" s="1"/>
  <c r="AE40" i="1"/>
  <c r="AM40" i="1"/>
  <c r="K39" i="1"/>
  <c r="M39" i="1"/>
  <c r="N39" i="1" s="1"/>
  <c r="Y39" i="1"/>
  <c r="Z39" i="1"/>
  <c r="AB39" i="1"/>
  <c r="AC39" i="1"/>
  <c r="AD39" i="1"/>
  <c r="T39" i="1" s="1"/>
  <c r="AE39" i="1"/>
  <c r="AG164" i="1"/>
  <c r="AG109" i="1"/>
  <c r="AG160" i="1"/>
  <c r="AG110" i="1"/>
  <c r="AG151" i="1"/>
  <c r="AG40" i="1"/>
  <c r="AG152" i="1"/>
  <c r="AG39" i="1"/>
  <c r="AA39" i="1" l="1"/>
  <c r="U164" i="1"/>
  <c r="S164" i="1" s="1"/>
  <c r="AI164" i="1"/>
  <c r="W164" i="1"/>
  <c r="AI160" i="1"/>
  <c r="U160" i="1"/>
  <c r="S160" i="1" s="1"/>
  <c r="W160" i="1"/>
  <c r="AA110" i="1"/>
  <c r="AA152" i="1"/>
  <c r="W152" i="1" s="1"/>
  <c r="AI152" i="1"/>
  <c r="U152" i="1"/>
  <c r="S152" i="1" s="1"/>
  <c r="AI151" i="1"/>
  <c r="U151" i="1"/>
  <c r="S151" i="1" s="1"/>
  <c r="W151" i="1"/>
  <c r="X152" i="1"/>
  <c r="AI110" i="1"/>
  <c r="U110" i="1"/>
  <c r="S110" i="1" s="1"/>
  <c r="AI109" i="1"/>
  <c r="U109" i="1"/>
  <c r="S109" i="1" s="1"/>
  <c r="W110" i="1"/>
  <c r="W109" i="1"/>
  <c r="X110" i="1"/>
  <c r="AI40" i="1"/>
  <c r="U40" i="1"/>
  <c r="S40" i="1" s="1"/>
  <c r="W40" i="1"/>
  <c r="X40" i="1"/>
  <c r="U39" i="1"/>
  <c r="S39" i="1" s="1"/>
  <c r="W39" i="1"/>
  <c r="AI39" i="1"/>
  <c r="AM39" i="1"/>
  <c r="K14" i="1" l="1"/>
  <c r="M14" i="1"/>
  <c r="N14" i="1" s="1"/>
  <c r="Y14" i="1"/>
  <c r="Z14" i="1"/>
  <c r="AB14" i="1"/>
  <c r="AC14" i="1"/>
  <c r="AD14" i="1"/>
  <c r="T14" i="1" s="1"/>
  <c r="AE14" i="1"/>
  <c r="AM14" i="1"/>
  <c r="K15" i="1"/>
  <c r="M15" i="1"/>
  <c r="N15" i="1" s="1"/>
  <c r="Y15" i="1"/>
  <c r="Z15" i="1"/>
  <c r="AB15" i="1"/>
  <c r="AC15" i="1"/>
  <c r="AD15" i="1"/>
  <c r="T15" i="1" s="1"/>
  <c r="AE15" i="1"/>
  <c r="AM15" i="1"/>
  <c r="K16" i="1"/>
  <c r="M16" i="1"/>
  <c r="N16" i="1" s="1"/>
  <c r="Y16" i="1"/>
  <c r="Z16" i="1"/>
  <c r="AB16" i="1"/>
  <c r="AC16" i="1"/>
  <c r="AD16" i="1"/>
  <c r="T16" i="1" s="1"/>
  <c r="AE16" i="1"/>
  <c r="AM16" i="1"/>
  <c r="K17" i="1"/>
  <c r="M17" i="1"/>
  <c r="N17" i="1" s="1"/>
  <c r="Y17" i="1"/>
  <c r="Z17" i="1"/>
  <c r="AB17" i="1"/>
  <c r="AC17" i="1"/>
  <c r="AD17" i="1"/>
  <c r="T17" i="1" s="1"/>
  <c r="AE17" i="1"/>
  <c r="AM17" i="1"/>
  <c r="K18" i="1"/>
  <c r="M18" i="1"/>
  <c r="N18" i="1" s="1"/>
  <c r="Y18" i="1"/>
  <c r="Z18" i="1"/>
  <c r="AB18" i="1"/>
  <c r="AC18" i="1"/>
  <c r="AD18" i="1"/>
  <c r="T18" i="1" s="1"/>
  <c r="AE18" i="1"/>
  <c r="AM18" i="1"/>
  <c r="K19" i="1"/>
  <c r="M19" i="1"/>
  <c r="N19" i="1" s="1"/>
  <c r="Y19" i="1"/>
  <c r="Z19" i="1"/>
  <c r="AB19" i="1"/>
  <c r="AC19" i="1"/>
  <c r="AD19" i="1"/>
  <c r="T19" i="1" s="1"/>
  <c r="AE19" i="1"/>
  <c r="AM19" i="1"/>
  <c r="K20" i="1"/>
  <c r="M20" i="1"/>
  <c r="N20" i="1" s="1"/>
  <c r="Y20" i="1"/>
  <c r="Z20" i="1"/>
  <c r="AB20" i="1"/>
  <c r="AC20" i="1"/>
  <c r="AD20" i="1"/>
  <c r="T20" i="1" s="1"/>
  <c r="AE20" i="1"/>
  <c r="AM20" i="1"/>
  <c r="K21" i="1"/>
  <c r="M21" i="1"/>
  <c r="N21" i="1" s="1"/>
  <c r="Y21" i="1"/>
  <c r="Z21" i="1"/>
  <c r="AB21" i="1"/>
  <c r="AC21" i="1"/>
  <c r="AD21" i="1"/>
  <c r="T21" i="1" s="1"/>
  <c r="AE21" i="1"/>
  <c r="AM21" i="1"/>
  <c r="K22" i="1"/>
  <c r="M22" i="1"/>
  <c r="N22" i="1" s="1"/>
  <c r="Y22" i="1"/>
  <c r="Z22" i="1"/>
  <c r="AB22" i="1"/>
  <c r="AC22" i="1"/>
  <c r="AD22" i="1"/>
  <c r="T22" i="1" s="1"/>
  <c r="AE22" i="1"/>
  <c r="AM22" i="1"/>
  <c r="K23" i="1"/>
  <c r="M23" i="1"/>
  <c r="N23" i="1" s="1"/>
  <c r="Y23" i="1"/>
  <c r="Z23" i="1"/>
  <c r="AA23" i="1" s="1"/>
  <c r="AB23" i="1"/>
  <c r="AC23" i="1"/>
  <c r="AD23" i="1"/>
  <c r="T23" i="1" s="1"/>
  <c r="AE23" i="1"/>
  <c r="AM23" i="1"/>
  <c r="K24" i="1"/>
  <c r="M24" i="1"/>
  <c r="N24" i="1" s="1"/>
  <c r="Y24" i="1"/>
  <c r="Z24" i="1"/>
  <c r="AA24" i="1" s="1"/>
  <c r="AB24" i="1"/>
  <c r="AC24" i="1"/>
  <c r="AD24" i="1"/>
  <c r="AE24" i="1"/>
  <c r="AM24" i="1"/>
  <c r="K25" i="1"/>
  <c r="M25" i="1"/>
  <c r="N25" i="1" s="1"/>
  <c r="Y25" i="1"/>
  <c r="Z25" i="1"/>
  <c r="AB25" i="1"/>
  <c r="AC25" i="1"/>
  <c r="AD25" i="1"/>
  <c r="AE25" i="1"/>
  <c r="R11" i="3" s="1"/>
  <c r="AM25" i="1"/>
  <c r="K26" i="1"/>
  <c r="M26" i="1"/>
  <c r="N26" i="1" s="1"/>
  <c r="Y26" i="1"/>
  <c r="Z26" i="1"/>
  <c r="AB26" i="1"/>
  <c r="AC26" i="1"/>
  <c r="AD26" i="1"/>
  <c r="AE26" i="1"/>
  <c r="R14" i="3" s="1"/>
  <c r="AM26" i="1"/>
  <c r="K27" i="1"/>
  <c r="M27" i="1"/>
  <c r="N27" i="1" s="1"/>
  <c r="Y27" i="1"/>
  <c r="Z27" i="1"/>
  <c r="AA27" i="1" s="1"/>
  <c r="AB27" i="1"/>
  <c r="AC27" i="1"/>
  <c r="AD27" i="1"/>
  <c r="AE27" i="1"/>
  <c r="AM27" i="1"/>
  <c r="K28" i="1"/>
  <c r="M28" i="1"/>
  <c r="N28" i="1" s="1"/>
  <c r="Y28" i="1"/>
  <c r="Z28" i="1"/>
  <c r="AA28" i="1" s="1"/>
  <c r="AB28" i="1"/>
  <c r="AC28" i="1"/>
  <c r="AD28" i="1"/>
  <c r="AE28" i="1"/>
  <c r="AM28" i="1"/>
  <c r="K29" i="1"/>
  <c r="M29" i="1"/>
  <c r="N29" i="1" s="1"/>
  <c r="Y29" i="1"/>
  <c r="Z29" i="1"/>
  <c r="AB29" i="1"/>
  <c r="AC29" i="1"/>
  <c r="AD29" i="1"/>
  <c r="AE29" i="1"/>
  <c r="AM29" i="1"/>
  <c r="K30" i="1"/>
  <c r="M30" i="1"/>
  <c r="N30" i="1" s="1"/>
  <c r="Y30" i="1"/>
  <c r="Z30" i="1"/>
  <c r="AB30" i="1"/>
  <c r="AC30" i="1"/>
  <c r="AD30" i="1"/>
  <c r="AE30" i="1"/>
  <c r="AM30" i="1"/>
  <c r="K31" i="1"/>
  <c r="M31" i="1"/>
  <c r="N31" i="1" s="1"/>
  <c r="Y31" i="1"/>
  <c r="Z31" i="1"/>
  <c r="AA31" i="1" s="1"/>
  <c r="AB31" i="1"/>
  <c r="AC31" i="1"/>
  <c r="AD31" i="1"/>
  <c r="AE31" i="1"/>
  <c r="AM31" i="1"/>
  <c r="K32" i="1"/>
  <c r="M32" i="1"/>
  <c r="N32" i="1" s="1"/>
  <c r="Y32" i="1"/>
  <c r="Z32" i="1"/>
  <c r="AA32" i="1" s="1"/>
  <c r="AB32" i="1"/>
  <c r="AC32" i="1"/>
  <c r="AD32" i="1"/>
  <c r="AE32" i="1"/>
  <c r="AM32" i="1"/>
  <c r="K33" i="1"/>
  <c r="M33" i="1"/>
  <c r="N33" i="1" s="1"/>
  <c r="Y33" i="1"/>
  <c r="Z33" i="1"/>
  <c r="AB33" i="1"/>
  <c r="AC33" i="1"/>
  <c r="AD33" i="1"/>
  <c r="AE33" i="1"/>
  <c r="AM33" i="1"/>
  <c r="K34" i="1"/>
  <c r="M34" i="1"/>
  <c r="N34" i="1" s="1"/>
  <c r="Y34" i="1"/>
  <c r="Z34" i="1"/>
  <c r="AB34" i="1"/>
  <c r="AC34" i="1"/>
  <c r="AD34" i="1"/>
  <c r="AE34" i="1"/>
  <c r="AM34" i="1"/>
  <c r="K35" i="1"/>
  <c r="M35" i="1"/>
  <c r="N35" i="1" s="1"/>
  <c r="Y35" i="1"/>
  <c r="Z35" i="1"/>
  <c r="AA35" i="1" s="1"/>
  <c r="AB35" i="1"/>
  <c r="AC35" i="1"/>
  <c r="AD35" i="1"/>
  <c r="AE35" i="1"/>
  <c r="AM35" i="1"/>
  <c r="K36" i="1"/>
  <c r="M36" i="1"/>
  <c r="N36" i="1" s="1"/>
  <c r="Y36" i="1"/>
  <c r="Z36" i="1"/>
  <c r="AB36" i="1"/>
  <c r="AC36" i="1"/>
  <c r="AD36" i="1"/>
  <c r="AE36" i="1"/>
  <c r="AM36" i="1"/>
  <c r="K37" i="1"/>
  <c r="M37" i="1"/>
  <c r="N37" i="1" s="1"/>
  <c r="Y37" i="1"/>
  <c r="AA37" i="1" s="1"/>
  <c r="Z37" i="1"/>
  <c r="AB37" i="1"/>
  <c r="AC37" i="1"/>
  <c r="AD37" i="1"/>
  <c r="AE37" i="1"/>
  <c r="AM37" i="1"/>
  <c r="K38" i="1"/>
  <c r="M38" i="1"/>
  <c r="N38" i="1" s="1"/>
  <c r="Y38" i="1"/>
  <c r="Z38" i="1"/>
  <c r="AB38" i="1"/>
  <c r="AC38" i="1"/>
  <c r="AD38" i="1"/>
  <c r="X39" i="1" s="1"/>
  <c r="AE38" i="1"/>
  <c r="AM38" i="1"/>
  <c r="K41" i="1"/>
  <c r="M41" i="1"/>
  <c r="N41" i="1" s="1"/>
  <c r="Y41" i="1"/>
  <c r="Z41" i="1"/>
  <c r="AA41" i="1" s="1"/>
  <c r="AB41" i="1"/>
  <c r="AC41" i="1"/>
  <c r="AD41" i="1"/>
  <c r="X41" i="1" s="1"/>
  <c r="AE41" i="1"/>
  <c r="AM41" i="1"/>
  <c r="K42" i="1"/>
  <c r="M42" i="1"/>
  <c r="N42" i="1" s="1"/>
  <c r="Y42" i="1"/>
  <c r="Z42" i="1"/>
  <c r="AB42" i="1"/>
  <c r="AC42" i="1"/>
  <c r="AD42" i="1"/>
  <c r="AE42" i="1"/>
  <c r="AM42" i="1"/>
  <c r="K43" i="1"/>
  <c r="M43" i="1"/>
  <c r="N43" i="1" s="1"/>
  <c r="Y43" i="1"/>
  <c r="Z43" i="1"/>
  <c r="AB43" i="1"/>
  <c r="AC43" i="1"/>
  <c r="AD43" i="1"/>
  <c r="AE43" i="1"/>
  <c r="AM43" i="1"/>
  <c r="K44" i="1"/>
  <c r="M44" i="1"/>
  <c r="N44" i="1"/>
  <c r="Y44" i="1"/>
  <c r="Z44" i="1"/>
  <c r="AA44" i="1"/>
  <c r="AB44" i="1"/>
  <c r="AC44" i="1"/>
  <c r="AD44" i="1"/>
  <c r="AE44" i="1"/>
  <c r="AM44" i="1"/>
  <c r="K45" i="1"/>
  <c r="M45" i="1"/>
  <c r="N45" i="1" s="1"/>
  <c r="Y45" i="1"/>
  <c r="Z45" i="1"/>
  <c r="AB45" i="1"/>
  <c r="AC45" i="1"/>
  <c r="AD45" i="1"/>
  <c r="AE45" i="1"/>
  <c r="AM45" i="1"/>
  <c r="K46" i="1"/>
  <c r="M46" i="1"/>
  <c r="N46" i="1"/>
  <c r="Y46" i="1"/>
  <c r="Z46" i="1"/>
  <c r="AB46" i="1"/>
  <c r="AC46" i="1"/>
  <c r="AD46" i="1"/>
  <c r="AE46" i="1"/>
  <c r="AM46" i="1"/>
  <c r="K47" i="1"/>
  <c r="M47" i="1"/>
  <c r="N47" i="1" s="1"/>
  <c r="Y47" i="1"/>
  <c r="Z47" i="1"/>
  <c r="AB47" i="1"/>
  <c r="AC47" i="1"/>
  <c r="AD47" i="1"/>
  <c r="AE47" i="1"/>
  <c r="AM47" i="1"/>
  <c r="K48" i="1"/>
  <c r="M48" i="1"/>
  <c r="N48" i="1" s="1"/>
  <c r="Y48" i="1"/>
  <c r="AA48" i="1" s="1"/>
  <c r="Z48" i="1"/>
  <c r="AB48" i="1"/>
  <c r="AC48" i="1"/>
  <c r="AD48" i="1"/>
  <c r="AE48" i="1"/>
  <c r="AM48" i="1"/>
  <c r="K49" i="1"/>
  <c r="M49" i="1"/>
  <c r="N49" i="1" s="1"/>
  <c r="Y49" i="1"/>
  <c r="Z49" i="1"/>
  <c r="AB49" i="1"/>
  <c r="AC49" i="1"/>
  <c r="AD49" i="1"/>
  <c r="AE49" i="1"/>
  <c r="AM49" i="1"/>
  <c r="K50" i="1"/>
  <c r="M50" i="1"/>
  <c r="N50" i="1" s="1"/>
  <c r="Y50" i="1"/>
  <c r="Z50" i="1"/>
  <c r="AB50" i="1"/>
  <c r="AC50" i="1"/>
  <c r="AD50" i="1"/>
  <c r="AE50" i="1"/>
  <c r="AM50" i="1"/>
  <c r="K51" i="1"/>
  <c r="M51" i="1"/>
  <c r="N51" i="1" s="1"/>
  <c r="Y51" i="1"/>
  <c r="Z51" i="1"/>
  <c r="AB51" i="1"/>
  <c r="AC51" i="1"/>
  <c r="AD51" i="1"/>
  <c r="AE51" i="1"/>
  <c r="AM51" i="1"/>
  <c r="K52" i="1"/>
  <c r="M52" i="1"/>
  <c r="N52" i="1" s="1"/>
  <c r="Y52" i="1"/>
  <c r="Z52" i="1"/>
  <c r="AB52" i="1"/>
  <c r="AC52" i="1"/>
  <c r="AD52" i="1"/>
  <c r="AE52" i="1"/>
  <c r="AM52" i="1"/>
  <c r="K53" i="1"/>
  <c r="M53" i="1"/>
  <c r="N53" i="1" s="1"/>
  <c r="Y53" i="1"/>
  <c r="Z53" i="1"/>
  <c r="AB53" i="1"/>
  <c r="AC53" i="1"/>
  <c r="AD53" i="1"/>
  <c r="AE53" i="1"/>
  <c r="AM53" i="1"/>
  <c r="K54" i="1"/>
  <c r="M54" i="1"/>
  <c r="N54" i="1" s="1"/>
  <c r="Y54" i="1"/>
  <c r="Z54" i="1"/>
  <c r="AB54" i="1"/>
  <c r="AC54" i="1"/>
  <c r="AD54" i="1"/>
  <c r="AE54" i="1"/>
  <c r="AM54" i="1"/>
  <c r="K55" i="1"/>
  <c r="M55" i="1"/>
  <c r="N55" i="1" s="1"/>
  <c r="Y55" i="1"/>
  <c r="Z55" i="1"/>
  <c r="AA55" i="1" s="1"/>
  <c r="AB55" i="1"/>
  <c r="AC55" i="1"/>
  <c r="AD55" i="1"/>
  <c r="AE55" i="1"/>
  <c r="AM55" i="1"/>
  <c r="K56" i="1"/>
  <c r="M56" i="1"/>
  <c r="N56" i="1" s="1"/>
  <c r="Y56" i="1"/>
  <c r="Z56" i="1"/>
  <c r="AA56" i="1" s="1"/>
  <c r="AB56" i="1"/>
  <c r="AC56" i="1"/>
  <c r="AD56" i="1"/>
  <c r="AE56" i="1"/>
  <c r="AM56" i="1"/>
  <c r="K57" i="1"/>
  <c r="M57" i="1"/>
  <c r="N57" i="1" s="1"/>
  <c r="Y57" i="1"/>
  <c r="AA57" i="1" s="1"/>
  <c r="Z57" i="1"/>
  <c r="AB57" i="1"/>
  <c r="AC57" i="1"/>
  <c r="AD57" i="1"/>
  <c r="T57" i="1" s="1"/>
  <c r="AE57" i="1"/>
  <c r="R21" i="3" s="1"/>
  <c r="AM57" i="1"/>
  <c r="K58" i="1"/>
  <c r="M58" i="1"/>
  <c r="N58" i="1" s="1"/>
  <c r="Y58" i="1"/>
  <c r="Z58" i="1"/>
  <c r="AA58" i="1" s="1"/>
  <c r="AB58" i="1"/>
  <c r="AC58" i="1"/>
  <c r="AD58" i="1"/>
  <c r="T58" i="1" s="1"/>
  <c r="AE58" i="1"/>
  <c r="AM58" i="1"/>
  <c r="K59" i="1"/>
  <c r="M59" i="1"/>
  <c r="N59" i="1" s="1"/>
  <c r="Y59" i="1"/>
  <c r="Z59" i="1"/>
  <c r="AB59" i="1"/>
  <c r="AC59" i="1"/>
  <c r="AD59" i="1"/>
  <c r="T59" i="1" s="1"/>
  <c r="AE59" i="1"/>
  <c r="AM59" i="1"/>
  <c r="K60" i="1"/>
  <c r="M60" i="1"/>
  <c r="N60" i="1" s="1"/>
  <c r="Y60" i="1"/>
  <c r="Z60" i="1"/>
  <c r="AB60" i="1"/>
  <c r="AC60" i="1"/>
  <c r="AD60" i="1"/>
  <c r="T60" i="1" s="1"/>
  <c r="AE60" i="1"/>
  <c r="AM60" i="1"/>
  <c r="K61" i="1"/>
  <c r="M61" i="1"/>
  <c r="N61" i="1" s="1"/>
  <c r="Y61" i="1"/>
  <c r="Z61" i="1"/>
  <c r="AB61" i="1"/>
  <c r="AC61" i="1"/>
  <c r="AD61" i="1"/>
  <c r="X61" i="1" s="1"/>
  <c r="AE61" i="1"/>
  <c r="AM61" i="1"/>
  <c r="K62" i="1"/>
  <c r="M62" i="1"/>
  <c r="N62" i="1" s="1"/>
  <c r="Y62" i="1"/>
  <c r="Z62" i="1"/>
  <c r="AB62" i="1"/>
  <c r="AC62" i="1"/>
  <c r="AD62" i="1"/>
  <c r="T62" i="1" s="1"/>
  <c r="AE62" i="1"/>
  <c r="AM62" i="1"/>
  <c r="K63" i="1"/>
  <c r="M63" i="1"/>
  <c r="N63" i="1" s="1"/>
  <c r="Y63" i="1"/>
  <c r="Z63" i="1"/>
  <c r="AB63" i="1"/>
  <c r="AC63" i="1"/>
  <c r="AD63" i="1"/>
  <c r="AE63" i="1"/>
  <c r="AM63" i="1"/>
  <c r="K64" i="1"/>
  <c r="M64" i="1"/>
  <c r="N64" i="1" s="1"/>
  <c r="Y64" i="1"/>
  <c r="Z64" i="1"/>
  <c r="AB64" i="1"/>
  <c r="AC64" i="1"/>
  <c r="AD64" i="1"/>
  <c r="T64" i="1" s="1"/>
  <c r="AE64" i="1"/>
  <c r="AM64" i="1"/>
  <c r="K65" i="1"/>
  <c r="M65" i="1"/>
  <c r="N65" i="1"/>
  <c r="Y65" i="1"/>
  <c r="Z65" i="1"/>
  <c r="AB65" i="1"/>
  <c r="AC65" i="1"/>
  <c r="AD65" i="1"/>
  <c r="X65" i="1" s="1"/>
  <c r="AE65" i="1"/>
  <c r="AM65" i="1"/>
  <c r="K66" i="1"/>
  <c r="M66" i="1"/>
  <c r="N66" i="1"/>
  <c r="Y66" i="1"/>
  <c r="Z66" i="1"/>
  <c r="AB66" i="1"/>
  <c r="AC66" i="1"/>
  <c r="AD66" i="1"/>
  <c r="T66" i="1" s="1"/>
  <c r="AE66" i="1"/>
  <c r="AM66" i="1"/>
  <c r="K67" i="1"/>
  <c r="M67" i="1"/>
  <c r="N67" i="1" s="1"/>
  <c r="Y67" i="1"/>
  <c r="Z67" i="1"/>
  <c r="AB67" i="1"/>
  <c r="AC67" i="1"/>
  <c r="AD67" i="1"/>
  <c r="X67" i="1" s="1"/>
  <c r="AE67" i="1"/>
  <c r="AM67" i="1"/>
  <c r="K68" i="1"/>
  <c r="M68" i="1"/>
  <c r="N68" i="1" s="1"/>
  <c r="Y68" i="1"/>
  <c r="Z68" i="1"/>
  <c r="AA68" i="1" s="1"/>
  <c r="AB68" i="1"/>
  <c r="AC68" i="1"/>
  <c r="AD68" i="1"/>
  <c r="AE68" i="1"/>
  <c r="AM68" i="1"/>
  <c r="K69" i="1"/>
  <c r="M69" i="1"/>
  <c r="N69" i="1" s="1"/>
  <c r="Y69" i="1"/>
  <c r="Z69" i="1"/>
  <c r="AB69" i="1"/>
  <c r="AC69" i="1"/>
  <c r="AD69" i="1"/>
  <c r="X69" i="1" s="1"/>
  <c r="AE69" i="1"/>
  <c r="AM69" i="1"/>
  <c r="K70" i="1"/>
  <c r="M70" i="1"/>
  <c r="N70" i="1" s="1"/>
  <c r="Y70" i="1"/>
  <c r="Z70" i="1"/>
  <c r="AB70" i="1"/>
  <c r="AC70" i="1"/>
  <c r="AD70" i="1"/>
  <c r="T70" i="1" s="1"/>
  <c r="AE70" i="1"/>
  <c r="AM70" i="1"/>
  <c r="K71" i="1"/>
  <c r="M71" i="1"/>
  <c r="N71" i="1" s="1"/>
  <c r="Y71" i="1"/>
  <c r="Z71" i="1"/>
  <c r="AB71" i="1"/>
  <c r="AC71" i="1"/>
  <c r="AD71" i="1"/>
  <c r="X71" i="1" s="1"/>
  <c r="AE71" i="1"/>
  <c r="AM71" i="1"/>
  <c r="K72" i="1"/>
  <c r="M72" i="1"/>
  <c r="N72" i="1" s="1"/>
  <c r="Y72" i="1"/>
  <c r="AA72" i="1" s="1"/>
  <c r="Z72" i="1"/>
  <c r="AB72" i="1"/>
  <c r="AC72" i="1"/>
  <c r="AD72" i="1"/>
  <c r="T72" i="1" s="1"/>
  <c r="AE72" i="1"/>
  <c r="AM72" i="1"/>
  <c r="K73" i="1"/>
  <c r="M73" i="1"/>
  <c r="N73" i="1" s="1"/>
  <c r="Y73" i="1"/>
  <c r="Z73" i="1"/>
  <c r="AA73" i="1" s="1"/>
  <c r="AB73" i="1"/>
  <c r="AC73" i="1"/>
  <c r="AD73" i="1"/>
  <c r="T73" i="1" s="1"/>
  <c r="AE73" i="1"/>
  <c r="AM73" i="1"/>
  <c r="K74" i="1"/>
  <c r="M74" i="1"/>
  <c r="N74" i="1" s="1"/>
  <c r="X74" i="1"/>
  <c r="Y74" i="1"/>
  <c r="Z74" i="1"/>
  <c r="AB74" i="1"/>
  <c r="AC74" i="1"/>
  <c r="AD74" i="1"/>
  <c r="T74" i="1" s="1"/>
  <c r="AE74" i="1"/>
  <c r="AM74" i="1"/>
  <c r="K75" i="1"/>
  <c r="M75" i="1"/>
  <c r="N75" i="1"/>
  <c r="Y75" i="1"/>
  <c r="Z75" i="1"/>
  <c r="AB75" i="1"/>
  <c r="AC75" i="1"/>
  <c r="AD75" i="1"/>
  <c r="T75" i="1" s="1"/>
  <c r="AE75" i="1"/>
  <c r="AM75" i="1"/>
  <c r="K76" i="1"/>
  <c r="M76" i="1"/>
  <c r="N76" i="1"/>
  <c r="Y76" i="1"/>
  <c r="Z76" i="1"/>
  <c r="AB76" i="1"/>
  <c r="AC76" i="1"/>
  <c r="AD76" i="1"/>
  <c r="T76" i="1" s="1"/>
  <c r="AE76" i="1"/>
  <c r="AM76" i="1"/>
  <c r="K77" i="1"/>
  <c r="M77" i="1"/>
  <c r="N77" i="1" s="1"/>
  <c r="Y77" i="1"/>
  <c r="Z77" i="1"/>
  <c r="AB77" i="1"/>
  <c r="AC77" i="1"/>
  <c r="AD77" i="1"/>
  <c r="T77" i="1" s="1"/>
  <c r="AE77" i="1"/>
  <c r="AM77" i="1"/>
  <c r="K78" i="1"/>
  <c r="M78" i="1"/>
  <c r="N78" i="1" s="1"/>
  <c r="Y78" i="1"/>
  <c r="Z78" i="1"/>
  <c r="AB78" i="1"/>
  <c r="AC78" i="1"/>
  <c r="AD78" i="1"/>
  <c r="T78" i="1" s="1"/>
  <c r="AE78" i="1"/>
  <c r="AM78" i="1"/>
  <c r="K79" i="1"/>
  <c r="M79" i="1"/>
  <c r="N79" i="1" s="1"/>
  <c r="Y79" i="1"/>
  <c r="Z79" i="1"/>
  <c r="AB79" i="1"/>
  <c r="AC79" i="1"/>
  <c r="AD79" i="1"/>
  <c r="T79" i="1" s="1"/>
  <c r="AE79" i="1"/>
  <c r="AM79" i="1"/>
  <c r="K80" i="1"/>
  <c r="M80" i="1"/>
  <c r="N80" i="1" s="1"/>
  <c r="Y80" i="1"/>
  <c r="Z80" i="1"/>
  <c r="AB80" i="1"/>
  <c r="AC80" i="1"/>
  <c r="AD80" i="1"/>
  <c r="T80" i="1" s="1"/>
  <c r="AE80" i="1"/>
  <c r="R18" i="3" s="1"/>
  <c r="AM80" i="1"/>
  <c r="K81" i="1"/>
  <c r="M81" i="1"/>
  <c r="N81" i="1" s="1"/>
  <c r="Y81" i="1"/>
  <c r="Z81" i="1"/>
  <c r="AB81" i="1"/>
  <c r="AC81" i="1"/>
  <c r="AD81" i="1"/>
  <c r="AE81" i="1"/>
  <c r="AM81" i="1"/>
  <c r="K82" i="1"/>
  <c r="M82" i="1"/>
  <c r="N82" i="1" s="1"/>
  <c r="Y82" i="1"/>
  <c r="Z82" i="1"/>
  <c r="AB82" i="1"/>
  <c r="AC82" i="1"/>
  <c r="AD82" i="1"/>
  <c r="AE82" i="1"/>
  <c r="AM82" i="1"/>
  <c r="K83" i="1"/>
  <c r="M83" i="1"/>
  <c r="N83" i="1" s="1"/>
  <c r="Y83" i="1"/>
  <c r="Z83" i="1"/>
  <c r="AB83" i="1"/>
  <c r="AC83" i="1"/>
  <c r="AD83" i="1"/>
  <c r="AE83" i="1"/>
  <c r="AM83" i="1"/>
  <c r="K84" i="1"/>
  <c r="M84" i="1"/>
  <c r="N84" i="1" s="1"/>
  <c r="Y84" i="1"/>
  <c r="Z84" i="1"/>
  <c r="AB84" i="1"/>
  <c r="AC84" i="1"/>
  <c r="AD84" i="1"/>
  <c r="AE84" i="1"/>
  <c r="AM84" i="1"/>
  <c r="K85" i="1"/>
  <c r="M85" i="1"/>
  <c r="N85" i="1" s="1"/>
  <c r="Y85" i="1"/>
  <c r="Z85" i="1"/>
  <c r="AB85" i="1"/>
  <c r="AC85" i="1"/>
  <c r="AD85" i="1"/>
  <c r="AE85" i="1"/>
  <c r="AM85" i="1"/>
  <c r="K86" i="1"/>
  <c r="M86" i="1"/>
  <c r="N86" i="1" s="1"/>
  <c r="Y86" i="1"/>
  <c r="Z86" i="1"/>
  <c r="AB86" i="1"/>
  <c r="AC86" i="1"/>
  <c r="AD86" i="1"/>
  <c r="AE86" i="1"/>
  <c r="AM86" i="1"/>
  <c r="K87" i="1"/>
  <c r="M87" i="1"/>
  <c r="N87" i="1" s="1"/>
  <c r="Y87" i="1"/>
  <c r="Z87" i="1"/>
  <c r="AB87" i="1"/>
  <c r="AC87" i="1"/>
  <c r="AD87" i="1"/>
  <c r="AE87" i="1"/>
  <c r="AM87" i="1"/>
  <c r="K88" i="1"/>
  <c r="M88" i="1"/>
  <c r="N88" i="1" s="1"/>
  <c r="Y88" i="1"/>
  <c r="Z88" i="1"/>
  <c r="AB88" i="1"/>
  <c r="AC88" i="1"/>
  <c r="AD88" i="1"/>
  <c r="AE88" i="1"/>
  <c r="AM88" i="1"/>
  <c r="K89" i="1"/>
  <c r="M89" i="1"/>
  <c r="N89" i="1" s="1"/>
  <c r="Y89" i="1"/>
  <c r="Z89" i="1"/>
  <c r="AB89" i="1"/>
  <c r="AC89" i="1"/>
  <c r="AD89" i="1"/>
  <c r="AE89" i="1"/>
  <c r="AM89" i="1"/>
  <c r="K90" i="1"/>
  <c r="M90" i="1"/>
  <c r="N90" i="1" s="1"/>
  <c r="Y90" i="1"/>
  <c r="Z90" i="1"/>
  <c r="AB90" i="1"/>
  <c r="AC90" i="1"/>
  <c r="AD90" i="1"/>
  <c r="AE90" i="1"/>
  <c r="AM90" i="1"/>
  <c r="K91" i="1"/>
  <c r="M91" i="1"/>
  <c r="N91" i="1" s="1"/>
  <c r="Y91" i="1"/>
  <c r="Z91" i="1"/>
  <c r="AB91" i="1"/>
  <c r="AC91" i="1"/>
  <c r="AD91" i="1"/>
  <c r="AE91" i="1"/>
  <c r="AM91" i="1"/>
  <c r="K92" i="1"/>
  <c r="M92" i="1"/>
  <c r="N92" i="1" s="1"/>
  <c r="Y92" i="1"/>
  <c r="Z92" i="1"/>
  <c r="AB92" i="1"/>
  <c r="AC92" i="1"/>
  <c r="AD92" i="1"/>
  <c r="AE92" i="1"/>
  <c r="AM92" i="1"/>
  <c r="K93" i="1"/>
  <c r="M93" i="1"/>
  <c r="N93" i="1" s="1"/>
  <c r="Y93" i="1"/>
  <c r="Z93" i="1"/>
  <c r="AB93" i="1"/>
  <c r="AC93" i="1"/>
  <c r="AD93" i="1"/>
  <c r="AE93" i="1"/>
  <c r="AM93" i="1"/>
  <c r="K94" i="1"/>
  <c r="M94" i="1"/>
  <c r="N94" i="1" s="1"/>
  <c r="Y94" i="1"/>
  <c r="Z94" i="1"/>
  <c r="AB94" i="1"/>
  <c r="AC94" i="1"/>
  <c r="AD94" i="1"/>
  <c r="AE94" i="1"/>
  <c r="AM94" i="1"/>
  <c r="K95" i="1"/>
  <c r="M95" i="1"/>
  <c r="N95" i="1" s="1"/>
  <c r="Y95" i="1"/>
  <c r="Z95" i="1"/>
  <c r="AB95" i="1"/>
  <c r="AC95" i="1"/>
  <c r="AD95" i="1"/>
  <c r="AE95" i="1"/>
  <c r="AM95" i="1"/>
  <c r="K96" i="1"/>
  <c r="M96" i="1"/>
  <c r="N96" i="1" s="1"/>
  <c r="Y96" i="1"/>
  <c r="Z96" i="1"/>
  <c r="AB96" i="1"/>
  <c r="AC96" i="1"/>
  <c r="AD96" i="1"/>
  <c r="AE96" i="1"/>
  <c r="AM96" i="1"/>
  <c r="K97" i="1"/>
  <c r="M97" i="1"/>
  <c r="N97" i="1" s="1"/>
  <c r="Y97" i="1"/>
  <c r="Z97" i="1"/>
  <c r="AB97" i="1"/>
  <c r="AC97" i="1"/>
  <c r="AD97" i="1"/>
  <c r="AE97" i="1"/>
  <c r="AM97" i="1"/>
  <c r="K98" i="1"/>
  <c r="M98" i="1"/>
  <c r="N98" i="1" s="1"/>
  <c r="Y98" i="1"/>
  <c r="Z98" i="1"/>
  <c r="AB98" i="1"/>
  <c r="AC98" i="1"/>
  <c r="AD98" i="1"/>
  <c r="AE98" i="1"/>
  <c r="AM98" i="1"/>
  <c r="K99" i="1"/>
  <c r="M99" i="1"/>
  <c r="N99" i="1" s="1"/>
  <c r="Y99" i="1"/>
  <c r="Z99" i="1"/>
  <c r="AB99" i="1"/>
  <c r="AC99" i="1"/>
  <c r="AD99" i="1"/>
  <c r="AE99" i="1"/>
  <c r="AM99" i="1"/>
  <c r="K100" i="1"/>
  <c r="M100" i="1"/>
  <c r="N100" i="1" s="1"/>
  <c r="Y100" i="1"/>
  <c r="Z100" i="1"/>
  <c r="AB100" i="1"/>
  <c r="AC100" i="1"/>
  <c r="AD100" i="1"/>
  <c r="AE100" i="1"/>
  <c r="AM100" i="1"/>
  <c r="K101" i="1"/>
  <c r="M101" i="1"/>
  <c r="N101" i="1" s="1"/>
  <c r="Y101" i="1"/>
  <c r="Z101" i="1"/>
  <c r="AA101" i="1" s="1"/>
  <c r="AB101" i="1"/>
  <c r="AC101" i="1"/>
  <c r="AD101" i="1"/>
  <c r="X101" i="1" s="1"/>
  <c r="AE101" i="1"/>
  <c r="AM101" i="1"/>
  <c r="K102" i="1"/>
  <c r="M102" i="1"/>
  <c r="N102" i="1" s="1"/>
  <c r="X102" i="1"/>
  <c r="Y102" i="1"/>
  <c r="Z102" i="1"/>
  <c r="AB102" i="1"/>
  <c r="AC102" i="1"/>
  <c r="AD102" i="1"/>
  <c r="T102" i="1" s="1"/>
  <c r="AE102" i="1"/>
  <c r="AM102" i="1"/>
  <c r="K103" i="1"/>
  <c r="M103" i="1"/>
  <c r="N103" i="1" s="1"/>
  <c r="Y103" i="1"/>
  <c r="Z103" i="1"/>
  <c r="AB103" i="1"/>
  <c r="AC103" i="1"/>
  <c r="AD103" i="1"/>
  <c r="AE103" i="1"/>
  <c r="AM103" i="1"/>
  <c r="K104" i="1"/>
  <c r="M104" i="1"/>
  <c r="N104" i="1" s="1"/>
  <c r="Y104" i="1"/>
  <c r="Z104" i="1"/>
  <c r="AB104" i="1"/>
  <c r="AC104" i="1"/>
  <c r="AD104" i="1"/>
  <c r="T104" i="1" s="1"/>
  <c r="AE104" i="1"/>
  <c r="AM104" i="1"/>
  <c r="K105" i="1"/>
  <c r="M105" i="1"/>
  <c r="N105" i="1" s="1"/>
  <c r="Y105" i="1"/>
  <c r="Z105" i="1"/>
  <c r="AB105" i="1"/>
  <c r="AC105" i="1"/>
  <c r="AD105" i="1"/>
  <c r="T105" i="1" s="1"/>
  <c r="AE105" i="1"/>
  <c r="AM105" i="1"/>
  <c r="K106" i="1"/>
  <c r="M106" i="1"/>
  <c r="N106" i="1" s="1"/>
  <c r="Y106" i="1"/>
  <c r="AA106" i="1" s="1"/>
  <c r="Z106" i="1"/>
  <c r="AB106" i="1"/>
  <c r="AC106" i="1"/>
  <c r="AD106" i="1"/>
  <c r="T106" i="1" s="1"/>
  <c r="AE106" i="1"/>
  <c r="AM106" i="1"/>
  <c r="K107" i="1"/>
  <c r="M107" i="1"/>
  <c r="N107" i="1"/>
  <c r="Y107" i="1"/>
  <c r="Z107" i="1"/>
  <c r="AB107" i="1"/>
  <c r="AC107" i="1"/>
  <c r="AD107" i="1"/>
  <c r="X107" i="1" s="1"/>
  <c r="AE107" i="1"/>
  <c r="AM107" i="1"/>
  <c r="K108" i="1"/>
  <c r="M108" i="1"/>
  <c r="N108" i="1"/>
  <c r="Y108" i="1"/>
  <c r="AA108" i="1" s="1"/>
  <c r="Z108" i="1"/>
  <c r="AB108" i="1"/>
  <c r="AC108" i="1"/>
  <c r="AD108" i="1"/>
  <c r="AE108" i="1"/>
  <c r="AM108" i="1"/>
  <c r="K111" i="1"/>
  <c r="M111" i="1"/>
  <c r="N111" i="1" s="1"/>
  <c r="Y111" i="1"/>
  <c r="Z111" i="1"/>
  <c r="AB111" i="1"/>
  <c r="AC111" i="1"/>
  <c r="AD111" i="1"/>
  <c r="AE111" i="1"/>
  <c r="AM111" i="1"/>
  <c r="K112" i="1"/>
  <c r="M112" i="1"/>
  <c r="N112" i="1" s="1"/>
  <c r="Y112" i="1"/>
  <c r="Z112" i="1"/>
  <c r="AB112" i="1"/>
  <c r="AC112" i="1"/>
  <c r="AD112" i="1"/>
  <c r="AE112" i="1"/>
  <c r="R26" i="3" s="1"/>
  <c r="AM112" i="1"/>
  <c r="K113" i="1"/>
  <c r="M113" i="1"/>
  <c r="N113" i="1"/>
  <c r="Y113" i="1"/>
  <c r="Z113" i="1"/>
  <c r="AB113" i="1"/>
  <c r="AC113" i="1"/>
  <c r="AD113" i="1"/>
  <c r="T113" i="1" s="1"/>
  <c r="AE113" i="1"/>
  <c r="AM113" i="1"/>
  <c r="K114" i="1"/>
  <c r="M114" i="1"/>
  <c r="N114" i="1"/>
  <c r="Y114" i="1"/>
  <c r="Z114" i="1"/>
  <c r="AB114" i="1"/>
  <c r="AC114" i="1"/>
  <c r="AD114" i="1"/>
  <c r="T114" i="1" s="1"/>
  <c r="AE114" i="1"/>
  <c r="AM114" i="1"/>
  <c r="K115" i="1"/>
  <c r="M115" i="1"/>
  <c r="N115" i="1" s="1"/>
  <c r="Y115" i="1"/>
  <c r="Z115" i="1"/>
  <c r="AA115" i="1" s="1"/>
  <c r="AB115" i="1"/>
  <c r="AC115" i="1"/>
  <c r="AD115" i="1"/>
  <c r="T115" i="1" s="1"/>
  <c r="AE115" i="1"/>
  <c r="AM115" i="1"/>
  <c r="K116" i="1"/>
  <c r="M116" i="1"/>
  <c r="N116" i="1" s="1"/>
  <c r="Y116" i="1"/>
  <c r="Z116" i="1"/>
  <c r="AB116" i="1"/>
  <c r="AC116" i="1"/>
  <c r="AD116" i="1"/>
  <c r="T116" i="1" s="1"/>
  <c r="AE116" i="1"/>
  <c r="AM116" i="1"/>
  <c r="K117" i="1"/>
  <c r="M117" i="1"/>
  <c r="N117" i="1" s="1"/>
  <c r="Y117" i="1"/>
  <c r="Z117" i="1"/>
  <c r="AB117" i="1"/>
  <c r="AC117" i="1"/>
  <c r="AD117" i="1"/>
  <c r="AE117" i="1"/>
  <c r="R31" i="3" s="1"/>
  <c r="AM117" i="1"/>
  <c r="K118" i="1"/>
  <c r="M118" i="1"/>
  <c r="N118" i="1" s="1"/>
  <c r="Y118" i="1"/>
  <c r="Z118" i="1"/>
  <c r="AB118" i="1"/>
  <c r="AC118" i="1"/>
  <c r="AD118" i="1"/>
  <c r="T118" i="1" s="1"/>
  <c r="AE118" i="1"/>
  <c r="AM118" i="1"/>
  <c r="K119" i="1"/>
  <c r="M119" i="1"/>
  <c r="N119" i="1" s="1"/>
  <c r="Y119" i="1"/>
  <c r="Z119" i="1"/>
  <c r="AB119" i="1"/>
  <c r="AC119" i="1"/>
  <c r="AD119" i="1"/>
  <c r="T119" i="1" s="1"/>
  <c r="AE119" i="1"/>
  <c r="AM119" i="1"/>
  <c r="K120" i="1"/>
  <c r="M120" i="1"/>
  <c r="N120" i="1" s="1"/>
  <c r="Y120" i="1"/>
  <c r="Z120" i="1"/>
  <c r="AB120" i="1"/>
  <c r="AC120" i="1"/>
  <c r="AD120" i="1"/>
  <c r="T120" i="1" s="1"/>
  <c r="AE120" i="1"/>
  <c r="AM120" i="1"/>
  <c r="K121" i="1"/>
  <c r="M121" i="1"/>
  <c r="N121" i="1" s="1"/>
  <c r="Y121" i="1"/>
  <c r="Z121" i="1"/>
  <c r="AB121" i="1"/>
  <c r="AC121" i="1"/>
  <c r="AD121" i="1"/>
  <c r="T121" i="1" s="1"/>
  <c r="AE121" i="1"/>
  <c r="AM121" i="1"/>
  <c r="K122" i="1"/>
  <c r="M122" i="1"/>
  <c r="N122" i="1" s="1"/>
  <c r="Y122" i="1"/>
  <c r="Z122" i="1"/>
  <c r="AB122" i="1"/>
  <c r="AC122" i="1"/>
  <c r="AD122" i="1"/>
  <c r="T122" i="1" s="1"/>
  <c r="AE122" i="1"/>
  <c r="AM122" i="1"/>
  <c r="K123" i="1"/>
  <c r="M123" i="1"/>
  <c r="N123" i="1" s="1"/>
  <c r="Y123" i="1"/>
  <c r="Z123" i="1"/>
  <c r="AB123" i="1"/>
  <c r="AC123" i="1"/>
  <c r="AD123" i="1"/>
  <c r="T123" i="1" s="1"/>
  <c r="AE123" i="1"/>
  <c r="AM123" i="1"/>
  <c r="K124" i="1"/>
  <c r="M124" i="1"/>
  <c r="N124" i="1"/>
  <c r="Y124" i="1"/>
  <c r="AA124" i="1" s="1"/>
  <c r="Z124" i="1"/>
  <c r="AB124" i="1"/>
  <c r="AC124" i="1"/>
  <c r="AD124" i="1"/>
  <c r="T124" i="1" s="1"/>
  <c r="AE124" i="1"/>
  <c r="AM124" i="1"/>
  <c r="K125" i="1"/>
  <c r="M125" i="1"/>
  <c r="N125" i="1" s="1"/>
  <c r="Y125" i="1"/>
  <c r="Z125" i="1"/>
  <c r="AB125" i="1"/>
  <c r="AC125" i="1"/>
  <c r="AD125" i="1"/>
  <c r="T125" i="1" s="1"/>
  <c r="AE125" i="1"/>
  <c r="AM125" i="1"/>
  <c r="K126" i="1"/>
  <c r="M126" i="1"/>
  <c r="N126" i="1" s="1"/>
  <c r="Y126" i="1"/>
  <c r="Z126" i="1"/>
  <c r="AB126" i="1"/>
  <c r="AC126" i="1"/>
  <c r="AD126" i="1"/>
  <c r="T126" i="1" s="1"/>
  <c r="AE126" i="1"/>
  <c r="AM126" i="1"/>
  <c r="K127" i="1"/>
  <c r="M127" i="1"/>
  <c r="N127" i="1" s="1"/>
  <c r="Y127" i="1"/>
  <c r="Z127" i="1"/>
  <c r="AB127" i="1"/>
  <c r="AC127" i="1"/>
  <c r="AD127" i="1"/>
  <c r="T127" i="1" s="1"/>
  <c r="AE127" i="1"/>
  <c r="AM127" i="1"/>
  <c r="K128" i="1"/>
  <c r="M128" i="1"/>
  <c r="P128" i="1" s="1"/>
  <c r="Y128" i="1"/>
  <c r="Z128" i="1"/>
  <c r="AB128" i="1"/>
  <c r="AC128" i="1"/>
  <c r="AD128" i="1"/>
  <c r="T128" i="1" s="1"/>
  <c r="AE128" i="1"/>
  <c r="R22" i="3" s="1"/>
  <c r="AM128" i="1"/>
  <c r="K129" i="1"/>
  <c r="M129" i="1"/>
  <c r="Y129" i="1"/>
  <c r="Z129" i="1"/>
  <c r="AB129" i="1"/>
  <c r="AC129" i="1"/>
  <c r="AD129" i="1"/>
  <c r="AE129" i="1"/>
  <c r="AM129" i="1"/>
  <c r="K130" i="1"/>
  <c r="M130" i="1"/>
  <c r="N130" i="1" s="1"/>
  <c r="Y130" i="1"/>
  <c r="Z130" i="1"/>
  <c r="AB130" i="1"/>
  <c r="AC130" i="1"/>
  <c r="AD130" i="1"/>
  <c r="AE130" i="1"/>
  <c r="AM130" i="1"/>
  <c r="K131" i="1"/>
  <c r="M131" i="1"/>
  <c r="N131" i="1" s="1"/>
  <c r="Y131" i="1"/>
  <c r="Z131" i="1"/>
  <c r="AB131" i="1"/>
  <c r="AC131" i="1"/>
  <c r="AD131" i="1"/>
  <c r="AE131" i="1"/>
  <c r="AM131" i="1"/>
  <c r="K132" i="1"/>
  <c r="M132" i="1"/>
  <c r="N132" i="1"/>
  <c r="Y132" i="1"/>
  <c r="Z132" i="1"/>
  <c r="AB132" i="1"/>
  <c r="AC132" i="1"/>
  <c r="AD132" i="1"/>
  <c r="AE132" i="1"/>
  <c r="AM132" i="1"/>
  <c r="K133" i="1"/>
  <c r="M133" i="1"/>
  <c r="N133" i="1" s="1"/>
  <c r="Y133" i="1"/>
  <c r="Z133" i="1"/>
  <c r="AB133" i="1"/>
  <c r="AC133" i="1"/>
  <c r="AD133" i="1"/>
  <c r="AE133" i="1"/>
  <c r="AM133" i="1"/>
  <c r="K134" i="1"/>
  <c r="M134" i="1"/>
  <c r="N134" i="1" s="1"/>
  <c r="Y134" i="1"/>
  <c r="Z134" i="1"/>
  <c r="AB134" i="1"/>
  <c r="AC134" i="1"/>
  <c r="AD134" i="1"/>
  <c r="AE134" i="1"/>
  <c r="AM134" i="1"/>
  <c r="K135" i="1"/>
  <c r="M135" i="1"/>
  <c r="Z135" i="1"/>
  <c r="AA135" i="1" s="1"/>
  <c r="AB135" i="1"/>
  <c r="AC135" i="1"/>
  <c r="AD135" i="1"/>
  <c r="AE135" i="1"/>
  <c r="AM135" i="1"/>
  <c r="K136" i="1"/>
  <c r="M136" i="1"/>
  <c r="N136" i="1" s="1"/>
  <c r="Y136" i="1"/>
  <c r="Z136" i="1"/>
  <c r="AB136" i="1"/>
  <c r="AC136" i="1"/>
  <c r="AD136" i="1"/>
  <c r="AE136" i="1"/>
  <c r="AM136" i="1"/>
  <c r="K137" i="1"/>
  <c r="M137" i="1"/>
  <c r="N137" i="1" s="1"/>
  <c r="Y137" i="1"/>
  <c r="Z137" i="1"/>
  <c r="AB137" i="1"/>
  <c r="AC137" i="1"/>
  <c r="AD137" i="1"/>
  <c r="AE137" i="1"/>
  <c r="AM137" i="1"/>
  <c r="K138" i="1"/>
  <c r="M138" i="1"/>
  <c r="N138" i="1" s="1"/>
  <c r="Y138" i="1"/>
  <c r="Z138" i="1"/>
  <c r="AB138" i="1"/>
  <c r="AC138" i="1"/>
  <c r="AD138" i="1"/>
  <c r="AE138" i="1"/>
  <c r="AM138" i="1"/>
  <c r="K139" i="1"/>
  <c r="M139" i="1"/>
  <c r="N139" i="1" s="1"/>
  <c r="Y139" i="1"/>
  <c r="Z139" i="1"/>
  <c r="AB139" i="1"/>
  <c r="AC139" i="1"/>
  <c r="AD139" i="1"/>
  <c r="AE139" i="1"/>
  <c r="AM139" i="1"/>
  <c r="K140" i="1"/>
  <c r="M140" i="1"/>
  <c r="N140" i="1" s="1"/>
  <c r="Y140" i="1"/>
  <c r="Z140" i="1"/>
  <c r="AB140" i="1"/>
  <c r="AC140" i="1"/>
  <c r="AD140" i="1"/>
  <c r="AE140" i="1"/>
  <c r="AM140" i="1"/>
  <c r="K141" i="1"/>
  <c r="M141" i="1"/>
  <c r="N141" i="1" s="1"/>
  <c r="Y141" i="1"/>
  <c r="Z141" i="1"/>
  <c r="AB141" i="1"/>
  <c r="AC141" i="1"/>
  <c r="AD141" i="1"/>
  <c r="AE141" i="1"/>
  <c r="AM141" i="1"/>
  <c r="K142" i="1"/>
  <c r="M142" i="1"/>
  <c r="N142" i="1" s="1"/>
  <c r="Y142" i="1"/>
  <c r="Z142" i="1"/>
  <c r="AB142" i="1"/>
  <c r="AC142" i="1"/>
  <c r="AD142" i="1"/>
  <c r="AE142" i="1"/>
  <c r="AM142" i="1"/>
  <c r="K143" i="1"/>
  <c r="M143" i="1"/>
  <c r="N143" i="1" s="1"/>
  <c r="Y143" i="1"/>
  <c r="Z143" i="1"/>
  <c r="AB143" i="1"/>
  <c r="AC143" i="1"/>
  <c r="AD143" i="1"/>
  <c r="AE143" i="1"/>
  <c r="AM143" i="1"/>
  <c r="K144" i="1"/>
  <c r="M144" i="1"/>
  <c r="N144" i="1" s="1"/>
  <c r="Y144" i="1"/>
  <c r="Z144" i="1"/>
  <c r="AA144" i="1" s="1"/>
  <c r="AB144" i="1"/>
  <c r="AC144" i="1"/>
  <c r="AD144" i="1"/>
  <c r="AE144" i="1"/>
  <c r="AM144" i="1"/>
  <c r="K145" i="1"/>
  <c r="M145" i="1"/>
  <c r="N145" i="1" s="1"/>
  <c r="Y145" i="1"/>
  <c r="Z145" i="1"/>
  <c r="AB145" i="1"/>
  <c r="AC145" i="1"/>
  <c r="AD145" i="1"/>
  <c r="AE145" i="1"/>
  <c r="AM145" i="1"/>
  <c r="K146" i="1"/>
  <c r="M146" i="1"/>
  <c r="N146" i="1" s="1"/>
  <c r="Y146" i="1"/>
  <c r="Z146" i="1"/>
  <c r="AB146" i="1"/>
  <c r="AC146" i="1"/>
  <c r="AD146" i="1"/>
  <c r="AE146" i="1"/>
  <c r="AM146" i="1"/>
  <c r="K147" i="1"/>
  <c r="M147" i="1"/>
  <c r="N147" i="1" s="1"/>
  <c r="Y147" i="1"/>
  <c r="Z147" i="1"/>
  <c r="AA147" i="1" s="1"/>
  <c r="AB147" i="1"/>
  <c r="AC147" i="1"/>
  <c r="AD147" i="1"/>
  <c r="AE147" i="1"/>
  <c r="AM147" i="1"/>
  <c r="K148" i="1"/>
  <c r="M148" i="1"/>
  <c r="N148" i="1" s="1"/>
  <c r="Y148" i="1"/>
  <c r="Z148" i="1"/>
  <c r="AB148" i="1"/>
  <c r="AC148" i="1"/>
  <c r="AD148" i="1"/>
  <c r="AE148" i="1"/>
  <c r="AM148" i="1"/>
  <c r="K149" i="1"/>
  <c r="M149" i="1"/>
  <c r="N149" i="1" s="1"/>
  <c r="Y149" i="1"/>
  <c r="Z149" i="1"/>
  <c r="AB149" i="1"/>
  <c r="AC149" i="1"/>
  <c r="AD149" i="1"/>
  <c r="AE149" i="1"/>
  <c r="AM149" i="1"/>
  <c r="K150" i="1"/>
  <c r="M150" i="1"/>
  <c r="N150" i="1" s="1"/>
  <c r="Y150" i="1"/>
  <c r="Z150" i="1"/>
  <c r="AA150" i="1" s="1"/>
  <c r="AB150" i="1"/>
  <c r="AC150" i="1"/>
  <c r="AD150" i="1"/>
  <c r="X151" i="1" s="1"/>
  <c r="AE150" i="1"/>
  <c r="AM150" i="1"/>
  <c r="K153" i="1"/>
  <c r="M153" i="1"/>
  <c r="N153" i="1" s="1"/>
  <c r="Y153" i="1"/>
  <c r="Z153" i="1"/>
  <c r="AB153" i="1"/>
  <c r="AC153" i="1"/>
  <c r="AD153" i="1"/>
  <c r="X153" i="1" s="1"/>
  <c r="AE153" i="1"/>
  <c r="AM153" i="1"/>
  <c r="K154" i="1"/>
  <c r="M154" i="1"/>
  <c r="N154" i="1"/>
  <c r="Y154" i="1"/>
  <c r="Z154" i="1"/>
  <c r="AB154" i="1"/>
  <c r="AC154" i="1"/>
  <c r="AD154" i="1"/>
  <c r="AE154" i="1"/>
  <c r="AM154" i="1"/>
  <c r="K155" i="1"/>
  <c r="M155" i="1"/>
  <c r="N155" i="1" s="1"/>
  <c r="Y155" i="1"/>
  <c r="Z155" i="1"/>
  <c r="AB155" i="1"/>
  <c r="AC155" i="1"/>
  <c r="AD155" i="1"/>
  <c r="AE155" i="1"/>
  <c r="AM155" i="1"/>
  <c r="K156" i="1"/>
  <c r="M156" i="1"/>
  <c r="N156" i="1" s="1"/>
  <c r="Y156" i="1"/>
  <c r="Z156" i="1"/>
  <c r="AB156" i="1"/>
  <c r="AC156" i="1"/>
  <c r="AD156" i="1"/>
  <c r="AE156" i="1"/>
  <c r="AM156" i="1"/>
  <c r="K157" i="1"/>
  <c r="M157" i="1"/>
  <c r="N157" i="1" s="1"/>
  <c r="Y157" i="1"/>
  <c r="Z157" i="1"/>
  <c r="AA157" i="1" s="1"/>
  <c r="AB157" i="1"/>
  <c r="AC157" i="1"/>
  <c r="AD157" i="1"/>
  <c r="AE157" i="1"/>
  <c r="AM157" i="1"/>
  <c r="K158" i="1"/>
  <c r="M158" i="1"/>
  <c r="N158" i="1" s="1"/>
  <c r="Y158" i="1"/>
  <c r="Z158" i="1"/>
  <c r="AA158" i="1" s="1"/>
  <c r="AB158" i="1"/>
  <c r="AC158" i="1"/>
  <c r="AD158" i="1"/>
  <c r="AE158" i="1"/>
  <c r="R28" i="3" s="1"/>
  <c r="AM158" i="1"/>
  <c r="K209" i="1"/>
  <c r="M209" i="1"/>
  <c r="N209" i="1" s="1"/>
  <c r="Y209" i="1"/>
  <c r="Z209" i="1"/>
  <c r="AB209" i="1"/>
  <c r="AC209" i="1"/>
  <c r="AD209" i="1"/>
  <c r="AE209" i="1"/>
  <c r="AM159" i="1"/>
  <c r="K210" i="1"/>
  <c r="M210" i="1"/>
  <c r="N210" i="1" s="1"/>
  <c r="Y210" i="1"/>
  <c r="Z210" i="1"/>
  <c r="AB210" i="1"/>
  <c r="AC210" i="1"/>
  <c r="AD210" i="1"/>
  <c r="AE210" i="1"/>
  <c r="AM161" i="1"/>
  <c r="K211" i="1"/>
  <c r="M211" i="1"/>
  <c r="N211" i="1" s="1"/>
  <c r="Y211" i="1"/>
  <c r="Z211" i="1"/>
  <c r="AA211" i="1" s="1"/>
  <c r="AB211" i="1"/>
  <c r="AC211" i="1"/>
  <c r="AD211" i="1"/>
  <c r="AE211" i="1"/>
  <c r="AM162" i="1"/>
  <c r="K212" i="1"/>
  <c r="M212" i="1"/>
  <c r="N212" i="1" s="1"/>
  <c r="Y212" i="1"/>
  <c r="Z212" i="1"/>
  <c r="AA212" i="1" s="1"/>
  <c r="AB212" i="1"/>
  <c r="AC212" i="1"/>
  <c r="AD212" i="1"/>
  <c r="AE212" i="1"/>
  <c r="AM163" i="1"/>
  <c r="K213" i="1"/>
  <c r="M213" i="1"/>
  <c r="N213" i="1" s="1"/>
  <c r="Y213" i="1"/>
  <c r="Z213" i="1"/>
  <c r="AB213" i="1"/>
  <c r="AC213" i="1"/>
  <c r="AD213" i="1"/>
  <c r="AE213" i="1"/>
  <c r="AM165" i="1"/>
  <c r="K214" i="1"/>
  <c r="M214" i="1"/>
  <c r="N214" i="1" s="1"/>
  <c r="Y214" i="1"/>
  <c r="Z214" i="1"/>
  <c r="AB214" i="1"/>
  <c r="AC214" i="1"/>
  <c r="AD214" i="1"/>
  <c r="AE214" i="1"/>
  <c r="AM166" i="1"/>
  <c r="K215" i="1"/>
  <c r="M215" i="1"/>
  <c r="N215" i="1" s="1"/>
  <c r="Y215" i="1"/>
  <c r="Z215" i="1"/>
  <c r="AA215" i="1" s="1"/>
  <c r="AB215" i="1"/>
  <c r="AC215" i="1"/>
  <c r="AD215" i="1"/>
  <c r="AE215" i="1"/>
  <c r="AM167" i="1"/>
  <c r="K216" i="1"/>
  <c r="M216" i="1"/>
  <c r="N216" i="1" s="1"/>
  <c r="Y216" i="1"/>
  <c r="Z216" i="1"/>
  <c r="AA216" i="1" s="1"/>
  <c r="AB216" i="1"/>
  <c r="AC216" i="1"/>
  <c r="AD216" i="1"/>
  <c r="AE216" i="1"/>
  <c r="AM168" i="1"/>
  <c r="K217" i="1"/>
  <c r="M217" i="1"/>
  <c r="N217" i="1" s="1"/>
  <c r="Y217" i="1"/>
  <c r="Z217" i="1"/>
  <c r="AB217" i="1"/>
  <c r="AC217" i="1"/>
  <c r="AD217" i="1"/>
  <c r="AE217" i="1"/>
  <c r="AM169" i="1"/>
  <c r="K218" i="1"/>
  <c r="M218" i="1"/>
  <c r="N218" i="1" s="1"/>
  <c r="Y218" i="1"/>
  <c r="Z218" i="1"/>
  <c r="AB218" i="1"/>
  <c r="AC218" i="1"/>
  <c r="AD218" i="1"/>
  <c r="AE218" i="1"/>
  <c r="AM170" i="1"/>
  <c r="K219" i="1"/>
  <c r="M219" i="1"/>
  <c r="N219" i="1" s="1"/>
  <c r="Y219" i="1"/>
  <c r="Z219" i="1"/>
  <c r="AA219" i="1" s="1"/>
  <c r="AB219" i="1"/>
  <c r="AC219" i="1"/>
  <c r="AD219" i="1"/>
  <c r="AE219" i="1"/>
  <c r="AM171" i="1"/>
  <c r="K220" i="1"/>
  <c r="M220" i="1"/>
  <c r="N220" i="1" s="1"/>
  <c r="Y220" i="1"/>
  <c r="Z220" i="1"/>
  <c r="AA220" i="1" s="1"/>
  <c r="AB220" i="1"/>
  <c r="AC220" i="1"/>
  <c r="AD220" i="1"/>
  <c r="AE220" i="1"/>
  <c r="AM172" i="1"/>
  <c r="K228" i="1"/>
  <c r="M228" i="1"/>
  <c r="N228" i="1" s="1"/>
  <c r="Y228" i="1"/>
  <c r="Z228" i="1"/>
  <c r="AB228" i="1"/>
  <c r="AC228" i="1"/>
  <c r="AD228" i="1"/>
  <c r="AE228" i="1"/>
  <c r="AM173" i="1"/>
  <c r="K229" i="1"/>
  <c r="M229" i="1"/>
  <c r="N229" i="1" s="1"/>
  <c r="Y229" i="1"/>
  <c r="Z229" i="1"/>
  <c r="AB229" i="1"/>
  <c r="AC229" i="1"/>
  <c r="AD229" i="1"/>
  <c r="AE229" i="1"/>
  <c r="AM174" i="1"/>
  <c r="K230" i="1"/>
  <c r="M230" i="1"/>
  <c r="N230" i="1" s="1"/>
  <c r="Y230" i="1"/>
  <c r="Z230" i="1"/>
  <c r="AA230" i="1" s="1"/>
  <c r="AB230" i="1"/>
  <c r="AC230" i="1"/>
  <c r="AD230" i="1"/>
  <c r="AE230" i="1"/>
  <c r="AM175" i="1"/>
  <c r="K231" i="1"/>
  <c r="M231" i="1"/>
  <c r="N231" i="1" s="1"/>
  <c r="Y231" i="1"/>
  <c r="Z231" i="1"/>
  <c r="AA231" i="1" s="1"/>
  <c r="AB231" i="1"/>
  <c r="AC231" i="1"/>
  <c r="AD231" i="1"/>
  <c r="AE231" i="1"/>
  <c r="AM176" i="1"/>
  <c r="K232" i="1"/>
  <c r="M232" i="1"/>
  <c r="N232" i="1" s="1"/>
  <c r="Y232" i="1"/>
  <c r="Z232" i="1"/>
  <c r="AB232" i="1"/>
  <c r="AC232" i="1"/>
  <c r="AD232" i="1"/>
  <c r="AE232" i="1"/>
  <c r="AM177" i="1"/>
  <c r="K233" i="1"/>
  <c r="M233" i="1"/>
  <c r="N233" i="1" s="1"/>
  <c r="Y233" i="1"/>
  <c r="Z233" i="1"/>
  <c r="AB233" i="1"/>
  <c r="AC233" i="1"/>
  <c r="AD233" i="1"/>
  <c r="AE233" i="1"/>
  <c r="AM178" i="1"/>
  <c r="K234" i="1"/>
  <c r="M234" i="1"/>
  <c r="N234" i="1" s="1"/>
  <c r="Y234" i="1"/>
  <c r="Z234" i="1"/>
  <c r="AA234" i="1" s="1"/>
  <c r="AB234" i="1"/>
  <c r="AC234" i="1"/>
  <c r="AD234" i="1"/>
  <c r="AE234" i="1"/>
  <c r="AM179" i="1"/>
  <c r="K235" i="1"/>
  <c r="M235" i="1"/>
  <c r="N235" i="1" s="1"/>
  <c r="Y235" i="1"/>
  <c r="Z235" i="1"/>
  <c r="AA235" i="1" s="1"/>
  <c r="AB235" i="1"/>
  <c r="AC235" i="1"/>
  <c r="AD235" i="1"/>
  <c r="AE235" i="1"/>
  <c r="AM180" i="1"/>
  <c r="K236" i="1"/>
  <c r="M236" i="1"/>
  <c r="N236" i="1" s="1"/>
  <c r="Y236" i="1"/>
  <c r="Z236" i="1"/>
  <c r="AB236" i="1"/>
  <c r="AC236" i="1"/>
  <c r="AD236" i="1"/>
  <c r="AE236" i="1"/>
  <c r="AM181" i="1"/>
  <c r="K237" i="1"/>
  <c r="M237" i="1"/>
  <c r="N237" i="1" s="1"/>
  <c r="Y237" i="1"/>
  <c r="Z237" i="1"/>
  <c r="AB237" i="1"/>
  <c r="AC237" i="1"/>
  <c r="AD237" i="1"/>
  <c r="AE237" i="1"/>
  <c r="AM182" i="1"/>
  <c r="K238" i="1"/>
  <c r="M238" i="1"/>
  <c r="N238" i="1" s="1"/>
  <c r="Y238" i="1"/>
  <c r="Z238" i="1"/>
  <c r="AA238" i="1" s="1"/>
  <c r="AB238" i="1"/>
  <c r="AC238" i="1"/>
  <c r="AD238" i="1"/>
  <c r="AE238" i="1"/>
  <c r="AM183" i="1"/>
  <c r="K239" i="1"/>
  <c r="M239" i="1"/>
  <c r="N239" i="1" s="1"/>
  <c r="Y239" i="1"/>
  <c r="Z239" i="1"/>
  <c r="AA239" i="1" s="1"/>
  <c r="AB239" i="1"/>
  <c r="AC239" i="1"/>
  <c r="AD239" i="1"/>
  <c r="AE239" i="1"/>
  <c r="AM184" i="1"/>
  <c r="K240" i="1"/>
  <c r="M240" i="1"/>
  <c r="N240" i="1" s="1"/>
  <c r="Y240" i="1"/>
  <c r="Z240" i="1"/>
  <c r="AB240" i="1"/>
  <c r="AC240" i="1"/>
  <c r="AD240" i="1"/>
  <c r="AE240" i="1"/>
  <c r="AM185" i="1"/>
  <c r="K241" i="1"/>
  <c r="M241" i="1"/>
  <c r="N241" i="1" s="1"/>
  <c r="T241" i="1"/>
  <c r="X241" i="1"/>
  <c r="Y241" i="1"/>
  <c r="Z241" i="1"/>
  <c r="AA241" i="1" s="1"/>
  <c r="AB241" i="1"/>
  <c r="AC241" i="1"/>
  <c r="AD241" i="1"/>
  <c r="AE241" i="1"/>
  <c r="AM186" i="1"/>
  <c r="K242" i="1"/>
  <c r="M242" i="1"/>
  <c r="N242" i="1" s="1"/>
  <c r="T242" i="1"/>
  <c r="Y242" i="1"/>
  <c r="Z242" i="1"/>
  <c r="AA242" i="1" s="1"/>
  <c r="AB242" i="1"/>
  <c r="AC242" i="1"/>
  <c r="AD242" i="1"/>
  <c r="X242" i="1" s="1"/>
  <c r="AE242" i="1"/>
  <c r="AM187" i="1"/>
  <c r="K243" i="1"/>
  <c r="M243" i="1"/>
  <c r="N243" i="1" s="1"/>
  <c r="Y243" i="1"/>
  <c r="Z243" i="1"/>
  <c r="AB243" i="1"/>
  <c r="AC243" i="1"/>
  <c r="AD243" i="1"/>
  <c r="AE243" i="1"/>
  <c r="AM188" i="1"/>
  <c r="K221" i="1"/>
  <c r="M221" i="1"/>
  <c r="N221" i="1" s="1"/>
  <c r="X221" i="1"/>
  <c r="Y221" i="1"/>
  <c r="Z221" i="1"/>
  <c r="AB221" i="1"/>
  <c r="AC221" i="1"/>
  <c r="AD221" i="1"/>
  <c r="T221" i="1" s="1"/>
  <c r="AE221" i="1"/>
  <c r="AM189" i="1"/>
  <c r="K244" i="1"/>
  <c r="M244" i="1"/>
  <c r="N244" i="1" s="1"/>
  <c r="T244" i="1"/>
  <c r="Y244" i="1"/>
  <c r="Z244" i="1"/>
  <c r="AB244" i="1"/>
  <c r="AC244" i="1"/>
  <c r="AD244" i="1"/>
  <c r="AE244" i="1"/>
  <c r="AM190" i="1"/>
  <c r="K159" i="1"/>
  <c r="M159" i="1"/>
  <c r="N159" i="1" s="1"/>
  <c r="T159" i="1"/>
  <c r="Y159" i="1"/>
  <c r="Z159" i="1"/>
  <c r="AB159" i="1"/>
  <c r="AC159" i="1"/>
  <c r="AD159" i="1"/>
  <c r="AE159" i="1"/>
  <c r="AM191" i="1"/>
  <c r="K161" i="1"/>
  <c r="M161" i="1"/>
  <c r="N161" i="1" s="1"/>
  <c r="Y161" i="1"/>
  <c r="Z161" i="1"/>
  <c r="AB161" i="1"/>
  <c r="AC161" i="1"/>
  <c r="AD161" i="1"/>
  <c r="X161" i="1" s="1"/>
  <c r="AE161" i="1"/>
  <c r="R37" i="3" s="1"/>
  <c r="AM192" i="1"/>
  <c r="K162" i="1"/>
  <c r="M162" i="1"/>
  <c r="N162" i="1" s="1"/>
  <c r="Y162" i="1"/>
  <c r="Z162" i="1"/>
  <c r="AB162" i="1"/>
  <c r="AC162" i="1"/>
  <c r="AD162" i="1"/>
  <c r="T162" i="1" s="1"/>
  <c r="AE162" i="1"/>
  <c r="AM193" i="1"/>
  <c r="K163" i="1"/>
  <c r="M163" i="1"/>
  <c r="N163" i="1" s="1"/>
  <c r="Y163" i="1"/>
  <c r="Z163" i="1"/>
  <c r="AB163" i="1"/>
  <c r="AC163" i="1"/>
  <c r="AD163" i="1"/>
  <c r="AE163" i="1"/>
  <c r="AM194" i="1"/>
  <c r="K165" i="1"/>
  <c r="M165" i="1"/>
  <c r="N165" i="1" s="1"/>
  <c r="T165" i="1"/>
  <c r="Y165" i="1"/>
  <c r="Z165" i="1"/>
  <c r="AB165" i="1"/>
  <c r="AC165" i="1"/>
  <c r="AD165" i="1"/>
  <c r="X165" i="1" s="1"/>
  <c r="AE165" i="1"/>
  <c r="AM195" i="1"/>
  <c r="K166" i="1"/>
  <c r="M166" i="1"/>
  <c r="N166" i="1" s="1"/>
  <c r="T166" i="1"/>
  <c r="Y166" i="1"/>
  <c r="Z166" i="1"/>
  <c r="AB166" i="1"/>
  <c r="AC166" i="1"/>
  <c r="AD166" i="1"/>
  <c r="AE166" i="1"/>
  <c r="AM196" i="1"/>
  <c r="K167" i="1"/>
  <c r="M167" i="1"/>
  <c r="N167" i="1" s="1"/>
  <c r="T167" i="1"/>
  <c r="Y167" i="1"/>
  <c r="Z167" i="1"/>
  <c r="AA167" i="1" s="1"/>
  <c r="AB167" i="1"/>
  <c r="AC167" i="1"/>
  <c r="AD167" i="1"/>
  <c r="AE167" i="1"/>
  <c r="AM197" i="1"/>
  <c r="K168" i="1"/>
  <c r="M168" i="1"/>
  <c r="N168" i="1" s="1"/>
  <c r="Y168" i="1"/>
  <c r="Z168" i="1"/>
  <c r="AB168" i="1"/>
  <c r="AC168" i="1"/>
  <c r="AD168" i="1"/>
  <c r="AE168" i="1"/>
  <c r="AM198" i="1"/>
  <c r="K245" i="1"/>
  <c r="M245" i="1"/>
  <c r="N245" i="1" s="1"/>
  <c r="Y245" i="1"/>
  <c r="Z245" i="1"/>
  <c r="AA245" i="1" s="1"/>
  <c r="AB245" i="1"/>
  <c r="AC245" i="1"/>
  <c r="AD245" i="1"/>
  <c r="T245" i="1" s="1"/>
  <c r="AE245" i="1"/>
  <c r="AM199" i="1"/>
  <c r="K169" i="1"/>
  <c r="M169" i="1"/>
  <c r="N169" i="1" s="1"/>
  <c r="Y169" i="1"/>
  <c r="Z169" i="1"/>
  <c r="AA169" i="1" s="1"/>
  <c r="AB169" i="1"/>
  <c r="AC169" i="1"/>
  <c r="AD169" i="1"/>
  <c r="AE169" i="1"/>
  <c r="AM200" i="1"/>
  <c r="K170" i="1"/>
  <c r="M170" i="1"/>
  <c r="N170" i="1" s="1"/>
  <c r="Y170" i="1"/>
  <c r="Z170" i="1"/>
  <c r="AB170" i="1"/>
  <c r="AC170" i="1"/>
  <c r="AD170" i="1"/>
  <c r="AE170" i="1"/>
  <c r="R33" i="3" s="1"/>
  <c r="AM201" i="1"/>
  <c r="K171" i="1"/>
  <c r="M171" i="1"/>
  <c r="N171" i="1" s="1"/>
  <c r="Y171" i="1"/>
  <c r="Z171" i="1"/>
  <c r="AB171" i="1"/>
  <c r="AC171" i="1"/>
  <c r="AD171" i="1"/>
  <c r="T171" i="1" s="1"/>
  <c r="AE171" i="1"/>
  <c r="AM202" i="1"/>
  <c r="K172" i="1"/>
  <c r="M172" i="1"/>
  <c r="N172" i="1" s="1"/>
  <c r="Y172" i="1"/>
  <c r="Z172" i="1"/>
  <c r="AA172" i="1" s="1"/>
  <c r="AB172" i="1"/>
  <c r="AC172" i="1"/>
  <c r="AD172" i="1"/>
  <c r="AE172" i="1"/>
  <c r="AM203" i="1"/>
  <c r="K173" i="1"/>
  <c r="M173" i="1"/>
  <c r="N173" i="1" s="1"/>
  <c r="Y173" i="1"/>
  <c r="Z173" i="1"/>
  <c r="AB173" i="1"/>
  <c r="AC173" i="1"/>
  <c r="AD173" i="1"/>
  <c r="AE173" i="1"/>
  <c r="AM204" i="1"/>
  <c r="K174" i="1"/>
  <c r="M174" i="1"/>
  <c r="N174" i="1"/>
  <c r="Y174" i="1"/>
  <c r="Z174" i="1"/>
  <c r="AB174" i="1"/>
  <c r="AC174" i="1"/>
  <c r="AD174" i="1"/>
  <c r="AE174" i="1"/>
  <c r="R40" i="3" s="1"/>
  <c r="AM205" i="1"/>
  <c r="K175" i="1"/>
  <c r="M175" i="1"/>
  <c r="N175" i="1"/>
  <c r="Y175" i="1"/>
  <c r="AA175" i="1" s="1"/>
  <c r="Z175" i="1"/>
  <c r="AB175" i="1"/>
  <c r="AC175" i="1"/>
  <c r="AD175" i="1"/>
  <c r="AE175" i="1"/>
  <c r="AM206" i="1"/>
  <c r="K176" i="1"/>
  <c r="M176" i="1"/>
  <c r="N176" i="1" s="1"/>
  <c r="T176" i="1"/>
  <c r="Y176" i="1"/>
  <c r="AA176" i="1" s="1"/>
  <c r="Z176" i="1"/>
  <c r="AB176" i="1"/>
  <c r="AC176" i="1"/>
  <c r="AD176" i="1"/>
  <c r="AE176" i="1"/>
  <c r="AM207" i="1"/>
  <c r="K177" i="1"/>
  <c r="M177" i="1"/>
  <c r="N177" i="1" s="1"/>
  <c r="Y177" i="1"/>
  <c r="Z177" i="1"/>
  <c r="AB177" i="1"/>
  <c r="AC177" i="1"/>
  <c r="AD177" i="1"/>
  <c r="T177" i="1" s="1"/>
  <c r="AE177" i="1"/>
  <c r="AM208" i="1"/>
  <c r="K178" i="1"/>
  <c r="M178" i="1"/>
  <c r="N178" i="1" s="1"/>
  <c r="Y178" i="1"/>
  <c r="Z178" i="1"/>
  <c r="AB178" i="1"/>
  <c r="AC178" i="1"/>
  <c r="AD178" i="1"/>
  <c r="T178" i="1" s="1"/>
  <c r="AE178" i="1"/>
  <c r="AM209" i="1"/>
  <c r="K179" i="1"/>
  <c r="M179" i="1"/>
  <c r="N179" i="1" s="1"/>
  <c r="Y179" i="1"/>
  <c r="Z179" i="1"/>
  <c r="AB179" i="1"/>
  <c r="AC179" i="1"/>
  <c r="AD179" i="1"/>
  <c r="T179" i="1" s="1"/>
  <c r="AE179" i="1"/>
  <c r="AM210" i="1"/>
  <c r="K180" i="1"/>
  <c r="M180" i="1"/>
  <c r="N180" i="1" s="1"/>
  <c r="Y180" i="1"/>
  <c r="Z180" i="1"/>
  <c r="AB180" i="1"/>
  <c r="AC180" i="1"/>
  <c r="AD180" i="1"/>
  <c r="T180" i="1" s="1"/>
  <c r="AE180" i="1"/>
  <c r="AM211" i="1"/>
  <c r="K181" i="1"/>
  <c r="M181" i="1"/>
  <c r="N181" i="1" s="1"/>
  <c r="Y181" i="1"/>
  <c r="Z181" i="1"/>
  <c r="AB181" i="1"/>
  <c r="AC181" i="1"/>
  <c r="AD181" i="1"/>
  <c r="T181" i="1" s="1"/>
  <c r="AE181" i="1"/>
  <c r="R34" i="3" s="1"/>
  <c r="AM212" i="1"/>
  <c r="K182" i="1"/>
  <c r="M182" i="1"/>
  <c r="N182" i="1" s="1"/>
  <c r="Y182" i="1"/>
  <c r="Z182" i="1"/>
  <c r="AB182" i="1"/>
  <c r="AC182" i="1"/>
  <c r="AD182" i="1"/>
  <c r="T182" i="1" s="1"/>
  <c r="AE182" i="1"/>
  <c r="AM213" i="1"/>
  <c r="K183" i="1"/>
  <c r="M183" i="1"/>
  <c r="Y183" i="1"/>
  <c r="Z183" i="1"/>
  <c r="AB183" i="1"/>
  <c r="AC183" i="1"/>
  <c r="AD183" i="1"/>
  <c r="T183" i="1" s="1"/>
  <c r="AE183" i="1"/>
  <c r="AM214" i="1"/>
  <c r="K184" i="1"/>
  <c r="M184" i="1"/>
  <c r="N184" i="1" s="1"/>
  <c r="Y184" i="1"/>
  <c r="Z184" i="1"/>
  <c r="AB184" i="1"/>
  <c r="AC184" i="1"/>
  <c r="AD184" i="1"/>
  <c r="T184" i="1" s="1"/>
  <c r="AE184" i="1"/>
  <c r="AM215" i="1"/>
  <c r="K185" i="1"/>
  <c r="M185" i="1"/>
  <c r="N185" i="1" s="1"/>
  <c r="Y185" i="1"/>
  <c r="Z185" i="1"/>
  <c r="AB185" i="1"/>
  <c r="AC185" i="1"/>
  <c r="AD185" i="1"/>
  <c r="T185" i="1" s="1"/>
  <c r="AE185" i="1"/>
  <c r="AM216" i="1"/>
  <c r="K186" i="1"/>
  <c r="M186" i="1"/>
  <c r="N186" i="1" s="1"/>
  <c r="Y186" i="1"/>
  <c r="Z186" i="1"/>
  <c r="AB186" i="1"/>
  <c r="AC186" i="1"/>
  <c r="AD186" i="1"/>
  <c r="T186" i="1" s="1"/>
  <c r="AE186" i="1"/>
  <c r="AM217" i="1"/>
  <c r="K187" i="1"/>
  <c r="M187" i="1"/>
  <c r="N187" i="1" s="1"/>
  <c r="Y187" i="1"/>
  <c r="Z187" i="1"/>
  <c r="AB187" i="1"/>
  <c r="AC187" i="1"/>
  <c r="AD187" i="1"/>
  <c r="T187" i="1" s="1"/>
  <c r="AE187" i="1"/>
  <c r="AM218" i="1"/>
  <c r="K188" i="1"/>
  <c r="M188" i="1"/>
  <c r="N188" i="1" s="1"/>
  <c r="Y188" i="1"/>
  <c r="Z188" i="1"/>
  <c r="AB188" i="1"/>
  <c r="AC188" i="1"/>
  <c r="AD188" i="1"/>
  <c r="T188" i="1" s="1"/>
  <c r="AE188" i="1"/>
  <c r="AM219" i="1"/>
  <c r="K189" i="1"/>
  <c r="M189" i="1"/>
  <c r="N189" i="1" s="1"/>
  <c r="Y189" i="1"/>
  <c r="Z189" i="1"/>
  <c r="AB189" i="1"/>
  <c r="AC189" i="1"/>
  <c r="AD189" i="1"/>
  <c r="T189" i="1" s="1"/>
  <c r="AE189" i="1"/>
  <c r="AM220" i="1"/>
  <c r="K190" i="1"/>
  <c r="M190" i="1"/>
  <c r="N190" i="1" s="1"/>
  <c r="Y190" i="1"/>
  <c r="Z190" i="1"/>
  <c r="AB190" i="1"/>
  <c r="AC190" i="1"/>
  <c r="AD190" i="1"/>
  <c r="T190" i="1" s="1"/>
  <c r="AE190" i="1"/>
  <c r="R35" i="3" s="1"/>
  <c r="AM221" i="1"/>
  <c r="K191" i="1"/>
  <c r="M191" i="1"/>
  <c r="N191" i="1" s="1"/>
  <c r="Y191" i="1"/>
  <c r="Z191" i="1"/>
  <c r="AB191" i="1"/>
  <c r="AC191" i="1"/>
  <c r="AD191" i="1"/>
  <c r="T191" i="1" s="1"/>
  <c r="AE191" i="1"/>
  <c r="AM222" i="1"/>
  <c r="K192" i="1"/>
  <c r="M192" i="1"/>
  <c r="N192" i="1" s="1"/>
  <c r="Y192" i="1"/>
  <c r="Z192" i="1"/>
  <c r="AB192" i="1"/>
  <c r="AC192" i="1"/>
  <c r="AD192" i="1"/>
  <c r="T192" i="1" s="1"/>
  <c r="AE192" i="1"/>
  <c r="AM223" i="1"/>
  <c r="K193" i="1"/>
  <c r="M193" i="1"/>
  <c r="N193" i="1" s="1"/>
  <c r="Y193" i="1"/>
  <c r="Z193" i="1"/>
  <c r="AB193" i="1"/>
  <c r="AC193" i="1"/>
  <c r="AD193" i="1"/>
  <c r="T193" i="1" s="1"/>
  <c r="AE193" i="1"/>
  <c r="AM224" i="1"/>
  <c r="K194" i="1"/>
  <c r="M194" i="1"/>
  <c r="N194" i="1" s="1"/>
  <c r="Y194" i="1"/>
  <c r="Z194" i="1"/>
  <c r="AB194" i="1"/>
  <c r="AC194" i="1"/>
  <c r="AD194" i="1"/>
  <c r="T194" i="1" s="1"/>
  <c r="AE194" i="1"/>
  <c r="AM225" i="1"/>
  <c r="K195" i="1"/>
  <c r="M195" i="1"/>
  <c r="N195" i="1" s="1"/>
  <c r="Y195" i="1"/>
  <c r="Z195" i="1"/>
  <c r="AB195" i="1"/>
  <c r="AC195" i="1"/>
  <c r="AD195" i="1"/>
  <c r="T195" i="1" s="1"/>
  <c r="AE195" i="1"/>
  <c r="AM226" i="1"/>
  <c r="K196" i="1"/>
  <c r="M196" i="1"/>
  <c r="N196" i="1" s="1"/>
  <c r="Y196" i="1"/>
  <c r="Z196" i="1"/>
  <c r="AB196" i="1"/>
  <c r="AC196" i="1"/>
  <c r="AD196" i="1"/>
  <c r="T196" i="1" s="1"/>
  <c r="AE196" i="1"/>
  <c r="AM227" i="1"/>
  <c r="K197" i="1"/>
  <c r="M197" i="1"/>
  <c r="N197" i="1" s="1"/>
  <c r="Y197" i="1"/>
  <c r="Z197" i="1"/>
  <c r="AB197" i="1"/>
  <c r="AC197" i="1"/>
  <c r="AD197" i="1"/>
  <c r="T197" i="1" s="1"/>
  <c r="AE197" i="1"/>
  <c r="AM228" i="1"/>
  <c r="K198" i="1"/>
  <c r="M198" i="1"/>
  <c r="N198" i="1" s="1"/>
  <c r="Y198" i="1"/>
  <c r="Z198" i="1"/>
  <c r="AB198" i="1"/>
  <c r="AC198" i="1"/>
  <c r="AD198" i="1"/>
  <c r="T198" i="1" s="1"/>
  <c r="AE198" i="1"/>
  <c r="AM229" i="1"/>
  <c r="K199" i="1"/>
  <c r="M199" i="1"/>
  <c r="N199" i="1" s="1"/>
  <c r="Y199" i="1"/>
  <c r="Z199" i="1"/>
  <c r="AB199" i="1"/>
  <c r="AC199" i="1"/>
  <c r="AD199" i="1"/>
  <c r="T199" i="1" s="1"/>
  <c r="AE199" i="1"/>
  <c r="AM230" i="1"/>
  <c r="K246" i="1"/>
  <c r="M246" i="1"/>
  <c r="N246" i="1" s="1"/>
  <c r="Y246" i="1"/>
  <c r="Z246" i="1"/>
  <c r="AB246" i="1"/>
  <c r="AC246" i="1"/>
  <c r="AD246" i="1"/>
  <c r="T246" i="1" s="1"/>
  <c r="AE246" i="1"/>
  <c r="AM231" i="1"/>
  <c r="K200" i="1"/>
  <c r="M200" i="1"/>
  <c r="N200" i="1" s="1"/>
  <c r="Y200" i="1"/>
  <c r="Z200" i="1"/>
  <c r="AB200" i="1"/>
  <c r="AC200" i="1"/>
  <c r="AD200" i="1"/>
  <c r="T200" i="1" s="1"/>
  <c r="AE200" i="1"/>
  <c r="AM232" i="1"/>
  <c r="K201" i="1"/>
  <c r="M201" i="1"/>
  <c r="N201" i="1" s="1"/>
  <c r="Y201" i="1"/>
  <c r="Z201" i="1"/>
  <c r="AB201" i="1"/>
  <c r="AC201" i="1"/>
  <c r="AD201" i="1"/>
  <c r="T201" i="1" s="1"/>
  <c r="AE201" i="1"/>
  <c r="R32" i="3" s="1"/>
  <c r="AM233" i="1"/>
  <c r="K202" i="1"/>
  <c r="M202" i="1"/>
  <c r="N202" i="1" s="1"/>
  <c r="Y202" i="1"/>
  <c r="Z202" i="1"/>
  <c r="AB202" i="1"/>
  <c r="AC202" i="1"/>
  <c r="AD202" i="1"/>
  <c r="T202" i="1" s="1"/>
  <c r="AE202" i="1"/>
  <c r="AM234" i="1"/>
  <c r="K203" i="1"/>
  <c r="M203" i="1"/>
  <c r="N203" i="1" s="1"/>
  <c r="Y203" i="1"/>
  <c r="Z203" i="1"/>
  <c r="AB203" i="1"/>
  <c r="AC203" i="1"/>
  <c r="AD203" i="1"/>
  <c r="T203" i="1" s="1"/>
  <c r="AE203" i="1"/>
  <c r="AM235" i="1"/>
  <c r="K204" i="1"/>
  <c r="M204" i="1"/>
  <c r="N204" i="1" s="1"/>
  <c r="Y204" i="1"/>
  <c r="Z204" i="1"/>
  <c r="AB204" i="1"/>
  <c r="AC204" i="1"/>
  <c r="AD204" i="1"/>
  <c r="T204" i="1" s="1"/>
  <c r="AE204" i="1"/>
  <c r="AM236" i="1"/>
  <c r="K205" i="1"/>
  <c r="M205" i="1"/>
  <c r="N205" i="1" s="1"/>
  <c r="Y205" i="1"/>
  <c r="Z205" i="1"/>
  <c r="AB205" i="1"/>
  <c r="AC205" i="1"/>
  <c r="AD205" i="1"/>
  <c r="T205" i="1" s="1"/>
  <c r="AE205" i="1"/>
  <c r="AM237" i="1"/>
  <c r="K206" i="1"/>
  <c r="M206" i="1"/>
  <c r="N206" i="1" s="1"/>
  <c r="Y206" i="1"/>
  <c r="Z206" i="1"/>
  <c r="AB206" i="1"/>
  <c r="AC206" i="1"/>
  <c r="AD206" i="1"/>
  <c r="T206" i="1" s="1"/>
  <c r="AE206" i="1"/>
  <c r="AM238" i="1"/>
  <c r="K207" i="1"/>
  <c r="M207" i="1"/>
  <c r="N207" i="1" s="1"/>
  <c r="Y207" i="1"/>
  <c r="Z207" i="1"/>
  <c r="AB207" i="1"/>
  <c r="AC207" i="1"/>
  <c r="AD207" i="1"/>
  <c r="T207" i="1" s="1"/>
  <c r="AE207" i="1"/>
  <c r="AM239" i="1"/>
  <c r="K208" i="1"/>
  <c r="M208" i="1"/>
  <c r="N208" i="1" s="1"/>
  <c r="Y208" i="1"/>
  <c r="Z208" i="1"/>
  <c r="AB208" i="1"/>
  <c r="AC208" i="1"/>
  <c r="AD208" i="1"/>
  <c r="T208" i="1" s="1"/>
  <c r="AE208" i="1"/>
  <c r="AM240" i="1"/>
  <c r="K222" i="1"/>
  <c r="M222" i="1"/>
  <c r="N222" i="1" s="1"/>
  <c r="Y222" i="1"/>
  <c r="Z222" i="1"/>
  <c r="AB222" i="1"/>
  <c r="AC222" i="1"/>
  <c r="AD222" i="1"/>
  <c r="T222" i="1" s="1"/>
  <c r="AE222" i="1"/>
  <c r="R42" i="3" s="1"/>
  <c r="AM241" i="1"/>
  <c r="K223" i="1"/>
  <c r="M223" i="1"/>
  <c r="N223" i="1" s="1"/>
  <c r="Y223" i="1"/>
  <c r="Z223" i="1"/>
  <c r="AB223" i="1"/>
  <c r="AC223" i="1"/>
  <c r="AD223" i="1"/>
  <c r="T223" i="1" s="1"/>
  <c r="AE223" i="1"/>
  <c r="R41" i="3" s="1"/>
  <c r="AH242" i="1"/>
  <c r="AM242" i="1"/>
  <c r="K224" i="1"/>
  <c r="M224" i="1"/>
  <c r="N224" i="1" s="1"/>
  <c r="Y224" i="1"/>
  <c r="Z224" i="1"/>
  <c r="AB224" i="1"/>
  <c r="AC224" i="1"/>
  <c r="AD224" i="1"/>
  <c r="T224" i="1" s="1"/>
  <c r="AE224" i="1"/>
  <c r="AM243" i="1"/>
  <c r="K225" i="1"/>
  <c r="M225" i="1"/>
  <c r="N225" i="1" s="1"/>
  <c r="Y225" i="1"/>
  <c r="Z225" i="1"/>
  <c r="AB225" i="1"/>
  <c r="AC225" i="1"/>
  <c r="AD225" i="1"/>
  <c r="T225" i="1" s="1"/>
  <c r="AE225" i="1"/>
  <c r="AM244" i="1"/>
  <c r="K226" i="1"/>
  <c r="M226" i="1"/>
  <c r="N226" i="1" s="1"/>
  <c r="Y226" i="1"/>
  <c r="Z226" i="1"/>
  <c r="AB226" i="1"/>
  <c r="AC226" i="1"/>
  <c r="AD226" i="1"/>
  <c r="T226" i="1" s="1"/>
  <c r="AE226" i="1"/>
  <c r="AM245" i="1"/>
  <c r="K227" i="1"/>
  <c r="M227" i="1"/>
  <c r="N227" i="1" s="1"/>
  <c r="Y227" i="1"/>
  <c r="Z227" i="1"/>
  <c r="AB227" i="1"/>
  <c r="AC227" i="1"/>
  <c r="AD227" i="1"/>
  <c r="T227" i="1" s="1"/>
  <c r="AE227" i="1"/>
  <c r="AH246" i="1"/>
  <c r="AM246" i="1"/>
  <c r="M12" i="3"/>
  <c r="R12" i="3"/>
  <c r="U12" i="3"/>
  <c r="X12" i="3"/>
  <c r="M42" i="3"/>
  <c r="U42" i="3"/>
  <c r="X42" i="3"/>
  <c r="M43" i="3"/>
  <c r="R43" i="3"/>
  <c r="U43" i="3"/>
  <c r="X43" i="3"/>
  <c r="M8" i="3"/>
  <c r="R8" i="3"/>
  <c r="U8" i="3"/>
  <c r="X8" i="3"/>
  <c r="M11" i="3"/>
  <c r="U11" i="3"/>
  <c r="X11" i="3"/>
  <c r="M38" i="3"/>
  <c r="R38" i="3"/>
  <c r="U38" i="3"/>
  <c r="X38" i="3"/>
  <c r="M41" i="3"/>
  <c r="U41" i="3"/>
  <c r="X41" i="3"/>
  <c r="M37" i="3"/>
  <c r="U37" i="3"/>
  <c r="X37" i="3"/>
  <c r="M14" i="3"/>
  <c r="U14" i="3"/>
  <c r="X14" i="3"/>
  <c r="M39" i="3"/>
  <c r="R39" i="3"/>
  <c r="U39" i="3"/>
  <c r="X39" i="3"/>
  <c r="M23" i="3"/>
  <c r="R23" i="3"/>
  <c r="U23" i="3"/>
  <c r="X23" i="3"/>
  <c r="M36" i="3"/>
  <c r="R36" i="3"/>
  <c r="U36" i="3"/>
  <c r="X36" i="3"/>
  <c r="M33" i="3"/>
  <c r="U33" i="3"/>
  <c r="X33" i="3"/>
  <c r="M24" i="3"/>
  <c r="R24" i="3"/>
  <c r="U24" i="3"/>
  <c r="X24" i="3"/>
  <c r="M10" i="3"/>
  <c r="U10" i="3"/>
  <c r="X10" i="3"/>
  <c r="M21" i="3"/>
  <c r="U21" i="3"/>
  <c r="X21" i="3"/>
  <c r="M40" i="3"/>
  <c r="U40" i="3"/>
  <c r="X40" i="3"/>
  <c r="M16" i="3"/>
  <c r="R16" i="3"/>
  <c r="U16" i="3"/>
  <c r="X16" i="3"/>
  <c r="M30" i="3"/>
  <c r="R30" i="3"/>
  <c r="U30" i="3"/>
  <c r="X30" i="3"/>
  <c r="M45" i="3"/>
  <c r="R45" i="3"/>
  <c r="U45" i="3"/>
  <c r="X45" i="3"/>
  <c r="M13" i="3"/>
  <c r="R13" i="3"/>
  <c r="U13" i="3"/>
  <c r="X13" i="3"/>
  <c r="M18" i="3"/>
  <c r="U18" i="3"/>
  <c r="X18" i="3"/>
  <c r="M9" i="3"/>
  <c r="R9" i="3"/>
  <c r="U9" i="3"/>
  <c r="X9" i="3"/>
  <c r="M7" i="3"/>
  <c r="R7" i="3"/>
  <c r="U7" i="3"/>
  <c r="X7" i="3"/>
  <c r="M34" i="3"/>
  <c r="U34" i="3"/>
  <c r="X34" i="3"/>
  <c r="M44" i="3"/>
  <c r="R44" i="3"/>
  <c r="U44" i="3"/>
  <c r="X44" i="3"/>
  <c r="M25" i="3"/>
  <c r="R25" i="3"/>
  <c r="U25" i="3"/>
  <c r="X25" i="3"/>
  <c r="M29" i="3"/>
  <c r="R29" i="3"/>
  <c r="U29" i="3"/>
  <c r="X29" i="3"/>
  <c r="M15" i="3"/>
  <c r="R15" i="3"/>
  <c r="U15" i="3"/>
  <c r="X15" i="3"/>
  <c r="M35" i="3"/>
  <c r="U35" i="3"/>
  <c r="X35" i="3"/>
  <c r="M31" i="3"/>
  <c r="U31" i="3"/>
  <c r="X31" i="3"/>
  <c r="M26" i="3"/>
  <c r="U26" i="3"/>
  <c r="X26" i="3"/>
  <c r="M27" i="3"/>
  <c r="U27" i="3"/>
  <c r="X27" i="3"/>
  <c r="M32" i="3"/>
  <c r="U32" i="3"/>
  <c r="X32" i="3"/>
  <c r="M22" i="3"/>
  <c r="U22" i="3"/>
  <c r="X22" i="3"/>
  <c r="M17" i="3"/>
  <c r="R17" i="3"/>
  <c r="U17" i="3"/>
  <c r="X17" i="3"/>
  <c r="M19" i="3"/>
  <c r="R19" i="3"/>
  <c r="U19" i="3"/>
  <c r="X19" i="3"/>
  <c r="M28" i="3"/>
  <c r="U28" i="3"/>
  <c r="X28" i="3"/>
  <c r="M20" i="3"/>
  <c r="R20" i="3"/>
  <c r="U20" i="3"/>
  <c r="X20" i="3"/>
  <c r="M30" i="5"/>
  <c r="M29" i="5"/>
  <c r="M28" i="5"/>
  <c r="M27" i="5"/>
  <c r="M26" i="5"/>
  <c r="AG30" i="1"/>
  <c r="AG95" i="1"/>
  <c r="AG229" i="1"/>
  <c r="AG198" i="1"/>
  <c r="AG105" i="1"/>
  <c r="AG19" i="1"/>
  <c r="AG84" i="1"/>
  <c r="AG150" i="1"/>
  <c r="AG187" i="1"/>
  <c r="AG58" i="1"/>
  <c r="AG16" i="1"/>
  <c r="AG213" i="1"/>
  <c r="AG62" i="1"/>
  <c r="AG94" i="1"/>
  <c r="W13" i="3"/>
  <c r="W16" i="3"/>
  <c r="W43" i="3"/>
  <c r="AG51" i="1"/>
  <c r="AG117" i="1"/>
  <c r="AG240" i="1"/>
  <c r="AG20" i="1"/>
  <c r="AG153" i="1"/>
  <c r="AG56" i="1"/>
  <c r="AG122" i="1"/>
  <c r="AG244" i="1"/>
  <c r="AG131" i="1"/>
  <c r="AG157" i="1"/>
  <c r="AG101" i="1"/>
  <c r="AG29" i="1"/>
  <c r="AG212" i="1"/>
  <c r="AG173" i="1"/>
  <c r="W9" i="3"/>
  <c r="AG137" i="1"/>
  <c r="AG57" i="1"/>
  <c r="AG60" i="1"/>
  <c r="AG163" i="1"/>
  <c r="AG238" i="1"/>
  <c r="AG33" i="1"/>
  <c r="AG185" i="1"/>
  <c r="W27" i="3"/>
  <c r="AG75" i="1"/>
  <c r="AG178" i="1"/>
  <c r="AG180" i="1"/>
  <c r="AG130" i="1"/>
  <c r="AG159" i="1"/>
  <c r="AG119" i="1"/>
  <c r="AG243" i="1"/>
  <c r="W15" i="3"/>
  <c r="W22" i="3"/>
  <c r="AG121" i="1"/>
  <c r="AG28" i="1"/>
  <c r="AG44" i="1"/>
  <c r="AG93" i="1"/>
  <c r="AG24" i="1"/>
  <c r="AG103" i="1"/>
  <c r="AG90" i="1"/>
  <c r="W7" i="3"/>
  <c r="AG64" i="1"/>
  <c r="AG193" i="1"/>
  <c r="AG156" i="1"/>
  <c r="AG246" i="1"/>
  <c r="AG147" i="1"/>
  <c r="W26" i="3"/>
  <c r="AG36" i="1"/>
  <c r="AG148" i="1"/>
  <c r="AG230" i="1"/>
  <c r="AG47" i="1"/>
  <c r="AG129" i="1"/>
  <c r="AG182" i="1"/>
  <c r="AG143" i="1"/>
  <c r="AG52" i="1"/>
  <c r="AG134" i="1"/>
  <c r="AG202" i="1"/>
  <c r="AG220" i="1"/>
  <c r="AG127" i="1"/>
  <c r="AG86" i="1"/>
  <c r="AG161" i="1"/>
  <c r="W36" i="3"/>
  <c r="W20" i="3"/>
  <c r="AG83" i="1"/>
  <c r="AG237" i="1"/>
  <c r="AG53" i="1"/>
  <c r="AG196" i="1"/>
  <c r="AG104" i="1"/>
  <c r="AG175" i="1"/>
  <c r="AG78" i="1"/>
  <c r="AG61" i="1"/>
  <c r="AG46" i="1"/>
  <c r="AG106" i="1"/>
  <c r="W35" i="3"/>
  <c r="AG209" i="1"/>
  <c r="AG165" i="1"/>
  <c r="AG216" i="1"/>
  <c r="AG32" i="1"/>
  <c r="AG215" i="1"/>
  <c r="W34" i="3"/>
  <c r="AG107" i="1"/>
  <c r="AG65" i="1"/>
  <c r="AG96" i="1"/>
  <c r="AG102" i="1"/>
  <c r="AG37" i="1"/>
  <c r="W42" i="3"/>
  <c r="AG22" i="1"/>
  <c r="AG221" i="1"/>
  <c r="AG207" i="1"/>
  <c r="AG219" i="1"/>
  <c r="AG136" i="1"/>
  <c r="AG17" i="1"/>
  <c r="AG235" i="1"/>
  <c r="W21" i="3"/>
  <c r="AG26" i="1"/>
  <c r="AG214" i="1"/>
  <c r="AG97" i="1"/>
  <c r="AG80" i="1"/>
  <c r="AG183" i="1"/>
  <c r="AG208" i="1"/>
  <c r="AG54" i="1"/>
  <c r="W30" i="3"/>
  <c r="W31" i="3"/>
  <c r="AG108" i="1"/>
  <c r="AG194" i="1"/>
  <c r="AG146" i="1"/>
  <c r="AG218" i="1"/>
  <c r="W11" i="3"/>
  <c r="AG63" i="1"/>
  <c r="AG145" i="1"/>
  <c r="AG226" i="1"/>
  <c r="AG228" i="1"/>
  <c r="AG68" i="1"/>
  <c r="AG239" i="1"/>
  <c r="AG77" i="1"/>
  <c r="AG169" i="1"/>
  <c r="AG192" i="1"/>
  <c r="AG140" i="1"/>
  <c r="AG200" i="1"/>
  <c r="W23" i="3"/>
  <c r="AG18" i="1"/>
  <c r="AG99" i="1"/>
  <c r="AG170" i="1"/>
  <c r="AG81" i="1"/>
  <c r="AG23" i="1"/>
  <c r="AG138" i="1"/>
  <c r="AG191" i="1"/>
  <c r="AG128" i="1"/>
  <c r="AG139" i="1"/>
  <c r="AG66" i="1"/>
  <c r="AG154" i="1"/>
  <c r="AG38" i="1"/>
  <c r="AG174" i="1"/>
  <c r="AG27" i="1"/>
  <c r="AG195" i="1"/>
  <c r="AG111" i="1"/>
  <c r="AG120" i="1"/>
  <c r="W17" i="3"/>
  <c r="AG141" i="1"/>
  <c r="AG135" i="1"/>
  <c r="AG231" i="1"/>
  <c r="AG166" i="1"/>
  <c r="AG82" i="1"/>
  <c r="W29" i="3"/>
  <c r="AG55" i="1"/>
  <c r="AG190" i="1"/>
  <c r="AG76" i="1"/>
  <c r="AG179" i="1"/>
  <c r="AG197" i="1"/>
  <c r="AG50" i="1"/>
  <c r="W39" i="3"/>
  <c r="W32" i="3"/>
  <c r="AG59" i="1"/>
  <c r="AG162" i="1"/>
  <c r="AG155" i="1"/>
  <c r="AG114" i="1"/>
  <c r="AG227" i="1"/>
  <c r="AG85" i="1"/>
  <c r="AG124" i="1"/>
  <c r="W24" i="3"/>
  <c r="W33" i="3"/>
  <c r="AG73" i="1"/>
  <c r="AG116" i="1"/>
  <c r="AG144" i="1"/>
  <c r="W45" i="3"/>
  <c r="AG201" i="1"/>
  <c r="AG88" i="1"/>
  <c r="AG184" i="1"/>
  <c r="AG203" i="1"/>
  <c r="W37" i="3"/>
  <c r="AG126" i="1"/>
  <c r="AG70" i="1"/>
  <c r="AG222" i="1"/>
  <c r="AG199" i="1"/>
  <c r="W8" i="3"/>
  <c r="AG142" i="1"/>
  <c r="AG204" i="1"/>
  <c r="AG125" i="1"/>
  <c r="AG48" i="1"/>
  <c r="AG21" i="1"/>
  <c r="W14" i="3"/>
  <c r="AG79" i="1"/>
  <c r="AG232" i="1"/>
  <c r="AG45" i="1"/>
  <c r="AG188" i="1"/>
  <c r="AG100" i="1"/>
  <c r="AG241" i="1"/>
  <c r="AG172" i="1"/>
  <c r="AG49" i="1"/>
  <c r="AG25" i="1"/>
  <c r="AG177" i="1"/>
  <c r="W25" i="3"/>
  <c r="W10" i="3"/>
  <c r="AG34" i="1"/>
  <c r="AG133" i="1"/>
  <c r="AG186" i="1"/>
  <c r="AG115" i="1"/>
  <c r="AG72" i="1"/>
  <c r="AG158" i="1"/>
  <c r="AG206" i="1"/>
  <c r="AG181" i="1"/>
  <c r="AG242" i="1"/>
  <c r="AG98" i="1"/>
  <c r="AG225" i="1"/>
  <c r="AG71" i="1"/>
  <c r="AG205" i="1"/>
  <c r="AG92" i="1"/>
  <c r="AG233" i="1"/>
  <c r="AG245" i="1"/>
  <c r="W12" i="3"/>
  <c r="W18" i="3"/>
  <c r="AG217" i="1"/>
  <c r="AG31" i="1"/>
  <c r="AG168" i="1"/>
  <c r="AG41" i="1"/>
  <c r="AG132" i="1"/>
  <c r="W38" i="3"/>
  <c r="AG87" i="1"/>
  <c r="AG89" i="1"/>
  <c r="AG223" i="1"/>
  <c r="AG69" i="1"/>
  <c r="AG112" i="1"/>
  <c r="W44" i="3"/>
  <c r="W28" i="3"/>
  <c r="AG91" i="1"/>
  <c r="AG15" i="1"/>
  <c r="AG224" i="1"/>
  <c r="AG74" i="1"/>
  <c r="W40" i="3"/>
  <c r="AG14" i="1"/>
  <c r="AG113" i="1"/>
  <c r="AG167" i="1"/>
  <c r="AG35" i="1"/>
  <c r="AG118" i="1"/>
  <c r="AG171" i="1"/>
  <c r="AG42" i="1"/>
  <c r="W41" i="3"/>
  <c r="AG67" i="1"/>
  <c r="AG149" i="1"/>
  <c r="AG236" i="1"/>
  <c r="AG211" i="1"/>
  <c r="AG189" i="1"/>
  <c r="AG123" i="1"/>
  <c r="AG43" i="1"/>
  <c r="AG176" i="1"/>
  <c r="AG210" i="1"/>
  <c r="W19" i="3"/>
  <c r="AG234" i="1"/>
  <c r="AH152" i="1" l="1"/>
  <c r="AH40" i="1"/>
  <c r="AH151" i="1"/>
  <c r="AH109" i="1"/>
  <c r="AH110" i="1"/>
  <c r="AH164" i="1"/>
  <c r="AH160" i="1"/>
  <c r="AH39" i="1"/>
  <c r="AH14" i="1"/>
  <c r="AH18" i="1"/>
  <c r="AH22" i="1"/>
  <c r="AH26" i="1"/>
  <c r="AH30" i="1"/>
  <c r="AH34" i="1"/>
  <c r="AH38" i="1"/>
  <c r="AH47" i="1"/>
  <c r="AH48" i="1"/>
  <c r="AH53" i="1"/>
  <c r="AH57" i="1"/>
  <c r="AH61" i="1"/>
  <c r="AH17" i="1"/>
  <c r="AH21" i="1"/>
  <c r="AH25" i="1"/>
  <c r="AH29" i="1"/>
  <c r="AH33" i="1"/>
  <c r="AH37" i="1"/>
  <c r="AH43" i="1"/>
  <c r="AH45" i="1"/>
  <c r="AH46" i="1"/>
  <c r="AH52" i="1"/>
  <c r="AH56" i="1"/>
  <c r="AH60" i="1"/>
  <c r="AH16" i="1"/>
  <c r="AH20" i="1"/>
  <c r="AH24" i="1"/>
  <c r="AH28" i="1"/>
  <c r="AH32" i="1"/>
  <c r="AH36" i="1"/>
  <c r="AH42" i="1"/>
  <c r="AH44" i="1"/>
  <c r="AH51" i="1"/>
  <c r="AH55" i="1"/>
  <c r="AH59" i="1"/>
  <c r="AH63" i="1"/>
  <c r="AH64" i="1"/>
  <c r="AH65" i="1"/>
  <c r="AH66" i="1"/>
  <c r="AH15" i="1"/>
  <c r="AH19" i="1"/>
  <c r="AH23" i="1"/>
  <c r="AH27" i="1"/>
  <c r="AH31" i="1"/>
  <c r="AH35" i="1"/>
  <c r="AH41" i="1"/>
  <c r="AH49" i="1"/>
  <c r="AH50" i="1"/>
  <c r="AH54" i="1"/>
  <c r="AH58" i="1"/>
  <c r="AH62" i="1"/>
  <c r="AH67" i="1"/>
  <c r="AH68" i="1"/>
  <c r="AH73" i="1"/>
  <c r="AH74" i="1"/>
  <c r="AH69" i="1"/>
  <c r="AH70" i="1"/>
  <c r="AH71" i="1"/>
  <c r="AH72" i="1"/>
  <c r="AH79" i="1"/>
  <c r="AH83" i="1"/>
  <c r="AH87" i="1"/>
  <c r="AH91" i="1"/>
  <c r="AH95" i="1"/>
  <c r="AH100" i="1"/>
  <c r="AH112" i="1"/>
  <c r="AH113" i="1"/>
  <c r="AH114" i="1"/>
  <c r="AH116" i="1"/>
  <c r="AH120" i="1"/>
  <c r="AH125" i="1"/>
  <c r="AH129" i="1"/>
  <c r="AH134" i="1"/>
  <c r="AH137" i="1"/>
  <c r="AH80" i="1"/>
  <c r="AH84" i="1"/>
  <c r="AH88" i="1"/>
  <c r="AH92" i="1"/>
  <c r="AH96" i="1"/>
  <c r="AH99" i="1"/>
  <c r="AH111" i="1"/>
  <c r="AH115" i="1"/>
  <c r="AH77" i="1"/>
  <c r="AH81" i="1"/>
  <c r="AH85" i="1"/>
  <c r="AH89" i="1"/>
  <c r="AH93" i="1"/>
  <c r="AH98" i="1"/>
  <c r="AH105" i="1"/>
  <c r="AH106" i="1"/>
  <c r="AH107" i="1"/>
  <c r="AH108" i="1"/>
  <c r="AH118" i="1"/>
  <c r="AH122" i="1"/>
  <c r="AH127" i="1"/>
  <c r="AH131" i="1"/>
  <c r="AH132" i="1"/>
  <c r="AH135" i="1"/>
  <c r="AH75" i="1"/>
  <c r="AH76" i="1"/>
  <c r="AH78" i="1"/>
  <c r="AH82" i="1"/>
  <c r="AH86" i="1"/>
  <c r="AH90" i="1"/>
  <c r="AH94" i="1"/>
  <c r="AH97" i="1"/>
  <c r="AH101" i="1"/>
  <c r="AH102" i="1"/>
  <c r="AH103" i="1"/>
  <c r="AH104" i="1"/>
  <c r="AH117" i="1"/>
  <c r="AH121" i="1"/>
  <c r="AH126" i="1"/>
  <c r="AH130" i="1"/>
  <c r="AH138" i="1"/>
  <c r="AH142" i="1"/>
  <c r="AH123" i="1"/>
  <c r="AH124" i="1"/>
  <c r="AH133" i="1"/>
  <c r="AH140" i="1"/>
  <c r="AH143" i="1"/>
  <c r="AH145" i="1"/>
  <c r="AH149" i="1"/>
  <c r="AH156" i="1"/>
  <c r="AH161" i="1"/>
  <c r="AH166" i="1"/>
  <c r="AH170" i="1"/>
  <c r="AH174" i="1"/>
  <c r="AH178" i="1"/>
  <c r="AH182" i="1"/>
  <c r="AH141" i="1"/>
  <c r="AH144" i="1"/>
  <c r="AH148" i="1"/>
  <c r="AH155" i="1"/>
  <c r="AH159" i="1"/>
  <c r="AH119" i="1"/>
  <c r="AH128" i="1"/>
  <c r="AH139" i="1"/>
  <c r="AH147" i="1"/>
  <c r="AH153" i="1"/>
  <c r="AH154" i="1"/>
  <c r="AH158" i="1"/>
  <c r="AH163" i="1"/>
  <c r="AH168" i="1"/>
  <c r="AH172" i="1"/>
  <c r="AH176" i="1"/>
  <c r="AH180" i="1"/>
  <c r="AH184" i="1"/>
  <c r="AH186" i="1"/>
  <c r="AH187" i="1"/>
  <c r="AH136" i="1"/>
  <c r="AH146" i="1"/>
  <c r="AH150" i="1"/>
  <c r="AH157" i="1"/>
  <c r="AH162" i="1"/>
  <c r="AH167" i="1"/>
  <c r="AH171" i="1"/>
  <c r="AH175" i="1"/>
  <c r="AH179" i="1"/>
  <c r="AH183" i="1"/>
  <c r="AH194" i="1"/>
  <c r="AH195" i="1"/>
  <c r="AH196" i="1"/>
  <c r="AH199" i="1"/>
  <c r="AH203" i="1"/>
  <c r="AH204" i="1"/>
  <c r="AH205" i="1"/>
  <c r="AH169" i="1"/>
  <c r="AH177" i="1"/>
  <c r="AH185" i="1"/>
  <c r="AH202" i="1"/>
  <c r="AH206" i="1"/>
  <c r="AH208" i="1"/>
  <c r="AH212" i="1"/>
  <c r="AH219" i="1"/>
  <c r="AH223" i="1"/>
  <c r="AH227" i="1"/>
  <c r="AH231" i="1"/>
  <c r="AH235" i="1"/>
  <c r="AH189" i="1"/>
  <c r="AH191" i="1"/>
  <c r="AH192" i="1"/>
  <c r="AH193" i="1"/>
  <c r="AH197" i="1"/>
  <c r="AH200" i="1"/>
  <c r="AH207" i="1"/>
  <c r="AH211" i="1"/>
  <c r="AH215" i="1"/>
  <c r="AH218" i="1"/>
  <c r="AH222" i="1"/>
  <c r="AH165" i="1"/>
  <c r="AH173" i="1"/>
  <c r="AH181" i="1"/>
  <c r="AH198" i="1"/>
  <c r="AH210" i="1"/>
  <c r="AH214" i="1"/>
  <c r="AH217" i="1"/>
  <c r="AH221" i="1"/>
  <c r="AH225" i="1"/>
  <c r="AH229" i="1"/>
  <c r="AH233" i="1"/>
  <c r="AH188" i="1"/>
  <c r="AH190" i="1"/>
  <c r="AH201" i="1"/>
  <c r="AH209" i="1"/>
  <c r="AH213" i="1"/>
  <c r="AH216" i="1"/>
  <c r="AH220" i="1"/>
  <c r="AH224" i="1"/>
  <c r="AH244" i="1"/>
  <c r="AH240" i="1"/>
  <c r="AH245" i="1"/>
  <c r="AH241" i="1"/>
  <c r="AH243" i="1"/>
  <c r="AH239" i="1"/>
  <c r="AH238" i="1"/>
  <c r="AH237" i="1"/>
  <c r="AH236" i="1"/>
  <c r="AH234" i="1"/>
  <c r="AH232" i="1"/>
  <c r="AH230" i="1"/>
  <c r="AH228" i="1"/>
  <c r="AH226" i="1"/>
  <c r="AA177" i="1"/>
  <c r="AA165" i="1"/>
  <c r="X163" i="1"/>
  <c r="X164" i="1"/>
  <c r="AA163" i="1"/>
  <c r="X162" i="1"/>
  <c r="T173" i="1"/>
  <c r="X173" i="1"/>
  <c r="X168" i="1"/>
  <c r="T168" i="1"/>
  <c r="X166" i="1"/>
  <c r="AA170" i="1"/>
  <c r="X169" i="1"/>
  <c r="AA159" i="1"/>
  <c r="AA244" i="1"/>
  <c r="AA154" i="1"/>
  <c r="AA148" i="1"/>
  <c r="X159" i="1"/>
  <c r="X160" i="1"/>
  <c r="AA149" i="1"/>
  <c r="AA140" i="1"/>
  <c r="AA136" i="1"/>
  <c r="AA132" i="1"/>
  <c r="X108" i="1"/>
  <c r="X109" i="1"/>
  <c r="X115" i="1"/>
  <c r="T111" i="1"/>
  <c r="X111" i="1"/>
  <c r="X106" i="1"/>
  <c r="AA97" i="1"/>
  <c r="X117" i="1"/>
  <c r="AA105" i="1"/>
  <c r="AA103" i="1"/>
  <c r="AA102" i="1"/>
  <c r="X70" i="1"/>
  <c r="AA74" i="1"/>
  <c r="AA52" i="1"/>
  <c r="AA45" i="1"/>
  <c r="AA43" i="1"/>
  <c r="X64" i="1"/>
  <c r="AA61" i="1"/>
  <c r="AA38" i="1"/>
  <c r="AA18" i="1"/>
  <c r="AA19" i="1"/>
  <c r="AA63" i="1"/>
  <c r="AA59" i="1"/>
  <c r="AA54" i="1"/>
  <c r="AA50" i="1"/>
  <c r="AA127" i="1"/>
  <c r="AA107" i="1"/>
  <c r="R10" i="3"/>
  <c r="AA142" i="1"/>
  <c r="AA129" i="1"/>
  <c r="AA116" i="1"/>
  <c r="AA113" i="1"/>
  <c r="W113" i="1" s="1"/>
  <c r="AA112" i="1"/>
  <c r="AA98" i="1"/>
  <c r="AA96" i="1"/>
  <c r="AA95" i="1"/>
  <c r="W95" i="1" s="1"/>
  <c r="AA94" i="1"/>
  <c r="AA139" i="1"/>
  <c r="AA130" i="1"/>
  <c r="AA121" i="1"/>
  <c r="W121" i="1" s="1"/>
  <c r="AA117" i="1"/>
  <c r="AA141" i="1"/>
  <c r="W141" i="1" s="1"/>
  <c r="AA137" i="1"/>
  <c r="W137" i="1" s="1"/>
  <c r="AA128" i="1"/>
  <c r="AA122" i="1"/>
  <c r="W122" i="1" s="1"/>
  <c r="AA118" i="1"/>
  <c r="AA99" i="1"/>
  <c r="R27" i="3"/>
  <c r="X243" i="1"/>
  <c r="T243" i="1"/>
  <c r="X244" i="1"/>
  <c r="T161" i="1"/>
  <c r="U161" i="1" s="1"/>
  <c r="S161" i="1" s="1"/>
  <c r="X172" i="1"/>
  <c r="T172" i="1"/>
  <c r="U172" i="1" s="1"/>
  <c r="S172" i="1" s="1"/>
  <c r="AA168" i="1"/>
  <c r="X177" i="1"/>
  <c r="AA174" i="1"/>
  <c r="AA173" i="1"/>
  <c r="AA166" i="1"/>
  <c r="W166" i="1" s="1"/>
  <c r="AA162" i="1"/>
  <c r="AA221" i="1"/>
  <c r="AA240" i="1"/>
  <c r="AA236" i="1"/>
  <c r="W236" i="1" s="1"/>
  <c r="AA232" i="1"/>
  <c r="W232" i="1" s="1"/>
  <c r="AA228" i="1"/>
  <c r="W228" i="1" s="1"/>
  <c r="AA217" i="1"/>
  <c r="AA213" i="1"/>
  <c r="W213" i="1" s="1"/>
  <c r="AA209" i="1"/>
  <c r="AA155" i="1"/>
  <c r="W155" i="1" s="1"/>
  <c r="AA153" i="1"/>
  <c r="AA145" i="1"/>
  <c r="W145" i="1" s="1"/>
  <c r="AA143" i="1"/>
  <c r="AA133" i="1"/>
  <c r="AA131" i="1"/>
  <c r="AA125" i="1"/>
  <c r="W125" i="1" s="1"/>
  <c r="AA123" i="1"/>
  <c r="AA119" i="1"/>
  <c r="W119" i="1" s="1"/>
  <c r="X116" i="1"/>
  <c r="AA114" i="1"/>
  <c r="W114" i="1" s="1"/>
  <c r="X112" i="1"/>
  <c r="X104" i="1"/>
  <c r="X103" i="1"/>
  <c r="X73" i="1"/>
  <c r="AA70" i="1"/>
  <c r="AA69" i="1"/>
  <c r="W69" i="1" s="1"/>
  <c r="X68" i="1"/>
  <c r="AA66" i="1"/>
  <c r="W66" i="1" s="1"/>
  <c r="AA64" i="1"/>
  <c r="AA49" i="1"/>
  <c r="AA47" i="1"/>
  <c r="AA46" i="1"/>
  <c r="W46" i="1" s="1"/>
  <c r="AA33" i="1"/>
  <c r="AA29" i="1"/>
  <c r="AA25" i="1"/>
  <c r="AA21" i="1"/>
  <c r="W21" i="1" s="1"/>
  <c r="AA17" i="1"/>
  <c r="AA161" i="1"/>
  <c r="AA243" i="1"/>
  <c r="AA237" i="1"/>
  <c r="W237" i="1" s="1"/>
  <c r="AA233" i="1"/>
  <c r="AA229" i="1"/>
  <c r="AA218" i="1"/>
  <c r="AA214" i="1"/>
  <c r="W214" i="1" s="1"/>
  <c r="AA210" i="1"/>
  <c r="AA156" i="1"/>
  <c r="AA146" i="1"/>
  <c r="AA138" i="1"/>
  <c r="W138" i="1" s="1"/>
  <c r="AA134" i="1"/>
  <c r="AA126" i="1"/>
  <c r="W126" i="1" s="1"/>
  <c r="AA120" i="1"/>
  <c r="W120" i="1" s="1"/>
  <c r="X105" i="1"/>
  <c r="AA62" i="1"/>
  <c r="T61" i="1"/>
  <c r="U61" i="1" s="1"/>
  <c r="S61" i="1" s="1"/>
  <c r="AA53" i="1"/>
  <c r="AA51" i="1"/>
  <c r="W51" i="1" s="1"/>
  <c r="AA36" i="1"/>
  <c r="AA34" i="1"/>
  <c r="W34" i="1" s="1"/>
  <c r="AA30" i="1"/>
  <c r="AA26" i="1"/>
  <c r="AA22" i="1"/>
  <c r="AA15" i="1"/>
  <c r="AA171" i="1"/>
  <c r="T163" i="1"/>
  <c r="U163" i="1" s="1"/>
  <c r="S163" i="1" s="1"/>
  <c r="AA111" i="1"/>
  <c r="AA104" i="1"/>
  <c r="AA100" i="1"/>
  <c r="X62" i="1"/>
  <c r="AA60" i="1"/>
  <c r="AA42" i="1"/>
  <c r="AA20" i="1"/>
  <c r="AA16" i="1"/>
  <c r="W16" i="1" s="1"/>
  <c r="T169" i="1"/>
  <c r="X175" i="1"/>
  <c r="X170" i="1"/>
  <c r="T170" i="1"/>
  <c r="X171" i="1"/>
  <c r="AA227" i="1"/>
  <c r="AA226" i="1"/>
  <c r="W226" i="1" s="1"/>
  <c r="AA225" i="1"/>
  <c r="AA224" i="1"/>
  <c r="W224" i="1" s="1"/>
  <c r="AA223" i="1"/>
  <c r="AA222" i="1"/>
  <c r="W222" i="1" s="1"/>
  <c r="AA208" i="1"/>
  <c r="AA207" i="1"/>
  <c r="X174" i="1"/>
  <c r="T174" i="1"/>
  <c r="T112" i="1"/>
  <c r="X75" i="1"/>
  <c r="X72" i="1"/>
  <c r="AA71" i="1"/>
  <c r="W71" i="1" s="1"/>
  <c r="T68" i="1"/>
  <c r="U68" i="1" s="1"/>
  <c r="S68" i="1" s="1"/>
  <c r="AA65" i="1"/>
  <c r="W65" i="1" s="1"/>
  <c r="X63" i="1"/>
  <c r="X60" i="1"/>
  <c r="T175" i="1"/>
  <c r="X114" i="1"/>
  <c r="T108" i="1"/>
  <c r="U108" i="1" s="1"/>
  <c r="S108" i="1" s="1"/>
  <c r="X66" i="1"/>
  <c r="X59" i="1"/>
  <c r="X58" i="1"/>
  <c r="AA14" i="1"/>
  <c r="X113" i="1"/>
  <c r="AA93" i="1"/>
  <c r="AA92" i="1"/>
  <c r="AA91" i="1"/>
  <c r="AA90" i="1"/>
  <c r="W90" i="1" s="1"/>
  <c r="AA89" i="1"/>
  <c r="AA88" i="1"/>
  <c r="W88" i="1" s="1"/>
  <c r="AA87" i="1"/>
  <c r="AA86" i="1"/>
  <c r="W86" i="1" s="1"/>
  <c r="AA85" i="1"/>
  <c r="AA84" i="1"/>
  <c r="W84" i="1" s="1"/>
  <c r="AA83" i="1"/>
  <c r="AA82" i="1"/>
  <c r="W82" i="1" s="1"/>
  <c r="AA81" i="1"/>
  <c r="AA80" i="1"/>
  <c r="AA79" i="1"/>
  <c r="AA78" i="1"/>
  <c r="W78" i="1" s="1"/>
  <c r="AA77" i="1"/>
  <c r="AA76" i="1"/>
  <c r="AA75" i="1"/>
  <c r="AA67" i="1"/>
  <c r="W67" i="1" s="1"/>
  <c r="X57" i="1"/>
  <c r="AA206" i="1"/>
  <c r="W206" i="1" s="1"/>
  <c r="AA205" i="1"/>
  <c r="AA204" i="1"/>
  <c r="AA203" i="1"/>
  <c r="AA202" i="1"/>
  <c r="W202" i="1" s="1"/>
  <c r="AA201" i="1"/>
  <c r="AA200" i="1"/>
  <c r="AA246" i="1"/>
  <c r="AA199" i="1"/>
  <c r="W199" i="1" s="1"/>
  <c r="AA198" i="1"/>
  <c r="AA197" i="1"/>
  <c r="AA196" i="1"/>
  <c r="AA195" i="1"/>
  <c r="W195" i="1" s="1"/>
  <c r="AA194" i="1"/>
  <c r="AA193" i="1"/>
  <c r="AA192" i="1"/>
  <c r="AA191" i="1"/>
  <c r="W191" i="1" s="1"/>
  <c r="AA190" i="1"/>
  <c r="AA189" i="1"/>
  <c r="AA188" i="1"/>
  <c r="AA187" i="1"/>
  <c r="W187" i="1" s="1"/>
  <c r="AA186" i="1"/>
  <c r="AA185" i="1"/>
  <c r="AA184" i="1"/>
  <c r="AA183" i="1"/>
  <c r="W183" i="1" s="1"/>
  <c r="AA182" i="1"/>
  <c r="AA181" i="1"/>
  <c r="AA180" i="1"/>
  <c r="AA179" i="1"/>
  <c r="AA178" i="1"/>
  <c r="X176" i="1"/>
  <c r="X245" i="1"/>
  <c r="X167" i="1"/>
  <c r="T117" i="1"/>
  <c r="U117" i="1" s="1"/>
  <c r="S117" i="1" s="1"/>
  <c r="T107" i="1"/>
  <c r="U107" i="1" s="1"/>
  <c r="S107" i="1" s="1"/>
  <c r="AI246" i="1"/>
  <c r="U227" i="1"/>
  <c r="S227" i="1" s="1"/>
  <c r="AI245" i="1"/>
  <c r="U226" i="1"/>
  <c r="S226" i="1" s="1"/>
  <c r="AI244" i="1"/>
  <c r="U225" i="1"/>
  <c r="S225" i="1" s="1"/>
  <c r="AI243" i="1"/>
  <c r="U224" i="1"/>
  <c r="S224" i="1" s="1"/>
  <c r="AI242" i="1"/>
  <c r="U223" i="1"/>
  <c r="S223" i="1" s="1"/>
  <c r="AI241" i="1"/>
  <c r="U222" i="1"/>
  <c r="S222" i="1" s="1"/>
  <c r="AI240" i="1"/>
  <c r="U208" i="1"/>
  <c r="S208" i="1" s="1"/>
  <c r="AI239" i="1"/>
  <c r="U207" i="1"/>
  <c r="S207" i="1" s="1"/>
  <c r="AI238" i="1"/>
  <c r="U206" i="1"/>
  <c r="S206" i="1" s="1"/>
  <c r="AI237" i="1"/>
  <c r="U205" i="1"/>
  <c r="S205" i="1" s="1"/>
  <c r="AI236" i="1"/>
  <c r="U204" i="1"/>
  <c r="S204" i="1" s="1"/>
  <c r="AI235" i="1"/>
  <c r="U203" i="1"/>
  <c r="S203" i="1" s="1"/>
  <c r="AI234" i="1"/>
  <c r="U202" i="1"/>
  <c r="S202" i="1" s="1"/>
  <c r="AI233" i="1"/>
  <c r="U201" i="1"/>
  <c r="S201" i="1" s="1"/>
  <c r="AI232" i="1"/>
  <c r="U200" i="1"/>
  <c r="S200" i="1" s="1"/>
  <c r="AI231" i="1"/>
  <c r="U246" i="1"/>
  <c r="S246" i="1" s="1"/>
  <c r="AI230" i="1"/>
  <c r="U199" i="1"/>
  <c r="S199" i="1" s="1"/>
  <c r="AI229" i="1"/>
  <c r="U198" i="1"/>
  <c r="S198" i="1" s="1"/>
  <c r="AI228" i="1"/>
  <c r="U197" i="1"/>
  <c r="S197" i="1" s="1"/>
  <c r="AI227" i="1"/>
  <c r="U196" i="1"/>
  <c r="S196" i="1" s="1"/>
  <c r="AI226" i="1"/>
  <c r="U195" i="1"/>
  <c r="S195" i="1" s="1"/>
  <c r="AI225" i="1"/>
  <c r="U194" i="1"/>
  <c r="S194" i="1" s="1"/>
  <c r="AI224" i="1"/>
  <c r="U193" i="1"/>
  <c r="S193" i="1" s="1"/>
  <c r="AI223" i="1"/>
  <c r="U192" i="1"/>
  <c r="S192" i="1" s="1"/>
  <c r="AI222" i="1"/>
  <c r="U191" i="1"/>
  <c r="S191" i="1" s="1"/>
  <c r="AI221" i="1"/>
  <c r="U190" i="1"/>
  <c r="S190" i="1" s="1"/>
  <c r="AI220" i="1"/>
  <c r="U189" i="1"/>
  <c r="S189" i="1" s="1"/>
  <c r="AI219" i="1"/>
  <c r="U188" i="1"/>
  <c r="S188" i="1" s="1"/>
  <c r="AI218" i="1"/>
  <c r="U187" i="1"/>
  <c r="S187" i="1" s="1"/>
  <c r="AI217" i="1"/>
  <c r="U186" i="1"/>
  <c r="S186" i="1" s="1"/>
  <c r="AI216" i="1"/>
  <c r="U185" i="1"/>
  <c r="S185" i="1" s="1"/>
  <c r="AI215" i="1"/>
  <c r="U184" i="1"/>
  <c r="S184" i="1" s="1"/>
  <c r="AI214" i="1"/>
  <c r="U183" i="1"/>
  <c r="AI213" i="1"/>
  <c r="U182" i="1"/>
  <c r="S182" i="1" s="1"/>
  <c r="AI212" i="1"/>
  <c r="U181" i="1"/>
  <c r="S181" i="1" s="1"/>
  <c r="AI211" i="1"/>
  <c r="U180" i="1"/>
  <c r="S180" i="1" s="1"/>
  <c r="AI210" i="1"/>
  <c r="U179" i="1"/>
  <c r="S179" i="1" s="1"/>
  <c r="AI209" i="1"/>
  <c r="U178" i="1"/>
  <c r="S178" i="1" s="1"/>
  <c r="U177" i="1"/>
  <c r="S177" i="1" s="1"/>
  <c r="AI208" i="1"/>
  <c r="U176" i="1"/>
  <c r="S176" i="1" s="1"/>
  <c r="AI207" i="1"/>
  <c r="U175" i="1"/>
  <c r="S175" i="1" s="1"/>
  <c r="AI206" i="1"/>
  <c r="U174" i="1"/>
  <c r="S174" i="1" s="1"/>
  <c r="AI205" i="1"/>
  <c r="U173" i="1"/>
  <c r="S173" i="1" s="1"/>
  <c r="AI204" i="1"/>
  <c r="AI203" i="1"/>
  <c r="U171" i="1"/>
  <c r="S171" i="1" s="1"/>
  <c r="AI202" i="1"/>
  <c r="U170" i="1"/>
  <c r="S170" i="1" s="1"/>
  <c r="AI201" i="1"/>
  <c r="U169" i="1"/>
  <c r="S169" i="1" s="1"/>
  <c r="AI200" i="1"/>
  <c r="U245" i="1"/>
  <c r="S245" i="1" s="1"/>
  <c r="AI199" i="1"/>
  <c r="U168" i="1"/>
  <c r="S168" i="1" s="1"/>
  <c r="AI198" i="1"/>
  <c r="U167" i="1"/>
  <c r="S167" i="1" s="1"/>
  <c r="AI197" i="1"/>
  <c r="U166" i="1"/>
  <c r="S166" i="1" s="1"/>
  <c r="AI196" i="1"/>
  <c r="U165" i="1"/>
  <c r="S165" i="1" s="1"/>
  <c r="AI195" i="1"/>
  <c r="AI194" i="1"/>
  <c r="U162" i="1"/>
  <c r="S162" i="1" s="1"/>
  <c r="AI193" i="1"/>
  <c r="AI192" i="1"/>
  <c r="AI191" i="1"/>
  <c r="U159" i="1"/>
  <c r="S159" i="1" s="1"/>
  <c r="AI190" i="1"/>
  <c r="U244" i="1"/>
  <c r="S244" i="1" s="1"/>
  <c r="AI189" i="1"/>
  <c r="U221" i="1"/>
  <c r="S221" i="1" s="1"/>
  <c r="AI188" i="1"/>
  <c r="U243" i="1"/>
  <c r="S243" i="1" s="1"/>
  <c r="AI187" i="1"/>
  <c r="U242" i="1"/>
  <c r="S242" i="1" s="1"/>
  <c r="AI186" i="1"/>
  <c r="U241" i="1"/>
  <c r="S241" i="1" s="1"/>
  <c r="AI185" i="1"/>
  <c r="W240" i="1"/>
  <c r="AI183" i="1"/>
  <c r="W238" i="1"/>
  <c r="AI181" i="1"/>
  <c r="AI179" i="1"/>
  <c r="W234" i="1"/>
  <c r="AI177" i="1"/>
  <c r="AI175" i="1"/>
  <c r="W230" i="1"/>
  <c r="AI173" i="1"/>
  <c r="AI171" i="1"/>
  <c r="W219" i="1"/>
  <c r="AI169" i="1"/>
  <c r="W217" i="1"/>
  <c r="AI167" i="1"/>
  <c r="W215" i="1"/>
  <c r="AI165" i="1"/>
  <c r="AI162" i="1"/>
  <c r="W211" i="1"/>
  <c r="AI159" i="1"/>
  <c r="W209" i="1"/>
  <c r="AI157" i="1"/>
  <c r="W157" i="1"/>
  <c r="AI155" i="1"/>
  <c r="AI184" i="1"/>
  <c r="AI182" i="1"/>
  <c r="AI180" i="1"/>
  <c r="AI178" i="1"/>
  <c r="AI176" i="1"/>
  <c r="AI174" i="1"/>
  <c r="AI172" i="1"/>
  <c r="AI170" i="1"/>
  <c r="AI168" i="1"/>
  <c r="AI166" i="1"/>
  <c r="AI163" i="1"/>
  <c r="AI161" i="1"/>
  <c r="AI158" i="1"/>
  <c r="AI156" i="1"/>
  <c r="AI154" i="1"/>
  <c r="AI153" i="1"/>
  <c r="AI150" i="1"/>
  <c r="AI149" i="1"/>
  <c r="AI148" i="1"/>
  <c r="AI147" i="1"/>
  <c r="AI146" i="1"/>
  <c r="AI145" i="1"/>
  <c r="AI144" i="1"/>
  <c r="AI143" i="1"/>
  <c r="AI142" i="1"/>
  <c r="AI141" i="1"/>
  <c r="AI140" i="1"/>
  <c r="AI139" i="1"/>
  <c r="AI138" i="1"/>
  <c r="AI137" i="1"/>
  <c r="AI136" i="1"/>
  <c r="AI135" i="1"/>
  <c r="AI134" i="1"/>
  <c r="AI133" i="1"/>
  <c r="AI132" i="1"/>
  <c r="AI131" i="1"/>
  <c r="AI130" i="1"/>
  <c r="AI129" i="1"/>
  <c r="U128" i="1"/>
  <c r="S128" i="1" s="1"/>
  <c r="AI128" i="1"/>
  <c r="U127" i="1"/>
  <c r="S127" i="1" s="1"/>
  <c r="AI127" i="1"/>
  <c r="U126" i="1"/>
  <c r="S126" i="1" s="1"/>
  <c r="AI126" i="1"/>
  <c r="U125" i="1"/>
  <c r="S125" i="1" s="1"/>
  <c r="AI125" i="1"/>
  <c r="U124" i="1"/>
  <c r="S124" i="1" s="1"/>
  <c r="AI124" i="1"/>
  <c r="U123" i="1"/>
  <c r="S123" i="1" s="1"/>
  <c r="W123" i="1"/>
  <c r="AI123" i="1"/>
  <c r="U122" i="1"/>
  <c r="S122" i="1" s="1"/>
  <c r="AI122" i="1"/>
  <c r="U121" i="1"/>
  <c r="S121" i="1" s="1"/>
  <c r="AI121" i="1"/>
  <c r="U120" i="1"/>
  <c r="S120" i="1" s="1"/>
  <c r="AI120" i="1"/>
  <c r="U119" i="1"/>
  <c r="S119" i="1" s="1"/>
  <c r="AI119" i="1"/>
  <c r="U118" i="1"/>
  <c r="S118" i="1" s="1"/>
  <c r="W118" i="1"/>
  <c r="AI118" i="1"/>
  <c r="AI117" i="1"/>
  <c r="U116" i="1"/>
  <c r="S116" i="1" s="1"/>
  <c r="AI116" i="1"/>
  <c r="U115" i="1"/>
  <c r="S115" i="1" s="1"/>
  <c r="AI115" i="1"/>
  <c r="W115" i="1"/>
  <c r="U114" i="1"/>
  <c r="S114" i="1" s="1"/>
  <c r="AI114" i="1"/>
  <c r="U113" i="1"/>
  <c r="S113" i="1" s="1"/>
  <c r="AI113" i="1"/>
  <c r="U112" i="1"/>
  <c r="S112" i="1" s="1"/>
  <c r="AI112" i="1"/>
  <c r="U111" i="1"/>
  <c r="S111" i="1" s="1"/>
  <c r="AI111" i="1"/>
  <c r="W111" i="1"/>
  <c r="AI108" i="1"/>
  <c r="AI107" i="1"/>
  <c r="W107" i="1"/>
  <c r="U106" i="1"/>
  <c r="S106" i="1" s="1"/>
  <c r="AI106" i="1"/>
  <c r="U105" i="1"/>
  <c r="S105" i="1" s="1"/>
  <c r="AI105" i="1"/>
  <c r="U104" i="1"/>
  <c r="S104" i="1" s="1"/>
  <c r="AI104" i="1"/>
  <c r="AI103" i="1"/>
  <c r="U102" i="1"/>
  <c r="S102" i="1" s="1"/>
  <c r="AI102" i="1"/>
  <c r="AI101" i="1"/>
  <c r="AI100" i="1"/>
  <c r="W100" i="1"/>
  <c r="AI99" i="1"/>
  <c r="W99" i="1"/>
  <c r="AI98" i="1"/>
  <c r="W98" i="1"/>
  <c r="AI97" i="1"/>
  <c r="W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U80" i="1"/>
  <c r="S80" i="1" s="1"/>
  <c r="AI80" i="1"/>
  <c r="U79" i="1"/>
  <c r="S79" i="1" s="1"/>
  <c r="AI79" i="1"/>
  <c r="U78" i="1"/>
  <c r="S78" i="1" s="1"/>
  <c r="AI78" i="1"/>
  <c r="U77" i="1"/>
  <c r="S77" i="1" s="1"/>
  <c r="AI77" i="1"/>
  <c r="U76" i="1"/>
  <c r="S76" i="1" s="1"/>
  <c r="AI76" i="1"/>
  <c r="U75" i="1"/>
  <c r="S75" i="1" s="1"/>
  <c r="AI75" i="1"/>
  <c r="U74" i="1"/>
  <c r="S74" i="1" s="1"/>
  <c r="AI74" i="1"/>
  <c r="U73" i="1"/>
  <c r="S73" i="1" s="1"/>
  <c r="AI73" i="1"/>
  <c r="U72" i="1"/>
  <c r="S72" i="1" s="1"/>
  <c r="AI72" i="1"/>
  <c r="AI71" i="1"/>
  <c r="U70" i="1"/>
  <c r="S70" i="1" s="1"/>
  <c r="AI70" i="1"/>
  <c r="AI69" i="1"/>
  <c r="AI68" i="1"/>
  <c r="AI67" i="1"/>
  <c r="U66" i="1"/>
  <c r="S66" i="1" s="1"/>
  <c r="AI66" i="1"/>
  <c r="AI65" i="1"/>
  <c r="U64" i="1"/>
  <c r="S64" i="1" s="1"/>
  <c r="AI64" i="1"/>
  <c r="AI63" i="1"/>
  <c r="U62" i="1"/>
  <c r="S62" i="1" s="1"/>
  <c r="AI62" i="1"/>
  <c r="AI61" i="1"/>
  <c r="W61" i="1"/>
  <c r="U60" i="1"/>
  <c r="S60" i="1" s="1"/>
  <c r="AI60" i="1"/>
  <c r="U59" i="1"/>
  <c r="S59" i="1" s="1"/>
  <c r="AI59" i="1"/>
  <c r="W59" i="1"/>
  <c r="U58" i="1"/>
  <c r="S58" i="1" s="1"/>
  <c r="AI58" i="1"/>
  <c r="U57" i="1"/>
  <c r="S57" i="1" s="1"/>
  <c r="AI57" i="1"/>
  <c r="W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38" i="1"/>
  <c r="AI37" i="1"/>
  <c r="AI36" i="1"/>
  <c r="AI35" i="1"/>
  <c r="W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U23" i="1"/>
  <c r="S23" i="1" s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168" i="1"/>
  <c r="W163" i="1"/>
  <c r="W173" i="1"/>
  <c r="W170" i="1"/>
  <c r="W175" i="1"/>
  <c r="W172" i="1"/>
  <c r="W176" i="1"/>
  <c r="W171" i="1"/>
  <c r="W245" i="1"/>
  <c r="W167" i="1"/>
  <c r="W165" i="1"/>
  <c r="W239" i="1"/>
  <c r="W235" i="1"/>
  <c r="W233" i="1"/>
  <c r="W231" i="1"/>
  <c r="W229" i="1"/>
  <c r="W220" i="1"/>
  <c r="W218" i="1"/>
  <c r="W216" i="1"/>
  <c r="W212" i="1"/>
  <c r="W210" i="1"/>
  <c r="W158" i="1"/>
  <c r="W156" i="1"/>
  <c r="W227" i="1"/>
  <c r="W225" i="1"/>
  <c r="W223" i="1"/>
  <c r="W208" i="1"/>
  <c r="W207" i="1"/>
  <c r="W205" i="1"/>
  <c r="W204" i="1"/>
  <c r="W203" i="1"/>
  <c r="W201" i="1"/>
  <c r="W200" i="1"/>
  <c r="W246" i="1"/>
  <c r="W198" i="1"/>
  <c r="W197" i="1"/>
  <c r="W196" i="1"/>
  <c r="W194" i="1"/>
  <c r="W193" i="1"/>
  <c r="W192" i="1"/>
  <c r="W190" i="1"/>
  <c r="W189" i="1"/>
  <c r="W188" i="1"/>
  <c r="W186" i="1"/>
  <c r="W185" i="1"/>
  <c r="W184" i="1"/>
  <c r="W182" i="1"/>
  <c r="W181" i="1"/>
  <c r="W180" i="1"/>
  <c r="W179" i="1"/>
  <c r="W178" i="1"/>
  <c r="W177" i="1"/>
  <c r="W174" i="1"/>
  <c r="W169" i="1"/>
  <c r="W162" i="1"/>
  <c r="W159" i="1"/>
  <c r="W221" i="1"/>
  <c r="W242" i="1"/>
  <c r="W150" i="1"/>
  <c r="W146" i="1"/>
  <c r="W142" i="1"/>
  <c r="W134" i="1"/>
  <c r="W130" i="1"/>
  <c r="T240" i="1"/>
  <c r="U240" i="1" s="1"/>
  <c r="S240" i="1" s="1"/>
  <c r="X240" i="1"/>
  <c r="T238" i="1"/>
  <c r="U238" i="1" s="1"/>
  <c r="S238" i="1" s="1"/>
  <c r="X238" i="1"/>
  <c r="T236" i="1"/>
  <c r="U236" i="1" s="1"/>
  <c r="S236" i="1" s="1"/>
  <c r="X236" i="1"/>
  <c r="T234" i="1"/>
  <c r="U234" i="1" s="1"/>
  <c r="S234" i="1" s="1"/>
  <c r="X234" i="1"/>
  <c r="T232" i="1"/>
  <c r="U232" i="1" s="1"/>
  <c r="S232" i="1" s="1"/>
  <c r="X232" i="1"/>
  <c r="T230" i="1"/>
  <c r="U230" i="1" s="1"/>
  <c r="S230" i="1" s="1"/>
  <c r="X230" i="1"/>
  <c r="T228" i="1"/>
  <c r="U228" i="1" s="1"/>
  <c r="S228" i="1" s="1"/>
  <c r="X228" i="1"/>
  <c r="T219" i="1"/>
  <c r="U219" i="1" s="1"/>
  <c r="S219" i="1" s="1"/>
  <c r="X219" i="1"/>
  <c r="T217" i="1"/>
  <c r="U217" i="1" s="1"/>
  <c r="S217" i="1" s="1"/>
  <c r="X217" i="1"/>
  <c r="T215" i="1"/>
  <c r="U215" i="1" s="1"/>
  <c r="S215" i="1" s="1"/>
  <c r="X215" i="1"/>
  <c r="T213" i="1"/>
  <c r="U213" i="1" s="1"/>
  <c r="S213" i="1" s="1"/>
  <c r="X213" i="1"/>
  <c r="T211" i="1"/>
  <c r="U211" i="1" s="1"/>
  <c r="S211" i="1" s="1"/>
  <c r="X211" i="1"/>
  <c r="T209" i="1"/>
  <c r="U209" i="1" s="1"/>
  <c r="S209" i="1" s="1"/>
  <c r="X209" i="1"/>
  <c r="T157" i="1"/>
  <c r="U157" i="1" s="1"/>
  <c r="S157" i="1" s="1"/>
  <c r="X157" i="1"/>
  <c r="T155" i="1"/>
  <c r="U155" i="1" s="1"/>
  <c r="S155" i="1" s="1"/>
  <c r="X155" i="1"/>
  <c r="W149" i="1"/>
  <c r="W133" i="1"/>
  <c r="W129" i="1"/>
  <c r="X227" i="1"/>
  <c r="X226" i="1"/>
  <c r="X225" i="1"/>
  <c r="X224" i="1"/>
  <c r="X223" i="1"/>
  <c r="X222" i="1"/>
  <c r="X208" i="1"/>
  <c r="X207" i="1"/>
  <c r="X206" i="1"/>
  <c r="X205" i="1"/>
  <c r="X204" i="1"/>
  <c r="X203" i="1"/>
  <c r="X202" i="1"/>
  <c r="X201" i="1"/>
  <c r="X200" i="1"/>
  <c r="X246" i="1"/>
  <c r="X199" i="1"/>
  <c r="X198" i="1"/>
  <c r="X197" i="1"/>
  <c r="X196" i="1"/>
  <c r="X195" i="1"/>
  <c r="X194" i="1"/>
  <c r="X193" i="1"/>
  <c r="X192" i="1"/>
  <c r="X191" i="1"/>
  <c r="X190" i="1"/>
  <c r="X189" i="1"/>
  <c r="X188" i="1"/>
  <c r="X187" i="1"/>
  <c r="X186" i="1"/>
  <c r="X185" i="1"/>
  <c r="X184" i="1"/>
  <c r="X183" i="1"/>
  <c r="X182" i="1"/>
  <c r="X181" i="1"/>
  <c r="X180" i="1"/>
  <c r="X179" i="1"/>
  <c r="X178" i="1"/>
  <c r="W161" i="1"/>
  <c r="W244" i="1"/>
  <c r="W243" i="1"/>
  <c r="W241" i="1"/>
  <c r="W154" i="1"/>
  <c r="W148" i="1"/>
  <c r="W144" i="1"/>
  <c r="W140" i="1"/>
  <c r="W136" i="1"/>
  <c r="W132" i="1"/>
  <c r="W128" i="1"/>
  <c r="W124" i="1"/>
  <c r="T239" i="1"/>
  <c r="U239" i="1" s="1"/>
  <c r="S239" i="1" s="1"/>
  <c r="X239" i="1"/>
  <c r="T237" i="1"/>
  <c r="U237" i="1" s="1"/>
  <c r="S237" i="1" s="1"/>
  <c r="X237" i="1"/>
  <c r="T235" i="1"/>
  <c r="U235" i="1" s="1"/>
  <c r="S235" i="1" s="1"/>
  <c r="X235" i="1"/>
  <c r="T233" i="1"/>
  <c r="U233" i="1" s="1"/>
  <c r="S233" i="1" s="1"/>
  <c r="X233" i="1"/>
  <c r="T231" i="1"/>
  <c r="U231" i="1" s="1"/>
  <c r="S231" i="1" s="1"/>
  <c r="X231" i="1"/>
  <c r="T229" i="1"/>
  <c r="U229" i="1" s="1"/>
  <c r="S229" i="1" s="1"/>
  <c r="X229" i="1"/>
  <c r="T220" i="1"/>
  <c r="U220" i="1" s="1"/>
  <c r="S220" i="1" s="1"/>
  <c r="X220" i="1"/>
  <c r="T218" i="1"/>
  <c r="U218" i="1" s="1"/>
  <c r="S218" i="1" s="1"/>
  <c r="X218" i="1"/>
  <c r="T216" i="1"/>
  <c r="U216" i="1" s="1"/>
  <c r="S216" i="1" s="1"/>
  <c r="X216" i="1"/>
  <c r="T214" i="1"/>
  <c r="U214" i="1" s="1"/>
  <c r="S214" i="1" s="1"/>
  <c r="X214" i="1"/>
  <c r="T212" i="1"/>
  <c r="U212" i="1" s="1"/>
  <c r="S212" i="1" s="1"/>
  <c r="X212" i="1"/>
  <c r="T210" i="1"/>
  <c r="U210" i="1" s="1"/>
  <c r="S210" i="1" s="1"/>
  <c r="X210" i="1"/>
  <c r="T158" i="1"/>
  <c r="U158" i="1" s="1"/>
  <c r="S158" i="1" s="1"/>
  <c r="X158" i="1"/>
  <c r="T156" i="1"/>
  <c r="U156" i="1" s="1"/>
  <c r="S156" i="1" s="1"/>
  <c r="X156" i="1"/>
  <c r="W153" i="1"/>
  <c r="W147" i="1"/>
  <c r="W143" i="1"/>
  <c r="W139" i="1"/>
  <c r="W135" i="1"/>
  <c r="W131" i="1"/>
  <c r="W127" i="1"/>
  <c r="W117" i="1"/>
  <c r="W105" i="1"/>
  <c r="T154" i="1"/>
  <c r="U154" i="1" s="1"/>
  <c r="S154" i="1" s="1"/>
  <c r="X154" i="1"/>
  <c r="T153" i="1"/>
  <c r="U153" i="1" s="1"/>
  <c r="S153" i="1" s="1"/>
  <c r="T150" i="1"/>
  <c r="U150" i="1" s="1"/>
  <c r="S150" i="1" s="1"/>
  <c r="X150" i="1"/>
  <c r="T149" i="1"/>
  <c r="U149" i="1" s="1"/>
  <c r="S149" i="1" s="1"/>
  <c r="X149" i="1"/>
  <c r="T148" i="1"/>
  <c r="U148" i="1" s="1"/>
  <c r="S148" i="1" s="1"/>
  <c r="X148" i="1"/>
  <c r="T147" i="1"/>
  <c r="U147" i="1" s="1"/>
  <c r="S147" i="1" s="1"/>
  <c r="X147" i="1"/>
  <c r="T146" i="1"/>
  <c r="U146" i="1" s="1"/>
  <c r="S146" i="1" s="1"/>
  <c r="X146" i="1"/>
  <c r="T145" i="1"/>
  <c r="U145" i="1" s="1"/>
  <c r="S145" i="1" s="1"/>
  <c r="X145" i="1"/>
  <c r="T144" i="1"/>
  <c r="U144" i="1" s="1"/>
  <c r="S144" i="1" s="1"/>
  <c r="X144" i="1"/>
  <c r="T143" i="1"/>
  <c r="U143" i="1" s="1"/>
  <c r="S143" i="1" s="1"/>
  <c r="X143" i="1"/>
  <c r="T142" i="1"/>
  <c r="U142" i="1" s="1"/>
  <c r="S142" i="1" s="1"/>
  <c r="X142" i="1"/>
  <c r="T141" i="1"/>
  <c r="U141" i="1" s="1"/>
  <c r="S141" i="1" s="1"/>
  <c r="X141" i="1"/>
  <c r="T140" i="1"/>
  <c r="U140" i="1" s="1"/>
  <c r="S140" i="1" s="1"/>
  <c r="X140" i="1"/>
  <c r="T139" i="1"/>
  <c r="U139" i="1" s="1"/>
  <c r="S139" i="1" s="1"/>
  <c r="X139" i="1"/>
  <c r="T138" i="1"/>
  <c r="U138" i="1" s="1"/>
  <c r="S138" i="1" s="1"/>
  <c r="X138" i="1"/>
  <c r="T137" i="1"/>
  <c r="U137" i="1" s="1"/>
  <c r="S137" i="1" s="1"/>
  <c r="X137" i="1"/>
  <c r="T136" i="1"/>
  <c r="U136" i="1" s="1"/>
  <c r="S136" i="1" s="1"/>
  <c r="X136" i="1"/>
  <c r="T135" i="1"/>
  <c r="U135" i="1" s="1"/>
  <c r="X135" i="1"/>
  <c r="T134" i="1"/>
  <c r="U134" i="1" s="1"/>
  <c r="S134" i="1" s="1"/>
  <c r="X134" i="1"/>
  <c r="T133" i="1"/>
  <c r="U133" i="1" s="1"/>
  <c r="S133" i="1" s="1"/>
  <c r="X133" i="1"/>
  <c r="T132" i="1"/>
  <c r="U132" i="1" s="1"/>
  <c r="S132" i="1" s="1"/>
  <c r="X132" i="1"/>
  <c r="T131" i="1"/>
  <c r="U131" i="1" s="1"/>
  <c r="S131" i="1" s="1"/>
  <c r="X131" i="1"/>
  <c r="T130" i="1"/>
  <c r="U130" i="1" s="1"/>
  <c r="S130" i="1" s="1"/>
  <c r="X130" i="1"/>
  <c r="T129" i="1"/>
  <c r="U129" i="1" s="1"/>
  <c r="X129" i="1"/>
  <c r="W116" i="1"/>
  <c r="W112" i="1"/>
  <c r="W106" i="1"/>
  <c r="W103" i="1"/>
  <c r="W101" i="1"/>
  <c r="W104" i="1"/>
  <c r="W102" i="1"/>
  <c r="W108" i="1"/>
  <c r="W74" i="1"/>
  <c r="W70" i="1"/>
  <c r="W64" i="1"/>
  <c r="W62" i="1"/>
  <c r="W72" i="1"/>
  <c r="W60" i="1"/>
  <c r="T103" i="1"/>
  <c r="U103" i="1" s="1"/>
  <c r="S103" i="1" s="1"/>
  <c r="T101" i="1"/>
  <c r="U101" i="1" s="1"/>
  <c r="S101" i="1" s="1"/>
  <c r="W96" i="1"/>
  <c r="W94" i="1"/>
  <c r="W93" i="1"/>
  <c r="W92" i="1"/>
  <c r="W91" i="1"/>
  <c r="W89" i="1"/>
  <c r="W87" i="1"/>
  <c r="W85" i="1"/>
  <c r="W83" i="1"/>
  <c r="W81" i="1"/>
  <c r="W80" i="1"/>
  <c r="W79" i="1"/>
  <c r="W77" i="1"/>
  <c r="W76" i="1"/>
  <c r="W75" i="1"/>
  <c r="W58" i="1"/>
  <c r="X128" i="1"/>
  <c r="X127" i="1"/>
  <c r="X126" i="1"/>
  <c r="X125" i="1"/>
  <c r="X124" i="1"/>
  <c r="X123" i="1"/>
  <c r="X122" i="1"/>
  <c r="X121" i="1"/>
  <c r="X120" i="1"/>
  <c r="X119" i="1"/>
  <c r="X118" i="1"/>
  <c r="T100" i="1"/>
  <c r="U100" i="1" s="1"/>
  <c r="S100" i="1" s="1"/>
  <c r="X100" i="1"/>
  <c r="T99" i="1"/>
  <c r="U99" i="1" s="1"/>
  <c r="S99" i="1" s="1"/>
  <c r="X99" i="1"/>
  <c r="T98" i="1"/>
  <c r="U98" i="1" s="1"/>
  <c r="S98" i="1" s="1"/>
  <c r="X98" i="1"/>
  <c r="T97" i="1"/>
  <c r="U97" i="1" s="1"/>
  <c r="S97" i="1" s="1"/>
  <c r="X97" i="1"/>
  <c r="T96" i="1"/>
  <c r="U96" i="1" s="1"/>
  <c r="S96" i="1" s="1"/>
  <c r="X96" i="1"/>
  <c r="T95" i="1"/>
  <c r="U95" i="1" s="1"/>
  <c r="S95" i="1" s="1"/>
  <c r="X95" i="1"/>
  <c r="T94" i="1"/>
  <c r="U94" i="1" s="1"/>
  <c r="S94" i="1" s="1"/>
  <c r="X94" i="1"/>
  <c r="T93" i="1"/>
  <c r="U93" i="1" s="1"/>
  <c r="S93" i="1" s="1"/>
  <c r="X93" i="1"/>
  <c r="T92" i="1"/>
  <c r="U92" i="1" s="1"/>
  <c r="S92" i="1" s="1"/>
  <c r="X92" i="1"/>
  <c r="T91" i="1"/>
  <c r="U91" i="1" s="1"/>
  <c r="S91" i="1" s="1"/>
  <c r="X91" i="1"/>
  <c r="T90" i="1"/>
  <c r="U90" i="1" s="1"/>
  <c r="S90" i="1" s="1"/>
  <c r="X90" i="1"/>
  <c r="T89" i="1"/>
  <c r="U89" i="1" s="1"/>
  <c r="S89" i="1" s="1"/>
  <c r="X89" i="1"/>
  <c r="T88" i="1"/>
  <c r="U88" i="1" s="1"/>
  <c r="S88" i="1" s="1"/>
  <c r="X88" i="1"/>
  <c r="T87" i="1"/>
  <c r="U87" i="1" s="1"/>
  <c r="S87" i="1" s="1"/>
  <c r="X87" i="1"/>
  <c r="T86" i="1"/>
  <c r="U86" i="1" s="1"/>
  <c r="S86" i="1" s="1"/>
  <c r="X86" i="1"/>
  <c r="T85" i="1"/>
  <c r="U85" i="1" s="1"/>
  <c r="S85" i="1" s="1"/>
  <c r="X85" i="1"/>
  <c r="T84" i="1"/>
  <c r="U84" i="1" s="1"/>
  <c r="S84" i="1" s="1"/>
  <c r="X84" i="1"/>
  <c r="T83" i="1"/>
  <c r="U83" i="1" s="1"/>
  <c r="S83" i="1" s="1"/>
  <c r="X83" i="1"/>
  <c r="T82" i="1"/>
  <c r="U82" i="1" s="1"/>
  <c r="S82" i="1" s="1"/>
  <c r="X82" i="1"/>
  <c r="T81" i="1"/>
  <c r="U81" i="1" s="1"/>
  <c r="S81" i="1" s="1"/>
  <c r="X81" i="1"/>
  <c r="W73" i="1"/>
  <c r="W68" i="1"/>
  <c r="W63" i="1"/>
  <c r="X80" i="1"/>
  <c r="X79" i="1"/>
  <c r="X78" i="1"/>
  <c r="X77" i="1"/>
  <c r="X76" i="1"/>
  <c r="T71" i="1"/>
  <c r="U71" i="1" s="1"/>
  <c r="S71" i="1" s="1"/>
  <c r="T69" i="1"/>
  <c r="U69" i="1" s="1"/>
  <c r="S69" i="1" s="1"/>
  <c r="T67" i="1"/>
  <c r="U67" i="1" s="1"/>
  <c r="S67" i="1" s="1"/>
  <c r="T63" i="1"/>
  <c r="U63" i="1" s="1"/>
  <c r="S63" i="1" s="1"/>
  <c r="W55" i="1"/>
  <c r="W47" i="1"/>
  <c r="W43" i="1"/>
  <c r="W38" i="1"/>
  <c r="W54" i="1"/>
  <c r="W50" i="1"/>
  <c r="W42" i="1"/>
  <c r="W37" i="1"/>
  <c r="W53" i="1"/>
  <c r="W49" i="1"/>
  <c r="W45" i="1"/>
  <c r="W41" i="1"/>
  <c r="W36" i="1"/>
  <c r="T65" i="1"/>
  <c r="U65" i="1" s="1"/>
  <c r="S65" i="1" s="1"/>
  <c r="W56" i="1"/>
  <c r="W52" i="1"/>
  <c r="W48" i="1"/>
  <c r="W44" i="1"/>
  <c r="W33" i="1"/>
  <c r="W32" i="1"/>
  <c r="W31" i="1"/>
  <c r="W30" i="1"/>
  <c r="W29" i="1"/>
  <c r="W28" i="1"/>
  <c r="W27" i="1"/>
  <c r="W26" i="1"/>
  <c r="W25" i="1"/>
  <c r="W24" i="1"/>
  <c r="W23" i="1"/>
  <c r="W22" i="1"/>
  <c r="W20" i="1"/>
  <c r="W19" i="1"/>
  <c r="W18" i="1"/>
  <c r="W17" i="1"/>
  <c r="W15" i="1"/>
  <c r="W14" i="1"/>
  <c r="T56" i="1"/>
  <c r="U56" i="1" s="1"/>
  <c r="S56" i="1" s="1"/>
  <c r="X56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X23" i="1"/>
  <c r="X22" i="1"/>
  <c r="X21" i="1"/>
  <c r="X20" i="1"/>
  <c r="X19" i="1"/>
  <c r="X18" i="1"/>
  <c r="X17" i="1"/>
  <c r="X16" i="1"/>
  <c r="X15" i="1"/>
  <c r="Y18" i="3"/>
  <c r="Y27" i="3"/>
  <c r="Y34" i="3"/>
  <c r="Y40" i="3"/>
  <c r="Y33" i="3"/>
  <c r="Y14" i="3"/>
  <c r="Y11" i="3"/>
  <c r="Y12" i="3"/>
  <c r="Y28" i="3"/>
  <c r="Y44" i="3"/>
  <c r="Y19" i="3"/>
  <c r="Y26" i="3"/>
  <c r="Y45" i="3"/>
  <c r="Y21" i="3"/>
  <c r="Y36" i="3"/>
  <c r="Y37" i="3"/>
  <c r="Y8" i="3"/>
  <c r="Y35" i="3"/>
  <c r="Y15" i="3"/>
  <c r="Y13" i="3"/>
  <c r="Y17" i="3"/>
  <c r="Y29" i="3"/>
  <c r="Y7" i="3"/>
  <c r="Y22" i="3"/>
  <c r="Y31" i="3"/>
  <c r="Y25" i="3"/>
  <c r="Y9" i="3"/>
  <c r="Y30" i="3"/>
  <c r="Y10" i="3"/>
  <c r="Y23" i="3"/>
  <c r="Y41" i="3"/>
  <c r="Y43" i="3"/>
  <c r="Y32" i="3"/>
  <c r="Y16" i="3"/>
  <c r="Y24" i="3"/>
  <c r="Y39" i="3"/>
  <c r="Y38" i="3"/>
  <c r="Y42" i="3"/>
  <c r="Y20" i="3"/>
  <c r="B5" i="6" l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D4" i="6" s="1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L157" i="1" s="1"/>
  <c r="G251" i="4"/>
  <c r="L154" i="1" s="1"/>
  <c r="G252" i="4"/>
  <c r="L156" i="1" s="1"/>
  <c r="G253" i="4"/>
  <c r="L220" i="1" s="1"/>
  <c r="G254" i="4"/>
  <c r="G255" i="4"/>
  <c r="L214" i="1" s="1"/>
  <c r="G256" i="4"/>
  <c r="L158" i="1" s="1"/>
  <c r="G257" i="4"/>
  <c r="L216" i="1" s="1"/>
  <c r="G258" i="4"/>
  <c r="L221" i="1" s="1"/>
  <c r="G259" i="4"/>
  <c r="L218" i="1" s="1"/>
  <c r="G260" i="4"/>
  <c r="N19" i="3" l="1"/>
  <c r="N28" i="3"/>
  <c r="N17" i="3"/>
  <c r="G224" i="4"/>
  <c r="L142" i="1" s="1"/>
  <c r="G225" i="4"/>
  <c r="L145" i="1" s="1"/>
  <c r="G226" i="4"/>
  <c r="L246" i="1" s="1"/>
  <c r="G227" i="4"/>
  <c r="L204" i="1" s="1"/>
  <c r="G228" i="4"/>
  <c r="L147" i="1" s="1"/>
  <c r="G229" i="4"/>
  <c r="G230" i="4"/>
  <c r="L144" i="1" s="1"/>
  <c r="G231" i="4"/>
  <c r="G232" i="4"/>
  <c r="L207" i="1" s="1"/>
  <c r="G233" i="4"/>
  <c r="G234" i="4"/>
  <c r="L149" i="1" s="1"/>
  <c r="G235" i="4"/>
  <c r="L146" i="1" s="1"/>
  <c r="G236" i="4"/>
  <c r="G237" i="4"/>
  <c r="L206" i="1" s="1"/>
  <c r="G238" i="4"/>
  <c r="L148" i="1" s="1"/>
  <c r="G239" i="4"/>
  <c r="G240" i="4"/>
  <c r="G241" i="4"/>
  <c r="L151" i="1" s="1"/>
  <c r="G242" i="4"/>
  <c r="L208" i="1" s="1"/>
  <c r="G243" i="4"/>
  <c r="L153" i="1" s="1"/>
  <c r="G244" i="4"/>
  <c r="L150" i="1" s="1"/>
  <c r="G245" i="4"/>
  <c r="G246" i="4"/>
  <c r="L227" i="1" s="1"/>
  <c r="G247" i="4"/>
  <c r="G248" i="4"/>
  <c r="L155" i="1" s="1"/>
  <c r="G249" i="4"/>
  <c r="L152" i="1" s="1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V164" i="1" l="1"/>
  <c r="S39" i="3" s="1"/>
  <c r="V160" i="1"/>
  <c r="S38" i="3" s="1"/>
  <c r="AN151" i="1"/>
  <c r="AO152" i="1"/>
  <c r="AN109" i="1"/>
  <c r="AN110" i="1"/>
  <c r="AO40" i="1"/>
  <c r="V39" i="1"/>
  <c r="V185" i="1"/>
  <c r="AN164" i="1"/>
  <c r="AN160" i="1"/>
  <c r="AO151" i="1"/>
  <c r="V152" i="1"/>
  <c r="AO109" i="1"/>
  <c r="AO110" i="1"/>
  <c r="AO164" i="1"/>
  <c r="AO160" i="1"/>
  <c r="V110" i="1"/>
  <c r="V40" i="1"/>
  <c r="S24" i="3" s="1"/>
  <c r="V151" i="1"/>
  <c r="AN152" i="1"/>
  <c r="V109" i="1"/>
  <c r="AN40" i="1"/>
  <c r="AN39" i="1"/>
  <c r="AO39" i="1"/>
  <c r="V14" i="1"/>
  <c r="AN16" i="1"/>
  <c r="AO17" i="1"/>
  <c r="V18" i="1"/>
  <c r="AN20" i="1"/>
  <c r="AO21" i="1"/>
  <c r="V22" i="1"/>
  <c r="AN24" i="1"/>
  <c r="AO25" i="1"/>
  <c r="V26" i="1"/>
  <c r="S14" i="3" s="1"/>
  <c r="AN28" i="1"/>
  <c r="AO29" i="1"/>
  <c r="V30" i="1"/>
  <c r="AN32" i="1"/>
  <c r="AO33" i="1"/>
  <c r="V34" i="1"/>
  <c r="AN36" i="1"/>
  <c r="AO37" i="1"/>
  <c r="V38" i="1"/>
  <c r="AN42" i="1"/>
  <c r="AO43" i="1"/>
  <c r="AN44" i="1"/>
  <c r="AO45" i="1"/>
  <c r="AO46" i="1"/>
  <c r="V47" i="1"/>
  <c r="V48" i="1"/>
  <c r="AN51" i="1"/>
  <c r="AO52" i="1"/>
  <c r="V53" i="1"/>
  <c r="AN55" i="1"/>
  <c r="AO56" i="1"/>
  <c r="V57" i="1"/>
  <c r="AN59" i="1"/>
  <c r="AO60" i="1"/>
  <c r="V61" i="1"/>
  <c r="AN63" i="1"/>
  <c r="AN64" i="1"/>
  <c r="AN65" i="1"/>
  <c r="AN15" i="1"/>
  <c r="AO16" i="1"/>
  <c r="V17" i="1"/>
  <c r="AN19" i="1"/>
  <c r="AO20" i="1"/>
  <c r="V21" i="1"/>
  <c r="AN23" i="1"/>
  <c r="AO24" i="1"/>
  <c r="V25" i="1"/>
  <c r="S11" i="3" s="1"/>
  <c r="AN27" i="1"/>
  <c r="AO28" i="1"/>
  <c r="V29" i="1"/>
  <c r="AN31" i="1"/>
  <c r="AO32" i="1"/>
  <c r="V33" i="1"/>
  <c r="AN35" i="1"/>
  <c r="AO36" i="1"/>
  <c r="V37" i="1"/>
  <c r="AN41" i="1"/>
  <c r="AO42" i="1"/>
  <c r="V43" i="1"/>
  <c r="V44" i="1"/>
  <c r="AO44" i="1"/>
  <c r="V45" i="1"/>
  <c r="V46" i="1"/>
  <c r="AN49" i="1"/>
  <c r="AN50" i="1"/>
  <c r="AO51" i="1"/>
  <c r="V52" i="1"/>
  <c r="AN54" i="1"/>
  <c r="AO55" i="1"/>
  <c r="V56" i="1"/>
  <c r="AN58" i="1"/>
  <c r="AO59" i="1"/>
  <c r="V60" i="1"/>
  <c r="AN62" i="1"/>
  <c r="AO63" i="1"/>
  <c r="V64" i="1"/>
  <c r="AO64" i="1"/>
  <c r="AO65" i="1"/>
  <c r="AO66" i="1"/>
  <c r="AO67" i="1"/>
  <c r="AN14" i="1"/>
  <c r="AO15" i="1"/>
  <c r="V16" i="1"/>
  <c r="AN18" i="1"/>
  <c r="AO19" i="1"/>
  <c r="V20" i="1"/>
  <c r="AN22" i="1"/>
  <c r="AO23" i="1"/>
  <c r="V24" i="1"/>
  <c r="AN26" i="1"/>
  <c r="AO27" i="1"/>
  <c r="V28" i="1"/>
  <c r="S23" i="3" s="1"/>
  <c r="AN30" i="1"/>
  <c r="AO31" i="1"/>
  <c r="V32" i="1"/>
  <c r="AN34" i="1"/>
  <c r="AO35" i="1"/>
  <c r="V36" i="1"/>
  <c r="AN38" i="1"/>
  <c r="AO41" i="1"/>
  <c r="V42" i="1"/>
  <c r="AN47" i="1"/>
  <c r="AN48" i="1"/>
  <c r="AO49" i="1"/>
  <c r="AO50" i="1"/>
  <c r="V51" i="1"/>
  <c r="AN53" i="1"/>
  <c r="AO54" i="1"/>
  <c r="V55" i="1"/>
  <c r="AN57" i="1"/>
  <c r="AO58" i="1"/>
  <c r="V59" i="1"/>
  <c r="AN61" i="1"/>
  <c r="AO62" i="1"/>
  <c r="V63" i="1"/>
  <c r="S16" i="3" s="1"/>
  <c r="V65" i="1"/>
  <c r="S30" i="3" s="1"/>
  <c r="V66" i="1"/>
  <c r="AO14" i="1"/>
  <c r="V15" i="1"/>
  <c r="AN17" i="1"/>
  <c r="AO18" i="1"/>
  <c r="V19" i="1"/>
  <c r="AN21" i="1"/>
  <c r="AO22" i="1"/>
  <c r="V23" i="1"/>
  <c r="AN25" i="1"/>
  <c r="AO26" i="1"/>
  <c r="V27" i="1"/>
  <c r="AN29" i="1"/>
  <c r="AO30" i="1"/>
  <c r="V31" i="1"/>
  <c r="AN33" i="1"/>
  <c r="AO34" i="1"/>
  <c r="V35" i="1"/>
  <c r="AN37" i="1"/>
  <c r="AO38" i="1"/>
  <c r="V41" i="1"/>
  <c r="AN43" i="1"/>
  <c r="AN45" i="1"/>
  <c r="AN46" i="1"/>
  <c r="AO47" i="1"/>
  <c r="AO48" i="1"/>
  <c r="V49" i="1"/>
  <c r="V50" i="1"/>
  <c r="AN52" i="1"/>
  <c r="AO53" i="1"/>
  <c r="V54" i="1"/>
  <c r="AN56" i="1"/>
  <c r="AO57" i="1"/>
  <c r="V58" i="1"/>
  <c r="AN60" i="1"/>
  <c r="AO61" i="1"/>
  <c r="V62" i="1"/>
  <c r="AN66" i="1"/>
  <c r="V67" i="1"/>
  <c r="AN69" i="1"/>
  <c r="AN70" i="1"/>
  <c r="AN71" i="1"/>
  <c r="AN72" i="1"/>
  <c r="AN67" i="1"/>
  <c r="AN68" i="1"/>
  <c r="AO69" i="1"/>
  <c r="V70" i="1"/>
  <c r="AO70" i="1"/>
  <c r="AO71" i="1"/>
  <c r="AO72" i="1"/>
  <c r="AN73" i="1"/>
  <c r="AN74" i="1"/>
  <c r="AN75" i="1"/>
  <c r="AN76" i="1"/>
  <c r="V68" i="1"/>
  <c r="AO68" i="1"/>
  <c r="V69" i="1"/>
  <c r="V71" i="1"/>
  <c r="V72" i="1"/>
  <c r="V73" i="1"/>
  <c r="AO73" i="1"/>
  <c r="V74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V75" i="1"/>
  <c r="V76" i="1"/>
  <c r="AN77" i="1"/>
  <c r="V78" i="1"/>
  <c r="AN81" i="1"/>
  <c r="V82" i="1"/>
  <c r="S7" i="3" s="1"/>
  <c r="AN85" i="1"/>
  <c r="V86" i="1"/>
  <c r="AN89" i="1"/>
  <c r="V90" i="1"/>
  <c r="AN93" i="1"/>
  <c r="V94" i="1"/>
  <c r="S25" i="3" s="1"/>
  <c r="AN98" i="1"/>
  <c r="AO99" i="1"/>
  <c r="V100" i="1"/>
  <c r="AN105" i="1"/>
  <c r="AN106" i="1"/>
  <c r="AN107" i="1"/>
  <c r="AN108" i="1"/>
  <c r="AO111" i="1"/>
  <c r="V112" i="1"/>
  <c r="V113" i="1"/>
  <c r="V114" i="1"/>
  <c r="V115" i="1"/>
  <c r="AO115" i="1"/>
  <c r="V116" i="1"/>
  <c r="AN118" i="1"/>
  <c r="AO119" i="1"/>
  <c r="V120" i="1"/>
  <c r="AN122" i="1"/>
  <c r="AO123" i="1"/>
  <c r="AO124" i="1"/>
  <c r="V125" i="1"/>
  <c r="AN127" i="1"/>
  <c r="AO128" i="1"/>
  <c r="V129" i="1"/>
  <c r="AN131" i="1"/>
  <c r="AN132" i="1"/>
  <c r="AO133" i="1"/>
  <c r="V134" i="1"/>
  <c r="AN135" i="1"/>
  <c r="AO136" i="1"/>
  <c r="V137" i="1"/>
  <c r="AN78" i="1"/>
  <c r="V79" i="1"/>
  <c r="AN82" i="1"/>
  <c r="V83" i="1"/>
  <c r="S13" i="3" s="1"/>
  <c r="AN86" i="1"/>
  <c r="V87" i="1"/>
  <c r="AN90" i="1"/>
  <c r="V91" i="1"/>
  <c r="AN94" i="1"/>
  <c r="V95" i="1"/>
  <c r="AN97" i="1"/>
  <c r="AO98" i="1"/>
  <c r="V99" i="1"/>
  <c r="AN101" i="1"/>
  <c r="AN102" i="1"/>
  <c r="AN103" i="1"/>
  <c r="AN104" i="1"/>
  <c r="AO105" i="1"/>
  <c r="V106" i="1"/>
  <c r="AO106" i="1"/>
  <c r="AO107" i="1"/>
  <c r="AO108" i="1"/>
  <c r="V111" i="1"/>
  <c r="AN79" i="1"/>
  <c r="V80" i="1"/>
  <c r="AN83" i="1"/>
  <c r="V84" i="1"/>
  <c r="AN87" i="1"/>
  <c r="V88" i="1"/>
  <c r="AN91" i="1"/>
  <c r="V92" i="1"/>
  <c r="AN95" i="1"/>
  <c r="V96" i="1"/>
  <c r="S29" i="3" s="1"/>
  <c r="AO97" i="1"/>
  <c r="V98" i="1"/>
  <c r="S15" i="3" s="1"/>
  <c r="AN100" i="1"/>
  <c r="AO101" i="1"/>
  <c r="V102" i="1"/>
  <c r="AO102" i="1"/>
  <c r="AO103" i="1"/>
  <c r="AO104" i="1"/>
  <c r="V105" i="1"/>
  <c r="V107" i="1"/>
  <c r="V108" i="1"/>
  <c r="AN112" i="1"/>
  <c r="AN113" i="1"/>
  <c r="AN114" i="1"/>
  <c r="AN116" i="1"/>
  <c r="AO117" i="1"/>
  <c r="V118" i="1"/>
  <c r="AN120" i="1"/>
  <c r="AO121" i="1"/>
  <c r="V122" i="1"/>
  <c r="AN125" i="1"/>
  <c r="AO126" i="1"/>
  <c r="V127" i="1"/>
  <c r="AN129" i="1"/>
  <c r="AO130" i="1"/>
  <c r="V131" i="1"/>
  <c r="V132" i="1"/>
  <c r="AN134" i="1"/>
  <c r="AN137" i="1"/>
  <c r="V77" i="1"/>
  <c r="AN80" i="1"/>
  <c r="V81" i="1"/>
  <c r="AN84" i="1"/>
  <c r="V85" i="1"/>
  <c r="AN88" i="1"/>
  <c r="V89" i="1"/>
  <c r="AN92" i="1"/>
  <c r="V93" i="1"/>
  <c r="AN96" i="1"/>
  <c r="V97" i="1"/>
  <c r="AN99" i="1"/>
  <c r="AO100" i="1"/>
  <c r="V101" i="1"/>
  <c r="V103" i="1"/>
  <c r="V104" i="1"/>
  <c r="AN111" i="1"/>
  <c r="AO112" i="1"/>
  <c r="AO113" i="1"/>
  <c r="AO114" i="1"/>
  <c r="AN115" i="1"/>
  <c r="AO116" i="1"/>
  <c r="V117" i="1"/>
  <c r="S31" i="3" s="1"/>
  <c r="AN119" i="1"/>
  <c r="AO120" i="1"/>
  <c r="V121" i="1"/>
  <c r="AN123" i="1"/>
  <c r="AN124" i="1"/>
  <c r="AO125" i="1"/>
  <c r="V126" i="1"/>
  <c r="AN128" i="1"/>
  <c r="AO129" i="1"/>
  <c r="V130" i="1"/>
  <c r="AN133" i="1"/>
  <c r="AO134" i="1"/>
  <c r="V135" i="1"/>
  <c r="AN136" i="1"/>
  <c r="AO137" i="1"/>
  <c r="V138" i="1"/>
  <c r="AN140" i="1"/>
  <c r="AO141" i="1"/>
  <c r="V142" i="1"/>
  <c r="AO118" i="1"/>
  <c r="AO127" i="1"/>
  <c r="V136" i="1"/>
  <c r="AN139" i="1"/>
  <c r="V140" i="1"/>
  <c r="AO142" i="1"/>
  <c r="V143" i="1"/>
  <c r="V144" i="1"/>
  <c r="AO144" i="1"/>
  <c r="V145" i="1"/>
  <c r="AN147" i="1"/>
  <c r="AO148" i="1"/>
  <c r="V149" i="1"/>
  <c r="AN153" i="1"/>
  <c r="AN154" i="1"/>
  <c r="AO155" i="1"/>
  <c r="V156" i="1"/>
  <c r="AN158" i="1"/>
  <c r="AO159" i="1"/>
  <c r="V210" i="1"/>
  <c r="AN163" i="1"/>
  <c r="AO165" i="1"/>
  <c r="V214" i="1"/>
  <c r="AN168" i="1"/>
  <c r="AO169" i="1"/>
  <c r="V218" i="1"/>
  <c r="AN172" i="1"/>
  <c r="AO173" i="1"/>
  <c r="V229" i="1"/>
  <c r="AN176" i="1"/>
  <c r="AO177" i="1"/>
  <c r="V233" i="1"/>
  <c r="AN180" i="1"/>
  <c r="AO181" i="1"/>
  <c r="V237" i="1"/>
  <c r="AN184" i="1"/>
  <c r="AO185" i="1"/>
  <c r="AN186" i="1"/>
  <c r="AN117" i="1"/>
  <c r="V123" i="1"/>
  <c r="V124" i="1"/>
  <c r="AN126" i="1"/>
  <c r="V133" i="1"/>
  <c r="AO135" i="1"/>
  <c r="AN138" i="1"/>
  <c r="AO139" i="1"/>
  <c r="AN146" i="1"/>
  <c r="AO147" i="1"/>
  <c r="V148" i="1"/>
  <c r="AN150" i="1"/>
  <c r="AO153" i="1"/>
  <c r="AO154" i="1"/>
  <c r="V155" i="1"/>
  <c r="AN157" i="1"/>
  <c r="AO158" i="1"/>
  <c r="V209" i="1"/>
  <c r="AO122" i="1"/>
  <c r="AO131" i="1"/>
  <c r="AO132" i="1"/>
  <c r="AO138" i="1"/>
  <c r="V139" i="1"/>
  <c r="AO140" i="1"/>
  <c r="V141" i="1"/>
  <c r="AN143" i="1"/>
  <c r="AN145" i="1"/>
  <c r="AO146" i="1"/>
  <c r="V147" i="1"/>
  <c r="AN149" i="1"/>
  <c r="AO150" i="1"/>
  <c r="V153" i="1"/>
  <c r="V154" i="1"/>
  <c r="S17" i="3" s="1"/>
  <c r="AN156" i="1"/>
  <c r="AO157" i="1"/>
  <c r="V158" i="1"/>
  <c r="AN161" i="1"/>
  <c r="AO162" i="1"/>
  <c r="V212" i="1"/>
  <c r="AN166" i="1"/>
  <c r="AO167" i="1"/>
  <c r="V216" i="1"/>
  <c r="AN170" i="1"/>
  <c r="AO171" i="1"/>
  <c r="V220" i="1"/>
  <c r="AN174" i="1"/>
  <c r="AO175" i="1"/>
  <c r="V231" i="1"/>
  <c r="AN178" i="1"/>
  <c r="AO179" i="1"/>
  <c r="V235" i="1"/>
  <c r="AN182" i="1"/>
  <c r="AO183" i="1"/>
  <c r="V239" i="1"/>
  <c r="V242" i="1"/>
  <c r="AN192" i="1"/>
  <c r="AN193" i="1"/>
  <c r="AO194" i="1"/>
  <c r="V119" i="1"/>
  <c r="AN121" i="1"/>
  <c r="V128" i="1"/>
  <c r="S22" i="3" s="1"/>
  <c r="AN130" i="1"/>
  <c r="AN141" i="1"/>
  <c r="AN142" i="1"/>
  <c r="AO143" i="1"/>
  <c r="AN144" i="1"/>
  <c r="AO145" i="1"/>
  <c r="V146" i="1"/>
  <c r="AN148" i="1"/>
  <c r="AO149" i="1"/>
  <c r="V150" i="1"/>
  <c r="AN155" i="1"/>
  <c r="AO156" i="1"/>
  <c r="V157" i="1"/>
  <c r="AN159" i="1"/>
  <c r="AO161" i="1"/>
  <c r="V211" i="1"/>
  <c r="AN165" i="1"/>
  <c r="AO166" i="1"/>
  <c r="V215" i="1"/>
  <c r="AN169" i="1"/>
  <c r="AO170" i="1"/>
  <c r="V219" i="1"/>
  <c r="AN173" i="1"/>
  <c r="AO174" i="1"/>
  <c r="V230" i="1"/>
  <c r="AN177" i="1"/>
  <c r="AO178" i="1"/>
  <c r="V234" i="1"/>
  <c r="AN181" i="1"/>
  <c r="AO182" i="1"/>
  <c r="V238" i="1"/>
  <c r="AN185" i="1"/>
  <c r="AN188" i="1"/>
  <c r="AN189" i="1"/>
  <c r="AN190" i="1"/>
  <c r="AN191" i="1"/>
  <c r="AO192" i="1"/>
  <c r="V162" i="1"/>
  <c r="AO193" i="1"/>
  <c r="V163" i="1"/>
  <c r="V165" i="1"/>
  <c r="V166" i="1"/>
  <c r="S36" i="3" s="1"/>
  <c r="V167" i="1"/>
  <c r="AO197" i="1"/>
  <c r="AO198" i="1"/>
  <c r="V245" i="1"/>
  <c r="AN201" i="1"/>
  <c r="AO202" i="1"/>
  <c r="V172" i="1"/>
  <c r="V174" i="1"/>
  <c r="S40" i="3" s="1"/>
  <c r="AO163" i="1"/>
  <c r="AO172" i="1"/>
  <c r="AO180" i="1"/>
  <c r="AO187" i="1"/>
  <c r="V221" i="1"/>
  <c r="AN196" i="1"/>
  <c r="AN198" i="1"/>
  <c r="AN199" i="1"/>
  <c r="AO200" i="1"/>
  <c r="AN204" i="1"/>
  <c r="V175" i="1"/>
  <c r="V176" i="1"/>
  <c r="AO207" i="1"/>
  <c r="V177" i="1"/>
  <c r="AN210" i="1"/>
  <c r="AO211" i="1"/>
  <c r="V181" i="1"/>
  <c r="S34" i="3" s="1"/>
  <c r="AN214" i="1"/>
  <c r="AO215" i="1"/>
  <c r="AN217" i="1"/>
  <c r="AO218" i="1"/>
  <c r="V188" i="1"/>
  <c r="AN221" i="1"/>
  <c r="AO222" i="1"/>
  <c r="V192" i="1"/>
  <c r="AN225" i="1"/>
  <c r="AO226" i="1"/>
  <c r="V196" i="1"/>
  <c r="AN229" i="1"/>
  <c r="AO230" i="1"/>
  <c r="V246" i="1"/>
  <c r="AN233" i="1"/>
  <c r="AO234" i="1"/>
  <c r="V203" i="1"/>
  <c r="AN162" i="1"/>
  <c r="V217" i="1"/>
  <c r="AN171" i="1"/>
  <c r="V232" i="1"/>
  <c r="AN179" i="1"/>
  <c r="V240" i="1"/>
  <c r="V241" i="1"/>
  <c r="S44" i="3" s="1"/>
  <c r="AO188" i="1"/>
  <c r="AO190" i="1"/>
  <c r="V159" i="1"/>
  <c r="AN194" i="1"/>
  <c r="AO196" i="1"/>
  <c r="AO199" i="1"/>
  <c r="V169" i="1"/>
  <c r="AO201" i="1"/>
  <c r="V171" i="1"/>
  <c r="AO204" i="1"/>
  <c r="AN209" i="1"/>
  <c r="AO210" i="1"/>
  <c r="V180" i="1"/>
  <c r="AN213" i="1"/>
  <c r="AO214" i="1"/>
  <c r="V184" i="1"/>
  <c r="AN216" i="1"/>
  <c r="AO217" i="1"/>
  <c r="V187" i="1"/>
  <c r="AN220" i="1"/>
  <c r="AO221" i="1"/>
  <c r="V191" i="1"/>
  <c r="AO168" i="1"/>
  <c r="AO176" i="1"/>
  <c r="AO184" i="1"/>
  <c r="V161" i="1"/>
  <c r="S37" i="3" s="1"/>
  <c r="AN195" i="1"/>
  <c r="AN202" i="1"/>
  <c r="AN203" i="1"/>
  <c r="AN205" i="1"/>
  <c r="AN206" i="1"/>
  <c r="AN208" i="1"/>
  <c r="AO209" i="1"/>
  <c r="V179" i="1"/>
  <c r="AN212" i="1"/>
  <c r="AO213" i="1"/>
  <c r="V183" i="1"/>
  <c r="AO216" i="1"/>
  <c r="V186" i="1"/>
  <c r="AN219" i="1"/>
  <c r="AO220" i="1"/>
  <c r="V190" i="1"/>
  <c r="S35" i="3" s="1"/>
  <c r="AN223" i="1"/>
  <c r="AO224" i="1"/>
  <c r="V194" i="1"/>
  <c r="AN227" i="1"/>
  <c r="AO228" i="1"/>
  <c r="V198" i="1"/>
  <c r="AN231" i="1"/>
  <c r="AO232" i="1"/>
  <c r="V201" i="1"/>
  <c r="S32" i="3" s="1"/>
  <c r="AN235" i="1"/>
  <c r="AO236" i="1"/>
  <c r="AO237" i="1"/>
  <c r="AO238" i="1"/>
  <c r="AO239" i="1"/>
  <c r="AO240" i="1"/>
  <c r="AO241" i="1"/>
  <c r="AO242" i="1"/>
  <c r="AO243" i="1"/>
  <c r="AO244" i="1"/>
  <c r="AO245" i="1"/>
  <c r="AO246" i="1"/>
  <c r="V23" i="3"/>
  <c r="AE23" i="3" s="1"/>
  <c r="V10" i="3"/>
  <c r="AE10" i="3" s="1"/>
  <c r="V30" i="3"/>
  <c r="AE30" i="3" s="1"/>
  <c r="V9" i="3"/>
  <c r="AE9" i="3" s="1"/>
  <c r="AD33" i="3"/>
  <c r="V25" i="3"/>
  <c r="AE25" i="3" s="1"/>
  <c r="AD36" i="3"/>
  <c r="V31" i="3"/>
  <c r="AE31" i="3" s="1"/>
  <c r="V26" i="3"/>
  <c r="AE26" i="3" s="1"/>
  <c r="V27" i="3"/>
  <c r="AE27" i="3" s="1"/>
  <c r="V17" i="3"/>
  <c r="AE17" i="3" s="1"/>
  <c r="AD45" i="3"/>
  <c r="V20" i="3"/>
  <c r="AE20" i="3" s="1"/>
  <c r="V213" i="1"/>
  <c r="AN167" i="1"/>
  <c r="V228" i="1"/>
  <c r="S45" i="3" s="1"/>
  <c r="AN175" i="1"/>
  <c r="V236" i="1"/>
  <c r="AN183" i="1"/>
  <c r="AO186" i="1"/>
  <c r="AN187" i="1"/>
  <c r="V243" i="1"/>
  <c r="AO189" i="1"/>
  <c r="V244" i="1"/>
  <c r="AO191" i="1"/>
  <c r="AO195" i="1"/>
  <c r="AN197" i="1"/>
  <c r="V168" i="1"/>
  <c r="AN200" i="1"/>
  <c r="V170" i="1"/>
  <c r="S33" i="3" s="1"/>
  <c r="AO203" i="1"/>
  <c r="V173" i="1"/>
  <c r="AO205" i="1"/>
  <c r="AO206" i="1"/>
  <c r="AN207" i="1"/>
  <c r="AO208" i="1"/>
  <c r="V178" i="1"/>
  <c r="AN211" i="1"/>
  <c r="AO212" i="1"/>
  <c r="V182" i="1"/>
  <c r="AN215" i="1"/>
  <c r="AN218" i="1"/>
  <c r="AO219" i="1"/>
  <c r="V189" i="1"/>
  <c r="AN222" i="1"/>
  <c r="AO223" i="1"/>
  <c r="V193" i="1"/>
  <c r="AN244" i="1"/>
  <c r="V226" i="1"/>
  <c r="V195" i="1"/>
  <c r="AO227" i="1"/>
  <c r="V197" i="1"/>
  <c r="AO229" i="1"/>
  <c r="V199" i="1"/>
  <c r="AO231" i="1"/>
  <c r="V200" i="1"/>
  <c r="AO233" i="1"/>
  <c r="V202" i="1"/>
  <c r="AO235" i="1"/>
  <c r="V204" i="1"/>
  <c r="V205" i="1"/>
  <c r="V206" i="1"/>
  <c r="AN241" i="1"/>
  <c r="V223" i="1"/>
  <c r="S41" i="3" s="1"/>
  <c r="AN245" i="1"/>
  <c r="V227" i="1"/>
  <c r="AC42" i="3"/>
  <c r="V43" i="3"/>
  <c r="AE43" i="3" s="1"/>
  <c r="AD12" i="3"/>
  <c r="V38" i="3"/>
  <c r="AE38" i="3" s="1"/>
  <c r="V14" i="3"/>
  <c r="AE14" i="3" s="1"/>
  <c r="AD24" i="3"/>
  <c r="V16" i="3"/>
  <c r="AE16" i="3" s="1"/>
  <c r="V7" i="3"/>
  <c r="AD37" i="3"/>
  <c r="V28" i="3"/>
  <c r="AE28" i="3" s="1"/>
  <c r="AN239" i="1"/>
  <c r="V208" i="1"/>
  <c r="AN243" i="1"/>
  <c r="V225" i="1"/>
  <c r="V12" i="3"/>
  <c r="AE12" i="3" s="1"/>
  <c r="V42" i="3"/>
  <c r="AE42" i="3" s="1"/>
  <c r="V11" i="3"/>
  <c r="AE11" i="3" s="1"/>
  <c r="V18" i="3"/>
  <c r="AE18" i="3" s="1"/>
  <c r="V15" i="3"/>
  <c r="AE15" i="3" s="1"/>
  <c r="V35" i="3"/>
  <c r="AE35" i="3" s="1"/>
  <c r="AD40" i="3"/>
  <c r="V32" i="3"/>
  <c r="AE32" i="3" s="1"/>
  <c r="AN240" i="1"/>
  <c r="V222" i="1"/>
  <c r="AC41" i="3"/>
  <c r="V37" i="3"/>
  <c r="AE37" i="3" s="1"/>
  <c r="V36" i="3"/>
  <c r="AE36" i="3" s="1"/>
  <c r="V33" i="3"/>
  <c r="AE33" i="3" s="1"/>
  <c r="AO225" i="1"/>
  <c r="AN226" i="1"/>
  <c r="AN228" i="1"/>
  <c r="AN230" i="1"/>
  <c r="AN232" i="1"/>
  <c r="AN234" i="1"/>
  <c r="AN236" i="1"/>
  <c r="AN237" i="1"/>
  <c r="AN238" i="1"/>
  <c r="V207" i="1"/>
  <c r="AN242" i="1"/>
  <c r="V224" i="1"/>
  <c r="AN246" i="1"/>
  <c r="V8" i="3"/>
  <c r="AE8" i="3" s="1"/>
  <c r="V41" i="3"/>
  <c r="AE41" i="3" s="1"/>
  <c r="V24" i="3"/>
  <c r="AE24" i="3" s="1"/>
  <c r="V45" i="3"/>
  <c r="AE45" i="3" s="1"/>
  <c r="V34" i="3"/>
  <c r="AE34" i="3" s="1"/>
  <c r="AC44" i="3"/>
  <c r="V29" i="3"/>
  <c r="AE29" i="3" s="1"/>
  <c r="AD44" i="3"/>
  <c r="V44" i="3"/>
  <c r="AE44" i="3" s="1"/>
  <c r="AN224" i="1"/>
  <c r="V39" i="3"/>
  <c r="AE39" i="3" s="1"/>
  <c r="V21" i="3"/>
  <c r="AE21" i="3" s="1"/>
  <c r="V40" i="3"/>
  <c r="AE40" i="3" s="1"/>
  <c r="V13" i="3"/>
  <c r="AE13" i="3" s="1"/>
  <c r="V22" i="3"/>
  <c r="AE22" i="3" s="1"/>
  <c r="AC34" i="3"/>
  <c r="V19" i="3"/>
  <c r="AE19" i="3" s="1"/>
  <c r="AC14" i="3"/>
  <c r="AD30" i="3"/>
  <c r="AC26" i="3"/>
  <c r="AD13" i="3"/>
  <c r="AD38" i="3"/>
  <c r="AD41" i="3"/>
  <c r="AC29" i="3"/>
  <c r="AC37" i="3"/>
  <c r="AD14" i="3"/>
  <c r="AC35" i="3"/>
  <c r="AD35" i="3"/>
  <c r="AD28" i="3"/>
  <c r="AD18" i="3"/>
  <c r="AC10" i="3"/>
  <c r="AD34" i="3"/>
  <c r="AC8" i="3"/>
  <c r="AC21" i="3"/>
  <c r="AC43" i="3"/>
  <c r="AD9" i="3"/>
  <c r="AC19" i="3"/>
  <c r="AC28" i="3"/>
  <c r="AD31" i="3"/>
  <c r="AD15" i="3"/>
  <c r="AC7" i="3"/>
  <c r="AD42" i="3"/>
  <c r="AC12" i="3"/>
  <c r="AC9" i="3"/>
  <c r="AD29" i="3"/>
  <c r="AC32" i="3"/>
  <c r="AD20" i="3"/>
  <c r="AC31" i="3"/>
  <c r="AD22" i="3"/>
  <c r="AC13" i="3"/>
  <c r="AC15" i="3"/>
  <c r="AC23" i="3"/>
  <c r="AD39" i="3"/>
  <c r="AD19" i="3"/>
  <c r="AC33" i="3"/>
  <c r="AD43" i="3"/>
  <c r="AC39" i="3"/>
  <c r="AC17" i="3"/>
  <c r="AC20" i="3"/>
  <c r="AC45" i="3"/>
  <c r="AC36" i="3"/>
  <c r="AD26" i="3"/>
  <c r="AD16" i="3"/>
  <c r="AD25" i="3"/>
  <c r="AD32" i="3"/>
  <c r="AD17" i="3"/>
  <c r="AC22" i="3"/>
  <c r="AC11" i="3"/>
  <c r="AC25" i="3"/>
  <c r="AC38" i="3"/>
  <c r="AD23" i="3"/>
  <c r="AC40" i="3"/>
  <c r="AD8" i="3"/>
  <c r="AD10" i="3"/>
  <c r="AC30" i="3"/>
  <c r="AC18" i="3"/>
  <c r="AD27" i="3"/>
  <c r="AD11" i="3"/>
  <c r="AD21" i="3"/>
  <c r="AC27" i="3"/>
  <c r="AC16" i="3"/>
  <c r="AC24" i="3"/>
  <c r="AO13" i="1"/>
  <c r="AN13" i="1"/>
  <c r="V13" i="1"/>
  <c r="AD7" i="3"/>
  <c r="S43" i="3" l="1"/>
  <c r="S42" i="3"/>
  <c r="S8" i="3"/>
  <c r="S12" i="3"/>
  <c r="S20" i="3"/>
  <c r="S19" i="3"/>
  <c r="S28" i="3"/>
  <c r="S27" i="3"/>
  <c r="S26" i="3"/>
  <c r="S9" i="3"/>
  <c r="S18" i="3"/>
  <c r="S10" i="3"/>
  <c r="S21" i="3"/>
  <c r="AE7" i="3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L210" i="1" s="1"/>
  <c r="G14" i="4"/>
  <c r="L230" i="1" s="1"/>
  <c r="G15" i="4"/>
  <c r="L15" i="1" s="1"/>
  <c r="G16" i="4"/>
  <c r="L211" i="1" s="1"/>
  <c r="G17" i="4"/>
  <c r="L14" i="1" s="1"/>
  <c r="G18" i="4"/>
  <c r="L213" i="1" s="1"/>
  <c r="G19" i="4"/>
  <c r="L215" i="1" s="1"/>
  <c r="G20" i="4"/>
  <c r="L17" i="1" s="1"/>
  <c r="G21" i="4"/>
  <c r="L19" i="1" s="1"/>
  <c r="G22" i="4"/>
  <c r="L16" i="1" s="1"/>
  <c r="G23" i="4"/>
  <c r="L21" i="1" s="1"/>
  <c r="G24" i="4"/>
  <c r="L217" i="1" s="1"/>
  <c r="G25" i="4"/>
  <c r="L222" i="1" s="1"/>
  <c r="G26" i="4"/>
  <c r="L23" i="1" s="1"/>
  <c r="G27" i="4"/>
  <c r="L25" i="1" s="1"/>
  <c r="G28" i="4"/>
  <c r="L18" i="1" s="1"/>
  <c r="G29" i="4"/>
  <c r="L20" i="1" s="1"/>
  <c r="G30" i="4"/>
  <c r="L159" i="1" s="1"/>
  <c r="G31" i="4"/>
  <c r="L219" i="1" s="1"/>
  <c r="G32" i="4"/>
  <c r="L27" i="1" s="1"/>
  <c r="G33" i="4"/>
  <c r="G34" i="4"/>
  <c r="L24" i="1" s="1"/>
  <c r="G35" i="4"/>
  <c r="L22" i="1" s="1"/>
  <c r="G36" i="4"/>
  <c r="L29" i="1" s="1"/>
  <c r="G37" i="4"/>
  <c r="L223" i="1" s="1"/>
  <c r="G38" i="4"/>
  <c r="L31" i="1" s="1"/>
  <c r="G39" i="4"/>
  <c r="L26" i="1" s="1"/>
  <c r="G40" i="4"/>
  <c r="L161" i="1" s="1"/>
  <c r="G41" i="4"/>
  <c r="L162" i="1" s="1"/>
  <c r="G42" i="4"/>
  <c r="L33" i="1" s="1"/>
  <c r="G43" i="4"/>
  <c r="L28" i="1" s="1"/>
  <c r="G44" i="4"/>
  <c r="L35" i="1" s="1"/>
  <c r="G45" i="4"/>
  <c r="L163" i="1" s="1"/>
  <c r="G46" i="4"/>
  <c r="L37" i="1" s="1"/>
  <c r="G47" i="4"/>
  <c r="L30" i="1" s="1"/>
  <c r="G48" i="4"/>
  <c r="G49" i="4"/>
  <c r="L32" i="1" s="1"/>
  <c r="G50" i="4"/>
  <c r="L34" i="1" s="1"/>
  <c r="G51" i="4"/>
  <c r="L39" i="1" s="1"/>
  <c r="G52" i="4"/>
  <c r="L165" i="1" s="1"/>
  <c r="G53" i="4"/>
  <c r="L166" i="1" s="1"/>
  <c r="G54" i="4"/>
  <c r="L41" i="1" s="1"/>
  <c r="G55" i="4"/>
  <c r="L36" i="1" s="1"/>
  <c r="G56" i="4"/>
  <c r="L38" i="1" s="1"/>
  <c r="G57" i="4"/>
  <c r="L43" i="1" s="1"/>
  <c r="G58" i="4"/>
  <c r="L167" i="1" s="1"/>
  <c r="G59" i="4"/>
  <c r="L168" i="1" s="1"/>
  <c r="G60" i="4"/>
  <c r="G61" i="4"/>
  <c r="L45" i="1" s="1"/>
  <c r="G62" i="4"/>
  <c r="L47" i="1" s="1"/>
  <c r="G63" i="4"/>
  <c r="L169" i="1" s="1"/>
  <c r="G64" i="4"/>
  <c r="L170" i="1" s="1"/>
  <c r="G65" i="4"/>
  <c r="L42" i="1" s="1"/>
  <c r="G66" i="4"/>
  <c r="L49" i="1" s="1"/>
  <c r="G67" i="4"/>
  <c r="L44" i="1" s="1"/>
  <c r="G68" i="4"/>
  <c r="L51" i="1" s="1"/>
  <c r="G69" i="4"/>
  <c r="L171" i="1" s="1"/>
  <c r="G70" i="4"/>
  <c r="L224" i="1" s="1"/>
  <c r="G71" i="4"/>
  <c r="L46" i="1" s="1"/>
  <c r="G72" i="4"/>
  <c r="L53" i="1" s="1"/>
  <c r="G73" i="4"/>
  <c r="L48" i="1" s="1"/>
  <c r="G74" i="4"/>
  <c r="L55" i="1" s="1"/>
  <c r="G75" i="4"/>
  <c r="L172" i="1" s="1"/>
  <c r="G76" i="4"/>
  <c r="L50" i="1" s="1"/>
  <c r="G77" i="4"/>
  <c r="L52" i="1" s="1"/>
  <c r="G78" i="4"/>
  <c r="L57" i="1" s="1"/>
  <c r="G79" i="4"/>
  <c r="L59" i="1" s="1"/>
  <c r="G80" i="4"/>
  <c r="L173" i="1" s="1"/>
  <c r="G81" i="4"/>
  <c r="L54" i="1" s="1"/>
  <c r="G82" i="4"/>
  <c r="L61" i="1" s="1"/>
  <c r="G83" i="4"/>
  <c r="L63" i="1" s="1"/>
  <c r="G84" i="4"/>
  <c r="L56" i="1" s="1"/>
  <c r="G85" i="4"/>
  <c r="L174" i="1" s="1"/>
  <c r="G86" i="4"/>
  <c r="L58" i="1" s="1"/>
  <c r="G87" i="4"/>
  <c r="L65" i="1" s="1"/>
  <c r="G88" i="4"/>
  <c r="L60" i="1" s="1"/>
  <c r="G89" i="4"/>
  <c r="L67" i="1" s="1"/>
  <c r="G90" i="4"/>
  <c r="L62" i="1" s="1"/>
  <c r="G91" i="4"/>
  <c r="L175" i="1" s="1"/>
  <c r="G92" i="4"/>
  <c r="L69" i="1" s="1"/>
  <c r="G93" i="4"/>
  <c r="G94" i="4"/>
  <c r="L64" i="1" s="1"/>
  <c r="G95" i="4"/>
  <c r="L71" i="1" s="1"/>
  <c r="G96" i="4"/>
  <c r="L66" i="1" s="1"/>
  <c r="G97" i="4"/>
  <c r="L176" i="1" s="1"/>
  <c r="G98" i="4"/>
  <c r="L68" i="1" s="1"/>
  <c r="G99" i="4"/>
  <c r="L73" i="1" s="1"/>
  <c r="G100" i="4"/>
  <c r="L75" i="1" s="1"/>
  <c r="G101" i="4"/>
  <c r="L231" i="1" s="1"/>
  <c r="G102" i="4"/>
  <c r="L177" i="1" s="1"/>
  <c r="G103" i="4"/>
  <c r="L70" i="1" s="1"/>
  <c r="G104" i="4"/>
  <c r="L77" i="1" s="1"/>
  <c r="G105" i="4"/>
  <c r="L72" i="1" s="1"/>
  <c r="G106" i="4"/>
  <c r="L79" i="1" s="1"/>
  <c r="G107" i="4"/>
  <c r="L178" i="1" s="1"/>
  <c r="G108" i="4"/>
  <c r="L74" i="1" s="1"/>
  <c r="G109" i="4"/>
  <c r="L81" i="1" s="1"/>
  <c r="G110" i="4"/>
  <c r="L76" i="1" s="1"/>
  <c r="G111" i="4"/>
  <c r="L179" i="1" s="1"/>
  <c r="G112" i="4"/>
  <c r="L83" i="1" s="1"/>
  <c r="G113" i="4"/>
  <c r="L78" i="1" s="1"/>
  <c r="G114" i="4"/>
  <c r="L85" i="1" s="1"/>
  <c r="G115" i="4"/>
  <c r="G116" i="4"/>
  <c r="L80" i="1" s="1"/>
  <c r="G117" i="4"/>
  <c r="L87" i="1" s="1"/>
  <c r="G118" i="4"/>
  <c r="L180" i="1" s="1"/>
  <c r="G119" i="4"/>
  <c r="L82" i="1" s="1"/>
  <c r="G120" i="4"/>
  <c r="L89" i="1" s="1"/>
  <c r="G121" i="4"/>
  <c r="L84" i="1" s="1"/>
  <c r="G122" i="4"/>
  <c r="L91" i="1" s="1"/>
  <c r="G123" i="4"/>
  <c r="L86" i="1" s="1"/>
  <c r="G124" i="4"/>
  <c r="L181" i="1" s="1"/>
  <c r="G125" i="4"/>
  <c r="L93" i="1" s="1"/>
  <c r="G126" i="4"/>
  <c r="L88" i="1" s="1"/>
  <c r="G127" i="4"/>
  <c r="L95" i="1" s="1"/>
  <c r="G128" i="4"/>
  <c r="L182" i="1" s="1"/>
  <c r="G129" i="4"/>
  <c r="L90" i="1" s="1"/>
  <c r="G130" i="4"/>
  <c r="L97" i="1" s="1"/>
  <c r="G131" i="4"/>
  <c r="L92" i="1" s="1"/>
  <c r="G132" i="4"/>
  <c r="G133" i="4"/>
  <c r="G134" i="4"/>
  <c r="L99" i="1" s="1"/>
  <c r="G135" i="4"/>
  <c r="G136" i="4"/>
  <c r="L94" i="1" s="1"/>
  <c r="G137" i="4"/>
  <c r="L101" i="1" s="1"/>
  <c r="G138" i="4"/>
  <c r="G139" i="4"/>
  <c r="L103" i="1" s="1"/>
  <c r="G140" i="4"/>
  <c r="L96" i="1" s="1"/>
  <c r="G141" i="4"/>
  <c r="G142" i="4"/>
  <c r="L98" i="1" s="1"/>
  <c r="G143" i="4"/>
  <c r="G144" i="4"/>
  <c r="L185" i="1" s="1"/>
  <c r="G145" i="4"/>
  <c r="L105" i="1" s="1"/>
  <c r="G146" i="4"/>
  <c r="L243" i="1" s="1"/>
  <c r="G147" i="4"/>
  <c r="G148" i="4"/>
  <c r="L244" i="1" s="1"/>
  <c r="G149" i="4"/>
  <c r="L225" i="1" s="1"/>
  <c r="G150" i="4"/>
  <c r="L100" i="1" s="1"/>
  <c r="G151" i="4"/>
  <c r="L107" i="1" s="1"/>
  <c r="G152" i="4"/>
  <c r="G153" i="4"/>
  <c r="L186" i="1" s="1"/>
  <c r="G154" i="4"/>
  <c r="L109" i="1" s="1"/>
  <c r="G155" i="4"/>
  <c r="L187" i="1" s="1"/>
  <c r="G156" i="4"/>
  <c r="L102" i="1" s="1"/>
  <c r="G157" i="4"/>
  <c r="L104" i="1" s="1"/>
  <c r="G158" i="4"/>
  <c r="L111" i="1" s="1"/>
  <c r="G159" i="4"/>
  <c r="L188" i="1" s="1"/>
  <c r="G160" i="4"/>
  <c r="L106" i="1" s="1"/>
  <c r="G161" i="4"/>
  <c r="L189" i="1" s="1"/>
  <c r="G162" i="4"/>
  <c r="L108" i="1" s="1"/>
  <c r="G163" i="4"/>
  <c r="L113" i="1" s="1"/>
  <c r="G164" i="4"/>
  <c r="L245" i="1" s="1"/>
  <c r="G165" i="4"/>
  <c r="L115" i="1" s="1"/>
  <c r="G166" i="4"/>
  <c r="L190" i="1" s="1"/>
  <c r="G167" i="4"/>
  <c r="L110" i="1" s="1"/>
  <c r="G168" i="4"/>
  <c r="L117" i="1" s="1"/>
  <c r="G169" i="4"/>
  <c r="L191" i="1" s="1"/>
  <c r="G170" i="4"/>
  <c r="L112" i="1" s="1"/>
  <c r="G171" i="4"/>
  <c r="L119" i="1" s="1"/>
  <c r="G172" i="4"/>
  <c r="L192" i="1" s="1"/>
  <c r="G173" i="4"/>
  <c r="L114" i="1" s="1"/>
  <c r="G174" i="4"/>
  <c r="L193" i="1" s="1"/>
  <c r="G175" i="4"/>
  <c r="L121" i="1" s="1"/>
  <c r="G176" i="4"/>
  <c r="L238" i="1" s="1"/>
  <c r="G177" i="4"/>
  <c r="L123" i="1" s="1"/>
  <c r="G178" i="4"/>
  <c r="L116" i="1" s="1"/>
  <c r="G179" i="4"/>
  <c r="L194" i="1" s="1"/>
  <c r="G180" i="4"/>
  <c r="G181" i="4"/>
  <c r="L195" i="1" s="1"/>
  <c r="G182" i="4"/>
  <c r="G183" i="4"/>
  <c r="L118" i="1" s="1"/>
  <c r="G184" i="4"/>
  <c r="L125" i="1" s="1"/>
  <c r="G185" i="4"/>
  <c r="L120" i="1" s="1"/>
  <c r="G186" i="4"/>
  <c r="L127" i="1" s="1"/>
  <c r="G187" i="4"/>
  <c r="L122" i="1" s="1"/>
  <c r="G188" i="4"/>
  <c r="L130" i="1" s="1"/>
  <c r="G189" i="4"/>
  <c r="L197" i="1" s="1"/>
  <c r="G190" i="4"/>
  <c r="L196" i="1" s="1"/>
  <c r="G191" i="4"/>
  <c r="L124" i="1" s="1"/>
  <c r="G192" i="4"/>
  <c r="L132" i="1" s="1"/>
  <c r="G193" i="4"/>
  <c r="L198" i="1" s="1"/>
  <c r="G194" i="4"/>
  <c r="L199" i="1" s="1"/>
  <c r="G195" i="4"/>
  <c r="L209" i="1" s="1"/>
  <c r="G196" i="4"/>
  <c r="L126" i="1" s="1"/>
  <c r="G197" i="4"/>
  <c r="G198" i="4"/>
  <c r="L131" i="1" s="1"/>
  <c r="G199" i="4"/>
  <c r="G200" i="4"/>
  <c r="L226" i="1" s="1"/>
  <c r="G201" i="4"/>
  <c r="G202" i="4"/>
  <c r="L201" i="1" s="1"/>
  <c r="G203" i="4"/>
  <c r="G204" i="4"/>
  <c r="G205" i="4"/>
  <c r="L133" i="1" s="1"/>
  <c r="G206" i="4"/>
  <c r="L200" i="1" s="1"/>
  <c r="G207" i="4"/>
  <c r="L137" i="1" s="1"/>
  <c r="G208" i="4"/>
  <c r="L212" i="1" s="1"/>
  <c r="G209" i="4"/>
  <c r="G210" i="4"/>
  <c r="L139" i="1" s="1"/>
  <c r="G211" i="4"/>
  <c r="L136" i="1" s="1"/>
  <c r="G212" i="4"/>
  <c r="G213" i="4"/>
  <c r="L203" i="1" s="1"/>
  <c r="G214" i="4"/>
  <c r="L141" i="1" s="1"/>
  <c r="G215" i="4"/>
  <c r="L138" i="1" s="1"/>
  <c r="G216" i="4"/>
  <c r="L202" i="1" s="1"/>
  <c r="G217" i="4"/>
  <c r="L140" i="1" s="1"/>
  <c r="G218" i="4"/>
  <c r="G219" i="4"/>
  <c r="L143" i="1" s="1"/>
  <c r="G220" i="4"/>
  <c r="G221" i="4"/>
  <c r="G222" i="4"/>
  <c r="L205" i="1" s="1"/>
  <c r="G223" i="4"/>
  <c r="G2" i="4"/>
  <c r="L235" i="1" l="1"/>
  <c r="L237" i="1"/>
  <c r="L236" i="1"/>
  <c r="L129" i="1"/>
  <c r="L128" i="1"/>
  <c r="L239" i="1"/>
  <c r="L240" i="1"/>
  <c r="N38" i="3"/>
  <c r="L160" i="1"/>
  <c r="L233" i="1"/>
  <c r="L232" i="1"/>
  <c r="L234" i="1"/>
  <c r="L241" i="1"/>
  <c r="L242" i="1"/>
  <c r="N24" i="3"/>
  <c r="L40" i="1"/>
  <c r="N39" i="3"/>
  <c r="L164" i="1"/>
  <c r="L229" i="1"/>
  <c r="L228" i="1"/>
  <c r="L134" i="1"/>
  <c r="L135" i="1"/>
  <c r="L183" i="1"/>
  <c r="L184" i="1"/>
  <c r="N22" i="3"/>
  <c r="N40" i="3"/>
  <c r="N36" i="3"/>
  <c r="N32" i="3"/>
  <c r="N27" i="3"/>
  <c r="N26" i="3"/>
  <c r="N35" i="3"/>
  <c r="N15" i="3"/>
  <c r="N21" i="3"/>
  <c r="N10" i="3"/>
  <c r="N12" i="3"/>
  <c r="N8" i="3"/>
  <c r="N31" i="3"/>
  <c r="N29" i="3"/>
  <c r="N25" i="3"/>
  <c r="N44" i="3"/>
  <c r="N34" i="3"/>
  <c r="N18" i="3"/>
  <c r="N9" i="3"/>
  <c r="N13" i="3"/>
  <c r="N33" i="3"/>
  <c r="N37" i="3"/>
  <c r="N45" i="3"/>
  <c r="N41" i="3"/>
  <c r="N42" i="3"/>
  <c r="N43" i="3"/>
  <c r="N7" i="3"/>
  <c r="N30" i="3"/>
  <c r="N16" i="3"/>
  <c r="N23" i="3"/>
  <c r="N14" i="3"/>
  <c r="N11" i="3"/>
  <c r="N20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52" i="1" l="1"/>
  <c r="AF40" i="1"/>
  <c r="AF151" i="1"/>
  <c r="AF109" i="1"/>
  <c r="AF110" i="1"/>
  <c r="AF164" i="1"/>
  <c r="AF160" i="1"/>
  <c r="AF39" i="1"/>
  <c r="AF17" i="1"/>
  <c r="AF21" i="1"/>
  <c r="AF25" i="1"/>
  <c r="AF29" i="1"/>
  <c r="AF33" i="1"/>
  <c r="AF37" i="1"/>
  <c r="AF43" i="1"/>
  <c r="AF45" i="1"/>
  <c r="AF46" i="1"/>
  <c r="AF52" i="1"/>
  <c r="AF56" i="1"/>
  <c r="AF60" i="1"/>
  <c r="AF16" i="1"/>
  <c r="AF20" i="1"/>
  <c r="AF24" i="1"/>
  <c r="AF28" i="1"/>
  <c r="AF32" i="1"/>
  <c r="AF36" i="1"/>
  <c r="AF42" i="1"/>
  <c r="AF44" i="1"/>
  <c r="AF51" i="1"/>
  <c r="AF55" i="1"/>
  <c r="AF59" i="1"/>
  <c r="AF63" i="1"/>
  <c r="AF64" i="1"/>
  <c r="AF65" i="1"/>
  <c r="AF66" i="1"/>
  <c r="AF67" i="1"/>
  <c r="AF15" i="1"/>
  <c r="AF19" i="1"/>
  <c r="AF23" i="1"/>
  <c r="AF27" i="1"/>
  <c r="AF31" i="1"/>
  <c r="AF35" i="1"/>
  <c r="AF41" i="1"/>
  <c r="AF49" i="1"/>
  <c r="AF50" i="1"/>
  <c r="AF54" i="1"/>
  <c r="AF58" i="1"/>
  <c r="AF62" i="1"/>
  <c r="AF14" i="1"/>
  <c r="AF18" i="1"/>
  <c r="AF22" i="1"/>
  <c r="AF26" i="1"/>
  <c r="AF30" i="1"/>
  <c r="AF34" i="1"/>
  <c r="AF38" i="1"/>
  <c r="AF47" i="1"/>
  <c r="AF48" i="1"/>
  <c r="AF53" i="1"/>
  <c r="AF57" i="1"/>
  <c r="AF61" i="1"/>
  <c r="AF69" i="1"/>
  <c r="AF70" i="1"/>
  <c r="AF71" i="1"/>
  <c r="AF72" i="1"/>
  <c r="AF68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9" i="1"/>
  <c r="AF111" i="1"/>
  <c r="AF115" i="1"/>
  <c r="AF119" i="1"/>
  <c r="AF123" i="1"/>
  <c r="AF124" i="1"/>
  <c r="AF128" i="1"/>
  <c r="AF133" i="1"/>
  <c r="AF136" i="1"/>
  <c r="AF98" i="1"/>
  <c r="AF105" i="1"/>
  <c r="AF106" i="1"/>
  <c r="AF107" i="1"/>
  <c r="AF108" i="1"/>
  <c r="AF97" i="1"/>
  <c r="AF101" i="1"/>
  <c r="AF102" i="1"/>
  <c r="AF103" i="1"/>
  <c r="AF104" i="1"/>
  <c r="AF117" i="1"/>
  <c r="AF121" i="1"/>
  <c r="AF126" i="1"/>
  <c r="AF130" i="1"/>
  <c r="AF100" i="1"/>
  <c r="AF112" i="1"/>
  <c r="AF113" i="1"/>
  <c r="AF114" i="1"/>
  <c r="AF116" i="1"/>
  <c r="AF120" i="1"/>
  <c r="AF125" i="1"/>
  <c r="AF129" i="1"/>
  <c r="AF134" i="1"/>
  <c r="AF137" i="1"/>
  <c r="AF141" i="1"/>
  <c r="AF122" i="1"/>
  <c r="AF131" i="1"/>
  <c r="AF132" i="1"/>
  <c r="AF144" i="1"/>
  <c r="AF148" i="1"/>
  <c r="AF155" i="1"/>
  <c r="AF209" i="1"/>
  <c r="AF213" i="1"/>
  <c r="AF217" i="1"/>
  <c r="AF228" i="1"/>
  <c r="AF232" i="1"/>
  <c r="AF236" i="1"/>
  <c r="AF240" i="1"/>
  <c r="AF139" i="1"/>
  <c r="AF142" i="1"/>
  <c r="AF147" i="1"/>
  <c r="AF153" i="1"/>
  <c r="AF154" i="1"/>
  <c r="AF158" i="1"/>
  <c r="AF118" i="1"/>
  <c r="AF127" i="1"/>
  <c r="AF146" i="1"/>
  <c r="AF150" i="1"/>
  <c r="AF157" i="1"/>
  <c r="AF211" i="1"/>
  <c r="AF215" i="1"/>
  <c r="AF219" i="1"/>
  <c r="AF230" i="1"/>
  <c r="AF234" i="1"/>
  <c r="AF238" i="1"/>
  <c r="AF163" i="1"/>
  <c r="AF135" i="1"/>
  <c r="AF138" i="1"/>
  <c r="AF140" i="1"/>
  <c r="AF143" i="1"/>
  <c r="AF145" i="1"/>
  <c r="AF149" i="1"/>
  <c r="AF156" i="1"/>
  <c r="AF210" i="1"/>
  <c r="AF214" i="1"/>
  <c r="AF218" i="1"/>
  <c r="AF229" i="1"/>
  <c r="AF233" i="1"/>
  <c r="AF237" i="1"/>
  <c r="AF161" i="1"/>
  <c r="AF162" i="1"/>
  <c r="AF167" i="1"/>
  <c r="AF168" i="1"/>
  <c r="AF171" i="1"/>
  <c r="AF216" i="1"/>
  <c r="AF231" i="1"/>
  <c r="AF239" i="1"/>
  <c r="AF221" i="1"/>
  <c r="AF159" i="1"/>
  <c r="AF165" i="1"/>
  <c r="AF169" i="1"/>
  <c r="AF172" i="1"/>
  <c r="AF174" i="1"/>
  <c r="AF176" i="1"/>
  <c r="AF180" i="1"/>
  <c r="AF184" i="1"/>
  <c r="AF187" i="1"/>
  <c r="AF191" i="1"/>
  <c r="AF195" i="1"/>
  <c r="AF199" i="1"/>
  <c r="AF202" i="1"/>
  <c r="AF241" i="1"/>
  <c r="AF242" i="1"/>
  <c r="AF179" i="1"/>
  <c r="AF183" i="1"/>
  <c r="AF186" i="1"/>
  <c r="AF190" i="1"/>
  <c r="AF212" i="1"/>
  <c r="AF220" i="1"/>
  <c r="AF235" i="1"/>
  <c r="AF243" i="1"/>
  <c r="AF244" i="1"/>
  <c r="AF166" i="1"/>
  <c r="AF245" i="1"/>
  <c r="AF170" i="1"/>
  <c r="AF173" i="1"/>
  <c r="AF178" i="1"/>
  <c r="AF182" i="1"/>
  <c r="AF185" i="1"/>
  <c r="AF189" i="1"/>
  <c r="AF193" i="1"/>
  <c r="AF197" i="1"/>
  <c r="AF200" i="1"/>
  <c r="AF204" i="1"/>
  <c r="AF205" i="1"/>
  <c r="AF206" i="1"/>
  <c r="AF207" i="1"/>
  <c r="AF208" i="1"/>
  <c r="AF222" i="1"/>
  <c r="AF223" i="1"/>
  <c r="AF224" i="1"/>
  <c r="AF225" i="1"/>
  <c r="AF226" i="1"/>
  <c r="AF227" i="1"/>
  <c r="T12" i="3"/>
  <c r="AF175" i="1"/>
  <c r="AF177" i="1"/>
  <c r="AF181" i="1"/>
  <c r="AF188" i="1"/>
  <c r="AF192" i="1"/>
  <c r="AF194" i="1"/>
  <c r="T34" i="3"/>
  <c r="AF196" i="1"/>
  <c r="AF198" i="1"/>
  <c r="AF246" i="1"/>
  <c r="AF201" i="1"/>
  <c r="AF203" i="1"/>
  <c r="T14" i="3"/>
  <c r="T27" i="3"/>
  <c r="T40" i="3"/>
  <c r="T11" i="3"/>
  <c r="T31" i="3"/>
  <c r="T23" i="3"/>
  <c r="T29" i="3"/>
  <c r="T28" i="3"/>
  <c r="T35" i="3"/>
  <c r="T42" i="3"/>
  <c r="T16" i="3"/>
  <c r="T44" i="3"/>
  <c r="T37" i="3"/>
  <c r="T15" i="3"/>
  <c r="T39" i="3"/>
  <c r="T38" i="3"/>
  <c r="T33" i="3"/>
  <c r="T19" i="3"/>
  <c r="T30" i="3"/>
  <c r="T43" i="3"/>
  <c r="T25" i="3"/>
  <c r="T21" i="3"/>
  <c r="T17" i="3"/>
  <c r="T45" i="3"/>
  <c r="T10" i="3"/>
  <c r="T20" i="3"/>
  <c r="T32" i="3"/>
  <c r="T18" i="3"/>
  <c r="T24" i="3"/>
  <c r="T13" i="3"/>
  <c r="T7" i="3"/>
  <c r="T36" i="3"/>
  <c r="T8" i="3"/>
  <c r="T26" i="3"/>
  <c r="T9" i="3"/>
  <c r="T41" i="3"/>
  <c r="T22" i="3"/>
  <c r="AF13" i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5" i="6" l="1"/>
  <c r="B3" i="6" l="1"/>
  <c r="D3" i="6" s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<sst xmlns="http://schemas.openxmlformats.org/spreadsheetml/2006/main" count="2765" uniqueCount="1003">
  <si>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</si>
  <si>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</si>
  <si>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</si>
  <si>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</si>
  <si>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</si>
  <si>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</si>
  <si>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</si>
  <si>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</si>
  <si>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</si>
  <si>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</si>
  <si>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</si>
  <si>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</si>
  <si>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</si>
  <si>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</si>
  <si>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</si>
  <si>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</si>
  <si>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</si>
  <si>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</si>
  <si>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</si>
  <si>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</si>
  <si>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</si>
  <si>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</si>
  <si>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</si>
  <si>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</si>
  <si>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</si>
  <si>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</si>
  <si>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</si>
  <si>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</si>
  <si>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</si>
  <si>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</si>
  <si>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</si>
  <si>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</si>
  <si>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</si>
  <si>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</si>
  <si>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</si>
  <si>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</si>
  <si>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</si>
  <si>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</si>
  <si>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</si>
  <si>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</si>
  <si>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</si>
  <si>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</si>
  <si>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</si>
  <si>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</si>
  <si>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</si>
  <si>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</si>
  <si>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</si>
  <si>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</si>
  <si>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</si>
  <si>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</si>
  <si>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</si>
  <si>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</si>
  <si>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</si>
  <si>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</si>
  <si>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</si>
  <si>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</si>
  <si>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</si>
  <si>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</si>
  <si>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</si>
  <si>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</si>
  <si>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</si>
  <si>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</si>
  <si>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</si>
  <si>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</si>
  <si>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</si>
  <si>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</si>
  <si>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</si>
  <si>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</si>
  <si>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</si>
  <si>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</si>
  <si>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</si>
  <si>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</si>
  <si>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</si>
  <si>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</si>
  <si>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</si>
  <si>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</si>
  <si>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</si>
  <si>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</si>
  <si>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</si>
  <si>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</si>
  <si>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</si>
  <si>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</si>
  <si>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</si>
  <si>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</si>
  <si>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</si>
  <si>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</si>
  <si>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</si>
  <si>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</si>
  <si>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</si>
  <si>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</si>
  <si>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</si>
  <si>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</si>
  <si>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</si>
  <si>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</si>
  <si>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</si>
  <si>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</si>
  <si>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</si>
  <si>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</si>
  <si>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</si>
  <si>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</si>
  <si>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</si>
  <si>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</si>
  <si>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</si>
  <si>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</si>
  <si>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</si>
  <si>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</si>
  <si>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</si>
  <si>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</si>
  <si>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</si>
  <si>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</si>
  <si>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</si>
  <si>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</si>
  <si>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</si>
  <si>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</si>
  <si>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</si>
  <si>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</si>
  <si>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</si>
  <si>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</si>
  <si>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</si>
  <si>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</si>
  <si>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</si>
  <si>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</si>
  <si>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</si>
  <si>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</si>
  <si>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</si>
  <si>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</si>
  <si>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</si>
  <si>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</si>
  <si>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</si>
  <si>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</si>
  <si>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</si>
  <si>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</si>
  <si>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</si>
  <si>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</si>
  <si>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</si>
  <si>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</si>
  <si>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</si>
  <si>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</si>
  <si>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</si>
  <si>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</si>
  <si>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</si>
  <si>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</si>
  <si>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</si>
  <si>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</si>
  <si>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</si>
  <si>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</si>
  <si>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</si>
  <si>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</si>
  <si>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</si>
  <si>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</si>
  <si>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</si>
  <si>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</si>
  <si>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</si>
  <si>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</si>
  <si>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</si>
  <si>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</si>
  <si>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</si>
  <si>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</si>
  <si>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</si>
  <si>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</si>
  <si>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</si>
  <si>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</si>
  <si>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</si>
  <si>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</si>
  <si>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</si>
  <si>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</si>
  <si>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</si>
  <si>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</si>
  <si>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</si>
  <si>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</si>
  <si>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</si>
  <si>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</si>
  <si>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</si>
  <si>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</si>
  <si>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</si>
  <si>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</si>
  <si>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</si>
  <si>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</si>
  <si>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</si>
  <si>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</si>
  <si>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</si>
  <si>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</si>
  <si>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</si>
  <si>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</si>
  <si>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</si>
  <si>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</si>
  <si>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</si>
  <si>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</si>
  <si>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</si>
  <si>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</si>
  <si>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</si>
  <si>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</si>
  <si>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</si>
  <si>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</si>
  <si>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</si>
  <si>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</si>
  <si>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</si>
  <si>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</si>
  <si>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</si>
  <si>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</si>
  <si>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</si>
  <si>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</si>
  <si>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</si>
  <si>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</si>
  <si>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</si>
  <si>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</si>
  <si>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</si>
  <si>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</si>
  <si>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</si>
  <si>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</si>
  <si>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</si>
  <si>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</si>
  <si>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</si>
  <si>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</si>
  <si>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</si>
  <si>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</si>
  <si>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</si>
  <si>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</si>
  <si>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</si>
  <si>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</si>
  <si>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</si>
  <si>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</si>
  <si>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</si>
  <si>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</si>
  <si>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</si>
  <si>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</si>
  <si>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</si>
  <si>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</si>
  <si>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</si>
  <si>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</si>
  <si>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</si>
  <si>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</si>
  <si>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</si>
  <si>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</si>
  <si>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</si>
  <si>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</si>
  <si>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</si>
  <si>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</si>
  <si>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</si>
  <si>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</si>
  <si>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</si>
  <si>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</si>
  <si>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</si>
  <si>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</si>
  <si>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</si>
  <si>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</si>
  <si>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</si>
  <si>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</si>
  <si>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</si>
  <si>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</si>
  <si>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</si>
  <si>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</si>
  <si>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</si>
  <si>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</si>
  <si>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</si>
  <si>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</si>
  <si>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</si>
  <si>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</si>
  <si>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</si>
  <si>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</si>
  <si>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</si>
  <si>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</si>
  <si>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</si>
  <si>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</si>
  <si>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</si>
  <si>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</si>
  <si>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</si>
  <si>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</si>
  <si>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</si>
  <si>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</si>
  <si>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</si>
  <si>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</si>
  <si>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</si>
  <si>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</si>
  <si>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</si>
  <si>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</si>
  <si>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</si>
  <si>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</si>
  <si>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</si>
  <si>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</si>
  <si>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</si>
  <si>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</si>
  <si>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</si>
  <si>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</si>
  <si>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</si>
  <si>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</si>
  <si>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</si>
  <si>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</si>
  <si>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</si>
  <si>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</si>
  <si>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</si>
  <si>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</si>
  <si>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</si>
  <si>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</si>
  <si>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</si>
  <si>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</si>
  <si>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</si>
  <si>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</si>
  <si>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</si>
  <si>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</si>
  <si>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</si>
  <si>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</si>
  <si>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</si>
  <si>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</si>
  <si>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</si>
  <si>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</si>
  <si>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</si>
  <si>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</si>
  <si>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</si>
  <si>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</si>
  <si>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</si>
  <si>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</si>
  <si>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</si>
  <si>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</si>
  <si>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</si>
  <si>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</si>
  <si>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</si>
  <si>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</si>
  <si>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</si>
  <si>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</si>
  <si>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</si>
  <si>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</si>
  <si>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</si>
  <si>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</si>
  <si>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</si>
  <si>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</si>
  <si>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</si>
  <si>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</si>
  <si>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</si>
  <si>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</si>
  <si>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</si>
  <si>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</si>
  <si>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</si>
  <si>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</si>
  <si>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</si>
  <si>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</si>
  <si>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</si>
  <si>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</si>
  <si>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</si>
  <si>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</si>
  <si>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</si>
  <si>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</si>
  <si>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</si>
  <si>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</si>
  <si>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</si>
  <si>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</si>
  <si>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</si>
  <si>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</si>
  <si>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</si>
  <si>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</si>
  <si>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</si>
  <si>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</si>
  <si>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</si>
  <si>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</si>
  <si>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</si>
  <si>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</si>
  <si>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</si>
  <si>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</si>
  <si>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</si>
  <si>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204:449</t>
  </si>
  <si>
    <t>SIGNAL</t>
  </si>
  <si>
    <t>Signal based authority (5)</t>
  </si>
  <si>
    <t>204:464</t>
  </si>
  <si>
    <t>204:145</t>
  </si>
  <si>
    <t>204:138</t>
  </si>
  <si>
    <t>clear-day</t>
  </si>
  <si>
    <t>Clear</t>
  </si>
  <si>
    <t>clear-night</t>
  </si>
  <si>
    <t>Early Arrival</t>
  </si>
  <si>
    <t>204:156</t>
  </si>
  <si>
    <t>204:467</t>
  </si>
  <si>
    <t>LOZA</t>
  </si>
  <si>
    <t>FIDEL</t>
  </si>
  <si>
    <t>204:232977</t>
  </si>
  <si>
    <t>rtdc.l.rtdc.4030:itc</t>
  </si>
  <si>
    <t>204:469</t>
  </si>
  <si>
    <t>204:161</t>
  </si>
  <si>
    <t>204:442</t>
  </si>
  <si>
    <t>JAMES</t>
  </si>
  <si>
    <t>204:160</t>
  </si>
  <si>
    <t>204:460</t>
  </si>
  <si>
    <t>204:158</t>
  </si>
  <si>
    <t>204:232994</t>
  </si>
  <si>
    <t>DUNCAN</t>
  </si>
  <si>
    <t>SHEILA</t>
  </si>
  <si>
    <t>PERKINS</t>
  </si>
  <si>
    <t>DARREN</t>
  </si>
  <si>
    <t>HART</t>
  </si>
  <si>
    <t>KEVIN</t>
  </si>
  <si>
    <t>204:440</t>
  </si>
  <si>
    <t>204:139</t>
  </si>
  <si>
    <t>rtdc.l.rtdc.4015:itc</t>
  </si>
  <si>
    <t>rtdc.l.rtdc.4016:itc</t>
  </si>
  <si>
    <t>NICHOLSON</t>
  </si>
  <si>
    <t>WESLEY</t>
  </si>
  <si>
    <t>204:136</t>
  </si>
  <si>
    <t>204:163</t>
  </si>
  <si>
    <t>204:462</t>
  </si>
  <si>
    <t>204:232996</t>
  </si>
  <si>
    <t>204:451</t>
  </si>
  <si>
    <t>rtdc.l.rtdc.4029:itc</t>
  </si>
  <si>
    <t>204:233289</t>
  </si>
  <si>
    <t>204:233312</t>
  </si>
  <si>
    <t>204:471</t>
  </si>
  <si>
    <t>204:232998</t>
  </si>
  <si>
    <t>STAMBAUGH</t>
  </si>
  <si>
    <t>204:233013</t>
  </si>
  <si>
    <t>rtdc.l.rtdc.4058:itc</t>
  </si>
  <si>
    <t>204:154</t>
  </si>
  <si>
    <t>204:232981</t>
  </si>
  <si>
    <t>204:233315</t>
  </si>
  <si>
    <t>204:437</t>
  </si>
  <si>
    <t>204:466</t>
  </si>
  <si>
    <t>rtdc.l.rtdc.4028:itc</t>
  </si>
  <si>
    <t>204:447</t>
  </si>
  <si>
    <t>204:233293</t>
  </si>
  <si>
    <t>204:232978</t>
  </si>
  <si>
    <t>204:233319</t>
  </si>
  <si>
    <t>204:232991</t>
  </si>
  <si>
    <t>204:433</t>
  </si>
  <si>
    <t>204:685</t>
  </si>
  <si>
    <t>rtdc.l.rtdc.4043:itc</t>
  </si>
  <si>
    <t>YORK</t>
  </si>
  <si>
    <t>EDGAR</t>
  </si>
  <si>
    <t>204:233299</t>
  </si>
  <si>
    <t>204:473</t>
  </si>
  <si>
    <t>rtdc.l.rtdc.4057:itc</t>
  </si>
  <si>
    <t>Y</t>
  </si>
  <si>
    <t>204:232982</t>
  </si>
  <si>
    <t>204:475</t>
  </si>
  <si>
    <t>204:232993</t>
  </si>
  <si>
    <t>204:232985</t>
  </si>
  <si>
    <t>204:233332</t>
  </si>
  <si>
    <t>204:233325</t>
  </si>
  <si>
    <t>300:23308</t>
  </si>
  <si>
    <t>rtdc.l.rtdc.4023:itc</t>
  </si>
  <si>
    <t>rtdc.l.rtdc.4024:itc</t>
  </si>
  <si>
    <t>rtdc.l.rtdc.4056:itc</t>
  </si>
  <si>
    <t>rtdc.l.rtdc.4005:itc</t>
  </si>
  <si>
    <t>204:233302</t>
  </si>
  <si>
    <t>204:233318</t>
  </si>
  <si>
    <t>204:233310</t>
  </si>
  <si>
    <t>204:232975</t>
  </si>
  <si>
    <t>204:233006</t>
  </si>
  <si>
    <t>204:233019</t>
  </si>
  <si>
    <t>204:233330</t>
  </si>
  <si>
    <t>204:233015</t>
  </si>
  <si>
    <t>204:130</t>
  </si>
  <si>
    <t>204:457</t>
  </si>
  <si>
    <t>204:967</t>
  </si>
  <si>
    <t>204:233023</t>
  </si>
  <si>
    <t>Sat - Sun = 36 Trips</t>
  </si>
  <si>
    <t>"Summary View"</t>
  </si>
  <si>
    <t>rtdc.l.rtdc.4039:itc</t>
  </si>
  <si>
    <t>rtdc.l.rtdc.4018:itc</t>
  </si>
  <si>
    <t>rtdc.l.rtdc.4010:itc</t>
  </si>
  <si>
    <t>rtdc.l.rtdc.4017:itc</t>
  </si>
  <si>
    <t>rtdc.l.rtdc.4040:itc</t>
  </si>
  <si>
    <t>LEVERE</t>
  </si>
  <si>
    <t>CRAIG</t>
  </si>
  <si>
    <t>LEVIN</t>
  </si>
  <si>
    <t>SCOTT</t>
  </si>
  <si>
    <t>204:233306</t>
  </si>
  <si>
    <t>204:232987</t>
  </si>
  <si>
    <t>204:233005</t>
  </si>
  <si>
    <t>204:233295</t>
  </si>
  <si>
    <t>204:232984</t>
  </si>
  <si>
    <t>204:233298</t>
  </si>
  <si>
    <t>204:233317</t>
  </si>
  <si>
    <t>204:232992</t>
  </si>
  <si>
    <t>204:232988</t>
  </si>
  <si>
    <t>204:232986</t>
  </si>
  <si>
    <t>204:981</t>
  </si>
  <si>
    <t>204:971</t>
  </si>
  <si>
    <t>204:1002</t>
  </si>
  <si>
    <t>300:58628</t>
  </si>
  <si>
    <t>300:58965</t>
  </si>
  <si>
    <t>204:233321</t>
  </si>
  <si>
    <t>rtdc.l.rtdc.4027:itc</t>
  </si>
  <si>
    <t>rtdc.l.rtdc.4044:itc</t>
  </si>
  <si>
    <t>YANG</t>
  </si>
  <si>
    <t>JAN</t>
  </si>
  <si>
    <t>FORTUNATO</t>
  </si>
  <si>
    <t>FRANK</t>
  </si>
  <si>
    <t>BRUDER</t>
  </si>
  <si>
    <t>RICHARD</t>
  </si>
  <si>
    <t>MOSES</t>
  </si>
  <si>
    <t>BRADLEY</t>
  </si>
  <si>
    <t>BIRKHOLZ</t>
  </si>
  <si>
    <t>NADINE</t>
  </si>
  <si>
    <t>204:233286</t>
  </si>
  <si>
    <t>204:233008</t>
  </si>
  <si>
    <t>204:232973</t>
  </si>
  <si>
    <t>204:233372</t>
  </si>
  <si>
    <t>204:233004</t>
  </si>
  <si>
    <t>300:23306</t>
  </si>
  <si>
    <t>300:23346</t>
  </si>
  <si>
    <t>300:58952</t>
  </si>
  <si>
    <t>300:58647</t>
  </si>
  <si>
    <t>204:689</t>
  </si>
  <si>
    <t>204:691</t>
  </si>
  <si>
    <t>300:58632</t>
  </si>
  <si>
    <t>204:972</t>
  </si>
  <si>
    <t>300:58653</t>
  </si>
  <si>
    <t>204:965</t>
  </si>
  <si>
    <t>300:58656</t>
  </si>
  <si>
    <t>rtdc.l.rtdc.4063:itc</t>
  </si>
  <si>
    <t>rtdc.l.rtdc.4042:itc</t>
  </si>
  <si>
    <t>rtdc.l.rtdc.4001:itc</t>
  </si>
  <si>
    <t>rtdc.l.rtdc.4064:itc</t>
  </si>
  <si>
    <t>51-20</t>
  </si>
  <si>
    <t>244-20</t>
  </si>
  <si>
    <t>ROCHA</t>
  </si>
  <si>
    <t>YAOTL</t>
  </si>
  <si>
    <t>WENDY</t>
  </si>
  <si>
    <t>rtdc.l.rtdc.4002:itc</t>
  </si>
  <si>
    <t>GEBRETEKLE</t>
  </si>
  <si>
    <t>DAGNEW</t>
  </si>
  <si>
    <t>YANAI</t>
  </si>
  <si>
    <t>IAN</t>
  </si>
  <si>
    <t>PAGE</t>
  </si>
  <si>
    <t>MARCUS</t>
  </si>
  <si>
    <t>HUFFSMITH</t>
  </si>
  <si>
    <t>MONTY</t>
  </si>
  <si>
    <t>DELGADO</t>
  </si>
  <si>
    <t>DIANAH</t>
  </si>
  <si>
    <t>BERLING</t>
  </si>
  <si>
    <t>GARY</t>
  </si>
  <si>
    <t>HOLCOMB</t>
  </si>
  <si>
    <t>KAMDEN</t>
  </si>
  <si>
    <t>DE LA ROSA</t>
  </si>
  <si>
    <t>ALEX</t>
  </si>
  <si>
    <t>ROBINSON</t>
  </si>
  <si>
    <t>KADDIBA</t>
  </si>
  <si>
    <t>ANDERS</t>
  </si>
  <si>
    <t>STEVEN</t>
  </si>
  <si>
    <t>313-20</t>
  </si>
  <si>
    <t>242-20</t>
  </si>
  <si>
    <t>307-20</t>
  </si>
  <si>
    <t>309-20</t>
  </si>
  <si>
    <t>311-20</t>
  </si>
  <si>
    <t>300-21</t>
  </si>
  <si>
    <t>204:233327</t>
  </si>
  <si>
    <t>204:233336</t>
  </si>
  <si>
    <t>204:233308</t>
  </si>
  <si>
    <t>204:233305</t>
  </si>
  <si>
    <t>204:167</t>
  </si>
  <si>
    <t>204:233002</t>
  </si>
  <si>
    <t>204:233259</t>
  </si>
  <si>
    <t>204:233338</t>
  </si>
  <si>
    <t>204:233280</t>
  </si>
  <si>
    <t>204:233301</t>
  </si>
  <si>
    <t>204:233011</t>
  </si>
  <si>
    <t>204:132</t>
  </si>
  <si>
    <t>204:233316</t>
  </si>
  <si>
    <t>204:233342</t>
  </si>
  <si>
    <t>204:232969</t>
  </si>
  <si>
    <t>204:233274</t>
  </si>
  <si>
    <t>204:976</t>
  </si>
  <si>
    <t>300:23301</t>
  </si>
  <si>
    <t>300:23310</t>
  </si>
  <si>
    <t>204:1152</t>
  </si>
  <si>
    <t>300:24252</t>
  </si>
  <si>
    <t>204:142</t>
  </si>
  <si>
    <t>300:58641</t>
  </si>
  <si>
    <t>300:58636</t>
  </si>
  <si>
    <t>204:668</t>
  </si>
  <si>
    <t>204:988</t>
  </si>
  <si>
    <t>300:58975</t>
  </si>
  <si>
    <t>300:58626</t>
  </si>
  <si>
    <t>204:699</t>
  </si>
  <si>
    <t>300:58933</t>
  </si>
  <si>
    <t>300:58613</t>
  </si>
  <si>
    <t>300:58935</t>
  </si>
  <si>
    <t>300:58619</t>
  </si>
  <si>
    <t>204:698</t>
  </si>
  <si>
    <t>204:675</t>
  </si>
  <si>
    <t>c:\users\stu\Documents\GitHub\mrs-test-scripts\Headless Mode &amp; Sideloading\WalkAndUnGZ.bat</t>
  </si>
  <si>
    <t>104-21</t>
  </si>
  <si>
    <t>rtdc.l.rtdc.4054:itc</t>
  </si>
  <si>
    <t>901-21</t>
  </si>
  <si>
    <t>113-21</t>
  </si>
  <si>
    <t>801-21</t>
  </si>
  <si>
    <t>rtdc.l.rtdc.4031:itc</t>
  </si>
  <si>
    <t>902-21</t>
  </si>
  <si>
    <t>rtdc.l.rtdc.4053:itc</t>
  </si>
  <si>
    <t>802-21</t>
  </si>
  <si>
    <t>rtdc.l.rtdc.4009:itc</t>
  </si>
  <si>
    <t>114-21</t>
  </si>
  <si>
    <t>805-21</t>
  </si>
  <si>
    <t>116-21</t>
  </si>
  <si>
    <t>rtdc.l.rtdc.4032:itc</t>
  </si>
  <si>
    <t>807-21</t>
  </si>
  <si>
    <t>811-21</t>
  </si>
  <si>
    <t>128-21</t>
  </si>
  <si>
    <t>rtdc.l.rtdc.4052:itc</t>
  </si>
  <si>
    <t>145-21</t>
  </si>
  <si>
    <t>815-21</t>
  </si>
  <si>
    <t>151-21</t>
  </si>
  <si>
    <t>153-21</t>
  </si>
  <si>
    <t>51-21</t>
  </si>
  <si>
    <t>171-21</t>
  </si>
  <si>
    <t>rtdc.l.rtdc.4055:itc</t>
  </si>
  <si>
    <t>168-21</t>
  </si>
  <si>
    <t>170-21</t>
  </si>
  <si>
    <t>822-21</t>
  </si>
  <si>
    <t>61-21</t>
  </si>
  <si>
    <t>182-21</t>
  </si>
  <si>
    <t>rtdc.l.rtdc.4051:itc</t>
  </si>
  <si>
    <t>184-21</t>
  </si>
  <si>
    <t>186-21</t>
  </si>
  <si>
    <t>830-21</t>
  </si>
  <si>
    <t>205-21</t>
  </si>
  <si>
    <t>200-21</t>
  </si>
  <si>
    <t>841-21</t>
  </si>
  <si>
    <t>216-21</t>
  </si>
  <si>
    <t>240-21</t>
  </si>
  <si>
    <t>244-21</t>
  </si>
  <si>
    <t>101-21</t>
  </si>
  <si>
    <t>rtdc.l.rtdc.4006:itc</t>
  </si>
  <si>
    <t>SPECTOR</t>
  </si>
  <si>
    <t>302-21</t>
  </si>
  <si>
    <t>STARKS</t>
  </si>
  <si>
    <t>ANGELINA</t>
  </si>
  <si>
    <t>52-21</t>
  </si>
  <si>
    <t>103-21</t>
  </si>
  <si>
    <t>rtdc.l.rtdc.4013:itc</t>
  </si>
  <si>
    <t>304-21</t>
  </si>
  <si>
    <t>102-21</t>
  </si>
  <si>
    <t>306-21</t>
  </si>
  <si>
    <t>308-21</t>
  </si>
  <si>
    <t>WILLIAMS</t>
  </si>
  <si>
    <t>DONTE</t>
  </si>
  <si>
    <t>rtdc.l.rtdc.4014:itc</t>
  </si>
  <si>
    <t>105-21</t>
  </si>
  <si>
    <t>107-21</t>
  </si>
  <si>
    <t>109-21</t>
  </si>
  <si>
    <t>310-21</t>
  </si>
  <si>
    <t>111-21</t>
  </si>
  <si>
    <t>106-21</t>
  </si>
  <si>
    <t>108-21</t>
  </si>
  <si>
    <t>800-21</t>
  </si>
  <si>
    <t>312-21</t>
  </si>
  <si>
    <t>115-21</t>
  </si>
  <si>
    <t>112-21</t>
  </si>
  <si>
    <t>110-21</t>
  </si>
  <si>
    <t>117-21</t>
  </si>
  <si>
    <t>119-21</t>
  </si>
  <si>
    <t>803-21</t>
  </si>
  <si>
    <t>121-21</t>
  </si>
  <si>
    <t>123-21</t>
  </si>
  <si>
    <t>804-21</t>
  </si>
  <si>
    <t>125-21</t>
  </si>
  <si>
    <t>118-21</t>
  </si>
  <si>
    <t>120-21</t>
  </si>
  <si>
    <t>122-21</t>
  </si>
  <si>
    <t>127-21</t>
  </si>
  <si>
    <t>806-21</t>
  </si>
  <si>
    <t>129-21</t>
  </si>
  <si>
    <t>124-21</t>
  </si>
  <si>
    <t>126-21</t>
  </si>
  <si>
    <t>131-21</t>
  </si>
  <si>
    <t>808-21</t>
  </si>
  <si>
    <t>809-21</t>
  </si>
  <si>
    <t>133-21</t>
  </si>
  <si>
    <t>135-21</t>
  </si>
  <si>
    <t>810-21</t>
  </si>
  <si>
    <t>130-21</t>
  </si>
  <si>
    <t>137-21</t>
  </si>
  <si>
    <t>132-21</t>
  </si>
  <si>
    <t>139-21</t>
  </si>
  <si>
    <t>812-21</t>
  </si>
  <si>
    <t>903-21</t>
  </si>
  <si>
    <t>134-21</t>
  </si>
  <si>
    <t>141-21</t>
  </si>
  <si>
    <t>GONZALEZ</t>
  </si>
  <si>
    <t>ARMANDO</t>
  </si>
  <si>
    <t>136-21</t>
  </si>
  <si>
    <t>143-21</t>
  </si>
  <si>
    <t>CASSIDY</t>
  </si>
  <si>
    <t>BRANDON</t>
  </si>
  <si>
    <t>813-21</t>
  </si>
  <si>
    <t>138-21</t>
  </si>
  <si>
    <t>140-21</t>
  </si>
  <si>
    <t>147-21</t>
  </si>
  <si>
    <t>814-21</t>
  </si>
  <si>
    <t>142-21</t>
  </si>
  <si>
    <t>149-21</t>
  </si>
  <si>
    <t>144-21</t>
  </si>
  <si>
    <t>146-21</t>
  </si>
  <si>
    <t>148-21</t>
  </si>
  <si>
    <t>155-21</t>
  </si>
  <si>
    <t>150-21</t>
  </si>
  <si>
    <t>816-21</t>
  </si>
  <si>
    <t>157-21</t>
  </si>
  <si>
    <t>BADERTSCHER</t>
  </si>
  <si>
    <t>DIANE</t>
  </si>
  <si>
    <t>152-21</t>
  </si>
  <si>
    <t>159-21</t>
  </si>
  <si>
    <t>154-21</t>
  </si>
  <si>
    <t>817-21</t>
  </si>
  <si>
    <t>156-21</t>
  </si>
  <si>
    <t>161-21</t>
  </si>
  <si>
    <t>163-21</t>
  </si>
  <si>
    <t>53-21</t>
  </si>
  <si>
    <t>818-21</t>
  </si>
  <si>
    <t>158-21</t>
  </si>
  <si>
    <t>165-21</t>
  </si>
  <si>
    <t>160-21</t>
  </si>
  <si>
    <t>167-21</t>
  </si>
  <si>
    <t>819-21</t>
  </si>
  <si>
    <t>162-21</t>
  </si>
  <si>
    <t>169-21</t>
  </si>
  <si>
    <t>164-21</t>
  </si>
  <si>
    <t>820-21</t>
  </si>
  <si>
    <t>166-21</t>
  </si>
  <si>
    <t>173-21</t>
  </si>
  <si>
    <t>NEWELL</t>
  </si>
  <si>
    <t>175-21</t>
  </si>
  <si>
    <t>821-21</t>
  </si>
  <si>
    <t>177-21</t>
  </si>
  <si>
    <t>172-21</t>
  </si>
  <si>
    <t>179-21</t>
  </si>
  <si>
    <t>174-21</t>
  </si>
  <si>
    <t>181-21</t>
  </si>
  <si>
    <t>176-21</t>
  </si>
  <si>
    <t>183-21</t>
  </si>
  <si>
    <t>823-21</t>
  </si>
  <si>
    <t>178-21</t>
  </si>
  <si>
    <t>185-21</t>
  </si>
  <si>
    <t>180-21</t>
  </si>
  <si>
    <t>60-21</t>
  </si>
  <si>
    <t>187-21</t>
  </si>
  <si>
    <t>824-21</t>
  </si>
  <si>
    <t>189-21</t>
  </si>
  <si>
    <t>191-21</t>
  </si>
  <si>
    <t>825-21</t>
  </si>
  <si>
    <t>193-21</t>
  </si>
  <si>
    <t>70-21</t>
  </si>
  <si>
    <t>71-21</t>
  </si>
  <si>
    <t>904-21</t>
  </si>
  <si>
    <t>188-21</t>
  </si>
  <si>
    <t>195-21</t>
  </si>
  <si>
    <t>826-21</t>
  </si>
  <si>
    <t>197-21</t>
  </si>
  <si>
    <t>827-21</t>
  </si>
  <si>
    <t>190-21</t>
  </si>
  <si>
    <t>192-21</t>
  </si>
  <si>
    <t>199-21</t>
  </si>
  <si>
    <t>828-21</t>
  </si>
  <si>
    <t>194-21</t>
  </si>
  <si>
    <t>829-21</t>
  </si>
  <si>
    <t>196-21</t>
  </si>
  <si>
    <t>201-21</t>
  </si>
  <si>
    <t>81-21</t>
  </si>
  <si>
    <t>203-21</t>
  </si>
  <si>
    <t>198-21</t>
  </si>
  <si>
    <t>831-21</t>
  </si>
  <si>
    <t>207-21</t>
  </si>
  <si>
    <t>832-21</t>
  </si>
  <si>
    <t>202-21</t>
  </si>
  <si>
    <t>833-21</t>
  </si>
  <si>
    <t>209-21</t>
  </si>
  <si>
    <t>57-21</t>
  </si>
  <si>
    <t>211-21</t>
  </si>
  <si>
    <t>204-21</t>
  </si>
  <si>
    <t>834-21</t>
  </si>
  <si>
    <t>68-21</t>
  </si>
  <si>
    <t>DAVIDSON</t>
  </si>
  <si>
    <t>DAVID</t>
  </si>
  <si>
    <t>835-21</t>
  </si>
  <si>
    <t>206-21</t>
  </si>
  <si>
    <t>213-21</t>
  </si>
  <si>
    <t>208-21</t>
  </si>
  <si>
    <t>215-21</t>
  </si>
  <si>
    <t>210-21</t>
  </si>
  <si>
    <t>217-21</t>
  </si>
  <si>
    <t>ELBAUM</t>
  </si>
  <si>
    <t>MIKE</t>
  </si>
  <si>
    <t>837-21</t>
  </si>
  <si>
    <t>836-21</t>
  </si>
  <si>
    <t>212-21</t>
  </si>
  <si>
    <t>219-21</t>
  </si>
  <si>
    <t>838-21</t>
  </si>
  <si>
    <t>839-21</t>
  </si>
  <si>
    <t>301-21</t>
  </si>
  <si>
    <t>214-21</t>
  </si>
  <si>
    <t>218-21</t>
  </si>
  <si>
    <t>221-21</t>
  </si>
  <si>
    <t>906-21</t>
  </si>
  <si>
    <t>303-21</t>
  </si>
  <si>
    <t>220-21</t>
  </si>
  <si>
    <t>840-21</t>
  </si>
  <si>
    <t>223-21</t>
  </si>
  <si>
    <t>305-21</t>
  </si>
  <si>
    <t>56-21</t>
  </si>
  <si>
    <t>LOPES</t>
  </si>
  <si>
    <t>KIMBERLY</t>
  </si>
  <si>
    <t>225-21</t>
  </si>
  <si>
    <t>222-21</t>
  </si>
  <si>
    <t>55-21</t>
  </si>
  <si>
    <t>843-21</t>
  </si>
  <si>
    <t>227-21</t>
  </si>
  <si>
    <t>224-21</t>
  </si>
  <si>
    <t>842-21</t>
  </si>
  <si>
    <t>226-21</t>
  </si>
  <si>
    <t>59-21</t>
  </si>
  <si>
    <t>229-21</t>
  </si>
  <si>
    <t>845-21</t>
  </si>
  <si>
    <t>228-21</t>
  </si>
  <si>
    <t>231-21</t>
  </si>
  <si>
    <t>84-21</t>
  </si>
  <si>
    <t>844-21</t>
  </si>
  <si>
    <t>233-21</t>
  </si>
  <si>
    <t>230-21</t>
  </si>
  <si>
    <t>847-21</t>
  </si>
  <si>
    <t>235-21</t>
  </si>
  <si>
    <t>232-21</t>
  </si>
  <si>
    <t>846-21</t>
  </si>
  <si>
    <t>234-21</t>
  </si>
  <si>
    <t>237-21</t>
  </si>
  <si>
    <t>849-21</t>
  </si>
  <si>
    <t>239-21</t>
  </si>
  <si>
    <t>236-21</t>
  </si>
  <si>
    <t>908-21</t>
  </si>
  <si>
    <t>241-21</t>
  </si>
  <si>
    <t>238-21</t>
  </si>
  <si>
    <t>243-21</t>
  </si>
  <si>
    <t>242-21</t>
  </si>
  <si>
    <t>313-21</t>
  </si>
  <si>
    <t>307-21</t>
  </si>
  <si>
    <t>309-21</t>
  </si>
  <si>
    <t>706-21</t>
  </si>
  <si>
    <t>311-21</t>
  </si>
  <si>
    <t>300-22</t>
  </si>
  <si>
    <t>50-22</t>
  </si>
  <si>
    <t>Dry</t>
  </si>
  <si>
    <t>204:775</t>
  </si>
  <si>
    <t>204:232979</t>
  </si>
  <si>
    <t>204:232970</t>
  </si>
  <si>
    <t>204:482</t>
  </si>
  <si>
    <t>204:233307</t>
  </si>
  <si>
    <t>204:493</t>
  </si>
  <si>
    <t>204:232974</t>
  </si>
  <si>
    <t>204:127</t>
  </si>
  <si>
    <t>204:233270</t>
  </si>
  <si>
    <t>204:233284</t>
  </si>
  <si>
    <t>204:189</t>
  </si>
  <si>
    <t>204:233297</t>
  </si>
  <si>
    <t>204:232972</t>
  </si>
  <si>
    <t>204:232980</t>
  </si>
  <si>
    <t>204:114</t>
  </si>
  <si>
    <t>204:232990</t>
  </si>
  <si>
    <t>204:134</t>
  </si>
  <si>
    <t>204:233334</t>
  </si>
  <si>
    <t>204:1173</t>
  </si>
  <si>
    <t>204:233300</t>
  </si>
  <si>
    <t>204:233309</t>
  </si>
  <si>
    <t>204:233000</t>
  </si>
  <si>
    <t>204:234</t>
  </si>
  <si>
    <t>204:336</t>
  </si>
  <si>
    <t>204:1509</t>
  </si>
  <si>
    <t>204:233021</t>
  </si>
  <si>
    <t>204:232</t>
  </si>
  <si>
    <t>204:1477</t>
  </si>
  <si>
    <t>204:907</t>
  </si>
  <si>
    <t>204:635</t>
  </si>
  <si>
    <t>204:121</t>
  </si>
  <si>
    <t>204:1481</t>
  </si>
  <si>
    <t>204:232961</t>
  </si>
  <si>
    <t>204:542</t>
  </si>
  <si>
    <t>204:233343</t>
  </si>
  <si>
    <t>204:233323</t>
  </si>
  <si>
    <t>204:127860</t>
  </si>
  <si>
    <t>204:127514</t>
  </si>
  <si>
    <t>204:424</t>
  </si>
  <si>
    <t>204:233320</t>
  </si>
  <si>
    <t>204:413</t>
  </si>
  <si>
    <t>204:110</t>
  </si>
  <si>
    <t>204:407</t>
  </si>
  <si>
    <t>204:418</t>
  </si>
  <si>
    <t>204:77</t>
  </si>
  <si>
    <t>300:25766</t>
  </si>
  <si>
    <t>300:23523</t>
  </si>
  <si>
    <t>300:23629</t>
  </si>
  <si>
    <t>300:23635</t>
  </si>
  <si>
    <t>300:23735</t>
  </si>
  <si>
    <t>204:390</t>
  </si>
  <si>
    <t>300:23108</t>
  </si>
  <si>
    <t>300:23722</t>
  </si>
  <si>
    <t>204:3564</t>
  </si>
  <si>
    <t>300:22206</t>
  </si>
  <si>
    <t>204:921</t>
  </si>
  <si>
    <t>204:3233</t>
  </si>
  <si>
    <t>204:1177</t>
  </si>
  <si>
    <t>204:1244</t>
  </si>
  <si>
    <t>300:24205</t>
  </si>
  <si>
    <t>204:190388</t>
  </si>
  <si>
    <t>204:190364</t>
  </si>
  <si>
    <t>300:23207</t>
  </si>
  <si>
    <t>204:190051</t>
  </si>
  <si>
    <t>204:190080</t>
  </si>
  <si>
    <t>204:999</t>
  </si>
  <si>
    <t>300:22986</t>
  </si>
  <si>
    <t>204:3197</t>
  </si>
  <si>
    <t>204:1158</t>
  </si>
  <si>
    <t>300:5260</t>
  </si>
  <si>
    <t>204:318</t>
  </si>
  <si>
    <t>204:3516</t>
  </si>
  <si>
    <t>300:5555</t>
  </si>
  <si>
    <t>204:3222</t>
  </si>
  <si>
    <t>204:227</t>
  </si>
  <si>
    <t>204:1160</t>
  </si>
  <si>
    <t>204:3493</t>
  </si>
  <si>
    <t>300:58709</t>
  </si>
  <si>
    <t>204:645</t>
  </si>
  <si>
    <t>300:58704</t>
  </si>
  <si>
    <t>204:643</t>
  </si>
  <si>
    <t>300:58961</t>
  </si>
  <si>
    <t>300:58645</t>
  </si>
  <si>
    <t>300:58702</t>
  </si>
  <si>
    <t>204:656</t>
  </si>
  <si>
    <t>204:678</t>
  </si>
  <si>
    <t>204:951</t>
  </si>
  <si>
    <t>300:59008</t>
  </si>
  <si>
    <t>204:1213</t>
  </si>
  <si>
    <t>300:58707</t>
  </si>
  <si>
    <t>204:983</t>
  </si>
  <si>
    <t>300:58999</t>
  </si>
  <si>
    <t>300:58679</t>
  </si>
  <si>
    <t>204:722</t>
  </si>
  <si>
    <t>204:720</t>
  </si>
  <si>
    <t>204:1013</t>
  </si>
  <si>
    <t>300:58918</t>
  </si>
  <si>
    <t>300:58606</t>
  </si>
  <si>
    <t>204:1009</t>
  </si>
  <si>
    <t>300:59005</t>
  </si>
  <si>
    <t>300:58685</t>
  </si>
  <si>
    <t>300:58995</t>
  </si>
  <si>
    <t>204:727</t>
  </si>
  <si>
    <t>204:1020</t>
  </si>
  <si>
    <t>300:58621</t>
  </si>
  <si>
    <t>204:671</t>
  </si>
  <si>
    <t>300:58941</t>
  </si>
  <si>
    <t>204:647</t>
  </si>
  <si>
    <t>300:58630</t>
  </si>
  <si>
    <t>204:974</t>
  </si>
  <si>
    <t>300:58924</t>
  </si>
  <si>
    <t>300:58609</t>
  </si>
  <si>
    <t>204:738</t>
  </si>
  <si>
    <t>300:58956</t>
  </si>
  <si>
    <t>300:58640</t>
  </si>
  <si>
    <t>204:97</t>
  </si>
  <si>
    <t>300:58928</t>
  </si>
  <si>
    <t>204:399</t>
  </si>
  <si>
    <t>300:58958</t>
  </si>
  <si>
    <t>204:439</t>
  </si>
  <si>
    <t>300:58929</t>
  </si>
  <si>
    <t>204:682</t>
  </si>
  <si>
    <t>204:677</t>
  </si>
  <si>
    <t>300:58950</t>
  </si>
  <si>
    <t>300:58617</t>
  </si>
  <si>
    <t>204:985</t>
  </si>
  <si>
    <t>300:30318</t>
  </si>
  <si>
    <t>300:23663</t>
  </si>
  <si>
    <t>204:696</t>
  </si>
  <si>
    <t>204:448</t>
  </si>
  <si>
    <t>300:23661</t>
  </si>
  <si>
    <t>204:684</t>
  </si>
  <si>
    <t>300:28765</t>
  </si>
  <si>
    <t>300:28797</t>
  </si>
  <si>
    <t>start /low /b %USERPROFILE%\Documents\GitHub\eaglep3\Utilities\DownloadLogsFromS3.py --loco 4005 --day 2017-09-21</t>
  </si>
  <si>
    <t>start /low /b %USERPROFILE%\Documents\GitHub\eaglep3\Utilities\DownloadLogsFromS3.py --loco 4031 --day 2017-09-21</t>
  </si>
  <si>
    <t>start /low /b %USERPROFILE%\Documents\GitHub\eaglep3\Utilities\DownloadLogsFromS3.py --loco 4009 --day 2017-09-21</t>
  </si>
  <si>
    <t>start /low /b %USERPROFILE%\Documents\GitHub\eaglep3\Utilities\DownloadLogsFromS3.py --loco 4029 --day 2017-09-21</t>
  </si>
  <si>
    <t>start /low /b %USERPROFILE%\Documents\GitHub\eaglep3\Utilities\DownloadLogsFromS3.py --loco 4055 --day 2017-09-21</t>
  </si>
  <si>
    <t>start /low /b %USERPROFILE%\Documents\GitHub\eaglep3\Utilities\DownloadLogsFromS3.py --loco 4052 --day 2017-09-21</t>
  </si>
  <si>
    <t>start /low /b %USERPROFILE%\Documents\GitHub\eaglep3\Utilities\DownloadLogsFromS3.py --loco 4010 --day 2017-09-21</t>
  </si>
  <si>
    <t>start /low /b %USERPROFILE%\Documents\GitHub\eaglep3\Utilities\DownloadLogsFromS3.py --loco 4030 --day 2017-09-21</t>
  </si>
  <si>
    <t>start /low /b %USERPROFILE%\Documents\GitHub\eaglep3\Utilities\DownloadLogsFromS3.py --loco 4018 --day 2017-09-21</t>
  </si>
  <si>
    <t>start /low /b %USERPROFILE%\Documents\GitHub\eaglep3\Utilities\DownloadLogsFromS3.py --loco 4029 --day 2017-09-22</t>
  </si>
  <si>
    <t>start /low /b %USERPROFILE%\Documents\GitHub\eaglep3\Utilities\DownloadLogsFromS3.py --loco 4009 --day 2017-09-22</t>
  </si>
  <si>
    <t>start /low /b %USERPROFILE%\Documents\GitHub\eaglep3\Utilities\DownloadLogsFromS3.py --loco 4005 --day 2017-09-22</t>
  </si>
  <si>
    <t>start /low /b %USERPROFILE%\Documents\GitHub\eaglep3\Utilities\DownloadLogsFromS3.py --loco 4051 --day 2017-09-21</t>
  </si>
  <si>
    <t>start /low /b %USERPROFILE%\Documents\GitHub\eaglep3\Utilities\DownloadLogsFromS3.py --loco 4056 --day 2017-09-21</t>
  </si>
  <si>
    <t>start /low /b %USERPROFILE%\Documents\GitHub\eaglep3\Utilities\DownloadLogsFromS3.py --loco 4032 --day 2017-09-22</t>
  </si>
  <si>
    <t>start /low /b %USERPROFILE%\Documents\GitHub\eaglep3\Utilities\DownloadLogsFromS3.py --loco 4032 --day 2017-09-21</t>
  </si>
  <si>
    <t>start /low /b %USERPROFILE%\Documents\GitHub\eaglep3\Utilities\DownloadLogsFromS3.py --loco 4053 --day 2017-09-21</t>
  </si>
  <si>
    <t>start /low /b %USERPROFILE%\Documents\GitHub\eaglep3\Utilities\DownloadLogsFromS3.py --loco 4054 --day 2017-09-21</t>
  </si>
  <si>
    <t>204:233303</t>
  </si>
  <si>
    <t>204:422</t>
  </si>
  <si>
    <t>204:1156</t>
  </si>
  <si>
    <t>300:22053</t>
  </si>
  <si>
    <t>204:909</t>
  </si>
  <si>
    <t>DE.1.0.9.1</t>
  </si>
  <si>
    <t>204:443</t>
  </si>
  <si>
    <t>204:233331</t>
  </si>
  <si>
    <t>delayed by power outage</t>
  </si>
  <si>
    <t>Onboard en route failure</t>
  </si>
  <si>
    <t>WiMAX data drop</t>
  </si>
  <si>
    <t>Early Arrival exasperated by WiMAX data drop</t>
  </si>
  <si>
    <t>Restricting Aspect</t>
  </si>
  <si>
    <t xml:space="preserve">Observed GPS issues, no effect on run time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</si>
</sst>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9" fillId="0" borderId="0" xfId="0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313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9" customWidth="1"/>
    <col min="20" max="20" width="3.85546875" style="168" customWidth="1"/>
    <col min="21" max="21" width="5" style="196" customWidth="1"/>
    <col min="22" max="22" width="5.7109375" style="217" customWidth="1"/>
    <col min="23" max="23" width="3.85546875" style="202" customWidth="1"/>
    <col min="24" max="24" width="6.5703125" style="202" customWidth="1"/>
    <col min="25" max="25" width="8.85546875" style="202" customWidth="1"/>
    <col min="26" max="26" width="7.28515625" style="202" customWidth="1"/>
    <col min="27" max="27" width="9.140625" style="202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3.7109375" style="168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42999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42999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COUNTIFS($N$13:$N$9356,"&gt;0",$AG$13:$AG$9356,I1)</f>
        <v>143</v>
      </c>
      <c r="K5" s="39"/>
      <c r="L5" s="172"/>
      <c r="M5" s="40">
        <f>AVERAGEIFS($N$13:$N$9356,$AG$13:$AG$9356,I1)</f>
        <v>37.204428903865988</v>
      </c>
      <c r="N5" s="38">
        <f t="array" ref="N5">MIN(IF($AG$13:$AG$9356=I1,IF(ISNUMBER($N$13:$N$9356),IF($N$13:$N$9356&gt;0,$N$13:$N$9356))))</f>
        <v>34.216666660504416</v>
      </c>
      <c r="O5" s="3">
        <f t="array" ref="O5">MAX(IF($AG$13:$AG$9356=I1,IF(ISNUMBER($N$13:$N$9356),IF($N$13:$N$9356&gt;0,$N$13:$N$9356))))</f>
        <v>52.050000003073364</v>
      </c>
      <c r="P5" s="2"/>
      <c r="R5" s="163" t="s">
        <v>17</v>
      </c>
      <c r="S5" s="207">
        <f>COUNTIFS($N$13:$N$9356,"&gt;0",$AG$13:$AG$9356,R1)</f>
        <v>49</v>
      </c>
      <c r="T5" s="172"/>
      <c r="U5" s="195"/>
      <c r="V5" s="211">
        <f>AVERAGEIFS($N$13:$N$9356,$AG$13:$AG$9356,R1)</f>
        <v>15.518707483151585</v>
      </c>
      <c r="W5" s="212">
        <f t="array" ref="W5">MIN(IF($AG$13:$AG$9356=R1,IF(ISNUMBER($N$13:$N$9356),IF($N$13:$N$9356&gt;0,$N$13:$N$9356))))</f>
        <v>11.649999999208376</v>
      </c>
      <c r="X5" s="200">
        <f t="array" ref="X5">MAX(IF($AG$13:$AG$9356=R1,IF(ISNUMBER($N$13:$N$9356),IF($N$13:$N$9356&gt;0,$N$13:$N$9356))))</f>
        <v>23.533333333907649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COUNT($O$13:$O$148)</f>
        <v>0</v>
      </c>
      <c r="K6" s="39"/>
      <c r="L6" s="172"/>
      <c r="M6" s="40">
        <f>IFERROR(AVERAGE($O$13:$O$148),0)</f>
        <v>0</v>
      </c>
      <c r="N6" s="38">
        <f>MIN($O$13:$O$148)</f>
        <v>0</v>
      </c>
      <c r="O6" s="3">
        <f>MAX($O$13:$O$148)</f>
        <v>0</v>
      </c>
      <c r="P6" s="2"/>
      <c r="R6" s="164" t="s">
        <v>43</v>
      </c>
      <c r="S6" s="207">
        <f>COUNT($O$13:$O$148)</f>
        <v>0</v>
      </c>
      <c r="T6" s="172"/>
      <c r="U6" s="195"/>
      <c r="V6" s="211">
        <f>IFERROR(AVERAGE($O$13:$O$148),0)</f>
        <v>0</v>
      </c>
      <c r="W6" s="212">
        <f>MIN($O$13:$O$148)</f>
        <v>0</v>
      </c>
      <c r="X6" s="200">
        <f>MAX($O$13:$O$148)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COUNTIFS($P$13:$P$9356,"&gt;0",$AG$13:$AG$9356,I1)</f>
        <v>1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COUNTIFS($P$13:$P$9356,"&gt;0",$AG$13:$AG$9356,R1)</f>
        <v>0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143</v>
      </c>
      <c r="K8" s="39"/>
      <c r="L8" s="172"/>
      <c r="M8" s="40">
        <f>M5</f>
        <v>37.204428903865988</v>
      </c>
      <c r="N8" s="38">
        <f>N5</f>
        <v>34.216666660504416</v>
      </c>
      <c r="O8" s="3">
        <f>O5</f>
        <v>52.050000003073364</v>
      </c>
      <c r="P8" s="2"/>
      <c r="R8" s="163" t="s">
        <v>16</v>
      </c>
      <c r="S8" s="207">
        <f>S5</f>
        <v>49</v>
      </c>
      <c r="T8" s="172"/>
      <c r="U8" s="195"/>
      <c r="V8" s="211">
        <f>V5</f>
        <v>15.518707483151585</v>
      </c>
      <c r="W8" s="212">
        <f>W5</f>
        <v>11.649999999208376</v>
      </c>
      <c r="X8" s="200">
        <f>X5</f>
        <v>23.533333333907649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0.99305555555555558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1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5" thickBot="1" x14ac:dyDescent="0.3">
      <c r="A11" s="226" t="str">
        <f>"Eagle P3 System Performance - "&amp;TEXT(Variables!A2,"yyyy-mm-dd")</f>
        <v>Eagle P3 System Performance - 2017-09-21</v>
      </c>
      <c r="B11" s="226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S11" s="219">
        <f>AVERAGE(S13:S107)</f>
        <v>1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142</v>
      </c>
      <c r="AJ12" s="46" t="s">
        <v>143</v>
      </c>
      <c r="AK12" s="46" t="s">
        <v>116</v>
      </c>
      <c r="AL12" s="46" t="s">
        <v>144</v>
      </c>
      <c r="AM12" s="143" t="s">
        <v>191</v>
      </c>
      <c r="AN12" s="46" t="s">
        <v>333</v>
      </c>
      <c r="AO12" s="177" t="s">
        <v>452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618</v>
      </c>
      <c r="B13" s="7">
        <v>4056</v>
      </c>
      <c r="C13" s="21" t="s">
        <v>196</v>
      </c>
      <c r="D13" s="21" t="s">
        <v>837</v>
      </c>
      <c r="E13" s="13">
        <v>42999.124328703707</v>
      </c>
      <c r="F13" s="13">
        <v>42999.135659722226</v>
      </c>
      <c r="G13" s="7">
        <v>65</v>
      </c>
      <c r="H13" s="21" t="s">
        <v>439</v>
      </c>
      <c r="I13" s="13">
        <v>42999.159594907411</v>
      </c>
      <c r="J13" s="7">
        <v>0</v>
      </c>
      <c r="K13" s="89" t="str">
        <f t="shared" ref="K13:K77" si="0">IF(ISEVEN(B13),(B13-1)&amp;"/"&amp;B13,B13&amp;"/"&amp;(B13+1))</f>
        <v>4055/4056</v>
      </c>
      <c r="L13" s="185" t="str">
        <f>VLOOKUP(A13,'Trips&amp;Operators'!$C$1:$G$99911,5,FALSE)</f>
        <v>YORK EDGAR</v>
      </c>
      <c r="M13" s="6">
        <f t="shared" ref="M13:M77" si="1">I13-F13</f>
        <v>2.3935185185109731E-2</v>
      </c>
      <c r="N13" s="7">
        <f t="shared" ref="N13:N77" si="2">24*60*SUM($M13:$M13)</f>
        <v>34.466666666558012</v>
      </c>
      <c r="O13" s="7"/>
      <c r="P13" s="7"/>
      <c r="Q13" s="22"/>
      <c r="R13" s="167"/>
      <c r="S13" s="221">
        <f t="shared" ref="S13:S77" si="3">1/IF(AG13="EC",12,1)*SUM(U13:U13)</f>
        <v>1</v>
      </c>
      <c r="T13" s="174" t="str">
        <f t="shared" ref="T13:T77" si="4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 t="shared" ref="V13:V77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-21T01:59:02-0600',mode:absolute,to:'2017-09-21T04:49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" s="204" t="str">
        <f>IF(AA13&lt;VLOOKUP(AG13,Variables!$AC$3:$AD$8,2,FALSE),"Y","N")</f>
        <v>N</v>
      </c>
      <c r="X13" s="204" t="e">
        <f t="shared" ref="X13:X77" si="6">VALUE(LEFT(AD13,4))-VALUE(LEFT(AD12,4))</f>
        <v>#VALUE!</v>
      </c>
      <c r="Y13" s="204">
        <f t="shared" ref="Y13:Y77" si="7">RIGHT(D13,LEN(D13)-4)/10000</f>
        <v>7.7499999999999999E-2</v>
      </c>
      <c r="Z13" s="204">
        <f t="shared" ref="Z13:Z77" si="8">RIGHT(H13,LEN(H13)-4)/10000</f>
        <v>23.330200000000001</v>
      </c>
      <c r="AA13" s="204">
        <f t="shared" ref="AA13:AA77" si="9">ABS(Z13-Y13)</f>
        <v>23.252700000000001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 t="shared" ref="AD13:AD77" si="10">VALUE(LEFT(A13,LEN(A13)-3))</f>
        <v>101</v>
      </c>
      <c r="AE13" s="77" t="str">
        <f t="shared" ref="AE13:AE77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s3://rtdc.mdm.uploadarchive.raw/RTDC4056/ "%USERPROFILE%\AppData\Local\Temp\OnboardLogs"\RTDC4056\2017-09-21 --exclude "*" --recursive --include "*20170921*" &amp; "%USERPROFILE%\Documents\GitHub\mrs-test-scripts\Headless Mode &amp; Sideloading\WalkAndUnGZ.bat" "%USERPROFILE%\AppData\Local\Temp\OnboardLogs"\RTDC4056\2017-09-21 &amp; aws s3 cp s3://rtdc.mdm.uploadarchive.raw/RTDC4056/ "%USERPROFILE%\AppData\Local\Temp\OnboardLogs"\RTDC4056\2017-09-22 --exclude "*" --recursive --include "*20170922*" &amp; "%USERPROFILE%\Documents\GitHub\mrs-test-scripts\Headless Mode &amp; Sideloading\WalkAndUnGZ.bat" "%USERPROFILE%\AppData\Local\Temp\OnboardLogs"\RTDC4056\2017-09-22</v>
      </c>
      <c r="AF13" s="74" t="str">
        <f t="shared" ref="AF13:AF77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/stypes="app*4056*20170921*" /stext=" 09:.+((SYSTEM_STATE.+slice.+state.+changed )|(ment ac)|(multiple cpu faults)|(system.+state.+changed )|(\[timeout)|(PRM\|1\|D)|(kpr)|(kdp)|(train st.+moving)|(\|lc)|(penalty))"</v>
      </c>
      <c r="AG13" s="182" t="str">
        <f t="shared" ref="AG13:AG77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101-21 --locoid 4056 --swversion DE.1.0.9.0 --startMP 204:775 --initTime 2017-09-21T02:59:02 --startdatetime 2017-09-21T03:15:21 --delay 65 --endMP 204:233302 --enddatetime 2017-09-21T03:49:49 --enforcementcount 0 &gt;&gt;c:\users\stu\Documents\GitHub\eaglep3-reporting\EC\2017-09-21-refined-times.txt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{"issue":{"subject":"","project_id":79,"tracker_id":40,"status_id":1,"priority_id":2,"assigned_to_id":338,"start_date":"2017-09-21","description":"","custom_fields":[{"id":1,"name":"Subdivision","value":"EC"},{"id":4,"name":"Milepost","value":"23.3302"},{"id":17,"name":"Train ID","value":"101-21"},{"id":16,"name":"Locomotive ID","value":"4056"},{"id":130,"name":"Impact","value":""},{"id":150,"name":"Time of Event (Mountain Time)","value":"03:49:49"},{"id":151,"name":"Denver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4056 --day 2017-09-21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09:49:49"},{"id":29,"name":"Sharepoint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Message%5C+ID:(*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-21T01:59:02-0600',mode:absolute,to:'2017-09-21T04:49:49-0600'))&amp;_a=(columns:!('Message%20ID',Summary),filters:!(),index:'emp_*',interval:auto,query:(query_string:(analyze_wildcard:!t,query:'Message%5C+ID:(*)+AND+%22rtdc.l.rtdc.4056%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628</v>
      </c>
      <c r="B14" s="7">
        <v>4055</v>
      </c>
      <c r="C14" s="21" t="s">
        <v>196</v>
      </c>
      <c r="D14" s="21" t="s">
        <v>838</v>
      </c>
      <c r="E14" s="13">
        <v>42999.160717592589</v>
      </c>
      <c r="F14" s="13">
        <v>42999.175462962965</v>
      </c>
      <c r="G14" s="7">
        <v>54</v>
      </c>
      <c r="H14" s="21" t="s">
        <v>408</v>
      </c>
      <c r="I14" s="13">
        <v>42999.200624999998</v>
      </c>
      <c r="J14" s="7">
        <v>0</v>
      </c>
      <c r="K14" s="89" t="str">
        <f t="shared" si="0"/>
        <v>4055/4056</v>
      </c>
      <c r="L14" s="185" t="str">
        <f>VLOOKUP(A14,'Trips&amp;Operators'!$C$1:$G$99911,5,FALSE)</f>
        <v>YORK EDGAR</v>
      </c>
      <c r="M14" s="6">
        <f t="shared" si="1"/>
        <v>2.5162037032714579E-2</v>
      </c>
      <c r="N14" s="7">
        <f t="shared" si="2"/>
        <v>36.233333327108994</v>
      </c>
      <c r="O14" s="7"/>
      <c r="P14" s="7"/>
      <c r="Q14" s="22"/>
      <c r="R14" s="174"/>
      <c r="S14" s="221">
        <f t="shared" si="3"/>
        <v>1</v>
      </c>
      <c r="T14" s="174" t="str">
        <f t="shared" si="4"/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 t="shared" si="5"/>
        <v>https://d0f6bd738d7f1b3e5a7ca70fe4ff75f0.us-east-1.aws.found.io/app/kibana#/discover/Steve-Slow-Train-Analysis-(2080s-and-2083s)?_g=(refreshInterval:(display:Off,pause:!f,section:0,value:0),time:(from:'2017-09-21T02:51:26-0600',mode:absolute,to:'2017-09-21T05:48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" s="204" t="str">
        <f>IF(AA14&lt;VLOOKUP(AG14,Variables!$AC$3:$AD$8,2,FALSE),"Y","N")</f>
        <v>N</v>
      </c>
      <c r="X14" s="204">
        <f t="shared" si="6"/>
        <v>1</v>
      </c>
      <c r="Y14" s="204">
        <f t="shared" si="7"/>
        <v>23.297899999999998</v>
      </c>
      <c r="Z14" s="204">
        <f t="shared" si="8"/>
        <v>1.54E-2</v>
      </c>
      <c r="AA14" s="204">
        <f t="shared" si="9"/>
        <v>23.282499999999999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 t="shared" si="10"/>
        <v>102</v>
      </c>
      <c r="AE14" s="77" t="str">
        <f t="shared" si="11"/>
        <v>aws s3 cp s3://rtdc.mdm.uploadarchive.raw/RTDC4055/ "%USERPROFILE%\AppData\Local\Temp\OnboardLogs"\RTDC4055\2017-09-21 --exclude "*" --recursive --include "*20170921*" &amp; "%USERPROFILE%\Documents\GitHub\mrs-test-scripts\Headless Mode &amp; Sideloading\WalkAndUnGZ.bat" "%USERPROFILE%\AppData\Local\Temp\OnboardLogs"\RTDC4055\2017-09-21 &amp; aws s3 cp s3://rtdc.mdm.uploadarchive.raw/RTDC4055/ "%USERPROFILE%\AppData\Local\Temp\OnboardLogs"\RTDC4055\2017-09-22 --exclude "*" --recursive --include "*20170922*" &amp; "%USERPROFILE%\Documents\GitHub\mrs-test-scripts\Headless Mode &amp; Sideloading\WalkAndUnGZ.bat" "%USERPROFILE%\AppData\Local\Temp\OnboardLogs"\RTDC4055\2017-09-22</v>
      </c>
      <c r="AF14" s="74" t="str">
        <f t="shared" si="12"/>
        <v>"C:\Program Files (x86)\AstroGrep\AstroGrep.exe" /e /r /s /spath="%USERPROFILE%\AppData\Local\Temp\OnboardLogs" /stypes="app*4055*20170921*" /stext=" 10:.+((SYSTEM_STATE.+slice.+state.+changed )|(ment ac)|(multiple cpu faults)|(system.+state.+changed )|(\[timeout)|(PRM\|1\|D)|(kpr)|(kdp)|(train st.+moving)|(\|lc)|(penalty))"</v>
      </c>
      <c r="AG14" s="182" t="str">
        <f t="shared" si="13"/>
        <v>EC</v>
      </c>
      <c r="AH14" s="78" t="str">
        <f t="shared" ref="AH14:AH78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102-21 --locoid 4055 --swversion DE.1.0.9.0 --startMP 204:232979 --initTime 2017-09-21T03:51:26 --startdatetime 2017-09-21T04:12:40 --delay 54 --endMP 204:154 --enddatetime 2017-09-21T04:48:54 --enforcementcount 0 &gt;&gt;c:\users\stu\Documents\GitHub\eaglep3-reporting\EC\2017-09-21-refined-times.txt</v>
      </c>
      <c r="AI14" s="96" t="str">
        <f t="shared" ref="AI14:AI78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{"issue":{"subject":"","project_id":79,"tracker_id":40,"status_id":1,"priority_id":2,"assigned_to_id":338,"start_date":"2017-09-21","description":"","custom_fields":[{"id":1,"name":"Subdivision","value":"EC"},{"id":4,"name":"Milepost","value":"0.0154"},{"id":17,"name":"Train ID","value":"102-21"},{"id":16,"name":"Locomotive ID","value":"4055"},{"id":130,"name":"Impact","value":""},{"id":150,"name":"Time of Event (Mountain Time)","value":"04:48:54"},{"id":151,"name":"Denver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8" si="21">"start /low /b "&amp;dls3logs&amp;" --loco "&amp;B14&amp;" --day "&amp;TEXT(F14,"YYYY-MM-DD")</f>
        <v>start /low /b %USERPROFILE%\Documents\GitHub\eaglep3\Utilities\DownloadLogsFromS3.py --loco 4055 --day 2017-09-21</v>
      </c>
      <c r="AN14" s="151" t="str">
        <f t="shared" ref="AN14:AN78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10:48:54"},{"id":29,"name":"Sharepoint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8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Message%5C+ID:(*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-09-21T02:51:26-0600',mode:absolute,to:'2017-09-21T05:48:54-0600'))&amp;_a=(columns:!('Message%20ID',Summary),filters:!(),index:'emp_*',interval:auto,query:(query_string:(analyze_wildcard:!t,query:'Message%5C+ID:(*)+AND+%22rtdc.l.rtdc.4055%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625</v>
      </c>
      <c r="B15" s="7">
        <v>4030</v>
      </c>
      <c r="C15" s="21" t="s">
        <v>196</v>
      </c>
      <c r="D15" s="21" t="s">
        <v>419</v>
      </c>
      <c r="E15" s="13">
        <v>42999.15185185185</v>
      </c>
      <c r="F15" s="13">
        <v>42999.156412037039</v>
      </c>
      <c r="G15" s="7">
        <v>62</v>
      </c>
      <c r="H15" s="21" t="s">
        <v>401</v>
      </c>
      <c r="I15" s="13">
        <v>42999.181921296295</v>
      </c>
      <c r="J15" s="7">
        <v>0</v>
      </c>
      <c r="K15" s="89" t="str">
        <f t="shared" si="0"/>
        <v>4029/4030</v>
      </c>
      <c r="L15" s="185" t="str">
        <f>VLOOKUP(A15,'Trips&amp;Operators'!$C$1:$G$99911,5,FALSE)</f>
        <v>STARKS ANGELINA</v>
      </c>
      <c r="M15" s="6">
        <f t="shared" si="1"/>
        <v>2.5509259256068617E-2</v>
      </c>
      <c r="N15" s="7">
        <f t="shared" si="2"/>
        <v>36.733333328738809</v>
      </c>
      <c r="O15" s="7"/>
      <c r="P15" s="7"/>
      <c r="Q15" s="22"/>
      <c r="R15" s="174"/>
      <c r="S15" s="221">
        <f t="shared" si="3"/>
        <v>1</v>
      </c>
      <c r="T15" s="174" t="str">
        <f t="shared" si="4"/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 t="shared" si="5"/>
        <v>https://d0f6bd738d7f1b3e5a7ca70fe4ff75f0.us-east-1.aws.found.io/app/kibana#/discover/Steve-Slow-Train-Analysis-(2080s-and-2083s)?_g=(refreshInterval:(display:Off,pause:!f,section:0,value:0),time:(from:'2017-09-21T02:38:40-0600',mode:absolute,to:'2017-09-21T05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" s="204" t="str">
        <f>IF(AA15&lt;VLOOKUP(AG15,Variables!$AC$3:$AD$8,2,FALSE),"Y","N")</f>
        <v>N</v>
      </c>
      <c r="X15" s="204">
        <f t="shared" si="6"/>
        <v>1</v>
      </c>
      <c r="Y15" s="204">
        <f t="shared" si="7"/>
        <v>4.3299999999999998E-2</v>
      </c>
      <c r="Z15" s="204">
        <f t="shared" si="8"/>
        <v>23.328900000000001</v>
      </c>
      <c r="AA15" s="204">
        <f t="shared" si="9"/>
        <v>23.285600000000002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 t="shared" si="10"/>
        <v>103</v>
      </c>
      <c r="AE15" s="77" t="str">
        <f t="shared" si="11"/>
        <v>aws s3 cp s3://rtdc.mdm.uploadarchive.raw/RTDC4030/ "%USERPROFILE%\AppData\Local\Temp\OnboardLogs"\RTDC4030\2017-09-21 --exclude "*" --recursive --include "*20170921*" &amp; "%USERPROFILE%\Documents\GitHub\mrs-test-scripts\Headless Mode &amp; Sideloading\WalkAndUnGZ.bat" "%USERPROFILE%\AppData\Local\Temp\OnboardLogs"\RTDC4030\2017-09-21 &amp; aws s3 cp s3://rtdc.mdm.uploadarchive.raw/RTDC4030/ "%USERPROFILE%\AppData\Local\Temp\OnboardLogs"\RTDC4030\2017-09-22 --exclude "*" --recursive --include "*20170922*" &amp; "%USERPROFILE%\Documents\GitHub\mrs-test-scripts\Headless Mode &amp; Sideloading\WalkAndUnGZ.bat" "%USERPROFILE%\AppData\Local\Temp\OnboardLogs"\RTDC4030\2017-09-22</v>
      </c>
      <c r="AF15" s="74" t="str">
        <f t="shared" si="12"/>
        <v>"C:\Program Files (x86)\AstroGrep\AstroGrep.exe" /e /r /s /spath="%USERPROFILE%\AppData\Local\Temp\OnboardLogs" /stypes="app*4030*20170921*" /stext=" 10:.+((SYSTEM_STATE.+slice.+state.+changed )|(ment ac)|(multiple cpu faults)|(system.+state.+changed )|(\[timeout)|(PRM\|1\|D)|(kpr)|(kdp)|(train st.+moving)|(\|lc)|(penalty))"</v>
      </c>
      <c r="AG15" s="182" t="str">
        <f t="shared" si="13"/>
        <v>EC</v>
      </c>
      <c r="AH15" s="78" t="str">
        <f t="shared" si="19"/>
        <v>"%USERPROFILE%\Documents\GitHub\eaglep3\Utilities\RefineRTDCRunTimes.py" --tripid 103-21 --locoid 4030 --swversion DE.1.0.9.0 --startMP 204:433 --initTime 2017-09-21T03:38:40 --startdatetime 2017-09-21T03:45:14 --delay 62 --endMP 204:233289 --enddatetime 2017-09-21T04:21:58 --enforcementcount 0 &gt;&gt;c:\users\stu\Documents\GitHub\eaglep3-reporting\EC\2017-09-21-refined-times.txt</v>
      </c>
      <c r="AI15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{"issue":{"subject":"","project_id":79,"tracker_id":40,"status_id":1,"priority_id":2,"assigned_to_id":338,"start_date":"2017-09-21","description":"","custom_fields":[{"id":1,"name":"Subdivision","value":"EC"},{"id":4,"name":"Milepost","value":"23.3289"},{"id":17,"name":"Train ID","value":"103-21"},{"id":16,"name":"Locomotive ID","value":"4030"},{"id":130,"name":"Impact","value":""},{"id":150,"name":"Time of Event (Mountain Time)","value":"04:21:58"},{"id":151,"name":"Denver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1"/>
        <v>start /low /b %USERPROFILE%\Documents\GitHub\eaglep3\Utilities\DownloadLogsFromS3.py --loco 4030 --day 2017-09-21</v>
      </c>
      <c r="AN15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10:21:58"},{"id":29,"name":"Sharepoint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23"/>
        <v>https://d0f6bd738d7f1b3e5a7ca70fe4ff75f0.us-east-1.aws.found.io/app/kibana#/discover/Steve-Slow-Train-Analysis-(2080s-and-2083s)?_g=(refreshInterval:(display:Off,pause:!f,section:0,value:0),time:(from:'2017-09-21T02:38:40-0600',mode:absolute,to:'2017-09-21T05:21:58-0600'))&amp;_a=(columns:!('Message%20ID',Summary),filters:!(),index:'emp_*',interval:auto,query:(query_string:(analyze_wildcard:!t,query:'Message%5C+ID:(*)+AND+%22rtdc.l.rtdc.4030%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578</v>
      </c>
      <c r="B16" s="7">
        <v>4029</v>
      </c>
      <c r="C16" s="21" t="s">
        <v>196</v>
      </c>
      <c r="D16" s="21" t="s">
        <v>839</v>
      </c>
      <c r="E16" s="13">
        <v>42999.183680555558</v>
      </c>
      <c r="F16" s="13">
        <v>42999.196099537039</v>
      </c>
      <c r="G16" s="7">
        <v>57</v>
      </c>
      <c r="H16" s="21" t="s">
        <v>339</v>
      </c>
      <c r="I16" s="13">
        <v>42999.224606481483</v>
      </c>
      <c r="J16" s="7">
        <v>0</v>
      </c>
      <c r="K16" s="89" t="str">
        <f t="shared" si="0"/>
        <v>4029/4030</v>
      </c>
      <c r="L16" s="185" t="str">
        <f>VLOOKUP(A16,'Trips&amp;Operators'!$C$1:$G$99911,5,FALSE)</f>
        <v>STARKS ANGELINA</v>
      </c>
      <c r="M16" s="6">
        <f t="shared" si="1"/>
        <v>2.8506944443506654E-2</v>
      </c>
      <c r="N16" s="7">
        <f t="shared" si="2"/>
        <v>41.049999998649582</v>
      </c>
      <c r="O16" s="7"/>
      <c r="P16" s="7"/>
      <c r="Q16" s="22"/>
      <c r="R16" s="174"/>
      <c r="S16" s="221">
        <f t="shared" si="3"/>
        <v>1</v>
      </c>
      <c r="T16" s="174" t="str">
        <f t="shared" si="4"/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 t="shared" si="5"/>
        <v>https://d0f6bd738d7f1b3e5a7ca70fe4ff75f0.us-east-1.aws.found.io/app/kibana#/discover/Steve-Slow-Train-Analysis-(2080s-and-2083s)?_g=(refreshInterval:(display:Off,pause:!f,section:0,value:0),time:(from:'2017-09-21T03:24:30-0600',mode:absolute,to:'2017-09-21T06:23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" s="204" t="str">
        <f>IF(AA16&lt;VLOOKUP(AG16,Variables!$AC$3:$AD$8,2,FALSE),"Y","N")</f>
        <v>N</v>
      </c>
      <c r="X16" s="204">
        <f t="shared" si="6"/>
        <v>1</v>
      </c>
      <c r="Y16" s="204">
        <f t="shared" si="7"/>
        <v>23.297000000000001</v>
      </c>
      <c r="Z16" s="204">
        <f t="shared" si="8"/>
        <v>1.43E-2</v>
      </c>
      <c r="AA16" s="204">
        <f t="shared" si="9"/>
        <v>23.282700000000002</v>
      </c>
      <c r="AB16" s="54" t="str">
        <f>VLOOKUP(A16,Enforcements!$C$7:$K$11,8,0)</f>
        <v>Bulletin (2)</v>
      </c>
      <c r="AC16" s="51" t="str">
        <f>VLOOKUP(A16,Enforcements!$C$7:$E$11,3,0)</f>
        <v>GRADE CROSSING</v>
      </c>
      <c r="AD16" s="179">
        <f t="shared" si="10"/>
        <v>104</v>
      </c>
      <c r="AE16" s="77" t="str">
        <f t="shared" si="11"/>
        <v>aws s3 cp s3://rtdc.mdm.uploadarchive.raw/RTDC4029/ "%USERPROFILE%\AppData\Local\Temp\OnboardLogs"\RTDC4029\2017-09-21 --exclude "*" --recursive --include "*20170921*" &amp; "%USERPROFILE%\Documents\GitHub\mrs-test-scripts\Headless Mode &amp; Sideloading\WalkAndUnGZ.bat" "%USERPROFILE%\AppData\Local\Temp\OnboardLogs"\RTDC4029\2017-09-21 &amp; aws s3 cp s3://rtdc.mdm.uploadarchive.raw/RTDC4029/ "%USERPROFILE%\AppData\Local\Temp\OnboardLogs"\RTDC4029\2017-09-22 --exclude "*" --recursive --include "*20170922*" &amp; "%USERPROFILE%\Documents\GitHub\mrs-test-scripts\Headless Mode &amp; Sideloading\WalkAndUnGZ.bat" "%USERPROFILE%\AppData\Local\Temp\OnboardLogs"\RTDC4029\2017-09-22</v>
      </c>
      <c r="AF16" s="74" t="str">
        <f t="shared" si="12"/>
        <v>"C:\Program Files (x86)\AstroGrep\AstroGrep.exe" /e /r /s /spath="%USERPROFILE%\AppData\Local\Temp\OnboardLogs" /stypes="app*4029*20170921*" /stext=" 11:.+((SYSTEM_STATE.+slice.+state.+changed )|(ment ac)|(multiple cpu faults)|(system.+state.+changed )|(\[timeout)|(PRM\|1\|D)|(kpr)|(kdp)|(train st.+moving)|(\|lc)|(penalty))"</v>
      </c>
      <c r="AG16" s="182" t="str">
        <f t="shared" si="13"/>
        <v>EC</v>
      </c>
      <c r="AH16" s="78" t="str">
        <f t="shared" si="19"/>
        <v>"%USERPROFILE%\Documents\GitHub\eaglep3\Utilities\RefineRTDCRunTimes.py" --tripid 104-21 --locoid 4029 --swversion DE.1.0.9.0 --startMP 204:232970 --initTime 2017-09-21T04:24:30 --startdatetime 2017-09-21T04:42:23 --delay 57 --endMP 204:143 --enddatetime 2017-09-21T05:23:26 --enforcementcount 0 &gt;&gt;c:\users\stu\Documents\GitHub\eaglep3-reporting\EC\2017-09-21-refined-times.txt</v>
      </c>
      <c r="AI16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{"issue":{"subject":"","project_id":79,"tracker_id":40,"status_id":1,"priority_id":2,"assigned_to_id":338,"start_date":"2017-09-21","description":"","custom_fields":[{"id":1,"name":"Subdivision","value":"EC"},{"id":4,"name":"Milepost","value":"0.0143"},{"id":17,"name":"Train ID","value":"104-21"},{"id":16,"name":"Locomotive ID","value":"4029"},{"id":130,"name":"Impact","value":""},{"id":150,"name":"Time of Event (Mountain Time)","value":"05:23:26"},{"id":151,"name":"Denver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1"/>
        <v>start /low /b %USERPROFILE%\Documents\GitHub\eaglep3\Utilities\DownloadLogsFromS3.py --loco 4029 --day 2017-09-21</v>
      </c>
      <c r="AN16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11:23:26"},{"id":29,"name":"Sharepoint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23"/>
        <v>https://d0f6bd738d7f1b3e5a7ca70fe4ff75f0.us-east-1.aws.found.io/app/kibana#/discover/Steve-Slow-Train-Analysis-(2080s-and-2083s)?_g=(refreshInterval:(display:Off,pause:!f,section:0,value:0),time:(from:'2017-09-21T03:24:30-0600',mode:absolute,to:'2017-09-21T06:23:26-0600'))&amp;_a=(columns:!('Message%20ID',Summary),filters:!(),index:'emp_*',interval:auto,query:(query_string:(analyze_wildcard:!t,query:'Message%5C+ID:(*)+AND+%22rtdc.l.rtdc.4029%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634</v>
      </c>
      <c r="B17" s="7">
        <v>4014</v>
      </c>
      <c r="C17" s="21" t="s">
        <v>196</v>
      </c>
      <c r="D17" s="21" t="s">
        <v>840</v>
      </c>
      <c r="E17" s="13">
        <v>42999.173217592594</v>
      </c>
      <c r="F17" s="13">
        <v>42999.177407407406</v>
      </c>
      <c r="G17" s="7">
        <v>282</v>
      </c>
      <c r="H17" s="21" t="s">
        <v>441</v>
      </c>
      <c r="I17" s="13">
        <v>42999.202199074076</v>
      </c>
      <c r="J17" s="7">
        <v>0</v>
      </c>
      <c r="K17" s="89" t="str">
        <f t="shared" si="0"/>
        <v>4013/4014</v>
      </c>
      <c r="L17" s="185" t="str">
        <f>VLOOKUP(A17,'Trips&amp;Operators'!$C$1:$G$99911,5,FALSE)</f>
        <v>PAGE MARCUS</v>
      </c>
      <c r="M17" s="6">
        <f t="shared" si="1"/>
        <v>2.4791666670353152E-2</v>
      </c>
      <c r="N17" s="7">
        <f t="shared" si="2"/>
        <v>35.700000005308539</v>
      </c>
      <c r="O17" s="7"/>
      <c r="P17" s="7"/>
      <c r="Q17" s="22"/>
      <c r="R17" s="174"/>
      <c r="S17" s="221">
        <f t="shared" si="3"/>
        <v>1</v>
      </c>
      <c r="T17" s="174" t="str">
        <f t="shared" si="4"/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 t="shared" si="5"/>
        <v>https://d0f6bd738d7f1b3e5a7ca70fe4ff75f0.us-east-1.aws.found.io/app/kibana#/discover/Steve-Slow-Train-Analysis-(2080s-and-2083s)?_g=(refreshInterval:(display:Off,pause:!f,section:0,value:0),time:(from:'2017-09-21T03:09:26-0600',mode:absolute,to:'2017-09-21T05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" s="204" t="str">
        <f>IF(AA17&lt;VLOOKUP(AG17,Variables!$AC$3:$AD$8,2,FALSE),"Y","N")</f>
        <v>N</v>
      </c>
      <c r="X17" s="204">
        <f t="shared" si="6"/>
        <v>1</v>
      </c>
      <c r="Y17" s="204">
        <f t="shared" si="7"/>
        <v>4.82E-2</v>
      </c>
      <c r="Z17" s="204">
        <f t="shared" si="8"/>
        <v>23.331</v>
      </c>
      <c r="AA17" s="204">
        <f t="shared" si="9"/>
        <v>23.282799999999998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 t="shared" si="10"/>
        <v>105</v>
      </c>
      <c r="AE17" s="77" t="str">
        <f t="shared" si="11"/>
        <v>aws s3 cp s3://rtdc.mdm.uploadarchive.raw/RTDC4014/ "%USERPROFILE%\AppData\Local\Temp\OnboardLogs"\RTDC4014\2017-09-21 --exclude "*" --recursive --include "*20170921*" &amp; "%USERPROFILE%\Documents\GitHub\mrs-test-scripts\Headless Mode &amp; Sideloading\WalkAndUnGZ.bat" "%USERPROFILE%\AppData\Local\Temp\OnboardLogs"\RTDC4014\2017-09-21 &amp; aws s3 cp s3://rtdc.mdm.uploadarchive.raw/RTDC4014/ "%USERPROFILE%\AppData\Local\Temp\OnboardLogs"\RTDC4014\2017-09-22 --exclude "*" --recursive --include "*20170922*" &amp; "%USERPROFILE%\Documents\GitHub\mrs-test-scripts\Headless Mode &amp; Sideloading\WalkAndUnGZ.bat" "%USERPROFILE%\AppData\Local\Temp\OnboardLogs"\RTDC4014\2017-09-22</v>
      </c>
      <c r="AF17" s="74" t="str">
        <f t="shared" si="12"/>
        <v>"C:\Program Files (x86)\AstroGrep\AstroGrep.exe" /e /r /s /spath="%USERPROFILE%\AppData\Local\Temp\OnboardLogs" /stypes="app*4014*20170921*" /stext=" 10:.+((SYSTEM_STATE.+slice.+state.+changed )|(ment ac)|(multiple cpu faults)|(system.+state.+changed )|(\[timeout)|(PRM\|1\|D)|(kpr)|(kdp)|(train st.+moving)|(\|lc)|(penalty))"</v>
      </c>
      <c r="AG17" s="182" t="str">
        <f t="shared" si="13"/>
        <v>EC</v>
      </c>
      <c r="AH17" s="78" t="str">
        <f t="shared" si="19"/>
        <v>"%USERPROFILE%\Documents\GitHub\eaglep3\Utilities\RefineRTDCRunTimes.py" --tripid 105-21 --locoid 4014 --swversion DE.1.0.9.0 --startMP 204:482 --initTime 2017-09-21T04:09:26 --startdatetime 2017-09-21T04:15:28 --delay 282 --endMP 204:233310 --enddatetime 2017-09-21T04:51:10 --enforcementcount 0 &gt;&gt;c:\users\stu\Documents\GitHub\eaglep3-reporting\EC\2017-09-21-refined-times.txt</v>
      </c>
      <c r="AI17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{"issue":{"subject":"","project_id":79,"tracker_id":40,"status_id":1,"priority_id":2,"assigned_to_id":338,"start_date":"2017-09-21","description":"","custom_fields":[{"id":1,"name":"Subdivision","value":"EC"},{"id":4,"name":"Milepost","value":"23.331"},{"id":17,"name":"Train ID","value":"105-21"},{"id":16,"name":"Locomotive ID","value":"4014"},{"id":130,"name":"Impact","value":""},{"id":150,"name":"Time of Event (Mountain Time)","value":"04:51:10"},{"id":151,"name":"Denver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1"/>
        <v>start /low /b %USERPROFILE%\Documents\GitHub\eaglep3\Utilities\DownloadLogsFromS3.py --loco 4014 --day 2017-09-21</v>
      </c>
      <c r="AN17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10:51:10"},{"id":29,"name":"Sharepoint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23"/>
        <v>https://d0f6bd738d7f1b3e5a7ca70fe4ff75f0.us-east-1.aws.found.io/app/kibana#/discover/Steve-Slow-Train-Analysis-(2080s-and-2083s)?_g=(refreshInterval:(display:Off,pause:!f,section:0,value:0),time:(from:'2017-09-21T03:09:26-0600',mode:absolute,to:'2017-09-21T05:51:10-0600'))&amp;_a=(columns:!('Message%20ID',Summary),filters:!(),index:'emp_*',interval:auto,query:(query_string:(analyze_wildcard:!t,query:'Message%5C+ID:(*)+AND+%22rtdc.l.rtdc.4014%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639</v>
      </c>
      <c r="B18" s="7">
        <v>4013</v>
      </c>
      <c r="C18" s="21" t="s">
        <v>196</v>
      </c>
      <c r="D18" s="21" t="s">
        <v>398</v>
      </c>
      <c r="E18" s="13">
        <v>42999.212708333333</v>
      </c>
      <c r="F18" s="13">
        <v>42999.217314814814</v>
      </c>
      <c r="G18" s="7">
        <v>84</v>
      </c>
      <c r="H18" s="21" t="s">
        <v>339</v>
      </c>
      <c r="I18" s="13">
        <v>42999.242997685185</v>
      </c>
      <c r="J18" s="7">
        <v>0</v>
      </c>
      <c r="K18" s="89" t="str">
        <f t="shared" si="0"/>
        <v>4013/4014</v>
      </c>
      <c r="L18" s="185" t="str">
        <f>VLOOKUP(A18,'Trips&amp;Operators'!$C$1:$G$99911,5,FALSE)</f>
        <v>PAGE MARCUS</v>
      </c>
      <c r="M18" s="6">
        <f t="shared" si="1"/>
        <v>2.5682870371383615E-2</v>
      </c>
      <c r="N18" s="7">
        <f t="shared" si="2"/>
        <v>36.983333334792405</v>
      </c>
      <c r="O18" s="7"/>
      <c r="P18" s="7"/>
      <c r="Q18" s="22"/>
      <c r="R18" s="174"/>
      <c r="S18" s="221">
        <f t="shared" si="3"/>
        <v>1</v>
      </c>
      <c r="T18" s="174" t="str">
        <f t="shared" si="4"/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 t="shared" si="5"/>
        <v>https://d0f6bd738d7f1b3e5a7ca70fe4ff75f0.us-east-1.aws.found.io/app/kibana#/discover/Steve-Slow-Train-Analysis-(2080s-and-2083s)?_g=(refreshInterval:(display:Off,pause:!f,section:0,value:0),time:(from:'2017-09-21T04:06:18-0600',mode:absolute,to:'2017-09-21T06:49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" s="204" t="str">
        <f>IF(AA18&lt;VLOOKUP(AG18,Variables!$AC$3:$AD$8,2,FALSE),"Y","N")</f>
        <v>N</v>
      </c>
      <c r="X18" s="204">
        <f t="shared" si="6"/>
        <v>1</v>
      </c>
      <c r="Y18" s="204">
        <f t="shared" si="7"/>
        <v>23.299600000000002</v>
      </c>
      <c r="Z18" s="204">
        <f t="shared" si="8"/>
        <v>1.43E-2</v>
      </c>
      <c r="AA18" s="204">
        <f t="shared" si="9"/>
        <v>23.285300000000003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 t="shared" si="10"/>
        <v>106</v>
      </c>
      <c r="AE18" s="77" t="str">
        <f t="shared" si="11"/>
        <v>aws s3 cp s3://rtdc.mdm.uploadarchive.raw/RTDC4013/ "%USERPROFILE%\AppData\Local\Temp\OnboardLogs"\RTDC4013\2017-09-21 --exclude "*" --recursive --include "*20170921*" &amp; "%USERPROFILE%\Documents\GitHub\mrs-test-scripts\Headless Mode &amp; Sideloading\WalkAndUnGZ.bat" "%USERPROFILE%\AppData\Local\Temp\OnboardLogs"\RTDC4013\2017-09-21 &amp; aws s3 cp s3://rtdc.mdm.uploadarchive.raw/RTDC4013/ "%USERPROFILE%\AppData\Local\Temp\OnboardLogs"\RTDC4013\2017-09-22 --exclude "*" --recursive --include "*20170922*" &amp; "%USERPROFILE%\Documents\GitHub\mrs-test-scripts\Headless Mode &amp; Sideloading\WalkAndUnGZ.bat" "%USERPROFILE%\AppData\Local\Temp\OnboardLogs"\RTDC4013\2017-09-22</v>
      </c>
      <c r="AF18" s="74" t="str">
        <f t="shared" si="12"/>
        <v>"C:\Program Files (x86)\AstroGrep\AstroGrep.exe" /e /r /s /spath="%USERPROFILE%\AppData\Local\Temp\OnboardLogs" /stypes="app*4013*20170921*" /stext=" 11:.+((SYSTEM_STATE.+slice.+state.+changed )|(ment ac)|(multiple cpu faults)|(system.+state.+changed )|(\[timeout)|(PRM\|1\|D)|(kpr)|(kdp)|(train st.+moving)|(\|lc)|(penalty))"</v>
      </c>
      <c r="AG18" s="182" t="str">
        <f t="shared" si="13"/>
        <v>EC</v>
      </c>
      <c r="AH18" s="78" t="str">
        <f t="shared" si="19"/>
        <v>"%USERPROFILE%\Documents\GitHub\eaglep3\Utilities\RefineRTDCRunTimes.py" --tripid 106-21 --locoid 4013 --swversion DE.1.0.9.0 --startMP 204:232996 --initTime 2017-09-21T05:06:18 --startdatetime 2017-09-21T05:12:56 --delay 84 --endMP 204:143 --enddatetime 2017-09-21T05:49:55 --enforcementcount 0 &gt;&gt;c:\users\stu\Documents\GitHub\eaglep3-reporting\EC\2017-09-21-refined-times.txt</v>
      </c>
      <c r="AI18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{"issue":{"subject":"","project_id":79,"tracker_id":40,"status_id":1,"priority_id":2,"assigned_to_id":338,"start_date":"2017-09-21","description":"","custom_fields":[{"id":1,"name":"Subdivision","value":"EC"},{"id":4,"name":"Milepost","value":"0.0143"},{"id":17,"name":"Train ID","value":"106-21"},{"id":16,"name":"Locomotive ID","value":"4013"},{"id":130,"name":"Impact","value":""},{"id":150,"name":"Time of Event (Mountain Time)","value":"05:49:55"},{"id":151,"name":"Denver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1"/>
        <v>start /low /b %USERPROFILE%\Documents\GitHub\eaglep3\Utilities\DownloadLogsFromS3.py --loco 4013 --day 2017-09-21</v>
      </c>
      <c r="AN18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11:49:55"},{"id":29,"name":"Sharepoint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23"/>
        <v>https://d0f6bd738d7f1b3e5a7ca70fe4ff75f0.us-east-1.aws.found.io/app/kibana#/discover/Steve-Slow-Train-Analysis-(2080s-and-2083s)?_g=(refreshInterval:(display:Off,pause:!f,section:0,value:0),time:(from:'2017-09-21T04:06:18-0600',mode:absolute,to:'2017-09-21T06:49:55-0600'))&amp;_a=(columns:!('Message%20ID',Summary),filters:!(),index:'emp_*',interval:auto,query:(query_string:(analyze_wildcard:!t,query:'Message%5C+ID:(*)+AND+%22rtdc.l.rtdc.4013%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635</v>
      </c>
      <c r="B19" s="7">
        <v>4016</v>
      </c>
      <c r="C19" s="21" t="s">
        <v>196</v>
      </c>
      <c r="D19" s="21" t="s">
        <v>362</v>
      </c>
      <c r="E19" s="13">
        <v>42999.182291666664</v>
      </c>
      <c r="F19" s="13">
        <v>42999.187708333331</v>
      </c>
      <c r="G19" s="7">
        <v>93</v>
      </c>
      <c r="H19" s="21" t="s">
        <v>841</v>
      </c>
      <c r="I19" s="13">
        <v>42999.212824074071</v>
      </c>
      <c r="J19" s="7">
        <v>0</v>
      </c>
      <c r="K19" s="89" t="str">
        <f t="shared" si="0"/>
        <v>4015/4016</v>
      </c>
      <c r="L19" s="185" t="str">
        <f>VLOOKUP(A19,'Trips&amp;Operators'!$C$1:$G$99911,5,FALSE)</f>
        <v>GEBRETEKLE DAGNEW</v>
      </c>
      <c r="M19" s="6">
        <f t="shared" si="1"/>
        <v>2.5115740740147885E-2</v>
      </c>
      <c r="N19" s="7">
        <f t="shared" si="2"/>
        <v>36.166666665812954</v>
      </c>
      <c r="O19" s="7"/>
      <c r="P19" s="7"/>
      <c r="Q19" s="22"/>
      <c r="R19" s="174"/>
      <c r="S19" s="221">
        <f t="shared" si="3"/>
        <v>1</v>
      </c>
      <c r="T19" s="174" t="str">
        <f t="shared" si="4"/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 t="shared" si="5"/>
        <v>https://d0f6bd738d7f1b3e5a7ca70fe4ff75f0.us-east-1.aws.found.io/app/kibana#/discover/Steve-Slow-Train-Analysis-(2080s-and-2083s)?_g=(refreshInterval:(display:Off,pause:!f,section:0,value:0),time:(from:'2017-09-21T03:22:30-0600',mode:absolute,to:'2017-09-21T06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" s="204" t="str">
        <f>IF(AA19&lt;VLOOKUP(AG19,Variables!$AC$3:$AD$8,2,FALSE),"Y","N")</f>
        <v>N</v>
      </c>
      <c r="X19" s="204">
        <f t="shared" si="6"/>
        <v>1</v>
      </c>
      <c r="Y19" s="204">
        <f t="shared" si="7"/>
        <v>4.6399999999999997E-2</v>
      </c>
      <c r="Z19" s="204">
        <f t="shared" si="8"/>
        <v>23.3307</v>
      </c>
      <c r="AA19" s="204">
        <f t="shared" si="9"/>
        <v>23.284300000000002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 t="shared" si="10"/>
        <v>107</v>
      </c>
      <c r="AE19" s="77" t="str">
        <f t="shared" si="11"/>
        <v>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 &amp; aws s3 cp s3://rtdc.mdm.uploadarchive.raw/RTDC4016/ "%USERPROFILE%\AppData\Local\Temp\OnboardLogs"\RTDC4016\2017-09-22 --exclude "*" --recursive --include "*20170922*" &amp; "%USERPROFILE%\Documents\GitHub\mrs-test-scripts\Headless Mode &amp; Sideloading\WalkAndUnGZ.bat" "%USERPROFILE%\AppData\Local\Temp\OnboardLogs"\RTDC4016\2017-09-22</v>
      </c>
      <c r="AF19" s="74" t="str">
        <f t="shared" si="12"/>
        <v>"C:\Program Files (x86)\AstroGrep\AstroGrep.exe" /e /r /s /spath="%USERPROFILE%\AppData\Local\Temp\OnboardLogs" /stypes="app*4016*20170921*" /stext=" 11:.+((SYSTEM_STATE.+slice.+state.+changed )|(ment ac)|(multiple cpu faults)|(system.+state.+changed )|(\[timeout)|(PRM\|1\|D)|(kpr)|(kdp)|(train st.+moving)|(\|lc)|(penalty))"</v>
      </c>
      <c r="AG19" s="182" t="str">
        <f t="shared" si="13"/>
        <v>EC</v>
      </c>
      <c r="AH19" s="78" t="str">
        <f t="shared" si="19"/>
        <v>"%USERPROFILE%\Documents\GitHub\eaglep3\Utilities\RefineRTDCRunTimes.py" --tripid 107-21 --locoid 4016 --swversion DE.1.0.9.0 --startMP 204:464 --initTime 2017-09-21T04:22:30 --startdatetime 2017-09-21T04:30:18 --delay 93 --endMP 204:233307 --enddatetime 2017-09-21T05:06:28 --enforcementcount 0 &gt;&gt;c:\users\stu\Documents\GitHub\eaglep3-reporting\EC\2017-09-21-refined-times.txt</v>
      </c>
      <c r="AI19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{"issue":{"subject":"","project_id":79,"tracker_id":40,"status_id":1,"priority_id":2,"assigned_to_id":338,"start_date":"2017-09-21","description":"","custom_fields":[{"id":1,"name":"Subdivision","value":"EC"},{"id":4,"name":"Milepost","value":"23.3307"},{"id":17,"name":"Train ID","value":"107-21"},{"id":16,"name":"Locomotive ID","value":"4016"},{"id":130,"name":"Impact","value":""},{"id":150,"name":"Time of Event (Mountain Time)","value":"05:06:28"},{"id":151,"name":"Denver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1"/>
        <v>start /low /b %USERPROFILE%\Documents\GitHub\eaglep3\Utilities\DownloadLogsFromS3.py --loco 4016 --day 2017-09-21</v>
      </c>
      <c r="AN19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11:06:28"},{"id":29,"name":"Sharepoint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23"/>
        <v>https://d0f6bd738d7f1b3e5a7ca70fe4ff75f0.us-east-1.aws.found.io/app/kibana#/discover/Steve-Slow-Train-Analysis-(2080s-and-2083s)?_g=(refreshInterval:(display:Off,pause:!f,section:0,value:0),time:(from:'2017-09-21T03:22:30-0600',mode:absolute,to:'2017-09-21T06:06:28-0600'))&amp;_a=(columns:!('Message%20ID',Summary),filters:!(),index:'emp_*',interval:auto,query:(query_string:(analyze_wildcard:!t,query:'Message%5C+ID:(*)+AND+%22rtdc.l.rtdc.4016%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640</v>
      </c>
      <c r="B20" s="7">
        <v>4015</v>
      </c>
      <c r="C20" s="21" t="s">
        <v>196</v>
      </c>
      <c r="D20" s="21" t="s">
        <v>466</v>
      </c>
      <c r="E20" s="13">
        <v>42999.214120370372</v>
      </c>
      <c r="F20" s="13">
        <v>42999.227268518516</v>
      </c>
      <c r="G20" s="7">
        <v>67</v>
      </c>
      <c r="H20" s="21" t="s">
        <v>338</v>
      </c>
      <c r="I20" s="13">
        <v>42999.254212962966</v>
      </c>
      <c r="J20" s="7">
        <v>0</v>
      </c>
      <c r="K20" s="89" t="str">
        <f t="shared" si="0"/>
        <v>4015/4016</v>
      </c>
      <c r="L20" s="185" t="str">
        <f>VLOOKUP(A20,'Trips&amp;Operators'!$C$1:$G$99911,5,FALSE)</f>
        <v>GEBRETEKLE DAGNEW</v>
      </c>
      <c r="M20" s="6">
        <f t="shared" si="1"/>
        <v>2.694444444932742E-2</v>
      </c>
      <c r="N20" s="7">
        <f t="shared" si="2"/>
        <v>38.800000007031485</v>
      </c>
      <c r="O20" s="7"/>
      <c r="P20" s="7"/>
      <c r="Q20" s="22"/>
      <c r="R20" s="174"/>
      <c r="S20" s="221">
        <f t="shared" si="3"/>
        <v>1</v>
      </c>
      <c r="T20" s="174" t="str">
        <f t="shared" si="4"/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 t="shared" si="5"/>
        <v>https://d0f6bd738d7f1b3e5a7ca70fe4ff75f0.us-east-1.aws.found.io/app/kibana#/discover/Steve-Slow-Train-Analysis-(2080s-and-2083s)?_g=(refreshInterval:(display:Off,pause:!f,section:0,value:0),time:(from:'2017-09-21T04:08:20-0600',mode:absolute,to:'2017-09-21T07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" s="204" t="str">
        <f>IF(AA20&lt;VLOOKUP(AG20,Variables!$AC$3:$AD$8,2,FALSE),"Y","N")</f>
        <v>N</v>
      </c>
      <c r="X20" s="204">
        <f t="shared" si="6"/>
        <v>1</v>
      </c>
      <c r="Y20" s="204">
        <f t="shared" si="7"/>
        <v>23.298400000000001</v>
      </c>
      <c r="Z20" s="204">
        <f t="shared" si="8"/>
        <v>1.49E-2</v>
      </c>
      <c r="AA20" s="204">
        <f t="shared" si="9"/>
        <v>23.2835</v>
      </c>
      <c r="AB20" s="54" t="e">
        <f>VLOOKUP(A20,Enforcements!$C$7:$K$11,8,0)</f>
        <v>#N/A</v>
      </c>
      <c r="AC20" s="51" t="e">
        <f>VLOOKUP(A20,Enforcements!$C$7:$E$11,3,0)</f>
        <v>#N/A</v>
      </c>
      <c r="AD20" s="179">
        <f t="shared" si="10"/>
        <v>108</v>
      </c>
      <c r="AE20" s="77" t="str">
        <f t="shared" si="11"/>
        <v>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 &amp; aws s3 cp s3://rtdc.mdm.uploadarchive.raw/RTDC4015/ "%USERPROFILE%\AppData\Local\Temp\OnboardLogs"\RTDC4015\2017-09-22 --exclude "*" --recursive --include "*20170922*" &amp; "%USERPROFILE%\Documents\GitHub\mrs-test-scripts\Headless Mode &amp; Sideloading\WalkAndUnGZ.bat" "%USERPROFILE%\AppData\Local\Temp\OnboardLogs"\RTDC4015\2017-09-22</v>
      </c>
      <c r="AF20" s="74" t="str">
        <f t="shared" si="12"/>
        <v>"C:\Program Files (x86)\AstroGrep\AstroGrep.exe" /e /r /s /spath="%USERPROFILE%\AppData\Local\Temp\OnboardLogs" /stypes="app*4015*20170921*" /stext=" 12:.+((SYSTEM_STATE.+slice.+state.+changed )|(ment ac)|(multiple cpu faults)|(system.+state.+changed )|(\[timeout)|(PRM\|1\|D)|(kpr)|(kdp)|(train st.+moving)|(\|lc)|(penalty))"</v>
      </c>
      <c r="AG20" s="182" t="str">
        <f t="shared" si="13"/>
        <v>EC</v>
      </c>
      <c r="AH20" s="78" t="str">
        <f t="shared" si="19"/>
        <v>"%USERPROFILE%\Documents\GitHub\eaglep3\Utilities\RefineRTDCRunTimes.py" --tripid 108-21 --locoid 4015 --swversion DE.1.0.9.0 --startMP 204:232984 --initTime 2017-09-21T05:08:20 --startdatetime 2017-09-21T05:27:16 --delay 67 --endMP 204:149 --enddatetime 2017-09-21T06:06:04 --enforcementcount 0 &gt;&gt;c:\users\stu\Documents\GitHub\eaglep3-reporting\EC\2017-09-21-refined-times.txt</v>
      </c>
      <c r="AI20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{"issue":{"subject":"","project_id":79,"tracker_id":40,"status_id":1,"priority_id":2,"assigned_to_id":338,"start_date":"2017-09-21","description":"","custom_fields":[{"id":1,"name":"Subdivision","value":"EC"},{"id":4,"name":"Milepost","value":"0.0149"},{"id":17,"name":"Train ID","value":"108-21"},{"id":16,"name":"Locomotive ID","value":"4015"},{"id":130,"name":"Impact","value":""},{"id":150,"name":"Time of Event (Mountain Time)","value":"06:06:04"},{"id":151,"name":"Denver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1"/>
        <v>start /low /b %USERPROFILE%\Documents\GitHub\eaglep3\Utilities\DownloadLogsFromS3.py --loco 4015 --day 2017-09-21</v>
      </c>
      <c r="AN20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12:06:04"},{"id":29,"name":"Sharepoint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23"/>
        <v>https://d0f6bd738d7f1b3e5a7ca70fe4ff75f0.us-east-1.aws.found.io/app/kibana#/discover/Steve-Slow-Train-Analysis-(2080s-and-2083s)?_g=(refreshInterval:(display:Off,pause:!f,section:0,value:0),time:(from:'2017-09-21T04:08:20-0600',mode:absolute,to:'2017-09-21T07:06:04-0600'))&amp;_a=(columns:!('Message%20ID',Summary),filters:!(),index:'emp_*',interval:auto,query:(query_string:(analyze_wildcard:!t,query:'Message%5C+ID:(*)+AND+%22rtdc.l.rtdc.4015%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636</v>
      </c>
      <c r="B21" s="7">
        <v>4018</v>
      </c>
      <c r="C21" s="21" t="s">
        <v>196</v>
      </c>
      <c r="D21" s="21" t="s">
        <v>842</v>
      </c>
      <c r="E21" s="13">
        <v>42999.1953125</v>
      </c>
      <c r="F21" s="13">
        <v>42999.198148148149</v>
      </c>
      <c r="G21" s="7">
        <v>76</v>
      </c>
      <c r="H21" s="21" t="s">
        <v>544</v>
      </c>
      <c r="I21" s="13">
        <v>42999.224537037036</v>
      </c>
      <c r="J21" s="7">
        <v>0</v>
      </c>
      <c r="K21" s="89" t="str">
        <f t="shared" si="0"/>
        <v>4017/4018</v>
      </c>
      <c r="L21" s="185" t="str">
        <f>VLOOKUP(A21,'Trips&amp;Operators'!$C$1:$G$99911,5,FALSE)</f>
        <v>WILLIAMS DONTE</v>
      </c>
      <c r="M21" s="6">
        <f t="shared" si="1"/>
        <v>2.6388888887595385E-2</v>
      </c>
      <c r="N21" s="7">
        <f t="shared" si="2"/>
        <v>37.999999998137355</v>
      </c>
      <c r="O21" s="7"/>
      <c r="P21" s="7"/>
      <c r="Q21" s="22"/>
      <c r="R21" s="174"/>
      <c r="S21" s="221">
        <f t="shared" si="3"/>
        <v>1</v>
      </c>
      <c r="T21" s="174" t="str">
        <f t="shared" si="4"/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 t="shared" si="5"/>
        <v>https://d0f6bd738d7f1b3e5a7ca70fe4ff75f0.us-east-1.aws.found.io/app/kibana#/discover/Steve-Slow-Train-Analysis-(2080s-and-2083s)?_g=(refreshInterval:(display:Off,pause:!f,section:0,value:0),time:(from:'2017-09-21T03:41:15-0600',mode:absolute,to:'2017-09-21T06:23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" s="204" t="str">
        <f>IF(AA21&lt;VLOOKUP(AG21,Variables!$AC$3:$AD$8,2,FALSE),"Y","N")</f>
        <v>N</v>
      </c>
      <c r="X21" s="204">
        <f t="shared" si="6"/>
        <v>1</v>
      </c>
      <c r="Y21" s="204">
        <f t="shared" si="7"/>
        <v>4.9299999999999997E-2</v>
      </c>
      <c r="Z21" s="204">
        <f t="shared" si="8"/>
        <v>23.3308</v>
      </c>
      <c r="AA21" s="204">
        <f t="shared" si="9"/>
        <v>23.281500000000001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 t="shared" si="10"/>
        <v>109</v>
      </c>
      <c r="AE21" s="77" t="str">
        <f t="shared" si="11"/>
        <v>aws s3 cp s3://rtdc.mdm.uploadarchive.raw/RTDC4018/ "%USERPROFILE%\AppData\Local\Temp\OnboardLogs"\RTDC4018\2017-09-21 --exclude "*" --recursive --include "*20170921*" &amp; "%USERPROFILE%\Documents\GitHub\mrs-test-scripts\Headless Mode &amp; Sideloading\WalkAndUnGZ.bat" "%USERPROFILE%\AppData\Local\Temp\OnboardLogs"\RTDC4018\2017-09-21 &amp; aws s3 cp s3://rtdc.mdm.uploadarchive.raw/RTDC4018/ "%USERPROFILE%\AppData\Local\Temp\OnboardLogs"\RTDC4018\2017-09-22 --exclude "*" --recursive --include "*20170922*" &amp; "%USERPROFILE%\Documents\GitHub\mrs-test-scripts\Headless Mode &amp; Sideloading\WalkAndUnGZ.bat" "%USERPROFILE%\AppData\Local\Temp\OnboardLogs"\RTDC4018\2017-09-22</v>
      </c>
      <c r="AF21" s="74" t="str">
        <f t="shared" si="12"/>
        <v>"C:\Program Files (x86)\AstroGrep\AstroGrep.exe" /e /r /s /spath="%USERPROFILE%\AppData\Local\Temp\OnboardLogs" /stypes="app*4018*20170921*" /stext=" 11:.+((SYSTEM_STATE.+slice.+state.+changed )|(ment ac)|(multiple cpu faults)|(system.+state.+changed )|(\[timeout)|(PRM\|1\|D)|(kpr)|(kdp)|(train st.+moving)|(\|lc)|(penalty))"</v>
      </c>
      <c r="AG21" s="182" t="str">
        <f t="shared" si="13"/>
        <v>EC</v>
      </c>
      <c r="AH21" s="78" t="str">
        <f t="shared" si="19"/>
        <v>"%USERPROFILE%\Documents\GitHub\eaglep3\Utilities\RefineRTDCRunTimes.py" --tripid 109-21 --locoid 4018 --swversion DE.1.0.9.0 --startMP 204:493 --initTime 2017-09-21T04:41:15 --startdatetime 2017-09-21T04:45:20 --delay 76 --endMP 204:233308 --enddatetime 2017-09-21T05:23:20 --enforcementcount 0 &gt;&gt;c:\users\stu\Documents\GitHub\eaglep3-reporting\EC\2017-09-21-refined-times.txt</v>
      </c>
      <c r="AI21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{"issue":{"subject":"","project_id":79,"tracker_id":40,"status_id":1,"priority_id":2,"assigned_to_id":338,"start_date":"2017-09-21","description":"","custom_fields":[{"id":1,"name":"Subdivision","value":"EC"},{"id":4,"name":"Milepost","value":"23.3308"},{"id":17,"name":"Train ID","value":"109-21"},{"id":16,"name":"Locomotive ID","value":"4018"},{"id":130,"name":"Impact","value":""},{"id":150,"name":"Time of Event (Mountain Time)","value":"05:23:20"},{"id":151,"name":"Denver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1"/>
        <v>start /low /b %USERPROFILE%\Documents\GitHub\eaglep3\Utilities\DownloadLogsFromS3.py --loco 4018 --day 2017-09-21</v>
      </c>
      <c r="AN21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11:23:20"},{"id":29,"name":"Sharepoint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23"/>
        <v>https://d0f6bd738d7f1b3e5a7ca70fe4ff75f0.us-east-1.aws.found.io/app/kibana#/discover/Steve-Slow-Train-Analysis-(2080s-and-2083s)?_g=(refreshInterval:(display:Off,pause:!f,section:0,value:0),time:(from:'2017-09-21T03:41:15-0600',mode:absolute,to:'2017-09-21T06:23:20-0600'))&amp;_a=(columns:!('Message%20ID',Summary),filters:!(),index:'emp_*',interval:auto,query:(query_string:(analyze_wildcard:!t,query:'Message%5C+ID:(*)+AND+%22rtdc.l.rtdc.4018%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645</v>
      </c>
      <c r="B22" s="7">
        <v>4017</v>
      </c>
      <c r="C22" s="21" t="s">
        <v>196</v>
      </c>
      <c r="D22" s="21" t="s">
        <v>431</v>
      </c>
      <c r="E22" s="13">
        <v>42999.233877314815</v>
      </c>
      <c r="F22" s="13">
        <v>42999.237743055557</v>
      </c>
      <c r="G22" s="7">
        <v>58</v>
      </c>
      <c r="H22" s="21" t="s">
        <v>341</v>
      </c>
      <c r="I22" s="13">
        <v>42999.264710648145</v>
      </c>
      <c r="J22" s="7">
        <v>0</v>
      </c>
      <c r="K22" s="89" t="str">
        <f t="shared" si="0"/>
        <v>4017/4018</v>
      </c>
      <c r="L22" s="185" t="str">
        <f>VLOOKUP(A22,'Trips&amp;Operators'!$C$1:$G$99911,5,FALSE)</f>
        <v>WILLIAMS DONTE</v>
      </c>
      <c r="M22" s="6">
        <f t="shared" si="1"/>
        <v>2.696759258833481E-2</v>
      </c>
      <c r="N22" s="7">
        <f t="shared" si="2"/>
        <v>38.833333327202126</v>
      </c>
      <c r="O22" s="7"/>
      <c r="P22" s="7"/>
      <c r="Q22" s="22"/>
      <c r="R22" s="174"/>
      <c r="S22" s="221">
        <f t="shared" si="3"/>
        <v>1</v>
      </c>
      <c r="T22" s="174" t="str">
        <f t="shared" si="4"/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 t="shared" si="5"/>
        <v>https://d0f6bd738d7f1b3e5a7ca70fe4ff75f0.us-east-1.aws.found.io/app/kibana#/discover/Steve-Slow-Train-Analysis-(2080s-and-2083s)?_g=(refreshInterval:(display:Off,pause:!f,section:0,value:0),time:(from:'2017-09-21T04:36:47-0600',mode:absolute,to:'2017-09-21T07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" s="204" t="str">
        <f>IF(AA22&lt;VLOOKUP(AG22,Variables!$AC$3:$AD$8,2,FALSE),"Y","N")</f>
        <v>N</v>
      </c>
      <c r="X22" s="204">
        <f t="shared" si="6"/>
        <v>1</v>
      </c>
      <c r="Y22" s="204">
        <f t="shared" si="7"/>
        <v>23.298500000000001</v>
      </c>
      <c r="Z22" s="204">
        <f t="shared" si="8"/>
        <v>1.41E-2</v>
      </c>
      <c r="AA22" s="204">
        <f t="shared" si="9"/>
        <v>23.284400000000002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 t="shared" si="10"/>
        <v>110</v>
      </c>
      <c r="AE22" s="77" t="str">
        <f t="shared" si="11"/>
        <v>aws s3 cp s3://rtdc.mdm.uploadarchive.raw/RTDC4017/ "%USERPROFILE%\AppData\Local\Temp\OnboardLogs"\RTDC4017\2017-09-21 --exclude "*" --recursive --include "*20170921*" &amp; "%USERPROFILE%\Documents\GitHub\mrs-test-scripts\Headless Mode &amp; Sideloading\WalkAndUnGZ.bat" "%USERPROFILE%\AppData\Local\Temp\OnboardLogs"\RTDC4017\2017-09-21 &amp; aws s3 cp s3://rtdc.mdm.uploadarchive.raw/RTDC4017/ "%USERPROFILE%\AppData\Local\Temp\OnboardLogs"\RTDC4017\2017-09-22 --exclude "*" --recursive --include "*20170922*" &amp; "%USERPROFILE%\Documents\GitHub\mrs-test-scripts\Headless Mode &amp; Sideloading\WalkAndUnGZ.bat" "%USERPROFILE%\AppData\Local\Temp\OnboardLogs"\RTDC4017\2017-09-22</v>
      </c>
      <c r="AF22" s="74" t="str">
        <f t="shared" si="12"/>
        <v>"C:\Program Files (x86)\AstroGrep\AstroGrep.exe" /e /r /s /spath="%USERPROFILE%\AppData\Local\Temp\OnboardLogs" /stypes="app*4017*20170921*" /stext=" 12:.+((SYSTEM_STATE.+slice.+state.+changed )|(ment ac)|(multiple cpu faults)|(system.+state.+changed )|(\[timeout)|(PRM\|1\|D)|(kpr)|(kdp)|(train st.+moving)|(\|lc)|(penalty))"</v>
      </c>
      <c r="AG22" s="182" t="str">
        <f t="shared" si="13"/>
        <v>EC</v>
      </c>
      <c r="AH22" s="78" t="str">
        <f t="shared" si="19"/>
        <v>"%USERPROFILE%\Documents\GitHub\eaglep3\Utilities\RefineRTDCRunTimes.py" --tripid 110-21 --locoid 4017 --swversion DE.1.0.9.0 --startMP 204:232985 --initTime 2017-09-21T05:36:47 --startdatetime 2017-09-21T05:42:21 --delay 58 --endMP 204:141 --enddatetime 2017-09-21T06:21:11 --enforcementcount 0 &gt;&gt;c:\users\stu\Documents\GitHub\eaglep3-reporting\EC\2017-09-21-refined-times.txt</v>
      </c>
      <c r="AI22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{"issue":{"subject":"","project_id":79,"tracker_id":40,"status_id":1,"priority_id":2,"assigned_to_id":338,"start_date":"2017-09-21","description":"","custom_fields":[{"id":1,"name":"Subdivision","value":"EC"},{"id":4,"name":"Milepost","value":"0.0141"},{"id":17,"name":"Train ID","value":"110-21"},{"id":16,"name":"Locomotive ID","value":"4017"},{"id":130,"name":"Impact","value":""},{"id":150,"name":"Time of Event (Mountain Time)","value":"06:21:11"},{"id":151,"name":"Denver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1"/>
        <v>start /low /b %USERPROFILE%\Documents\GitHub\eaglep3\Utilities\DownloadLogsFromS3.py --loco 4017 --day 2017-09-21</v>
      </c>
      <c r="AN22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12:21:11"},{"id":29,"name":"Sharepoint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23"/>
        <v>https://d0f6bd738d7f1b3e5a7ca70fe4ff75f0.us-east-1.aws.found.io/app/kibana#/discover/Steve-Slow-Train-Analysis-(2080s-and-2083s)?_g=(refreshInterval:(display:Off,pause:!f,section:0,value:0),time:(from:'2017-09-21T04:36:47-0600',mode:absolute,to:'2017-09-21T07:21:11-0600'))&amp;_a=(columns:!('Message%20ID',Summary),filters:!(),index:'emp_*',interval:auto,query:(query_string:(analyze_wildcard:!t,query:'Message%5C+ID:(*)+AND+%22rtdc.l.rtdc.4017%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638</v>
      </c>
      <c r="B23" s="7">
        <v>4056</v>
      </c>
      <c r="C23" s="21" t="s">
        <v>196</v>
      </c>
      <c r="D23" s="21" t="s">
        <v>425</v>
      </c>
      <c r="E23" s="13">
        <v>42999.201435185183</v>
      </c>
      <c r="F23" s="13">
        <v>42999.208680555559</v>
      </c>
      <c r="G23" s="7">
        <v>41</v>
      </c>
      <c r="H23" s="21" t="s">
        <v>550</v>
      </c>
      <c r="I23" s="13">
        <v>42999.232604166667</v>
      </c>
      <c r="J23" s="7">
        <v>0</v>
      </c>
      <c r="K23" s="89" t="str">
        <f t="shared" si="0"/>
        <v>4055/4056</v>
      </c>
      <c r="L23" s="185" t="str">
        <f>VLOOKUP(A23,'Trips&amp;Operators'!$C$1:$G$99911,5,FALSE)</f>
        <v>YORK EDGAR</v>
      </c>
      <c r="M23" s="6">
        <f t="shared" si="1"/>
        <v>2.3923611108330078E-2</v>
      </c>
      <c r="N23" s="7">
        <f t="shared" si="2"/>
        <v>34.449999995995313</v>
      </c>
      <c r="O23" s="7"/>
      <c r="P23" s="7"/>
      <c r="Q23" s="22"/>
      <c r="R23" s="174"/>
      <c r="S23" s="221">
        <f t="shared" si="3"/>
        <v>1</v>
      </c>
      <c r="T23" s="174" t="str">
        <f t="shared" si="4"/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 t="shared" si="5"/>
        <v>https://d0f6bd738d7f1b3e5a7ca70fe4ff75f0.us-east-1.aws.found.io/app/kibana#/discover/Steve-Slow-Train-Analysis-(2080s-and-2083s)?_g=(refreshInterval:(display:Off,pause:!f,section:0,value:0),time:(from:'2017-09-21T03:50:04-0600',mode:absolute,to:'2017-09-21T06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" s="204" t="str">
        <f>IF(AA23&lt;VLOOKUP(AG23,Variables!$AC$3:$AD$8,2,FALSE),"Y","N")</f>
        <v>N</v>
      </c>
      <c r="X23" s="204">
        <f t="shared" si="6"/>
        <v>1</v>
      </c>
      <c r="Y23" s="204">
        <f t="shared" si="7"/>
        <v>4.7300000000000002E-2</v>
      </c>
      <c r="Z23" s="204">
        <f t="shared" si="8"/>
        <v>23.327999999999999</v>
      </c>
      <c r="AA23" s="204">
        <f t="shared" si="9"/>
        <v>23.2807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 t="shared" si="10"/>
        <v>111</v>
      </c>
      <c r="AE23" s="77" t="str">
        <f t="shared" si="11"/>
        <v>aws s3 cp s3://rtdc.mdm.uploadarchive.raw/RTDC4056/ "%USERPROFILE%\AppData\Local\Temp\OnboardLogs"\RTDC4056\2017-09-21 --exclude "*" --recursive --include "*20170921*" &amp; "%USERPROFILE%\Documents\GitHub\mrs-test-scripts\Headless Mode &amp; Sideloading\WalkAndUnGZ.bat" "%USERPROFILE%\AppData\Local\Temp\OnboardLogs"\RTDC4056\2017-09-21 &amp; aws s3 cp s3://rtdc.mdm.uploadarchive.raw/RTDC4056/ "%USERPROFILE%\AppData\Local\Temp\OnboardLogs"\RTDC4056\2017-09-22 --exclude "*" --recursive --include "*20170922*" &amp; "%USERPROFILE%\Documents\GitHub\mrs-test-scripts\Headless Mode &amp; Sideloading\WalkAndUnGZ.bat" "%USERPROFILE%\AppData\Local\Temp\OnboardLogs"\RTDC4056\2017-09-22</v>
      </c>
      <c r="AF23" s="74" t="str">
        <f t="shared" si="12"/>
        <v>"C:\Program Files (x86)\AstroGrep\AstroGrep.exe" /e /r /s /spath="%USERPROFILE%\AppData\Local\Temp\OnboardLogs" /stypes="app*4056*20170921*" /stext=" 11:.+((SYSTEM_STATE.+slice.+state.+changed )|(ment ac)|(multiple cpu faults)|(system.+state.+changed )|(\[timeout)|(PRM\|1\|D)|(kpr)|(kdp)|(train st.+moving)|(\|lc)|(penalty))"</v>
      </c>
      <c r="AG23" s="182" t="str">
        <f t="shared" si="13"/>
        <v>EC</v>
      </c>
      <c r="AH23" s="78" t="str">
        <f t="shared" si="19"/>
        <v>"%USERPROFILE%\Documents\GitHub\eaglep3\Utilities\RefineRTDCRunTimes.py" --tripid 111-21 --locoid 4056 --swversion DE.1.0.9.0 --startMP 204:473 --initTime 2017-09-21T04:50:04 --startdatetime 2017-09-21T05:00:30 --delay 41 --endMP 204:233280 --enddatetime 2017-09-21T05:34:57 --enforcementcount 0 &gt;&gt;c:\users\stu\Documents\GitHub\eaglep3-reporting\EC\2017-09-21-refined-times.txt</v>
      </c>
      <c r="AI23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{"issue":{"subject":"","project_id":79,"tracker_id":40,"status_id":1,"priority_id":2,"assigned_to_id":338,"start_date":"2017-09-21","description":"","custom_fields":[{"id":1,"name":"Subdivision","value":"EC"},{"id":4,"name":"Milepost","value":"23.328"},{"id":17,"name":"Train ID","value":"111-21"},{"id":16,"name":"Locomotive ID","value":"4056"},{"id":130,"name":"Impact","value":""},{"id":150,"name":"Time of Event (Mountain Time)","value":"05:34:57"},{"id":151,"name":"Denver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1"/>
        <v>start /low /b %USERPROFILE%\Documents\GitHub\eaglep3\Utilities\DownloadLogsFromS3.py --loco 4056 --day 2017-09-21</v>
      </c>
      <c r="AN23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11:34:57"},{"id":29,"name":"Sharepoint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23"/>
        <v>https://d0f6bd738d7f1b3e5a7ca70fe4ff75f0.us-east-1.aws.found.io/app/kibana#/discover/Steve-Slow-Train-Analysis-(2080s-and-2083s)?_g=(refreshInterval:(display:Off,pause:!f,section:0,value:0),time:(from:'2017-09-21T03:50:04-0600',mode:absolute,to:'2017-09-21T06:34:57-0600'))&amp;_a=(columns:!('Message%20ID',Summary),filters:!(),index:'emp_*',interval:auto,query:(query_string:(analyze_wildcard:!t,query:'Message%5C+ID:(*)+AND+%22rtdc.l.rtdc.4056%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644</v>
      </c>
      <c r="B24" s="7">
        <v>4055</v>
      </c>
      <c r="C24" s="21" t="s">
        <v>196</v>
      </c>
      <c r="D24" s="21" t="s">
        <v>556</v>
      </c>
      <c r="E24" s="13">
        <v>42999.233680555553</v>
      </c>
      <c r="F24" s="13">
        <v>42999.248113425929</v>
      </c>
      <c r="G24" s="7">
        <v>45</v>
      </c>
      <c r="H24" s="21" t="s">
        <v>408</v>
      </c>
      <c r="I24" s="13">
        <v>42999.273796296293</v>
      </c>
      <c r="J24" s="7">
        <v>0</v>
      </c>
      <c r="K24" s="89" t="str">
        <f t="shared" si="0"/>
        <v>4055/4056</v>
      </c>
      <c r="L24" s="185" t="str">
        <f>VLOOKUP(A24,'Trips&amp;Operators'!$C$1:$G$99911,5,FALSE)</f>
        <v>YORK EDGAR</v>
      </c>
      <c r="M24" s="6">
        <f t="shared" si="1"/>
        <v>2.5682870364107657E-2</v>
      </c>
      <c r="N24" s="7">
        <f t="shared" si="2"/>
        <v>36.983333324315026</v>
      </c>
      <c r="O24" s="7"/>
      <c r="P24" s="7"/>
      <c r="Q24" s="22"/>
      <c r="R24" s="174"/>
      <c r="S24" s="221">
        <f t="shared" si="3"/>
        <v>1</v>
      </c>
      <c r="T24" s="174" t="str">
        <f t="shared" si="4"/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 t="shared" si="5"/>
        <v>https://d0f6bd738d7f1b3e5a7ca70fe4ff75f0.us-east-1.aws.found.io/app/kibana#/discover/Steve-Slow-Train-Analysis-(2080s-and-2083s)?_g=(refreshInterval:(display:Off,pause:!f,section:0,value:0),time:(from:'2017-09-21T04:36:30-0600',mode:absolute,to:'2017-09-21T07:34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4" s="204" t="str">
        <f>IF(AA24&lt;VLOOKUP(AG24,Variables!$AC$3:$AD$8,2,FALSE),"Y","N")</f>
        <v>N</v>
      </c>
      <c r="X24" s="204">
        <f t="shared" si="6"/>
        <v>1</v>
      </c>
      <c r="Y24" s="204">
        <f t="shared" si="7"/>
        <v>23.296900000000001</v>
      </c>
      <c r="Z24" s="204">
        <f t="shared" si="8"/>
        <v>1.54E-2</v>
      </c>
      <c r="AA24" s="204">
        <f t="shared" si="9"/>
        <v>23.281500000000001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 t="shared" si="10"/>
        <v>112</v>
      </c>
      <c r="AE24" s="77" t="str">
        <f t="shared" si="11"/>
        <v>aws s3 cp s3://rtdc.mdm.uploadarchive.raw/RTDC4055/ "%USERPROFILE%\AppData\Local\Temp\OnboardLogs"\RTDC4055\2017-09-21 --exclude "*" --recursive --include "*20170921*" &amp; "%USERPROFILE%\Documents\GitHub\mrs-test-scripts\Headless Mode &amp; Sideloading\WalkAndUnGZ.bat" "%USERPROFILE%\AppData\Local\Temp\OnboardLogs"\RTDC4055\2017-09-21 &amp; aws s3 cp s3://rtdc.mdm.uploadarchive.raw/RTDC4055/ "%USERPROFILE%\AppData\Local\Temp\OnboardLogs"\RTDC4055\2017-09-22 --exclude "*" --recursive --include "*20170922*" &amp; "%USERPROFILE%\Documents\GitHub\mrs-test-scripts\Headless Mode &amp; Sideloading\WalkAndUnGZ.bat" "%USERPROFILE%\AppData\Local\Temp\OnboardLogs"\RTDC4055\2017-09-22</v>
      </c>
      <c r="AF24" s="74" t="str">
        <f t="shared" si="12"/>
        <v>"C:\Program Files (x86)\AstroGrep\AstroGrep.exe" /e /r /s /spath="%USERPROFILE%\AppData\Local\Temp\OnboardLogs" /stypes="app*4055*20170921*" /stext=" 12:.+((SYSTEM_STATE.+slice.+state.+changed )|(ment ac)|(multiple cpu faults)|(system.+state.+changed )|(\[timeout)|(PRM\|1\|D)|(kpr)|(kdp)|(train st.+moving)|(\|lc)|(penalty))"</v>
      </c>
      <c r="AG24" s="182" t="str">
        <f t="shared" si="13"/>
        <v>EC</v>
      </c>
      <c r="AH24" s="78" t="str">
        <f t="shared" si="19"/>
        <v>"%USERPROFILE%\Documents\GitHub\eaglep3\Utilities\RefineRTDCRunTimes.py" --tripid 112-21 --locoid 4055 --swversion DE.1.0.9.0 --startMP 204:232969 --initTime 2017-09-21T05:36:30 --startdatetime 2017-09-21T05:57:17 --delay 45 --endMP 204:154 --enddatetime 2017-09-21T06:34:16 --enforcementcount 0 &gt;&gt;c:\users\stu\Documents\GitHub\eaglep3-reporting\EC\2017-09-21-refined-times.txt</v>
      </c>
      <c r="AI24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{"issue":{"subject":"","project_id":79,"tracker_id":40,"status_id":1,"priority_id":2,"assigned_to_id":338,"start_date":"2017-09-21","description":"","custom_fields":[{"id":1,"name":"Subdivision","value":"EC"},{"id":4,"name":"Milepost","value":"0.0154"},{"id":17,"name":"Train ID","value":"112-21"},{"id":16,"name":"Locomotive ID","value":"4055"},{"id":130,"name":"Impact","value":""},{"id":150,"name":"Time of Event (Mountain Time)","value":"06:34:16"},{"id":151,"name":"Denver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1"/>
        <v>start /low /b %USERPROFILE%\Documents\GitHub\eaglep3\Utilities\DownloadLogsFromS3.py --loco 4055 --day 2017-09-21</v>
      </c>
      <c r="AN24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12:34:16"},{"id":29,"name":"Sharepoint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23"/>
        <v>https://d0f6bd738d7f1b3e5a7ca70fe4ff75f0.us-east-1.aws.found.io/app/kibana#/discover/Steve-Slow-Train-Analysis-(2080s-and-2083s)?_g=(refreshInterval:(display:Off,pause:!f,section:0,value:0),time:(from:'2017-09-21T04:36:30-0600',mode:absolute,to:'2017-09-21T07:34:16-0600'))&amp;_a=(columns:!('Message%20ID',Summary),filters:!(),index:'emp_*',interval:auto,query:(query_string:(analyze_wildcard:!t,query:'Message%5C+ID:(*)+AND+%22rtdc.l.rtdc.4055%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581</v>
      </c>
      <c r="B25" s="7">
        <v>4010</v>
      </c>
      <c r="C25" s="21" t="s">
        <v>196</v>
      </c>
      <c r="D25" s="21" t="s">
        <v>370</v>
      </c>
      <c r="E25" s="13">
        <v>42999.205277777779</v>
      </c>
      <c r="F25" s="13">
        <v>42999.218969907408</v>
      </c>
      <c r="G25" s="7">
        <v>62</v>
      </c>
      <c r="H25" s="21" t="s">
        <v>439</v>
      </c>
      <c r="I25" s="13">
        <v>42999.245034722226</v>
      </c>
      <c r="J25" s="7">
        <v>0</v>
      </c>
      <c r="K25" s="89" t="str">
        <f t="shared" si="0"/>
        <v>4009/4010</v>
      </c>
      <c r="L25" s="185" t="str">
        <f>VLOOKUP(A25,'Trips&amp;Operators'!$C$1:$G$99911,5,FALSE)</f>
        <v>YANAI IAN</v>
      </c>
      <c r="M25" s="6">
        <f t="shared" si="1"/>
        <v>2.6064814817800652E-2</v>
      </c>
      <c r="N25" s="7">
        <f t="shared" si="2"/>
        <v>37.533333337632939</v>
      </c>
      <c r="O25" s="7"/>
      <c r="P25" s="7"/>
      <c r="Q25" s="22"/>
      <c r="R25" s="174"/>
      <c r="S25" s="221">
        <f t="shared" si="3"/>
        <v>1</v>
      </c>
      <c r="T25" s="174" t="str">
        <f t="shared" si="4"/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 t="shared" si="5"/>
        <v>https://d0f6bd738d7f1b3e5a7ca70fe4ff75f0.us-east-1.aws.found.io/app/kibana#/discover/Steve-Slow-Train-Analysis-(2080s-and-2083s)?_g=(refreshInterval:(display:Off,pause:!f,section:0,value:0),time:(from:'2017-09-21T03:55:36-0600',mode:absolute,to:'2017-09-21T06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5" s="204" t="str">
        <f>IF(AA25&lt;VLOOKUP(AG25,Variables!$AC$3:$AD$8,2,FALSE),"Y","N")</f>
        <v>N</v>
      </c>
      <c r="X25" s="204">
        <f t="shared" si="6"/>
        <v>1</v>
      </c>
      <c r="Y25" s="204">
        <f t="shared" si="7"/>
        <v>4.6699999999999998E-2</v>
      </c>
      <c r="Z25" s="204">
        <f t="shared" si="8"/>
        <v>23.330200000000001</v>
      </c>
      <c r="AA25" s="204">
        <f t="shared" si="9"/>
        <v>23.2835</v>
      </c>
      <c r="AB25" s="54" t="str">
        <f>VLOOKUP(A25,Enforcements!$C$7:$K$11,8,0)</f>
        <v>Bulletin (2)</v>
      </c>
      <c r="AC25" s="51" t="str">
        <f>VLOOKUP(A25,Enforcements!$C$7:$E$11,3,0)</f>
        <v>GRADE CROSSING</v>
      </c>
      <c r="AD25" s="179">
        <f t="shared" si="10"/>
        <v>113</v>
      </c>
      <c r="AE25" s="77" t="str">
        <f t="shared" si="11"/>
        <v>aws s3 cp s3://rtdc.mdm.uploadarchive.raw/RTDC4010/ "%USERPROFILE%\AppData\Local\Temp\OnboardLogs"\RTDC4010\2017-09-21 --exclude "*" --recursive --include "*20170921*" &amp; "%USERPROFILE%\Documents\GitHub\mrs-test-scripts\Headless Mode &amp; Sideloading\WalkAndUnGZ.bat" "%USERPROFILE%\AppData\Local\Temp\OnboardLogs"\RTDC4010\2017-09-21 &amp; aws s3 cp s3://rtdc.mdm.uploadarchive.raw/RTDC4010/ "%USERPROFILE%\AppData\Local\Temp\OnboardLogs"\RTDC4010\2017-09-22 --exclude "*" --recursive --include "*20170922*" &amp; "%USERPROFILE%\Documents\GitHub\mrs-test-scripts\Headless Mode &amp; Sideloading\WalkAndUnGZ.bat" "%USERPROFILE%\AppData\Local\Temp\OnboardLogs"\RTDC4010\2017-09-22</v>
      </c>
      <c r="AF25" s="74" t="str">
        <f t="shared" si="12"/>
        <v>"C:\Program Files (x86)\AstroGrep\AstroGrep.exe" /e /r /s /spath="%USERPROFILE%\AppData\Local\Temp\OnboardLogs" /stypes="app*4010*20170921*" /stext=" 11:.+((SYSTEM_STATE.+slice.+state.+changed )|(ment ac)|(multiple cpu faults)|(system.+state.+changed )|(\[timeout)|(PRM\|1\|D)|(kpr)|(kdp)|(train st.+moving)|(\|lc)|(penalty))"</v>
      </c>
      <c r="AG25" s="182" t="str">
        <f t="shared" si="13"/>
        <v>EC</v>
      </c>
      <c r="AH25" s="78" t="str">
        <f t="shared" si="19"/>
        <v>"%USERPROFILE%\Documents\GitHub\eaglep3\Utilities\RefineRTDCRunTimes.py" --tripid 113-21 --locoid 4010 --swversion DE.1.0.9.0 --startMP 204:467 --initTime 2017-09-21T04:55:36 --startdatetime 2017-09-21T05:15:19 --delay 62 --endMP 204:233302 --enddatetime 2017-09-21T05:52:51 --enforcementcount 0 &gt;&gt;c:\users\stu\Documents\GitHub\eaglep3-reporting\EC\2017-09-21-refined-times.txt</v>
      </c>
      <c r="AI25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{"issue":{"subject":"","project_id":79,"tracker_id":40,"status_id":1,"priority_id":2,"assigned_to_id":338,"start_date":"2017-09-21","description":"","custom_fields":[{"id":1,"name":"Subdivision","value":"EC"},{"id":4,"name":"Milepost","value":"23.3302"},{"id":17,"name":"Train ID","value":"113-21"},{"id":16,"name":"Locomotive ID","value":"4010"},{"id":130,"name":"Impact","value":""},{"id":150,"name":"Time of Event (Mountain Time)","value":"05:52:51"},{"id":151,"name":"Denver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1"/>
        <v>start /low /b %USERPROFILE%\Documents\GitHub\eaglep3\Utilities\DownloadLogsFromS3.py --loco 4010 --day 2017-09-21</v>
      </c>
      <c r="AN25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11:52:51"},{"id":29,"name":"Sharepoint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23"/>
        <v>https://d0f6bd738d7f1b3e5a7ca70fe4ff75f0.us-east-1.aws.found.io/app/kibana#/discover/Steve-Slow-Train-Analysis-(2080s-and-2083s)?_g=(refreshInterval:(display:Off,pause:!f,section:0,value:0),time:(from:'2017-09-21T03:55:36-0600',mode:absolute,to:'2017-09-21T06:52:51-0600'))&amp;_a=(columns:!('Message%20ID',Summary),filters:!(),index:'emp_*',interval:auto,query:(query_string:(analyze_wildcard:!t,query:'Message%5C+ID:(*)+AND+%22rtdc.l.rtdc.4010%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588</v>
      </c>
      <c r="B26" s="7">
        <v>4009</v>
      </c>
      <c r="C26" s="21" t="s">
        <v>196</v>
      </c>
      <c r="D26" s="21" t="s">
        <v>843</v>
      </c>
      <c r="E26" s="13">
        <v>42999.246493055558</v>
      </c>
      <c r="F26" s="13">
        <v>42999.25849537037</v>
      </c>
      <c r="G26" s="7">
        <v>47</v>
      </c>
      <c r="H26" s="21" t="s">
        <v>844</v>
      </c>
      <c r="I26" s="13">
        <v>42999.284699074073</v>
      </c>
      <c r="J26" s="7">
        <v>0</v>
      </c>
      <c r="K26" s="89" t="str">
        <f t="shared" si="0"/>
        <v>4009/4010</v>
      </c>
      <c r="L26" s="185" t="str">
        <f>VLOOKUP(A26,'Trips&amp;Operators'!$C$1:$G$99911,5,FALSE)</f>
        <v>YANAI IAN</v>
      </c>
      <c r="M26" s="6">
        <f t="shared" si="1"/>
        <v>2.6203703702776693E-2</v>
      </c>
      <c r="N26" s="7">
        <f t="shared" si="2"/>
        <v>37.733333331998438</v>
      </c>
      <c r="O26" s="7"/>
      <c r="P26" s="7"/>
      <c r="Q26" s="22"/>
      <c r="R26" s="174"/>
      <c r="S26" s="221">
        <f t="shared" si="3"/>
        <v>1</v>
      </c>
      <c r="T26" s="174" t="str">
        <f t="shared" si="4"/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 t="shared" si="5"/>
        <v>https://d0f6bd738d7f1b3e5a7ca70fe4ff75f0.us-east-1.aws.found.io/app/kibana#/discover/Steve-Slow-Train-Analysis-(2080s-and-2083s)?_g=(refreshInterval:(display:Off,pause:!f,section:0,value:0),time:(from:'2017-09-21T04:54:57-0600',mode:absolute,to:'2017-09-21T07:49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6" s="204" t="str">
        <f>IF(AA26&lt;VLOOKUP(AG26,Variables!$AC$3:$AD$8,2,FALSE),"Y","N")</f>
        <v>N</v>
      </c>
      <c r="X26" s="204">
        <f t="shared" si="6"/>
        <v>1</v>
      </c>
      <c r="Y26" s="204">
        <f t="shared" si="7"/>
        <v>23.2974</v>
      </c>
      <c r="Z26" s="204">
        <f t="shared" si="8"/>
        <v>1.2699999999999999E-2</v>
      </c>
      <c r="AA26" s="204">
        <f t="shared" si="9"/>
        <v>23.284700000000001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 t="shared" si="10"/>
        <v>114</v>
      </c>
      <c r="AE26" s="77" t="str">
        <f t="shared" si="11"/>
        <v>aws s3 cp s3://rtdc.mdm.uploadarchive.raw/RTDC4009/ "%USERPROFILE%\AppData\Local\Temp\OnboardLogs"\RTDC4009\2017-09-21 --exclude "*" --recursive --include "*20170921*" &amp; "%USERPROFILE%\Documents\GitHub\mrs-test-scripts\Headless Mode &amp; Sideloading\WalkAndUnGZ.bat" "%USERPROFILE%\AppData\Local\Temp\OnboardLogs"\RTDC4009\2017-09-21 &amp; aws s3 cp s3://rtdc.mdm.uploadarchive.raw/RTDC4009/ "%USERPROFILE%\AppData\Local\Temp\OnboardLogs"\RTDC4009\2017-09-22 --exclude "*" --recursive --include "*20170922*" &amp; "%USERPROFILE%\Documents\GitHub\mrs-test-scripts\Headless Mode &amp; Sideloading\WalkAndUnGZ.bat" "%USERPROFILE%\AppData\Local\Temp\OnboardLogs"\RTDC4009\2017-09-22</v>
      </c>
      <c r="AF26" s="74" t="str">
        <f t="shared" si="12"/>
        <v>"C:\Program Files (x86)\AstroGrep\AstroGrep.exe" /e /r /s /spath="%USERPROFILE%\AppData\Local\Temp\OnboardLogs" /stypes="app*4009*20170921*" /stext=" 12:.+((SYSTEM_STATE.+slice.+state.+changed )|(ment ac)|(multiple cpu faults)|(system.+state.+changed )|(\[timeout)|(PRM\|1\|D)|(kpr)|(kdp)|(train st.+moving)|(\|lc)|(penalty))"</v>
      </c>
      <c r="AG26" s="182" t="str">
        <f t="shared" si="13"/>
        <v>EC</v>
      </c>
      <c r="AH26" s="78" t="str">
        <f t="shared" si="19"/>
        <v>"%USERPROFILE%\Documents\GitHub\eaglep3\Utilities\RefineRTDCRunTimes.py" --tripid 114-21 --locoid 4009 --swversion DE.1.0.9.0 --startMP 204:232974 --initTime 2017-09-21T05:54:57 --startdatetime 2017-09-21T06:12:14 --delay 47 --endMP 204:127 --enddatetime 2017-09-21T06:49:58 --enforcementcount 0 &gt;&gt;c:\users\stu\Documents\GitHub\eaglep3-reporting\EC\2017-09-21-refined-times.txt</v>
      </c>
      <c r="AI26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{"issue":{"subject":"","project_id":79,"tracker_id":40,"status_id":1,"priority_id":2,"assigned_to_id":338,"start_date":"2017-09-21","description":"","custom_fields":[{"id":1,"name":"Subdivision","value":"EC"},{"id":4,"name":"Milepost","value":"0.0127"},{"id":17,"name":"Train ID","value":"114-21"},{"id":16,"name":"Locomotive ID","value":"4009"},{"id":130,"name":"Impact","value":""},{"id":150,"name":"Time of Event (Mountain Time)","value":"06:49:58"},{"id":151,"name":"Denver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1"/>
        <v>start /low /b %USERPROFILE%\Documents\GitHub\eaglep3\Utilities\DownloadLogsFromS3.py --loco 4009 --day 2017-09-21</v>
      </c>
      <c r="AN26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12:49:58"},{"id":29,"name":"Sharepoint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23"/>
        <v>https://d0f6bd738d7f1b3e5a7ca70fe4ff75f0.us-east-1.aws.found.io/app/kibana#/discover/Steve-Slow-Train-Analysis-(2080s-and-2083s)?_g=(refreshInterval:(display:Off,pause:!f,section:0,value:0),time:(from:'2017-09-21T04:54:57-0600',mode:absolute,to:'2017-09-21T07:49:58-0600'))&amp;_a=(columns:!('Message%20ID',Summary),filters:!(),index:'emp_*',interval:auto,query:(query_string:(analyze_wildcard:!t,query:'Message%5C+ID:(*)+AND+%22rtdc.l.rtdc.4009%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643</v>
      </c>
      <c r="B27" s="7">
        <v>4030</v>
      </c>
      <c r="C27" s="21" t="s">
        <v>196</v>
      </c>
      <c r="D27" s="21" t="s">
        <v>448</v>
      </c>
      <c r="E27" s="13">
        <v>42999.22724537037</v>
      </c>
      <c r="F27" s="13">
        <v>42999.230069444442</v>
      </c>
      <c r="G27" s="7">
        <v>55</v>
      </c>
      <c r="H27" s="21" t="s">
        <v>845</v>
      </c>
      <c r="I27" s="13">
        <v>42999.254525462966</v>
      </c>
      <c r="J27" s="7">
        <v>0</v>
      </c>
      <c r="K27" s="89" t="str">
        <f t="shared" si="0"/>
        <v>4029/4030</v>
      </c>
      <c r="L27" s="185" t="str">
        <f>VLOOKUP(A27,'Trips&amp;Operators'!$C$1:$G$99911,5,FALSE)</f>
        <v>STARKS ANGELINA</v>
      </c>
      <c r="M27" s="6">
        <f t="shared" si="1"/>
        <v>2.4456018523778766E-2</v>
      </c>
      <c r="N27" s="7">
        <f t="shared" si="2"/>
        <v>35.216666674241424</v>
      </c>
      <c r="O27" s="7"/>
      <c r="P27" s="7"/>
      <c r="Q27" s="22"/>
      <c r="R27" s="174"/>
      <c r="S27" s="221">
        <f t="shared" si="3"/>
        <v>1</v>
      </c>
      <c r="T27" s="174" t="str">
        <f t="shared" si="4"/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 t="shared" si="5"/>
        <v>https://d0f6bd738d7f1b3e5a7ca70fe4ff75f0.us-east-1.aws.found.io/app/kibana#/discover/Steve-Slow-Train-Analysis-(2080s-and-2083s)?_g=(refreshInterval:(display:Off,pause:!f,section:0,value:0),time:(from:'2017-09-21T04:27:14-0600',mode:absolute,to:'2017-09-21T07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7" s="204" t="str">
        <f>IF(AA27&lt;VLOOKUP(AG27,Variables!$AC$3:$AD$8,2,FALSE),"Y","N")</f>
        <v>N</v>
      </c>
      <c r="X27" s="204">
        <f t="shared" si="6"/>
        <v>1</v>
      </c>
      <c r="Y27" s="204">
        <f t="shared" si="7"/>
        <v>4.5699999999999998E-2</v>
      </c>
      <c r="Z27" s="204">
        <f t="shared" si="8"/>
        <v>23.327000000000002</v>
      </c>
      <c r="AA27" s="204">
        <f t="shared" si="9"/>
        <v>23.281300000000002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 t="shared" si="10"/>
        <v>115</v>
      </c>
      <c r="AE27" s="77" t="str">
        <f t="shared" si="11"/>
        <v>aws s3 cp s3://rtdc.mdm.uploadarchive.raw/RTDC4030/ "%USERPROFILE%\AppData\Local\Temp\OnboardLogs"\RTDC4030\2017-09-21 --exclude "*" --recursive --include "*20170921*" &amp; "%USERPROFILE%\Documents\GitHub\mrs-test-scripts\Headless Mode &amp; Sideloading\WalkAndUnGZ.bat" "%USERPROFILE%\AppData\Local\Temp\OnboardLogs"\RTDC4030\2017-09-21 &amp; aws s3 cp s3://rtdc.mdm.uploadarchive.raw/RTDC4030/ "%USERPROFILE%\AppData\Local\Temp\OnboardLogs"\RTDC4030\2017-09-22 --exclude "*" --recursive --include "*20170922*" &amp; "%USERPROFILE%\Documents\GitHub\mrs-test-scripts\Headless Mode &amp; Sideloading\WalkAndUnGZ.bat" "%USERPROFILE%\AppData\Local\Temp\OnboardLogs"\RTDC4030\2017-09-22</v>
      </c>
      <c r="AF27" s="74" t="str">
        <f t="shared" si="12"/>
        <v>"C:\Program Files (x86)\AstroGrep\AstroGrep.exe" /e /r /s /spath="%USERPROFILE%\AppData\Local\Temp\OnboardLogs" /stypes="app*4030*20170921*" /stext=" 12:.+((SYSTEM_STATE.+slice.+state.+changed )|(ment ac)|(multiple cpu faults)|(system.+state.+changed )|(\[timeout)|(PRM\|1\|D)|(kpr)|(kdp)|(train st.+moving)|(\|lc)|(penalty))"</v>
      </c>
      <c r="AG27" s="182" t="str">
        <f t="shared" si="13"/>
        <v>EC</v>
      </c>
      <c r="AH27" s="78" t="str">
        <f t="shared" si="19"/>
        <v>"%USERPROFILE%\Documents\GitHub\eaglep3\Utilities\RefineRTDCRunTimes.py" --tripid 115-21 --locoid 4030 --swversion DE.1.0.9.0 --startMP 204:457 --initTime 2017-09-21T05:27:14 --startdatetime 2017-09-21T05:31:18 --delay 55 --endMP 204:233270 --enddatetime 2017-09-21T06:06:31 --enforcementcount 0 &gt;&gt;c:\users\stu\Documents\GitHub\eaglep3-reporting\EC\2017-09-21-refined-times.txt</v>
      </c>
      <c r="AI27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{"issue":{"subject":"","project_id":79,"tracker_id":40,"status_id":1,"priority_id":2,"assigned_to_id":338,"start_date":"2017-09-21","description":"","custom_fields":[{"id":1,"name":"Subdivision","value":"EC"},{"id":4,"name":"Milepost","value":"23.327"},{"id":17,"name":"Train ID","value":"115-21"},{"id":16,"name":"Locomotive ID","value":"4030"},{"id":130,"name":"Impact","value":""},{"id":150,"name":"Time of Event (Mountain Time)","value":"06:06:31"},{"id":151,"name":"Denver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1"/>
        <v>start /low /b %USERPROFILE%\Documents\GitHub\eaglep3\Utilities\DownloadLogsFromS3.py --loco 4030 --day 2017-09-21</v>
      </c>
      <c r="AN27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12:06:31"},{"id":29,"name":"Sharepoint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23"/>
        <v>https://d0f6bd738d7f1b3e5a7ca70fe4ff75f0.us-east-1.aws.found.io/app/kibana#/discover/Steve-Slow-Train-Analysis-(2080s-and-2083s)?_g=(refreshInterval:(display:Off,pause:!f,section:0,value:0),time:(from:'2017-09-21T04:27:14-0600',mode:absolute,to:'2017-09-21T07:06:31-0600'))&amp;_a=(columns:!('Message%20ID',Summary),filters:!(),index:'emp_*',interval:auto,query:(query_string:(analyze_wildcard:!t,query:'Message%5C+ID:(*)+AND+%22rtdc.l.rtdc.4030%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590</v>
      </c>
      <c r="B28" s="7">
        <v>4029</v>
      </c>
      <c r="C28" s="21" t="s">
        <v>196</v>
      </c>
      <c r="D28" s="21" t="s">
        <v>556</v>
      </c>
      <c r="E28" s="13">
        <v>42999.263171296298</v>
      </c>
      <c r="F28" s="13">
        <v>42999.269189814811</v>
      </c>
      <c r="G28" s="7">
        <v>50</v>
      </c>
      <c r="H28" s="21" t="s">
        <v>339</v>
      </c>
      <c r="I28" s="13">
        <v>42999.296238425923</v>
      </c>
      <c r="J28" s="7">
        <v>0</v>
      </c>
      <c r="K28" s="89" t="str">
        <f t="shared" si="0"/>
        <v>4029/4030</v>
      </c>
      <c r="L28" s="185" t="str">
        <f>VLOOKUP(A28,'Trips&amp;Operators'!$C$1:$G$99911,5,FALSE)</f>
        <v>STARKS ANGELINA</v>
      </c>
      <c r="M28" s="6">
        <f t="shared" si="1"/>
        <v>2.7048611111240461E-2</v>
      </c>
      <c r="N28" s="7">
        <f t="shared" si="2"/>
        <v>38.950000000186265</v>
      </c>
      <c r="O28" s="7"/>
      <c r="P28" s="7"/>
      <c r="Q28" s="22"/>
      <c r="R28" s="174"/>
      <c r="S28" s="221">
        <f t="shared" si="3"/>
        <v>1</v>
      </c>
      <c r="T28" s="174" t="str">
        <f t="shared" si="4"/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 t="shared" si="5"/>
        <v>https://d0f6bd738d7f1b3e5a7ca70fe4ff75f0.us-east-1.aws.found.io/app/kibana#/discover/Steve-Slow-Train-Analysis-(2080s-and-2083s)?_g=(refreshInterval:(display:Off,pause:!f,section:0,value:0),time:(from:'2017-09-21T05:18:58-0600',mode:absolute,to:'2017-09-21T08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8" s="204" t="str">
        <f>IF(AA28&lt;VLOOKUP(AG28,Variables!$AC$3:$AD$8,2,FALSE),"Y","N")</f>
        <v>N</v>
      </c>
      <c r="X28" s="204">
        <f t="shared" si="6"/>
        <v>1</v>
      </c>
      <c r="Y28" s="204">
        <f t="shared" si="7"/>
        <v>23.296900000000001</v>
      </c>
      <c r="Z28" s="204">
        <f t="shared" si="8"/>
        <v>1.43E-2</v>
      </c>
      <c r="AA28" s="204">
        <f t="shared" si="9"/>
        <v>23.282600000000002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 t="shared" si="10"/>
        <v>116</v>
      </c>
      <c r="AE28" s="77" t="str">
        <f t="shared" si="11"/>
        <v>aws s3 cp s3://rtdc.mdm.uploadarchive.raw/RTDC4029/ "%USERPROFILE%\AppData\Local\Temp\OnboardLogs"\RTDC4029\2017-09-21 --exclude "*" --recursive --include "*20170921*" &amp; "%USERPROFILE%\Documents\GitHub\mrs-test-scripts\Headless Mode &amp; Sideloading\WalkAndUnGZ.bat" "%USERPROFILE%\AppData\Local\Temp\OnboardLogs"\RTDC4029\2017-09-21 &amp; aws s3 cp s3://rtdc.mdm.uploadarchive.raw/RTDC4029/ "%USERPROFILE%\AppData\Local\Temp\OnboardLogs"\RTDC4029\2017-09-22 --exclude "*" --recursive --include "*20170922*" &amp; "%USERPROFILE%\Documents\GitHub\mrs-test-scripts\Headless Mode &amp; Sideloading\WalkAndUnGZ.bat" "%USERPROFILE%\AppData\Local\Temp\OnboardLogs"\RTDC4029\2017-09-22</v>
      </c>
      <c r="AF28" s="74" t="str">
        <f t="shared" si="12"/>
        <v>"C:\Program Files (x86)\AstroGrep\AstroGrep.exe" /e /r /s /spath="%USERPROFILE%\AppData\Local\Temp\OnboardLogs" /stypes="app*4029*20170921*" /stext=" 13:.+((SYSTEM_STATE.+slice.+state.+changed )|(ment ac)|(multiple cpu faults)|(system.+state.+changed )|(\[timeout)|(PRM\|1\|D)|(kpr)|(kdp)|(train st.+moving)|(\|lc)|(penalty))"</v>
      </c>
      <c r="AG28" s="182" t="str">
        <f t="shared" si="13"/>
        <v>EC</v>
      </c>
      <c r="AH28" s="78" t="str">
        <f t="shared" si="19"/>
        <v>"%USERPROFILE%\Documents\GitHub\eaglep3\Utilities\RefineRTDCRunTimes.py" --tripid 116-21 --locoid 4029 --swversion DE.1.0.9.0 --startMP 204:232969 --initTime 2017-09-21T06:18:58 --startdatetime 2017-09-21T06:27:38 --delay 50 --endMP 204:143 --enddatetime 2017-09-21T07:06:35 --enforcementcount 0 &gt;&gt;c:\users\stu\Documents\GitHub\eaglep3-reporting\EC\2017-09-21-refined-times.txt</v>
      </c>
      <c r="AI28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{"issue":{"subject":"","project_id":79,"tracker_id":40,"status_id":1,"priority_id":2,"assigned_to_id":338,"start_date":"2017-09-21","description":"","custom_fields":[{"id":1,"name":"Subdivision","value":"EC"},{"id":4,"name":"Milepost","value":"0.0143"},{"id":17,"name":"Train ID","value":"116-21"},{"id":16,"name":"Locomotive ID","value":"4029"},{"id":130,"name":"Impact","value":""},{"id":150,"name":"Time of Event (Mountain Time)","value":"07:06:35"},{"id":151,"name":"Denver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1"/>
        <v>start /low /b %USERPROFILE%\Documents\GitHub\eaglep3\Utilities\DownloadLogsFromS3.py --loco 4029 --day 2017-09-21</v>
      </c>
      <c r="AN28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13:06:35"},{"id":29,"name":"Sharepoint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23"/>
        <v>https://d0f6bd738d7f1b3e5a7ca70fe4ff75f0.us-east-1.aws.found.io/app/kibana#/discover/Steve-Slow-Train-Analysis-(2080s-and-2083s)?_g=(refreshInterval:(display:Off,pause:!f,section:0,value:0),time:(from:'2017-09-21T05:18:58-0600',mode:absolute,to:'2017-09-21T08:06:35-0600'))&amp;_a=(columns:!('Message%20ID',Summary),filters:!(),index:'emp_*',interval:auto,query:(query_string:(analyze_wildcard:!t,query:'Message%5C+ID:(*)+AND+%22rtdc.l.rtdc.4029%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646</v>
      </c>
      <c r="B29" s="7">
        <v>4052</v>
      </c>
      <c r="C29" s="21" t="s">
        <v>196</v>
      </c>
      <c r="D29" s="21" t="s">
        <v>340</v>
      </c>
      <c r="E29" s="13">
        <v>42999.234664351854</v>
      </c>
      <c r="F29" s="13">
        <v>42999.239756944444</v>
      </c>
      <c r="G29" s="7">
        <v>92</v>
      </c>
      <c r="H29" s="21" t="s">
        <v>439</v>
      </c>
      <c r="I29" s="13">
        <v>42999.265555555554</v>
      </c>
      <c r="J29" s="7">
        <v>0</v>
      </c>
      <c r="K29" s="89" t="str">
        <f t="shared" si="0"/>
        <v>4051/4052</v>
      </c>
      <c r="L29" s="185" t="str">
        <f>VLOOKUP(A29,'Trips&amp;Operators'!$C$1:$G$99911,5,FALSE)</f>
        <v>YANG JAN</v>
      </c>
      <c r="M29" s="6">
        <f t="shared" si="1"/>
        <v>2.5798611110076308E-2</v>
      </c>
      <c r="N29" s="7">
        <f t="shared" si="2"/>
        <v>37.149999998509884</v>
      </c>
      <c r="O29" s="7"/>
      <c r="P29" s="7"/>
      <c r="Q29" s="22"/>
      <c r="R29" s="174"/>
      <c r="S29" s="221">
        <f t="shared" si="3"/>
        <v>1</v>
      </c>
      <c r="T29" s="174" t="str">
        <f t="shared" si="4"/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 t="shared" si="5"/>
        <v>https://d0f6bd738d7f1b3e5a7ca70fe4ff75f0.us-east-1.aws.found.io/app/kibana#/discover/Steve-Slow-Train-Analysis-(2080s-and-2083s)?_g=(refreshInterval:(display:Off,pause:!f,section:0,value:0),time:(from:'2017-09-21T04:37:55-0600',mode:absolute,to:'2017-09-21T07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9" s="204" t="str">
        <f>IF(AA29&lt;VLOOKUP(AG29,Variables!$AC$3:$AD$8,2,FALSE),"Y","N")</f>
        <v>N</v>
      </c>
      <c r="X29" s="204">
        <f t="shared" si="6"/>
        <v>1</v>
      </c>
      <c r="Y29" s="204">
        <f t="shared" si="7"/>
        <v>4.53E-2</v>
      </c>
      <c r="Z29" s="204">
        <f t="shared" si="8"/>
        <v>23.330200000000001</v>
      </c>
      <c r="AA29" s="204">
        <f t="shared" si="9"/>
        <v>23.2849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 t="shared" si="10"/>
        <v>117</v>
      </c>
      <c r="AE29" s="77" t="str">
        <f t="shared" si="11"/>
        <v>aws s3 cp s3://rtdc.mdm.uploadarchive.raw/RTDC4052/ "%USERPROFILE%\AppData\Local\Temp\OnboardLogs"\RTDC4052\2017-09-21 --exclude "*" --recursive --include "*20170921*" &amp; "%USERPROFILE%\Documents\GitHub\mrs-test-scripts\Headless Mode &amp; Sideloading\WalkAndUnGZ.bat" "%USERPROFILE%\AppData\Local\Temp\OnboardLogs"\RTDC4052\2017-09-21 &amp; aws s3 cp s3://rtdc.mdm.uploadarchive.raw/RTDC4052/ "%USERPROFILE%\AppData\Local\Temp\OnboardLogs"\RTDC4052\2017-09-22 --exclude "*" --recursive --include "*20170922*" &amp; "%USERPROFILE%\Documents\GitHub\mrs-test-scripts\Headless Mode &amp; Sideloading\WalkAndUnGZ.bat" "%USERPROFILE%\AppData\Local\Temp\OnboardLogs"\RTDC4052\2017-09-22</v>
      </c>
      <c r="AF29" s="74" t="str">
        <f t="shared" si="12"/>
        <v>"C:\Program Files (x86)\AstroGrep\AstroGrep.exe" /e /r /s /spath="%USERPROFILE%\AppData\Local\Temp\OnboardLogs" /stypes="app*4052*20170921*" /stext=" 12:.+((SYSTEM_STATE.+slice.+state.+changed )|(ment ac)|(multiple cpu faults)|(system.+state.+changed )|(\[timeout)|(PRM\|1\|D)|(kpr)|(kdp)|(train st.+moving)|(\|lc)|(penalty))"</v>
      </c>
      <c r="AG29" s="182" t="str">
        <f t="shared" si="13"/>
        <v>EC</v>
      </c>
      <c r="AH29" s="78" t="str">
        <f t="shared" si="19"/>
        <v>"%USERPROFILE%\Documents\GitHub\eaglep3\Utilities\RefineRTDCRunTimes.py" --tripid 117-21 --locoid 4052 --swversion DE.1.0.9.0 --startMP 204:453 --initTime 2017-09-21T05:37:55 --startdatetime 2017-09-21T05:45:15 --delay 92 --endMP 204:233302 --enddatetime 2017-09-21T06:22:24 --enforcementcount 0 &gt;&gt;c:\users\stu\Documents\GitHub\eaglep3-reporting\EC\2017-09-21-refined-times.txt</v>
      </c>
      <c r="AI29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{"issue":{"subject":"","project_id":79,"tracker_id":40,"status_id":1,"priority_id":2,"assigned_to_id":338,"start_date":"2017-09-21","description":"","custom_fields":[{"id":1,"name":"Subdivision","value":"EC"},{"id":4,"name":"Milepost","value":"23.3302"},{"id":17,"name":"Train ID","value":"117-21"},{"id":16,"name":"Locomotive ID","value":"4052"},{"id":130,"name":"Impact","value":""},{"id":150,"name":"Time of Event (Mountain Time)","value":"06:22:24"},{"id":151,"name":"Denver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1"/>
        <v>start /low /b %USERPROFILE%\Documents\GitHub\eaglep3\Utilities\DownloadLogsFromS3.py --loco 4052 --day 2017-09-21</v>
      </c>
      <c r="AN29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12:22:24"},{"id":29,"name":"Sharepoint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23"/>
        <v>https://d0f6bd738d7f1b3e5a7ca70fe4ff75f0.us-east-1.aws.found.io/app/kibana#/discover/Steve-Slow-Train-Analysis-(2080s-and-2083s)?_g=(refreshInterval:(display:Off,pause:!f,section:0,value:0),time:(from:'2017-09-21T04:37:55-0600',mode:absolute,to:'2017-09-21T07:22:24-0600'))&amp;_a=(columns:!('Message%20ID',Summary),filters:!(),index:'emp_*',interval:auto,query:(query_string:(analyze_wildcard:!t,query:'Message%5C+ID:(*)+AND+%22rtdc.l.rtdc.4052%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653</v>
      </c>
      <c r="B30" s="7">
        <v>4051</v>
      </c>
      <c r="C30" s="21" t="s">
        <v>196</v>
      </c>
      <c r="D30" s="21" t="s">
        <v>430</v>
      </c>
      <c r="E30" s="13">
        <v>42999.274814814817</v>
      </c>
      <c r="F30" s="13">
        <v>42999.279421296298</v>
      </c>
      <c r="G30" s="7">
        <v>88</v>
      </c>
      <c r="H30" s="21" t="s">
        <v>390</v>
      </c>
      <c r="I30" s="13">
        <v>42999.305335648147</v>
      </c>
      <c r="J30" s="7">
        <v>0</v>
      </c>
      <c r="K30" s="89" t="str">
        <f t="shared" si="0"/>
        <v>4051/4052</v>
      </c>
      <c r="L30" s="185" t="str">
        <f>VLOOKUP(A30,'Trips&amp;Operators'!$C$1:$G$99911,5,FALSE)</f>
        <v>YANG JAN</v>
      </c>
      <c r="M30" s="6">
        <f t="shared" si="1"/>
        <v>2.5914351848769002E-2</v>
      </c>
      <c r="N30" s="7">
        <f t="shared" si="2"/>
        <v>37.316666662227362</v>
      </c>
      <c r="O30" s="7"/>
      <c r="P30" s="7"/>
      <c r="Q30" s="22"/>
      <c r="R30" s="174"/>
      <c r="S30" s="221">
        <f t="shared" si="3"/>
        <v>1</v>
      </c>
      <c r="T30" s="174" t="str">
        <f t="shared" si="4"/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 t="shared" si="5"/>
        <v>https://d0f6bd738d7f1b3e5a7ca70fe4ff75f0.us-east-1.aws.found.io/app/kibana#/discover/Steve-Slow-Train-Analysis-(2080s-and-2083s)?_g=(refreshInterval:(display:Off,pause:!f,section:0,value:0),time:(from:'2017-09-21T05:35:44-0600',mode:absolute,to:'2017-09-21T08:19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0" s="204" t="str">
        <f>IF(AA30&lt;VLOOKUP(AG30,Variables!$AC$3:$AD$8,2,FALSE),"Y","N")</f>
        <v>N</v>
      </c>
      <c r="X30" s="204">
        <f t="shared" si="6"/>
        <v>1</v>
      </c>
      <c r="Y30" s="204">
        <f t="shared" si="7"/>
        <v>23.299299999999999</v>
      </c>
      <c r="Z30" s="204">
        <f t="shared" si="8"/>
        <v>1.3899999999999999E-2</v>
      </c>
      <c r="AA30" s="204">
        <f t="shared" si="9"/>
        <v>23.285399999999999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 t="shared" si="10"/>
        <v>118</v>
      </c>
      <c r="AE30" s="77" t="str">
        <f t="shared" si="11"/>
        <v>aws s3 cp s3://rtdc.mdm.uploadarchive.raw/RTDC4051/ "%USERPROFILE%\AppData\Local\Temp\OnboardLogs"\RTDC4051\2017-09-21 --exclude "*" --recursive --include "*20170921*" &amp; "%USERPROFILE%\Documents\GitHub\mrs-test-scripts\Headless Mode &amp; Sideloading\WalkAndUnGZ.bat" "%USERPROFILE%\AppData\Local\Temp\OnboardLogs"\RTDC4051\2017-09-21 &amp; aws s3 cp s3://rtdc.mdm.uploadarchive.raw/RTDC4051/ "%USERPROFILE%\AppData\Local\Temp\OnboardLogs"\RTDC4051\2017-09-22 --exclude "*" --recursive --include "*20170922*" &amp; "%USERPROFILE%\Documents\GitHub\mrs-test-scripts\Headless Mode &amp; Sideloading\WalkAndUnGZ.bat" "%USERPROFILE%\AppData\Local\Temp\OnboardLogs"\RTDC4051\2017-09-22</v>
      </c>
      <c r="AF30" s="74" t="str">
        <f t="shared" si="12"/>
        <v>"C:\Program Files (x86)\AstroGrep\AstroGrep.exe" /e /r /s /spath="%USERPROFILE%\AppData\Local\Temp\OnboardLogs" /stypes="app*4051*20170921*" /stext=" 13:.+((SYSTEM_STATE.+slice.+state.+changed )|(ment ac)|(multiple cpu faults)|(system.+state.+changed )|(\[timeout)|(PRM\|1\|D)|(kpr)|(kdp)|(train st.+moving)|(\|lc)|(penalty))"</v>
      </c>
      <c r="AG30" s="182" t="str">
        <f t="shared" si="13"/>
        <v>EC</v>
      </c>
      <c r="AH30" s="78" t="str">
        <f t="shared" si="19"/>
        <v>"%USERPROFILE%\Documents\GitHub\eaglep3\Utilities\RefineRTDCRunTimes.py" --tripid 118-21 --locoid 4051 --swversion DE.1.0.9.0 --startMP 204:232993 --initTime 2017-09-21T06:35:44 --startdatetime 2017-09-21T06:42:22 --delay 88 --endMP 204:139 --enddatetime 2017-09-21T07:19:41 --enforcementcount 0 &gt;&gt;c:\users\stu\Documents\GitHub\eaglep3-reporting\EC\2017-09-21-refined-times.txt</v>
      </c>
      <c r="AI30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{"issue":{"subject":"","project_id":79,"tracker_id":40,"status_id":1,"priority_id":2,"assigned_to_id":338,"start_date":"2017-09-21","description":"","custom_fields":[{"id":1,"name":"Subdivision","value":"EC"},{"id":4,"name":"Milepost","value":"0.0139"},{"id":17,"name":"Train ID","value":"118-21"},{"id":16,"name":"Locomotive ID","value":"4051"},{"id":130,"name":"Impact","value":""},{"id":150,"name":"Time of Event (Mountain Time)","value":"07:19:41"},{"id":151,"name":"Denver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1"/>
        <v>start /low /b %USERPROFILE%\Documents\GitHub\eaglep3\Utilities\DownloadLogsFromS3.py --loco 4051 --day 2017-09-21</v>
      </c>
      <c r="AN30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13:19:41"},{"id":29,"name":"Sharepoint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23"/>
        <v>https://d0f6bd738d7f1b3e5a7ca70fe4ff75f0.us-east-1.aws.found.io/app/kibana#/discover/Steve-Slow-Train-Analysis-(2080s-and-2083s)?_g=(refreshInterval:(display:Off,pause:!f,section:0,value:0),time:(from:'2017-09-21T05:35:44-0600',mode:absolute,to:'2017-09-21T08:19:41-0600'))&amp;_a=(columns:!('Message%20ID',Summary),filters:!(),index:'emp_*',interval:auto,query:(query_string:(analyze_wildcard:!t,query:'Message%5C+ID:(*)+AND+%22rtdc.l.rtdc.4051%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647</v>
      </c>
      <c r="B31" s="7">
        <v>4014</v>
      </c>
      <c r="C31" s="21" t="s">
        <v>196</v>
      </c>
      <c r="D31" s="21" t="s">
        <v>357</v>
      </c>
      <c r="E31" s="13">
        <v>42999.245416666665</v>
      </c>
      <c r="F31" s="13">
        <v>42999.250219907408</v>
      </c>
      <c r="G31" s="7">
        <v>80</v>
      </c>
      <c r="H31" s="21" t="s">
        <v>846</v>
      </c>
      <c r="I31" s="13">
        <v>42999.274722222224</v>
      </c>
      <c r="J31" s="7">
        <v>0</v>
      </c>
      <c r="K31" s="89" t="str">
        <f t="shared" si="0"/>
        <v>4013/4014</v>
      </c>
      <c r="L31" s="185" t="str">
        <f>VLOOKUP(A31,'Trips&amp;Operators'!$C$1:$G$99911,5,FALSE)</f>
        <v>PAGE MARCUS</v>
      </c>
      <c r="M31" s="6">
        <f t="shared" si="1"/>
        <v>2.4502314816345461E-2</v>
      </c>
      <c r="N31" s="7">
        <f t="shared" si="2"/>
        <v>35.283333335537463</v>
      </c>
      <c r="O31" s="7"/>
      <c r="P31" s="7"/>
      <c r="Q31" s="22"/>
      <c r="R31" s="174"/>
      <c r="S31" s="221">
        <f t="shared" si="3"/>
        <v>1</v>
      </c>
      <c r="T31" s="174" t="str">
        <f t="shared" si="4"/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 t="shared" si="5"/>
        <v>https://d0f6bd738d7f1b3e5a7ca70fe4ff75f0.us-east-1.aws.found.io/app/kibana#/discover/Steve-Slow-Train-Analysis-(2080s-and-2083s)?_g=(refreshInterval:(display:Off,pause:!f,section:0,value:0),time:(from:'2017-09-21T04:53:24-0600',mode:absolute,to:'2017-09-21T07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1" s="204" t="str">
        <f>IF(AA31&lt;VLOOKUP(AG31,Variables!$AC$3:$AD$8,2,FALSE),"Y","N")</f>
        <v>N</v>
      </c>
      <c r="X31" s="204">
        <f t="shared" si="6"/>
        <v>1</v>
      </c>
      <c r="Y31" s="204">
        <f t="shared" si="7"/>
        <v>4.58E-2</v>
      </c>
      <c r="Z31" s="204">
        <f t="shared" si="8"/>
        <v>23.328399999999998</v>
      </c>
      <c r="AA31" s="204">
        <f t="shared" si="9"/>
        <v>23.282599999999999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 t="shared" si="10"/>
        <v>119</v>
      </c>
      <c r="AE31" s="77" t="str">
        <f t="shared" si="11"/>
        <v>aws s3 cp s3://rtdc.mdm.uploadarchive.raw/RTDC4014/ "%USERPROFILE%\AppData\Local\Temp\OnboardLogs"\RTDC4014\2017-09-21 --exclude "*" --recursive --include "*20170921*" &amp; "%USERPROFILE%\Documents\GitHub\mrs-test-scripts\Headless Mode &amp; Sideloading\WalkAndUnGZ.bat" "%USERPROFILE%\AppData\Local\Temp\OnboardLogs"\RTDC4014\2017-09-21 &amp; aws s3 cp s3://rtdc.mdm.uploadarchive.raw/RTDC4014/ "%USERPROFILE%\AppData\Local\Temp\OnboardLogs"\RTDC4014\2017-09-22 --exclude "*" --recursive --include "*20170922*" &amp; "%USERPROFILE%\Documents\GitHub\mrs-test-scripts\Headless Mode &amp; Sideloading\WalkAndUnGZ.bat" "%USERPROFILE%\AppData\Local\Temp\OnboardLogs"\RTDC4014\2017-09-22</v>
      </c>
      <c r="AF31" s="74" t="str">
        <f t="shared" si="12"/>
        <v>"C:\Program Files (x86)\AstroGrep\AstroGrep.exe" /e /r /s /spath="%USERPROFILE%\AppData\Local\Temp\OnboardLogs" /stypes="app*4014*20170921*" /stext=" 12:.+((SYSTEM_STATE.+slice.+state.+changed )|(ment ac)|(multiple cpu faults)|(system.+state.+changed )|(\[timeout)|(PRM\|1\|D)|(kpr)|(kdp)|(train st.+moving)|(\|lc)|(penalty))"</v>
      </c>
      <c r="AG31" s="182" t="str">
        <f t="shared" si="13"/>
        <v>EC</v>
      </c>
      <c r="AH31" s="78" t="str">
        <f t="shared" si="19"/>
        <v>"%USERPROFILE%\Documents\GitHub\eaglep3\Utilities\RefineRTDCRunTimes.py" --tripid 119-21 --locoid 4014 --swversion DE.1.0.9.0 --startMP 204:458 --initTime 2017-09-21T05:53:24 --startdatetime 2017-09-21T06:00:19 --delay 80 --endMP 204:233284 --enddatetime 2017-09-21T06:35:36 --enforcementcount 0 &gt;&gt;c:\users\stu\Documents\GitHub\eaglep3-reporting\EC\2017-09-21-refined-times.txt</v>
      </c>
      <c r="AI31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{"issue":{"subject":"","project_id":79,"tracker_id":40,"status_id":1,"priority_id":2,"assigned_to_id":338,"start_date":"2017-09-21","description":"","custom_fields":[{"id":1,"name":"Subdivision","value":"EC"},{"id":4,"name":"Milepost","value":"23.3284"},{"id":17,"name":"Train ID","value":"119-21"},{"id":16,"name":"Locomotive ID","value":"4014"},{"id":130,"name":"Impact","value":""},{"id":150,"name":"Time of Event (Mountain Time)","value":"06:35:36"},{"id":151,"name":"Denver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1"/>
        <v>start /low /b %USERPROFILE%\Documents\GitHub\eaglep3\Utilities\DownloadLogsFromS3.py --loco 4014 --day 2017-09-21</v>
      </c>
      <c r="AN31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12:35:36"},{"id":29,"name":"Sharepoint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23"/>
        <v>https://d0f6bd738d7f1b3e5a7ca70fe4ff75f0.us-east-1.aws.found.io/app/kibana#/discover/Steve-Slow-Train-Analysis-(2080s-and-2083s)?_g=(refreshInterval:(display:Off,pause:!f,section:0,value:0),time:(from:'2017-09-21T04:53:24-0600',mode:absolute,to:'2017-09-21T07:35:36-0600'))&amp;_a=(columns:!('Message%20ID',Summary),filters:!(),index:'emp_*',interval:auto,query:(query_string:(analyze_wildcard:!t,query:'Message%5C+ID:(*)+AND+%22rtdc.l.rtdc.4014%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654</v>
      </c>
      <c r="B32" s="7">
        <v>4013</v>
      </c>
      <c r="C32" s="21" t="s">
        <v>196</v>
      </c>
      <c r="D32" s="21" t="s">
        <v>470</v>
      </c>
      <c r="E32" s="13">
        <v>42999.284699074073</v>
      </c>
      <c r="F32" s="13">
        <v>42999.28979166667</v>
      </c>
      <c r="G32" s="7">
        <v>76</v>
      </c>
      <c r="H32" s="21" t="s">
        <v>369</v>
      </c>
      <c r="I32" s="13">
        <v>42999.316006944442</v>
      </c>
      <c r="J32" s="7">
        <v>0</v>
      </c>
      <c r="K32" s="89" t="str">
        <f t="shared" si="0"/>
        <v>4013/4014</v>
      </c>
      <c r="L32" s="185" t="str">
        <f>VLOOKUP(A32,'Trips&amp;Operators'!$C$1:$G$99911,5,FALSE)</f>
        <v>PAGE MARCUS</v>
      </c>
      <c r="M32" s="6">
        <f t="shared" si="1"/>
        <v>2.6215277772280388E-2</v>
      </c>
      <c r="N32" s="7">
        <f t="shared" si="2"/>
        <v>37.749999992083758</v>
      </c>
      <c r="O32" s="7"/>
      <c r="P32" s="7"/>
      <c r="Q32" s="22"/>
      <c r="R32" s="174"/>
      <c r="S32" s="221">
        <f t="shared" si="3"/>
        <v>1</v>
      </c>
      <c r="T32" s="174" t="str">
        <f t="shared" si="4"/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 t="shared" si="5"/>
        <v>https://d0f6bd738d7f1b3e5a7ca70fe4ff75f0.us-east-1.aws.found.io/app/kibana#/discover/Steve-Slow-Train-Analysis-(2080s-and-2083s)?_g=(refreshInterval:(display:Off,pause:!f,section:0,value:0),time:(from:'2017-09-21T05:49:58-0600',mode:absolute,to:'2017-09-21T08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2" s="204" t="str">
        <f>IF(AA32&lt;VLOOKUP(AG32,Variables!$AC$3:$AD$8,2,FALSE),"Y","N")</f>
        <v>N</v>
      </c>
      <c r="X32" s="204">
        <f t="shared" si="6"/>
        <v>1</v>
      </c>
      <c r="Y32" s="204">
        <f t="shared" si="7"/>
        <v>23.2988</v>
      </c>
      <c r="Z32" s="204">
        <f t="shared" si="8"/>
        <v>1.5599999999999999E-2</v>
      </c>
      <c r="AA32" s="204">
        <f t="shared" si="9"/>
        <v>23.283200000000001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 t="shared" si="10"/>
        <v>120</v>
      </c>
      <c r="AE32" s="77" t="str">
        <f t="shared" si="11"/>
        <v>aws s3 cp s3://rtdc.mdm.uploadarchive.raw/RTDC4013/ "%USERPROFILE%\AppData\Local\Temp\OnboardLogs"\RTDC4013\2017-09-21 --exclude "*" --recursive --include "*20170921*" &amp; "%USERPROFILE%\Documents\GitHub\mrs-test-scripts\Headless Mode &amp; Sideloading\WalkAndUnGZ.bat" "%USERPROFILE%\AppData\Local\Temp\OnboardLogs"\RTDC4013\2017-09-21 &amp; aws s3 cp s3://rtdc.mdm.uploadarchive.raw/RTDC4013/ "%USERPROFILE%\AppData\Local\Temp\OnboardLogs"\RTDC4013\2017-09-22 --exclude "*" --recursive --include "*20170922*" &amp; "%USERPROFILE%\Documents\GitHub\mrs-test-scripts\Headless Mode &amp; Sideloading\WalkAndUnGZ.bat" "%USERPROFILE%\AppData\Local\Temp\OnboardLogs"\RTDC4013\2017-09-22</v>
      </c>
      <c r="AF32" s="74" t="str">
        <f t="shared" si="12"/>
        <v>"C:\Program Files (x86)\AstroGrep\AstroGrep.exe" /e /r /s /spath="%USERPROFILE%\AppData\Local\Temp\OnboardLogs" /stypes="app*4013*20170921*" /stext=" 13:.+((SYSTEM_STATE.+slice.+state.+changed )|(ment ac)|(multiple cpu faults)|(system.+state.+changed )|(\[timeout)|(PRM\|1\|D)|(kpr)|(kdp)|(train st.+moving)|(\|lc)|(penalty))"</v>
      </c>
      <c r="AG32" s="182" t="str">
        <f t="shared" si="13"/>
        <v>EC</v>
      </c>
      <c r="AH32" s="78" t="str">
        <f t="shared" si="19"/>
        <v>"%USERPROFILE%\Documents\GitHub\eaglep3\Utilities\RefineRTDCRunTimes.py" --tripid 120-21 --locoid 4013 --swversion DE.1.0.9.0 --startMP 204:232988 --initTime 2017-09-21T06:49:58 --startdatetime 2017-09-21T06:57:18 --delay 76 --endMP 204:156 --enddatetime 2017-09-21T07:35:03 --enforcementcount 0 &gt;&gt;c:\users\stu\Documents\GitHub\eaglep3-reporting\EC\2017-09-21-refined-times.txt</v>
      </c>
      <c r="AI32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{"issue":{"subject":"","project_id":79,"tracker_id":40,"status_id":1,"priority_id":2,"assigned_to_id":338,"start_date":"2017-09-21","description":"","custom_fields":[{"id":1,"name":"Subdivision","value":"EC"},{"id":4,"name":"Milepost","value":"0.0156"},{"id":17,"name":"Train ID","value":"120-21"},{"id":16,"name":"Locomotive ID","value":"4013"},{"id":130,"name":"Impact","value":""},{"id":150,"name":"Time of Event (Mountain Time)","value":"07:35:03"},{"id":151,"name":"Denver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1"/>
        <v>start /low /b %USERPROFILE%\Documents\GitHub\eaglep3\Utilities\DownloadLogsFromS3.py --loco 4013 --day 2017-09-21</v>
      </c>
      <c r="AN32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13:35:03"},{"id":29,"name":"Sharepoint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23"/>
        <v>https://d0f6bd738d7f1b3e5a7ca70fe4ff75f0.us-east-1.aws.found.io/app/kibana#/discover/Steve-Slow-Train-Analysis-(2080s-and-2083s)?_g=(refreshInterval:(display:Off,pause:!f,section:0,value:0),time:(from:'2017-09-21T05:49:58-0600',mode:absolute,to:'2017-09-21T08:35:03-0600'))&amp;_a=(columns:!('Message%20ID',Summary),filters:!(),index:'emp_*',interval:auto,query:(query_string:(analyze_wildcard:!t,query:'Message%5C+ID:(*)+AND+%22rtdc.l.rtdc.4013%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649</v>
      </c>
      <c r="B33" s="7">
        <v>4016</v>
      </c>
      <c r="C33" s="21" t="s">
        <v>196</v>
      </c>
      <c r="D33" s="21" t="s">
        <v>399</v>
      </c>
      <c r="E33" s="13">
        <v>42999.257210648146</v>
      </c>
      <c r="F33" s="13">
        <v>42999.260625000003</v>
      </c>
      <c r="G33" s="7">
        <v>77</v>
      </c>
      <c r="H33" s="21" t="s">
        <v>410</v>
      </c>
      <c r="I33" s="13">
        <v>42999.285034722219</v>
      </c>
      <c r="J33" s="7">
        <v>0</v>
      </c>
      <c r="K33" s="89" t="str">
        <f t="shared" si="0"/>
        <v>4015/4016</v>
      </c>
      <c r="L33" s="185" t="str">
        <f>VLOOKUP(A33,'Trips&amp;Operators'!$C$1:$G$99911,5,FALSE)</f>
        <v>GEBRETEKLE DAGNEW</v>
      </c>
      <c r="M33" s="6">
        <f t="shared" si="1"/>
        <v>2.4409722216660157E-2</v>
      </c>
      <c r="N33" s="7">
        <f t="shared" si="2"/>
        <v>35.149999991990626</v>
      </c>
      <c r="O33" s="7"/>
      <c r="P33" s="7"/>
      <c r="Q33" s="22"/>
      <c r="R33" s="174"/>
      <c r="S33" s="221">
        <f t="shared" si="3"/>
        <v>1</v>
      </c>
      <c r="T33" s="174" t="str">
        <f t="shared" si="4"/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 t="shared" si="5"/>
        <v>https://d0f6bd738d7f1b3e5a7ca70fe4ff75f0.us-east-1.aws.found.io/app/kibana#/discover/Steve-Slow-Train-Analysis-(2080s-and-2083s)?_g=(refreshInterval:(display:Off,pause:!f,section:0,value:0),time:(from:'2017-09-21T05:10:23-0600',mode:absolute,to:'2017-09-21T07:50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3" s="204" t="str">
        <f>IF(AA33&lt;VLOOKUP(AG33,Variables!$AC$3:$AD$8,2,FALSE),"Y","N")</f>
        <v>N</v>
      </c>
      <c r="X33" s="204">
        <f t="shared" si="6"/>
        <v>1</v>
      </c>
      <c r="Y33" s="204">
        <f t="shared" si="7"/>
        <v>4.5100000000000001E-2</v>
      </c>
      <c r="Z33" s="204">
        <f t="shared" si="8"/>
        <v>23.331499999999998</v>
      </c>
      <c r="AA33" s="204">
        <f t="shared" si="9"/>
        <v>23.286399999999997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 t="shared" si="10"/>
        <v>121</v>
      </c>
      <c r="AE33" s="77" t="str">
        <f t="shared" si="11"/>
        <v>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 &amp; aws s3 cp s3://rtdc.mdm.uploadarchive.raw/RTDC4016/ "%USERPROFILE%\AppData\Local\Temp\OnboardLogs"\RTDC4016\2017-09-22 --exclude "*" --recursive --include "*20170922*" &amp; "%USERPROFILE%\Documents\GitHub\mrs-test-scripts\Headless Mode &amp; Sideloading\WalkAndUnGZ.bat" "%USERPROFILE%\AppData\Local\Temp\OnboardLogs"\RTDC4016\2017-09-22</v>
      </c>
      <c r="AF33" s="74" t="str">
        <f t="shared" si="12"/>
        <v>"C:\Program Files (x86)\AstroGrep\AstroGrep.exe" /e /r /s /spath="%USERPROFILE%\AppData\Local\Temp\OnboardLogs" /stypes="app*4016*20170921*" /stext=" 12:.+((SYSTEM_STATE.+slice.+state.+changed )|(ment ac)|(multiple cpu faults)|(system.+state.+changed )|(\[timeout)|(PRM\|1\|D)|(kpr)|(kdp)|(train st.+moving)|(\|lc)|(penalty))"</v>
      </c>
      <c r="AG33" s="182" t="str">
        <f t="shared" si="13"/>
        <v>EC</v>
      </c>
      <c r="AH33" s="78" t="str">
        <f t="shared" si="19"/>
        <v>"%USERPROFILE%\Documents\GitHub\eaglep3\Utilities\RefineRTDCRunTimes.py" --tripid 121-21 --locoid 4016 --swversion DE.1.0.9.0 --startMP 204:451 --initTime 2017-09-21T06:10:23 --startdatetime 2017-09-21T06:15:18 --delay 77 --endMP 204:233315 --enddatetime 2017-09-21T06:50:27 --enforcementcount 0 &gt;&gt;c:\users\stu\Documents\GitHub\eaglep3-reporting\EC\2017-09-21-refined-times.txt</v>
      </c>
      <c r="AI33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{"issue":{"subject":"","project_id":79,"tracker_id":40,"status_id":1,"priority_id":2,"assigned_to_id":338,"start_date":"2017-09-21","description":"","custom_fields":[{"id":1,"name":"Subdivision","value":"EC"},{"id":4,"name":"Milepost","value":"23.3315"},{"id":17,"name":"Train ID","value":"121-21"},{"id":16,"name":"Locomotive ID","value":"4016"},{"id":130,"name":"Impact","value":""},{"id":150,"name":"Time of Event (Mountain Time)","value":"06:50:27"},{"id":151,"name":"Denver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1"/>
        <v>start /low /b %USERPROFILE%\Documents\GitHub\eaglep3\Utilities\DownloadLogsFromS3.py --loco 4016 --day 2017-09-21</v>
      </c>
      <c r="AN33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12:50:27"},{"id":29,"name":"Sharepoint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23"/>
        <v>https://d0f6bd738d7f1b3e5a7ca70fe4ff75f0.us-east-1.aws.found.io/app/kibana#/discover/Steve-Slow-Train-Analysis-(2080s-and-2083s)?_g=(refreshInterval:(display:Off,pause:!f,section:0,value:0),time:(from:'2017-09-21T05:10:23-0600',mode:absolute,to:'2017-09-21T07:50:27-0600'))&amp;_a=(columns:!('Message%20ID',Summary),filters:!(),index:'emp_*',interval:auto,query:(query_string:(analyze_wildcard:!t,query:'Message%5C+ID:(*)+AND+%22rtdc.l.rtdc.4016%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655</v>
      </c>
      <c r="B34" s="7">
        <v>4015</v>
      </c>
      <c r="C34" s="21" t="s">
        <v>196</v>
      </c>
      <c r="D34" s="21" t="s">
        <v>547</v>
      </c>
      <c r="E34" s="13">
        <v>42999.286307870374</v>
      </c>
      <c r="F34" s="13">
        <v>42999.30028935185</v>
      </c>
      <c r="G34" s="7">
        <v>66</v>
      </c>
      <c r="H34" s="21" t="s">
        <v>396</v>
      </c>
      <c r="I34" s="13">
        <v>42999.325624999998</v>
      </c>
      <c r="J34" s="7">
        <v>0</v>
      </c>
      <c r="K34" s="89" t="str">
        <f t="shared" si="0"/>
        <v>4015/4016</v>
      </c>
      <c r="L34" s="185" t="str">
        <f>VLOOKUP(A34,'Trips&amp;Operators'!$C$1:$G$99911,5,FALSE)</f>
        <v>GEBRETEKLE DAGNEW</v>
      </c>
      <c r="M34" s="6">
        <f t="shared" si="1"/>
        <v>2.5335648148029577E-2</v>
      </c>
      <c r="N34" s="7">
        <f t="shared" si="2"/>
        <v>36.483333333162591</v>
      </c>
      <c r="O34" s="7"/>
      <c r="P34" s="7"/>
      <c r="Q34" s="22"/>
      <c r="R34" s="174"/>
      <c r="S34" s="221">
        <f t="shared" si="3"/>
        <v>1</v>
      </c>
      <c r="T34" s="174" t="str">
        <f t="shared" si="4"/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 t="shared" si="5"/>
        <v>https://d0f6bd738d7f1b3e5a7ca70fe4ff75f0.us-east-1.aws.found.io/app/kibana#/discover/Steve-Slow-Train-Analysis-(2080s-and-2083s)?_g=(refreshInterval:(display:Off,pause:!f,section:0,value:0),time:(from:'2017-09-21T05:52:17-0600',mode:absolute,to:'2017-09-21T08:48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4" s="204" t="str">
        <f>IF(AA34&lt;VLOOKUP(AG34,Variables!$AC$3:$AD$8,2,FALSE),"Y","N")</f>
        <v>N</v>
      </c>
      <c r="X34" s="204">
        <f t="shared" si="6"/>
        <v>1</v>
      </c>
      <c r="Y34" s="204">
        <f t="shared" si="7"/>
        <v>23.3002</v>
      </c>
      <c r="Z34" s="204">
        <f t="shared" si="8"/>
        <v>1.6299999999999999E-2</v>
      </c>
      <c r="AA34" s="204">
        <f t="shared" si="9"/>
        <v>23.283899999999999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 t="shared" si="10"/>
        <v>122</v>
      </c>
      <c r="AE34" s="77" t="str">
        <f t="shared" si="11"/>
        <v>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 &amp; aws s3 cp s3://rtdc.mdm.uploadarchive.raw/RTDC4015/ "%USERPROFILE%\AppData\Local\Temp\OnboardLogs"\RTDC4015\2017-09-22 --exclude "*" --recursive --include "*20170922*" &amp; "%USERPROFILE%\Documents\GitHub\mrs-test-scripts\Headless Mode &amp; Sideloading\WalkAndUnGZ.bat" "%USERPROFILE%\AppData\Local\Temp\OnboardLogs"\RTDC4015\2017-09-22</v>
      </c>
      <c r="AF34" s="74" t="str">
        <f t="shared" si="12"/>
        <v>"C:\Program Files (x86)\AstroGrep\AstroGrep.exe" /e /r /s /spath="%USERPROFILE%\AppData\Local\Temp\OnboardLogs" /stypes="app*4015*20170921*" /stext=" 13:.+((SYSTEM_STATE.+slice.+state.+changed )|(ment ac)|(multiple cpu faults)|(system.+state.+changed )|(\[timeout)|(PRM\|1\|D)|(kpr)|(kdp)|(train st.+moving)|(\|lc)|(penalty))"</v>
      </c>
      <c r="AG34" s="182" t="str">
        <f t="shared" si="13"/>
        <v>EC</v>
      </c>
      <c r="AH34" s="78" t="str">
        <f t="shared" si="19"/>
        <v>"%USERPROFILE%\Documents\GitHub\eaglep3\Utilities\RefineRTDCRunTimes.py" --tripid 122-21 --locoid 4015 --swversion DE.1.0.9.0 --startMP 204:233002 --initTime 2017-09-21T06:52:17 --startdatetime 2017-09-21T07:12:25 --delay 66 --endMP 204:163 --enddatetime 2017-09-21T07:48:54 --enforcementcount 0 &gt;&gt;c:\users\stu\Documents\GitHub\eaglep3-reporting\EC\2017-09-21-refined-times.txt</v>
      </c>
      <c r="AI34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{"issue":{"subject":"","project_id":79,"tracker_id":40,"status_id":1,"priority_id":2,"assigned_to_id":338,"start_date":"2017-09-21","description":"","custom_fields":[{"id":1,"name":"Subdivision","value":"EC"},{"id":4,"name":"Milepost","value":"0.0163"},{"id":17,"name":"Train ID","value":"122-21"},{"id":16,"name":"Locomotive ID","value":"4015"},{"id":130,"name":"Impact","value":""},{"id":150,"name":"Time of Event (Mountain Time)","value":"07:48:54"},{"id":151,"name":"Denver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1"/>
        <v>start /low /b %USERPROFILE%\Documents\GitHub\eaglep3\Utilities\DownloadLogsFromS3.py --loco 4015 --day 2017-09-21</v>
      </c>
      <c r="AN34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13:48:54"},{"id":29,"name":"Sharepoint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23"/>
        <v>https://d0f6bd738d7f1b3e5a7ca70fe4ff75f0.us-east-1.aws.found.io/app/kibana#/discover/Steve-Slow-Train-Analysis-(2080s-and-2083s)?_g=(refreshInterval:(display:Off,pause:!f,section:0,value:0),time:(from:'2017-09-21T05:52:17-0600',mode:absolute,to:'2017-09-21T08:48:54-0600'))&amp;_a=(columns:!('Message%20ID',Summary),filters:!(),index:'emp_*',interval:auto,query:(query_string:(analyze_wildcard:!t,query:'Message%5C+ID:(*)+AND+%22rtdc.l.rtdc.4015%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650</v>
      </c>
      <c r="B35" s="7">
        <v>4018</v>
      </c>
      <c r="C35" s="21" t="s">
        <v>196</v>
      </c>
      <c r="D35" s="21" t="s">
        <v>414</v>
      </c>
      <c r="E35" s="13">
        <v>42999.266643518517</v>
      </c>
      <c r="F35" s="13">
        <v>42999.27103009259</v>
      </c>
      <c r="G35" s="7">
        <v>72</v>
      </c>
      <c r="H35" s="21" t="s">
        <v>545</v>
      </c>
      <c r="I35" s="13">
        <v>42999.295868055553</v>
      </c>
      <c r="J35" s="7">
        <v>0</v>
      </c>
      <c r="K35" s="89" t="str">
        <f t="shared" si="0"/>
        <v>4017/4018</v>
      </c>
      <c r="L35" s="185" t="str">
        <f>VLOOKUP(A35,'Trips&amp;Operators'!$C$1:$G$99911,5,FALSE)</f>
        <v>WILLIAMS DONTE</v>
      </c>
      <c r="M35" s="6">
        <f t="shared" si="1"/>
        <v>2.4837962962919846E-2</v>
      </c>
      <c r="N35" s="7">
        <f t="shared" si="2"/>
        <v>35.766666666604578</v>
      </c>
      <c r="O35" s="7"/>
      <c r="P35" s="7"/>
      <c r="Q35" s="22"/>
      <c r="R35" s="174"/>
      <c r="S35" s="221">
        <f t="shared" si="3"/>
        <v>1</v>
      </c>
      <c r="T35" s="174" t="str">
        <f t="shared" si="4"/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 t="shared" si="5"/>
        <v>https://d0f6bd738d7f1b3e5a7ca70fe4ff75f0.us-east-1.aws.found.io/app/kibana#/discover/Steve-Slow-Train-Analysis-(2080s-and-2083s)?_g=(refreshInterval:(display:Off,pause:!f,section:0,value:0),time:(from:'2017-09-21T05:23:58-0600',mode:absolute,to:'2017-09-21T08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5" s="204" t="str">
        <f>IF(AA35&lt;VLOOKUP(AG35,Variables!$AC$3:$AD$8,2,FALSE),"Y","N")</f>
        <v>N</v>
      </c>
      <c r="X35" s="204">
        <f t="shared" si="6"/>
        <v>1</v>
      </c>
      <c r="Y35" s="204">
        <f t="shared" si="7"/>
        <v>4.4699999999999997E-2</v>
      </c>
      <c r="Z35" s="204">
        <f t="shared" si="8"/>
        <v>23.330500000000001</v>
      </c>
      <c r="AA35" s="204">
        <f t="shared" si="9"/>
        <v>23.285800000000002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 t="shared" si="10"/>
        <v>123</v>
      </c>
      <c r="AE35" s="77" t="str">
        <f t="shared" si="11"/>
        <v>aws s3 cp s3://rtdc.mdm.uploadarchive.raw/RTDC4018/ "%USERPROFILE%\AppData\Local\Temp\OnboardLogs"\RTDC4018\2017-09-21 --exclude "*" --recursive --include "*20170921*" &amp; "%USERPROFILE%\Documents\GitHub\mrs-test-scripts\Headless Mode &amp; Sideloading\WalkAndUnGZ.bat" "%USERPROFILE%\AppData\Local\Temp\OnboardLogs"\RTDC4018\2017-09-21 &amp; aws s3 cp s3://rtdc.mdm.uploadarchive.raw/RTDC4018/ "%USERPROFILE%\AppData\Local\Temp\OnboardLogs"\RTDC4018\2017-09-22 --exclude "*" --recursive --include "*20170922*" &amp; "%USERPROFILE%\Documents\GitHub\mrs-test-scripts\Headless Mode &amp; Sideloading\WalkAndUnGZ.bat" "%USERPROFILE%\AppData\Local\Temp\OnboardLogs"\RTDC4018\2017-09-22</v>
      </c>
      <c r="AF35" s="74" t="str">
        <f t="shared" si="12"/>
        <v>"C:\Program Files (x86)\AstroGrep\AstroGrep.exe" /e /r /s /spath="%USERPROFILE%\AppData\Local\Temp\OnboardLogs" /stypes="app*4018*20170921*" /stext=" 13:.+((SYSTEM_STATE.+slice.+state.+changed )|(ment ac)|(multiple cpu faults)|(system.+state.+changed )|(\[timeout)|(PRM\|1\|D)|(kpr)|(kdp)|(train st.+moving)|(\|lc)|(penalty))"</v>
      </c>
      <c r="AG35" s="182" t="str">
        <f t="shared" si="13"/>
        <v>EC</v>
      </c>
      <c r="AH35" s="78" t="str">
        <f t="shared" si="19"/>
        <v>"%USERPROFILE%\Documents\GitHub\eaglep3\Utilities\RefineRTDCRunTimes.py" --tripid 123-21 --locoid 4018 --swversion DE.1.0.9.0 --startMP 204:447 --initTime 2017-09-21T06:23:58 --startdatetime 2017-09-21T06:30:17 --delay 72 --endMP 204:233305 --enddatetime 2017-09-21T07:06:03 --enforcementcount 0 &gt;&gt;c:\users\stu\Documents\GitHub\eaglep3-reporting\EC\2017-09-21-refined-times.txt</v>
      </c>
      <c r="AI35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{"issue":{"subject":"","project_id":79,"tracker_id":40,"status_id":1,"priority_id":2,"assigned_to_id":338,"start_date":"2017-09-21","description":"","custom_fields":[{"id":1,"name":"Subdivision","value":"EC"},{"id":4,"name":"Milepost","value":"23.3305"},{"id":17,"name":"Train ID","value":"123-21"},{"id":16,"name":"Locomotive ID","value":"4018"},{"id":130,"name":"Impact","value":""},{"id":150,"name":"Time of Event (Mountain Time)","value":"07:06:03"},{"id":151,"name":"Denver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1"/>
        <v>start /low /b %USERPROFILE%\Documents\GitHub\eaglep3\Utilities\DownloadLogsFromS3.py --loco 4018 --day 2017-09-21</v>
      </c>
      <c r="AN35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13:06:03"},{"id":29,"name":"Sharepoint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23"/>
        <v>https://d0f6bd738d7f1b3e5a7ca70fe4ff75f0.us-east-1.aws.found.io/app/kibana#/discover/Steve-Slow-Train-Analysis-(2080s-and-2083s)?_g=(refreshInterval:(display:Off,pause:!f,section:0,value:0),time:(from:'2017-09-21T05:23:58-0600',mode:absolute,to:'2017-09-21T08:06:03-0600'))&amp;_a=(columns:!('Message%20ID',Summary),filters:!(),index:'emp_*',interval:auto,query:(query_string:(analyze_wildcard:!t,query:'Message%5C+ID:(*)+AND+%22rtdc.l.rtdc.4018%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659</v>
      </c>
      <c r="B36" s="7">
        <v>4017</v>
      </c>
      <c r="C36" s="21" t="s">
        <v>196</v>
      </c>
      <c r="D36" s="21" t="s">
        <v>492</v>
      </c>
      <c r="E36" s="13">
        <v>42999.303437499999</v>
      </c>
      <c r="F36" s="13">
        <v>42999.310590277775</v>
      </c>
      <c r="G36" s="7">
        <v>112</v>
      </c>
      <c r="H36" s="21" t="s">
        <v>847</v>
      </c>
      <c r="I36" s="13">
        <v>42999.337731481479</v>
      </c>
      <c r="J36" s="7">
        <v>0</v>
      </c>
      <c r="K36" s="89" t="str">
        <f t="shared" si="0"/>
        <v>4017/4018</v>
      </c>
      <c r="L36" s="185" t="str">
        <f>VLOOKUP(A36,'Trips&amp;Operators'!$C$1:$G$99911,5,FALSE)</f>
        <v>WILLIAMS DONTE</v>
      </c>
      <c r="M36" s="6">
        <f t="shared" si="1"/>
        <v>2.7141203703649808E-2</v>
      </c>
      <c r="N36" s="7">
        <f t="shared" si="2"/>
        <v>39.083333333255723</v>
      </c>
      <c r="O36" s="7"/>
      <c r="P36" s="7"/>
      <c r="Q36" s="22"/>
      <c r="R36" s="174"/>
      <c r="S36" s="221">
        <f t="shared" si="3"/>
        <v>1</v>
      </c>
      <c r="T36" s="174" t="str">
        <f t="shared" si="4"/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 t="shared" si="5"/>
        <v>https://d0f6bd738d7f1b3e5a7ca70fe4ff75f0.us-east-1.aws.found.io/app/kibana#/discover/Steve-Slow-Train-Analysis-(2080s-and-2083s)?_g=(refreshInterval:(display:Off,pause:!f,section:0,value:0),time:(from:'2017-09-21T06:16:57-0600',mode:absolute,to:'2017-09-21T09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6" s="204" t="str">
        <f>IF(AA36&lt;VLOOKUP(AG36,Variables!$AC$3:$AD$8,2,FALSE),"Y","N")</f>
        <v>N</v>
      </c>
      <c r="X36" s="204">
        <f t="shared" si="6"/>
        <v>1</v>
      </c>
      <c r="Y36" s="204">
        <f t="shared" si="7"/>
        <v>23.2973</v>
      </c>
      <c r="Z36" s="204">
        <f t="shared" si="8"/>
        <v>1.89E-2</v>
      </c>
      <c r="AA36" s="204">
        <f t="shared" si="9"/>
        <v>23.278400000000001</v>
      </c>
      <c r="AB36" s="54" t="e">
        <f>VLOOKUP(A36,Enforcements!$C$7:$K$11,8,0)</f>
        <v>#N/A</v>
      </c>
      <c r="AC36" s="51" t="e">
        <f>VLOOKUP(A36,Enforcements!$C$7:$E$11,3,0)</f>
        <v>#N/A</v>
      </c>
      <c r="AD36" s="179">
        <f t="shared" si="10"/>
        <v>124</v>
      </c>
      <c r="AE36" s="77" t="str">
        <f t="shared" si="11"/>
        <v>aws s3 cp s3://rtdc.mdm.uploadarchive.raw/RTDC4017/ "%USERPROFILE%\AppData\Local\Temp\OnboardLogs"\RTDC4017\2017-09-21 --exclude "*" --recursive --include "*20170921*" &amp; "%USERPROFILE%\Documents\GitHub\mrs-test-scripts\Headless Mode &amp; Sideloading\WalkAndUnGZ.bat" "%USERPROFILE%\AppData\Local\Temp\OnboardLogs"\RTDC4017\2017-09-21 &amp; aws s3 cp s3://rtdc.mdm.uploadarchive.raw/RTDC4017/ "%USERPROFILE%\AppData\Local\Temp\OnboardLogs"\RTDC4017\2017-09-22 --exclude "*" --recursive --include "*20170922*" &amp; "%USERPROFILE%\Documents\GitHub\mrs-test-scripts\Headless Mode &amp; Sideloading\WalkAndUnGZ.bat" "%USERPROFILE%\AppData\Local\Temp\OnboardLogs"\RTDC4017\2017-09-22</v>
      </c>
      <c r="AF36" s="74" t="str">
        <f t="shared" si="12"/>
        <v>"C:\Program Files (x86)\AstroGrep\AstroGrep.exe" /e /r /s /spath="%USERPROFILE%\AppData\Local\Temp\OnboardLogs" /stypes="app*4017*20170921*" /stext=" 14:.+((SYSTEM_STATE.+slice.+state.+changed )|(ment ac)|(multiple cpu faults)|(system.+state.+changed )|(\[timeout)|(PRM\|1\|D)|(kpr)|(kdp)|(train st.+moving)|(\|lc)|(penalty))"</v>
      </c>
      <c r="AG36" s="182" t="str">
        <f t="shared" si="13"/>
        <v>EC</v>
      </c>
      <c r="AH36" s="78" t="str">
        <f t="shared" si="19"/>
        <v>"%USERPROFILE%\Documents\GitHub\eaglep3\Utilities\RefineRTDCRunTimes.py" --tripid 124-21 --locoid 4017 --swversion DE.1.0.9.0 --startMP 204:232973 --initTime 2017-09-21T07:16:57 --startdatetime 2017-09-21T07:27:15 --delay 112 --endMP 204:189 --enddatetime 2017-09-21T08:06:20 --enforcementcount 0 &gt;&gt;c:\users\stu\Documents\GitHub\eaglep3-reporting\EC\2017-09-21-refined-times.txt</v>
      </c>
      <c r="AI36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{"issue":{"subject":"","project_id":79,"tracker_id":40,"status_id":1,"priority_id":2,"assigned_to_id":338,"start_date":"2017-09-21","description":"","custom_fields":[{"id":1,"name":"Subdivision","value":"EC"},{"id":4,"name":"Milepost","value":"0.0189"},{"id":17,"name":"Train ID","value":"124-21"},{"id":16,"name":"Locomotive ID","value":"4017"},{"id":130,"name":"Impact","value":""},{"id":150,"name":"Time of Event (Mountain Time)","value":"08:06:20"},{"id":151,"name":"Denver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1"/>
        <v>start /low /b %USERPROFILE%\Documents\GitHub\eaglep3\Utilities\DownloadLogsFromS3.py --loco 4017 --day 2017-09-21</v>
      </c>
      <c r="AN36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14:06:20"},{"id":29,"name":"Sharepoint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23"/>
        <v>https://d0f6bd738d7f1b3e5a7ca70fe4ff75f0.us-east-1.aws.found.io/app/kibana#/discover/Steve-Slow-Train-Analysis-(2080s-and-2083s)?_g=(refreshInterval:(display:Off,pause:!f,section:0,value:0),time:(from:'2017-09-21T06:16:57-0600',mode:absolute,to:'2017-09-21T09:06:20-0600'))&amp;_a=(columns:!('Message%20ID',Summary),filters:!(),index:'emp_*',interval:auto,query:(query_string:(analyze_wildcard:!t,query:'Message%5C+ID:(*)+AND+%22rtdc.l.rtdc.4017%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652</v>
      </c>
      <c r="B37" s="7">
        <v>4056</v>
      </c>
      <c r="C37" s="21" t="s">
        <v>196</v>
      </c>
      <c r="D37" s="21" t="s">
        <v>348</v>
      </c>
      <c r="E37" s="13">
        <v>42999.274768518517</v>
      </c>
      <c r="F37" s="13">
        <v>42999.281435185185</v>
      </c>
      <c r="G37" s="7">
        <v>53</v>
      </c>
      <c r="H37" s="21" t="s">
        <v>848</v>
      </c>
      <c r="I37" s="13">
        <v>42999.306354166663</v>
      </c>
      <c r="J37" s="7">
        <v>0</v>
      </c>
      <c r="K37" s="89" t="str">
        <f t="shared" si="0"/>
        <v>4055/4056</v>
      </c>
      <c r="L37" s="185" t="str">
        <f>VLOOKUP(A37,'Trips&amp;Operators'!$C$1:$G$99911,5,FALSE)</f>
        <v>YORK EDGAR</v>
      </c>
      <c r="M37" s="6">
        <f t="shared" si="1"/>
        <v>2.491898147854954E-2</v>
      </c>
      <c r="N37" s="7">
        <f t="shared" si="2"/>
        <v>35.883333329111338</v>
      </c>
      <c r="O37" s="7"/>
      <c r="P37" s="7"/>
      <c r="Q37" s="22"/>
      <c r="R37" s="174"/>
      <c r="S37" s="221">
        <f t="shared" si="3"/>
        <v>1</v>
      </c>
      <c r="T37" s="174" t="str">
        <f t="shared" si="4"/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 t="shared" si="5"/>
        <v>https://d0f6bd738d7f1b3e5a7ca70fe4ff75f0.us-east-1.aws.found.io/app/kibana#/discover/Steve-Slow-Train-Analysis-(2080s-and-2083s)?_g=(refreshInterval:(display:Off,pause:!f,section:0,value:0),time:(from:'2017-09-21T05:35:40-0600',mode:absolute,to:'2017-09-21T08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7" s="204" t="str">
        <f>IF(AA37&lt;VLOOKUP(AG37,Variables!$AC$3:$AD$8,2,FALSE),"Y","N")</f>
        <v>N</v>
      </c>
      <c r="X37" s="204">
        <f t="shared" si="6"/>
        <v>1</v>
      </c>
      <c r="Y37" s="204">
        <f t="shared" si="7"/>
        <v>4.5499999999999999E-2</v>
      </c>
      <c r="Z37" s="204">
        <f t="shared" si="8"/>
        <v>23.329699999999999</v>
      </c>
      <c r="AA37" s="204">
        <f t="shared" si="9"/>
        <v>23.284199999999998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 t="shared" si="10"/>
        <v>125</v>
      </c>
      <c r="AE37" s="77" t="str">
        <f t="shared" si="11"/>
        <v>aws s3 cp s3://rtdc.mdm.uploadarchive.raw/RTDC4056/ "%USERPROFILE%\AppData\Local\Temp\OnboardLogs"\RTDC4056\2017-09-21 --exclude "*" --recursive --include "*20170921*" &amp; "%USERPROFILE%\Documents\GitHub\mrs-test-scripts\Headless Mode &amp; Sideloading\WalkAndUnGZ.bat" "%USERPROFILE%\AppData\Local\Temp\OnboardLogs"\RTDC4056\2017-09-21 &amp; aws s3 cp s3://rtdc.mdm.uploadarchive.raw/RTDC4056/ "%USERPROFILE%\AppData\Local\Temp\OnboardLogs"\RTDC4056\2017-09-22 --exclude "*" --recursive --include "*20170922*" &amp; "%USERPROFILE%\Documents\GitHub\mrs-test-scripts\Headless Mode &amp; Sideloading\WalkAndUnGZ.bat" "%USERPROFILE%\AppData\Local\Temp\OnboardLogs"\RTDC4056\2017-09-22</v>
      </c>
      <c r="AF37" s="74" t="str">
        <f t="shared" si="12"/>
        <v>"C:\Program Files (x86)\AstroGrep\AstroGrep.exe" /e /r /s /spath="%USERPROFILE%\AppData\Local\Temp\OnboardLogs" /stypes="app*4056*20170921*" /stext=" 13:.+((SYSTEM_STATE.+slice.+state.+changed )|(ment ac)|(multiple cpu faults)|(system.+state.+changed )|(\[timeout)|(PRM\|1\|D)|(kpr)|(kdp)|(train st.+moving)|(\|lc)|(penalty))"</v>
      </c>
      <c r="AG37" s="182" t="str">
        <f t="shared" si="13"/>
        <v>EC</v>
      </c>
      <c r="AH37" s="78" t="str">
        <f t="shared" si="19"/>
        <v>"%USERPROFILE%\Documents\GitHub\eaglep3\Utilities\RefineRTDCRunTimes.py" --tripid 125-21 --locoid 4056 --swversion DE.1.0.9.0 --startMP 204:455 --initTime 2017-09-21T06:35:40 --startdatetime 2017-09-21T06:45:16 --delay 53 --endMP 204:233297 --enddatetime 2017-09-21T07:21:09 --enforcementcount 0 &gt;&gt;c:\users\stu\Documents\GitHub\eaglep3-reporting\EC\2017-09-21-refined-times.txt</v>
      </c>
      <c r="AI37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{"issue":{"subject":"","project_id":79,"tracker_id":40,"status_id":1,"priority_id":2,"assigned_to_id":338,"start_date":"2017-09-21","description":"","custom_fields":[{"id":1,"name":"Subdivision","value":"EC"},{"id":4,"name":"Milepost","value":"23.3297"},{"id":17,"name":"Train ID","value":"125-21"},{"id":16,"name":"Locomotive ID","value":"4056"},{"id":130,"name":"Impact","value":""},{"id":150,"name":"Time of Event (Mountain Time)","value":"07:21:09"},{"id":151,"name":"Denver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1"/>
        <v>start /low /b %USERPROFILE%\Documents\GitHub\eaglep3\Utilities\DownloadLogsFromS3.py --loco 4056 --day 2017-09-21</v>
      </c>
      <c r="AN37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13:21:09"},{"id":29,"name":"Sharepoint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23"/>
        <v>https://d0f6bd738d7f1b3e5a7ca70fe4ff75f0.us-east-1.aws.found.io/app/kibana#/discover/Steve-Slow-Train-Analysis-(2080s-and-2083s)?_g=(refreshInterval:(display:Off,pause:!f,section:0,value:0),time:(from:'2017-09-21T05:35:40-0600',mode:absolute,to:'2017-09-21T08:21:09-0600'))&amp;_a=(columns:!('Message%20ID',Summary),filters:!(),index:'emp_*',interval:auto,query:(query_string:(analyze_wildcard:!t,query:'Message%5C+ID:(*)+AND+%22rtdc.l.rtdc.4056%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660</v>
      </c>
      <c r="B38" s="7">
        <v>4055</v>
      </c>
      <c r="C38" s="21" t="s">
        <v>196</v>
      </c>
      <c r="D38" s="21" t="s">
        <v>838</v>
      </c>
      <c r="E38" s="13">
        <v>42999.307152777779</v>
      </c>
      <c r="F38" s="13">
        <v>42999.321180555555</v>
      </c>
      <c r="G38" s="7">
        <v>49</v>
      </c>
      <c r="H38" s="21" t="s">
        <v>339</v>
      </c>
      <c r="I38" s="13">
        <v>42999.346805555557</v>
      </c>
      <c r="J38" s="7">
        <v>0</v>
      </c>
      <c r="K38" s="89" t="str">
        <f t="shared" si="0"/>
        <v>4055/4056</v>
      </c>
      <c r="L38" s="185" t="str">
        <f>VLOOKUP(A38,'Trips&amp;Operators'!$C$1:$G$99911,5,FALSE)</f>
        <v>YORK EDGAR</v>
      </c>
      <c r="M38" s="6">
        <f t="shared" si="1"/>
        <v>2.5625000002037268E-2</v>
      </c>
      <c r="N38" s="7">
        <f t="shared" si="2"/>
        <v>36.900000002933666</v>
      </c>
      <c r="O38" s="7"/>
      <c r="P38" s="7"/>
      <c r="Q38" s="22"/>
      <c r="R38" s="174"/>
      <c r="S38" s="221">
        <f t="shared" si="3"/>
        <v>1</v>
      </c>
      <c r="T38" s="174" t="str">
        <f t="shared" si="4"/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 t="shared" si="5"/>
        <v>https://d0f6bd738d7f1b3e5a7ca70fe4ff75f0.us-east-1.aws.found.io/app/kibana#/discover/Steve-Slow-Train-Analysis-(2080s-and-2083s)?_g=(refreshInterval:(display:Off,pause:!f,section:0,value:0),time:(from:'2017-09-21T06:22:18-0600',mode:absolute,to:'2017-09-21T09:19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8" s="204" t="str">
        <f>IF(AA38&lt;VLOOKUP(AG38,Variables!$AC$3:$AD$8,2,FALSE),"Y","N")</f>
        <v>N</v>
      </c>
      <c r="X38" s="204">
        <f t="shared" si="6"/>
        <v>1</v>
      </c>
      <c r="Y38" s="204">
        <f t="shared" si="7"/>
        <v>23.297899999999998</v>
      </c>
      <c r="Z38" s="204">
        <f t="shared" si="8"/>
        <v>1.43E-2</v>
      </c>
      <c r="AA38" s="204">
        <f t="shared" si="9"/>
        <v>23.2836</v>
      </c>
      <c r="AB38" s="54" t="e">
        <f>VLOOKUP(A38,Enforcements!$C$7:$K$11,8,0)</f>
        <v>#N/A</v>
      </c>
      <c r="AC38" s="51" t="e">
        <f>VLOOKUP(A38,Enforcements!$C$7:$E$11,3,0)</f>
        <v>#N/A</v>
      </c>
      <c r="AD38" s="179">
        <f t="shared" si="10"/>
        <v>126</v>
      </c>
      <c r="AE38" s="77" t="str">
        <f t="shared" si="11"/>
        <v>aws s3 cp s3://rtdc.mdm.uploadarchive.raw/RTDC4055/ "%USERPROFILE%\AppData\Local\Temp\OnboardLogs"\RTDC4055\2017-09-21 --exclude "*" --recursive --include "*20170921*" &amp; "%USERPROFILE%\Documents\GitHub\mrs-test-scripts\Headless Mode &amp; Sideloading\WalkAndUnGZ.bat" "%USERPROFILE%\AppData\Local\Temp\OnboardLogs"\RTDC4055\2017-09-21 &amp; aws s3 cp s3://rtdc.mdm.uploadarchive.raw/RTDC4055/ "%USERPROFILE%\AppData\Local\Temp\OnboardLogs"\RTDC4055\2017-09-22 --exclude "*" --recursive --include "*20170922*" &amp; "%USERPROFILE%\Documents\GitHub\mrs-test-scripts\Headless Mode &amp; Sideloading\WalkAndUnGZ.bat" "%USERPROFILE%\AppData\Local\Temp\OnboardLogs"\RTDC4055\2017-09-22</v>
      </c>
      <c r="AF38" s="74" t="str">
        <f t="shared" si="12"/>
        <v>"C:\Program Files (x86)\AstroGrep\AstroGrep.exe" /e /r /s /spath="%USERPROFILE%\AppData\Local\Temp\OnboardLogs" /stypes="app*4055*20170921*" /stext=" 14:.+((SYSTEM_STATE.+slice.+state.+changed )|(ment ac)|(multiple cpu faults)|(system.+state.+changed )|(\[timeout)|(PRM\|1\|D)|(kpr)|(kdp)|(train st.+moving)|(\|lc)|(penalty))"</v>
      </c>
      <c r="AG38" s="182" t="str">
        <f t="shared" si="13"/>
        <v>EC</v>
      </c>
      <c r="AH38" s="78" t="str">
        <f t="shared" si="19"/>
        <v>"%USERPROFILE%\Documents\GitHub\eaglep3\Utilities\RefineRTDCRunTimes.py" --tripid 126-21 --locoid 4055 --swversion DE.1.0.9.0 --startMP 204:232979 --initTime 2017-09-21T07:22:18 --startdatetime 2017-09-21T07:42:30 --delay 49 --endMP 204:143 --enddatetime 2017-09-21T08:19:24 --enforcementcount 0 &gt;&gt;c:\users\stu\Documents\GitHub\eaglep3-reporting\EC\2017-09-21-refined-times.txt</v>
      </c>
      <c r="AI38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{"issue":{"subject":"","project_id":79,"tracker_id":40,"status_id":1,"priority_id":2,"assigned_to_id":338,"start_date":"2017-09-21","description":"","custom_fields":[{"id":1,"name":"Subdivision","value":"EC"},{"id":4,"name":"Milepost","value":"0.0143"},{"id":17,"name":"Train ID","value":"126-21"},{"id":16,"name":"Locomotive ID","value":"4055"},{"id":130,"name":"Impact","value":""},{"id":150,"name":"Time of Event (Mountain Time)","value":"08:19:24"},{"id":151,"name":"Denver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1"/>
        <v>start /low /b %USERPROFILE%\Documents\GitHub\eaglep3\Utilities\DownloadLogsFromS3.py --loco 4055 --day 2017-09-21</v>
      </c>
      <c r="AN38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14:19:24"},{"id":29,"name":"Sharepoint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23"/>
        <v>https://d0f6bd738d7f1b3e5a7ca70fe4ff75f0.us-east-1.aws.found.io/app/kibana#/discover/Steve-Slow-Train-Analysis-(2080s-and-2083s)?_g=(refreshInterval:(display:Off,pause:!f,section:0,value:0),time:(from:'2017-09-21T06:22:18-0600',mode:absolute,to:'2017-09-21T09:19:24-0600'))&amp;_a=(columns:!('Message%20ID',Summary),filters:!(),index:'emp_*',interval:auto,query:(query_string:(analyze_wildcard:!t,query:'Message%5C+ID:(*)+AND+%22rtdc.l.rtdc.4055%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656</v>
      </c>
      <c r="B39" s="7">
        <v>4010</v>
      </c>
      <c r="C39" s="21" t="s">
        <v>196</v>
      </c>
      <c r="D39" s="21" t="s">
        <v>377</v>
      </c>
      <c r="E39" s="13">
        <v>42999.286539351851</v>
      </c>
      <c r="F39" s="13">
        <v>42999.291909722226</v>
      </c>
      <c r="G39" s="7">
        <v>58</v>
      </c>
      <c r="H39" s="21" t="s">
        <v>445</v>
      </c>
      <c r="I39" s="13">
        <v>42999.315671296295</v>
      </c>
      <c r="J39" s="7">
        <v>0</v>
      </c>
      <c r="K39" s="89" t="str">
        <f t="shared" si="0"/>
        <v>4009/4010</v>
      </c>
      <c r="L39" s="185" t="str">
        <f>VLOOKUP(A39,'Trips&amp;Operators'!$C$1:$G$99911,5,FALSE)</f>
        <v>YANAI IAN</v>
      </c>
      <c r="M39" s="6">
        <f t="shared" si="1"/>
        <v>2.3761574069794733E-2</v>
      </c>
      <c r="N39" s="7">
        <f t="shared" si="2"/>
        <v>34.216666660504416</v>
      </c>
      <c r="O39" s="7"/>
      <c r="P39" s="7"/>
      <c r="Q39" s="22"/>
      <c r="R39" s="174"/>
      <c r="S39" s="221">
        <f t="shared" si="3"/>
        <v>1</v>
      </c>
      <c r="T39" s="174" t="str">
        <f t="shared" si="4"/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 t="shared" si="5"/>
        <v>https://d0f6bd738d7f1b3e5a7ca70fe4ff75f0.us-east-1.aws.found.io/app/kibana#/discover/Steve-Slow-Train-Analysis-(2080s-and-2083s)?_g=(refreshInterval:(display:Off,pause:!f,section:0,value:0),time:(from:'2017-09-21T05:52:37-0600',mode:absolute,to:'2017-09-21T08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9" s="204" t="str">
        <f>IF(AA39&lt;VLOOKUP(AG39,Variables!$AC$3:$AD$8,2,FALSE),"Y","N")</f>
        <v>N</v>
      </c>
      <c r="X39" s="204">
        <f t="shared" si="6"/>
        <v>1</v>
      </c>
      <c r="Y39" s="204">
        <f t="shared" si="7"/>
        <v>4.4200000000000003E-2</v>
      </c>
      <c r="Z39" s="204">
        <f t="shared" si="8"/>
        <v>23.332999999999998</v>
      </c>
      <c r="AA39" s="204">
        <f t="shared" si="9"/>
        <v>23.288799999999998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 t="shared" si="10"/>
        <v>127</v>
      </c>
      <c r="AE39" s="77" t="str">
        <f t="shared" si="11"/>
        <v>aws s3 cp s3://rtdc.mdm.uploadarchive.raw/RTDC4010/ "%USERPROFILE%\AppData\Local\Temp\OnboardLogs"\RTDC4010\2017-09-21 --exclude "*" --recursive --include "*20170921*" &amp; "%USERPROFILE%\Documents\GitHub\mrs-test-scripts\Headless Mode &amp; Sideloading\WalkAndUnGZ.bat" "%USERPROFILE%\AppData\Local\Temp\OnboardLogs"\RTDC4010\2017-09-21 &amp; aws s3 cp s3://rtdc.mdm.uploadarchive.raw/RTDC4010/ "%USERPROFILE%\AppData\Local\Temp\OnboardLogs"\RTDC4010\2017-09-22 --exclude "*" --recursive --include "*20170922*" &amp; "%USERPROFILE%\Documents\GitHub\mrs-test-scripts\Headless Mode &amp; Sideloading\WalkAndUnGZ.bat" "%USERPROFILE%\AppData\Local\Temp\OnboardLogs"\RTDC4010\2017-09-22</v>
      </c>
      <c r="AF39" s="74" t="str">
        <f t="shared" si="12"/>
        <v>"C:\Program Files (x86)\AstroGrep\AstroGrep.exe" /e /r /s /spath="%USERPROFILE%\AppData\Local\Temp\OnboardLogs" /stypes="app*4010*20170921*" /stext=" 13:.+((SYSTEM_STATE.+slice.+state.+changed )|(ment ac)|(multiple cpu faults)|(system.+state.+changed )|(\[timeout)|(PRM\|1\|D)|(kpr)|(kdp)|(train st.+moving)|(\|lc)|(penalty))"</v>
      </c>
      <c r="AG39" s="182" t="str">
        <f t="shared" si="13"/>
        <v>EC</v>
      </c>
      <c r="AH39" s="78" t="str">
        <f t="shared" si="19"/>
        <v>"%USERPROFILE%\Documents\GitHub\eaglep3\Utilities\RefineRTDCRunTimes.py" --tripid 127-21 --locoid 4010 --swversion DE.1.0.9.0 --startMP 204:442 --initTime 2017-09-21T06:52:37 --startdatetime 2017-09-21T07:00:21 --delay 58 --endMP 204:233330 --enddatetime 2017-09-21T07:34:34 --enforcementcount 0 &gt;&gt;c:\users\stu\Documents\GitHub\eaglep3-reporting\EC\2017-09-21-refined-times.txt</v>
      </c>
      <c r="AI39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{"issue":{"subject":"","project_id":79,"tracker_id":40,"status_id":1,"priority_id":2,"assigned_to_id":338,"start_date":"2017-09-21","description":"","custom_fields":[{"id":1,"name":"Subdivision","value":"EC"},{"id":4,"name":"Milepost","value":"23.333"},{"id":17,"name":"Train ID","value":"127-21"},{"id":16,"name":"Locomotive ID","value":"4010"},{"id":130,"name":"Impact","value":""},{"id":150,"name":"Time of Event (Mountain Time)","value":"07:34:34"},{"id":151,"name":"Denver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1"/>
        <v>start /low /b %USERPROFILE%\Documents\GitHub\eaglep3\Utilities\DownloadLogsFromS3.py --loco 4010 --day 2017-09-21</v>
      </c>
      <c r="AN39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13:34:34"},{"id":29,"name":"Sharepoint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23"/>
        <v>https://d0f6bd738d7f1b3e5a7ca70fe4ff75f0.us-east-1.aws.found.io/app/kibana#/discover/Steve-Slow-Train-Analysis-(2080s-and-2083s)?_g=(refreshInterval:(display:Off,pause:!f,section:0,value:0),time:(from:'2017-09-21T05:52:37-0600',mode:absolute,to:'2017-09-21T08:34:34-0600'))&amp;_a=(columns:!('Message%20ID',Summary),filters:!(),index:'emp_*',interval:auto,query:(query_string:(analyze_wildcard:!t,query:'Message%5C+ID:(*)+AND+%22rtdc.l.rtdc.4010%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594</v>
      </c>
      <c r="B40" s="7">
        <v>4009</v>
      </c>
      <c r="C40" s="21" t="s">
        <v>994</v>
      </c>
      <c r="D40" s="21" t="s">
        <v>995</v>
      </c>
      <c r="E40" s="13">
        <v>42999.286539351851</v>
      </c>
      <c r="F40" s="13">
        <v>42999.331423611111</v>
      </c>
      <c r="G40" s="7">
        <v>59</v>
      </c>
      <c r="H40" s="21" t="s">
        <v>996</v>
      </c>
      <c r="I40" s="13">
        <v>42999.357499999998</v>
      </c>
      <c r="J40" s="7">
        <v>1</v>
      </c>
      <c r="K40" s="89" t="str">
        <f t="shared" ref="K40" si="24">IF(ISEVEN(B40),(B40-1)&amp;"/"&amp;B40,B40&amp;"/"&amp;(B40+1))</f>
        <v>4009/4010</v>
      </c>
      <c r="L40" s="185" t="str">
        <f>VLOOKUP(A40,'Trips&amp;Operators'!$C$1:$G$99911,5,FALSE)</f>
        <v>YANAI IAN</v>
      </c>
      <c r="M40" s="6">
        <f t="shared" ref="M40" si="25">I40-F40</f>
        <v>2.6076388887304347E-2</v>
      </c>
      <c r="N40" s="7">
        <f t="shared" si="2"/>
        <v>37.54999999771826</v>
      </c>
      <c r="O40" s="7"/>
      <c r="P40" s="7"/>
      <c r="Q40" s="22"/>
      <c r="R40" s="174"/>
      <c r="S40" s="221">
        <f t="shared" ref="S40" si="26">1/IF(AG40="EC",12,1)*SUM(U40:U40)</f>
        <v>1</v>
      </c>
      <c r="T40" s="174" t="str">
        <f t="shared" ref="T40" si="27">IF(ISEVEN(LEFT(AD40,4)),"Southbound","NorthBound")</f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 t="shared" ref="V40" si="28"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-09-21T05:52:37-0600',mode:absolute,to:'2017-09-21T09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0" s="204" t="str">
        <f>IF(AA40&lt;VLOOKUP(AG40,Variables!$AC$3:$AD$8,2,FALSE),"Y","N")</f>
        <v>N</v>
      </c>
      <c r="X40" s="204">
        <f t="shared" ref="X40:X41" si="29">VALUE(LEFT(AD40,4))-VALUE(LEFT(AD39,4))</f>
        <v>1</v>
      </c>
      <c r="Y40" s="204">
        <v>23.297899999999998</v>
      </c>
      <c r="Z40" s="204">
        <v>1.43E-2</v>
      </c>
      <c r="AA40" s="204">
        <f t="shared" ref="AA40" si="30">ABS(Z40-Y40)</f>
        <v>23.2836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 t="shared" ref="AD40" si="31">VALUE(LEFT(A40,LEN(A40)-3))</f>
        <v>128</v>
      </c>
      <c r="AE40" s="77" t="str">
        <f t="shared" ref="AE40" si="32"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s3://rtdc.mdm.uploadarchive.raw/RTDC4009/ "%USERPROFILE%\AppData\Local\Temp\OnboardLogs"\RTDC4009\2017-09-21 --exclude "*" --recursive --include "*20170921*" &amp; "%USERPROFILE%\Documents\GitHub\mrs-test-scripts\Headless Mode &amp; Sideloading\WalkAndUnGZ.bat" "%USERPROFILE%\AppData\Local\Temp\OnboardLogs"\RTDC4009\2017-09-21 &amp; aws s3 cp s3://rtdc.mdm.uploadarchive.raw/RTDC4009/ "%USERPROFILE%\AppData\Local\Temp\OnboardLogs"\RTDC4009\2017-09-22 --exclude "*" --recursive --include "*20170922*" &amp; "%USERPROFILE%\Documents\GitHub\mrs-test-scripts\Headless Mode &amp; Sideloading\WalkAndUnGZ.bat" "%USERPROFILE%\AppData\Local\Temp\OnboardLogs"\RTDC4009\2017-09-22</v>
      </c>
      <c r="AF40" s="74" t="str">
        <f t="shared" ref="AF40" si="33"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/stypes="app*4009*20170921*" /stext=" 14:.+((SYSTEM_STATE.+slice.+state.+changed )|(ment ac)|(multiple cpu faults)|(system.+state.+changed )|(\[timeout)|(PRM\|1\|D)|(kpr)|(kdp)|(train st.+moving)|(\|lc)|(penalty))"</v>
      </c>
      <c r="AG40" s="182" t="str">
        <f t="shared" ref="AG40" si="34">DetSubdiv(A40)</f>
        <v>EC</v>
      </c>
      <c r="AH40" s="78" t="str">
        <f t="shared" ref="AH40" si="35">refinertdcruntimes&amp;" --tripid "&amp;A40&amp;" --locoid "&amp;B40&amp;" --swversion "&amp;C40&amp;" --startMP "&amp;D40&amp;" --initTime "&amp;TEXT(E40,"yyyy-mm-ddTHH:MM:SS")&amp;" --startdatetime "&amp;TEXT(F40,"yyyy-mm-ddTHH:MM:SS")&amp;" --delay "&amp;G40&amp;" --endMP "&amp;H40&amp;" --enddatetime "&amp;TEXT(I40,"yyyy-mm-ddTHH:MM:SS")&amp;" --enforcementcount "&amp;J40&amp;IF(outputrefinedruntimes," &gt;&gt;"&amp;RefinedRTDCRunTimesOutputFile,"")</f>
        <v>"%USERPROFILE%\Documents\GitHub\eaglep3\Utilities\RefineRTDCRunTimes.py" --tripid 128-21 --locoid 4009 --swversion DE.1.0.9.1 --startMP 204:443 --initTime 2017-09-21T06:52:37 --startdatetime 2017-09-21T07:57:15 --delay 59 --endMP 204:233331 --enddatetime 2017-09-21T08:34:48 --enforcementcount 1 &gt;&gt;c:\users\stu\Documents\GitHub\eaglep3-reporting\EC\2017-09-21-refined-times.txt</v>
      </c>
      <c r="AI40" s="96" t="str">
        <f t="shared" ref="AI40" si="36">"echo {""issue"":{""subject"":"""&amp;R40&amp;""",""project_id"":79,""tracker_id"":40,""status_id"":"&amp;redmine_status&amp;",""priority_id"":"&amp;redmine_priority&amp;",""assigned_to_id"":"&amp;redmine_assignee&amp;",""start_date"":"""&amp;TEXT(I40,"YYYY-mm-dd")&amp;""",""description"":"""&amp;AJ40&amp;""",""custom_fields"":[{""id"":1,""name"":""Subdivision"",""value"":"""&amp;AG40&amp;"""},{""id"":4,""name"":""Milepost"",""value"":"""&amp;Z40&amp;"""},{""id"":17,""name"":""Train ID"",""value"":"""&amp;A40&amp;"""},{""id"":16,""name"":""Locomotive ID"",""value"":"""&amp;B40&amp;"""},{""id"":130,""name"":""Impact"",""value"":"""&amp;AK40&amp;"""},{""id"":150,""name"":""Time of Event (Mountain Time)"",""value"":"""&amp;TEXT(I40,"hh:mm:ss")&amp;"""},{""id"":151,""name"":""Denver Issue ID"",""value"":"""&amp;"""},{""id"":178,""name"":""Operational Impact"",""value"":"""&amp;redmine_op_impact&amp;"""},{""id"":179,""name"":""Denver Segment Assigned"",""value"":"""&amp;AL40&amp;"""}]}}"&amp;"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{"issue":{"subject":"","project_id":79,"tracker_id":40,"status_id":1,"priority_id":2,"assigned_to_id":338,"start_date":"2017-09-21","description":"","custom_fields":[{"id":1,"name":"Subdivision","value":"EC"},{"id":4,"name":"Milepost","value":"0.0143"},{"id":17,"name":"Train ID","value":"128-21"},{"id":16,"name":"Locomotive ID","value":"4009"},{"id":130,"name":"Impact","value":""},{"id":150,"name":"Time of Event (Mountain Time)","value":"08:34:48"},{"id":151,"name":"Denver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ref="AM40" si="37">"start /low /b "&amp;dls3logs&amp;" --loco "&amp;B40&amp;" --day "&amp;TEXT(F40,"YYYY-MM-DD")</f>
        <v>start /low /b %USERPROFILE%\Documents\GitHub\eaglep3\Utilities\DownloadLogsFromS3.py --loco 4009 --day 2017-09-21</v>
      </c>
      <c r="AN40" s="151" t="str">
        <f t="shared" ref="AN40" si="38">"echo {""issue"":{""subject"":"""&amp;R40&amp;""",""project_id"":30,""tracker_id"":4,""status_id"":"&amp;redmine_status_wcr&amp;",""priority_id"":"&amp;redmine_priority_wcr&amp;",""assigned_to_id"":"&amp;redmine_assignee_wcr&amp;",""start_date"":"""&amp;TEXT(I40-utc_offset/24,"YYYY-mm-dd")&amp;""",""description"":"""&amp;AJ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14:34:48"},{"id":29,"name":"Sharepoint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ref="AO40" si="39"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Message%20ID',Summary),filters:!(),index:'emp_*',interval:auto,query:"&amp;"(query_string:(analyze_wildcard:!t,query:'Message%5C+ID:(*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-09-21T05:52:37-0600',mode:absolute,to:'2017-09-21T09:34:48-0600'))&amp;_a=(columns:!('Message%20ID',Summary),filters:!(),index:'emp_*',interval:auto,query:(query_string:(analyze_wildcard:!t,query:'Message%5C+ID:(*)+AND+%22rtdc.l.rtdc.4009%22')),sort:!(Time.ISO8601,asc))</v>
      </c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  <c r="BO40" s="20"/>
      <c r="BP40" s="20"/>
      <c r="BQ40" s="20"/>
      <c r="BR40" s="20"/>
      <c r="BS40" s="20"/>
      <c r="BT40" s="20"/>
      <c r="BU40" s="20"/>
      <c r="BV40" s="20"/>
      <c r="BW40" s="20"/>
      <c r="BX40" s="20"/>
      <c r="BY40" s="20"/>
      <c r="BZ40" s="20"/>
      <c r="CA40" s="20"/>
      <c r="CB40" s="20"/>
      <c r="CC40" s="20"/>
      <c r="CD40" s="20"/>
      <c r="CE40" s="20"/>
      <c r="CF40" s="20"/>
      <c r="CG40" s="20"/>
      <c r="CH40" s="20"/>
      <c r="CI40" s="20"/>
      <c r="CJ40" s="20"/>
      <c r="CK40" s="20"/>
      <c r="CL40" s="20"/>
      <c r="CM40" s="20"/>
    </row>
    <row r="41" spans="1:91" s="1" customFormat="1" x14ac:dyDescent="0.25">
      <c r="A41" s="32" t="s">
        <v>658</v>
      </c>
      <c r="B41" s="7">
        <v>4030</v>
      </c>
      <c r="C41" s="21" t="s">
        <v>196</v>
      </c>
      <c r="D41" s="21" t="s">
        <v>412</v>
      </c>
      <c r="E41" s="13">
        <v>42999.298437500001</v>
      </c>
      <c r="F41" s="13">
        <v>42999.302569444444</v>
      </c>
      <c r="G41" s="7">
        <v>68</v>
      </c>
      <c r="H41" s="21" t="s">
        <v>441</v>
      </c>
      <c r="I41" s="13">
        <v>42999.327627314815</v>
      </c>
      <c r="J41" s="7">
        <v>0</v>
      </c>
      <c r="K41" s="89" t="str">
        <f t="shared" si="0"/>
        <v>4029/4030</v>
      </c>
      <c r="L41" s="185" t="str">
        <f>VLOOKUP(A41,'Trips&amp;Operators'!$C$1:$G$99911,5,FALSE)</f>
        <v>STARKS ANGELINA</v>
      </c>
      <c r="M41" s="6">
        <f t="shared" si="1"/>
        <v>2.5057870370801538E-2</v>
      </c>
      <c r="N41" s="7">
        <f t="shared" si="2"/>
        <v>36.083333333954215</v>
      </c>
      <c r="O41" s="7"/>
      <c r="P41" s="7"/>
      <c r="Q41" s="22"/>
      <c r="R41" s="174"/>
      <c r="S41" s="221">
        <f t="shared" si="3"/>
        <v>1</v>
      </c>
      <c r="T41" s="174" t="str">
        <f t="shared" si="4"/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 t="shared" si="5"/>
        <v>https://d0f6bd738d7f1b3e5a7ca70fe4ff75f0.us-east-1.aws.found.io/app/kibana#/discover/Steve-Slow-Train-Analysis-(2080s-and-2083s)?_g=(refreshInterval:(display:Off,pause:!f,section:0,value:0),time:(from:'2017-09-21T06:09:45-0600',mode:absolute,to:'2017-09-21T08:51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1" s="204" t="str">
        <f>IF(AA41&lt;VLOOKUP(AG41,Variables!$AC$3:$AD$8,2,FALSE),"Y","N")</f>
        <v>N</v>
      </c>
      <c r="X41" s="204">
        <f t="shared" si="29"/>
        <v>1</v>
      </c>
      <c r="Y41" s="204">
        <f t="shared" si="7"/>
        <v>4.6600000000000003E-2</v>
      </c>
      <c r="Z41" s="204">
        <f t="shared" si="8"/>
        <v>23.331</v>
      </c>
      <c r="AA41" s="204">
        <f t="shared" si="9"/>
        <v>23.284399999999998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 t="shared" si="10"/>
        <v>129</v>
      </c>
      <c r="AE41" s="77" t="str">
        <f t="shared" si="11"/>
        <v>aws s3 cp s3://rtdc.mdm.uploadarchive.raw/RTDC4030/ "%USERPROFILE%\AppData\Local\Temp\OnboardLogs"\RTDC4030\2017-09-21 --exclude "*" --recursive --include "*20170921*" &amp; "%USERPROFILE%\Documents\GitHub\mrs-test-scripts\Headless Mode &amp; Sideloading\WalkAndUnGZ.bat" "%USERPROFILE%\AppData\Local\Temp\OnboardLogs"\RTDC4030\2017-09-21 &amp; aws s3 cp s3://rtdc.mdm.uploadarchive.raw/RTDC4030/ "%USERPROFILE%\AppData\Local\Temp\OnboardLogs"\RTDC4030\2017-09-22 --exclude "*" --recursive --include "*20170922*" &amp; "%USERPROFILE%\Documents\GitHub\mrs-test-scripts\Headless Mode &amp; Sideloading\WalkAndUnGZ.bat" "%USERPROFILE%\AppData\Local\Temp\OnboardLogs"\RTDC4030\2017-09-22</v>
      </c>
      <c r="AF41" s="74" t="str">
        <f t="shared" si="12"/>
        <v>"C:\Program Files (x86)\AstroGrep\AstroGrep.exe" /e /r /s /spath="%USERPROFILE%\AppData\Local\Temp\OnboardLogs" /stypes="app*4030*20170921*" /stext=" 13:.+((SYSTEM_STATE.+slice.+state.+changed )|(ment ac)|(multiple cpu faults)|(system.+state.+changed )|(\[timeout)|(PRM\|1\|D)|(kpr)|(kdp)|(train st.+moving)|(\|lc)|(penalty))"</v>
      </c>
      <c r="AG41" s="182" t="str">
        <f t="shared" si="13"/>
        <v>EC</v>
      </c>
      <c r="AH41" s="78" t="str">
        <f t="shared" si="19"/>
        <v>"%USERPROFILE%\Documents\GitHub\eaglep3\Utilities\RefineRTDCRunTimes.py" --tripid 129-21 --locoid 4030 --swversion DE.1.0.9.0 --startMP 204:466 --initTime 2017-09-21T07:09:45 --startdatetime 2017-09-21T07:15:42 --delay 68 --endMP 204:233310 --enddatetime 2017-09-21T07:51:47 --enforcementcount 0 &gt;&gt;c:\users\stu\Documents\GitHub\eaglep3-reporting\EC\2017-09-21-refined-times.txt</v>
      </c>
      <c r="AI41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{"issue":{"subject":"","project_id":79,"tracker_id":40,"status_id":1,"priority_id":2,"assigned_to_id":338,"start_date":"2017-09-21","description":"","custom_fields":[{"id":1,"name":"Subdivision","value":"EC"},{"id":4,"name":"Milepost","value":"23.331"},{"id":17,"name":"Train ID","value":"129-21"},{"id":16,"name":"Locomotive ID","value":"4030"},{"id":130,"name":"Impact","value":""},{"id":150,"name":"Time of Event (Mountain Time)","value":"07:51:47"},{"id":151,"name":"Denver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1"/>
        <v>start /low /b %USERPROFILE%\Documents\GitHub\eaglep3\Utilities\DownloadLogsFromS3.py --loco 4030 --day 2017-09-21</v>
      </c>
      <c r="AN41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13:51:47"},{"id":29,"name":"Sharepoint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23"/>
        <v>https://d0f6bd738d7f1b3e5a7ca70fe4ff75f0.us-east-1.aws.found.io/app/kibana#/discover/Steve-Slow-Train-Analysis-(2080s-and-2083s)?_g=(refreshInterval:(display:Off,pause:!f,section:0,value:0),time:(from:'2017-09-21T06:09:45-0600',mode:absolute,to:'2017-09-21T08:51:47-0600'))&amp;_a=(columns:!('Message%20ID',Summary),filters:!(),index:'emp_*',interval:auto,query:(query_string:(analyze_wildcard:!t,query:'Message%5C+ID:(*)+AND+%22rtdc.l.rtdc.4030%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667</v>
      </c>
      <c r="B42" s="7">
        <v>4029</v>
      </c>
      <c r="C42" s="21" t="s">
        <v>196</v>
      </c>
      <c r="D42" s="21" t="s">
        <v>849</v>
      </c>
      <c r="E42" s="13">
        <v>42999.333807870367</v>
      </c>
      <c r="F42" s="13">
        <v>42999.341840277775</v>
      </c>
      <c r="G42" s="7">
        <v>60</v>
      </c>
      <c r="H42" s="21" t="s">
        <v>342</v>
      </c>
      <c r="I42" s="13">
        <v>42999.368969907409</v>
      </c>
      <c r="J42" s="7">
        <v>0</v>
      </c>
      <c r="K42" s="89" t="str">
        <f t="shared" si="0"/>
        <v>4029/4030</v>
      </c>
      <c r="L42" s="185" t="str">
        <f>VLOOKUP(A42,'Trips&amp;Operators'!$C$1:$G$99911,5,FALSE)</f>
        <v>STARKS ANGELINA</v>
      </c>
      <c r="M42" s="6">
        <f t="shared" si="1"/>
        <v>2.7129629634146113E-2</v>
      </c>
      <c r="N42" s="7">
        <f t="shared" si="2"/>
        <v>39.066666673170403</v>
      </c>
      <c r="O42" s="7"/>
      <c r="P42" s="7"/>
      <c r="Q42" s="22"/>
      <c r="R42" s="174"/>
      <c r="S42" s="221">
        <f t="shared" si="3"/>
        <v>1</v>
      </c>
      <c r="T42" s="174" t="str">
        <f t="shared" si="4"/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 t="shared" si="5"/>
        <v>https://d0f6bd738d7f1b3e5a7ca70fe4ff75f0.us-east-1.aws.found.io/app/kibana#/discover/Steve-Slow-Train-Analysis-(2080s-and-2083s)?_g=(refreshInterval:(display:Off,pause:!f,section:0,value:0),time:(from:'2017-09-21T07:00:41-0600',mode:absolute,to:'2017-09-21T09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2" s="204" t="str">
        <f>IF(AA42&lt;VLOOKUP(AG42,Variables!$AC$3:$AD$8,2,FALSE),"Y","N")</f>
        <v>N</v>
      </c>
      <c r="X42" s="204">
        <f t="shared" si="6"/>
        <v>1</v>
      </c>
      <c r="Y42" s="204">
        <f t="shared" si="7"/>
        <v>23.2972</v>
      </c>
      <c r="Z42" s="204">
        <f t="shared" si="8"/>
        <v>1.47E-2</v>
      </c>
      <c r="AA42" s="204">
        <f t="shared" si="9"/>
        <v>23.282499999999999</v>
      </c>
      <c r="AB42" s="54" t="e">
        <f>VLOOKUP(A42,Enforcements!$C$7:$K$11,8,0)</f>
        <v>#N/A</v>
      </c>
      <c r="AC42" s="51" t="e">
        <f>VLOOKUP(A42,Enforcements!$C$7:$E$11,3,0)</f>
        <v>#N/A</v>
      </c>
      <c r="AD42" s="179">
        <f t="shared" si="10"/>
        <v>130</v>
      </c>
      <c r="AE42" s="77" t="str">
        <f t="shared" si="11"/>
        <v>aws s3 cp s3://rtdc.mdm.uploadarchive.raw/RTDC4029/ "%USERPROFILE%\AppData\Local\Temp\OnboardLogs"\RTDC4029\2017-09-21 --exclude "*" --recursive --include "*20170921*" &amp; "%USERPROFILE%\Documents\GitHub\mrs-test-scripts\Headless Mode &amp; Sideloading\WalkAndUnGZ.bat" "%USERPROFILE%\AppData\Local\Temp\OnboardLogs"\RTDC4029\2017-09-21 &amp; aws s3 cp s3://rtdc.mdm.uploadarchive.raw/RTDC4029/ "%USERPROFILE%\AppData\Local\Temp\OnboardLogs"\RTDC4029\2017-09-22 --exclude "*" --recursive --include "*20170922*" &amp; "%USERPROFILE%\Documents\GitHub\mrs-test-scripts\Headless Mode &amp; Sideloading\WalkAndUnGZ.bat" "%USERPROFILE%\AppData\Local\Temp\OnboardLogs"\RTDC4029\2017-09-22</v>
      </c>
      <c r="AF42" s="74" t="str">
        <f t="shared" si="12"/>
        <v>"C:\Program Files (x86)\AstroGrep\AstroGrep.exe" /e /r /s /spath="%USERPROFILE%\AppData\Local\Temp\OnboardLogs" /stypes="app*4029*20170921*" /stext=" 14:.+((SYSTEM_STATE.+slice.+state.+changed )|(ment ac)|(multiple cpu faults)|(system.+state.+changed )|(\[timeout)|(PRM\|1\|D)|(kpr)|(kdp)|(train st.+moving)|(\|lc)|(penalty))"</v>
      </c>
      <c r="AG42" s="182" t="str">
        <f t="shared" si="13"/>
        <v>EC</v>
      </c>
      <c r="AH42" s="78" t="str">
        <f t="shared" si="19"/>
        <v>"%USERPROFILE%\Documents\GitHub\eaglep3\Utilities\RefineRTDCRunTimes.py" --tripid 130-21 --locoid 4029 --swversion DE.1.0.9.0 --startMP 204:232972 --initTime 2017-09-21T08:00:41 --startdatetime 2017-09-21T08:12:15 --delay 60 --endMP 204:147 --enddatetime 2017-09-21T08:51:19 --enforcementcount 0 &gt;&gt;c:\users\stu\Documents\GitHub\eaglep3-reporting\EC\2017-09-21-refined-times.txt</v>
      </c>
      <c r="AI42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{"issue":{"subject":"","project_id":79,"tracker_id":40,"status_id":1,"priority_id":2,"assigned_to_id":338,"start_date":"2017-09-21","description":"","custom_fields":[{"id":1,"name":"Subdivision","value":"EC"},{"id":4,"name":"Milepost","value":"0.0147"},{"id":17,"name":"Train ID","value":"130-21"},{"id":16,"name":"Locomotive ID","value":"4029"},{"id":130,"name":"Impact","value":""},{"id":150,"name":"Time of Event (Mountain Time)","value":"08:51:19"},{"id":151,"name":"Denver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1"/>
        <v>start /low /b %USERPROFILE%\Documents\GitHub\eaglep3\Utilities\DownloadLogsFromS3.py --loco 4029 --day 2017-09-21</v>
      </c>
      <c r="AN42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14:51:19"},{"id":29,"name":"Sharepoint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23"/>
        <v>https://d0f6bd738d7f1b3e5a7ca70fe4ff75f0.us-east-1.aws.found.io/app/kibana#/discover/Steve-Slow-Train-Analysis-(2080s-and-2083s)?_g=(refreshInterval:(display:Off,pause:!f,section:0,value:0),time:(from:'2017-09-21T07:00:41-0600',mode:absolute,to:'2017-09-21T09:51:19-0600'))&amp;_a=(columns:!('Message%20ID',Summary),filters:!(),index:'emp_*',interval:auto,query:(query_string:(analyze_wildcard:!t,query:'Message%5C+ID:(*)+AND+%22rtdc.l.rtdc.4029%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661</v>
      </c>
      <c r="B43" s="7">
        <v>4052</v>
      </c>
      <c r="C43" s="21" t="s">
        <v>196</v>
      </c>
      <c r="D43" s="21" t="s">
        <v>336</v>
      </c>
      <c r="E43" s="13">
        <v>42999.308310185188</v>
      </c>
      <c r="F43" s="13">
        <v>42999.312696759262</v>
      </c>
      <c r="G43" s="7">
        <v>81</v>
      </c>
      <c r="H43" s="21" t="s">
        <v>424</v>
      </c>
      <c r="I43" s="13">
        <v>42999.336886574078</v>
      </c>
      <c r="J43" s="7">
        <v>0</v>
      </c>
      <c r="K43" s="89" t="str">
        <f t="shared" si="0"/>
        <v>4051/4052</v>
      </c>
      <c r="L43" s="185" t="str">
        <f>VLOOKUP(A43,'Trips&amp;Operators'!$C$1:$G$99911,5,FALSE)</f>
        <v>YANG JAN</v>
      </c>
      <c r="M43" s="6">
        <f t="shared" si="1"/>
        <v>2.4189814816054422E-2</v>
      </c>
      <c r="N43" s="7">
        <f t="shared" si="2"/>
        <v>34.833333335118368</v>
      </c>
      <c r="O43" s="7"/>
      <c r="P43" s="7"/>
      <c r="Q43" s="22"/>
      <c r="R43" s="174"/>
      <c r="S43" s="221">
        <f t="shared" si="3"/>
        <v>1</v>
      </c>
      <c r="T43" s="174" t="str">
        <f t="shared" si="4"/>
        <v>NorthBound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 t="shared" si="5"/>
        <v>https://d0f6bd738d7f1b3e5a7ca70fe4ff75f0.us-east-1.aws.found.io/app/kibana#/discover/Steve-Slow-Train-Analysis-(2080s-and-2083s)?_g=(refreshInterval:(display:Off,pause:!f,section:0,value:0),time:(from:'2017-09-21T06:23:58-0600',mode:absolute,to:'2017-09-21T09:05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3" s="204" t="str">
        <f>IF(AA43&lt;VLOOKUP(AG43,Variables!$AC$3:$AD$8,2,FALSE),"Y","N")</f>
        <v>N</v>
      </c>
      <c r="X43" s="204">
        <f t="shared" si="6"/>
        <v>1</v>
      </c>
      <c r="Y43" s="204">
        <f t="shared" si="7"/>
        <v>4.4600000000000001E-2</v>
      </c>
      <c r="Z43" s="204">
        <f t="shared" si="8"/>
        <v>23.329899999999999</v>
      </c>
      <c r="AA43" s="204">
        <f t="shared" si="9"/>
        <v>23.285299999999999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 t="shared" si="10"/>
        <v>131</v>
      </c>
      <c r="AE43" s="77" t="str">
        <f t="shared" si="11"/>
        <v>aws s3 cp s3://rtdc.mdm.uploadarchive.raw/RTDC4052/ "%USERPROFILE%\AppData\Local\Temp\OnboardLogs"\RTDC4052\2017-09-21 --exclude "*" --recursive --include "*20170921*" &amp; "%USERPROFILE%\Documents\GitHub\mrs-test-scripts\Headless Mode &amp; Sideloading\WalkAndUnGZ.bat" "%USERPROFILE%\AppData\Local\Temp\OnboardLogs"\RTDC4052\2017-09-21 &amp; aws s3 cp s3://rtdc.mdm.uploadarchive.raw/RTDC4052/ "%USERPROFILE%\AppData\Local\Temp\OnboardLogs"\RTDC4052\2017-09-22 --exclude "*" --recursive --include "*20170922*" &amp; "%USERPROFILE%\Documents\GitHub\mrs-test-scripts\Headless Mode &amp; Sideloading\WalkAndUnGZ.bat" "%USERPROFILE%\AppData\Local\Temp\OnboardLogs"\RTDC4052\2017-09-22</v>
      </c>
      <c r="AF43" s="74" t="str">
        <f t="shared" si="12"/>
        <v>"C:\Program Files (x86)\AstroGrep\AstroGrep.exe" /e /r /s /spath="%USERPROFILE%\AppData\Local\Temp\OnboardLogs" /stypes="app*4052*20170921*" /stext=" 14:.+((SYSTEM_STATE.+slice.+state.+changed )|(ment ac)|(multiple cpu faults)|(system.+state.+changed )|(\[timeout)|(PRM\|1\|D)|(kpr)|(kdp)|(train st.+moving)|(\|lc)|(penalty))"</v>
      </c>
      <c r="AG43" s="182" t="str">
        <f t="shared" si="13"/>
        <v>EC</v>
      </c>
      <c r="AH43" s="78" t="str">
        <f t="shared" si="19"/>
        <v>"%USERPROFILE%\Documents\GitHub\eaglep3\Utilities\RefineRTDCRunTimes.py" --tripid 131-21 --locoid 4052 --swversion DE.1.0.9.0 --startMP 204:446 --initTime 2017-09-21T07:23:58 --startdatetime 2017-09-21T07:30:17 --delay 81 --endMP 204:233299 --enddatetime 2017-09-21T08:05:07 --enforcementcount 0 &gt;&gt;c:\users\stu\Documents\GitHub\eaglep3-reporting\EC\2017-09-21-refined-times.txt</v>
      </c>
      <c r="AI43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{"issue":{"subject":"","project_id":79,"tracker_id":40,"status_id":1,"priority_id":2,"assigned_to_id":338,"start_date":"2017-09-21","description":"","custom_fields":[{"id":1,"name":"Subdivision","value":"EC"},{"id":4,"name":"Milepost","value":"23.3299"},{"id":17,"name":"Train ID","value":"131-21"},{"id":16,"name":"Locomotive ID","value":"4052"},{"id":130,"name":"Impact","value":""},{"id":150,"name":"Time of Event (Mountain Time)","value":"08:05:07"},{"id":151,"name":"Denver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1"/>
        <v>start /low /b %USERPROFILE%\Documents\GitHub\eaglep3\Utilities\DownloadLogsFromS3.py --loco 4052 --day 2017-09-21</v>
      </c>
      <c r="AN43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14:05:07"},{"id":29,"name":"Sharepoint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23"/>
        <v>https://d0f6bd738d7f1b3e5a7ca70fe4ff75f0.us-east-1.aws.found.io/app/kibana#/discover/Steve-Slow-Train-Analysis-(2080s-and-2083s)?_g=(refreshInterval:(display:Off,pause:!f,section:0,value:0),time:(from:'2017-09-21T06:23:58-0600',mode:absolute,to:'2017-09-21T09:05:07-0600'))&amp;_a=(columns:!('Message%20ID',Summary),filters:!(),index:'emp_*',interval:auto,query:(query_string:(analyze_wildcard:!t,query:'Message%5C+ID:(*)+AND+%22rtdc.l.rtdc.4052%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669</v>
      </c>
      <c r="B44" s="7">
        <v>4051</v>
      </c>
      <c r="C44" s="21" t="s">
        <v>196</v>
      </c>
      <c r="D44" s="21" t="s">
        <v>850</v>
      </c>
      <c r="E44" s="13">
        <v>42999.347175925926</v>
      </c>
      <c r="F44" s="13">
        <v>42999.35255787037</v>
      </c>
      <c r="G44" s="7">
        <v>85</v>
      </c>
      <c r="H44" s="21" t="s">
        <v>339</v>
      </c>
      <c r="I44" s="13">
        <v>42999.378541666665</v>
      </c>
      <c r="J44" s="7">
        <v>0</v>
      </c>
      <c r="K44" s="89" t="str">
        <f t="shared" si="0"/>
        <v>4051/4052</v>
      </c>
      <c r="L44" s="185" t="str">
        <f>VLOOKUP(A44,'Trips&amp;Operators'!$C$1:$G$99911,5,FALSE)</f>
        <v>YANG JAN</v>
      </c>
      <c r="M44" s="6">
        <f t="shared" si="1"/>
        <v>2.5983796294895001E-2</v>
      </c>
      <c r="N44" s="7">
        <f t="shared" si="2"/>
        <v>37.416666664648801</v>
      </c>
      <c r="O44" s="7"/>
      <c r="P44" s="7"/>
      <c r="Q44" s="22"/>
      <c r="R44" s="174"/>
      <c r="S44" s="221">
        <f t="shared" si="3"/>
        <v>1</v>
      </c>
      <c r="T44" s="174" t="str">
        <f t="shared" si="4"/>
        <v>Southbound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 t="shared" si="5"/>
        <v>https://d0f6bd738d7f1b3e5a7ca70fe4ff75f0.us-east-1.aws.found.io/app/kibana#/discover/Steve-Slow-Train-Analysis-(2080s-and-2083s)?_g=(refreshInterval:(display:Off,pause:!f,section:0,value:0),time:(from:'2017-09-21T07:19:56-0600',mode:absolute,to:'2017-09-21T10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4" s="204" t="str">
        <f>IF(AA44&lt;VLOOKUP(AG44,Variables!$AC$3:$AD$8,2,FALSE),"Y","N")</f>
        <v>N</v>
      </c>
      <c r="X44" s="204">
        <f t="shared" si="6"/>
        <v>1</v>
      </c>
      <c r="Y44" s="204">
        <f t="shared" si="7"/>
        <v>23.297999999999998</v>
      </c>
      <c r="Z44" s="204">
        <f t="shared" si="8"/>
        <v>1.43E-2</v>
      </c>
      <c r="AA44" s="204">
        <f t="shared" si="9"/>
        <v>23.2837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 t="shared" si="10"/>
        <v>132</v>
      </c>
      <c r="AE44" s="77" t="str">
        <f t="shared" si="11"/>
        <v>aws s3 cp s3://rtdc.mdm.uploadarchive.raw/RTDC4051/ "%USERPROFILE%\AppData\Local\Temp\OnboardLogs"\RTDC4051\2017-09-21 --exclude "*" --recursive --include "*20170921*" &amp; "%USERPROFILE%\Documents\GitHub\mrs-test-scripts\Headless Mode &amp; Sideloading\WalkAndUnGZ.bat" "%USERPROFILE%\AppData\Local\Temp\OnboardLogs"\RTDC4051\2017-09-21 &amp; aws s3 cp s3://rtdc.mdm.uploadarchive.raw/RTDC4051/ "%USERPROFILE%\AppData\Local\Temp\OnboardLogs"\RTDC4051\2017-09-22 --exclude "*" --recursive --include "*20170922*" &amp; "%USERPROFILE%\Documents\GitHub\mrs-test-scripts\Headless Mode &amp; Sideloading\WalkAndUnGZ.bat" "%USERPROFILE%\AppData\Local\Temp\OnboardLogs"\RTDC4051\2017-09-22</v>
      </c>
      <c r="AF44" s="74" t="str">
        <f t="shared" si="12"/>
        <v>"C:\Program Files (x86)\AstroGrep\AstroGrep.exe" /e /r /s /spath="%USERPROFILE%\AppData\Local\Temp\OnboardLogs" /stypes="app*4051*20170921*" /stext=" 15:.+((SYSTEM_STATE.+slice.+state.+changed )|(ment ac)|(multiple cpu faults)|(system.+state.+changed )|(\[timeout)|(PRM\|1\|D)|(kpr)|(kdp)|(train st.+moving)|(\|lc)|(penalty))"</v>
      </c>
      <c r="AG44" s="182" t="str">
        <f t="shared" si="13"/>
        <v>EC</v>
      </c>
      <c r="AH44" s="78" t="str">
        <f t="shared" si="19"/>
        <v>"%USERPROFILE%\Documents\GitHub\eaglep3\Utilities\RefineRTDCRunTimes.py" --tripid 132-21 --locoid 4051 --swversion DE.1.0.9.0 --startMP 204:232980 --initTime 2017-09-21T08:19:56 --startdatetime 2017-09-21T08:27:41 --delay 85 --endMP 204:143 --enddatetime 2017-09-21T09:05:06 --enforcementcount 0 &gt;&gt;c:\users\stu\Documents\GitHub\eaglep3-reporting\EC\2017-09-21-refined-times.txt</v>
      </c>
      <c r="AI44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{"issue":{"subject":"","project_id":79,"tracker_id":40,"status_id":1,"priority_id":2,"assigned_to_id":338,"start_date":"2017-09-21","description":"","custom_fields":[{"id":1,"name":"Subdivision","value":"EC"},{"id":4,"name":"Milepost","value":"0.0143"},{"id":17,"name":"Train ID","value":"132-21"},{"id":16,"name":"Locomotive ID","value":"4051"},{"id":130,"name":"Impact","value":""},{"id":150,"name":"Time of Event (Mountain Time)","value":"09:05:06"},{"id":151,"name":"Denver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1"/>
        <v>start /low /b %USERPROFILE%\Documents\GitHub\eaglep3\Utilities\DownloadLogsFromS3.py --loco 4051 --day 2017-09-21</v>
      </c>
      <c r="AN44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15:05:06"},{"id":29,"name":"Sharepoint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23"/>
        <v>https://d0f6bd738d7f1b3e5a7ca70fe4ff75f0.us-east-1.aws.found.io/app/kibana#/discover/Steve-Slow-Train-Analysis-(2080s-and-2083s)?_g=(refreshInterval:(display:Off,pause:!f,section:0,value:0),time:(from:'2017-09-21T07:19:56-0600',mode:absolute,to:'2017-09-21T10:05:06-0600'))&amp;_a=(columns:!('Message%20ID',Summary),filters:!(),index:'emp_*',interval:auto,query:(query_string:(analyze_wildcard:!t,query:'Message%5C+ID:(*)+AND+%22rtdc.l.rtdc.4051%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664</v>
      </c>
      <c r="B45" s="7">
        <v>4014</v>
      </c>
      <c r="C45" s="21" t="s">
        <v>196</v>
      </c>
      <c r="D45" s="21" t="s">
        <v>359</v>
      </c>
      <c r="E45" s="13">
        <v>42999.318981481483</v>
      </c>
      <c r="F45" s="13">
        <v>42999.323298611111</v>
      </c>
      <c r="G45" s="7">
        <v>69</v>
      </c>
      <c r="H45" s="21" t="s">
        <v>415</v>
      </c>
      <c r="I45" s="13">
        <v>42999.347627314812</v>
      </c>
      <c r="J45" s="7">
        <v>0</v>
      </c>
      <c r="K45" s="89" t="str">
        <f t="shared" si="0"/>
        <v>4013/4014</v>
      </c>
      <c r="L45" s="185" t="str">
        <f>VLOOKUP(A45,'Trips&amp;Operators'!$C$1:$G$99911,5,FALSE)</f>
        <v>PAGE MARCUS</v>
      </c>
      <c r="M45" s="6">
        <f t="shared" si="1"/>
        <v>2.4328703701030463E-2</v>
      </c>
      <c r="N45" s="7">
        <f t="shared" si="2"/>
        <v>35.033333329483867</v>
      </c>
      <c r="O45" s="7"/>
      <c r="P45" s="7"/>
      <c r="Q45" s="22"/>
      <c r="R45" s="174"/>
      <c r="S45" s="221">
        <f t="shared" si="3"/>
        <v>1</v>
      </c>
      <c r="T45" s="174" t="str">
        <f t="shared" si="4"/>
        <v>NorthBound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 t="shared" si="5"/>
        <v>https://d0f6bd738d7f1b3e5a7ca70fe4ff75f0.us-east-1.aws.found.io/app/kibana#/discover/Steve-Slow-Train-Analysis-(2080s-and-2083s)?_g=(refreshInterval:(display:Off,pause:!f,section:0,value:0),time:(from:'2017-09-21T06:39:20-0600',mode:absolute,to:'2017-09-21T09:20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5" s="204" t="str">
        <f>IF(AA45&lt;VLOOKUP(AG45,Variables!$AC$3:$AD$8,2,FALSE),"Y","N")</f>
        <v>N</v>
      </c>
      <c r="X45" s="204">
        <f t="shared" si="6"/>
        <v>1</v>
      </c>
      <c r="Y45" s="204">
        <f t="shared" si="7"/>
        <v>4.4900000000000002E-2</v>
      </c>
      <c r="Z45" s="204">
        <f t="shared" si="8"/>
        <v>23.3293</v>
      </c>
      <c r="AA45" s="204">
        <f t="shared" si="9"/>
        <v>23.284400000000002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 t="shared" si="10"/>
        <v>133</v>
      </c>
      <c r="AE45" s="77" t="str">
        <f t="shared" si="11"/>
        <v>aws s3 cp s3://rtdc.mdm.uploadarchive.raw/RTDC4014/ "%USERPROFILE%\AppData\Local\Temp\OnboardLogs"\RTDC4014\2017-09-21 --exclude "*" --recursive --include "*20170921*" &amp; "%USERPROFILE%\Documents\GitHub\mrs-test-scripts\Headless Mode &amp; Sideloading\WalkAndUnGZ.bat" "%USERPROFILE%\AppData\Local\Temp\OnboardLogs"\RTDC4014\2017-09-21 &amp; aws s3 cp s3://rtdc.mdm.uploadarchive.raw/RTDC4014/ "%USERPROFILE%\AppData\Local\Temp\OnboardLogs"\RTDC4014\2017-09-22 --exclude "*" --recursive --include "*20170922*" &amp; "%USERPROFILE%\Documents\GitHub\mrs-test-scripts\Headless Mode &amp; Sideloading\WalkAndUnGZ.bat" "%USERPROFILE%\AppData\Local\Temp\OnboardLogs"\RTDC4014\2017-09-22</v>
      </c>
      <c r="AF45" s="74" t="str">
        <f t="shared" si="12"/>
        <v>"C:\Program Files (x86)\AstroGrep\AstroGrep.exe" /e /r /s /spath="%USERPROFILE%\AppData\Local\Temp\OnboardLogs" /stypes="app*4014*20170921*" /stext=" 14:.+((SYSTEM_STATE.+slice.+state.+changed )|(ment ac)|(multiple cpu faults)|(system.+state.+changed )|(\[timeout)|(PRM\|1\|D)|(kpr)|(kdp)|(train st.+moving)|(\|lc)|(penalty))"</v>
      </c>
      <c r="AG45" s="182" t="str">
        <f t="shared" si="13"/>
        <v>EC</v>
      </c>
      <c r="AH45" s="78" t="str">
        <f t="shared" si="19"/>
        <v>"%USERPROFILE%\Documents\GitHub\eaglep3\Utilities\RefineRTDCRunTimes.py" --tripid 133-21 --locoid 4014 --swversion DE.1.0.9.0 --startMP 204:449 --initTime 2017-09-21T07:39:20 --startdatetime 2017-09-21T07:45:33 --delay 69 --endMP 204:233293 --enddatetime 2017-09-21T08:20:35 --enforcementcount 0 &gt;&gt;c:\users\stu\Documents\GitHub\eaglep3-reporting\EC\2017-09-21-refined-times.txt</v>
      </c>
      <c r="AI45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{"issue":{"subject":"","project_id":79,"tracker_id":40,"status_id":1,"priority_id":2,"assigned_to_id":338,"start_date":"2017-09-21","description":"","custom_fields":[{"id":1,"name":"Subdivision","value":"EC"},{"id":4,"name":"Milepost","value":"23.3293"},{"id":17,"name":"Train ID","value":"133-21"},{"id":16,"name":"Locomotive ID","value":"4014"},{"id":130,"name":"Impact","value":""},{"id":150,"name":"Time of Event (Mountain Time)","value":"08:20:35"},{"id":151,"name":"Denver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1"/>
        <v>start /low /b %USERPROFILE%\Documents\GitHub\eaglep3\Utilities\DownloadLogsFromS3.py --loco 4014 --day 2017-09-21</v>
      </c>
      <c r="AN45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14:20:35"},{"id":29,"name":"Sharepoint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23"/>
        <v>https://d0f6bd738d7f1b3e5a7ca70fe4ff75f0.us-east-1.aws.found.io/app/kibana#/discover/Steve-Slow-Train-Analysis-(2080s-and-2083s)?_g=(refreshInterval:(display:Off,pause:!f,section:0,value:0),time:(from:'2017-09-21T06:39:20-0600',mode:absolute,to:'2017-09-21T09:20:35-0600'))&amp;_a=(columns:!('Message%20ID',Summary),filters:!(),index:'emp_*',interval:auto,query:(query_string:(analyze_wildcard:!t,query:'Message%5C+ID:(*)+AND+%22rtdc.l.rtdc.4014%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673</v>
      </c>
      <c r="B46" s="7">
        <v>4013</v>
      </c>
      <c r="C46" s="21" t="s">
        <v>196</v>
      </c>
      <c r="D46" s="21" t="s">
        <v>418</v>
      </c>
      <c r="E46" s="13">
        <v>42999.358587962961</v>
      </c>
      <c r="F46" s="13">
        <v>42999.362847222219</v>
      </c>
      <c r="G46" s="7">
        <v>74</v>
      </c>
      <c r="H46" s="21" t="s">
        <v>851</v>
      </c>
      <c r="I46" s="13">
        <v>42999.388298611113</v>
      </c>
      <c r="J46" s="7">
        <v>0</v>
      </c>
      <c r="K46" s="89" t="str">
        <f t="shared" si="0"/>
        <v>4013/4014</v>
      </c>
      <c r="L46" s="185" t="str">
        <f>VLOOKUP(A46,'Trips&amp;Operators'!$C$1:$G$99911,5,FALSE)</f>
        <v>PAGE MARCUS</v>
      </c>
      <c r="M46" s="6">
        <f t="shared" si="1"/>
        <v>2.5451388893998228E-2</v>
      </c>
      <c r="N46" s="7">
        <f t="shared" si="2"/>
        <v>36.650000007357448</v>
      </c>
      <c r="O46" s="7"/>
      <c r="P46" s="7"/>
      <c r="Q46" s="22"/>
      <c r="R46" s="174"/>
      <c r="S46" s="221">
        <f t="shared" si="3"/>
        <v>1</v>
      </c>
      <c r="T46" s="174" t="str">
        <f t="shared" si="4"/>
        <v>Southbound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 t="shared" si="5"/>
        <v>https://d0f6bd738d7f1b3e5a7ca70fe4ff75f0.us-east-1.aws.found.io/app/kibana#/discover/Steve-Slow-Train-Analysis-(2080s-and-2083s)?_g=(refreshInterval:(display:Off,pause:!f,section:0,value:0),time:(from:'2017-09-21T07:36:22-0600',mode:absolute,to:'2017-09-21T10:19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6" s="204" t="str">
        <f>IF(AA46&lt;VLOOKUP(AG46,Variables!$AC$3:$AD$8,2,FALSE),"Y","N")</f>
        <v>N</v>
      </c>
      <c r="X46" s="204">
        <f t="shared" si="6"/>
        <v>1</v>
      </c>
      <c r="Y46" s="204">
        <f t="shared" si="7"/>
        <v>23.299099999999999</v>
      </c>
      <c r="Z46" s="204">
        <f t="shared" si="8"/>
        <v>1.14E-2</v>
      </c>
      <c r="AA46" s="204">
        <f t="shared" si="9"/>
        <v>23.287700000000001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 t="shared" si="10"/>
        <v>134</v>
      </c>
      <c r="AE46" s="77" t="str">
        <f t="shared" si="11"/>
        <v>aws s3 cp s3://rtdc.mdm.uploadarchive.raw/RTDC4013/ "%USERPROFILE%\AppData\Local\Temp\OnboardLogs"\RTDC4013\2017-09-21 --exclude "*" --recursive --include "*20170921*" &amp; "%USERPROFILE%\Documents\GitHub\mrs-test-scripts\Headless Mode &amp; Sideloading\WalkAndUnGZ.bat" "%USERPROFILE%\AppData\Local\Temp\OnboardLogs"\RTDC4013\2017-09-21 &amp; aws s3 cp s3://rtdc.mdm.uploadarchive.raw/RTDC4013/ "%USERPROFILE%\AppData\Local\Temp\OnboardLogs"\RTDC4013\2017-09-22 --exclude "*" --recursive --include "*20170922*" &amp; "%USERPROFILE%\Documents\GitHub\mrs-test-scripts\Headless Mode &amp; Sideloading\WalkAndUnGZ.bat" "%USERPROFILE%\AppData\Local\Temp\OnboardLogs"\RTDC4013\2017-09-22</v>
      </c>
      <c r="AF46" s="74" t="str">
        <f t="shared" si="12"/>
        <v>"C:\Program Files (x86)\AstroGrep\AstroGrep.exe" /e /r /s /spath="%USERPROFILE%\AppData\Local\Temp\OnboardLogs" /stypes="app*4013*20170921*" /stext=" 15:.+((SYSTEM_STATE.+slice.+state.+changed )|(ment ac)|(multiple cpu faults)|(system.+state.+changed )|(\[timeout)|(PRM\|1\|D)|(kpr)|(kdp)|(train st.+moving)|(\|lc)|(penalty))"</v>
      </c>
      <c r="AG46" s="182" t="str">
        <f t="shared" si="13"/>
        <v>EC</v>
      </c>
      <c r="AH46" s="78" t="str">
        <f t="shared" si="19"/>
        <v>"%USERPROFILE%\Documents\GitHub\eaglep3\Utilities\RefineRTDCRunTimes.py" --tripid 134-21 --locoid 4013 --swversion DE.1.0.9.0 --startMP 204:232991 --initTime 2017-09-21T08:36:22 --startdatetime 2017-09-21T08:42:30 --delay 74 --endMP 204:114 --enddatetime 2017-09-21T09:19:09 --enforcementcount 0 &gt;&gt;c:\users\stu\Documents\GitHub\eaglep3-reporting\EC\2017-09-21-refined-times.txt</v>
      </c>
      <c r="AI46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{"issue":{"subject":"","project_id":79,"tracker_id":40,"status_id":1,"priority_id":2,"assigned_to_id":338,"start_date":"2017-09-21","description":"","custom_fields":[{"id":1,"name":"Subdivision","value":"EC"},{"id":4,"name":"Milepost","value":"0.0114"},{"id":17,"name":"Train ID","value":"134-21"},{"id":16,"name":"Locomotive ID","value":"4013"},{"id":130,"name":"Impact","value":""},{"id":150,"name":"Time of Event (Mountain Time)","value":"09:19:09"},{"id":151,"name":"Denver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1"/>
        <v>start /low /b %USERPROFILE%\Documents\GitHub\eaglep3\Utilities\DownloadLogsFromS3.py --loco 4013 --day 2017-09-21</v>
      </c>
      <c r="AN46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15:19:09"},{"id":29,"name":"Sharepoint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23"/>
        <v>https://d0f6bd738d7f1b3e5a7ca70fe4ff75f0.us-east-1.aws.found.io/app/kibana#/discover/Steve-Slow-Train-Analysis-(2080s-and-2083s)?_g=(refreshInterval:(display:Off,pause:!f,section:0,value:0),time:(from:'2017-09-21T07:36:22-0600',mode:absolute,to:'2017-09-21T10:19:09-0600'))&amp;_a=(columns:!('Message%20ID',Summary),filters:!(),index:'emp_*',interval:auto,query:(query_string:(analyze_wildcard:!t,query:'Message%5C+ID:(*)+AND+%22rtdc.l.rtdc.4013%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665</v>
      </c>
      <c r="B47" s="7">
        <v>4016</v>
      </c>
      <c r="C47" s="21" t="s">
        <v>196</v>
      </c>
      <c r="D47" s="21" t="s">
        <v>340</v>
      </c>
      <c r="E47" s="13">
        <v>42999.329664351855</v>
      </c>
      <c r="F47" s="13">
        <v>42999.333668981482</v>
      </c>
      <c r="G47" s="7">
        <v>77</v>
      </c>
      <c r="H47" s="21" t="s">
        <v>424</v>
      </c>
      <c r="I47" s="13">
        <v>42999.359097222223</v>
      </c>
      <c r="J47" s="7">
        <v>0</v>
      </c>
      <c r="K47" s="89" t="str">
        <f t="shared" si="0"/>
        <v>4015/4016</v>
      </c>
      <c r="L47" s="185" t="str">
        <f>VLOOKUP(A47,'Trips&amp;Operators'!$C$1:$G$99911,5,FALSE)</f>
        <v>HUFFSMITH MONTY</v>
      </c>
      <c r="M47" s="6">
        <f t="shared" si="1"/>
        <v>2.5428240740438923E-2</v>
      </c>
      <c r="N47" s="7">
        <f t="shared" si="2"/>
        <v>36.616666666232049</v>
      </c>
      <c r="O47" s="7"/>
      <c r="P47" s="7"/>
      <c r="Q47" s="22"/>
      <c r="R47" s="174"/>
      <c r="S47" s="221">
        <f t="shared" si="3"/>
        <v>1</v>
      </c>
      <c r="T47" s="174" t="str">
        <f t="shared" si="4"/>
        <v>NorthBound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 t="shared" si="5"/>
        <v>https://d0f6bd738d7f1b3e5a7ca70fe4ff75f0.us-east-1.aws.found.io/app/kibana#/discover/Steve-Slow-Train-Analysis-(2080s-and-2083s)?_g=(refreshInterval:(display:Off,pause:!f,section:0,value:0),time:(from:'2017-09-21T06:54:43-0600',mode:absolute,to:'2017-09-21T09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7" s="204" t="str">
        <f>IF(AA47&lt;VLOOKUP(AG47,Variables!$AC$3:$AD$8,2,FALSE),"Y","N")</f>
        <v>N</v>
      </c>
      <c r="X47" s="204">
        <f t="shared" si="6"/>
        <v>1</v>
      </c>
      <c r="Y47" s="204">
        <f t="shared" si="7"/>
        <v>4.53E-2</v>
      </c>
      <c r="Z47" s="204">
        <f t="shared" si="8"/>
        <v>23.329899999999999</v>
      </c>
      <c r="AA47" s="204">
        <f t="shared" si="9"/>
        <v>23.284599999999998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 t="shared" si="10"/>
        <v>135</v>
      </c>
      <c r="AE47" s="77" t="str">
        <f t="shared" si="11"/>
        <v>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 &amp; aws s3 cp s3://rtdc.mdm.uploadarchive.raw/RTDC4016/ "%USERPROFILE%\AppData\Local\Temp\OnboardLogs"\RTDC4016\2017-09-22 --exclude "*" --recursive --include "*20170922*" &amp; "%USERPROFILE%\Documents\GitHub\mrs-test-scripts\Headless Mode &amp; Sideloading\WalkAndUnGZ.bat" "%USERPROFILE%\AppData\Local\Temp\OnboardLogs"\RTDC4016\2017-09-22</v>
      </c>
      <c r="AF47" s="74" t="str">
        <f t="shared" si="12"/>
        <v>"C:\Program Files (x86)\AstroGrep\AstroGrep.exe" /e /r /s /spath="%USERPROFILE%\AppData\Local\Temp\OnboardLogs" /stypes="app*4016*20170921*" /stext=" 14:.+((SYSTEM_STATE.+slice.+state.+changed )|(ment ac)|(multiple cpu faults)|(system.+state.+changed )|(\[timeout)|(PRM\|1\|D)|(kpr)|(kdp)|(train st.+moving)|(\|lc)|(penalty))"</v>
      </c>
      <c r="AG47" s="182" t="str">
        <f t="shared" si="13"/>
        <v>EC</v>
      </c>
      <c r="AH47" s="78" t="str">
        <f t="shared" si="19"/>
        <v>"%USERPROFILE%\Documents\GitHub\eaglep3\Utilities\RefineRTDCRunTimes.py" --tripid 135-21 --locoid 4016 --swversion DE.1.0.9.0 --startMP 204:453 --initTime 2017-09-21T07:54:43 --startdatetime 2017-09-21T08:00:29 --delay 77 --endMP 204:233299 --enddatetime 2017-09-21T08:37:06 --enforcementcount 0 &gt;&gt;c:\users\stu\Documents\GitHub\eaglep3-reporting\EC\2017-09-21-refined-times.txt</v>
      </c>
      <c r="AI47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{"issue":{"subject":"","project_id":79,"tracker_id":40,"status_id":1,"priority_id":2,"assigned_to_id":338,"start_date":"2017-09-21","description":"","custom_fields":[{"id":1,"name":"Subdivision","value":"EC"},{"id":4,"name":"Milepost","value":"23.3299"},{"id":17,"name":"Train ID","value":"135-21"},{"id":16,"name":"Locomotive ID","value":"4016"},{"id":130,"name":"Impact","value":""},{"id":150,"name":"Time of Event (Mountain Time)","value":"08:37:06"},{"id":151,"name":"Denver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1"/>
        <v>start /low /b %USERPROFILE%\Documents\GitHub\eaglep3\Utilities\DownloadLogsFromS3.py --loco 4016 --day 2017-09-21</v>
      </c>
      <c r="AN47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14:37:06"},{"id":29,"name":"Sharepoint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23"/>
        <v>https://d0f6bd738d7f1b3e5a7ca70fe4ff75f0.us-east-1.aws.found.io/app/kibana#/discover/Steve-Slow-Train-Analysis-(2080s-and-2083s)?_g=(refreshInterval:(display:Off,pause:!f,section:0,value:0),time:(from:'2017-09-21T06:54:43-0600',mode:absolute,to:'2017-09-21T09:37:06-0600'))&amp;_a=(columns:!('Message%20ID',Summary),filters:!(),index:'emp_*',interval:auto,query:(query_string:(analyze_wildcard:!t,query:'Message%5C+ID:(*)+AND+%22rtdc.l.rtdc.4016%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677</v>
      </c>
      <c r="B48" s="7">
        <v>4015</v>
      </c>
      <c r="C48" s="21" t="s">
        <v>196</v>
      </c>
      <c r="D48" s="21" t="s">
        <v>470</v>
      </c>
      <c r="E48" s="13">
        <v>42999.368263888886</v>
      </c>
      <c r="F48" s="13">
        <v>42999.373287037037</v>
      </c>
      <c r="G48" s="7">
        <v>69</v>
      </c>
      <c r="H48" s="21" t="s">
        <v>390</v>
      </c>
      <c r="I48" s="13">
        <v>42999.401041666664</v>
      </c>
      <c r="J48" s="7">
        <v>0</v>
      </c>
      <c r="K48" s="89" t="str">
        <f t="shared" si="0"/>
        <v>4015/4016</v>
      </c>
      <c r="L48" s="185" t="str">
        <f>VLOOKUP(A48,'Trips&amp;Operators'!$C$1:$G$99911,5,FALSE)</f>
        <v>HUFFSMITH MONTY</v>
      </c>
      <c r="M48" s="6">
        <f t="shared" si="1"/>
        <v>2.7754629627452232E-2</v>
      </c>
      <c r="N48" s="7">
        <f t="shared" si="2"/>
        <v>39.966666663531214</v>
      </c>
      <c r="O48" s="7"/>
      <c r="P48" s="7"/>
      <c r="Q48" s="22"/>
      <c r="R48" s="174"/>
      <c r="S48" s="221">
        <f t="shared" si="3"/>
        <v>1</v>
      </c>
      <c r="T48" s="174" t="str">
        <f t="shared" si="4"/>
        <v>Southbound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 t="shared" si="5"/>
        <v>https://d0f6bd738d7f1b3e5a7ca70fe4ff75f0.us-east-1.aws.found.io/app/kibana#/discover/Steve-Slow-Train-Analysis-(2080s-and-2083s)?_g=(refreshInterval:(display:Off,pause:!f,section:0,value:0),time:(from:'2017-09-21T07:50:18-0600',mode:absolute,to:'2017-09-21T10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8" s="204" t="str">
        <f>IF(AA48&lt;VLOOKUP(AG48,Variables!$AC$3:$AD$8,2,FALSE),"Y","N")</f>
        <v>N</v>
      </c>
      <c r="X48" s="204">
        <f t="shared" si="6"/>
        <v>1</v>
      </c>
      <c r="Y48" s="204">
        <f t="shared" si="7"/>
        <v>23.2988</v>
      </c>
      <c r="Z48" s="204">
        <f t="shared" si="8"/>
        <v>1.3899999999999999E-2</v>
      </c>
      <c r="AA48" s="204">
        <f t="shared" si="9"/>
        <v>23.2849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 t="shared" si="10"/>
        <v>136</v>
      </c>
      <c r="AE48" s="77" t="str">
        <f t="shared" si="11"/>
        <v>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 &amp; aws s3 cp s3://rtdc.mdm.uploadarchive.raw/RTDC4015/ "%USERPROFILE%\AppData\Local\Temp\OnboardLogs"\RTDC4015\2017-09-22 --exclude "*" --recursive --include "*20170922*" &amp; "%USERPROFILE%\Documents\GitHub\mrs-test-scripts\Headless Mode &amp; Sideloading\WalkAndUnGZ.bat" "%USERPROFILE%\AppData\Local\Temp\OnboardLogs"\RTDC4015\2017-09-22</v>
      </c>
      <c r="AF48" s="74" t="str">
        <f t="shared" si="12"/>
        <v>"C:\Program Files (x86)\AstroGrep\AstroGrep.exe" /e /r /s /spath="%USERPROFILE%\AppData\Local\Temp\OnboardLogs" /stypes="app*4015*20170921*" /stext=" 15:.+((SYSTEM_STATE.+slice.+state.+changed )|(ment ac)|(multiple cpu faults)|(system.+state.+changed )|(\[timeout)|(PRM\|1\|D)|(kpr)|(kdp)|(train st.+moving)|(\|lc)|(penalty))"</v>
      </c>
      <c r="AG48" s="182" t="str">
        <f t="shared" si="13"/>
        <v>EC</v>
      </c>
      <c r="AH48" s="78" t="str">
        <f t="shared" si="19"/>
        <v>"%USERPROFILE%\Documents\GitHub\eaglep3\Utilities\RefineRTDCRunTimes.py" --tripid 136-21 --locoid 4015 --swversion DE.1.0.9.0 --startMP 204:232988 --initTime 2017-09-21T08:50:18 --startdatetime 2017-09-21T08:57:32 --delay 69 --endMP 204:139 --enddatetime 2017-09-21T09:37:30 --enforcementcount 0 &gt;&gt;c:\users\stu\Documents\GitHub\eaglep3-reporting\EC\2017-09-21-refined-times.txt</v>
      </c>
      <c r="AI48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{"issue":{"subject":"","project_id":79,"tracker_id":40,"status_id":1,"priority_id":2,"assigned_to_id":338,"start_date":"2017-09-21","description":"","custom_fields":[{"id":1,"name":"Subdivision","value":"EC"},{"id":4,"name":"Milepost","value":"0.0139"},{"id":17,"name":"Train ID","value":"136-21"},{"id":16,"name":"Locomotive ID","value":"4015"},{"id":130,"name":"Impact","value":""},{"id":150,"name":"Time of Event (Mountain Time)","value":"09:37:30"},{"id":151,"name":"Denver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1"/>
        <v>start /low /b %USERPROFILE%\Documents\GitHub\eaglep3\Utilities\DownloadLogsFromS3.py --loco 4015 --day 2017-09-21</v>
      </c>
      <c r="AN48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15:37:30"},{"id":29,"name":"Sharepoint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23"/>
        <v>https://d0f6bd738d7f1b3e5a7ca70fe4ff75f0.us-east-1.aws.found.io/app/kibana#/discover/Steve-Slow-Train-Analysis-(2080s-and-2083s)?_g=(refreshInterval:(display:Off,pause:!f,section:0,value:0),time:(from:'2017-09-21T07:50:18-0600',mode:absolute,to:'2017-09-21T10:37:30-0600'))&amp;_a=(columns:!('Message%20ID',Summary),filters:!(),index:'emp_*',interval:auto,query:(query_string:(analyze_wildcard:!t,query:'Message%5C+ID:(*)+AND+%22rtdc.l.rtdc.4015%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668</v>
      </c>
      <c r="B49" s="7">
        <v>4018</v>
      </c>
      <c r="C49" s="21" t="s">
        <v>196</v>
      </c>
      <c r="D49" s="21" t="s">
        <v>397</v>
      </c>
      <c r="E49" s="13">
        <v>42999.339363425926</v>
      </c>
      <c r="F49" s="13">
        <v>42999.343958333331</v>
      </c>
      <c r="G49" s="7">
        <v>103</v>
      </c>
      <c r="H49" s="21" t="s">
        <v>402</v>
      </c>
      <c r="I49" s="13">
        <v>42999.369166666664</v>
      </c>
      <c r="J49" s="7">
        <v>0</v>
      </c>
      <c r="K49" s="89" t="str">
        <f t="shared" si="0"/>
        <v>4017/4018</v>
      </c>
      <c r="L49" s="185" t="str">
        <f>VLOOKUP(A49,'Trips&amp;Operators'!$C$1:$G$99911,5,FALSE)</f>
        <v>WILLIAMS DONTE</v>
      </c>
      <c r="M49" s="6">
        <f t="shared" si="1"/>
        <v>2.5208333332557231E-2</v>
      </c>
      <c r="N49" s="7">
        <f t="shared" si="2"/>
        <v>36.299999998882413</v>
      </c>
      <c r="O49" s="7"/>
      <c r="P49" s="7"/>
      <c r="Q49" s="22"/>
      <c r="R49" s="174"/>
      <c r="S49" s="221">
        <f t="shared" si="3"/>
        <v>1</v>
      </c>
      <c r="T49" s="174" t="str">
        <f t="shared" si="4"/>
        <v>NorthBound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 t="shared" si="5"/>
        <v>https://d0f6bd738d7f1b3e5a7ca70fe4ff75f0.us-east-1.aws.found.io/app/kibana#/discover/Steve-Slow-Train-Analysis-(2080s-and-2083s)?_g=(refreshInterval:(display:Off,pause:!f,section:0,value:0),time:(from:'2017-09-21T07:08:41-0600',mode:absolute,to:'2017-09-21T09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9" s="204" t="str">
        <f>IF(AA49&lt;VLOOKUP(AG49,Variables!$AC$3:$AD$8,2,FALSE),"Y","N")</f>
        <v>N</v>
      </c>
      <c r="X49" s="204">
        <f t="shared" si="6"/>
        <v>1</v>
      </c>
      <c r="Y49" s="204">
        <f t="shared" si="7"/>
        <v>4.6199999999999998E-2</v>
      </c>
      <c r="Z49" s="204">
        <f t="shared" si="8"/>
        <v>23.331199999999999</v>
      </c>
      <c r="AA49" s="204">
        <f t="shared" si="9"/>
        <v>23.285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 t="shared" si="10"/>
        <v>137</v>
      </c>
      <c r="AE49" s="77" t="str">
        <f t="shared" si="11"/>
        <v>aws s3 cp s3://rtdc.mdm.uploadarchive.raw/RTDC4018/ "%USERPROFILE%\AppData\Local\Temp\OnboardLogs"\RTDC4018\2017-09-21 --exclude "*" --recursive --include "*20170921*" &amp; "%USERPROFILE%\Documents\GitHub\mrs-test-scripts\Headless Mode &amp; Sideloading\WalkAndUnGZ.bat" "%USERPROFILE%\AppData\Local\Temp\OnboardLogs"\RTDC4018\2017-09-21 &amp; aws s3 cp s3://rtdc.mdm.uploadarchive.raw/RTDC4018/ "%USERPROFILE%\AppData\Local\Temp\OnboardLogs"\RTDC4018\2017-09-22 --exclude "*" --recursive --include "*20170922*" &amp; "%USERPROFILE%\Documents\GitHub\mrs-test-scripts\Headless Mode &amp; Sideloading\WalkAndUnGZ.bat" "%USERPROFILE%\AppData\Local\Temp\OnboardLogs"\RTDC4018\2017-09-22</v>
      </c>
      <c r="AF49" s="74" t="str">
        <f t="shared" si="12"/>
        <v>"C:\Program Files (x86)\AstroGrep\AstroGrep.exe" /e /r /s /spath="%USERPROFILE%\AppData\Local\Temp\OnboardLogs" /stypes="app*4018*20170921*" /stext=" 14:.+((SYSTEM_STATE.+slice.+state.+changed )|(ment ac)|(multiple cpu faults)|(system.+state.+changed )|(\[timeout)|(PRM\|1\|D)|(kpr)|(kdp)|(train st.+moving)|(\|lc)|(penalty))"</v>
      </c>
      <c r="AG49" s="182" t="str">
        <f t="shared" si="13"/>
        <v>EC</v>
      </c>
      <c r="AH49" s="78" t="str">
        <f t="shared" si="19"/>
        <v>"%USERPROFILE%\Documents\GitHub\eaglep3\Utilities\RefineRTDCRunTimes.py" --tripid 137-21 --locoid 4018 --swversion DE.1.0.9.0 --startMP 204:462 --initTime 2017-09-21T08:08:41 --startdatetime 2017-09-21T08:15:18 --delay 103 --endMP 204:233312 --enddatetime 2017-09-21T08:51:36 --enforcementcount 0 &gt;&gt;c:\users\stu\Documents\GitHub\eaglep3-reporting\EC\2017-09-21-refined-times.txt</v>
      </c>
      <c r="AI49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{"issue":{"subject":"","project_id":79,"tracker_id":40,"status_id":1,"priority_id":2,"assigned_to_id":338,"start_date":"2017-09-21","description":"","custom_fields":[{"id":1,"name":"Subdivision","value":"EC"},{"id":4,"name":"Milepost","value":"23.3312"},{"id":17,"name":"Train ID","value":"137-21"},{"id":16,"name":"Locomotive ID","value":"4018"},{"id":130,"name":"Impact","value":""},{"id":150,"name":"Time of Event (Mountain Time)","value":"08:51:36"},{"id":151,"name":"Denver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1"/>
        <v>start /low /b %USERPROFILE%\Documents\GitHub\eaglep3\Utilities\DownloadLogsFromS3.py --loco 4018 --day 2017-09-21</v>
      </c>
      <c r="AN49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14:51:36"},{"id":29,"name":"Sharepoint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23"/>
        <v>https://d0f6bd738d7f1b3e5a7ca70fe4ff75f0.us-east-1.aws.found.io/app/kibana#/discover/Steve-Slow-Train-Analysis-(2080s-and-2083s)?_g=(refreshInterval:(display:Off,pause:!f,section:0,value:0),time:(from:'2017-09-21T07:08:41-0600',mode:absolute,to:'2017-09-21T09:51:36-0600'))&amp;_a=(columns:!('Message%20ID',Summary),filters:!(),index:'emp_*',interval:auto,query:(query_string:(analyze_wildcard:!t,query:'Message%5C+ID:(*)+AND+%22rtdc.l.rtdc.4018%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682</v>
      </c>
      <c r="B50" s="7">
        <v>4017</v>
      </c>
      <c r="C50" s="21" t="s">
        <v>196</v>
      </c>
      <c r="D50" s="21" t="s">
        <v>382</v>
      </c>
      <c r="E50" s="13">
        <v>42999.376296296294</v>
      </c>
      <c r="F50" s="13">
        <v>42999.383564814816</v>
      </c>
      <c r="G50" s="7">
        <v>84</v>
      </c>
      <c r="H50" s="21" t="s">
        <v>408</v>
      </c>
      <c r="I50" s="13">
        <v>42999.410555555558</v>
      </c>
      <c r="J50" s="7">
        <v>0</v>
      </c>
      <c r="K50" s="89" t="str">
        <f t="shared" si="0"/>
        <v>4017/4018</v>
      </c>
      <c r="L50" s="185" t="str">
        <f>VLOOKUP(A50,'Trips&amp;Operators'!$C$1:$G$99911,5,FALSE)</f>
        <v>WILLIAMS DONTE</v>
      </c>
      <c r="M50" s="6">
        <f t="shared" si="1"/>
        <v>2.6990740741894115E-2</v>
      </c>
      <c r="N50" s="7">
        <f t="shared" si="2"/>
        <v>38.866666668327525</v>
      </c>
      <c r="O50" s="7"/>
      <c r="P50" s="7"/>
      <c r="Q50" s="22"/>
      <c r="R50" s="174"/>
      <c r="S50" s="221">
        <f t="shared" si="3"/>
        <v>1</v>
      </c>
      <c r="T50" s="174" t="str">
        <f t="shared" si="4"/>
        <v>Southbound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 t="shared" si="5"/>
        <v>https://d0f6bd738d7f1b3e5a7ca70fe4ff75f0.us-east-1.aws.found.io/app/kibana#/discover/Steve-Slow-Train-Analysis-(2080s-and-2083s)?_g=(refreshInterval:(display:Off,pause:!f,section:0,value:0),time:(from:'2017-09-21T08:01:52-0600',mode:absolute,to:'2017-09-21T10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0" s="204" t="str">
        <f>IF(AA50&lt;VLOOKUP(AG50,Variables!$AC$3:$AD$8,2,FALSE),"Y","N")</f>
        <v>N</v>
      </c>
      <c r="X50" s="204">
        <f t="shared" si="6"/>
        <v>1</v>
      </c>
      <c r="Y50" s="204">
        <f t="shared" si="7"/>
        <v>23.299399999999999</v>
      </c>
      <c r="Z50" s="204">
        <f t="shared" si="8"/>
        <v>1.54E-2</v>
      </c>
      <c r="AA50" s="204">
        <f t="shared" si="9"/>
        <v>23.283999999999999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 t="shared" si="10"/>
        <v>138</v>
      </c>
      <c r="AE50" s="77" t="str">
        <f t="shared" si="11"/>
        <v>aws s3 cp s3://rtdc.mdm.uploadarchive.raw/RTDC4017/ "%USERPROFILE%\AppData\Local\Temp\OnboardLogs"\RTDC4017\2017-09-21 --exclude "*" --recursive --include "*20170921*" &amp; "%USERPROFILE%\Documents\GitHub\mrs-test-scripts\Headless Mode &amp; Sideloading\WalkAndUnGZ.bat" "%USERPROFILE%\AppData\Local\Temp\OnboardLogs"\RTDC4017\2017-09-21 &amp; aws s3 cp s3://rtdc.mdm.uploadarchive.raw/RTDC4017/ "%USERPROFILE%\AppData\Local\Temp\OnboardLogs"\RTDC4017\2017-09-22 --exclude "*" --recursive --include "*20170922*" &amp; "%USERPROFILE%\Documents\GitHub\mrs-test-scripts\Headless Mode &amp; Sideloading\WalkAndUnGZ.bat" "%USERPROFILE%\AppData\Local\Temp\OnboardLogs"\RTDC4017\2017-09-22</v>
      </c>
      <c r="AF50" s="74" t="str">
        <f t="shared" si="12"/>
        <v>"C:\Program Files (x86)\AstroGrep\AstroGrep.exe" /e /r /s /spath="%USERPROFILE%\AppData\Local\Temp\OnboardLogs" /stypes="app*4017*20170921*" /stext=" 15:.+((SYSTEM_STATE.+slice.+state.+changed )|(ment ac)|(multiple cpu faults)|(system.+state.+changed )|(\[timeout)|(PRM\|1\|D)|(kpr)|(kdp)|(train st.+moving)|(\|lc)|(penalty))"</v>
      </c>
      <c r="AG50" s="182" t="str">
        <f t="shared" si="13"/>
        <v>EC</v>
      </c>
      <c r="AH50" s="78" t="str">
        <f t="shared" si="19"/>
        <v>"%USERPROFILE%\Documents\GitHub\eaglep3\Utilities\RefineRTDCRunTimes.py" --tripid 138-21 --locoid 4017 --swversion DE.1.0.9.0 --startMP 204:232994 --initTime 2017-09-21T09:01:52 --startdatetime 2017-09-21T09:12:20 --delay 84 --endMP 204:154 --enddatetime 2017-09-21T09:51:12 --enforcementcount 0 &gt;&gt;c:\users\stu\Documents\GitHub\eaglep3-reporting\EC\2017-09-21-refined-times.txt</v>
      </c>
      <c r="AI50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{"issue":{"subject":"","project_id":79,"tracker_id":40,"status_id":1,"priority_id":2,"assigned_to_id":338,"start_date":"2017-09-21","description":"","custom_fields":[{"id":1,"name":"Subdivision","value":"EC"},{"id":4,"name":"Milepost","value":"0.0154"},{"id":17,"name":"Train ID","value":"138-21"},{"id":16,"name":"Locomotive ID","value":"4017"},{"id":130,"name":"Impact","value":""},{"id":150,"name":"Time of Event (Mountain Time)","value":"09:51:12"},{"id":151,"name":"Denver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1"/>
        <v>start /low /b %USERPROFILE%\Documents\GitHub\eaglep3\Utilities\DownloadLogsFromS3.py --loco 4017 --day 2017-09-21</v>
      </c>
      <c r="AN50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15:51:12"},{"id":29,"name":"Sharepoint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23"/>
        <v>https://d0f6bd738d7f1b3e5a7ca70fe4ff75f0.us-east-1.aws.found.io/app/kibana#/discover/Steve-Slow-Train-Analysis-(2080s-and-2083s)?_g=(refreshInterval:(display:Off,pause:!f,section:0,value:0),time:(from:'2017-09-21T08:01:52-0600',mode:absolute,to:'2017-09-21T10:51:12-0600'))&amp;_a=(columns:!('Message%20ID',Summary),filters:!(),index:'emp_*',interval:auto,query:(query_string:(analyze_wildcard:!t,query:'Message%5C+ID:(*)+AND+%22rtdc.l.rtdc.4017%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670</v>
      </c>
      <c r="B51" s="7">
        <v>4056</v>
      </c>
      <c r="C51" s="21" t="s">
        <v>196</v>
      </c>
      <c r="D51" s="21" t="s">
        <v>348</v>
      </c>
      <c r="E51" s="13">
        <v>42999.347905092596</v>
      </c>
      <c r="F51" s="13">
        <v>42999.354386574072</v>
      </c>
      <c r="G51" s="7">
        <v>41</v>
      </c>
      <c r="H51" s="21" t="s">
        <v>848</v>
      </c>
      <c r="I51" s="13">
        <v>42999.378159722219</v>
      </c>
      <c r="J51" s="7">
        <v>0</v>
      </c>
      <c r="K51" s="89" t="str">
        <f t="shared" si="0"/>
        <v>4055/4056</v>
      </c>
      <c r="L51" s="185" t="str">
        <f>VLOOKUP(A51,'Trips&amp;Operators'!$C$1:$G$99911,5,FALSE)</f>
        <v>YORK EDGAR</v>
      </c>
      <c r="M51" s="6">
        <f t="shared" si="1"/>
        <v>2.3773148146574385E-2</v>
      </c>
      <c r="N51" s="7">
        <f t="shared" si="2"/>
        <v>34.233333331067115</v>
      </c>
      <c r="O51" s="7"/>
      <c r="P51" s="7"/>
      <c r="Q51" s="22"/>
      <c r="R51" s="174"/>
      <c r="S51" s="221">
        <f t="shared" si="3"/>
        <v>1</v>
      </c>
      <c r="T51" s="174" t="str">
        <f t="shared" si="4"/>
        <v>NorthBound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 t="shared" si="5"/>
        <v>https://d0f6bd738d7f1b3e5a7ca70fe4ff75f0.us-east-1.aws.found.io/app/kibana#/discover/Steve-Slow-Train-Analysis-(2080s-and-2083s)?_g=(refreshInterval:(display:Off,pause:!f,section:0,value:0),time:(from:'2017-09-21T07:20:59-0600',mode:absolute,to:'2017-09-21T10:04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1" s="204" t="str">
        <f>IF(AA51&lt;VLOOKUP(AG51,Variables!$AC$3:$AD$8,2,FALSE),"Y","N")</f>
        <v>N</v>
      </c>
      <c r="X51" s="204">
        <f t="shared" si="6"/>
        <v>1</v>
      </c>
      <c r="Y51" s="204">
        <f t="shared" si="7"/>
        <v>4.5499999999999999E-2</v>
      </c>
      <c r="Z51" s="204">
        <f t="shared" si="8"/>
        <v>23.329699999999999</v>
      </c>
      <c r="AA51" s="204">
        <f t="shared" si="9"/>
        <v>23.284199999999998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 t="shared" si="10"/>
        <v>139</v>
      </c>
      <c r="AE51" s="77" t="str">
        <f t="shared" si="11"/>
        <v>aws s3 cp s3://rtdc.mdm.uploadarchive.raw/RTDC4056/ "%USERPROFILE%\AppData\Local\Temp\OnboardLogs"\RTDC4056\2017-09-21 --exclude "*" --recursive --include "*20170921*" &amp; "%USERPROFILE%\Documents\GitHub\mrs-test-scripts\Headless Mode &amp; Sideloading\WalkAndUnGZ.bat" "%USERPROFILE%\AppData\Local\Temp\OnboardLogs"\RTDC4056\2017-09-21 &amp; aws s3 cp s3://rtdc.mdm.uploadarchive.raw/RTDC4056/ "%USERPROFILE%\AppData\Local\Temp\OnboardLogs"\RTDC4056\2017-09-22 --exclude "*" --recursive --include "*20170922*" &amp; "%USERPROFILE%\Documents\GitHub\mrs-test-scripts\Headless Mode &amp; Sideloading\WalkAndUnGZ.bat" "%USERPROFILE%\AppData\Local\Temp\OnboardLogs"\RTDC4056\2017-09-22</v>
      </c>
      <c r="AF51" s="74" t="str">
        <f t="shared" si="12"/>
        <v>"C:\Program Files (x86)\AstroGrep\AstroGrep.exe" /e /r /s /spath="%USERPROFILE%\AppData\Local\Temp\OnboardLogs" /stypes="app*4056*20170921*" /stext=" 15:.+((SYSTEM_STATE.+slice.+state.+changed )|(ment ac)|(multiple cpu faults)|(system.+state.+changed )|(\[timeout)|(PRM\|1\|D)|(kpr)|(kdp)|(train st.+moving)|(\|lc)|(penalty))"</v>
      </c>
      <c r="AG51" s="182" t="str">
        <f t="shared" si="13"/>
        <v>EC</v>
      </c>
      <c r="AH51" s="78" t="str">
        <f t="shared" si="19"/>
        <v>"%USERPROFILE%\Documents\GitHub\eaglep3\Utilities\RefineRTDCRunTimes.py" --tripid 139-21 --locoid 4056 --swversion DE.1.0.9.0 --startMP 204:455 --initTime 2017-09-21T08:20:59 --startdatetime 2017-09-21T08:30:19 --delay 41 --endMP 204:233297 --enddatetime 2017-09-21T09:04:33 --enforcementcount 0 &gt;&gt;c:\users\stu\Documents\GitHub\eaglep3-reporting\EC\2017-09-21-refined-times.txt</v>
      </c>
      <c r="AI51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{"issue":{"subject":"","project_id":79,"tracker_id":40,"status_id":1,"priority_id":2,"assigned_to_id":338,"start_date":"2017-09-21","description":"","custom_fields":[{"id":1,"name":"Subdivision","value":"EC"},{"id":4,"name":"Milepost","value":"23.3297"},{"id":17,"name":"Train ID","value":"139-21"},{"id":16,"name":"Locomotive ID","value":"4056"},{"id":130,"name":"Impact","value":""},{"id":150,"name":"Time of Event (Mountain Time)","value":"09:04:33"},{"id":151,"name":"Denver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1"/>
        <v>start /low /b %USERPROFILE%\Documents\GitHub\eaglep3\Utilities\DownloadLogsFromS3.py --loco 4056 --day 2017-09-21</v>
      </c>
      <c r="AN51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15:04:33"},{"id":29,"name":"Sharepoint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23"/>
        <v>https://d0f6bd738d7f1b3e5a7ca70fe4ff75f0.us-east-1.aws.found.io/app/kibana#/discover/Steve-Slow-Train-Analysis-(2080s-and-2083s)?_g=(refreshInterval:(display:Off,pause:!f,section:0,value:0),time:(from:'2017-09-21T07:20:59-0600',mode:absolute,to:'2017-09-21T10:04:33-0600'))&amp;_a=(columns:!('Message%20ID',Summary),filters:!(),index:'emp_*',interval:auto,query:(query_string:(analyze_wildcard:!t,query:'Message%5C+ID:(*)+AND+%22rtdc.l.rtdc.4056%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683</v>
      </c>
      <c r="B52" s="7">
        <v>4055</v>
      </c>
      <c r="C52" s="21" t="s">
        <v>196</v>
      </c>
      <c r="D52" s="21" t="s">
        <v>416</v>
      </c>
      <c r="E52" s="13">
        <v>42999.37909722222</v>
      </c>
      <c r="F52" s="13">
        <v>42999.393935185188</v>
      </c>
      <c r="G52" s="7">
        <v>72</v>
      </c>
      <c r="H52" s="21" t="s">
        <v>358</v>
      </c>
      <c r="I52" s="13">
        <v>42999.421724537038</v>
      </c>
      <c r="J52" s="7">
        <v>0</v>
      </c>
      <c r="K52" s="89" t="str">
        <f t="shared" si="0"/>
        <v>4055/4056</v>
      </c>
      <c r="L52" s="185" t="str">
        <f>VLOOKUP(A52,'Trips&amp;Operators'!$C$1:$G$99911,5,FALSE)</f>
        <v>YORK EDGAR</v>
      </c>
      <c r="M52" s="6">
        <f t="shared" si="1"/>
        <v>2.7789351850515231E-2</v>
      </c>
      <c r="N52" s="7">
        <f t="shared" si="2"/>
        <v>40.016666664741933</v>
      </c>
      <c r="O52" s="7"/>
      <c r="P52" s="7"/>
      <c r="Q52" s="22"/>
      <c r="R52" s="174"/>
      <c r="S52" s="221">
        <f t="shared" si="3"/>
        <v>1</v>
      </c>
      <c r="T52" s="174" t="str">
        <f t="shared" si="4"/>
        <v>Southbound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 t="shared" si="5"/>
        <v>https://d0f6bd738d7f1b3e5a7ca70fe4ff75f0.us-east-1.aws.found.io/app/kibana#/discover/Steve-Slow-Train-Analysis-(2080s-and-2083s)?_g=(refreshInterval:(display:Off,pause:!f,section:0,value:0),time:(from:'2017-09-21T08:05:54-0600',mode:absolute,to:'2017-09-21T11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2" s="204" t="str">
        <f>IF(AA52&lt;VLOOKUP(AG52,Variables!$AC$3:$AD$8,2,FALSE),"Y","N")</f>
        <v>N</v>
      </c>
      <c r="X52" s="204">
        <f t="shared" si="6"/>
        <v>1</v>
      </c>
      <c r="Y52" s="204">
        <f t="shared" si="7"/>
        <v>23.297799999999999</v>
      </c>
      <c r="Z52" s="204">
        <f t="shared" si="8"/>
        <v>1.52E-2</v>
      </c>
      <c r="AA52" s="204">
        <f t="shared" si="9"/>
        <v>23.282599999999999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 t="shared" si="10"/>
        <v>140</v>
      </c>
      <c r="AE52" s="77" t="str">
        <f t="shared" si="11"/>
        <v>aws s3 cp s3://rtdc.mdm.uploadarchive.raw/RTDC4055/ "%USERPROFILE%\AppData\Local\Temp\OnboardLogs"\RTDC4055\2017-09-21 --exclude "*" --recursive --include "*20170921*" &amp; "%USERPROFILE%\Documents\GitHub\mrs-test-scripts\Headless Mode &amp; Sideloading\WalkAndUnGZ.bat" "%USERPROFILE%\AppData\Local\Temp\OnboardLogs"\RTDC4055\2017-09-21 &amp; aws s3 cp s3://rtdc.mdm.uploadarchive.raw/RTDC4055/ "%USERPROFILE%\AppData\Local\Temp\OnboardLogs"\RTDC4055\2017-09-22 --exclude "*" --recursive --include "*20170922*" &amp; "%USERPROFILE%\Documents\GitHub\mrs-test-scripts\Headless Mode &amp; Sideloading\WalkAndUnGZ.bat" "%USERPROFILE%\AppData\Local\Temp\OnboardLogs"\RTDC4055\2017-09-22</v>
      </c>
      <c r="AF52" s="74" t="str">
        <f t="shared" si="12"/>
        <v>"C:\Program Files (x86)\AstroGrep\AstroGrep.exe" /e /r /s /spath="%USERPROFILE%\AppData\Local\Temp\OnboardLogs" /stypes="app*4055*20170921*" /stext=" 16:.+((SYSTEM_STATE.+slice.+state.+changed )|(ment ac)|(multiple cpu faults)|(system.+state.+changed )|(\[timeout)|(PRM\|1\|D)|(kpr)|(kdp)|(train st.+moving)|(\|lc)|(penalty))"</v>
      </c>
      <c r="AG52" s="182" t="str">
        <f t="shared" si="13"/>
        <v>EC</v>
      </c>
      <c r="AH52" s="78" t="str">
        <f t="shared" si="19"/>
        <v>"%USERPROFILE%\Documents\GitHub\eaglep3\Utilities\RefineRTDCRunTimes.py" --tripid 140-21 --locoid 4055 --swversion DE.1.0.9.0 --startMP 204:232978 --initTime 2017-09-21T09:05:54 --startdatetime 2017-09-21T09:27:16 --delay 72 --endMP 204:152 --enddatetime 2017-09-21T10:07:17 --enforcementcount 0 &gt;&gt;c:\users\stu\Documents\GitHub\eaglep3-reporting\EC\2017-09-21-refined-times.txt</v>
      </c>
      <c r="AI52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{"issue":{"subject":"","project_id":79,"tracker_id":40,"status_id":1,"priority_id":2,"assigned_to_id":338,"start_date":"2017-09-21","description":"","custom_fields":[{"id":1,"name":"Subdivision","value":"EC"},{"id":4,"name":"Milepost","value":"0.0152"},{"id":17,"name":"Train ID","value":"140-21"},{"id":16,"name":"Locomotive ID","value":"4055"},{"id":130,"name":"Impact","value":""},{"id":150,"name":"Time of Event (Mountain Time)","value":"10:07:17"},{"id":151,"name":"Denver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1"/>
        <v>start /low /b %USERPROFILE%\Documents\GitHub\eaglep3\Utilities\DownloadLogsFromS3.py --loco 4055 --day 2017-09-21</v>
      </c>
      <c r="AN52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16:07:17"},{"id":29,"name":"Sharepoint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23"/>
        <v>https://d0f6bd738d7f1b3e5a7ca70fe4ff75f0.us-east-1.aws.found.io/app/kibana#/discover/Steve-Slow-Train-Analysis-(2080s-and-2083s)?_g=(refreshInterval:(display:Off,pause:!f,section:0,value:0),time:(from:'2017-09-21T08:05:54-0600',mode:absolute,to:'2017-09-21T11:07:17-0600'))&amp;_a=(columns:!('Message%20ID',Summary),filters:!(),index:'emp_*',interval:auto,query:(query_string:(analyze_wildcard:!t,query:'Message%5C+ID:(*)+AND+%22rtdc.l.rtdc.4055%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674</v>
      </c>
      <c r="B53" s="7">
        <v>4010</v>
      </c>
      <c r="C53" s="21" t="s">
        <v>196</v>
      </c>
      <c r="D53" s="21" t="s">
        <v>370</v>
      </c>
      <c r="E53" s="13">
        <v>42999.3590625</v>
      </c>
      <c r="F53" s="13">
        <v>42999.364768518521</v>
      </c>
      <c r="G53" s="7">
        <v>139</v>
      </c>
      <c r="H53" s="21" t="s">
        <v>462</v>
      </c>
      <c r="I53" s="13">
        <v>42999.38925925926</v>
      </c>
      <c r="J53" s="7">
        <v>0</v>
      </c>
      <c r="K53" s="89" t="str">
        <f t="shared" si="0"/>
        <v>4009/4010</v>
      </c>
      <c r="L53" s="185" t="str">
        <f>VLOOKUP(A53,'Trips&amp;Operators'!$C$1:$G$99911,5,FALSE)</f>
        <v>GONZALEZ ARMANDO</v>
      </c>
      <c r="M53" s="6">
        <f t="shared" si="1"/>
        <v>2.4490740739565808E-2</v>
      </c>
      <c r="N53" s="7">
        <f t="shared" si="2"/>
        <v>35.266666664974764</v>
      </c>
      <c r="O53" s="7"/>
      <c r="P53" s="7"/>
      <c r="Q53" s="22"/>
      <c r="R53" s="174"/>
      <c r="S53" s="221">
        <f t="shared" si="3"/>
        <v>1</v>
      </c>
      <c r="T53" s="174" t="str">
        <f t="shared" si="4"/>
        <v>NorthBound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 t="shared" si="5"/>
        <v>https://d0f6bd738d7f1b3e5a7ca70fe4ff75f0.us-east-1.aws.found.io/app/kibana#/discover/Steve-Slow-Train-Analysis-(2080s-and-2083s)?_g=(refreshInterval:(display:Off,pause:!f,section:0,value:0),time:(from:'2017-09-21T07:37:03-0600',mode:absolute,to:'2017-09-21T10:20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3" s="204" t="str">
        <f>IF(AA53&lt;VLOOKUP(AG53,Variables!$AC$3:$AD$8,2,FALSE),"Y","N")</f>
        <v>N</v>
      </c>
      <c r="X53" s="204">
        <f t="shared" si="6"/>
        <v>1</v>
      </c>
      <c r="Y53" s="204">
        <f t="shared" si="7"/>
        <v>4.6699999999999998E-2</v>
      </c>
      <c r="Z53" s="204">
        <f t="shared" si="8"/>
        <v>23.3306</v>
      </c>
      <c r="AA53" s="204">
        <f t="shared" si="9"/>
        <v>23.283899999999999</v>
      </c>
      <c r="AB53" s="54" t="e">
        <f>VLOOKUP(A53,Enforcements!$C$7:$K$11,8,0)</f>
        <v>#N/A</v>
      </c>
      <c r="AC53" s="51" t="e">
        <f>VLOOKUP(A53,Enforcements!$C$7:$E$11,3,0)</f>
        <v>#N/A</v>
      </c>
      <c r="AD53" s="179">
        <f t="shared" si="10"/>
        <v>141</v>
      </c>
      <c r="AE53" s="77" t="str">
        <f t="shared" si="11"/>
        <v>aws s3 cp s3://rtdc.mdm.uploadarchive.raw/RTDC4010/ "%USERPROFILE%\AppData\Local\Temp\OnboardLogs"\RTDC4010\2017-09-21 --exclude "*" --recursive --include "*20170921*" &amp; "%USERPROFILE%\Documents\GitHub\mrs-test-scripts\Headless Mode &amp; Sideloading\WalkAndUnGZ.bat" "%USERPROFILE%\AppData\Local\Temp\OnboardLogs"\RTDC4010\2017-09-21 &amp; aws s3 cp s3://rtdc.mdm.uploadarchive.raw/RTDC4010/ "%USERPROFILE%\AppData\Local\Temp\OnboardLogs"\RTDC4010\2017-09-22 --exclude "*" --recursive --include "*20170922*" &amp; "%USERPROFILE%\Documents\GitHub\mrs-test-scripts\Headless Mode &amp; Sideloading\WalkAndUnGZ.bat" "%USERPROFILE%\AppData\Local\Temp\OnboardLogs"\RTDC4010\2017-09-22</v>
      </c>
      <c r="AF53" s="74" t="str">
        <f t="shared" si="12"/>
        <v>"C:\Program Files (x86)\AstroGrep\AstroGrep.exe" /e /r /s /spath="%USERPROFILE%\AppData\Local\Temp\OnboardLogs" /stypes="app*4010*20170921*" /stext=" 15:.+((SYSTEM_STATE.+slice.+state.+changed )|(ment ac)|(multiple cpu faults)|(system.+state.+changed )|(\[timeout)|(PRM\|1\|D)|(kpr)|(kdp)|(train st.+moving)|(\|lc)|(penalty))"</v>
      </c>
      <c r="AG53" s="182" t="str">
        <f t="shared" si="13"/>
        <v>EC</v>
      </c>
      <c r="AH53" s="78" t="str">
        <f t="shared" si="19"/>
        <v>"%USERPROFILE%\Documents\GitHub\eaglep3\Utilities\RefineRTDCRunTimes.py" --tripid 141-21 --locoid 4010 --swversion DE.1.0.9.0 --startMP 204:467 --initTime 2017-09-21T08:37:03 --startdatetime 2017-09-21T08:45:16 --delay 139 --endMP 204:233306 --enddatetime 2017-09-21T09:20:32 --enforcementcount 0 &gt;&gt;c:\users\stu\Documents\GitHub\eaglep3-reporting\EC\2017-09-21-refined-times.txt</v>
      </c>
      <c r="AI53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{"issue":{"subject":"","project_id":79,"tracker_id":40,"status_id":1,"priority_id":2,"assigned_to_id":338,"start_date":"2017-09-21","description":"","custom_fields":[{"id":1,"name":"Subdivision","value":"EC"},{"id":4,"name":"Milepost","value":"23.3306"},{"id":17,"name":"Train ID","value":"141-21"},{"id":16,"name":"Locomotive ID","value":"4010"},{"id":130,"name":"Impact","value":""},{"id":150,"name":"Time of Event (Mountain Time)","value":"09:20:32"},{"id":151,"name":"Denver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1"/>
        <v>start /low /b %USERPROFILE%\Documents\GitHub\eaglep3\Utilities\DownloadLogsFromS3.py --loco 4010 --day 2017-09-21</v>
      </c>
      <c r="AN53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15:20:32"},{"id":29,"name":"Sharepoint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23"/>
        <v>https://d0f6bd738d7f1b3e5a7ca70fe4ff75f0.us-east-1.aws.found.io/app/kibana#/discover/Steve-Slow-Train-Analysis-(2080s-and-2083s)?_g=(refreshInterval:(display:Off,pause:!f,section:0,value:0),time:(from:'2017-09-21T07:37:03-0600',mode:absolute,to:'2017-09-21T10:20:32-0600'))&amp;_a=(columns:!('Message%20ID',Summary),filters:!(),index:'emp_*',interval:auto,query:(query_string:(analyze_wildcard:!t,query:'Message%5C+ID:(*)+AND+%22rtdc.l.rtdc.4010%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686</v>
      </c>
      <c r="B54" s="7">
        <v>4009</v>
      </c>
      <c r="C54" s="21" t="s">
        <v>196</v>
      </c>
      <c r="D54" s="21" t="s">
        <v>463</v>
      </c>
      <c r="E54" s="13">
        <v>42999.400254629632</v>
      </c>
      <c r="F54" s="13">
        <v>42999.404363425929</v>
      </c>
      <c r="G54" s="7">
        <v>73</v>
      </c>
      <c r="H54" s="21" t="s">
        <v>358</v>
      </c>
      <c r="I54" s="13">
        <v>42999.430983796294</v>
      </c>
      <c r="J54" s="7">
        <v>0</v>
      </c>
      <c r="K54" s="89" t="str">
        <f t="shared" si="0"/>
        <v>4009/4010</v>
      </c>
      <c r="L54" s="185" t="str">
        <f>VLOOKUP(A54,'Trips&amp;Operators'!$C$1:$G$99911,5,FALSE)</f>
        <v>GONZALEZ ARMANDO</v>
      </c>
      <c r="M54" s="6">
        <f t="shared" si="1"/>
        <v>2.6620370364980772E-2</v>
      </c>
      <c r="N54" s="7">
        <f t="shared" si="2"/>
        <v>38.333333325572312</v>
      </c>
      <c r="O54" s="7"/>
      <c r="P54" s="7"/>
      <c r="Q54" s="22"/>
      <c r="R54" s="174"/>
      <c r="S54" s="221">
        <f t="shared" si="3"/>
        <v>1</v>
      </c>
      <c r="T54" s="174" t="str">
        <f t="shared" si="4"/>
        <v>Southbound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 t="shared" si="5"/>
        <v>https://d0f6bd738d7f1b3e5a7ca70fe4ff75f0.us-east-1.aws.found.io/app/kibana#/discover/Steve-Slow-Train-Analysis-(2080s-and-2083s)?_g=(refreshInterval:(display:Off,pause:!f,section:0,value:0),time:(from:'2017-09-21T08:36:22-0600',mode:absolute,to:'2017-09-21T11:20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4" s="204" t="str">
        <f>IF(AA54&lt;VLOOKUP(AG54,Variables!$AC$3:$AD$8,2,FALSE),"Y","N")</f>
        <v>N</v>
      </c>
      <c r="X54" s="204">
        <f t="shared" si="6"/>
        <v>1</v>
      </c>
      <c r="Y54" s="204">
        <f t="shared" si="7"/>
        <v>23.2987</v>
      </c>
      <c r="Z54" s="204">
        <f t="shared" si="8"/>
        <v>1.52E-2</v>
      </c>
      <c r="AA54" s="204">
        <f t="shared" si="9"/>
        <v>23.2835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 t="shared" si="10"/>
        <v>142</v>
      </c>
      <c r="AE54" s="77" t="str">
        <f t="shared" si="11"/>
        <v>aws s3 cp s3://rtdc.mdm.uploadarchive.raw/RTDC4009/ "%USERPROFILE%\AppData\Local\Temp\OnboardLogs"\RTDC4009\2017-09-21 --exclude "*" --recursive --include "*20170921*" &amp; "%USERPROFILE%\Documents\GitHub\mrs-test-scripts\Headless Mode &amp; Sideloading\WalkAndUnGZ.bat" "%USERPROFILE%\AppData\Local\Temp\OnboardLogs"\RTDC4009\2017-09-21 &amp; aws s3 cp s3://rtdc.mdm.uploadarchive.raw/RTDC4009/ "%USERPROFILE%\AppData\Local\Temp\OnboardLogs"\RTDC4009\2017-09-22 --exclude "*" --recursive --include "*20170922*" &amp; "%USERPROFILE%\Documents\GitHub\mrs-test-scripts\Headless Mode &amp; Sideloading\WalkAndUnGZ.bat" "%USERPROFILE%\AppData\Local\Temp\OnboardLogs"\RTDC4009\2017-09-22</v>
      </c>
      <c r="AF54" s="74" t="str">
        <f t="shared" si="12"/>
        <v>"C:\Program Files (x86)\AstroGrep\AstroGrep.exe" /e /r /s /spath="%USERPROFILE%\AppData\Local\Temp\OnboardLogs" /stypes="app*4009*20170921*" /stext=" 16:.+((SYSTEM_STATE.+slice.+state.+changed )|(ment ac)|(multiple cpu faults)|(system.+state.+changed )|(\[timeout)|(PRM\|1\|D)|(kpr)|(kdp)|(train st.+moving)|(\|lc)|(penalty))"</v>
      </c>
      <c r="AG54" s="182" t="str">
        <f t="shared" si="13"/>
        <v>EC</v>
      </c>
      <c r="AH54" s="78" t="str">
        <f t="shared" si="19"/>
        <v>"%USERPROFILE%\Documents\GitHub\eaglep3\Utilities\RefineRTDCRunTimes.py" --tripid 142-21 --locoid 4009 --swversion DE.1.0.9.0 --startMP 204:232987 --initTime 2017-09-21T09:36:22 --startdatetime 2017-09-21T09:42:17 --delay 73 --endMP 204:152 --enddatetime 2017-09-21T10:20:37 --enforcementcount 0 &gt;&gt;c:\users\stu\Documents\GitHub\eaglep3-reporting\EC\2017-09-21-refined-times.txt</v>
      </c>
      <c r="AI54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{"issue":{"subject":"","project_id":79,"tracker_id":40,"status_id":1,"priority_id":2,"assigned_to_id":338,"start_date":"2017-09-21","description":"","custom_fields":[{"id":1,"name":"Subdivision","value":"EC"},{"id":4,"name":"Milepost","value":"0.0152"},{"id":17,"name":"Train ID","value":"142-21"},{"id":16,"name":"Locomotive ID","value":"4009"},{"id":130,"name":"Impact","value":""},{"id":150,"name":"Time of Event (Mountain Time)","value":"10:20:37"},{"id":151,"name":"Denver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1"/>
        <v>start /low /b %USERPROFILE%\Documents\GitHub\eaglep3\Utilities\DownloadLogsFromS3.py --loco 4009 --day 2017-09-21</v>
      </c>
      <c r="AN54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16:20:37"},{"id":29,"name":"Sharepoint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23"/>
        <v>https://d0f6bd738d7f1b3e5a7ca70fe4ff75f0.us-east-1.aws.found.io/app/kibana#/discover/Steve-Slow-Train-Analysis-(2080s-and-2083s)?_g=(refreshInterval:(display:Off,pause:!f,section:0,value:0),time:(from:'2017-09-21T08:36:22-0600',mode:absolute,to:'2017-09-21T11:20:37-0600'))&amp;_a=(columns:!('Message%20ID',Summary),filters:!(),index:'emp_*',interval:auto,query:(query_string:(analyze_wildcard:!t,query:'Message%5C+ID:(*)+AND+%22rtdc.l.rtdc.4009%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678</v>
      </c>
      <c r="B55" s="7">
        <v>4030</v>
      </c>
      <c r="C55" s="21" t="s">
        <v>196</v>
      </c>
      <c r="D55" s="21" t="s">
        <v>348</v>
      </c>
      <c r="E55" s="13">
        <v>42999.371458333335</v>
      </c>
      <c r="F55" s="13">
        <v>42999.375347222223</v>
      </c>
      <c r="G55" s="7">
        <v>103</v>
      </c>
      <c r="H55" s="21" t="s">
        <v>841</v>
      </c>
      <c r="I55" s="13">
        <v>42999.399976851855</v>
      </c>
      <c r="J55" s="7">
        <v>0</v>
      </c>
      <c r="K55" s="89" t="str">
        <f t="shared" si="0"/>
        <v>4029/4030</v>
      </c>
      <c r="L55" s="185" t="str">
        <f>VLOOKUP(A55,'Trips&amp;Operators'!$C$1:$G$99911,5,FALSE)</f>
        <v>CASSIDY BRANDON</v>
      </c>
      <c r="M55" s="6">
        <f t="shared" si="1"/>
        <v>2.4629629631817807E-2</v>
      </c>
      <c r="N55" s="7">
        <f t="shared" si="2"/>
        <v>35.466666669817641</v>
      </c>
      <c r="O55" s="7"/>
      <c r="P55" s="7"/>
      <c r="Q55" s="22"/>
      <c r="R55" s="174"/>
      <c r="S55" s="221">
        <f t="shared" si="3"/>
        <v>1</v>
      </c>
      <c r="T55" s="174" t="str">
        <f t="shared" si="4"/>
        <v>NorthBound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 t="shared" si="5"/>
        <v>https://d0f6bd738d7f1b3e5a7ca70fe4ff75f0.us-east-1.aws.found.io/app/kibana#/discover/Steve-Slow-Train-Analysis-(2080s-and-2083s)?_g=(refreshInterval:(display:Off,pause:!f,section:0,value:0),time:(from:'2017-09-21T07:54:54-0600',mode:absolute,to:'2017-09-21T10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5" s="204" t="str">
        <f>IF(AA55&lt;VLOOKUP(AG55,Variables!$AC$3:$AD$8,2,FALSE),"Y","N")</f>
        <v>N</v>
      </c>
      <c r="X55" s="204">
        <f t="shared" si="6"/>
        <v>1</v>
      </c>
      <c r="Y55" s="204">
        <f t="shared" si="7"/>
        <v>4.5499999999999999E-2</v>
      </c>
      <c r="Z55" s="204">
        <f t="shared" si="8"/>
        <v>23.3307</v>
      </c>
      <c r="AA55" s="204">
        <f t="shared" si="9"/>
        <v>23.2852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 t="shared" si="10"/>
        <v>143</v>
      </c>
      <c r="AE55" s="77" t="str">
        <f t="shared" si="11"/>
        <v>aws s3 cp s3://rtdc.mdm.uploadarchive.raw/RTDC4030/ "%USERPROFILE%\AppData\Local\Temp\OnboardLogs"\RTDC4030\2017-09-21 --exclude "*" --recursive --include "*20170921*" &amp; "%USERPROFILE%\Documents\GitHub\mrs-test-scripts\Headless Mode &amp; Sideloading\WalkAndUnGZ.bat" "%USERPROFILE%\AppData\Local\Temp\OnboardLogs"\RTDC4030\2017-09-21 &amp; aws s3 cp s3://rtdc.mdm.uploadarchive.raw/RTDC4030/ "%USERPROFILE%\AppData\Local\Temp\OnboardLogs"\RTDC4030\2017-09-22 --exclude "*" --recursive --include "*20170922*" &amp; "%USERPROFILE%\Documents\GitHub\mrs-test-scripts\Headless Mode &amp; Sideloading\WalkAndUnGZ.bat" "%USERPROFILE%\AppData\Local\Temp\OnboardLogs"\RTDC4030\2017-09-22</v>
      </c>
      <c r="AF55" s="74" t="str">
        <f t="shared" si="12"/>
        <v>"C:\Program Files (x86)\AstroGrep\AstroGrep.exe" /e /r /s /spath="%USERPROFILE%\AppData\Local\Temp\OnboardLogs" /stypes="app*4030*20170921*" /stext=" 15:.+((SYSTEM_STATE.+slice.+state.+changed )|(ment ac)|(multiple cpu faults)|(system.+state.+changed )|(\[timeout)|(PRM\|1\|D)|(kpr)|(kdp)|(train st.+moving)|(\|lc)|(penalty))"</v>
      </c>
      <c r="AG55" s="182" t="str">
        <f t="shared" si="13"/>
        <v>EC</v>
      </c>
      <c r="AH55" s="78" t="str">
        <f t="shared" si="19"/>
        <v>"%USERPROFILE%\Documents\GitHub\eaglep3\Utilities\RefineRTDCRunTimes.py" --tripid 143-21 --locoid 4030 --swversion DE.1.0.9.0 --startMP 204:455 --initTime 2017-09-21T08:54:54 --startdatetime 2017-09-21T09:00:30 --delay 103 --endMP 204:233307 --enddatetime 2017-09-21T09:35:58 --enforcementcount 0 &gt;&gt;c:\users\stu\Documents\GitHub\eaglep3-reporting\EC\2017-09-21-refined-times.txt</v>
      </c>
      <c r="AI55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{"issue":{"subject":"","project_id":79,"tracker_id":40,"status_id":1,"priority_id":2,"assigned_to_id":338,"start_date":"2017-09-21","description":"","custom_fields":[{"id":1,"name":"Subdivision","value":"EC"},{"id":4,"name":"Milepost","value":"23.3307"},{"id":17,"name":"Train ID","value":"143-21"},{"id":16,"name":"Locomotive ID","value":"4030"},{"id":130,"name":"Impact","value":""},{"id":150,"name":"Time of Event (Mountain Time)","value":"09:35:58"},{"id":151,"name":"Denver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1"/>
        <v>start /low /b %USERPROFILE%\Documents\GitHub\eaglep3\Utilities\DownloadLogsFromS3.py --loco 4030 --day 2017-09-21</v>
      </c>
      <c r="AN55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15:35:58"},{"id":29,"name":"Sharepoint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23"/>
        <v>https://d0f6bd738d7f1b3e5a7ca70fe4ff75f0.us-east-1.aws.found.io/app/kibana#/discover/Steve-Slow-Train-Analysis-(2080s-and-2083s)?_g=(refreshInterval:(display:Off,pause:!f,section:0,value:0),time:(from:'2017-09-21T07:54:54-0600',mode:absolute,to:'2017-09-21T10:35:58-0600'))&amp;_a=(columns:!('Message%20ID',Summary),filters:!(),index:'emp_*',interval:auto,query:(query_string:(analyze_wildcard:!t,query:'Message%5C+ID:(*)+AND+%22rtdc.l.rtdc.4030%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688</v>
      </c>
      <c r="B56" s="7">
        <v>4029</v>
      </c>
      <c r="C56" s="21" t="s">
        <v>196</v>
      </c>
      <c r="D56" s="21" t="s">
        <v>852</v>
      </c>
      <c r="E56" s="13">
        <v>42999.412569444445</v>
      </c>
      <c r="F56" s="13">
        <v>42999.414849537039</v>
      </c>
      <c r="G56" s="7">
        <v>89</v>
      </c>
      <c r="H56" s="21" t="s">
        <v>408</v>
      </c>
      <c r="I56" s="13">
        <v>42999.441828703704</v>
      </c>
      <c r="J56" s="7">
        <v>0</v>
      </c>
      <c r="K56" s="89" t="str">
        <f t="shared" si="0"/>
        <v>4029/4030</v>
      </c>
      <c r="L56" s="185" t="str">
        <f>VLOOKUP(A56,'Trips&amp;Operators'!$C$1:$G$99911,5,FALSE)</f>
        <v>CASSIDY BRANDON</v>
      </c>
      <c r="M56" s="6">
        <f t="shared" si="1"/>
        <v>2.6979166665114462E-2</v>
      </c>
      <c r="N56" s="7">
        <f t="shared" si="2"/>
        <v>38.849999997764826</v>
      </c>
      <c r="O56" s="7"/>
      <c r="P56" s="7"/>
      <c r="Q56" s="22"/>
      <c r="R56" s="174"/>
      <c r="S56" s="221">
        <f t="shared" si="3"/>
        <v>1</v>
      </c>
      <c r="T56" s="174" t="str">
        <f t="shared" si="4"/>
        <v>Southbound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 t="shared" si="5"/>
        <v>https://d0f6bd738d7f1b3e5a7ca70fe4ff75f0.us-east-1.aws.found.io/app/kibana#/discover/Steve-Slow-Train-Analysis-(2080s-and-2083s)?_g=(refreshInterval:(display:Off,pause:!f,section:0,value:0),time:(from:'2017-09-21T08:54:06-0600',mode:absolute,to:'2017-09-21T11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6" s="204" t="str">
        <f>IF(AA56&lt;VLOOKUP(AG56,Variables!$AC$3:$AD$8,2,FALSE),"Y","N")</f>
        <v>N</v>
      </c>
      <c r="X56" s="204">
        <f t="shared" si="6"/>
        <v>1</v>
      </c>
      <c r="Y56" s="204">
        <f t="shared" si="7"/>
        <v>23.298999999999999</v>
      </c>
      <c r="Z56" s="204">
        <f t="shared" si="8"/>
        <v>1.54E-2</v>
      </c>
      <c r="AA56" s="204">
        <f t="shared" si="9"/>
        <v>23.2836</v>
      </c>
      <c r="AB56" s="54" t="e">
        <f>VLOOKUP(A56,Enforcements!$C$7:$K$11,8,0)</f>
        <v>#N/A</v>
      </c>
      <c r="AC56" s="51" t="e">
        <f>VLOOKUP(A56,Enforcements!$C$7:$E$11,3,0)</f>
        <v>#N/A</v>
      </c>
      <c r="AD56" s="179">
        <f t="shared" si="10"/>
        <v>144</v>
      </c>
      <c r="AE56" s="77" t="str">
        <f t="shared" si="11"/>
        <v>aws s3 cp s3://rtdc.mdm.uploadarchive.raw/RTDC4029/ "%USERPROFILE%\AppData\Local\Temp\OnboardLogs"\RTDC4029\2017-09-21 --exclude "*" --recursive --include "*20170921*" &amp; "%USERPROFILE%\Documents\GitHub\mrs-test-scripts\Headless Mode &amp; Sideloading\WalkAndUnGZ.bat" "%USERPROFILE%\AppData\Local\Temp\OnboardLogs"\RTDC4029\2017-09-21 &amp; aws s3 cp s3://rtdc.mdm.uploadarchive.raw/RTDC4029/ "%USERPROFILE%\AppData\Local\Temp\OnboardLogs"\RTDC4029\2017-09-22 --exclude "*" --recursive --include "*20170922*" &amp; "%USERPROFILE%\Documents\GitHub\mrs-test-scripts\Headless Mode &amp; Sideloading\WalkAndUnGZ.bat" "%USERPROFILE%\AppData\Local\Temp\OnboardLogs"\RTDC4029\2017-09-22</v>
      </c>
      <c r="AF56" s="74" t="str">
        <f t="shared" si="12"/>
        <v>"C:\Program Files (x86)\AstroGrep\AstroGrep.exe" /e /r /s /spath="%USERPROFILE%\AppData\Local\Temp\OnboardLogs" /stypes="app*4029*20170921*" /stext=" 16:.+((SYSTEM_STATE.+slice.+state.+changed )|(ment ac)|(multiple cpu faults)|(system.+state.+changed )|(\[timeout)|(PRM\|1\|D)|(kpr)|(kdp)|(train st.+moving)|(\|lc)|(penalty))"</v>
      </c>
      <c r="AG56" s="182" t="str">
        <f t="shared" si="13"/>
        <v>EC</v>
      </c>
      <c r="AH56" s="78" t="str">
        <f t="shared" si="19"/>
        <v>"%USERPROFILE%\Documents\GitHub\eaglep3\Utilities\RefineRTDCRunTimes.py" --tripid 144-21 --locoid 4029 --swversion DE.1.0.9.0 --startMP 204:232990 --initTime 2017-09-21T09:54:06 --startdatetime 2017-09-21T09:57:23 --delay 89 --endMP 204:154 --enddatetime 2017-09-21T10:36:14 --enforcementcount 0 &gt;&gt;c:\users\stu\Documents\GitHub\eaglep3-reporting\EC\2017-09-21-refined-times.txt</v>
      </c>
      <c r="AI56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{"issue":{"subject":"","project_id":79,"tracker_id":40,"status_id":1,"priority_id":2,"assigned_to_id":338,"start_date":"2017-09-21","description":"","custom_fields":[{"id":1,"name":"Subdivision","value":"EC"},{"id":4,"name":"Milepost","value":"0.0154"},{"id":17,"name":"Train ID","value":"144-21"},{"id":16,"name":"Locomotive ID","value":"4029"},{"id":130,"name":"Impact","value":""},{"id":150,"name":"Time of Event (Mountain Time)","value":"10:36:14"},{"id":151,"name":"Denver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1"/>
        <v>start /low /b %USERPROFILE%\Documents\GitHub\eaglep3\Utilities\DownloadLogsFromS3.py --loco 4029 --day 2017-09-21</v>
      </c>
      <c r="AN56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16:36:14"},{"id":29,"name":"Sharepoint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23"/>
        <v>https://d0f6bd738d7f1b3e5a7ca70fe4ff75f0.us-east-1.aws.found.io/app/kibana#/discover/Steve-Slow-Train-Analysis-(2080s-and-2083s)?_g=(refreshInterval:(display:Off,pause:!f,section:0,value:0),time:(from:'2017-09-21T08:54:06-0600',mode:absolute,to:'2017-09-21T11:36:14-0600'))&amp;_a=(columns:!('Message%20ID',Summary),filters:!(),index:'emp_*',interval:auto,query:(query_string:(analyze_wildcard:!t,query:'Message%5C+ID:(*)+AND+%22rtdc.l.rtdc.4029%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596</v>
      </c>
      <c r="B57" s="7">
        <v>4052</v>
      </c>
      <c r="C57" s="21" t="s">
        <v>196</v>
      </c>
      <c r="D57" s="21" t="s">
        <v>348</v>
      </c>
      <c r="E57" s="13">
        <v>42999.38108796296</v>
      </c>
      <c r="F57" s="13">
        <v>42999.385636574072</v>
      </c>
      <c r="G57" s="7">
        <v>108</v>
      </c>
      <c r="H57" s="21" t="s">
        <v>441</v>
      </c>
      <c r="I57" s="13">
        <v>42999.412731481483</v>
      </c>
      <c r="J57" s="7">
        <v>0</v>
      </c>
      <c r="K57" s="89" t="str">
        <f t="shared" si="0"/>
        <v>4051/4052</v>
      </c>
      <c r="L57" s="185" t="str">
        <f>VLOOKUP(A57,'Trips&amp;Operators'!$C$1:$G$99911,5,FALSE)</f>
        <v>YANG JAN</v>
      </c>
      <c r="M57" s="6">
        <f t="shared" si="1"/>
        <v>2.7094907411083113E-2</v>
      </c>
      <c r="N57" s="7">
        <f t="shared" si="2"/>
        <v>39.016666671959683</v>
      </c>
      <c r="O57" s="7"/>
      <c r="P57" s="7"/>
      <c r="Q57" s="22"/>
      <c r="R57" s="174"/>
      <c r="S57" s="221">
        <f t="shared" si="3"/>
        <v>1</v>
      </c>
      <c r="T57" s="174" t="str">
        <f t="shared" si="4"/>
        <v>NorthBound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 t="shared" si="5"/>
        <v>https://d0f6bd738d7f1b3e5a7ca70fe4ff75f0.us-east-1.aws.found.io/app/kibana#/discover/Steve-Slow-Train-Analysis-(2080s-and-2083s)?_g=(refreshInterval:(display:Off,pause:!f,section:0,value:0),time:(from:'2017-09-21T08:08:46-0600',mode:absolute,to:'2017-09-21T10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7" s="204" t="str">
        <f>IF(AA57&lt;VLOOKUP(AG57,Variables!$AC$3:$AD$8,2,FALSE),"Y","N")</f>
        <v>N</v>
      </c>
      <c r="X57" s="204">
        <f t="shared" si="6"/>
        <v>1</v>
      </c>
      <c r="Y57" s="204">
        <f t="shared" si="7"/>
        <v>4.5499999999999999E-2</v>
      </c>
      <c r="Z57" s="204">
        <f t="shared" si="8"/>
        <v>23.331</v>
      </c>
      <c r="AA57" s="204">
        <f t="shared" si="9"/>
        <v>23.285499999999999</v>
      </c>
      <c r="AB57" s="54" t="str">
        <f>VLOOKUP(A57,Enforcements!$C$7:$K$11,8,0)</f>
        <v>Bulletin (2)</v>
      </c>
      <c r="AC57" s="51" t="str">
        <f>VLOOKUP(A57,Enforcements!$C$7:$E$11,3,0)</f>
        <v>GRADE CROSSING</v>
      </c>
      <c r="AD57" s="179">
        <f t="shared" si="10"/>
        <v>145</v>
      </c>
      <c r="AE57" s="77" t="str">
        <f t="shared" si="11"/>
        <v>aws s3 cp s3://rtdc.mdm.uploadarchive.raw/RTDC4052/ "%USERPROFILE%\AppData\Local\Temp\OnboardLogs"\RTDC4052\2017-09-21 --exclude "*" --recursive --include "*20170921*" &amp; "%USERPROFILE%\Documents\GitHub\mrs-test-scripts\Headless Mode &amp; Sideloading\WalkAndUnGZ.bat" "%USERPROFILE%\AppData\Local\Temp\OnboardLogs"\RTDC4052\2017-09-21 &amp; aws s3 cp s3://rtdc.mdm.uploadarchive.raw/RTDC4052/ "%USERPROFILE%\AppData\Local\Temp\OnboardLogs"\RTDC4052\2017-09-22 --exclude "*" --recursive --include "*20170922*" &amp; "%USERPROFILE%\Documents\GitHub\mrs-test-scripts\Headless Mode &amp; Sideloading\WalkAndUnGZ.bat" "%USERPROFILE%\AppData\Local\Temp\OnboardLogs"\RTDC4052\2017-09-22</v>
      </c>
      <c r="AF57" s="74" t="str">
        <f t="shared" si="12"/>
        <v>"C:\Program Files (x86)\AstroGrep\AstroGrep.exe" /e /r /s /spath="%USERPROFILE%\AppData\Local\Temp\OnboardLogs" /stypes="app*4052*20170921*" /stext=" 15:.+((SYSTEM_STATE.+slice.+state.+changed )|(ment ac)|(multiple cpu faults)|(system.+state.+changed )|(\[timeout)|(PRM\|1\|D)|(kpr)|(kdp)|(train st.+moving)|(\|lc)|(penalty))"</v>
      </c>
      <c r="AG57" s="182" t="str">
        <f t="shared" si="13"/>
        <v>EC</v>
      </c>
      <c r="AH57" s="78" t="str">
        <f t="shared" si="19"/>
        <v>"%USERPROFILE%\Documents\GitHub\eaglep3\Utilities\RefineRTDCRunTimes.py" --tripid 145-21 --locoid 4052 --swversion DE.1.0.9.0 --startMP 204:455 --initTime 2017-09-21T09:08:46 --startdatetime 2017-09-21T09:15:19 --delay 108 --endMP 204:233310 --enddatetime 2017-09-21T09:54:20 --enforcementcount 0 &gt;&gt;c:\users\stu\Documents\GitHub\eaglep3-reporting\EC\2017-09-21-refined-times.txt</v>
      </c>
      <c r="AI57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{"issue":{"subject":"","project_id":79,"tracker_id":40,"status_id":1,"priority_id":2,"assigned_to_id":338,"start_date":"2017-09-21","description":"","custom_fields":[{"id":1,"name":"Subdivision","value":"EC"},{"id":4,"name":"Milepost","value":"23.331"},{"id":17,"name":"Train ID","value":"145-21"},{"id":16,"name":"Locomotive ID","value":"4052"},{"id":130,"name":"Impact","value":""},{"id":150,"name":"Time of Event (Mountain Time)","value":"09:54:20"},{"id":151,"name":"Denver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1"/>
        <v>start /low /b %USERPROFILE%\Documents\GitHub\eaglep3\Utilities\DownloadLogsFromS3.py --loco 4052 --day 2017-09-21</v>
      </c>
      <c r="AN57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15:54:20"},{"id":29,"name":"Sharepoint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23"/>
        <v>https://d0f6bd738d7f1b3e5a7ca70fe4ff75f0.us-east-1.aws.found.io/app/kibana#/discover/Steve-Slow-Train-Analysis-(2080s-and-2083s)?_g=(refreshInterval:(display:Off,pause:!f,section:0,value:0),time:(from:'2017-09-21T08:08:46-0600',mode:absolute,to:'2017-09-21T10:54:20-0600'))&amp;_a=(columns:!('Message%20ID',Summary),filters:!(),index:'emp_*',interval:auto,query:(query_string:(analyze_wildcard:!t,query:'Message%5C+ID:(*)+AND+%22rtdc.l.rtdc.4052%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689</v>
      </c>
      <c r="B58" s="7">
        <v>4051</v>
      </c>
      <c r="C58" s="21" t="s">
        <v>196</v>
      </c>
      <c r="D58" s="21" t="s">
        <v>406</v>
      </c>
      <c r="E58" s="13">
        <v>42999.419131944444</v>
      </c>
      <c r="F58" s="13">
        <v>42999.425196759257</v>
      </c>
      <c r="G58" s="7">
        <v>88</v>
      </c>
      <c r="H58" s="21" t="s">
        <v>379</v>
      </c>
      <c r="I58" s="13">
        <v>42999.450949074075</v>
      </c>
      <c r="J58" s="7">
        <v>0</v>
      </c>
      <c r="K58" s="89" t="str">
        <f t="shared" si="0"/>
        <v>4051/4052</v>
      </c>
      <c r="L58" s="185" t="str">
        <f>VLOOKUP(A58,'Trips&amp;Operators'!$C$1:$G$99911,5,FALSE)</f>
        <v>YANG JAN</v>
      </c>
      <c r="M58" s="6">
        <f t="shared" si="1"/>
        <v>2.5752314817509614E-2</v>
      </c>
      <c r="N58" s="7">
        <f t="shared" si="2"/>
        <v>37.083333337213844</v>
      </c>
      <c r="O58" s="7"/>
      <c r="P58" s="7"/>
      <c r="Q58" s="22"/>
      <c r="R58" s="174"/>
      <c r="S58" s="221">
        <f t="shared" si="3"/>
        <v>1</v>
      </c>
      <c r="T58" s="174" t="str">
        <f t="shared" si="4"/>
        <v>Southbound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 t="shared" si="5"/>
        <v>https://d0f6bd738d7f1b3e5a7ca70fe4ff75f0.us-east-1.aws.found.io/app/kibana#/discover/Steve-Slow-Train-Analysis-(2080s-and-2083s)?_g=(refreshInterval:(display:Off,pause:!f,section:0,value:0),time:(from:'2017-09-21T09:03:33-0600',mode:absolute,to:'2017-09-21T11:49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8" s="204" t="str">
        <f>IF(AA58&lt;VLOOKUP(AG58,Variables!$AC$3:$AD$8,2,FALSE),"Y","N")</f>
        <v>N</v>
      </c>
      <c r="X58" s="204">
        <f t="shared" si="6"/>
        <v>1</v>
      </c>
      <c r="Y58" s="204">
        <f t="shared" si="7"/>
        <v>23.301300000000001</v>
      </c>
      <c r="Z58" s="204">
        <f t="shared" si="8"/>
        <v>1.6E-2</v>
      </c>
      <c r="AA58" s="204">
        <f t="shared" si="9"/>
        <v>23.285300000000003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 t="shared" si="10"/>
        <v>146</v>
      </c>
      <c r="AE58" s="77" t="str">
        <f t="shared" si="11"/>
        <v>aws s3 cp s3://rtdc.mdm.uploadarchive.raw/RTDC4051/ "%USERPROFILE%\AppData\Local\Temp\OnboardLogs"\RTDC4051\2017-09-21 --exclude "*" --recursive --include "*20170921*" &amp; "%USERPROFILE%\Documents\GitHub\mrs-test-scripts\Headless Mode &amp; Sideloading\WalkAndUnGZ.bat" "%USERPROFILE%\AppData\Local\Temp\OnboardLogs"\RTDC4051\2017-09-21 &amp; aws s3 cp s3://rtdc.mdm.uploadarchive.raw/RTDC4051/ "%USERPROFILE%\AppData\Local\Temp\OnboardLogs"\RTDC4051\2017-09-22 --exclude "*" --recursive --include "*20170922*" &amp; "%USERPROFILE%\Documents\GitHub\mrs-test-scripts\Headless Mode &amp; Sideloading\WalkAndUnGZ.bat" "%USERPROFILE%\AppData\Local\Temp\OnboardLogs"\RTDC4051\2017-09-22</v>
      </c>
      <c r="AF58" s="74" t="str">
        <f t="shared" si="12"/>
        <v>"C:\Program Files (x86)\AstroGrep\AstroGrep.exe" /e /r /s /spath="%USERPROFILE%\AppData\Local\Temp\OnboardLogs" /stypes="app*4051*20170921*" /stext=" 16:.+((SYSTEM_STATE.+slice.+state.+changed )|(ment ac)|(multiple cpu faults)|(system.+state.+changed )|(\[timeout)|(PRM\|1\|D)|(kpr)|(kdp)|(train st.+moving)|(\|lc)|(penalty))"</v>
      </c>
      <c r="AG58" s="182" t="str">
        <f t="shared" si="13"/>
        <v>EC</v>
      </c>
      <c r="AH58" s="78" t="str">
        <f t="shared" si="19"/>
        <v>"%USERPROFILE%\Documents\GitHub\eaglep3\Utilities\RefineRTDCRunTimes.py" --tripid 146-21 --locoid 4051 --swversion DE.1.0.9.0 --startMP 204:233013 --initTime 2017-09-21T10:03:33 --startdatetime 2017-09-21T10:12:17 --delay 88 --endMP 204:160 --enddatetime 2017-09-21T10:49:22 --enforcementcount 0 &gt;&gt;c:\users\stu\Documents\GitHub\eaglep3-reporting\EC\2017-09-21-refined-times.txt</v>
      </c>
      <c r="AI58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{"issue":{"subject":"","project_id":79,"tracker_id":40,"status_id":1,"priority_id":2,"assigned_to_id":338,"start_date":"2017-09-21","description":"","custom_fields":[{"id":1,"name":"Subdivision","value":"EC"},{"id":4,"name":"Milepost","value":"0.016"},{"id":17,"name":"Train ID","value":"146-21"},{"id":16,"name":"Locomotive ID","value":"4051"},{"id":130,"name":"Impact","value":""},{"id":150,"name":"Time of Event (Mountain Time)","value":"10:49:22"},{"id":151,"name":"Denver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1"/>
        <v>start /low /b %USERPROFILE%\Documents\GitHub\eaglep3\Utilities\DownloadLogsFromS3.py --loco 4051 --day 2017-09-21</v>
      </c>
      <c r="AN58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16:49:22"},{"id":29,"name":"Sharepoint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23"/>
        <v>https://d0f6bd738d7f1b3e5a7ca70fe4ff75f0.us-east-1.aws.found.io/app/kibana#/discover/Steve-Slow-Train-Analysis-(2080s-and-2083s)?_g=(refreshInterval:(display:Off,pause:!f,section:0,value:0),time:(from:'2017-09-21T09:03:33-0600',mode:absolute,to:'2017-09-21T11:49:22-0600'))&amp;_a=(columns:!('Message%20ID',Summary),filters:!(),index:'emp_*',interval:auto,query:(query_string:(analyze_wildcard:!t,query:'Message%5C+ID:(*)+AND+%22rtdc.l.rtdc.4051%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684</v>
      </c>
      <c r="B59" s="7">
        <v>4014</v>
      </c>
      <c r="C59" s="21" t="s">
        <v>196</v>
      </c>
      <c r="D59" s="21" t="s">
        <v>411</v>
      </c>
      <c r="E59" s="13">
        <v>42999.3908912037</v>
      </c>
      <c r="F59" s="13">
        <v>42999.396064814813</v>
      </c>
      <c r="G59" s="7">
        <v>74</v>
      </c>
      <c r="H59" s="21" t="s">
        <v>401</v>
      </c>
      <c r="I59" s="13">
        <v>42999.419872685183</v>
      </c>
      <c r="J59" s="7">
        <v>0</v>
      </c>
      <c r="K59" s="89" t="str">
        <f t="shared" si="0"/>
        <v>4013/4014</v>
      </c>
      <c r="L59" s="185" t="str">
        <f>VLOOKUP(A59,'Trips&amp;Operators'!$C$1:$G$99911,5,FALSE)</f>
        <v>PAGE MARCUS</v>
      </c>
      <c r="M59" s="6">
        <f t="shared" si="1"/>
        <v>2.3807870369637385E-2</v>
      </c>
      <c r="N59" s="7">
        <f t="shared" si="2"/>
        <v>34.283333332277834</v>
      </c>
      <c r="O59" s="7"/>
      <c r="P59" s="7"/>
      <c r="Q59" s="22"/>
      <c r="R59" s="174"/>
      <c r="S59" s="221">
        <f t="shared" si="3"/>
        <v>1</v>
      </c>
      <c r="T59" s="174" t="str">
        <f t="shared" si="4"/>
        <v>NorthBound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 t="shared" si="5"/>
        <v>https://d0f6bd738d7f1b3e5a7ca70fe4ff75f0.us-east-1.aws.found.io/app/kibana#/discover/Steve-Slow-Train-Analysis-(2080s-and-2083s)?_g=(refreshInterval:(display:Off,pause:!f,section:0,value:0),time:(from:'2017-09-21T08:22:53-0600',mode:absolute,to:'2017-09-21T11:04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9" s="204" t="str">
        <f>IF(AA59&lt;VLOOKUP(AG59,Variables!$AC$3:$AD$8,2,FALSE),"Y","N")</f>
        <v>N</v>
      </c>
      <c r="X59" s="204">
        <f t="shared" si="6"/>
        <v>1</v>
      </c>
      <c r="Y59" s="204">
        <f t="shared" si="7"/>
        <v>4.3700000000000003E-2</v>
      </c>
      <c r="Z59" s="204">
        <f t="shared" si="8"/>
        <v>23.328900000000001</v>
      </c>
      <c r="AA59" s="204">
        <f t="shared" si="9"/>
        <v>23.2852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 t="shared" si="10"/>
        <v>147</v>
      </c>
      <c r="AE59" s="77" t="str">
        <f t="shared" si="11"/>
        <v>aws s3 cp s3://rtdc.mdm.uploadarchive.raw/RTDC4014/ "%USERPROFILE%\AppData\Local\Temp\OnboardLogs"\RTDC4014\2017-09-21 --exclude "*" --recursive --include "*20170921*" &amp; "%USERPROFILE%\Documents\GitHub\mrs-test-scripts\Headless Mode &amp; Sideloading\WalkAndUnGZ.bat" "%USERPROFILE%\AppData\Local\Temp\OnboardLogs"\RTDC4014\2017-09-21 &amp; aws s3 cp s3://rtdc.mdm.uploadarchive.raw/RTDC4014/ "%USERPROFILE%\AppData\Local\Temp\OnboardLogs"\RTDC4014\2017-09-22 --exclude "*" --recursive --include "*20170922*" &amp; "%USERPROFILE%\Documents\GitHub\mrs-test-scripts\Headless Mode &amp; Sideloading\WalkAndUnGZ.bat" "%USERPROFILE%\AppData\Local\Temp\OnboardLogs"\RTDC4014\2017-09-22</v>
      </c>
      <c r="AF59" s="74" t="str">
        <f t="shared" si="12"/>
        <v>"C:\Program Files (x86)\AstroGrep\AstroGrep.exe" /e /r /s /spath="%USERPROFILE%\AppData\Local\Temp\OnboardLogs" /stypes="app*4014*20170921*" /stext=" 16:.+((SYSTEM_STATE.+slice.+state.+changed )|(ment ac)|(multiple cpu faults)|(system.+state.+changed )|(\[timeout)|(PRM\|1\|D)|(kpr)|(kdp)|(train st.+moving)|(\|lc)|(penalty))"</v>
      </c>
      <c r="AG59" s="182" t="str">
        <f t="shared" si="13"/>
        <v>EC</v>
      </c>
      <c r="AH59" s="78" t="str">
        <f t="shared" si="19"/>
        <v>"%USERPROFILE%\Documents\GitHub\eaglep3\Utilities\RefineRTDCRunTimes.py" --tripid 147-21 --locoid 4014 --swversion DE.1.0.9.0 --startMP 204:437 --initTime 2017-09-21T09:22:53 --startdatetime 2017-09-21T09:30:20 --delay 74 --endMP 204:233289 --enddatetime 2017-09-21T10:04:37 --enforcementcount 0 &gt;&gt;c:\users\stu\Documents\GitHub\eaglep3-reporting\EC\2017-09-21-refined-times.txt</v>
      </c>
      <c r="AI59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{"issue":{"subject":"","project_id":79,"tracker_id":40,"status_id":1,"priority_id":2,"assigned_to_id":338,"start_date":"2017-09-21","description":"","custom_fields":[{"id":1,"name":"Subdivision","value":"EC"},{"id":4,"name":"Milepost","value":"23.3289"},{"id":17,"name":"Train ID","value":"147-21"},{"id":16,"name":"Locomotive ID","value":"4014"},{"id":130,"name":"Impact","value":""},{"id":150,"name":"Time of Event (Mountain Time)","value":"10:04:37"},{"id":151,"name":"Denver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1"/>
        <v>start /low /b %USERPROFILE%\Documents\GitHub\eaglep3\Utilities\DownloadLogsFromS3.py --loco 4014 --day 2017-09-21</v>
      </c>
      <c r="AN59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16:04:37"},{"id":29,"name":"Sharepoint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23"/>
        <v>https://d0f6bd738d7f1b3e5a7ca70fe4ff75f0.us-east-1.aws.found.io/app/kibana#/discover/Steve-Slow-Train-Analysis-(2080s-and-2083s)?_g=(refreshInterval:(display:Off,pause:!f,section:0,value:0),time:(from:'2017-09-21T08:22:53-0600',mode:absolute,to:'2017-09-21T11:04:37-0600'))&amp;_a=(columns:!('Message%20ID',Summary),filters:!(),index:'emp_*',interval:auto,query:(query_string:(analyze_wildcard:!t,query:'Message%5C+ID:(*)+AND+%22rtdc.l.rtdc.4014%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690</v>
      </c>
      <c r="B60" s="7">
        <v>4013</v>
      </c>
      <c r="C60" s="21" t="s">
        <v>196</v>
      </c>
      <c r="D60" s="21" t="s">
        <v>373</v>
      </c>
      <c r="E60" s="13">
        <v>42999.430555555555</v>
      </c>
      <c r="F60" s="13">
        <v>42999.435590277775</v>
      </c>
      <c r="G60" s="7">
        <v>74</v>
      </c>
      <c r="H60" s="21" t="s">
        <v>337</v>
      </c>
      <c r="I60" s="13">
        <v>42999.464201388888</v>
      </c>
      <c r="J60" s="7">
        <v>0</v>
      </c>
      <c r="K60" s="89" t="str">
        <f t="shared" si="0"/>
        <v>4013/4014</v>
      </c>
      <c r="L60" s="185" t="str">
        <f>VLOOKUP(A60,'Trips&amp;Operators'!$C$1:$G$99911,5,FALSE)</f>
        <v>PAGE MARCUS</v>
      </c>
      <c r="M60" s="6">
        <f t="shared" si="1"/>
        <v>2.8611111112695653E-2</v>
      </c>
      <c r="N60" s="7">
        <f t="shared" si="2"/>
        <v>41.20000000228174</v>
      </c>
      <c r="O60" s="7"/>
      <c r="P60" s="7"/>
      <c r="Q60" s="22"/>
      <c r="R60" s="174"/>
      <c r="S60" s="221">
        <f t="shared" si="3"/>
        <v>1</v>
      </c>
      <c r="T60" s="174" t="str">
        <f t="shared" si="4"/>
        <v>Southbound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 t="shared" si="5"/>
        <v>https://d0f6bd738d7f1b3e5a7ca70fe4ff75f0.us-east-1.aws.found.io/app/kibana#/discover/Steve-Slow-Train-Analysis-(2080s-and-2083s)?_g=(refreshInterval:(display:Off,pause:!f,section:0,value:0),time:(from:'2017-09-21T09:20:00-0600',mode:absolute,to:'2017-09-21T12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0" s="204" t="str">
        <f>IF(AA60&lt;VLOOKUP(AG60,Variables!$AC$3:$AD$8,2,FALSE),"Y","N")</f>
        <v>N</v>
      </c>
      <c r="X60" s="204">
        <f t="shared" si="6"/>
        <v>1</v>
      </c>
      <c r="Y60" s="204">
        <f t="shared" si="7"/>
        <v>23.297699999999999</v>
      </c>
      <c r="Z60" s="204">
        <f t="shared" si="8"/>
        <v>1.4999999999999999E-2</v>
      </c>
      <c r="AA60" s="204">
        <f t="shared" si="9"/>
        <v>23.282699999999998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 t="shared" si="10"/>
        <v>148</v>
      </c>
      <c r="AE60" s="77" t="str">
        <f t="shared" si="11"/>
        <v>aws s3 cp s3://rtdc.mdm.uploadarchive.raw/RTDC4013/ "%USERPROFILE%\AppData\Local\Temp\OnboardLogs"\RTDC4013\2017-09-21 --exclude "*" --recursive --include "*20170921*" &amp; "%USERPROFILE%\Documents\GitHub\mrs-test-scripts\Headless Mode &amp; Sideloading\WalkAndUnGZ.bat" "%USERPROFILE%\AppData\Local\Temp\OnboardLogs"\RTDC4013\2017-09-21 &amp; aws s3 cp s3://rtdc.mdm.uploadarchive.raw/RTDC4013/ "%USERPROFILE%\AppData\Local\Temp\OnboardLogs"\RTDC4013\2017-09-22 --exclude "*" --recursive --include "*20170922*" &amp; "%USERPROFILE%\Documents\GitHub\mrs-test-scripts\Headless Mode &amp; Sideloading\WalkAndUnGZ.bat" "%USERPROFILE%\AppData\Local\Temp\OnboardLogs"\RTDC4013\2017-09-22</v>
      </c>
      <c r="AF60" s="74" t="str">
        <f t="shared" si="12"/>
        <v>"C:\Program Files (x86)\AstroGrep\AstroGrep.exe" /e /r /s /spath="%USERPROFILE%\AppData\Local\Temp\OnboardLogs" /stypes="app*4013*20170921*" /stext=" 17:.+((SYSTEM_STATE.+slice.+state.+changed )|(ment ac)|(multiple cpu faults)|(system.+state.+changed )|(\[timeout)|(PRM\|1\|D)|(kpr)|(kdp)|(train st.+moving)|(\|lc)|(penalty))"</v>
      </c>
      <c r="AG60" s="182" t="str">
        <f t="shared" si="13"/>
        <v>EC</v>
      </c>
      <c r="AH60" s="78" t="str">
        <f t="shared" si="19"/>
        <v>"%USERPROFILE%\Documents\GitHub\eaglep3\Utilities\RefineRTDCRunTimes.py" --tripid 148-21 --locoid 4013 --swversion DE.1.0.9.0 --startMP 204:232977 --initTime 2017-09-21T10:20:00 --startdatetime 2017-09-21T10:27:15 --delay 74 --endMP 204:150 --enddatetime 2017-09-21T11:08:27 --enforcementcount 0 &gt;&gt;c:\users\stu\Documents\GitHub\eaglep3-reporting\EC\2017-09-21-refined-times.txt</v>
      </c>
      <c r="AI60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{"issue":{"subject":"","project_id":79,"tracker_id":40,"status_id":1,"priority_id":2,"assigned_to_id":338,"start_date":"2017-09-21","description":"","custom_fields":[{"id":1,"name":"Subdivision","value":"EC"},{"id":4,"name":"Milepost","value":"0.015"},{"id":17,"name":"Train ID","value":"148-21"},{"id":16,"name":"Locomotive ID","value":"4013"},{"id":130,"name":"Impact","value":""},{"id":150,"name":"Time of Event (Mountain Time)","value":"11:08:27"},{"id":151,"name":"Denver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1"/>
        <v>start /low /b %USERPROFILE%\Documents\GitHub\eaglep3\Utilities\DownloadLogsFromS3.py --loco 4013 --day 2017-09-21</v>
      </c>
      <c r="AN60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17:08:27"},{"id":29,"name":"Sharepoint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23"/>
        <v>https://d0f6bd738d7f1b3e5a7ca70fe4ff75f0.us-east-1.aws.found.io/app/kibana#/discover/Steve-Slow-Train-Analysis-(2080s-and-2083s)?_g=(refreshInterval:(display:Off,pause:!f,section:0,value:0),time:(from:'2017-09-21T09:20:00-0600',mode:absolute,to:'2017-09-21T12:08:27-0600'))&amp;_a=(columns:!('Message%20ID',Summary),filters:!(),index:'emp_*',interval:auto,query:(query_string:(analyze_wildcard:!t,query:'Message%5C+ID:(*)+AND+%22rtdc.l.rtdc.4013%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687</v>
      </c>
      <c r="B61" s="7">
        <v>4016</v>
      </c>
      <c r="C61" s="21" t="s">
        <v>196</v>
      </c>
      <c r="D61" s="21" t="s">
        <v>380</v>
      </c>
      <c r="E61" s="13">
        <v>42999.402974537035</v>
      </c>
      <c r="F61" s="13">
        <v>42999.4065625</v>
      </c>
      <c r="G61" s="7">
        <v>79</v>
      </c>
      <c r="H61" s="21" t="s">
        <v>402</v>
      </c>
      <c r="I61" s="13">
        <v>42999.43105324074</v>
      </c>
      <c r="J61" s="7">
        <v>0</v>
      </c>
      <c r="K61" s="89" t="str">
        <f t="shared" si="0"/>
        <v>4015/4016</v>
      </c>
      <c r="L61" s="185" t="str">
        <f>VLOOKUP(A61,'Trips&amp;Operators'!$C$1:$G$99911,5,FALSE)</f>
        <v>GEBRETEKLE DAGNEW</v>
      </c>
      <c r="M61" s="6">
        <f t="shared" si="1"/>
        <v>2.4490740739565808E-2</v>
      </c>
      <c r="N61" s="7">
        <f t="shared" si="2"/>
        <v>35.266666664974764</v>
      </c>
      <c r="O61" s="7"/>
      <c r="P61" s="7"/>
      <c r="Q61" s="22"/>
      <c r="R61" s="174"/>
      <c r="S61" s="221">
        <f t="shared" si="3"/>
        <v>1</v>
      </c>
      <c r="T61" s="174" t="str">
        <f t="shared" si="4"/>
        <v>NorthBound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 t="shared" si="5"/>
        <v>https://d0f6bd738d7f1b3e5a7ca70fe4ff75f0.us-east-1.aws.found.io/app/kibana#/discover/Steve-Slow-Train-Analysis-(2080s-and-2083s)?_g=(refreshInterval:(display:Off,pause:!f,section:0,value:0),time:(from:'2017-09-21T08:40:17-0600',mode:absolute,to:'2017-09-21T11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1" s="204" t="str">
        <f>IF(AA61&lt;VLOOKUP(AG61,Variables!$AC$3:$AD$8,2,FALSE),"Y","N")</f>
        <v>N</v>
      </c>
      <c r="X61" s="204">
        <f t="shared" si="6"/>
        <v>1</v>
      </c>
      <c r="Y61" s="204">
        <f t="shared" si="7"/>
        <v>4.5999999999999999E-2</v>
      </c>
      <c r="Z61" s="204">
        <f t="shared" si="8"/>
        <v>23.331199999999999</v>
      </c>
      <c r="AA61" s="204">
        <f t="shared" si="9"/>
        <v>23.2852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 t="shared" si="10"/>
        <v>149</v>
      </c>
      <c r="AE61" s="77" t="str">
        <f t="shared" si="11"/>
        <v>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 &amp; aws s3 cp s3://rtdc.mdm.uploadarchive.raw/RTDC4016/ "%USERPROFILE%\AppData\Local\Temp\OnboardLogs"\RTDC4016\2017-09-22 --exclude "*" --recursive --include "*20170922*" &amp; "%USERPROFILE%\Documents\GitHub\mrs-test-scripts\Headless Mode &amp; Sideloading\WalkAndUnGZ.bat" "%USERPROFILE%\AppData\Local\Temp\OnboardLogs"\RTDC4016\2017-09-22</v>
      </c>
      <c r="AF61" s="74" t="str">
        <f t="shared" si="12"/>
        <v>"C:\Program Files (x86)\AstroGrep\AstroGrep.exe" /e /r /s /spath="%USERPROFILE%\AppData\Local\Temp\OnboardLogs" /stypes="app*4016*20170921*" /stext=" 16:.+((SYSTEM_STATE.+slice.+state.+changed )|(ment ac)|(multiple cpu faults)|(system.+state.+changed )|(\[timeout)|(PRM\|1\|D)|(kpr)|(kdp)|(train st.+moving)|(\|lc)|(penalty))"</v>
      </c>
      <c r="AG61" s="182" t="str">
        <f t="shared" si="13"/>
        <v>EC</v>
      </c>
      <c r="AH61" s="78" t="str">
        <f t="shared" si="19"/>
        <v>"%USERPROFILE%\Documents\GitHub\eaglep3\Utilities\RefineRTDCRunTimes.py" --tripid 149-21 --locoid 4016 --swversion DE.1.0.9.0 --startMP 204:460 --initTime 2017-09-21T09:40:17 --startdatetime 2017-09-21T09:45:27 --delay 79 --endMP 204:233312 --enddatetime 2017-09-21T10:20:43 --enforcementcount 0 &gt;&gt;c:\users\stu\Documents\GitHub\eaglep3-reporting\EC\2017-09-21-refined-times.txt</v>
      </c>
      <c r="AI61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{"issue":{"subject":"","project_id":79,"tracker_id":40,"status_id":1,"priority_id":2,"assigned_to_id":338,"start_date":"2017-09-21","description":"","custom_fields":[{"id":1,"name":"Subdivision","value":"EC"},{"id":4,"name":"Milepost","value":"23.3312"},{"id":17,"name":"Train ID","value":"149-21"},{"id":16,"name":"Locomotive ID","value":"4016"},{"id":130,"name":"Impact","value":""},{"id":150,"name":"Time of Event (Mountain Time)","value":"10:20:43"},{"id":151,"name":"Denver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1"/>
        <v>start /low /b %USERPROFILE%\Documents\GitHub\eaglep3\Utilities\DownloadLogsFromS3.py --loco 4016 --day 2017-09-21</v>
      </c>
      <c r="AN61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16:20:43"},{"id":29,"name":"Sharepoint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23"/>
        <v>https://d0f6bd738d7f1b3e5a7ca70fe4ff75f0.us-east-1.aws.found.io/app/kibana#/discover/Steve-Slow-Train-Analysis-(2080s-and-2083s)?_g=(refreshInterval:(display:Off,pause:!f,section:0,value:0),time:(from:'2017-09-21T08:40:17-0600',mode:absolute,to:'2017-09-21T11:20:43-0600'))&amp;_a=(columns:!('Message%20ID',Summary),filters:!(),index:'emp_*',interval:auto,query:(query_string:(analyze_wildcard:!t,query:'Message%5C+ID:(*)+AND+%22rtdc.l.rtdc.4016%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692</v>
      </c>
      <c r="B62" s="7">
        <v>4015</v>
      </c>
      <c r="C62" s="21" t="s">
        <v>196</v>
      </c>
      <c r="D62" s="21" t="s">
        <v>547</v>
      </c>
      <c r="E62" s="13">
        <v>42999.432824074072</v>
      </c>
      <c r="F62" s="13">
        <v>42999.446030092593</v>
      </c>
      <c r="G62" s="7">
        <v>92</v>
      </c>
      <c r="H62" s="21" t="s">
        <v>369</v>
      </c>
      <c r="I62" s="13">
        <v>42999.472013888888</v>
      </c>
      <c r="J62" s="7">
        <v>0</v>
      </c>
      <c r="K62" s="89" t="str">
        <f t="shared" si="0"/>
        <v>4015/4016</v>
      </c>
      <c r="L62" s="185" t="str">
        <f>VLOOKUP(A62,'Trips&amp;Operators'!$C$1:$G$99911,5,FALSE)</f>
        <v>GEBRETEKLE DAGNEW</v>
      </c>
      <c r="M62" s="6">
        <f t="shared" si="1"/>
        <v>2.5983796294895001E-2</v>
      </c>
      <c r="N62" s="7">
        <f t="shared" si="2"/>
        <v>37.416666664648801</v>
      </c>
      <c r="O62" s="7"/>
      <c r="P62" s="7"/>
      <c r="Q62" s="22"/>
      <c r="R62" s="174"/>
      <c r="S62" s="221">
        <f t="shared" si="3"/>
        <v>1</v>
      </c>
      <c r="T62" s="174" t="str">
        <f t="shared" si="4"/>
        <v>Southbound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 t="shared" si="5"/>
        <v>https://d0f6bd738d7f1b3e5a7ca70fe4ff75f0.us-east-1.aws.found.io/app/kibana#/discover/Steve-Slow-Train-Analysis-(2080s-and-2083s)?_g=(refreshInterval:(display:Off,pause:!f,section:0,value:0),time:(from:'2017-09-21T09:23:16-0600',mode:absolute,to:'2017-09-21T12:19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2" s="204" t="str">
        <f>IF(AA62&lt;VLOOKUP(AG62,Variables!$AC$3:$AD$8,2,FALSE),"Y","N")</f>
        <v>N</v>
      </c>
      <c r="X62" s="204">
        <f t="shared" si="6"/>
        <v>1</v>
      </c>
      <c r="Y62" s="204">
        <f t="shared" si="7"/>
        <v>23.3002</v>
      </c>
      <c r="Z62" s="204">
        <f t="shared" si="8"/>
        <v>1.5599999999999999E-2</v>
      </c>
      <c r="AA62" s="204">
        <f t="shared" si="9"/>
        <v>23.284600000000001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 t="shared" si="10"/>
        <v>150</v>
      </c>
      <c r="AE62" s="77" t="str">
        <f t="shared" si="11"/>
        <v>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 &amp; aws s3 cp s3://rtdc.mdm.uploadarchive.raw/RTDC4015/ "%USERPROFILE%\AppData\Local\Temp\OnboardLogs"\RTDC4015\2017-09-22 --exclude "*" --recursive --include "*20170922*" &amp; "%USERPROFILE%\Documents\GitHub\mrs-test-scripts\Headless Mode &amp; Sideloading\WalkAndUnGZ.bat" "%USERPROFILE%\AppData\Local\Temp\OnboardLogs"\RTDC4015\2017-09-22</v>
      </c>
      <c r="AF62" s="74" t="str">
        <f t="shared" si="12"/>
        <v>"C:\Program Files (x86)\AstroGrep\AstroGrep.exe" /e /r /s /spath="%USERPROFILE%\AppData\Local\Temp\OnboardLogs" /stypes="app*4015*20170921*" /stext=" 17:.+((SYSTEM_STATE.+slice.+state.+changed )|(ment ac)|(multiple cpu faults)|(system.+state.+changed )|(\[timeout)|(PRM\|1\|D)|(kpr)|(kdp)|(train st.+moving)|(\|lc)|(penalty))"</v>
      </c>
      <c r="AG62" s="182" t="str">
        <f t="shared" si="13"/>
        <v>EC</v>
      </c>
      <c r="AH62" s="78" t="str">
        <f t="shared" si="19"/>
        <v>"%USERPROFILE%\Documents\GitHub\eaglep3\Utilities\RefineRTDCRunTimes.py" --tripid 150-21 --locoid 4015 --swversion DE.1.0.9.0 --startMP 204:233002 --initTime 2017-09-21T10:23:16 --startdatetime 2017-09-21T10:42:17 --delay 92 --endMP 204:156 --enddatetime 2017-09-21T11:19:42 --enforcementcount 0 &gt;&gt;c:\users\stu\Documents\GitHub\eaglep3-reporting\EC\2017-09-21-refined-times.txt</v>
      </c>
      <c r="AI62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{"issue":{"subject":"","project_id":79,"tracker_id":40,"status_id":1,"priority_id":2,"assigned_to_id":338,"start_date":"2017-09-21","description":"","custom_fields":[{"id":1,"name":"Subdivision","value":"EC"},{"id":4,"name":"Milepost","value":"0.0156"},{"id":17,"name":"Train ID","value":"150-21"},{"id":16,"name":"Locomotive ID","value":"4015"},{"id":130,"name":"Impact","value":""},{"id":150,"name":"Time of Event (Mountain Time)","value":"11:19:42"},{"id":151,"name":"Denver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1"/>
        <v>start /low /b %USERPROFILE%\Documents\GitHub\eaglep3\Utilities\DownloadLogsFromS3.py --loco 4015 --day 2017-09-21</v>
      </c>
      <c r="AN62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17:19:42"},{"id":29,"name":"Sharepoint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23"/>
        <v>https://d0f6bd738d7f1b3e5a7ca70fe4ff75f0.us-east-1.aws.found.io/app/kibana#/discover/Steve-Slow-Train-Analysis-(2080s-and-2083s)?_g=(refreshInterval:(display:Off,pause:!f,section:0,value:0),time:(from:'2017-09-21T09:23:16-0600',mode:absolute,to:'2017-09-21T12:19:42-0600'))&amp;_a=(columns:!('Message%20ID',Summary),filters:!(),index:'emp_*',interval:auto,query:(query_string:(analyze_wildcard:!t,query:'Message%5C+ID:(*)+AND+%22rtdc.l.rtdc.4015%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598</v>
      </c>
      <c r="B63" s="7">
        <v>4018</v>
      </c>
      <c r="C63" s="21" t="s">
        <v>196</v>
      </c>
      <c r="D63" s="21" t="s">
        <v>429</v>
      </c>
      <c r="E63" s="13">
        <v>42999.411759259259</v>
      </c>
      <c r="F63" s="13">
        <v>42999.416932870372</v>
      </c>
      <c r="G63" s="7">
        <v>88</v>
      </c>
      <c r="H63" s="21" t="s">
        <v>550</v>
      </c>
      <c r="I63" s="13">
        <v>42999.442870370367</v>
      </c>
      <c r="J63" s="7">
        <v>0</v>
      </c>
      <c r="K63" s="89" t="str">
        <f t="shared" si="0"/>
        <v>4017/4018</v>
      </c>
      <c r="L63" s="185" t="str">
        <f>VLOOKUP(A63,'Trips&amp;Operators'!$C$1:$G$99911,5,FALSE)</f>
        <v>WILLIAMS DONTE</v>
      </c>
      <c r="M63" s="6">
        <f t="shared" si="1"/>
        <v>2.5937499995052349E-2</v>
      </c>
      <c r="N63" s="7">
        <f t="shared" si="2"/>
        <v>37.349999992875382</v>
      </c>
      <c r="O63" s="7"/>
      <c r="P63" s="7"/>
      <c r="Q63" s="22"/>
      <c r="R63" s="174"/>
      <c r="S63" s="221">
        <f t="shared" si="3"/>
        <v>1</v>
      </c>
      <c r="T63" s="174" t="str">
        <f t="shared" si="4"/>
        <v>NorthBound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 t="shared" si="5"/>
        <v>https://d0f6bd738d7f1b3e5a7ca70fe4ff75f0.us-east-1.aws.found.io/app/kibana#/discover/Steve-Slow-Train-Analysis-(2080s-and-2083s)?_g=(refreshInterval:(display:Off,pause:!f,section:0,value:0),time:(from:'2017-09-21T08:52:56-0600',mode:absolute,to:'2017-09-21T11:37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3" s="204" t="str">
        <f>IF(AA63&lt;VLOOKUP(AG63,Variables!$AC$3:$AD$8,2,FALSE),"Y","N")</f>
        <v>N</v>
      </c>
      <c r="X63" s="204">
        <f t="shared" si="6"/>
        <v>1</v>
      </c>
      <c r="Y63" s="204">
        <f t="shared" si="7"/>
        <v>4.7500000000000001E-2</v>
      </c>
      <c r="Z63" s="204">
        <f t="shared" si="8"/>
        <v>23.327999999999999</v>
      </c>
      <c r="AA63" s="204">
        <f t="shared" si="9"/>
        <v>23.2805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 t="shared" si="10"/>
        <v>151</v>
      </c>
      <c r="AE63" s="77" t="str">
        <f t="shared" si="11"/>
        <v>aws s3 cp s3://rtdc.mdm.uploadarchive.raw/RTDC4018/ "%USERPROFILE%\AppData\Local\Temp\OnboardLogs"\RTDC4018\2017-09-21 --exclude "*" --recursive --include "*20170921*" &amp; "%USERPROFILE%\Documents\GitHub\mrs-test-scripts\Headless Mode &amp; Sideloading\WalkAndUnGZ.bat" "%USERPROFILE%\AppData\Local\Temp\OnboardLogs"\RTDC4018\2017-09-21 &amp; aws s3 cp s3://rtdc.mdm.uploadarchive.raw/RTDC4018/ "%USERPROFILE%\AppData\Local\Temp\OnboardLogs"\RTDC4018\2017-09-22 --exclude "*" --recursive --include "*20170922*" &amp; "%USERPROFILE%\Documents\GitHub\mrs-test-scripts\Headless Mode &amp; Sideloading\WalkAndUnGZ.bat" "%USERPROFILE%\AppData\Local\Temp\OnboardLogs"\RTDC4018\2017-09-22</v>
      </c>
      <c r="AF63" s="74" t="str">
        <f t="shared" si="12"/>
        <v>"C:\Program Files (x86)\AstroGrep\AstroGrep.exe" /e /r /s /spath="%USERPROFILE%\AppData\Local\Temp\OnboardLogs" /stypes="app*4018*20170921*" /stext=" 16:.+((SYSTEM_STATE.+slice.+state.+changed )|(ment ac)|(multiple cpu faults)|(system.+state.+changed )|(\[timeout)|(PRM\|1\|D)|(kpr)|(kdp)|(train st.+moving)|(\|lc)|(penalty))"</v>
      </c>
      <c r="AG63" s="182" t="str">
        <f t="shared" si="13"/>
        <v>EC</v>
      </c>
      <c r="AH63" s="78" t="str">
        <f t="shared" si="19"/>
        <v>"%USERPROFILE%\Documents\GitHub\eaglep3\Utilities\RefineRTDCRunTimes.py" --tripid 151-21 --locoid 4018 --swversion DE.1.0.9.0 --startMP 204:475 --initTime 2017-09-21T09:52:56 --startdatetime 2017-09-21T10:00:23 --delay 88 --endMP 204:233280 --enddatetime 2017-09-21T10:37:44 --enforcementcount 0 &gt;&gt;c:\users\stu\Documents\GitHub\eaglep3-reporting\EC\2017-09-21-refined-times.txt</v>
      </c>
      <c r="AI63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{"issue":{"subject":"","project_id":79,"tracker_id":40,"status_id":1,"priority_id":2,"assigned_to_id":338,"start_date":"2017-09-21","description":"","custom_fields":[{"id":1,"name":"Subdivision","value":"EC"},{"id":4,"name":"Milepost","value":"23.328"},{"id":17,"name":"Train ID","value":"151-21"},{"id":16,"name":"Locomotive ID","value":"4018"},{"id":130,"name":"Impact","value":""},{"id":150,"name":"Time of Event (Mountain Time)","value":"10:37:44"},{"id":151,"name":"Denver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1"/>
        <v>start /low /b %USERPROFILE%\Documents\GitHub\eaglep3\Utilities\DownloadLogsFromS3.py --loco 4018 --day 2017-09-21</v>
      </c>
      <c r="AN63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16:37:44"},{"id":29,"name":"Sharepoint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23"/>
        <v>https://d0f6bd738d7f1b3e5a7ca70fe4ff75f0.us-east-1.aws.found.io/app/kibana#/discover/Steve-Slow-Train-Analysis-(2080s-and-2083s)?_g=(refreshInterval:(display:Off,pause:!f,section:0,value:0),time:(from:'2017-09-21T08:52:56-0600',mode:absolute,to:'2017-09-21T11:37:44-0600'))&amp;_a=(columns:!('Message%20ID',Summary),filters:!(),index:'emp_*',interval:auto,query:(query_string:(analyze_wildcard:!t,query:'Message%5C+ID:(*)+AND+%22rtdc.l.rtdc.4018%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697</v>
      </c>
      <c r="B64" s="7">
        <v>4017</v>
      </c>
      <c r="C64" s="21" t="s">
        <v>196</v>
      </c>
      <c r="D64" s="21" t="s">
        <v>416</v>
      </c>
      <c r="E64" s="13">
        <v>42999.451226851852</v>
      </c>
      <c r="F64" s="13">
        <v>42999.456423611111</v>
      </c>
      <c r="G64" s="7">
        <v>84</v>
      </c>
      <c r="H64" s="21" t="s">
        <v>376</v>
      </c>
      <c r="I64" s="13">
        <v>42999.483368055553</v>
      </c>
      <c r="J64" s="7">
        <v>0</v>
      </c>
      <c r="K64" s="89" t="str">
        <f t="shared" si="0"/>
        <v>4017/4018</v>
      </c>
      <c r="L64" s="185" t="str">
        <f>VLOOKUP(A64,'Trips&amp;Operators'!$C$1:$G$99911,5,FALSE)</f>
        <v>WILLIAMS DONTE</v>
      </c>
      <c r="M64" s="6">
        <f t="shared" si="1"/>
        <v>2.6944444442051463E-2</v>
      </c>
      <c r="N64" s="7">
        <f t="shared" si="2"/>
        <v>38.799999996554106</v>
      </c>
      <c r="O64" s="7"/>
      <c r="P64" s="7"/>
      <c r="Q64" s="22"/>
      <c r="R64" s="174"/>
      <c r="S64" s="221">
        <f t="shared" si="3"/>
        <v>1</v>
      </c>
      <c r="T64" s="174" t="str">
        <f t="shared" si="4"/>
        <v>Southbound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 t="shared" si="5"/>
        <v>https://d0f6bd738d7f1b3e5a7ca70fe4ff75f0.us-east-1.aws.found.io/app/kibana#/discover/Steve-Slow-Train-Analysis-(2080s-and-2083s)?_g=(refreshInterval:(display:Off,pause:!f,section:0,value:0),time:(from:'2017-09-21T09:49:46-0600',mode:absolute,to:'2017-09-21T12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4" s="204" t="str">
        <f>IF(AA64&lt;VLOOKUP(AG64,Variables!$AC$3:$AD$8,2,FALSE),"Y","N")</f>
        <v>N</v>
      </c>
      <c r="X64" s="204">
        <f t="shared" si="6"/>
        <v>1</v>
      </c>
      <c r="Y64" s="204">
        <f t="shared" si="7"/>
        <v>23.297799999999999</v>
      </c>
      <c r="Z64" s="204">
        <f t="shared" si="8"/>
        <v>1.61E-2</v>
      </c>
      <c r="AA64" s="204">
        <f t="shared" si="9"/>
        <v>23.281699999999997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 t="shared" si="10"/>
        <v>152</v>
      </c>
      <c r="AE64" s="77" t="str">
        <f t="shared" si="11"/>
        <v>aws s3 cp s3://rtdc.mdm.uploadarchive.raw/RTDC4017/ "%USERPROFILE%\AppData\Local\Temp\OnboardLogs"\RTDC4017\2017-09-21 --exclude "*" --recursive --include "*20170921*" &amp; "%USERPROFILE%\Documents\GitHub\mrs-test-scripts\Headless Mode &amp; Sideloading\WalkAndUnGZ.bat" "%USERPROFILE%\AppData\Local\Temp\OnboardLogs"\RTDC4017\2017-09-21 &amp; aws s3 cp s3://rtdc.mdm.uploadarchive.raw/RTDC4017/ "%USERPROFILE%\AppData\Local\Temp\OnboardLogs"\RTDC4017\2017-09-22 --exclude "*" --recursive --include "*20170922*" &amp; "%USERPROFILE%\Documents\GitHub\mrs-test-scripts\Headless Mode &amp; Sideloading\WalkAndUnGZ.bat" "%USERPROFILE%\AppData\Local\Temp\OnboardLogs"\RTDC4017\2017-09-22</v>
      </c>
      <c r="AF64" s="74" t="str">
        <f t="shared" si="12"/>
        <v>"C:\Program Files (x86)\AstroGrep\AstroGrep.exe" /e /r /s /spath="%USERPROFILE%\AppData\Local\Temp\OnboardLogs" /stypes="app*4017*20170921*" /stext=" 17:.+((SYSTEM_STATE.+slice.+state.+changed )|(ment ac)|(multiple cpu faults)|(system.+state.+changed )|(\[timeout)|(PRM\|1\|D)|(kpr)|(kdp)|(train st.+moving)|(\|lc)|(penalty))"</v>
      </c>
      <c r="AG64" s="182" t="str">
        <f t="shared" si="13"/>
        <v>EC</v>
      </c>
      <c r="AH64" s="78" t="str">
        <f t="shared" si="19"/>
        <v>"%USERPROFILE%\Documents\GitHub\eaglep3\Utilities\RefineRTDCRunTimes.py" --tripid 152-21 --locoid 4017 --swversion DE.1.0.9.0 --startMP 204:232978 --initTime 2017-09-21T10:49:46 --startdatetime 2017-09-21T10:57:15 --delay 84 --endMP 204:161 --enddatetime 2017-09-21T11:36:03 --enforcementcount 0 &gt;&gt;c:\users\stu\Documents\GitHub\eaglep3-reporting\EC\2017-09-21-refined-times.txt</v>
      </c>
      <c r="AI64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{"issue":{"subject":"","project_id":79,"tracker_id":40,"status_id":1,"priority_id":2,"assigned_to_id":338,"start_date":"2017-09-21","description":"","custom_fields":[{"id":1,"name":"Subdivision","value":"EC"},{"id":4,"name":"Milepost","value":"0.0161"},{"id":17,"name":"Train ID","value":"152-21"},{"id":16,"name":"Locomotive ID","value":"4017"},{"id":130,"name":"Impact","value":""},{"id":150,"name":"Time of Event (Mountain Time)","value":"11:36:03"},{"id":151,"name":"Denver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1"/>
        <v>start /low /b %USERPROFILE%\Documents\GitHub\eaglep3\Utilities\DownloadLogsFromS3.py --loco 4017 --day 2017-09-21</v>
      </c>
      <c r="AN64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17:36:03"},{"id":29,"name":"Sharepoint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23"/>
        <v>https://d0f6bd738d7f1b3e5a7ca70fe4ff75f0.us-east-1.aws.found.io/app/kibana#/discover/Steve-Slow-Train-Analysis-(2080s-and-2083s)?_g=(refreshInterval:(display:Off,pause:!f,section:0,value:0),time:(from:'2017-09-21T09:49:46-0600',mode:absolute,to:'2017-09-21T12:36:03-0600'))&amp;_a=(columns:!('Message%20ID',Summary),filters:!(),index:'emp_*',interval:auto,query:(query_string:(analyze_wildcard:!t,query:'Message%5C+ID:(*)+AND+%22rtdc.l.rtdc.4017%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599</v>
      </c>
      <c r="B65" s="7">
        <v>4056</v>
      </c>
      <c r="C65" s="21" t="s">
        <v>196</v>
      </c>
      <c r="D65" s="21" t="s">
        <v>403</v>
      </c>
      <c r="E65" s="13">
        <v>42999.424537037034</v>
      </c>
      <c r="F65" s="13">
        <v>42999.42728009259</v>
      </c>
      <c r="G65" s="7">
        <v>92</v>
      </c>
      <c r="H65" s="21" t="s">
        <v>467</v>
      </c>
      <c r="I65" s="13">
        <v>42999.452870370369</v>
      </c>
      <c r="J65" s="7">
        <v>0</v>
      </c>
      <c r="K65" s="89" t="str">
        <f t="shared" si="0"/>
        <v>4055/4056</v>
      </c>
      <c r="L65" s="185" t="str">
        <f>VLOOKUP(A65,'Trips&amp;Operators'!$C$1:$G$99911,5,FALSE)</f>
        <v>DAVIS WENDY</v>
      </c>
      <c r="M65" s="6">
        <f t="shared" si="1"/>
        <v>2.5590277778974269E-2</v>
      </c>
      <c r="N65" s="7">
        <f t="shared" si="2"/>
        <v>36.850000001722947</v>
      </c>
      <c r="O65" s="7"/>
      <c r="P65" s="7"/>
      <c r="Q65" s="22"/>
      <c r="R65" s="174"/>
      <c r="S65" s="221">
        <f t="shared" si="3"/>
        <v>1</v>
      </c>
      <c r="T65" s="174" t="str">
        <f t="shared" si="4"/>
        <v>NorthBound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 t="shared" si="5"/>
        <v>https://d0f6bd738d7f1b3e5a7ca70fe4ff75f0.us-east-1.aws.found.io/app/kibana#/discover/Steve-Slow-Train-Analysis-(2080s-and-2083s)?_g=(refreshInterval:(display:Off,pause:!f,section:0,value:0),time:(from:'2017-09-21T09:11:20-0600',mode:absolute,to:'2017-09-21T11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5" s="204" t="str">
        <f>IF(AA65&lt;VLOOKUP(AG65,Variables!$AC$3:$AD$8,2,FALSE),"Y","N")</f>
        <v>N</v>
      </c>
      <c r="X65" s="204">
        <f t="shared" si="6"/>
        <v>1</v>
      </c>
      <c r="Y65" s="204">
        <f t="shared" si="7"/>
        <v>4.7100000000000003E-2</v>
      </c>
      <c r="Z65" s="204">
        <f t="shared" si="8"/>
        <v>23.329799999999999</v>
      </c>
      <c r="AA65" s="204">
        <f t="shared" si="9"/>
        <v>23.282699999999998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 t="shared" si="10"/>
        <v>153</v>
      </c>
      <c r="AE65" s="77" t="str">
        <f t="shared" si="11"/>
        <v>aws s3 cp s3://rtdc.mdm.uploadarchive.raw/RTDC4056/ "%USERPROFILE%\AppData\Local\Temp\OnboardLogs"\RTDC4056\2017-09-21 --exclude "*" --recursive --include "*20170921*" &amp; "%USERPROFILE%\Documents\GitHub\mrs-test-scripts\Headless Mode &amp; Sideloading\WalkAndUnGZ.bat" "%USERPROFILE%\AppData\Local\Temp\OnboardLogs"\RTDC4056\2017-09-21 &amp; aws s3 cp s3://rtdc.mdm.uploadarchive.raw/RTDC4056/ "%USERPROFILE%\AppData\Local\Temp\OnboardLogs"\RTDC4056\2017-09-22 --exclude "*" --recursive --include "*20170922*" &amp; "%USERPROFILE%\Documents\GitHub\mrs-test-scripts\Headless Mode &amp; Sideloading\WalkAndUnGZ.bat" "%USERPROFILE%\AppData\Local\Temp\OnboardLogs"\RTDC4056\2017-09-22</v>
      </c>
      <c r="AF65" s="74" t="str">
        <f t="shared" si="12"/>
        <v>"C:\Program Files (x86)\AstroGrep\AstroGrep.exe" /e /r /s /spath="%USERPROFILE%\AppData\Local\Temp\OnboardLogs" /stypes="app*4056*20170921*" /stext=" 16:.+((SYSTEM_STATE.+slice.+state.+changed )|(ment ac)|(multiple cpu faults)|(system.+state.+changed )|(\[timeout)|(PRM\|1\|D)|(kpr)|(kdp)|(train st.+moving)|(\|lc)|(penalty))"</v>
      </c>
      <c r="AG65" s="182" t="str">
        <f t="shared" si="13"/>
        <v>EC</v>
      </c>
      <c r="AH65" s="78" t="str">
        <f t="shared" si="19"/>
        <v>"%USERPROFILE%\Documents\GitHub\eaglep3\Utilities\RefineRTDCRunTimes.py" --tripid 153-21 --locoid 4056 --swversion DE.1.0.9.0 --startMP 204:471 --initTime 2017-09-21T10:11:20 --startdatetime 2017-09-21T10:15:17 --delay 92 --endMP 204:233298 --enddatetime 2017-09-21T10:52:08 --enforcementcount 0 &gt;&gt;c:\users\stu\Documents\GitHub\eaglep3-reporting\EC\2017-09-21-refined-times.txt</v>
      </c>
      <c r="AI65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{"issue":{"subject":"","project_id":79,"tracker_id":40,"status_id":1,"priority_id":2,"assigned_to_id":338,"start_date":"2017-09-21","description":"","custom_fields":[{"id":1,"name":"Subdivision","value":"EC"},{"id":4,"name":"Milepost","value":"23.3298"},{"id":17,"name":"Train ID","value":"153-21"},{"id":16,"name":"Locomotive ID","value":"4056"},{"id":130,"name":"Impact","value":""},{"id":150,"name":"Time of Event (Mountain Time)","value":"10:52:08"},{"id":151,"name":"Denver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1"/>
        <v>start /low /b %USERPROFILE%\Documents\GitHub\eaglep3\Utilities\DownloadLogsFromS3.py --loco 4056 --day 2017-09-21</v>
      </c>
      <c r="AN65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16:52:08"},{"id":29,"name":"Sharepoint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23"/>
        <v>https://d0f6bd738d7f1b3e5a7ca70fe4ff75f0.us-east-1.aws.found.io/app/kibana#/discover/Steve-Slow-Train-Analysis-(2080s-and-2083s)?_g=(refreshInterval:(display:Off,pause:!f,section:0,value:0),time:(from:'2017-09-21T09:11:20-0600',mode:absolute,to:'2017-09-21T11:52:08-0600'))&amp;_a=(columns:!('Message%20ID',Summary),filters:!(),index:'emp_*',interval:auto,query:(query_string:(analyze_wildcard:!t,query:'Message%5C+ID:(*)+AND+%22rtdc.l.rtdc.4056%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699</v>
      </c>
      <c r="B66" s="7">
        <v>4055</v>
      </c>
      <c r="C66" s="21" t="s">
        <v>196</v>
      </c>
      <c r="D66" s="21" t="s">
        <v>398</v>
      </c>
      <c r="E66" s="13">
        <v>42999.456203703703</v>
      </c>
      <c r="F66" s="13">
        <v>42999.466840277775</v>
      </c>
      <c r="G66" s="7">
        <v>66</v>
      </c>
      <c r="H66" s="21" t="s">
        <v>408</v>
      </c>
      <c r="I66" s="13">
        <v>42999.494780092595</v>
      </c>
      <c r="J66" s="7">
        <v>0</v>
      </c>
      <c r="K66" s="89" t="str">
        <f t="shared" si="0"/>
        <v>4055/4056</v>
      </c>
      <c r="L66" s="185" t="str">
        <f>VLOOKUP(A66,'Trips&amp;Operators'!$C$1:$G$99911,5,FALSE)</f>
        <v>DAVIS WENDY</v>
      </c>
      <c r="M66" s="6">
        <f t="shared" si="1"/>
        <v>2.7939814819546882E-2</v>
      </c>
      <c r="N66" s="7">
        <f t="shared" si="2"/>
        <v>40.23333334014751</v>
      </c>
      <c r="O66" s="7"/>
      <c r="P66" s="7"/>
      <c r="Q66" s="22"/>
      <c r="R66" s="174"/>
      <c r="S66" s="221">
        <f t="shared" si="3"/>
        <v>1</v>
      </c>
      <c r="T66" s="174" t="str">
        <f t="shared" si="4"/>
        <v>Southbound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 t="shared" si="5"/>
        <v>https://d0f6bd738d7f1b3e5a7ca70fe4ff75f0.us-east-1.aws.found.io/app/kibana#/discover/Steve-Slow-Train-Analysis-(2080s-and-2083s)?_g=(refreshInterval:(display:Off,pause:!f,section:0,value:0),time:(from:'2017-09-21T09:56:56-0600',mode:absolute,to:'2017-09-21T12:52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6" s="204" t="str">
        <f>IF(AA66&lt;VLOOKUP(AG66,Variables!$AC$3:$AD$8,2,FALSE),"Y","N")</f>
        <v>N</v>
      </c>
      <c r="X66" s="204">
        <f t="shared" si="6"/>
        <v>1</v>
      </c>
      <c r="Y66" s="204">
        <f t="shared" si="7"/>
        <v>23.299600000000002</v>
      </c>
      <c r="Z66" s="204">
        <f t="shared" si="8"/>
        <v>1.54E-2</v>
      </c>
      <c r="AA66" s="204">
        <f t="shared" si="9"/>
        <v>23.284200000000002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 t="shared" si="10"/>
        <v>154</v>
      </c>
      <c r="AE66" s="77" t="str">
        <f t="shared" si="11"/>
        <v>aws s3 cp s3://rtdc.mdm.uploadarchive.raw/RTDC4055/ "%USERPROFILE%\AppData\Local\Temp\OnboardLogs"\RTDC4055\2017-09-21 --exclude "*" --recursive --include "*20170921*" &amp; "%USERPROFILE%\Documents\GitHub\mrs-test-scripts\Headless Mode &amp; Sideloading\WalkAndUnGZ.bat" "%USERPROFILE%\AppData\Local\Temp\OnboardLogs"\RTDC4055\2017-09-21 &amp; aws s3 cp s3://rtdc.mdm.uploadarchive.raw/RTDC4055/ "%USERPROFILE%\AppData\Local\Temp\OnboardLogs"\RTDC4055\2017-09-22 --exclude "*" --recursive --include "*20170922*" &amp; "%USERPROFILE%\Documents\GitHub\mrs-test-scripts\Headless Mode &amp; Sideloading\WalkAndUnGZ.bat" "%USERPROFILE%\AppData\Local\Temp\OnboardLogs"\RTDC4055\2017-09-22</v>
      </c>
      <c r="AF66" s="74" t="str">
        <f t="shared" si="12"/>
        <v>"C:\Program Files (x86)\AstroGrep\AstroGrep.exe" /e /r /s /spath="%USERPROFILE%\AppData\Local\Temp\OnboardLogs" /stypes="app*4055*20170921*" /stext=" 17:.+((SYSTEM_STATE.+slice.+state.+changed )|(ment ac)|(multiple cpu faults)|(system.+state.+changed )|(\[timeout)|(PRM\|1\|D)|(kpr)|(kdp)|(train st.+moving)|(\|lc)|(penalty))"</v>
      </c>
      <c r="AG66" s="182" t="str">
        <f t="shared" si="13"/>
        <v>EC</v>
      </c>
      <c r="AH66" s="78" t="str">
        <f t="shared" si="19"/>
        <v>"%USERPROFILE%\Documents\GitHub\eaglep3\Utilities\RefineRTDCRunTimes.py" --tripid 154-21 --locoid 4055 --swversion DE.1.0.9.0 --startMP 204:232996 --initTime 2017-09-21T10:56:56 --startdatetime 2017-09-21T11:12:15 --delay 66 --endMP 204:154 --enddatetime 2017-09-21T11:52:29 --enforcementcount 0 &gt;&gt;c:\users\stu\Documents\GitHub\eaglep3-reporting\EC\2017-09-21-refined-times.txt</v>
      </c>
      <c r="AI66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{"issue":{"subject":"","project_id":79,"tracker_id":40,"status_id":1,"priority_id":2,"assigned_to_id":338,"start_date":"2017-09-21","description":"","custom_fields":[{"id":1,"name":"Subdivision","value":"EC"},{"id":4,"name":"Milepost","value":"0.0154"},{"id":17,"name":"Train ID","value":"154-21"},{"id":16,"name":"Locomotive ID","value":"4055"},{"id":130,"name":"Impact","value":""},{"id":150,"name":"Time of Event (Mountain Time)","value":"11:52:29"},{"id":151,"name":"Denver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1"/>
        <v>start /low /b %USERPROFILE%\Documents\GitHub\eaglep3\Utilities\DownloadLogsFromS3.py --loco 4055 --day 2017-09-21</v>
      </c>
      <c r="AN66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17:52:29"},{"id":29,"name":"Sharepoint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23"/>
        <v>https://d0f6bd738d7f1b3e5a7ca70fe4ff75f0.us-east-1.aws.found.io/app/kibana#/discover/Steve-Slow-Train-Analysis-(2080s-and-2083s)?_g=(refreshInterval:(display:Off,pause:!f,section:0,value:0),time:(from:'2017-09-21T09:56:56-0600',mode:absolute,to:'2017-09-21T12:52:29-0600'))&amp;_a=(columns:!('Message%20ID',Summary),filters:!(),index:'emp_*',interval:auto,query:(query_string:(analyze_wildcard:!t,query:'Message%5C+ID:(*)+AND+%22rtdc.l.rtdc.4055%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691</v>
      </c>
      <c r="B67" s="7">
        <v>4010</v>
      </c>
      <c r="C67" s="21" t="s">
        <v>196</v>
      </c>
      <c r="D67" s="21" t="s">
        <v>362</v>
      </c>
      <c r="E67" s="13">
        <v>42999.432627314818</v>
      </c>
      <c r="F67" s="13">
        <v>42999.437662037039</v>
      </c>
      <c r="G67" s="7">
        <v>62</v>
      </c>
      <c r="H67" s="21" t="s">
        <v>440</v>
      </c>
      <c r="I67" s="13">
        <v>42999.461458333331</v>
      </c>
      <c r="J67" s="7">
        <v>0</v>
      </c>
      <c r="K67" s="89" t="str">
        <f t="shared" si="0"/>
        <v>4009/4010</v>
      </c>
      <c r="L67" s="185" t="str">
        <f>VLOOKUP(A67,'Trips&amp;Operators'!$C$1:$G$99911,5,FALSE)</f>
        <v>YANAI IAN</v>
      </c>
      <c r="M67" s="6">
        <f t="shared" si="1"/>
        <v>2.3796296292857733E-2</v>
      </c>
      <c r="N67" s="7">
        <f t="shared" si="2"/>
        <v>34.266666661715135</v>
      </c>
      <c r="O67" s="7"/>
      <c r="P67" s="7"/>
      <c r="Q67" s="22"/>
      <c r="R67" s="174"/>
      <c r="S67" s="221">
        <f t="shared" si="3"/>
        <v>1</v>
      </c>
      <c r="T67" s="174" t="str">
        <f t="shared" si="4"/>
        <v>NorthBound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 t="shared" si="5"/>
        <v>https://d0f6bd738d7f1b3e5a7ca70fe4ff75f0.us-east-1.aws.found.io/app/kibana#/discover/Steve-Slow-Train-Analysis-(2080s-and-2083s)?_g=(refreshInterval:(display:Off,pause:!f,section:0,value:0),time:(from:'2017-09-21T09:22:59-0600',mode:absolute,to:'2017-09-21T12:04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7" s="204" t="str">
        <f>IF(AA67&lt;VLOOKUP(AG67,Variables!$AC$3:$AD$8,2,FALSE),"Y","N")</f>
        <v>N</v>
      </c>
      <c r="X67" s="204">
        <f t="shared" si="6"/>
        <v>1</v>
      </c>
      <c r="Y67" s="204">
        <f t="shared" si="7"/>
        <v>4.6399999999999997E-2</v>
      </c>
      <c r="Z67" s="204">
        <f t="shared" si="8"/>
        <v>23.331800000000001</v>
      </c>
      <c r="AA67" s="204">
        <f t="shared" si="9"/>
        <v>23.285400000000003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 t="shared" si="10"/>
        <v>155</v>
      </c>
      <c r="AE67" s="77" t="str">
        <f t="shared" si="11"/>
        <v>aws s3 cp s3://rtdc.mdm.uploadarchive.raw/RTDC4010/ "%USERPROFILE%\AppData\Local\Temp\OnboardLogs"\RTDC4010\2017-09-21 --exclude "*" --recursive --include "*20170921*" &amp; "%USERPROFILE%\Documents\GitHub\mrs-test-scripts\Headless Mode &amp; Sideloading\WalkAndUnGZ.bat" "%USERPROFILE%\AppData\Local\Temp\OnboardLogs"\RTDC4010\2017-09-21 &amp; aws s3 cp s3://rtdc.mdm.uploadarchive.raw/RTDC4010/ "%USERPROFILE%\AppData\Local\Temp\OnboardLogs"\RTDC4010\2017-09-22 --exclude "*" --recursive --include "*20170922*" &amp; "%USERPROFILE%\Documents\GitHub\mrs-test-scripts\Headless Mode &amp; Sideloading\WalkAndUnGZ.bat" "%USERPROFILE%\AppData\Local\Temp\OnboardLogs"\RTDC4010\2017-09-22</v>
      </c>
      <c r="AF67" s="74" t="str">
        <f t="shared" si="12"/>
        <v>"C:\Program Files (x86)\AstroGrep\AstroGrep.exe" /e /r /s /spath="%USERPROFILE%\AppData\Local\Temp\OnboardLogs" /stypes="app*4010*20170921*" /stext=" 17:.+((SYSTEM_STATE.+slice.+state.+changed )|(ment ac)|(multiple cpu faults)|(system.+state.+changed )|(\[timeout)|(PRM\|1\|D)|(kpr)|(kdp)|(train st.+moving)|(\|lc)|(penalty))"</v>
      </c>
      <c r="AG67" s="182" t="str">
        <f t="shared" si="13"/>
        <v>EC</v>
      </c>
      <c r="AH67" s="78" t="str">
        <f t="shared" si="19"/>
        <v>"%USERPROFILE%\Documents\GitHub\eaglep3\Utilities\RefineRTDCRunTimes.py" --tripid 155-21 --locoid 4010 --swversion DE.1.0.9.0 --startMP 204:464 --initTime 2017-09-21T10:22:59 --startdatetime 2017-09-21T10:30:14 --delay 62 --endMP 204:233318 --enddatetime 2017-09-21T11:04:30 --enforcementcount 0 &gt;&gt;c:\users\stu\Documents\GitHub\eaglep3-reporting\EC\2017-09-21-refined-times.txt</v>
      </c>
      <c r="AI67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{"issue":{"subject":"","project_id":79,"tracker_id":40,"status_id":1,"priority_id":2,"assigned_to_id":338,"start_date":"2017-09-21","description":"","custom_fields":[{"id":1,"name":"Subdivision","value":"EC"},{"id":4,"name":"Milepost","value":"23.3318"},{"id":17,"name":"Train ID","value":"155-21"},{"id":16,"name":"Locomotive ID","value":"4010"},{"id":130,"name":"Impact","value":""},{"id":150,"name":"Time of Event (Mountain Time)","value":"11:04:30"},{"id":151,"name":"Denver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1"/>
        <v>start /low /b %USERPROFILE%\Documents\GitHub\eaglep3\Utilities\DownloadLogsFromS3.py --loco 4010 --day 2017-09-21</v>
      </c>
      <c r="AN67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17:04:30"},{"id":29,"name":"Sharepoint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23"/>
        <v>https://d0f6bd738d7f1b3e5a7ca70fe4ff75f0.us-east-1.aws.found.io/app/kibana#/discover/Steve-Slow-Train-Analysis-(2080s-and-2083s)?_g=(refreshInterval:(display:Off,pause:!f,section:0,value:0),time:(from:'2017-09-21T09:22:59-0600',mode:absolute,to:'2017-09-21T12:04:30-0600'))&amp;_a=(columns:!('Message%20ID',Summary),filters:!(),index:'emp_*',interval:auto,query:(query_string:(analyze_wildcard:!t,query:'Message%5C+ID:(*)+AND+%22rtdc.l.rtdc.4010%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701</v>
      </c>
      <c r="B68" s="7">
        <v>4009</v>
      </c>
      <c r="C68" s="21" t="s">
        <v>196</v>
      </c>
      <c r="D68" s="21" t="s">
        <v>852</v>
      </c>
      <c r="E68" s="13">
        <v>42999.462442129632</v>
      </c>
      <c r="F68" s="13">
        <v>42999.477268518516</v>
      </c>
      <c r="G68" s="7">
        <v>58</v>
      </c>
      <c r="H68" s="21" t="s">
        <v>853</v>
      </c>
      <c r="I68" s="13">
        <v>42999.504074074073</v>
      </c>
      <c r="J68" s="7">
        <v>0</v>
      </c>
      <c r="K68" s="89" t="str">
        <f t="shared" si="0"/>
        <v>4009/4010</v>
      </c>
      <c r="L68" s="185" t="str">
        <f>VLOOKUP(A68,'Trips&amp;Operators'!$C$1:$G$99911,5,FALSE)</f>
        <v>YANAI IAN</v>
      </c>
      <c r="M68" s="6">
        <f t="shared" si="1"/>
        <v>2.6805555557075422E-2</v>
      </c>
      <c r="N68" s="7">
        <f t="shared" si="2"/>
        <v>38.600000002188608</v>
      </c>
      <c r="O68" s="7"/>
      <c r="P68" s="7"/>
      <c r="Q68" s="22"/>
      <c r="R68" s="174"/>
      <c r="S68" s="221">
        <f t="shared" si="3"/>
        <v>1</v>
      </c>
      <c r="T68" s="174" t="str">
        <f t="shared" si="4"/>
        <v>Southbound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 t="shared" si="5"/>
        <v>https://d0f6bd738d7f1b3e5a7ca70fe4ff75f0.us-east-1.aws.found.io/app/kibana#/discover/Steve-Slow-Train-Analysis-(2080s-and-2083s)?_g=(refreshInterval:(display:Off,pause:!f,section:0,value:0),time:(from:'2017-09-21T10:05:55-0600',mode:absolute,to:'2017-09-21T13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8" s="204" t="str">
        <f>IF(AA68&lt;VLOOKUP(AG68,Variables!$AC$3:$AD$8,2,FALSE),"Y","N")</f>
        <v>N</v>
      </c>
      <c r="X68" s="204">
        <f t="shared" si="6"/>
        <v>1</v>
      </c>
      <c r="Y68" s="204">
        <f t="shared" si="7"/>
        <v>23.298999999999999</v>
      </c>
      <c r="Z68" s="204">
        <f t="shared" si="8"/>
        <v>1.34E-2</v>
      </c>
      <c r="AA68" s="204">
        <f t="shared" si="9"/>
        <v>23.285599999999999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 t="shared" si="10"/>
        <v>156</v>
      </c>
      <c r="AE68" s="77" t="str">
        <f t="shared" si="11"/>
        <v>aws s3 cp s3://rtdc.mdm.uploadarchive.raw/RTDC4009/ "%USERPROFILE%\AppData\Local\Temp\OnboardLogs"\RTDC4009\2017-09-21 --exclude "*" --recursive --include "*20170921*" &amp; "%USERPROFILE%\Documents\GitHub\mrs-test-scripts\Headless Mode &amp; Sideloading\WalkAndUnGZ.bat" "%USERPROFILE%\AppData\Local\Temp\OnboardLogs"\RTDC4009\2017-09-21 &amp; aws s3 cp s3://rtdc.mdm.uploadarchive.raw/RTDC4009/ "%USERPROFILE%\AppData\Local\Temp\OnboardLogs"\RTDC4009\2017-09-22 --exclude "*" --recursive --include "*20170922*" &amp; "%USERPROFILE%\Documents\GitHub\mrs-test-scripts\Headless Mode &amp; Sideloading\WalkAndUnGZ.bat" "%USERPROFILE%\AppData\Local\Temp\OnboardLogs"\RTDC4009\2017-09-22</v>
      </c>
      <c r="AF68" s="74" t="str">
        <f t="shared" si="12"/>
        <v>"C:\Program Files (x86)\AstroGrep\AstroGrep.exe" /e /r /s /spath="%USERPROFILE%\AppData\Local\Temp\OnboardLogs" /stypes="app*4009*20170921*" /stext=" 18:.+((SYSTEM_STATE.+slice.+state.+changed )|(ment ac)|(multiple cpu faults)|(system.+state.+changed )|(\[timeout)|(PRM\|1\|D)|(kpr)|(kdp)|(train st.+moving)|(\|lc)|(penalty))"</v>
      </c>
      <c r="AG68" s="182" t="str">
        <f t="shared" si="13"/>
        <v>EC</v>
      </c>
      <c r="AH68" s="78" t="str">
        <f t="shared" si="19"/>
        <v>"%USERPROFILE%\Documents\GitHub\eaglep3\Utilities\RefineRTDCRunTimes.py" --tripid 156-21 --locoid 4009 --swversion DE.1.0.9.0 --startMP 204:232990 --initTime 2017-09-21T11:05:55 --startdatetime 2017-09-21T11:27:16 --delay 58 --endMP 204:134 --enddatetime 2017-09-21T12:05:52 --enforcementcount 0 &gt;&gt;c:\users\stu\Documents\GitHub\eaglep3-reporting\EC\2017-09-21-refined-times.txt</v>
      </c>
      <c r="AI68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{"issue":{"subject":"","project_id":79,"tracker_id":40,"status_id":1,"priority_id":2,"assigned_to_id":338,"start_date":"2017-09-21","description":"","custom_fields":[{"id":1,"name":"Subdivision","value":"EC"},{"id":4,"name":"Milepost","value":"0.0134"},{"id":17,"name":"Train ID","value":"156-21"},{"id":16,"name":"Locomotive ID","value":"4009"},{"id":130,"name":"Impact","value":""},{"id":150,"name":"Time of Event (Mountain Time)","value":"12:05:52"},{"id":151,"name":"Denver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1"/>
        <v>start /low /b %USERPROFILE%\Documents\GitHub\eaglep3\Utilities\DownloadLogsFromS3.py --loco 4009 --day 2017-09-21</v>
      </c>
      <c r="AN68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18:05:52"},{"id":29,"name":"Sharepoint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23"/>
        <v>https://d0f6bd738d7f1b3e5a7ca70fe4ff75f0.us-east-1.aws.found.io/app/kibana#/discover/Steve-Slow-Train-Analysis-(2080s-and-2083s)?_g=(refreshInterval:(display:Off,pause:!f,section:0,value:0),time:(from:'2017-09-21T10:05:55-0600',mode:absolute,to:'2017-09-21T13:05:52-0600'))&amp;_a=(columns:!('Message%20ID',Summary),filters:!(),index:'emp_*',interval:auto,query:(query_string:(analyze_wildcard:!t,query:'Message%5C+ID:(*)+AND+%22rtdc.l.rtdc.4009%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694</v>
      </c>
      <c r="B69" s="7">
        <v>4030</v>
      </c>
      <c r="C69" s="21" t="s">
        <v>196</v>
      </c>
      <c r="D69" s="21" t="s">
        <v>397</v>
      </c>
      <c r="E69" s="13">
        <v>42999.444027777776</v>
      </c>
      <c r="F69" s="13">
        <v>42999.448067129626</v>
      </c>
      <c r="G69" s="7">
        <v>77</v>
      </c>
      <c r="H69" s="21" t="s">
        <v>854</v>
      </c>
      <c r="I69" s="13">
        <v>42999.473217592589</v>
      </c>
      <c r="J69" s="7">
        <v>0</v>
      </c>
      <c r="K69" s="89" t="str">
        <f t="shared" si="0"/>
        <v>4029/4030</v>
      </c>
      <c r="L69" s="185" t="str">
        <f>VLOOKUP(A69,'Trips&amp;Operators'!$C$1:$G$99911,5,FALSE)</f>
        <v>BADERTSCHER DIANE</v>
      </c>
      <c r="M69" s="6">
        <f t="shared" si="1"/>
        <v>2.5150462963210884E-2</v>
      </c>
      <c r="N69" s="7">
        <f t="shared" si="2"/>
        <v>36.216666667023674</v>
      </c>
      <c r="O69" s="7"/>
      <c r="P69" s="7"/>
      <c r="Q69" s="22"/>
      <c r="R69" s="174"/>
      <c r="S69" s="221">
        <f t="shared" si="3"/>
        <v>1</v>
      </c>
      <c r="T69" s="174" t="str">
        <f t="shared" si="4"/>
        <v>NorthBound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 t="shared" si="5"/>
        <v>https://d0f6bd738d7f1b3e5a7ca70fe4ff75f0.us-east-1.aws.found.io/app/kibana#/discover/Steve-Slow-Train-Analysis-(2080s-and-2083s)?_g=(refreshInterval:(display:Off,pause:!f,section:0,value:0),time:(from:'2017-09-21T09:39:24-0600',mode:absolute,to:'2017-09-21T12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9" s="204" t="str">
        <f>IF(AA69&lt;VLOOKUP(AG69,Variables!$AC$3:$AD$8,2,FALSE),"Y","N")</f>
        <v>N</v>
      </c>
      <c r="X69" s="204">
        <f t="shared" si="6"/>
        <v>1</v>
      </c>
      <c r="Y69" s="204">
        <f t="shared" si="7"/>
        <v>4.6199999999999998E-2</v>
      </c>
      <c r="Z69" s="204">
        <f t="shared" si="8"/>
        <v>23.333400000000001</v>
      </c>
      <c r="AA69" s="204">
        <f t="shared" si="9"/>
        <v>23.287200000000002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 t="shared" si="10"/>
        <v>157</v>
      </c>
      <c r="AE69" s="77" t="str">
        <f t="shared" si="11"/>
        <v>aws s3 cp s3://rtdc.mdm.uploadarchive.raw/RTDC4030/ "%USERPROFILE%\AppData\Local\Temp\OnboardLogs"\RTDC4030\2017-09-21 --exclude "*" --recursive --include "*20170921*" &amp; "%USERPROFILE%\Documents\GitHub\mrs-test-scripts\Headless Mode &amp; Sideloading\WalkAndUnGZ.bat" "%USERPROFILE%\AppData\Local\Temp\OnboardLogs"\RTDC4030\2017-09-21 &amp; aws s3 cp s3://rtdc.mdm.uploadarchive.raw/RTDC4030/ "%USERPROFILE%\AppData\Local\Temp\OnboardLogs"\RTDC4030\2017-09-22 --exclude "*" --recursive --include "*20170922*" &amp; "%USERPROFILE%\Documents\GitHub\mrs-test-scripts\Headless Mode &amp; Sideloading\WalkAndUnGZ.bat" "%USERPROFILE%\AppData\Local\Temp\OnboardLogs"\RTDC4030\2017-09-22</v>
      </c>
      <c r="AF69" s="74" t="str">
        <f t="shared" si="12"/>
        <v>"C:\Program Files (x86)\AstroGrep\AstroGrep.exe" /e /r /s /spath="%USERPROFILE%\AppData\Local\Temp\OnboardLogs" /stypes="app*4030*20170921*" /stext=" 17:.+((SYSTEM_STATE.+slice.+state.+changed )|(ment ac)|(multiple cpu faults)|(system.+state.+changed )|(\[timeout)|(PRM\|1\|D)|(kpr)|(kdp)|(train st.+moving)|(\|lc)|(penalty))"</v>
      </c>
      <c r="AG69" s="182" t="str">
        <f t="shared" si="13"/>
        <v>EC</v>
      </c>
      <c r="AH69" s="78" t="str">
        <f t="shared" si="19"/>
        <v>"%USERPROFILE%\Documents\GitHub\eaglep3\Utilities\RefineRTDCRunTimes.py" --tripid 157-21 --locoid 4030 --swversion DE.1.0.9.0 --startMP 204:462 --initTime 2017-09-21T10:39:24 --startdatetime 2017-09-21T10:45:13 --delay 77 --endMP 204:233334 --enddatetime 2017-09-21T11:21:26 --enforcementcount 0 &gt;&gt;c:\users\stu\Documents\GitHub\eaglep3-reporting\EC\2017-09-21-refined-times.txt</v>
      </c>
      <c r="AI69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{"issue":{"subject":"","project_id":79,"tracker_id":40,"status_id":1,"priority_id":2,"assigned_to_id":338,"start_date":"2017-09-21","description":"","custom_fields":[{"id":1,"name":"Subdivision","value":"EC"},{"id":4,"name":"Milepost","value":"23.3334"},{"id":17,"name":"Train ID","value":"157-21"},{"id":16,"name":"Locomotive ID","value":"4030"},{"id":130,"name":"Impact","value":""},{"id":150,"name":"Time of Event (Mountain Time)","value":"11:21:26"},{"id":151,"name":"Denver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1"/>
        <v>start /low /b %USERPROFILE%\Documents\GitHub\eaglep3\Utilities\DownloadLogsFromS3.py --loco 4030 --day 2017-09-21</v>
      </c>
      <c r="AN69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17:21:26"},{"id":29,"name":"Sharepoint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23"/>
        <v>https://d0f6bd738d7f1b3e5a7ca70fe4ff75f0.us-east-1.aws.found.io/app/kibana#/discover/Steve-Slow-Train-Analysis-(2080s-and-2083s)?_g=(refreshInterval:(display:Off,pause:!f,section:0,value:0),time:(from:'2017-09-21T09:39:24-0600',mode:absolute,to:'2017-09-21T12:21:26-0600'))&amp;_a=(columns:!('Message%20ID',Summary),filters:!(),index:'emp_*',interval:auto,query:(query_string:(analyze_wildcard:!t,query:'Message%5C+ID:(*)+AND+%22rtdc.l.rtdc.4030%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706</v>
      </c>
      <c r="B70" s="7">
        <v>4029</v>
      </c>
      <c r="C70" s="21" t="s">
        <v>196</v>
      </c>
      <c r="D70" s="21" t="s">
        <v>552</v>
      </c>
      <c r="E70" s="13">
        <v>42999.479328703703</v>
      </c>
      <c r="F70" s="13">
        <v>42999.487719907411</v>
      </c>
      <c r="G70" s="7">
        <v>72</v>
      </c>
      <c r="H70" s="21" t="s">
        <v>379</v>
      </c>
      <c r="I70" s="13">
        <v>42999.514907407407</v>
      </c>
      <c r="J70" s="7">
        <v>0</v>
      </c>
      <c r="K70" s="89" t="str">
        <f t="shared" si="0"/>
        <v>4029/4030</v>
      </c>
      <c r="L70" s="185" t="str">
        <f>VLOOKUP(A70,'Trips&amp;Operators'!$C$1:$G$99911,5,FALSE)</f>
        <v>BADERTSCHER DIANE</v>
      </c>
      <c r="M70" s="6">
        <f t="shared" si="1"/>
        <v>2.7187499996216502E-2</v>
      </c>
      <c r="N70" s="7">
        <f t="shared" si="2"/>
        <v>39.149999994551763</v>
      </c>
      <c r="O70" s="7"/>
      <c r="P70" s="7"/>
      <c r="Q70" s="22"/>
      <c r="R70" s="174"/>
      <c r="S70" s="221">
        <f t="shared" si="3"/>
        <v>1</v>
      </c>
      <c r="T70" s="174" t="str">
        <f t="shared" si="4"/>
        <v>Southbound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 t="shared" si="5"/>
        <v>https://d0f6bd738d7f1b3e5a7ca70fe4ff75f0.us-east-1.aws.found.io/app/kibana#/discover/Steve-Slow-Train-Analysis-(2080s-and-2083s)?_g=(refreshInterval:(display:Off,pause:!f,section:0,value:0),time:(from:'2017-09-21T10:30:14-0600',mode:absolute,to:'2017-09-21T13:21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0" s="204" t="str">
        <f>IF(AA70&lt;VLOOKUP(AG70,Variables!$AC$3:$AD$8,2,FALSE),"Y","N")</f>
        <v>N</v>
      </c>
      <c r="X70" s="204">
        <f t="shared" si="6"/>
        <v>1</v>
      </c>
      <c r="Y70" s="204">
        <f t="shared" si="7"/>
        <v>23.301100000000002</v>
      </c>
      <c r="Z70" s="204">
        <f t="shared" si="8"/>
        <v>1.6E-2</v>
      </c>
      <c r="AA70" s="204">
        <f t="shared" si="9"/>
        <v>23.285100000000003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 t="shared" si="10"/>
        <v>158</v>
      </c>
      <c r="AE70" s="77" t="str">
        <f t="shared" si="11"/>
        <v>aws s3 cp s3://rtdc.mdm.uploadarchive.raw/RTDC4029/ "%USERPROFILE%\AppData\Local\Temp\OnboardLogs"\RTDC4029\2017-09-21 --exclude "*" --recursive --include "*20170921*" &amp; "%USERPROFILE%\Documents\GitHub\mrs-test-scripts\Headless Mode &amp; Sideloading\WalkAndUnGZ.bat" "%USERPROFILE%\AppData\Local\Temp\OnboardLogs"\RTDC4029\2017-09-21 &amp; aws s3 cp s3://rtdc.mdm.uploadarchive.raw/RTDC4029/ "%USERPROFILE%\AppData\Local\Temp\OnboardLogs"\RTDC4029\2017-09-22 --exclude "*" --recursive --include "*20170922*" &amp; "%USERPROFILE%\Documents\GitHub\mrs-test-scripts\Headless Mode &amp; Sideloading\WalkAndUnGZ.bat" "%USERPROFILE%\AppData\Local\Temp\OnboardLogs"\RTDC4029\2017-09-22</v>
      </c>
      <c r="AF70" s="74" t="str">
        <f t="shared" si="12"/>
        <v>"C:\Program Files (x86)\AstroGrep\AstroGrep.exe" /e /r /s /spath="%USERPROFILE%\AppData\Local\Temp\OnboardLogs" /stypes="app*4029*20170921*" /stext=" 18:.+((SYSTEM_STATE.+slice.+state.+changed )|(ment ac)|(multiple cpu faults)|(system.+state.+changed )|(\[timeout)|(PRM\|1\|D)|(kpr)|(kdp)|(train st.+moving)|(\|lc)|(penalty))"</v>
      </c>
      <c r="AG70" s="182" t="str">
        <f t="shared" si="13"/>
        <v>EC</v>
      </c>
      <c r="AH70" s="78" t="str">
        <f t="shared" si="19"/>
        <v>"%USERPROFILE%\Documents\GitHub\eaglep3\Utilities\RefineRTDCRunTimes.py" --tripid 158-21 --locoid 4029 --swversion DE.1.0.9.0 --startMP 204:233011 --initTime 2017-09-21T11:30:14 --startdatetime 2017-09-21T11:42:19 --delay 72 --endMP 204:160 --enddatetime 2017-09-21T12:21:28 --enforcementcount 0 &gt;&gt;c:\users\stu\Documents\GitHub\eaglep3-reporting\EC\2017-09-21-refined-times.txt</v>
      </c>
      <c r="AI70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{"issue":{"subject":"","project_id":79,"tracker_id":40,"status_id":1,"priority_id":2,"assigned_to_id":338,"start_date":"2017-09-21","description":"","custom_fields":[{"id":1,"name":"Subdivision","value":"EC"},{"id":4,"name":"Milepost","value":"0.016"},{"id":17,"name":"Train ID","value":"158-21"},{"id":16,"name":"Locomotive ID","value":"4029"},{"id":130,"name":"Impact","value":""},{"id":150,"name":"Time of Event (Mountain Time)","value":"12:21:28"},{"id":151,"name":"Denver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1"/>
        <v>start /low /b %USERPROFILE%\Documents\GitHub\eaglep3\Utilities\DownloadLogsFromS3.py --loco 4029 --day 2017-09-21</v>
      </c>
      <c r="AN70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18:21:28"},{"id":29,"name":"Sharepoint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23"/>
        <v>https://d0f6bd738d7f1b3e5a7ca70fe4ff75f0.us-east-1.aws.found.io/app/kibana#/discover/Steve-Slow-Train-Analysis-(2080s-and-2083s)?_g=(refreshInterval:(display:Off,pause:!f,section:0,value:0),time:(from:'2017-09-21T10:30:14-0600',mode:absolute,to:'2017-09-21T13:21:28-0600'))&amp;_a=(columns:!('Message%20ID',Summary),filters:!(),index:'emp_*',interval:auto,query:(query_string:(analyze_wildcard:!t,query:'Message%5C+ID:(*)+AND+%22rtdc.l.rtdc.4029%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698</v>
      </c>
      <c r="B71" s="7">
        <v>4052</v>
      </c>
      <c r="C71" s="21" t="s">
        <v>196</v>
      </c>
      <c r="D71" s="21" t="s">
        <v>370</v>
      </c>
      <c r="E71" s="13">
        <v>42999.453715277778</v>
      </c>
      <c r="F71" s="13">
        <v>42999.458622685182</v>
      </c>
      <c r="G71" s="7">
        <v>59</v>
      </c>
      <c r="H71" s="21" t="s">
        <v>848</v>
      </c>
      <c r="I71" s="13">
        <v>42999.485729166663</v>
      </c>
      <c r="J71" s="7">
        <v>0</v>
      </c>
      <c r="K71" s="89" t="str">
        <f t="shared" si="0"/>
        <v>4051/4052</v>
      </c>
      <c r="L71" s="185" t="str">
        <f>VLOOKUP(A71,'Trips&amp;Operators'!$C$1:$G$99911,5,FALSE)</f>
        <v>YANG JAN</v>
      </c>
      <c r="M71" s="6">
        <f t="shared" si="1"/>
        <v>2.7106481480586808E-2</v>
      </c>
      <c r="N71" s="7">
        <f t="shared" si="2"/>
        <v>39.033333332045004</v>
      </c>
      <c r="O71" s="7"/>
      <c r="P71" s="7"/>
      <c r="Q71" s="22"/>
      <c r="R71" s="174"/>
      <c r="S71" s="221">
        <f t="shared" si="3"/>
        <v>1</v>
      </c>
      <c r="T71" s="174" t="str">
        <f t="shared" si="4"/>
        <v>NorthBound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 t="shared" si="5"/>
        <v>https://d0f6bd738d7f1b3e5a7ca70fe4ff75f0.us-east-1.aws.found.io/app/kibana#/discover/Steve-Slow-Train-Analysis-(2080s-and-2083s)?_g=(refreshInterval:(display:Off,pause:!f,section:0,value:0),time:(from:'2017-09-21T09:53:21-0600',mode:absolute,to:'2017-09-21T12:39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1" s="204" t="str">
        <f>IF(AA71&lt;VLOOKUP(AG71,Variables!$AC$3:$AD$8,2,FALSE),"Y","N")</f>
        <v>N</v>
      </c>
      <c r="X71" s="204">
        <f t="shared" si="6"/>
        <v>1</v>
      </c>
      <c r="Y71" s="204">
        <f t="shared" si="7"/>
        <v>4.6699999999999998E-2</v>
      </c>
      <c r="Z71" s="204">
        <f t="shared" si="8"/>
        <v>23.329699999999999</v>
      </c>
      <c r="AA71" s="204">
        <f t="shared" si="9"/>
        <v>23.282999999999998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 t="shared" si="10"/>
        <v>159</v>
      </c>
      <c r="AE71" s="77" t="str">
        <f t="shared" si="11"/>
        <v>aws s3 cp s3://rtdc.mdm.uploadarchive.raw/RTDC4052/ "%USERPROFILE%\AppData\Local\Temp\OnboardLogs"\RTDC4052\2017-09-21 --exclude "*" --recursive --include "*20170921*" &amp; "%USERPROFILE%\Documents\GitHub\mrs-test-scripts\Headless Mode &amp; Sideloading\WalkAndUnGZ.bat" "%USERPROFILE%\AppData\Local\Temp\OnboardLogs"\RTDC4052\2017-09-21 &amp; aws s3 cp s3://rtdc.mdm.uploadarchive.raw/RTDC4052/ "%USERPROFILE%\AppData\Local\Temp\OnboardLogs"\RTDC4052\2017-09-22 --exclude "*" --recursive --include "*20170922*" &amp; "%USERPROFILE%\Documents\GitHub\mrs-test-scripts\Headless Mode &amp; Sideloading\WalkAndUnGZ.bat" "%USERPROFILE%\AppData\Local\Temp\OnboardLogs"\RTDC4052\2017-09-22</v>
      </c>
      <c r="AF71" s="74" t="str">
        <f t="shared" si="12"/>
        <v>"C:\Program Files (x86)\AstroGrep\AstroGrep.exe" /e /r /s /spath="%USERPROFILE%\AppData\Local\Temp\OnboardLogs" /stypes="app*4052*20170921*" /stext=" 17:.+((SYSTEM_STATE.+slice.+state.+changed )|(ment ac)|(multiple cpu faults)|(system.+state.+changed )|(\[timeout)|(PRM\|1\|D)|(kpr)|(kdp)|(train st.+moving)|(\|lc)|(penalty))"</v>
      </c>
      <c r="AG71" s="182" t="str">
        <f t="shared" si="13"/>
        <v>EC</v>
      </c>
      <c r="AH71" s="78" t="str">
        <f t="shared" si="19"/>
        <v>"%USERPROFILE%\Documents\GitHub\eaglep3\Utilities\RefineRTDCRunTimes.py" --tripid 159-21 --locoid 4052 --swversion DE.1.0.9.0 --startMP 204:467 --initTime 2017-09-21T10:53:21 --startdatetime 2017-09-21T11:00:25 --delay 59 --endMP 204:233297 --enddatetime 2017-09-21T11:39:27 --enforcementcount 0 &gt;&gt;c:\users\stu\Documents\GitHub\eaglep3-reporting\EC\2017-09-21-refined-times.txt</v>
      </c>
      <c r="AI71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{"issue":{"subject":"","project_id":79,"tracker_id":40,"status_id":1,"priority_id":2,"assigned_to_id":338,"start_date":"2017-09-21","description":"","custom_fields":[{"id":1,"name":"Subdivision","value":"EC"},{"id":4,"name":"Milepost","value":"23.3297"},{"id":17,"name":"Train ID","value":"159-21"},{"id":16,"name":"Locomotive ID","value":"4052"},{"id":130,"name":"Impact","value":""},{"id":150,"name":"Time of Event (Mountain Time)","value":"11:39:27"},{"id":151,"name":"Denver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1"/>
        <v>start /low /b %USERPROFILE%\Documents\GitHub\eaglep3\Utilities\DownloadLogsFromS3.py --loco 4052 --day 2017-09-21</v>
      </c>
      <c r="AN71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17:39:27"},{"id":29,"name":"Sharepoint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23"/>
        <v>https://d0f6bd738d7f1b3e5a7ca70fe4ff75f0.us-east-1.aws.found.io/app/kibana#/discover/Steve-Slow-Train-Analysis-(2080s-and-2083s)?_g=(refreshInterval:(display:Off,pause:!f,section:0,value:0),time:(from:'2017-09-21T09:53:21-0600',mode:absolute,to:'2017-09-21T12:39:27-0600'))&amp;_a=(columns:!('Message%20ID',Summary),filters:!(),index:'emp_*',interval:auto,query:(query_string:(analyze_wildcard:!t,query:'Message%5C+ID:(*)+AND+%22rtdc.l.rtdc.4052%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708</v>
      </c>
      <c r="B72" s="7">
        <v>4051</v>
      </c>
      <c r="C72" s="21" t="s">
        <v>196</v>
      </c>
      <c r="D72" s="21" t="s">
        <v>471</v>
      </c>
      <c r="E72" s="13">
        <v>42999.493692129632</v>
      </c>
      <c r="F72" s="13">
        <v>42999.498101851852</v>
      </c>
      <c r="G72" s="7">
        <v>59</v>
      </c>
      <c r="H72" s="21" t="s">
        <v>855</v>
      </c>
      <c r="I72" s="13">
        <v>42999.534247685187</v>
      </c>
      <c r="J72" s="7">
        <v>0</v>
      </c>
      <c r="K72" s="89" t="str">
        <f t="shared" si="0"/>
        <v>4051/4052</v>
      </c>
      <c r="L72" s="185" t="str">
        <f>VLOOKUP(A72,'Trips&amp;Operators'!$C$1:$G$99911,5,FALSE)</f>
        <v>YANG JAN</v>
      </c>
      <c r="M72" s="6">
        <f t="shared" si="1"/>
        <v>3.6145833335467614E-2</v>
      </c>
      <c r="N72" s="7">
        <f t="shared" si="2"/>
        <v>52.050000003073364</v>
      </c>
      <c r="O72" s="7"/>
      <c r="P72" s="7"/>
      <c r="Q72" s="22"/>
      <c r="R72" s="174" t="s">
        <v>997</v>
      </c>
      <c r="S72" s="221">
        <f t="shared" si="3"/>
        <v>1</v>
      </c>
      <c r="T72" s="174" t="str">
        <f t="shared" si="4"/>
        <v>Southbound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 t="shared" si="5"/>
        <v>https://d0f6bd738d7f1b3e5a7ca70fe4ff75f0.us-east-1.aws.found.io/app/kibana#/discover/Steve-Slow-Train-Analysis-(2080s-and-2083s)?_g=(refreshInterval:(display:Off,pause:!f,section:0,value:0),time:(from:'2017-09-21T10:50:55-0600',mode:absolute,to:'2017-09-21T13:49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2" s="204" t="str">
        <f>IF(AA72&lt;VLOOKUP(AG72,Variables!$AC$3:$AD$8,2,FALSE),"Y","N")</f>
        <v>N</v>
      </c>
      <c r="X72" s="204">
        <f t="shared" si="6"/>
        <v>1</v>
      </c>
      <c r="Y72" s="204">
        <f t="shared" si="7"/>
        <v>23.2986</v>
      </c>
      <c r="Z72" s="204">
        <f t="shared" si="8"/>
        <v>0.1173</v>
      </c>
      <c r="AA72" s="204">
        <f t="shared" si="9"/>
        <v>23.1813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 t="shared" si="10"/>
        <v>160</v>
      </c>
      <c r="AE72" s="77" t="str">
        <f t="shared" si="11"/>
        <v>aws s3 cp s3://rtdc.mdm.uploadarchive.raw/RTDC4051/ "%USERPROFILE%\AppData\Local\Temp\OnboardLogs"\RTDC4051\2017-09-21 --exclude "*" --recursive --include "*20170921*" &amp; "%USERPROFILE%\Documents\GitHub\mrs-test-scripts\Headless Mode &amp; Sideloading\WalkAndUnGZ.bat" "%USERPROFILE%\AppData\Local\Temp\OnboardLogs"\RTDC4051\2017-09-21 &amp; aws s3 cp s3://rtdc.mdm.uploadarchive.raw/RTDC4051/ "%USERPROFILE%\AppData\Local\Temp\OnboardLogs"\RTDC4051\2017-09-22 --exclude "*" --recursive --include "*20170922*" &amp; "%USERPROFILE%\Documents\GitHub\mrs-test-scripts\Headless Mode &amp; Sideloading\WalkAndUnGZ.bat" "%USERPROFILE%\AppData\Local\Temp\OnboardLogs"\RTDC4051\2017-09-22</v>
      </c>
      <c r="AF72" s="74" t="str">
        <f t="shared" si="12"/>
        <v>"C:\Program Files (x86)\AstroGrep\AstroGrep.exe" /e /r /s /spath="%USERPROFILE%\AppData\Local\Temp\OnboardLogs" /stypes="app*4051*20170921*" /stext=" 18:.+((SYSTEM_STATE.+slice.+state.+changed )|(ment ac)|(multiple cpu faults)|(system.+state.+changed )|(\[timeout)|(PRM\|1\|D)|(kpr)|(kdp)|(train st.+moving)|(\|lc)|(penalty))"</v>
      </c>
      <c r="AG72" s="182" t="str">
        <f t="shared" si="13"/>
        <v>EC</v>
      </c>
      <c r="AH72" s="78" t="str">
        <f t="shared" si="19"/>
        <v>"%USERPROFILE%\Documents\GitHub\eaglep3\Utilities\RefineRTDCRunTimes.py" --tripid 160-21 --locoid 4051 --swversion DE.1.0.9.0 --startMP 204:232986 --initTime 2017-09-21T11:50:55 --startdatetime 2017-09-21T11:57:16 --delay 59 --endMP 204:1173 --enddatetime 2017-09-21T12:49:19 --enforcementcount 0 &gt;&gt;c:\users\stu\Documents\GitHub\eaglep3-reporting\EC\2017-09-21-refined-times.txt</v>
      </c>
      <c r="AI72" s="96" t="str">
        <f t="shared" si="20"/>
        <v>echo {"issue":{"subject":"delayed by power outage","project_id":79,"tracker_id":40,"status_id":1,"priority_id":2,"assigned_to_id":338,"start_date":"2017-09-21","description":"","custom_fields":[{"id":1,"name":"Subdivision","value":"EC"},{"id":4,"name":"Milepost","value":"0.1173"},{"id":17,"name":"Train ID","value":"160-21"},{"id":16,"name":"Locomotive ID","value":"4051"},{"id":130,"name":"Impact","value":""},{"id":150,"name":"Time of Event (Mountain Time)","value":"12:49:19"},{"id":151,"name":"Denver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1"/>
        <v>start /low /b %USERPROFILE%\Documents\GitHub\eaglep3\Utilities\DownloadLogsFromS3.py --loco 4051 --day 2017-09-21</v>
      </c>
      <c r="AN72" s="151" t="str">
        <f t="shared" si="22"/>
        <v>echo {"issue":{"subject":"delayed by power outage","project_id":30,"tracker_id":4,"status_id":1,"priority_id":1,"assigned_to_id":10,"start_date":"2017-09-21","description":"","custom_fields":[{"id":30,"name":"Category","value":"Issue"},{"id":3,"name":"Functional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18:49:19"},{"id":29,"name":"Sharepoint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23"/>
        <v>https://d0f6bd738d7f1b3e5a7ca70fe4ff75f0.us-east-1.aws.found.io/app/kibana#/discover/Steve-Slow-Train-Analysis-(2080s-and-2083s)?_g=(refreshInterval:(display:Off,pause:!f,section:0,value:0),time:(from:'2017-09-21T10:50:55-0600',mode:absolute,to:'2017-09-21T13:49:19-0600'))&amp;_a=(columns:!('Message%20ID',Summary),filters:!(),index:'emp_*',interval:auto,query:(query_string:(analyze_wildcard:!t,query:'Message%5C+ID:(*)+AND+%22rtdc.l.rtdc.4051%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702</v>
      </c>
      <c r="B73" s="7">
        <v>4014</v>
      </c>
      <c r="C73" s="21" t="s">
        <v>196</v>
      </c>
      <c r="D73" s="21" t="s">
        <v>357</v>
      </c>
      <c r="E73" s="13">
        <v>42999.468472222223</v>
      </c>
      <c r="F73" s="13">
        <v>42999.470358796294</v>
      </c>
      <c r="G73" s="7">
        <v>88</v>
      </c>
      <c r="H73" s="21" t="s">
        <v>856</v>
      </c>
      <c r="I73" s="13">
        <v>42999.494479166664</v>
      </c>
      <c r="J73" s="7">
        <v>0</v>
      </c>
      <c r="K73" s="89" t="str">
        <f t="shared" si="0"/>
        <v>4013/4014</v>
      </c>
      <c r="L73" s="185" t="str">
        <f>VLOOKUP(A73,'Trips&amp;Operators'!$C$1:$G$99911,5,FALSE)</f>
        <v>BRUDER RICHARD</v>
      </c>
      <c r="M73" s="6">
        <f t="shared" si="1"/>
        <v>2.4120370369928423E-2</v>
      </c>
      <c r="N73" s="7">
        <f t="shared" si="2"/>
        <v>34.73333333269693</v>
      </c>
      <c r="O73" s="7"/>
      <c r="P73" s="7"/>
      <c r="Q73" s="22"/>
      <c r="R73" s="174"/>
      <c r="S73" s="221">
        <f t="shared" si="3"/>
        <v>1</v>
      </c>
      <c r="T73" s="174" t="str">
        <f t="shared" si="4"/>
        <v>NorthBound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 t="shared" si="5"/>
        <v>https://d0f6bd738d7f1b3e5a7ca70fe4ff75f0.us-east-1.aws.found.io/app/kibana#/discover/Steve-Slow-Train-Analysis-(2080s-and-2083s)?_g=(refreshInterval:(display:Off,pause:!f,section:0,value:0),time:(from:'2017-09-21T10:14:36-0600',mode:absolute,to:'2017-09-21T12:52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3" s="204" t="str">
        <f>IF(AA73&lt;VLOOKUP(AG73,Variables!$AC$3:$AD$8,2,FALSE),"Y","N")</f>
        <v>N</v>
      </c>
      <c r="X73" s="204">
        <f t="shared" si="6"/>
        <v>1</v>
      </c>
      <c r="Y73" s="204">
        <f t="shared" si="7"/>
        <v>4.58E-2</v>
      </c>
      <c r="Z73" s="204">
        <f t="shared" si="8"/>
        <v>23.33</v>
      </c>
      <c r="AA73" s="204">
        <f t="shared" si="9"/>
        <v>23.284199999999998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 t="shared" si="10"/>
        <v>161</v>
      </c>
      <c r="AE73" s="77" t="str">
        <f t="shared" si="11"/>
        <v>aws s3 cp s3://rtdc.mdm.uploadarchive.raw/RTDC4014/ "%USERPROFILE%\AppData\Local\Temp\OnboardLogs"\RTDC4014\2017-09-21 --exclude "*" --recursive --include "*20170921*" &amp; "%USERPROFILE%\Documents\GitHub\mrs-test-scripts\Headless Mode &amp; Sideloading\WalkAndUnGZ.bat" "%USERPROFILE%\AppData\Local\Temp\OnboardLogs"\RTDC4014\2017-09-21 &amp; aws s3 cp s3://rtdc.mdm.uploadarchive.raw/RTDC4014/ "%USERPROFILE%\AppData\Local\Temp\OnboardLogs"\RTDC4014\2017-09-22 --exclude "*" --recursive --include "*20170922*" &amp; "%USERPROFILE%\Documents\GitHub\mrs-test-scripts\Headless Mode &amp; Sideloading\WalkAndUnGZ.bat" "%USERPROFILE%\AppData\Local\Temp\OnboardLogs"\RTDC4014\2017-09-22</v>
      </c>
      <c r="AF73" s="74" t="str">
        <f t="shared" si="12"/>
        <v>"C:\Program Files (x86)\AstroGrep\AstroGrep.exe" /e /r /s /spath="%USERPROFILE%\AppData\Local\Temp\OnboardLogs" /stypes="app*4014*20170921*" /stext=" 17:.+((SYSTEM_STATE.+slice.+state.+changed )|(ment ac)|(multiple cpu faults)|(system.+state.+changed )|(\[timeout)|(PRM\|1\|D)|(kpr)|(kdp)|(train st.+moving)|(\|lc)|(penalty))"</v>
      </c>
      <c r="AG73" s="182" t="str">
        <f t="shared" si="13"/>
        <v>EC</v>
      </c>
      <c r="AH73" s="78" t="str">
        <f t="shared" si="19"/>
        <v>"%USERPROFILE%\Documents\GitHub\eaglep3\Utilities\RefineRTDCRunTimes.py" --tripid 161-21 --locoid 4014 --swversion DE.1.0.9.0 --startMP 204:458 --initTime 2017-09-21T11:14:36 --startdatetime 2017-09-21T11:17:19 --delay 88 --endMP 204:233300 --enddatetime 2017-09-21T11:52:03 --enforcementcount 0 &gt;&gt;c:\users\stu\Documents\GitHub\eaglep3-reporting\EC\2017-09-21-refined-times.txt</v>
      </c>
      <c r="AI73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{"issue":{"subject":"","project_id":79,"tracker_id":40,"status_id":1,"priority_id":2,"assigned_to_id":338,"start_date":"2017-09-21","description":"","custom_fields":[{"id":1,"name":"Subdivision","value":"EC"},{"id":4,"name":"Milepost","value":"23.33"},{"id":17,"name":"Train ID","value":"161-21"},{"id":16,"name":"Locomotive ID","value":"4014"},{"id":130,"name":"Impact","value":""},{"id":150,"name":"Time of Event (Mountain Time)","value":"11:52:03"},{"id":151,"name":"Denver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1"/>
        <v>start /low /b %USERPROFILE%\Documents\GitHub\eaglep3\Utilities\DownloadLogsFromS3.py --loco 4014 --day 2017-09-21</v>
      </c>
      <c r="AN73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17:52:03"},{"id":29,"name":"Sharepoint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23"/>
        <v>https://d0f6bd738d7f1b3e5a7ca70fe4ff75f0.us-east-1.aws.found.io/app/kibana#/discover/Steve-Slow-Train-Analysis-(2080s-and-2083s)?_g=(refreshInterval:(display:Off,pause:!f,section:0,value:0),time:(from:'2017-09-21T10:14:36-0600',mode:absolute,to:'2017-09-21T12:52:03-0600'))&amp;_a=(columns:!('Message%20ID',Summary),filters:!(),index:'emp_*',interval:auto,query:(query_string:(analyze_wildcard:!t,query:'Message%5C+ID:(*)+AND+%22rtdc.l.rtdc.4014%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711</v>
      </c>
      <c r="B74" s="7">
        <v>4013</v>
      </c>
      <c r="C74" s="21" t="s">
        <v>196</v>
      </c>
      <c r="D74" s="21" t="s">
        <v>431</v>
      </c>
      <c r="E74" s="13">
        <v>42999.502488425926</v>
      </c>
      <c r="F74" s="13">
        <v>42999.508530092593</v>
      </c>
      <c r="G74" s="7">
        <v>129</v>
      </c>
      <c r="H74" s="21" t="s">
        <v>358</v>
      </c>
      <c r="I74" s="13">
        <v>42999.537106481483</v>
      </c>
      <c r="J74" s="7">
        <v>0</v>
      </c>
      <c r="K74" s="89" t="str">
        <f t="shared" si="0"/>
        <v>4013/4014</v>
      </c>
      <c r="L74" s="185" t="str">
        <f>VLOOKUP(A74,'Trips&amp;Operators'!$C$1:$G$99911,5,FALSE)</f>
        <v>BRUDER RICHARD</v>
      </c>
      <c r="M74" s="6">
        <f t="shared" si="1"/>
        <v>2.8576388889632653E-2</v>
      </c>
      <c r="N74" s="7">
        <f t="shared" si="2"/>
        <v>41.150000001071021</v>
      </c>
      <c r="O74" s="7"/>
      <c r="P74" s="7"/>
      <c r="Q74" s="22"/>
      <c r="R74" s="174"/>
      <c r="S74" s="221">
        <f t="shared" si="3"/>
        <v>1</v>
      </c>
      <c r="T74" s="174" t="str">
        <f t="shared" si="4"/>
        <v>Southbound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 t="shared" si="5"/>
        <v>https://d0f6bd738d7f1b3e5a7ca70fe4ff75f0.us-east-1.aws.found.io/app/kibana#/discover/Steve-Slow-Train-Analysis-(2080s-and-2083s)?_g=(refreshInterval:(display:Off,pause:!f,section:0,value:0),time:(from:'2017-09-21T11:03:35-0600',mode:absolute,to:'2017-09-21T13:53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4" s="204" t="str">
        <f>IF(AA74&lt;VLOOKUP(AG74,Variables!$AC$3:$AD$8,2,FALSE),"Y","N")</f>
        <v>N</v>
      </c>
      <c r="X74" s="204">
        <f t="shared" si="6"/>
        <v>1</v>
      </c>
      <c r="Y74" s="204">
        <f t="shared" si="7"/>
        <v>23.298500000000001</v>
      </c>
      <c r="Z74" s="204">
        <f t="shared" si="8"/>
        <v>1.52E-2</v>
      </c>
      <c r="AA74" s="204">
        <f t="shared" si="9"/>
        <v>23.283300000000001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 t="shared" si="10"/>
        <v>162</v>
      </c>
      <c r="AE74" s="77" t="str">
        <f t="shared" si="11"/>
        <v>aws s3 cp s3://rtdc.mdm.uploadarchive.raw/RTDC4013/ "%USERPROFILE%\AppData\Local\Temp\OnboardLogs"\RTDC4013\2017-09-21 --exclude "*" --recursive --include "*20170921*" &amp; "%USERPROFILE%\Documents\GitHub\mrs-test-scripts\Headless Mode &amp; Sideloading\WalkAndUnGZ.bat" "%USERPROFILE%\AppData\Local\Temp\OnboardLogs"\RTDC4013\2017-09-21 &amp; aws s3 cp s3://rtdc.mdm.uploadarchive.raw/RTDC4013/ "%USERPROFILE%\AppData\Local\Temp\OnboardLogs"\RTDC4013\2017-09-22 --exclude "*" --recursive --include "*20170922*" &amp; "%USERPROFILE%\Documents\GitHub\mrs-test-scripts\Headless Mode &amp; Sideloading\WalkAndUnGZ.bat" "%USERPROFILE%\AppData\Local\Temp\OnboardLogs"\RTDC4013\2017-09-22</v>
      </c>
      <c r="AF74" s="74" t="str">
        <f t="shared" si="12"/>
        <v>"C:\Program Files (x86)\AstroGrep\AstroGrep.exe" /e /r /s /spath="%USERPROFILE%\AppData\Local\Temp\OnboardLogs" /stypes="app*4013*20170921*" /stext=" 18:.+((SYSTEM_STATE.+slice.+state.+changed )|(ment ac)|(multiple cpu faults)|(system.+state.+changed )|(\[timeout)|(PRM\|1\|D)|(kpr)|(kdp)|(train st.+moving)|(\|lc)|(penalty))"</v>
      </c>
      <c r="AG74" s="182" t="str">
        <f t="shared" si="13"/>
        <v>EC</v>
      </c>
      <c r="AH74" s="78" t="str">
        <f t="shared" si="19"/>
        <v>"%USERPROFILE%\Documents\GitHub\eaglep3\Utilities\RefineRTDCRunTimes.py" --tripid 162-21 --locoid 4013 --swversion DE.1.0.9.0 --startMP 204:232985 --initTime 2017-09-21T12:03:35 --startdatetime 2017-09-21T12:12:17 --delay 129 --endMP 204:152 --enddatetime 2017-09-21T12:53:26 --enforcementcount 0 &gt;&gt;c:\users\stu\Documents\GitHub\eaglep3-reporting\EC\2017-09-21-refined-times.txt</v>
      </c>
      <c r="AI74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{"issue":{"subject":"","project_id":79,"tracker_id":40,"status_id":1,"priority_id":2,"assigned_to_id":338,"start_date":"2017-09-21","description":"","custom_fields":[{"id":1,"name":"Subdivision","value":"EC"},{"id":4,"name":"Milepost","value":"0.0152"},{"id":17,"name":"Train ID","value":"162-21"},{"id":16,"name":"Locomotive ID","value":"4013"},{"id":130,"name":"Impact","value":""},{"id":150,"name":"Time of Event (Mountain Time)","value":"12:53:26"},{"id":151,"name":"Denver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1"/>
        <v>start /low /b %USERPROFILE%\Documents\GitHub\eaglep3\Utilities\DownloadLogsFromS3.py --loco 4013 --day 2017-09-21</v>
      </c>
      <c r="AN74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18:53:26"},{"id":29,"name":"Sharepoint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23"/>
        <v>https://d0f6bd738d7f1b3e5a7ca70fe4ff75f0.us-east-1.aws.found.io/app/kibana#/discover/Steve-Slow-Train-Analysis-(2080s-and-2083s)?_g=(refreshInterval:(display:Off,pause:!f,section:0,value:0),time:(from:'2017-09-21T11:03:35-0600',mode:absolute,to:'2017-09-21T13:53:26-0600'))&amp;_a=(columns:!('Message%20ID',Summary),filters:!(),index:'emp_*',interval:auto,query:(query_string:(analyze_wildcard:!t,query:'Message%5C+ID:(*)+AND+%22rtdc.l.rtdc.4013%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703</v>
      </c>
      <c r="B75" s="7">
        <v>4016</v>
      </c>
      <c r="C75" s="21" t="s">
        <v>196</v>
      </c>
      <c r="D75" s="21" t="s">
        <v>340</v>
      </c>
      <c r="E75" s="13">
        <v>42999.473506944443</v>
      </c>
      <c r="F75" s="13">
        <v>42999.479328703703</v>
      </c>
      <c r="G75" s="7">
        <v>137</v>
      </c>
      <c r="H75" s="21" t="s">
        <v>557</v>
      </c>
      <c r="I75" s="13">
        <v>42999.503668981481</v>
      </c>
      <c r="J75" s="7">
        <v>0</v>
      </c>
      <c r="K75" s="89" t="str">
        <f t="shared" si="0"/>
        <v>4015/4016</v>
      </c>
      <c r="L75" s="185" t="str">
        <f>VLOOKUP(A75,'Trips&amp;Operators'!$C$1:$G$99911,5,FALSE)</f>
        <v>ROBINSON KADDIBA</v>
      </c>
      <c r="M75" s="6">
        <f t="shared" si="1"/>
        <v>2.4340277777810115E-2</v>
      </c>
      <c r="N75" s="7">
        <f t="shared" si="2"/>
        <v>35.050000000046566</v>
      </c>
      <c r="O75" s="7"/>
      <c r="P75" s="7"/>
      <c r="Q75" s="22"/>
      <c r="R75" s="174"/>
      <c r="S75" s="221">
        <f t="shared" si="3"/>
        <v>1</v>
      </c>
      <c r="T75" s="174" t="str">
        <f t="shared" si="4"/>
        <v>NorthBound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 t="shared" si="5"/>
        <v>https://d0f6bd738d7f1b3e5a7ca70fe4ff75f0.us-east-1.aws.found.io/app/kibana#/discover/Steve-Slow-Train-Analysis-(2080s-and-2083s)?_g=(refreshInterval:(display:Off,pause:!f,section:0,value:0),time:(from:'2017-09-21T10:21:51-0600',mode:absolute,to:'2017-09-21T13:05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5" s="204" t="str">
        <f>IF(AA75&lt;VLOOKUP(AG75,Variables!$AC$3:$AD$8,2,FALSE),"Y","N")</f>
        <v>N</v>
      </c>
      <c r="X75" s="204">
        <f t="shared" si="6"/>
        <v>1</v>
      </c>
      <c r="Y75" s="204">
        <f t="shared" si="7"/>
        <v>4.53E-2</v>
      </c>
      <c r="Z75" s="204">
        <f t="shared" si="8"/>
        <v>23.327400000000001</v>
      </c>
      <c r="AA75" s="204">
        <f t="shared" si="9"/>
        <v>23.2821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 t="shared" si="10"/>
        <v>163</v>
      </c>
      <c r="AE75" s="77" t="str">
        <f t="shared" si="11"/>
        <v>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 &amp; aws s3 cp s3://rtdc.mdm.uploadarchive.raw/RTDC4016/ "%USERPROFILE%\AppData\Local\Temp\OnboardLogs"\RTDC4016\2017-09-22 --exclude "*" --recursive --include "*20170922*" &amp; "%USERPROFILE%\Documents\GitHub\mrs-test-scripts\Headless Mode &amp; Sideloading\WalkAndUnGZ.bat" "%USERPROFILE%\AppData\Local\Temp\OnboardLogs"\RTDC4016\2017-09-22</v>
      </c>
      <c r="AF75" s="74" t="str">
        <f t="shared" si="12"/>
        <v>"C:\Program Files (x86)\AstroGrep\AstroGrep.exe" /e /r /s /spath="%USERPROFILE%\AppData\Local\Temp\OnboardLogs" /stypes="app*4016*20170921*" /stext=" 18:.+((SYSTEM_STATE.+slice.+state.+changed )|(ment ac)|(multiple cpu faults)|(system.+state.+changed )|(\[timeout)|(PRM\|1\|D)|(kpr)|(kdp)|(train st.+moving)|(\|lc)|(penalty))"</v>
      </c>
      <c r="AG75" s="182" t="str">
        <f t="shared" si="13"/>
        <v>EC</v>
      </c>
      <c r="AH75" s="78" t="str">
        <f t="shared" si="19"/>
        <v>"%USERPROFILE%\Documents\GitHub\eaglep3\Utilities\RefineRTDCRunTimes.py" --tripid 163-21 --locoid 4016 --swversion DE.1.0.9.0 --startMP 204:453 --initTime 2017-09-21T11:21:51 --startdatetime 2017-09-21T11:30:14 --delay 137 --endMP 204:233274 --enddatetime 2017-09-21T12:05:17 --enforcementcount 0 &gt;&gt;c:\users\stu\Documents\GitHub\eaglep3-reporting\EC\2017-09-21-refined-times.txt</v>
      </c>
      <c r="AI75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{"issue":{"subject":"","project_id":79,"tracker_id":40,"status_id":1,"priority_id":2,"assigned_to_id":338,"start_date":"2017-09-21","description":"","custom_fields":[{"id":1,"name":"Subdivision","value":"EC"},{"id":4,"name":"Milepost","value":"23.3274"},{"id":17,"name":"Train ID","value":"163-21"},{"id":16,"name":"Locomotive ID","value":"4016"},{"id":130,"name":"Impact","value":""},{"id":150,"name":"Time of Event (Mountain Time)","value":"12:05:17"},{"id":151,"name":"Denver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1"/>
        <v>start /low /b %USERPROFILE%\Documents\GitHub\eaglep3\Utilities\DownloadLogsFromS3.py --loco 4016 --day 2017-09-21</v>
      </c>
      <c r="AN75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18:05:17"},{"id":29,"name":"Sharepoint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23"/>
        <v>https://d0f6bd738d7f1b3e5a7ca70fe4ff75f0.us-east-1.aws.found.io/app/kibana#/discover/Steve-Slow-Train-Analysis-(2080s-and-2083s)?_g=(refreshInterval:(display:Off,pause:!f,section:0,value:0),time:(from:'2017-09-21T10:21:51-0600',mode:absolute,to:'2017-09-21T13:05:17-0600'))&amp;_a=(columns:!('Message%20ID',Summary),filters:!(),index:'emp_*',interval:auto,query:(query_string:(analyze_wildcard:!t,query:'Message%5C+ID:(*)+AND+%22rtdc.l.rtdc.4016%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713</v>
      </c>
      <c r="B76" s="7">
        <v>4015</v>
      </c>
      <c r="C76" s="21" t="s">
        <v>196</v>
      </c>
      <c r="D76" s="21" t="s">
        <v>850</v>
      </c>
      <c r="E76" s="13">
        <v>42999.514537037037</v>
      </c>
      <c r="F76" s="13">
        <v>42999.518993055557</v>
      </c>
      <c r="G76" s="7">
        <v>96</v>
      </c>
      <c r="H76" s="21" t="s">
        <v>381</v>
      </c>
      <c r="I76" s="13">
        <v>42999.545428240737</v>
      </c>
      <c r="J76" s="7">
        <v>0</v>
      </c>
      <c r="K76" s="89" t="str">
        <f t="shared" si="0"/>
        <v>4015/4016</v>
      </c>
      <c r="L76" s="185" t="str">
        <f>VLOOKUP(A76,'Trips&amp;Operators'!$C$1:$G$99911,5,FALSE)</f>
        <v>ROBINSON KADDIBA</v>
      </c>
      <c r="M76" s="6">
        <f t="shared" si="1"/>
        <v>2.643518518016208E-2</v>
      </c>
      <c r="N76" s="7">
        <f t="shared" si="2"/>
        <v>38.066666659433395</v>
      </c>
      <c r="O76" s="7"/>
      <c r="P76" s="7"/>
      <c r="Q76" s="22"/>
      <c r="R76" s="174"/>
      <c r="S76" s="221">
        <f t="shared" si="3"/>
        <v>1</v>
      </c>
      <c r="T76" s="174" t="str">
        <f t="shared" si="4"/>
        <v>Southbound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 t="shared" si="5"/>
        <v>https://d0f6bd738d7f1b3e5a7ca70fe4ff75f0.us-east-1.aws.found.io/app/kibana#/discover/Steve-Slow-Train-Analysis-(2080s-and-2083s)?_g=(refreshInterval:(display:Off,pause:!f,section:0,value:0),time:(from:'2017-09-21T11:20:56-0600',mode:absolute,to:'2017-09-21T14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6" s="204" t="str">
        <f>IF(AA76&lt;VLOOKUP(AG76,Variables!$AC$3:$AD$8,2,FALSE),"Y","N")</f>
        <v>N</v>
      </c>
      <c r="X76" s="204">
        <f t="shared" si="6"/>
        <v>1</v>
      </c>
      <c r="Y76" s="204">
        <f t="shared" si="7"/>
        <v>23.297999999999998</v>
      </c>
      <c r="Z76" s="204">
        <f t="shared" si="8"/>
        <v>1.5800000000000002E-2</v>
      </c>
      <c r="AA76" s="204">
        <f t="shared" si="9"/>
        <v>23.2822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 t="shared" si="10"/>
        <v>164</v>
      </c>
      <c r="AE76" s="77" t="str">
        <f t="shared" si="11"/>
        <v>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 &amp; aws s3 cp s3://rtdc.mdm.uploadarchive.raw/RTDC4015/ "%USERPROFILE%\AppData\Local\Temp\OnboardLogs"\RTDC4015\2017-09-22 --exclude "*" --recursive --include "*20170922*" &amp; "%USERPROFILE%\Documents\GitHub\mrs-test-scripts\Headless Mode &amp; Sideloading\WalkAndUnGZ.bat" "%USERPROFILE%\AppData\Local\Temp\OnboardLogs"\RTDC4015\2017-09-22</v>
      </c>
      <c r="AF76" s="74" t="str">
        <f t="shared" si="12"/>
        <v>"C:\Program Files (x86)\AstroGrep\AstroGrep.exe" /e /r /s /spath="%USERPROFILE%\AppData\Local\Temp\OnboardLogs" /stypes="app*4015*20170921*" /stext=" 19:.+((SYSTEM_STATE.+slice.+state.+changed )|(ment ac)|(multiple cpu faults)|(system.+state.+changed )|(\[timeout)|(PRM\|1\|D)|(kpr)|(kdp)|(train st.+moving)|(\|lc)|(penalty))"</v>
      </c>
      <c r="AG76" s="182" t="str">
        <f t="shared" si="13"/>
        <v>EC</v>
      </c>
      <c r="AH76" s="78" t="str">
        <f t="shared" si="19"/>
        <v>"%USERPROFILE%\Documents\GitHub\eaglep3\Utilities\RefineRTDCRunTimes.py" --tripid 164-21 --locoid 4015 --swversion DE.1.0.9.0 --startMP 204:232980 --initTime 2017-09-21T12:20:56 --startdatetime 2017-09-21T12:27:21 --delay 96 --endMP 204:158 --enddatetime 2017-09-21T13:05:25 --enforcementcount 0 &gt;&gt;c:\users\stu\Documents\GitHub\eaglep3-reporting\EC\2017-09-21-refined-times.txt</v>
      </c>
      <c r="AI76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{"issue":{"subject":"","project_id":79,"tracker_id":40,"status_id":1,"priority_id":2,"assigned_to_id":338,"start_date":"2017-09-21","description":"","custom_fields":[{"id":1,"name":"Subdivision","value":"EC"},{"id":4,"name":"Milepost","value":"0.0158"},{"id":17,"name":"Train ID","value":"164-21"},{"id":16,"name":"Locomotive ID","value":"4015"},{"id":130,"name":"Impact","value":""},{"id":150,"name":"Time of Event (Mountain Time)","value":"13:05:25"},{"id":151,"name":"Denver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1"/>
        <v>start /low /b %USERPROFILE%\Documents\GitHub\eaglep3\Utilities\DownloadLogsFromS3.py --loco 4015 --day 2017-09-21</v>
      </c>
      <c r="AN76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19:05:25"},{"id":29,"name":"Sharepoint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23"/>
        <v>https://d0f6bd738d7f1b3e5a7ca70fe4ff75f0.us-east-1.aws.found.io/app/kibana#/discover/Steve-Slow-Train-Analysis-(2080s-and-2083s)?_g=(refreshInterval:(display:Off,pause:!f,section:0,value:0),time:(from:'2017-09-21T11:20:56-0600',mode:absolute,to:'2017-09-21T14:05:25-0600'))&amp;_a=(columns:!('Message%20ID',Summary),filters:!(),index:'emp_*',interval:auto,query:(query_string:(analyze_wildcard:!t,query:'Message%5C+ID:(*)+AND+%22rtdc.l.rtdc.4015%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707</v>
      </c>
      <c r="B77" s="7">
        <v>4018</v>
      </c>
      <c r="C77" s="21" t="s">
        <v>196</v>
      </c>
      <c r="D77" s="21" t="s">
        <v>412</v>
      </c>
      <c r="E77" s="13">
        <v>42999.485115740739</v>
      </c>
      <c r="F77" s="13">
        <v>42999.489849537036</v>
      </c>
      <c r="G77" s="7">
        <v>137</v>
      </c>
      <c r="H77" s="21" t="s">
        <v>555</v>
      </c>
      <c r="I77" s="13">
        <v>42999.514224537037</v>
      </c>
      <c r="J77" s="7">
        <v>0</v>
      </c>
      <c r="K77" s="89" t="str">
        <f t="shared" si="0"/>
        <v>4017/4018</v>
      </c>
      <c r="L77" s="185" t="str">
        <f>VLOOKUP(A77,'Trips&amp;Operators'!$C$1:$G$99911,5,FALSE)</f>
        <v>LEVIN SCOTT</v>
      </c>
      <c r="M77" s="6">
        <f t="shared" si="1"/>
        <v>2.4375000000873115E-2</v>
      </c>
      <c r="N77" s="7">
        <f t="shared" si="2"/>
        <v>35.100000001257285</v>
      </c>
      <c r="O77" s="7"/>
      <c r="P77" s="7"/>
      <c r="Q77" s="22"/>
      <c r="R77" s="174"/>
      <c r="S77" s="221">
        <f t="shared" si="3"/>
        <v>1</v>
      </c>
      <c r="T77" s="174" t="str">
        <f t="shared" si="4"/>
        <v>NorthBound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 t="shared" si="5"/>
        <v>https://d0f6bd738d7f1b3e5a7ca70fe4ff75f0.us-east-1.aws.found.io/app/kibana#/discover/Steve-Slow-Train-Analysis-(2080s-and-2083s)?_g=(refreshInterval:(display:Off,pause:!f,section:0,value:0),time:(from:'2017-09-21T10:38:34-0600',mode:absolute,to:'2017-09-21T13:20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7" s="204" t="str">
        <f>IF(AA77&lt;VLOOKUP(AG77,Variables!$AC$3:$AD$8,2,FALSE),"Y","N")</f>
        <v>N</v>
      </c>
      <c r="X77" s="204">
        <f t="shared" si="6"/>
        <v>1</v>
      </c>
      <c r="Y77" s="204">
        <f t="shared" si="7"/>
        <v>4.6600000000000003E-2</v>
      </c>
      <c r="Z77" s="204">
        <f t="shared" si="8"/>
        <v>23.334199999999999</v>
      </c>
      <c r="AA77" s="204">
        <f t="shared" si="9"/>
        <v>23.287599999999998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 t="shared" si="10"/>
        <v>165</v>
      </c>
      <c r="AE77" s="77" t="str">
        <f t="shared" si="11"/>
        <v>aws s3 cp s3://rtdc.mdm.uploadarchive.raw/RTDC4018/ "%USERPROFILE%\AppData\Local\Temp\OnboardLogs"\RTDC4018\2017-09-21 --exclude "*" --recursive --include "*20170921*" &amp; "%USERPROFILE%\Documents\GitHub\mrs-test-scripts\Headless Mode &amp; Sideloading\WalkAndUnGZ.bat" "%USERPROFILE%\AppData\Local\Temp\OnboardLogs"\RTDC4018\2017-09-21 &amp; aws s3 cp s3://rtdc.mdm.uploadarchive.raw/RTDC4018/ "%USERPROFILE%\AppData\Local\Temp\OnboardLogs"\RTDC4018\2017-09-22 --exclude "*" --recursive --include "*20170922*" &amp; "%USERPROFILE%\Documents\GitHub\mrs-test-scripts\Headless Mode &amp; Sideloading\WalkAndUnGZ.bat" "%USERPROFILE%\AppData\Local\Temp\OnboardLogs"\RTDC4018\2017-09-22</v>
      </c>
      <c r="AF77" s="74" t="str">
        <f t="shared" si="12"/>
        <v>"C:\Program Files (x86)\AstroGrep\AstroGrep.exe" /e /r /s /spath="%USERPROFILE%\AppData\Local\Temp\OnboardLogs" /stypes="app*4018*20170921*" /stext=" 18:.+((SYSTEM_STATE.+slice.+state.+changed )|(ment ac)|(multiple cpu faults)|(system.+state.+changed )|(\[timeout)|(PRM\|1\|D)|(kpr)|(kdp)|(train st.+moving)|(\|lc)|(penalty))"</v>
      </c>
      <c r="AG77" s="182" t="str">
        <f t="shared" si="13"/>
        <v>EC</v>
      </c>
      <c r="AH77" s="78" t="str">
        <f t="shared" si="19"/>
        <v>"%USERPROFILE%\Documents\GitHub\eaglep3\Utilities\RefineRTDCRunTimes.py" --tripid 165-21 --locoid 4018 --swversion DE.1.0.9.0 --startMP 204:466 --initTime 2017-09-21T11:38:34 --startdatetime 2017-09-21T11:45:23 --delay 137 --endMP 204:233342 --enddatetime 2017-09-21T12:20:29 --enforcementcount 0 &gt;&gt;c:\users\stu\Documents\GitHub\eaglep3-reporting\EC\2017-09-21-refined-times.txt</v>
      </c>
      <c r="AI77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{"issue":{"subject":"","project_id":79,"tracker_id":40,"status_id":1,"priority_id":2,"assigned_to_id":338,"start_date":"2017-09-21","description":"","custom_fields":[{"id":1,"name":"Subdivision","value":"EC"},{"id":4,"name":"Milepost","value":"23.3342"},{"id":17,"name":"Train ID","value":"165-21"},{"id":16,"name":"Locomotive ID","value":"4018"},{"id":130,"name":"Impact","value":""},{"id":150,"name":"Time of Event (Mountain Time)","value":"12:20:29"},{"id":151,"name":"Denver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1"/>
        <v>start /low /b %USERPROFILE%\Documents\GitHub\eaglep3\Utilities\DownloadLogsFromS3.py --loco 4018 --day 2017-09-21</v>
      </c>
      <c r="AN77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18:20:29"},{"id":29,"name":"Sharepoint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23"/>
        <v>https://d0f6bd738d7f1b3e5a7ca70fe4ff75f0.us-east-1.aws.found.io/app/kibana#/discover/Steve-Slow-Train-Analysis-(2080s-and-2083s)?_g=(refreshInterval:(display:Off,pause:!f,section:0,value:0),time:(from:'2017-09-21T10:38:34-0600',mode:absolute,to:'2017-09-21T13:20:29-0600'))&amp;_a=(columns:!('Message%20ID',Summary),filters:!(),index:'emp_*',interval:auto,query:(query_string:(analyze_wildcard:!t,query:'Message%5C+ID:(*)+AND+%22rtdc.l.rtdc.4018%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715</v>
      </c>
      <c r="B78" s="7">
        <v>4017</v>
      </c>
      <c r="C78" s="21" t="s">
        <v>196</v>
      </c>
      <c r="D78" s="21" t="s">
        <v>450</v>
      </c>
      <c r="E78" s="13">
        <v>42999.524224537039</v>
      </c>
      <c r="F78" s="13">
        <v>42999.529374999998</v>
      </c>
      <c r="G78" s="7">
        <v>81</v>
      </c>
      <c r="H78" s="21" t="s">
        <v>363</v>
      </c>
      <c r="I78" s="13">
        <v>42999.554988425924</v>
      </c>
      <c r="J78" s="7">
        <v>0</v>
      </c>
      <c r="K78" s="89" t="str">
        <f t="shared" ref="K78:K143" si="40">IF(ISEVEN(B78),(B78-1)&amp;"/"&amp;B78,B78&amp;"/"&amp;(B78+1))</f>
        <v>4017/4018</v>
      </c>
      <c r="L78" s="185" t="str">
        <f>VLOOKUP(A78,'Trips&amp;Operators'!$C$1:$G$99911,5,FALSE)</f>
        <v>LEVIN SCOTT</v>
      </c>
      <c r="M78" s="6">
        <f t="shared" ref="M78:M143" si="41">I78-F78</f>
        <v>2.5613425925257616E-2</v>
      </c>
      <c r="N78" s="7">
        <f t="shared" ref="N78:P143" si="42">24*60*SUM($M78:$M78)</f>
        <v>36.883333332370967</v>
      </c>
      <c r="O78" s="7"/>
      <c r="P78" s="7"/>
      <c r="Q78" s="22"/>
      <c r="R78" s="174"/>
      <c r="S78" s="221">
        <f t="shared" ref="S78:S143" si="43">1/IF(AG78="EC",12,1)*SUM(U78:U78)</f>
        <v>1</v>
      </c>
      <c r="T78" s="174" t="str">
        <f t="shared" ref="T78:T143" si="44">IF(ISEVEN(LEFT(AD78,4)),"Southbound","NorthBound")</f>
        <v>Southbound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 t="shared" ref="V78:V143" si="45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-09-21T11:34:53-0600',mode:absolute,to:'2017-09-21T14:19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8" s="204" t="str">
        <f>IF(AA78&lt;VLOOKUP(AG78,Variables!$AC$3:$AD$8,2,FALSE),"Y","N")</f>
        <v>N</v>
      </c>
      <c r="X78" s="204">
        <f t="shared" ref="X78:X143" si="46">VALUE(LEFT(AD78,4))-VALUE(LEFT(AD77,4))</f>
        <v>1</v>
      </c>
      <c r="Y78" s="204">
        <f t="shared" ref="Y78:Y143" si="47">RIGHT(D78,LEN(D78)-4)/10000</f>
        <v>23.302299999999999</v>
      </c>
      <c r="Z78" s="204">
        <f t="shared" ref="Z78:Z143" si="48">RIGHT(H78,LEN(H78)-4)/10000</f>
        <v>1.4500000000000001E-2</v>
      </c>
      <c r="AA78" s="204">
        <f t="shared" ref="AA78:AA143" si="49">ABS(Z78-Y78)</f>
        <v>23.287799999999997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 t="shared" ref="AD78:AD143" si="50">VALUE(LEFT(A78,LEN(A78)-3))</f>
        <v>166</v>
      </c>
      <c r="AE78" s="77" t="str">
        <f t="shared" ref="AE78:AE143" si="51"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s3://rtdc.mdm.uploadarchive.raw/RTDC4017/ "%USERPROFILE%\AppData\Local\Temp\OnboardLogs"\RTDC4017\2017-09-21 --exclude "*" --recursive --include "*20170921*" &amp; "%USERPROFILE%\Documents\GitHub\mrs-test-scripts\Headless Mode &amp; Sideloading\WalkAndUnGZ.bat" "%USERPROFILE%\AppData\Local\Temp\OnboardLogs"\RTDC4017\2017-09-21 &amp; aws s3 cp s3://rtdc.mdm.uploadarchive.raw/RTDC4017/ "%USERPROFILE%\AppData\Local\Temp\OnboardLogs"\RTDC4017\2017-09-22 --exclude "*" --recursive --include "*20170922*" &amp; "%USERPROFILE%\Documents\GitHub\mrs-test-scripts\Headless Mode &amp; Sideloading\WalkAndUnGZ.bat" "%USERPROFILE%\AppData\Local\Temp\OnboardLogs"\RTDC4017\2017-09-22</v>
      </c>
      <c r="AF78" s="74" t="str">
        <f t="shared" ref="AF78:AF143" si="52"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/stypes="app*4017*20170921*" /stext=" 19:.+((SYSTEM_STATE.+slice.+state.+changed )|(ment ac)|(multiple cpu faults)|(system.+state.+changed )|(\[timeout)|(PRM\|1\|D)|(kpr)|(kdp)|(train st.+moving)|(\|lc)|(penalty))"</v>
      </c>
      <c r="AG78" s="182" t="str">
        <f t="shared" ref="AG78:AG143" si="53">DetSubdiv(A78)</f>
        <v>EC</v>
      </c>
      <c r="AH78" s="78" t="str">
        <f t="shared" si="19"/>
        <v>"%USERPROFILE%\Documents\GitHub\eaglep3\Utilities\RefineRTDCRunTimes.py" --tripid 166-21 --locoid 4017 --swversion DE.1.0.9.0 --startMP 204:233023 --initTime 2017-09-21T12:34:53 --startdatetime 2017-09-21T12:42:18 --delay 81 --endMP 204:145 --enddatetime 2017-09-21T13:19:11 --enforcementcount 0 &gt;&gt;c:\users\stu\Documents\GitHub\eaglep3-reporting\EC\2017-09-21-refined-times.txt</v>
      </c>
      <c r="AI78" s="96" t="str">
        <f t="shared" si="20"/>
        <v>echo {"issue":{"subject":"","project_id":79,"tracker_id":40,"status_id":1,"priority_id":2,"assigned_to_id":338,"start_date":"2017-09-21","description":"","custom_fields":[{"id":1,"name":"Subdivision","value":"EC"},{"id":4,"name":"Milepost","value":"0.0145"},{"id":17,"name":"Train ID","value":"166-21"},{"id":16,"name":"Locomotive ID","value":"4017"},{"id":130,"name":"Impact","value":""},{"id":150,"name":"Time of Event (Mountain Time)","value":"13:19:11"},{"id":151,"name":"Denver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21"/>
        <v>start /low /b %USERPROFILE%\Documents\GitHub\eaglep3\Utilities\DownloadLogsFromS3.py --loco 4017 --day 2017-09-21</v>
      </c>
      <c r="AN78" s="151" t="str">
        <f t="shared" si="22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19:19:11"},{"id":29,"name":"Sharepoint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si="23"/>
        <v>https://d0f6bd738d7f1b3e5a7ca70fe4ff75f0.us-east-1.aws.found.io/app/kibana#/discover/Steve-Slow-Train-Analysis-(2080s-and-2083s)?_g=(refreshInterval:(display:Off,pause:!f,section:0,value:0),time:(from:'2017-09-21T11:34:53-0600',mode:absolute,to:'2017-09-21T14:19:11-0600'))&amp;_a=(columns:!('Message%20ID',Summary),filters:!(),index:'emp_*',interval:auto,query:(query_string:(analyze_wildcard:!t,query:'Message%5C+ID:(*)+AND+%22rtdc.l.rtdc.4017%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709</v>
      </c>
      <c r="B79" s="7">
        <v>4056</v>
      </c>
      <c r="C79" s="21" t="s">
        <v>196</v>
      </c>
      <c r="D79" s="21" t="s">
        <v>336</v>
      </c>
      <c r="E79" s="13">
        <v>42999.496203703704</v>
      </c>
      <c r="F79" s="13">
        <v>42999.500243055554</v>
      </c>
      <c r="G79" s="7">
        <v>94</v>
      </c>
      <c r="H79" s="21" t="s">
        <v>857</v>
      </c>
      <c r="I79" s="13">
        <v>42999.524594907409</v>
      </c>
      <c r="J79" s="7">
        <v>0</v>
      </c>
      <c r="K79" s="89" t="str">
        <f t="shared" si="40"/>
        <v>4055/4056</v>
      </c>
      <c r="L79" s="185" t="str">
        <f>VLOOKUP(A79,'Trips&amp;Operators'!$C$1:$G$99911,5,FALSE)</f>
        <v>BERLING GARY</v>
      </c>
      <c r="M79" s="6">
        <f t="shared" si="41"/>
        <v>2.4351851854589768E-2</v>
      </c>
      <c r="N79" s="7">
        <f t="shared" si="42"/>
        <v>35.066666670609266</v>
      </c>
      <c r="O79" s="7"/>
      <c r="P79" s="7"/>
      <c r="Q79" s="22"/>
      <c r="R79" s="174"/>
      <c r="S79" s="221">
        <f t="shared" si="43"/>
        <v>1</v>
      </c>
      <c r="T79" s="174" t="str">
        <f t="shared" si="44"/>
        <v>NorthBound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 t="shared" si="45"/>
        <v>https://d0f6bd738d7f1b3e5a7ca70fe4ff75f0.us-east-1.aws.found.io/app/kibana#/discover/Steve-Slow-Train-Analysis-(2080s-and-2083s)?_g=(refreshInterval:(display:Off,pause:!f,section:0,value:0),time:(from:'2017-09-21T10:54:32-0600',mode:absolute,to:'2017-09-21T13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9" s="204" t="str">
        <f>IF(AA79&lt;VLOOKUP(AG79,Variables!$AC$3:$AD$8,2,FALSE),"Y","N")</f>
        <v>N</v>
      </c>
      <c r="X79" s="204">
        <f t="shared" si="46"/>
        <v>1</v>
      </c>
      <c r="Y79" s="204">
        <f t="shared" si="47"/>
        <v>4.4600000000000001E-2</v>
      </c>
      <c r="Z79" s="204">
        <f t="shared" si="48"/>
        <v>23.3309</v>
      </c>
      <c r="AA79" s="204">
        <f t="shared" si="49"/>
        <v>23.286300000000001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 t="shared" si="50"/>
        <v>167</v>
      </c>
      <c r="AE79" s="77" t="str">
        <f t="shared" si="51"/>
        <v>aws s3 cp s3://rtdc.mdm.uploadarchive.raw/RTDC4056/ "%USERPROFILE%\AppData\Local\Temp\OnboardLogs"\RTDC4056\2017-09-21 --exclude "*" --recursive --include "*20170921*" &amp; "%USERPROFILE%\Documents\GitHub\mrs-test-scripts\Headless Mode &amp; Sideloading\WalkAndUnGZ.bat" "%USERPROFILE%\AppData\Local\Temp\OnboardLogs"\RTDC4056\2017-09-21 &amp; aws s3 cp s3://rtdc.mdm.uploadarchive.raw/RTDC4056/ "%USERPROFILE%\AppData\Local\Temp\OnboardLogs"\RTDC4056\2017-09-22 --exclude "*" --recursive --include "*20170922*" &amp; "%USERPROFILE%\Documents\GitHub\mrs-test-scripts\Headless Mode &amp; Sideloading\WalkAndUnGZ.bat" "%USERPROFILE%\AppData\Local\Temp\OnboardLogs"\RTDC4056\2017-09-22</v>
      </c>
      <c r="AF79" s="74" t="str">
        <f t="shared" si="52"/>
        <v>"C:\Program Files (x86)\AstroGrep\AstroGrep.exe" /e /r /s /spath="%USERPROFILE%\AppData\Local\Temp\OnboardLogs" /stypes="app*4056*20170921*" /stext=" 18:.+((SYSTEM_STATE.+slice.+state.+changed )|(ment ac)|(multiple cpu faults)|(system.+state.+changed )|(\[timeout)|(PRM\|1\|D)|(kpr)|(kdp)|(train st.+moving)|(\|lc)|(penalty))"</v>
      </c>
      <c r="AG79" s="182" t="str">
        <f t="shared" si="53"/>
        <v>EC</v>
      </c>
      <c r="AH79" s="78" t="str">
        <f t="shared" ref="AH79:AH144" si="54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167-21 --locoid 4056 --swversion DE.1.0.9.0 --startMP 204:446 --initTime 2017-09-21T11:54:32 --startdatetime 2017-09-21T12:00:21 --delay 94 --endMP 204:233309 --enddatetime 2017-09-21T12:35:25 --enforcementcount 0 &gt;&gt;c:\users\stu\Documents\GitHub\eaglep3-reporting\EC\2017-09-21-refined-times.txt</v>
      </c>
      <c r="AI79" s="96" t="str">
        <f t="shared" ref="AI79:AI144" si="55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{"issue":{"subject":"","project_id":79,"tracker_id":40,"status_id":1,"priority_id":2,"assigned_to_id":338,"start_date":"2017-09-21","description":"","custom_fields":[{"id":1,"name":"Subdivision","value":"EC"},{"id":4,"name":"Milepost","value":"23.3309"},{"id":17,"name":"Train ID","value":"167-21"},{"id":16,"name":"Locomotive ID","value":"4056"},{"id":130,"name":"Impact","value":""},{"id":150,"name":"Time of Event (Mountain Time)","value":"12:35:25"},{"id":151,"name":"Denver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ref="AM79:AM144" si="56">"start /low /b "&amp;dls3logs&amp;" --loco "&amp;B79&amp;" --day "&amp;TEXT(F79,"YYYY-MM-DD")</f>
        <v>start /low /b %USERPROFILE%\Documents\GitHub\eaglep3\Utilities\DownloadLogsFromS3.py --loco 4056 --day 2017-09-21</v>
      </c>
      <c r="AN79" s="151" t="str">
        <f t="shared" ref="AN79:AN144" si="57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18:35:25"},{"id":29,"name":"Sharepoint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ref="AO79:AO144" si="58"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Message%20ID',Summary),filters:!(),index:'emp_*',interval:auto,query:"&amp;"(query_string:(analyze_wildcard:!t,query:'Message%5C+ID:(*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-09-21T10:54:32-0600',mode:absolute,to:'2017-09-21T13:35:25-0600'))&amp;_a=(columns:!('Message%20ID',Summary),filters:!(),index:'emp_*',interval:auto,query:(query_string:(analyze_wildcard:!t,query:'Message%5C+ID:(*)+AND+%22rtdc.l.rtdc.4056%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603</v>
      </c>
      <c r="B80" s="7">
        <v>4055</v>
      </c>
      <c r="C80" s="21" t="s">
        <v>196</v>
      </c>
      <c r="D80" s="21" t="s">
        <v>858</v>
      </c>
      <c r="E80" s="13">
        <v>42999.532418981478</v>
      </c>
      <c r="F80" s="13">
        <v>42999.539849537039</v>
      </c>
      <c r="G80" s="7">
        <v>93</v>
      </c>
      <c r="H80" s="21" t="s">
        <v>341</v>
      </c>
      <c r="I80" s="13">
        <v>42999.568148148152</v>
      </c>
      <c r="J80" s="7">
        <v>0</v>
      </c>
      <c r="K80" s="89" t="str">
        <f t="shared" si="40"/>
        <v>4055/4056</v>
      </c>
      <c r="L80" s="185" t="str">
        <f>VLOOKUP(A80,'Trips&amp;Operators'!$C$1:$G$99911,5,FALSE)</f>
        <v>BERLING GARY</v>
      </c>
      <c r="M80" s="6">
        <f t="shared" si="41"/>
        <v>2.8298611112404615E-2</v>
      </c>
      <c r="N80" s="7">
        <f t="shared" si="42"/>
        <v>40.750000001862645</v>
      </c>
      <c r="O80" s="7"/>
      <c r="P80" s="7"/>
      <c r="Q80" s="22"/>
      <c r="R80" s="174"/>
      <c r="S80" s="221">
        <f t="shared" si="43"/>
        <v>1</v>
      </c>
      <c r="T80" s="174" t="str">
        <f t="shared" si="44"/>
        <v>Southbound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 t="shared" si="45"/>
        <v>https://d0f6bd738d7f1b3e5a7ca70fe4ff75f0.us-east-1.aws.found.io/app/kibana#/discover/Steve-Slow-Train-Analysis-(2080s-and-2083s)?_g=(refreshInterval:(display:Off,pause:!f,section:0,value:0),time:(from:'2017-09-21T11:46:41-0600',mode:absolute,to:'2017-09-21T14:38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0" s="204" t="str">
        <f>IF(AA80&lt;VLOOKUP(AG80,Variables!$AC$3:$AD$8,2,FALSE),"Y","N")</f>
        <v>N</v>
      </c>
      <c r="X80" s="204">
        <f t="shared" si="46"/>
        <v>1</v>
      </c>
      <c r="Y80" s="204">
        <f t="shared" si="47"/>
        <v>23.3</v>
      </c>
      <c r="Z80" s="204">
        <f t="shared" si="48"/>
        <v>1.41E-2</v>
      </c>
      <c r="AA80" s="204">
        <f t="shared" si="49"/>
        <v>23.285900000000002</v>
      </c>
      <c r="AB80" s="54" t="str">
        <f>VLOOKUP(A80,Enforcements!$C$7:$K$11,8,0)</f>
        <v>Bulletin (2)</v>
      </c>
      <c r="AC80" s="51" t="str">
        <f>VLOOKUP(A80,Enforcements!$C$7:$E$11,3,0)</f>
        <v>GRADE CROSSING</v>
      </c>
      <c r="AD80" s="179">
        <f t="shared" si="50"/>
        <v>168</v>
      </c>
      <c r="AE80" s="77" t="str">
        <f t="shared" si="51"/>
        <v>aws s3 cp s3://rtdc.mdm.uploadarchive.raw/RTDC4055/ "%USERPROFILE%\AppData\Local\Temp\OnboardLogs"\RTDC4055\2017-09-21 --exclude "*" --recursive --include "*20170921*" &amp; "%USERPROFILE%\Documents\GitHub\mrs-test-scripts\Headless Mode &amp; Sideloading\WalkAndUnGZ.bat" "%USERPROFILE%\AppData\Local\Temp\OnboardLogs"\RTDC4055\2017-09-21 &amp; aws s3 cp s3://rtdc.mdm.uploadarchive.raw/RTDC4055/ "%USERPROFILE%\AppData\Local\Temp\OnboardLogs"\RTDC4055\2017-09-22 --exclude "*" --recursive --include "*20170922*" &amp; "%USERPROFILE%\Documents\GitHub\mrs-test-scripts\Headless Mode &amp; Sideloading\WalkAndUnGZ.bat" "%USERPROFILE%\AppData\Local\Temp\OnboardLogs"\RTDC4055\2017-09-22</v>
      </c>
      <c r="AF80" s="74" t="str">
        <f t="shared" si="52"/>
        <v>"C:\Program Files (x86)\AstroGrep\AstroGrep.exe" /e /r /s /spath="%USERPROFILE%\AppData\Local\Temp\OnboardLogs" /stypes="app*4055*20170921*" /stext=" 19:.+((SYSTEM_STATE.+slice.+state.+changed )|(ment ac)|(multiple cpu faults)|(system.+state.+changed )|(\[timeout)|(PRM\|1\|D)|(kpr)|(kdp)|(train st.+moving)|(\|lc)|(penalty))"</v>
      </c>
      <c r="AG80" s="182" t="str">
        <f t="shared" si="53"/>
        <v>EC</v>
      </c>
      <c r="AH80" s="78" t="str">
        <f t="shared" si="54"/>
        <v>"%USERPROFILE%\Documents\GitHub\eaglep3\Utilities\RefineRTDCRunTimes.py" --tripid 168-21 --locoid 4055 --swversion DE.1.0.9.0 --startMP 204:233000 --initTime 2017-09-21T12:46:41 --startdatetime 2017-09-21T12:57:23 --delay 93 --endMP 204:141 --enddatetime 2017-09-21T13:38:08 --enforcementcount 0 &gt;&gt;c:\users\stu\Documents\GitHub\eaglep3-reporting\EC\2017-09-21-refined-times.txt</v>
      </c>
      <c r="AI80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{"issue":{"subject":"","project_id":79,"tracker_id":40,"status_id":1,"priority_id":2,"assigned_to_id":338,"start_date":"2017-09-21","description":"","custom_fields":[{"id":1,"name":"Subdivision","value":"EC"},{"id":4,"name":"Milepost","value":"0.0141"},{"id":17,"name":"Train ID","value":"168-21"},{"id":16,"name":"Locomotive ID","value":"4055"},{"id":130,"name":"Impact","value":""},{"id":150,"name":"Time of Event (Mountain Time)","value":"13:38:08"},{"id":151,"name":"Denver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56"/>
        <v>start /low /b %USERPROFILE%\Documents\GitHub\eaglep3\Utilities\DownloadLogsFromS3.py --loco 4055 --day 2017-09-21</v>
      </c>
      <c r="AN80" s="151" t="str">
        <f t="shared" si="57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19:38:08"},{"id":29,"name":"Sharepoint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58"/>
        <v>https://d0f6bd738d7f1b3e5a7ca70fe4ff75f0.us-east-1.aws.found.io/app/kibana#/discover/Steve-Slow-Train-Analysis-(2080s-and-2083s)?_g=(refreshInterval:(display:Off,pause:!f,section:0,value:0),time:(from:'2017-09-21T11:46:41-0600',mode:absolute,to:'2017-09-21T14:38:08-0600'))&amp;_a=(columns:!('Message%20ID',Summary),filters:!(),index:'emp_*',interval:auto,query:(query_string:(analyze_wildcard:!t,query:'Message%5C+ID:(*)+AND+%22rtdc.l.rtdc.4055%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712</v>
      </c>
      <c r="B81" s="7">
        <v>4010</v>
      </c>
      <c r="C81" s="21" t="s">
        <v>196</v>
      </c>
      <c r="D81" s="21" t="s">
        <v>348</v>
      </c>
      <c r="E81" s="13">
        <v>42999.507002314815</v>
      </c>
      <c r="F81" s="13">
        <v>42999.510613425926</v>
      </c>
      <c r="G81" s="7">
        <v>70</v>
      </c>
      <c r="H81" s="21" t="s">
        <v>477</v>
      </c>
      <c r="I81" s="13">
        <v>42999.536562499998</v>
      </c>
      <c r="J81" s="7">
        <v>0</v>
      </c>
      <c r="K81" s="89" t="str">
        <f t="shared" si="40"/>
        <v>4009/4010</v>
      </c>
      <c r="L81" s="185" t="str">
        <f>VLOOKUP(A81,'Trips&amp;Operators'!$C$1:$G$99911,5,FALSE)</f>
        <v>LEVERE CRAIG</v>
      </c>
      <c r="M81" s="6">
        <f t="shared" si="41"/>
        <v>2.5949074071832001E-2</v>
      </c>
      <c r="N81" s="7">
        <f t="shared" si="42"/>
        <v>37.366666663438082</v>
      </c>
      <c r="O81" s="7"/>
      <c r="P81" s="7"/>
      <c r="Q81" s="22"/>
      <c r="R81" s="174"/>
      <c r="S81" s="221">
        <f t="shared" si="43"/>
        <v>1</v>
      </c>
      <c r="T81" s="174" t="str">
        <f t="shared" si="44"/>
        <v>NorthBound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 t="shared" si="45"/>
        <v>https://d0f6bd738d7f1b3e5a7ca70fe4ff75f0.us-east-1.aws.found.io/app/kibana#/discover/Steve-Slow-Train-Analysis-(2080s-and-2083s)?_g=(refreshInterval:(display:Off,pause:!f,section:0,value:0),time:(from:'2017-09-21T11:10:05-0600',mode:absolute,to:'2017-09-21T13:52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1" s="204" t="str">
        <f>IF(AA81&lt;VLOOKUP(AG81,Variables!$AC$3:$AD$8,2,FALSE),"Y","N")</f>
        <v>N</v>
      </c>
      <c r="X81" s="204">
        <f t="shared" si="46"/>
        <v>1</v>
      </c>
      <c r="Y81" s="204">
        <f t="shared" si="47"/>
        <v>4.5499999999999999E-2</v>
      </c>
      <c r="Z81" s="204">
        <f t="shared" si="48"/>
        <v>23.332100000000001</v>
      </c>
      <c r="AA81" s="204">
        <f t="shared" si="49"/>
        <v>23.2866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 t="shared" si="50"/>
        <v>169</v>
      </c>
      <c r="AE81" s="77" t="str">
        <f t="shared" si="51"/>
        <v>aws s3 cp s3://rtdc.mdm.uploadarchive.raw/RTDC4010/ "%USERPROFILE%\AppData\Local\Temp\OnboardLogs"\RTDC4010\2017-09-21 --exclude "*" --recursive --include "*20170921*" &amp; "%USERPROFILE%\Documents\GitHub\mrs-test-scripts\Headless Mode &amp; Sideloading\WalkAndUnGZ.bat" "%USERPROFILE%\AppData\Local\Temp\OnboardLogs"\RTDC4010\2017-09-21 &amp; aws s3 cp s3://rtdc.mdm.uploadarchive.raw/RTDC4010/ "%USERPROFILE%\AppData\Local\Temp\OnboardLogs"\RTDC4010\2017-09-22 --exclude "*" --recursive --include "*20170922*" &amp; "%USERPROFILE%\Documents\GitHub\mrs-test-scripts\Headless Mode &amp; Sideloading\WalkAndUnGZ.bat" "%USERPROFILE%\AppData\Local\Temp\OnboardLogs"\RTDC4010\2017-09-22</v>
      </c>
      <c r="AF81" s="74" t="str">
        <f t="shared" si="52"/>
        <v>"C:\Program Files (x86)\AstroGrep\AstroGrep.exe" /e /r /s /spath="%USERPROFILE%\AppData\Local\Temp\OnboardLogs" /stypes="app*4010*20170921*" /stext=" 18:.+((SYSTEM_STATE.+slice.+state.+changed )|(ment ac)|(multiple cpu faults)|(system.+state.+changed )|(\[timeout)|(PRM\|1\|D)|(kpr)|(kdp)|(train st.+moving)|(\|lc)|(penalty))"</v>
      </c>
      <c r="AG81" s="182" t="str">
        <f t="shared" si="53"/>
        <v>EC</v>
      </c>
      <c r="AH81" s="78" t="str">
        <f t="shared" si="54"/>
        <v>"%USERPROFILE%\Documents\GitHub\eaglep3\Utilities\RefineRTDCRunTimes.py" --tripid 169-21 --locoid 4010 --swversion DE.1.0.9.0 --startMP 204:455 --initTime 2017-09-21T12:10:05 --startdatetime 2017-09-21T12:15:17 --delay 70 --endMP 204:233321 --enddatetime 2017-09-21T12:52:39 --enforcementcount 0 &gt;&gt;c:\users\stu\Documents\GitHub\eaglep3-reporting\EC\2017-09-21-refined-times.txt</v>
      </c>
      <c r="AI81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{"issue":{"subject":"","project_id":79,"tracker_id":40,"status_id":1,"priority_id":2,"assigned_to_id":338,"start_date":"2017-09-21","description":"","custom_fields":[{"id":1,"name":"Subdivision","value":"EC"},{"id":4,"name":"Milepost","value":"23.3321"},{"id":17,"name":"Train ID","value":"169-21"},{"id":16,"name":"Locomotive ID","value":"4010"},{"id":130,"name":"Impact","value":""},{"id":150,"name":"Time of Event (Mountain Time)","value":"12:52:39"},{"id":151,"name":"Denver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56"/>
        <v>start /low /b %USERPROFILE%\Documents\GitHub\eaglep3\Utilities\DownloadLogsFromS3.py --loco 4010 --day 2017-09-21</v>
      </c>
      <c r="AN81" s="151" t="str">
        <f t="shared" si="57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18:52:39"},{"id":29,"name":"Sharepoint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58"/>
        <v>https://d0f6bd738d7f1b3e5a7ca70fe4ff75f0.us-east-1.aws.found.io/app/kibana#/discover/Steve-Slow-Train-Analysis-(2080s-and-2083s)?_g=(refreshInterval:(display:Off,pause:!f,section:0,value:0),time:(from:'2017-09-21T11:10:05-0600',mode:absolute,to:'2017-09-21T13:52:39-0600'))&amp;_a=(columns:!('Message%20ID',Summary),filters:!(),index:'emp_*',interval:auto,query:(query_string:(analyze_wildcard:!t,query:'Message%5C+ID:(*)+AND+%22rtdc.l.rtdc.4010%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604</v>
      </c>
      <c r="B82" s="7">
        <v>4009</v>
      </c>
      <c r="C82" s="21" t="s">
        <v>196</v>
      </c>
      <c r="D82" s="21" t="s">
        <v>491</v>
      </c>
      <c r="E82" s="13">
        <v>42999.544340277775</v>
      </c>
      <c r="F82" s="13">
        <v>42999.550185185188</v>
      </c>
      <c r="G82" s="7">
        <v>86</v>
      </c>
      <c r="H82" s="21" t="s">
        <v>859</v>
      </c>
      <c r="I82" s="13">
        <v>42999.578611111108</v>
      </c>
      <c r="J82" s="7">
        <v>0</v>
      </c>
      <c r="K82" s="89" t="str">
        <f t="shared" si="40"/>
        <v>4009/4010</v>
      </c>
      <c r="L82" s="185" t="str">
        <f>VLOOKUP(A82,'Trips&amp;Operators'!$C$1:$G$99911,5,FALSE)</f>
        <v>LEVERE CRAIG</v>
      </c>
      <c r="M82" s="6">
        <f t="shared" si="41"/>
        <v>2.8425925920601003E-2</v>
      </c>
      <c r="N82" s="7">
        <f t="shared" si="42"/>
        <v>40.933333325665444</v>
      </c>
      <c r="O82" s="7"/>
      <c r="P82" s="7"/>
      <c r="Q82" s="22"/>
      <c r="R82" s="174"/>
      <c r="S82" s="221">
        <f t="shared" si="43"/>
        <v>1</v>
      </c>
      <c r="T82" s="174" t="str">
        <f t="shared" si="44"/>
        <v>Southbound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 t="shared" si="45"/>
        <v>https://d0f6bd738d7f1b3e5a7ca70fe4ff75f0.us-east-1.aws.found.io/app/kibana#/discover/Steve-Slow-Train-Analysis-(2080s-and-2083s)?_g=(refreshInterval:(display:Off,pause:!f,section:0,value:0),time:(from:'2017-09-21T12:03:51-0600',mode:absolute,to:'2017-09-21T14:53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2" s="204" t="str">
        <f>IF(AA82&lt;VLOOKUP(AG82,Variables!$AC$3:$AD$8,2,FALSE),"Y","N")</f>
        <v>N</v>
      </c>
      <c r="X82" s="204">
        <f t="shared" si="46"/>
        <v>1</v>
      </c>
      <c r="Y82" s="204">
        <f t="shared" si="47"/>
        <v>23.300799999999999</v>
      </c>
      <c r="Z82" s="204">
        <f t="shared" si="48"/>
        <v>2.3400000000000001E-2</v>
      </c>
      <c r="AA82" s="204">
        <f t="shared" si="49"/>
        <v>23.2774</v>
      </c>
      <c r="AB82" s="54" t="str">
        <f>VLOOKUP(A82,Enforcements!$C$7:$K$11,8,0)</f>
        <v>Bulletin (2)</v>
      </c>
      <c r="AC82" s="51" t="str">
        <f>VLOOKUP(A82,Enforcements!$C$7:$E$11,3,0)</f>
        <v>GRADE CROSSING</v>
      </c>
      <c r="AD82" s="179">
        <f t="shared" si="50"/>
        <v>170</v>
      </c>
      <c r="AE82" s="77" t="str">
        <f t="shared" si="51"/>
        <v>aws s3 cp s3://rtdc.mdm.uploadarchive.raw/RTDC4009/ "%USERPROFILE%\AppData\Local\Temp\OnboardLogs"\RTDC4009\2017-09-21 --exclude "*" --recursive --include "*20170921*" &amp; "%USERPROFILE%\Documents\GitHub\mrs-test-scripts\Headless Mode &amp; Sideloading\WalkAndUnGZ.bat" "%USERPROFILE%\AppData\Local\Temp\OnboardLogs"\RTDC4009\2017-09-21 &amp; aws s3 cp s3://rtdc.mdm.uploadarchive.raw/RTDC4009/ "%USERPROFILE%\AppData\Local\Temp\OnboardLogs"\RTDC4009\2017-09-22 --exclude "*" --recursive --include "*20170922*" &amp; "%USERPROFILE%\Documents\GitHub\mrs-test-scripts\Headless Mode &amp; Sideloading\WalkAndUnGZ.bat" "%USERPROFILE%\AppData\Local\Temp\OnboardLogs"\RTDC4009\2017-09-22</v>
      </c>
      <c r="AF82" s="74" t="str">
        <f t="shared" si="52"/>
        <v>"C:\Program Files (x86)\AstroGrep\AstroGrep.exe" /e /r /s /spath="%USERPROFILE%\AppData\Local\Temp\OnboardLogs" /stypes="app*4009*20170921*" /stext=" 19:.+((SYSTEM_STATE.+slice.+state.+changed )|(ment ac)|(multiple cpu faults)|(system.+state.+changed )|(\[timeout)|(PRM\|1\|D)|(kpr)|(kdp)|(train st.+moving)|(\|lc)|(penalty))"</v>
      </c>
      <c r="AG82" s="182" t="str">
        <f t="shared" si="53"/>
        <v>EC</v>
      </c>
      <c r="AH82" s="78" t="str">
        <f t="shared" si="54"/>
        <v>"%USERPROFILE%\Documents\GitHub\eaglep3\Utilities\RefineRTDCRunTimes.py" --tripid 170-21 --locoid 4009 --swversion DE.1.0.9.0 --startMP 204:233008 --initTime 2017-09-21T13:03:51 --startdatetime 2017-09-21T13:12:16 --delay 86 --endMP 204:234 --enddatetime 2017-09-21T13:53:12 --enforcementcount 0 &gt;&gt;c:\users\stu\Documents\GitHub\eaglep3-reporting\EC\2017-09-21-refined-times.txt</v>
      </c>
      <c r="AI82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{"issue":{"subject":"","project_id":79,"tracker_id":40,"status_id":1,"priority_id":2,"assigned_to_id":338,"start_date":"2017-09-21","description":"","custom_fields":[{"id":1,"name":"Subdivision","value":"EC"},{"id":4,"name":"Milepost","value":"0.0234"},{"id":17,"name":"Train ID","value":"170-21"},{"id":16,"name":"Locomotive ID","value":"4009"},{"id":130,"name":"Impact","value":""},{"id":150,"name":"Time of Event (Mountain Time)","value":"13:53:12"},{"id":151,"name":"Denver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56"/>
        <v>start /low /b %USERPROFILE%\Documents\GitHub\eaglep3\Utilities\DownloadLogsFromS3.py --loco 4009 --day 2017-09-21</v>
      </c>
      <c r="AN82" s="151" t="str">
        <f t="shared" si="57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19:53:12"},{"id":29,"name":"Sharepoint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58"/>
        <v>https://d0f6bd738d7f1b3e5a7ca70fe4ff75f0.us-east-1.aws.found.io/app/kibana#/discover/Steve-Slow-Train-Analysis-(2080s-and-2083s)?_g=(refreshInterval:(display:Off,pause:!f,section:0,value:0),time:(from:'2017-09-21T12:03:51-0600',mode:absolute,to:'2017-09-21T14:53:12-0600'))&amp;_a=(columns:!('Message%20ID',Summary),filters:!(),index:'emp_*',interval:auto,query:(query_string:(analyze_wildcard:!t,query:'Message%5C+ID:(*)+AND+%22rtdc.l.rtdc.4009%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601</v>
      </c>
      <c r="B83" s="7">
        <v>4030</v>
      </c>
      <c r="C83" s="21" t="s">
        <v>196</v>
      </c>
      <c r="D83" s="21" t="s">
        <v>397</v>
      </c>
      <c r="E83" s="13">
        <v>42999.518576388888</v>
      </c>
      <c r="F83" s="13">
        <v>42999.521874999999</v>
      </c>
      <c r="G83" s="7">
        <v>53</v>
      </c>
      <c r="H83" s="21" t="s">
        <v>554</v>
      </c>
      <c r="I83" s="13">
        <v>42999.547071759262</v>
      </c>
      <c r="J83" s="7">
        <v>0</v>
      </c>
      <c r="K83" s="89" t="str">
        <f t="shared" si="40"/>
        <v>4029/4030</v>
      </c>
      <c r="L83" s="185" t="str">
        <f>VLOOKUP(A83,'Trips&amp;Operators'!$C$1:$G$99911,5,FALSE)</f>
        <v>BADERTSCHER DIANE</v>
      </c>
      <c r="M83" s="6">
        <f t="shared" si="41"/>
        <v>2.5196759263053536E-2</v>
      </c>
      <c r="N83" s="7">
        <f t="shared" si="42"/>
        <v>36.283333338797092</v>
      </c>
      <c r="O83" s="7"/>
      <c r="P83" s="7"/>
      <c r="Q83" s="22"/>
      <c r="R83" s="174"/>
      <c r="S83" s="221">
        <f t="shared" si="43"/>
        <v>1</v>
      </c>
      <c r="T83" s="174" t="str">
        <f t="shared" si="44"/>
        <v>NorthBound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 t="shared" si="45"/>
        <v>https://d0f6bd738d7f1b3e5a7ca70fe4ff75f0.us-east-1.aws.found.io/app/kibana#/discover/Steve-Slow-Train-Analysis-(2080s-and-2083s)?_g=(refreshInterval:(display:Off,pause:!f,section:0,value:0),time:(from:'2017-09-21T11:26:45-0600',mode:absolute,to:'2017-09-21T14:07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3" s="204" t="str">
        <f>IF(AA83&lt;VLOOKUP(AG83,Variables!$AC$3:$AD$8,2,FALSE),"Y","N")</f>
        <v>N</v>
      </c>
      <c r="X83" s="204">
        <f t="shared" si="46"/>
        <v>1</v>
      </c>
      <c r="Y83" s="204">
        <f t="shared" si="47"/>
        <v>4.6199999999999998E-2</v>
      </c>
      <c r="Z83" s="204">
        <f t="shared" si="48"/>
        <v>23.331600000000002</v>
      </c>
      <c r="AA83" s="204">
        <f t="shared" si="49"/>
        <v>23.285400000000003</v>
      </c>
      <c r="AB83" s="54" t="e">
        <f>VLOOKUP(A83,Enforcements!$C$7:$K$11,8,0)</f>
        <v>#N/A</v>
      </c>
      <c r="AC83" s="51" t="e">
        <f>VLOOKUP(A83,Enforcements!$C$7:$E$11,3,0)</f>
        <v>#N/A</v>
      </c>
      <c r="AD83" s="179">
        <f t="shared" si="50"/>
        <v>171</v>
      </c>
      <c r="AE83" s="77" t="str">
        <f t="shared" si="51"/>
        <v>aws s3 cp s3://rtdc.mdm.uploadarchive.raw/RTDC4030/ "%USERPROFILE%\AppData\Local\Temp\OnboardLogs"\RTDC4030\2017-09-21 --exclude "*" --recursive --include "*20170921*" &amp; "%USERPROFILE%\Documents\GitHub\mrs-test-scripts\Headless Mode &amp; Sideloading\WalkAndUnGZ.bat" "%USERPROFILE%\AppData\Local\Temp\OnboardLogs"\RTDC4030\2017-09-21 &amp; aws s3 cp s3://rtdc.mdm.uploadarchive.raw/RTDC4030/ "%USERPROFILE%\AppData\Local\Temp\OnboardLogs"\RTDC4030\2017-09-22 --exclude "*" --recursive --include "*20170922*" &amp; "%USERPROFILE%\Documents\GitHub\mrs-test-scripts\Headless Mode &amp; Sideloading\WalkAndUnGZ.bat" "%USERPROFILE%\AppData\Local\Temp\OnboardLogs"\RTDC4030\2017-09-22</v>
      </c>
      <c r="AF83" s="74" t="str">
        <f t="shared" si="52"/>
        <v>"C:\Program Files (x86)\AstroGrep\AstroGrep.exe" /e /r /s /spath="%USERPROFILE%\AppData\Local\Temp\OnboardLogs" /stypes="app*4030*20170921*" /stext=" 19:.+((SYSTEM_STATE.+slice.+state.+changed )|(ment ac)|(multiple cpu faults)|(system.+state.+changed )|(\[timeout)|(PRM\|1\|D)|(kpr)|(kdp)|(train st.+moving)|(\|lc)|(penalty))"</v>
      </c>
      <c r="AG83" s="182" t="str">
        <f t="shared" si="53"/>
        <v>EC</v>
      </c>
      <c r="AH83" s="78" t="str">
        <f t="shared" si="54"/>
        <v>"%USERPROFILE%\Documents\GitHub\eaglep3\Utilities\RefineRTDCRunTimes.py" --tripid 171-21 --locoid 4030 --swversion DE.1.0.9.0 --startMP 204:462 --initTime 2017-09-21T12:26:45 --startdatetime 2017-09-21T12:31:30 --delay 53 --endMP 204:233316 --enddatetime 2017-09-21T13:07:47 --enforcementcount 0 &gt;&gt;c:\users\stu\Documents\GitHub\eaglep3-reporting\EC\2017-09-21-refined-times.txt</v>
      </c>
      <c r="AI83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{"issue":{"subject":"","project_id":79,"tracker_id":40,"status_id":1,"priority_id":2,"assigned_to_id":338,"start_date":"2017-09-21","description":"","custom_fields":[{"id":1,"name":"Subdivision","value":"EC"},{"id":4,"name":"Milepost","value":"23.3316"},{"id":17,"name":"Train ID","value":"171-21"},{"id":16,"name":"Locomotive ID","value":"4030"},{"id":130,"name":"Impact","value":""},{"id":150,"name":"Time of Event (Mountain Time)","value":"13:07:47"},{"id":151,"name":"Denver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56"/>
        <v>start /low /b %USERPROFILE%\Documents\GitHub\eaglep3\Utilities\DownloadLogsFromS3.py --loco 4030 --day 2017-09-21</v>
      </c>
      <c r="AN83" s="151" t="str">
        <f t="shared" si="57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19:07:47"},{"id":29,"name":"Sharepoint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58"/>
        <v>https://d0f6bd738d7f1b3e5a7ca70fe4ff75f0.us-east-1.aws.found.io/app/kibana#/discover/Steve-Slow-Train-Analysis-(2080s-and-2083s)?_g=(refreshInterval:(display:Off,pause:!f,section:0,value:0),time:(from:'2017-09-21T11:26:45-0600',mode:absolute,to:'2017-09-21T14:07:47-0600'))&amp;_a=(columns:!('Message%20ID',Summary),filters:!(),index:'emp_*',interval:auto,query:(query_string:(analyze_wildcard:!t,query:'Message%5C+ID:(*)+AND+%22rtdc.l.rtdc.4030%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721</v>
      </c>
      <c r="B84" s="7">
        <v>4029</v>
      </c>
      <c r="C84" s="21" t="s">
        <v>196</v>
      </c>
      <c r="D84" s="21" t="s">
        <v>470</v>
      </c>
      <c r="E84" s="13">
        <v>42999.555127314816</v>
      </c>
      <c r="F84" s="13">
        <v>42999.560590277775</v>
      </c>
      <c r="G84" s="7">
        <v>78</v>
      </c>
      <c r="H84" s="21" t="s">
        <v>860</v>
      </c>
      <c r="I84" s="13">
        <v>42999.588356481479</v>
      </c>
      <c r="J84" s="7">
        <v>0</v>
      </c>
      <c r="K84" s="89" t="str">
        <f t="shared" si="40"/>
        <v>4029/4030</v>
      </c>
      <c r="L84" s="185" t="str">
        <f>VLOOKUP(A84,'Trips&amp;Operators'!$C$1:$G$99911,5,FALSE)</f>
        <v>BADERTSCHER DIANE</v>
      </c>
      <c r="M84" s="6">
        <f t="shared" si="41"/>
        <v>2.7766203704231884E-2</v>
      </c>
      <c r="N84" s="7">
        <f t="shared" si="42"/>
        <v>39.983333334093913</v>
      </c>
      <c r="O84" s="7"/>
      <c r="P84" s="7"/>
      <c r="Q84" s="22"/>
      <c r="R84" s="174"/>
      <c r="S84" s="221">
        <f t="shared" si="43"/>
        <v>1</v>
      </c>
      <c r="T84" s="174" t="str">
        <f t="shared" si="44"/>
        <v>Southbound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 t="shared" si="45"/>
        <v>https://d0f6bd738d7f1b3e5a7ca70fe4ff75f0.us-east-1.aws.found.io/app/kibana#/discover/Steve-Slow-Train-Analysis-(2080s-and-2083s)?_g=(refreshInterval:(display:Off,pause:!f,section:0,value:0),time:(from:'2017-09-21T12:19:23-0600',mode:absolute,to:'2017-09-21T15:07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4" s="204" t="str">
        <f>IF(AA84&lt;VLOOKUP(AG84,Variables!$AC$3:$AD$8,2,FALSE),"Y","N")</f>
        <v>N</v>
      </c>
      <c r="X84" s="204">
        <f t="shared" si="46"/>
        <v>1</v>
      </c>
      <c r="Y84" s="204">
        <f t="shared" si="47"/>
        <v>23.2988</v>
      </c>
      <c r="Z84" s="204">
        <f t="shared" si="48"/>
        <v>3.3599999999999998E-2</v>
      </c>
      <c r="AA84" s="204">
        <f t="shared" si="49"/>
        <v>23.2652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 t="shared" si="50"/>
        <v>172</v>
      </c>
      <c r="AE84" s="77" t="str">
        <f t="shared" si="51"/>
        <v>aws s3 cp s3://rtdc.mdm.uploadarchive.raw/RTDC4029/ "%USERPROFILE%\AppData\Local\Temp\OnboardLogs"\RTDC4029\2017-09-21 --exclude "*" --recursive --include "*20170921*" &amp; "%USERPROFILE%\Documents\GitHub\mrs-test-scripts\Headless Mode &amp; Sideloading\WalkAndUnGZ.bat" "%USERPROFILE%\AppData\Local\Temp\OnboardLogs"\RTDC4029\2017-09-21 &amp; aws s3 cp s3://rtdc.mdm.uploadarchive.raw/RTDC4029/ "%USERPROFILE%\AppData\Local\Temp\OnboardLogs"\RTDC4029\2017-09-22 --exclude "*" --recursive --include "*20170922*" &amp; "%USERPROFILE%\Documents\GitHub\mrs-test-scripts\Headless Mode &amp; Sideloading\WalkAndUnGZ.bat" "%USERPROFILE%\AppData\Local\Temp\OnboardLogs"\RTDC4029\2017-09-22</v>
      </c>
      <c r="AF84" s="74" t="str">
        <f t="shared" si="52"/>
        <v>"C:\Program Files (x86)\AstroGrep\AstroGrep.exe" /e /r /s /spath="%USERPROFILE%\AppData\Local\Temp\OnboardLogs" /stypes="app*4029*20170921*" /stext=" 20:.+((SYSTEM_STATE.+slice.+state.+changed )|(ment ac)|(multiple cpu faults)|(system.+state.+changed )|(\[timeout)|(PRM\|1\|D)|(kpr)|(kdp)|(train st.+moving)|(\|lc)|(penalty))"</v>
      </c>
      <c r="AG84" s="182" t="str">
        <f t="shared" si="53"/>
        <v>EC</v>
      </c>
      <c r="AH84" s="78" t="str">
        <f t="shared" si="54"/>
        <v>"%USERPROFILE%\Documents\GitHub\eaglep3\Utilities\RefineRTDCRunTimes.py" --tripid 172-21 --locoid 4029 --swversion DE.1.0.9.0 --startMP 204:232988 --initTime 2017-09-21T13:19:23 --startdatetime 2017-09-21T13:27:15 --delay 78 --endMP 204:336 --enddatetime 2017-09-21T14:07:14 --enforcementcount 0 &gt;&gt;c:\users\stu\Documents\GitHub\eaglep3-reporting\EC\2017-09-21-refined-times.txt</v>
      </c>
      <c r="AI84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{"issue":{"subject":"","project_id":79,"tracker_id":40,"status_id":1,"priority_id":2,"assigned_to_id":338,"start_date":"2017-09-21","description":"","custom_fields":[{"id":1,"name":"Subdivision","value":"EC"},{"id":4,"name":"Milepost","value":"0.0336"},{"id":17,"name":"Train ID","value":"172-21"},{"id":16,"name":"Locomotive ID","value":"4029"},{"id":130,"name":"Impact","value":""},{"id":150,"name":"Time of Event (Mountain Time)","value":"14:07:14"},{"id":151,"name":"Denver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56"/>
        <v>start /low /b %USERPROFILE%\Documents\GitHub\eaglep3\Utilities\DownloadLogsFromS3.py --loco 4029 --day 2017-09-21</v>
      </c>
      <c r="AN84" s="151" t="str">
        <f t="shared" si="57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20:07:14"},{"id":29,"name":"Sharepoint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58"/>
        <v>https://d0f6bd738d7f1b3e5a7ca70fe4ff75f0.us-east-1.aws.found.io/app/kibana#/discover/Steve-Slow-Train-Analysis-(2080s-and-2083s)?_g=(refreshInterval:(display:Off,pause:!f,section:0,value:0),time:(from:'2017-09-21T12:19:23-0600',mode:absolute,to:'2017-09-21T15:07:14-0600'))&amp;_a=(columns:!('Message%20ID',Summary),filters:!(),index:'emp_*',interval:auto,query:(query_string:(analyze_wildcard:!t,query:'Message%5C+ID:(*)+AND+%22rtdc.l.rtdc.4029%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716</v>
      </c>
      <c r="B85" s="7">
        <v>4006</v>
      </c>
      <c r="C85" s="21" t="s">
        <v>196</v>
      </c>
      <c r="D85" s="21" t="s">
        <v>861</v>
      </c>
      <c r="E85" s="13">
        <v>42999.527083333334</v>
      </c>
      <c r="F85" s="13">
        <v>42999.531469907408</v>
      </c>
      <c r="G85" s="7">
        <v>73</v>
      </c>
      <c r="H85" s="21" t="s">
        <v>462</v>
      </c>
      <c r="I85" s="13">
        <v>42999.55574074074</v>
      </c>
      <c r="J85" s="7">
        <v>0</v>
      </c>
      <c r="K85" s="89" t="str">
        <f t="shared" si="40"/>
        <v>4005/4006</v>
      </c>
      <c r="L85" s="185" t="str">
        <f>VLOOKUP(A85,'Trips&amp;Operators'!$C$1:$G$99911,5,FALSE)</f>
        <v>NEWELL JAMES</v>
      </c>
      <c r="M85" s="6">
        <f t="shared" si="41"/>
        <v>2.4270833331684116E-2</v>
      </c>
      <c r="N85" s="7">
        <f t="shared" si="42"/>
        <v>34.949999997625127</v>
      </c>
      <c r="O85" s="7"/>
      <c r="P85" s="7"/>
      <c r="Q85" s="22"/>
      <c r="R85" s="174"/>
      <c r="S85" s="221">
        <f t="shared" si="43"/>
        <v>1</v>
      </c>
      <c r="T85" s="174" t="str">
        <f t="shared" si="44"/>
        <v>NorthBound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 t="shared" si="45"/>
        <v>https://d0f6bd738d7f1b3e5a7ca70fe4ff75f0.us-east-1.aws.found.io/app/kibana#/discover/Steve-Slow-Train-Analysis-(2080s-and-2083s)?_g=(refreshInterval:(display:Off,pause:!f,section:0,value:0),time:(from:'2017-09-21T11:39:00-0600',mode:absolute,to:'2017-09-21T14:20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5" s="204" t="str">
        <f>IF(AA85&lt;VLOOKUP(AG85,Variables!$AC$3:$AD$8,2,FALSE),"Y","N")</f>
        <v>N</v>
      </c>
      <c r="X85" s="204">
        <f t="shared" si="46"/>
        <v>1</v>
      </c>
      <c r="Y85" s="204">
        <f t="shared" si="47"/>
        <v>0.15090000000000001</v>
      </c>
      <c r="Z85" s="204">
        <f t="shared" si="48"/>
        <v>23.3306</v>
      </c>
      <c r="AA85" s="204">
        <f t="shared" si="49"/>
        <v>23.1797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 t="shared" si="50"/>
        <v>173</v>
      </c>
      <c r="AE85" s="77" t="str">
        <f t="shared" si="51"/>
        <v>aws s3 cp s3://rtdc.mdm.uploadarchive.raw/RTDC4006/ "%USERPROFILE%\AppData\Local\Temp\OnboardLogs"\RTDC4006\2017-09-21 --exclude "*" --recursive --include "*20170921*" &amp; "%USERPROFILE%\Documents\GitHub\mrs-test-scripts\Headless Mode &amp; Sideloading\WalkAndUnGZ.bat" "%USERPROFILE%\AppData\Local\Temp\OnboardLogs"\RTDC4006\2017-09-21 &amp; aws s3 cp s3://rtdc.mdm.uploadarchive.raw/RTDC4006/ "%USERPROFILE%\AppData\Local\Temp\OnboardLogs"\RTDC4006\2017-09-22 --exclude "*" --recursive --include "*20170922*" &amp; "%USERPROFILE%\Documents\GitHub\mrs-test-scripts\Headless Mode &amp; Sideloading\WalkAndUnGZ.bat" "%USERPROFILE%\AppData\Local\Temp\OnboardLogs"\RTDC4006\2017-09-22</v>
      </c>
      <c r="AF85" s="74" t="str">
        <f t="shared" si="52"/>
        <v>"C:\Program Files (x86)\AstroGrep\AstroGrep.exe" /e /r /s /spath="%USERPROFILE%\AppData\Local\Temp\OnboardLogs" /stypes="app*4006*20170921*" /stext=" 19:.+((SYSTEM_STATE.+slice.+state.+changed )|(ment ac)|(multiple cpu faults)|(system.+state.+changed )|(\[timeout)|(PRM\|1\|D)|(kpr)|(kdp)|(train st.+moving)|(\|lc)|(penalty))"</v>
      </c>
      <c r="AG85" s="182" t="str">
        <f t="shared" si="53"/>
        <v>EC</v>
      </c>
      <c r="AH85" s="78" t="str">
        <f t="shared" si="54"/>
        <v>"%USERPROFILE%\Documents\GitHub\eaglep3\Utilities\RefineRTDCRunTimes.py" --tripid 173-21 --locoid 4006 --swversion DE.1.0.9.0 --startMP 204:1509 --initTime 2017-09-21T12:39:00 --startdatetime 2017-09-21T12:45:19 --delay 73 --endMP 204:233306 --enddatetime 2017-09-21T13:20:16 --enforcementcount 0 &gt;&gt;c:\users\stu\Documents\GitHub\eaglep3-reporting\EC\2017-09-21-refined-times.txt</v>
      </c>
      <c r="AI85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{"issue":{"subject":"","project_id":79,"tracker_id":40,"status_id":1,"priority_id":2,"assigned_to_id":338,"start_date":"2017-09-21","description":"","custom_fields":[{"id":1,"name":"Subdivision","value":"EC"},{"id":4,"name":"Milepost","value":"23.3306"},{"id":17,"name":"Train ID","value":"173-21"},{"id":16,"name":"Locomotive ID","value":"4006"},{"id":130,"name":"Impact","value":""},{"id":150,"name":"Time of Event (Mountain Time)","value":"13:20:16"},{"id":151,"name":"Denver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56"/>
        <v>start /low /b %USERPROFILE%\Documents\GitHub\eaglep3\Utilities\DownloadLogsFromS3.py --loco 4006 --day 2017-09-21</v>
      </c>
      <c r="AN85" s="151" t="str">
        <f t="shared" si="57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19:20:16"},{"id":29,"name":"Sharepoint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58"/>
        <v>https://d0f6bd738d7f1b3e5a7ca70fe4ff75f0.us-east-1.aws.found.io/app/kibana#/discover/Steve-Slow-Train-Analysis-(2080s-and-2083s)?_g=(refreshInterval:(display:Off,pause:!f,section:0,value:0),time:(from:'2017-09-21T11:39:00-0600',mode:absolute,to:'2017-09-21T14:20:16-0600'))&amp;_a=(columns:!('Message%20ID',Summary),filters:!(),index:'emp_*',interval:auto,query:(query_string:(analyze_wildcard:!t,query:'Message%5C+ID:(*)+AND+%22rtdc.l.rtdc.4006%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723</v>
      </c>
      <c r="B86" s="7">
        <v>4005</v>
      </c>
      <c r="C86" s="21" t="s">
        <v>196</v>
      </c>
      <c r="D86" s="21" t="s">
        <v>843</v>
      </c>
      <c r="E86" s="13">
        <v>42999.55740740741</v>
      </c>
      <c r="F86" s="13">
        <v>42999.571006944447</v>
      </c>
      <c r="G86" s="7">
        <v>64</v>
      </c>
      <c r="H86" s="21" t="s">
        <v>342</v>
      </c>
      <c r="I86" s="13">
        <v>42999.596597222226</v>
      </c>
      <c r="J86" s="7">
        <v>0</v>
      </c>
      <c r="K86" s="89" t="str">
        <f t="shared" si="40"/>
        <v>4005/4006</v>
      </c>
      <c r="L86" s="185" t="str">
        <f>VLOOKUP(A86,'Trips&amp;Operators'!$C$1:$G$99911,5,FALSE)</f>
        <v>NEWELL JAMES</v>
      </c>
      <c r="M86" s="6">
        <f t="shared" si="41"/>
        <v>2.5590277778974269E-2</v>
      </c>
      <c r="N86" s="7">
        <f t="shared" si="42"/>
        <v>36.850000001722947</v>
      </c>
      <c r="O86" s="7"/>
      <c r="P86" s="7"/>
      <c r="Q86" s="22"/>
      <c r="R86" s="174"/>
      <c r="S86" s="221">
        <f t="shared" si="43"/>
        <v>1</v>
      </c>
      <c r="T86" s="174" t="str">
        <f t="shared" si="44"/>
        <v>Southbound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 t="shared" si="45"/>
        <v>https://d0f6bd738d7f1b3e5a7ca70fe4ff75f0.us-east-1.aws.found.io/app/kibana#/discover/Steve-Slow-Train-Analysis-(2080s-and-2083s)?_g=(refreshInterval:(display:Off,pause:!f,section:0,value:0),time:(from:'2017-09-21T12:22:40-0600',mode:absolute,to:'2017-09-21T15:19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6" s="204" t="str">
        <f>IF(AA86&lt;VLOOKUP(AG86,Variables!$AC$3:$AD$8,2,FALSE),"Y","N")</f>
        <v>N</v>
      </c>
      <c r="X86" s="204">
        <f t="shared" si="46"/>
        <v>1</v>
      </c>
      <c r="Y86" s="204">
        <f t="shared" si="47"/>
        <v>23.2974</v>
      </c>
      <c r="Z86" s="204">
        <f t="shared" si="48"/>
        <v>1.47E-2</v>
      </c>
      <c r="AA86" s="204">
        <f t="shared" si="49"/>
        <v>23.282699999999998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 t="shared" si="50"/>
        <v>174</v>
      </c>
      <c r="AE86" s="77" t="str">
        <f t="shared" si="51"/>
        <v>aws s3 cp s3://rtdc.mdm.uploadarchive.raw/RTDC4005/ "%USERPROFILE%\AppData\Local\Temp\OnboardLogs"\RTDC4005\2017-09-21 --exclude "*" --recursive --include "*20170921*" &amp; "%USERPROFILE%\Documents\GitHub\mrs-test-scripts\Headless Mode &amp; Sideloading\WalkAndUnGZ.bat" "%USERPROFILE%\AppData\Local\Temp\OnboardLogs"\RTDC4005\2017-09-21 &amp; aws s3 cp s3://rtdc.mdm.uploadarchive.raw/RTDC4005/ "%USERPROFILE%\AppData\Local\Temp\OnboardLogs"\RTDC4005\2017-09-22 --exclude "*" --recursive --include "*20170922*" &amp; "%USERPROFILE%\Documents\GitHub\mrs-test-scripts\Headless Mode &amp; Sideloading\WalkAndUnGZ.bat" "%USERPROFILE%\AppData\Local\Temp\OnboardLogs"\RTDC4005\2017-09-22</v>
      </c>
      <c r="AF86" s="74" t="str">
        <f t="shared" si="52"/>
        <v>"C:\Program Files (x86)\AstroGrep\AstroGrep.exe" /e /r /s /spath="%USERPROFILE%\AppData\Local\Temp\OnboardLogs" /stypes="app*4005*20170921*" /stext=" 20:.+((SYSTEM_STATE.+slice.+state.+changed )|(ment ac)|(multiple cpu faults)|(system.+state.+changed )|(\[timeout)|(PRM\|1\|D)|(kpr)|(kdp)|(train st.+moving)|(\|lc)|(penalty))"</v>
      </c>
      <c r="AG86" s="182" t="str">
        <f t="shared" si="53"/>
        <v>EC</v>
      </c>
      <c r="AH86" s="78" t="str">
        <f t="shared" si="54"/>
        <v>"%USERPROFILE%\Documents\GitHub\eaglep3\Utilities\RefineRTDCRunTimes.py" --tripid 174-21 --locoid 4005 --swversion DE.1.0.9.0 --startMP 204:232974 --initTime 2017-09-21T13:22:40 --startdatetime 2017-09-21T13:42:15 --delay 64 --endMP 204:147 --enddatetime 2017-09-21T14:19:06 --enforcementcount 0 &gt;&gt;c:\users\stu\Documents\GitHub\eaglep3-reporting\EC\2017-09-21-refined-times.txt</v>
      </c>
      <c r="AI86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{"issue":{"subject":"","project_id":79,"tracker_id":40,"status_id":1,"priority_id":2,"assigned_to_id":338,"start_date":"2017-09-21","description":"","custom_fields":[{"id":1,"name":"Subdivision","value":"EC"},{"id":4,"name":"Milepost","value":"0.0147"},{"id":17,"name":"Train ID","value":"174-21"},{"id":16,"name":"Locomotive ID","value":"4005"},{"id":130,"name":"Impact","value":""},{"id":150,"name":"Time of Event (Mountain Time)","value":"14:19:06"},{"id":151,"name":"Denver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56"/>
        <v>start /low /b %USERPROFILE%\Documents\GitHub\eaglep3\Utilities\DownloadLogsFromS3.py --loco 4005 --day 2017-09-21</v>
      </c>
      <c r="AN86" s="151" t="str">
        <f t="shared" si="57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20:19:06"},{"id":29,"name":"Sharepoint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58"/>
        <v>https://d0f6bd738d7f1b3e5a7ca70fe4ff75f0.us-east-1.aws.found.io/app/kibana#/discover/Steve-Slow-Train-Analysis-(2080s-and-2083s)?_g=(refreshInterval:(display:Off,pause:!f,section:0,value:0),time:(from:'2017-09-21T12:22:40-0600',mode:absolute,to:'2017-09-21T15:19:06-0600'))&amp;_a=(columns:!('Message%20ID',Summary),filters:!(),index:'emp_*',interval:auto,query:(query_string:(analyze_wildcard:!t,query:'Message%5C+ID:(*)+AND+%22rtdc.l.rtdc.4005%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718</v>
      </c>
      <c r="B87" s="7">
        <v>4014</v>
      </c>
      <c r="C87" s="21" t="s">
        <v>196</v>
      </c>
      <c r="D87" s="21" t="s">
        <v>429</v>
      </c>
      <c r="E87" s="13">
        <v>42999.539537037039</v>
      </c>
      <c r="F87" s="13">
        <v>42999.541921296295</v>
      </c>
      <c r="G87" s="7">
        <v>117</v>
      </c>
      <c r="H87" s="21" t="s">
        <v>424</v>
      </c>
      <c r="I87" s="13">
        <v>42999.565937500003</v>
      </c>
      <c r="J87" s="7">
        <v>0</v>
      </c>
      <c r="K87" s="89" t="str">
        <f t="shared" si="40"/>
        <v>4013/4014</v>
      </c>
      <c r="L87" s="185" t="str">
        <f>VLOOKUP(A87,'Trips&amp;Operators'!$C$1:$G$99911,5,FALSE)</f>
        <v>BRUDER RICHARD</v>
      </c>
      <c r="M87" s="6">
        <f t="shared" si="41"/>
        <v>2.4016203708015382E-2</v>
      </c>
      <c r="N87" s="7">
        <f t="shared" si="42"/>
        <v>34.58333333954215</v>
      </c>
      <c r="O87" s="7"/>
      <c r="P87" s="7"/>
      <c r="Q87" s="22"/>
      <c r="R87" s="174"/>
      <c r="S87" s="221">
        <f t="shared" si="43"/>
        <v>1</v>
      </c>
      <c r="T87" s="174" t="str">
        <f t="shared" si="44"/>
        <v>NorthBound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 t="shared" si="45"/>
        <v>https://d0f6bd738d7f1b3e5a7ca70fe4ff75f0.us-east-1.aws.found.io/app/kibana#/discover/Steve-Slow-Train-Analysis-(2080s-and-2083s)?_g=(refreshInterval:(display:Off,pause:!f,section:0,value:0),time:(from:'2017-09-21T11:56:56-0600',mode:absolute,to:'2017-09-21T14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7" s="204" t="str">
        <f>IF(AA87&lt;VLOOKUP(AG87,Variables!$AC$3:$AD$8,2,FALSE),"Y","N")</f>
        <v>N</v>
      </c>
      <c r="X87" s="204">
        <f t="shared" si="46"/>
        <v>1</v>
      </c>
      <c r="Y87" s="204">
        <f t="shared" si="47"/>
        <v>4.7500000000000001E-2</v>
      </c>
      <c r="Z87" s="204">
        <f t="shared" si="48"/>
        <v>23.329899999999999</v>
      </c>
      <c r="AA87" s="204">
        <f t="shared" si="49"/>
        <v>23.282399999999999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 t="shared" si="50"/>
        <v>175</v>
      </c>
      <c r="AE87" s="77" t="str">
        <f t="shared" si="51"/>
        <v>aws s3 cp s3://rtdc.mdm.uploadarchive.raw/RTDC4014/ "%USERPROFILE%\AppData\Local\Temp\OnboardLogs"\RTDC4014\2017-09-21 --exclude "*" --recursive --include "*20170921*" &amp; "%USERPROFILE%\Documents\GitHub\mrs-test-scripts\Headless Mode &amp; Sideloading\WalkAndUnGZ.bat" "%USERPROFILE%\AppData\Local\Temp\OnboardLogs"\RTDC4014\2017-09-21 &amp; aws s3 cp s3://rtdc.mdm.uploadarchive.raw/RTDC4014/ "%USERPROFILE%\AppData\Local\Temp\OnboardLogs"\RTDC4014\2017-09-22 --exclude "*" --recursive --include "*20170922*" &amp; "%USERPROFILE%\Documents\GitHub\mrs-test-scripts\Headless Mode &amp; Sideloading\WalkAndUnGZ.bat" "%USERPROFILE%\AppData\Local\Temp\OnboardLogs"\RTDC4014\2017-09-22</v>
      </c>
      <c r="AF87" s="74" t="str">
        <f t="shared" si="52"/>
        <v>"C:\Program Files (x86)\AstroGrep\AstroGrep.exe" /e /r /s /spath="%USERPROFILE%\AppData\Local\Temp\OnboardLogs" /stypes="app*4014*20170921*" /stext=" 19:.+((SYSTEM_STATE.+slice.+state.+changed )|(ment ac)|(multiple cpu faults)|(system.+state.+changed )|(\[timeout)|(PRM\|1\|D)|(kpr)|(kdp)|(train st.+moving)|(\|lc)|(penalty))"</v>
      </c>
      <c r="AG87" s="182" t="str">
        <f t="shared" si="53"/>
        <v>EC</v>
      </c>
      <c r="AH87" s="78" t="str">
        <f t="shared" si="54"/>
        <v>"%USERPROFILE%\Documents\GitHub\eaglep3\Utilities\RefineRTDCRunTimes.py" --tripid 175-21 --locoid 4014 --swversion DE.1.0.9.0 --startMP 204:475 --initTime 2017-09-21T12:56:56 --startdatetime 2017-09-21T13:00:22 --delay 117 --endMP 204:233299 --enddatetime 2017-09-21T13:34:57 --enforcementcount 0 &gt;&gt;c:\users\stu\Documents\GitHub\eaglep3-reporting\EC\2017-09-21-refined-times.txt</v>
      </c>
      <c r="AI87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{"issue":{"subject":"","project_id":79,"tracker_id":40,"status_id":1,"priority_id":2,"assigned_to_id":338,"start_date":"2017-09-21","description":"","custom_fields":[{"id":1,"name":"Subdivision","value":"EC"},{"id":4,"name":"Milepost","value":"23.3299"},{"id":17,"name":"Train ID","value":"175-21"},{"id":16,"name":"Locomotive ID","value":"4014"},{"id":130,"name":"Impact","value":""},{"id":150,"name":"Time of Event (Mountain Time)","value":"13:34:57"},{"id":151,"name":"Denver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56"/>
        <v>start /low /b %USERPROFILE%\Documents\GitHub\eaglep3\Utilities\DownloadLogsFromS3.py --loco 4014 --day 2017-09-21</v>
      </c>
      <c r="AN87" s="151" t="str">
        <f t="shared" si="57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19:34:57"},{"id":29,"name":"Sharepoint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58"/>
        <v>https://d0f6bd738d7f1b3e5a7ca70fe4ff75f0.us-east-1.aws.found.io/app/kibana#/discover/Steve-Slow-Train-Analysis-(2080s-and-2083s)?_g=(refreshInterval:(display:Off,pause:!f,section:0,value:0),time:(from:'2017-09-21T11:56:56-0600',mode:absolute,to:'2017-09-21T14:34:57-0600'))&amp;_a=(columns:!('Message%20ID',Summary),filters:!(),index:'emp_*',interval:auto,query:(query_string:(analyze_wildcard:!t,query:'Message%5C+ID:(*)+AND+%22rtdc.l.rtdc.4014%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725</v>
      </c>
      <c r="B88" s="7">
        <v>4013</v>
      </c>
      <c r="C88" s="21" t="s">
        <v>196</v>
      </c>
      <c r="D88" s="21" t="s">
        <v>466</v>
      </c>
      <c r="E88" s="13">
        <v>42999.577002314814</v>
      </c>
      <c r="F88" s="13">
        <v>42999.581412037034</v>
      </c>
      <c r="G88" s="7">
        <v>131</v>
      </c>
      <c r="H88" s="21" t="s">
        <v>358</v>
      </c>
      <c r="I88" s="13">
        <v>42999.607569444444</v>
      </c>
      <c r="J88" s="7">
        <v>0</v>
      </c>
      <c r="K88" s="89" t="str">
        <f t="shared" si="40"/>
        <v>4013/4014</v>
      </c>
      <c r="L88" s="185" t="str">
        <f>VLOOKUP(A88,'Trips&amp;Operators'!$C$1:$G$99911,5,FALSE)</f>
        <v>BRUDER RICHARD</v>
      </c>
      <c r="M88" s="6">
        <f t="shared" si="41"/>
        <v>2.6157407410209998E-2</v>
      </c>
      <c r="N88" s="7">
        <f t="shared" si="42"/>
        <v>37.666666670702398</v>
      </c>
      <c r="O88" s="7"/>
      <c r="P88" s="7"/>
      <c r="Q88" s="22"/>
      <c r="R88" s="174"/>
      <c r="S88" s="221">
        <f t="shared" si="43"/>
        <v>1</v>
      </c>
      <c r="T88" s="174" t="str">
        <f t="shared" si="44"/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 t="shared" si="45"/>
        <v>https://d0f6bd738d7f1b3e5a7ca70fe4ff75f0.us-east-1.aws.found.io/app/kibana#/discover/Steve-Slow-Train-Analysis-(2080s-and-2083s)?_g=(refreshInterval:(display:Off,pause:!f,section:0,value:0),time:(from:'2017-09-21T12:50:53-0600',mode:absolute,to:'2017-09-21T15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8" s="204" t="str">
        <f>IF(AA88&lt;VLOOKUP(AG88,Variables!$AC$3:$AD$8,2,FALSE),"Y","N")</f>
        <v>N</v>
      </c>
      <c r="X88" s="204">
        <f t="shared" si="46"/>
        <v>1</v>
      </c>
      <c r="Y88" s="204">
        <f t="shared" si="47"/>
        <v>23.298400000000001</v>
      </c>
      <c r="Z88" s="204">
        <f t="shared" si="48"/>
        <v>1.52E-2</v>
      </c>
      <c r="AA88" s="204">
        <f t="shared" si="49"/>
        <v>23.283200000000001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 t="shared" si="50"/>
        <v>176</v>
      </c>
      <c r="AE88" s="77" t="str">
        <f t="shared" si="51"/>
        <v>aws s3 cp s3://rtdc.mdm.uploadarchive.raw/RTDC4013/ "%USERPROFILE%\AppData\Local\Temp\OnboardLogs"\RTDC4013\2017-09-21 --exclude "*" --recursive --include "*20170921*" &amp; "%USERPROFILE%\Documents\GitHub\mrs-test-scripts\Headless Mode &amp; Sideloading\WalkAndUnGZ.bat" "%USERPROFILE%\AppData\Local\Temp\OnboardLogs"\RTDC4013\2017-09-21 &amp; aws s3 cp s3://rtdc.mdm.uploadarchive.raw/RTDC4013/ "%USERPROFILE%\AppData\Local\Temp\OnboardLogs"\RTDC4013\2017-09-22 --exclude "*" --recursive --include "*20170922*" &amp; "%USERPROFILE%\Documents\GitHub\mrs-test-scripts\Headless Mode &amp; Sideloading\WalkAndUnGZ.bat" "%USERPROFILE%\AppData\Local\Temp\OnboardLogs"\RTDC4013\2017-09-22</v>
      </c>
      <c r="AF88" s="74" t="str">
        <f t="shared" si="52"/>
        <v>"C:\Program Files (x86)\AstroGrep\AstroGrep.exe" /e /r /s /spath="%USERPROFILE%\AppData\Local\Temp\OnboardLogs" /stypes="app*4013*20170921*" /stext=" 20:.+((SYSTEM_STATE.+slice.+state.+changed )|(ment ac)|(multiple cpu faults)|(system.+state.+changed )|(\[timeout)|(PRM\|1\|D)|(kpr)|(kdp)|(train st.+moving)|(\|lc)|(penalty))"</v>
      </c>
      <c r="AG88" s="182" t="str">
        <f t="shared" si="53"/>
        <v>EC</v>
      </c>
      <c r="AH88" s="78" t="str">
        <f t="shared" si="54"/>
        <v>"%USERPROFILE%\Documents\GitHub\eaglep3\Utilities\RefineRTDCRunTimes.py" --tripid 176-21 --locoid 4013 --swversion DE.1.0.9.0 --startMP 204:232984 --initTime 2017-09-21T13:50:53 --startdatetime 2017-09-21T13:57:14 --delay 131 --endMP 204:152 --enddatetime 2017-09-21T14:34:54 --enforcementcount 0 &gt;&gt;c:\users\stu\Documents\GitHub\eaglep3-reporting\EC\2017-09-21-refined-times.txt</v>
      </c>
      <c r="AI88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{"issue":{"subject":"","project_id":79,"tracker_id":40,"status_id":1,"priority_id":2,"assigned_to_id":338,"start_date":"2017-09-21","description":"","custom_fields":[{"id":1,"name":"Subdivision","value":"EC"},{"id":4,"name":"Milepost","value":"0.0152"},{"id":17,"name":"Train ID","value":"176-21"},{"id":16,"name":"Locomotive ID","value":"4013"},{"id":130,"name":"Impact","value":""},{"id":150,"name":"Time of Event (Mountain Time)","value":"14:34:54"},{"id":151,"name":"Denver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56"/>
        <v>start /low /b %USERPROFILE%\Documents\GitHub\eaglep3\Utilities\DownloadLogsFromS3.py --loco 4013 --day 2017-09-21</v>
      </c>
      <c r="AN88" s="151" t="str">
        <f t="shared" si="57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20:34:54"},{"id":29,"name":"Sharepoint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58"/>
        <v>https://d0f6bd738d7f1b3e5a7ca70fe4ff75f0.us-east-1.aws.found.io/app/kibana#/discover/Steve-Slow-Train-Analysis-(2080s-and-2083s)?_g=(refreshInterval:(display:Off,pause:!f,section:0,value:0),time:(from:'2017-09-21T12:50:53-0600',mode:absolute,to:'2017-09-21T15:34:54-0600'))&amp;_a=(columns:!('Message%20ID',Summary),filters:!(),index:'emp_*',interval:auto,query:(query_string:(analyze_wildcard:!t,query:'Message%5C+ID:(*)+AND+%22rtdc.l.rtdc.4013%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720</v>
      </c>
      <c r="B89" s="7">
        <v>4016</v>
      </c>
      <c r="C89" s="21" t="s">
        <v>196</v>
      </c>
      <c r="D89" s="21" t="s">
        <v>380</v>
      </c>
      <c r="E89" s="13">
        <v>42999.547118055554</v>
      </c>
      <c r="F89" s="13">
        <v>42999.552233796298</v>
      </c>
      <c r="G89" s="7">
        <v>58</v>
      </c>
      <c r="H89" s="21" t="s">
        <v>417</v>
      </c>
      <c r="I89" s="13">
        <v>42999.576817129629</v>
      </c>
      <c r="J89" s="7">
        <v>0</v>
      </c>
      <c r="K89" s="89" t="str">
        <f t="shared" si="40"/>
        <v>4015/4016</v>
      </c>
      <c r="L89" s="185" t="str">
        <f>VLOOKUP(A89,'Trips&amp;Operators'!$C$1:$G$99911,5,FALSE)</f>
        <v>ROBINSON KADDIBA</v>
      </c>
      <c r="M89" s="6">
        <f t="shared" si="41"/>
        <v>2.4583333331975155E-2</v>
      </c>
      <c r="N89" s="7">
        <f t="shared" si="42"/>
        <v>35.399999998044223</v>
      </c>
      <c r="O89" s="7"/>
      <c r="P89" s="7"/>
      <c r="Q89" s="22"/>
      <c r="R89" s="174"/>
      <c r="S89" s="221">
        <f t="shared" si="43"/>
        <v>1</v>
      </c>
      <c r="T89" s="174" t="str">
        <f t="shared" si="44"/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 t="shared" si="45"/>
        <v>https://d0f6bd738d7f1b3e5a7ca70fe4ff75f0.us-east-1.aws.found.io/app/kibana#/discover/Steve-Slow-Train-Analysis-(2080s-and-2083s)?_g=(refreshInterval:(display:Off,pause:!f,section:0,value:0),time:(from:'2017-09-21T12:07:51-0600',mode:absolute,to:'2017-09-21T14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9" s="204" t="str">
        <f>IF(AA89&lt;VLOOKUP(AG89,Variables!$AC$3:$AD$8,2,FALSE),"Y","N")</f>
        <v>N</v>
      </c>
      <c r="X89" s="204">
        <f t="shared" si="46"/>
        <v>1</v>
      </c>
      <c r="Y89" s="204">
        <f t="shared" si="47"/>
        <v>4.5999999999999999E-2</v>
      </c>
      <c r="Z89" s="204">
        <f t="shared" si="48"/>
        <v>23.331900000000001</v>
      </c>
      <c r="AA89" s="204">
        <f t="shared" si="49"/>
        <v>23.285900000000002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 t="shared" si="50"/>
        <v>177</v>
      </c>
      <c r="AE89" s="77" t="str">
        <f t="shared" si="51"/>
        <v>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 &amp; aws s3 cp s3://rtdc.mdm.uploadarchive.raw/RTDC4016/ "%USERPROFILE%\AppData\Local\Temp\OnboardLogs"\RTDC4016\2017-09-22 --exclude "*" --recursive --include "*20170922*" &amp; "%USERPROFILE%\Documents\GitHub\mrs-test-scripts\Headless Mode &amp; Sideloading\WalkAndUnGZ.bat" "%USERPROFILE%\AppData\Local\Temp\OnboardLogs"\RTDC4016\2017-09-22</v>
      </c>
      <c r="AF89" s="74" t="str">
        <f t="shared" si="52"/>
        <v>"C:\Program Files (x86)\AstroGrep\AstroGrep.exe" /e /r /s /spath="%USERPROFILE%\AppData\Local\Temp\OnboardLogs" /stypes="app*4016*20170921*" /stext=" 19:.+((SYSTEM_STATE.+slice.+state.+changed )|(ment ac)|(multiple cpu faults)|(system.+state.+changed )|(\[timeout)|(PRM\|1\|D)|(kpr)|(kdp)|(train st.+moving)|(\|lc)|(penalty))"</v>
      </c>
      <c r="AG89" s="182" t="str">
        <f t="shared" si="53"/>
        <v>EC</v>
      </c>
      <c r="AH89" s="78" t="str">
        <f t="shared" si="54"/>
        <v>"%USERPROFILE%\Documents\GitHub\eaglep3\Utilities\RefineRTDCRunTimes.py" --tripid 177-21 --locoid 4016 --swversion DE.1.0.9.0 --startMP 204:460 --initTime 2017-09-21T13:07:51 --startdatetime 2017-09-21T13:15:13 --delay 58 --endMP 204:233319 --enddatetime 2017-09-21T13:50:37 --enforcementcount 0 &gt;&gt;c:\users\stu\Documents\GitHub\eaglep3-reporting\EC\2017-09-21-refined-times.txt</v>
      </c>
      <c r="AI89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{"issue":{"subject":"","project_id":79,"tracker_id":40,"status_id":1,"priority_id":2,"assigned_to_id":338,"start_date":"2017-09-21","description":"","custom_fields":[{"id":1,"name":"Subdivision","value":"EC"},{"id":4,"name":"Milepost","value":"23.3319"},{"id":17,"name":"Train ID","value":"177-21"},{"id":16,"name":"Locomotive ID","value":"4016"},{"id":130,"name":"Impact","value":""},{"id":150,"name":"Time of Event (Mountain Time)","value":"13:50:37"},{"id":151,"name":"Denver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56"/>
        <v>start /low /b %USERPROFILE%\Documents\GitHub\eaglep3\Utilities\DownloadLogsFromS3.py --loco 4016 --day 2017-09-21</v>
      </c>
      <c r="AN89" s="151" t="str">
        <f t="shared" si="57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19:50:37"},{"id":29,"name":"Sharepoint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58"/>
        <v>https://d0f6bd738d7f1b3e5a7ca70fe4ff75f0.us-east-1.aws.found.io/app/kibana#/discover/Steve-Slow-Train-Analysis-(2080s-and-2083s)?_g=(refreshInterval:(display:Off,pause:!f,section:0,value:0),time:(from:'2017-09-21T12:07:51-0600',mode:absolute,to:'2017-09-21T14:50:37-0600'))&amp;_a=(columns:!('Message%20ID',Summary),filters:!(),index:'emp_*',interval:auto,query:(query_string:(analyze_wildcard:!t,query:'Message%5C+ID:(*)+AND+%22rtdc.l.rtdc.4016%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728</v>
      </c>
      <c r="B90" s="7">
        <v>4015</v>
      </c>
      <c r="C90" s="21" t="s">
        <v>196</v>
      </c>
      <c r="D90" s="21" t="s">
        <v>547</v>
      </c>
      <c r="E90" s="13">
        <v>42999.588553240741</v>
      </c>
      <c r="F90" s="13">
        <v>42999.591828703706</v>
      </c>
      <c r="G90" s="7">
        <v>77</v>
      </c>
      <c r="H90" s="21" t="s">
        <v>408</v>
      </c>
      <c r="I90" s="13">
        <v>42999.618854166663</v>
      </c>
      <c r="J90" s="7">
        <v>0</v>
      </c>
      <c r="K90" s="89" t="str">
        <f t="shared" si="40"/>
        <v>4015/4016</v>
      </c>
      <c r="L90" s="185" t="str">
        <f>VLOOKUP(A90,'Trips&amp;Operators'!$C$1:$G$99911,5,FALSE)</f>
        <v>ROBINSON KADDIBA</v>
      </c>
      <c r="M90" s="6">
        <f t="shared" si="41"/>
        <v>2.7025462957681157E-2</v>
      </c>
      <c r="N90" s="7">
        <f t="shared" si="42"/>
        <v>38.916666659060866</v>
      </c>
      <c r="O90" s="7"/>
      <c r="P90" s="7"/>
      <c r="Q90" s="22"/>
      <c r="R90" s="174"/>
      <c r="S90" s="221">
        <f t="shared" si="43"/>
        <v>1</v>
      </c>
      <c r="T90" s="174" t="str">
        <f t="shared" si="44"/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 t="shared" si="45"/>
        <v>https://d0f6bd738d7f1b3e5a7ca70fe4ff75f0.us-east-1.aws.found.io/app/kibana#/discover/Steve-Slow-Train-Analysis-(2080s-and-2083s)?_g=(refreshInterval:(display:Off,pause:!f,section:0,value:0),time:(from:'2017-09-21T13:07:31-0600',mode:absolute,to:'2017-09-21T15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0" s="204" t="str">
        <f>IF(AA90&lt;VLOOKUP(AG90,Variables!$AC$3:$AD$8,2,FALSE),"Y","N")</f>
        <v>N</v>
      </c>
      <c r="X90" s="204">
        <f t="shared" si="46"/>
        <v>1</v>
      </c>
      <c r="Y90" s="204">
        <f t="shared" si="47"/>
        <v>23.3002</v>
      </c>
      <c r="Z90" s="204">
        <f t="shared" si="48"/>
        <v>1.54E-2</v>
      </c>
      <c r="AA90" s="204">
        <f t="shared" si="49"/>
        <v>23.284800000000001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 t="shared" si="50"/>
        <v>178</v>
      </c>
      <c r="AE90" s="77" t="str">
        <f t="shared" si="51"/>
        <v>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 &amp; aws s3 cp s3://rtdc.mdm.uploadarchive.raw/RTDC4015/ "%USERPROFILE%\AppData\Local\Temp\OnboardLogs"\RTDC4015\2017-09-22 --exclude "*" --recursive --include "*20170922*" &amp; "%USERPROFILE%\Documents\GitHub\mrs-test-scripts\Headless Mode &amp; Sideloading\WalkAndUnGZ.bat" "%USERPROFILE%\AppData\Local\Temp\OnboardLogs"\RTDC4015\2017-09-22</v>
      </c>
      <c r="AF90" s="74" t="str">
        <f t="shared" si="52"/>
        <v>"C:\Program Files (x86)\AstroGrep\AstroGrep.exe" /e /r /s /spath="%USERPROFILE%\AppData\Local\Temp\OnboardLogs" /stypes="app*4015*20170921*" /stext=" 20:.+((SYSTEM_STATE.+slice.+state.+changed )|(ment ac)|(multiple cpu faults)|(system.+state.+changed )|(\[timeout)|(PRM\|1\|D)|(kpr)|(kdp)|(train st.+moving)|(\|lc)|(penalty))"</v>
      </c>
      <c r="AG90" s="182" t="str">
        <f t="shared" si="53"/>
        <v>EC</v>
      </c>
      <c r="AH90" s="78" t="str">
        <f t="shared" si="54"/>
        <v>"%USERPROFILE%\Documents\GitHub\eaglep3\Utilities\RefineRTDCRunTimes.py" --tripid 178-21 --locoid 4015 --swversion DE.1.0.9.0 --startMP 204:233002 --initTime 2017-09-21T14:07:31 --startdatetime 2017-09-21T14:12:14 --delay 77 --endMP 204:154 --enddatetime 2017-09-21T14:51:09 --enforcementcount 0 &gt;&gt;c:\users\stu\Documents\GitHub\eaglep3-reporting\EC\2017-09-21-refined-times.txt</v>
      </c>
      <c r="AI90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{"issue":{"subject":"","project_id":79,"tracker_id":40,"status_id":1,"priority_id":2,"assigned_to_id":338,"start_date":"2017-09-21","description":"","custom_fields":[{"id":1,"name":"Subdivision","value":"EC"},{"id":4,"name":"Milepost","value":"0.0154"},{"id":17,"name":"Train ID","value":"178-21"},{"id":16,"name":"Locomotive ID","value":"4015"},{"id":130,"name":"Impact","value":""},{"id":150,"name":"Time of Event (Mountain Time)","value":"14:51:09"},{"id":151,"name":"Denver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56"/>
        <v>start /low /b %USERPROFILE%\Documents\GitHub\eaglep3\Utilities\DownloadLogsFromS3.py --loco 4015 --day 2017-09-21</v>
      </c>
      <c r="AN90" s="151" t="str">
        <f t="shared" si="57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20:51:09"},{"id":29,"name":"Sharepoint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58"/>
        <v>https://d0f6bd738d7f1b3e5a7ca70fe4ff75f0.us-east-1.aws.found.io/app/kibana#/discover/Steve-Slow-Train-Analysis-(2080s-and-2083s)?_g=(refreshInterval:(display:Off,pause:!f,section:0,value:0),time:(from:'2017-09-21T13:07:31-0600',mode:absolute,to:'2017-09-21T15:51:09-0600'))&amp;_a=(columns:!('Message%20ID',Summary),filters:!(),index:'emp_*',interval:auto,query:(query_string:(analyze_wildcard:!t,query:'Message%5C+ID:(*)+AND+%22rtdc.l.rtdc.4015%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722</v>
      </c>
      <c r="B91" s="7">
        <v>4018</v>
      </c>
      <c r="C91" s="21" t="s">
        <v>196</v>
      </c>
      <c r="D91" s="21" t="s">
        <v>429</v>
      </c>
      <c r="E91" s="13">
        <v>42999.55609953704</v>
      </c>
      <c r="F91" s="13">
        <v>42999.562673611108</v>
      </c>
      <c r="G91" s="7">
        <v>54</v>
      </c>
      <c r="H91" s="21" t="s">
        <v>493</v>
      </c>
      <c r="I91" s="13">
        <v>42999.586446759262</v>
      </c>
      <c r="J91" s="7">
        <v>0</v>
      </c>
      <c r="K91" s="89" t="str">
        <f t="shared" si="40"/>
        <v>4017/4018</v>
      </c>
      <c r="L91" s="185" t="str">
        <f>VLOOKUP(A91,'Trips&amp;Operators'!$C$1:$G$99911,5,FALSE)</f>
        <v>LEVIN SCOTT</v>
      </c>
      <c r="M91" s="6">
        <f t="shared" si="41"/>
        <v>2.3773148153850343E-2</v>
      </c>
      <c r="N91" s="7">
        <f t="shared" si="42"/>
        <v>34.233333341544494</v>
      </c>
      <c r="O91" s="7"/>
      <c r="P91" s="7"/>
      <c r="Q91" s="22"/>
      <c r="R91" s="174"/>
      <c r="S91" s="221">
        <f t="shared" si="43"/>
        <v>1</v>
      </c>
      <c r="T91" s="174" t="str">
        <f t="shared" si="44"/>
        <v>NorthBound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 t="shared" si="45"/>
        <v>https://d0f6bd738d7f1b3e5a7ca70fe4ff75f0.us-east-1.aws.found.io/app/kibana#/discover/Steve-Slow-Train-Analysis-(2080s-and-2083s)?_g=(refreshInterval:(display:Off,pause:!f,section:0,value:0),time:(from:'2017-09-21T12:20:47-0600',mode:absolute,to:'2017-09-21T15:04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1" s="204" t="str">
        <f>IF(AA91&lt;VLOOKUP(AG91,Variables!$AC$3:$AD$8,2,FALSE),"Y","N")</f>
        <v>N</v>
      </c>
      <c r="X91" s="204">
        <f t="shared" si="46"/>
        <v>1</v>
      </c>
      <c r="Y91" s="204">
        <f t="shared" si="47"/>
        <v>4.7500000000000001E-2</v>
      </c>
      <c r="Z91" s="204">
        <f t="shared" si="48"/>
        <v>23.337199999999999</v>
      </c>
      <c r="AA91" s="204">
        <f t="shared" si="49"/>
        <v>23.2897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 t="shared" si="50"/>
        <v>179</v>
      </c>
      <c r="AE91" s="77" t="str">
        <f t="shared" si="51"/>
        <v>aws s3 cp s3://rtdc.mdm.uploadarchive.raw/RTDC4018/ "%USERPROFILE%\AppData\Local\Temp\OnboardLogs"\RTDC4018\2017-09-21 --exclude "*" --recursive --include "*20170921*" &amp; "%USERPROFILE%\Documents\GitHub\mrs-test-scripts\Headless Mode &amp; Sideloading\WalkAndUnGZ.bat" "%USERPROFILE%\AppData\Local\Temp\OnboardLogs"\RTDC4018\2017-09-21 &amp; aws s3 cp s3://rtdc.mdm.uploadarchive.raw/RTDC4018/ "%USERPROFILE%\AppData\Local\Temp\OnboardLogs"\RTDC4018\2017-09-22 --exclude "*" --recursive --include "*20170922*" &amp; "%USERPROFILE%\Documents\GitHub\mrs-test-scripts\Headless Mode &amp; Sideloading\WalkAndUnGZ.bat" "%USERPROFILE%\AppData\Local\Temp\OnboardLogs"\RTDC4018\2017-09-22</v>
      </c>
      <c r="AF91" s="74" t="str">
        <f t="shared" si="52"/>
        <v>"C:\Program Files (x86)\AstroGrep\AstroGrep.exe" /e /r /s /spath="%USERPROFILE%\AppData\Local\Temp\OnboardLogs" /stypes="app*4018*20170921*" /stext=" 20:.+((SYSTEM_STATE.+slice.+state.+changed )|(ment ac)|(multiple cpu faults)|(system.+state.+changed )|(\[timeout)|(PRM\|1\|D)|(kpr)|(kdp)|(train st.+moving)|(\|lc)|(penalty))"</v>
      </c>
      <c r="AG91" s="182" t="str">
        <f t="shared" si="53"/>
        <v>EC</v>
      </c>
      <c r="AH91" s="78" t="str">
        <f t="shared" si="54"/>
        <v>"%USERPROFILE%\Documents\GitHub\eaglep3\Utilities\RefineRTDCRunTimes.py" --tripid 179-21 --locoid 4018 --swversion DE.1.0.9.0 --startMP 204:475 --initTime 2017-09-21T13:20:47 --startdatetime 2017-09-21T13:30:15 --delay 54 --endMP 204:233372 --enddatetime 2017-09-21T14:04:29 --enforcementcount 0 &gt;&gt;c:\users\stu\Documents\GitHub\eaglep3-reporting\EC\2017-09-21-refined-times.txt</v>
      </c>
      <c r="AI91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{"issue":{"subject":"","project_id":79,"tracker_id":40,"status_id":1,"priority_id":2,"assigned_to_id":338,"start_date":"2017-09-21","description":"","custom_fields":[{"id":1,"name":"Subdivision","value":"EC"},{"id":4,"name":"Milepost","value":"23.3372"},{"id":17,"name":"Train ID","value":"179-21"},{"id":16,"name":"Locomotive ID","value":"4018"},{"id":130,"name":"Impact","value":""},{"id":150,"name":"Time of Event (Mountain Time)","value":"14:04:29"},{"id":151,"name":"Denver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56"/>
        <v>start /low /b %USERPROFILE%\Documents\GitHub\eaglep3\Utilities\DownloadLogsFromS3.py --loco 4018 --day 2017-09-21</v>
      </c>
      <c r="AN91" s="151" t="str">
        <f t="shared" si="57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20:04:29"},{"id":29,"name":"Sharepoint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58"/>
        <v>https://d0f6bd738d7f1b3e5a7ca70fe4ff75f0.us-east-1.aws.found.io/app/kibana#/discover/Steve-Slow-Train-Analysis-(2080s-and-2083s)?_g=(refreshInterval:(display:Off,pause:!f,section:0,value:0),time:(from:'2017-09-21T12:20:47-0600',mode:absolute,to:'2017-09-21T15:04:29-0600'))&amp;_a=(columns:!('Message%20ID',Summary),filters:!(),index:'emp_*',interval:auto,query:(query_string:(analyze_wildcard:!t,query:'Message%5C+ID:(*)+AND+%22rtdc.l.rtdc.4018%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730</v>
      </c>
      <c r="B92" s="7">
        <v>4017</v>
      </c>
      <c r="C92" s="21" t="s">
        <v>196</v>
      </c>
      <c r="D92" s="21" t="s">
        <v>444</v>
      </c>
      <c r="E92" s="13">
        <v>42999.591122685182</v>
      </c>
      <c r="F92" s="13">
        <v>42999.602256944447</v>
      </c>
      <c r="G92" s="7">
        <v>46</v>
      </c>
      <c r="H92" s="21" t="s">
        <v>363</v>
      </c>
      <c r="I92" s="13">
        <v>42999.62809027778</v>
      </c>
      <c r="J92" s="7">
        <v>0</v>
      </c>
      <c r="K92" s="89" t="str">
        <f t="shared" si="40"/>
        <v>4017/4018</v>
      </c>
      <c r="L92" s="185" t="str">
        <f>VLOOKUP(A92,'Trips&amp;Operators'!$C$1:$G$99911,5,FALSE)</f>
        <v>LEVIN SCOTT</v>
      </c>
      <c r="M92" s="6">
        <f t="shared" si="41"/>
        <v>2.5833333333139308E-2</v>
      </c>
      <c r="N92" s="7">
        <f t="shared" si="42"/>
        <v>37.199999999720603</v>
      </c>
      <c r="O92" s="7"/>
      <c r="P92" s="7"/>
      <c r="Q92" s="22"/>
      <c r="R92" s="174"/>
      <c r="S92" s="221">
        <f t="shared" si="43"/>
        <v>1</v>
      </c>
      <c r="T92" s="174" t="str">
        <f t="shared" si="44"/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 t="shared" si="45"/>
        <v>https://d0f6bd738d7f1b3e5a7ca70fe4ff75f0.us-east-1.aws.found.io/app/kibana#/discover/Steve-Slow-Train-Analysis-(2080s-and-2083s)?_g=(refreshInterval:(display:Off,pause:!f,section:0,value:0),time:(from:'2017-09-21T13:11:13-0600',mode:absolute,to:'2017-09-21T16:04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2" s="204" t="str">
        <f>IF(AA92&lt;VLOOKUP(AG92,Variables!$AC$3:$AD$8,2,FALSE),"Y","N")</f>
        <v>N</v>
      </c>
      <c r="X92" s="204">
        <f t="shared" si="46"/>
        <v>1</v>
      </c>
      <c r="Y92" s="204">
        <f t="shared" si="47"/>
        <v>23.3019</v>
      </c>
      <c r="Z92" s="204">
        <f t="shared" si="48"/>
        <v>1.4500000000000001E-2</v>
      </c>
      <c r="AA92" s="204">
        <f t="shared" si="49"/>
        <v>23.287399999999998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 t="shared" si="50"/>
        <v>180</v>
      </c>
      <c r="AE92" s="77" t="str">
        <f t="shared" si="51"/>
        <v>aws s3 cp s3://rtdc.mdm.uploadarchive.raw/RTDC4017/ "%USERPROFILE%\AppData\Local\Temp\OnboardLogs"\RTDC4017\2017-09-21 --exclude "*" --recursive --include "*20170921*" &amp; "%USERPROFILE%\Documents\GitHub\mrs-test-scripts\Headless Mode &amp; Sideloading\WalkAndUnGZ.bat" "%USERPROFILE%\AppData\Local\Temp\OnboardLogs"\RTDC4017\2017-09-21 &amp; aws s3 cp s3://rtdc.mdm.uploadarchive.raw/RTDC4017/ "%USERPROFILE%\AppData\Local\Temp\OnboardLogs"\RTDC4017\2017-09-22 --exclude "*" --recursive --include "*20170922*" &amp; "%USERPROFILE%\Documents\GitHub\mrs-test-scripts\Headless Mode &amp; Sideloading\WalkAndUnGZ.bat" "%USERPROFILE%\AppData\Local\Temp\OnboardLogs"\RTDC4017\2017-09-22</v>
      </c>
      <c r="AF92" s="74" t="str">
        <f t="shared" si="52"/>
        <v>"C:\Program Files (x86)\AstroGrep\AstroGrep.exe" /e /r /s /spath="%USERPROFILE%\AppData\Local\Temp\OnboardLogs" /stypes="app*4017*20170921*" /stext=" 21:.+((SYSTEM_STATE.+slice.+state.+changed )|(ment ac)|(multiple cpu faults)|(system.+state.+changed )|(\[timeout)|(PRM\|1\|D)|(kpr)|(kdp)|(train st.+moving)|(\|lc)|(penalty))"</v>
      </c>
      <c r="AG92" s="182" t="str">
        <f t="shared" si="53"/>
        <v>EC</v>
      </c>
      <c r="AH92" s="78" t="str">
        <f t="shared" si="54"/>
        <v>"%USERPROFILE%\Documents\GitHub\eaglep3\Utilities\RefineRTDCRunTimes.py" --tripid 180-21 --locoid 4017 --swversion DE.1.0.9.0 --startMP 204:233019 --initTime 2017-09-21T14:11:13 --startdatetime 2017-09-21T14:27:15 --delay 46 --endMP 204:145 --enddatetime 2017-09-21T15:04:27 --enforcementcount 0 &gt;&gt;c:\users\stu\Documents\GitHub\eaglep3-reporting\EC\2017-09-21-refined-times.txt</v>
      </c>
      <c r="AI92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{"issue":{"subject":"","project_id":79,"tracker_id":40,"status_id":1,"priority_id":2,"assigned_to_id":338,"start_date":"2017-09-21","description":"","custom_fields":[{"id":1,"name":"Subdivision","value":"EC"},{"id":4,"name":"Milepost","value":"0.0145"},{"id":17,"name":"Train ID","value":"180-21"},{"id":16,"name":"Locomotive ID","value":"4017"},{"id":130,"name":"Impact","value":""},{"id":150,"name":"Time of Event (Mountain Time)","value":"15:04:27"},{"id":151,"name":"Denver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56"/>
        <v>start /low /b %USERPROFILE%\Documents\GitHub\eaglep3\Utilities\DownloadLogsFromS3.py --loco 4017 --day 2017-09-21</v>
      </c>
      <c r="AN92" s="151" t="str">
        <f t="shared" si="57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21:04:27"},{"id":29,"name":"Sharepoint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58"/>
        <v>https://d0f6bd738d7f1b3e5a7ca70fe4ff75f0.us-east-1.aws.found.io/app/kibana#/discover/Steve-Slow-Train-Analysis-(2080s-and-2083s)?_g=(refreshInterval:(display:Off,pause:!f,section:0,value:0),time:(from:'2017-09-21T13:11:13-0600',mode:absolute,to:'2017-09-21T16:04:27-0600'))&amp;_a=(columns:!('Message%20ID',Summary),filters:!(),index:'emp_*',interval:auto,query:(query_string:(analyze_wildcard:!t,query:'Message%5C+ID:(*)+AND+%22rtdc.l.rtdc.4017%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724</v>
      </c>
      <c r="B93" s="7">
        <v>4056</v>
      </c>
      <c r="C93" s="21" t="s">
        <v>196</v>
      </c>
      <c r="D93" s="21" t="s">
        <v>340</v>
      </c>
      <c r="E93" s="13">
        <v>42999.569120370368</v>
      </c>
      <c r="F93" s="13">
        <v>42999.573171296295</v>
      </c>
      <c r="G93" s="7">
        <v>73</v>
      </c>
      <c r="H93" s="21" t="s">
        <v>542</v>
      </c>
      <c r="I93" s="13">
        <v>42999.598969907405</v>
      </c>
      <c r="J93" s="7">
        <v>0</v>
      </c>
      <c r="K93" s="89" t="str">
        <f t="shared" si="40"/>
        <v>4055/4056</v>
      </c>
      <c r="L93" s="185" t="str">
        <f>VLOOKUP(A93,'Trips&amp;Operators'!$C$1:$G$99911,5,FALSE)</f>
        <v>BERLING GARY</v>
      </c>
      <c r="M93" s="6">
        <f t="shared" si="41"/>
        <v>2.5798611110076308E-2</v>
      </c>
      <c r="N93" s="7">
        <f t="shared" si="42"/>
        <v>37.149999998509884</v>
      </c>
      <c r="O93" s="7"/>
      <c r="P93" s="7"/>
      <c r="Q93" s="22"/>
      <c r="R93" s="174"/>
      <c r="S93" s="221">
        <f t="shared" si="43"/>
        <v>1</v>
      </c>
      <c r="T93" s="174" t="str">
        <f t="shared" si="44"/>
        <v>NorthBound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 t="shared" si="45"/>
        <v>https://d0f6bd738d7f1b3e5a7ca70fe4ff75f0.us-east-1.aws.found.io/app/kibana#/discover/Steve-Slow-Train-Analysis-(2080s-and-2083s)?_g=(refreshInterval:(display:Off,pause:!f,section:0,value:0),time:(from:'2017-09-21T12:39:32-0600',mode:absolute,to:'2017-09-21T15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3" s="204" t="str">
        <f>IF(AA93&lt;VLOOKUP(AG93,Variables!$AC$3:$AD$8,2,FALSE),"Y","N")</f>
        <v>N</v>
      </c>
      <c r="X93" s="204">
        <f t="shared" si="46"/>
        <v>1</v>
      </c>
      <c r="Y93" s="204">
        <f t="shared" si="47"/>
        <v>4.53E-2</v>
      </c>
      <c r="Z93" s="204">
        <f t="shared" si="48"/>
        <v>23.332699999999999</v>
      </c>
      <c r="AA93" s="204">
        <f t="shared" si="49"/>
        <v>23.287399999999998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 t="shared" si="50"/>
        <v>181</v>
      </c>
      <c r="AE93" s="77" t="str">
        <f t="shared" si="51"/>
        <v>aws s3 cp s3://rtdc.mdm.uploadarchive.raw/RTDC4056/ "%USERPROFILE%\AppData\Local\Temp\OnboardLogs"\RTDC4056\2017-09-21 --exclude "*" --recursive --include "*20170921*" &amp; "%USERPROFILE%\Documents\GitHub\mrs-test-scripts\Headless Mode &amp; Sideloading\WalkAndUnGZ.bat" "%USERPROFILE%\AppData\Local\Temp\OnboardLogs"\RTDC4056\2017-09-21 &amp; aws s3 cp s3://rtdc.mdm.uploadarchive.raw/RTDC4056/ "%USERPROFILE%\AppData\Local\Temp\OnboardLogs"\RTDC4056\2017-09-22 --exclude "*" --recursive --include "*20170922*" &amp; "%USERPROFILE%\Documents\GitHub\mrs-test-scripts\Headless Mode &amp; Sideloading\WalkAndUnGZ.bat" "%USERPROFILE%\AppData\Local\Temp\OnboardLogs"\RTDC4056\2017-09-22</v>
      </c>
      <c r="AF93" s="74" t="str">
        <f t="shared" si="52"/>
        <v>"C:\Program Files (x86)\AstroGrep\AstroGrep.exe" /e /r /s /spath="%USERPROFILE%\AppData\Local\Temp\OnboardLogs" /stypes="app*4056*20170921*" /stext=" 20:.+((SYSTEM_STATE.+slice.+state.+changed )|(ment ac)|(multiple cpu faults)|(system.+state.+changed )|(\[timeout)|(PRM\|1\|D)|(kpr)|(kdp)|(train st.+moving)|(\|lc)|(penalty))"</v>
      </c>
      <c r="AG93" s="182" t="str">
        <f t="shared" si="53"/>
        <v>EC</v>
      </c>
      <c r="AH93" s="78" t="str">
        <f t="shared" si="54"/>
        <v>"%USERPROFILE%\Documents\GitHub\eaglep3\Utilities\RefineRTDCRunTimes.py" --tripid 181-21 --locoid 4056 --swversion DE.1.0.9.0 --startMP 204:453 --initTime 2017-09-21T13:39:32 --startdatetime 2017-09-21T13:45:22 --delay 73 --endMP 204:233327 --enddatetime 2017-09-21T14:22:31 --enforcementcount 0 &gt;&gt;c:\users\stu\Documents\GitHub\eaglep3-reporting\EC\2017-09-21-refined-times.txt</v>
      </c>
      <c r="AI93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{"issue":{"subject":"","project_id":79,"tracker_id":40,"status_id":1,"priority_id":2,"assigned_to_id":338,"start_date":"2017-09-21","description":"","custom_fields":[{"id":1,"name":"Subdivision","value":"EC"},{"id":4,"name":"Milepost","value":"23.3327"},{"id":17,"name":"Train ID","value":"181-21"},{"id":16,"name":"Locomotive ID","value":"4056"},{"id":130,"name":"Impact","value":""},{"id":150,"name":"Time of Event (Mountain Time)","value":"14:22:31"},{"id":151,"name":"Denver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56"/>
        <v>start /low /b %USERPROFILE%\Documents\GitHub\eaglep3\Utilities\DownloadLogsFromS3.py --loco 4056 --day 2017-09-21</v>
      </c>
      <c r="AN93" s="151" t="str">
        <f t="shared" si="57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20:22:31"},{"id":29,"name":"Sharepoint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58"/>
        <v>https://d0f6bd738d7f1b3e5a7ca70fe4ff75f0.us-east-1.aws.found.io/app/kibana#/discover/Steve-Slow-Train-Analysis-(2080s-and-2083s)?_g=(refreshInterval:(display:Off,pause:!f,section:0,value:0),time:(from:'2017-09-21T12:39:32-0600',mode:absolute,to:'2017-09-21T15:22:31-0600'))&amp;_a=(columns:!('Message%20ID',Summary),filters:!(),index:'emp_*',interval:auto,query:(query_string:(analyze_wildcard:!t,query:'Message%5C+ID:(*)+AND+%22rtdc.l.rtdc.4056%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607</v>
      </c>
      <c r="B94" s="7">
        <v>4055</v>
      </c>
      <c r="C94" s="21" t="s">
        <v>196</v>
      </c>
      <c r="D94" s="21" t="s">
        <v>862</v>
      </c>
      <c r="E94" s="13">
        <v>42999.604988425926</v>
      </c>
      <c r="F94" s="13">
        <v>42999.612812500003</v>
      </c>
      <c r="G94" s="7">
        <v>83</v>
      </c>
      <c r="H94" s="21" t="s">
        <v>863</v>
      </c>
      <c r="I94" s="13">
        <v>42999.640115740738</v>
      </c>
      <c r="J94" s="7">
        <v>0</v>
      </c>
      <c r="K94" s="89" t="str">
        <f t="shared" si="40"/>
        <v>4055/4056</v>
      </c>
      <c r="L94" s="185" t="str">
        <f>VLOOKUP(A94,'Trips&amp;Operators'!$C$1:$G$99911,5,FALSE)</f>
        <v>BERLING GARY</v>
      </c>
      <c r="M94" s="6">
        <f t="shared" si="41"/>
        <v>2.7303240734909195E-2</v>
      </c>
      <c r="N94" s="7">
        <f t="shared" si="42"/>
        <v>39.316666658269241</v>
      </c>
      <c r="O94" s="7"/>
      <c r="P94" s="7"/>
      <c r="Q94" s="22"/>
      <c r="R94" s="174"/>
      <c r="S94" s="221">
        <f t="shared" si="43"/>
        <v>1</v>
      </c>
      <c r="T94" s="174" t="str">
        <f t="shared" si="44"/>
        <v>Southbound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 t="shared" si="45"/>
        <v>https://d0f6bd738d7f1b3e5a7ca70fe4ff75f0.us-east-1.aws.found.io/app/kibana#/discover/Steve-Slow-Train-Analysis-(2080s-and-2083s)?_g=(refreshInterval:(display:Off,pause:!f,section:0,value:0),time:(from:'2017-09-21T13:31:11-0600',mode:absolute,to:'2017-09-21T16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4" s="204" t="str">
        <f>IF(AA94&lt;VLOOKUP(AG94,Variables!$AC$3:$AD$8,2,FALSE),"Y","N")</f>
        <v>N</v>
      </c>
      <c r="X94" s="204">
        <f t="shared" si="46"/>
        <v>1</v>
      </c>
      <c r="Y94" s="204">
        <f t="shared" si="47"/>
        <v>23.302099999999999</v>
      </c>
      <c r="Z94" s="204">
        <f t="shared" si="48"/>
        <v>2.3199999999999998E-2</v>
      </c>
      <c r="AA94" s="204">
        <f t="shared" si="49"/>
        <v>23.2789</v>
      </c>
      <c r="AB94" s="54" t="e">
        <f>VLOOKUP(A94,Enforcements!$C$7:$K$11,8,0)</f>
        <v>#N/A</v>
      </c>
      <c r="AC94" s="51" t="e">
        <f>VLOOKUP(A94,Enforcements!$C$7:$E$11,3,0)</f>
        <v>#N/A</v>
      </c>
      <c r="AD94" s="179">
        <f t="shared" si="50"/>
        <v>182</v>
      </c>
      <c r="AE94" s="77" t="str">
        <f t="shared" si="51"/>
        <v>aws s3 cp s3://rtdc.mdm.uploadarchive.raw/RTDC4055/ "%USERPROFILE%\AppData\Local\Temp\OnboardLogs"\RTDC4055\2017-09-21 --exclude "*" --recursive --include "*20170921*" &amp; "%USERPROFILE%\Documents\GitHub\mrs-test-scripts\Headless Mode &amp; Sideloading\WalkAndUnGZ.bat" "%USERPROFILE%\AppData\Local\Temp\OnboardLogs"\RTDC4055\2017-09-21 &amp; aws s3 cp s3://rtdc.mdm.uploadarchive.raw/RTDC4055/ "%USERPROFILE%\AppData\Local\Temp\OnboardLogs"\RTDC4055\2017-09-22 --exclude "*" --recursive --include "*20170922*" &amp; "%USERPROFILE%\Documents\GitHub\mrs-test-scripts\Headless Mode &amp; Sideloading\WalkAndUnGZ.bat" "%USERPROFILE%\AppData\Local\Temp\OnboardLogs"\RTDC4055\2017-09-22</v>
      </c>
      <c r="AF94" s="74" t="str">
        <f t="shared" si="52"/>
        <v>"C:\Program Files (x86)\AstroGrep\AstroGrep.exe" /e /r /s /spath="%USERPROFILE%\AppData\Local\Temp\OnboardLogs" /stypes="app*4055*20170921*" /stext=" 21:.+((SYSTEM_STATE.+slice.+state.+changed )|(ment ac)|(multiple cpu faults)|(system.+state.+changed )|(\[timeout)|(PRM\|1\|D)|(kpr)|(kdp)|(train st.+moving)|(\|lc)|(penalty))"</v>
      </c>
      <c r="AG94" s="182" t="str">
        <f t="shared" si="53"/>
        <v>EC</v>
      </c>
      <c r="AH94" s="78" t="str">
        <f t="shared" si="54"/>
        <v>"%USERPROFILE%\Documents\GitHub\eaglep3\Utilities\RefineRTDCRunTimes.py" --tripid 182-21 --locoid 4055 --swversion DE.1.0.9.0 --startMP 204:233021 --initTime 2017-09-21T14:31:11 --startdatetime 2017-09-21T14:42:27 --delay 83 --endMP 204:232 --enddatetime 2017-09-21T15:21:46 --enforcementcount 0 &gt;&gt;c:\users\stu\Documents\GitHub\eaglep3-reporting\EC\2017-09-21-refined-times.txt</v>
      </c>
      <c r="AI94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{"issue":{"subject":"","project_id":79,"tracker_id":40,"status_id":1,"priority_id":2,"assigned_to_id":338,"start_date":"2017-09-21","description":"","custom_fields":[{"id":1,"name":"Subdivision","value":"EC"},{"id":4,"name":"Milepost","value":"0.0232"},{"id":17,"name":"Train ID","value":"182-21"},{"id":16,"name":"Locomotive ID","value":"4055"},{"id":130,"name":"Impact","value":""},{"id":150,"name":"Time of Event (Mountain Time)","value":"15:21:46"},{"id":151,"name":"Denver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56"/>
        <v>start /low /b %USERPROFILE%\Documents\GitHub\eaglep3\Utilities\DownloadLogsFromS3.py --loco 4055 --day 2017-09-21</v>
      </c>
      <c r="AN94" s="151" t="str">
        <f t="shared" si="57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21:21:46"},{"id":29,"name":"Sharepoint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58"/>
        <v>https://d0f6bd738d7f1b3e5a7ca70fe4ff75f0.us-east-1.aws.found.io/app/kibana#/discover/Steve-Slow-Train-Analysis-(2080s-and-2083s)?_g=(refreshInterval:(display:Off,pause:!f,section:0,value:0),time:(from:'2017-09-21T13:31:11-0600',mode:absolute,to:'2017-09-21T16:21:46-0600'))&amp;_a=(columns:!('Message%20ID',Summary),filters:!(),index:'emp_*',interval:auto,query:(query_string:(analyze_wildcard:!t,query:'Message%5C+ID:(*)+AND+%22rtdc.l.rtdc.4055%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726</v>
      </c>
      <c r="B95" s="7">
        <v>4052</v>
      </c>
      <c r="C95" s="21" t="s">
        <v>196</v>
      </c>
      <c r="D95" s="21" t="s">
        <v>864</v>
      </c>
      <c r="E95" s="13">
        <v>42999.580451388887</v>
      </c>
      <c r="F95" s="13">
        <v>42999.584918981483</v>
      </c>
      <c r="G95" s="7">
        <v>295</v>
      </c>
      <c r="H95" s="21" t="s">
        <v>401</v>
      </c>
      <c r="I95" s="13">
        <v>42999.610185185185</v>
      </c>
      <c r="J95" s="7">
        <v>0</v>
      </c>
      <c r="K95" s="89" t="str">
        <f t="shared" si="40"/>
        <v>4051/4052</v>
      </c>
      <c r="L95" s="185" t="str">
        <f>VLOOKUP(A95,'Trips&amp;Operators'!$C$1:$G$99911,5,FALSE)</f>
        <v>LEVERE CRAIG</v>
      </c>
      <c r="M95" s="6">
        <f t="shared" si="41"/>
        <v>2.5266203701903578E-2</v>
      </c>
      <c r="N95" s="7">
        <f t="shared" si="42"/>
        <v>36.383333330741152</v>
      </c>
      <c r="O95" s="7"/>
      <c r="P95" s="7"/>
      <c r="Q95" s="22"/>
      <c r="R95" s="174"/>
      <c r="S95" s="221">
        <f t="shared" si="43"/>
        <v>1</v>
      </c>
      <c r="T95" s="174" t="str">
        <f t="shared" si="44"/>
        <v>NorthBound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 t="shared" si="45"/>
        <v>https://d0f6bd738d7f1b3e5a7ca70fe4ff75f0.us-east-1.aws.found.io/app/kibana#/discover/Steve-Slow-Train-Analysis-(2080s-and-2083s)?_g=(refreshInterval:(display:Off,pause:!f,section:0,value:0),time:(from:'2017-09-21T12:55:51-0600',mode:absolute,to:'2017-09-21T15:38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5" s="204" t="str">
        <f>IF(AA95&lt;VLOOKUP(AG95,Variables!$AC$3:$AD$8,2,FALSE),"Y","N")</f>
        <v>N</v>
      </c>
      <c r="X95" s="204">
        <f t="shared" si="46"/>
        <v>1</v>
      </c>
      <c r="Y95" s="204">
        <f t="shared" si="47"/>
        <v>0.1477</v>
      </c>
      <c r="Z95" s="204">
        <f t="shared" si="48"/>
        <v>23.328900000000001</v>
      </c>
      <c r="AA95" s="204">
        <f t="shared" si="49"/>
        <v>23.1812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 t="shared" si="50"/>
        <v>183</v>
      </c>
      <c r="AE95" s="77" t="str">
        <f t="shared" si="51"/>
        <v>aws s3 cp s3://rtdc.mdm.uploadarchive.raw/RTDC4052/ "%USERPROFILE%\AppData\Local\Temp\OnboardLogs"\RTDC4052\2017-09-21 --exclude "*" --recursive --include "*20170921*" &amp; "%USERPROFILE%\Documents\GitHub\mrs-test-scripts\Headless Mode &amp; Sideloading\WalkAndUnGZ.bat" "%USERPROFILE%\AppData\Local\Temp\OnboardLogs"\RTDC4052\2017-09-21 &amp; aws s3 cp s3://rtdc.mdm.uploadarchive.raw/RTDC4052/ "%USERPROFILE%\AppData\Local\Temp\OnboardLogs"\RTDC4052\2017-09-22 --exclude "*" --recursive --include "*20170922*" &amp; "%USERPROFILE%\Documents\GitHub\mrs-test-scripts\Headless Mode &amp; Sideloading\WalkAndUnGZ.bat" "%USERPROFILE%\AppData\Local\Temp\OnboardLogs"\RTDC4052\2017-09-22</v>
      </c>
      <c r="AF95" s="74" t="str">
        <f t="shared" si="52"/>
        <v>"C:\Program Files (x86)\AstroGrep\AstroGrep.exe" /e /r /s /spath="%USERPROFILE%\AppData\Local\Temp\OnboardLogs" /stypes="app*4052*20170921*" /stext=" 20:.+((SYSTEM_STATE.+slice.+state.+changed )|(ment ac)|(multiple cpu faults)|(system.+state.+changed )|(\[timeout)|(PRM\|1\|D)|(kpr)|(kdp)|(train st.+moving)|(\|lc)|(penalty))"</v>
      </c>
      <c r="AG95" s="182" t="str">
        <f t="shared" si="53"/>
        <v>EC</v>
      </c>
      <c r="AH95" s="78" t="str">
        <f t="shared" si="54"/>
        <v>"%USERPROFILE%\Documents\GitHub\eaglep3\Utilities\RefineRTDCRunTimes.py" --tripid 183-21 --locoid 4052 --swversion DE.1.0.9.0 --startMP 204:1477 --initTime 2017-09-21T13:55:51 --startdatetime 2017-09-21T14:02:17 --delay 295 --endMP 204:233289 --enddatetime 2017-09-21T14:38:40 --enforcementcount 0 &gt;&gt;c:\users\stu\Documents\GitHub\eaglep3-reporting\EC\2017-09-21-refined-times.txt</v>
      </c>
      <c r="AI95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{"issue":{"subject":"","project_id":79,"tracker_id":40,"status_id":1,"priority_id":2,"assigned_to_id":338,"start_date":"2017-09-21","description":"","custom_fields":[{"id":1,"name":"Subdivision","value":"EC"},{"id":4,"name":"Milepost","value":"23.3289"},{"id":17,"name":"Train ID","value":"183-21"},{"id":16,"name":"Locomotive ID","value":"4052"},{"id":130,"name":"Impact","value":""},{"id":150,"name":"Time of Event (Mountain Time)","value":"14:38:40"},{"id":151,"name":"Denver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56"/>
        <v>start /low /b %USERPROFILE%\Documents\GitHub\eaglep3\Utilities\DownloadLogsFromS3.py --loco 4052 --day 2017-09-21</v>
      </c>
      <c r="AN95" s="151" t="str">
        <f t="shared" si="57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20:38:40"},{"id":29,"name":"Sharepoint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58"/>
        <v>https://d0f6bd738d7f1b3e5a7ca70fe4ff75f0.us-east-1.aws.found.io/app/kibana#/discover/Steve-Slow-Train-Analysis-(2080s-and-2083s)?_g=(refreshInterval:(display:Off,pause:!f,section:0,value:0),time:(from:'2017-09-21T12:55:51-0600',mode:absolute,to:'2017-09-21T15:38:40-0600'))&amp;_a=(columns:!('Message%20ID',Summary),filters:!(),index:'emp_*',interval:auto,query:(query_string:(analyze_wildcard:!t,query:'Message%5C+ID:(*)+AND+%22rtdc.l.rtdc.4052%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609</v>
      </c>
      <c r="B96" s="7">
        <v>4051</v>
      </c>
      <c r="C96" s="21" t="s">
        <v>196</v>
      </c>
      <c r="D96" s="21" t="s">
        <v>373</v>
      </c>
      <c r="E96" s="13">
        <v>42999.617337962962</v>
      </c>
      <c r="F96" s="13">
        <v>42999.623159722221</v>
      </c>
      <c r="G96" s="7">
        <v>68</v>
      </c>
      <c r="H96" s="21" t="s">
        <v>865</v>
      </c>
      <c r="I96" s="13">
        <v>42999.650659722225</v>
      </c>
      <c r="J96" s="7">
        <v>0</v>
      </c>
      <c r="K96" s="89" t="str">
        <f t="shared" si="40"/>
        <v>4051/4052</v>
      </c>
      <c r="L96" s="185" t="str">
        <f>VLOOKUP(A96,'Trips&amp;Operators'!$C$1:$G$99911,5,FALSE)</f>
        <v>LEVERE CRAIG</v>
      </c>
      <c r="M96" s="6">
        <f t="shared" si="41"/>
        <v>2.7500000003783498E-2</v>
      </c>
      <c r="N96" s="7">
        <f t="shared" si="42"/>
        <v>39.600000005448237</v>
      </c>
      <c r="O96" s="7"/>
      <c r="P96" s="7"/>
      <c r="Q96" s="22"/>
      <c r="R96" s="174"/>
      <c r="S96" s="221">
        <f t="shared" si="43"/>
        <v>1</v>
      </c>
      <c r="T96" s="174" t="str">
        <f t="shared" si="44"/>
        <v>Southbound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 t="shared" si="45"/>
        <v>https://d0f6bd738d7f1b3e5a7ca70fe4ff75f0.us-east-1.aws.found.io/app/kibana#/discover/Steve-Slow-Train-Analysis-(2080s-and-2083s)?_g=(refreshInterval:(display:Off,pause:!f,section:0,value:0),time:(from:'2017-09-21T13:48:58-0600',mode:absolute,to:'2017-09-21T16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6" s="204" t="str">
        <f>IF(AA96&lt;VLOOKUP(AG96,Variables!$AC$3:$AD$8,2,FALSE),"Y","N")</f>
        <v>N</v>
      </c>
      <c r="X96" s="204">
        <f t="shared" si="46"/>
        <v>1</v>
      </c>
      <c r="Y96" s="204">
        <f t="shared" si="47"/>
        <v>23.297699999999999</v>
      </c>
      <c r="Z96" s="204">
        <f t="shared" si="48"/>
        <v>9.0700000000000003E-2</v>
      </c>
      <c r="AA96" s="204">
        <f t="shared" si="49"/>
        <v>23.207000000000001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 t="shared" si="50"/>
        <v>184</v>
      </c>
      <c r="AE96" s="77" t="str">
        <f t="shared" si="51"/>
        <v>aws s3 cp s3://rtdc.mdm.uploadarchive.raw/RTDC4051/ "%USERPROFILE%\AppData\Local\Temp\OnboardLogs"\RTDC4051\2017-09-21 --exclude "*" --recursive --include "*20170921*" &amp; "%USERPROFILE%\Documents\GitHub\mrs-test-scripts\Headless Mode &amp; Sideloading\WalkAndUnGZ.bat" "%USERPROFILE%\AppData\Local\Temp\OnboardLogs"\RTDC4051\2017-09-21 &amp; aws s3 cp s3://rtdc.mdm.uploadarchive.raw/RTDC4051/ "%USERPROFILE%\AppData\Local\Temp\OnboardLogs"\RTDC4051\2017-09-22 --exclude "*" --recursive --include "*20170922*" &amp; "%USERPROFILE%\Documents\GitHub\mrs-test-scripts\Headless Mode &amp; Sideloading\WalkAndUnGZ.bat" "%USERPROFILE%\AppData\Local\Temp\OnboardLogs"\RTDC4051\2017-09-22</v>
      </c>
      <c r="AF96" s="74" t="str">
        <f t="shared" si="52"/>
        <v>"C:\Program Files (x86)\AstroGrep\AstroGrep.exe" /e /r /s /spath="%USERPROFILE%\AppData\Local\Temp\OnboardLogs" /stypes="app*4051*20170921*" /stext=" 21:.+((SYSTEM_STATE.+slice.+state.+changed )|(ment ac)|(multiple cpu faults)|(system.+state.+changed )|(\[timeout)|(PRM\|1\|D)|(kpr)|(kdp)|(train st.+moving)|(\|lc)|(penalty))"</v>
      </c>
      <c r="AG96" s="182" t="str">
        <f t="shared" si="53"/>
        <v>EC</v>
      </c>
      <c r="AH96" s="78" t="str">
        <f t="shared" si="54"/>
        <v>"%USERPROFILE%\Documents\GitHub\eaglep3\Utilities\RefineRTDCRunTimes.py" --tripid 184-21 --locoid 4051 --swversion DE.1.0.9.0 --startMP 204:232977 --initTime 2017-09-21T14:48:58 --startdatetime 2017-09-21T14:57:21 --delay 68 --endMP 204:907 --enddatetime 2017-09-21T15:36:57 --enforcementcount 0 &gt;&gt;c:\users\stu\Documents\GitHub\eaglep3-reporting\EC\2017-09-21-refined-times.txt</v>
      </c>
      <c r="AI96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{"issue":{"subject":"","project_id":79,"tracker_id":40,"status_id":1,"priority_id":2,"assigned_to_id":338,"start_date":"2017-09-21","description":"","custom_fields":[{"id":1,"name":"Subdivision","value":"EC"},{"id":4,"name":"Milepost","value":"0.0907"},{"id":17,"name":"Train ID","value":"184-21"},{"id":16,"name":"Locomotive ID","value":"4051"},{"id":130,"name":"Impact","value":""},{"id":150,"name":"Time of Event (Mountain Time)","value":"15:36:57"},{"id":151,"name":"Denver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56"/>
        <v>start /low /b %USERPROFILE%\Documents\GitHub\eaglep3\Utilities\DownloadLogsFromS3.py --loco 4051 --day 2017-09-21</v>
      </c>
      <c r="AN96" s="151" t="str">
        <f t="shared" si="57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21:36:57"},{"id":29,"name":"Sharepoint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58"/>
        <v>https://d0f6bd738d7f1b3e5a7ca70fe4ff75f0.us-east-1.aws.found.io/app/kibana#/discover/Steve-Slow-Train-Analysis-(2080s-and-2083s)?_g=(refreshInterval:(display:Off,pause:!f,section:0,value:0),time:(from:'2017-09-21T13:48:58-0600',mode:absolute,to:'2017-09-21T16:36:57-0600'))&amp;_a=(columns:!('Message%20ID',Summary),filters:!(),index:'emp_*',interval:auto,query:(query_string:(analyze_wildcard:!t,query:'Message%5C+ID:(*)+AND+%22rtdc.l.rtdc.4051%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729</v>
      </c>
      <c r="B97" s="7">
        <v>4030</v>
      </c>
      <c r="C97" s="21" t="s">
        <v>196</v>
      </c>
      <c r="D97" s="21" t="s">
        <v>866</v>
      </c>
      <c r="E97" s="13">
        <v>42999.590219907404</v>
      </c>
      <c r="F97" s="13">
        <v>42999.593912037039</v>
      </c>
      <c r="G97" s="7">
        <v>67</v>
      </c>
      <c r="H97" s="21" t="s">
        <v>433</v>
      </c>
      <c r="I97" s="13">
        <v>42999.618854166663</v>
      </c>
      <c r="J97" s="7">
        <v>0</v>
      </c>
      <c r="K97" s="89" t="str">
        <f t="shared" si="40"/>
        <v>4029/4030</v>
      </c>
      <c r="L97" s="185" t="str">
        <f>VLOOKUP(A97,'Trips&amp;Operators'!$C$1:$G$99911,5,FALSE)</f>
        <v>BADERTSCHER DIANE</v>
      </c>
      <c r="M97" s="6">
        <f t="shared" si="41"/>
        <v>2.4942129624832887E-2</v>
      </c>
      <c r="N97" s="7">
        <f t="shared" si="42"/>
        <v>35.916666659759358</v>
      </c>
      <c r="O97" s="7"/>
      <c r="P97" s="7"/>
      <c r="Q97" s="22"/>
      <c r="R97" s="174"/>
      <c r="S97" s="221">
        <f t="shared" si="43"/>
        <v>1</v>
      </c>
      <c r="T97" s="174" t="str">
        <f t="shared" si="44"/>
        <v>NorthBound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 t="shared" si="45"/>
        <v>https://d0f6bd738d7f1b3e5a7ca70fe4ff75f0.us-east-1.aws.found.io/app/kibana#/discover/Steve-Slow-Train-Analysis-(2080s-and-2083s)?_g=(refreshInterval:(display:Off,pause:!f,section:0,value:0),time:(from:'2017-09-21T13:09:55-0600',mode:absolute,to:'2017-09-21T15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7" s="204" t="str">
        <f>IF(AA97&lt;VLOOKUP(AG97,Variables!$AC$3:$AD$8,2,FALSE),"Y","N")</f>
        <v>N</v>
      </c>
      <c r="X97" s="204">
        <f t="shared" si="46"/>
        <v>1</v>
      </c>
      <c r="Y97" s="204">
        <f t="shared" si="47"/>
        <v>6.3500000000000001E-2</v>
      </c>
      <c r="Z97" s="204">
        <f t="shared" si="48"/>
        <v>23.3325</v>
      </c>
      <c r="AA97" s="204">
        <f t="shared" si="49"/>
        <v>23.268999999999998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 t="shared" si="50"/>
        <v>185</v>
      </c>
      <c r="AE97" s="77" t="str">
        <f t="shared" si="51"/>
        <v>aws s3 cp s3://rtdc.mdm.uploadarchive.raw/RTDC4030/ "%USERPROFILE%\AppData\Local\Temp\OnboardLogs"\RTDC4030\2017-09-21 --exclude "*" --recursive --include "*20170921*" &amp; "%USERPROFILE%\Documents\GitHub\mrs-test-scripts\Headless Mode &amp; Sideloading\WalkAndUnGZ.bat" "%USERPROFILE%\AppData\Local\Temp\OnboardLogs"\RTDC4030\2017-09-21 &amp; aws s3 cp s3://rtdc.mdm.uploadarchive.raw/RTDC4030/ "%USERPROFILE%\AppData\Local\Temp\OnboardLogs"\RTDC4030\2017-09-22 --exclude "*" --recursive --include "*20170922*" &amp; "%USERPROFILE%\Documents\GitHub\mrs-test-scripts\Headless Mode &amp; Sideloading\WalkAndUnGZ.bat" "%USERPROFILE%\AppData\Local\Temp\OnboardLogs"\RTDC4030\2017-09-22</v>
      </c>
      <c r="AF97" s="74" t="str">
        <f t="shared" si="52"/>
        <v>"C:\Program Files (x86)\AstroGrep\AstroGrep.exe" /e /r /s /spath="%USERPROFILE%\AppData\Local\Temp\OnboardLogs" /stypes="app*4030*20170921*" /stext=" 20:.+((SYSTEM_STATE.+slice.+state.+changed )|(ment ac)|(multiple cpu faults)|(system.+state.+changed )|(\[timeout)|(PRM\|1\|D)|(kpr)|(kdp)|(train st.+moving)|(\|lc)|(penalty))"</v>
      </c>
      <c r="AG97" s="182" t="str">
        <f t="shared" si="53"/>
        <v>EC</v>
      </c>
      <c r="AH97" s="78" t="str">
        <f t="shared" si="54"/>
        <v>"%USERPROFILE%\Documents\GitHub\eaglep3\Utilities\RefineRTDCRunTimes.py" --tripid 185-21 --locoid 4030 --swversion DE.1.0.9.0 --startMP 204:635 --initTime 2017-09-21T14:09:55 --startdatetime 2017-09-21T14:15:14 --delay 67 --endMP 204:233325 --enddatetime 2017-09-21T14:51:09 --enforcementcount 0 &gt;&gt;c:\users\stu\Documents\GitHub\eaglep3-reporting\EC\2017-09-21-refined-times.txt</v>
      </c>
      <c r="AI97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{"issue":{"subject":"","project_id":79,"tracker_id":40,"status_id":1,"priority_id":2,"assigned_to_id":338,"start_date":"2017-09-21","description":"","custom_fields":[{"id":1,"name":"Subdivision","value":"EC"},{"id":4,"name":"Milepost","value":"23.3325"},{"id":17,"name":"Train ID","value":"185-21"},{"id":16,"name":"Locomotive ID","value":"4030"},{"id":130,"name":"Impact","value":""},{"id":150,"name":"Time of Event (Mountain Time)","value":"14:51:09"},{"id":151,"name":"Denver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56"/>
        <v>start /low /b %USERPROFILE%\Documents\GitHub\eaglep3\Utilities\DownloadLogsFromS3.py --loco 4030 --day 2017-09-21</v>
      </c>
      <c r="AN97" s="151" t="str">
        <f t="shared" si="57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20:51:09"},{"id":29,"name":"Sharepoint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58"/>
        <v>https://d0f6bd738d7f1b3e5a7ca70fe4ff75f0.us-east-1.aws.found.io/app/kibana#/discover/Steve-Slow-Train-Analysis-(2080s-and-2083s)?_g=(refreshInterval:(display:Off,pause:!f,section:0,value:0),time:(from:'2017-09-21T13:09:55-0600',mode:absolute,to:'2017-09-21T15:51:09-0600'))&amp;_a=(columns:!('Message%20ID',Summary),filters:!(),index:'emp_*',interval:auto,query:(query_string:(analyze_wildcard:!t,query:'Message%5C+ID:(*)+AND+%22rtdc.l.rtdc.4030%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610</v>
      </c>
      <c r="B98" s="7">
        <v>4029</v>
      </c>
      <c r="C98" s="21" t="s">
        <v>196</v>
      </c>
      <c r="D98" s="21" t="s">
        <v>443</v>
      </c>
      <c r="E98" s="13">
        <v>42999.626238425924</v>
      </c>
      <c r="F98" s="13">
        <v>42999.63349537037</v>
      </c>
      <c r="G98" s="7">
        <v>60</v>
      </c>
      <c r="H98" s="21" t="s">
        <v>867</v>
      </c>
      <c r="I98" s="13">
        <v>42999.661458333336</v>
      </c>
      <c r="J98" s="7">
        <v>0</v>
      </c>
      <c r="K98" s="89" t="str">
        <f t="shared" si="40"/>
        <v>4029/4030</v>
      </c>
      <c r="L98" s="185" t="str">
        <f>VLOOKUP(A98,'Trips&amp;Operators'!$C$1:$G$99911,5,FALSE)</f>
        <v>BADERTSCHER DIANE</v>
      </c>
      <c r="M98" s="6">
        <f t="shared" si="41"/>
        <v>2.7962962965830229E-2</v>
      </c>
      <c r="N98" s="7">
        <f t="shared" si="42"/>
        <v>40.26666667079553</v>
      </c>
      <c r="O98" s="7"/>
      <c r="P98" s="7"/>
      <c r="Q98" s="22"/>
      <c r="R98" s="174"/>
      <c r="S98" s="221">
        <f t="shared" si="43"/>
        <v>1</v>
      </c>
      <c r="T98" s="174" t="str">
        <f t="shared" si="44"/>
        <v>Southbound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 t="shared" si="45"/>
        <v>https://d0f6bd738d7f1b3e5a7ca70fe4ff75f0.us-east-1.aws.found.io/app/kibana#/discover/Steve-Slow-Train-Analysis-(2080s-and-2083s)?_g=(refreshInterval:(display:Off,pause:!f,section:0,value:0),time:(from:'2017-09-21T14:01:47-0600',mode:absolute,to:'2017-09-21T16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8" s="204" t="str">
        <f>IF(AA98&lt;VLOOKUP(AG98,Variables!$AC$3:$AD$8,2,FALSE),"Y","N")</f>
        <v>N</v>
      </c>
      <c r="X98" s="204">
        <f t="shared" si="46"/>
        <v>1</v>
      </c>
      <c r="Y98" s="204">
        <f t="shared" si="47"/>
        <v>23.300599999999999</v>
      </c>
      <c r="Z98" s="204">
        <f t="shared" si="48"/>
        <v>1.21E-2</v>
      </c>
      <c r="AA98" s="204">
        <f t="shared" si="49"/>
        <v>23.288499999999999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 t="shared" si="50"/>
        <v>186</v>
      </c>
      <c r="AE98" s="77" t="str">
        <f t="shared" si="51"/>
        <v>aws s3 cp s3://rtdc.mdm.uploadarchive.raw/RTDC4029/ "%USERPROFILE%\AppData\Local\Temp\OnboardLogs"\RTDC4029\2017-09-21 --exclude "*" --recursive --include "*20170921*" &amp; "%USERPROFILE%\Documents\GitHub\mrs-test-scripts\Headless Mode &amp; Sideloading\WalkAndUnGZ.bat" "%USERPROFILE%\AppData\Local\Temp\OnboardLogs"\RTDC4029\2017-09-21 &amp; aws s3 cp s3://rtdc.mdm.uploadarchive.raw/RTDC4029/ "%USERPROFILE%\AppData\Local\Temp\OnboardLogs"\RTDC4029\2017-09-22 --exclude "*" --recursive --include "*20170922*" &amp; "%USERPROFILE%\Documents\GitHub\mrs-test-scripts\Headless Mode &amp; Sideloading\WalkAndUnGZ.bat" "%USERPROFILE%\AppData\Local\Temp\OnboardLogs"\RTDC4029\2017-09-22</v>
      </c>
      <c r="AF98" s="74" t="str">
        <f t="shared" si="52"/>
        <v>"C:\Program Files (x86)\AstroGrep\AstroGrep.exe" /e /r /s /spath="%USERPROFILE%\AppData\Local\Temp\OnboardLogs" /stypes="app*4029*20170921*" /stext=" 21:.+((SYSTEM_STATE.+slice.+state.+changed )|(ment ac)|(multiple cpu faults)|(system.+state.+changed )|(\[timeout)|(PRM\|1\|D)|(kpr)|(kdp)|(train st.+moving)|(\|lc)|(penalty))"</v>
      </c>
      <c r="AG98" s="182" t="str">
        <f t="shared" si="53"/>
        <v>EC</v>
      </c>
      <c r="AH98" s="78" t="str">
        <f t="shared" si="54"/>
        <v>"%USERPROFILE%\Documents\GitHub\eaglep3\Utilities\RefineRTDCRunTimes.py" --tripid 186-21 --locoid 4029 --swversion DE.1.0.9.0 --startMP 204:233006 --initTime 2017-09-21T15:01:47 --startdatetime 2017-09-21T15:12:14 --delay 60 --endMP 204:121 --enddatetime 2017-09-21T15:52:30 --enforcementcount 0 &gt;&gt;c:\users\stu\Documents\GitHub\eaglep3-reporting\EC\2017-09-21-refined-times.txt</v>
      </c>
      <c r="AI98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{"issue":{"subject":"","project_id":79,"tracker_id":40,"status_id":1,"priority_id":2,"assigned_to_id":338,"start_date":"2017-09-21","description":"","custom_fields":[{"id":1,"name":"Subdivision","value":"EC"},{"id":4,"name":"Milepost","value":"0.0121"},{"id":17,"name":"Train ID","value":"186-21"},{"id":16,"name":"Locomotive ID","value":"4029"},{"id":130,"name":"Impact","value":""},{"id":150,"name":"Time of Event (Mountain Time)","value":"15:52:30"},{"id":151,"name":"Denver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56"/>
        <v>start /low /b %USERPROFILE%\Documents\GitHub\eaglep3\Utilities\DownloadLogsFromS3.py --loco 4029 --day 2017-09-21</v>
      </c>
      <c r="AN98" s="151" t="str">
        <f t="shared" si="57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21:52:30"},{"id":29,"name":"Sharepoint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58"/>
        <v>https://d0f6bd738d7f1b3e5a7ca70fe4ff75f0.us-east-1.aws.found.io/app/kibana#/discover/Steve-Slow-Train-Analysis-(2080s-and-2083s)?_g=(refreshInterval:(display:Off,pause:!f,section:0,value:0),time:(from:'2017-09-21T14:01:47-0600',mode:absolute,to:'2017-09-21T16:52:30-0600'))&amp;_a=(columns:!('Message%20ID',Summary),filters:!(),index:'emp_*',interval:auto,query:(query_string:(analyze_wildcard:!t,query:'Message%5C+ID:(*)+AND+%22rtdc.l.rtdc.4029%22')),sort:!(Time.ISO8601,asc))</v>
      </c>
    </row>
    <row r="99" spans="1:91" s="20" customFormat="1" x14ac:dyDescent="0.25">
      <c r="A99" s="32" t="s">
        <v>732</v>
      </c>
      <c r="B99" s="7">
        <v>4006</v>
      </c>
      <c r="C99" s="21" t="s">
        <v>196</v>
      </c>
      <c r="D99" s="21" t="s">
        <v>399</v>
      </c>
      <c r="E99" s="13">
        <v>42999.597951388889</v>
      </c>
      <c r="F99" s="13">
        <v>42999.60434027778</v>
      </c>
      <c r="G99" s="7">
        <v>64</v>
      </c>
      <c r="H99" s="21" t="s">
        <v>989</v>
      </c>
      <c r="I99" s="13">
        <v>42999.629699074074</v>
      </c>
      <c r="J99" s="7">
        <v>0</v>
      </c>
      <c r="K99" s="89" t="str">
        <f t="shared" si="40"/>
        <v>4005/4006</v>
      </c>
      <c r="L99" s="185" t="str">
        <f>VLOOKUP(A99,'Trips&amp;Operators'!$C$1:$G$99911,5,FALSE)</f>
        <v>HOLCOMB KAMDEN</v>
      </c>
      <c r="M99" s="6">
        <f t="shared" si="41"/>
        <v>2.5358796294312924E-2</v>
      </c>
      <c r="N99" s="7">
        <f t="shared" si="42"/>
        <v>36.516666663810611</v>
      </c>
      <c r="O99" s="7"/>
      <c r="P99" s="7"/>
      <c r="Q99" s="22"/>
      <c r="R99" s="174"/>
      <c r="S99" s="221">
        <f t="shared" si="43"/>
        <v>1</v>
      </c>
      <c r="T99" s="174" t="str">
        <f t="shared" si="44"/>
        <v>NorthBound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 t="shared" si="45"/>
        <v>https://d0f6bd738d7f1b3e5a7ca70fe4ff75f0.us-east-1.aws.found.io/app/kibana#/discover/Steve-Slow-Train-Analysis-(2080s-and-2083s)?_g=(refreshInterval:(display:Off,pause:!f,section:0,value:0),time:(from:'2017-09-21T13:21:03-0600',mode:absolute,to:'2017-09-21T16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9" s="204" t="str">
        <f>IF(AA99&lt;VLOOKUP(AG99,Variables!$AC$3:$AD$8,2,FALSE),"Y","N")</f>
        <v>N</v>
      </c>
      <c r="X99" s="204">
        <f t="shared" si="46"/>
        <v>1</v>
      </c>
      <c r="Y99" s="204">
        <f t="shared" si="47"/>
        <v>4.5100000000000001E-2</v>
      </c>
      <c r="Z99" s="204">
        <f t="shared" si="48"/>
        <v>23.330300000000001</v>
      </c>
      <c r="AA99" s="204">
        <f t="shared" si="49"/>
        <v>23.2852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 t="shared" si="50"/>
        <v>187</v>
      </c>
      <c r="AE99" s="77" t="str">
        <f t="shared" si="51"/>
        <v>aws s3 cp s3://rtdc.mdm.uploadarchive.raw/RTDC4006/ "%USERPROFILE%\AppData\Local\Temp\OnboardLogs"\RTDC4006\2017-09-21 --exclude "*" --recursive --include "*20170921*" &amp; "%USERPROFILE%\Documents\GitHub\mrs-test-scripts\Headless Mode &amp; Sideloading\WalkAndUnGZ.bat" "%USERPROFILE%\AppData\Local\Temp\OnboardLogs"\RTDC4006\2017-09-21 &amp; aws s3 cp s3://rtdc.mdm.uploadarchive.raw/RTDC4006/ "%USERPROFILE%\AppData\Local\Temp\OnboardLogs"\RTDC4006\2017-09-22 --exclude "*" --recursive --include "*20170922*" &amp; "%USERPROFILE%\Documents\GitHub\mrs-test-scripts\Headless Mode &amp; Sideloading\WalkAndUnGZ.bat" "%USERPROFILE%\AppData\Local\Temp\OnboardLogs"\RTDC4006\2017-09-22</v>
      </c>
      <c r="AF99" s="74" t="str">
        <f t="shared" si="52"/>
        <v>"C:\Program Files (x86)\AstroGrep\AstroGrep.exe" /e /r /s /spath="%USERPROFILE%\AppData\Local\Temp\OnboardLogs" /stypes="app*4006*20170921*" /stext=" 21:.+((SYSTEM_STATE.+slice.+state.+changed )|(ment ac)|(multiple cpu faults)|(system.+state.+changed )|(\[timeout)|(PRM\|1\|D)|(kpr)|(kdp)|(train st.+moving)|(\|lc)|(penalty))"</v>
      </c>
      <c r="AG99" s="182" t="str">
        <f t="shared" si="53"/>
        <v>EC</v>
      </c>
      <c r="AH99" s="78" t="str">
        <f t="shared" si="54"/>
        <v>"%USERPROFILE%\Documents\GitHub\eaglep3\Utilities\RefineRTDCRunTimes.py" --tripid 187-21 --locoid 4006 --swversion DE.1.0.9.0 --startMP 204:451 --initTime 2017-09-21T14:21:03 --startdatetime 2017-09-21T14:30:15 --delay 64 --endMP 204:233303 --enddatetime 2017-09-21T15:06:46 --enforcementcount 0 &gt;&gt;c:\users\stu\Documents\GitHub\eaglep3-reporting\EC\2017-09-21-refined-times.txt</v>
      </c>
      <c r="AI99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{"issue":{"subject":"","project_id":79,"tracker_id":40,"status_id":1,"priority_id":2,"assigned_to_id":338,"start_date":"2017-09-21","description":"","custom_fields":[{"id":1,"name":"Subdivision","value":"EC"},{"id":4,"name":"Milepost","value":"23.3303"},{"id":17,"name":"Train ID","value":"187-21"},{"id":16,"name":"Locomotive ID","value":"4006"},{"id":130,"name":"Impact","value":""},{"id":150,"name":"Time of Event (Mountain Time)","value":"15:06:46"},{"id":151,"name":"Denver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56"/>
        <v>start /low /b %USERPROFILE%\Documents\GitHub\eaglep3\Utilities\DownloadLogsFromS3.py --loco 4006 --day 2017-09-21</v>
      </c>
      <c r="AN99" s="151" t="str">
        <f t="shared" si="57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21:06:46"},{"id":29,"name":"Sharepoint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58"/>
        <v>https://d0f6bd738d7f1b3e5a7ca70fe4ff75f0.us-east-1.aws.found.io/app/kibana#/discover/Steve-Slow-Train-Analysis-(2080s-and-2083s)?_g=(refreshInterval:(display:Off,pause:!f,section:0,value:0),time:(from:'2017-09-21T13:21:03-0600',mode:absolute,to:'2017-09-21T16:06:46-0600'))&amp;_a=(columns:!('Message%20ID',Summary),filters:!(),index:'emp_*',interval:auto,query:(query_string:(analyze_wildcard:!t,query:'Message%5C+ID:(*)+AND+%22rtdc.l.rtdc.4006%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741</v>
      </c>
      <c r="B100" s="7">
        <v>4005</v>
      </c>
      <c r="C100" s="21" t="s">
        <v>196</v>
      </c>
      <c r="D100" s="21" t="s">
        <v>470</v>
      </c>
      <c r="E100" s="13">
        <v>42999.640833333331</v>
      </c>
      <c r="F100" s="13">
        <v>42999.644270833334</v>
      </c>
      <c r="G100" s="7">
        <v>67</v>
      </c>
      <c r="H100" s="21" t="s">
        <v>339</v>
      </c>
      <c r="I100" s="13">
        <v>42999.669849537036</v>
      </c>
      <c r="J100" s="7">
        <v>0</v>
      </c>
      <c r="K100" s="89" t="str">
        <f t="shared" si="40"/>
        <v>4005/4006</v>
      </c>
      <c r="L100" s="185" t="str">
        <f>VLOOKUP(A100,'Trips&amp;Operators'!$C$1:$G$99911,5,FALSE)</f>
        <v>HOLCOMB KAMDEN</v>
      </c>
      <c r="M100" s="6">
        <f t="shared" si="41"/>
        <v>2.5578703702194616E-2</v>
      </c>
      <c r="N100" s="7">
        <f t="shared" si="42"/>
        <v>36.833333331160247</v>
      </c>
      <c r="O100" s="7"/>
      <c r="P100" s="7"/>
      <c r="Q100" s="22"/>
      <c r="R100" s="174"/>
      <c r="S100" s="221">
        <f t="shared" si="43"/>
        <v>1</v>
      </c>
      <c r="T100" s="174" t="str">
        <f t="shared" si="44"/>
        <v>Southbound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 t="shared" si="45"/>
        <v>https://d0f6bd738d7f1b3e5a7ca70fe4ff75f0.us-east-1.aws.found.io/app/kibana#/discover/Steve-Slow-Train-Analysis-(2080s-and-2083s)?_g=(refreshInterval:(display:Off,pause:!f,section:0,value:0),time:(from:'2017-09-21T14:22:48-0600',mode:absolute,to:'2017-09-21T17:04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0" s="204" t="str">
        <f>IF(AA100&lt;VLOOKUP(AG100,Variables!$AC$3:$AD$8,2,FALSE),"Y","N")</f>
        <v>N</v>
      </c>
      <c r="X100" s="204">
        <f t="shared" si="46"/>
        <v>1</v>
      </c>
      <c r="Y100" s="204">
        <f t="shared" si="47"/>
        <v>23.2988</v>
      </c>
      <c r="Z100" s="204">
        <f t="shared" si="48"/>
        <v>1.43E-2</v>
      </c>
      <c r="AA100" s="204">
        <f t="shared" si="49"/>
        <v>23.284500000000001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 t="shared" si="50"/>
        <v>188</v>
      </c>
      <c r="AE100" s="77" t="str">
        <f t="shared" si="51"/>
        <v>aws s3 cp s3://rtdc.mdm.uploadarchive.raw/RTDC4005/ "%USERPROFILE%\AppData\Local\Temp\OnboardLogs"\RTDC4005\2017-09-21 --exclude "*" --recursive --include "*20170921*" &amp; "%USERPROFILE%\Documents\GitHub\mrs-test-scripts\Headless Mode &amp; Sideloading\WalkAndUnGZ.bat" "%USERPROFILE%\AppData\Local\Temp\OnboardLogs"\RTDC4005\2017-09-21 &amp; aws s3 cp s3://rtdc.mdm.uploadarchive.raw/RTDC4005/ "%USERPROFILE%\AppData\Local\Temp\OnboardLogs"\RTDC4005\2017-09-22 --exclude "*" --recursive --include "*20170922*" &amp; "%USERPROFILE%\Documents\GitHub\mrs-test-scripts\Headless Mode &amp; Sideloading\WalkAndUnGZ.bat" "%USERPROFILE%\AppData\Local\Temp\OnboardLogs"\RTDC4005\2017-09-22</v>
      </c>
      <c r="AF100" s="74" t="str">
        <f t="shared" si="52"/>
        <v>"C:\Program Files (x86)\AstroGrep\AstroGrep.exe" /e /r /s /spath="%USERPROFILE%\AppData\Local\Temp\OnboardLogs" /stypes="app*4005*20170921*" /stext=" 22:.+((SYSTEM_STATE.+slice.+state.+changed )|(ment ac)|(multiple cpu faults)|(system.+state.+changed )|(\[timeout)|(PRM\|1\|D)|(kpr)|(kdp)|(train st.+moving)|(\|lc)|(penalty))"</v>
      </c>
      <c r="AG100" s="182" t="str">
        <f t="shared" si="53"/>
        <v>EC</v>
      </c>
      <c r="AH100" s="78" t="str">
        <f t="shared" si="54"/>
        <v>"%USERPROFILE%\Documents\GitHub\eaglep3\Utilities\RefineRTDCRunTimes.py" --tripid 188-21 --locoid 4005 --swversion DE.1.0.9.0 --startMP 204:232988 --initTime 2017-09-21T15:22:48 --startdatetime 2017-09-21T15:27:45 --delay 67 --endMP 204:143 --enddatetime 2017-09-21T16:04:35 --enforcementcount 0 &gt;&gt;c:\users\stu\Documents\GitHub\eaglep3-reporting\EC\2017-09-21-refined-times.txt</v>
      </c>
      <c r="AI100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{"issue":{"subject":"","project_id":79,"tracker_id":40,"status_id":1,"priority_id":2,"assigned_to_id":338,"start_date":"2017-09-21","description":"","custom_fields":[{"id":1,"name":"Subdivision","value":"EC"},{"id":4,"name":"Milepost","value":"0.0143"},{"id":17,"name":"Train ID","value":"188-21"},{"id":16,"name":"Locomotive ID","value":"4005"},{"id":130,"name":"Impact","value":""},{"id":150,"name":"Time of Event (Mountain Time)","value":"16:04:35"},{"id":151,"name":"Denver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56"/>
        <v>start /low /b %USERPROFILE%\Documents\GitHub\eaglep3\Utilities\DownloadLogsFromS3.py --loco 4005 --day 2017-09-21</v>
      </c>
      <c r="AN100" s="151" t="str">
        <f t="shared" si="57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22:04:35"},{"id":29,"name":"Sharepoint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58"/>
        <v>https://d0f6bd738d7f1b3e5a7ca70fe4ff75f0.us-east-1.aws.found.io/app/kibana#/discover/Steve-Slow-Train-Analysis-(2080s-and-2083s)?_g=(refreshInterval:(display:Off,pause:!f,section:0,value:0),time:(from:'2017-09-21T14:22:48-0600',mode:absolute,to:'2017-09-21T17:04:35-0600'))&amp;_a=(columns:!('Message%20ID',Summary),filters:!(),index:'emp_*',interval:auto,query:(query_string:(analyze_wildcard:!t,query:'Message%5C+ID:(*)+AND+%22rtdc.l.rtdc.4005%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734</v>
      </c>
      <c r="B101" s="7">
        <v>4014</v>
      </c>
      <c r="C101" s="21" t="s">
        <v>196</v>
      </c>
      <c r="D101" s="21" t="s">
        <v>370</v>
      </c>
      <c r="E101" s="13">
        <v>42999.609166666669</v>
      </c>
      <c r="F101" s="13">
        <v>42999.614756944444</v>
      </c>
      <c r="G101" s="7">
        <v>64</v>
      </c>
      <c r="H101" s="21" t="s">
        <v>439</v>
      </c>
      <c r="I101" s="13">
        <v>42999.639143518521</v>
      </c>
      <c r="J101" s="7">
        <v>0</v>
      </c>
      <c r="K101" s="89" t="str">
        <f t="shared" si="40"/>
        <v>4013/4014</v>
      </c>
      <c r="L101" s="185" t="str">
        <f>VLOOKUP(A101,'Trips&amp;Operators'!$C$1:$G$99911,5,FALSE)</f>
        <v>DELGADO DIANAH</v>
      </c>
      <c r="M101" s="6">
        <f t="shared" si="41"/>
        <v>2.4386574077652767E-2</v>
      </c>
      <c r="N101" s="7">
        <f t="shared" si="42"/>
        <v>35.116666671819985</v>
      </c>
      <c r="O101" s="7"/>
      <c r="P101" s="7"/>
      <c r="Q101" s="22"/>
      <c r="R101" s="174"/>
      <c r="S101" s="221">
        <f t="shared" si="43"/>
        <v>1</v>
      </c>
      <c r="T101" s="174" t="str">
        <f t="shared" si="44"/>
        <v>NorthBound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 t="shared" si="45"/>
        <v>https://d0f6bd738d7f1b3e5a7ca70fe4ff75f0.us-east-1.aws.found.io/app/kibana#/discover/Steve-Slow-Train-Analysis-(2080s-and-2083s)?_g=(refreshInterval:(display:Off,pause:!f,section:0,value:0),time:(from:'2017-09-21T13:37:12-0600',mode:absolute,to:'2017-09-21T16:20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1" s="204" t="str">
        <f>IF(AA101&lt;VLOOKUP(AG101,Variables!$AC$3:$AD$8,2,FALSE),"Y","N")</f>
        <v>N</v>
      </c>
      <c r="X101" s="204">
        <f t="shared" si="46"/>
        <v>1</v>
      </c>
      <c r="Y101" s="204">
        <f t="shared" si="47"/>
        <v>4.6699999999999998E-2</v>
      </c>
      <c r="Z101" s="204">
        <f t="shared" si="48"/>
        <v>23.330200000000001</v>
      </c>
      <c r="AA101" s="204">
        <f t="shared" si="49"/>
        <v>23.2835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 t="shared" si="50"/>
        <v>189</v>
      </c>
      <c r="AE101" s="77" t="str">
        <f t="shared" si="51"/>
        <v>aws s3 cp s3://rtdc.mdm.uploadarchive.raw/RTDC4014/ "%USERPROFILE%\AppData\Local\Temp\OnboardLogs"\RTDC4014\2017-09-21 --exclude "*" --recursive --include "*20170921*" &amp; "%USERPROFILE%\Documents\GitHub\mrs-test-scripts\Headless Mode &amp; Sideloading\WalkAndUnGZ.bat" "%USERPROFILE%\AppData\Local\Temp\OnboardLogs"\RTDC4014\2017-09-21 &amp; aws s3 cp s3://rtdc.mdm.uploadarchive.raw/RTDC4014/ "%USERPROFILE%\AppData\Local\Temp\OnboardLogs"\RTDC4014\2017-09-22 --exclude "*" --recursive --include "*20170922*" &amp; "%USERPROFILE%\Documents\GitHub\mrs-test-scripts\Headless Mode &amp; Sideloading\WalkAndUnGZ.bat" "%USERPROFILE%\AppData\Local\Temp\OnboardLogs"\RTDC4014\2017-09-22</v>
      </c>
      <c r="AF101" s="74" t="str">
        <f t="shared" si="52"/>
        <v>"C:\Program Files (x86)\AstroGrep\AstroGrep.exe" /e /r /s /spath="%USERPROFILE%\AppData\Local\Temp\OnboardLogs" /stypes="app*4014*20170921*" /stext=" 21:.+((SYSTEM_STATE.+slice.+state.+changed )|(ment ac)|(multiple cpu faults)|(system.+state.+changed )|(\[timeout)|(PRM\|1\|D)|(kpr)|(kdp)|(train st.+moving)|(\|lc)|(penalty))"</v>
      </c>
      <c r="AG101" s="182" t="str">
        <f t="shared" si="53"/>
        <v>EC</v>
      </c>
      <c r="AH101" s="78" t="str">
        <f t="shared" si="54"/>
        <v>"%USERPROFILE%\Documents\GitHub\eaglep3\Utilities\RefineRTDCRunTimes.py" --tripid 189-21 --locoid 4014 --swversion DE.1.0.9.0 --startMP 204:467 --initTime 2017-09-21T14:37:12 --startdatetime 2017-09-21T14:45:15 --delay 64 --endMP 204:233302 --enddatetime 2017-09-21T15:20:22 --enforcementcount 0 &gt;&gt;c:\users\stu\Documents\GitHub\eaglep3-reporting\EC\2017-09-21-refined-times.txt</v>
      </c>
      <c r="AI101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{"issue":{"subject":"","project_id":79,"tracker_id":40,"status_id":1,"priority_id":2,"assigned_to_id":338,"start_date":"2017-09-21","description":"","custom_fields":[{"id":1,"name":"Subdivision","value":"EC"},{"id":4,"name":"Milepost","value":"23.3302"},{"id":17,"name":"Train ID","value":"189-21"},{"id":16,"name":"Locomotive ID","value":"4014"},{"id":130,"name":"Impact","value":""},{"id":150,"name":"Time of Event (Mountain Time)","value":"15:20:22"},{"id":151,"name":"Denver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56"/>
        <v>start /low /b %USERPROFILE%\Documents\GitHub\eaglep3\Utilities\DownloadLogsFromS3.py --loco 4014 --day 2017-09-21</v>
      </c>
      <c r="AN101" s="151" t="str">
        <f t="shared" si="57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21:20:22"},{"id":29,"name":"Sharepoint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58"/>
        <v>https://d0f6bd738d7f1b3e5a7ca70fe4ff75f0.us-east-1.aws.found.io/app/kibana#/discover/Steve-Slow-Train-Analysis-(2080s-and-2083s)?_g=(refreshInterval:(display:Off,pause:!f,section:0,value:0),time:(from:'2017-09-21T13:37:12-0600',mode:absolute,to:'2017-09-21T16:20:22-0600'))&amp;_a=(columns:!('Message%20ID',Summary),filters:!(),index:'emp_*',interval:auto,query:(query_string:(analyze_wildcard:!t,query:'Message%5C+ID:(*)+AND+%22rtdc.l.rtdc.4014%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746</v>
      </c>
      <c r="B102" s="7">
        <v>4013</v>
      </c>
      <c r="C102" s="21" t="s">
        <v>196</v>
      </c>
      <c r="D102" s="21" t="s">
        <v>406</v>
      </c>
      <c r="E102" s="13">
        <v>42999.650277777779</v>
      </c>
      <c r="F102" s="13">
        <v>42999.654479166667</v>
      </c>
      <c r="G102" s="7">
        <v>81</v>
      </c>
      <c r="H102" s="21" t="s">
        <v>338</v>
      </c>
      <c r="I102" s="13">
        <v>42999.679664351854</v>
      </c>
      <c r="J102" s="7">
        <v>0</v>
      </c>
      <c r="K102" s="89" t="str">
        <f t="shared" si="40"/>
        <v>4013/4014</v>
      </c>
      <c r="L102" s="185" t="str">
        <f>VLOOKUP(A102,'Trips&amp;Operators'!$C$1:$G$99911,5,FALSE)</f>
        <v>DELGADO DIANAH</v>
      </c>
      <c r="M102" s="6">
        <f t="shared" si="41"/>
        <v>2.5185185186273884E-2</v>
      </c>
      <c r="N102" s="7">
        <f t="shared" si="42"/>
        <v>36.266666668234393</v>
      </c>
      <c r="O102" s="7"/>
      <c r="P102" s="7"/>
      <c r="Q102" s="22"/>
      <c r="R102" s="174"/>
      <c r="S102" s="221">
        <f t="shared" si="43"/>
        <v>1</v>
      </c>
      <c r="T102" s="174" t="str">
        <f t="shared" si="44"/>
        <v>Southbound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 t="shared" si="45"/>
        <v>https://d0f6bd738d7f1b3e5a7ca70fe4ff75f0.us-east-1.aws.found.io/app/kibana#/discover/Steve-Slow-Train-Analysis-(2080s-and-2083s)?_g=(refreshInterval:(display:Off,pause:!f,section:0,value:0),time:(from:'2017-09-21T14:36:24-0600',mode:absolute,to:'2017-09-21T17:18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2" s="204" t="str">
        <f>IF(AA102&lt;VLOOKUP(AG102,Variables!$AC$3:$AD$8,2,FALSE),"Y","N")</f>
        <v>N</v>
      </c>
      <c r="X102" s="204">
        <f t="shared" si="46"/>
        <v>1</v>
      </c>
      <c r="Y102" s="204">
        <f t="shared" si="47"/>
        <v>23.301300000000001</v>
      </c>
      <c r="Z102" s="204">
        <f t="shared" si="48"/>
        <v>1.49E-2</v>
      </c>
      <c r="AA102" s="204">
        <f t="shared" si="49"/>
        <v>23.2864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 t="shared" si="50"/>
        <v>190</v>
      </c>
      <c r="AE102" s="77" t="str">
        <f t="shared" si="51"/>
        <v>aws s3 cp s3://rtdc.mdm.uploadarchive.raw/RTDC4013/ "%USERPROFILE%\AppData\Local\Temp\OnboardLogs"\RTDC4013\2017-09-21 --exclude "*" --recursive --include "*20170921*" &amp; "%USERPROFILE%\Documents\GitHub\mrs-test-scripts\Headless Mode &amp; Sideloading\WalkAndUnGZ.bat" "%USERPROFILE%\AppData\Local\Temp\OnboardLogs"\RTDC4013\2017-09-21 &amp; aws s3 cp s3://rtdc.mdm.uploadarchive.raw/RTDC4013/ "%USERPROFILE%\AppData\Local\Temp\OnboardLogs"\RTDC4013\2017-09-22 --exclude "*" --recursive --include "*20170922*" &amp; "%USERPROFILE%\Documents\GitHub\mrs-test-scripts\Headless Mode &amp; Sideloading\WalkAndUnGZ.bat" "%USERPROFILE%\AppData\Local\Temp\OnboardLogs"\RTDC4013\2017-09-22</v>
      </c>
      <c r="AF102" s="74" t="str">
        <f t="shared" si="52"/>
        <v>"C:\Program Files (x86)\AstroGrep\AstroGrep.exe" /e /r /s /spath="%USERPROFILE%\AppData\Local\Temp\OnboardLogs" /stypes="app*4013*20170921*" /stext=" 22:.+((SYSTEM_STATE.+slice.+state.+changed )|(ment ac)|(multiple cpu faults)|(system.+state.+changed )|(\[timeout)|(PRM\|1\|D)|(kpr)|(kdp)|(train st.+moving)|(\|lc)|(penalty))"</v>
      </c>
      <c r="AG102" s="182" t="str">
        <f t="shared" si="53"/>
        <v>EC</v>
      </c>
      <c r="AH102" s="78" t="str">
        <f t="shared" si="54"/>
        <v>"%USERPROFILE%\Documents\GitHub\eaglep3\Utilities\RefineRTDCRunTimes.py" --tripid 190-21 --locoid 4013 --swversion DE.1.0.9.0 --startMP 204:233013 --initTime 2017-09-21T15:36:24 --startdatetime 2017-09-21T15:42:27 --delay 81 --endMP 204:149 --enddatetime 2017-09-21T16:18:43 --enforcementcount 0 &gt;&gt;c:\users\stu\Documents\GitHub\eaglep3-reporting\EC\2017-09-21-refined-times.txt</v>
      </c>
      <c r="AI102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{"issue":{"subject":"","project_id":79,"tracker_id":40,"status_id":1,"priority_id":2,"assigned_to_id":338,"start_date":"2017-09-21","description":"","custom_fields":[{"id":1,"name":"Subdivision","value":"EC"},{"id":4,"name":"Milepost","value":"0.0149"},{"id":17,"name":"Train ID","value":"190-21"},{"id":16,"name":"Locomotive ID","value":"4013"},{"id":130,"name":"Impact","value":""},{"id":150,"name":"Time of Event (Mountain Time)","value":"16:18:43"},{"id":151,"name":"Denver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56"/>
        <v>start /low /b %USERPROFILE%\Documents\GitHub\eaglep3\Utilities\DownloadLogsFromS3.py --loco 4013 --day 2017-09-21</v>
      </c>
      <c r="AN102" s="151" t="str">
        <f t="shared" si="57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22:18:43"},{"id":29,"name":"Sharepoint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58"/>
        <v>https://d0f6bd738d7f1b3e5a7ca70fe4ff75f0.us-east-1.aws.found.io/app/kibana#/discover/Steve-Slow-Train-Analysis-(2080s-and-2083s)?_g=(refreshInterval:(display:Off,pause:!f,section:0,value:0),time:(from:'2017-09-21T14:36:24-0600',mode:absolute,to:'2017-09-21T17:18:43-0600'))&amp;_a=(columns:!('Message%20ID',Summary),filters:!(),index:'emp_*',interval:auto,query:(query_string:(analyze_wildcard:!t,query:'Message%5C+ID:(*)+AND+%22rtdc.l.rtdc.4013%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735</v>
      </c>
      <c r="B103" s="7">
        <v>4010</v>
      </c>
      <c r="C103" s="21" t="s">
        <v>196</v>
      </c>
      <c r="D103" s="21" t="s">
        <v>868</v>
      </c>
      <c r="E103" s="13">
        <v>42999.616354166668</v>
      </c>
      <c r="F103" s="13">
        <v>42999.625254629631</v>
      </c>
      <c r="G103" s="7">
        <v>52</v>
      </c>
      <c r="H103" s="21" t="s">
        <v>465</v>
      </c>
      <c r="I103" s="13">
        <v>42999.650138888886</v>
      </c>
      <c r="J103" s="7">
        <v>0</v>
      </c>
      <c r="K103" s="89" t="str">
        <f t="shared" si="40"/>
        <v>4009/4010</v>
      </c>
      <c r="L103" s="185" t="str">
        <f>VLOOKUP(A103,'Trips&amp;Operators'!$C$1:$G$99911,5,FALSE)</f>
        <v>ROBINSON KADDIBA</v>
      </c>
      <c r="M103" s="6">
        <f t="shared" si="41"/>
        <v>2.488425925548654E-2</v>
      </c>
      <c r="N103" s="7">
        <f t="shared" si="42"/>
        <v>35.833333327900618</v>
      </c>
      <c r="O103" s="7"/>
      <c r="P103" s="7"/>
      <c r="Q103" s="22"/>
      <c r="R103" s="174"/>
      <c r="S103" s="221">
        <f t="shared" si="43"/>
        <v>1</v>
      </c>
      <c r="T103" s="174" t="str">
        <f t="shared" si="44"/>
        <v>NorthBound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 t="shared" si="45"/>
        <v>https://d0f6bd738d7f1b3e5a7ca70fe4ff75f0.us-east-1.aws.found.io/app/kibana#/discover/Steve-Slow-Train-Analysis-(2080s-and-2083s)?_g=(refreshInterval:(display:Off,pause:!f,section:0,value:0),time:(from:'2017-09-21T13:47:33-0600',mode:absolute,to:'2017-09-21T16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3" s="204" t="str">
        <f>IF(AA103&lt;VLOOKUP(AG103,Variables!$AC$3:$AD$8,2,FALSE),"Y","N")</f>
        <v>N</v>
      </c>
      <c r="X103" s="204">
        <f t="shared" si="46"/>
        <v>1</v>
      </c>
      <c r="Y103" s="204">
        <f t="shared" si="47"/>
        <v>0.14810000000000001</v>
      </c>
      <c r="Z103" s="204">
        <f t="shared" si="48"/>
        <v>23.329499999999999</v>
      </c>
      <c r="AA103" s="204">
        <f t="shared" si="49"/>
        <v>23.1814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 t="shared" si="50"/>
        <v>191</v>
      </c>
      <c r="AE103" s="77" t="str">
        <f t="shared" si="51"/>
        <v>aws s3 cp s3://rtdc.mdm.uploadarchive.raw/RTDC4010/ "%USERPROFILE%\AppData\Local\Temp\OnboardLogs"\RTDC4010\2017-09-21 --exclude "*" --recursive --include "*20170921*" &amp; "%USERPROFILE%\Documents\GitHub\mrs-test-scripts\Headless Mode &amp; Sideloading\WalkAndUnGZ.bat" "%USERPROFILE%\AppData\Local\Temp\OnboardLogs"\RTDC4010\2017-09-21 &amp; aws s3 cp s3://rtdc.mdm.uploadarchive.raw/RTDC4010/ "%USERPROFILE%\AppData\Local\Temp\OnboardLogs"\RTDC4010\2017-09-22 --exclude "*" --recursive --include "*20170922*" &amp; "%USERPROFILE%\Documents\GitHub\mrs-test-scripts\Headless Mode &amp; Sideloading\WalkAndUnGZ.bat" "%USERPROFILE%\AppData\Local\Temp\OnboardLogs"\RTDC4010\2017-09-22</v>
      </c>
      <c r="AF103" s="74" t="str">
        <f t="shared" si="52"/>
        <v>"C:\Program Files (x86)\AstroGrep\AstroGrep.exe" /e /r /s /spath="%USERPROFILE%\AppData\Local\Temp\OnboardLogs" /stypes="app*4010*20170921*" /stext=" 21:.+((SYSTEM_STATE.+slice.+state.+changed )|(ment ac)|(multiple cpu faults)|(system.+state.+changed )|(\[timeout)|(PRM\|1\|D)|(kpr)|(kdp)|(train st.+moving)|(\|lc)|(penalty))"</v>
      </c>
      <c r="AG103" s="182" t="str">
        <f t="shared" si="53"/>
        <v>EC</v>
      </c>
      <c r="AH103" s="78" t="str">
        <f t="shared" si="54"/>
        <v>"%USERPROFILE%\Documents\GitHub\eaglep3\Utilities\RefineRTDCRunTimes.py" --tripid 191-21 --locoid 4010 --swversion DE.1.0.9.0 --startMP 204:1481 --initTime 2017-09-21T14:47:33 --startdatetime 2017-09-21T15:00:22 --delay 52 --endMP 204:233295 --enddatetime 2017-09-21T15:36:12 --enforcementcount 0 &gt;&gt;c:\users\stu\Documents\GitHub\eaglep3-reporting\EC\2017-09-21-refined-times.txt</v>
      </c>
      <c r="AI103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{"issue":{"subject":"","project_id":79,"tracker_id":40,"status_id":1,"priority_id":2,"assigned_to_id":338,"start_date":"2017-09-21","description":"","custom_fields":[{"id":1,"name":"Subdivision","value":"EC"},{"id":4,"name":"Milepost","value":"23.3295"},{"id":17,"name":"Train ID","value":"191-21"},{"id":16,"name":"Locomotive ID","value":"4010"},{"id":130,"name":"Impact","value":""},{"id":150,"name":"Time of Event (Mountain Time)","value":"15:36:12"},{"id":151,"name":"Denver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56"/>
        <v>start /low /b %USERPROFILE%\Documents\GitHub\eaglep3\Utilities\DownloadLogsFromS3.py --loco 4010 --day 2017-09-21</v>
      </c>
      <c r="AN103" s="151" t="str">
        <f t="shared" si="57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21:36:12"},{"id":29,"name":"Sharepoint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58"/>
        <v>https://d0f6bd738d7f1b3e5a7ca70fe4ff75f0.us-east-1.aws.found.io/app/kibana#/discover/Steve-Slow-Train-Analysis-(2080s-and-2083s)?_g=(refreshInterval:(display:Off,pause:!f,section:0,value:0),time:(from:'2017-09-21T13:47:33-0600',mode:absolute,to:'2017-09-21T16:36:12-0600'))&amp;_a=(columns:!('Message%20ID',Summary),filters:!(),index:'emp_*',interval:auto,query:(query_string:(analyze_wildcard:!t,query:'Message%5C+ID:(*)+AND+%22rtdc.l.rtdc.4010%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747</v>
      </c>
      <c r="B104" s="7">
        <v>4009</v>
      </c>
      <c r="C104" s="21" t="s">
        <v>196</v>
      </c>
      <c r="D104" s="21" t="s">
        <v>869</v>
      </c>
      <c r="E104" s="13">
        <v>42999.660729166666</v>
      </c>
      <c r="F104" s="13">
        <v>42999.664756944447</v>
      </c>
      <c r="G104" s="7">
        <v>65</v>
      </c>
      <c r="H104" s="21" t="s">
        <v>339</v>
      </c>
      <c r="I104" s="13">
        <v>42999.691168981481</v>
      </c>
      <c r="J104" s="7">
        <v>0</v>
      </c>
      <c r="K104" s="89" t="str">
        <f t="shared" si="40"/>
        <v>4009/4010</v>
      </c>
      <c r="L104" s="185" t="str">
        <f>VLOOKUP(A104,'Trips&amp;Operators'!$C$1:$G$99911,5,FALSE)</f>
        <v>ROBINSON KADDIBA</v>
      </c>
      <c r="M104" s="6">
        <f t="shared" si="41"/>
        <v>2.6412037033878732E-2</v>
      </c>
      <c r="N104" s="7">
        <f t="shared" si="42"/>
        <v>38.033333328785375</v>
      </c>
      <c r="O104" s="7"/>
      <c r="P104" s="7"/>
      <c r="Q104" s="22"/>
      <c r="R104" s="174"/>
      <c r="S104" s="221">
        <f t="shared" si="43"/>
        <v>1</v>
      </c>
      <c r="T104" s="174" t="str">
        <f t="shared" si="44"/>
        <v>Southbound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 t="shared" si="45"/>
        <v>https://d0f6bd738d7f1b3e5a7ca70fe4ff75f0.us-east-1.aws.found.io/app/kibana#/discover/Steve-Slow-Train-Analysis-(2080s-and-2083s)?_g=(refreshInterval:(display:Off,pause:!f,section:0,value:0),time:(from:'2017-09-21T14:51:27-0600',mode:absolute,to:'2017-09-21T17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4" s="204" t="str">
        <f>IF(AA104&lt;VLOOKUP(AG104,Variables!$AC$3:$AD$8,2,FALSE),"Y","N")</f>
        <v>N</v>
      </c>
      <c r="X104" s="204">
        <f t="shared" si="46"/>
        <v>1</v>
      </c>
      <c r="Y104" s="204">
        <f t="shared" si="47"/>
        <v>23.296099999999999</v>
      </c>
      <c r="Z104" s="204">
        <f t="shared" si="48"/>
        <v>1.43E-2</v>
      </c>
      <c r="AA104" s="204">
        <f t="shared" si="49"/>
        <v>23.2818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 t="shared" si="50"/>
        <v>192</v>
      </c>
      <c r="AE104" s="77" t="str">
        <f t="shared" si="51"/>
        <v>aws s3 cp s3://rtdc.mdm.uploadarchive.raw/RTDC4009/ "%USERPROFILE%\AppData\Local\Temp\OnboardLogs"\RTDC4009\2017-09-21 --exclude "*" --recursive --include "*20170921*" &amp; "%USERPROFILE%\Documents\GitHub\mrs-test-scripts\Headless Mode &amp; Sideloading\WalkAndUnGZ.bat" "%USERPROFILE%\AppData\Local\Temp\OnboardLogs"\RTDC4009\2017-09-21 &amp; aws s3 cp s3://rtdc.mdm.uploadarchive.raw/RTDC4009/ "%USERPROFILE%\AppData\Local\Temp\OnboardLogs"\RTDC4009\2017-09-22 --exclude "*" --recursive --include "*20170922*" &amp; "%USERPROFILE%\Documents\GitHub\mrs-test-scripts\Headless Mode &amp; Sideloading\WalkAndUnGZ.bat" "%USERPROFILE%\AppData\Local\Temp\OnboardLogs"\RTDC4009\2017-09-22</v>
      </c>
      <c r="AF104" s="74" t="str">
        <f t="shared" si="52"/>
        <v>"C:\Program Files (x86)\AstroGrep\AstroGrep.exe" /e /r /s /spath="%USERPROFILE%\AppData\Local\Temp\OnboardLogs" /stypes="app*4009*20170921*" /stext=" 22:.+((SYSTEM_STATE.+slice.+state.+changed )|(ment ac)|(multiple cpu faults)|(system.+state.+changed )|(\[timeout)|(PRM\|1\|D)|(kpr)|(kdp)|(train st.+moving)|(\|lc)|(penalty))"</v>
      </c>
      <c r="AG104" s="182" t="str">
        <f t="shared" si="53"/>
        <v>EC</v>
      </c>
      <c r="AH104" s="78" t="str">
        <f t="shared" si="54"/>
        <v>"%USERPROFILE%\Documents\GitHub\eaglep3\Utilities\RefineRTDCRunTimes.py" --tripid 192-21 --locoid 4009 --swversion DE.1.0.9.0 --startMP 204:232961 --initTime 2017-09-21T15:51:27 --startdatetime 2017-09-21T15:57:15 --delay 65 --endMP 204:143 --enddatetime 2017-09-21T16:35:17 --enforcementcount 0 &gt;&gt;c:\users\stu\Documents\GitHub\eaglep3-reporting\EC\2017-09-21-refined-times.txt</v>
      </c>
      <c r="AI104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{"issue":{"subject":"","project_id":79,"tracker_id":40,"status_id":1,"priority_id":2,"assigned_to_id":338,"start_date":"2017-09-21","description":"","custom_fields":[{"id":1,"name":"Subdivision","value":"EC"},{"id":4,"name":"Milepost","value":"0.0143"},{"id":17,"name":"Train ID","value":"192-21"},{"id":16,"name":"Locomotive ID","value":"4009"},{"id":130,"name":"Impact","value":""},{"id":150,"name":"Time of Event (Mountain Time)","value":"16:35:17"},{"id":151,"name":"Denver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56"/>
        <v>start /low /b %USERPROFILE%\Documents\GitHub\eaglep3\Utilities\DownloadLogsFromS3.py --loco 4009 --day 2017-09-21</v>
      </c>
      <c r="AN104" s="151" t="str">
        <f t="shared" si="57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22:35:17"},{"id":29,"name":"Sharepoint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58"/>
        <v>https://d0f6bd738d7f1b3e5a7ca70fe4ff75f0.us-east-1.aws.found.io/app/kibana#/discover/Steve-Slow-Train-Analysis-(2080s-and-2083s)?_g=(refreshInterval:(display:Off,pause:!f,section:0,value:0),time:(from:'2017-09-21T14:51:27-0600',mode:absolute,to:'2017-09-21T17:35:17-0600'))&amp;_a=(columns:!('Message%20ID',Summary),filters:!(),index:'emp_*',interval:auto,query:(query_string:(analyze_wildcard:!t,query:'Message%5C+ID:(*)+AND+%22rtdc.l.rtdc.4009%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737</v>
      </c>
      <c r="B105" s="7">
        <v>4018</v>
      </c>
      <c r="C105" s="21" t="s">
        <v>196</v>
      </c>
      <c r="D105" s="21" t="s">
        <v>340</v>
      </c>
      <c r="E105" s="13">
        <v>42999.6327662037</v>
      </c>
      <c r="F105" s="13">
        <v>42999.635601851849</v>
      </c>
      <c r="G105" s="7">
        <v>58</v>
      </c>
      <c r="H105" s="21" t="s">
        <v>432</v>
      </c>
      <c r="I105" s="13">
        <v>42999.660196759258</v>
      </c>
      <c r="J105" s="7">
        <v>0</v>
      </c>
      <c r="K105" s="89" t="str">
        <f t="shared" si="40"/>
        <v>4017/4018</v>
      </c>
      <c r="L105" s="185" t="str">
        <f>VLOOKUP(A105,'Trips&amp;Operators'!$C$1:$G$99911,5,FALSE)</f>
        <v>LEVIN SCOTT</v>
      </c>
      <c r="M105" s="6">
        <f t="shared" si="41"/>
        <v>2.4594907408754807E-2</v>
      </c>
      <c r="N105" s="7">
        <f t="shared" si="42"/>
        <v>35.416666668606922</v>
      </c>
      <c r="O105" s="7"/>
      <c r="P105" s="7"/>
      <c r="Q105" s="22"/>
      <c r="R105" s="174"/>
      <c r="S105" s="221">
        <f t="shared" si="43"/>
        <v>1</v>
      </c>
      <c r="T105" s="174" t="str">
        <f t="shared" si="44"/>
        <v>NorthBound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 t="shared" si="45"/>
        <v>https://d0f6bd738d7f1b3e5a7ca70fe4ff75f0.us-east-1.aws.found.io/app/kibana#/discover/Steve-Slow-Train-Analysis-(2080s-and-2083s)?_g=(refreshInterval:(display:Off,pause:!f,section:0,value:0),time:(from:'2017-09-21T14:11:11-0600',mode:absolute,to:'2017-09-21T16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5" s="204" t="str">
        <f>IF(AA105&lt;VLOOKUP(AG105,Variables!$AC$3:$AD$8,2,FALSE),"Y","N")</f>
        <v>N</v>
      </c>
      <c r="X105" s="204">
        <f t="shared" si="46"/>
        <v>1</v>
      </c>
      <c r="Y105" s="204">
        <f t="shared" si="47"/>
        <v>4.53E-2</v>
      </c>
      <c r="Z105" s="204">
        <f t="shared" si="48"/>
        <v>23.333200000000001</v>
      </c>
      <c r="AA105" s="204">
        <f t="shared" si="49"/>
        <v>23.2879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 t="shared" si="50"/>
        <v>193</v>
      </c>
      <c r="AE105" s="77" t="str">
        <f t="shared" si="51"/>
        <v>aws s3 cp s3://rtdc.mdm.uploadarchive.raw/RTDC4018/ "%USERPROFILE%\AppData\Local\Temp\OnboardLogs"\RTDC4018\2017-09-21 --exclude "*" --recursive --include "*20170921*" &amp; "%USERPROFILE%\Documents\GitHub\mrs-test-scripts\Headless Mode &amp; Sideloading\WalkAndUnGZ.bat" "%USERPROFILE%\AppData\Local\Temp\OnboardLogs"\RTDC4018\2017-09-21 &amp; aws s3 cp s3://rtdc.mdm.uploadarchive.raw/RTDC4018/ "%USERPROFILE%\AppData\Local\Temp\OnboardLogs"\RTDC4018\2017-09-22 --exclude "*" --recursive --include "*20170922*" &amp; "%USERPROFILE%\Documents\GitHub\mrs-test-scripts\Headless Mode &amp; Sideloading\WalkAndUnGZ.bat" "%USERPROFILE%\AppData\Local\Temp\OnboardLogs"\RTDC4018\2017-09-22</v>
      </c>
      <c r="AF105" s="74" t="str">
        <f t="shared" si="52"/>
        <v>"C:\Program Files (x86)\AstroGrep\AstroGrep.exe" /e /r /s /spath="%USERPROFILE%\AppData\Local\Temp\OnboardLogs" /stypes="app*4018*20170921*" /stext=" 21:.+((SYSTEM_STATE.+slice.+state.+changed )|(ment ac)|(multiple cpu faults)|(system.+state.+changed )|(\[timeout)|(PRM\|1\|D)|(kpr)|(kdp)|(train st.+moving)|(\|lc)|(penalty))"</v>
      </c>
      <c r="AG105" s="182" t="str">
        <f t="shared" si="53"/>
        <v>EC</v>
      </c>
      <c r="AH105" s="78" t="str">
        <f t="shared" si="54"/>
        <v>"%USERPROFILE%\Documents\GitHub\eaglep3\Utilities\RefineRTDCRunTimes.py" --tripid 193-21 --locoid 4018 --swversion DE.1.0.9.0 --startMP 204:453 --initTime 2017-09-21T15:11:11 --startdatetime 2017-09-21T15:15:16 --delay 58 --endMP 204:233332 --enddatetime 2017-09-21T15:50:41 --enforcementcount 0 &gt;&gt;c:\users\stu\Documents\GitHub\eaglep3-reporting\EC\2017-09-21-refined-times.txt</v>
      </c>
      <c r="AI105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{"issue":{"subject":"","project_id":79,"tracker_id":40,"status_id":1,"priority_id":2,"assigned_to_id":338,"start_date":"2017-09-21","description":"","custom_fields":[{"id":1,"name":"Subdivision","value":"EC"},{"id":4,"name":"Milepost","value":"23.3332"},{"id":17,"name":"Train ID","value":"193-21"},{"id":16,"name":"Locomotive ID","value":"4018"},{"id":130,"name":"Impact","value":""},{"id":150,"name":"Time of Event (Mountain Time)","value":"15:50:41"},{"id":151,"name":"Denver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56"/>
        <v>start /low /b %USERPROFILE%\Documents\GitHub\eaglep3\Utilities\DownloadLogsFromS3.py --loco 4018 --day 2017-09-21</v>
      </c>
      <c r="AN105" s="151" t="str">
        <f t="shared" si="57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21:50:41"},{"id":29,"name":"Sharepoint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58"/>
        <v>https://d0f6bd738d7f1b3e5a7ca70fe4ff75f0.us-east-1.aws.found.io/app/kibana#/discover/Steve-Slow-Train-Analysis-(2080s-and-2083s)?_g=(refreshInterval:(display:Off,pause:!f,section:0,value:0),time:(from:'2017-09-21T14:11:11-0600',mode:absolute,to:'2017-09-21T16:50:41-0600'))&amp;_a=(columns:!('Message%20ID',Summary),filters:!(),index:'emp_*',interval:auto,query:(query_string:(analyze_wildcard:!t,query:'Message%5C+ID:(*)+AND+%22rtdc.l.rtdc.4018%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750</v>
      </c>
      <c r="B106" s="7">
        <v>4017</v>
      </c>
      <c r="C106" s="21" t="s">
        <v>196</v>
      </c>
      <c r="D106" s="21" t="s">
        <v>862</v>
      </c>
      <c r="E106" s="13">
        <v>42999.667523148149</v>
      </c>
      <c r="F106" s="13">
        <v>42999.675162037034</v>
      </c>
      <c r="G106" s="7">
        <v>51</v>
      </c>
      <c r="H106" s="21" t="s">
        <v>395</v>
      </c>
      <c r="I106" s="13">
        <v>42999.701249999998</v>
      </c>
      <c r="J106" s="7">
        <v>0</v>
      </c>
      <c r="K106" s="89" t="str">
        <f t="shared" si="40"/>
        <v>4017/4018</v>
      </c>
      <c r="L106" s="185" t="str">
        <f>VLOOKUP(A106,'Trips&amp;Operators'!$C$1:$G$99911,5,FALSE)</f>
        <v>LEVIN SCOTT</v>
      </c>
      <c r="M106" s="6">
        <f t="shared" si="41"/>
        <v>2.6087962964083999E-2</v>
      </c>
      <c r="N106" s="7">
        <f t="shared" si="42"/>
        <v>37.566666668280959</v>
      </c>
      <c r="O106" s="7"/>
      <c r="P106" s="7"/>
      <c r="Q106" s="22"/>
      <c r="R106" s="174"/>
      <c r="S106" s="221">
        <f t="shared" si="43"/>
        <v>1</v>
      </c>
      <c r="T106" s="174" t="str">
        <f t="shared" si="44"/>
        <v>Southbound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 t="shared" si="45"/>
        <v>https://d0f6bd738d7f1b3e5a7ca70fe4ff75f0.us-east-1.aws.found.io/app/kibana#/discover/Steve-Slow-Train-Analysis-(2080s-and-2083s)?_g=(refreshInterval:(display:Off,pause:!f,section:0,value:0),time:(from:'2017-09-21T15:01:14-0600',mode:absolute,to:'2017-09-21T17:49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6" s="204" t="str">
        <f>IF(AA106&lt;VLOOKUP(AG106,Variables!$AC$3:$AD$8,2,FALSE),"Y","N")</f>
        <v>N</v>
      </c>
      <c r="X106" s="204">
        <f t="shared" si="46"/>
        <v>1</v>
      </c>
      <c r="Y106" s="204">
        <f t="shared" si="47"/>
        <v>23.302099999999999</v>
      </c>
      <c r="Z106" s="204">
        <f t="shared" si="48"/>
        <v>1.3599999999999999E-2</v>
      </c>
      <c r="AA106" s="204">
        <f t="shared" si="49"/>
        <v>23.288499999999999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 t="shared" si="50"/>
        <v>194</v>
      </c>
      <c r="AE106" s="77" t="str">
        <f t="shared" si="51"/>
        <v>aws s3 cp s3://rtdc.mdm.uploadarchive.raw/RTDC4017/ "%USERPROFILE%\AppData\Local\Temp\OnboardLogs"\RTDC4017\2017-09-21 --exclude "*" --recursive --include "*20170921*" &amp; "%USERPROFILE%\Documents\GitHub\mrs-test-scripts\Headless Mode &amp; Sideloading\WalkAndUnGZ.bat" "%USERPROFILE%\AppData\Local\Temp\OnboardLogs"\RTDC4017\2017-09-21 &amp; aws s3 cp s3://rtdc.mdm.uploadarchive.raw/RTDC4017/ "%USERPROFILE%\AppData\Local\Temp\OnboardLogs"\RTDC4017\2017-09-22 --exclude "*" --recursive --include "*20170922*" &amp; "%USERPROFILE%\Documents\GitHub\mrs-test-scripts\Headless Mode &amp; Sideloading\WalkAndUnGZ.bat" "%USERPROFILE%\AppData\Local\Temp\OnboardLogs"\RTDC4017\2017-09-22</v>
      </c>
      <c r="AF106" s="74" t="str">
        <f t="shared" si="52"/>
        <v>"C:\Program Files (x86)\AstroGrep\AstroGrep.exe" /e /r /s /spath="%USERPROFILE%\AppData\Local\Temp\OnboardLogs" /stypes="app*4017*20170921*" /stext=" 22:.+((SYSTEM_STATE.+slice.+state.+changed )|(ment ac)|(multiple cpu faults)|(system.+state.+changed )|(\[timeout)|(PRM\|1\|D)|(kpr)|(kdp)|(train st.+moving)|(\|lc)|(penalty))"</v>
      </c>
      <c r="AG106" s="182" t="str">
        <f t="shared" si="53"/>
        <v>EC</v>
      </c>
      <c r="AH106" s="78" t="str">
        <f t="shared" si="54"/>
        <v>"%USERPROFILE%\Documents\GitHub\eaglep3\Utilities\RefineRTDCRunTimes.py" --tripid 194-21 --locoid 4017 --swversion DE.1.0.9.0 --startMP 204:233021 --initTime 2017-09-21T16:01:14 --startdatetime 2017-09-21T16:12:14 --delay 51 --endMP 204:136 --enddatetime 2017-09-21T16:49:48 --enforcementcount 0 &gt;&gt;c:\users\stu\Documents\GitHub\eaglep3-reporting\EC\2017-09-21-refined-times.txt</v>
      </c>
      <c r="AI106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{"issue":{"subject":"","project_id":79,"tracker_id":40,"status_id":1,"priority_id":2,"assigned_to_id":338,"start_date":"2017-09-21","description":"","custom_fields":[{"id":1,"name":"Subdivision","value":"EC"},{"id":4,"name":"Milepost","value":"0.0136"},{"id":17,"name":"Train ID","value":"194-21"},{"id":16,"name":"Locomotive ID","value":"4017"},{"id":130,"name":"Impact","value":""},{"id":150,"name":"Time of Event (Mountain Time)","value":"16:49:48"},{"id":151,"name":"Denver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56"/>
        <v>start /low /b %USERPROFILE%\Documents\GitHub\eaglep3\Utilities\DownloadLogsFromS3.py --loco 4017 --day 2017-09-21</v>
      </c>
      <c r="AN106" s="151" t="str">
        <f t="shared" si="57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22:49:48"},{"id":29,"name":"Sharepoint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58"/>
        <v>https://d0f6bd738d7f1b3e5a7ca70fe4ff75f0.us-east-1.aws.found.io/app/kibana#/discover/Steve-Slow-Train-Analysis-(2080s-and-2083s)?_g=(refreshInterval:(display:Off,pause:!f,section:0,value:0),time:(from:'2017-09-21T15:01:14-0600',mode:absolute,to:'2017-09-21T17:49:48-0600'))&amp;_a=(columns:!('Message%20ID',Summary),filters:!(),index:'emp_*',interval:auto,query:(query_string:(analyze_wildcard:!t,query:'Message%5C+ID:(*)+AND+%22rtdc.l.rtdc.4017%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742</v>
      </c>
      <c r="B107" s="7">
        <v>4056</v>
      </c>
      <c r="C107" s="21" t="s">
        <v>196</v>
      </c>
      <c r="D107" s="21" t="s">
        <v>870</v>
      </c>
      <c r="E107" s="13">
        <v>42999.641238425924</v>
      </c>
      <c r="F107" s="13">
        <v>42999.646145833336</v>
      </c>
      <c r="G107" s="7">
        <v>75</v>
      </c>
      <c r="H107" s="21" t="s">
        <v>402</v>
      </c>
      <c r="I107" s="13">
        <v>42999.671076388891</v>
      </c>
      <c r="J107" s="7">
        <v>0</v>
      </c>
      <c r="K107" s="89" t="str">
        <f t="shared" si="40"/>
        <v>4055/4056</v>
      </c>
      <c r="L107" s="185" t="str">
        <f>VLOOKUP(A107,'Trips&amp;Operators'!$C$1:$G$99911,5,FALSE)</f>
        <v>BERLING GARY</v>
      </c>
      <c r="M107" s="6">
        <f t="shared" si="41"/>
        <v>2.4930555555329192E-2</v>
      </c>
      <c r="N107" s="7">
        <f t="shared" si="42"/>
        <v>35.899999999674037</v>
      </c>
      <c r="O107" s="7"/>
      <c r="P107" s="7"/>
      <c r="Q107" s="22"/>
      <c r="R107" s="174"/>
      <c r="S107" s="221">
        <f t="shared" si="43"/>
        <v>1</v>
      </c>
      <c r="T107" s="174" t="str">
        <f t="shared" si="44"/>
        <v>NorthBound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 t="shared" si="45"/>
        <v>https://d0f6bd738d7f1b3e5a7ca70fe4ff75f0.us-east-1.aws.found.io/app/kibana#/discover/Steve-Slow-Train-Analysis-(2080s-and-2083s)?_g=(refreshInterval:(display:Off,pause:!f,section:0,value:0),time:(from:'2017-09-21T14:23:23-0600',mode:absolute,to:'2017-09-21T17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7" s="204" t="str">
        <f>IF(AA107&lt;VLOOKUP(AG107,Variables!$AC$3:$AD$8,2,FALSE),"Y","N")</f>
        <v>N</v>
      </c>
      <c r="X107" s="204">
        <f t="shared" si="46"/>
        <v>1</v>
      </c>
      <c r="Y107" s="204">
        <f t="shared" si="47"/>
        <v>5.4199999999999998E-2</v>
      </c>
      <c r="Z107" s="204">
        <f t="shared" si="48"/>
        <v>23.331199999999999</v>
      </c>
      <c r="AA107" s="204">
        <f t="shared" si="49"/>
        <v>23.276999999999997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 t="shared" si="50"/>
        <v>195</v>
      </c>
      <c r="AE107" s="77" t="str">
        <f t="shared" si="51"/>
        <v>aws s3 cp s3://rtdc.mdm.uploadarchive.raw/RTDC4056/ "%USERPROFILE%\AppData\Local\Temp\OnboardLogs"\RTDC4056\2017-09-21 --exclude "*" --recursive --include "*20170921*" &amp; "%USERPROFILE%\Documents\GitHub\mrs-test-scripts\Headless Mode &amp; Sideloading\WalkAndUnGZ.bat" "%USERPROFILE%\AppData\Local\Temp\OnboardLogs"\RTDC4056\2017-09-21 &amp; aws s3 cp s3://rtdc.mdm.uploadarchive.raw/RTDC4056/ "%USERPROFILE%\AppData\Local\Temp\OnboardLogs"\RTDC4056\2017-09-22 --exclude "*" --recursive --include "*20170922*" &amp; "%USERPROFILE%\Documents\GitHub\mrs-test-scripts\Headless Mode &amp; Sideloading\WalkAndUnGZ.bat" "%USERPROFILE%\AppData\Local\Temp\OnboardLogs"\RTDC4056\2017-09-22</v>
      </c>
      <c r="AF107" s="74" t="str">
        <f t="shared" si="52"/>
        <v>"C:\Program Files (x86)\AstroGrep\AstroGrep.exe" /e /r /s /spath="%USERPROFILE%\AppData\Local\Temp\OnboardLogs" /stypes="app*4056*20170921*" /stext=" 22:.+((SYSTEM_STATE.+slice.+state.+changed )|(ment ac)|(multiple cpu faults)|(system.+state.+changed )|(\[timeout)|(PRM\|1\|D)|(kpr)|(kdp)|(train st.+moving)|(\|lc)|(penalty))"</v>
      </c>
      <c r="AG107" s="182" t="str">
        <f t="shared" si="53"/>
        <v>EC</v>
      </c>
      <c r="AH107" s="78" t="str">
        <f t="shared" si="54"/>
        <v>"%USERPROFILE%\Documents\GitHub\eaglep3\Utilities\RefineRTDCRunTimes.py" --tripid 195-21 --locoid 4056 --swversion DE.1.0.9.0 --startMP 204:542 --initTime 2017-09-21T15:23:23 --startdatetime 2017-09-21T15:30:27 --delay 75 --endMP 204:233312 --enddatetime 2017-09-21T16:06:21 --enforcementcount 0 &gt;&gt;c:\users\stu\Documents\GitHub\eaglep3-reporting\EC\2017-09-21-refined-times.txt</v>
      </c>
      <c r="AI107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{"issue":{"subject":"","project_id":79,"tracker_id":40,"status_id":1,"priority_id":2,"assigned_to_id":338,"start_date":"2017-09-21","description":"","custom_fields":[{"id":1,"name":"Subdivision","value":"EC"},{"id":4,"name":"Milepost","value":"23.3312"},{"id":17,"name":"Train ID","value":"195-21"},{"id":16,"name":"Locomotive ID","value":"4056"},{"id":130,"name":"Impact","value":""},{"id":150,"name":"Time of Event (Mountain Time)","value":"16:06:21"},{"id":151,"name":"Denver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56"/>
        <v>start /low /b %USERPROFILE%\Documents\GitHub\eaglep3\Utilities\DownloadLogsFromS3.py --loco 4056 --day 2017-09-21</v>
      </c>
      <c r="AN107" s="151" t="str">
        <f t="shared" si="57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22:06:21"},{"id":29,"name":"Sharepoint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58"/>
        <v>https://d0f6bd738d7f1b3e5a7ca70fe4ff75f0.us-east-1.aws.found.io/app/kibana#/discover/Steve-Slow-Train-Analysis-(2080s-and-2083s)?_g=(refreshInterval:(display:Off,pause:!f,section:0,value:0),time:(from:'2017-09-21T14:23:23-0600',mode:absolute,to:'2017-09-21T17:06:21-0600'))&amp;_a=(columns:!('Message%20ID',Summary),filters:!(),index:'emp_*',interval:auto,query:(query_string:(analyze_wildcard:!t,query:'Message%5C+ID:(*)+AND+%22rtdc.l.rtdc.4056%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752</v>
      </c>
      <c r="B108" s="7">
        <v>4055</v>
      </c>
      <c r="C108" s="21" t="s">
        <v>196</v>
      </c>
      <c r="D108" s="21" t="s">
        <v>404</v>
      </c>
      <c r="E108" s="13">
        <v>42999.672812500001</v>
      </c>
      <c r="F108" s="13">
        <v>42999.685636574075</v>
      </c>
      <c r="G108" s="7">
        <v>75</v>
      </c>
      <c r="H108" s="21" t="s">
        <v>339</v>
      </c>
      <c r="I108" s="13">
        <v>42999.711747685185</v>
      </c>
      <c r="J108" s="7">
        <v>0</v>
      </c>
      <c r="K108" s="89" t="str">
        <f t="shared" si="40"/>
        <v>4055/4056</v>
      </c>
      <c r="L108" s="185" t="str">
        <f>VLOOKUP(A108,'Trips&amp;Operators'!$C$1:$G$99911,5,FALSE)</f>
        <v>BERLING GARY</v>
      </c>
      <c r="M108" s="6">
        <f t="shared" si="41"/>
        <v>2.6111111110367347E-2</v>
      </c>
      <c r="N108" s="7">
        <f t="shared" si="42"/>
        <v>37.599999998928979</v>
      </c>
      <c r="O108" s="7"/>
      <c r="P108" s="7"/>
      <c r="Q108" s="22"/>
      <c r="R108" s="174"/>
      <c r="S108" s="221">
        <f t="shared" si="43"/>
        <v>1</v>
      </c>
      <c r="T108" s="174" t="str">
        <f t="shared" si="44"/>
        <v>Southbound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 t="shared" si="45"/>
        <v>https://d0f6bd738d7f1b3e5a7ca70fe4ff75f0.us-east-1.aws.found.io/app/kibana#/discover/Steve-Slow-Train-Analysis-(2080s-and-2083s)?_g=(refreshInterval:(display:Off,pause:!f,section:0,value:0),time:(from:'2017-09-21T15:08:51-0600',mode:absolute,to:'2017-09-21T18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8" s="204" t="str">
        <f>IF(AA108&lt;VLOOKUP(AG108,Variables!$AC$3:$AD$8,2,FALSE),"Y","N")</f>
        <v>N</v>
      </c>
      <c r="X108" s="204">
        <f t="shared" si="46"/>
        <v>1</v>
      </c>
      <c r="Y108" s="204">
        <f t="shared" si="47"/>
        <v>23.299800000000001</v>
      </c>
      <c r="Z108" s="204">
        <f t="shared" si="48"/>
        <v>1.43E-2</v>
      </c>
      <c r="AA108" s="204">
        <f t="shared" si="49"/>
        <v>23.285500000000003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 t="shared" si="50"/>
        <v>196</v>
      </c>
      <c r="AE108" s="77" t="str">
        <f t="shared" si="51"/>
        <v>aws s3 cp s3://rtdc.mdm.uploadarchive.raw/RTDC4055/ "%USERPROFILE%\AppData\Local\Temp\OnboardLogs"\RTDC4055\2017-09-21 --exclude "*" --recursive --include "*20170921*" &amp; "%USERPROFILE%\Documents\GitHub\mrs-test-scripts\Headless Mode &amp; Sideloading\WalkAndUnGZ.bat" "%USERPROFILE%\AppData\Local\Temp\OnboardLogs"\RTDC4055\2017-09-21 &amp; aws s3 cp s3://rtdc.mdm.uploadarchive.raw/RTDC4055/ "%USERPROFILE%\AppData\Local\Temp\OnboardLogs"\RTDC4055\2017-09-22 --exclude "*" --recursive --include "*20170922*" &amp; "%USERPROFILE%\Documents\GitHub\mrs-test-scripts\Headless Mode &amp; Sideloading\WalkAndUnGZ.bat" "%USERPROFILE%\AppData\Local\Temp\OnboardLogs"\RTDC4055\2017-09-22</v>
      </c>
      <c r="AF108" s="74" t="str">
        <f t="shared" si="52"/>
        <v>"C:\Program Files (x86)\AstroGrep\AstroGrep.exe" /e /r /s /spath="%USERPROFILE%\AppData\Local\Temp\OnboardLogs" /stypes="app*4055*20170921*" /stext=" 23:.+((SYSTEM_STATE.+slice.+state.+changed )|(ment ac)|(multiple cpu faults)|(system.+state.+changed )|(\[timeout)|(PRM\|1\|D)|(kpr)|(kdp)|(train st.+moving)|(\|lc)|(penalty))"</v>
      </c>
      <c r="AG108" s="182" t="str">
        <f t="shared" si="53"/>
        <v>EC</v>
      </c>
      <c r="AH108" s="78" t="str">
        <f t="shared" si="54"/>
        <v>"%USERPROFILE%\Documents\GitHub\eaglep3\Utilities\RefineRTDCRunTimes.py" --tripid 196-21 --locoid 4055 --swversion DE.1.0.9.0 --startMP 204:232998 --initTime 2017-09-21T16:08:51 --startdatetime 2017-09-21T16:27:19 --delay 75 --endMP 204:143 --enddatetime 2017-09-21T17:04:55 --enforcementcount 0 &gt;&gt;c:\users\stu\Documents\GitHub\eaglep3-reporting\EC\2017-09-21-refined-times.txt</v>
      </c>
      <c r="AI108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{"issue":{"subject":"","project_id":79,"tracker_id":40,"status_id":1,"priority_id":2,"assigned_to_id":338,"start_date":"2017-09-21","description":"","custom_fields":[{"id":1,"name":"Subdivision","value":"EC"},{"id":4,"name":"Milepost","value":"0.0143"},{"id":17,"name":"Train ID","value":"196-21"},{"id":16,"name":"Locomotive ID","value":"4055"},{"id":130,"name":"Impact","value":""},{"id":150,"name":"Time of Event (Mountain Time)","value":"17:04:55"},{"id":151,"name":"Denver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56"/>
        <v>start /low /b %USERPROFILE%\Documents\GitHub\eaglep3\Utilities\DownloadLogsFromS3.py --loco 4055 --day 2017-09-21</v>
      </c>
      <c r="AN108" s="151" t="str">
        <f t="shared" si="57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23:04:55"},{"id":29,"name":"Sharepoint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58"/>
        <v>https://d0f6bd738d7f1b3e5a7ca70fe4ff75f0.us-east-1.aws.found.io/app/kibana#/discover/Steve-Slow-Train-Analysis-(2080s-and-2083s)?_g=(refreshInterval:(display:Off,pause:!f,section:0,value:0),time:(from:'2017-09-21T15:08:51-0600',mode:absolute,to:'2017-09-21T18:04:55-0600'))&amp;_a=(columns:!('Message%20ID',Summary),filters:!(),index:'emp_*',interval:auto,query:(query_string:(analyze_wildcard:!t,query:'Message%5C+ID:(*)+AND+%22rtdc.l.rtdc.4055%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744</v>
      </c>
      <c r="B109" s="7">
        <v>4028</v>
      </c>
      <c r="C109" s="21" t="s">
        <v>196</v>
      </c>
      <c r="D109" s="21" t="s">
        <v>404</v>
      </c>
      <c r="E109" s="13">
        <v>42999.672812500001</v>
      </c>
      <c r="F109" s="13">
        <v>42999.656539351854</v>
      </c>
      <c r="G109" s="7">
        <v>75</v>
      </c>
      <c r="H109" s="21" t="s">
        <v>339</v>
      </c>
      <c r="I109" s="13">
        <v>42999.682442129626</v>
      </c>
      <c r="J109" s="7">
        <v>0</v>
      </c>
      <c r="K109" s="89" t="str">
        <f t="shared" ref="K109:K110" si="59">IF(ISEVEN(B109),(B109-1)&amp;"/"&amp;B109,B109&amp;"/"&amp;(B109+1))</f>
        <v>4027/4028</v>
      </c>
      <c r="L109" s="185" t="str">
        <f>VLOOKUP(A109,'Trips&amp;Operators'!$C$1:$G$99911,5,FALSE)</f>
        <v>LEVERE CRAIG</v>
      </c>
      <c r="M109" s="6">
        <f t="shared" ref="M109:M110" si="60">I109-F109</f>
        <v>2.5902777771989349E-2</v>
      </c>
      <c r="N109" s="7">
        <f t="shared" si="42"/>
        <v>37.299999991664663</v>
      </c>
      <c r="O109" s="7"/>
      <c r="P109" s="7"/>
      <c r="Q109" s="22"/>
      <c r="R109" s="174"/>
      <c r="S109" s="221">
        <f t="shared" ref="S109:S110" si="61">1/IF(AG109="EC",12,1)*SUM(U109:U109)</f>
        <v>1</v>
      </c>
      <c r="T109" s="174" t="str">
        <f t="shared" ref="T109:T110" si="62">IF(ISEVEN(LEFT(AD109,4)),"Southbound","NorthBound")</f>
        <v>NorthBound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 t="shared" ref="V109:V110" si="63"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-09-21T15:08:51-0600',mode:absolute,to:'2017-09-21T17:22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9" s="204" t="str">
        <f>IF(AA109&lt;VLOOKUP(AG109,Variables!$AC$3:$AD$8,2,FALSE),"Y","N")</f>
        <v>N</v>
      </c>
      <c r="X109" s="204">
        <f t="shared" ref="X109:X111" si="64">VALUE(LEFT(AD109,4))-VALUE(LEFT(AD108,4))</f>
        <v>1</v>
      </c>
      <c r="Y109" s="204">
        <v>5.4199999999999998E-2</v>
      </c>
      <c r="Z109" s="204">
        <v>23.331199999999999</v>
      </c>
      <c r="AA109" s="204">
        <f t="shared" ref="AA109:AA110" si="65">ABS(Z109-Y109)</f>
        <v>23.276999999999997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 t="shared" ref="AD109:AD110" si="66">VALUE(LEFT(A109,LEN(A109)-3))</f>
        <v>197</v>
      </c>
      <c r="AE109" s="77" t="str">
        <f t="shared" ref="AE109:AE110" si="67"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s3://rtdc.mdm.uploadarchive.raw/RTDC4028/ "%USERPROFILE%\AppData\Local\Temp\OnboardLogs"\RTDC4028\2017-09-21 --exclude "*" --recursive --include "*20170921*" &amp; "%USERPROFILE%\Documents\GitHub\mrs-test-scripts\Headless Mode &amp; Sideloading\WalkAndUnGZ.bat" "%USERPROFILE%\AppData\Local\Temp\OnboardLogs"\RTDC4028\2017-09-21 &amp; aws s3 cp s3://rtdc.mdm.uploadarchive.raw/RTDC4028/ "%USERPROFILE%\AppData\Local\Temp\OnboardLogs"\RTDC4028\2017-09-22 --exclude "*" --recursive --include "*20170922*" &amp; "%USERPROFILE%\Documents\GitHub\mrs-test-scripts\Headless Mode &amp; Sideloading\WalkAndUnGZ.bat" "%USERPROFILE%\AppData\Local\Temp\OnboardLogs"\RTDC4028\2017-09-22</v>
      </c>
      <c r="AF109" s="74" t="str">
        <f t="shared" ref="AF109:AF110" si="68"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/stypes="app*4028*20170921*" /stext=" 22:.+((SYSTEM_STATE.+slice.+state.+changed )|(ment ac)|(multiple cpu faults)|(system.+state.+changed )|(\[timeout)|(PRM\|1\|D)|(kpr)|(kdp)|(train st.+moving)|(\|lc)|(penalty))"</v>
      </c>
      <c r="AG109" s="182" t="str">
        <f t="shared" ref="AG109:AG110" si="69">DetSubdiv(A109)</f>
        <v>EC</v>
      </c>
      <c r="AH109" s="78" t="str">
        <f t="shared" ref="AH109:AH110" si="70">refinertdcruntimes&amp;" --tripid "&amp;A109&amp;" --locoid "&amp;B109&amp;" --swversion "&amp;C109&amp;" --startMP "&amp;D109&amp;" --initTime "&amp;TEXT(E109,"yyyy-mm-ddTHH:MM:SS")&amp;" --startdatetime "&amp;TEXT(F109,"yyyy-mm-ddTHH:MM:SS")&amp;" --delay "&amp;G109&amp;" --endMP "&amp;H109&amp;" --enddatetime "&amp;TEXT(I109,"yyyy-mm-ddTHH:MM:SS")&amp;" --enforcementcount "&amp;J109&amp;IF(outputrefinedruntimes," &gt;&gt;"&amp;RefinedRTDCRunTimesOutputFile,"")</f>
        <v>"%USERPROFILE%\Documents\GitHub\eaglep3\Utilities\RefineRTDCRunTimes.py" --tripid 197-21 --locoid 4028 --swversion DE.1.0.9.0 --startMP 204:232998 --initTime 2017-09-21T16:08:51 --startdatetime 2017-09-21T15:45:25 --delay 75 --endMP 204:143 --enddatetime 2017-09-21T16:22:43 --enforcementcount 0 &gt;&gt;c:\users\stu\Documents\GitHub\eaglep3-reporting\EC\2017-09-21-refined-times.txt</v>
      </c>
      <c r="AI109" s="96" t="str">
        <f t="shared" ref="AI109:AI110" si="71">"echo {""issue"":{""subject"":"""&amp;R109&amp;""",""project_id"":79,""tracker_id"":40,""status_id"":"&amp;redmine_status&amp;",""priority_id"":"&amp;redmine_priority&amp;",""assigned_to_id"":"&amp;redmine_assignee&amp;",""start_date"":"""&amp;TEXT(I109,"YYYY-mm-dd")&amp;""",""description"":"""&amp;AJ109&amp;""",""custom_fields"":[{""id"":1,""name"":""Subdivision"",""value"":"""&amp;AG109&amp;"""},{""id"":4,""name"":""Milepost"",""value"":"""&amp;Z109&amp;"""},{""id"":17,""name"":""Train ID"",""value"":"""&amp;A109&amp;"""},{""id"":16,""name"":""Locomotive ID"",""value"":"""&amp;B109&amp;"""},{""id"":130,""name"":""Impact"",""value"":"""&amp;AK109&amp;"""},{""id"":150,""name"":""Time of Event (Mountain Time)"",""value"":"""&amp;TEXT(I109,"hh:mm:ss")&amp;"""},{""id"":151,""name"":""Denver Issue ID"",""value"":"""&amp;"""},{""id"":178,""name"":""Operational Impact"",""value"":"""&amp;redmine_op_impact&amp;"""},{""id"":179,""name"":""Denver Segment Assigned"",""value"":"""&amp;AL109&amp;"""}]}}"&amp;"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{"issue":{"subject":"","project_id":79,"tracker_id":40,"status_id":1,"priority_id":2,"assigned_to_id":338,"start_date":"2017-09-21","description":"","custom_fields":[{"id":1,"name":"Subdivision","value":"EC"},{"id":4,"name":"Milepost","value":"23.3312"},{"id":17,"name":"Train ID","value":"197-21"},{"id":16,"name":"Locomotive ID","value":"4028"},{"id":130,"name":"Impact","value":""},{"id":150,"name":"Time of Event (Mountain Time)","value":"16:22:43"},{"id":151,"name":"Denver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ref="AM109:AM110" si="72">"start /low /b "&amp;dls3logs&amp;" --loco "&amp;B109&amp;" --day "&amp;TEXT(F109,"YYYY-MM-DD")</f>
        <v>start /low /b %USERPROFILE%\Documents\GitHub\eaglep3\Utilities\DownloadLogsFromS3.py --loco 4028 --day 2017-09-21</v>
      </c>
      <c r="AN109" s="151" t="str">
        <f t="shared" ref="AN109:AN110" si="73">"echo {""issue"":{""subject"":"""&amp;R109&amp;""",""project_id"":30,""tracker_id"":4,""status_id"":"&amp;redmine_status_wcr&amp;",""priority_id"":"&amp;redmine_priority_wcr&amp;",""assigned_to_id"":"&amp;redmine_assignee_wcr&amp;",""start_date"":"""&amp;TEXT(I109-utc_offset/24,"YYYY-mm-dd")&amp;""",""description"":"""&amp;AJ109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22:22:43"},{"id":29,"name":"Sharepoint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ref="AO109:AO110" si="74"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Message%20ID',Summary),filters:!(),index:'emp_*',interval:auto,query:"&amp;"(query_string:(analyze_wildcard:!t,query:'Message%5C+ID:(*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-09-21T15:08:51-0600',mode:absolute,to:'2017-09-21T17:22:43-0600'))&amp;_a=(columns:!('Message%20ID',Summary),filters:!(),index:'emp_*',interval:auto,query:(query_string:(analyze_wildcard:!t,query:'Message%5C+ID:(*)+AND+%22rtdc.l.rtdc.4028%22')),sort:!(Time.ISO8601,asc))</v>
      </c>
    </row>
    <row r="110" spans="1:91" s="20" customFormat="1" x14ac:dyDescent="0.25">
      <c r="A110" s="32" t="s">
        <v>756</v>
      </c>
      <c r="B110" s="7">
        <v>4027</v>
      </c>
      <c r="C110" s="21" t="s">
        <v>196</v>
      </c>
      <c r="D110" s="21" t="s">
        <v>404</v>
      </c>
      <c r="E110" s="13">
        <v>42999.672812500001</v>
      </c>
      <c r="F110" s="13">
        <v>42999.69604166667</v>
      </c>
      <c r="G110" s="7">
        <v>75</v>
      </c>
      <c r="H110" s="21" t="s">
        <v>339</v>
      </c>
      <c r="I110" s="13">
        <v>42999.722731481481</v>
      </c>
      <c r="J110" s="7">
        <v>0</v>
      </c>
      <c r="K110" s="89" t="str">
        <f t="shared" si="59"/>
        <v>4027/4028</v>
      </c>
      <c r="L110" s="185" t="str">
        <f>VLOOKUP(A110,'Trips&amp;Operators'!$C$1:$G$99911,5,FALSE)</f>
        <v>LEVERE CRAIG</v>
      </c>
      <c r="M110" s="6">
        <f t="shared" si="60"/>
        <v>2.6689814811106771E-2</v>
      </c>
      <c r="N110" s="7">
        <f t="shared" si="42"/>
        <v>38.433333327993751</v>
      </c>
      <c r="O110" s="7"/>
      <c r="P110" s="7"/>
      <c r="Q110" s="22"/>
      <c r="R110" s="174"/>
      <c r="S110" s="221">
        <f t="shared" si="61"/>
        <v>1</v>
      </c>
      <c r="T110" s="174" t="str">
        <f t="shared" si="62"/>
        <v>Southbound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 t="shared" si="63"/>
        <v>https://d0f6bd738d7f1b3e5a7ca70fe4ff75f0.us-east-1.aws.found.io/app/kibana#/discover/Steve-Slow-Train-Analysis-(2080s-and-2083s)?_g=(refreshInterval:(display:Off,pause:!f,section:0,value:0),time:(from:'2017-09-21T15:08:51-0600',mode:absolute,to:'2017-09-21T18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0" s="204" t="str">
        <f>IF(AA110&lt;VLOOKUP(AG110,Variables!$AC$3:$AD$8,2,FALSE),"Y","N")</f>
        <v>N</v>
      </c>
      <c r="X110" s="204">
        <f t="shared" si="64"/>
        <v>1</v>
      </c>
      <c r="Y110" s="204">
        <f t="shared" ref="Y110" si="75">RIGHT(D110,LEN(D110)-4)/10000</f>
        <v>23.299800000000001</v>
      </c>
      <c r="Z110" s="204">
        <f t="shared" ref="Z110" si="76">RIGHT(H110,LEN(H110)-4)/10000</f>
        <v>1.43E-2</v>
      </c>
      <c r="AA110" s="204">
        <f t="shared" si="65"/>
        <v>23.285500000000003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 t="shared" si="66"/>
        <v>198</v>
      </c>
      <c r="AE110" s="77" t="str">
        <f t="shared" si="67"/>
        <v>aws s3 cp s3://rtdc.mdm.uploadarchive.raw/RTDC4027/ "%USERPROFILE%\AppData\Local\Temp\OnboardLogs"\RTDC4027\2017-09-21 --exclude "*" --recursive --include "*20170921*" &amp; "%USERPROFILE%\Documents\GitHub\mrs-test-scripts\Headless Mode &amp; Sideloading\WalkAndUnGZ.bat" "%USERPROFILE%\AppData\Local\Temp\OnboardLogs"\RTDC4027\2017-09-21 &amp; aws s3 cp s3://rtdc.mdm.uploadarchive.raw/RTDC4027/ "%USERPROFILE%\AppData\Local\Temp\OnboardLogs"\RTDC4027\2017-09-22 --exclude "*" --recursive --include "*20170922*" &amp; "%USERPROFILE%\Documents\GitHub\mrs-test-scripts\Headless Mode &amp; Sideloading\WalkAndUnGZ.bat" "%USERPROFILE%\AppData\Local\Temp\OnboardLogs"\RTDC4027\2017-09-22</v>
      </c>
      <c r="AF110" s="74" t="str">
        <f t="shared" si="68"/>
        <v>"C:\Program Files (x86)\AstroGrep\AstroGrep.exe" /e /r /s /spath="%USERPROFILE%\AppData\Local\Temp\OnboardLogs" /stypes="app*4027*20170921*" /stext=" 23:.+((SYSTEM_STATE.+slice.+state.+changed )|(ment ac)|(multiple cpu faults)|(system.+state.+changed )|(\[timeout)|(PRM\|1\|D)|(kpr)|(kdp)|(train st.+moving)|(\|lc)|(penalty))"</v>
      </c>
      <c r="AG110" s="182" t="str">
        <f t="shared" si="69"/>
        <v>EC</v>
      </c>
      <c r="AH110" s="78" t="str">
        <f t="shared" si="70"/>
        <v>"%USERPROFILE%\Documents\GitHub\eaglep3\Utilities\RefineRTDCRunTimes.py" --tripid 198-21 --locoid 4027 --swversion DE.1.0.9.0 --startMP 204:232998 --initTime 2017-09-21T16:08:51 --startdatetime 2017-09-21T16:42:18 --delay 75 --endMP 204:143 --enddatetime 2017-09-21T17:20:44 --enforcementcount 0 &gt;&gt;c:\users\stu\Documents\GitHub\eaglep3-reporting\EC\2017-09-21-refined-times.txt</v>
      </c>
      <c r="AI110" s="96" t="str">
        <f t="shared" si="71"/>
        <v>echo {"issue":{"subject":"","project_id":79,"tracker_id":40,"status_id":1,"priority_id":2,"assigned_to_id":338,"start_date":"2017-09-21","description":"","custom_fields":[{"id":1,"name":"Subdivision","value":"EC"},{"id":4,"name":"Milepost","value":"0.0143"},{"id":17,"name":"Train ID","value":"198-21"},{"id":16,"name":"Locomotive ID","value":"4027"},{"id":130,"name":"Impact","value":""},{"id":150,"name":"Time of Event (Mountain Time)","value":"17:20:44"},{"id":151,"name":"Denver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72"/>
        <v>start /low /b %USERPROFILE%\Documents\GitHub\eaglep3\Utilities\DownloadLogsFromS3.py --loco 4027 --day 2017-09-21</v>
      </c>
      <c r="AN110" s="151" t="str">
        <f t="shared" si="73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23:20:44"},{"id":29,"name":"Sharepoint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74"/>
        <v>https://d0f6bd738d7f1b3e5a7ca70fe4ff75f0.us-east-1.aws.found.io/app/kibana#/discover/Steve-Slow-Train-Analysis-(2080s-and-2083s)?_g=(refreshInterval:(display:Off,pause:!f,section:0,value:0),time:(from:'2017-09-21T15:08:51-0600',mode:absolute,to:'2017-09-21T18:20:44-0600'))&amp;_a=(columns:!('Message%20ID',Summary),filters:!(),index:'emp_*',interval:auto,query:(query_string:(analyze_wildcard:!t,query:'Message%5C+ID:(*)+AND+%22rtdc.l.rtdc.4027%22')),sort:!(Time.ISO8601,asc))</v>
      </c>
    </row>
    <row r="111" spans="1:91" s="20" customFormat="1" x14ac:dyDescent="0.25">
      <c r="A111" s="32" t="s">
        <v>748</v>
      </c>
      <c r="B111" s="7">
        <v>4030</v>
      </c>
      <c r="C111" s="21" t="s">
        <v>196</v>
      </c>
      <c r="D111" s="21" t="s">
        <v>362</v>
      </c>
      <c r="E111" s="13">
        <v>42999.664201388892</v>
      </c>
      <c r="F111" s="13">
        <v>42999.666805555556</v>
      </c>
      <c r="G111" s="7">
        <v>56</v>
      </c>
      <c r="H111" s="21" t="s">
        <v>548</v>
      </c>
      <c r="I111" s="13">
        <v>42999.692523148151</v>
      </c>
      <c r="J111" s="7">
        <v>0</v>
      </c>
      <c r="K111" s="89" t="str">
        <f t="shared" si="40"/>
        <v>4029/4030</v>
      </c>
      <c r="L111" s="185" t="str">
        <f>VLOOKUP(A111,'Trips&amp;Operators'!$C$1:$G$99911,5,FALSE)</f>
        <v>BADERTSCHER DIANE</v>
      </c>
      <c r="M111" s="6">
        <f t="shared" si="41"/>
        <v>2.5717592594446614E-2</v>
      </c>
      <c r="N111" s="7">
        <f t="shared" si="42"/>
        <v>37.033333336003125</v>
      </c>
      <c r="O111" s="7"/>
      <c r="P111" s="7"/>
      <c r="Q111" s="22"/>
      <c r="R111" s="174"/>
      <c r="S111" s="221">
        <f t="shared" si="43"/>
        <v>1</v>
      </c>
      <c r="T111" s="174" t="str">
        <f t="shared" si="44"/>
        <v>NorthBound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 t="shared" si="45"/>
        <v>https://d0f6bd738d7f1b3e5a7ca70fe4ff75f0.us-east-1.aws.found.io/app/kibana#/discover/Steve-Slow-Train-Analysis-(2080s-and-2083s)?_g=(refreshInterval:(display:Off,pause:!f,section:0,value:0),time:(from:'2017-09-21T14:56:27-0600',mode:absolute,to:'2017-09-21T17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1" s="204" t="str">
        <f>IF(AA111&lt;VLOOKUP(AG111,Variables!$AC$3:$AD$8,2,FALSE),"Y","N")</f>
        <v>N</v>
      </c>
      <c r="X111" s="204">
        <f t="shared" si="64"/>
        <v>1</v>
      </c>
      <c r="Y111" s="204">
        <f t="shared" si="47"/>
        <v>4.6399999999999997E-2</v>
      </c>
      <c r="Z111" s="204">
        <f t="shared" si="48"/>
        <v>23.325900000000001</v>
      </c>
      <c r="AA111" s="204">
        <f t="shared" si="49"/>
        <v>23.279500000000002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 t="shared" si="50"/>
        <v>199</v>
      </c>
      <c r="AE111" s="77" t="str">
        <f t="shared" si="51"/>
        <v>aws s3 cp s3://rtdc.mdm.uploadarchive.raw/RTDC4030/ "%USERPROFILE%\AppData\Local\Temp\OnboardLogs"\RTDC4030\2017-09-21 --exclude "*" --recursive --include "*20170921*" &amp; "%USERPROFILE%\Documents\GitHub\mrs-test-scripts\Headless Mode &amp; Sideloading\WalkAndUnGZ.bat" "%USERPROFILE%\AppData\Local\Temp\OnboardLogs"\RTDC4030\2017-09-21 &amp; aws s3 cp s3://rtdc.mdm.uploadarchive.raw/RTDC4030/ "%USERPROFILE%\AppData\Local\Temp\OnboardLogs"\RTDC4030\2017-09-22 --exclude "*" --recursive --include "*20170922*" &amp; "%USERPROFILE%\Documents\GitHub\mrs-test-scripts\Headless Mode &amp; Sideloading\WalkAndUnGZ.bat" "%USERPROFILE%\AppData\Local\Temp\OnboardLogs"\RTDC4030\2017-09-22</v>
      </c>
      <c r="AF111" s="74" t="str">
        <f t="shared" si="52"/>
        <v>"C:\Program Files (x86)\AstroGrep\AstroGrep.exe" /e /r /s /spath="%USERPROFILE%\AppData\Local\Temp\OnboardLogs" /stypes="app*4030*20170921*" /stext=" 22:.+((SYSTEM_STATE.+slice.+state.+changed )|(ment ac)|(multiple cpu faults)|(system.+state.+changed )|(\[timeout)|(PRM\|1\|D)|(kpr)|(kdp)|(train st.+moving)|(\|lc)|(penalty))"</v>
      </c>
      <c r="AG111" s="182" t="str">
        <f t="shared" si="53"/>
        <v>EC</v>
      </c>
      <c r="AH111" s="78" t="str">
        <f t="shared" si="54"/>
        <v>"%USERPROFILE%\Documents\GitHub\eaglep3\Utilities\RefineRTDCRunTimes.py" --tripid 199-21 --locoid 4030 --swversion DE.1.0.9.0 --startMP 204:464 --initTime 2017-09-21T15:56:27 --startdatetime 2017-09-21T16:00:12 --delay 56 --endMP 204:233259 --enddatetime 2017-09-21T16:37:14 --enforcementcount 0 &gt;&gt;c:\users\stu\Documents\GitHub\eaglep3-reporting\EC\2017-09-21-refined-times.txt</v>
      </c>
      <c r="AI111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{"issue":{"subject":"","project_id":79,"tracker_id":40,"status_id":1,"priority_id":2,"assigned_to_id":338,"start_date":"2017-09-21","description":"","custom_fields":[{"id":1,"name":"Subdivision","value":"EC"},{"id":4,"name":"Milepost","value":"23.3259"},{"id":17,"name":"Train ID","value":"199-21"},{"id":16,"name":"Locomotive ID","value":"4030"},{"id":130,"name":"Impact","value":""},{"id":150,"name":"Time of Event (Mountain Time)","value":"16:37:14"},{"id":151,"name":"Denver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56"/>
        <v>start /low /b %USERPROFILE%\Documents\GitHub\eaglep3\Utilities\DownloadLogsFromS3.py --loco 4030 --day 2017-09-21</v>
      </c>
      <c r="AN111" s="151" t="str">
        <f t="shared" si="57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22:37:14"},{"id":29,"name":"Sharepoint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58"/>
        <v>https://d0f6bd738d7f1b3e5a7ca70fe4ff75f0.us-east-1.aws.found.io/app/kibana#/discover/Steve-Slow-Train-Analysis-(2080s-and-2083s)?_g=(refreshInterval:(display:Off,pause:!f,section:0,value:0),time:(from:'2017-09-21T14:56:27-0600',mode:absolute,to:'2017-09-21T17:37:14-0600'))&amp;_a=(columns:!('Message%20ID',Summary),filters:!(),index:'emp_*',interval:auto,query:(query_string:(analyze_wildcard:!t,query:'Message%5C+ID:(*)+AND+%22rtdc.l.rtdc.4030%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613</v>
      </c>
      <c r="B112" s="7">
        <v>4029</v>
      </c>
      <c r="C112" s="21" t="s">
        <v>196</v>
      </c>
      <c r="D112" s="21" t="s">
        <v>428</v>
      </c>
      <c r="E112" s="13">
        <v>42999.700995370367</v>
      </c>
      <c r="F112" s="13">
        <v>42999.706458333334</v>
      </c>
      <c r="G112" s="7">
        <v>56</v>
      </c>
      <c r="H112" s="21" t="s">
        <v>390</v>
      </c>
      <c r="I112" s="13">
        <v>42999.733715277776</v>
      </c>
      <c r="J112" s="7">
        <v>0</v>
      </c>
      <c r="K112" s="89" t="str">
        <f t="shared" si="40"/>
        <v>4029/4030</v>
      </c>
      <c r="L112" s="185" t="str">
        <f>VLOOKUP(A112,'Trips&amp;Operators'!$C$1:$G$99911,5,FALSE)</f>
        <v>BADERTSCHER DIANE</v>
      </c>
      <c r="M112" s="6">
        <f t="shared" si="41"/>
        <v>2.7256944442342501E-2</v>
      </c>
      <c r="N112" s="7">
        <f t="shared" si="42"/>
        <v>39.249999996973202</v>
      </c>
      <c r="O112" s="7"/>
      <c r="P112" s="7"/>
      <c r="Q112" s="22"/>
      <c r="R112" s="174"/>
      <c r="S112" s="221">
        <f t="shared" si="43"/>
        <v>1</v>
      </c>
      <c r="T112" s="174" t="str">
        <f t="shared" si="44"/>
        <v>Southbound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 t="shared" si="45"/>
        <v>https://d0f6bd738d7f1b3e5a7ca70fe4ff75f0.us-east-1.aws.found.io/app/kibana#/discover/Steve-Slow-Train-Analysis-(2080s-and-2083s)?_g=(refreshInterval:(display:Off,pause:!f,section:0,value:0),time:(from:'2017-09-21T15:49:26-0600',mode:absolute,to:'2017-09-21T18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2" s="204" t="str">
        <f>IF(AA112&lt;VLOOKUP(AG112,Variables!$AC$3:$AD$8,2,FALSE),"Y","N")</f>
        <v>N</v>
      </c>
      <c r="X112" s="204">
        <f t="shared" si="46"/>
        <v>1</v>
      </c>
      <c r="Y112" s="204">
        <f t="shared" si="47"/>
        <v>23.298200000000001</v>
      </c>
      <c r="Z112" s="204">
        <f t="shared" si="48"/>
        <v>1.3899999999999999E-2</v>
      </c>
      <c r="AA112" s="204">
        <f t="shared" si="49"/>
        <v>23.284300000000002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 t="shared" si="50"/>
        <v>200</v>
      </c>
      <c r="AE112" s="77" t="str">
        <f t="shared" si="51"/>
        <v>aws s3 cp s3://rtdc.mdm.uploadarchive.raw/RTDC4029/ "%USERPROFILE%\AppData\Local\Temp\OnboardLogs"\RTDC4029\2017-09-21 --exclude "*" --recursive --include "*20170921*" &amp; "%USERPROFILE%\Documents\GitHub\mrs-test-scripts\Headless Mode &amp; Sideloading\WalkAndUnGZ.bat" "%USERPROFILE%\AppData\Local\Temp\OnboardLogs"\RTDC4029\2017-09-21 &amp; aws s3 cp s3://rtdc.mdm.uploadarchive.raw/RTDC4029/ "%USERPROFILE%\AppData\Local\Temp\OnboardLogs"\RTDC4029\2017-09-22 --exclude "*" --recursive --include "*20170922*" &amp; "%USERPROFILE%\Documents\GitHub\mrs-test-scripts\Headless Mode &amp; Sideloading\WalkAndUnGZ.bat" "%USERPROFILE%\AppData\Local\Temp\OnboardLogs"\RTDC4029\2017-09-22</v>
      </c>
      <c r="AF112" s="74" t="str">
        <f t="shared" si="52"/>
        <v>"C:\Program Files (x86)\AstroGrep\AstroGrep.exe" /e /r /s /spath="%USERPROFILE%\AppData\Local\Temp\OnboardLogs" /stypes="app*4029*20170921*" /stext=" 23:.+((SYSTEM_STATE.+slice.+state.+changed )|(ment ac)|(multiple cpu faults)|(system.+state.+changed )|(\[timeout)|(PRM\|1\|D)|(kpr)|(kdp)|(train st.+moving)|(\|lc)|(penalty))"</v>
      </c>
      <c r="AG112" s="182" t="str">
        <f t="shared" si="53"/>
        <v>EC</v>
      </c>
      <c r="AH112" s="78" t="str">
        <f t="shared" si="54"/>
        <v>"%USERPROFILE%\Documents\GitHub\eaglep3\Utilities\RefineRTDCRunTimes.py" --tripid 200-21 --locoid 4029 --swversion DE.1.0.9.0 --startMP 204:232982 --initTime 2017-09-21T16:49:26 --startdatetime 2017-09-21T16:57:18 --delay 56 --endMP 204:139 --enddatetime 2017-09-21T17:36:33 --enforcementcount 0 &gt;&gt;c:\users\stu\Documents\GitHub\eaglep3-reporting\EC\2017-09-21-refined-times.txt</v>
      </c>
      <c r="AI112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{"issue":{"subject":"","project_id":79,"tracker_id":40,"status_id":1,"priority_id":2,"assigned_to_id":338,"start_date":"2017-09-21","description":"","custom_fields":[{"id":1,"name":"Subdivision","value":"EC"},{"id":4,"name":"Milepost","value":"0.0139"},{"id":17,"name":"Train ID","value":"200-21"},{"id":16,"name":"Locomotive ID","value":"4029"},{"id":130,"name":"Impact","value":""},{"id":150,"name":"Time of Event (Mountain Time)","value":"17:36:33"},{"id":151,"name":"Denver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56"/>
        <v>start /low /b %USERPROFILE%\Documents\GitHub\eaglep3\Utilities\DownloadLogsFromS3.py --loco 4029 --day 2017-09-21</v>
      </c>
      <c r="AN112" s="151" t="str">
        <f t="shared" si="57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23:36:33"},{"id":29,"name":"Sharepoint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58"/>
        <v>https://d0f6bd738d7f1b3e5a7ca70fe4ff75f0.us-east-1.aws.found.io/app/kibana#/discover/Steve-Slow-Train-Analysis-(2080s-and-2083s)?_g=(refreshInterval:(display:Off,pause:!f,section:0,value:0),time:(from:'2017-09-21T15:49:26-0600',mode:absolute,to:'2017-09-21T18:36:33-0600'))&amp;_a=(columns:!('Message%20ID',Summary),filters:!(),index:'emp_*',interval:auto,query:(query_string:(analyze_wildcard:!t,query:'Message%5C+ID:(*)+AND+%22rtdc.l.rtdc.4029%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753</v>
      </c>
      <c r="B113" s="7">
        <v>4006</v>
      </c>
      <c r="C113" s="21" t="s">
        <v>196</v>
      </c>
      <c r="D113" s="21" t="s">
        <v>336</v>
      </c>
      <c r="E113" s="13">
        <v>42999.674166666664</v>
      </c>
      <c r="F113" s="13">
        <v>42999.677349537036</v>
      </c>
      <c r="G113" s="7">
        <v>50</v>
      </c>
      <c r="H113" s="21" t="s">
        <v>544</v>
      </c>
      <c r="I113" s="13">
        <v>42999.702245370368</v>
      </c>
      <c r="J113" s="7">
        <v>0</v>
      </c>
      <c r="K113" s="89" t="str">
        <f t="shared" si="40"/>
        <v>4005/4006</v>
      </c>
      <c r="L113" s="185" t="str">
        <f>VLOOKUP(A113,'Trips&amp;Operators'!$C$1:$G$99911,5,FALSE)</f>
        <v>HOLCOMB KAMDEN</v>
      </c>
      <c r="M113" s="6">
        <f t="shared" si="41"/>
        <v>2.4895833332266193E-2</v>
      </c>
      <c r="N113" s="7">
        <f t="shared" si="42"/>
        <v>35.849999998463318</v>
      </c>
      <c r="O113" s="7"/>
      <c r="P113" s="7"/>
      <c r="Q113" s="22"/>
      <c r="R113" s="174"/>
      <c r="S113" s="221">
        <f t="shared" si="43"/>
        <v>1</v>
      </c>
      <c r="T113" s="174" t="str">
        <f t="shared" si="44"/>
        <v>NorthBound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 t="shared" si="45"/>
        <v>https://d0f6bd738d7f1b3e5a7ca70fe4ff75f0.us-east-1.aws.found.io/app/kibana#/discover/Steve-Slow-Train-Analysis-(2080s-and-2083s)?_g=(refreshInterval:(display:Off,pause:!f,section:0,value:0),time:(from:'2017-09-21T15:10:48-0600',mode:absolute,to:'2017-09-21T17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3" s="204" t="str">
        <f>IF(AA113&lt;VLOOKUP(AG113,Variables!$AC$3:$AD$8,2,FALSE),"Y","N")</f>
        <v>N</v>
      </c>
      <c r="X113" s="204">
        <f t="shared" si="46"/>
        <v>1</v>
      </c>
      <c r="Y113" s="204">
        <f t="shared" si="47"/>
        <v>4.4600000000000001E-2</v>
      </c>
      <c r="Z113" s="204">
        <f t="shared" si="48"/>
        <v>23.3308</v>
      </c>
      <c r="AA113" s="204">
        <f t="shared" si="49"/>
        <v>23.286200000000001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 t="shared" si="50"/>
        <v>201</v>
      </c>
      <c r="AE113" s="77" t="str">
        <f t="shared" si="51"/>
        <v>aws s3 cp s3://rtdc.mdm.uploadarchive.raw/RTDC4006/ "%USERPROFILE%\AppData\Local\Temp\OnboardLogs"\RTDC4006\2017-09-21 --exclude "*" --recursive --include "*20170921*" &amp; "%USERPROFILE%\Documents\GitHub\mrs-test-scripts\Headless Mode &amp; Sideloading\WalkAndUnGZ.bat" "%USERPROFILE%\AppData\Local\Temp\OnboardLogs"\RTDC4006\2017-09-21 &amp; aws s3 cp s3://rtdc.mdm.uploadarchive.raw/RTDC4006/ "%USERPROFILE%\AppData\Local\Temp\OnboardLogs"\RTDC4006\2017-09-22 --exclude "*" --recursive --include "*20170922*" &amp; "%USERPROFILE%\Documents\GitHub\mrs-test-scripts\Headless Mode &amp; Sideloading\WalkAndUnGZ.bat" "%USERPROFILE%\AppData\Local\Temp\OnboardLogs"\RTDC4006\2017-09-22</v>
      </c>
      <c r="AF113" s="74" t="str">
        <f t="shared" si="52"/>
        <v>"C:\Program Files (x86)\AstroGrep\AstroGrep.exe" /e /r /s /spath="%USERPROFILE%\AppData\Local\Temp\OnboardLogs" /stypes="app*4006*20170921*" /stext=" 22:.+((SYSTEM_STATE.+slice.+state.+changed )|(ment ac)|(multiple cpu faults)|(system.+state.+changed )|(\[timeout)|(PRM\|1\|D)|(kpr)|(kdp)|(train st.+moving)|(\|lc)|(penalty))"</v>
      </c>
      <c r="AG113" s="182" t="str">
        <f t="shared" si="53"/>
        <v>EC</v>
      </c>
      <c r="AH113" s="78" t="str">
        <f t="shared" si="54"/>
        <v>"%USERPROFILE%\Documents\GitHub\eaglep3\Utilities\RefineRTDCRunTimes.py" --tripid 201-21 --locoid 4006 --swversion DE.1.0.9.0 --startMP 204:446 --initTime 2017-09-21T16:10:48 --startdatetime 2017-09-21T16:15:23 --delay 50 --endMP 204:233308 --enddatetime 2017-09-21T16:51:14 --enforcementcount 0 &gt;&gt;c:\users\stu\Documents\GitHub\eaglep3-reporting\EC\2017-09-21-refined-times.txt</v>
      </c>
      <c r="AI113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{"issue":{"subject":"","project_id":79,"tracker_id":40,"status_id":1,"priority_id":2,"assigned_to_id":338,"start_date":"2017-09-21","description":"","custom_fields":[{"id":1,"name":"Subdivision","value":"EC"},{"id":4,"name":"Milepost","value":"23.3308"},{"id":17,"name":"Train ID","value":"201-21"},{"id":16,"name":"Locomotive ID","value":"4006"},{"id":130,"name":"Impact","value":""},{"id":150,"name":"Time of Event (Mountain Time)","value":"16:51:14"},{"id":151,"name":"Denver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56"/>
        <v>start /low /b %USERPROFILE%\Documents\GitHub\eaglep3\Utilities\DownloadLogsFromS3.py --loco 4006 --day 2017-09-21</v>
      </c>
      <c r="AN113" s="151" t="str">
        <f t="shared" si="57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22:51:14"},{"id":29,"name":"Sharepoint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58"/>
        <v>https://d0f6bd738d7f1b3e5a7ca70fe4ff75f0.us-east-1.aws.found.io/app/kibana#/discover/Steve-Slow-Train-Analysis-(2080s-and-2083s)?_g=(refreshInterval:(display:Off,pause:!f,section:0,value:0),time:(from:'2017-09-21T15:10:48-0600',mode:absolute,to:'2017-09-21T17:51:14-0600'))&amp;_a=(columns:!('Message%20ID',Summary),filters:!(),index:'emp_*',interval:auto,query:(query_string:(analyze_wildcard:!t,query:'Message%5C+ID:(*)+AND+%22rtdc.l.rtdc.4006%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760</v>
      </c>
      <c r="B114" s="7">
        <v>4005</v>
      </c>
      <c r="C114" s="21" t="s">
        <v>196</v>
      </c>
      <c r="D114" s="21" t="s">
        <v>494</v>
      </c>
      <c r="E114" s="13">
        <v>42999.711724537039</v>
      </c>
      <c r="F114" s="13">
        <v>42999.716990740744</v>
      </c>
      <c r="G114" s="7">
        <v>73</v>
      </c>
      <c r="H114" s="21" t="s">
        <v>395</v>
      </c>
      <c r="I114" s="13">
        <v>42999.744432870371</v>
      </c>
      <c r="J114" s="7">
        <v>0</v>
      </c>
      <c r="K114" s="89" t="str">
        <f t="shared" si="40"/>
        <v>4005/4006</v>
      </c>
      <c r="L114" s="185" t="str">
        <f>VLOOKUP(A114,'Trips&amp;Operators'!$C$1:$G$99911,5,FALSE)</f>
        <v>HOLCOMB KAMDEN</v>
      </c>
      <c r="M114" s="6">
        <f t="shared" si="41"/>
        <v>2.7442129627161194E-2</v>
      </c>
      <c r="N114" s="7">
        <f t="shared" si="42"/>
        <v>39.516666663112119</v>
      </c>
      <c r="O114" s="7"/>
      <c r="P114" s="7"/>
      <c r="Q114" s="22"/>
      <c r="R114" s="174"/>
      <c r="S114" s="221">
        <f t="shared" si="43"/>
        <v>1</v>
      </c>
      <c r="T114" s="174" t="str">
        <f t="shared" si="44"/>
        <v>Southbound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 t="shared" si="45"/>
        <v>https://d0f6bd738d7f1b3e5a7ca70fe4ff75f0.us-east-1.aws.found.io/app/kibana#/discover/Steve-Slow-Train-Analysis-(2080s-and-2083s)?_g=(refreshInterval:(display:Off,pause:!f,section:0,value:0),time:(from:'2017-09-21T16:04:53-0600',mode:absolute,to:'2017-09-21T18:51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4" s="204" t="str">
        <f>IF(AA114&lt;VLOOKUP(AG114,Variables!$AC$3:$AD$8,2,FALSE),"Y","N")</f>
        <v>N</v>
      </c>
      <c r="X114" s="204">
        <f t="shared" si="46"/>
        <v>1</v>
      </c>
      <c r="Y114" s="204">
        <f t="shared" si="47"/>
        <v>23.3004</v>
      </c>
      <c r="Z114" s="204">
        <f t="shared" si="48"/>
        <v>1.3599999999999999E-2</v>
      </c>
      <c r="AA114" s="204">
        <f t="shared" si="49"/>
        <v>23.286799999999999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 t="shared" si="50"/>
        <v>202</v>
      </c>
      <c r="AE114" s="77" t="str">
        <f t="shared" si="51"/>
        <v>aws s3 cp s3://rtdc.mdm.uploadarchive.raw/RTDC4005/ "%USERPROFILE%\AppData\Local\Temp\OnboardLogs"\RTDC4005\2017-09-21 --exclude "*" --recursive --include "*20170921*" &amp; "%USERPROFILE%\Documents\GitHub\mrs-test-scripts\Headless Mode &amp; Sideloading\WalkAndUnGZ.bat" "%USERPROFILE%\AppData\Local\Temp\OnboardLogs"\RTDC4005\2017-09-21 &amp; aws s3 cp s3://rtdc.mdm.uploadarchive.raw/RTDC4005/ "%USERPROFILE%\AppData\Local\Temp\OnboardLogs"\RTDC4005\2017-09-22 --exclude "*" --recursive --include "*20170922*" &amp; "%USERPROFILE%\Documents\GitHub\mrs-test-scripts\Headless Mode &amp; Sideloading\WalkAndUnGZ.bat" "%USERPROFILE%\AppData\Local\Temp\OnboardLogs"\RTDC4005\2017-09-22</v>
      </c>
      <c r="AF114" s="74" t="str">
        <f t="shared" si="52"/>
        <v>"C:\Program Files (x86)\AstroGrep\AstroGrep.exe" /e /r /s /spath="%USERPROFILE%\AppData\Local\Temp\OnboardLogs" /stypes="app*4005*20170921*" /stext=" 23:.+((SYSTEM_STATE.+slice.+state.+changed )|(ment ac)|(multiple cpu faults)|(system.+state.+changed )|(\[timeout)|(PRM\|1\|D)|(kpr)|(kdp)|(train st.+moving)|(\|lc)|(penalty))"</v>
      </c>
      <c r="AG114" s="182" t="str">
        <f t="shared" si="53"/>
        <v>EC</v>
      </c>
      <c r="AH114" s="78" t="str">
        <f t="shared" si="54"/>
        <v>"%USERPROFILE%\Documents\GitHub\eaglep3\Utilities\RefineRTDCRunTimes.py" --tripid 202-21 --locoid 4005 --swversion DE.1.0.9.0 --startMP 204:233004 --initTime 2017-09-21T17:04:53 --startdatetime 2017-09-21T17:12:28 --delay 73 --endMP 204:136 --enddatetime 2017-09-21T17:51:59 --enforcementcount 0 &gt;&gt;c:\users\stu\Documents\GitHub\eaglep3-reporting\EC\2017-09-21-refined-times.txt</v>
      </c>
      <c r="AI114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{"issue":{"subject":"","project_id":79,"tracker_id":40,"status_id":1,"priority_id":2,"assigned_to_id":338,"start_date":"2017-09-21","description":"","custom_fields":[{"id":1,"name":"Subdivision","value":"EC"},{"id":4,"name":"Milepost","value":"0.0136"},{"id":17,"name":"Train ID","value":"202-21"},{"id":16,"name":"Locomotive ID","value":"4005"},{"id":130,"name":"Impact","value":""},{"id":150,"name":"Time of Event (Mountain Time)","value":"17:51:59"},{"id":151,"name":"Denver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56"/>
        <v>start /low /b %USERPROFILE%\Documents\GitHub\eaglep3\Utilities\DownloadLogsFromS3.py --loco 4005 --day 2017-09-21</v>
      </c>
      <c r="AN114" s="151" t="str">
        <f t="shared" si="57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23:51:59"},{"id":29,"name":"Sharepoint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58"/>
        <v>https://d0f6bd738d7f1b3e5a7ca70fe4ff75f0.us-east-1.aws.found.io/app/kibana#/discover/Steve-Slow-Train-Analysis-(2080s-and-2083s)?_g=(refreshInterval:(display:Off,pause:!f,section:0,value:0),time:(from:'2017-09-21T16:04:53-0600',mode:absolute,to:'2017-09-21T18:51:59-0600'))&amp;_a=(columns:!('Message%20ID',Summary),filters:!(),index:'emp_*',interval:auto,query:(query_string:(analyze_wildcard:!t,query:'Message%5C+ID:(*)+AND+%22rtdc.l.rtdc.4005%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755</v>
      </c>
      <c r="B115" s="7">
        <v>4014</v>
      </c>
      <c r="C115" s="21" t="s">
        <v>196</v>
      </c>
      <c r="D115" s="21" t="s">
        <v>414</v>
      </c>
      <c r="E115" s="13">
        <v>42999.68173611111</v>
      </c>
      <c r="F115" s="13">
        <v>42999.687662037039</v>
      </c>
      <c r="G115" s="7">
        <v>125</v>
      </c>
      <c r="H115" s="21" t="s">
        <v>401</v>
      </c>
      <c r="I115" s="13">
        <v>42999.712523148148</v>
      </c>
      <c r="J115" s="7">
        <v>0</v>
      </c>
      <c r="K115" s="89" t="str">
        <f t="shared" si="40"/>
        <v>4013/4014</v>
      </c>
      <c r="L115" s="185" t="str">
        <f>VLOOKUP(A115,'Trips&amp;Operators'!$C$1:$G$99911,5,FALSE)</f>
        <v>BRUDER RICHARD</v>
      </c>
      <c r="M115" s="6">
        <f t="shared" si="41"/>
        <v>2.4861111109203193E-2</v>
      </c>
      <c r="N115" s="7">
        <f t="shared" si="42"/>
        <v>35.799999997252598</v>
      </c>
      <c r="O115" s="7"/>
      <c r="P115" s="7"/>
      <c r="Q115" s="22"/>
      <c r="R115" s="174"/>
      <c r="S115" s="221">
        <f t="shared" si="43"/>
        <v>1</v>
      </c>
      <c r="T115" s="174" t="str">
        <f t="shared" si="44"/>
        <v>NorthBound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 t="shared" si="45"/>
        <v>https://d0f6bd738d7f1b3e5a7ca70fe4ff75f0.us-east-1.aws.found.io/app/kibana#/discover/Steve-Slow-Train-Analysis-(2080s-and-2083s)?_g=(refreshInterval:(display:Off,pause:!f,section:0,value:0),time:(from:'2017-09-21T15:21:42-0600',mode:absolute,to:'2017-09-21T18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5" s="204" t="str">
        <f>IF(AA115&lt;VLOOKUP(AG115,Variables!$AC$3:$AD$8,2,FALSE),"Y","N")</f>
        <v>N</v>
      </c>
      <c r="X115" s="204">
        <f t="shared" si="46"/>
        <v>1</v>
      </c>
      <c r="Y115" s="204">
        <f t="shared" si="47"/>
        <v>4.4699999999999997E-2</v>
      </c>
      <c r="Z115" s="204">
        <f t="shared" si="48"/>
        <v>23.328900000000001</v>
      </c>
      <c r="AA115" s="204">
        <f t="shared" si="49"/>
        <v>23.284200000000002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 t="shared" si="50"/>
        <v>203</v>
      </c>
      <c r="AE115" s="77" t="str">
        <f t="shared" si="51"/>
        <v>aws s3 cp s3://rtdc.mdm.uploadarchive.raw/RTDC4014/ "%USERPROFILE%\AppData\Local\Temp\OnboardLogs"\RTDC4014\2017-09-21 --exclude "*" --recursive --include "*20170921*" &amp; "%USERPROFILE%\Documents\GitHub\mrs-test-scripts\Headless Mode &amp; Sideloading\WalkAndUnGZ.bat" "%USERPROFILE%\AppData\Local\Temp\OnboardLogs"\RTDC4014\2017-09-21 &amp; aws s3 cp s3://rtdc.mdm.uploadarchive.raw/RTDC4014/ "%USERPROFILE%\AppData\Local\Temp\OnboardLogs"\RTDC4014\2017-09-22 --exclude "*" --recursive --include "*20170922*" &amp; "%USERPROFILE%\Documents\GitHub\mrs-test-scripts\Headless Mode &amp; Sideloading\WalkAndUnGZ.bat" "%USERPROFILE%\AppData\Local\Temp\OnboardLogs"\RTDC4014\2017-09-22</v>
      </c>
      <c r="AF115" s="74" t="str">
        <f t="shared" si="52"/>
        <v>"C:\Program Files (x86)\AstroGrep\AstroGrep.exe" /e /r /s /spath="%USERPROFILE%\AppData\Local\Temp\OnboardLogs" /stypes="app*4014*20170921*" /stext=" 23:.+((SYSTEM_STATE.+slice.+state.+changed )|(ment ac)|(multiple cpu faults)|(system.+state.+changed )|(\[timeout)|(PRM\|1\|D)|(kpr)|(kdp)|(train st.+moving)|(\|lc)|(penalty))"</v>
      </c>
      <c r="AG115" s="182" t="str">
        <f t="shared" si="53"/>
        <v>EC</v>
      </c>
      <c r="AH115" s="78" t="str">
        <f t="shared" si="54"/>
        <v>"%USERPROFILE%\Documents\GitHub\eaglep3\Utilities\RefineRTDCRunTimes.py" --tripid 203-21 --locoid 4014 --swversion DE.1.0.9.0 --startMP 204:447 --initTime 2017-09-21T16:21:42 --startdatetime 2017-09-21T16:30:14 --delay 125 --endMP 204:233289 --enddatetime 2017-09-21T17:06:02 --enforcementcount 0 &gt;&gt;c:\users\stu\Documents\GitHub\eaglep3-reporting\EC\2017-09-21-refined-times.txt</v>
      </c>
      <c r="AI115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{"issue":{"subject":"","project_id":79,"tracker_id":40,"status_id":1,"priority_id":2,"assigned_to_id":338,"start_date":"2017-09-21","description":"","custom_fields":[{"id":1,"name":"Subdivision","value":"EC"},{"id":4,"name":"Milepost","value":"23.3289"},{"id":17,"name":"Train ID","value":"203-21"},{"id":16,"name":"Locomotive ID","value":"4014"},{"id":130,"name":"Impact","value":""},{"id":150,"name":"Time of Event (Mountain Time)","value":"17:06:02"},{"id":151,"name":"Denver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56"/>
        <v>start /low /b %USERPROFILE%\Documents\GitHub\eaglep3\Utilities\DownloadLogsFromS3.py --loco 4014 --day 2017-09-21</v>
      </c>
      <c r="AN115" s="151" t="str">
        <f t="shared" si="57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23:06:02"},{"id":29,"name":"Sharepoint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58"/>
        <v>https://d0f6bd738d7f1b3e5a7ca70fe4ff75f0.us-east-1.aws.found.io/app/kibana#/discover/Steve-Slow-Train-Analysis-(2080s-and-2083s)?_g=(refreshInterval:(display:Off,pause:!f,section:0,value:0),time:(from:'2017-09-21T15:21:42-0600',mode:absolute,to:'2017-09-21T18:06:02-0600'))&amp;_a=(columns:!('Message%20ID',Summary),filters:!(),index:'emp_*',interval:auto,query:(query_string:(analyze_wildcard:!t,query:'Message%5C+ID:(*)+AND+%22rtdc.l.rtdc.4014%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765</v>
      </c>
      <c r="B116" s="7">
        <v>4013</v>
      </c>
      <c r="C116" s="21" t="s">
        <v>196</v>
      </c>
      <c r="D116" s="21" t="s">
        <v>416</v>
      </c>
      <c r="E116" s="13">
        <v>42999.724745370368</v>
      </c>
      <c r="F116" s="13">
        <v>42999.727256944447</v>
      </c>
      <c r="G116" s="7">
        <v>123</v>
      </c>
      <c r="H116" s="21" t="s">
        <v>379</v>
      </c>
      <c r="I116" s="13">
        <v>42999.752291666664</v>
      </c>
      <c r="J116" s="7">
        <v>0</v>
      </c>
      <c r="K116" s="89" t="str">
        <f t="shared" si="40"/>
        <v>4013/4014</v>
      </c>
      <c r="L116" s="185" t="str">
        <f>VLOOKUP(A116,'Trips&amp;Operators'!$C$1:$G$99911,5,FALSE)</f>
        <v>BRUDER RICHARD</v>
      </c>
      <c r="M116" s="6">
        <f t="shared" si="41"/>
        <v>2.5034722217242233E-2</v>
      </c>
      <c r="N116" s="7">
        <f t="shared" si="42"/>
        <v>36.049999992828816</v>
      </c>
      <c r="O116" s="7"/>
      <c r="P116" s="7"/>
      <c r="Q116" s="22"/>
      <c r="R116" s="174"/>
      <c r="S116" s="221">
        <f t="shared" si="43"/>
        <v>1</v>
      </c>
      <c r="T116" s="174" t="str">
        <f t="shared" si="44"/>
        <v>Southbound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 t="shared" si="45"/>
        <v>https://d0f6bd738d7f1b3e5a7ca70fe4ff75f0.us-east-1.aws.found.io/app/kibana#/discover/Steve-Slow-Train-Analysis-(2080s-and-2083s)?_g=(refreshInterval:(display:Off,pause:!f,section:0,value:0),time:(from:'2017-09-21T16:23:38-0600',mode:absolute,to:'2017-09-21T19:03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6" s="204" t="str">
        <f>IF(AA116&lt;VLOOKUP(AG116,Variables!$AC$3:$AD$8,2,FALSE),"Y","N")</f>
        <v>N</v>
      </c>
      <c r="X116" s="204">
        <f t="shared" si="46"/>
        <v>1</v>
      </c>
      <c r="Y116" s="204">
        <f t="shared" si="47"/>
        <v>23.297799999999999</v>
      </c>
      <c r="Z116" s="204">
        <f t="shared" si="48"/>
        <v>1.6E-2</v>
      </c>
      <c r="AA116" s="204">
        <f t="shared" si="49"/>
        <v>23.2818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 t="shared" si="50"/>
        <v>204</v>
      </c>
      <c r="AE116" s="77" t="str">
        <f t="shared" si="51"/>
        <v>aws s3 cp s3://rtdc.mdm.uploadarchive.raw/RTDC4013/ "%USERPROFILE%\AppData\Local\Temp\OnboardLogs"\RTDC4013\2017-09-21 --exclude "*" --recursive --include "*20170921*" &amp; "%USERPROFILE%\Documents\GitHub\mrs-test-scripts\Headless Mode &amp; Sideloading\WalkAndUnGZ.bat" "%USERPROFILE%\AppData\Local\Temp\OnboardLogs"\RTDC4013\2017-09-21 &amp; aws s3 cp s3://rtdc.mdm.uploadarchive.raw/RTDC4013/ "%USERPROFILE%\AppData\Local\Temp\OnboardLogs"\RTDC4013\2017-09-22 --exclude "*" --recursive --include "*20170922*" &amp; "%USERPROFILE%\Documents\GitHub\mrs-test-scripts\Headless Mode &amp; Sideloading\WalkAndUnGZ.bat" "%USERPROFILE%\AppData\Local\Temp\OnboardLogs"\RTDC4013\2017-09-22</v>
      </c>
      <c r="AF116" s="74" t="str">
        <f t="shared" si="52"/>
        <v>"C:\Program Files (x86)\AstroGrep\AstroGrep.exe" /e /r /s /spath="%USERPROFILE%\AppData\Local\Temp\OnboardLogs" /stypes="app*4013*20170922*" /stext=" 00:.+((SYSTEM_STATE.+slice.+state.+changed )|(ment ac)|(multiple cpu faults)|(system.+state.+changed )|(\[timeout)|(PRM\|1\|D)|(kpr)|(kdp)|(train st.+moving)|(\|lc)|(penalty))"</v>
      </c>
      <c r="AG116" s="182" t="str">
        <f t="shared" si="53"/>
        <v>EC</v>
      </c>
      <c r="AH116" s="78" t="str">
        <f t="shared" si="54"/>
        <v>"%USERPROFILE%\Documents\GitHub\eaglep3\Utilities\RefineRTDCRunTimes.py" --tripid 204-21 --locoid 4013 --swversion DE.1.0.9.0 --startMP 204:232978 --initTime 2017-09-21T17:23:38 --startdatetime 2017-09-21T17:27:15 --delay 123 --endMP 204:160 --enddatetime 2017-09-21T18:03:18 --enforcementcount 0 &gt;&gt;c:\users\stu\Documents\GitHub\eaglep3-reporting\EC\2017-09-21-refined-times.txt</v>
      </c>
      <c r="AI116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{"issue":{"subject":"","project_id":79,"tracker_id":40,"status_id":1,"priority_id":2,"assigned_to_id":338,"start_date":"2017-09-21","description":"","custom_fields":[{"id":1,"name":"Subdivision","value":"EC"},{"id":4,"name":"Milepost","value":"0.016"},{"id":17,"name":"Train ID","value":"204-21"},{"id":16,"name":"Locomotive ID","value":"4013"},{"id":130,"name":"Impact","value":""},{"id":150,"name":"Time of Event (Mountain Time)","value":"18:03:18"},{"id":151,"name":"Denver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56"/>
        <v>start /low /b %USERPROFILE%\Documents\GitHub\eaglep3\Utilities\DownloadLogsFromS3.py --loco 4013 --day 2017-09-21</v>
      </c>
      <c r="AN116" s="151" t="str">
        <f t="shared" si="57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00:03:18"},{"id":29,"name":"Sharepoint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58"/>
        <v>https://d0f6bd738d7f1b3e5a7ca70fe4ff75f0.us-east-1.aws.found.io/app/kibana#/discover/Steve-Slow-Train-Analysis-(2080s-and-2083s)?_g=(refreshInterval:(display:Off,pause:!f,section:0,value:0),time:(from:'2017-09-21T16:23:38-0600',mode:absolute,to:'2017-09-21T19:03:18-0600'))&amp;_a=(columns:!('Message%20ID',Summary),filters:!(),index:'emp_*',interval:auto,query:(query_string:(analyze_wildcard:!t,query:'Message%5C+ID:(*)+AND+%22rtdc.l.rtdc.4013%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612</v>
      </c>
      <c r="B117" s="7">
        <v>4010</v>
      </c>
      <c r="C117" s="21" t="s">
        <v>196</v>
      </c>
      <c r="D117" s="21" t="s">
        <v>380</v>
      </c>
      <c r="E117" s="13">
        <v>42999.692962962959</v>
      </c>
      <c r="F117" s="13">
        <v>42999.698310185187</v>
      </c>
      <c r="G117" s="7">
        <v>60</v>
      </c>
      <c r="H117" s="21" t="s">
        <v>465</v>
      </c>
      <c r="I117" s="13">
        <v>42999.72378472222</v>
      </c>
      <c r="J117" s="7">
        <v>0</v>
      </c>
      <c r="K117" s="89" t="str">
        <f t="shared" si="40"/>
        <v>4009/4010</v>
      </c>
      <c r="L117" s="185" t="str">
        <f>VLOOKUP(A117,'Trips&amp;Operators'!$C$1:$G$99911,5,FALSE)</f>
        <v>ROBINSON KADDIBA</v>
      </c>
      <c r="M117" s="6">
        <f t="shared" si="41"/>
        <v>2.5474537033005618E-2</v>
      </c>
      <c r="N117" s="7">
        <f t="shared" si="42"/>
        <v>36.683333327528089</v>
      </c>
      <c r="O117" s="7"/>
      <c r="P117" s="7"/>
      <c r="Q117" s="22"/>
      <c r="R117" s="174"/>
      <c r="S117" s="221">
        <f t="shared" si="43"/>
        <v>1</v>
      </c>
      <c r="T117" s="174" t="str">
        <f t="shared" si="44"/>
        <v>NorthBound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 t="shared" si="45"/>
        <v>https://d0f6bd738d7f1b3e5a7ca70fe4ff75f0.us-east-1.aws.found.io/app/kibana#/discover/Steve-Slow-Train-Analysis-(2080s-and-2083s)?_g=(refreshInterval:(display:Off,pause:!f,section:0,value:0),time:(from:'2017-09-21T15:37:52-0600',mode:absolute,to:'2017-09-21T18:22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7" s="204" t="str">
        <f>IF(AA117&lt;VLOOKUP(AG117,Variables!$AC$3:$AD$8,2,FALSE),"Y","N")</f>
        <v>N</v>
      </c>
      <c r="X117" s="204">
        <f t="shared" si="46"/>
        <v>1</v>
      </c>
      <c r="Y117" s="204">
        <f t="shared" si="47"/>
        <v>4.5999999999999999E-2</v>
      </c>
      <c r="Z117" s="204">
        <f t="shared" si="48"/>
        <v>23.329499999999999</v>
      </c>
      <c r="AA117" s="204">
        <f t="shared" si="49"/>
        <v>23.2835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 t="shared" si="50"/>
        <v>205</v>
      </c>
      <c r="AE117" s="77" t="str">
        <f t="shared" si="51"/>
        <v>aws s3 cp s3://rtdc.mdm.uploadarchive.raw/RTDC4010/ "%USERPROFILE%\AppData\Local\Temp\OnboardLogs"\RTDC4010\2017-09-21 --exclude "*" --recursive --include "*20170921*" &amp; "%USERPROFILE%\Documents\GitHub\mrs-test-scripts\Headless Mode &amp; Sideloading\WalkAndUnGZ.bat" "%USERPROFILE%\AppData\Local\Temp\OnboardLogs"\RTDC4010\2017-09-21 &amp; aws s3 cp s3://rtdc.mdm.uploadarchive.raw/RTDC4010/ "%USERPROFILE%\AppData\Local\Temp\OnboardLogs"\RTDC4010\2017-09-22 --exclude "*" --recursive --include "*20170922*" &amp; "%USERPROFILE%\Documents\GitHub\mrs-test-scripts\Headless Mode &amp; Sideloading\WalkAndUnGZ.bat" "%USERPROFILE%\AppData\Local\Temp\OnboardLogs"\RTDC4010\2017-09-22</v>
      </c>
      <c r="AF117" s="74" t="str">
        <f t="shared" si="52"/>
        <v>"C:\Program Files (x86)\AstroGrep\AstroGrep.exe" /e /r /s /spath="%USERPROFILE%\AppData\Local\Temp\OnboardLogs" /stypes="app*4010*20170921*" /stext=" 23:.+((SYSTEM_STATE.+slice.+state.+changed )|(ment ac)|(multiple cpu faults)|(system.+state.+changed )|(\[timeout)|(PRM\|1\|D)|(kpr)|(kdp)|(train st.+moving)|(\|lc)|(penalty))"</v>
      </c>
      <c r="AG117" s="182" t="str">
        <f t="shared" si="53"/>
        <v>EC</v>
      </c>
      <c r="AH117" s="78" t="str">
        <f t="shared" si="54"/>
        <v>"%USERPROFILE%\Documents\GitHub\eaglep3\Utilities\RefineRTDCRunTimes.py" --tripid 205-21 --locoid 4010 --swversion DE.1.0.9.0 --startMP 204:460 --initTime 2017-09-21T16:37:52 --startdatetime 2017-09-21T16:45:34 --delay 60 --endMP 204:233295 --enddatetime 2017-09-21T17:22:15 --enforcementcount 0 &gt;&gt;c:\users\stu\Documents\GitHub\eaglep3-reporting\EC\2017-09-21-refined-times.txt</v>
      </c>
      <c r="AI117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{"issue":{"subject":"","project_id":79,"tracker_id":40,"status_id":1,"priority_id":2,"assigned_to_id":338,"start_date":"2017-09-21","description":"","custom_fields":[{"id":1,"name":"Subdivision","value":"EC"},{"id":4,"name":"Milepost","value":"23.3295"},{"id":17,"name":"Train ID","value":"205-21"},{"id":16,"name":"Locomotive ID","value":"4010"},{"id":130,"name":"Impact","value":""},{"id":150,"name":"Time of Event (Mountain Time)","value":"17:22:15"},{"id":151,"name":"Denver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56"/>
        <v>start /low /b %USERPROFILE%\Documents\GitHub\eaglep3\Utilities\DownloadLogsFromS3.py --loco 4010 --day 2017-09-21</v>
      </c>
      <c r="AN117" s="151" t="str">
        <f t="shared" si="57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23:22:15"},{"id":29,"name":"Sharepoint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58"/>
        <v>https://d0f6bd738d7f1b3e5a7ca70fe4ff75f0.us-east-1.aws.found.io/app/kibana#/discover/Steve-Slow-Train-Analysis-(2080s-and-2083s)?_g=(refreshInterval:(display:Off,pause:!f,section:0,value:0),time:(from:'2017-09-21T15:37:52-0600',mode:absolute,to:'2017-09-21T18:22:15-0600'))&amp;_a=(columns:!('Message%20ID',Summary),filters:!(),index:'emp_*',interval:auto,query:(query_string:(analyze_wildcard:!t,query:'Message%5C+ID:(*)+AND+%22rtdc.l.rtdc.4010%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771</v>
      </c>
      <c r="B118" s="7">
        <v>4009</v>
      </c>
      <c r="C118" s="21" t="s">
        <v>196</v>
      </c>
      <c r="D118" s="21" t="s">
        <v>838</v>
      </c>
      <c r="E118" s="13">
        <v>42999.733831018515</v>
      </c>
      <c r="F118" s="13">
        <v>42999.737708333334</v>
      </c>
      <c r="G118" s="7">
        <v>72</v>
      </c>
      <c r="H118" s="21" t="s">
        <v>337</v>
      </c>
      <c r="I118" s="13">
        <v>42999.764745370368</v>
      </c>
      <c r="J118" s="7">
        <v>0</v>
      </c>
      <c r="K118" s="89" t="str">
        <f t="shared" si="40"/>
        <v>4009/4010</v>
      </c>
      <c r="L118" s="185" t="str">
        <f>VLOOKUP(A118,'Trips&amp;Operators'!$C$1:$G$99911,5,FALSE)</f>
        <v>ROBINSON KADDIBA</v>
      </c>
      <c r="M118" s="6">
        <f t="shared" si="41"/>
        <v>2.7037037034460809E-2</v>
      </c>
      <c r="N118" s="7">
        <f t="shared" si="42"/>
        <v>38.933333329623565</v>
      </c>
      <c r="O118" s="7"/>
      <c r="P118" s="7"/>
      <c r="Q118" s="22"/>
      <c r="R118" s="174"/>
      <c r="S118" s="221">
        <f t="shared" si="43"/>
        <v>1</v>
      </c>
      <c r="T118" s="174" t="str">
        <f t="shared" si="44"/>
        <v>Southbound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 t="shared" si="45"/>
        <v>https://d0f6bd738d7f1b3e5a7ca70fe4ff75f0.us-east-1.aws.found.io/app/kibana#/discover/Steve-Slow-Train-Analysis-(2080s-and-2083s)?_g=(refreshInterval:(display:Off,pause:!f,section:0,value:0),time:(from:'2017-09-21T16:36:43-0600',mode:absolute,to:'2017-09-21T19:21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8" s="204" t="str">
        <f>IF(AA118&lt;VLOOKUP(AG118,Variables!$AC$3:$AD$8,2,FALSE),"Y","N")</f>
        <v>N</v>
      </c>
      <c r="X118" s="204">
        <f t="shared" si="46"/>
        <v>1</v>
      </c>
      <c r="Y118" s="204">
        <f t="shared" si="47"/>
        <v>23.297899999999998</v>
      </c>
      <c r="Z118" s="204">
        <f t="shared" si="48"/>
        <v>1.4999999999999999E-2</v>
      </c>
      <c r="AA118" s="204">
        <f t="shared" si="49"/>
        <v>23.282899999999998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 t="shared" si="50"/>
        <v>206</v>
      </c>
      <c r="AE118" s="77" t="str">
        <f t="shared" si="51"/>
        <v>aws s3 cp s3://rtdc.mdm.uploadarchive.raw/RTDC4009/ "%USERPROFILE%\AppData\Local\Temp\OnboardLogs"\RTDC4009\2017-09-21 --exclude "*" --recursive --include "*20170921*" &amp; "%USERPROFILE%\Documents\GitHub\mrs-test-scripts\Headless Mode &amp; Sideloading\WalkAndUnGZ.bat" "%USERPROFILE%\AppData\Local\Temp\OnboardLogs"\RTDC4009\2017-09-21 &amp; aws s3 cp s3://rtdc.mdm.uploadarchive.raw/RTDC4009/ "%USERPROFILE%\AppData\Local\Temp\OnboardLogs"\RTDC4009\2017-09-22 --exclude "*" --recursive --include "*20170922*" &amp; "%USERPROFILE%\Documents\GitHub\mrs-test-scripts\Headless Mode &amp; Sideloading\WalkAndUnGZ.bat" "%USERPROFILE%\AppData\Local\Temp\OnboardLogs"\RTDC4009\2017-09-22</v>
      </c>
      <c r="AF118" s="74" t="str">
        <f t="shared" si="52"/>
        <v>"C:\Program Files (x86)\AstroGrep\AstroGrep.exe" /e /r /s /spath="%USERPROFILE%\AppData\Local\Temp\OnboardLogs" /stypes="app*4009*20170922*" /stext=" 00:.+((SYSTEM_STATE.+slice.+state.+changed )|(ment ac)|(multiple cpu faults)|(system.+state.+changed )|(\[timeout)|(PRM\|1\|D)|(kpr)|(kdp)|(train st.+moving)|(\|lc)|(penalty))"</v>
      </c>
      <c r="AG118" s="182" t="str">
        <f t="shared" si="53"/>
        <v>EC</v>
      </c>
      <c r="AH118" s="78" t="str">
        <f t="shared" si="54"/>
        <v>"%USERPROFILE%\Documents\GitHub\eaglep3\Utilities\RefineRTDCRunTimes.py" --tripid 206-21 --locoid 4009 --swversion DE.1.0.9.0 --startMP 204:232979 --initTime 2017-09-21T17:36:43 --startdatetime 2017-09-21T17:42:18 --delay 72 --endMP 204:150 --enddatetime 2017-09-21T18:21:14 --enforcementcount 0 &gt;&gt;c:\users\stu\Documents\GitHub\eaglep3-reporting\EC\2017-09-21-refined-times.txt</v>
      </c>
      <c r="AI118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{"issue":{"subject":"","project_id":79,"tracker_id":40,"status_id":1,"priority_id":2,"assigned_to_id":338,"start_date":"2017-09-21","description":"","custom_fields":[{"id":1,"name":"Subdivision","value":"EC"},{"id":4,"name":"Milepost","value":"0.015"},{"id":17,"name":"Train ID","value":"206-21"},{"id":16,"name":"Locomotive ID","value":"4009"},{"id":130,"name":"Impact","value":""},{"id":150,"name":"Time of Event (Mountain Time)","value":"18:21:14"},{"id":151,"name":"Denver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56"/>
        <v>start /low /b %USERPROFILE%\Documents\GitHub\eaglep3\Utilities\DownloadLogsFromS3.py --loco 4009 --day 2017-09-21</v>
      </c>
      <c r="AN118" s="151" t="str">
        <f t="shared" si="57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00:21:14"},{"id":29,"name":"Sharepoint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58"/>
        <v>https://d0f6bd738d7f1b3e5a7ca70fe4ff75f0.us-east-1.aws.found.io/app/kibana#/discover/Steve-Slow-Train-Analysis-(2080s-and-2083s)?_g=(refreshInterval:(display:Off,pause:!f,section:0,value:0),time:(from:'2017-09-21T16:36:43-0600',mode:absolute,to:'2017-09-21T19:21:14-0600'))&amp;_a=(columns:!('Message%20ID',Summary),filters:!(),index:'emp_*',interval:auto,query:(query_string:(analyze_wildcard:!t,query:'Message%5C+ID:(*)+AND+%22rtdc.l.rtdc.4009%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758</v>
      </c>
      <c r="B119" s="7">
        <v>4018</v>
      </c>
      <c r="C119" s="21" t="s">
        <v>196</v>
      </c>
      <c r="D119" s="21" t="s">
        <v>414</v>
      </c>
      <c r="E119" s="13">
        <v>42999.703101851854</v>
      </c>
      <c r="F119" s="13">
        <v>42999.708622685182</v>
      </c>
      <c r="G119" s="7">
        <v>63</v>
      </c>
      <c r="H119" s="21" t="s">
        <v>871</v>
      </c>
      <c r="I119" s="13">
        <v>42999.733807870369</v>
      </c>
      <c r="J119" s="7">
        <v>0</v>
      </c>
      <c r="K119" s="89" t="str">
        <f t="shared" si="40"/>
        <v>4017/4018</v>
      </c>
      <c r="L119" s="185" t="str">
        <f>VLOOKUP(A119,'Trips&amp;Operators'!$C$1:$G$99911,5,FALSE)</f>
        <v>LEVIN SCOTT</v>
      </c>
      <c r="M119" s="6">
        <f t="shared" si="41"/>
        <v>2.5185185186273884E-2</v>
      </c>
      <c r="N119" s="7">
        <f t="shared" si="42"/>
        <v>36.266666668234393</v>
      </c>
      <c r="O119" s="7"/>
      <c r="P119" s="7"/>
      <c r="Q119" s="22"/>
      <c r="R119" s="174"/>
      <c r="S119" s="221">
        <f t="shared" si="43"/>
        <v>1</v>
      </c>
      <c r="T119" s="174" t="str">
        <f t="shared" si="44"/>
        <v>NorthBound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 t="shared" si="45"/>
        <v>https://d0f6bd738d7f1b3e5a7ca70fe4ff75f0.us-east-1.aws.found.io/app/kibana#/discover/Steve-Slow-Train-Analysis-(2080s-and-2083s)?_g=(refreshInterval:(display:Off,pause:!f,section:0,value:0),time:(from:'2017-09-21T15:52:28-0600',mode:absolute,to:'2017-09-21T18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9" s="204" t="str">
        <f>IF(AA119&lt;VLOOKUP(AG119,Variables!$AC$3:$AD$8,2,FALSE),"Y","N")</f>
        <v>N</v>
      </c>
      <c r="X119" s="204">
        <f t="shared" si="46"/>
        <v>1</v>
      </c>
      <c r="Y119" s="204">
        <f t="shared" si="47"/>
        <v>4.4699999999999997E-2</v>
      </c>
      <c r="Z119" s="204">
        <f t="shared" si="48"/>
        <v>23.334299999999999</v>
      </c>
      <c r="AA119" s="204">
        <f t="shared" si="49"/>
        <v>23.2896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 t="shared" si="50"/>
        <v>207</v>
      </c>
      <c r="AE119" s="77" t="str">
        <f t="shared" si="51"/>
        <v>aws s3 cp s3://rtdc.mdm.uploadarchive.raw/RTDC4018/ "%USERPROFILE%\AppData\Local\Temp\OnboardLogs"\RTDC4018\2017-09-21 --exclude "*" --recursive --include "*20170921*" &amp; "%USERPROFILE%\Documents\GitHub\mrs-test-scripts\Headless Mode &amp; Sideloading\WalkAndUnGZ.bat" "%USERPROFILE%\AppData\Local\Temp\OnboardLogs"\RTDC4018\2017-09-21 &amp; aws s3 cp s3://rtdc.mdm.uploadarchive.raw/RTDC4018/ "%USERPROFILE%\AppData\Local\Temp\OnboardLogs"\RTDC4018\2017-09-22 --exclude "*" --recursive --include "*20170922*" &amp; "%USERPROFILE%\Documents\GitHub\mrs-test-scripts\Headless Mode &amp; Sideloading\WalkAndUnGZ.bat" "%USERPROFILE%\AppData\Local\Temp\OnboardLogs"\RTDC4018\2017-09-22</v>
      </c>
      <c r="AF119" s="74" t="str">
        <f t="shared" si="52"/>
        <v>"C:\Program Files (x86)\AstroGrep\AstroGrep.exe" /e /r /s /spath="%USERPROFILE%\AppData\Local\Temp\OnboardLogs" /stypes="app*4018*20170921*" /stext=" 23:.+((SYSTEM_STATE.+slice.+state.+changed )|(ment ac)|(multiple cpu faults)|(system.+state.+changed )|(\[timeout)|(PRM\|1\|D)|(kpr)|(kdp)|(train st.+moving)|(\|lc)|(penalty))"</v>
      </c>
      <c r="AG119" s="182" t="str">
        <f t="shared" si="53"/>
        <v>EC</v>
      </c>
      <c r="AH119" s="78" t="str">
        <f t="shared" si="54"/>
        <v>"%USERPROFILE%\Documents\GitHub\eaglep3\Utilities\RefineRTDCRunTimes.py" --tripid 207-21 --locoid 4018 --swversion DE.1.0.9.0 --startMP 204:447 --initTime 2017-09-21T16:52:28 --startdatetime 2017-09-21T17:00:25 --delay 63 --endMP 204:233343 --enddatetime 2017-09-21T17:36:41 --enforcementcount 0 &gt;&gt;c:\users\stu\Documents\GitHub\eaglep3-reporting\EC\2017-09-21-refined-times.txt</v>
      </c>
      <c r="AI119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{"issue":{"subject":"","project_id":79,"tracker_id":40,"status_id":1,"priority_id":2,"assigned_to_id":338,"start_date":"2017-09-21","description":"","custom_fields":[{"id":1,"name":"Subdivision","value":"EC"},{"id":4,"name":"Milepost","value":"23.3343"},{"id":17,"name":"Train ID","value":"207-21"},{"id":16,"name":"Locomotive ID","value":"4018"},{"id":130,"name":"Impact","value":""},{"id":150,"name":"Time of Event (Mountain Time)","value":"17:36:41"},{"id":151,"name":"Denver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56"/>
        <v>start /low /b %USERPROFILE%\Documents\GitHub\eaglep3\Utilities\DownloadLogsFromS3.py --loco 4018 --day 2017-09-21</v>
      </c>
      <c r="AN119" s="151" t="str">
        <f t="shared" si="57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23:36:41"},{"id":29,"name":"Sharepoint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58"/>
        <v>https://d0f6bd738d7f1b3e5a7ca70fe4ff75f0.us-east-1.aws.found.io/app/kibana#/discover/Steve-Slow-Train-Analysis-(2080s-and-2083s)?_g=(refreshInterval:(display:Off,pause:!f,section:0,value:0),time:(from:'2017-09-21T15:52:28-0600',mode:absolute,to:'2017-09-21T18:36:41-0600'))&amp;_a=(columns:!('Message%20ID',Summary),filters:!(),index:'emp_*',interval:auto,query:(query_string:(analyze_wildcard:!t,query:'Message%5C+ID:(*)+AND+%22rtdc.l.rtdc.4018%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773</v>
      </c>
      <c r="B120" s="7">
        <v>4017</v>
      </c>
      <c r="C120" s="21" t="s">
        <v>196</v>
      </c>
      <c r="D120" s="21" t="s">
        <v>552</v>
      </c>
      <c r="E120" s="13">
        <v>42999.738217592596</v>
      </c>
      <c r="F120" s="13">
        <v>42999.748090277775</v>
      </c>
      <c r="G120" s="7">
        <v>74</v>
      </c>
      <c r="H120" s="21" t="s">
        <v>408</v>
      </c>
      <c r="I120" s="13">
        <v>42999.773495370369</v>
      </c>
      <c r="J120" s="7">
        <v>0</v>
      </c>
      <c r="K120" s="89" t="str">
        <f t="shared" si="40"/>
        <v>4017/4018</v>
      </c>
      <c r="L120" s="185" t="str">
        <f>VLOOKUP(A120,'Trips&amp;Operators'!$C$1:$G$99911,5,FALSE)</f>
        <v>LEVIN SCOTT</v>
      </c>
      <c r="M120" s="6">
        <f t="shared" si="41"/>
        <v>2.5405092594155576E-2</v>
      </c>
      <c r="N120" s="7">
        <f t="shared" si="42"/>
        <v>36.58333333558403</v>
      </c>
      <c r="O120" s="7"/>
      <c r="P120" s="7"/>
      <c r="Q120" s="22"/>
      <c r="R120" s="174"/>
      <c r="S120" s="221">
        <f t="shared" si="43"/>
        <v>1</v>
      </c>
      <c r="T120" s="174" t="str">
        <f t="shared" si="44"/>
        <v>Southbound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 t="shared" si="45"/>
        <v>https://d0f6bd738d7f1b3e5a7ca70fe4ff75f0.us-east-1.aws.found.io/app/kibana#/discover/Steve-Slow-Train-Analysis-(2080s-and-2083s)?_g=(refreshInterval:(display:Off,pause:!f,section:0,value:0),time:(from:'2017-09-21T16:43:02-0600',mode:absolute,to:'2017-09-21T19:33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0" s="204" t="str">
        <f>IF(AA120&lt;VLOOKUP(AG120,Variables!$AC$3:$AD$8,2,FALSE),"Y","N")</f>
        <v>N</v>
      </c>
      <c r="X120" s="204">
        <f t="shared" si="46"/>
        <v>1</v>
      </c>
      <c r="Y120" s="204">
        <f t="shared" si="47"/>
        <v>23.301100000000002</v>
      </c>
      <c r="Z120" s="204">
        <f t="shared" si="48"/>
        <v>1.54E-2</v>
      </c>
      <c r="AA120" s="204">
        <f t="shared" si="49"/>
        <v>23.285700000000002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 t="shared" si="50"/>
        <v>208</v>
      </c>
      <c r="AE120" s="77" t="str">
        <f t="shared" si="51"/>
        <v>aws s3 cp s3://rtdc.mdm.uploadarchive.raw/RTDC4017/ "%USERPROFILE%\AppData\Local\Temp\OnboardLogs"\RTDC4017\2017-09-21 --exclude "*" --recursive --include "*20170921*" &amp; "%USERPROFILE%\Documents\GitHub\mrs-test-scripts\Headless Mode &amp; Sideloading\WalkAndUnGZ.bat" "%USERPROFILE%\AppData\Local\Temp\OnboardLogs"\RTDC4017\2017-09-21 &amp; aws s3 cp s3://rtdc.mdm.uploadarchive.raw/RTDC4017/ "%USERPROFILE%\AppData\Local\Temp\OnboardLogs"\RTDC4017\2017-09-22 --exclude "*" --recursive --include "*20170922*" &amp; "%USERPROFILE%\Documents\GitHub\mrs-test-scripts\Headless Mode &amp; Sideloading\WalkAndUnGZ.bat" "%USERPROFILE%\AppData\Local\Temp\OnboardLogs"\RTDC4017\2017-09-22</v>
      </c>
      <c r="AF120" s="74" t="str">
        <f t="shared" si="52"/>
        <v>"C:\Program Files (x86)\AstroGrep\AstroGrep.exe" /e /r /s /spath="%USERPROFILE%\AppData\Local\Temp\OnboardLogs" /stypes="app*4017*20170922*" /stext=" 00:.+((SYSTEM_STATE.+slice.+state.+changed )|(ment ac)|(multiple cpu faults)|(system.+state.+changed )|(\[timeout)|(PRM\|1\|D)|(kpr)|(kdp)|(train st.+moving)|(\|lc)|(penalty))"</v>
      </c>
      <c r="AG120" s="182" t="str">
        <f t="shared" si="53"/>
        <v>EC</v>
      </c>
      <c r="AH120" s="78" t="str">
        <f t="shared" si="54"/>
        <v>"%USERPROFILE%\Documents\GitHub\eaglep3\Utilities\RefineRTDCRunTimes.py" --tripid 208-21 --locoid 4017 --swversion DE.1.0.9.0 --startMP 204:233011 --initTime 2017-09-21T17:43:02 --startdatetime 2017-09-21T17:57:15 --delay 74 --endMP 204:154 --enddatetime 2017-09-21T18:33:50 --enforcementcount 0 &gt;&gt;c:\users\stu\Documents\GitHub\eaglep3-reporting\EC\2017-09-21-refined-times.txt</v>
      </c>
      <c r="AI120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{"issue":{"subject":"","project_id":79,"tracker_id":40,"status_id":1,"priority_id":2,"assigned_to_id":338,"start_date":"2017-09-21","description":"","custom_fields":[{"id":1,"name":"Subdivision","value":"EC"},{"id":4,"name":"Milepost","value":"0.0154"},{"id":17,"name":"Train ID","value":"208-21"},{"id":16,"name":"Locomotive ID","value":"4017"},{"id":130,"name":"Impact","value":""},{"id":150,"name":"Time of Event (Mountain Time)","value":"18:33:50"},{"id":151,"name":"Denver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56"/>
        <v>start /low /b %USERPROFILE%\Documents\GitHub\eaglep3\Utilities\DownloadLogsFromS3.py --loco 4017 --day 2017-09-21</v>
      </c>
      <c r="AN120" s="151" t="str">
        <f t="shared" si="57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00:33:50"},{"id":29,"name":"Sharepoint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58"/>
        <v>https://d0f6bd738d7f1b3e5a7ca70fe4ff75f0.us-east-1.aws.found.io/app/kibana#/discover/Steve-Slow-Train-Analysis-(2080s-and-2083s)?_g=(refreshInterval:(display:Off,pause:!f,section:0,value:0),time:(from:'2017-09-21T16:43:02-0600',mode:absolute,to:'2017-09-21T19:33:50-0600'))&amp;_a=(columns:!('Message%20ID',Summary),filters:!(),index:'emp_*',interval:auto,query:(query_string:(analyze_wildcard:!t,query:'Message%5C+ID:(*)+AND+%22rtdc.l.rtdc.4017%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762</v>
      </c>
      <c r="B121" s="7">
        <v>4056</v>
      </c>
      <c r="C121" s="21" t="s">
        <v>196</v>
      </c>
      <c r="D121" s="21" t="s">
        <v>348</v>
      </c>
      <c r="E121" s="13">
        <v>42999.713819444441</v>
      </c>
      <c r="F121" s="13">
        <v>42999.719004629631</v>
      </c>
      <c r="G121" s="7">
        <v>70</v>
      </c>
      <c r="H121" s="21" t="s">
        <v>872</v>
      </c>
      <c r="I121" s="13">
        <v>42999.745069444441</v>
      </c>
      <c r="J121" s="7">
        <v>0</v>
      </c>
      <c r="K121" s="89" t="str">
        <f t="shared" si="40"/>
        <v>4055/4056</v>
      </c>
      <c r="L121" s="185" t="str">
        <f>VLOOKUP(A121,'Trips&amp;Operators'!$C$1:$G$99911,5,FALSE)</f>
        <v>BERLING GARY</v>
      </c>
      <c r="M121" s="6">
        <f t="shared" si="41"/>
        <v>2.6064814810524695E-2</v>
      </c>
      <c r="N121" s="7">
        <f t="shared" si="42"/>
        <v>37.53333332715556</v>
      </c>
      <c r="O121" s="7"/>
      <c r="P121" s="7"/>
      <c r="Q121" s="22"/>
      <c r="R121" s="174"/>
      <c r="S121" s="221">
        <f t="shared" si="43"/>
        <v>1</v>
      </c>
      <c r="T121" s="174" t="str">
        <f t="shared" si="44"/>
        <v>NorthBound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 t="shared" si="45"/>
        <v>https://d0f6bd738d7f1b3e5a7ca70fe4ff75f0.us-east-1.aws.found.io/app/kibana#/discover/Steve-Slow-Train-Analysis-(2080s-and-2083s)?_g=(refreshInterval:(display:Off,pause:!f,section:0,value:0),time:(from:'2017-09-21T16:07:54-0600',mode:absolute,to:'2017-09-21T18:52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1" s="204" t="str">
        <f>IF(AA121&lt;VLOOKUP(AG121,Variables!$AC$3:$AD$8,2,FALSE),"Y","N")</f>
        <v>N</v>
      </c>
      <c r="X121" s="204">
        <f t="shared" si="46"/>
        <v>1</v>
      </c>
      <c r="Y121" s="204">
        <f t="shared" si="47"/>
        <v>4.5499999999999999E-2</v>
      </c>
      <c r="Z121" s="204">
        <f t="shared" si="48"/>
        <v>23.3323</v>
      </c>
      <c r="AA121" s="204">
        <f t="shared" si="49"/>
        <v>23.286799999999999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 t="shared" si="50"/>
        <v>209</v>
      </c>
      <c r="AE121" s="77" t="str">
        <f t="shared" si="51"/>
        <v>aws s3 cp s3://rtdc.mdm.uploadarchive.raw/RTDC4056/ "%USERPROFILE%\AppData\Local\Temp\OnboardLogs"\RTDC4056\2017-09-21 --exclude "*" --recursive --include "*20170921*" &amp; "%USERPROFILE%\Documents\GitHub\mrs-test-scripts\Headless Mode &amp; Sideloading\WalkAndUnGZ.bat" "%USERPROFILE%\AppData\Local\Temp\OnboardLogs"\RTDC4056\2017-09-21 &amp; aws s3 cp s3://rtdc.mdm.uploadarchive.raw/RTDC4056/ "%USERPROFILE%\AppData\Local\Temp\OnboardLogs"\RTDC4056\2017-09-22 --exclude "*" --recursive --include "*20170922*" &amp; "%USERPROFILE%\Documents\GitHub\mrs-test-scripts\Headless Mode &amp; Sideloading\WalkAndUnGZ.bat" "%USERPROFILE%\AppData\Local\Temp\OnboardLogs"\RTDC4056\2017-09-22</v>
      </c>
      <c r="AF121" s="74" t="str">
        <f t="shared" si="52"/>
        <v>"C:\Program Files (x86)\AstroGrep\AstroGrep.exe" /e /r /s /spath="%USERPROFILE%\AppData\Local\Temp\OnboardLogs" /stypes="app*4056*20170921*" /stext=" 23:.+((SYSTEM_STATE.+slice.+state.+changed )|(ment ac)|(multiple cpu faults)|(system.+state.+changed )|(\[timeout)|(PRM\|1\|D)|(kpr)|(kdp)|(train st.+moving)|(\|lc)|(penalty))"</v>
      </c>
      <c r="AG121" s="182" t="str">
        <f t="shared" si="53"/>
        <v>EC</v>
      </c>
      <c r="AH121" s="78" t="str">
        <f t="shared" si="54"/>
        <v>"%USERPROFILE%\Documents\GitHub\eaglep3\Utilities\RefineRTDCRunTimes.py" --tripid 209-21 --locoid 4056 --swversion DE.1.0.9.0 --startMP 204:455 --initTime 2017-09-21T17:07:54 --startdatetime 2017-09-21T17:15:22 --delay 70 --endMP 204:233323 --enddatetime 2017-09-21T17:52:54 --enforcementcount 0 &gt;&gt;c:\users\stu\Documents\GitHub\eaglep3-reporting\EC\2017-09-21-refined-times.txt</v>
      </c>
      <c r="AI121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{"issue":{"subject":"","project_id":79,"tracker_id":40,"status_id":1,"priority_id":2,"assigned_to_id":338,"start_date":"2017-09-21","description":"","custom_fields":[{"id":1,"name":"Subdivision","value":"EC"},{"id":4,"name":"Milepost","value":"23.3323"},{"id":17,"name":"Train ID","value":"209-21"},{"id":16,"name":"Locomotive ID","value":"4056"},{"id":130,"name":"Impact","value":""},{"id":150,"name":"Time of Event (Mountain Time)","value":"17:52:54"},{"id":151,"name":"Denver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56"/>
        <v>start /low /b %USERPROFILE%\Documents\GitHub\eaglep3\Utilities\DownloadLogsFromS3.py --loco 4056 --day 2017-09-21</v>
      </c>
      <c r="AN121" s="151" t="str">
        <f t="shared" si="57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23:52:54"},{"id":29,"name":"Sharepoint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58"/>
        <v>https://d0f6bd738d7f1b3e5a7ca70fe4ff75f0.us-east-1.aws.found.io/app/kibana#/discover/Steve-Slow-Train-Analysis-(2080s-and-2083s)?_g=(refreshInterval:(display:Off,pause:!f,section:0,value:0),time:(from:'2017-09-21T16:07:54-0600',mode:absolute,to:'2017-09-21T18:52:54-0600'))&amp;_a=(columns:!('Message%20ID',Summary),filters:!(),index:'emp_*',interval:auto,query:(query_string:(analyze_wildcard:!t,query:'Message%5C+ID:(*)+AND+%22rtdc.l.rtdc.4056%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775</v>
      </c>
      <c r="B122" s="7">
        <v>4055</v>
      </c>
      <c r="C122" s="21" t="s">
        <v>196</v>
      </c>
      <c r="D122" s="21" t="s">
        <v>547</v>
      </c>
      <c r="E122" s="13">
        <v>42999.752233796295</v>
      </c>
      <c r="F122" s="13">
        <v>42999.758530092593</v>
      </c>
      <c r="G122" s="7">
        <v>142</v>
      </c>
      <c r="H122" s="21" t="s">
        <v>853</v>
      </c>
      <c r="I122" s="13">
        <v>42999.785879629628</v>
      </c>
      <c r="J122" s="7">
        <v>0</v>
      </c>
      <c r="K122" s="89" t="str">
        <f t="shared" si="40"/>
        <v>4055/4056</v>
      </c>
      <c r="L122" s="185" t="str">
        <f>VLOOKUP(A122,'Trips&amp;Operators'!$C$1:$G$99911,5,FALSE)</f>
        <v>BERLING GARY</v>
      </c>
      <c r="M122" s="6">
        <f t="shared" si="41"/>
        <v>2.7349537034751847E-2</v>
      </c>
      <c r="N122" s="7">
        <f t="shared" si="42"/>
        <v>39.38333333004266</v>
      </c>
      <c r="O122" s="7"/>
      <c r="P122" s="7"/>
      <c r="Q122" s="22"/>
      <c r="R122" s="174"/>
      <c r="S122" s="221">
        <f t="shared" si="43"/>
        <v>1</v>
      </c>
      <c r="T122" s="174" t="str">
        <f t="shared" si="44"/>
        <v>Southbound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 t="shared" si="45"/>
        <v>https://d0f6bd738d7f1b3e5a7ca70fe4ff75f0.us-east-1.aws.found.io/app/kibana#/discover/Steve-Slow-Train-Analysis-(2080s-and-2083s)?_g=(refreshInterval:(display:Off,pause:!f,section:0,value:0),time:(from:'2017-09-21T17:03:13-0600',mode:absolute,to:'2017-09-21T19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2" s="204" t="str">
        <f>IF(AA122&lt;VLOOKUP(AG122,Variables!$AC$3:$AD$8,2,FALSE),"Y","N")</f>
        <v>N</v>
      </c>
      <c r="X122" s="204">
        <f t="shared" si="46"/>
        <v>1</v>
      </c>
      <c r="Y122" s="204">
        <f t="shared" si="47"/>
        <v>23.3002</v>
      </c>
      <c r="Z122" s="204">
        <f t="shared" si="48"/>
        <v>1.34E-2</v>
      </c>
      <c r="AA122" s="204">
        <f t="shared" si="49"/>
        <v>23.286799999999999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 t="shared" si="50"/>
        <v>210</v>
      </c>
      <c r="AE122" s="77" t="str">
        <f t="shared" si="51"/>
        <v>aws s3 cp s3://rtdc.mdm.uploadarchive.raw/RTDC4055/ "%USERPROFILE%\AppData\Local\Temp\OnboardLogs"\RTDC4055\2017-09-21 --exclude "*" --recursive --include "*20170921*" &amp; "%USERPROFILE%\Documents\GitHub\mrs-test-scripts\Headless Mode &amp; Sideloading\WalkAndUnGZ.bat" "%USERPROFILE%\AppData\Local\Temp\OnboardLogs"\RTDC4055\2017-09-21 &amp; aws s3 cp s3://rtdc.mdm.uploadarchive.raw/RTDC4055/ "%USERPROFILE%\AppData\Local\Temp\OnboardLogs"\RTDC4055\2017-09-22 --exclude "*" --recursive --include "*20170922*" &amp; "%USERPROFILE%\Documents\GitHub\mrs-test-scripts\Headless Mode &amp; Sideloading\WalkAndUnGZ.bat" "%USERPROFILE%\AppData\Local\Temp\OnboardLogs"\RTDC4055\2017-09-22</v>
      </c>
      <c r="AF122" s="74" t="str">
        <f t="shared" si="52"/>
        <v>"C:\Program Files (x86)\AstroGrep\AstroGrep.exe" /e /r /s /spath="%USERPROFILE%\AppData\Local\Temp\OnboardLogs" /stypes="app*4055*20170922*" /stext=" 00:.+((SYSTEM_STATE.+slice.+state.+changed )|(ment ac)|(multiple cpu faults)|(system.+state.+changed )|(\[timeout)|(PRM\|1\|D)|(kpr)|(kdp)|(train st.+moving)|(\|lc)|(penalty))"</v>
      </c>
      <c r="AG122" s="182" t="str">
        <f t="shared" si="53"/>
        <v>EC</v>
      </c>
      <c r="AH122" s="78" t="str">
        <f t="shared" si="54"/>
        <v>"%USERPROFILE%\Documents\GitHub\eaglep3\Utilities\RefineRTDCRunTimes.py" --tripid 210-21 --locoid 4055 --swversion DE.1.0.9.0 --startMP 204:233002 --initTime 2017-09-21T18:03:13 --startdatetime 2017-09-21T18:12:17 --delay 142 --endMP 204:134 --enddatetime 2017-09-21T18:51:40 --enforcementcount 0 &gt;&gt;c:\users\stu\Documents\GitHub\eaglep3-reporting\EC\2017-09-21-refined-times.txt</v>
      </c>
      <c r="AI122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{"issue":{"subject":"","project_id":79,"tracker_id":40,"status_id":1,"priority_id":2,"assigned_to_id":338,"start_date":"2017-09-21","description":"","custom_fields":[{"id":1,"name":"Subdivision","value":"EC"},{"id":4,"name":"Milepost","value":"0.0134"},{"id":17,"name":"Train ID","value":"210-21"},{"id":16,"name":"Locomotive ID","value":"4055"},{"id":130,"name":"Impact","value":""},{"id":150,"name":"Time of Event (Mountain Time)","value":"18:51:40"},{"id":151,"name":"Denver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56"/>
        <v>start /low /b %USERPROFILE%\Documents\GitHub\eaglep3\Utilities\DownloadLogsFromS3.py --loco 4055 --day 2017-09-21</v>
      </c>
      <c r="AN122" s="151" t="str">
        <f t="shared" si="57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00:51:40"},{"id":29,"name":"Sharepoint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58"/>
        <v>https://d0f6bd738d7f1b3e5a7ca70fe4ff75f0.us-east-1.aws.found.io/app/kibana#/discover/Steve-Slow-Train-Analysis-(2080s-and-2083s)?_g=(refreshInterval:(display:Off,pause:!f,section:0,value:0),time:(from:'2017-09-21T17:03:13-0600',mode:absolute,to:'2017-09-21T19:51:40-0600'))&amp;_a=(columns:!('Message%20ID',Summary),filters:!(),index:'emp_*',interval:auto,query:(query_string:(analyze_wildcard:!t,query:'Message%5C+ID:(*)+AND+%22rtdc.l.rtdc.4055%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764</v>
      </c>
      <c r="B123" s="7">
        <v>4028</v>
      </c>
      <c r="C123" s="21" t="s">
        <v>196</v>
      </c>
      <c r="D123" s="21" t="s">
        <v>336</v>
      </c>
      <c r="E123" s="13">
        <v>42999.724236111113</v>
      </c>
      <c r="F123" s="13">
        <v>42999.72934027778</v>
      </c>
      <c r="G123" s="7">
        <v>52</v>
      </c>
      <c r="H123" s="21" t="s">
        <v>857</v>
      </c>
      <c r="I123" s="13">
        <v>42999.755358796298</v>
      </c>
      <c r="J123" s="7">
        <v>0</v>
      </c>
      <c r="K123" s="89" t="str">
        <f t="shared" si="40"/>
        <v>4027/4028</v>
      </c>
      <c r="L123" s="185" t="str">
        <f>VLOOKUP(A123,'Trips&amp;Operators'!$C$1:$G$99911,5,FALSE)</f>
        <v>LEVERE CRAIG</v>
      </c>
      <c r="M123" s="6">
        <f t="shared" si="41"/>
        <v>2.6018518517958E-2</v>
      </c>
      <c r="N123" s="7">
        <f t="shared" si="42"/>
        <v>37.46666666585952</v>
      </c>
      <c r="O123" s="7"/>
      <c r="P123" s="7"/>
      <c r="Q123" s="22"/>
      <c r="R123" s="174"/>
      <c r="S123" s="221">
        <f t="shared" si="43"/>
        <v>1</v>
      </c>
      <c r="T123" s="174" t="str">
        <f t="shared" si="44"/>
        <v>NorthBound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 t="shared" si="45"/>
        <v>https://d0f6bd738d7f1b3e5a7ca70fe4ff75f0.us-east-1.aws.found.io/app/kibana#/discover/Steve-Slow-Train-Analysis-(2080s-and-2083s)?_g=(refreshInterval:(display:Off,pause:!f,section:0,value:0),time:(from:'2017-09-21T16:22:54-0600',mode:absolute,to:'2017-09-21T19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3" s="204" t="str">
        <f>IF(AA123&lt;VLOOKUP(AG123,Variables!$AC$3:$AD$8,2,FALSE),"Y","N")</f>
        <v>N</v>
      </c>
      <c r="X123" s="204">
        <f t="shared" si="46"/>
        <v>1</v>
      </c>
      <c r="Y123" s="204">
        <f t="shared" si="47"/>
        <v>4.4600000000000001E-2</v>
      </c>
      <c r="Z123" s="204">
        <f t="shared" si="48"/>
        <v>23.3309</v>
      </c>
      <c r="AA123" s="204">
        <f t="shared" si="49"/>
        <v>23.286300000000001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9">
        <f t="shared" si="50"/>
        <v>211</v>
      </c>
      <c r="AE123" s="77" t="str">
        <f t="shared" si="51"/>
        <v>aws s3 cp s3://rtdc.mdm.uploadarchive.raw/RTDC4028/ "%USERPROFILE%\AppData\Local\Temp\OnboardLogs"\RTDC4028\2017-09-21 --exclude "*" --recursive --include "*20170921*" &amp; "%USERPROFILE%\Documents\GitHub\mrs-test-scripts\Headless Mode &amp; Sideloading\WalkAndUnGZ.bat" "%USERPROFILE%\AppData\Local\Temp\OnboardLogs"\RTDC4028\2017-09-21 &amp; aws s3 cp s3://rtdc.mdm.uploadarchive.raw/RTDC4028/ "%USERPROFILE%\AppData\Local\Temp\OnboardLogs"\RTDC4028\2017-09-22 --exclude "*" --recursive --include "*20170922*" &amp; "%USERPROFILE%\Documents\GitHub\mrs-test-scripts\Headless Mode &amp; Sideloading\WalkAndUnGZ.bat" "%USERPROFILE%\AppData\Local\Temp\OnboardLogs"\RTDC4028\2017-09-22</v>
      </c>
      <c r="AF123" s="74" t="str">
        <f t="shared" si="52"/>
        <v>"C:\Program Files (x86)\AstroGrep\AstroGrep.exe" /e /r /s /spath="%USERPROFILE%\AppData\Local\Temp\OnboardLogs" /stypes="app*4028*20170922*" /stext=" 00:.+((SYSTEM_STATE.+slice.+state.+changed )|(ment ac)|(multiple cpu faults)|(system.+state.+changed )|(\[timeout)|(PRM\|1\|D)|(kpr)|(kdp)|(train st.+moving)|(\|lc)|(penalty))"</v>
      </c>
      <c r="AG123" s="182" t="str">
        <f t="shared" si="53"/>
        <v>EC</v>
      </c>
      <c r="AH123" s="78" t="str">
        <f t="shared" si="54"/>
        <v>"%USERPROFILE%\Documents\GitHub\eaglep3\Utilities\RefineRTDCRunTimes.py" --tripid 211-21 --locoid 4028 --swversion DE.1.0.9.0 --startMP 204:446 --initTime 2017-09-21T17:22:54 --startdatetime 2017-09-21T17:30:15 --delay 52 --endMP 204:233309 --enddatetime 2017-09-21T18:07:43 --enforcementcount 0 &gt;&gt;c:\users\stu\Documents\GitHub\eaglep3-reporting\EC\2017-09-21-refined-times.txt</v>
      </c>
      <c r="AI123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{"issue":{"subject":"","project_id":79,"tracker_id":40,"status_id":1,"priority_id":2,"assigned_to_id":338,"start_date":"2017-09-21","description":"","custom_fields":[{"id":1,"name":"Subdivision","value":"EC"},{"id":4,"name":"Milepost","value":"23.3309"},{"id":17,"name":"Train ID","value":"211-21"},{"id":16,"name":"Locomotive ID","value":"4028"},{"id":130,"name":"Impact","value":""},{"id":150,"name":"Time of Event (Mountain Time)","value":"18:07:43"},{"id":151,"name":"Denver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56"/>
        <v>start /low /b %USERPROFILE%\Documents\GitHub\eaglep3\Utilities\DownloadLogsFromS3.py --loco 4028 --day 2017-09-21</v>
      </c>
      <c r="AN123" s="151" t="str">
        <f t="shared" si="57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00:07:43"},{"id":29,"name":"Sharepoint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58"/>
        <v>https://d0f6bd738d7f1b3e5a7ca70fe4ff75f0.us-east-1.aws.found.io/app/kibana#/discover/Steve-Slow-Train-Analysis-(2080s-and-2083s)?_g=(refreshInterval:(display:Off,pause:!f,section:0,value:0),time:(from:'2017-09-21T16:22:54-0600',mode:absolute,to:'2017-09-21T19:07:43-0600'))&amp;_a=(columns:!('Message%20ID',Summary),filters:!(),index:'emp_*',interval:auto,query:(query_string:(analyze_wildcard:!t,query:'Message%5C+ID:(*)+AND+%22rtdc.l.rtdc.4028%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781</v>
      </c>
      <c r="B124" s="7">
        <v>4027</v>
      </c>
      <c r="C124" s="21" t="s">
        <v>196</v>
      </c>
      <c r="D124" s="21" t="s">
        <v>464</v>
      </c>
      <c r="E124" s="13">
        <v>42999.762175925927</v>
      </c>
      <c r="F124" s="13">
        <v>42999.768958333334</v>
      </c>
      <c r="G124" s="7">
        <v>60</v>
      </c>
      <c r="H124" s="21" t="s">
        <v>369</v>
      </c>
      <c r="I124" s="13">
        <v>42999.796041666668</v>
      </c>
      <c r="J124" s="7">
        <v>0</v>
      </c>
      <c r="K124" s="89" t="str">
        <f t="shared" si="40"/>
        <v>4027/4028</v>
      </c>
      <c r="L124" s="185" t="str">
        <f>VLOOKUP(A124,'Trips&amp;Operators'!$C$1:$G$99911,5,FALSE)</f>
        <v>LEVERE CRAIG</v>
      </c>
      <c r="M124" s="6">
        <f t="shared" si="41"/>
        <v>2.7083333334303461E-2</v>
      </c>
      <c r="N124" s="7">
        <f t="shared" si="42"/>
        <v>39.000000001396984</v>
      </c>
      <c r="O124" s="7"/>
      <c r="P124" s="7"/>
      <c r="Q124" s="22"/>
      <c r="R124" s="174"/>
      <c r="S124" s="221">
        <f t="shared" si="43"/>
        <v>1</v>
      </c>
      <c r="T124" s="174" t="str">
        <f t="shared" si="44"/>
        <v>Southbound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 t="shared" si="45"/>
        <v>https://d0f6bd738d7f1b3e5a7ca70fe4ff75f0.us-east-1.aws.found.io/app/kibana#/discover/Steve-Slow-Train-Analysis-(2080s-and-2083s)?_g=(refreshInterval:(display:Off,pause:!f,section:0,value:0),time:(from:'2017-09-21T17:17:32-0600',mode:absolute,to:'2017-09-21T20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4" s="204" t="str">
        <f>IF(AA124&lt;VLOOKUP(AG124,Variables!$AC$3:$AD$8,2,FALSE),"Y","N")</f>
        <v>N</v>
      </c>
      <c r="X124" s="204">
        <f t="shared" si="46"/>
        <v>1</v>
      </c>
      <c r="Y124" s="204">
        <f t="shared" si="47"/>
        <v>23.3005</v>
      </c>
      <c r="Z124" s="204">
        <f t="shared" si="48"/>
        <v>1.5599999999999999E-2</v>
      </c>
      <c r="AA124" s="204">
        <f t="shared" si="49"/>
        <v>23.2849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 t="shared" si="50"/>
        <v>212</v>
      </c>
      <c r="AE124" s="77" t="str">
        <f t="shared" si="51"/>
        <v>aws s3 cp s3://rtdc.mdm.uploadarchive.raw/RTDC4027/ "%USERPROFILE%\AppData\Local\Temp\OnboardLogs"\RTDC4027\2017-09-21 --exclude "*" --recursive --include "*20170921*" &amp; "%USERPROFILE%\Documents\GitHub\mrs-test-scripts\Headless Mode &amp; Sideloading\WalkAndUnGZ.bat" "%USERPROFILE%\AppData\Local\Temp\OnboardLogs"\RTDC4027\2017-09-21 &amp; aws s3 cp s3://rtdc.mdm.uploadarchive.raw/RTDC4027/ "%USERPROFILE%\AppData\Local\Temp\OnboardLogs"\RTDC4027\2017-09-22 --exclude "*" --recursive --include "*20170922*" &amp; "%USERPROFILE%\Documents\GitHub\mrs-test-scripts\Headless Mode &amp; Sideloading\WalkAndUnGZ.bat" "%USERPROFILE%\AppData\Local\Temp\OnboardLogs"\RTDC4027\2017-09-22</v>
      </c>
      <c r="AF124" s="74" t="str">
        <f t="shared" si="52"/>
        <v>"C:\Program Files (x86)\AstroGrep\AstroGrep.exe" /e /r /s /spath="%USERPROFILE%\AppData\Local\Temp\OnboardLogs" /stypes="app*4027*20170922*" /stext=" 01:.+((SYSTEM_STATE.+slice.+state.+changed )|(ment ac)|(multiple cpu faults)|(system.+state.+changed )|(\[timeout)|(PRM\|1\|D)|(kpr)|(kdp)|(train st.+moving)|(\|lc)|(penalty))"</v>
      </c>
      <c r="AG124" s="182" t="str">
        <f t="shared" si="53"/>
        <v>EC</v>
      </c>
      <c r="AH124" s="78" t="str">
        <f t="shared" si="54"/>
        <v>"%USERPROFILE%\Documents\GitHub\eaglep3\Utilities\RefineRTDCRunTimes.py" --tripid 212-21 --locoid 4027 --swversion DE.1.0.9.0 --startMP 204:233005 --initTime 2017-09-21T18:17:32 --startdatetime 2017-09-21T18:27:18 --delay 60 --endMP 204:156 --enddatetime 2017-09-21T19:06:18 --enforcementcount 0 &gt;&gt;c:\users\stu\Documents\GitHub\eaglep3-reporting\EC\2017-09-21-refined-times.txt</v>
      </c>
      <c r="AI124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{"issue":{"subject":"","project_id":79,"tracker_id":40,"status_id":1,"priority_id":2,"assigned_to_id":338,"start_date":"2017-09-21","description":"","custom_fields":[{"id":1,"name":"Subdivision","value":"EC"},{"id":4,"name":"Milepost","value":"0.0156"},{"id":17,"name":"Train ID","value":"212-21"},{"id":16,"name":"Locomotive ID","value":"4027"},{"id":130,"name":"Impact","value":""},{"id":150,"name":"Time of Event (Mountain Time)","value":"19:06:18"},{"id":151,"name":"Denver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56"/>
        <v>start /low /b %USERPROFILE%\Documents\GitHub\eaglep3\Utilities\DownloadLogsFromS3.py --loco 4027 --day 2017-09-21</v>
      </c>
      <c r="AN124" s="151" t="str">
        <f t="shared" si="57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01:06:18"},{"id":29,"name":"Sharepoint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58"/>
        <v>https://d0f6bd738d7f1b3e5a7ca70fe4ff75f0.us-east-1.aws.found.io/app/kibana#/discover/Steve-Slow-Train-Analysis-(2080s-and-2083s)?_g=(refreshInterval:(display:Off,pause:!f,section:0,value:0),time:(from:'2017-09-21T17:17:32-0600',mode:absolute,to:'2017-09-21T20:06:18-0600'))&amp;_a=(columns:!('Message%20ID',Summary),filters:!(),index:'emp_*',interval:auto,query:(query_string:(analyze_wildcard:!t,query:'Message%5C+ID:(*)+AND+%22rtdc.l.rtdc.4027%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772</v>
      </c>
      <c r="B125" s="7">
        <v>4030</v>
      </c>
      <c r="C125" s="21" t="s">
        <v>196</v>
      </c>
      <c r="D125" s="21" t="s">
        <v>375</v>
      </c>
      <c r="E125" s="13">
        <v>42999.736805555556</v>
      </c>
      <c r="F125" s="13">
        <v>42999.739768518521</v>
      </c>
      <c r="G125" s="7">
        <v>121</v>
      </c>
      <c r="H125" s="21" t="s">
        <v>417</v>
      </c>
      <c r="I125" s="13">
        <v>42999.76462962963</v>
      </c>
      <c r="J125" s="7">
        <v>0</v>
      </c>
      <c r="K125" s="89" t="str">
        <f t="shared" si="40"/>
        <v>4029/4030</v>
      </c>
      <c r="L125" s="185" t="str">
        <f>VLOOKUP(A125,'Trips&amp;Operators'!$C$1:$G$99911,5,FALSE)</f>
        <v>LOZA FIDEL</v>
      </c>
      <c r="M125" s="6">
        <f t="shared" si="41"/>
        <v>2.4861111109203193E-2</v>
      </c>
      <c r="N125" s="7">
        <f t="shared" si="42"/>
        <v>35.799999997252598</v>
      </c>
      <c r="O125" s="7"/>
      <c r="P125" s="7"/>
      <c r="Q125" s="22"/>
      <c r="R125" s="174"/>
      <c r="S125" s="221">
        <f t="shared" si="43"/>
        <v>1</v>
      </c>
      <c r="T125" s="174" t="str">
        <f t="shared" si="44"/>
        <v>NorthBound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 t="shared" si="45"/>
        <v>https://d0f6bd738d7f1b3e5a7ca70fe4ff75f0.us-east-1.aws.found.io/app/kibana#/discover/Steve-Slow-Train-Analysis-(2080s-and-2083s)?_g=(refreshInterval:(display:Off,pause:!f,section:0,value:0),time:(from:'2017-09-21T16:41:00-0600',mode:absolute,to:'2017-09-21T19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5" s="204" t="str">
        <f>IF(AA125&lt;VLOOKUP(AG125,Variables!$AC$3:$AD$8,2,FALSE),"Y","N")</f>
        <v>N</v>
      </c>
      <c r="X125" s="204">
        <f t="shared" si="46"/>
        <v>1</v>
      </c>
      <c r="Y125" s="204">
        <f t="shared" si="47"/>
        <v>4.6899999999999997E-2</v>
      </c>
      <c r="Z125" s="204">
        <f t="shared" si="48"/>
        <v>23.331900000000001</v>
      </c>
      <c r="AA125" s="204">
        <f t="shared" si="49"/>
        <v>23.285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 t="shared" si="50"/>
        <v>213</v>
      </c>
      <c r="AE125" s="77" t="str">
        <f t="shared" si="51"/>
        <v>aws s3 cp s3://rtdc.mdm.uploadarchive.raw/RTDC4030/ "%USERPROFILE%\AppData\Local\Temp\OnboardLogs"\RTDC4030\2017-09-21 --exclude "*" --recursive --include "*20170921*" &amp; "%USERPROFILE%\Documents\GitHub\mrs-test-scripts\Headless Mode &amp; Sideloading\WalkAndUnGZ.bat" "%USERPROFILE%\AppData\Local\Temp\OnboardLogs"\RTDC4030\2017-09-21 &amp; aws s3 cp s3://rtdc.mdm.uploadarchive.raw/RTDC4030/ "%USERPROFILE%\AppData\Local\Temp\OnboardLogs"\RTDC4030\2017-09-22 --exclude "*" --recursive --include "*20170922*" &amp; "%USERPROFILE%\Documents\GitHub\mrs-test-scripts\Headless Mode &amp; Sideloading\WalkAndUnGZ.bat" "%USERPROFILE%\AppData\Local\Temp\OnboardLogs"\RTDC4030\2017-09-22</v>
      </c>
      <c r="AF125" s="74" t="str">
        <f t="shared" si="52"/>
        <v>"C:\Program Files (x86)\AstroGrep\AstroGrep.exe" /e /r /s /spath="%USERPROFILE%\AppData\Local\Temp\OnboardLogs" /stypes="app*4030*20170922*" /stext=" 00:.+((SYSTEM_STATE.+slice.+state.+changed )|(ment ac)|(multiple cpu faults)|(system.+state.+changed )|(\[timeout)|(PRM\|1\|D)|(kpr)|(kdp)|(train st.+moving)|(\|lc)|(penalty))"</v>
      </c>
      <c r="AG125" s="182" t="str">
        <f t="shared" si="53"/>
        <v>EC</v>
      </c>
      <c r="AH125" s="78" t="str">
        <f t="shared" si="54"/>
        <v>"%USERPROFILE%\Documents\GitHub\eaglep3\Utilities\RefineRTDCRunTimes.py" --tripid 213-21 --locoid 4030 --swversion DE.1.0.9.0 --startMP 204:469 --initTime 2017-09-21T17:41:00 --startdatetime 2017-09-21T17:45:16 --delay 121 --endMP 204:233319 --enddatetime 2017-09-21T18:21:04 --enforcementcount 0 &gt;&gt;c:\users\stu\Documents\GitHub\eaglep3-reporting\EC\2017-09-21-refined-times.txt</v>
      </c>
      <c r="AI125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{"issue":{"subject":"","project_id":79,"tracker_id":40,"status_id":1,"priority_id":2,"assigned_to_id":338,"start_date":"2017-09-21","description":"","custom_fields":[{"id":1,"name":"Subdivision","value":"EC"},{"id":4,"name":"Milepost","value":"23.3319"},{"id":17,"name":"Train ID","value":"213-21"},{"id":16,"name":"Locomotive ID","value":"4030"},{"id":130,"name":"Impact","value":""},{"id":150,"name":"Time of Event (Mountain Time)","value":"18:21:04"},{"id":151,"name":"Denver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56"/>
        <v>start /low /b %USERPROFILE%\Documents\GitHub\eaglep3\Utilities\DownloadLogsFromS3.py --loco 4030 --day 2017-09-21</v>
      </c>
      <c r="AN125" s="151" t="str">
        <f t="shared" si="57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00:21:04"},{"id":29,"name":"Sharepoint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58"/>
        <v>https://d0f6bd738d7f1b3e5a7ca70fe4ff75f0.us-east-1.aws.found.io/app/kibana#/discover/Steve-Slow-Train-Analysis-(2080s-and-2083s)?_g=(refreshInterval:(display:Off,pause:!f,section:0,value:0),time:(from:'2017-09-21T16:41:00-0600',mode:absolute,to:'2017-09-21T19:21:04-0600'))&amp;_a=(columns:!('Message%20ID',Summary),filters:!(),index:'emp_*',interval:auto,query:(query_string:(analyze_wildcard:!t,query:'Message%5C+ID:(*)+AND+%22rtdc.l.rtdc.4030%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786</v>
      </c>
      <c r="B126" s="7">
        <v>4029</v>
      </c>
      <c r="C126" s="21" t="s">
        <v>196</v>
      </c>
      <c r="D126" s="21" t="s">
        <v>491</v>
      </c>
      <c r="E126" s="13">
        <v>42999.776990740742</v>
      </c>
      <c r="F126" s="13">
        <v>42999.779444444444</v>
      </c>
      <c r="G126" s="7">
        <v>95</v>
      </c>
      <c r="H126" s="21" t="s">
        <v>381</v>
      </c>
      <c r="I126" s="13">
        <v>42999.804479166669</v>
      </c>
      <c r="J126" s="7">
        <v>0</v>
      </c>
      <c r="K126" s="89" t="str">
        <f t="shared" si="40"/>
        <v>4029/4030</v>
      </c>
      <c r="L126" s="185" t="str">
        <f>VLOOKUP(A126,'Trips&amp;Operators'!$C$1:$G$99911,5,FALSE)</f>
        <v>LOZA FIDEL</v>
      </c>
      <c r="M126" s="6">
        <f t="shared" si="41"/>
        <v>2.5034722224518191E-2</v>
      </c>
      <c r="N126" s="7">
        <f t="shared" si="42"/>
        <v>36.050000003306195</v>
      </c>
      <c r="O126" s="7"/>
      <c r="P126" s="7"/>
      <c r="Q126" s="22"/>
      <c r="R126" s="174"/>
      <c r="S126" s="221">
        <f t="shared" si="43"/>
        <v>1</v>
      </c>
      <c r="T126" s="174" t="str">
        <f t="shared" si="44"/>
        <v>Southbound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 t="shared" si="45"/>
        <v>https://d0f6bd738d7f1b3e5a7ca70fe4ff75f0.us-east-1.aws.found.io/app/kibana#/discover/Steve-Slow-Train-Analysis-(2080s-and-2083s)?_g=(refreshInterval:(display:Off,pause:!f,section:0,value:0),time:(from:'2017-09-21T17:38:52-0600',mode:absolute,to:'2017-09-21T20:18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6" s="204" t="str">
        <f>IF(AA126&lt;VLOOKUP(AG126,Variables!$AC$3:$AD$8,2,FALSE),"Y","N")</f>
        <v>N</v>
      </c>
      <c r="X126" s="204">
        <f t="shared" si="46"/>
        <v>1</v>
      </c>
      <c r="Y126" s="204">
        <f t="shared" si="47"/>
        <v>23.300799999999999</v>
      </c>
      <c r="Z126" s="204">
        <f t="shared" si="48"/>
        <v>1.5800000000000002E-2</v>
      </c>
      <c r="AA126" s="204">
        <f t="shared" si="49"/>
        <v>23.285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 t="shared" si="50"/>
        <v>214</v>
      </c>
      <c r="AE126" s="77" t="str">
        <f t="shared" si="51"/>
        <v>aws s3 cp s3://rtdc.mdm.uploadarchive.raw/RTDC4029/ "%USERPROFILE%\AppData\Local\Temp\OnboardLogs"\RTDC4029\2017-09-21 --exclude "*" --recursive --include "*20170921*" &amp; "%USERPROFILE%\Documents\GitHub\mrs-test-scripts\Headless Mode &amp; Sideloading\WalkAndUnGZ.bat" "%USERPROFILE%\AppData\Local\Temp\OnboardLogs"\RTDC4029\2017-09-21 &amp; aws s3 cp s3://rtdc.mdm.uploadarchive.raw/RTDC4029/ "%USERPROFILE%\AppData\Local\Temp\OnboardLogs"\RTDC4029\2017-09-22 --exclude "*" --recursive --include "*20170922*" &amp; "%USERPROFILE%\Documents\GitHub\mrs-test-scripts\Headless Mode &amp; Sideloading\WalkAndUnGZ.bat" "%USERPROFILE%\AppData\Local\Temp\OnboardLogs"\RTDC4029\2017-09-22</v>
      </c>
      <c r="AF126" s="74" t="str">
        <f t="shared" si="52"/>
        <v>"C:\Program Files (x86)\AstroGrep\AstroGrep.exe" /e /r /s /spath="%USERPROFILE%\AppData\Local\Temp\OnboardLogs" /stypes="app*4029*20170922*" /stext=" 01:.+((SYSTEM_STATE.+slice.+state.+changed )|(ment ac)|(multiple cpu faults)|(system.+state.+changed )|(\[timeout)|(PRM\|1\|D)|(kpr)|(kdp)|(train st.+moving)|(\|lc)|(penalty))"</v>
      </c>
      <c r="AG126" s="182" t="str">
        <f t="shared" si="53"/>
        <v>EC</v>
      </c>
      <c r="AH126" s="78" t="str">
        <f t="shared" si="54"/>
        <v>"%USERPROFILE%\Documents\GitHub\eaglep3\Utilities\RefineRTDCRunTimes.py" --tripid 214-21 --locoid 4029 --swversion DE.1.0.9.0 --startMP 204:233008 --initTime 2017-09-21T18:38:52 --startdatetime 2017-09-21T18:42:24 --delay 95 --endMP 204:158 --enddatetime 2017-09-21T19:18:27 --enforcementcount 0 &gt;&gt;c:\users\stu\Documents\GitHub\eaglep3-reporting\EC\2017-09-21-refined-times.txt</v>
      </c>
      <c r="AI126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{"issue":{"subject":"","project_id":79,"tracker_id":40,"status_id":1,"priority_id":2,"assigned_to_id":338,"start_date":"2017-09-21","description":"","custom_fields":[{"id":1,"name":"Subdivision","value":"EC"},{"id":4,"name":"Milepost","value":"0.0158"},{"id":17,"name":"Train ID","value":"214-21"},{"id":16,"name":"Locomotive ID","value":"4029"},{"id":130,"name":"Impact","value":""},{"id":150,"name":"Time of Event (Mountain Time)","value":"19:18:27"},{"id":151,"name":"Denver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56"/>
        <v>start /low /b %USERPROFILE%\Documents\GitHub\eaglep3\Utilities\DownloadLogsFromS3.py --loco 4029 --day 2017-09-21</v>
      </c>
      <c r="AN126" s="151" t="str">
        <f t="shared" si="57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01:18:27"},{"id":29,"name":"Sharepoint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58"/>
        <v>https://d0f6bd738d7f1b3e5a7ca70fe4ff75f0.us-east-1.aws.found.io/app/kibana#/discover/Steve-Slow-Train-Analysis-(2080s-and-2083s)?_g=(refreshInterval:(display:Off,pause:!f,section:0,value:0),time:(from:'2017-09-21T17:38:52-0600',mode:absolute,to:'2017-09-21T20:18:27-0600'))&amp;_a=(columns:!('Message%20ID',Summary),filters:!(),index:'emp_*',interval:auto,query:(query_string:(analyze_wildcard:!t,query:'Message%5C+ID:(*)+AND+%22rtdc.l.rtdc.4029%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774</v>
      </c>
      <c r="B127" s="7">
        <v>4006</v>
      </c>
      <c r="C127" s="21" t="s">
        <v>196</v>
      </c>
      <c r="D127" s="21" t="s">
        <v>990</v>
      </c>
      <c r="E127" s="13">
        <v>42999.747650462959</v>
      </c>
      <c r="F127" s="13">
        <v>42999.750335648147</v>
      </c>
      <c r="G127" s="7">
        <v>70</v>
      </c>
      <c r="H127" s="21" t="s">
        <v>551</v>
      </c>
      <c r="I127" s="13">
        <v>42999.77511574074</v>
      </c>
      <c r="J127" s="7">
        <v>0</v>
      </c>
      <c r="K127" s="89" t="str">
        <f t="shared" si="40"/>
        <v>4005/4006</v>
      </c>
      <c r="L127" s="185" t="str">
        <f>VLOOKUP(A127,'Trips&amp;Operators'!$C$1:$G$99911,5,FALSE)</f>
        <v>HOLCOMB KAMDEN</v>
      </c>
      <c r="M127" s="6">
        <f t="shared" si="41"/>
        <v>2.4780092593573499E-2</v>
      </c>
      <c r="N127" s="7">
        <f t="shared" si="42"/>
        <v>35.683333334745839</v>
      </c>
      <c r="O127" s="7"/>
      <c r="P127" s="7"/>
      <c r="Q127" s="22"/>
      <c r="R127" s="174"/>
      <c r="S127" s="221">
        <f t="shared" si="43"/>
        <v>1</v>
      </c>
      <c r="T127" s="174" t="str">
        <f t="shared" si="44"/>
        <v>NorthBound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 t="shared" si="45"/>
        <v>https://d0f6bd738d7f1b3e5a7ca70fe4ff75f0.us-east-1.aws.found.io/app/kibana#/discover/Steve-Slow-Train-Analysis-(2080s-and-2083s)?_g=(refreshInterval:(display:Off,pause:!f,section:0,value:0),time:(from:'2017-09-21T16:56:37-0600',mode:absolute,to:'2017-09-21T19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7" s="204" t="str">
        <f>IF(AA127&lt;VLOOKUP(AG127,Variables!$AC$3:$AD$8,2,FALSE),"Y","N")</f>
        <v>N</v>
      </c>
      <c r="X127" s="204">
        <f t="shared" si="46"/>
        <v>1</v>
      </c>
      <c r="Y127" s="204">
        <f t="shared" si="47"/>
        <v>4.2200000000000001E-2</v>
      </c>
      <c r="Z127" s="204">
        <f t="shared" si="48"/>
        <v>23.330100000000002</v>
      </c>
      <c r="AA127" s="204">
        <f t="shared" si="49"/>
        <v>23.2879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 t="shared" si="50"/>
        <v>215</v>
      </c>
      <c r="AE127" s="77" t="str">
        <f t="shared" si="51"/>
        <v>aws s3 cp s3://rtdc.mdm.uploadarchive.raw/RTDC4006/ "%USERPROFILE%\AppData\Local\Temp\OnboardLogs"\RTDC4006\2017-09-21 --exclude "*" --recursive --include "*20170921*" &amp; "%USERPROFILE%\Documents\GitHub\mrs-test-scripts\Headless Mode &amp; Sideloading\WalkAndUnGZ.bat" "%USERPROFILE%\AppData\Local\Temp\OnboardLogs"\RTDC4006\2017-09-21 &amp; aws s3 cp s3://rtdc.mdm.uploadarchive.raw/RTDC4006/ "%USERPROFILE%\AppData\Local\Temp\OnboardLogs"\RTDC4006\2017-09-22 --exclude "*" --recursive --include "*20170922*" &amp; "%USERPROFILE%\Documents\GitHub\mrs-test-scripts\Headless Mode &amp; Sideloading\WalkAndUnGZ.bat" "%USERPROFILE%\AppData\Local\Temp\OnboardLogs"\RTDC4006\2017-09-22</v>
      </c>
      <c r="AF127" s="74" t="str">
        <f t="shared" si="52"/>
        <v>"C:\Program Files (x86)\AstroGrep\AstroGrep.exe" /e /r /s /spath="%USERPROFILE%\AppData\Local\Temp\OnboardLogs" /stypes="app*4006*20170922*" /stext=" 00:.+((SYSTEM_STATE.+slice.+state.+changed )|(ment ac)|(multiple cpu faults)|(system.+state.+changed )|(\[timeout)|(PRM\|1\|D)|(kpr)|(kdp)|(train st.+moving)|(\|lc)|(penalty))"</v>
      </c>
      <c r="AG127" s="182" t="str">
        <f t="shared" si="53"/>
        <v>EC</v>
      </c>
      <c r="AH127" s="78" t="str">
        <f t="shared" si="54"/>
        <v>"%USERPROFILE%\Documents\GitHub\eaglep3\Utilities\RefineRTDCRunTimes.py" --tripid 215-21 --locoid 4006 --swversion DE.1.0.9.0 --startMP 204:422 --initTime 2017-09-21T17:56:37 --startdatetime 2017-09-21T18:00:29 --delay 70 --endMP 204:233301 --enddatetime 2017-09-21T18:36:10 --enforcementcount 0 &gt;&gt;c:\users\stu\Documents\GitHub\eaglep3-reporting\EC\2017-09-21-refined-times.txt</v>
      </c>
      <c r="AI127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{"issue":{"subject":"","project_id":79,"tracker_id":40,"status_id":1,"priority_id":2,"assigned_to_id":338,"start_date":"2017-09-21","description":"","custom_fields":[{"id":1,"name":"Subdivision","value":"EC"},{"id":4,"name":"Milepost","value":"23.3301"},{"id":17,"name":"Train ID","value":"215-21"},{"id":16,"name":"Locomotive ID","value":"4006"},{"id":130,"name":"Impact","value":""},{"id":150,"name":"Time of Event (Mountain Time)","value":"18:36:10"},{"id":151,"name":"Denver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56"/>
        <v>start /low /b %USERPROFILE%\Documents\GitHub\eaglep3\Utilities\DownloadLogsFromS3.py --loco 4006 --day 2017-09-21</v>
      </c>
      <c r="AN127" s="151" t="str">
        <f t="shared" si="57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00:36:10"},{"id":29,"name":"Sharepoint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58"/>
        <v>https://d0f6bd738d7f1b3e5a7ca70fe4ff75f0.us-east-1.aws.found.io/app/kibana#/discover/Steve-Slow-Train-Analysis-(2080s-and-2083s)?_g=(refreshInterval:(display:Off,pause:!f,section:0,value:0),time:(from:'2017-09-21T16:56:37-0600',mode:absolute,to:'2017-09-21T19:36:10-0600'))&amp;_a=(columns:!('Message%20ID',Summary),filters:!(),index:'emp_*',interval:auto,query:(query_string:(analyze_wildcard:!t,query:'Message%5C+ID:(*)+AND+%22rtdc.l.rtdc.4006%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615</v>
      </c>
      <c r="B128" s="7">
        <v>4005</v>
      </c>
      <c r="C128" s="21" t="s">
        <v>196</v>
      </c>
      <c r="D128" s="21" t="s">
        <v>873</v>
      </c>
      <c r="E128" s="13">
        <v>42999.79960648148</v>
      </c>
      <c r="F128" s="13">
        <v>42999.800868055558</v>
      </c>
      <c r="G128" s="7">
        <v>60</v>
      </c>
      <c r="H128" s="21" t="s">
        <v>874</v>
      </c>
      <c r="I128" s="13">
        <v>42999.801018518519</v>
      </c>
      <c r="J128" s="7">
        <v>0</v>
      </c>
      <c r="K128" s="89" t="str">
        <f t="shared" si="40"/>
        <v>4005/4006</v>
      </c>
      <c r="L128" s="185" t="str">
        <f>VLOOKUP(A128,'Trips&amp;Operators'!$C$1:$G$99911,5,FALSE)</f>
        <v>HOLCOMB KAMDEN</v>
      </c>
      <c r="M128" s="6">
        <f t="shared" si="41"/>
        <v>1.5046296175569296E-4</v>
      </c>
      <c r="N128" s="7"/>
      <c r="O128" s="7"/>
      <c r="P128" s="7">
        <f t="shared" si="42"/>
        <v>0.21666666492819786</v>
      </c>
      <c r="Q128" s="22"/>
      <c r="R128" s="174" t="s">
        <v>998</v>
      </c>
      <c r="S128" s="221">
        <f t="shared" si="43"/>
        <v>0</v>
      </c>
      <c r="T128" s="174" t="str">
        <f t="shared" si="44"/>
        <v>Southbound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0</v>
      </c>
      <c r="V128" s="216" t="str">
        <f t="shared" si="45"/>
        <v>https://d0f6bd738d7f1b3e5a7ca70fe4ff75f0.us-east-1.aws.found.io/app/kibana#/discover/Steve-Slow-Train-Analysis-(2080s-and-2083s)?_g=(refreshInterval:(display:Off,pause:!f,section:0,value:0),time:(from:'2017-09-21T18:11:26-0600',mode:absolute,to:'2017-09-21T20:13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8" s="204" t="str">
        <f>IF(AA128&lt;VLOOKUP(AG128,Variables!$AC$3:$AD$8,2,FALSE),"Y","N")</f>
        <v>Y</v>
      </c>
      <c r="X128" s="204">
        <f t="shared" si="46"/>
        <v>1</v>
      </c>
      <c r="Y128" s="204">
        <f t="shared" si="47"/>
        <v>12.786</v>
      </c>
      <c r="Z128" s="204">
        <f t="shared" si="48"/>
        <v>12.7514</v>
      </c>
      <c r="AA128" s="204">
        <f t="shared" si="49"/>
        <v>3.4599999999999298E-2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 t="shared" si="50"/>
        <v>216</v>
      </c>
      <c r="AE128" s="77" t="str">
        <f t="shared" si="51"/>
        <v>aws s3 cp s3://rtdc.mdm.uploadarchive.raw/RTDC4005/ "%USERPROFILE%\AppData\Local\Temp\OnboardLogs"\RTDC4005\2017-09-21 --exclude "*" --recursive --include "*20170921*" &amp; "%USERPROFILE%\Documents\GitHub\mrs-test-scripts\Headless Mode &amp; Sideloading\WalkAndUnGZ.bat" "%USERPROFILE%\AppData\Local\Temp\OnboardLogs"\RTDC4005\2017-09-21 &amp; aws s3 cp s3://rtdc.mdm.uploadarchive.raw/RTDC4005/ "%USERPROFILE%\AppData\Local\Temp\OnboardLogs"\RTDC4005\2017-09-22 --exclude "*" --recursive --include "*20170922*" &amp; "%USERPROFILE%\Documents\GitHub\mrs-test-scripts\Headless Mode &amp; Sideloading\WalkAndUnGZ.bat" "%USERPROFILE%\AppData\Local\Temp\OnboardLogs"\RTDC4005\2017-09-22</v>
      </c>
      <c r="AF128" s="74" t="str">
        <f t="shared" si="52"/>
        <v>"C:\Program Files (x86)\AstroGrep\AstroGrep.exe" /e /r /s /spath="%USERPROFILE%\AppData\Local\Temp\OnboardLogs" /stypes="app*4005*20170922*" /stext=" 01:.+((SYSTEM_STATE.+slice.+state.+changed )|(ment ac)|(multiple cpu faults)|(system.+state.+changed )|(\[timeout)|(PRM\|1\|D)|(kpr)|(kdp)|(train st.+moving)|(\|lc)|(penalty))"</v>
      </c>
      <c r="AG128" s="182" t="str">
        <f t="shared" si="53"/>
        <v>EC</v>
      </c>
      <c r="AH128" s="78" t="str">
        <f t="shared" si="54"/>
        <v>"%USERPROFILE%\Documents\GitHub\eaglep3\Utilities\RefineRTDCRunTimes.py" --tripid 216-21 --locoid 4005 --swversion DE.1.0.9.0 --startMP 204:127860 --initTime 2017-09-21T19:11:26 --startdatetime 2017-09-21T19:13:15 --delay 60 --endMP 204:127514 --enddatetime 2017-09-21T19:13:28 --enforcementcount 0 &gt;&gt;c:\users\stu\Documents\GitHub\eaglep3-reporting\EC\2017-09-21-refined-times.txt</v>
      </c>
      <c r="AI128" s="96" t="str">
        <f t="shared" si="55"/>
        <v>echo {"issue":{"subject":"Onboard en route failure","project_id":79,"tracker_id":40,"status_id":1,"priority_id":2,"assigned_to_id":338,"start_date":"2017-09-21","description":"","custom_fields":[{"id":1,"name":"Subdivision","value":"EC"},{"id":4,"name":"Milepost","value":"12.7514"},{"id":17,"name":"Train ID","value":"216-21"},{"id":16,"name":"Locomotive ID","value":"4005"},{"id":130,"name":"Impact","value":""},{"id":150,"name":"Time of Event (Mountain Time)","value":"19:13:28"},{"id":151,"name":"Denver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56"/>
        <v>start /low /b %USERPROFILE%\Documents\GitHub\eaglep3\Utilities\DownloadLogsFromS3.py --loco 4005 --day 2017-09-21</v>
      </c>
      <c r="AN128" s="151" t="str">
        <f t="shared" si="57"/>
        <v>echo {"issue":{"subject":"Onboard en route failure","project_id":30,"tracker_id":4,"status_id":1,"priority_id":1,"assigned_to_id":10,"start_date":"2017-09-22","description":"","custom_fields":[{"id":30,"name":"Category","value":"Issue"},{"id":3,"name":"Functional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01:13:28"},{"id":29,"name":"Sharepoint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58"/>
        <v>https://d0f6bd738d7f1b3e5a7ca70fe4ff75f0.us-east-1.aws.found.io/app/kibana#/discover/Steve-Slow-Train-Analysis-(2080s-and-2083s)?_g=(refreshInterval:(display:Off,pause:!f,section:0,value:0),time:(from:'2017-09-21T18:11:26-0600',mode:absolute,to:'2017-09-21T20:13:28-0600'))&amp;_a=(columns:!('Message%20ID',Summary),filters:!(),index:'emp_*',interval:auto,query:(query_string:(analyze_wildcard:!t,query:'Message%5C+ID:(*)+AND+%22rtdc.l.rtdc.4005%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615</v>
      </c>
      <c r="B129" s="7">
        <v>4005</v>
      </c>
      <c r="C129" s="21" t="s">
        <v>196</v>
      </c>
      <c r="D129" s="21" t="s">
        <v>469</v>
      </c>
      <c r="E129" s="13">
        <v>42999.786504629628</v>
      </c>
      <c r="F129" s="13">
        <v>42999.800868055558</v>
      </c>
      <c r="G129" s="7">
        <v>46</v>
      </c>
      <c r="H129" s="21" t="s">
        <v>469</v>
      </c>
      <c r="I129" s="13">
        <v>42999.801018518519</v>
      </c>
      <c r="J129" s="7">
        <v>0</v>
      </c>
      <c r="K129" s="89" t="str">
        <f t="shared" si="40"/>
        <v>4005/4006</v>
      </c>
      <c r="L129" s="185" t="str">
        <f>VLOOKUP(A129,'Trips&amp;Operators'!$C$1:$G$99911,5,FALSE)</f>
        <v>HOLCOMB KAMDEN</v>
      </c>
      <c r="M129" s="6">
        <f t="shared" si="41"/>
        <v>1.5046296175569296E-4</v>
      </c>
      <c r="N129" s="7"/>
      <c r="O129" s="7"/>
      <c r="P129" s="7"/>
      <c r="Q129" s="22"/>
      <c r="R129" s="174"/>
      <c r="S129" s="221"/>
      <c r="T129" s="174" t="str">
        <f t="shared" si="44"/>
        <v>Southbound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0</v>
      </c>
      <c r="V129" s="216" t="str">
        <f t="shared" si="45"/>
        <v>https://d0f6bd738d7f1b3e5a7ca70fe4ff75f0.us-east-1.aws.found.io/app/kibana#/discover/Steve-Slow-Train-Analysis-(2080s-and-2083s)?_g=(refreshInterval:(display:Off,pause:!f,section:0,value:0),time:(from:'2017-09-21T17:52:34-0600',mode:absolute,to:'2017-09-21T20:13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9" s="204" t="str">
        <f>IF(AA129&lt;VLOOKUP(AG129,Variables!$AC$3:$AD$8,2,FALSE),"Y","N")</f>
        <v>Y</v>
      </c>
      <c r="X129" s="204">
        <f t="shared" si="46"/>
        <v>0</v>
      </c>
      <c r="Y129" s="204">
        <f t="shared" si="47"/>
        <v>23.299199999999999</v>
      </c>
      <c r="Z129" s="204">
        <f t="shared" si="48"/>
        <v>23.299199999999999</v>
      </c>
      <c r="AA129" s="204">
        <f t="shared" si="49"/>
        <v>0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 t="shared" si="50"/>
        <v>216</v>
      </c>
      <c r="AE129" s="77" t="str">
        <f t="shared" si="51"/>
        <v>aws s3 cp s3://rtdc.mdm.uploadarchive.raw/RTDC4005/ "%USERPROFILE%\AppData\Local\Temp\OnboardLogs"\RTDC4005\2017-09-21 --exclude "*" --recursive --include "*20170921*" &amp; "%USERPROFILE%\Documents\GitHub\mrs-test-scripts\Headless Mode &amp; Sideloading\WalkAndUnGZ.bat" "%USERPROFILE%\AppData\Local\Temp\OnboardLogs"\RTDC4005\2017-09-21 &amp; aws s3 cp s3://rtdc.mdm.uploadarchive.raw/RTDC4005/ "%USERPROFILE%\AppData\Local\Temp\OnboardLogs"\RTDC4005\2017-09-22 --exclude "*" --recursive --include "*20170922*" &amp; "%USERPROFILE%\Documents\GitHub\mrs-test-scripts\Headless Mode &amp; Sideloading\WalkAndUnGZ.bat" "%USERPROFILE%\AppData\Local\Temp\OnboardLogs"\RTDC4005\2017-09-22</v>
      </c>
      <c r="AF129" s="74" t="str">
        <f t="shared" si="52"/>
        <v>"C:\Program Files (x86)\AstroGrep\AstroGrep.exe" /e /r /s /spath="%USERPROFILE%\AppData\Local\Temp\OnboardLogs" /stypes="app*4005*20170922*" /stext=" 01:.+((SYSTEM_STATE.+slice.+state.+changed )|(ment ac)|(multiple cpu faults)|(system.+state.+changed )|(\[timeout)|(PRM\|1\|D)|(kpr)|(kdp)|(train st.+moving)|(\|lc)|(penalty))"</v>
      </c>
      <c r="AG129" s="182" t="str">
        <f t="shared" si="53"/>
        <v>EC</v>
      </c>
      <c r="AH129" s="78" t="str">
        <f t="shared" si="54"/>
        <v>"%USERPROFILE%\Documents\GitHub\eaglep3\Utilities\RefineRTDCRunTimes.py" --tripid 216-21 --locoid 4005 --swversion DE.1.0.9.0 --startMP 204:232992 --initTime 2017-09-21T18:52:34 --startdatetime 2017-09-21T19:13:15 --delay 46 --endMP 204:232992 --enddatetime 2017-09-21T19:13:28 --enforcementcount 0 &gt;&gt;c:\users\stu\Documents\GitHub\eaglep3-reporting\EC\2017-09-21-refined-times.txt</v>
      </c>
      <c r="AI129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{"issue":{"subject":"","project_id":79,"tracker_id":40,"status_id":1,"priority_id":2,"assigned_to_id":338,"start_date":"2017-09-21","description":"","custom_fields":[{"id":1,"name":"Subdivision","value":"EC"},{"id":4,"name":"Milepost","value":"23.2992"},{"id":17,"name":"Train ID","value":"216-21"},{"id":16,"name":"Locomotive ID","value":"4005"},{"id":130,"name":"Impact","value":""},{"id":150,"name":"Time of Event (Mountain Time)","value":"19:13:28"},{"id":151,"name":"Denver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56"/>
        <v>start /low /b %USERPROFILE%\Documents\GitHub\eaglep3\Utilities\DownloadLogsFromS3.py --loco 4005 --day 2017-09-21</v>
      </c>
      <c r="AN129" s="151" t="str">
        <f t="shared" si="57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01:13:28"},{"id":29,"name":"Sharepoint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58"/>
        <v>https://d0f6bd738d7f1b3e5a7ca70fe4ff75f0.us-east-1.aws.found.io/app/kibana#/discover/Steve-Slow-Train-Analysis-(2080s-and-2083s)?_g=(refreshInterval:(display:Off,pause:!f,section:0,value:0),time:(from:'2017-09-21T17:52:34-0600',mode:absolute,to:'2017-09-21T20:13:28-0600'))&amp;_a=(columns:!('Message%20ID',Summary),filters:!(),index:'emp_*',interval:auto,query:(query_string:(analyze_wildcard:!t,query:'Message%5C+ID:(*)+AND+%22rtdc.l.rtdc.4005%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776</v>
      </c>
      <c r="B130" s="7">
        <v>4014</v>
      </c>
      <c r="C130" s="21" t="s">
        <v>196</v>
      </c>
      <c r="D130" s="21" t="s">
        <v>380</v>
      </c>
      <c r="E130" s="13">
        <v>42999.75445601852</v>
      </c>
      <c r="F130" s="13">
        <v>42999.760659722226</v>
      </c>
      <c r="G130" s="7">
        <v>76</v>
      </c>
      <c r="H130" s="21" t="s">
        <v>543</v>
      </c>
      <c r="I130" s="13">
        <v>42999.785185185188</v>
      </c>
      <c r="J130" s="7">
        <v>0</v>
      </c>
      <c r="K130" s="89" t="str">
        <f t="shared" si="40"/>
        <v>4013/4014</v>
      </c>
      <c r="L130" s="185" t="str">
        <f>VLOOKUP(A130,'Trips&amp;Operators'!$C$1:$G$99911,5,FALSE)</f>
        <v>ELBAUM MIKE</v>
      </c>
      <c r="M130" s="6">
        <f t="shared" si="41"/>
        <v>2.4525462962628808E-2</v>
      </c>
      <c r="N130" s="7">
        <f t="shared" si="42"/>
        <v>35.316666666185483</v>
      </c>
      <c r="O130" s="7"/>
      <c r="P130" s="7"/>
      <c r="Q130" s="22"/>
      <c r="R130" s="174"/>
      <c r="S130" s="221">
        <f t="shared" si="43"/>
        <v>1</v>
      </c>
      <c r="T130" s="174" t="str">
        <f t="shared" si="44"/>
        <v>NorthBound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 t="shared" si="45"/>
        <v>https://d0f6bd738d7f1b3e5a7ca70fe4ff75f0.us-east-1.aws.found.io/app/kibana#/discover/Steve-Slow-Train-Analysis-(2080s-and-2083s)?_g=(refreshInterval:(display:Off,pause:!f,section:0,value:0),time:(from:'2017-09-21T17:06:25-0600',mode:absolute,to:'2017-09-21T19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0" s="204" t="str">
        <f>IF(AA130&lt;VLOOKUP(AG130,Variables!$AC$3:$AD$8,2,FALSE),"Y","N")</f>
        <v>N</v>
      </c>
      <c r="X130" s="204">
        <f t="shared" si="46"/>
        <v>1</v>
      </c>
      <c r="Y130" s="204">
        <f t="shared" si="47"/>
        <v>4.5999999999999999E-2</v>
      </c>
      <c r="Z130" s="204">
        <f t="shared" si="48"/>
        <v>23.333600000000001</v>
      </c>
      <c r="AA130" s="204">
        <f t="shared" si="49"/>
        <v>23.287600000000001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 t="shared" si="50"/>
        <v>217</v>
      </c>
      <c r="AE130" s="77" t="str">
        <f t="shared" si="51"/>
        <v>aws s3 cp s3://rtdc.mdm.uploadarchive.raw/RTDC4014/ "%USERPROFILE%\AppData\Local\Temp\OnboardLogs"\RTDC4014\2017-09-21 --exclude "*" --recursive --include "*20170921*" &amp; "%USERPROFILE%\Documents\GitHub\mrs-test-scripts\Headless Mode &amp; Sideloading\WalkAndUnGZ.bat" "%USERPROFILE%\AppData\Local\Temp\OnboardLogs"\RTDC4014\2017-09-21 &amp; aws s3 cp s3://rtdc.mdm.uploadarchive.raw/RTDC4014/ "%USERPROFILE%\AppData\Local\Temp\OnboardLogs"\RTDC4014\2017-09-22 --exclude "*" --recursive --include "*20170922*" &amp; "%USERPROFILE%\Documents\GitHub\mrs-test-scripts\Headless Mode &amp; Sideloading\WalkAndUnGZ.bat" "%USERPROFILE%\AppData\Local\Temp\OnboardLogs"\RTDC4014\2017-09-22</v>
      </c>
      <c r="AF130" s="74" t="str">
        <f t="shared" si="52"/>
        <v>"C:\Program Files (x86)\AstroGrep\AstroGrep.exe" /e /r /s /spath="%USERPROFILE%\AppData\Local\Temp\OnboardLogs" /stypes="app*4014*20170922*" /stext=" 00:.+((SYSTEM_STATE.+slice.+state.+changed )|(ment ac)|(multiple cpu faults)|(system.+state.+changed )|(\[timeout)|(PRM\|1\|D)|(kpr)|(kdp)|(train st.+moving)|(\|lc)|(penalty))"</v>
      </c>
      <c r="AG130" s="182" t="str">
        <f t="shared" si="53"/>
        <v>EC</v>
      </c>
      <c r="AH130" s="78" t="str">
        <f t="shared" si="54"/>
        <v>"%USERPROFILE%\Documents\GitHub\eaglep3\Utilities\RefineRTDCRunTimes.py" --tripid 217-21 --locoid 4014 --swversion DE.1.0.9.0 --startMP 204:460 --initTime 2017-09-21T18:06:25 --startdatetime 2017-09-21T18:15:21 --delay 76 --endMP 204:233336 --enddatetime 2017-09-21T18:50:40 --enforcementcount 0 &gt;&gt;c:\users\stu\Documents\GitHub\eaglep3-reporting\EC\2017-09-21-refined-times.txt</v>
      </c>
      <c r="AI130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{"issue":{"subject":"","project_id":79,"tracker_id":40,"status_id":1,"priority_id":2,"assigned_to_id":338,"start_date":"2017-09-21","description":"","custom_fields":[{"id":1,"name":"Subdivision","value":"EC"},{"id":4,"name":"Milepost","value":"23.3336"},{"id":17,"name":"Train ID","value":"217-21"},{"id":16,"name":"Locomotive ID","value":"4014"},{"id":130,"name":"Impact","value":""},{"id":150,"name":"Time of Event (Mountain Time)","value":"18:50:40"},{"id":151,"name":"Denver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56"/>
        <v>start /low /b %USERPROFILE%\Documents\GitHub\eaglep3\Utilities\DownloadLogsFromS3.py --loco 4014 --day 2017-09-21</v>
      </c>
      <c r="AN130" s="151" t="str">
        <f t="shared" si="57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00:50:40"},{"id":29,"name":"Sharepoint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58"/>
        <v>https://d0f6bd738d7f1b3e5a7ca70fe4ff75f0.us-east-1.aws.found.io/app/kibana#/discover/Steve-Slow-Train-Analysis-(2080s-and-2083s)?_g=(refreshInterval:(display:Off,pause:!f,section:0,value:0),time:(from:'2017-09-21T17:06:25-0600',mode:absolute,to:'2017-09-21T19:50:40-0600'))&amp;_a=(columns:!('Message%20ID',Summary),filters:!(),index:'emp_*',interval:auto,query:(query_string:(analyze_wildcard:!t,query:'Message%5C+ID:(*)+AND+%22rtdc.l.rtdc.4014%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787</v>
      </c>
      <c r="B131" s="7">
        <v>4013</v>
      </c>
      <c r="C131" s="21" t="s">
        <v>196</v>
      </c>
      <c r="D131" s="21" t="s">
        <v>446</v>
      </c>
      <c r="E131" s="13">
        <v>42999.786574074074</v>
      </c>
      <c r="F131" s="13">
        <v>42999.800162037034</v>
      </c>
      <c r="G131" s="7">
        <v>73</v>
      </c>
      <c r="H131" s="21" t="s">
        <v>546</v>
      </c>
      <c r="I131" s="13">
        <v>42999.826342592591</v>
      </c>
      <c r="J131" s="7">
        <v>0</v>
      </c>
      <c r="K131" s="89" t="str">
        <f t="shared" si="40"/>
        <v>4013/4014</v>
      </c>
      <c r="L131" s="185" t="str">
        <f>VLOOKUP(A131,'Trips&amp;Operators'!$C$1:$G$99911,5,FALSE)</f>
        <v>ELBAUM MIKE</v>
      </c>
      <c r="M131" s="6">
        <f t="shared" si="41"/>
        <v>2.6180555556493346E-2</v>
      </c>
      <c r="N131" s="7">
        <f t="shared" si="42"/>
        <v>37.700000001350418</v>
      </c>
      <c r="O131" s="7"/>
      <c r="P131" s="7"/>
      <c r="Q131" s="22"/>
      <c r="R131" s="174"/>
      <c r="S131" s="221">
        <f t="shared" si="43"/>
        <v>1</v>
      </c>
      <c r="T131" s="174" t="str">
        <f t="shared" si="44"/>
        <v>Southbound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 t="shared" si="45"/>
        <v>https://d0f6bd738d7f1b3e5a7ca70fe4ff75f0.us-east-1.aws.found.io/app/kibana#/discover/Steve-Slow-Train-Analysis-(2080s-and-2083s)?_g=(refreshInterval:(display:Off,pause:!f,section:0,value:0),time:(from:'2017-09-21T17:52:40-0600',mode:absolute,to:'2017-09-21T20:49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1" s="204" t="str">
        <f>IF(AA131&lt;VLOOKUP(AG131,Variables!$AC$3:$AD$8,2,FALSE),"Y","N")</f>
        <v>N</v>
      </c>
      <c r="X131" s="204">
        <f t="shared" si="46"/>
        <v>1</v>
      </c>
      <c r="Y131" s="204">
        <f t="shared" si="47"/>
        <v>23.301500000000001</v>
      </c>
      <c r="Z131" s="204">
        <f t="shared" si="48"/>
        <v>1.67E-2</v>
      </c>
      <c r="AA131" s="204">
        <f t="shared" si="49"/>
        <v>23.284800000000001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 t="shared" si="50"/>
        <v>218</v>
      </c>
      <c r="AE131" s="77" t="str">
        <f t="shared" si="51"/>
        <v>aws s3 cp s3://rtdc.mdm.uploadarchive.raw/RTDC4013/ "%USERPROFILE%\AppData\Local\Temp\OnboardLogs"\RTDC4013\2017-09-21 --exclude "*" --recursive --include "*20170921*" &amp; "%USERPROFILE%\Documents\GitHub\mrs-test-scripts\Headless Mode &amp; Sideloading\WalkAndUnGZ.bat" "%USERPROFILE%\AppData\Local\Temp\OnboardLogs"\RTDC4013\2017-09-21 &amp; aws s3 cp s3://rtdc.mdm.uploadarchive.raw/RTDC4013/ "%USERPROFILE%\AppData\Local\Temp\OnboardLogs"\RTDC4013\2017-09-22 --exclude "*" --recursive --include "*20170922*" &amp; "%USERPROFILE%\Documents\GitHub\mrs-test-scripts\Headless Mode &amp; Sideloading\WalkAndUnGZ.bat" "%USERPROFILE%\AppData\Local\Temp\OnboardLogs"\RTDC4013\2017-09-22</v>
      </c>
      <c r="AF131" s="74" t="str">
        <f t="shared" si="52"/>
        <v>"C:\Program Files (x86)\AstroGrep\AstroGrep.exe" /e /r /s /spath="%USERPROFILE%\AppData\Local\Temp\OnboardLogs" /stypes="app*4013*20170922*" /stext=" 01:.+((SYSTEM_STATE.+slice.+state.+changed )|(ment ac)|(multiple cpu faults)|(system.+state.+changed )|(\[timeout)|(PRM\|1\|D)|(kpr)|(kdp)|(train st.+moving)|(\|lc)|(penalty))"</v>
      </c>
      <c r="AG131" s="182" t="str">
        <f t="shared" si="53"/>
        <v>EC</v>
      </c>
      <c r="AH131" s="78" t="str">
        <f t="shared" si="54"/>
        <v>"%USERPROFILE%\Documents\GitHub\eaglep3\Utilities\RefineRTDCRunTimes.py" --tripid 218-21 --locoid 4013 --swversion DE.1.0.9.0 --startMP 204:233015 --initTime 2017-09-21T18:52:40 --startdatetime 2017-09-21T19:12:14 --delay 73 --endMP 204:167 --enddatetime 2017-09-21T19:49:56 --enforcementcount 0 &gt;&gt;c:\users\stu\Documents\GitHub\eaglep3-reporting\EC\2017-09-21-refined-times.txt</v>
      </c>
      <c r="AI131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{"issue":{"subject":"","project_id":79,"tracker_id":40,"status_id":1,"priority_id":2,"assigned_to_id":338,"start_date":"2017-09-21","description":"","custom_fields":[{"id":1,"name":"Subdivision","value":"EC"},{"id":4,"name":"Milepost","value":"0.0167"},{"id":17,"name":"Train ID","value":"218-21"},{"id":16,"name":"Locomotive ID","value":"4013"},{"id":130,"name":"Impact","value":""},{"id":150,"name":"Time of Event (Mountain Time)","value":"19:49:56"},{"id":151,"name":"Denver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56"/>
        <v>start /low /b %USERPROFILE%\Documents\GitHub\eaglep3\Utilities\DownloadLogsFromS3.py --loco 4013 --day 2017-09-21</v>
      </c>
      <c r="AN131" s="151" t="str">
        <f t="shared" si="57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01:49:56"},{"id":29,"name":"Sharepoint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58"/>
        <v>https://d0f6bd738d7f1b3e5a7ca70fe4ff75f0.us-east-1.aws.found.io/app/kibana#/discover/Steve-Slow-Train-Analysis-(2080s-and-2083s)?_g=(refreshInterval:(display:Off,pause:!f,section:0,value:0),time:(from:'2017-09-21T17:52:40-0600',mode:absolute,to:'2017-09-21T20:49:56-0600'))&amp;_a=(columns:!('Message%20ID',Summary),filters:!(),index:'emp_*',interval:auto,query:(query_string:(analyze_wildcard:!t,query:'Message%5C+ID:(*)+AND+%22rtdc.l.rtdc.4013%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782</v>
      </c>
      <c r="B132" s="7">
        <v>4010</v>
      </c>
      <c r="C132" s="21" t="s">
        <v>196</v>
      </c>
      <c r="D132" s="21" t="s">
        <v>357</v>
      </c>
      <c r="E132" s="13">
        <v>42999.766562500001</v>
      </c>
      <c r="F132" s="13">
        <v>42999.770995370367</v>
      </c>
      <c r="G132" s="7">
        <v>94</v>
      </c>
      <c r="H132" s="21" t="s">
        <v>490</v>
      </c>
      <c r="I132" s="13">
        <v>42999.796423611115</v>
      </c>
      <c r="J132" s="7">
        <v>0</v>
      </c>
      <c r="K132" s="89" t="str">
        <f t="shared" si="40"/>
        <v>4009/4010</v>
      </c>
      <c r="L132" s="185" t="str">
        <f>VLOOKUP(A132,'Trips&amp;Operators'!$C$1:$G$99911,5,FALSE)</f>
        <v>PERKINS DARREN</v>
      </c>
      <c r="M132" s="6">
        <f t="shared" si="41"/>
        <v>2.5428240747714881E-2</v>
      </c>
      <c r="N132" s="7">
        <f t="shared" si="42"/>
        <v>36.616666676709428</v>
      </c>
      <c r="O132" s="7"/>
      <c r="P132" s="7"/>
      <c r="Q132" s="22"/>
      <c r="R132" s="174"/>
      <c r="S132" s="221">
        <f t="shared" si="43"/>
        <v>1</v>
      </c>
      <c r="T132" s="174" t="str">
        <f t="shared" si="44"/>
        <v>NorthBound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 t="shared" si="45"/>
        <v>https://d0f6bd738d7f1b3e5a7ca70fe4ff75f0.us-east-1.aws.found.io/app/kibana#/discover/Steve-Slow-Train-Analysis-(2080s-and-2083s)?_g=(refreshInterval:(display:Off,pause:!f,section:0,value:0),time:(from:'2017-09-21T17:23:51-0600',mode:absolute,to:'2017-09-21T20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2" s="204" t="str">
        <f>IF(AA132&lt;VLOOKUP(AG132,Variables!$AC$3:$AD$8,2,FALSE),"Y","N")</f>
        <v>N</v>
      </c>
      <c r="X132" s="204">
        <f t="shared" si="46"/>
        <v>1</v>
      </c>
      <c r="Y132" s="204">
        <f t="shared" si="47"/>
        <v>4.58E-2</v>
      </c>
      <c r="Z132" s="204">
        <f t="shared" si="48"/>
        <v>23.328600000000002</v>
      </c>
      <c r="AA132" s="204">
        <f t="shared" si="49"/>
        <v>23.282800000000002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 t="shared" si="50"/>
        <v>219</v>
      </c>
      <c r="AE132" s="77" t="str">
        <f t="shared" si="51"/>
        <v>aws s3 cp s3://rtdc.mdm.uploadarchive.raw/RTDC4010/ "%USERPROFILE%\AppData\Local\Temp\OnboardLogs"\RTDC4010\2017-09-21 --exclude "*" --recursive --include "*20170921*" &amp; "%USERPROFILE%\Documents\GitHub\mrs-test-scripts\Headless Mode &amp; Sideloading\WalkAndUnGZ.bat" "%USERPROFILE%\AppData\Local\Temp\OnboardLogs"\RTDC4010\2017-09-21 &amp; aws s3 cp s3://rtdc.mdm.uploadarchive.raw/RTDC4010/ "%USERPROFILE%\AppData\Local\Temp\OnboardLogs"\RTDC4010\2017-09-22 --exclude "*" --recursive --include "*20170922*" &amp; "%USERPROFILE%\Documents\GitHub\mrs-test-scripts\Headless Mode &amp; Sideloading\WalkAndUnGZ.bat" "%USERPROFILE%\AppData\Local\Temp\OnboardLogs"\RTDC4010\2017-09-22</v>
      </c>
      <c r="AF132" s="74" t="str">
        <f t="shared" si="52"/>
        <v>"C:\Program Files (x86)\AstroGrep\AstroGrep.exe" /e /r /s /spath="%USERPROFILE%\AppData\Local\Temp\OnboardLogs" /stypes="app*4010*20170922*" /stext=" 01:.+((SYSTEM_STATE.+slice.+state.+changed )|(ment ac)|(multiple cpu faults)|(system.+state.+changed )|(\[timeout)|(PRM\|1\|D)|(kpr)|(kdp)|(train st.+moving)|(\|lc)|(penalty))"</v>
      </c>
      <c r="AG132" s="182" t="str">
        <f t="shared" si="53"/>
        <v>EC</v>
      </c>
      <c r="AH132" s="78" t="str">
        <f t="shared" si="54"/>
        <v>"%USERPROFILE%\Documents\GitHub\eaglep3\Utilities\RefineRTDCRunTimes.py" --tripid 219-21 --locoid 4010 --swversion DE.1.0.9.0 --startMP 204:458 --initTime 2017-09-21T18:23:51 --startdatetime 2017-09-21T18:30:14 --delay 94 --endMP 204:233286 --enddatetime 2017-09-21T19:06:51 --enforcementcount 0 &gt;&gt;c:\users\stu\Documents\GitHub\eaglep3-reporting\EC\2017-09-21-refined-times.txt</v>
      </c>
      <c r="AI132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{"issue":{"subject":"","project_id":79,"tracker_id":40,"status_id":1,"priority_id":2,"assigned_to_id":338,"start_date":"2017-09-21","description":"","custom_fields":[{"id":1,"name":"Subdivision","value":"EC"},{"id":4,"name":"Milepost","value":"23.3286"},{"id":17,"name":"Train ID","value":"219-21"},{"id":16,"name":"Locomotive ID","value":"4010"},{"id":130,"name":"Impact","value":""},{"id":150,"name":"Time of Event (Mountain Time)","value":"19:06:51"},{"id":151,"name":"Denver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56"/>
        <v>start /low /b %USERPROFILE%\Documents\GitHub\eaglep3\Utilities\DownloadLogsFromS3.py --loco 4010 --day 2017-09-21</v>
      </c>
      <c r="AN132" s="151" t="str">
        <f t="shared" si="57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01:06:51"},{"id":29,"name":"Sharepoint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58"/>
        <v>https://d0f6bd738d7f1b3e5a7ca70fe4ff75f0.us-east-1.aws.found.io/app/kibana#/discover/Steve-Slow-Train-Analysis-(2080s-and-2083s)?_g=(refreshInterval:(display:Off,pause:!f,section:0,value:0),time:(from:'2017-09-21T17:23:51-0600',mode:absolute,to:'2017-09-21T20:06:51-0600'))&amp;_a=(columns:!('Message%20ID',Summary),filters:!(),index:'emp_*',interval:auto,query:(query_string:(analyze_wildcard:!t,query:'Message%5C+ID:(*)+AND+%22rtdc.l.rtdc.4010%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791</v>
      </c>
      <c r="B133" s="7">
        <v>4009</v>
      </c>
      <c r="C133" s="21" t="s">
        <v>196</v>
      </c>
      <c r="D133" s="21" t="s">
        <v>850</v>
      </c>
      <c r="E133" s="13">
        <v>42999.801111111112</v>
      </c>
      <c r="F133" s="13">
        <v>42999.810590277775</v>
      </c>
      <c r="G133" s="7">
        <v>100</v>
      </c>
      <c r="H133" s="21" t="s">
        <v>396</v>
      </c>
      <c r="I133" s="13">
        <v>42999.837256944447</v>
      </c>
      <c r="J133" s="7">
        <v>0</v>
      </c>
      <c r="K133" s="89" t="str">
        <f t="shared" si="40"/>
        <v>4009/4010</v>
      </c>
      <c r="L133" s="185" t="str">
        <f>VLOOKUP(A133,'Trips&amp;Operators'!$C$1:$G$99911,5,FALSE)</f>
        <v>PERKINS DARREN</v>
      </c>
      <c r="M133" s="6">
        <f t="shared" si="41"/>
        <v>2.6666666672099382E-2</v>
      </c>
      <c r="N133" s="7">
        <f t="shared" si="42"/>
        <v>38.40000000782311</v>
      </c>
      <c r="O133" s="7"/>
      <c r="P133" s="7"/>
      <c r="Q133" s="22"/>
      <c r="R133" s="174"/>
      <c r="S133" s="221">
        <f t="shared" si="43"/>
        <v>1</v>
      </c>
      <c r="T133" s="174" t="str">
        <f t="shared" si="44"/>
        <v>Southbound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 t="shared" si="45"/>
        <v>https://d0f6bd738d7f1b3e5a7ca70fe4ff75f0.us-east-1.aws.found.io/app/kibana#/discover/Steve-Slow-Train-Analysis-(2080s-and-2083s)?_g=(refreshInterval:(display:Off,pause:!f,section:0,value:0),time:(from:'2017-09-21T18:13:36-0600',mode:absolute,to:'2017-09-21T21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3" s="204" t="str">
        <f>IF(AA133&lt;VLOOKUP(AG133,Variables!$AC$3:$AD$8,2,FALSE),"Y","N")</f>
        <v>N</v>
      </c>
      <c r="X133" s="204">
        <f t="shared" si="46"/>
        <v>1</v>
      </c>
      <c r="Y133" s="204">
        <f t="shared" si="47"/>
        <v>23.297999999999998</v>
      </c>
      <c r="Z133" s="204">
        <f t="shared" si="48"/>
        <v>1.6299999999999999E-2</v>
      </c>
      <c r="AA133" s="204">
        <f t="shared" si="49"/>
        <v>23.281699999999997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 t="shared" si="50"/>
        <v>220</v>
      </c>
      <c r="AE133" s="77" t="str">
        <f t="shared" si="51"/>
        <v>aws s3 cp s3://rtdc.mdm.uploadarchive.raw/RTDC4009/ "%USERPROFILE%\AppData\Local\Temp\OnboardLogs"\RTDC4009\2017-09-21 --exclude "*" --recursive --include "*20170921*" &amp; "%USERPROFILE%\Documents\GitHub\mrs-test-scripts\Headless Mode &amp; Sideloading\WalkAndUnGZ.bat" "%USERPROFILE%\AppData\Local\Temp\OnboardLogs"\RTDC4009\2017-09-21 &amp; aws s3 cp s3://rtdc.mdm.uploadarchive.raw/RTDC4009/ "%USERPROFILE%\AppData\Local\Temp\OnboardLogs"\RTDC4009\2017-09-22 --exclude "*" --recursive --include "*20170922*" &amp; "%USERPROFILE%\Documents\GitHub\mrs-test-scripts\Headless Mode &amp; Sideloading\WalkAndUnGZ.bat" "%USERPROFILE%\AppData\Local\Temp\OnboardLogs"\RTDC4009\2017-09-22</v>
      </c>
      <c r="AF133" s="74" t="str">
        <f t="shared" si="52"/>
        <v>"C:\Program Files (x86)\AstroGrep\AstroGrep.exe" /e /r /s /spath="%USERPROFILE%\AppData\Local\Temp\OnboardLogs" /stypes="app*4009*20170922*" /stext=" 02:.+((SYSTEM_STATE.+slice.+state.+changed )|(ment ac)|(multiple cpu faults)|(system.+state.+changed )|(\[timeout)|(PRM\|1\|D)|(kpr)|(kdp)|(train st.+moving)|(\|lc)|(penalty))"</v>
      </c>
      <c r="AG133" s="182" t="str">
        <f t="shared" si="53"/>
        <v>EC</v>
      </c>
      <c r="AH133" s="78" t="str">
        <f t="shared" si="54"/>
        <v>"%USERPROFILE%\Documents\GitHub\eaglep3\Utilities\RefineRTDCRunTimes.py" --tripid 220-21 --locoid 4009 --swversion DE.1.0.9.0 --startMP 204:232980 --initTime 2017-09-21T19:13:36 --startdatetime 2017-09-21T19:27:15 --delay 100 --endMP 204:163 --enddatetime 2017-09-21T20:05:39 --enforcementcount 0 &gt;&gt;c:\users\stu\Documents\GitHub\eaglep3-reporting\EC\2017-09-21-refined-times.txt</v>
      </c>
      <c r="AI133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{"issue":{"subject":"","project_id":79,"tracker_id":40,"status_id":1,"priority_id":2,"assigned_to_id":338,"start_date":"2017-09-21","description":"","custom_fields":[{"id":1,"name":"Subdivision","value":"EC"},{"id":4,"name":"Milepost","value":"0.0163"},{"id":17,"name":"Train ID","value":"220-21"},{"id":16,"name":"Locomotive ID","value":"4009"},{"id":130,"name":"Impact","value":""},{"id":150,"name":"Time of Event (Mountain Time)","value":"20:05:39"},{"id":151,"name":"Denver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56"/>
        <v>start /low /b %USERPROFILE%\Documents\GitHub\eaglep3\Utilities\DownloadLogsFromS3.py --loco 4009 --day 2017-09-21</v>
      </c>
      <c r="AN133" s="151" t="str">
        <f t="shared" si="57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02:05:39"},{"id":29,"name":"Sharepoint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58"/>
        <v>https://d0f6bd738d7f1b3e5a7ca70fe4ff75f0.us-east-1.aws.found.io/app/kibana#/discover/Steve-Slow-Train-Analysis-(2080s-and-2083s)?_g=(refreshInterval:(display:Off,pause:!f,section:0,value:0),time:(from:'2017-09-21T18:13:36-0600',mode:absolute,to:'2017-09-21T21:05:39-0600'))&amp;_a=(columns:!('Message%20ID',Summary),filters:!(),index:'emp_*',interval:auto,query:(query_string:(analyze_wildcard:!t,query:'Message%5C+ID:(*)+AND+%22rtdc.l.rtdc.4009%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788</v>
      </c>
      <c r="B134" s="7">
        <v>4056</v>
      </c>
      <c r="C134" s="21" t="s">
        <v>196</v>
      </c>
      <c r="D134" s="21" t="s">
        <v>875</v>
      </c>
      <c r="E134" s="13">
        <v>42999.789224537039</v>
      </c>
      <c r="F134" s="13">
        <v>42999.791886574072</v>
      </c>
      <c r="G134" s="7">
        <v>78</v>
      </c>
      <c r="H134" s="21" t="s">
        <v>490</v>
      </c>
      <c r="I134" s="13">
        <v>42999.817048611112</v>
      </c>
      <c r="J134" s="7">
        <v>0</v>
      </c>
      <c r="K134" s="89" t="str">
        <f t="shared" si="40"/>
        <v>4055/4056</v>
      </c>
      <c r="L134" s="185" t="str">
        <f>VLOOKUP(A134,'Trips&amp;Operators'!$C$1:$G$99911,5,FALSE)</f>
        <v>HART KEVIN</v>
      </c>
      <c r="M134" s="6">
        <f t="shared" si="41"/>
        <v>2.5162037039990537E-2</v>
      </c>
      <c r="N134" s="7">
        <f t="shared" si="42"/>
        <v>36.233333337586373</v>
      </c>
      <c r="O134" s="7"/>
      <c r="P134" s="7"/>
      <c r="Q134" s="22"/>
      <c r="R134" s="174"/>
      <c r="S134" s="221">
        <f t="shared" si="43"/>
        <v>1</v>
      </c>
      <c r="T134" s="174" t="str">
        <f t="shared" si="44"/>
        <v>NorthBound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 t="shared" si="45"/>
        <v>https://d0f6bd738d7f1b3e5a7ca70fe4ff75f0.us-east-1.aws.found.io/app/kibana#/discover/Steve-Slow-Train-Analysis-(2080s-and-2083s)?_g=(refreshInterval:(display:Off,pause:!f,section:0,value:0),time:(from:'2017-09-21T17:56:29-0600',mode:absolute,to:'2017-09-21T20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4" s="204" t="str">
        <f>IF(AA134&lt;VLOOKUP(AG134,Variables!$AC$3:$AD$8,2,FALSE),"Y","N")</f>
        <v>N</v>
      </c>
      <c r="X134" s="204">
        <f t="shared" si="46"/>
        <v>1</v>
      </c>
      <c r="Y134" s="204">
        <f t="shared" si="47"/>
        <v>4.24E-2</v>
      </c>
      <c r="Z134" s="204">
        <f t="shared" si="48"/>
        <v>23.328600000000002</v>
      </c>
      <c r="AA134" s="204">
        <f t="shared" si="49"/>
        <v>23.286200000000001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 t="shared" si="50"/>
        <v>221</v>
      </c>
      <c r="AE134" s="77" t="str">
        <f t="shared" si="51"/>
        <v>aws s3 cp s3://rtdc.mdm.uploadarchive.raw/RTDC4056/ "%USERPROFILE%\AppData\Local\Temp\OnboardLogs"\RTDC4056\2017-09-21 --exclude "*" --recursive --include "*20170921*" &amp; "%USERPROFILE%\Documents\GitHub\mrs-test-scripts\Headless Mode &amp; Sideloading\WalkAndUnGZ.bat" "%USERPROFILE%\AppData\Local\Temp\OnboardLogs"\RTDC4056\2017-09-21 &amp; aws s3 cp s3://rtdc.mdm.uploadarchive.raw/RTDC4056/ "%USERPROFILE%\AppData\Local\Temp\OnboardLogs"\RTDC4056\2017-09-22 --exclude "*" --recursive --include "*20170922*" &amp; "%USERPROFILE%\Documents\GitHub\mrs-test-scripts\Headless Mode &amp; Sideloading\WalkAndUnGZ.bat" "%USERPROFILE%\AppData\Local\Temp\OnboardLogs"\RTDC4056\2017-09-22</v>
      </c>
      <c r="AF134" s="74" t="str">
        <f t="shared" si="52"/>
        <v>"C:\Program Files (x86)\AstroGrep\AstroGrep.exe" /e /r /s /spath="%USERPROFILE%\AppData\Local\Temp\OnboardLogs" /stypes="app*4056*20170922*" /stext=" 01:.+((SYSTEM_STATE.+slice.+state.+changed )|(ment ac)|(multiple cpu faults)|(system.+state.+changed )|(\[timeout)|(PRM\|1\|D)|(kpr)|(kdp)|(train st.+moving)|(\|lc)|(penalty))"</v>
      </c>
      <c r="AG134" s="182" t="str">
        <f t="shared" si="53"/>
        <v>EC</v>
      </c>
      <c r="AH134" s="78" t="str">
        <f t="shared" si="54"/>
        <v>"%USERPROFILE%\Documents\GitHub\eaglep3\Utilities\RefineRTDCRunTimes.py" --tripid 221-21 --locoid 4056 --swversion DE.1.0.9.0 --startMP 204:424 --initTime 2017-09-21T18:56:29 --startdatetime 2017-09-21T19:00:19 --delay 78 --endMP 204:233286 --enddatetime 2017-09-21T19:36:33 --enforcementcount 0 &gt;&gt;c:\users\stu\Documents\GitHub\eaglep3-reporting\EC\2017-09-21-refined-times.txt</v>
      </c>
      <c r="AI134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{"issue":{"subject":"","project_id":79,"tracker_id":40,"status_id":1,"priority_id":2,"assigned_to_id":338,"start_date":"2017-09-21","description":"","custom_fields":[{"id":1,"name":"Subdivision","value":"EC"},{"id":4,"name":"Milepost","value":"23.3286"},{"id":17,"name":"Train ID","value":"221-21"},{"id":16,"name":"Locomotive ID","value":"4056"},{"id":130,"name":"Impact","value":""},{"id":150,"name":"Time of Event (Mountain Time)","value":"19:36:33"},{"id":151,"name":"Denver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56"/>
        <v>start /low /b %USERPROFILE%\Documents\GitHub\eaglep3\Utilities\DownloadLogsFromS3.py --loco 4056 --day 2017-09-21</v>
      </c>
      <c r="AN134" s="151" t="str">
        <f t="shared" si="57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01:36:33"},{"id":29,"name":"Sharepoint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58"/>
        <v>https://d0f6bd738d7f1b3e5a7ca70fe4ff75f0.us-east-1.aws.found.io/app/kibana#/discover/Steve-Slow-Train-Analysis-(2080s-and-2083s)?_g=(refreshInterval:(display:Off,pause:!f,section:0,value:0),time:(from:'2017-09-21T17:56:29-0600',mode:absolute,to:'2017-09-21T20:36:33-0600'))&amp;_a=(columns:!('Message%20ID',Summary),filters:!(),index:'emp_*',interval:auto,query:(query_string:(analyze_wildcard:!t,query:'Message%5C+ID:(*)+AND+%22rtdc.l.rtdc.4056%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788</v>
      </c>
      <c r="B135" s="7">
        <v>4056</v>
      </c>
      <c r="C135" s="21" t="s">
        <v>196</v>
      </c>
      <c r="D135" s="21" t="s">
        <v>875</v>
      </c>
      <c r="E135" s="13">
        <v>42999.788263888891</v>
      </c>
      <c r="F135" s="13">
        <v>42999.791886574072</v>
      </c>
      <c r="G135" s="7">
        <v>77</v>
      </c>
      <c r="H135" s="21" t="s">
        <v>490</v>
      </c>
      <c r="I135" s="13">
        <v>42999.817048611112</v>
      </c>
      <c r="J135" s="7">
        <v>0</v>
      </c>
      <c r="K135" s="89" t="str">
        <f t="shared" si="40"/>
        <v>4055/4056</v>
      </c>
      <c r="L135" s="185" t="str">
        <f>VLOOKUP(A135,'Trips&amp;Operators'!$C$1:$G$99911,5,FALSE)</f>
        <v>HART KEVIN</v>
      </c>
      <c r="M135" s="6">
        <f t="shared" si="41"/>
        <v>2.5162037039990537E-2</v>
      </c>
      <c r="N135" s="7"/>
      <c r="O135" s="7"/>
      <c r="P135" s="7"/>
      <c r="Q135" s="22"/>
      <c r="R135" s="174"/>
      <c r="S135" s="221"/>
      <c r="T135" s="174" t="str">
        <f t="shared" si="44"/>
        <v>NorthBound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 t="shared" si="45"/>
        <v>https://d0f6bd738d7f1b3e5a7ca70fe4ff75f0.us-east-1.aws.found.io/app/kibana#/discover/Steve-Slow-Train-Analysis-(2080s-and-2083s)?_g=(refreshInterval:(display:Off,pause:!f,section:0,value:0),time:(from:'2017-09-21T17:55:06-0600',mode:absolute,to:'2017-09-21T20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5" s="204" t="str">
        <f>IF(AA135&lt;VLOOKUP(AG135,Variables!$AC$3:$AD$8,2,FALSE),"Y","N")</f>
        <v>N</v>
      </c>
      <c r="X135" s="204">
        <f t="shared" si="46"/>
        <v>0</v>
      </c>
      <c r="Y135" s="225">
        <f>RIGHT(D135,LEN(D135)-4)/10000</f>
        <v>4.24E-2</v>
      </c>
      <c r="Z135" s="204">
        <f t="shared" si="48"/>
        <v>23.328600000000002</v>
      </c>
      <c r="AA135" s="204">
        <f t="shared" si="49"/>
        <v>23.286200000000001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 t="shared" si="50"/>
        <v>221</v>
      </c>
      <c r="AE135" s="77" t="str">
        <f t="shared" si="51"/>
        <v>aws s3 cp s3://rtdc.mdm.uploadarchive.raw/RTDC4056/ "%USERPROFILE%\AppData\Local\Temp\OnboardLogs"\RTDC4056\2017-09-21 --exclude "*" --recursive --include "*20170921*" &amp; "%USERPROFILE%\Documents\GitHub\mrs-test-scripts\Headless Mode &amp; Sideloading\WalkAndUnGZ.bat" "%USERPROFILE%\AppData\Local\Temp\OnboardLogs"\RTDC4056\2017-09-21 &amp; aws s3 cp s3://rtdc.mdm.uploadarchive.raw/RTDC4056/ "%USERPROFILE%\AppData\Local\Temp\OnboardLogs"\RTDC4056\2017-09-22 --exclude "*" --recursive --include "*20170922*" &amp; "%USERPROFILE%\Documents\GitHub\mrs-test-scripts\Headless Mode &amp; Sideloading\WalkAndUnGZ.bat" "%USERPROFILE%\AppData\Local\Temp\OnboardLogs"\RTDC4056\2017-09-22</v>
      </c>
      <c r="AF135" s="74" t="str">
        <f t="shared" si="52"/>
        <v>"C:\Program Files (x86)\AstroGrep\AstroGrep.exe" /e /r /s /spath="%USERPROFILE%\AppData\Local\Temp\OnboardLogs" /stypes="app*4056*20170922*" /stext=" 01:.+((SYSTEM_STATE.+slice.+state.+changed )|(ment ac)|(multiple cpu faults)|(system.+state.+changed )|(\[timeout)|(PRM\|1\|D)|(kpr)|(kdp)|(train st.+moving)|(\|lc)|(penalty))"</v>
      </c>
      <c r="AG135" s="182" t="str">
        <f t="shared" si="53"/>
        <v>EC</v>
      </c>
      <c r="AH135" s="78" t="str">
        <f t="shared" si="54"/>
        <v>"%USERPROFILE%\Documents\GitHub\eaglep3\Utilities\RefineRTDCRunTimes.py" --tripid 221-21 --locoid 4056 --swversion DE.1.0.9.0 --startMP 204:424 --initTime 2017-09-21T18:55:06 --startdatetime 2017-09-21T19:00:19 --delay 77 --endMP 204:233286 --enddatetime 2017-09-21T19:36:33 --enforcementcount 0 &gt;&gt;c:\users\stu\Documents\GitHub\eaglep3-reporting\EC\2017-09-21-refined-times.txt</v>
      </c>
      <c r="AI135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{"issue":{"subject":"","project_id":79,"tracker_id":40,"status_id":1,"priority_id":2,"assigned_to_id":338,"start_date":"2017-09-21","description":"","custom_fields":[{"id":1,"name":"Subdivision","value":"EC"},{"id":4,"name":"Milepost","value":"23.3286"},{"id":17,"name":"Train ID","value":"221-21"},{"id":16,"name":"Locomotive ID","value":"4056"},{"id":130,"name":"Impact","value":""},{"id":150,"name":"Time of Event (Mountain Time)","value":"19:36:33"},{"id":151,"name":"Denver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56"/>
        <v>start /low /b %USERPROFILE%\Documents\GitHub\eaglep3\Utilities\DownloadLogsFromS3.py --loco 4056 --day 2017-09-21</v>
      </c>
      <c r="AN135" s="151" t="str">
        <f t="shared" si="57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01:36:33"},{"id":29,"name":"Sharepoint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58"/>
        <v>https://d0f6bd738d7f1b3e5a7ca70fe4ff75f0.us-east-1.aws.found.io/app/kibana#/discover/Steve-Slow-Train-Analysis-(2080s-and-2083s)?_g=(refreshInterval:(display:Off,pause:!f,section:0,value:0),time:(from:'2017-09-21T17:55:06-0600',mode:absolute,to:'2017-09-21T20:36:33-0600'))&amp;_a=(columns:!('Message%20ID',Summary),filters:!(),index:'emp_*',interval:auto,query:(query_string:(analyze_wildcard:!t,query:'Message%5C+ID:(*)+AND+%22rtdc.l.rtdc.4056%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799</v>
      </c>
      <c r="B136" s="7">
        <v>4055</v>
      </c>
      <c r="C136" s="21" t="s">
        <v>196</v>
      </c>
      <c r="D136" s="21" t="s">
        <v>416</v>
      </c>
      <c r="E136" s="13">
        <v>42999.828946759262</v>
      </c>
      <c r="F136" s="13">
        <v>42999.83148148148</v>
      </c>
      <c r="G136" s="7">
        <v>77</v>
      </c>
      <c r="H136" s="21" t="s">
        <v>338</v>
      </c>
      <c r="I136" s="13">
        <v>42999.856874999998</v>
      </c>
      <c r="J136" s="7">
        <v>0</v>
      </c>
      <c r="K136" s="89" t="str">
        <f t="shared" si="40"/>
        <v>4055/4056</v>
      </c>
      <c r="L136" s="185" t="str">
        <f>VLOOKUP(A136,'Trips&amp;Operators'!$C$1:$G$99911,5,FALSE)</f>
        <v>HART KEVIN</v>
      </c>
      <c r="M136" s="6">
        <f t="shared" si="41"/>
        <v>2.5393518517375924E-2</v>
      </c>
      <c r="N136" s="7">
        <f t="shared" si="42"/>
        <v>36.56666666502133</v>
      </c>
      <c r="O136" s="7"/>
      <c r="P136" s="7"/>
      <c r="Q136" s="22"/>
      <c r="R136" s="174"/>
      <c r="S136" s="221">
        <f t="shared" si="43"/>
        <v>1</v>
      </c>
      <c r="T136" s="174" t="str">
        <f t="shared" si="44"/>
        <v>Southbound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 t="shared" si="45"/>
        <v>https://d0f6bd738d7f1b3e5a7ca70fe4ff75f0.us-east-1.aws.found.io/app/kibana#/discover/Steve-Slow-Train-Analysis-(2080s-and-2083s)?_g=(refreshInterval:(display:Off,pause:!f,section:0,value:0),time:(from:'2017-09-21T18:53:41-0600',mode:absolute,to:'2017-09-21T21:33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6" s="204" t="str">
        <f>IF(AA136&lt;VLOOKUP(AG136,Variables!$AC$3:$AD$8,2,FALSE),"Y","N")</f>
        <v>N</v>
      </c>
      <c r="X136" s="204">
        <f t="shared" si="46"/>
        <v>1</v>
      </c>
      <c r="Y136" s="204">
        <f t="shared" si="47"/>
        <v>23.297799999999999</v>
      </c>
      <c r="Z136" s="204">
        <f t="shared" si="48"/>
        <v>1.49E-2</v>
      </c>
      <c r="AA136" s="204">
        <f t="shared" si="49"/>
        <v>23.282899999999998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 t="shared" si="50"/>
        <v>222</v>
      </c>
      <c r="AE136" s="77" t="str">
        <f t="shared" si="51"/>
        <v>aws s3 cp s3://rtdc.mdm.uploadarchive.raw/RTDC4055/ "%USERPROFILE%\AppData\Local\Temp\OnboardLogs"\RTDC4055\2017-09-21 --exclude "*" --recursive --include "*20170921*" &amp; "%USERPROFILE%\Documents\GitHub\mrs-test-scripts\Headless Mode &amp; Sideloading\WalkAndUnGZ.bat" "%USERPROFILE%\AppData\Local\Temp\OnboardLogs"\RTDC4055\2017-09-21 &amp; aws s3 cp s3://rtdc.mdm.uploadarchive.raw/RTDC4055/ "%USERPROFILE%\AppData\Local\Temp\OnboardLogs"\RTDC4055\2017-09-22 --exclude "*" --recursive --include "*20170922*" &amp; "%USERPROFILE%\Documents\GitHub\mrs-test-scripts\Headless Mode &amp; Sideloading\WalkAndUnGZ.bat" "%USERPROFILE%\AppData\Local\Temp\OnboardLogs"\RTDC4055\2017-09-22</v>
      </c>
      <c r="AF136" s="74" t="str">
        <f t="shared" si="52"/>
        <v>"C:\Program Files (x86)\AstroGrep\AstroGrep.exe" /e /r /s /spath="%USERPROFILE%\AppData\Local\Temp\OnboardLogs" /stypes="app*4055*20170922*" /stext=" 02:.+((SYSTEM_STATE.+slice.+state.+changed )|(ment ac)|(multiple cpu faults)|(system.+state.+changed )|(\[timeout)|(PRM\|1\|D)|(kpr)|(kdp)|(train st.+moving)|(\|lc)|(penalty))"</v>
      </c>
      <c r="AG136" s="182" t="str">
        <f t="shared" si="53"/>
        <v>EC</v>
      </c>
      <c r="AH136" s="78" t="str">
        <f t="shared" si="54"/>
        <v>"%USERPROFILE%\Documents\GitHub\eaglep3\Utilities\RefineRTDCRunTimes.py" --tripid 222-21 --locoid 4055 --swversion DE.1.0.9.0 --startMP 204:232978 --initTime 2017-09-21T19:53:41 --startdatetime 2017-09-21T19:57:20 --delay 77 --endMP 204:149 --enddatetime 2017-09-21T20:33:54 --enforcementcount 0 &gt;&gt;c:\users\stu\Documents\GitHub\eaglep3-reporting\EC\2017-09-21-refined-times.txt</v>
      </c>
      <c r="AI136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{"issue":{"subject":"","project_id":79,"tracker_id":40,"status_id":1,"priority_id":2,"assigned_to_id":338,"start_date":"2017-09-21","description":"","custom_fields":[{"id":1,"name":"Subdivision","value":"EC"},{"id":4,"name":"Milepost","value":"0.0149"},{"id":17,"name":"Train ID","value":"222-21"},{"id":16,"name":"Locomotive ID","value":"4055"},{"id":130,"name":"Impact","value":""},{"id":150,"name":"Time of Event (Mountain Time)","value":"20:33:54"},{"id":151,"name":"Denver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56"/>
        <v>start /low /b %USERPROFILE%\Documents\GitHub\eaglep3\Utilities\DownloadLogsFromS3.py --loco 4055 --day 2017-09-21</v>
      </c>
      <c r="AN136" s="151" t="str">
        <f t="shared" si="57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02:33:54"},{"id":29,"name":"Sharepoint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58"/>
        <v>https://d0f6bd738d7f1b3e5a7ca70fe4ff75f0.us-east-1.aws.found.io/app/kibana#/discover/Steve-Slow-Train-Analysis-(2080s-and-2083s)?_g=(refreshInterval:(display:Off,pause:!f,section:0,value:0),time:(from:'2017-09-21T18:53:41-0600',mode:absolute,to:'2017-09-21T21:33:54-0600'))&amp;_a=(columns:!('Message%20ID',Summary),filters:!(),index:'emp_*',interval:auto,query:(query_string:(analyze_wildcard:!t,query:'Message%5C+ID:(*)+AND+%22rtdc.l.rtdc.4055%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793</v>
      </c>
      <c r="B137" s="7">
        <v>4030</v>
      </c>
      <c r="C137" s="21" t="s">
        <v>196</v>
      </c>
      <c r="D137" s="21" t="s">
        <v>336</v>
      </c>
      <c r="E137" s="13">
        <v>42999.810601851852</v>
      </c>
      <c r="F137" s="13">
        <v>42999.812719907408</v>
      </c>
      <c r="G137" s="7">
        <v>76</v>
      </c>
      <c r="H137" s="21" t="s">
        <v>876</v>
      </c>
      <c r="I137" s="13">
        <v>42999.837407407409</v>
      </c>
      <c r="J137" s="7">
        <v>0</v>
      </c>
      <c r="K137" s="89" t="str">
        <f t="shared" si="40"/>
        <v>4029/4030</v>
      </c>
      <c r="L137" s="185" t="str">
        <f>VLOOKUP(A137,'Trips&amp;Operators'!$C$1:$G$99911,5,FALSE)</f>
        <v>LOZA FIDEL</v>
      </c>
      <c r="M137" s="6">
        <f t="shared" si="41"/>
        <v>2.4687500001164153E-2</v>
      </c>
      <c r="N137" s="7">
        <f t="shared" si="42"/>
        <v>35.550000001676381</v>
      </c>
      <c r="O137" s="7"/>
      <c r="P137" s="7"/>
      <c r="Q137" s="22"/>
      <c r="R137" s="174"/>
      <c r="S137" s="221">
        <f t="shared" si="43"/>
        <v>1</v>
      </c>
      <c r="T137" s="174" t="str">
        <f t="shared" si="44"/>
        <v>NorthBound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 t="shared" si="45"/>
        <v>https://d0f6bd738d7f1b3e5a7ca70fe4ff75f0.us-east-1.aws.found.io/app/kibana#/discover/Steve-Slow-Train-Analysis-(2080s-and-2083s)?_g=(refreshInterval:(display:Off,pause:!f,section:0,value:0),time:(from:'2017-09-21T18:27:16-0600',mode:absolute,to:'2017-09-21T21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7" s="204" t="str">
        <f>IF(AA137&lt;VLOOKUP(AG137,Variables!$AC$3:$AD$8,2,FALSE),"Y","N")</f>
        <v>N</v>
      </c>
      <c r="X137" s="204">
        <f t="shared" si="46"/>
        <v>1</v>
      </c>
      <c r="Y137" s="204">
        <f t="shared" si="47"/>
        <v>4.4600000000000001E-2</v>
      </c>
      <c r="Z137" s="204">
        <f t="shared" si="48"/>
        <v>23.332000000000001</v>
      </c>
      <c r="AA137" s="204">
        <f t="shared" si="49"/>
        <v>23.287400000000002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 t="shared" si="50"/>
        <v>223</v>
      </c>
      <c r="AE137" s="77" t="str">
        <f t="shared" si="51"/>
        <v>aws s3 cp s3://rtdc.mdm.uploadarchive.raw/RTDC4030/ "%USERPROFILE%\AppData\Local\Temp\OnboardLogs"\RTDC4030\2017-09-21 --exclude "*" --recursive --include "*20170921*" &amp; "%USERPROFILE%\Documents\GitHub\mrs-test-scripts\Headless Mode &amp; Sideloading\WalkAndUnGZ.bat" "%USERPROFILE%\AppData\Local\Temp\OnboardLogs"\RTDC4030\2017-09-21 &amp; aws s3 cp s3://rtdc.mdm.uploadarchive.raw/RTDC4030/ "%USERPROFILE%\AppData\Local\Temp\OnboardLogs"\RTDC4030\2017-09-22 --exclude "*" --recursive --include "*20170922*" &amp; "%USERPROFILE%\Documents\GitHub\mrs-test-scripts\Headless Mode &amp; Sideloading\WalkAndUnGZ.bat" "%USERPROFILE%\AppData\Local\Temp\OnboardLogs"\RTDC4030\2017-09-22</v>
      </c>
      <c r="AF137" s="74" t="str">
        <f t="shared" si="52"/>
        <v>"C:\Program Files (x86)\AstroGrep\AstroGrep.exe" /e /r /s /spath="%USERPROFILE%\AppData\Local\Temp\OnboardLogs" /stypes="app*4030*20170922*" /stext=" 02:.+((SYSTEM_STATE.+slice.+state.+changed )|(ment ac)|(multiple cpu faults)|(system.+state.+changed )|(\[timeout)|(PRM\|1\|D)|(kpr)|(kdp)|(train st.+moving)|(\|lc)|(penalty))"</v>
      </c>
      <c r="AG137" s="182" t="str">
        <f t="shared" si="53"/>
        <v>EC</v>
      </c>
      <c r="AH137" s="78" t="str">
        <f t="shared" si="54"/>
        <v>"%USERPROFILE%\Documents\GitHub\eaglep3\Utilities\RefineRTDCRunTimes.py" --tripid 223-21 --locoid 4030 --swversion DE.1.0.9.0 --startMP 204:446 --initTime 2017-09-21T19:27:16 --startdatetime 2017-09-21T19:30:19 --delay 76 --endMP 204:233320 --enddatetime 2017-09-21T20:05:52 --enforcementcount 0 &gt;&gt;c:\users\stu\Documents\GitHub\eaglep3-reporting\EC\2017-09-21-refined-times.txt</v>
      </c>
      <c r="AI137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{"issue":{"subject":"","project_id":79,"tracker_id":40,"status_id":1,"priority_id":2,"assigned_to_id":338,"start_date":"2017-09-21","description":"","custom_fields":[{"id":1,"name":"Subdivision","value":"EC"},{"id":4,"name":"Milepost","value":"23.332"},{"id":17,"name":"Train ID","value":"223-21"},{"id":16,"name":"Locomotive ID","value":"4030"},{"id":130,"name":"Impact","value":""},{"id":150,"name":"Time of Event (Mountain Time)","value":"20:05:52"},{"id":151,"name":"Denver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56"/>
        <v>start /low /b %USERPROFILE%\Documents\GitHub\eaglep3\Utilities\DownloadLogsFromS3.py --loco 4030 --day 2017-09-21</v>
      </c>
      <c r="AN137" s="151" t="str">
        <f t="shared" si="57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02:05:52"},{"id":29,"name":"Sharepoint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58"/>
        <v>https://d0f6bd738d7f1b3e5a7ca70fe4ff75f0.us-east-1.aws.found.io/app/kibana#/discover/Steve-Slow-Train-Analysis-(2080s-and-2083s)?_g=(refreshInterval:(display:Off,pause:!f,section:0,value:0),time:(from:'2017-09-21T18:27:16-0600',mode:absolute,to:'2017-09-21T21:05:52-0600'))&amp;_a=(columns:!('Message%20ID',Summary),filters:!(),index:'emp_*',interval:auto,query:(query_string:(analyze_wildcard:!t,query:'Message%5C+ID:(*)+AND+%22rtdc.l.rtdc.4030%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803</v>
      </c>
      <c r="B138" s="7">
        <v>4029</v>
      </c>
      <c r="C138" s="21" t="s">
        <v>196</v>
      </c>
      <c r="D138" s="21" t="s">
        <v>852</v>
      </c>
      <c r="E138" s="13">
        <v>42999.849247685182</v>
      </c>
      <c r="F138" s="13">
        <v>42999.852280092593</v>
      </c>
      <c r="G138" s="7">
        <v>132</v>
      </c>
      <c r="H138" s="21" t="s">
        <v>447</v>
      </c>
      <c r="I138" s="13">
        <v>42999.879178240742</v>
      </c>
      <c r="J138" s="7">
        <v>0</v>
      </c>
      <c r="K138" s="89" t="str">
        <f t="shared" si="40"/>
        <v>4029/4030</v>
      </c>
      <c r="L138" s="185" t="str">
        <f>VLOOKUP(A138,'Trips&amp;Operators'!$C$1:$G$99911,5,FALSE)</f>
        <v>LOZA FIDEL</v>
      </c>
      <c r="M138" s="6">
        <f t="shared" si="41"/>
        <v>2.6898148149484769E-2</v>
      </c>
      <c r="N138" s="7">
        <f t="shared" si="42"/>
        <v>38.733333335258067</v>
      </c>
      <c r="O138" s="7"/>
      <c r="P138" s="7"/>
      <c r="Q138" s="22"/>
      <c r="R138" s="174"/>
      <c r="S138" s="221">
        <f t="shared" si="43"/>
        <v>1</v>
      </c>
      <c r="T138" s="174" t="str">
        <f t="shared" si="44"/>
        <v>Southbound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 t="shared" si="45"/>
        <v>https://d0f6bd738d7f1b3e5a7ca70fe4ff75f0.us-east-1.aws.found.io/app/kibana#/discover/Steve-Slow-Train-Analysis-(2080s-and-2083s)?_g=(refreshInterval:(display:Off,pause:!f,section:0,value:0),time:(from:'2017-09-21T19:22:55-0600',mode:absolute,to:'2017-09-21T22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8" s="204" t="str">
        <f>IF(AA138&lt;VLOOKUP(AG138,Variables!$AC$3:$AD$8,2,FALSE),"Y","N")</f>
        <v>N</v>
      </c>
      <c r="X138" s="204">
        <f t="shared" si="46"/>
        <v>1</v>
      </c>
      <c r="Y138" s="204">
        <f t="shared" si="47"/>
        <v>23.298999999999999</v>
      </c>
      <c r="Z138" s="204">
        <f t="shared" si="48"/>
        <v>1.2999999999999999E-2</v>
      </c>
      <c r="AA138" s="204">
        <f t="shared" si="49"/>
        <v>23.285999999999998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 t="shared" si="50"/>
        <v>224</v>
      </c>
      <c r="AE138" s="77" t="str">
        <f t="shared" si="51"/>
        <v>aws s3 cp s3://rtdc.mdm.uploadarchive.raw/RTDC4029/ "%USERPROFILE%\AppData\Local\Temp\OnboardLogs"\RTDC4029\2017-09-21 --exclude "*" --recursive --include "*20170921*" &amp; "%USERPROFILE%\Documents\GitHub\mrs-test-scripts\Headless Mode &amp; Sideloading\WalkAndUnGZ.bat" "%USERPROFILE%\AppData\Local\Temp\OnboardLogs"\RTDC4029\2017-09-21 &amp; aws s3 cp s3://rtdc.mdm.uploadarchive.raw/RTDC4029/ "%USERPROFILE%\AppData\Local\Temp\OnboardLogs"\RTDC4029\2017-09-22 --exclude "*" --recursive --include "*20170922*" &amp; "%USERPROFILE%\Documents\GitHub\mrs-test-scripts\Headless Mode &amp; Sideloading\WalkAndUnGZ.bat" "%USERPROFILE%\AppData\Local\Temp\OnboardLogs"\RTDC4029\2017-09-22</v>
      </c>
      <c r="AF138" s="74" t="str">
        <f t="shared" si="52"/>
        <v>"C:\Program Files (x86)\AstroGrep\AstroGrep.exe" /e /r /s /spath="%USERPROFILE%\AppData\Local\Temp\OnboardLogs" /stypes="app*4029*20170922*" /stext=" 03:.+((SYSTEM_STATE.+slice.+state.+changed )|(ment ac)|(multiple cpu faults)|(system.+state.+changed )|(\[timeout)|(PRM\|1\|D)|(kpr)|(kdp)|(train st.+moving)|(\|lc)|(penalty))"</v>
      </c>
      <c r="AG138" s="182" t="str">
        <f t="shared" si="53"/>
        <v>EC</v>
      </c>
      <c r="AH138" s="78" t="str">
        <f t="shared" si="54"/>
        <v>"%USERPROFILE%\Documents\GitHub\eaglep3\Utilities\RefineRTDCRunTimes.py" --tripid 224-21 --locoid 4029 --swversion DE.1.0.9.0 --startMP 204:232990 --initTime 2017-09-21T20:22:55 --startdatetime 2017-09-21T20:27:17 --delay 132 --endMP 204:130 --enddatetime 2017-09-21T21:06:01 --enforcementcount 0 &gt;&gt;c:\users\stu\Documents\GitHub\eaglep3-reporting\EC\2017-09-21-refined-times.txt</v>
      </c>
      <c r="AI138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{"issue":{"subject":"","project_id":79,"tracker_id":40,"status_id":1,"priority_id":2,"assigned_to_id":338,"start_date":"2017-09-21","description":"","custom_fields":[{"id":1,"name":"Subdivision","value":"EC"},{"id":4,"name":"Milepost","value":"0.013"},{"id":17,"name":"Train ID","value":"224-21"},{"id":16,"name":"Locomotive ID","value":"4029"},{"id":130,"name":"Impact","value":""},{"id":150,"name":"Time of Event (Mountain Time)","value":"21:06:01"},{"id":151,"name":"Denver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56"/>
        <v>start /low /b %USERPROFILE%\Documents\GitHub\eaglep3\Utilities\DownloadLogsFromS3.py --loco 4029 --day 2017-09-21</v>
      </c>
      <c r="AN138" s="151" t="str">
        <f t="shared" si="57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03:06:01"},{"id":29,"name":"Sharepoint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58"/>
        <v>https://d0f6bd738d7f1b3e5a7ca70fe4ff75f0.us-east-1.aws.found.io/app/kibana#/discover/Steve-Slow-Train-Analysis-(2080s-and-2083s)?_g=(refreshInterval:(display:Off,pause:!f,section:0,value:0),time:(from:'2017-09-21T19:22:55-0600',mode:absolute,to:'2017-09-21T22:06:01-0600'))&amp;_a=(columns:!('Message%20ID',Summary),filters:!(),index:'emp_*',interval:auto,query:(query_string:(analyze_wildcard:!t,query:'Message%5C+ID:(*)+AND+%22rtdc.l.rtdc.4029%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798</v>
      </c>
      <c r="B139" s="7">
        <v>4014</v>
      </c>
      <c r="C139" s="21" t="s">
        <v>196</v>
      </c>
      <c r="D139" s="21" t="s">
        <v>448</v>
      </c>
      <c r="E139" s="13">
        <v>42999.827465277776</v>
      </c>
      <c r="F139" s="13">
        <v>42999.833506944444</v>
      </c>
      <c r="G139" s="7">
        <v>74</v>
      </c>
      <c r="H139" s="21" t="s">
        <v>841</v>
      </c>
      <c r="I139" s="13">
        <v>42999.859513888892</v>
      </c>
      <c r="J139" s="7">
        <v>0</v>
      </c>
      <c r="K139" s="89" t="str">
        <f t="shared" si="40"/>
        <v>4013/4014</v>
      </c>
      <c r="L139" s="185" t="str">
        <f>VLOOKUP(A139,'Trips&amp;Operators'!$C$1:$G$99911,5,FALSE)</f>
        <v>ELBAUM MIKE</v>
      </c>
      <c r="M139" s="6">
        <f t="shared" si="41"/>
        <v>2.6006944448454306E-2</v>
      </c>
      <c r="N139" s="7">
        <f t="shared" si="42"/>
        <v>37.4500000057742</v>
      </c>
      <c r="O139" s="7"/>
      <c r="P139" s="7"/>
      <c r="Q139" s="22"/>
      <c r="R139" s="174"/>
      <c r="S139" s="221">
        <f t="shared" si="43"/>
        <v>1</v>
      </c>
      <c r="T139" s="174" t="str">
        <f t="shared" si="44"/>
        <v>NorthBound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 t="shared" si="45"/>
        <v>https://d0f6bd738d7f1b3e5a7ca70fe4ff75f0.us-east-1.aws.found.io/app/kibana#/discover/Steve-Slow-Train-Analysis-(2080s-and-2083s)?_g=(refreshInterval:(display:Off,pause:!f,section:0,value:0),time:(from:'2017-09-21T18:51:33-0600',mode:absolute,to:'2017-09-21T21:37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9" s="204" t="str">
        <f>IF(AA139&lt;VLOOKUP(AG139,Variables!$AC$3:$AD$8,2,FALSE),"Y","N")</f>
        <v>N</v>
      </c>
      <c r="X139" s="204">
        <f t="shared" si="46"/>
        <v>1</v>
      </c>
      <c r="Y139" s="204">
        <f t="shared" si="47"/>
        <v>4.5699999999999998E-2</v>
      </c>
      <c r="Z139" s="204">
        <f t="shared" si="48"/>
        <v>23.3307</v>
      </c>
      <c r="AA139" s="204">
        <f t="shared" si="49"/>
        <v>23.285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 t="shared" si="50"/>
        <v>225</v>
      </c>
      <c r="AE139" s="77" t="str">
        <f t="shared" si="51"/>
        <v>aws s3 cp s3://rtdc.mdm.uploadarchive.raw/RTDC4014/ "%USERPROFILE%\AppData\Local\Temp\OnboardLogs"\RTDC4014\2017-09-21 --exclude "*" --recursive --include "*20170921*" &amp; "%USERPROFILE%\Documents\GitHub\mrs-test-scripts\Headless Mode &amp; Sideloading\WalkAndUnGZ.bat" "%USERPROFILE%\AppData\Local\Temp\OnboardLogs"\RTDC4014\2017-09-21 &amp; aws s3 cp s3://rtdc.mdm.uploadarchive.raw/RTDC4014/ "%USERPROFILE%\AppData\Local\Temp\OnboardLogs"\RTDC4014\2017-09-22 --exclude "*" --recursive --include "*20170922*" &amp; "%USERPROFILE%\Documents\GitHub\mrs-test-scripts\Headless Mode &amp; Sideloading\WalkAndUnGZ.bat" "%USERPROFILE%\AppData\Local\Temp\OnboardLogs"\RTDC4014\2017-09-22</v>
      </c>
      <c r="AF139" s="74" t="str">
        <f t="shared" si="52"/>
        <v>"C:\Program Files (x86)\AstroGrep\AstroGrep.exe" /e /r /s /spath="%USERPROFILE%\AppData\Local\Temp\OnboardLogs" /stypes="app*4014*20170922*" /stext=" 02:.+((SYSTEM_STATE.+slice.+state.+changed )|(ment ac)|(multiple cpu faults)|(system.+state.+changed )|(\[timeout)|(PRM\|1\|D)|(kpr)|(kdp)|(train st.+moving)|(\|lc)|(penalty))"</v>
      </c>
      <c r="AG139" s="182" t="str">
        <f t="shared" si="53"/>
        <v>EC</v>
      </c>
      <c r="AH139" s="78" t="str">
        <f t="shared" si="54"/>
        <v>"%USERPROFILE%\Documents\GitHub\eaglep3\Utilities\RefineRTDCRunTimes.py" --tripid 225-21 --locoid 4014 --swversion DE.1.0.9.0 --startMP 204:457 --initTime 2017-09-21T19:51:33 --startdatetime 2017-09-21T20:00:15 --delay 74 --endMP 204:233307 --enddatetime 2017-09-21T20:37:42 --enforcementcount 0 &gt;&gt;c:\users\stu\Documents\GitHub\eaglep3-reporting\EC\2017-09-21-refined-times.txt</v>
      </c>
      <c r="AI139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{"issue":{"subject":"","project_id":79,"tracker_id":40,"status_id":1,"priority_id":2,"assigned_to_id":338,"start_date":"2017-09-21","description":"","custom_fields":[{"id":1,"name":"Subdivision","value":"EC"},{"id":4,"name":"Milepost","value":"23.3307"},{"id":17,"name":"Train ID","value":"225-21"},{"id":16,"name":"Locomotive ID","value":"4014"},{"id":130,"name":"Impact","value":""},{"id":150,"name":"Time of Event (Mountain Time)","value":"20:37:42"},{"id":151,"name":"Denver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56"/>
        <v>start /low /b %USERPROFILE%\Documents\GitHub\eaglep3\Utilities\DownloadLogsFromS3.py --loco 4014 --day 2017-09-21</v>
      </c>
      <c r="AN139" s="151" t="str">
        <f t="shared" si="57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02:37:42"},{"id":29,"name":"Sharepoint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58"/>
        <v>https://d0f6bd738d7f1b3e5a7ca70fe4ff75f0.us-east-1.aws.found.io/app/kibana#/discover/Steve-Slow-Train-Analysis-(2080s-and-2083s)?_g=(refreshInterval:(display:Off,pause:!f,section:0,value:0),time:(from:'2017-09-21T18:51:33-0600',mode:absolute,to:'2017-09-21T21:37:42-0600'))&amp;_a=(columns:!('Message%20ID',Summary),filters:!(),index:'emp_*',interval:auto,query:(query_string:(analyze_wildcard:!t,query:'Message%5C+ID:(*)+AND+%22rtdc.l.rtdc.4014%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805</v>
      </c>
      <c r="B140" s="7">
        <v>4013</v>
      </c>
      <c r="C140" s="21" t="s">
        <v>196</v>
      </c>
      <c r="D140" s="21" t="s">
        <v>373</v>
      </c>
      <c r="E140" s="13">
        <v>42999.860532407409</v>
      </c>
      <c r="F140" s="13">
        <v>42999.873055555552</v>
      </c>
      <c r="G140" s="7">
        <v>75</v>
      </c>
      <c r="H140" s="21" t="s">
        <v>364</v>
      </c>
      <c r="I140" s="13">
        <v>42999.900057870371</v>
      </c>
      <c r="J140" s="7">
        <v>0</v>
      </c>
      <c r="K140" s="89" t="str">
        <f t="shared" si="40"/>
        <v>4013/4014</v>
      </c>
      <c r="L140" s="185" t="str">
        <f>VLOOKUP(A140,'Trips&amp;Operators'!$C$1:$G$99911,5,FALSE)</f>
        <v>ELBAUM MIKE</v>
      </c>
      <c r="M140" s="6">
        <f t="shared" si="41"/>
        <v>2.7002314818673767E-2</v>
      </c>
      <c r="N140" s="7">
        <f t="shared" si="42"/>
        <v>38.883333338890225</v>
      </c>
      <c r="O140" s="7"/>
      <c r="P140" s="7"/>
      <c r="Q140" s="22"/>
      <c r="R140" s="174"/>
      <c r="S140" s="221">
        <f t="shared" si="43"/>
        <v>1</v>
      </c>
      <c r="T140" s="174" t="str">
        <f t="shared" si="44"/>
        <v>Southbound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 t="shared" si="45"/>
        <v>https://d0f6bd738d7f1b3e5a7ca70fe4ff75f0.us-east-1.aws.found.io/app/kibana#/discover/Steve-Slow-Train-Analysis-(2080s-and-2083s)?_g=(refreshInterval:(display:Off,pause:!f,section:0,value:0),time:(from:'2017-09-21T19:39:10-0600',mode:absolute,to:'2017-09-21T22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0" s="204" t="str">
        <f>IF(AA140&lt;VLOOKUP(AG140,Variables!$AC$3:$AD$8,2,FALSE),"Y","N")</f>
        <v>N</v>
      </c>
      <c r="X140" s="204">
        <f t="shared" si="46"/>
        <v>1</v>
      </c>
      <c r="Y140" s="204">
        <f t="shared" si="47"/>
        <v>23.297699999999999</v>
      </c>
      <c r="Z140" s="204">
        <f t="shared" si="48"/>
        <v>1.38E-2</v>
      </c>
      <c r="AA140" s="204">
        <f t="shared" si="49"/>
        <v>23.283899999999999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 t="shared" si="50"/>
        <v>226</v>
      </c>
      <c r="AE140" s="77" t="str">
        <f t="shared" si="51"/>
        <v>aws s3 cp s3://rtdc.mdm.uploadarchive.raw/RTDC4013/ "%USERPROFILE%\AppData\Local\Temp\OnboardLogs"\RTDC4013\2017-09-21 --exclude "*" --recursive --include "*20170921*" &amp; "%USERPROFILE%\Documents\GitHub\mrs-test-scripts\Headless Mode &amp; Sideloading\WalkAndUnGZ.bat" "%USERPROFILE%\AppData\Local\Temp\OnboardLogs"\RTDC4013\2017-09-21 &amp; aws s3 cp s3://rtdc.mdm.uploadarchive.raw/RTDC4013/ "%USERPROFILE%\AppData\Local\Temp\OnboardLogs"\RTDC4013\2017-09-22 --exclude "*" --recursive --include "*20170922*" &amp; "%USERPROFILE%\Documents\GitHub\mrs-test-scripts\Headless Mode &amp; Sideloading\WalkAndUnGZ.bat" "%USERPROFILE%\AppData\Local\Temp\OnboardLogs"\RTDC4013\2017-09-22</v>
      </c>
      <c r="AF140" s="74" t="str">
        <f t="shared" si="52"/>
        <v>"C:\Program Files (x86)\AstroGrep\AstroGrep.exe" /e /r /s /spath="%USERPROFILE%\AppData\Local\Temp\OnboardLogs" /stypes="app*4013*20170922*" /stext=" 03:.+((SYSTEM_STATE.+slice.+state.+changed )|(ment ac)|(multiple cpu faults)|(system.+state.+changed )|(\[timeout)|(PRM\|1\|D)|(kpr)|(kdp)|(train st.+moving)|(\|lc)|(penalty))"</v>
      </c>
      <c r="AG140" s="182" t="str">
        <f t="shared" si="53"/>
        <v>EC</v>
      </c>
      <c r="AH140" s="78" t="str">
        <f t="shared" si="54"/>
        <v>"%USERPROFILE%\Documents\GitHub\eaglep3\Utilities\RefineRTDCRunTimes.py" --tripid 226-21 --locoid 4013 --swversion DE.1.0.9.0 --startMP 204:232977 --initTime 2017-09-21T20:39:10 --startdatetime 2017-09-21T20:57:12 --delay 75 --endMP 204:138 --enddatetime 2017-09-21T21:36:05 --enforcementcount 0 &gt;&gt;c:\users\stu\Documents\GitHub\eaglep3-reporting\EC\2017-09-21-refined-times.txt</v>
      </c>
      <c r="AI140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{"issue":{"subject":"","project_id":79,"tracker_id":40,"status_id":1,"priority_id":2,"assigned_to_id":338,"start_date":"2017-09-21","description":"","custom_fields":[{"id":1,"name":"Subdivision","value":"EC"},{"id":4,"name":"Milepost","value":"0.0138"},{"id":17,"name":"Train ID","value":"226-21"},{"id":16,"name":"Locomotive ID","value":"4013"},{"id":130,"name":"Impact","value":""},{"id":150,"name":"Time of Event (Mountain Time)","value":"21:36:05"},{"id":151,"name":"Denver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56"/>
        <v>start /low /b %USERPROFILE%\Documents\GitHub\eaglep3\Utilities\DownloadLogsFromS3.py --loco 4013 --day 2017-09-21</v>
      </c>
      <c r="AN140" s="151" t="str">
        <f t="shared" si="57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03:36:05"},{"id":29,"name":"Sharepoint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58"/>
        <v>https://d0f6bd738d7f1b3e5a7ca70fe4ff75f0.us-east-1.aws.found.io/app/kibana#/discover/Steve-Slow-Train-Analysis-(2080s-and-2083s)?_g=(refreshInterval:(display:Off,pause:!f,section:0,value:0),time:(from:'2017-09-21T19:39:10-0600',mode:absolute,to:'2017-09-21T22:36:05-0600'))&amp;_a=(columns:!('Message%20ID',Summary),filters:!(),index:'emp_*',interval:auto,query:(query_string:(analyze_wildcard:!t,query:'Message%5C+ID:(*)+AND+%22rtdc.l.rtdc.4013%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802</v>
      </c>
      <c r="B141" s="7">
        <v>4010</v>
      </c>
      <c r="C141" s="21" t="s">
        <v>196</v>
      </c>
      <c r="D141" s="21" t="s">
        <v>877</v>
      </c>
      <c r="E141" s="13">
        <v>42999.84578703704</v>
      </c>
      <c r="F141" s="13">
        <v>42999.85434027778</v>
      </c>
      <c r="G141" s="7">
        <v>64</v>
      </c>
      <c r="H141" s="21" t="s">
        <v>424</v>
      </c>
      <c r="I141" s="13">
        <v>42999.878969907404</v>
      </c>
      <c r="J141" s="7">
        <v>0</v>
      </c>
      <c r="K141" s="89" t="str">
        <f t="shared" si="40"/>
        <v>4009/4010</v>
      </c>
      <c r="L141" s="185" t="str">
        <f>VLOOKUP(A141,'Trips&amp;Operators'!$C$1:$G$99911,5,FALSE)</f>
        <v>PERKINS DARREN</v>
      </c>
      <c r="M141" s="6">
        <f t="shared" si="41"/>
        <v>2.4629629624541849E-2</v>
      </c>
      <c r="N141" s="7">
        <f t="shared" si="42"/>
        <v>35.466666659340262</v>
      </c>
      <c r="O141" s="7"/>
      <c r="P141" s="7"/>
      <c r="Q141" s="22"/>
      <c r="R141" s="174"/>
      <c r="S141" s="221">
        <f t="shared" si="43"/>
        <v>1</v>
      </c>
      <c r="T141" s="174" t="str">
        <f t="shared" si="44"/>
        <v>NorthBound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 t="shared" si="45"/>
        <v>https://d0f6bd738d7f1b3e5a7ca70fe4ff75f0.us-east-1.aws.found.io/app/kibana#/discover/Steve-Slow-Train-Analysis-(2080s-and-2083s)?_g=(refreshInterval:(display:Off,pause:!f,section:0,value:0),time:(from:'2017-09-21T19:17:56-0600',mode:absolute,to:'2017-09-21T22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1" s="204" t="str">
        <f>IF(AA141&lt;VLOOKUP(AG141,Variables!$AC$3:$AD$8,2,FALSE),"Y","N")</f>
        <v>N</v>
      </c>
      <c r="X141" s="204">
        <f t="shared" si="46"/>
        <v>1</v>
      </c>
      <c r="Y141" s="204">
        <f t="shared" si="47"/>
        <v>4.1300000000000003E-2</v>
      </c>
      <c r="Z141" s="204">
        <f t="shared" si="48"/>
        <v>23.329899999999999</v>
      </c>
      <c r="AA141" s="204">
        <f t="shared" si="49"/>
        <v>23.288599999999999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 t="shared" si="50"/>
        <v>227</v>
      </c>
      <c r="AE141" s="77" t="str">
        <f t="shared" si="51"/>
        <v>aws s3 cp s3://rtdc.mdm.uploadarchive.raw/RTDC4010/ "%USERPROFILE%\AppData\Local\Temp\OnboardLogs"\RTDC4010\2017-09-21 --exclude "*" --recursive --include "*20170921*" &amp; "%USERPROFILE%\Documents\GitHub\mrs-test-scripts\Headless Mode &amp; Sideloading\WalkAndUnGZ.bat" "%USERPROFILE%\AppData\Local\Temp\OnboardLogs"\RTDC4010\2017-09-21 &amp; aws s3 cp s3://rtdc.mdm.uploadarchive.raw/RTDC4010/ "%USERPROFILE%\AppData\Local\Temp\OnboardLogs"\RTDC4010\2017-09-22 --exclude "*" --recursive --include "*20170922*" &amp; "%USERPROFILE%\Documents\GitHub\mrs-test-scripts\Headless Mode &amp; Sideloading\WalkAndUnGZ.bat" "%USERPROFILE%\AppData\Local\Temp\OnboardLogs"\RTDC4010\2017-09-22</v>
      </c>
      <c r="AF141" s="74" t="str">
        <f t="shared" si="52"/>
        <v>"C:\Program Files (x86)\AstroGrep\AstroGrep.exe" /e /r /s /spath="%USERPROFILE%\AppData\Local\Temp\OnboardLogs" /stypes="app*4010*20170922*" /stext=" 03:.+((SYSTEM_STATE.+slice.+state.+changed )|(ment ac)|(multiple cpu faults)|(system.+state.+changed )|(\[timeout)|(PRM\|1\|D)|(kpr)|(kdp)|(train st.+moving)|(\|lc)|(penalty))"</v>
      </c>
      <c r="AG141" s="182" t="str">
        <f t="shared" si="53"/>
        <v>EC</v>
      </c>
      <c r="AH141" s="78" t="str">
        <f t="shared" si="54"/>
        <v>"%USERPROFILE%\Documents\GitHub\eaglep3\Utilities\RefineRTDCRunTimes.py" --tripid 227-21 --locoid 4010 --swversion DE.1.0.9.0 --startMP 204:413 --initTime 2017-09-21T20:17:56 --startdatetime 2017-09-21T20:30:15 --delay 64 --endMP 204:233299 --enddatetime 2017-09-21T21:05:43 --enforcementcount 0 &gt;&gt;c:\users\stu\Documents\GitHub\eaglep3-reporting\EC\2017-09-21-refined-times.txt</v>
      </c>
      <c r="AI141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{"issue":{"subject":"","project_id":79,"tracker_id":40,"status_id":1,"priority_id":2,"assigned_to_id":338,"start_date":"2017-09-21","description":"","custom_fields":[{"id":1,"name":"Subdivision","value":"EC"},{"id":4,"name":"Milepost","value":"23.3299"},{"id":17,"name":"Train ID","value":"227-21"},{"id":16,"name":"Locomotive ID","value":"4010"},{"id":130,"name":"Impact","value":""},{"id":150,"name":"Time of Event (Mountain Time)","value":"21:05:43"},{"id":151,"name":"Denver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56"/>
        <v>start /low /b %USERPROFILE%\Documents\GitHub\eaglep3\Utilities\DownloadLogsFromS3.py --loco 4010 --day 2017-09-21</v>
      </c>
      <c r="AN141" s="151" t="str">
        <f t="shared" si="57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03:05:43"},{"id":29,"name":"Sharepoint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58"/>
        <v>https://d0f6bd738d7f1b3e5a7ca70fe4ff75f0.us-east-1.aws.found.io/app/kibana#/discover/Steve-Slow-Train-Analysis-(2080s-and-2083s)?_g=(refreshInterval:(display:Off,pause:!f,section:0,value:0),time:(from:'2017-09-21T19:17:56-0600',mode:absolute,to:'2017-09-21T22:05:43-0600'))&amp;_a=(columns:!('Message%20ID',Summary),filters:!(),index:'emp_*',interval:auto,query:(query_string:(analyze_wildcard:!t,query:'Message%5C+ID:(*)+AND+%22rtdc.l.rtdc.4010%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809</v>
      </c>
      <c r="B142" s="7">
        <v>4009</v>
      </c>
      <c r="C142" s="21" t="s">
        <v>196</v>
      </c>
      <c r="D142" s="21" t="s">
        <v>442</v>
      </c>
      <c r="E142" s="13">
        <v>42999.882245370369</v>
      </c>
      <c r="F142" s="13">
        <v>42999.893946759257</v>
      </c>
      <c r="G142" s="7">
        <v>69</v>
      </c>
      <c r="H142" s="21" t="s">
        <v>878</v>
      </c>
      <c r="I142" s="13">
        <v>42999.921087962961</v>
      </c>
      <c r="J142" s="7">
        <v>0</v>
      </c>
      <c r="K142" s="89" t="str">
        <f t="shared" si="40"/>
        <v>4009/4010</v>
      </c>
      <c r="L142" s="185" t="str">
        <f>VLOOKUP(A142,'Trips&amp;Operators'!$C$1:$G$99911,5,FALSE)</f>
        <v>PERKINS DARREN</v>
      </c>
      <c r="M142" s="6">
        <f t="shared" si="41"/>
        <v>2.7141203703649808E-2</v>
      </c>
      <c r="N142" s="7">
        <f t="shared" si="42"/>
        <v>39.083333333255723</v>
      </c>
      <c r="O142" s="7"/>
      <c r="P142" s="7"/>
      <c r="Q142" s="22"/>
      <c r="R142" s="174"/>
      <c r="S142" s="221">
        <f t="shared" si="43"/>
        <v>1</v>
      </c>
      <c r="T142" s="174" t="str">
        <f t="shared" si="44"/>
        <v>Southbound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 t="shared" si="45"/>
        <v>https://d0f6bd738d7f1b3e5a7ca70fe4ff75f0.us-east-1.aws.found.io/app/kibana#/discover/Steve-Slow-Train-Analysis-(2080s-and-2083s)?_g=(refreshInterval:(display:Off,pause:!f,section:0,value:0),time:(from:'2017-09-21T20:10:26-0600',mode:absolute,to:'2017-09-21T23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2" s="204" t="str">
        <f>IF(AA142&lt;VLOOKUP(AG142,Variables!$AC$3:$AD$8,2,FALSE),"Y","N")</f>
        <v>N</v>
      </c>
      <c r="X142" s="204">
        <f t="shared" si="46"/>
        <v>1</v>
      </c>
      <c r="Y142" s="204">
        <f t="shared" si="47"/>
        <v>23.297499999999999</v>
      </c>
      <c r="Z142" s="204">
        <f t="shared" si="48"/>
        <v>1.0999999999999999E-2</v>
      </c>
      <c r="AA142" s="204">
        <f t="shared" si="49"/>
        <v>23.2865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 t="shared" si="50"/>
        <v>228</v>
      </c>
      <c r="AE142" s="77" t="str">
        <f t="shared" si="51"/>
        <v>aws s3 cp s3://rtdc.mdm.uploadarchive.raw/RTDC4009/ "%USERPROFILE%\AppData\Local\Temp\OnboardLogs"\RTDC4009\2017-09-21 --exclude "*" --recursive --include "*20170921*" &amp; "%USERPROFILE%\Documents\GitHub\mrs-test-scripts\Headless Mode &amp; Sideloading\WalkAndUnGZ.bat" "%USERPROFILE%\AppData\Local\Temp\OnboardLogs"\RTDC4009\2017-09-21 &amp; aws s3 cp s3://rtdc.mdm.uploadarchive.raw/RTDC4009/ "%USERPROFILE%\AppData\Local\Temp\OnboardLogs"\RTDC4009\2017-09-22 --exclude "*" --recursive --include "*20170922*" &amp; "%USERPROFILE%\Documents\GitHub\mrs-test-scripts\Headless Mode &amp; Sideloading\WalkAndUnGZ.bat" "%USERPROFILE%\AppData\Local\Temp\OnboardLogs"\RTDC4009\2017-09-22</v>
      </c>
      <c r="AF142" s="74" t="str">
        <f t="shared" si="52"/>
        <v>"C:\Program Files (x86)\AstroGrep\AstroGrep.exe" /e /r /s /spath="%USERPROFILE%\AppData\Local\Temp\OnboardLogs" /stypes="app*4009*20170922*" /stext=" 04:.+((SYSTEM_STATE.+slice.+state.+changed )|(ment ac)|(multiple cpu faults)|(system.+state.+changed )|(\[timeout)|(PRM\|1\|D)|(kpr)|(kdp)|(train st.+moving)|(\|lc)|(penalty))"</v>
      </c>
      <c r="AG142" s="182" t="str">
        <f t="shared" si="53"/>
        <v>EC</v>
      </c>
      <c r="AH142" s="78" t="str">
        <f t="shared" si="54"/>
        <v>"%USERPROFILE%\Documents\GitHub\eaglep3\Utilities\RefineRTDCRunTimes.py" --tripid 228-21 --locoid 4009 --swversion DE.1.0.9.0 --startMP 204:232975 --initTime 2017-09-21T21:10:26 --startdatetime 2017-09-21T21:27:17 --delay 69 --endMP 204:110 --enddatetime 2017-09-21T22:06:22 --enforcementcount 0 &gt;&gt;c:\users\stu\Documents\GitHub\eaglep3-reporting\EC\2017-09-21-refined-times.txt</v>
      </c>
      <c r="AI142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{"issue":{"subject":"","project_id":79,"tracker_id":40,"status_id":1,"priority_id":2,"assigned_to_id":338,"start_date":"2017-09-21","description":"","custom_fields":[{"id":1,"name":"Subdivision","value":"EC"},{"id":4,"name":"Milepost","value":"0.011"},{"id":17,"name":"Train ID","value":"228-21"},{"id":16,"name":"Locomotive ID","value":"4009"},{"id":130,"name":"Impact","value":""},{"id":150,"name":"Time of Event (Mountain Time)","value":"22:06:22"},{"id":151,"name":"Denver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56"/>
        <v>start /low /b %USERPROFILE%\Documents\GitHub\eaglep3\Utilities\DownloadLogsFromS3.py --loco 4009 --day 2017-09-21</v>
      </c>
      <c r="AN142" s="151" t="str">
        <f t="shared" si="57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04:06:22"},{"id":29,"name":"Sharepoint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58"/>
        <v>https://d0f6bd738d7f1b3e5a7ca70fe4ff75f0.us-east-1.aws.found.io/app/kibana#/discover/Steve-Slow-Train-Analysis-(2080s-and-2083s)?_g=(refreshInterval:(display:Off,pause:!f,section:0,value:0),time:(from:'2017-09-21T20:10:26-0600',mode:absolute,to:'2017-09-21T23:06:22-0600'))&amp;_a=(columns:!('Message%20ID',Summary),filters:!(),index:'emp_*',interval:auto,query:(query_string:(analyze_wildcard:!t,query:'Message%5C+ID:(*)+AND+%22rtdc.l.rtdc.4009%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807</v>
      </c>
      <c r="B143" s="7">
        <v>4058</v>
      </c>
      <c r="C143" s="21" t="s">
        <v>196</v>
      </c>
      <c r="D143" s="21" t="s">
        <v>561</v>
      </c>
      <c r="E143" s="13">
        <v>42999.870555555557</v>
      </c>
      <c r="F143" s="13">
        <v>42999.875706018516</v>
      </c>
      <c r="G143" s="7">
        <v>55</v>
      </c>
      <c r="H143" s="21" t="s">
        <v>856</v>
      </c>
      <c r="I143" s="13">
        <v>42999.901087962964</v>
      </c>
      <c r="J143" s="7">
        <v>0</v>
      </c>
      <c r="K143" s="89" t="str">
        <f t="shared" si="40"/>
        <v>4057/4058</v>
      </c>
      <c r="L143" s="185" t="str">
        <f>VLOOKUP(A143,'Trips&amp;Operators'!$C$1:$G$99911,5,FALSE)</f>
        <v>NICHOLSON WESLEY</v>
      </c>
      <c r="M143" s="6">
        <f t="shared" si="41"/>
        <v>2.5381944447872229E-2</v>
      </c>
      <c r="N143" s="7">
        <f t="shared" si="42"/>
        <v>36.55000000493601</v>
      </c>
      <c r="O143" s="7"/>
      <c r="P143" s="7"/>
      <c r="Q143" s="22"/>
      <c r="R143" s="174"/>
      <c r="S143" s="221">
        <f t="shared" si="43"/>
        <v>1</v>
      </c>
      <c r="T143" s="174" t="str">
        <f t="shared" si="44"/>
        <v>NorthBound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 t="shared" si="45"/>
        <v>https://d0f6bd738d7f1b3e5a7ca70fe4ff75f0.us-east-1.aws.found.io/app/kibana#/discover/Steve-Slow-Train-Analysis-(2080s-and-2083s)?_g=(refreshInterval:(display:Off,pause:!f,section:0,value:0),time:(from:'2017-09-21T19:53:36-0600',mode:absolute,to:'2017-09-21T22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43" s="204" t="str">
        <f>IF(AA143&lt;VLOOKUP(AG143,Variables!$AC$3:$AD$8,2,FALSE),"Y","N")</f>
        <v>N</v>
      </c>
      <c r="X143" s="204">
        <f t="shared" si="46"/>
        <v>1</v>
      </c>
      <c r="Y143" s="204">
        <f t="shared" si="47"/>
        <v>0.1152</v>
      </c>
      <c r="Z143" s="204">
        <f t="shared" si="48"/>
        <v>23.33</v>
      </c>
      <c r="AA143" s="204">
        <f t="shared" si="49"/>
        <v>23.214799999999997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 t="shared" si="50"/>
        <v>229</v>
      </c>
      <c r="AE143" s="77" t="str">
        <f t="shared" si="51"/>
        <v>aws s3 cp s3://rtdc.mdm.uploadarchive.raw/RTDC4058/ "%USERPROFILE%\AppData\Local\Temp\OnboardLogs"\RTDC4058\2017-09-21 --exclude "*" --recursive --include "*20170921*" &amp; "%USERPROFILE%\Documents\GitHub\mrs-test-scripts\Headless Mode &amp; Sideloading\WalkAndUnGZ.bat" "%USERPROFILE%\AppData\Local\Temp\OnboardLogs"\RTDC4058\2017-09-21 &amp; aws s3 cp s3://rtdc.mdm.uploadarchive.raw/RTDC4058/ "%USERPROFILE%\AppData\Local\Temp\OnboardLogs"\RTDC4058\2017-09-22 --exclude "*" --recursive --include "*20170922*" &amp; "%USERPROFILE%\Documents\GitHub\mrs-test-scripts\Headless Mode &amp; Sideloading\WalkAndUnGZ.bat" "%USERPROFILE%\AppData\Local\Temp\OnboardLogs"\RTDC4058\2017-09-22</v>
      </c>
      <c r="AF143" s="74" t="str">
        <f t="shared" si="52"/>
        <v>"C:\Program Files (x86)\AstroGrep\AstroGrep.exe" /e /r /s /spath="%USERPROFILE%\AppData\Local\Temp\OnboardLogs" /stypes="app*4058*20170922*" /stext=" 03:.+((SYSTEM_STATE.+slice.+state.+changed )|(ment ac)|(multiple cpu faults)|(system.+state.+changed )|(\[timeout)|(PRM\|1\|D)|(kpr)|(kdp)|(train st.+moving)|(\|lc)|(penalty))"</v>
      </c>
      <c r="AG143" s="182" t="str">
        <f t="shared" si="53"/>
        <v>EC</v>
      </c>
      <c r="AH143" s="78" t="str">
        <f t="shared" si="54"/>
        <v>"%USERPROFILE%\Documents\GitHub\eaglep3\Utilities\RefineRTDCRunTimes.py" --tripid 229-21 --locoid 4058 --swversion DE.1.0.9.0 --startMP 204:1152 --initTime 2017-09-21T20:53:36 --startdatetime 2017-09-21T21:01:01 --delay 55 --endMP 204:233300 --enddatetime 2017-09-21T21:37:34 --enforcementcount 0 &gt;&gt;c:\users\stu\Documents\GitHub\eaglep3-reporting\EC\2017-09-21-refined-times.txt</v>
      </c>
      <c r="AI143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{"issue":{"subject":"","project_id":79,"tracker_id":40,"status_id":1,"priority_id":2,"assigned_to_id":338,"start_date":"2017-09-21","description":"","custom_fields":[{"id":1,"name":"Subdivision","value":"EC"},{"id":4,"name":"Milepost","value":"23.33"},{"id":17,"name":"Train ID","value":"229-21"},{"id":16,"name":"Locomotive ID","value":"4058"},{"id":130,"name":"Impact","value":""},{"id":150,"name":"Time of Event (Mountain Time)","value":"21:37:34"},{"id":151,"name":"Denver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56"/>
        <v>start /low /b %USERPROFILE%\Documents\GitHub\eaglep3\Utilities\DownloadLogsFromS3.py --loco 4058 --day 2017-09-21</v>
      </c>
      <c r="AN143" s="151" t="str">
        <f t="shared" si="57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03:37:34"},{"id":29,"name":"Sharepoint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si="58"/>
        <v>https://d0f6bd738d7f1b3e5a7ca70fe4ff75f0.us-east-1.aws.found.io/app/kibana#/discover/Steve-Slow-Train-Analysis-(2080s-and-2083s)?_g=(refreshInterval:(display:Off,pause:!f,section:0,value:0),time:(from:'2017-09-21T19:53:36-0600',mode:absolute,to:'2017-09-21T22:37:34-0600'))&amp;_a=(columns:!('Message%20ID',Summary),filters:!(),index:'emp_*',interval:auto,query:(query_string:(analyze_wildcard:!t,query:'Message%5C+ID:(*)+AND+%22rtdc.l.rtdc.4058%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814</v>
      </c>
      <c r="B144" s="7">
        <v>4057</v>
      </c>
      <c r="C144" s="21" t="s">
        <v>196</v>
      </c>
      <c r="D144" s="21" t="s">
        <v>409</v>
      </c>
      <c r="E144" s="13">
        <v>42999.907685185186</v>
      </c>
      <c r="F144" s="13">
        <v>42999.914976851855</v>
      </c>
      <c r="G144" s="7">
        <v>132</v>
      </c>
      <c r="H144" s="21" t="s">
        <v>546</v>
      </c>
      <c r="I144" s="13">
        <v>42999.942662037036</v>
      </c>
      <c r="J144" s="7">
        <v>0</v>
      </c>
      <c r="K144" s="89" t="str">
        <f t="shared" ref="K144:K211" si="77">IF(ISEVEN(B144),(B144-1)&amp;"/"&amp;B144,B144&amp;"/"&amp;(B144+1))</f>
        <v>4057/4058</v>
      </c>
      <c r="L144" s="185" t="str">
        <f>VLOOKUP(A144,'Trips&amp;Operators'!$C$1:$G$99911,5,FALSE)</f>
        <v>NICHOLSON WESLEY</v>
      </c>
      <c r="M144" s="6">
        <f t="shared" ref="M144:M211" si="78">I144-F144</f>
        <v>2.7685185181326233E-2</v>
      </c>
      <c r="N144" s="7">
        <f t="shared" ref="N144:N211" si="79">24*60*SUM($M144:$M144)</f>
        <v>39.866666661109775</v>
      </c>
      <c r="O144" s="7"/>
      <c r="P144" s="7"/>
      <c r="Q144" s="22"/>
      <c r="R144" s="174"/>
      <c r="S144" s="221">
        <f t="shared" ref="S144:S211" si="80">1/IF(AG144="EC",12,1)*SUM(U144:U144)</f>
        <v>1</v>
      </c>
      <c r="T144" s="174" t="str">
        <f t="shared" ref="T144:T211" si="81">IF(ISEVEN(LEFT(AD144,4)),"Southbound","NorthBound")</f>
        <v>Southbound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 t="shared" ref="V144:V211" si="82"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-09-21T20:47:04-0600',mode:absolute,to:'2017-09-21T23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4" s="204" t="str">
        <f>IF(AA144&lt;VLOOKUP(AG144,Variables!$AC$3:$AD$8,2,FALSE),"Y","N")</f>
        <v>N</v>
      </c>
      <c r="X144" s="204">
        <f t="shared" ref="X144:X211" si="83">VALUE(LEFT(AD144,4))-VALUE(LEFT(AD143,4))</f>
        <v>1</v>
      </c>
      <c r="Y144" s="204">
        <f t="shared" ref="Y144:Y211" si="84">RIGHT(D144,LEN(D144)-4)/10000</f>
        <v>23.298100000000002</v>
      </c>
      <c r="Z144" s="204">
        <f t="shared" ref="Z144:Z211" si="85">RIGHT(H144,LEN(H144)-4)/10000</f>
        <v>1.67E-2</v>
      </c>
      <c r="AA144" s="204">
        <f t="shared" ref="AA144:AA211" si="86">ABS(Z144-Y144)</f>
        <v>23.281400000000001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 t="shared" ref="AD144:AD211" si="87">VALUE(LEFT(A144,LEN(A144)-3))</f>
        <v>230</v>
      </c>
      <c r="AE144" s="77" t="str">
        <f t="shared" ref="AE144:AE211" si="88"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s3://rtdc.mdm.uploadarchive.raw/RTDC4057/ "%USERPROFILE%\AppData\Local\Temp\OnboardLogs"\RTDC4057\2017-09-21 --exclude "*" --recursive --include "*20170921*" &amp; "%USERPROFILE%\Documents\GitHub\mrs-test-scripts\Headless Mode &amp; Sideloading\WalkAndUnGZ.bat" "%USERPROFILE%\AppData\Local\Temp\OnboardLogs"\RTDC4057\2017-09-21 &amp; aws s3 cp s3://rtdc.mdm.uploadarchive.raw/RTDC4057/ "%USERPROFILE%\AppData\Local\Temp\OnboardLogs"\RTDC4057\2017-09-22 --exclude "*" --recursive --include "*20170922*" &amp; "%USERPROFILE%\Documents\GitHub\mrs-test-scripts\Headless Mode &amp; Sideloading\WalkAndUnGZ.bat" "%USERPROFILE%\AppData\Local\Temp\OnboardLogs"\RTDC4057\2017-09-22</v>
      </c>
      <c r="AF144" s="74" t="str">
        <f t="shared" ref="AF144:AF211" si="89"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/stypes="app*4057*20170922*" /stext=" 04:.+((SYSTEM_STATE.+slice.+state.+changed )|(ment ac)|(multiple cpu faults)|(system.+state.+changed )|(\[timeout)|(PRM\|1\|D)|(kpr)|(kdp)|(train st.+moving)|(\|lc)|(penalty))"</v>
      </c>
      <c r="AG144" s="182" t="str">
        <f t="shared" ref="AG144:AG211" si="90">DetSubdiv(A144)</f>
        <v>EC</v>
      </c>
      <c r="AH144" s="78" t="str">
        <f t="shared" si="54"/>
        <v>"%USERPROFILE%\Documents\GitHub\eaglep3\Utilities\RefineRTDCRunTimes.py" --tripid 230-21 --locoid 4057 --swversion DE.1.0.9.0 --startMP 204:232981 --initTime 2017-09-21T21:47:04 --startdatetime 2017-09-21T21:57:34 --delay 132 --endMP 204:167 --enddatetime 2017-09-21T22:37:26 --enforcementcount 0 &gt;&gt;c:\users\stu\Documents\GitHub\eaglep3-reporting\EC\2017-09-21-refined-times.txt</v>
      </c>
      <c r="AI144" s="96" t="str">
        <f t="shared" si="55"/>
        <v>echo {"issue":{"subject":"","project_id":79,"tracker_id":40,"status_id":1,"priority_id":2,"assigned_to_id":338,"start_date":"2017-09-21","description":"","custom_fields":[{"id":1,"name":"Subdivision","value":"EC"},{"id":4,"name":"Milepost","value":"0.0167"},{"id":17,"name":"Train ID","value":"230-21"},{"id":16,"name":"Locomotive ID","value":"4057"},{"id":130,"name":"Impact","value":""},{"id":150,"name":"Time of Event (Mountain Time)","value":"22:37:26"},{"id":151,"name":"Denver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56"/>
        <v>start /low /b %USERPROFILE%\Documents\GitHub\eaglep3\Utilities\DownloadLogsFromS3.py --loco 4057 --day 2017-09-21</v>
      </c>
      <c r="AN144" s="151" t="str">
        <f t="shared" si="57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04:37:26"},{"id":29,"name":"Sharepoint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58"/>
        <v>https://d0f6bd738d7f1b3e5a7ca70fe4ff75f0.us-east-1.aws.found.io/app/kibana#/discover/Steve-Slow-Train-Analysis-(2080s-and-2083s)?_g=(refreshInterval:(display:Off,pause:!f,section:0,value:0),time:(from:'2017-09-21T20:47:04-0600',mode:absolute,to:'2017-09-21T23:37:26-0600'))&amp;_a=(columns:!('Message%20ID',Summary),filters:!(),index:'emp_*',interval:auto,query:(query_string:(analyze_wildcard:!t,query:'Message%5C+ID:(*)+AND+%22rtdc.l.rtdc.4057%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810</v>
      </c>
      <c r="B145" s="7">
        <v>4030</v>
      </c>
      <c r="C145" s="21" t="s">
        <v>196</v>
      </c>
      <c r="D145" s="21" t="s">
        <v>340</v>
      </c>
      <c r="E145" s="13">
        <v>42999.882731481484</v>
      </c>
      <c r="F145" s="13">
        <v>42999.895995370367</v>
      </c>
      <c r="G145" s="7">
        <v>103</v>
      </c>
      <c r="H145" s="21" t="s">
        <v>468</v>
      </c>
      <c r="I145" s="13">
        <v>42999.920671296299</v>
      </c>
      <c r="J145" s="7">
        <v>0</v>
      </c>
      <c r="K145" s="89" t="str">
        <f t="shared" si="77"/>
        <v>4029/4030</v>
      </c>
      <c r="L145" s="185" t="str">
        <f>VLOOKUP(A145,'Trips&amp;Operators'!$C$1:$G$99911,5,FALSE)</f>
        <v>LOZA FIDEL</v>
      </c>
      <c r="M145" s="6">
        <f t="shared" si="78"/>
        <v>2.4675925931660458E-2</v>
      </c>
      <c r="N145" s="7">
        <f t="shared" si="79"/>
        <v>35.53333334159106</v>
      </c>
      <c r="O145" s="7"/>
      <c r="P145" s="7"/>
      <c r="Q145" s="22"/>
      <c r="R145" s="174"/>
      <c r="S145" s="221">
        <f t="shared" si="80"/>
        <v>1</v>
      </c>
      <c r="T145" s="174" t="str">
        <f t="shared" si="81"/>
        <v>NorthBound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 t="shared" si="82"/>
        <v>https://d0f6bd738d7f1b3e5a7ca70fe4ff75f0.us-east-1.aws.found.io/app/kibana#/discover/Steve-Slow-Train-Analysis-(2080s-and-2083s)?_g=(refreshInterval:(display:Off,pause:!f,section:0,value:0),time:(from:'2017-09-21T20:11:08-0600',mode:absolute,to:'2017-09-21T23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5" s="204" t="str">
        <f>IF(AA145&lt;VLOOKUP(AG145,Variables!$AC$3:$AD$8,2,FALSE),"Y","N")</f>
        <v>N</v>
      </c>
      <c r="X145" s="204">
        <f t="shared" si="83"/>
        <v>1</v>
      </c>
      <c r="Y145" s="204">
        <f t="shared" si="84"/>
        <v>4.53E-2</v>
      </c>
      <c r="Z145" s="204">
        <f t="shared" si="85"/>
        <v>23.331700000000001</v>
      </c>
      <c r="AA145" s="204">
        <f t="shared" si="86"/>
        <v>23.2864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 t="shared" si="87"/>
        <v>231</v>
      </c>
      <c r="AE145" s="77" t="str">
        <f t="shared" si="88"/>
        <v>aws s3 cp s3://rtdc.mdm.uploadarchive.raw/RTDC4030/ "%USERPROFILE%\AppData\Local\Temp\OnboardLogs"\RTDC4030\2017-09-21 --exclude "*" --recursive --include "*20170921*" &amp; "%USERPROFILE%\Documents\GitHub\mrs-test-scripts\Headless Mode &amp; Sideloading\WalkAndUnGZ.bat" "%USERPROFILE%\AppData\Local\Temp\OnboardLogs"\RTDC4030\2017-09-21 &amp; aws s3 cp s3://rtdc.mdm.uploadarchive.raw/RTDC4030/ "%USERPROFILE%\AppData\Local\Temp\OnboardLogs"\RTDC4030\2017-09-22 --exclude "*" --recursive --include "*20170922*" &amp; "%USERPROFILE%\Documents\GitHub\mrs-test-scripts\Headless Mode &amp; Sideloading\WalkAndUnGZ.bat" "%USERPROFILE%\AppData\Local\Temp\OnboardLogs"\RTDC4030\2017-09-22</v>
      </c>
      <c r="AF145" s="74" t="str">
        <f t="shared" si="89"/>
        <v>"C:\Program Files (x86)\AstroGrep\AstroGrep.exe" /e /r /s /spath="%USERPROFILE%\AppData\Local\Temp\OnboardLogs" /stypes="app*4030*20170922*" /stext=" 04:.+((SYSTEM_STATE.+slice.+state.+changed )|(ment ac)|(multiple cpu faults)|(system.+state.+changed )|(\[timeout)|(PRM\|1\|D)|(kpr)|(kdp)|(train st.+moving)|(\|lc)|(penalty))"</v>
      </c>
      <c r="AG145" s="182" t="str">
        <f t="shared" si="90"/>
        <v>EC</v>
      </c>
      <c r="AH145" s="78" t="str">
        <f t="shared" ref="AH145:AH212" si="91"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231-21 --locoid 4030 --swversion DE.1.0.9.0 --startMP 204:453 --initTime 2017-09-21T21:11:08 --startdatetime 2017-09-21T21:30:14 --delay 103 --endMP 204:233317 --enddatetime 2017-09-21T22:05:46 --enforcementcount 0 &gt;&gt;c:\users\stu\Documents\GitHub\eaglep3-reporting\EC\2017-09-21-refined-times.txt</v>
      </c>
      <c r="AI145" s="96" t="str">
        <f t="shared" ref="AI145:AI212" si="92"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Z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{"issue":{"subject":"","project_id":79,"tracker_id":40,"status_id":1,"priority_id":2,"assigned_to_id":338,"start_date":"2017-09-21","description":"","custom_fields":[{"id":1,"name":"Subdivision","value":"EC"},{"id":4,"name":"Milepost","value":"23.3317"},{"id":17,"name":"Train ID","value":"231-21"},{"id":16,"name":"Locomotive ID","value":"4030"},{"id":130,"name":"Impact","value":""},{"id":150,"name":"Time of Event (Mountain Time)","value":"22:05:46"},{"id":151,"name":"Denver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ref="AM145:AM212" si="93">"start /low /b "&amp;dls3logs&amp;" --loco "&amp;B145&amp;" --day "&amp;TEXT(F145,"YYYY-MM-DD")</f>
        <v>start /low /b %USERPROFILE%\Documents\GitHub\eaglep3\Utilities\DownloadLogsFromS3.py --loco 4030 --day 2017-09-21</v>
      </c>
      <c r="AN145" s="151" t="str">
        <f t="shared" ref="AN145:AN212" si="94">"echo {""issue"":{""subject"":"""&amp;R145&amp;""",""project_id"":30,""tracker_id"":4,""status_id"":"&amp;redmine_status_wcr&amp;",""priority_id"":"&amp;redmine_priority_wcr&amp;",""assigned_to_id"":"&amp;redmine_assignee_wcr&amp;",""start_date"":"""&amp;TEXT(I145-utc_offset/24,"YYYY-mm-dd")&amp;""",""description"":"""&amp;AJ145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04:05:46"},{"id":29,"name":"Sharepoint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ref="AO145:AO212" si="95"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Message%20ID',Summary),filters:!(),index:'emp_*',interval:auto,query:"&amp;"(query_string:(analyze_wildcard:!t,query:'Message%5C+ID:(*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-09-21T20:11:08-0600',mode:absolute,to:'2017-09-21T23:05:46-0600'))&amp;_a=(columns:!('Message%20ID',Summary),filters:!(),index:'emp_*',interval:auto,query:(query_string:(analyze_wildcard:!t,query:'Message%5C+ID:(*)+AND+%22rtdc.l.rtdc.4030%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817</v>
      </c>
      <c r="B146" s="7">
        <v>4029</v>
      </c>
      <c r="C146" s="21" t="s">
        <v>196</v>
      </c>
      <c r="D146" s="21" t="s">
        <v>547</v>
      </c>
      <c r="E146" s="13">
        <v>42999.933587962965</v>
      </c>
      <c r="F146" s="13">
        <v>42999.935729166667</v>
      </c>
      <c r="G146" s="7">
        <v>77</v>
      </c>
      <c r="H146" s="21" t="s">
        <v>853</v>
      </c>
      <c r="I146" s="13">
        <v>42999.961157407408</v>
      </c>
      <c r="J146" s="7">
        <v>0</v>
      </c>
      <c r="K146" s="89" t="str">
        <f t="shared" si="77"/>
        <v>4029/4030</v>
      </c>
      <c r="L146" s="185" t="str">
        <f>VLOOKUP(A146,'Trips&amp;Operators'!$C$1:$G$99911,5,FALSE)</f>
        <v>LOZA FIDEL</v>
      </c>
      <c r="M146" s="6">
        <f t="shared" si="78"/>
        <v>2.5428240740438923E-2</v>
      </c>
      <c r="N146" s="7">
        <f t="shared" si="79"/>
        <v>36.616666666232049</v>
      </c>
      <c r="O146" s="7"/>
      <c r="P146" s="7"/>
      <c r="Q146" s="22"/>
      <c r="R146" s="174"/>
      <c r="S146" s="221">
        <f t="shared" si="80"/>
        <v>1</v>
      </c>
      <c r="T146" s="174" t="str">
        <f t="shared" si="81"/>
        <v>Southbound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 t="shared" si="82"/>
        <v>https://d0f6bd738d7f1b3e5a7ca70fe4ff75f0.us-east-1.aws.found.io/app/kibana#/discover/Steve-Slow-Train-Analysis-(2080s-and-2083s)?_g=(refreshInterval:(display:Off,pause:!f,section:0,value:0),time:(from:'2017-09-21T21:24:22-0600',mode:absolute,to:'2017-09-22T00:04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6" s="204" t="str">
        <f>IF(AA146&lt;VLOOKUP(AG146,Variables!$AC$3:$AD$8,2,FALSE),"Y","N")</f>
        <v>N</v>
      </c>
      <c r="X146" s="204">
        <f t="shared" si="83"/>
        <v>1</v>
      </c>
      <c r="Y146" s="204">
        <f t="shared" si="84"/>
        <v>23.3002</v>
      </c>
      <c r="Z146" s="204">
        <f t="shared" si="85"/>
        <v>1.34E-2</v>
      </c>
      <c r="AA146" s="204">
        <f t="shared" si="86"/>
        <v>23.286799999999999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9">
        <f t="shared" si="87"/>
        <v>232</v>
      </c>
      <c r="AE146" s="77" t="str">
        <f t="shared" si="88"/>
        <v>aws s3 cp s3://rtdc.mdm.uploadarchive.raw/RTDC4029/ "%USERPROFILE%\AppData\Local\Temp\OnboardLogs"\RTDC4029\2017-09-21 --exclude "*" --recursive --include "*20170921*" &amp; "%USERPROFILE%\Documents\GitHub\mrs-test-scripts\Headless Mode &amp; Sideloading\WalkAndUnGZ.bat" "%USERPROFILE%\AppData\Local\Temp\OnboardLogs"\RTDC4029\2017-09-21 &amp; aws s3 cp s3://rtdc.mdm.uploadarchive.raw/RTDC4029/ "%USERPROFILE%\AppData\Local\Temp\OnboardLogs"\RTDC4029\2017-09-22 --exclude "*" --recursive --include "*20170922*" &amp; "%USERPROFILE%\Documents\GitHub\mrs-test-scripts\Headless Mode &amp; Sideloading\WalkAndUnGZ.bat" "%USERPROFILE%\AppData\Local\Temp\OnboardLogs"\RTDC4029\2017-09-22</v>
      </c>
      <c r="AF146" s="74" t="str">
        <f t="shared" si="89"/>
        <v>"C:\Program Files (x86)\AstroGrep\AstroGrep.exe" /e /r /s /spath="%USERPROFILE%\AppData\Local\Temp\OnboardLogs" /stypes="app*4029*20170922*" /stext=" 05:.+((SYSTEM_STATE.+slice.+state.+changed )|(ment ac)|(multiple cpu faults)|(system.+state.+changed )|(\[timeout)|(PRM\|1\|D)|(kpr)|(kdp)|(train st.+moving)|(\|lc)|(penalty))"</v>
      </c>
      <c r="AG146" s="182" t="str">
        <f t="shared" si="90"/>
        <v>EC</v>
      </c>
      <c r="AH146" s="78" t="str">
        <f t="shared" si="91"/>
        <v>"%USERPROFILE%\Documents\GitHub\eaglep3\Utilities\RefineRTDCRunTimes.py" --tripid 232-21 --locoid 4029 --swversion DE.1.0.9.0 --startMP 204:233002 --initTime 2017-09-21T22:24:22 --startdatetime 2017-09-21T22:27:27 --delay 77 --endMP 204:134 --enddatetime 2017-09-21T23:04:04 --enforcementcount 0 &gt;&gt;c:\users\stu\Documents\GitHub\eaglep3-reporting\EC\2017-09-21-refined-times.txt</v>
      </c>
      <c r="AI146" s="96" t="str">
        <f t="shared" si="92"/>
        <v>echo {"issue":{"subject":"","project_id":79,"tracker_id":40,"status_id":1,"priority_id":2,"assigned_to_id":338,"start_date":"2017-09-21","description":"","custom_fields":[{"id":1,"name":"Subdivision","value":"EC"},{"id":4,"name":"Milepost","value":"0.0134"},{"id":17,"name":"Train ID","value":"232-21"},{"id":16,"name":"Locomotive ID","value":"4029"},{"id":130,"name":"Impact","value":""},{"id":150,"name":"Time of Event (Mountain Time)","value":"23:04:04"},{"id":151,"name":"Denver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93"/>
        <v>start /low /b %USERPROFILE%\Documents\GitHub\eaglep3\Utilities\DownloadLogsFromS3.py --loco 4029 --day 2017-09-21</v>
      </c>
      <c r="AN146" s="151" t="str">
        <f t="shared" si="94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05:04:04"},{"id":29,"name":"Sharepoint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95"/>
        <v>https://d0f6bd738d7f1b3e5a7ca70fe4ff75f0.us-east-1.aws.found.io/app/kibana#/discover/Steve-Slow-Train-Analysis-(2080s-and-2083s)?_g=(refreshInterval:(display:Off,pause:!f,section:0,value:0),time:(from:'2017-09-21T21:24:22-0600',mode:absolute,to:'2017-09-22T00:04:04-0600'))&amp;_a=(columns:!('Message%20ID',Summary),filters:!(),index:'emp_*',interval:auto,query:(query_string:(analyze_wildcard:!t,query:'Message%5C+ID:(*)+AND+%22rtdc.l.rtdc.4029%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813</v>
      </c>
      <c r="B147" s="7">
        <v>4014</v>
      </c>
      <c r="C147" s="21" t="s">
        <v>196</v>
      </c>
      <c r="D147" s="21" t="s">
        <v>362</v>
      </c>
      <c r="E147" s="13">
        <v>42999.901192129626</v>
      </c>
      <c r="F147" s="13">
        <v>42999.916898148149</v>
      </c>
      <c r="G147" s="7">
        <v>71</v>
      </c>
      <c r="H147" s="21" t="s">
        <v>439</v>
      </c>
      <c r="I147" s="13">
        <v>42999.941828703704</v>
      </c>
      <c r="J147" s="7">
        <v>0</v>
      </c>
      <c r="K147" s="89" t="str">
        <f t="shared" si="77"/>
        <v>4013/4014</v>
      </c>
      <c r="L147" s="185" t="str">
        <f>VLOOKUP(A147,'Trips&amp;Operators'!$C$1:$G$99911,5,FALSE)</f>
        <v>ELBAUM MIKE</v>
      </c>
      <c r="M147" s="6">
        <f t="shared" si="78"/>
        <v>2.4930555555329192E-2</v>
      </c>
      <c r="N147" s="7">
        <f t="shared" si="79"/>
        <v>35.899999999674037</v>
      </c>
      <c r="O147" s="7"/>
      <c r="P147" s="7"/>
      <c r="Q147" s="22"/>
      <c r="R147" s="174"/>
      <c r="S147" s="221">
        <f t="shared" si="80"/>
        <v>1</v>
      </c>
      <c r="T147" s="174" t="str">
        <f t="shared" si="81"/>
        <v>NorthBound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 t="shared" si="82"/>
        <v>https://d0f6bd738d7f1b3e5a7ca70fe4ff75f0.us-east-1.aws.found.io/app/kibana#/discover/Steve-Slow-Train-Analysis-(2080s-and-2083s)?_g=(refreshInterval:(display:Off,pause:!f,section:0,value:0),time:(from:'2017-09-21T20:37:43-0600',mode:absolute,to:'2017-09-21T23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7" s="204" t="str">
        <f>IF(AA147&lt;VLOOKUP(AG147,Variables!$AC$3:$AD$8,2,FALSE),"Y","N")</f>
        <v>N</v>
      </c>
      <c r="X147" s="204">
        <f t="shared" si="83"/>
        <v>1</v>
      </c>
      <c r="Y147" s="204">
        <f t="shared" si="84"/>
        <v>4.6399999999999997E-2</v>
      </c>
      <c r="Z147" s="204">
        <f t="shared" si="85"/>
        <v>23.330200000000001</v>
      </c>
      <c r="AA147" s="204">
        <f t="shared" si="86"/>
        <v>23.283800000000003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 t="shared" si="87"/>
        <v>233</v>
      </c>
      <c r="AE147" s="77" t="str">
        <f t="shared" si="88"/>
        <v>aws s3 cp s3://rtdc.mdm.uploadarchive.raw/RTDC4014/ "%USERPROFILE%\AppData\Local\Temp\OnboardLogs"\RTDC4014\2017-09-21 --exclude "*" --recursive --include "*20170921*" &amp; "%USERPROFILE%\Documents\GitHub\mrs-test-scripts\Headless Mode &amp; Sideloading\WalkAndUnGZ.bat" "%USERPROFILE%\AppData\Local\Temp\OnboardLogs"\RTDC4014\2017-09-21 &amp; aws s3 cp s3://rtdc.mdm.uploadarchive.raw/RTDC4014/ "%USERPROFILE%\AppData\Local\Temp\OnboardLogs"\RTDC4014\2017-09-22 --exclude "*" --recursive --include "*20170922*" &amp; "%USERPROFILE%\Documents\GitHub\mrs-test-scripts\Headless Mode &amp; Sideloading\WalkAndUnGZ.bat" "%USERPROFILE%\AppData\Local\Temp\OnboardLogs"\RTDC4014\2017-09-22</v>
      </c>
      <c r="AF147" s="74" t="str">
        <f t="shared" si="89"/>
        <v>"C:\Program Files (x86)\AstroGrep\AstroGrep.exe" /e /r /s /spath="%USERPROFILE%\AppData\Local\Temp\OnboardLogs" /stypes="app*4014*20170922*" /stext=" 04:.+((SYSTEM_STATE.+slice.+state.+changed )|(ment ac)|(multiple cpu faults)|(system.+state.+changed )|(\[timeout)|(PRM\|1\|D)|(kpr)|(kdp)|(train st.+moving)|(\|lc)|(penalty))"</v>
      </c>
      <c r="AG147" s="182" t="str">
        <f t="shared" si="90"/>
        <v>EC</v>
      </c>
      <c r="AH147" s="78" t="str">
        <f t="shared" si="91"/>
        <v>"%USERPROFILE%\Documents\GitHub\eaglep3\Utilities\RefineRTDCRunTimes.py" --tripid 233-21 --locoid 4014 --swversion DE.1.0.9.0 --startMP 204:464 --initTime 2017-09-21T21:37:43 --startdatetime 2017-09-21T22:00:20 --delay 71 --endMP 204:233302 --enddatetime 2017-09-21T22:36:14 --enforcementcount 0 &gt;&gt;c:\users\stu\Documents\GitHub\eaglep3-reporting\EC\2017-09-21-refined-times.txt</v>
      </c>
      <c r="AI147" s="96" t="str">
        <f t="shared" si="92"/>
        <v>echo {"issue":{"subject":"","project_id":79,"tracker_id":40,"status_id":1,"priority_id":2,"assigned_to_id":338,"start_date":"2017-09-21","description":"","custom_fields":[{"id":1,"name":"Subdivision","value":"EC"},{"id":4,"name":"Milepost","value":"23.3302"},{"id":17,"name":"Train ID","value":"233-21"},{"id":16,"name":"Locomotive ID","value":"4014"},{"id":130,"name":"Impact","value":""},{"id":150,"name":"Time of Event (Mountain Time)","value":"22:36:14"},{"id":151,"name":"Denver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93"/>
        <v>start /low /b %USERPROFILE%\Documents\GitHub\eaglep3\Utilities\DownloadLogsFromS3.py --loco 4014 --day 2017-09-21</v>
      </c>
      <c r="AN147" s="151" t="str">
        <f t="shared" si="94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04:36:14"},{"id":29,"name":"Sharepoint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95"/>
        <v>https://d0f6bd738d7f1b3e5a7ca70fe4ff75f0.us-east-1.aws.found.io/app/kibana#/discover/Steve-Slow-Train-Analysis-(2080s-and-2083s)?_g=(refreshInterval:(display:Off,pause:!f,section:0,value:0),time:(from:'2017-09-21T20:37:43-0600',mode:absolute,to:'2017-09-21T23:36:14-0600'))&amp;_a=(columns:!('Message%20ID',Summary),filters:!(),index:'emp_*',interval:auto,query:(query_string:(analyze_wildcard:!t,query:'Message%5C+ID:(*)+AND+%22rtdc.l.rtdc.4014%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819</v>
      </c>
      <c r="B148" s="7">
        <v>4013</v>
      </c>
      <c r="C148" s="21" t="s">
        <v>196</v>
      </c>
      <c r="D148" s="21" t="s">
        <v>382</v>
      </c>
      <c r="E148" s="13">
        <v>42999.94332175926</v>
      </c>
      <c r="F148" s="13">
        <v>42999.956388888888</v>
      </c>
      <c r="G148" s="7">
        <v>58</v>
      </c>
      <c r="H148" s="21" t="s">
        <v>364</v>
      </c>
      <c r="I148" s="13">
        <v>42999.983703703707</v>
      </c>
      <c r="J148" s="7">
        <v>0</v>
      </c>
      <c r="K148" s="89" t="str">
        <f t="shared" si="77"/>
        <v>4013/4014</v>
      </c>
      <c r="L148" s="185" t="str">
        <f>VLOOKUP(A148,'Trips&amp;Operators'!$C$1:$G$99911,5,FALSE)</f>
        <v>ELBAUM MIKE</v>
      </c>
      <c r="M148" s="6">
        <f t="shared" si="78"/>
        <v>2.7314814818964805E-2</v>
      </c>
      <c r="N148" s="7">
        <f t="shared" si="79"/>
        <v>39.33333333930932</v>
      </c>
      <c r="O148" s="7"/>
      <c r="P148" s="7"/>
      <c r="Q148" s="22"/>
      <c r="R148" s="174"/>
      <c r="S148" s="221">
        <f t="shared" si="80"/>
        <v>1</v>
      </c>
      <c r="T148" s="174" t="str">
        <f t="shared" si="81"/>
        <v>Southbound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 t="shared" si="82"/>
        <v>https://d0f6bd738d7f1b3e5a7ca70fe4ff75f0.us-east-1.aws.found.io/app/kibana#/discover/Steve-Slow-Train-Analysis-(2080s-and-2083s)?_g=(refreshInterval:(display:Off,pause:!f,section:0,value:0),time:(from:'2017-09-21T21:38:23-0600',mode:absolute,to:'2017-09-22T00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8" s="204" t="str">
        <f>IF(AA148&lt;VLOOKUP(AG148,Variables!$AC$3:$AD$8,2,FALSE),"Y","N")</f>
        <v>N</v>
      </c>
      <c r="X148" s="204">
        <f t="shared" si="83"/>
        <v>1</v>
      </c>
      <c r="Y148" s="204">
        <f t="shared" si="84"/>
        <v>23.299399999999999</v>
      </c>
      <c r="Z148" s="204">
        <f t="shared" si="85"/>
        <v>1.38E-2</v>
      </c>
      <c r="AA148" s="204">
        <f t="shared" si="86"/>
        <v>23.285599999999999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 t="shared" si="87"/>
        <v>234</v>
      </c>
      <c r="AE148" s="77" t="str">
        <f t="shared" si="88"/>
        <v>aws s3 cp s3://rtdc.mdm.uploadarchive.raw/RTDC4013/ "%USERPROFILE%\AppData\Local\Temp\OnboardLogs"\RTDC4013\2017-09-21 --exclude "*" --recursive --include "*20170921*" &amp; "%USERPROFILE%\Documents\GitHub\mrs-test-scripts\Headless Mode &amp; Sideloading\WalkAndUnGZ.bat" "%USERPROFILE%\AppData\Local\Temp\OnboardLogs"\RTDC4013\2017-09-21 &amp; aws s3 cp s3://rtdc.mdm.uploadarchive.raw/RTDC4013/ "%USERPROFILE%\AppData\Local\Temp\OnboardLogs"\RTDC4013\2017-09-22 --exclude "*" --recursive --include "*20170922*" &amp; "%USERPROFILE%\Documents\GitHub\mrs-test-scripts\Headless Mode &amp; Sideloading\WalkAndUnGZ.bat" "%USERPROFILE%\AppData\Local\Temp\OnboardLogs"\RTDC4013\2017-09-22</v>
      </c>
      <c r="AF148" s="74" t="str">
        <f t="shared" si="89"/>
        <v>"C:\Program Files (x86)\AstroGrep\AstroGrep.exe" /e /r /s /spath="%USERPROFILE%\AppData\Local\Temp\OnboardLogs" /stypes="app*4013*20170922*" /stext=" 05:.+((SYSTEM_STATE.+slice.+state.+changed )|(ment ac)|(multiple cpu faults)|(system.+state.+changed )|(\[timeout)|(PRM\|1\|D)|(kpr)|(kdp)|(train st.+moving)|(\|lc)|(penalty))"</v>
      </c>
      <c r="AG148" s="182" t="str">
        <f t="shared" si="90"/>
        <v>EC</v>
      </c>
      <c r="AH148" s="78" t="str">
        <f t="shared" si="91"/>
        <v>"%USERPROFILE%\Documents\GitHub\eaglep3\Utilities\RefineRTDCRunTimes.py" --tripid 234-21 --locoid 4013 --swversion DE.1.0.9.0 --startMP 204:232994 --initTime 2017-09-21T22:38:23 --startdatetime 2017-09-21T22:57:12 --delay 58 --endMP 204:138 --enddatetime 2017-09-21T23:36:32 --enforcementcount 0 &gt;&gt;c:\users\stu\Documents\GitHub\eaglep3-reporting\EC\2017-09-21-refined-times.txt</v>
      </c>
      <c r="AI148" s="96" t="str">
        <f t="shared" si="92"/>
        <v>echo {"issue":{"subject":"","project_id":79,"tracker_id":40,"status_id":1,"priority_id":2,"assigned_to_id":338,"start_date":"2017-09-21","description":"","custom_fields":[{"id":1,"name":"Subdivision","value":"EC"},{"id":4,"name":"Milepost","value":"0.0138"},{"id":17,"name":"Train ID","value":"234-21"},{"id":16,"name":"Locomotive ID","value":"4013"},{"id":130,"name":"Impact","value":""},{"id":150,"name":"Time of Event (Mountain Time)","value":"23:36:32"},{"id":151,"name":"Denver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93"/>
        <v>start /low /b %USERPROFILE%\Documents\GitHub\eaglep3\Utilities\DownloadLogsFromS3.py --loco 4013 --day 2017-09-21</v>
      </c>
      <c r="AN148" s="151" t="str">
        <f t="shared" si="94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05:36:32"},{"id":29,"name":"Sharepoint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95"/>
        <v>https://d0f6bd738d7f1b3e5a7ca70fe4ff75f0.us-east-1.aws.found.io/app/kibana#/discover/Steve-Slow-Train-Analysis-(2080s-and-2083s)?_g=(refreshInterval:(display:Off,pause:!f,section:0,value:0),time:(from:'2017-09-21T21:38:23-0600',mode:absolute,to:'2017-09-22T00:36:32-0600'))&amp;_a=(columns:!('Message%20ID',Summary),filters:!(),index:'emp_*',interval:auto,query:(query_string:(analyze_wildcard:!t,query:'Message%5C+ID:(*)+AND+%22rtdc.l.rtdc.4013%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816</v>
      </c>
      <c r="B149" s="7">
        <v>4010</v>
      </c>
      <c r="C149" s="21" t="s">
        <v>196</v>
      </c>
      <c r="D149" s="21" t="s">
        <v>879</v>
      </c>
      <c r="E149" s="13">
        <v>42999.925833333335</v>
      </c>
      <c r="F149" s="13">
        <v>42999.937719907408</v>
      </c>
      <c r="G149" s="7">
        <v>66</v>
      </c>
      <c r="H149" s="21" t="s">
        <v>549</v>
      </c>
      <c r="I149" s="13">
        <v>42999.962824074071</v>
      </c>
      <c r="J149" s="7">
        <v>0</v>
      </c>
      <c r="K149" s="89" t="str">
        <f t="shared" si="77"/>
        <v>4009/4010</v>
      </c>
      <c r="L149" s="185" t="str">
        <f>VLOOKUP(A149,'Trips&amp;Operators'!$C$1:$G$99911,5,FALSE)</f>
        <v>PERKINS DARREN</v>
      </c>
      <c r="M149" s="6">
        <f t="shared" si="78"/>
        <v>2.5104166663368233E-2</v>
      </c>
      <c r="N149" s="7">
        <f t="shared" si="79"/>
        <v>36.149999995250255</v>
      </c>
      <c r="O149" s="7"/>
      <c r="P149" s="7"/>
      <c r="Q149" s="22"/>
      <c r="R149" s="174"/>
      <c r="S149" s="221">
        <f t="shared" si="80"/>
        <v>1</v>
      </c>
      <c r="T149" s="174" t="str">
        <f t="shared" si="81"/>
        <v>NorthBound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 t="shared" si="82"/>
        <v>https://d0f6bd738d7f1b3e5a7ca70fe4ff75f0.us-east-1.aws.found.io/app/kibana#/discover/Steve-Slow-Train-Analysis-(2080s-and-2083s)?_g=(refreshInterval:(display:Off,pause:!f,section:0,value:0),time:(from:'2017-09-21T21:13:12-0600',mode:absolute,to:'2017-09-22T00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9" s="204" t="str">
        <f>IF(AA149&lt;VLOOKUP(AG149,Variables!$AC$3:$AD$8,2,FALSE),"Y","N")</f>
        <v>N</v>
      </c>
      <c r="X149" s="204">
        <f t="shared" si="83"/>
        <v>1</v>
      </c>
      <c r="Y149" s="204">
        <f t="shared" si="84"/>
        <v>4.07E-2</v>
      </c>
      <c r="Z149" s="204">
        <f t="shared" si="85"/>
        <v>23.3338</v>
      </c>
      <c r="AA149" s="204">
        <f t="shared" si="86"/>
        <v>23.293099999999999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 t="shared" si="87"/>
        <v>235</v>
      </c>
      <c r="AE149" s="77" t="str">
        <f t="shared" si="88"/>
        <v>aws s3 cp s3://rtdc.mdm.uploadarchive.raw/RTDC4010/ "%USERPROFILE%\AppData\Local\Temp\OnboardLogs"\RTDC4010\2017-09-21 --exclude "*" --recursive --include "*20170921*" &amp; "%USERPROFILE%\Documents\GitHub\mrs-test-scripts\Headless Mode &amp; Sideloading\WalkAndUnGZ.bat" "%USERPROFILE%\AppData\Local\Temp\OnboardLogs"\RTDC4010\2017-09-21 &amp; aws s3 cp s3://rtdc.mdm.uploadarchive.raw/RTDC4010/ "%USERPROFILE%\AppData\Local\Temp\OnboardLogs"\RTDC4010\2017-09-22 --exclude "*" --recursive --include "*20170922*" &amp; "%USERPROFILE%\Documents\GitHub\mrs-test-scripts\Headless Mode &amp; Sideloading\WalkAndUnGZ.bat" "%USERPROFILE%\AppData\Local\Temp\OnboardLogs"\RTDC4010\2017-09-22</v>
      </c>
      <c r="AF149" s="74" t="str">
        <f t="shared" si="89"/>
        <v>"C:\Program Files (x86)\AstroGrep\AstroGrep.exe" /e /r /s /spath="%USERPROFILE%\AppData\Local\Temp\OnboardLogs" /stypes="app*4010*20170922*" /stext=" 05:.+((SYSTEM_STATE.+slice.+state.+changed )|(ment ac)|(multiple cpu faults)|(system.+state.+changed )|(\[timeout)|(PRM\|1\|D)|(kpr)|(kdp)|(train st.+moving)|(\|lc)|(penalty))"</v>
      </c>
      <c r="AG149" s="182" t="str">
        <f t="shared" si="90"/>
        <v>EC</v>
      </c>
      <c r="AH149" s="78" t="str">
        <f t="shared" si="91"/>
        <v>"%USERPROFILE%\Documents\GitHub\eaglep3\Utilities\RefineRTDCRunTimes.py" --tripid 235-21 --locoid 4010 --swversion DE.1.0.9.0 --startMP 204:407 --initTime 2017-09-21T22:13:12 --startdatetime 2017-09-21T22:30:19 --delay 66 --endMP 204:233338 --enddatetime 2017-09-21T23:06:28 --enforcementcount 0 &gt;&gt;c:\users\stu\Documents\GitHub\eaglep3-reporting\EC\2017-09-21-refined-times.txt</v>
      </c>
      <c r="AI149" s="96" t="str">
        <f t="shared" si="92"/>
        <v>echo {"issue":{"subject":"","project_id":79,"tracker_id":40,"status_id":1,"priority_id":2,"assigned_to_id":338,"start_date":"2017-09-21","description":"","custom_fields":[{"id":1,"name":"Subdivision","value":"EC"},{"id":4,"name":"Milepost","value":"23.3338"},{"id":17,"name":"Train ID","value":"235-21"},{"id":16,"name":"Locomotive ID","value":"4010"},{"id":130,"name":"Impact","value":""},{"id":150,"name":"Time of Event (Mountain Time)","value":"23:06:28"},{"id":151,"name":"Denver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93"/>
        <v>start /low /b %USERPROFILE%\Documents\GitHub\eaglep3\Utilities\DownloadLogsFromS3.py --loco 4010 --day 2017-09-21</v>
      </c>
      <c r="AN149" s="151" t="str">
        <f t="shared" si="94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05:06:28"},{"id":29,"name":"Sharepoint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95"/>
        <v>https://d0f6bd738d7f1b3e5a7ca70fe4ff75f0.us-east-1.aws.found.io/app/kibana#/discover/Steve-Slow-Train-Analysis-(2080s-and-2083s)?_g=(refreshInterval:(display:Off,pause:!f,section:0,value:0),time:(from:'2017-09-21T21:13:12-0600',mode:absolute,to:'2017-09-22T00:06:28-0600'))&amp;_a=(columns:!('Message%20ID',Summary),filters:!(),index:'emp_*',interval:auto,query:(query_string:(analyze_wildcard:!t,query:'Message%5C+ID:(*)+AND+%22rtdc.l.rtdc.4010%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823</v>
      </c>
      <c r="B150" s="7">
        <v>4009</v>
      </c>
      <c r="C150" s="21" t="s">
        <v>196</v>
      </c>
      <c r="D150" s="21" t="s">
        <v>382</v>
      </c>
      <c r="E150" s="13">
        <v>42999.971099537041</v>
      </c>
      <c r="F150" s="13">
        <v>42999.977280092593</v>
      </c>
      <c r="G150" s="7">
        <v>54</v>
      </c>
      <c r="H150" s="21" t="s">
        <v>553</v>
      </c>
      <c r="I150" s="13">
        <v>43000.003229166665</v>
      </c>
      <c r="J150" s="7">
        <v>0</v>
      </c>
      <c r="K150" s="89" t="str">
        <f t="shared" si="77"/>
        <v>4009/4010</v>
      </c>
      <c r="L150" s="185" t="str">
        <f>VLOOKUP(A150,'Trips&amp;Operators'!$C$1:$G$99911,5,FALSE)</f>
        <v>PERKINS DARREN</v>
      </c>
      <c r="M150" s="6">
        <f t="shared" si="78"/>
        <v>2.5949074071832001E-2</v>
      </c>
      <c r="N150" s="7">
        <f t="shared" si="79"/>
        <v>37.366666663438082</v>
      </c>
      <c r="O150" s="7"/>
      <c r="P150" s="7"/>
      <c r="Q150" s="22"/>
      <c r="R150" s="174"/>
      <c r="S150" s="221">
        <f t="shared" si="80"/>
        <v>1</v>
      </c>
      <c r="T150" s="174" t="str">
        <f t="shared" si="81"/>
        <v>Southbound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 t="shared" si="82"/>
        <v>https://d0f6bd738d7f1b3e5a7ca70fe4ff75f0.us-east-1.aws.found.io/app/kibana#/discover/Steve-Slow-Train-Analysis-(2080s-and-2083s)?_g=(refreshInterval:(display:Off,pause:!f,section:0,value:0),time:(from:'2017-09-21T22:18:23-0600',mode:absolute,to:'2017-09-22T01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0" s="204" t="str">
        <f>IF(AA150&lt;VLOOKUP(AG150,Variables!$AC$3:$AD$8,2,FALSE),"Y","N")</f>
        <v>N</v>
      </c>
      <c r="X150" s="204">
        <f t="shared" si="83"/>
        <v>1</v>
      </c>
      <c r="Y150" s="204">
        <f t="shared" si="84"/>
        <v>23.299399999999999</v>
      </c>
      <c r="Z150" s="204">
        <f t="shared" si="85"/>
        <v>1.32E-2</v>
      </c>
      <c r="AA150" s="204">
        <f t="shared" si="86"/>
        <v>23.286199999999997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179">
        <f t="shared" si="87"/>
        <v>236</v>
      </c>
      <c r="AE150" s="77" t="str">
        <f t="shared" si="88"/>
        <v>aws s3 cp s3://rtdc.mdm.uploadarchive.raw/RTDC4009/ "%USERPROFILE%\AppData\Local\Temp\OnboardLogs"\RTDC4009\2017-09-21 --exclude "*" --recursive --include "*20170921*" &amp; "%USERPROFILE%\Documents\GitHub\mrs-test-scripts\Headless Mode &amp; Sideloading\WalkAndUnGZ.bat" "%USERPROFILE%\AppData\Local\Temp\OnboardLogs"\RTDC4009\2017-09-21 &amp; aws s3 cp s3://rtdc.mdm.uploadarchive.raw/RTDC4009/ "%USERPROFILE%\AppData\Local\Temp\OnboardLogs"\RTDC4009\2017-09-22 --exclude "*" --recursive --include "*20170922*" &amp; "%USERPROFILE%\Documents\GitHub\mrs-test-scripts\Headless Mode &amp; Sideloading\WalkAndUnGZ.bat" "%USERPROFILE%\AppData\Local\Temp\OnboardLogs"\RTDC4009\2017-09-22</v>
      </c>
      <c r="AF150" s="74" t="str">
        <f t="shared" si="89"/>
        <v>"C:\Program Files (x86)\AstroGrep\AstroGrep.exe" /e /r /s /spath="%USERPROFILE%\AppData\Local\Temp\OnboardLogs" /stypes="app*4009*20170922*" /stext=" 06:.+((SYSTEM_STATE.+slice.+state.+changed )|(ment ac)|(multiple cpu faults)|(system.+state.+changed )|(\[timeout)|(PRM\|1\|D)|(kpr)|(kdp)|(train st.+moving)|(\|lc)|(penalty))"</v>
      </c>
      <c r="AG150" s="182" t="str">
        <f t="shared" si="90"/>
        <v>EC</v>
      </c>
      <c r="AH150" s="78" t="str">
        <f t="shared" si="91"/>
        <v>"%USERPROFILE%\Documents\GitHub\eaglep3\Utilities\RefineRTDCRunTimes.py" --tripid 236-21 --locoid 4009 --swversion DE.1.0.9.0 --startMP 204:232994 --initTime 2017-09-21T23:18:23 --startdatetime 2017-09-21T23:27:17 --delay 54 --endMP 204:132 --enddatetime 2017-09-22T00:04:39 --enforcementcount 0 &gt;&gt;c:\users\stu\Documents\GitHub\eaglep3-reporting\EC\2017-09-21-refined-times.txt</v>
      </c>
      <c r="AI150" s="96" t="str">
        <f t="shared" si="92"/>
        <v>echo {"issue":{"subject":"","project_id":79,"tracker_id":40,"status_id":1,"priority_id":2,"assigned_to_id":338,"start_date":"2017-09-22","description":"","custom_fields":[{"id":1,"name":"Subdivision","value":"EC"},{"id":4,"name":"Milepost","value":"0.0132"},{"id":17,"name":"Train ID","value":"236-21"},{"id":16,"name":"Locomotive ID","value":"4009"},{"id":130,"name":"Impact","value":""},{"id":150,"name":"Time of Event (Mountain Time)","value":"00:04:39"},{"id":151,"name":"Denver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93"/>
        <v>start /low /b %USERPROFILE%\Documents\GitHub\eaglep3\Utilities\DownloadLogsFromS3.py --loco 4009 --day 2017-09-21</v>
      </c>
      <c r="AN150" s="151" t="str">
        <f t="shared" si="94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06:04:39"},{"id":29,"name":"Sharepoint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95"/>
        <v>https://d0f6bd738d7f1b3e5a7ca70fe4ff75f0.us-east-1.aws.found.io/app/kibana#/discover/Steve-Slow-Train-Analysis-(2080s-and-2083s)?_g=(refreshInterval:(display:Off,pause:!f,section:0,value:0),time:(from:'2017-09-21T22:18:23-0600',mode:absolute,to:'2017-09-22T01:04:39-0600'))&amp;_a=(columns:!('Message%20ID',Summary),filters:!(),index:'emp_*',interval:auto,query:(query_string:(analyze_wildcard:!t,query:'Message%5C+ID:(*)+AND+%22rtdc.l.rtdc.4009%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820</v>
      </c>
      <c r="B151" s="7">
        <v>4058</v>
      </c>
      <c r="C151" s="21" t="s">
        <v>196</v>
      </c>
      <c r="D151" s="21" t="s">
        <v>382</v>
      </c>
      <c r="E151" s="13">
        <v>42999.971099537041</v>
      </c>
      <c r="F151" s="13">
        <v>42999.958553240744</v>
      </c>
      <c r="G151" s="7">
        <v>54</v>
      </c>
      <c r="H151" s="21" t="s">
        <v>553</v>
      </c>
      <c r="I151" s="13">
        <v>42999.982928240737</v>
      </c>
      <c r="J151" s="7">
        <v>0</v>
      </c>
      <c r="K151" s="89" t="str">
        <f t="shared" ref="K151:K152" si="96">IF(ISEVEN(B151),(B151-1)&amp;"/"&amp;B151,B151&amp;"/"&amp;(B151+1))</f>
        <v>4057/4058</v>
      </c>
      <c r="L151" s="185" t="str">
        <f>VLOOKUP(A151,'Trips&amp;Operators'!$C$1:$G$99911,5,FALSE)</f>
        <v>HART KEVIN</v>
      </c>
      <c r="M151" s="6">
        <f t="shared" ref="M151:M152" si="97">I151-F151</f>
        <v>2.4374999993597157E-2</v>
      </c>
      <c r="N151" s="7">
        <f t="shared" si="79"/>
        <v>35.099999990779907</v>
      </c>
      <c r="O151" s="7"/>
      <c r="P151" s="7"/>
      <c r="Q151" s="22"/>
      <c r="R151" s="174"/>
      <c r="S151" s="221">
        <f t="shared" ref="S151:S152" si="98">1/IF(AG151="EC",12,1)*SUM(U151:U151)</f>
        <v>1</v>
      </c>
      <c r="T151" s="174" t="str">
        <f t="shared" ref="T151:T152" si="99">IF(ISEVEN(LEFT(AD151,4)),"Southbound","NorthBound")</f>
        <v>NorthBound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 t="shared" ref="V151:V152" si="100"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-09-21T22:18:23-0600',mode:absolute,to:'2017-09-22T00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51" s="204" t="str">
        <f>IF(AA151&lt;VLOOKUP(AG151,Variables!$AC$3:$AD$8,2,FALSE),"Y","N")</f>
        <v>N</v>
      </c>
      <c r="X151" s="204">
        <f t="shared" ref="X151:X153" si="101">VALUE(LEFT(AD151,4))-VALUE(LEFT(AD150,4))</f>
        <v>1</v>
      </c>
      <c r="Y151" s="204">
        <v>4.07E-2</v>
      </c>
      <c r="Z151" s="204">
        <v>23.3338</v>
      </c>
      <c r="AA151" s="204">
        <f t="shared" ref="AA151:AA152" si="102">ABS(Z151-Y151)</f>
        <v>23.293099999999999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 t="shared" ref="AD151:AD152" si="103">VALUE(LEFT(A151,LEN(A151)-3))</f>
        <v>237</v>
      </c>
      <c r="AE151" s="77" t="str">
        <f t="shared" ref="AE151:AE152" si="104"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s3://rtdc.mdm.uploadarchive.raw/RTDC4058/ "%USERPROFILE%\AppData\Local\Temp\OnboardLogs"\RTDC4058\2017-09-21 --exclude "*" --recursive --include "*20170921*" &amp; "%USERPROFILE%\Documents\GitHub\mrs-test-scripts\Headless Mode &amp; Sideloading\WalkAndUnGZ.bat" "%USERPROFILE%\AppData\Local\Temp\OnboardLogs"\RTDC4058\2017-09-21 &amp; aws s3 cp s3://rtdc.mdm.uploadarchive.raw/RTDC4058/ "%USERPROFILE%\AppData\Local\Temp\OnboardLogs"\RTDC4058\2017-09-22 --exclude "*" --recursive --include "*20170922*" &amp; "%USERPROFILE%\Documents\GitHub\mrs-test-scripts\Headless Mode &amp; Sideloading\WalkAndUnGZ.bat" "%USERPROFILE%\AppData\Local\Temp\OnboardLogs"\RTDC4058\2017-09-22</v>
      </c>
      <c r="AF151" s="74" t="str">
        <f t="shared" ref="AF151:AF152" si="105"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/stypes="app*4058*20170922*" /stext=" 05:.+((SYSTEM_STATE.+slice.+state.+changed )|(ment ac)|(multiple cpu faults)|(system.+state.+changed )|(\[timeout)|(PRM\|1\|D)|(kpr)|(kdp)|(train st.+moving)|(\|lc)|(penalty))"</v>
      </c>
      <c r="AG151" s="182" t="str">
        <f t="shared" ref="AG151:AG152" si="106">DetSubdiv(A151)</f>
        <v>EC</v>
      </c>
      <c r="AH151" s="78" t="str">
        <f t="shared" ref="AH151:AH152" si="107">refinertdcruntimes&amp;" --tripid "&amp;A151&amp;" --locoid "&amp;B151&amp;" --swversion "&amp;C151&amp;" --startMP "&amp;D151&amp;" --initTime "&amp;TEXT(E151,"yyyy-mm-ddTHH:MM:SS")&amp;" --startdatetime "&amp;TEXT(F151,"yyyy-mm-ddTHH:MM:SS")&amp;" --delay "&amp;G151&amp;" --endMP "&amp;H151&amp;" --enddatetime "&amp;TEXT(I151,"yyyy-mm-ddTHH:MM:SS")&amp;" --enforcementcount "&amp;J151&amp;IF(outputrefinedruntimes," &gt;&gt;"&amp;RefinedRTDCRunTimesOutputFile,"")</f>
        <v>"%USERPROFILE%\Documents\GitHub\eaglep3\Utilities\RefineRTDCRunTimes.py" --tripid 237-21 --locoid 4058 --swversion DE.1.0.9.0 --startMP 204:232994 --initTime 2017-09-21T23:18:23 --startdatetime 2017-09-21T23:00:19 --delay 54 --endMP 204:132 --enddatetime 2017-09-21T23:35:25 --enforcementcount 0 &gt;&gt;c:\users\stu\Documents\GitHub\eaglep3-reporting\EC\2017-09-21-refined-times.txt</v>
      </c>
      <c r="AI151" s="96" t="str">
        <f t="shared" ref="AI151:AI152" si="108">"echo {""issue"":{""subject"":"""&amp;R151&amp;""",""project_id"":79,""tracker_id"":40,""status_id"":"&amp;redmine_status&amp;",""priority_id"":"&amp;redmine_priority&amp;",""assigned_to_id"":"&amp;redmine_assignee&amp;",""start_date"":"""&amp;TEXT(I151,"YYYY-mm-dd")&amp;""",""description"":"""&amp;AJ151&amp;""",""custom_fields"":[{""id"":1,""name"":""Subdivision"",""value"":"""&amp;AG151&amp;"""},{""id"":4,""name"":""Milepost"",""value"":"""&amp;Z151&amp;"""},{""id"":17,""name"":""Train ID"",""value"":"""&amp;A151&amp;"""},{""id"":16,""name"":""Locomotive ID"",""value"":"""&amp;B151&amp;"""},{""id"":130,""name"":""Impact"",""value"":"""&amp;AK151&amp;"""},{""id"":150,""name"":""Time of Event (Mountain Time)"",""value"":"""&amp;TEXT(I151,"hh:mm:ss")&amp;"""},{""id"":151,""name"":""Denver Issue ID"",""value"":"""&amp;"""},{""id"":178,""name"":""Operational Impact"",""value"":"""&amp;redmine_op_impact&amp;"""},{""id"":179,""name"":""Denver Segment Assigned"",""value"":"""&amp;AL151&amp;"""}]}}"&amp;"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{"issue":{"subject":"","project_id":79,"tracker_id":40,"status_id":1,"priority_id":2,"assigned_to_id":338,"start_date":"2017-09-21","description":"","custom_fields":[{"id":1,"name":"Subdivision","value":"EC"},{"id":4,"name":"Milepost","value":"23.3338"},{"id":17,"name":"Train ID","value":"237-21"},{"id":16,"name":"Locomotive ID","value":"4058"},{"id":130,"name":"Impact","value":""},{"id":150,"name":"Time of Event (Mountain Time)","value":"23:35:25"},{"id":151,"name":"Denver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ref="AM151:AM152" si="109">"start /low /b "&amp;dls3logs&amp;" --loco "&amp;B151&amp;" --day "&amp;TEXT(F151,"YYYY-MM-DD")</f>
        <v>start /low /b %USERPROFILE%\Documents\GitHub\eaglep3\Utilities\DownloadLogsFromS3.py --loco 4058 --day 2017-09-21</v>
      </c>
      <c r="AN151" s="151" t="str">
        <f t="shared" ref="AN151:AN152" si="110">"echo {""issue"":{""subject"":"""&amp;R151&amp;""",""project_id"":30,""tracker_id"":4,""status_id"":"&amp;redmine_status_wcr&amp;",""priority_id"":"&amp;redmine_priority_wcr&amp;",""assigned_to_id"":"&amp;redmine_assignee_wcr&amp;",""start_date"":"""&amp;TEXT(I151-utc_offset/24,"YYYY-mm-dd")&amp;""",""description"":"""&amp;AJ151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05:35:25"},{"id":29,"name":"Sharepoint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ref="AO151:AO152" si="111"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Message%20ID',Summary),filters:!(),index:'emp_*',interval:auto,query:"&amp;"(query_string:(analyze_wildcard:!t,query:'Message%5C+ID:(*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-09-21T22:18:23-0600',mode:absolute,to:'2017-09-22T00:35:25-0600'))&amp;_a=(columns:!('Message%20ID',Summary),filters:!(),index:'emp_*',interval:auto,query:(query_string:(analyze_wildcard:!t,query:'Message%5C+ID:(*)+AND+%22rtdc.l.rtdc.4058%22')),sort:!(Time.ISO8601,asc))</v>
      </c>
    </row>
    <row r="152" spans="1:91" s="20" customFormat="1" x14ac:dyDescent="0.25">
      <c r="A152" s="32" t="s">
        <v>826</v>
      </c>
      <c r="B152" s="7">
        <v>4057</v>
      </c>
      <c r="C152" s="21" t="s">
        <v>196</v>
      </c>
      <c r="D152" s="21" t="s">
        <v>382</v>
      </c>
      <c r="E152" s="13">
        <v>42999.971099537041</v>
      </c>
      <c r="F152" s="13">
        <v>42999.998171296298</v>
      </c>
      <c r="G152" s="7">
        <v>54</v>
      </c>
      <c r="H152" s="21" t="s">
        <v>553</v>
      </c>
      <c r="I152" s="13">
        <v>43000.025740740741</v>
      </c>
      <c r="J152" s="7">
        <v>0</v>
      </c>
      <c r="K152" s="89" t="str">
        <f t="shared" si="96"/>
        <v>4057/4058</v>
      </c>
      <c r="L152" s="185" t="str">
        <f>VLOOKUP(A152,'Trips&amp;Operators'!$C$1:$G$99911,5,FALSE)</f>
        <v>HART KEVIN</v>
      </c>
      <c r="M152" s="6">
        <f t="shared" si="97"/>
        <v>2.7569444442633539E-2</v>
      </c>
      <c r="N152" s="7">
        <f t="shared" si="79"/>
        <v>39.699999997392297</v>
      </c>
      <c r="O152" s="7"/>
      <c r="P152" s="7"/>
      <c r="Q152" s="22"/>
      <c r="R152" s="174"/>
      <c r="S152" s="221">
        <f t="shared" si="98"/>
        <v>1</v>
      </c>
      <c r="T152" s="174" t="str">
        <f t="shared" si="99"/>
        <v>Southbound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 t="shared" si="100"/>
        <v>https://d0f6bd738d7f1b3e5a7ca70fe4ff75f0.us-east-1.aws.found.io/app/kibana#/discover/Steve-Slow-Train-Analysis-(2080s-and-2083s)?_g=(refreshInterval:(display:Off,pause:!f,section:0,value:0),time:(from:'2017-09-21T22:18:23-0600',mode:absolute,to:'2017-09-22T01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52" s="204" t="str">
        <f>IF(AA152&lt;VLOOKUP(AG152,Variables!$AC$3:$AD$8,2,FALSE),"Y","N")</f>
        <v>N</v>
      </c>
      <c r="X152" s="204">
        <f t="shared" si="101"/>
        <v>1</v>
      </c>
      <c r="Y152" s="204">
        <f t="shared" ref="Y152" si="112">RIGHT(D152,LEN(D152)-4)/10000</f>
        <v>23.299399999999999</v>
      </c>
      <c r="Z152" s="204">
        <f t="shared" ref="Z152" si="113">RIGHT(H152,LEN(H152)-4)/10000</f>
        <v>1.32E-2</v>
      </c>
      <c r="AA152" s="204">
        <f t="shared" si="102"/>
        <v>23.286199999999997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 t="shared" si="103"/>
        <v>238</v>
      </c>
      <c r="AE152" s="77" t="str">
        <f t="shared" si="104"/>
        <v>aws s3 cp s3://rtdc.mdm.uploadarchive.raw/RTDC4057/ "%USERPROFILE%\AppData\Local\Temp\OnboardLogs"\RTDC4057\2017-09-21 --exclude "*" --recursive --include "*20170921*" &amp; "%USERPROFILE%\Documents\GitHub\mrs-test-scripts\Headless Mode &amp; Sideloading\WalkAndUnGZ.bat" "%USERPROFILE%\AppData\Local\Temp\OnboardLogs"\RTDC4057\2017-09-21 &amp; aws s3 cp s3://rtdc.mdm.uploadarchive.raw/RTDC4057/ "%USERPROFILE%\AppData\Local\Temp\OnboardLogs"\RTDC4057\2017-09-22 --exclude "*" --recursive --include "*20170922*" &amp; "%USERPROFILE%\Documents\GitHub\mrs-test-scripts\Headless Mode &amp; Sideloading\WalkAndUnGZ.bat" "%USERPROFILE%\AppData\Local\Temp\OnboardLogs"\RTDC4057\2017-09-22</v>
      </c>
      <c r="AF152" s="74" t="str">
        <f t="shared" si="105"/>
        <v>"C:\Program Files (x86)\AstroGrep\AstroGrep.exe" /e /r /s /spath="%USERPROFILE%\AppData\Local\Temp\OnboardLogs" /stypes="app*4057*20170922*" /stext=" 06:.+((SYSTEM_STATE.+slice.+state.+changed )|(ment ac)|(multiple cpu faults)|(system.+state.+changed )|(\[timeout)|(PRM\|1\|D)|(kpr)|(kdp)|(train st.+moving)|(\|lc)|(penalty))"</v>
      </c>
      <c r="AG152" s="182" t="str">
        <f t="shared" si="106"/>
        <v>EC</v>
      </c>
      <c r="AH152" s="78" t="str">
        <f t="shared" si="107"/>
        <v>"%USERPROFILE%\Documents\GitHub\eaglep3\Utilities\RefineRTDCRunTimes.py" --tripid 238-21 --locoid 4057 --swversion DE.1.0.9.0 --startMP 204:232994 --initTime 2017-09-21T23:18:23 --startdatetime 2017-09-21T23:57:22 --delay 54 --endMP 204:132 --enddatetime 2017-09-22T00:37:04 --enforcementcount 0 &gt;&gt;c:\users\stu\Documents\GitHub\eaglep3-reporting\EC\2017-09-21-refined-times.txt</v>
      </c>
      <c r="AI152" s="96" t="str">
        <f t="shared" si="108"/>
        <v>echo {"issue":{"subject":"","project_id":79,"tracker_id":40,"status_id":1,"priority_id":2,"assigned_to_id":338,"start_date":"2017-09-22","description":"","custom_fields":[{"id":1,"name":"Subdivision","value":"EC"},{"id":4,"name":"Milepost","value":"0.0132"},{"id":17,"name":"Train ID","value":"238-21"},{"id":16,"name":"Locomotive ID","value":"4057"},{"id":130,"name":"Impact","value":""},{"id":150,"name":"Time of Event (Mountain Time)","value":"00:37:04"},{"id":151,"name":"Denver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109"/>
        <v>start /low /b %USERPROFILE%\Documents\GitHub\eaglep3\Utilities\DownloadLogsFromS3.py --loco 4057 --day 2017-09-21</v>
      </c>
      <c r="AN152" s="151" t="str">
        <f t="shared" si="110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06:37:04"},{"id":29,"name":"Sharepoint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111"/>
        <v>https://d0f6bd738d7f1b3e5a7ca70fe4ff75f0.us-east-1.aws.found.io/app/kibana#/discover/Steve-Slow-Train-Analysis-(2080s-and-2083s)?_g=(refreshInterval:(display:Off,pause:!f,section:0,value:0),time:(from:'2017-09-21T22:18:23-0600',mode:absolute,to:'2017-09-22T01:37:04-0600'))&amp;_a=(columns:!('Message%20ID',Summary),filters:!(),index:'emp_*',interval:auto,query:(query_string:(analyze_wildcard:!t,query:'Message%5C+ID:(*)+AND+%22rtdc.l.rtdc.4057%22')),sort:!(Time.ISO8601,asc))</v>
      </c>
    </row>
    <row r="153" spans="1:91" s="20" customFormat="1" x14ac:dyDescent="0.25">
      <c r="A153" s="32" t="s">
        <v>822</v>
      </c>
      <c r="B153" s="7">
        <v>4030</v>
      </c>
      <c r="C153" s="21" t="s">
        <v>196</v>
      </c>
      <c r="D153" s="21" t="s">
        <v>399</v>
      </c>
      <c r="E153" s="13">
        <v>42999.966840277775</v>
      </c>
      <c r="F153" s="13">
        <v>42999.979513888888</v>
      </c>
      <c r="G153" s="7">
        <v>101</v>
      </c>
      <c r="H153" s="21" t="s">
        <v>477</v>
      </c>
      <c r="I153" s="13">
        <v>43000.00371527778</v>
      </c>
      <c r="J153" s="7">
        <v>0</v>
      </c>
      <c r="K153" s="89" t="str">
        <f t="shared" si="77"/>
        <v>4029/4030</v>
      </c>
      <c r="L153" s="185" t="str">
        <f>VLOOKUP(A153,'Trips&amp;Operators'!$C$1:$G$99911,5,FALSE)</f>
        <v>LOZA FIDEL</v>
      </c>
      <c r="M153" s="6">
        <f t="shared" si="78"/>
        <v>2.4201388892834075E-2</v>
      </c>
      <c r="N153" s="7">
        <f t="shared" si="79"/>
        <v>34.850000005681068</v>
      </c>
      <c r="O153" s="7"/>
      <c r="P153" s="7"/>
      <c r="Q153" s="22"/>
      <c r="R153" s="174"/>
      <c r="S153" s="221">
        <f t="shared" si="80"/>
        <v>1</v>
      </c>
      <c r="T153" s="174" t="str">
        <f t="shared" si="81"/>
        <v>NorthBound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 t="shared" si="82"/>
        <v>https://d0f6bd738d7f1b3e5a7ca70fe4ff75f0.us-east-1.aws.found.io/app/kibana#/discover/Steve-Slow-Train-Analysis-(2080s-and-2083s)?_g=(refreshInterval:(display:Off,pause:!f,section:0,value:0),time:(from:'2017-09-21T22:12:15-0600',mode:absolute,to:'2017-09-22T01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3" s="204" t="str">
        <f>IF(AA153&lt;VLOOKUP(AG153,Variables!$AC$3:$AD$8,2,FALSE),"Y","N")</f>
        <v>N</v>
      </c>
      <c r="X153" s="204">
        <f t="shared" si="101"/>
        <v>1</v>
      </c>
      <c r="Y153" s="204">
        <f t="shared" si="84"/>
        <v>4.5100000000000001E-2</v>
      </c>
      <c r="Z153" s="204">
        <f t="shared" si="85"/>
        <v>23.332100000000001</v>
      </c>
      <c r="AA153" s="204">
        <f t="shared" si="86"/>
        <v>23.286999999999999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 t="shared" si="87"/>
        <v>239</v>
      </c>
      <c r="AE153" s="77" t="str">
        <f t="shared" si="88"/>
        <v>aws s3 cp s3://rtdc.mdm.uploadarchive.raw/RTDC4030/ "%USERPROFILE%\AppData\Local\Temp\OnboardLogs"\RTDC4030\2017-09-21 --exclude "*" --recursive --include "*20170921*" &amp; "%USERPROFILE%\Documents\GitHub\mrs-test-scripts\Headless Mode &amp; Sideloading\WalkAndUnGZ.bat" "%USERPROFILE%\AppData\Local\Temp\OnboardLogs"\RTDC4030\2017-09-21 &amp; aws s3 cp s3://rtdc.mdm.uploadarchive.raw/RTDC4030/ "%USERPROFILE%\AppData\Local\Temp\OnboardLogs"\RTDC4030\2017-09-22 --exclude "*" --recursive --include "*20170922*" &amp; "%USERPROFILE%\Documents\GitHub\mrs-test-scripts\Headless Mode &amp; Sideloading\WalkAndUnGZ.bat" "%USERPROFILE%\AppData\Local\Temp\OnboardLogs"\RTDC4030\2017-09-22</v>
      </c>
      <c r="AF153" s="74" t="str">
        <f t="shared" si="89"/>
        <v>"C:\Program Files (x86)\AstroGrep\AstroGrep.exe" /e /r /s /spath="%USERPROFILE%\AppData\Local\Temp\OnboardLogs" /stypes="app*4030*20170922*" /stext=" 06:.+((SYSTEM_STATE.+slice.+state.+changed )|(ment ac)|(multiple cpu faults)|(system.+state.+changed )|(\[timeout)|(PRM\|1\|D)|(kpr)|(kdp)|(train st.+moving)|(\|lc)|(penalty))"</v>
      </c>
      <c r="AG153" s="182" t="str">
        <f t="shared" si="90"/>
        <v>EC</v>
      </c>
      <c r="AH153" s="78" t="str">
        <f t="shared" si="91"/>
        <v>"%USERPROFILE%\Documents\GitHub\eaglep3\Utilities\RefineRTDCRunTimes.py" --tripid 239-21 --locoid 4030 --swversion DE.1.0.9.0 --startMP 204:451 --initTime 2017-09-21T23:12:15 --startdatetime 2017-09-21T23:30:30 --delay 101 --endMP 204:233321 --enddatetime 2017-09-22T00:05:21 --enforcementcount 0 &gt;&gt;c:\users\stu\Documents\GitHub\eaglep3-reporting\EC\2017-09-21-refined-times.txt</v>
      </c>
      <c r="AI153" s="96" t="str">
        <f t="shared" si="92"/>
        <v>echo {"issue":{"subject":"","project_id":79,"tracker_id":40,"status_id":1,"priority_id":2,"assigned_to_id":338,"start_date":"2017-09-22","description":"","custom_fields":[{"id":1,"name":"Subdivision","value":"EC"},{"id":4,"name":"Milepost","value":"23.3321"},{"id":17,"name":"Train ID","value":"239-21"},{"id":16,"name":"Locomotive ID","value":"4030"},{"id":130,"name":"Impact","value":""},{"id":150,"name":"Time of Event (Mountain Time)","value":"00:05:21"},{"id":151,"name":"Denver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93"/>
        <v>start /low /b %USERPROFILE%\Documents\GitHub\eaglep3\Utilities\DownloadLogsFromS3.py --loco 4030 --day 2017-09-21</v>
      </c>
      <c r="AN153" s="151" t="str">
        <f t="shared" si="94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06:05:21"},{"id":29,"name":"Sharepoint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95"/>
        <v>https://d0f6bd738d7f1b3e5a7ca70fe4ff75f0.us-east-1.aws.found.io/app/kibana#/discover/Steve-Slow-Train-Analysis-(2080s-and-2083s)?_g=(refreshInterval:(display:Off,pause:!f,section:0,value:0),time:(from:'2017-09-21T22:12:15-0600',mode:absolute,to:'2017-09-22T01:05:21-0600'))&amp;_a=(columns:!('Message%20ID',Summary),filters:!(),index:'emp_*',interval:auto,query:(query_string:(analyze_wildcard:!t,query:'Message%5C+ID:(*)+AND+%22rtdc.l.rtdc.4030%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616</v>
      </c>
      <c r="B154" s="7">
        <v>4029</v>
      </c>
      <c r="C154" s="21" t="s">
        <v>196</v>
      </c>
      <c r="D154" s="21" t="s">
        <v>547</v>
      </c>
      <c r="E154" s="13">
        <v>43000.017500000002</v>
      </c>
      <c r="F154" s="13">
        <v>43000.01902777778</v>
      </c>
      <c r="G154" s="7">
        <v>65</v>
      </c>
      <c r="H154" s="21" t="s">
        <v>447</v>
      </c>
      <c r="I154" s="13">
        <v>43000.044571759259</v>
      </c>
      <c r="J154" s="7">
        <v>0</v>
      </c>
      <c r="K154" s="89" t="str">
        <f t="shared" si="77"/>
        <v>4029/4030</v>
      </c>
      <c r="L154" s="185" t="str">
        <f>VLOOKUP(A154,'Trips&amp;Operators'!$C$1:$G$99911,5,FALSE)</f>
        <v>LOZA FIDEL</v>
      </c>
      <c r="M154" s="6">
        <f t="shared" si="78"/>
        <v>2.5543981479131617E-2</v>
      </c>
      <c r="N154" s="7">
        <f t="shared" si="79"/>
        <v>36.783333329949528</v>
      </c>
      <c r="O154" s="7"/>
      <c r="P154" s="7"/>
      <c r="Q154" s="22"/>
      <c r="R154" s="174"/>
      <c r="S154" s="221">
        <f t="shared" si="80"/>
        <v>1</v>
      </c>
      <c r="T154" s="174" t="str">
        <f t="shared" si="81"/>
        <v>Southbound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 t="shared" si="82"/>
        <v>https://d0f6bd738d7f1b3e5a7ca70fe4ff75f0.us-east-1.aws.found.io/app/kibana#/discover/Steve-Slow-Train-Analysis-(2080s-and-2083s)?_g=(refreshInterval:(display:Off,pause:!f,section:0,value:0),time:(from:'2017-09-21T23:25:12-0600',mode:absolute,to:'2017-09-22T02:04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4" s="204" t="str">
        <f>IF(AA154&lt;VLOOKUP(AG154,Variables!$AC$3:$AD$8,2,FALSE),"Y","N")</f>
        <v>N</v>
      </c>
      <c r="X154" s="204">
        <f t="shared" si="83"/>
        <v>1</v>
      </c>
      <c r="Y154" s="204">
        <f t="shared" si="84"/>
        <v>23.3002</v>
      </c>
      <c r="Z154" s="204">
        <f t="shared" si="85"/>
        <v>1.2999999999999999E-2</v>
      </c>
      <c r="AA154" s="204">
        <f t="shared" si="86"/>
        <v>23.287199999999999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 t="shared" si="87"/>
        <v>240</v>
      </c>
      <c r="AE154" s="77" t="str">
        <f t="shared" si="88"/>
        <v>aws s3 cp s3://rtdc.mdm.uploadarchive.raw/RTDC4029/ "%USERPROFILE%\AppData\Local\Temp\OnboardLogs"\RTDC4029\2017-09-22 --exclude "*" --recursive --include "*20170922*" &amp; "%USERPROFILE%\Documents\GitHub\mrs-test-scripts\Headless Mode &amp; Sideloading\WalkAndUnGZ.bat" "%USERPROFILE%\AppData\Local\Temp\OnboardLogs"\RTDC4029\2017-09-22 &amp; aws s3 cp s3://rtdc.mdm.uploadarchive.raw/RTDC4029/ "%USERPROFILE%\AppData\Local\Temp\OnboardLogs"\RTDC4029\2017-09-23 --exclude "*" --recursive --include "*20170923*" &amp; "%USERPROFILE%\Documents\GitHub\mrs-test-scripts\Headless Mode &amp; Sideloading\WalkAndUnGZ.bat" "%USERPROFILE%\AppData\Local\Temp\OnboardLogs"\RTDC4029\2017-09-23</v>
      </c>
      <c r="AF154" s="74" t="str">
        <f t="shared" si="89"/>
        <v>"C:\Program Files (x86)\AstroGrep\AstroGrep.exe" /e /r /s /spath="%USERPROFILE%\AppData\Local\Temp\OnboardLogs" /stypes="app*4029*20170922*" /stext=" 07:.+((SYSTEM_STATE.+slice.+state.+changed )|(ment ac)|(multiple cpu faults)|(system.+state.+changed )|(\[timeout)|(PRM\|1\|D)|(kpr)|(kdp)|(train st.+moving)|(\|lc)|(penalty))"</v>
      </c>
      <c r="AG154" s="182" t="str">
        <f t="shared" si="90"/>
        <v>EC</v>
      </c>
      <c r="AH154" s="78" t="str">
        <f t="shared" si="91"/>
        <v>"%USERPROFILE%\Documents\GitHub\eaglep3\Utilities\RefineRTDCRunTimes.py" --tripid 240-21 --locoid 4029 --swversion DE.1.0.9.0 --startMP 204:233002 --initTime 2017-09-22T00:25:12 --startdatetime 2017-09-22T00:27:24 --delay 65 --endMP 204:130 --enddatetime 2017-09-22T01:04:11 --enforcementcount 0 &gt;&gt;c:\users\stu\Documents\GitHub\eaglep3-reporting\EC\2017-09-21-refined-times.txt</v>
      </c>
      <c r="AI154" s="96" t="str">
        <f t="shared" si="92"/>
        <v>echo {"issue":{"subject":"","project_id":79,"tracker_id":40,"status_id":1,"priority_id":2,"assigned_to_id":338,"start_date":"2017-09-22","description":"","custom_fields":[{"id":1,"name":"Subdivision","value":"EC"},{"id":4,"name":"Milepost","value":"0.013"},{"id":17,"name":"Train ID","value":"240-21"},{"id":16,"name":"Locomotive ID","value":"4029"},{"id":130,"name":"Impact","value":""},{"id":150,"name":"Time of Event (Mountain Time)","value":"01:04:11"},{"id":151,"name":"Denver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93"/>
        <v>start /low /b %USERPROFILE%\Documents\GitHub\eaglep3\Utilities\DownloadLogsFromS3.py --loco 4029 --day 2017-09-22</v>
      </c>
      <c r="AN154" s="151" t="str">
        <f t="shared" si="94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07:04:11"},{"id":29,"name":"Sharepoint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95"/>
        <v>https://d0f6bd738d7f1b3e5a7ca70fe4ff75f0.us-east-1.aws.found.io/app/kibana#/discover/Steve-Slow-Train-Analysis-(2080s-and-2083s)?_g=(refreshInterval:(display:Off,pause:!f,section:0,value:0),time:(from:'2017-09-21T23:25:12-0600',mode:absolute,to:'2017-09-22T02:04:11-0600'))&amp;_a=(columns:!('Message%20ID',Summary),filters:!(),index:'emp_*',interval:auto,query:(query_string:(analyze_wildcard:!t,query:'Message%5C+ID:(*)+AND+%22rtdc.l.rtdc.4029%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825</v>
      </c>
      <c r="B155" s="7">
        <v>4014</v>
      </c>
      <c r="C155" s="21" t="s">
        <v>196</v>
      </c>
      <c r="D155" s="21" t="s">
        <v>348</v>
      </c>
      <c r="E155" s="13">
        <v>42999.989074074074</v>
      </c>
      <c r="F155" s="13">
        <v>43000.000162037039</v>
      </c>
      <c r="G155" s="7">
        <v>60</v>
      </c>
      <c r="H155" s="21" t="s">
        <v>545</v>
      </c>
      <c r="I155" s="13">
        <v>43000.024004629631</v>
      </c>
      <c r="J155" s="7">
        <v>0</v>
      </c>
      <c r="K155" s="89" t="str">
        <f t="shared" si="77"/>
        <v>4013/4014</v>
      </c>
      <c r="L155" s="185" t="str">
        <f>VLOOKUP(A155,'Trips&amp;Operators'!$C$1:$G$99911,5,FALSE)</f>
        <v>ELBAUM MIKE</v>
      </c>
      <c r="M155" s="6">
        <f t="shared" si="78"/>
        <v>2.3842592592700385E-2</v>
      </c>
      <c r="N155" s="7">
        <f t="shared" si="79"/>
        <v>34.333333333488554</v>
      </c>
      <c r="O155" s="7"/>
      <c r="P155" s="7"/>
      <c r="Q155" s="22"/>
      <c r="R155" s="174"/>
      <c r="S155" s="221">
        <f t="shared" si="80"/>
        <v>1</v>
      </c>
      <c r="T155" s="174" t="str">
        <f t="shared" si="81"/>
        <v>NorthBound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 t="shared" si="82"/>
        <v>https://d0f6bd738d7f1b3e5a7ca70fe4ff75f0.us-east-1.aws.found.io/app/kibana#/discover/Steve-Slow-Train-Analysis-(2080s-and-2083s)?_g=(refreshInterval:(display:Off,pause:!f,section:0,value:0),time:(from:'2017-09-21T22:44:16-0600',mode:absolute,to:'2017-09-22T01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5" s="204" t="str">
        <f>IF(AA155&lt;VLOOKUP(AG155,Variables!$AC$3:$AD$8,2,FALSE),"Y","N")</f>
        <v>N</v>
      </c>
      <c r="X155" s="204">
        <f t="shared" si="83"/>
        <v>1</v>
      </c>
      <c r="Y155" s="204">
        <f t="shared" si="84"/>
        <v>4.5499999999999999E-2</v>
      </c>
      <c r="Z155" s="204">
        <f t="shared" si="85"/>
        <v>23.330500000000001</v>
      </c>
      <c r="AA155" s="204">
        <f t="shared" si="86"/>
        <v>23.285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 t="shared" si="87"/>
        <v>241</v>
      </c>
      <c r="AE155" s="77" t="str">
        <f t="shared" si="88"/>
        <v>aws s3 cp s3://rtdc.mdm.uploadarchive.raw/RTDC4014/ "%USERPROFILE%\AppData\Local\Temp\OnboardLogs"\RTDC4014\2017-09-22 --exclude "*" --recursive --include "*20170922*" &amp; "%USERPROFILE%\Documents\GitHub\mrs-test-scripts\Headless Mode &amp; Sideloading\WalkAndUnGZ.bat" "%USERPROFILE%\AppData\Local\Temp\OnboardLogs"\RTDC4014\2017-09-22 &amp; 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</v>
      </c>
      <c r="AF155" s="74" t="str">
        <f t="shared" si="89"/>
        <v>"C:\Program Files (x86)\AstroGrep\AstroGrep.exe" /e /r /s /spath="%USERPROFILE%\AppData\Local\Temp\OnboardLogs" /stypes="app*4014*20170922*" /stext=" 06:.+((SYSTEM_STATE.+slice.+state.+changed )|(ment ac)|(multiple cpu faults)|(system.+state.+changed )|(\[timeout)|(PRM\|1\|D)|(kpr)|(kdp)|(train st.+moving)|(\|lc)|(penalty))"</v>
      </c>
      <c r="AG155" s="182" t="str">
        <f t="shared" si="90"/>
        <v>EC</v>
      </c>
      <c r="AH155" s="78" t="str">
        <f t="shared" si="91"/>
        <v>"%USERPROFILE%\Documents\GitHub\eaglep3\Utilities\RefineRTDCRunTimes.py" --tripid 241-21 --locoid 4014 --swversion DE.1.0.9.0 --startMP 204:455 --initTime 2017-09-21T23:44:16 --startdatetime 2017-09-22T00:00:14 --delay 60 --endMP 204:233305 --enddatetime 2017-09-22T00:34:34 --enforcementcount 0 &gt;&gt;c:\users\stu\Documents\GitHub\eaglep3-reporting\EC\2017-09-21-refined-times.txt</v>
      </c>
      <c r="AI155" s="96" t="str">
        <f t="shared" si="92"/>
        <v>echo {"issue":{"subject":"","project_id":79,"tracker_id":40,"status_id":1,"priority_id":2,"assigned_to_id":338,"start_date":"2017-09-22","description":"","custom_fields":[{"id":1,"name":"Subdivision","value":"EC"},{"id":4,"name":"Milepost","value":"23.3305"},{"id":17,"name":"Train ID","value":"241-21"},{"id":16,"name":"Locomotive ID","value":"4014"},{"id":130,"name":"Impact","value":""},{"id":150,"name":"Time of Event (Mountain Time)","value":"00:34:34"},{"id":151,"name":"Denver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93"/>
        <v>start /low /b %USERPROFILE%\Documents\GitHub\eaglep3\Utilities\DownloadLogsFromS3.py --loco 4014 --day 2017-09-22</v>
      </c>
      <c r="AN155" s="151" t="str">
        <f t="shared" si="94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06:34:34"},{"id":29,"name":"Sharepoint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95"/>
        <v>https://d0f6bd738d7f1b3e5a7ca70fe4ff75f0.us-east-1.aws.found.io/app/kibana#/discover/Steve-Slow-Train-Analysis-(2080s-and-2083s)?_g=(refreshInterval:(display:Off,pause:!f,section:0,value:0),time:(from:'2017-09-21T22:44:16-0600',mode:absolute,to:'2017-09-22T01:34:34-0600'))&amp;_a=(columns:!('Message%20ID',Summary),filters:!(),index:'emp_*',interval:auto,query:(query_string:(analyze_wildcard:!t,query:'Message%5C+ID:(*)+AND+%22rtdc.l.rtdc.4014%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828</v>
      </c>
      <c r="B156" s="7">
        <v>4013</v>
      </c>
      <c r="C156" s="21" t="s">
        <v>196</v>
      </c>
      <c r="D156" s="21" t="s">
        <v>852</v>
      </c>
      <c r="E156" s="13">
        <v>43000.025324074071</v>
      </c>
      <c r="F156" s="13">
        <v>43000.039849537039</v>
      </c>
      <c r="G156" s="7">
        <v>70</v>
      </c>
      <c r="H156" s="21" t="s">
        <v>379</v>
      </c>
      <c r="I156" s="13">
        <v>43000.065358796295</v>
      </c>
      <c r="J156" s="7">
        <v>0</v>
      </c>
      <c r="K156" s="89" t="str">
        <f t="shared" si="77"/>
        <v>4013/4014</v>
      </c>
      <c r="L156" s="185" t="str">
        <f>VLOOKUP(A156,'Trips&amp;Operators'!$C$1:$G$99911,5,FALSE)</f>
        <v>ELBAUM MIKE</v>
      </c>
      <c r="M156" s="6">
        <f t="shared" si="78"/>
        <v>2.5509259256068617E-2</v>
      </c>
      <c r="N156" s="7">
        <f t="shared" si="79"/>
        <v>36.733333328738809</v>
      </c>
      <c r="O156" s="7"/>
      <c r="P156" s="7"/>
      <c r="Q156" s="22"/>
      <c r="R156" s="174"/>
      <c r="S156" s="221">
        <f t="shared" si="80"/>
        <v>1</v>
      </c>
      <c r="T156" s="174" t="str">
        <f t="shared" si="81"/>
        <v>Southbound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 t="shared" si="82"/>
        <v>https://d0f6bd738d7f1b3e5a7ca70fe4ff75f0.us-east-1.aws.found.io/app/kibana#/discover/Steve-Slow-Train-Analysis-(2080s-and-2083s)?_g=(refreshInterval:(display:Off,pause:!f,section:0,value:0),time:(from:'2017-09-21T23:36:28-0600',mode:absolute,to:'2017-09-22T02:34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6" s="204" t="str">
        <f>IF(AA156&lt;VLOOKUP(AG156,Variables!$AC$3:$AD$8,2,FALSE),"Y","N")</f>
        <v>N</v>
      </c>
      <c r="X156" s="204">
        <f t="shared" si="83"/>
        <v>1</v>
      </c>
      <c r="Y156" s="204">
        <f t="shared" si="84"/>
        <v>23.298999999999999</v>
      </c>
      <c r="Z156" s="204">
        <f t="shared" si="85"/>
        <v>1.6E-2</v>
      </c>
      <c r="AA156" s="204">
        <f t="shared" si="86"/>
        <v>23.283000000000001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 t="shared" si="87"/>
        <v>242</v>
      </c>
      <c r="AE156" s="77" t="str">
        <f t="shared" si="88"/>
        <v>aws s3 cp s3://rtdc.mdm.uploadarchive.raw/RTDC4013/ "%USERPROFILE%\AppData\Local\Temp\OnboardLogs"\RTDC4013\2017-09-22 --exclude "*" --recursive --include "*20170922*" &amp; "%USERPROFILE%\Documents\GitHub\mrs-test-scripts\Headless Mode &amp; Sideloading\WalkAndUnGZ.bat" "%USERPROFILE%\AppData\Local\Temp\OnboardLogs"\RTDC4013\2017-09-22 &amp; 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</v>
      </c>
      <c r="AF156" s="74" t="str">
        <f t="shared" si="89"/>
        <v>"C:\Program Files (x86)\AstroGrep\AstroGrep.exe" /e /r /s /spath="%USERPROFILE%\AppData\Local\Temp\OnboardLogs" /stypes="app*4013*20170922*" /stext=" 07:.+((SYSTEM_STATE.+slice.+state.+changed )|(ment ac)|(multiple cpu faults)|(system.+state.+changed )|(\[timeout)|(PRM\|1\|D)|(kpr)|(kdp)|(train st.+moving)|(\|lc)|(penalty))"</v>
      </c>
      <c r="AG156" s="182" t="str">
        <f t="shared" si="90"/>
        <v>EC</v>
      </c>
      <c r="AH156" s="78" t="str">
        <f t="shared" si="91"/>
        <v>"%USERPROFILE%\Documents\GitHub\eaglep3\Utilities\RefineRTDCRunTimes.py" --tripid 242-21 --locoid 4013 --swversion DE.1.0.9.0 --startMP 204:232990 --initTime 2017-09-22T00:36:28 --startdatetime 2017-09-22T00:57:23 --delay 70 --endMP 204:160 --enddatetime 2017-09-22T01:34:07 --enforcementcount 0 &gt;&gt;c:\users\stu\Documents\GitHub\eaglep3-reporting\EC\2017-09-21-refined-times.txt</v>
      </c>
      <c r="AI156" s="96" t="str">
        <f t="shared" si="92"/>
        <v>echo {"issue":{"subject":"","project_id":79,"tracker_id":40,"status_id":1,"priority_id":2,"assigned_to_id":338,"start_date":"2017-09-22","description":"","custom_fields":[{"id":1,"name":"Subdivision","value":"EC"},{"id":4,"name":"Milepost","value":"0.016"},{"id":17,"name":"Train ID","value":"242-21"},{"id":16,"name":"Locomotive ID","value":"4013"},{"id":130,"name":"Impact","value":""},{"id":150,"name":"Time of Event (Mountain Time)","value":"01:34:07"},{"id":151,"name":"Denver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93"/>
        <v>start /low /b %USERPROFILE%\Documents\GitHub\eaglep3\Utilities\DownloadLogsFromS3.py --loco 4013 --day 2017-09-22</v>
      </c>
      <c r="AN156" s="151" t="str">
        <f t="shared" si="94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07:34:07"},{"id":29,"name":"Sharepoint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95"/>
        <v>https://d0f6bd738d7f1b3e5a7ca70fe4ff75f0.us-east-1.aws.found.io/app/kibana#/discover/Steve-Slow-Train-Analysis-(2080s-and-2083s)?_g=(refreshInterval:(display:Off,pause:!f,section:0,value:0),time:(from:'2017-09-21T23:36:28-0600',mode:absolute,to:'2017-09-22T02:34:07-0600'))&amp;_a=(columns:!('Message%20ID',Summary),filters:!(),index:'emp_*',interval:auto,query:(query_string:(analyze_wildcard:!t,query:'Message%5C+ID:(*)+AND+%22rtdc.l.rtdc.4013%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827</v>
      </c>
      <c r="B157" s="7">
        <v>4010</v>
      </c>
      <c r="C157" s="21" t="s">
        <v>196</v>
      </c>
      <c r="D157" s="21" t="s">
        <v>880</v>
      </c>
      <c r="E157" s="13">
        <v>43000.006192129629</v>
      </c>
      <c r="F157" s="13">
        <v>43000.021087962959</v>
      </c>
      <c r="G157" s="7">
        <v>52</v>
      </c>
      <c r="H157" s="21" t="s">
        <v>462</v>
      </c>
      <c r="I157" s="13">
        <v>43000.045636574076</v>
      </c>
      <c r="J157" s="7">
        <v>0</v>
      </c>
      <c r="K157" s="89" t="str">
        <f t="shared" si="77"/>
        <v>4009/4010</v>
      </c>
      <c r="L157" s="185" t="str">
        <f>VLOOKUP(A157,'Trips&amp;Operators'!$C$1:$G$99911,5,FALSE)</f>
        <v>PERKINS DARREN</v>
      </c>
      <c r="M157" s="6">
        <f t="shared" si="78"/>
        <v>2.4548611116188113E-2</v>
      </c>
      <c r="N157" s="7">
        <f t="shared" si="79"/>
        <v>35.350000007310882</v>
      </c>
      <c r="O157" s="7"/>
      <c r="P157" s="7"/>
      <c r="Q157" s="22"/>
      <c r="R157" s="174"/>
      <c r="S157" s="221">
        <f t="shared" si="80"/>
        <v>1</v>
      </c>
      <c r="T157" s="174" t="str">
        <f t="shared" si="81"/>
        <v>NorthBound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 t="shared" si="82"/>
        <v>https://d0f6bd738d7f1b3e5a7ca70fe4ff75f0.us-east-1.aws.found.io/app/kibana#/discover/Steve-Slow-Train-Analysis-(2080s-and-2083s)?_g=(refreshInterval:(display:Off,pause:!f,section:0,value:0),time:(from:'2017-09-21T23:08:55-0600',mode:absolute,to:'2017-09-22T02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7" s="204" t="str">
        <f>IF(AA157&lt;VLOOKUP(AG157,Variables!$AC$3:$AD$8,2,FALSE),"Y","N")</f>
        <v>N</v>
      </c>
      <c r="X157" s="204">
        <f t="shared" si="83"/>
        <v>1</v>
      </c>
      <c r="Y157" s="204">
        <f t="shared" si="84"/>
        <v>4.1799999999999997E-2</v>
      </c>
      <c r="Z157" s="204">
        <f t="shared" si="85"/>
        <v>23.3306</v>
      </c>
      <c r="AA157" s="204">
        <f t="shared" si="86"/>
        <v>23.288800000000002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 t="shared" si="87"/>
        <v>243</v>
      </c>
      <c r="AE157" s="77" t="str">
        <f t="shared" si="88"/>
        <v>aws s3 cp s3://rtdc.mdm.uploadarchive.raw/RTDC4010/ "%USERPROFILE%\AppData\Local\Temp\OnboardLogs"\RTDC4010\2017-09-22 --exclude "*" --recursive --include "*20170922*" &amp; "%USERPROFILE%\Documents\GitHub\mrs-test-scripts\Headless Mode &amp; Sideloading\WalkAndUnGZ.bat" "%USERPROFILE%\AppData\Local\Temp\OnboardLogs"\RTDC4010\2017-09-22 &amp; aws s3 cp s3://rtdc.mdm.uploadarchive.raw/RTDC4010/ "%USERPROFILE%\AppData\Local\Temp\OnboardLogs"\RTDC4010\2017-09-23 --exclude "*" --recursive --include "*20170923*" &amp; "%USERPROFILE%\Documents\GitHub\mrs-test-scripts\Headless Mode &amp; Sideloading\WalkAndUnGZ.bat" "%USERPROFILE%\AppData\Local\Temp\OnboardLogs"\RTDC4010\2017-09-23</v>
      </c>
      <c r="AF157" s="74" t="str">
        <f t="shared" si="89"/>
        <v>"C:\Program Files (x86)\AstroGrep\AstroGrep.exe" /e /r /s /spath="%USERPROFILE%\AppData\Local\Temp\OnboardLogs" /stypes="app*4010*20170922*" /stext=" 07:.+((SYSTEM_STATE.+slice.+state.+changed )|(ment ac)|(multiple cpu faults)|(system.+state.+changed )|(\[timeout)|(PRM\|1\|D)|(kpr)|(kdp)|(train st.+moving)|(\|lc)|(penalty))"</v>
      </c>
      <c r="AG157" s="182" t="str">
        <f t="shared" si="90"/>
        <v>EC</v>
      </c>
      <c r="AH157" s="78" t="str">
        <f t="shared" si="91"/>
        <v>"%USERPROFILE%\Documents\GitHub\eaglep3\Utilities\RefineRTDCRunTimes.py" --tripid 243-21 --locoid 4010 --swversion DE.1.0.9.0 --startMP 204:418 --initTime 2017-09-22T00:08:55 --startdatetime 2017-09-22T00:30:22 --delay 52 --endMP 204:233306 --enddatetime 2017-09-22T01:05:43 --enforcementcount 0 &gt;&gt;c:\users\stu\Documents\GitHub\eaglep3-reporting\EC\2017-09-21-refined-times.txt</v>
      </c>
      <c r="AI157" s="96" t="str">
        <f t="shared" si="92"/>
        <v>echo {"issue":{"subject":"","project_id":79,"tracker_id":40,"status_id":1,"priority_id":2,"assigned_to_id":338,"start_date":"2017-09-22","description":"","custom_fields":[{"id":1,"name":"Subdivision","value":"EC"},{"id":4,"name":"Milepost","value":"23.3306"},{"id":17,"name":"Train ID","value":"243-21"},{"id":16,"name":"Locomotive ID","value":"4010"},{"id":130,"name":"Impact","value":""},{"id":150,"name":"Time of Event (Mountain Time)","value":"01:05:43"},{"id":151,"name":"Denver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93"/>
        <v>start /low /b %USERPROFILE%\Documents\GitHub\eaglep3\Utilities\DownloadLogsFromS3.py --loco 4010 --day 2017-09-22</v>
      </c>
      <c r="AN157" s="151" t="str">
        <f t="shared" si="94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07:05:43"},{"id":29,"name":"Sharepoint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95"/>
        <v>https://d0f6bd738d7f1b3e5a7ca70fe4ff75f0.us-east-1.aws.found.io/app/kibana#/discover/Steve-Slow-Train-Analysis-(2080s-and-2083s)?_g=(refreshInterval:(display:Off,pause:!f,section:0,value:0),time:(from:'2017-09-21T23:08:55-0600',mode:absolute,to:'2017-09-22T02:05:43-0600'))&amp;_a=(columns:!('Message%20ID',Summary),filters:!(),index:'emp_*',interval:auto,query:(query_string:(analyze_wildcard:!t,query:'Message%5C+ID:(*)+AND+%22rtdc.l.rtdc.4010%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617</v>
      </c>
      <c r="B158" s="7">
        <v>4009</v>
      </c>
      <c r="C158" s="21" t="s">
        <v>196</v>
      </c>
      <c r="D158" s="21" t="s">
        <v>382</v>
      </c>
      <c r="E158" s="13">
        <v>43000.055300925924</v>
      </c>
      <c r="F158" s="13">
        <v>43000.060891203706</v>
      </c>
      <c r="G158" s="7">
        <v>58</v>
      </c>
      <c r="H158" s="21" t="s">
        <v>881</v>
      </c>
      <c r="I158" s="13">
        <v>43000.087546296294</v>
      </c>
      <c r="J158" s="7">
        <v>0</v>
      </c>
      <c r="K158" s="89" t="str">
        <f t="shared" si="77"/>
        <v>4009/4010</v>
      </c>
      <c r="L158" s="185" t="str">
        <f>VLOOKUP(A158,'Trips&amp;Operators'!$C$1:$G$99911,5,FALSE)</f>
        <v>PERKINS DARREN</v>
      </c>
      <c r="M158" s="6">
        <f t="shared" si="78"/>
        <v>2.6655092588043772E-2</v>
      </c>
      <c r="N158" s="7">
        <f t="shared" si="79"/>
        <v>38.383333326783031</v>
      </c>
      <c r="O158" s="7"/>
      <c r="P158" s="7"/>
      <c r="Q158" s="22"/>
      <c r="R158" s="174"/>
      <c r="S158" s="221">
        <f t="shared" si="80"/>
        <v>1</v>
      </c>
      <c r="T158" s="174" t="str">
        <f t="shared" si="81"/>
        <v>Southbound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16" t="str">
        <f t="shared" si="82"/>
        <v>https://d0f6bd738d7f1b3e5a7ca70fe4ff75f0.us-east-1.aws.found.io/app/kibana#/discover/Steve-Slow-Train-Analysis-(2080s-and-2083s)?_g=(refreshInterval:(display:Off,pause:!f,section:0,value:0),time:(from:'2017-09-22T00:19:38-0600',mode:absolute,to:'2017-09-22T03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8" s="204" t="str">
        <f>IF(AA158&lt;VLOOKUP(AG158,Variables!$AC$3:$AD$8,2,FALSE),"Y","N")</f>
        <v>N</v>
      </c>
      <c r="X158" s="204">
        <f t="shared" si="83"/>
        <v>1</v>
      </c>
      <c r="Y158" s="204">
        <f t="shared" si="84"/>
        <v>23.299399999999999</v>
      </c>
      <c r="Z158" s="204">
        <f t="shared" si="85"/>
        <v>7.7000000000000002E-3</v>
      </c>
      <c r="AA158" s="204">
        <f t="shared" si="86"/>
        <v>23.291699999999999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 t="shared" si="87"/>
        <v>244</v>
      </c>
      <c r="AE158" s="77" t="str">
        <f t="shared" si="88"/>
        <v>aws s3 cp s3://rtdc.mdm.uploadarchive.raw/RTDC4009/ "%USERPROFILE%\AppData\Local\Temp\OnboardLogs"\RTDC4009\2017-09-22 --exclude "*" --recursive --include "*20170922*" &amp; "%USERPROFILE%\Documents\GitHub\mrs-test-scripts\Headless Mode &amp; Sideloading\WalkAndUnGZ.bat" "%USERPROFILE%\AppData\Local\Temp\OnboardLogs"\RTDC4009\2017-09-22 &amp; aws s3 cp s3://rtdc.mdm.uploadarchive.raw/RTDC4009/ "%USERPROFILE%\AppData\Local\Temp\OnboardLogs"\RTDC4009\2017-09-23 --exclude "*" --recursive --include "*20170923*" &amp; "%USERPROFILE%\Documents\GitHub\mrs-test-scripts\Headless Mode &amp; Sideloading\WalkAndUnGZ.bat" "%USERPROFILE%\AppData\Local\Temp\OnboardLogs"\RTDC4009\2017-09-23</v>
      </c>
      <c r="AF158" s="74" t="str">
        <f t="shared" si="89"/>
        <v>"C:\Program Files (x86)\AstroGrep\AstroGrep.exe" /e /r /s /spath="%USERPROFILE%\AppData\Local\Temp\OnboardLogs" /stypes="app*4009*20170922*" /stext=" 08:.+((SYSTEM_STATE.+slice.+state.+changed )|(ment ac)|(multiple cpu faults)|(system.+state.+changed )|(\[timeout)|(PRM\|1\|D)|(kpr)|(kdp)|(train st.+moving)|(\|lc)|(penalty))"</v>
      </c>
      <c r="AG158" s="182" t="str">
        <f t="shared" si="90"/>
        <v>EC</v>
      </c>
      <c r="AH158" s="78" t="str">
        <f t="shared" si="91"/>
        <v>"%USERPROFILE%\Documents\GitHub\eaglep3\Utilities\RefineRTDCRunTimes.py" --tripid 244-21 --locoid 4009 --swversion DE.1.0.9.0 --startMP 204:232994 --initTime 2017-09-22T01:19:38 --startdatetime 2017-09-22T01:27:41 --delay 58 --endMP 204:77 --enddatetime 2017-09-22T02:06:04 --enforcementcount 0 &gt;&gt;c:\users\stu\Documents\GitHub\eaglep3-reporting\EC\2017-09-21-refined-times.txt</v>
      </c>
      <c r="AI158" s="96" t="str">
        <f t="shared" si="92"/>
        <v>echo {"issue":{"subject":"","project_id":79,"tracker_id":40,"status_id":1,"priority_id":2,"assigned_to_id":338,"start_date":"2017-09-22","description":"","custom_fields":[{"id":1,"name":"Subdivision","value":"EC"},{"id":4,"name":"Milepost","value":"0.0077"},{"id":17,"name":"Train ID","value":"244-21"},{"id":16,"name":"Locomotive ID","value":"4009"},{"id":130,"name":"Impact","value":""},{"id":150,"name":"Time of Event (Mountain Time)","value":"02:06:04"},{"id":151,"name":"Denver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93"/>
        <v>start /low /b %USERPROFILE%\Documents\GitHub\eaglep3\Utilities\DownloadLogsFromS3.py --loco 4009 --day 2017-09-22</v>
      </c>
      <c r="AN158" s="151" t="str">
        <f t="shared" si="94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08:06:04"},{"id":29,"name":"Sharepoint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95"/>
        <v>https://d0f6bd738d7f1b3e5a7ca70fe4ff75f0.us-east-1.aws.found.io/app/kibana#/discover/Steve-Slow-Train-Analysis-(2080s-and-2083s)?_g=(refreshInterval:(display:Off,pause:!f,section:0,value:0),time:(from:'2017-09-22T00:19:38-0600',mode:absolute,to:'2017-09-22T03:06:04-0600'))&amp;_a=(columns:!('Message%20ID',Summary),filters:!(),index:'emp_*',interval:auto,query:(query_string:(analyze_wildcard:!t,query:'Message%5C+ID:(*)+AND+%22rtdc.l.rtdc.4009%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641</v>
      </c>
      <c r="B159" s="7">
        <v>4053</v>
      </c>
      <c r="C159" s="21" t="s">
        <v>196</v>
      </c>
      <c r="D159" s="21" t="s">
        <v>914</v>
      </c>
      <c r="E159" s="13">
        <v>42999.214525462965</v>
      </c>
      <c r="F159" s="13">
        <v>42999.215949074074</v>
      </c>
      <c r="G159" s="7">
        <v>69</v>
      </c>
      <c r="H159" s="21" t="s">
        <v>915</v>
      </c>
      <c r="I159" s="13">
        <v>42999.226180555554</v>
      </c>
      <c r="J159" s="7">
        <v>0</v>
      </c>
      <c r="K159" s="89" t="str">
        <f t="shared" si="77"/>
        <v>4053/4054</v>
      </c>
      <c r="L159" s="185" t="str">
        <f>VLOOKUP(A159,'Trips&amp;Operators'!$C$1:$G$99911,5,FALSE)</f>
        <v>DAVIS WENDY</v>
      </c>
      <c r="M159" s="6">
        <f t="shared" si="78"/>
        <v>1.0231481479422655E-2</v>
      </c>
      <c r="N159" s="7">
        <f t="shared" si="79"/>
        <v>14.733333330368623</v>
      </c>
      <c r="O159" s="7"/>
      <c r="P159" s="7"/>
      <c r="Q159" s="22"/>
      <c r="R159" s="174"/>
      <c r="S159" s="221">
        <f t="shared" si="80"/>
        <v>1</v>
      </c>
      <c r="T159" s="174" t="str">
        <f t="shared" si="81"/>
        <v>Southbound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6" t="str">
        <f t="shared" si="82"/>
        <v>https://d0f6bd738d7f1b3e5a7ca70fe4ff75f0.us-east-1.aws.found.io/app/kibana#/discover/Steve-Slow-Train-Analysis-(2080s-and-2083s)?_g=(refreshInterval:(display:Off,pause:!f,section:0,value:0),time:(from:'2017-09-21T04:08:55-0600',mode:absolute,to:'2017-09-21T06:25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9" s="204" t="str">
        <f>IF(AA159&lt;VLOOKUP(AG159,Variables!$AC$3:$AD$8,2,FALSE),"Y","N")</f>
        <v>N</v>
      </c>
      <c r="X159" s="204">
        <f t="shared" si="83"/>
        <v>556</v>
      </c>
      <c r="Y159" s="204">
        <f t="shared" si="84"/>
        <v>5.8708999999999998</v>
      </c>
      <c r="Z159" s="204">
        <f t="shared" si="85"/>
        <v>6.4500000000000002E-2</v>
      </c>
      <c r="AA159" s="204">
        <f t="shared" si="86"/>
        <v>5.8064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 t="shared" si="87"/>
        <v>800</v>
      </c>
      <c r="AE159" s="77" t="str">
        <f t="shared" si="88"/>
        <v>aws s3 cp s3://rtdc.mdm.uploadarchive.raw/RTDC4053/ "%USERPROFILE%\AppData\Local\Temp\OnboardLogs"\RTDC4053\2017-09-21 --exclude "*" --recursive --include "*20170921*" &amp; "%USERPROFILE%\Documents\GitHub\mrs-test-scripts\Headless Mode &amp; Sideloading\WalkAndUnGZ.bat" "%USERPROFILE%\AppData\Local\Temp\OnboardLogs"\RTDC4053\2017-09-21 &amp; aws s3 cp s3://rtdc.mdm.uploadarchive.raw/RTDC4053/ "%USERPROFILE%\AppData\Local\Temp\OnboardLogs"\RTDC4053\2017-09-22 --exclude "*" --recursive --include "*20170922*" &amp; "%USERPROFILE%\Documents\GitHub\mrs-test-scripts\Headless Mode &amp; Sideloading\WalkAndUnGZ.bat" "%USERPROFILE%\AppData\Local\Temp\OnboardLogs"\RTDC4053\2017-09-22</v>
      </c>
      <c r="AF159" s="74" t="str">
        <f t="shared" si="89"/>
        <v>"C:\Program Files (x86)\AstroGrep\AstroGrep.exe" /e /r /s /spath="%USERPROFILE%\AppData\Local\Temp\OnboardLogs" /stypes="app*4053*20170921*" /stext=" 11:.+((SYSTEM_STATE.+slice.+state.+changed )|(ment ac)|(multiple cpu faults)|(system.+state.+changed )|(\[timeout)|(PRM\|1\|D)|(kpr)|(kdp)|(train st.+moving)|(\|lc)|(penalty))"</v>
      </c>
      <c r="AG159" s="182" t="str">
        <f t="shared" si="90"/>
        <v>NW</v>
      </c>
      <c r="AH159" s="78" t="str">
        <f t="shared" si="91"/>
        <v>"%USERPROFILE%\Documents\GitHub\eaglep3\Utilities\RefineRTDCRunTimes.py" --tripid 800-21 --locoid 4053 --swversion DE.1.0.9.0 --startMP 300:58709 --initTime 2017-09-21T05:08:55 --startdatetime 2017-09-21T05:10:58 --delay 69 --endMP 204:645 --enddatetime 2017-09-21T05:25:42 --enforcementcount 0 &gt;&gt;c:\users\stu\Documents\GitHub\eaglep3-reporting\EC\2017-09-21-refined-times.txt</v>
      </c>
      <c r="AI159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{"issue":{"subject":"","project_id":79,"tracker_id":40,"status_id":1,"priority_id":2,"assigned_to_id":338,"start_date":"2017-09-21","description":"","custom_fields":[{"id":1,"name":"Subdivision","value":"NW"},{"id":4,"name":"Milepost","value":"0.0645"},{"id":17,"name":"Train ID","value":"800-21"},{"id":16,"name":"Locomotive ID","value":"4053"},{"id":130,"name":"Impact","value":""},{"id":150,"name":"Time of Event (Mountain Time)","value":"05:25:42"},{"id":151,"name":"Denver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93"/>
        <v>start /low /b %USERPROFILE%\Documents\GitHub\eaglep3\Utilities\DownloadLogsFromS3.py --loco 4053 --day 2017-09-21</v>
      </c>
      <c r="AN159" s="151" t="str">
        <f t="shared" si="94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11:25:42"},{"id":29,"name":"Sharepoint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95"/>
        <v>https://d0f6bd738d7f1b3e5a7ca70fe4ff75f0.us-east-1.aws.found.io/app/kibana#/discover/Steve-Slow-Train-Analysis-(2080s-and-2083s)?_g=(refreshInterval:(display:Off,pause:!f,section:0,value:0),time:(from:'2017-09-21T04:08:55-0600',mode:absolute,to:'2017-09-21T06:25:42-0600'))&amp;_a=(columns:!('Message%20ID',Summary),filters:!(),index:'emp_*',interval:auto,query:(query_string:(analyze_wildcard:!t,query:'Message%5C+ID:(*)+AND+%22rtdc.l.rtdc.4053%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582</v>
      </c>
      <c r="B160" s="7">
        <v>4054</v>
      </c>
      <c r="C160" s="21" t="s">
        <v>196</v>
      </c>
      <c r="D160" s="21" t="s">
        <v>914</v>
      </c>
      <c r="E160" s="13">
        <v>42999.214525462965</v>
      </c>
      <c r="F160" s="13">
        <v>42999.235902777778</v>
      </c>
      <c r="G160" s="7">
        <v>69</v>
      </c>
      <c r="H160" s="21" t="s">
        <v>915</v>
      </c>
      <c r="I160" s="13">
        <v>42999.245844907404</v>
      </c>
      <c r="J160" s="7">
        <v>0</v>
      </c>
      <c r="K160" s="89" t="str">
        <f t="shared" ref="K160" si="114">IF(ISEVEN(B160),(B160-1)&amp;"/"&amp;B160,B160&amp;"/"&amp;(B160+1))</f>
        <v>4053/4054</v>
      </c>
      <c r="L160" s="185" t="str">
        <f>VLOOKUP(A160,'Trips&amp;Operators'!$C$1:$G$99911,5,FALSE)</f>
        <v>DAVIS WENDY</v>
      </c>
      <c r="M160" s="6">
        <f t="shared" ref="M160" si="115">I160-F160</f>
        <v>9.9421296254149638E-3</v>
      </c>
      <c r="N160" s="7">
        <f t="shared" si="79"/>
        <v>14.316666660597548</v>
      </c>
      <c r="O160" s="7"/>
      <c r="P160" s="7"/>
      <c r="Q160" s="22"/>
      <c r="R160" s="174"/>
      <c r="S160" s="221">
        <f t="shared" ref="S160" si="116">1/IF(AG160="EC",12,1)*SUM(U160:U160)</f>
        <v>1</v>
      </c>
      <c r="T160" s="174" t="str">
        <f t="shared" ref="T160" si="117">IF(ISEVEN(LEFT(AD160,4)),"Southbound","NorthBound")</f>
        <v>NorthBound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 t="shared" ref="V160" si="118"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-09-21T04:08:55-0600',mode:absolute,to:'2017-09-21T06:54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0" s="204" t="str">
        <f>IF(AA160&lt;VLOOKUP(AG160,Variables!$AC$3:$AD$8,2,FALSE),"Y","N")</f>
        <v>N</v>
      </c>
      <c r="X160" s="204">
        <f t="shared" ref="X160:X161" si="119">VALUE(LEFT(AD160,4))-VALUE(LEFT(AD159,4))</f>
        <v>1</v>
      </c>
      <c r="Y160" s="204">
        <v>0.1002</v>
      </c>
      <c r="Z160" s="204">
        <v>5.8960999999999997</v>
      </c>
      <c r="AA160" s="204">
        <f t="shared" ref="AA160" si="120">ABS(Z160-Y160)</f>
        <v>5.7958999999999996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 t="shared" ref="AD160" si="121">VALUE(LEFT(A160,LEN(A160)-3))</f>
        <v>801</v>
      </c>
      <c r="AE160" s="77" t="str">
        <f t="shared" ref="AE160" si="122"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s3://rtdc.mdm.uploadarchive.raw/RTDC4054/ "%USERPROFILE%\AppData\Local\Temp\OnboardLogs"\RTDC4054\2017-09-21 --exclude "*" --recursive --include "*20170921*" &amp; "%USERPROFILE%\Documents\GitHub\mrs-test-scripts\Headless Mode &amp; Sideloading\WalkAndUnGZ.bat" "%USERPROFILE%\AppData\Local\Temp\OnboardLogs"\RTDC4054\2017-09-21 &amp; aws s3 cp s3://rtdc.mdm.uploadarchive.raw/RTDC4054/ "%USERPROFILE%\AppData\Local\Temp\OnboardLogs"\RTDC4054\2017-09-22 --exclude "*" --recursive --include "*20170922*" &amp; "%USERPROFILE%\Documents\GitHub\mrs-test-scripts\Headless Mode &amp; Sideloading\WalkAndUnGZ.bat" "%USERPROFILE%\AppData\Local\Temp\OnboardLogs"\RTDC4054\2017-09-22</v>
      </c>
      <c r="AF160" s="74" t="str">
        <f t="shared" ref="AF160" si="123"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/stypes="app*4054*20170921*" /stext=" 11:.+((SYSTEM_STATE.+slice.+state.+changed )|(ment ac)|(multiple cpu faults)|(system.+state.+changed )|(\[timeout)|(PRM\|1\|D)|(kpr)|(kdp)|(train st.+moving)|(\|lc)|(penalty))"</v>
      </c>
      <c r="AG160" s="182" t="str">
        <f t="shared" ref="AG160" si="124">DetSubdiv(A160)</f>
        <v>NW</v>
      </c>
      <c r="AH160" s="78" t="str">
        <f t="shared" ref="AH160" si="125">refinertdcruntimes&amp;" --tripid "&amp;A160&amp;" --locoid "&amp;B160&amp;" --swversion "&amp;C160&amp;" --startMP "&amp;D160&amp;" --initTime "&amp;TEXT(E160,"yyyy-mm-ddTHH:MM:SS")&amp;" --startdatetime "&amp;TEXT(F160,"yyyy-mm-ddTHH:MM:SS")&amp;" --delay "&amp;G160&amp;" --endMP "&amp;H160&amp;" --enddatetime "&amp;TEXT(I160,"yyyy-mm-ddTHH:MM:SS")&amp;" --enforcementcount "&amp;J160&amp;IF(outputrefinedruntimes," &gt;&gt;"&amp;RefinedRTDCRunTimesOutputFile,"")</f>
        <v>"%USERPROFILE%\Documents\GitHub\eaglep3\Utilities\RefineRTDCRunTimes.py" --tripid 801-21 --locoid 4054 --swversion DE.1.0.9.0 --startMP 300:58709 --initTime 2017-09-21T05:08:55 --startdatetime 2017-09-21T05:39:42 --delay 69 --endMP 204:645 --enddatetime 2017-09-21T05:54:01 --enforcementcount 0 &gt;&gt;c:\users\stu\Documents\GitHub\eaglep3-reporting\EC\2017-09-21-refined-times.txt</v>
      </c>
      <c r="AI160" s="96" t="str">
        <f t="shared" ref="AI160" si="126">"echo {""issue"":{""subject"":"""&amp;R160&amp;""",""project_id"":79,""tracker_id"":40,""status_id"":"&amp;redmine_status&amp;",""priority_id"":"&amp;redmine_priority&amp;",""assigned_to_id"":"&amp;redmine_assignee&amp;",""start_date"":"""&amp;TEXT(I160,"YYYY-mm-dd")&amp;""",""description"":"""&amp;AJ160&amp;""",""custom_fields"":[{""id"":1,""name"":""Subdivision"",""value"":"""&amp;AG160&amp;"""},{""id"":4,""name"":""Milepost"",""value"":"""&amp;Z160&amp;"""},{""id"":17,""name"":""Train ID"",""value"":"""&amp;A160&amp;"""},{""id"":16,""name"":""Locomotive ID"",""value"":"""&amp;B160&amp;"""},{""id"":130,""name"":""Impact"",""value"":"""&amp;AK160&amp;"""},{""id"":150,""name"":""Time of Event (Mountain Time)"",""value"":"""&amp;TEXT(I160,"hh:mm:ss")&amp;"""},{""id"":151,""name"":""Denver Issue ID"",""value"":"""&amp;"""},{""id"":178,""name"":""Operational Impact"",""value"":"""&amp;redmine_op_impact&amp;"""},{""id"":179,""name"":""Denver Segment Assigned"",""value"":"""&amp;AL160&amp;"""}]}}"&amp;"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{"issue":{"subject":"","project_id":79,"tracker_id":40,"status_id":1,"priority_id":2,"assigned_to_id":338,"start_date":"2017-09-21","description":"","custom_fields":[{"id":1,"name":"Subdivision","value":"NW"},{"id":4,"name":"Milepost","value":"5.8961"},{"id":17,"name":"Train ID","value":"801-21"},{"id":16,"name":"Locomotive ID","value":"4054"},{"id":130,"name":"Impact","value":""},{"id":150,"name":"Time of Event (Mountain Time)","value":"05:54:01"},{"id":151,"name":"Denver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ref="AM160" si="127">"start /low /b "&amp;dls3logs&amp;" --loco "&amp;B160&amp;" --day "&amp;TEXT(F160,"YYYY-MM-DD")</f>
        <v>start /low /b %USERPROFILE%\Documents\GitHub\eaglep3\Utilities\DownloadLogsFromS3.py --loco 4054 --day 2017-09-21</v>
      </c>
      <c r="AN160" s="151" t="str">
        <f t="shared" ref="AN160" si="128">"echo {""issue"":{""subject"":"""&amp;R160&amp;""",""project_id"":30,""tracker_id"":4,""status_id"":"&amp;redmine_status_wcr&amp;",""priority_id"":"&amp;redmine_priority_wcr&amp;",""assigned_to_id"":"&amp;redmine_assignee_wcr&amp;",""start_date"":"""&amp;TEXT(I160-utc_offset/24,"YYYY-mm-dd")&amp;""",""description"":"""&amp;AJ160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11:54:01"},{"id":29,"name":"Sharepoint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ref="AO160" si="129"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Message%20ID',Summary),filters:!(),index:'emp_*',interval:auto,query:"&amp;"(query_string:(analyze_wildcard:!t,query:'Message%5C+ID:(*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-09-21T04:08:55-0600',mode:absolute,to:'2017-09-21T06:54:01-0600'))&amp;_a=(columns:!('Message%20ID',Summary),filters:!(),index:'emp_*',interval:auto,query:(query_string:(analyze_wildcard:!t,query:'Message%5C+ID:(*)+AND+%22rtdc.l.rtdc.4054%22')),sort:!(Time.ISO8601,asc))</v>
      </c>
    </row>
    <row r="161" spans="1:91" s="20" customFormat="1" x14ac:dyDescent="0.25">
      <c r="A161" s="32" t="s">
        <v>586</v>
      </c>
      <c r="B161" s="7">
        <v>4053</v>
      </c>
      <c r="C161" s="21" t="s">
        <v>196</v>
      </c>
      <c r="D161" s="21" t="s">
        <v>916</v>
      </c>
      <c r="E161" s="13">
        <v>42999.247245370374</v>
      </c>
      <c r="F161" s="13">
        <v>42999.252384259256</v>
      </c>
      <c r="G161" s="7">
        <v>52</v>
      </c>
      <c r="H161" s="21" t="s">
        <v>917</v>
      </c>
      <c r="I161" s="13">
        <v>42999.267870370371</v>
      </c>
      <c r="J161" s="7">
        <v>0</v>
      </c>
      <c r="K161" s="89" t="str">
        <f t="shared" si="77"/>
        <v>4053/4054</v>
      </c>
      <c r="L161" s="185" t="str">
        <f>VLOOKUP(A161,'Trips&amp;Operators'!$C$1:$G$99911,5,FALSE)</f>
        <v>DAVIS WENDY</v>
      </c>
      <c r="M161" s="6">
        <f t="shared" si="78"/>
        <v>1.5486111115023959E-2</v>
      </c>
      <c r="N161" s="7">
        <f t="shared" si="79"/>
        <v>22.300000005634502</v>
      </c>
      <c r="O161" s="7"/>
      <c r="P161" s="7"/>
      <c r="Q161" s="22"/>
      <c r="R161" s="174"/>
      <c r="S161" s="221">
        <f t="shared" si="80"/>
        <v>1</v>
      </c>
      <c r="T161" s="174" t="str">
        <f t="shared" si="81"/>
        <v>Southbound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 t="shared" si="82"/>
        <v>https://d0f6bd738d7f1b3e5a7ca70fe4ff75f0.us-east-1.aws.found.io/app/kibana#/discover/Steve-Slow-Train-Analysis-(2080s-and-2083s)?_g=(refreshInterval:(display:Off,pause:!f,section:0,value:0),time:(from:'2017-09-21T04:56:02-0600',mode:absolute,to:'2017-09-21T07:25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1" s="204" t="str">
        <f>IF(AA161&lt;VLOOKUP(AG161,Variables!$AC$3:$AD$8,2,FALSE),"Y","N")</f>
        <v>N</v>
      </c>
      <c r="X161" s="204">
        <f t="shared" si="119"/>
        <v>1</v>
      </c>
      <c r="Y161" s="204">
        <f t="shared" si="84"/>
        <v>5.8704000000000001</v>
      </c>
      <c r="Z161" s="204">
        <f t="shared" si="85"/>
        <v>6.4299999999999996E-2</v>
      </c>
      <c r="AA161" s="204">
        <f t="shared" si="86"/>
        <v>5.8060999999999998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 t="shared" si="87"/>
        <v>802</v>
      </c>
      <c r="AE161" s="77" t="str">
        <f t="shared" si="88"/>
        <v>aws s3 cp s3://rtdc.mdm.uploadarchive.raw/RTDC4053/ "%USERPROFILE%\AppData\Local\Temp\OnboardLogs"\RTDC4053\2017-09-21 --exclude "*" --recursive --include "*20170921*" &amp; "%USERPROFILE%\Documents\GitHub\mrs-test-scripts\Headless Mode &amp; Sideloading\WalkAndUnGZ.bat" "%USERPROFILE%\AppData\Local\Temp\OnboardLogs"\RTDC4053\2017-09-21 &amp; aws s3 cp s3://rtdc.mdm.uploadarchive.raw/RTDC4053/ "%USERPROFILE%\AppData\Local\Temp\OnboardLogs"\RTDC4053\2017-09-22 --exclude "*" --recursive --include "*20170922*" &amp; "%USERPROFILE%\Documents\GitHub\mrs-test-scripts\Headless Mode &amp; Sideloading\WalkAndUnGZ.bat" "%USERPROFILE%\AppData\Local\Temp\OnboardLogs"\RTDC4053\2017-09-22</v>
      </c>
      <c r="AF161" s="74" t="str">
        <f t="shared" si="89"/>
        <v>"C:\Program Files (x86)\AstroGrep\AstroGrep.exe" /e /r /s /spath="%USERPROFILE%\AppData\Local\Temp\OnboardLogs" /stypes="app*4053*20170921*" /stext=" 12:.+((SYSTEM_STATE.+slice.+state.+changed )|(ment ac)|(multiple cpu faults)|(system.+state.+changed )|(\[timeout)|(PRM\|1\|D)|(kpr)|(kdp)|(train st.+moving)|(\|lc)|(penalty))"</v>
      </c>
      <c r="AG161" s="182" t="str">
        <f t="shared" si="90"/>
        <v>NW</v>
      </c>
      <c r="AH161" s="78" t="str">
        <f t="shared" si="91"/>
        <v>"%USERPROFILE%\Documents\GitHub\eaglep3\Utilities\RefineRTDCRunTimes.py" --tripid 802-21 --locoid 4053 --swversion DE.1.0.9.0 --startMP 300:58704 --initTime 2017-09-21T05:56:02 --startdatetime 2017-09-21T06:03:26 --delay 52 --endMP 204:643 --enddatetime 2017-09-21T06:25:44 --enforcementcount 0 &gt;&gt;c:\users\stu\Documents\GitHub\eaglep3-reporting\EC\2017-09-21-refined-times.txt</v>
      </c>
      <c r="AI161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{"issue":{"subject":"","project_id":79,"tracker_id":40,"status_id":1,"priority_id":2,"assigned_to_id":338,"start_date":"2017-09-21","description":"","custom_fields":[{"id":1,"name":"Subdivision","value":"NW"},{"id":4,"name":"Milepost","value":"0.0643"},{"id":17,"name":"Train ID","value":"802-21"},{"id":16,"name":"Locomotive ID","value":"4053"},{"id":130,"name":"Impact","value":""},{"id":150,"name":"Time of Event (Mountain Time)","value":"06:25:44"},{"id":151,"name":"Denver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93"/>
        <v>start /low /b %USERPROFILE%\Documents\GitHub\eaglep3\Utilities\DownloadLogsFromS3.py --loco 4053 --day 2017-09-21</v>
      </c>
      <c r="AN161" s="151" t="str">
        <f t="shared" si="94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12:25:44"},{"id":29,"name":"Sharepoint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95"/>
        <v>https://d0f6bd738d7f1b3e5a7ca70fe4ff75f0.us-east-1.aws.found.io/app/kibana#/discover/Steve-Slow-Train-Analysis-(2080s-and-2083s)?_g=(refreshInterval:(display:Off,pause:!f,section:0,value:0),time:(from:'2017-09-21T04:56:02-0600',mode:absolute,to:'2017-09-21T07:25:44-0600'))&amp;_a=(columns:!('Message%20ID',Summary),filters:!(),index:'emp_*',interval:auto,query:(query_string:(analyze_wildcard:!t,query:'Message%5C+ID:(*)+AND+%22rtdc.l.rtdc.4053%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648</v>
      </c>
      <c r="B162" s="7">
        <v>4032</v>
      </c>
      <c r="C162" s="21" t="s">
        <v>196</v>
      </c>
      <c r="D162" s="21" t="s">
        <v>474</v>
      </c>
      <c r="E162" s="13">
        <v>42999.24900462963</v>
      </c>
      <c r="F162" s="13">
        <v>42999.256423611114</v>
      </c>
      <c r="G162" s="7">
        <v>63</v>
      </c>
      <c r="H162" s="21" t="s">
        <v>918</v>
      </c>
      <c r="I162" s="13">
        <v>42999.266747685186</v>
      </c>
      <c r="J162" s="7">
        <v>0</v>
      </c>
      <c r="K162" s="89" t="str">
        <f t="shared" si="77"/>
        <v>4031/4032</v>
      </c>
      <c r="L162" s="185" t="str">
        <f>VLOOKUP(A162,'Trips&amp;Operators'!$C$1:$G$99911,5,FALSE)</f>
        <v>FORTUNATO FRANK</v>
      </c>
      <c r="M162" s="6">
        <f t="shared" si="78"/>
        <v>1.0324074071832001E-2</v>
      </c>
      <c r="N162" s="7">
        <f t="shared" si="79"/>
        <v>14.866666663438082</v>
      </c>
      <c r="O162" s="7"/>
      <c r="P162" s="7"/>
      <c r="Q162" s="22"/>
      <c r="R162" s="174"/>
      <c r="S162" s="221">
        <f t="shared" si="80"/>
        <v>1</v>
      </c>
      <c r="T162" s="174" t="str">
        <f t="shared" si="81"/>
        <v>NorthBound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 t="shared" si="82"/>
        <v>https://d0f6bd738d7f1b3e5a7ca70fe4ff75f0.us-east-1.aws.found.io/app/kibana#/discover/Steve-Slow-Train-Analysis-(2080s-and-2083s)?_g=(refreshInterval:(display:Off,pause:!f,section:0,value:0),time:(from:'2017-09-21T04:58:34-0600',mode:absolute,to:'2017-09-21T07:24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2" s="204" t="str">
        <f>IF(AA162&lt;VLOOKUP(AG162,Variables!$AC$3:$AD$8,2,FALSE),"Y","N")</f>
        <v>N</v>
      </c>
      <c r="X162" s="204">
        <f t="shared" si="83"/>
        <v>1</v>
      </c>
      <c r="Y162" s="204">
        <f t="shared" si="84"/>
        <v>0.1002</v>
      </c>
      <c r="Z162" s="204">
        <f t="shared" si="85"/>
        <v>5.8960999999999997</v>
      </c>
      <c r="AA162" s="204">
        <f t="shared" si="86"/>
        <v>5.7958999999999996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 t="shared" si="87"/>
        <v>803</v>
      </c>
      <c r="AE162" s="77" t="str">
        <f t="shared" si="88"/>
        <v>aws s3 cp s3://rtdc.mdm.uploadarchive.raw/RTDC4032/ "%USERPROFILE%\AppData\Local\Temp\OnboardLogs"\RTDC4032\2017-09-21 --exclude "*" --recursive --include "*20170921*" &amp; "%USERPROFILE%\Documents\GitHub\mrs-test-scripts\Headless Mode &amp; Sideloading\WalkAndUnGZ.bat" "%USERPROFILE%\AppData\Local\Temp\OnboardLogs"\RTDC4032\2017-09-21 &amp; aws s3 cp s3://rtdc.mdm.uploadarchive.raw/RTDC4032/ "%USERPROFILE%\AppData\Local\Temp\OnboardLogs"\RTDC4032\2017-09-22 --exclude "*" --recursive --include "*20170922*" &amp; "%USERPROFILE%\Documents\GitHub\mrs-test-scripts\Headless Mode &amp; Sideloading\WalkAndUnGZ.bat" "%USERPROFILE%\AppData\Local\Temp\OnboardLogs"\RTDC4032\2017-09-22</v>
      </c>
      <c r="AF162" s="74" t="str">
        <f t="shared" si="89"/>
        <v>"C:\Program Files (x86)\AstroGrep\AstroGrep.exe" /e /r /s /spath="%USERPROFILE%\AppData\Local\Temp\OnboardLogs" /stypes="app*4032*20170921*" /stext=" 12:.+((SYSTEM_STATE.+slice.+state.+changed )|(ment ac)|(multiple cpu faults)|(system.+state.+changed )|(\[timeout)|(PRM\|1\|D)|(kpr)|(kdp)|(train st.+moving)|(\|lc)|(penalty))"</v>
      </c>
      <c r="AG162" s="182" t="str">
        <f t="shared" si="90"/>
        <v>NW</v>
      </c>
      <c r="AH162" s="78" t="str">
        <f t="shared" si="91"/>
        <v>"%USERPROFILE%\Documents\GitHub\eaglep3\Utilities\RefineRTDCRunTimes.py" --tripid 803-21 --locoid 4032 --swversion DE.1.0.9.0 --startMP 204:1002 --initTime 2017-09-21T05:58:34 --startdatetime 2017-09-21T06:09:15 --delay 63 --endMP 300:58961 --enddatetime 2017-09-21T06:24:07 --enforcementcount 0 &gt;&gt;c:\users\stu\Documents\GitHub\eaglep3-reporting\EC\2017-09-21-refined-times.txt</v>
      </c>
      <c r="AI162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{"issue":{"subject":"","project_id":79,"tracker_id":40,"status_id":1,"priority_id":2,"assigned_to_id":338,"start_date":"2017-09-21","description":"","custom_fields":[{"id":1,"name":"Subdivision","value":"NW"},{"id":4,"name":"Milepost","value":"5.8961"},{"id":17,"name":"Train ID","value":"803-21"},{"id":16,"name":"Locomotive ID","value":"4032"},{"id":130,"name":"Impact","value":""},{"id":150,"name":"Time of Event (Mountain Time)","value":"06:24:07"},{"id":151,"name":"Denver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93"/>
        <v>start /low /b %USERPROFILE%\Documents\GitHub\eaglep3\Utilities\DownloadLogsFromS3.py --loco 4032 --day 2017-09-21</v>
      </c>
      <c r="AN162" s="151" t="str">
        <f t="shared" si="94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12:24:07"},{"id":29,"name":"Sharepoint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95"/>
        <v>https://d0f6bd738d7f1b3e5a7ca70fe4ff75f0.us-east-1.aws.found.io/app/kibana#/discover/Steve-Slow-Train-Analysis-(2080s-and-2083s)?_g=(refreshInterval:(display:Off,pause:!f,section:0,value:0),time:(from:'2017-09-21T04:58:34-0600',mode:absolute,to:'2017-09-21T07:24:07-0600'))&amp;_a=(columns:!('Message%20ID',Summary),filters:!(),index:'emp_*',interval:auto,query:(query_string:(analyze_wildcard:!t,query:'Message%5C+ID:(*)+AND+%22rtdc.l.rtdc.4032%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651</v>
      </c>
      <c r="B163" s="7">
        <v>4031</v>
      </c>
      <c r="C163" s="21" t="s">
        <v>196</v>
      </c>
      <c r="D163" s="21" t="s">
        <v>919</v>
      </c>
      <c r="E163" s="13">
        <v>42999.268333333333</v>
      </c>
      <c r="F163" s="13">
        <v>42999.272627314815</v>
      </c>
      <c r="G163" s="7">
        <v>79</v>
      </c>
      <c r="H163" s="21" t="s">
        <v>499</v>
      </c>
      <c r="I163" s="13">
        <v>42999.288171296299</v>
      </c>
      <c r="J163" s="7">
        <v>0</v>
      </c>
      <c r="K163" s="89" t="str">
        <f t="shared" si="77"/>
        <v>4031/4032</v>
      </c>
      <c r="L163" s="185" t="str">
        <f>VLOOKUP(A163,'Trips&amp;Operators'!$C$1:$G$99911,5,FALSE)</f>
        <v>FORTUNATO FRANK</v>
      </c>
      <c r="M163" s="6">
        <f t="shared" si="78"/>
        <v>1.5543981484370306E-2</v>
      </c>
      <c r="N163" s="7">
        <f t="shared" si="79"/>
        <v>22.383333337493241</v>
      </c>
      <c r="O163" s="7"/>
      <c r="P163" s="7"/>
      <c r="Q163" s="22"/>
      <c r="R163" s="174"/>
      <c r="S163" s="221">
        <f t="shared" si="80"/>
        <v>1</v>
      </c>
      <c r="T163" s="174" t="str">
        <f t="shared" si="81"/>
        <v>Southbound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 t="shared" si="82"/>
        <v>https://d0f6bd738d7f1b3e5a7ca70fe4ff75f0.us-east-1.aws.found.io/app/kibana#/discover/Steve-Slow-Train-Analysis-(2080s-and-2083s)?_g=(refreshInterval:(display:Off,pause:!f,section:0,value:0),time:(from:'2017-09-21T05:26:24-0600',mode:absolute,to:'2017-09-21T07:54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3" s="204" t="str">
        <f>IF(AA163&lt;VLOOKUP(AG163,Variables!$AC$3:$AD$8,2,FALSE),"Y","N")</f>
        <v>N</v>
      </c>
      <c r="X163" s="204">
        <f t="shared" si="83"/>
        <v>1</v>
      </c>
      <c r="Y163" s="204">
        <f t="shared" si="84"/>
        <v>5.8644999999999996</v>
      </c>
      <c r="Z163" s="204">
        <f t="shared" si="85"/>
        <v>6.8900000000000003E-2</v>
      </c>
      <c r="AA163" s="204">
        <f t="shared" si="86"/>
        <v>5.7955999999999994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 t="shared" si="87"/>
        <v>804</v>
      </c>
      <c r="AE163" s="77" t="str">
        <f t="shared" si="88"/>
        <v>aws s3 cp s3://rtdc.mdm.uploadarchive.raw/RTDC4031/ "%USERPROFILE%\AppData\Local\Temp\OnboardLogs"\RTDC4031\2017-09-21 --exclude "*" --recursive --include "*20170921*" &amp; "%USERPROFILE%\Documents\GitHub\mrs-test-scripts\Headless Mode &amp; Sideloading\WalkAndUnGZ.bat" "%USERPROFILE%\AppData\Local\Temp\OnboardLogs"\RTDC4031\2017-09-21 &amp; aws s3 cp s3://rtdc.mdm.uploadarchive.raw/RTDC4031/ "%USERPROFILE%\AppData\Local\Temp\OnboardLogs"\RTDC4031\2017-09-22 --exclude "*" --recursive --include "*20170922*" &amp; "%USERPROFILE%\Documents\GitHub\mrs-test-scripts\Headless Mode &amp; Sideloading\WalkAndUnGZ.bat" "%USERPROFILE%\AppData\Local\Temp\OnboardLogs"\RTDC4031\2017-09-22</v>
      </c>
      <c r="AF163" s="74" t="str">
        <f t="shared" si="89"/>
        <v>"C:\Program Files (x86)\AstroGrep\AstroGrep.exe" /e /r /s /spath="%USERPROFILE%\AppData\Local\Temp\OnboardLogs" /stypes="app*4031*20170921*" /stext=" 12:.+((SYSTEM_STATE.+slice.+state.+changed )|(ment ac)|(multiple cpu faults)|(system.+state.+changed )|(\[timeout)|(PRM\|1\|D)|(kpr)|(kdp)|(train st.+moving)|(\|lc)|(penalty))"</v>
      </c>
      <c r="AG163" s="182" t="str">
        <f t="shared" si="90"/>
        <v>NW</v>
      </c>
      <c r="AH163" s="78" t="str">
        <f t="shared" si="91"/>
        <v>"%USERPROFILE%\Documents\GitHub\eaglep3\Utilities\RefineRTDCRunTimes.py" --tripid 804-21 --locoid 4031 --swversion DE.1.0.9.0 --startMP 300:58645 --initTime 2017-09-21T06:26:24 --startdatetime 2017-09-21T06:32:35 --delay 79 --endMP 204:689 --enddatetime 2017-09-21T06:54:58 --enforcementcount 0 &gt;&gt;c:\users\stu\Documents\GitHub\eaglep3-reporting\EC\2017-09-21-refined-times.txt</v>
      </c>
      <c r="AI163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{"issue":{"subject":"","project_id":79,"tracker_id":40,"status_id":1,"priority_id":2,"assigned_to_id":338,"start_date":"2017-09-21","description":"","custom_fields":[{"id":1,"name":"Subdivision","value":"NW"},{"id":4,"name":"Milepost","value":"0.0689"},{"id":17,"name":"Train ID","value":"804-21"},{"id":16,"name":"Locomotive ID","value":"4031"},{"id":130,"name":"Impact","value":""},{"id":150,"name":"Time of Event (Mountain Time)","value":"06:54:58"},{"id":151,"name":"Denver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93"/>
        <v>start /low /b %USERPROFILE%\Documents\GitHub\eaglep3\Utilities\DownloadLogsFromS3.py --loco 4031 --day 2017-09-21</v>
      </c>
      <c r="AN163" s="151" t="str">
        <f t="shared" si="94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12:54:58"},{"id":29,"name":"Sharepoint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95"/>
        <v>https://d0f6bd738d7f1b3e5a7ca70fe4ff75f0.us-east-1.aws.found.io/app/kibana#/discover/Steve-Slow-Train-Analysis-(2080s-and-2083s)?_g=(refreshInterval:(display:Off,pause:!f,section:0,value:0),time:(from:'2017-09-21T05:26:24-0600',mode:absolute,to:'2017-09-21T07:54:58-0600'))&amp;_a=(columns:!('Message%20ID',Summary),filters:!(),index:'emp_*',interval:auto,query:(query_string:(analyze_wildcard:!t,query:'Message%5C+ID:(*)+AND+%22rtdc.l.rtdc.4031%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589</v>
      </c>
      <c r="B164" s="7">
        <v>4054</v>
      </c>
      <c r="C164" s="21" t="s">
        <v>196</v>
      </c>
      <c r="D164" s="21" t="s">
        <v>919</v>
      </c>
      <c r="E164" s="13">
        <v>42999.268333333333</v>
      </c>
      <c r="F164" s="13">
        <v>42999.277314814812</v>
      </c>
      <c r="G164" s="7">
        <v>79</v>
      </c>
      <c r="H164" s="21" t="s">
        <v>499</v>
      </c>
      <c r="I164" s="13">
        <v>42999.287893518522</v>
      </c>
      <c r="J164" s="7">
        <v>0</v>
      </c>
      <c r="K164" s="89" t="str">
        <f t="shared" ref="K164" si="130">IF(ISEVEN(B164),(B164-1)&amp;"/"&amp;B164,B164&amp;"/"&amp;(B164+1))</f>
        <v>4053/4054</v>
      </c>
      <c r="L164" s="185" t="str">
        <f>VLOOKUP(A164,'Trips&amp;Operators'!$C$1:$G$99911,5,FALSE)</f>
        <v>DAVIS WENDY</v>
      </c>
      <c r="M164" s="6">
        <f t="shared" ref="M164" si="131">I164-F164</f>
        <v>1.057870371005265E-2</v>
      </c>
      <c r="N164" s="7">
        <f t="shared" si="79"/>
        <v>15.233333342475817</v>
      </c>
      <c r="O164" s="7"/>
      <c r="P164" s="7"/>
      <c r="Q164" s="22"/>
      <c r="R164" s="174"/>
      <c r="S164" s="221">
        <f t="shared" ref="S164" si="132">1/IF(AG164="EC",12,1)*SUM(U164:U164)</f>
        <v>1</v>
      </c>
      <c r="T164" s="174" t="str">
        <f t="shared" ref="T164" si="133">IF(ISEVEN(LEFT(AD164,4)),"Southbound","NorthBound")</f>
        <v>NorthBound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 t="shared" ref="V164" si="134"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-09-21T05:26:24-0600',mode:absolute,to:'2017-09-21T07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4" s="204" t="str">
        <f>IF(AA164&lt;VLOOKUP(AG164,Variables!$AC$3:$AD$8,2,FALSE),"Y","N")</f>
        <v>N</v>
      </c>
      <c r="X164" s="204">
        <f t="shared" ref="X164:X165" si="135">VALUE(LEFT(AD164,4))-VALUE(LEFT(AD163,4))</f>
        <v>1</v>
      </c>
      <c r="Y164" s="204">
        <v>0.1002</v>
      </c>
      <c r="Z164" s="204">
        <v>5.8960999999999997</v>
      </c>
      <c r="AA164" s="204">
        <f t="shared" ref="AA164" si="136">ABS(Z164-Y164)</f>
        <v>5.7958999999999996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 t="shared" ref="AD164" si="137">VALUE(LEFT(A164,LEN(A164)-3))</f>
        <v>805</v>
      </c>
      <c r="AE164" s="77" t="str">
        <f t="shared" ref="AE164" si="138"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s3://rtdc.mdm.uploadarchive.raw/RTDC4054/ "%USERPROFILE%\AppData\Local\Temp\OnboardLogs"\RTDC4054\2017-09-21 --exclude "*" --recursive --include "*20170921*" &amp; "%USERPROFILE%\Documents\GitHub\mrs-test-scripts\Headless Mode &amp; Sideloading\WalkAndUnGZ.bat" "%USERPROFILE%\AppData\Local\Temp\OnboardLogs"\RTDC4054\2017-09-21 &amp; aws s3 cp s3://rtdc.mdm.uploadarchive.raw/RTDC4054/ "%USERPROFILE%\AppData\Local\Temp\OnboardLogs"\RTDC4054\2017-09-22 --exclude "*" --recursive --include "*20170922*" &amp; "%USERPROFILE%\Documents\GitHub\mrs-test-scripts\Headless Mode &amp; Sideloading\WalkAndUnGZ.bat" "%USERPROFILE%\AppData\Local\Temp\OnboardLogs"\RTDC4054\2017-09-22</v>
      </c>
      <c r="AF164" s="74" t="str">
        <f t="shared" ref="AF164" si="139"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/stypes="app*4054*20170921*" /stext=" 12:.+((SYSTEM_STATE.+slice.+state.+changed )|(ment ac)|(multiple cpu faults)|(system.+state.+changed )|(\[timeout)|(PRM\|1\|D)|(kpr)|(kdp)|(train st.+moving)|(\|lc)|(penalty))"</v>
      </c>
      <c r="AG164" s="182" t="str">
        <f t="shared" ref="AG164" si="140">DetSubdiv(A164)</f>
        <v>NW</v>
      </c>
      <c r="AH164" s="78" t="str">
        <f t="shared" ref="AH164" si="141">refinertdcruntimes&amp;" --tripid "&amp;A164&amp;" --locoid "&amp;B164&amp;" --swversion "&amp;C164&amp;" --startMP "&amp;D164&amp;" --initTime "&amp;TEXT(E164,"yyyy-mm-ddTHH:MM:SS")&amp;" --startdatetime "&amp;TEXT(F164,"yyyy-mm-ddTHH:MM:SS")&amp;" --delay "&amp;G164&amp;" --endMP "&amp;H164&amp;" --enddatetime "&amp;TEXT(I164,"yyyy-mm-ddTHH:MM:SS")&amp;" --enforcementcount "&amp;J164&amp;IF(outputrefinedruntimes," &gt;&gt;"&amp;RefinedRTDCRunTimesOutputFile,"")</f>
        <v>"%USERPROFILE%\Documents\GitHub\eaglep3\Utilities\RefineRTDCRunTimes.py" --tripid 805-21 --locoid 4054 --swversion DE.1.0.9.0 --startMP 300:58645 --initTime 2017-09-21T06:26:24 --startdatetime 2017-09-21T06:39:20 --delay 79 --endMP 204:689 --enddatetime 2017-09-21T06:54:34 --enforcementcount 0 &gt;&gt;c:\users\stu\Documents\GitHub\eaglep3-reporting\EC\2017-09-21-refined-times.txt</v>
      </c>
      <c r="AI164" s="96" t="str">
        <f t="shared" ref="AI164" si="142">"echo {""issue"":{""subject"":"""&amp;R164&amp;""",""project_id"":79,""tracker_id"":40,""status_id"":"&amp;redmine_status&amp;",""priority_id"":"&amp;redmine_priority&amp;",""assigned_to_id"":"&amp;redmine_assignee&amp;",""start_date"":"""&amp;TEXT(I164,"YYYY-mm-dd")&amp;""",""description"":"""&amp;AJ164&amp;""",""custom_fields"":[{""id"":1,""name"":""Subdivision"",""value"":"""&amp;AG164&amp;"""},{""id"":4,""name"":""Milepost"",""value"":"""&amp;Z164&amp;"""},{""id"":17,""name"":""Train ID"",""value"":"""&amp;A164&amp;"""},{""id"":16,""name"":""Locomotive ID"",""value"":"""&amp;B164&amp;"""},{""id"":130,""name"":""Impact"",""value"":"""&amp;AK164&amp;"""},{""id"":150,""name"":""Time of Event (Mountain Time)"",""value"":"""&amp;TEXT(I164,"hh:mm:ss")&amp;"""},{""id"":151,""name"":""Denver Issue ID"",""value"":"""&amp;"""},{""id"":178,""name"":""Operational Impact"",""value"":"""&amp;redmine_op_impact&amp;"""},{""id"":179,""name"":""Denver Segment Assigned"",""value"":"""&amp;AL164&amp;"""}]}}"&amp;"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{"issue":{"subject":"","project_id":79,"tracker_id":40,"status_id":1,"priority_id":2,"assigned_to_id":338,"start_date":"2017-09-21","description":"","custom_fields":[{"id":1,"name":"Subdivision","value":"NW"},{"id":4,"name":"Milepost","value":"5.8961"},{"id":17,"name":"Train ID","value":"805-21"},{"id":16,"name":"Locomotive ID","value":"4054"},{"id":130,"name":"Impact","value":""},{"id":150,"name":"Time of Event (Mountain Time)","value":"06:54:34"},{"id":151,"name":"Denver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ref="AM164" si="143">"start /low /b "&amp;dls3logs&amp;" --loco "&amp;B164&amp;" --day "&amp;TEXT(F164,"YYYY-MM-DD")</f>
        <v>start /low /b %USERPROFILE%\Documents\GitHub\eaglep3\Utilities\DownloadLogsFromS3.py --loco 4054 --day 2017-09-21</v>
      </c>
      <c r="AN164" s="151" t="str">
        <f t="shared" ref="AN164" si="144">"echo {""issue"":{""subject"":"""&amp;R164&amp;""",""project_id"":30,""tracker_id"":4,""status_id"":"&amp;redmine_status_wcr&amp;",""priority_id"":"&amp;redmine_priority_wcr&amp;",""assigned_to_id"":"&amp;redmine_assignee_wcr&amp;",""start_date"":"""&amp;TEXT(I164-utc_offset/24,"YYYY-mm-dd")&amp;""",""description"":"""&amp;AJ164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12:54:34"},{"id":29,"name":"Sharepoint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ref="AO164" si="145"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Message%20ID',Summary),filters:!(),index:'emp_*',interval:auto,query:"&amp;"(query_string:(analyze_wildcard:!t,query:'Message%5C+ID:(*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-09-21T05:26:24-0600',mode:absolute,to:'2017-09-21T07:54:34-0600'))&amp;_a=(columns:!('Message%20ID',Summary),filters:!(),index:'emp_*',interval:auto,query:(query_string:(analyze_wildcard:!t,query:'Message%5C+ID:(*)+AND+%22rtdc.l.rtdc.4054%22')),sort:!(Time.ISO8601,asc))</v>
      </c>
    </row>
    <row r="165" spans="1:91" s="20" customFormat="1" x14ac:dyDescent="0.25">
      <c r="A165" s="32" t="s">
        <v>657</v>
      </c>
      <c r="B165" s="7">
        <v>4053</v>
      </c>
      <c r="C165" s="21" t="s">
        <v>196</v>
      </c>
      <c r="D165" s="21" t="s">
        <v>920</v>
      </c>
      <c r="E165" s="13">
        <v>42999.289131944446</v>
      </c>
      <c r="F165" s="13">
        <v>42999.300937499997</v>
      </c>
      <c r="G165" s="7">
        <v>58</v>
      </c>
      <c r="H165" s="21" t="s">
        <v>921</v>
      </c>
      <c r="I165" s="13">
        <v>42999.309374999997</v>
      </c>
      <c r="J165" s="7">
        <v>0</v>
      </c>
      <c r="K165" s="89" t="str">
        <f t="shared" si="77"/>
        <v>4053/4054</v>
      </c>
      <c r="L165" s="185" t="str">
        <f>VLOOKUP(A165,'Trips&amp;Operators'!$C$1:$G$99911,5,FALSE)</f>
        <v>DAVIS WENDY</v>
      </c>
      <c r="M165" s="6">
        <f t="shared" si="78"/>
        <v>8.4375000005820766E-3</v>
      </c>
      <c r="N165" s="7">
        <f t="shared" si="79"/>
        <v>12.15000000083819</v>
      </c>
      <c r="O165" s="7"/>
      <c r="P165" s="7"/>
      <c r="Q165" s="22"/>
      <c r="R165" s="174"/>
      <c r="S165" s="221">
        <f t="shared" si="80"/>
        <v>1</v>
      </c>
      <c r="T165" s="174" t="str">
        <f t="shared" si="81"/>
        <v>Southbound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 t="shared" si="82"/>
        <v>https://d0f6bd738d7f1b3e5a7ca70fe4ff75f0.us-east-1.aws.found.io/app/kibana#/discover/Steve-Slow-Train-Analysis-(2080s-and-2083s)?_g=(refreshInterval:(display:Off,pause:!f,section:0,value:0),time:(from:'2017-09-21T05:56:21-0600',mode:absolute,to:'2017-09-21T08:25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5" s="204" t="str">
        <f>IF(AA165&lt;VLOOKUP(AG165,Variables!$AC$3:$AD$8,2,FALSE),"Y","N")</f>
        <v>N</v>
      </c>
      <c r="X165" s="204">
        <f t="shared" si="135"/>
        <v>1</v>
      </c>
      <c r="Y165" s="204">
        <f t="shared" si="84"/>
        <v>5.8701999999999996</v>
      </c>
      <c r="Z165" s="204">
        <f t="shared" si="85"/>
        <v>6.5600000000000006E-2</v>
      </c>
      <c r="AA165" s="204">
        <f t="shared" si="86"/>
        <v>5.8045999999999998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 t="shared" si="87"/>
        <v>806</v>
      </c>
      <c r="AE165" s="77" t="str">
        <f t="shared" si="88"/>
        <v>aws s3 cp s3://rtdc.mdm.uploadarchive.raw/RTDC4053/ "%USERPROFILE%\AppData\Local\Temp\OnboardLogs"\RTDC4053\2017-09-21 --exclude "*" --recursive --include "*20170921*" &amp; "%USERPROFILE%\Documents\GitHub\mrs-test-scripts\Headless Mode &amp; Sideloading\WalkAndUnGZ.bat" "%USERPROFILE%\AppData\Local\Temp\OnboardLogs"\RTDC4053\2017-09-21 &amp; aws s3 cp s3://rtdc.mdm.uploadarchive.raw/RTDC4053/ "%USERPROFILE%\AppData\Local\Temp\OnboardLogs"\RTDC4053\2017-09-22 --exclude "*" --recursive --include "*20170922*" &amp; "%USERPROFILE%\Documents\GitHub\mrs-test-scripts\Headless Mode &amp; Sideloading\WalkAndUnGZ.bat" "%USERPROFILE%\AppData\Local\Temp\OnboardLogs"\RTDC4053\2017-09-22</v>
      </c>
      <c r="AF165" s="74" t="str">
        <f t="shared" si="89"/>
        <v>"C:\Program Files (x86)\AstroGrep\AstroGrep.exe" /e /r /s /spath="%USERPROFILE%\AppData\Local\Temp\OnboardLogs" /stypes="app*4053*20170921*" /stext=" 13:.+((SYSTEM_STATE.+slice.+state.+changed )|(ment ac)|(multiple cpu faults)|(system.+state.+changed )|(\[timeout)|(PRM\|1\|D)|(kpr)|(kdp)|(train st.+moving)|(\|lc)|(penalty))"</v>
      </c>
      <c r="AG165" s="182" t="str">
        <f t="shared" si="90"/>
        <v>NW</v>
      </c>
      <c r="AH165" s="78" t="str">
        <f t="shared" si="91"/>
        <v>"%USERPROFILE%\Documents\GitHub\eaglep3\Utilities\RefineRTDCRunTimes.py" --tripid 806-21 --locoid 4053 --swversion DE.1.0.9.0 --startMP 300:58702 --initTime 2017-09-21T06:56:21 --startdatetime 2017-09-21T07:13:21 --delay 58 --endMP 204:656 --enddatetime 2017-09-21T07:25:30 --enforcementcount 0 &gt;&gt;c:\users\stu\Documents\GitHub\eaglep3-reporting\EC\2017-09-21-refined-times.txt</v>
      </c>
      <c r="AI165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{"issue":{"subject":"","project_id":79,"tracker_id":40,"status_id":1,"priority_id":2,"assigned_to_id":338,"start_date":"2017-09-21","description":"","custom_fields":[{"id":1,"name":"Subdivision","value":"NW"},{"id":4,"name":"Milepost","value":"0.0656"},{"id":17,"name":"Train ID","value":"806-21"},{"id":16,"name":"Locomotive ID","value":"4053"},{"id":130,"name":"Impact","value":""},{"id":150,"name":"Time of Event (Mountain Time)","value":"07:25:30"},{"id":151,"name":"Denver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93"/>
        <v>start /low /b %USERPROFILE%\Documents\GitHub\eaglep3\Utilities\DownloadLogsFromS3.py --loco 4053 --day 2017-09-21</v>
      </c>
      <c r="AN165" s="151" t="str">
        <f t="shared" si="94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13:25:30"},{"id":29,"name":"Sharepoint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95"/>
        <v>https://d0f6bd738d7f1b3e5a7ca70fe4ff75f0.us-east-1.aws.found.io/app/kibana#/discover/Steve-Slow-Train-Analysis-(2080s-and-2083s)?_g=(refreshInterval:(display:Off,pause:!f,section:0,value:0),time:(from:'2017-09-21T05:56:21-0600',mode:absolute,to:'2017-09-21T08:25:30-0600'))&amp;_a=(columns:!('Message%20ID',Summary),filters:!(),index:'emp_*',interval:auto,query:(query_string:(analyze_wildcard:!t,query:'Message%5C+ID:(*)+AND+%22rtdc.l.rtdc.4053%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592</v>
      </c>
      <c r="B166" s="7">
        <v>4032</v>
      </c>
      <c r="C166" s="21" t="s">
        <v>196</v>
      </c>
      <c r="D166" s="21" t="s">
        <v>472</v>
      </c>
      <c r="E166" s="13">
        <v>42999.289733796293</v>
      </c>
      <c r="F166" s="13">
        <v>42999.298136574071</v>
      </c>
      <c r="G166" s="7">
        <v>58</v>
      </c>
      <c r="H166" s="21" t="s">
        <v>568</v>
      </c>
      <c r="I166" s="13">
        <v>42999.308472222219</v>
      </c>
      <c r="J166" s="7">
        <v>0</v>
      </c>
      <c r="K166" s="89" t="str">
        <f t="shared" si="77"/>
        <v>4031/4032</v>
      </c>
      <c r="L166" s="185" t="str">
        <f>VLOOKUP(A166,'Trips&amp;Operators'!$C$1:$G$99911,5,FALSE)</f>
        <v>FORTUNATO FRANK</v>
      </c>
      <c r="M166" s="6">
        <f t="shared" si="78"/>
        <v>1.0335648148611654E-2</v>
      </c>
      <c r="N166" s="7">
        <f t="shared" si="79"/>
        <v>14.883333334000781</v>
      </c>
      <c r="O166" s="7"/>
      <c r="P166" s="7"/>
      <c r="Q166" s="22"/>
      <c r="R166" s="174"/>
      <c r="S166" s="221">
        <f t="shared" si="80"/>
        <v>1</v>
      </c>
      <c r="T166" s="174" t="str">
        <f t="shared" si="81"/>
        <v>NorthBound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 t="shared" si="82"/>
        <v>https://d0f6bd738d7f1b3e5a7ca70fe4ff75f0.us-east-1.aws.found.io/app/kibana#/discover/Steve-Slow-Train-Analysis-(2080s-and-2083s)?_g=(refreshInterval:(display:Off,pause:!f,section:0,value:0),time:(from:'2017-09-21T05:57:13-0600',mode:absolute,to:'2017-09-21T08:24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6" s="204" t="str">
        <f>IF(AA166&lt;VLOOKUP(AG166,Variables!$AC$3:$AD$8,2,FALSE),"Y","N")</f>
        <v>N</v>
      </c>
      <c r="X166" s="204">
        <f t="shared" si="83"/>
        <v>1</v>
      </c>
      <c r="Y166" s="204">
        <f t="shared" si="84"/>
        <v>9.8100000000000007E-2</v>
      </c>
      <c r="Z166" s="204">
        <f t="shared" si="85"/>
        <v>5.8975</v>
      </c>
      <c r="AA166" s="204">
        <f t="shared" si="86"/>
        <v>5.7994000000000003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 t="shared" si="87"/>
        <v>807</v>
      </c>
      <c r="AE166" s="77" t="str">
        <f t="shared" si="88"/>
        <v>aws s3 cp s3://rtdc.mdm.uploadarchive.raw/RTDC4032/ "%USERPROFILE%\AppData\Local\Temp\OnboardLogs"\RTDC4032\2017-09-21 --exclude "*" --recursive --include "*20170921*" &amp; "%USERPROFILE%\Documents\GitHub\mrs-test-scripts\Headless Mode &amp; Sideloading\WalkAndUnGZ.bat" "%USERPROFILE%\AppData\Local\Temp\OnboardLogs"\RTDC4032\2017-09-21 &amp; aws s3 cp s3://rtdc.mdm.uploadarchive.raw/RTDC4032/ "%USERPROFILE%\AppData\Local\Temp\OnboardLogs"\RTDC4032\2017-09-22 --exclude "*" --recursive --include "*20170922*" &amp; "%USERPROFILE%\Documents\GitHub\mrs-test-scripts\Headless Mode &amp; Sideloading\WalkAndUnGZ.bat" "%USERPROFILE%\AppData\Local\Temp\OnboardLogs"\RTDC4032\2017-09-22</v>
      </c>
      <c r="AF166" s="74" t="str">
        <f t="shared" si="89"/>
        <v>"C:\Program Files (x86)\AstroGrep\AstroGrep.exe" /e /r /s /spath="%USERPROFILE%\AppData\Local\Temp\OnboardLogs" /stypes="app*4032*20170921*" /stext=" 13:.+((SYSTEM_STATE.+slice.+state.+changed )|(ment ac)|(multiple cpu faults)|(system.+state.+changed )|(\[timeout)|(PRM\|1\|D)|(kpr)|(kdp)|(train st.+moving)|(\|lc)|(penalty))"</v>
      </c>
      <c r="AG166" s="182" t="str">
        <f t="shared" si="90"/>
        <v>NW</v>
      </c>
      <c r="AH166" s="78" t="str">
        <f t="shared" si="91"/>
        <v>"%USERPROFILE%\Documents\GitHub\eaglep3\Utilities\RefineRTDCRunTimes.py" --tripid 807-21 --locoid 4032 --swversion DE.1.0.9.0 --startMP 204:981 --initTime 2017-09-21T06:57:13 --startdatetime 2017-09-21T07:09:19 --delay 58 --endMP 300:58975 --enddatetime 2017-09-21T07:24:12 --enforcementcount 0 &gt;&gt;c:\users\stu\Documents\GitHub\eaglep3-reporting\EC\2017-09-21-refined-times.txt</v>
      </c>
      <c r="AI166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{"issue":{"subject":"","project_id":79,"tracker_id":40,"status_id":1,"priority_id":2,"assigned_to_id":338,"start_date":"2017-09-21","description":"","custom_fields":[{"id":1,"name":"Subdivision","value":"NW"},{"id":4,"name":"Milepost","value":"5.8975"},{"id":17,"name":"Train ID","value":"807-21"},{"id":16,"name":"Locomotive ID","value":"4032"},{"id":130,"name":"Impact","value":""},{"id":150,"name":"Time of Event (Mountain Time)","value":"07:24:12"},{"id":151,"name":"Denver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93"/>
        <v>start /low /b %USERPROFILE%\Documents\GitHub\eaglep3\Utilities\DownloadLogsFromS3.py --loco 4032 --day 2017-09-21</v>
      </c>
      <c r="AN166" s="151" t="str">
        <f t="shared" si="94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13:24:12"},{"id":29,"name":"Sharepoint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95"/>
        <v>https://d0f6bd738d7f1b3e5a7ca70fe4ff75f0.us-east-1.aws.found.io/app/kibana#/discover/Steve-Slow-Train-Analysis-(2080s-and-2083s)?_g=(refreshInterval:(display:Off,pause:!f,section:0,value:0),time:(from:'2017-09-21T05:57:13-0600',mode:absolute,to:'2017-09-21T08:24:12-0600'))&amp;_a=(columns:!('Message%20ID',Summary),filters:!(),index:'emp_*',interval:auto,query:(query_string:(analyze_wildcard:!t,query:'Message%5C+ID:(*)+AND+%22rtdc.l.rtdc.4032%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662</v>
      </c>
      <c r="B167" s="7">
        <v>4031</v>
      </c>
      <c r="C167" s="21" t="s">
        <v>196</v>
      </c>
      <c r="D167" s="21" t="s">
        <v>505</v>
      </c>
      <c r="E167" s="13">
        <v>42999.310127314813</v>
      </c>
      <c r="F167" s="13">
        <v>42999.314803240741</v>
      </c>
      <c r="G167" s="7">
        <v>61</v>
      </c>
      <c r="H167" s="21" t="s">
        <v>922</v>
      </c>
      <c r="I167" s="13">
        <v>42999.329780092594</v>
      </c>
      <c r="J167" s="7">
        <v>0</v>
      </c>
      <c r="K167" s="89" t="str">
        <f t="shared" si="77"/>
        <v>4031/4032</v>
      </c>
      <c r="L167" s="185" t="str">
        <f>VLOOKUP(A167,'Trips&amp;Operators'!$C$1:$G$99911,5,FALSE)</f>
        <v>FORTUNATO FRANK</v>
      </c>
      <c r="M167" s="6">
        <f t="shared" si="78"/>
        <v>1.4976851853134576E-2</v>
      </c>
      <c r="N167" s="7">
        <f t="shared" si="79"/>
        <v>21.56666666851379</v>
      </c>
      <c r="O167" s="7"/>
      <c r="P167" s="7"/>
      <c r="Q167" s="22"/>
      <c r="R167" s="174"/>
      <c r="S167" s="221">
        <f t="shared" si="80"/>
        <v>1</v>
      </c>
      <c r="T167" s="174" t="str">
        <f t="shared" si="81"/>
        <v>Southbound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 t="shared" si="82"/>
        <v>https://d0f6bd738d7f1b3e5a7ca70fe4ff75f0.us-east-1.aws.found.io/app/kibana#/discover/Steve-Slow-Train-Analysis-(2080s-and-2083s)?_g=(refreshInterval:(display:Off,pause:!f,section:0,value:0),time:(from:'2017-09-21T06:26:35-0600',mode:absolute,to:'2017-09-21T08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7" s="204" t="str">
        <f>IF(AA167&lt;VLOOKUP(AG167,Variables!$AC$3:$AD$8,2,FALSE),"Y","N")</f>
        <v>N</v>
      </c>
      <c r="X167" s="204">
        <f t="shared" si="83"/>
        <v>1</v>
      </c>
      <c r="Y167" s="204">
        <f t="shared" si="84"/>
        <v>5.8655999999999997</v>
      </c>
      <c r="Z167" s="204">
        <f t="shared" si="85"/>
        <v>6.7799999999999999E-2</v>
      </c>
      <c r="AA167" s="204">
        <f t="shared" si="86"/>
        <v>5.7977999999999996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 t="shared" si="87"/>
        <v>808</v>
      </c>
      <c r="AE167" s="77" t="str">
        <f t="shared" si="88"/>
        <v>aws s3 cp s3://rtdc.mdm.uploadarchive.raw/RTDC4031/ "%USERPROFILE%\AppData\Local\Temp\OnboardLogs"\RTDC4031\2017-09-21 --exclude "*" --recursive --include "*20170921*" &amp; "%USERPROFILE%\Documents\GitHub\mrs-test-scripts\Headless Mode &amp; Sideloading\WalkAndUnGZ.bat" "%USERPROFILE%\AppData\Local\Temp\OnboardLogs"\RTDC4031\2017-09-21 &amp; aws s3 cp s3://rtdc.mdm.uploadarchive.raw/RTDC4031/ "%USERPROFILE%\AppData\Local\Temp\OnboardLogs"\RTDC4031\2017-09-22 --exclude "*" --recursive --include "*20170922*" &amp; "%USERPROFILE%\Documents\GitHub\mrs-test-scripts\Headless Mode &amp; Sideloading\WalkAndUnGZ.bat" "%USERPROFILE%\AppData\Local\Temp\OnboardLogs"\RTDC4031\2017-09-22</v>
      </c>
      <c r="AF167" s="74" t="str">
        <f t="shared" si="89"/>
        <v>"C:\Program Files (x86)\AstroGrep\AstroGrep.exe" /e /r /s /spath="%USERPROFILE%\AppData\Local\Temp\OnboardLogs" /stypes="app*4031*20170921*" /stext=" 13:.+((SYSTEM_STATE.+slice.+state.+changed )|(ment ac)|(multiple cpu faults)|(system.+state.+changed )|(\[timeout)|(PRM\|1\|D)|(kpr)|(kdp)|(train st.+moving)|(\|lc)|(penalty))"</v>
      </c>
      <c r="AG167" s="182" t="str">
        <f t="shared" si="90"/>
        <v>NW</v>
      </c>
      <c r="AH167" s="78" t="str">
        <f t="shared" si="91"/>
        <v>"%USERPROFILE%\Documents\GitHub\eaglep3\Utilities\RefineRTDCRunTimes.py" --tripid 808-21 --locoid 4031 --swversion DE.1.0.9.0 --startMP 300:58656 --initTime 2017-09-21T07:26:35 --startdatetime 2017-09-21T07:33:19 --delay 61 --endMP 204:678 --enddatetime 2017-09-21T07:54:53 --enforcementcount 0 &gt;&gt;c:\users\stu\Documents\GitHub\eaglep3-reporting\EC\2017-09-21-refined-times.txt</v>
      </c>
      <c r="AI167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{"issue":{"subject":"","project_id":79,"tracker_id":40,"status_id":1,"priority_id":2,"assigned_to_id":338,"start_date":"2017-09-21","description":"","custom_fields":[{"id":1,"name":"Subdivision","value":"NW"},{"id":4,"name":"Milepost","value":"0.0678"},{"id":17,"name":"Train ID","value":"808-21"},{"id":16,"name":"Locomotive ID","value":"4031"},{"id":130,"name":"Impact","value":""},{"id":150,"name":"Time of Event (Mountain Time)","value":"07:54:53"},{"id":151,"name":"Denver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93"/>
        <v>start /low /b %USERPROFILE%\Documents\GitHub\eaglep3\Utilities\DownloadLogsFromS3.py --loco 4031 --day 2017-09-21</v>
      </c>
      <c r="AN167" s="151" t="str">
        <f t="shared" si="94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13:54:53"},{"id":29,"name":"Sharepoint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95"/>
        <v>https://d0f6bd738d7f1b3e5a7ca70fe4ff75f0.us-east-1.aws.found.io/app/kibana#/discover/Steve-Slow-Train-Analysis-(2080s-and-2083s)?_g=(refreshInterval:(display:Off,pause:!f,section:0,value:0),time:(from:'2017-09-21T06:26:35-0600',mode:absolute,to:'2017-09-21T08:54:53-0600'))&amp;_a=(columns:!('Message%20ID',Summary),filters:!(),index:'emp_*',interval:auto,query:(query_string:(analyze_wildcard:!t,query:'Message%5C+ID:(*)+AND+%22rtdc.l.rtdc.4031%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663</v>
      </c>
      <c r="B168" s="7">
        <v>4054</v>
      </c>
      <c r="C168" s="21" t="s">
        <v>196</v>
      </c>
      <c r="D168" s="21" t="s">
        <v>923</v>
      </c>
      <c r="E168" s="13">
        <v>42999.316458333335</v>
      </c>
      <c r="F168" s="13">
        <v>42999.318958333337</v>
      </c>
      <c r="G168" s="7">
        <v>53</v>
      </c>
      <c r="H168" s="21" t="s">
        <v>924</v>
      </c>
      <c r="I168" s="13">
        <v>42999.329664351855</v>
      </c>
      <c r="J168" s="7">
        <v>0</v>
      </c>
      <c r="K168" s="89" t="str">
        <f t="shared" si="77"/>
        <v>4053/4054</v>
      </c>
      <c r="L168" s="185" t="str">
        <f>VLOOKUP(A168,'Trips&amp;Operators'!$C$1:$G$99911,5,FALSE)</f>
        <v>DAVIS WENDY</v>
      </c>
      <c r="M168" s="6">
        <f t="shared" si="78"/>
        <v>1.0706018518249039E-2</v>
      </c>
      <c r="N168" s="7">
        <f t="shared" si="79"/>
        <v>15.416666666278616</v>
      </c>
      <c r="O168" s="7"/>
      <c r="P168" s="7"/>
      <c r="Q168" s="22"/>
      <c r="R168" s="174"/>
      <c r="S168" s="221">
        <f t="shared" si="80"/>
        <v>1</v>
      </c>
      <c r="T168" s="174" t="str">
        <f t="shared" si="81"/>
        <v>NorthBound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 t="shared" si="82"/>
        <v>https://d0f6bd738d7f1b3e5a7ca70fe4ff75f0.us-east-1.aws.found.io/app/kibana#/discover/Steve-Slow-Train-Analysis-(2080s-and-2083s)?_g=(refreshInterval:(display:Off,pause:!f,section:0,value:0),time:(from:'2017-09-21T06:35:42-0600',mode:absolute,to:'2017-09-21T08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8" s="204" t="str">
        <f>IF(AA168&lt;VLOOKUP(AG168,Variables!$AC$3:$AD$8,2,FALSE),"Y","N")</f>
        <v>N</v>
      </c>
      <c r="X168" s="204">
        <f t="shared" si="83"/>
        <v>1</v>
      </c>
      <c r="Y168" s="204">
        <f t="shared" si="84"/>
        <v>9.5100000000000004E-2</v>
      </c>
      <c r="Z168" s="204">
        <f t="shared" si="85"/>
        <v>5.9008000000000003</v>
      </c>
      <c r="AA168" s="204">
        <f t="shared" si="86"/>
        <v>5.8056999999999999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 t="shared" si="87"/>
        <v>809</v>
      </c>
      <c r="AE168" s="77" t="str">
        <f t="shared" si="88"/>
        <v>aws s3 cp s3://rtdc.mdm.uploadarchive.raw/RTDC4054/ "%USERPROFILE%\AppData\Local\Temp\OnboardLogs"\RTDC4054\2017-09-21 --exclude "*" --recursive --include "*20170921*" &amp; "%USERPROFILE%\Documents\GitHub\mrs-test-scripts\Headless Mode &amp; Sideloading\WalkAndUnGZ.bat" "%USERPROFILE%\AppData\Local\Temp\OnboardLogs"\RTDC4054\2017-09-21 &amp; aws s3 cp s3://rtdc.mdm.uploadarchive.raw/RTDC4054/ "%USERPROFILE%\AppData\Local\Temp\OnboardLogs"\RTDC4054\2017-09-22 --exclude "*" --recursive --include "*20170922*" &amp; "%USERPROFILE%\Documents\GitHub\mrs-test-scripts\Headless Mode &amp; Sideloading\WalkAndUnGZ.bat" "%USERPROFILE%\AppData\Local\Temp\OnboardLogs"\RTDC4054\2017-09-22</v>
      </c>
      <c r="AF168" s="74" t="str">
        <f t="shared" si="89"/>
        <v>"C:\Program Files (x86)\AstroGrep\AstroGrep.exe" /e /r /s /spath="%USERPROFILE%\AppData\Local\Temp\OnboardLogs" /stypes="app*4054*20170921*" /stext=" 13:.+((SYSTEM_STATE.+slice.+state.+changed )|(ment ac)|(multiple cpu faults)|(system.+state.+changed )|(\[timeout)|(PRM\|1\|D)|(kpr)|(kdp)|(train st.+moving)|(\|lc)|(penalty))"</v>
      </c>
      <c r="AG168" s="182" t="str">
        <f t="shared" si="90"/>
        <v>NW</v>
      </c>
      <c r="AH168" s="78" t="str">
        <f t="shared" si="91"/>
        <v>"%USERPROFILE%\Documents\GitHub\eaglep3\Utilities\RefineRTDCRunTimes.py" --tripid 809-21 --locoid 4054 --swversion DE.1.0.9.0 --startMP 204:951 --initTime 2017-09-21T07:35:42 --startdatetime 2017-09-21T07:39:18 --delay 53 --endMP 300:59008 --enddatetime 2017-09-21T07:54:43 --enforcementcount 0 &gt;&gt;c:\users\stu\Documents\GitHub\eaglep3-reporting\EC\2017-09-21-refined-times.txt</v>
      </c>
      <c r="AI168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{"issue":{"subject":"","project_id":79,"tracker_id":40,"status_id":1,"priority_id":2,"assigned_to_id":338,"start_date":"2017-09-21","description":"","custom_fields":[{"id":1,"name":"Subdivision","value":"NW"},{"id":4,"name":"Milepost","value":"5.9008"},{"id":17,"name":"Train ID","value":"809-21"},{"id":16,"name":"Locomotive ID","value":"4054"},{"id":130,"name":"Impact","value":""},{"id":150,"name":"Time of Event (Mountain Time)","value":"07:54:43"},{"id":151,"name":"Denver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93"/>
        <v>start /low /b %USERPROFILE%\Documents\GitHub\eaglep3\Utilities\DownloadLogsFromS3.py --loco 4054 --day 2017-09-21</v>
      </c>
      <c r="AN168" s="151" t="str">
        <f t="shared" si="94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13:54:43"},{"id":29,"name":"Sharepoint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95"/>
        <v>https://d0f6bd738d7f1b3e5a7ca70fe4ff75f0.us-east-1.aws.found.io/app/kibana#/discover/Steve-Slow-Train-Analysis-(2080s-and-2083s)?_g=(refreshInterval:(display:Off,pause:!f,section:0,value:0),time:(from:'2017-09-21T06:35:42-0600',mode:absolute,to:'2017-09-21T08:54:43-0600'))&amp;_a=(columns:!('Message%20ID',Summary),filters:!(),index:'emp_*',interval:auto,query:(query_string:(analyze_wildcard:!t,query:'Message%5C+ID:(*)+AND+%22rtdc.l.rtdc.4054%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666</v>
      </c>
      <c r="B169" s="7">
        <v>4053</v>
      </c>
      <c r="C169" s="21" t="s">
        <v>196</v>
      </c>
      <c r="D169" s="21" t="s">
        <v>926</v>
      </c>
      <c r="E169" s="13">
        <v>42999.331018518518</v>
      </c>
      <c r="F169" s="13">
        <v>42999.343136574076</v>
      </c>
      <c r="G169" s="7">
        <v>53</v>
      </c>
      <c r="H169" s="21" t="s">
        <v>338</v>
      </c>
      <c r="I169" s="13">
        <v>42999.351226851853</v>
      </c>
      <c r="J169" s="7">
        <v>0</v>
      </c>
      <c r="K169" s="89" t="str">
        <f t="shared" si="77"/>
        <v>4053/4054</v>
      </c>
      <c r="L169" s="185" t="str">
        <f>VLOOKUP(A169,'Trips&amp;Operators'!$C$1:$G$99911,5,FALSE)</f>
        <v>DAVIS WENDY</v>
      </c>
      <c r="M169" s="6">
        <f t="shared" si="78"/>
        <v>8.0902777772280388E-3</v>
      </c>
      <c r="N169" s="7">
        <f t="shared" si="79"/>
        <v>11.649999999208376</v>
      </c>
      <c r="O169" s="7"/>
      <c r="P169" s="7"/>
      <c r="Q169" s="22"/>
      <c r="R169" s="174"/>
      <c r="S169" s="221">
        <f t="shared" si="80"/>
        <v>1</v>
      </c>
      <c r="T169" s="174" t="str">
        <f t="shared" si="81"/>
        <v>Southbound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 t="shared" si="82"/>
        <v>https://d0f6bd738d7f1b3e5a7ca70fe4ff75f0.us-east-1.aws.found.io/app/kibana#/discover/Steve-Slow-Train-Analysis-(2080s-and-2083s)?_g=(refreshInterval:(display:Off,pause:!f,section:0,value:0),time:(from:'2017-09-21T06:56:40-0600',mode:absolute,to:'2017-09-21T09:25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9" s="204" t="str">
        <f>IF(AA169&lt;VLOOKUP(AG169,Variables!$AC$3:$AD$8,2,FALSE),"Y","N")</f>
        <v>N</v>
      </c>
      <c r="X169" s="204">
        <f t="shared" si="83"/>
        <v>1</v>
      </c>
      <c r="Y169" s="204">
        <f t="shared" si="84"/>
        <v>5.8707000000000003</v>
      </c>
      <c r="Z169" s="204">
        <f t="shared" si="85"/>
        <v>1.49E-2</v>
      </c>
      <c r="AA169" s="204">
        <f t="shared" si="86"/>
        <v>5.8558000000000003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 t="shared" si="87"/>
        <v>810</v>
      </c>
      <c r="AE169" s="77" t="str">
        <f t="shared" si="88"/>
        <v>aws s3 cp s3://rtdc.mdm.uploadarchive.raw/RTDC4053/ "%USERPROFILE%\AppData\Local\Temp\OnboardLogs"\RTDC4053\2017-09-21 --exclude "*" --recursive --include "*20170921*" &amp; "%USERPROFILE%\Documents\GitHub\mrs-test-scripts\Headless Mode &amp; Sideloading\WalkAndUnGZ.bat" "%USERPROFILE%\AppData\Local\Temp\OnboardLogs"\RTDC4053\2017-09-21 &amp; aws s3 cp s3://rtdc.mdm.uploadarchive.raw/RTDC4053/ "%USERPROFILE%\AppData\Local\Temp\OnboardLogs"\RTDC4053\2017-09-22 --exclude "*" --recursive --include "*20170922*" &amp; "%USERPROFILE%\Documents\GitHub\mrs-test-scripts\Headless Mode &amp; Sideloading\WalkAndUnGZ.bat" "%USERPROFILE%\AppData\Local\Temp\OnboardLogs"\RTDC4053\2017-09-22</v>
      </c>
      <c r="AF169" s="74" t="str">
        <f t="shared" si="89"/>
        <v>"C:\Program Files (x86)\AstroGrep\AstroGrep.exe" /e /r /s /spath="%USERPROFILE%\AppData\Local\Temp\OnboardLogs" /stypes="app*4053*20170921*" /stext=" 14:.+((SYSTEM_STATE.+slice.+state.+changed )|(ment ac)|(multiple cpu faults)|(system.+state.+changed )|(\[timeout)|(PRM\|1\|D)|(kpr)|(kdp)|(train st.+moving)|(\|lc)|(penalty))"</v>
      </c>
      <c r="AG169" s="182" t="str">
        <f t="shared" si="90"/>
        <v>NW</v>
      </c>
      <c r="AH169" s="78" t="str">
        <f t="shared" si="91"/>
        <v>"%USERPROFILE%\Documents\GitHub\eaglep3\Utilities\RefineRTDCRunTimes.py" --tripid 810-21 --locoid 4053 --swversion DE.1.0.9.0 --startMP 300:58707 --initTime 2017-09-21T07:56:40 --startdatetime 2017-09-21T08:14:07 --delay 53 --endMP 204:149 --enddatetime 2017-09-21T08:25:46 --enforcementcount 0 &gt;&gt;c:\users\stu\Documents\GitHub\eaglep3-reporting\EC\2017-09-21-refined-times.txt</v>
      </c>
      <c r="AI169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{"issue":{"subject":"","project_id":79,"tracker_id":40,"status_id":1,"priority_id":2,"assigned_to_id":338,"start_date":"2017-09-21","description":"","custom_fields":[{"id":1,"name":"Subdivision","value":"NW"},{"id":4,"name":"Milepost","value":"0.0149"},{"id":17,"name":"Train ID","value":"810-21"},{"id":16,"name":"Locomotive ID","value":"4053"},{"id":130,"name":"Impact","value":""},{"id":150,"name":"Time of Event (Mountain Time)","value":"08:25:46"},{"id":151,"name":"Denver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93"/>
        <v>start /low /b %USERPROFILE%\Documents\GitHub\eaglep3\Utilities\DownloadLogsFromS3.py --loco 4053 --day 2017-09-21</v>
      </c>
      <c r="AN169" s="151" t="str">
        <f t="shared" si="94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14:25:46"},{"id":29,"name":"Sharepoint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95"/>
        <v>https://d0f6bd738d7f1b3e5a7ca70fe4ff75f0.us-east-1.aws.found.io/app/kibana#/discover/Steve-Slow-Train-Analysis-(2080s-and-2083s)?_g=(refreshInterval:(display:Off,pause:!f,section:0,value:0),time:(from:'2017-09-21T06:56:40-0600',mode:absolute,to:'2017-09-21T09:25:46-0600'))&amp;_a=(columns:!('Message%20ID',Summary),filters:!(),index:'emp_*',interval:auto,query:(query_string:(analyze_wildcard:!t,query:'Message%5C+ID:(*)+AND+%22rtdc.l.rtdc.4053%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593</v>
      </c>
      <c r="B170" s="7">
        <v>4032</v>
      </c>
      <c r="C170" s="21" t="s">
        <v>196</v>
      </c>
      <c r="D170" s="21" t="s">
        <v>927</v>
      </c>
      <c r="E170" s="13">
        <v>42999.331076388888</v>
      </c>
      <c r="F170" s="13">
        <v>42999.339768518519</v>
      </c>
      <c r="G170" s="7">
        <v>50</v>
      </c>
      <c r="H170" s="21" t="s">
        <v>928</v>
      </c>
      <c r="I170" s="13">
        <v>42999.350798611114</v>
      </c>
      <c r="J170" s="7">
        <v>0</v>
      </c>
      <c r="K170" s="89" t="str">
        <f t="shared" si="77"/>
        <v>4031/4032</v>
      </c>
      <c r="L170" s="185" t="str">
        <f>VLOOKUP(A170,'Trips&amp;Operators'!$C$1:$G$99911,5,FALSE)</f>
        <v>FORTUNATO FRANK</v>
      </c>
      <c r="M170" s="6">
        <f t="shared" si="78"/>
        <v>1.1030092595319729E-2</v>
      </c>
      <c r="N170" s="7">
        <f t="shared" si="79"/>
        <v>15.88333333726041</v>
      </c>
      <c r="O170" s="7"/>
      <c r="P170" s="7"/>
      <c r="Q170" s="22"/>
      <c r="R170" s="174"/>
      <c r="S170" s="221">
        <f t="shared" si="80"/>
        <v>1</v>
      </c>
      <c r="T170" s="174" t="str">
        <f t="shared" si="81"/>
        <v>NorthBound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 t="shared" si="82"/>
        <v>https://d0f6bd738d7f1b3e5a7ca70fe4ff75f0.us-east-1.aws.found.io/app/kibana#/discover/Steve-Slow-Train-Analysis-(2080s-and-2083s)?_g=(refreshInterval:(display:Off,pause:!f,section:0,value:0),time:(from:'2017-09-21T06:56:45-0600',mode:absolute,to:'2017-09-21T09:25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0" s="204" t="str">
        <f>IF(AA170&lt;VLOOKUP(AG170,Variables!$AC$3:$AD$8,2,FALSE),"Y","N")</f>
        <v>N</v>
      </c>
      <c r="X170" s="204">
        <f t="shared" si="83"/>
        <v>1</v>
      </c>
      <c r="Y170" s="204">
        <f t="shared" si="84"/>
        <v>9.8299999999999998E-2</v>
      </c>
      <c r="Z170" s="204">
        <f t="shared" si="85"/>
        <v>5.8998999999999997</v>
      </c>
      <c r="AA170" s="204">
        <f t="shared" si="86"/>
        <v>5.8015999999999996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 t="shared" si="87"/>
        <v>811</v>
      </c>
      <c r="AE170" s="77" t="str">
        <f t="shared" si="88"/>
        <v>aws s3 cp s3://rtdc.mdm.uploadarchive.raw/RTDC4032/ "%USERPROFILE%\AppData\Local\Temp\OnboardLogs"\RTDC4032\2017-09-21 --exclude "*" --recursive --include "*20170921*" &amp; "%USERPROFILE%\Documents\GitHub\mrs-test-scripts\Headless Mode &amp; Sideloading\WalkAndUnGZ.bat" "%USERPROFILE%\AppData\Local\Temp\OnboardLogs"\RTDC4032\2017-09-21 &amp; aws s3 cp s3://rtdc.mdm.uploadarchive.raw/RTDC4032/ "%USERPROFILE%\AppData\Local\Temp\OnboardLogs"\RTDC4032\2017-09-22 --exclude "*" --recursive --include "*20170922*" &amp; "%USERPROFILE%\Documents\GitHub\mrs-test-scripts\Headless Mode &amp; Sideloading\WalkAndUnGZ.bat" "%USERPROFILE%\AppData\Local\Temp\OnboardLogs"\RTDC4032\2017-09-22</v>
      </c>
      <c r="AF170" s="74" t="str">
        <f t="shared" si="89"/>
        <v>"C:\Program Files (x86)\AstroGrep\AstroGrep.exe" /e /r /s /spath="%USERPROFILE%\AppData\Local\Temp\OnboardLogs" /stypes="app*4032*20170921*" /stext=" 14:.+((SYSTEM_STATE.+slice.+state.+changed )|(ment ac)|(multiple cpu faults)|(system.+state.+changed )|(\[timeout)|(PRM\|1\|D)|(kpr)|(kdp)|(train st.+moving)|(\|lc)|(penalty))"</v>
      </c>
      <c r="AG170" s="182" t="str">
        <f t="shared" si="90"/>
        <v>NW</v>
      </c>
      <c r="AH170" s="78" t="str">
        <f t="shared" si="91"/>
        <v>"%USERPROFILE%\Documents\GitHub\eaglep3\Utilities\RefineRTDCRunTimes.py" --tripid 811-21 --locoid 4032 --swversion DE.1.0.9.0 --startMP 204:983 --initTime 2017-09-21T07:56:45 --startdatetime 2017-09-21T08:09:16 --delay 50 --endMP 300:58999 --enddatetime 2017-09-21T08:25:09 --enforcementcount 0 &gt;&gt;c:\users\stu\Documents\GitHub\eaglep3-reporting\EC\2017-09-21-refined-times.txt</v>
      </c>
      <c r="AI170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{"issue":{"subject":"","project_id":79,"tracker_id":40,"status_id":1,"priority_id":2,"assigned_to_id":338,"start_date":"2017-09-21","description":"","custom_fields":[{"id":1,"name":"Subdivision","value":"NW"},{"id":4,"name":"Milepost","value":"5.8999"},{"id":17,"name":"Train ID","value":"811-21"},{"id":16,"name":"Locomotive ID","value":"4032"},{"id":130,"name":"Impact","value":""},{"id":150,"name":"Time of Event (Mountain Time)","value":"08:25:09"},{"id":151,"name":"Denver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93"/>
        <v>start /low /b %USERPROFILE%\Documents\GitHub\eaglep3\Utilities\DownloadLogsFromS3.py --loco 4032 --day 2017-09-21</v>
      </c>
      <c r="AN170" s="151" t="str">
        <f t="shared" si="94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14:25:09"},{"id":29,"name":"Sharepoint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95"/>
        <v>https://d0f6bd738d7f1b3e5a7ca70fe4ff75f0.us-east-1.aws.found.io/app/kibana#/discover/Steve-Slow-Train-Analysis-(2080s-and-2083s)?_g=(refreshInterval:(display:Off,pause:!f,section:0,value:0),time:(from:'2017-09-21T06:56:45-0600',mode:absolute,to:'2017-09-21T09:25:09-0600'))&amp;_a=(columns:!('Message%20ID',Summary),filters:!(),index:'emp_*',interval:auto,query:(query_string:(analyze_wildcard:!t,query:'Message%5C+ID:(*)+AND+%22rtdc.l.rtdc.4032%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671</v>
      </c>
      <c r="B171" s="7">
        <v>4031</v>
      </c>
      <c r="C171" s="21" t="s">
        <v>196</v>
      </c>
      <c r="D171" s="21" t="s">
        <v>929</v>
      </c>
      <c r="E171" s="13">
        <v>42999.35255787037</v>
      </c>
      <c r="F171" s="13">
        <v>42999.356435185182</v>
      </c>
      <c r="G171" s="7">
        <v>52</v>
      </c>
      <c r="H171" s="21" t="s">
        <v>930</v>
      </c>
      <c r="I171" s="13">
        <v>42999.372743055559</v>
      </c>
      <c r="J171" s="7">
        <v>0</v>
      </c>
      <c r="K171" s="89" t="str">
        <f t="shared" si="77"/>
        <v>4031/4032</v>
      </c>
      <c r="L171" s="185" t="str">
        <f>VLOOKUP(A171,'Trips&amp;Operators'!$C$1:$G$99911,5,FALSE)</f>
        <v>FORTUNATO FRANK</v>
      </c>
      <c r="M171" s="6">
        <f t="shared" si="78"/>
        <v>1.6307870377204381E-2</v>
      </c>
      <c r="N171" s="7">
        <f t="shared" si="79"/>
        <v>23.483333343174309</v>
      </c>
      <c r="O171" s="7"/>
      <c r="P171" s="7"/>
      <c r="Q171" s="22"/>
      <c r="R171" s="174"/>
      <c r="S171" s="221">
        <f t="shared" si="80"/>
        <v>1</v>
      </c>
      <c r="T171" s="174" t="str">
        <f t="shared" si="81"/>
        <v>Southbound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 t="shared" si="82"/>
        <v>https://d0f6bd738d7f1b3e5a7ca70fe4ff75f0.us-east-1.aws.found.io/app/kibana#/discover/Steve-Slow-Train-Analysis-(2080s-and-2083s)?_g=(refreshInterval:(display:Off,pause:!f,section:0,value:0),time:(from:'2017-09-21T07:27:41-0600',mode:absolute,to:'2017-09-21T09:56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1" s="204" t="str">
        <f>IF(AA171&lt;VLOOKUP(AG171,Variables!$AC$3:$AD$8,2,FALSE),"Y","N")</f>
        <v>N</v>
      </c>
      <c r="X171" s="204">
        <f t="shared" si="83"/>
        <v>1</v>
      </c>
      <c r="Y171" s="204">
        <f t="shared" si="84"/>
        <v>5.8678999999999997</v>
      </c>
      <c r="Z171" s="204">
        <f t="shared" si="85"/>
        <v>7.22E-2</v>
      </c>
      <c r="AA171" s="204">
        <f t="shared" si="86"/>
        <v>5.7957000000000001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 t="shared" si="87"/>
        <v>812</v>
      </c>
      <c r="AE171" s="77" t="str">
        <f t="shared" si="88"/>
        <v>aws s3 cp s3://rtdc.mdm.uploadarchive.raw/RTDC4031/ "%USERPROFILE%\AppData\Local\Temp\OnboardLogs"\RTDC4031\2017-09-21 --exclude "*" --recursive --include "*20170921*" &amp; "%USERPROFILE%\Documents\GitHub\mrs-test-scripts\Headless Mode &amp; Sideloading\WalkAndUnGZ.bat" "%USERPROFILE%\AppData\Local\Temp\OnboardLogs"\RTDC4031\2017-09-21 &amp; aws s3 cp s3://rtdc.mdm.uploadarchive.raw/RTDC4031/ "%USERPROFILE%\AppData\Local\Temp\OnboardLogs"\RTDC4031\2017-09-22 --exclude "*" --recursive --include "*20170922*" &amp; "%USERPROFILE%\Documents\GitHub\mrs-test-scripts\Headless Mode &amp; Sideloading\WalkAndUnGZ.bat" "%USERPROFILE%\AppData\Local\Temp\OnboardLogs"\RTDC4031\2017-09-22</v>
      </c>
      <c r="AF171" s="74" t="str">
        <f t="shared" si="89"/>
        <v>"C:\Program Files (x86)\AstroGrep\AstroGrep.exe" /e /r /s /spath="%USERPROFILE%\AppData\Local\Temp\OnboardLogs" /stypes="app*4031*20170921*" /stext=" 14:.+((SYSTEM_STATE.+slice.+state.+changed )|(ment ac)|(multiple cpu faults)|(system.+state.+changed )|(\[timeout)|(PRM\|1\|D)|(kpr)|(kdp)|(train st.+moving)|(\|lc)|(penalty))"</v>
      </c>
      <c r="AG171" s="182" t="str">
        <f t="shared" si="90"/>
        <v>NW</v>
      </c>
      <c r="AH171" s="78" t="str">
        <f t="shared" si="91"/>
        <v>"%USERPROFILE%\Documents\GitHub\eaglep3\Utilities\RefineRTDCRunTimes.py" --tripid 812-21 --locoid 4031 --swversion DE.1.0.9.0 --startMP 300:58679 --initTime 2017-09-21T08:27:41 --startdatetime 2017-09-21T08:33:16 --delay 52 --endMP 204:722 --enddatetime 2017-09-21T08:56:45 --enforcementcount 0 &gt;&gt;c:\users\stu\Documents\GitHub\eaglep3-reporting\EC\2017-09-21-refined-times.txt</v>
      </c>
      <c r="AI171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{"issue":{"subject":"","project_id":79,"tracker_id":40,"status_id":1,"priority_id":2,"assigned_to_id":338,"start_date":"2017-09-21","description":"","custom_fields":[{"id":1,"name":"Subdivision","value":"NW"},{"id":4,"name":"Milepost","value":"0.0722"},{"id":17,"name":"Train ID","value":"812-21"},{"id":16,"name":"Locomotive ID","value":"4031"},{"id":130,"name":"Impact","value":""},{"id":150,"name":"Time of Event (Mountain Time)","value":"08:56:45"},{"id":151,"name":"Denver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93"/>
        <v>start /low /b %USERPROFILE%\Documents\GitHub\eaglep3\Utilities\DownloadLogsFromS3.py --loco 4031 --day 2017-09-21</v>
      </c>
      <c r="AN171" s="151" t="str">
        <f t="shared" si="94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14:56:45"},{"id":29,"name":"Sharepoint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95"/>
        <v>https://d0f6bd738d7f1b3e5a7ca70fe4ff75f0.us-east-1.aws.found.io/app/kibana#/discover/Steve-Slow-Train-Analysis-(2080s-and-2083s)?_g=(refreshInterval:(display:Off,pause:!f,section:0,value:0),time:(from:'2017-09-21T07:27:41-0600',mode:absolute,to:'2017-09-21T09:56:45-0600'))&amp;_a=(columns:!('Message%20ID',Summary),filters:!(),index:'emp_*',interval:auto,query:(query_string:(analyze_wildcard:!t,query:'Message%5C+ID:(*)+AND+%22rtdc.l.rtdc.4031%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681</v>
      </c>
      <c r="B172" s="7">
        <v>4032</v>
      </c>
      <c r="C172" s="21" t="s">
        <v>196</v>
      </c>
      <c r="D172" s="21" t="s">
        <v>567</v>
      </c>
      <c r="E172" s="13">
        <v>42999.374814814815</v>
      </c>
      <c r="F172" s="13">
        <v>42999.381631944445</v>
      </c>
      <c r="G172" s="7">
        <v>50</v>
      </c>
      <c r="H172" s="21" t="s">
        <v>476</v>
      </c>
      <c r="I172" s="13">
        <v>42999.391238425924</v>
      </c>
      <c r="J172" s="7">
        <v>0</v>
      </c>
      <c r="K172" s="89" t="str">
        <f t="shared" si="77"/>
        <v>4031/4032</v>
      </c>
      <c r="L172" s="185" t="str">
        <f>VLOOKUP(A172,'Trips&amp;Operators'!$C$1:$G$99911,5,FALSE)</f>
        <v>FORTUNATO FRANK</v>
      </c>
      <c r="M172" s="6">
        <f t="shared" si="78"/>
        <v>9.6064814788405783E-3</v>
      </c>
      <c r="N172" s="7">
        <f t="shared" si="79"/>
        <v>13.833333329530433</v>
      </c>
      <c r="O172" s="7"/>
      <c r="P172" s="7"/>
      <c r="Q172" s="22"/>
      <c r="R172" s="174"/>
      <c r="S172" s="221">
        <f t="shared" si="80"/>
        <v>1</v>
      </c>
      <c r="T172" s="174" t="str">
        <f t="shared" si="81"/>
        <v>NorthBound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 t="shared" si="82"/>
        <v>https://d0f6bd738d7f1b3e5a7ca70fe4ff75f0.us-east-1.aws.found.io/app/kibana#/discover/Steve-Slow-Train-Analysis-(2080s-and-2083s)?_g=(refreshInterval:(display:Off,pause:!f,section:0,value:0),time:(from:'2017-09-21T07:59:44-0600',mode:absolute,to:'2017-09-21T10:23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2" s="204" t="str">
        <f>IF(AA172&lt;VLOOKUP(AG172,Variables!$AC$3:$AD$8,2,FALSE),"Y","N")</f>
        <v>N</v>
      </c>
      <c r="X172" s="204">
        <f t="shared" si="83"/>
        <v>1</v>
      </c>
      <c r="Y172" s="204">
        <f t="shared" si="84"/>
        <v>9.8799999999999999E-2</v>
      </c>
      <c r="Z172" s="204">
        <f t="shared" si="85"/>
        <v>5.8964999999999996</v>
      </c>
      <c r="AA172" s="204">
        <f t="shared" si="86"/>
        <v>5.7976999999999999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 t="shared" si="87"/>
        <v>813</v>
      </c>
      <c r="AE172" s="77" t="str">
        <f t="shared" si="88"/>
        <v>aws s3 cp s3://rtdc.mdm.uploadarchive.raw/RTDC4032/ "%USERPROFILE%\AppData\Local\Temp\OnboardLogs"\RTDC4032\2017-09-21 --exclude "*" --recursive --include "*20170921*" &amp; "%USERPROFILE%\Documents\GitHub\mrs-test-scripts\Headless Mode &amp; Sideloading\WalkAndUnGZ.bat" "%USERPROFILE%\AppData\Local\Temp\OnboardLogs"\RTDC4032\2017-09-21 &amp; aws s3 cp s3://rtdc.mdm.uploadarchive.raw/RTDC4032/ "%USERPROFILE%\AppData\Local\Temp\OnboardLogs"\RTDC4032\2017-09-22 --exclude "*" --recursive --include "*20170922*" &amp; "%USERPROFILE%\Documents\GitHub\mrs-test-scripts\Headless Mode &amp; Sideloading\WalkAndUnGZ.bat" "%USERPROFILE%\AppData\Local\Temp\OnboardLogs"\RTDC4032\2017-09-22</v>
      </c>
      <c r="AF172" s="74" t="str">
        <f t="shared" si="89"/>
        <v>"C:\Program Files (x86)\AstroGrep\AstroGrep.exe" /e /r /s /spath="%USERPROFILE%\AppData\Local\Temp\OnboardLogs" /stypes="app*4032*20170921*" /stext=" 15:.+((SYSTEM_STATE.+slice.+state.+changed )|(ment ac)|(multiple cpu faults)|(system.+state.+changed )|(\[timeout)|(PRM\|1\|D)|(kpr)|(kdp)|(train st.+moving)|(\|lc)|(penalty))"</v>
      </c>
      <c r="AG172" s="182" t="str">
        <f t="shared" si="90"/>
        <v>NW</v>
      </c>
      <c r="AH172" s="78" t="str">
        <f t="shared" si="91"/>
        <v>"%USERPROFILE%\Documents\GitHub\eaglep3\Utilities\RefineRTDCRunTimes.py" --tripid 813-21 --locoid 4032 --swversion DE.1.0.9.0 --startMP 204:988 --initTime 2017-09-21T08:59:44 --startdatetime 2017-09-21T09:09:33 --delay 50 --endMP 300:58965 --enddatetime 2017-09-21T09:23:23 --enforcementcount 0 &gt;&gt;c:\users\stu\Documents\GitHub\eaglep3-reporting\EC\2017-09-21-refined-times.txt</v>
      </c>
      <c r="AI172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{"issue":{"subject":"","project_id":79,"tracker_id":40,"status_id":1,"priority_id":2,"assigned_to_id":338,"start_date":"2017-09-21","description":"","custom_fields":[{"id":1,"name":"Subdivision","value":"NW"},{"id":4,"name":"Milepost","value":"5.8965"},{"id":17,"name":"Train ID","value":"813-21"},{"id":16,"name":"Locomotive ID","value":"4032"},{"id":130,"name":"Impact","value":""},{"id":150,"name":"Time of Event (Mountain Time)","value":"09:23:23"},{"id":151,"name":"Denver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93"/>
        <v>start /low /b %USERPROFILE%\Documents\GitHub\eaglep3\Utilities\DownloadLogsFromS3.py --loco 4032 --day 2017-09-21</v>
      </c>
      <c r="AN172" s="151" t="str">
        <f t="shared" si="94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15:23:23"},{"id":29,"name":"Sharepoint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95"/>
        <v>https://d0f6bd738d7f1b3e5a7ca70fe4ff75f0.us-east-1.aws.found.io/app/kibana#/discover/Steve-Slow-Train-Analysis-(2080s-and-2083s)?_g=(refreshInterval:(display:Off,pause:!f,section:0,value:0),time:(from:'2017-09-21T07:59:44-0600',mode:absolute,to:'2017-09-21T10:23:23-0600'))&amp;_a=(columns:!('Message%20ID',Summary),filters:!(),index:'emp_*',interval:auto,query:(query_string:(analyze_wildcard:!t,query:'Message%5C+ID:(*)+AND+%22rtdc.l.rtdc.4032%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685</v>
      </c>
      <c r="B173" s="7">
        <v>4031</v>
      </c>
      <c r="C173" s="21" t="s">
        <v>196</v>
      </c>
      <c r="D173" s="21" t="s">
        <v>503</v>
      </c>
      <c r="E173" s="13">
        <v>42999.392534722225</v>
      </c>
      <c r="F173" s="13">
        <v>42999.398078703707</v>
      </c>
      <c r="G173" s="7">
        <v>110</v>
      </c>
      <c r="H173" s="21" t="s">
        <v>931</v>
      </c>
      <c r="I173" s="13">
        <v>42999.41302083333</v>
      </c>
      <c r="J173" s="7">
        <v>0</v>
      </c>
      <c r="K173" s="89" t="str">
        <f t="shared" si="77"/>
        <v>4031/4032</v>
      </c>
      <c r="L173" s="185" t="str">
        <f>VLOOKUP(A173,'Trips&amp;Operators'!$C$1:$G$99911,5,FALSE)</f>
        <v>FORTUNATO FRANK</v>
      </c>
      <c r="M173" s="6">
        <f t="shared" si="78"/>
        <v>1.4942129622795619E-2</v>
      </c>
      <c r="N173" s="7">
        <f t="shared" si="79"/>
        <v>21.516666656825691</v>
      </c>
      <c r="O173" s="7"/>
      <c r="P173" s="7"/>
      <c r="Q173" s="22"/>
      <c r="R173" s="174"/>
      <c r="S173" s="221">
        <f t="shared" si="80"/>
        <v>1</v>
      </c>
      <c r="T173" s="174" t="str">
        <f t="shared" si="81"/>
        <v>Southbound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 t="shared" si="82"/>
        <v>https://d0f6bd738d7f1b3e5a7ca70fe4ff75f0.us-east-1.aws.found.io/app/kibana#/discover/Steve-Slow-Train-Analysis-(2080s-and-2083s)?_g=(refreshInterval:(display:Off,pause:!f,section:0,value:0),time:(from:'2017-09-21T08:25:15-0600',mode:absolute,to:'2017-09-21T10:54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3" s="204" t="str">
        <f>IF(AA173&lt;VLOOKUP(AG173,Variables!$AC$3:$AD$8,2,FALSE),"Y","N")</f>
        <v>N</v>
      </c>
      <c r="X173" s="204">
        <f t="shared" si="83"/>
        <v>1</v>
      </c>
      <c r="Y173" s="204">
        <f t="shared" si="84"/>
        <v>5.8653000000000004</v>
      </c>
      <c r="Z173" s="204">
        <f t="shared" si="85"/>
        <v>7.1999999999999995E-2</v>
      </c>
      <c r="AA173" s="204">
        <f t="shared" si="86"/>
        <v>5.7933000000000003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 t="shared" si="87"/>
        <v>814</v>
      </c>
      <c r="AE173" s="77" t="str">
        <f t="shared" si="88"/>
        <v>aws s3 cp s3://rtdc.mdm.uploadarchive.raw/RTDC4031/ "%USERPROFILE%\AppData\Local\Temp\OnboardLogs"\RTDC4031\2017-09-21 --exclude "*" --recursive --include "*20170921*" &amp; "%USERPROFILE%\Documents\GitHub\mrs-test-scripts\Headless Mode &amp; Sideloading\WalkAndUnGZ.bat" "%USERPROFILE%\AppData\Local\Temp\OnboardLogs"\RTDC4031\2017-09-21 &amp; aws s3 cp s3://rtdc.mdm.uploadarchive.raw/RTDC4031/ "%USERPROFILE%\AppData\Local\Temp\OnboardLogs"\RTDC4031\2017-09-22 --exclude "*" --recursive --include "*20170922*" &amp; "%USERPROFILE%\Documents\GitHub\mrs-test-scripts\Headless Mode &amp; Sideloading\WalkAndUnGZ.bat" "%USERPROFILE%\AppData\Local\Temp\OnboardLogs"\RTDC4031\2017-09-22</v>
      </c>
      <c r="AF173" s="74" t="str">
        <f t="shared" si="89"/>
        <v>"C:\Program Files (x86)\AstroGrep\AstroGrep.exe" /e /r /s /spath="%USERPROFILE%\AppData\Local\Temp\OnboardLogs" /stypes="app*4031*20170921*" /stext=" 15:.+((SYSTEM_STATE.+slice.+state.+changed )|(ment ac)|(multiple cpu faults)|(system.+state.+changed )|(\[timeout)|(PRM\|1\|D)|(kpr)|(kdp)|(train st.+moving)|(\|lc)|(penalty))"</v>
      </c>
      <c r="AG173" s="182" t="str">
        <f t="shared" si="90"/>
        <v>NW</v>
      </c>
      <c r="AH173" s="78" t="str">
        <f t="shared" si="91"/>
        <v>"%USERPROFILE%\Documents\GitHub\eaglep3\Utilities\RefineRTDCRunTimes.py" --tripid 814-21 --locoid 4031 --swversion DE.1.0.9.0 --startMP 300:58653 --initTime 2017-09-21T09:25:15 --startdatetime 2017-09-21T09:33:14 --delay 110 --endMP 204:720 --enddatetime 2017-09-21T09:54:45 --enforcementcount 0 &gt;&gt;c:\users\stu\Documents\GitHub\eaglep3-reporting\EC\2017-09-21-refined-times.txt</v>
      </c>
      <c r="AI173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{"issue":{"subject":"","project_id":79,"tracker_id":40,"status_id":1,"priority_id":2,"assigned_to_id":338,"start_date":"2017-09-21","description":"","custom_fields":[{"id":1,"name":"Subdivision","value":"NW"},{"id":4,"name":"Milepost","value":"0.072"},{"id":17,"name":"Train ID","value":"814-21"},{"id":16,"name":"Locomotive ID","value":"4031"},{"id":130,"name":"Impact","value":""},{"id":150,"name":"Time of Event (Mountain Time)","value":"09:54:45"},{"id":151,"name":"Denver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93"/>
        <v>start /low /b %USERPROFILE%\Documents\GitHub\eaglep3\Utilities\DownloadLogsFromS3.py --loco 4031 --day 2017-09-21</v>
      </c>
      <c r="AN173" s="151" t="str">
        <f t="shared" si="94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15:54:45"},{"id":29,"name":"Sharepoint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95"/>
        <v>https://d0f6bd738d7f1b3e5a7ca70fe4ff75f0.us-east-1.aws.found.io/app/kibana#/discover/Steve-Slow-Train-Analysis-(2080s-and-2083s)?_g=(refreshInterval:(display:Off,pause:!f,section:0,value:0),time:(from:'2017-09-21T08:25:15-0600',mode:absolute,to:'2017-09-21T10:54:45-0600'))&amp;_a=(columns:!('Message%20ID',Summary),filters:!(),index:'emp_*',interval:auto,query:(query_string:(analyze_wildcard:!t,query:'Message%5C+ID:(*)+AND+%22rtdc.l.rtdc.4031%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597</v>
      </c>
      <c r="B174" s="7">
        <v>4032</v>
      </c>
      <c r="C174" s="21" t="s">
        <v>196</v>
      </c>
      <c r="D174" s="21" t="s">
        <v>932</v>
      </c>
      <c r="E174" s="13">
        <v>42999.414965277778</v>
      </c>
      <c r="F174" s="13">
        <v>42999.423460648148</v>
      </c>
      <c r="G174" s="7">
        <v>52</v>
      </c>
      <c r="H174" s="21" t="s">
        <v>933</v>
      </c>
      <c r="I174" s="13">
        <v>42999.432662037034</v>
      </c>
      <c r="J174" s="7">
        <v>0</v>
      </c>
      <c r="K174" s="89" t="str">
        <f t="shared" si="77"/>
        <v>4031/4032</v>
      </c>
      <c r="L174" s="185" t="str">
        <f>VLOOKUP(A174,'Trips&amp;Operators'!$C$1:$G$99911,5,FALSE)</f>
        <v>FORTUNATO FRANK</v>
      </c>
      <c r="M174" s="6">
        <f t="shared" si="78"/>
        <v>9.2013888861401938E-3</v>
      </c>
      <c r="N174" s="7">
        <f t="shared" si="79"/>
        <v>13.249999996041879</v>
      </c>
      <c r="O174" s="7"/>
      <c r="P174" s="7"/>
      <c r="Q174" s="22"/>
      <c r="R174" s="174"/>
      <c r="S174" s="221">
        <f t="shared" si="80"/>
        <v>1</v>
      </c>
      <c r="T174" s="174" t="str">
        <f t="shared" si="81"/>
        <v>NorthBound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 t="shared" si="82"/>
        <v>https://d0f6bd738d7f1b3e5a7ca70fe4ff75f0.us-east-1.aws.found.io/app/kibana#/discover/Steve-Slow-Train-Analysis-(2080s-and-2083s)?_g=(refreshInterval:(display:Off,pause:!f,section:0,value:0),time:(from:'2017-09-21T08:57:33-0600',mode:absolute,to:'2017-09-21T11:23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4" s="204" t="str">
        <f>IF(AA174&lt;VLOOKUP(AG174,Variables!$AC$3:$AD$8,2,FALSE),"Y","N")</f>
        <v>N</v>
      </c>
      <c r="X174" s="204">
        <f t="shared" si="83"/>
        <v>1</v>
      </c>
      <c r="Y174" s="204">
        <f t="shared" si="84"/>
        <v>0.1013</v>
      </c>
      <c r="Z174" s="204">
        <f t="shared" si="85"/>
        <v>5.8917999999999999</v>
      </c>
      <c r="AA174" s="204">
        <f t="shared" si="86"/>
        <v>5.7904999999999998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 t="shared" si="87"/>
        <v>815</v>
      </c>
      <c r="AE174" s="77" t="str">
        <f t="shared" si="88"/>
        <v>aws s3 cp s3://rtdc.mdm.uploadarchive.raw/RTDC4032/ "%USERPROFILE%\AppData\Local\Temp\OnboardLogs"\RTDC4032\2017-09-21 --exclude "*" --recursive --include "*20170921*" &amp; "%USERPROFILE%\Documents\GitHub\mrs-test-scripts\Headless Mode &amp; Sideloading\WalkAndUnGZ.bat" "%USERPROFILE%\AppData\Local\Temp\OnboardLogs"\RTDC4032\2017-09-21 &amp; aws s3 cp s3://rtdc.mdm.uploadarchive.raw/RTDC4032/ "%USERPROFILE%\AppData\Local\Temp\OnboardLogs"\RTDC4032\2017-09-22 --exclude "*" --recursive --include "*20170922*" &amp; "%USERPROFILE%\Documents\GitHub\mrs-test-scripts\Headless Mode &amp; Sideloading\WalkAndUnGZ.bat" "%USERPROFILE%\AppData\Local\Temp\OnboardLogs"\RTDC4032\2017-09-22</v>
      </c>
      <c r="AF174" s="74" t="str">
        <f t="shared" si="89"/>
        <v>"C:\Program Files (x86)\AstroGrep\AstroGrep.exe" /e /r /s /spath="%USERPROFILE%\AppData\Local\Temp\OnboardLogs" /stypes="app*4032*20170921*" /stext=" 16:.+((SYSTEM_STATE.+slice.+state.+changed )|(ment ac)|(multiple cpu faults)|(system.+state.+changed )|(\[timeout)|(PRM\|1\|D)|(kpr)|(kdp)|(train st.+moving)|(\|lc)|(penalty))"</v>
      </c>
      <c r="AG174" s="182" t="str">
        <f t="shared" si="90"/>
        <v>NW</v>
      </c>
      <c r="AH174" s="78" t="str">
        <f t="shared" si="91"/>
        <v>"%USERPROFILE%\Documents\GitHub\eaglep3\Utilities\RefineRTDCRunTimes.py" --tripid 815-21 --locoid 4032 --swversion DE.1.0.9.0 --startMP 204:1013 --initTime 2017-09-21T09:57:33 --startdatetime 2017-09-21T10:09:47 --delay 52 --endMP 300:58918 --enddatetime 2017-09-21T10:23:02 --enforcementcount 0 &gt;&gt;c:\users\stu\Documents\GitHub\eaglep3-reporting\EC\2017-09-21-refined-times.txt</v>
      </c>
      <c r="AI174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{"issue":{"subject":"","project_id":79,"tracker_id":40,"status_id":1,"priority_id":2,"assigned_to_id":338,"start_date":"2017-09-21","description":"","custom_fields":[{"id":1,"name":"Subdivision","value":"NW"},{"id":4,"name":"Milepost","value":"5.8918"},{"id":17,"name":"Train ID","value":"815-21"},{"id":16,"name":"Locomotive ID","value":"4032"},{"id":130,"name":"Impact","value":""},{"id":150,"name":"Time of Event (Mountain Time)","value":"10:23:02"},{"id":151,"name":"Denver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93"/>
        <v>start /low /b %USERPROFILE%\Documents\GitHub\eaglep3\Utilities\DownloadLogsFromS3.py --loco 4032 --day 2017-09-21</v>
      </c>
      <c r="AN174" s="151" t="str">
        <f t="shared" si="94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16:23:02"},{"id":29,"name":"Sharepoint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95"/>
        <v>https://d0f6bd738d7f1b3e5a7ca70fe4ff75f0.us-east-1.aws.found.io/app/kibana#/discover/Steve-Slow-Train-Analysis-(2080s-and-2083s)?_g=(refreshInterval:(display:Off,pause:!f,section:0,value:0),time:(from:'2017-09-21T08:57:33-0600',mode:absolute,to:'2017-09-21T11:23:02-0600'))&amp;_a=(columns:!('Message%20ID',Summary),filters:!(),index:'emp_*',interval:auto,query:(query_string:(analyze_wildcard:!t,query:'Message%5C+ID:(*)+AND+%22rtdc.l.rtdc.4032%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693</v>
      </c>
      <c r="B175" s="7">
        <v>4031</v>
      </c>
      <c r="C175" s="21" t="s">
        <v>196</v>
      </c>
      <c r="D175" s="21" t="s">
        <v>934</v>
      </c>
      <c r="E175" s="13">
        <v>42999.435266203705</v>
      </c>
      <c r="F175" s="13">
        <v>42999.439108796294</v>
      </c>
      <c r="G175" s="7">
        <v>57</v>
      </c>
      <c r="H175" s="21" t="s">
        <v>570</v>
      </c>
      <c r="I175" s="13">
        <v>42999.455451388887</v>
      </c>
      <c r="J175" s="7">
        <v>0</v>
      </c>
      <c r="K175" s="89" t="str">
        <f t="shared" si="77"/>
        <v>4031/4032</v>
      </c>
      <c r="L175" s="185" t="str">
        <f>VLOOKUP(A175,'Trips&amp;Operators'!$C$1:$G$99911,5,FALSE)</f>
        <v>FORTUNATO FRANK</v>
      </c>
      <c r="M175" s="6">
        <f t="shared" si="78"/>
        <v>1.6342592592991423E-2</v>
      </c>
      <c r="N175" s="7">
        <f t="shared" si="79"/>
        <v>23.533333333907649</v>
      </c>
      <c r="O175" s="7"/>
      <c r="P175" s="7"/>
      <c r="Q175" s="22"/>
      <c r="R175" s="174"/>
      <c r="S175" s="221">
        <f t="shared" si="80"/>
        <v>1</v>
      </c>
      <c r="T175" s="174" t="str">
        <f t="shared" si="81"/>
        <v>Southbound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 t="shared" si="82"/>
        <v>https://d0f6bd738d7f1b3e5a7ca70fe4ff75f0.us-east-1.aws.found.io/app/kibana#/discover/Steve-Slow-Train-Analysis-(2080s-and-2083s)?_g=(refreshInterval:(display:Off,pause:!f,section:0,value:0),time:(from:'2017-09-21T09:26:47-0600',mode:absolute,to:'2017-09-21T11:55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5" s="204" t="str">
        <f>IF(AA175&lt;VLOOKUP(AG175,Variables!$AC$3:$AD$8,2,FALSE),"Y","N")</f>
        <v>N</v>
      </c>
      <c r="X175" s="204">
        <f t="shared" si="83"/>
        <v>1</v>
      </c>
      <c r="Y175" s="204">
        <f t="shared" si="84"/>
        <v>5.8605999999999998</v>
      </c>
      <c r="Z175" s="204">
        <f t="shared" si="85"/>
        <v>6.9900000000000004E-2</v>
      </c>
      <c r="AA175" s="204">
        <f t="shared" si="86"/>
        <v>5.7907000000000002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 t="shared" si="87"/>
        <v>816</v>
      </c>
      <c r="AE175" s="77" t="str">
        <f t="shared" si="88"/>
        <v>aws s3 cp s3://rtdc.mdm.uploadarchive.raw/RTDC4031/ "%USERPROFILE%\AppData\Local\Temp\OnboardLogs"\RTDC4031\2017-09-21 --exclude "*" --recursive --include "*20170921*" &amp; "%USERPROFILE%\Documents\GitHub\mrs-test-scripts\Headless Mode &amp; Sideloading\WalkAndUnGZ.bat" "%USERPROFILE%\AppData\Local\Temp\OnboardLogs"\RTDC4031\2017-09-21 &amp; aws s3 cp s3://rtdc.mdm.uploadarchive.raw/RTDC4031/ "%USERPROFILE%\AppData\Local\Temp\OnboardLogs"\RTDC4031\2017-09-22 --exclude "*" --recursive --include "*20170922*" &amp; "%USERPROFILE%\Documents\GitHub\mrs-test-scripts\Headless Mode &amp; Sideloading\WalkAndUnGZ.bat" "%USERPROFILE%\AppData\Local\Temp\OnboardLogs"\RTDC4031\2017-09-22</v>
      </c>
      <c r="AF175" s="74" t="str">
        <f t="shared" si="89"/>
        <v>"C:\Program Files (x86)\AstroGrep\AstroGrep.exe" /e /r /s /spath="%USERPROFILE%\AppData\Local\Temp\OnboardLogs" /stypes="app*4031*20170921*" /stext=" 16:.+((SYSTEM_STATE.+slice.+state.+changed )|(ment ac)|(multiple cpu faults)|(system.+state.+changed )|(\[timeout)|(PRM\|1\|D)|(kpr)|(kdp)|(train st.+moving)|(\|lc)|(penalty))"</v>
      </c>
      <c r="AG175" s="182" t="str">
        <f t="shared" si="90"/>
        <v>NW</v>
      </c>
      <c r="AH175" s="78" t="str">
        <f t="shared" si="91"/>
        <v>"%USERPROFILE%\Documents\GitHub\eaglep3\Utilities\RefineRTDCRunTimes.py" --tripid 816-21 --locoid 4031 --swversion DE.1.0.9.0 --startMP 300:58606 --initTime 2017-09-21T10:26:47 --startdatetime 2017-09-21T10:32:19 --delay 57 --endMP 204:699 --enddatetime 2017-09-21T10:55:51 --enforcementcount 0 &gt;&gt;c:\users\stu\Documents\GitHub\eaglep3-reporting\EC\2017-09-21-refined-times.txt</v>
      </c>
      <c r="AI175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{"issue":{"subject":"","project_id":79,"tracker_id":40,"status_id":1,"priority_id":2,"assigned_to_id":338,"start_date":"2017-09-21","description":"","custom_fields":[{"id":1,"name":"Subdivision","value":"NW"},{"id":4,"name":"Milepost","value":"0.0699"},{"id":17,"name":"Train ID","value":"816-21"},{"id":16,"name":"Locomotive ID","value":"4031"},{"id":130,"name":"Impact","value":""},{"id":150,"name":"Time of Event (Mountain Time)","value":"10:55:51"},{"id":151,"name":"Denver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93"/>
        <v>start /low /b %USERPROFILE%\Documents\GitHub\eaglep3\Utilities\DownloadLogsFromS3.py --loco 4031 --day 2017-09-21</v>
      </c>
      <c r="AN175" s="151" t="str">
        <f t="shared" si="94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16:55:51"},{"id":29,"name":"Sharepoint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95"/>
        <v>https://d0f6bd738d7f1b3e5a7ca70fe4ff75f0.us-east-1.aws.found.io/app/kibana#/discover/Steve-Slow-Train-Analysis-(2080s-and-2083s)?_g=(refreshInterval:(display:Off,pause:!f,section:0,value:0),time:(from:'2017-09-21T09:26:47-0600',mode:absolute,to:'2017-09-21T11:55:51-0600'))&amp;_a=(columns:!('Message%20ID',Summary),filters:!(),index:'emp_*',interval:auto,query:(query_string:(analyze_wildcard:!t,query:'Message%5C+ID:(*)+AND+%22rtdc.l.rtdc.4031%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700</v>
      </c>
      <c r="B176" s="7">
        <v>4032</v>
      </c>
      <c r="C176" s="21" t="s">
        <v>196</v>
      </c>
      <c r="D176" s="21" t="s">
        <v>935</v>
      </c>
      <c r="E176" s="13">
        <v>42999.457013888888</v>
      </c>
      <c r="F176" s="13">
        <v>42999.46497685185</v>
      </c>
      <c r="G176" s="7">
        <v>49</v>
      </c>
      <c r="H176" s="21" t="s">
        <v>936</v>
      </c>
      <c r="I176" s="13">
        <v>42999.474618055552</v>
      </c>
      <c r="J176" s="7">
        <v>0</v>
      </c>
      <c r="K176" s="89" t="str">
        <f t="shared" si="77"/>
        <v>4031/4032</v>
      </c>
      <c r="L176" s="185" t="str">
        <f>VLOOKUP(A176,'Trips&amp;Operators'!$C$1:$G$99911,5,FALSE)</f>
        <v>FORTUNATO FRANK</v>
      </c>
      <c r="M176" s="6">
        <f t="shared" si="78"/>
        <v>9.6412037019035779E-3</v>
      </c>
      <c r="N176" s="7">
        <f t="shared" si="79"/>
        <v>13.883333330741152</v>
      </c>
      <c r="O176" s="7"/>
      <c r="P176" s="7"/>
      <c r="Q176" s="22"/>
      <c r="R176" s="174"/>
      <c r="S176" s="221">
        <f t="shared" si="80"/>
        <v>1</v>
      </c>
      <c r="T176" s="174" t="str">
        <f t="shared" si="81"/>
        <v>NorthBound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 t="shared" si="82"/>
        <v>https://d0f6bd738d7f1b3e5a7ca70fe4ff75f0.us-east-1.aws.found.io/app/kibana#/discover/Steve-Slow-Train-Analysis-(2080s-and-2083s)?_g=(refreshInterval:(display:Off,pause:!f,section:0,value:0),time:(from:'2017-09-21T09:58:06-0600',mode:absolute,to:'2017-09-21T12:23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6" s="204" t="str">
        <f>IF(AA176&lt;VLOOKUP(AG176,Variables!$AC$3:$AD$8,2,FALSE),"Y","N")</f>
        <v>N</v>
      </c>
      <c r="X176" s="204">
        <f t="shared" si="83"/>
        <v>1</v>
      </c>
      <c r="Y176" s="204">
        <f t="shared" si="84"/>
        <v>0.1009</v>
      </c>
      <c r="Z176" s="204">
        <f t="shared" si="85"/>
        <v>5.9005000000000001</v>
      </c>
      <c r="AA176" s="204">
        <f t="shared" si="86"/>
        <v>5.7995999999999999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 t="shared" si="87"/>
        <v>817</v>
      </c>
      <c r="AE176" s="77" t="str">
        <f t="shared" si="88"/>
        <v>aws s3 cp s3://rtdc.mdm.uploadarchive.raw/RTDC4032/ "%USERPROFILE%\AppData\Local\Temp\OnboardLogs"\RTDC4032\2017-09-21 --exclude "*" --recursive --include "*20170921*" &amp; "%USERPROFILE%\Documents\GitHub\mrs-test-scripts\Headless Mode &amp; Sideloading\WalkAndUnGZ.bat" "%USERPROFILE%\AppData\Local\Temp\OnboardLogs"\RTDC4032\2017-09-21 &amp; aws s3 cp s3://rtdc.mdm.uploadarchive.raw/RTDC4032/ "%USERPROFILE%\AppData\Local\Temp\OnboardLogs"\RTDC4032\2017-09-22 --exclude "*" --recursive --include "*20170922*" &amp; "%USERPROFILE%\Documents\GitHub\mrs-test-scripts\Headless Mode &amp; Sideloading\WalkAndUnGZ.bat" "%USERPROFILE%\AppData\Local\Temp\OnboardLogs"\RTDC4032\2017-09-22</v>
      </c>
      <c r="AF176" s="74" t="str">
        <f t="shared" si="89"/>
        <v>"C:\Program Files (x86)\AstroGrep\AstroGrep.exe" /e /r /s /spath="%USERPROFILE%\AppData\Local\Temp\OnboardLogs" /stypes="app*4032*20170921*" /stext=" 17:.+((SYSTEM_STATE.+slice.+state.+changed )|(ment ac)|(multiple cpu faults)|(system.+state.+changed )|(\[timeout)|(PRM\|1\|D)|(kpr)|(kdp)|(train st.+moving)|(\|lc)|(penalty))"</v>
      </c>
      <c r="AG176" s="182" t="str">
        <f t="shared" si="90"/>
        <v>NW</v>
      </c>
      <c r="AH176" s="78" t="str">
        <f t="shared" si="91"/>
        <v>"%USERPROFILE%\Documents\GitHub\eaglep3\Utilities\RefineRTDCRunTimes.py" --tripid 817-21 --locoid 4032 --swversion DE.1.0.9.0 --startMP 204:1009 --initTime 2017-09-21T10:58:06 --startdatetime 2017-09-21T11:09:34 --delay 49 --endMP 300:59005 --enddatetime 2017-09-21T11:23:27 --enforcementcount 0 &gt;&gt;c:\users\stu\Documents\GitHub\eaglep3-reporting\EC\2017-09-21-refined-times.txt</v>
      </c>
      <c r="AI176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{"issue":{"subject":"","project_id":79,"tracker_id":40,"status_id":1,"priority_id":2,"assigned_to_id":338,"start_date":"2017-09-21","description":"","custom_fields":[{"id":1,"name":"Subdivision","value":"NW"},{"id":4,"name":"Milepost","value":"5.9005"},{"id":17,"name":"Train ID","value":"817-21"},{"id":16,"name":"Locomotive ID","value":"4032"},{"id":130,"name":"Impact","value":""},{"id":150,"name":"Time of Event (Mountain Time)","value":"11:23:27"},{"id":151,"name":"Denver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93"/>
        <v>start /low /b %USERPROFILE%\Documents\GitHub\eaglep3\Utilities\DownloadLogsFromS3.py --loco 4032 --day 2017-09-21</v>
      </c>
      <c r="AN176" s="151" t="str">
        <f t="shared" si="94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17:23:27"},{"id":29,"name":"Sharepoint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95"/>
        <v>https://d0f6bd738d7f1b3e5a7ca70fe4ff75f0.us-east-1.aws.found.io/app/kibana#/discover/Steve-Slow-Train-Analysis-(2080s-and-2083s)?_g=(refreshInterval:(display:Off,pause:!f,section:0,value:0),time:(from:'2017-09-21T09:58:06-0600',mode:absolute,to:'2017-09-21T12:23:27-0600'))&amp;_a=(columns:!('Message%20ID',Summary),filters:!(),index:'emp_*',interval:auto,query:(query_string:(analyze_wildcard:!t,query:'Message%5C+ID:(*)+AND+%22rtdc.l.rtdc.4032%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705</v>
      </c>
      <c r="B177" s="7">
        <v>4031</v>
      </c>
      <c r="C177" s="21" t="s">
        <v>196</v>
      </c>
      <c r="D177" s="21" t="s">
        <v>937</v>
      </c>
      <c r="E177" s="13">
        <v>42999.476157407407</v>
      </c>
      <c r="F177" s="13">
        <v>42999.481469907405</v>
      </c>
      <c r="G177" s="7">
        <v>97</v>
      </c>
      <c r="H177" s="21" t="s">
        <v>575</v>
      </c>
      <c r="I177" s="13">
        <v>42999.496539351851</v>
      </c>
      <c r="J177" s="7">
        <v>0</v>
      </c>
      <c r="K177" s="89" t="str">
        <f t="shared" si="77"/>
        <v>4031/4032</v>
      </c>
      <c r="L177" s="185" t="str">
        <f>VLOOKUP(A177,'Trips&amp;Operators'!$C$1:$G$99911,5,FALSE)</f>
        <v>FORTUNATO FRANK</v>
      </c>
      <c r="M177" s="6">
        <f t="shared" si="78"/>
        <v>1.5069444445543922E-2</v>
      </c>
      <c r="N177" s="7">
        <f t="shared" si="79"/>
        <v>21.700000001583248</v>
      </c>
      <c r="O177" s="7"/>
      <c r="P177" s="7"/>
      <c r="Q177" s="22"/>
      <c r="R177" s="174"/>
      <c r="S177" s="221">
        <f t="shared" si="80"/>
        <v>1</v>
      </c>
      <c r="T177" s="174" t="str">
        <f t="shared" si="81"/>
        <v>Southbound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 t="shared" si="82"/>
        <v>https://d0f6bd738d7f1b3e5a7ca70fe4ff75f0.us-east-1.aws.found.io/app/kibana#/discover/Steve-Slow-Train-Analysis-(2080s-and-2083s)?_g=(refreshInterval:(display:Off,pause:!f,section:0,value:0),time:(from:'2017-09-21T10:25:40-0600',mode:absolute,to:'2017-09-21T12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7" s="204" t="str">
        <f>IF(AA177&lt;VLOOKUP(AG177,Variables!$AC$3:$AD$8,2,FALSE),"Y","N")</f>
        <v>N</v>
      </c>
      <c r="X177" s="204">
        <f t="shared" si="83"/>
        <v>1</v>
      </c>
      <c r="Y177" s="204">
        <f t="shared" si="84"/>
        <v>5.8685</v>
      </c>
      <c r="Z177" s="204">
        <f t="shared" si="85"/>
        <v>6.9800000000000001E-2</v>
      </c>
      <c r="AA177" s="204">
        <f t="shared" si="86"/>
        <v>5.7987000000000002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 t="shared" si="87"/>
        <v>818</v>
      </c>
      <c r="AE177" s="77" t="str">
        <f t="shared" si="88"/>
        <v>aws s3 cp s3://rtdc.mdm.uploadarchive.raw/RTDC4031/ "%USERPROFILE%\AppData\Local\Temp\OnboardLogs"\RTDC4031\2017-09-21 --exclude "*" --recursive --include "*20170921*" &amp; "%USERPROFILE%\Documents\GitHub\mrs-test-scripts\Headless Mode &amp; Sideloading\WalkAndUnGZ.bat" "%USERPROFILE%\AppData\Local\Temp\OnboardLogs"\RTDC4031\2017-09-21 &amp; aws s3 cp s3://rtdc.mdm.uploadarchive.raw/RTDC4031/ "%USERPROFILE%\AppData\Local\Temp\OnboardLogs"\RTDC4031\2017-09-22 --exclude "*" --recursive --include "*20170922*" &amp; "%USERPROFILE%\Documents\GitHub\mrs-test-scripts\Headless Mode &amp; Sideloading\WalkAndUnGZ.bat" "%USERPROFILE%\AppData\Local\Temp\OnboardLogs"\RTDC4031\2017-09-22</v>
      </c>
      <c r="AF177" s="74" t="str">
        <f t="shared" si="89"/>
        <v>"C:\Program Files (x86)\AstroGrep\AstroGrep.exe" /e /r /s /spath="%USERPROFILE%\AppData\Local\Temp\OnboardLogs" /stypes="app*4031*20170921*" /stext=" 17:.+((SYSTEM_STATE.+slice.+state.+changed )|(ment ac)|(multiple cpu faults)|(system.+state.+changed )|(\[timeout)|(PRM\|1\|D)|(kpr)|(kdp)|(train st.+moving)|(\|lc)|(penalty))"</v>
      </c>
      <c r="AG177" s="182" t="str">
        <f t="shared" si="90"/>
        <v>NW</v>
      </c>
      <c r="AH177" s="78" t="str">
        <f t="shared" si="91"/>
        <v>"%USERPROFILE%\Documents\GitHub\eaglep3\Utilities\RefineRTDCRunTimes.py" --tripid 818-21 --locoid 4031 --swversion DE.1.0.9.0 --startMP 300:58685 --initTime 2017-09-21T11:25:40 --startdatetime 2017-09-21T11:33:19 --delay 97 --endMP 204:698 --enddatetime 2017-09-21T11:55:01 --enforcementcount 0 &gt;&gt;c:\users\stu\Documents\GitHub\eaglep3-reporting\EC\2017-09-21-refined-times.txt</v>
      </c>
      <c r="AI177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{"issue":{"subject":"","project_id":79,"tracker_id":40,"status_id":1,"priority_id":2,"assigned_to_id":338,"start_date":"2017-09-21","description":"","custom_fields":[{"id":1,"name":"Subdivision","value":"NW"},{"id":4,"name":"Milepost","value":"0.0698"},{"id":17,"name":"Train ID","value":"818-21"},{"id":16,"name":"Locomotive ID","value":"4031"},{"id":130,"name":"Impact","value":""},{"id":150,"name":"Time of Event (Mountain Time)","value":"11:55:01"},{"id":151,"name":"Denver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93"/>
        <v>start /low /b %USERPROFILE%\Documents\GitHub\eaglep3\Utilities\DownloadLogsFromS3.py --loco 4031 --day 2017-09-21</v>
      </c>
      <c r="AN177" s="151" t="str">
        <f t="shared" si="94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17:55:01"},{"id":29,"name":"Sharepoint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95"/>
        <v>https://d0f6bd738d7f1b3e5a7ca70fe4ff75f0.us-east-1.aws.found.io/app/kibana#/discover/Steve-Slow-Train-Analysis-(2080s-and-2083s)?_g=(refreshInterval:(display:Off,pause:!f,section:0,value:0),time:(from:'2017-09-21T10:25:40-0600',mode:absolute,to:'2017-09-21T12:55:01-0600'))&amp;_a=(columns:!('Message%20ID',Summary),filters:!(),index:'emp_*',interval:auto,query:(query_string:(analyze_wildcard:!t,query:'Message%5C+ID:(*)+AND+%22rtdc.l.rtdc.4031%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710</v>
      </c>
      <c r="B178" s="7">
        <v>4032</v>
      </c>
      <c r="C178" s="21" t="s">
        <v>196</v>
      </c>
      <c r="D178" s="21" t="s">
        <v>902</v>
      </c>
      <c r="E178" s="13">
        <v>42999.498796296299</v>
      </c>
      <c r="F178" s="13">
        <v>42999.506423611114</v>
      </c>
      <c r="G178" s="7">
        <v>55</v>
      </c>
      <c r="H178" s="21" t="s">
        <v>938</v>
      </c>
      <c r="I178" s="13">
        <v>42999.516192129631</v>
      </c>
      <c r="J178" s="7">
        <v>0</v>
      </c>
      <c r="K178" s="89" t="str">
        <f t="shared" si="77"/>
        <v>4031/4032</v>
      </c>
      <c r="L178" s="185" t="str">
        <f>VLOOKUP(A178,'Trips&amp;Operators'!$C$1:$G$99911,5,FALSE)</f>
        <v>FORTUNATO FRANK</v>
      </c>
      <c r="M178" s="6">
        <f t="shared" si="78"/>
        <v>9.7685185173759237E-3</v>
      </c>
      <c r="N178" s="7">
        <f t="shared" si="79"/>
        <v>14.06666666502133</v>
      </c>
      <c r="O178" s="7"/>
      <c r="P178" s="7"/>
      <c r="Q178" s="22"/>
      <c r="R178" s="174"/>
      <c r="S178" s="221">
        <f t="shared" si="80"/>
        <v>1</v>
      </c>
      <c r="T178" s="174" t="str">
        <f t="shared" si="81"/>
        <v>NorthBound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 t="shared" si="82"/>
        <v>https://d0f6bd738d7f1b3e5a7ca70fe4ff75f0.us-east-1.aws.found.io/app/kibana#/discover/Steve-Slow-Train-Analysis-(2080s-and-2083s)?_g=(refreshInterval:(display:Off,pause:!f,section:0,value:0),time:(from:'2017-09-21T10:58:16-0600',mode:absolute,to:'2017-09-21T13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8" s="204" t="str">
        <f>IF(AA178&lt;VLOOKUP(AG178,Variables!$AC$3:$AD$8,2,FALSE),"Y","N")</f>
        <v>N</v>
      </c>
      <c r="X178" s="204">
        <f t="shared" si="83"/>
        <v>1</v>
      </c>
      <c r="Y178" s="204">
        <f t="shared" si="84"/>
        <v>9.9900000000000003E-2</v>
      </c>
      <c r="Z178" s="204">
        <f t="shared" si="85"/>
        <v>5.8994999999999997</v>
      </c>
      <c r="AA178" s="204">
        <f t="shared" si="86"/>
        <v>5.7995999999999999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 t="shared" si="87"/>
        <v>819</v>
      </c>
      <c r="AE178" s="77" t="str">
        <f t="shared" si="88"/>
        <v>aws s3 cp s3://rtdc.mdm.uploadarchive.raw/RTDC4032/ "%USERPROFILE%\AppData\Local\Temp\OnboardLogs"\RTDC4032\2017-09-21 --exclude "*" --recursive --include "*20170921*" &amp; "%USERPROFILE%\Documents\GitHub\mrs-test-scripts\Headless Mode &amp; Sideloading\WalkAndUnGZ.bat" "%USERPROFILE%\AppData\Local\Temp\OnboardLogs"\RTDC4032\2017-09-21 &amp; aws s3 cp s3://rtdc.mdm.uploadarchive.raw/RTDC4032/ "%USERPROFILE%\AppData\Local\Temp\OnboardLogs"\RTDC4032\2017-09-22 --exclude "*" --recursive --include "*20170922*" &amp; "%USERPROFILE%\Documents\GitHub\mrs-test-scripts\Headless Mode &amp; Sideloading\WalkAndUnGZ.bat" "%USERPROFILE%\AppData\Local\Temp\OnboardLogs"\RTDC4032\2017-09-22</v>
      </c>
      <c r="AF178" s="74" t="str">
        <f t="shared" si="89"/>
        <v>"C:\Program Files (x86)\AstroGrep\AstroGrep.exe" /e /r /s /spath="%USERPROFILE%\AppData\Local\Temp\OnboardLogs" /stypes="app*4032*20170921*" /stext=" 18:.+((SYSTEM_STATE.+slice.+state.+changed )|(ment ac)|(multiple cpu faults)|(system.+state.+changed )|(\[timeout)|(PRM\|1\|D)|(kpr)|(kdp)|(train st.+moving)|(\|lc)|(penalty))"</v>
      </c>
      <c r="AG178" s="182" t="str">
        <f t="shared" si="90"/>
        <v>NW</v>
      </c>
      <c r="AH178" s="78" t="str">
        <f t="shared" si="91"/>
        <v>"%USERPROFILE%\Documents\GitHub\eaglep3\Utilities\RefineRTDCRunTimes.py" --tripid 819-21 --locoid 4032 --swversion DE.1.0.9.0 --startMP 204:999 --initTime 2017-09-21T11:58:16 --startdatetime 2017-09-21T12:09:15 --delay 55 --endMP 300:58995 --enddatetime 2017-09-21T12:23:19 --enforcementcount 0 &gt;&gt;c:\users\stu\Documents\GitHub\eaglep3-reporting\EC\2017-09-21-refined-times.txt</v>
      </c>
      <c r="AI178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{"issue":{"subject":"","project_id":79,"tracker_id":40,"status_id":1,"priority_id":2,"assigned_to_id":338,"start_date":"2017-09-21","description":"","custom_fields":[{"id":1,"name":"Subdivision","value":"NW"},{"id":4,"name":"Milepost","value":"5.8995"},{"id":17,"name":"Train ID","value":"819-21"},{"id":16,"name":"Locomotive ID","value":"4032"},{"id":130,"name":"Impact","value":""},{"id":150,"name":"Time of Event (Mountain Time)","value":"12:23:19"},{"id":151,"name":"Denver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93"/>
        <v>start /low /b %USERPROFILE%\Documents\GitHub\eaglep3\Utilities\DownloadLogsFromS3.py --loco 4032 --day 2017-09-21</v>
      </c>
      <c r="AN178" s="151" t="str">
        <f t="shared" si="94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18:23:19"},{"id":29,"name":"Sharepoint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95"/>
        <v>https://d0f6bd738d7f1b3e5a7ca70fe4ff75f0.us-east-1.aws.found.io/app/kibana#/discover/Steve-Slow-Train-Analysis-(2080s-and-2083s)?_g=(refreshInterval:(display:Off,pause:!f,section:0,value:0),time:(from:'2017-09-21T10:58:16-0600',mode:absolute,to:'2017-09-21T13:23:19-0600'))&amp;_a=(columns:!('Message%20ID',Summary),filters:!(),index:'emp_*',interval:auto,query:(query_string:(analyze_wildcard:!t,query:'Message%5C+ID:(*)+AND+%22rtdc.l.rtdc.4032%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714</v>
      </c>
      <c r="B179" s="7">
        <v>4031</v>
      </c>
      <c r="C179" s="21" t="s">
        <v>196</v>
      </c>
      <c r="D179" s="21" t="s">
        <v>929</v>
      </c>
      <c r="E179" s="13">
        <v>42999.517627314817</v>
      </c>
      <c r="F179" s="13">
        <v>42999.52306712963</v>
      </c>
      <c r="G179" s="7">
        <v>141</v>
      </c>
      <c r="H179" s="21" t="s">
        <v>939</v>
      </c>
      <c r="I179" s="13">
        <v>42999.53802083333</v>
      </c>
      <c r="J179" s="7">
        <v>0</v>
      </c>
      <c r="K179" s="89" t="str">
        <f t="shared" si="77"/>
        <v>4031/4032</v>
      </c>
      <c r="L179" s="185" t="str">
        <f>VLOOKUP(A179,'Trips&amp;Operators'!$C$1:$G$99911,5,FALSE)</f>
        <v>FORTUNATO FRANK</v>
      </c>
      <c r="M179" s="6">
        <f t="shared" si="78"/>
        <v>1.4953703699575271E-2</v>
      </c>
      <c r="N179" s="7">
        <f t="shared" si="79"/>
        <v>21.533333327388391</v>
      </c>
      <c r="O179" s="7"/>
      <c r="P179" s="7"/>
      <c r="Q179" s="22"/>
      <c r="R179" s="174"/>
      <c r="S179" s="221">
        <f t="shared" si="80"/>
        <v>1</v>
      </c>
      <c r="T179" s="174" t="str">
        <f t="shared" si="81"/>
        <v>Southbound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 t="shared" si="82"/>
        <v>https://d0f6bd738d7f1b3e5a7ca70fe4ff75f0.us-east-1.aws.found.io/app/kibana#/discover/Steve-Slow-Train-Analysis-(2080s-and-2083s)?_g=(refreshInterval:(display:Off,pause:!f,section:0,value:0),time:(from:'2017-09-21T11:25:23-0600',mode:absolute,to:'2017-09-21T13:54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9" s="204" t="str">
        <f>IF(AA179&lt;VLOOKUP(AG179,Variables!$AC$3:$AD$8,2,FALSE),"Y","N")</f>
        <v>N</v>
      </c>
      <c r="X179" s="204">
        <f t="shared" si="83"/>
        <v>1</v>
      </c>
      <c r="Y179" s="204">
        <f t="shared" si="84"/>
        <v>5.8678999999999997</v>
      </c>
      <c r="Z179" s="204">
        <f t="shared" si="85"/>
        <v>7.2700000000000001E-2</v>
      </c>
      <c r="AA179" s="204">
        <f t="shared" si="86"/>
        <v>5.7951999999999995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 t="shared" si="87"/>
        <v>820</v>
      </c>
      <c r="AE179" s="77" t="str">
        <f t="shared" si="88"/>
        <v>aws s3 cp s3://rtdc.mdm.uploadarchive.raw/RTDC4031/ "%USERPROFILE%\AppData\Local\Temp\OnboardLogs"\RTDC4031\2017-09-21 --exclude "*" --recursive --include "*20170921*" &amp; "%USERPROFILE%\Documents\GitHub\mrs-test-scripts\Headless Mode &amp; Sideloading\WalkAndUnGZ.bat" "%USERPROFILE%\AppData\Local\Temp\OnboardLogs"\RTDC4031\2017-09-21 &amp; aws s3 cp s3://rtdc.mdm.uploadarchive.raw/RTDC4031/ "%USERPROFILE%\AppData\Local\Temp\OnboardLogs"\RTDC4031\2017-09-22 --exclude "*" --recursive --include "*20170922*" &amp; "%USERPROFILE%\Documents\GitHub\mrs-test-scripts\Headless Mode &amp; Sideloading\WalkAndUnGZ.bat" "%USERPROFILE%\AppData\Local\Temp\OnboardLogs"\RTDC4031\2017-09-22</v>
      </c>
      <c r="AF179" s="74" t="str">
        <f t="shared" si="89"/>
        <v>"C:\Program Files (x86)\AstroGrep\AstroGrep.exe" /e /r /s /spath="%USERPROFILE%\AppData\Local\Temp\OnboardLogs" /stypes="app*4031*20170921*" /stext=" 18:.+((SYSTEM_STATE.+slice.+state.+changed )|(ment ac)|(multiple cpu faults)|(system.+state.+changed )|(\[timeout)|(PRM\|1\|D)|(kpr)|(kdp)|(train st.+moving)|(\|lc)|(penalty))"</v>
      </c>
      <c r="AG179" s="182" t="str">
        <f t="shared" si="90"/>
        <v>NW</v>
      </c>
      <c r="AH179" s="78" t="str">
        <f t="shared" si="91"/>
        <v>"%USERPROFILE%\Documents\GitHub\eaglep3\Utilities\RefineRTDCRunTimes.py" --tripid 820-21 --locoid 4031 --swversion DE.1.0.9.0 --startMP 300:58679 --initTime 2017-09-21T12:25:23 --startdatetime 2017-09-21T12:33:13 --delay 141 --endMP 204:727 --enddatetime 2017-09-21T12:54:45 --enforcementcount 0 &gt;&gt;c:\users\stu\Documents\GitHub\eaglep3-reporting\EC\2017-09-21-refined-times.txt</v>
      </c>
      <c r="AI179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{"issue":{"subject":"","project_id":79,"tracker_id":40,"status_id":1,"priority_id":2,"assigned_to_id":338,"start_date":"2017-09-21","description":"","custom_fields":[{"id":1,"name":"Subdivision","value":"NW"},{"id":4,"name":"Milepost","value":"0.0727"},{"id":17,"name":"Train ID","value":"820-21"},{"id":16,"name":"Locomotive ID","value":"4031"},{"id":130,"name":"Impact","value":""},{"id":150,"name":"Time of Event (Mountain Time)","value":"12:54:45"},{"id":151,"name":"Denver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93"/>
        <v>start /low /b %USERPROFILE%\Documents\GitHub\eaglep3\Utilities\DownloadLogsFromS3.py --loco 4031 --day 2017-09-21</v>
      </c>
      <c r="AN179" s="151" t="str">
        <f t="shared" si="94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18:54:45"},{"id":29,"name":"Sharepoint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95"/>
        <v>https://d0f6bd738d7f1b3e5a7ca70fe4ff75f0.us-east-1.aws.found.io/app/kibana#/discover/Steve-Slow-Train-Analysis-(2080s-and-2083s)?_g=(refreshInterval:(display:Off,pause:!f,section:0,value:0),time:(from:'2017-09-21T11:25:23-0600',mode:absolute,to:'2017-09-21T13:54:45-0600'))&amp;_a=(columns:!('Message%20ID',Summary),filters:!(),index:'emp_*',interval:auto,query:(query_string:(analyze_wildcard:!t,query:'Message%5C+ID:(*)+AND+%22rtdc.l.rtdc.4031%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719</v>
      </c>
      <c r="B180" s="7">
        <v>4032</v>
      </c>
      <c r="C180" s="21" t="s">
        <v>196</v>
      </c>
      <c r="D180" s="21" t="s">
        <v>940</v>
      </c>
      <c r="E180" s="13">
        <v>42999.541006944448</v>
      </c>
      <c r="F180" s="13">
        <v>42999.548437500001</v>
      </c>
      <c r="G180" s="7">
        <v>98</v>
      </c>
      <c r="H180" s="21" t="s">
        <v>573</v>
      </c>
      <c r="I180" s="13">
        <v>42999.557442129626</v>
      </c>
      <c r="J180" s="7">
        <v>0</v>
      </c>
      <c r="K180" s="89" t="str">
        <f t="shared" si="77"/>
        <v>4031/4032</v>
      </c>
      <c r="L180" s="185" t="str">
        <f>VLOOKUP(A180,'Trips&amp;Operators'!$C$1:$G$99911,5,FALSE)</f>
        <v>STAMBAUGH JAMES</v>
      </c>
      <c r="M180" s="6">
        <f t="shared" si="78"/>
        <v>9.0046296245418489E-3</v>
      </c>
      <c r="N180" s="7">
        <f t="shared" si="79"/>
        <v>12.966666659340262</v>
      </c>
      <c r="O180" s="7"/>
      <c r="P180" s="7"/>
      <c r="Q180" s="22"/>
      <c r="R180" s="174"/>
      <c r="S180" s="221">
        <f t="shared" si="80"/>
        <v>1</v>
      </c>
      <c r="T180" s="174" t="str">
        <f t="shared" si="81"/>
        <v>NorthBound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 t="shared" si="82"/>
        <v>https://d0f6bd738d7f1b3e5a7ca70fe4ff75f0.us-east-1.aws.found.io/app/kibana#/discover/Steve-Slow-Train-Analysis-(2080s-and-2083s)?_g=(refreshInterval:(display:Off,pause:!f,section:0,value:0),time:(from:'2017-09-21T11:59:03-0600',mode:absolute,to:'2017-09-21T14:22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0" s="204" t="str">
        <f>IF(AA180&lt;VLOOKUP(AG180,Variables!$AC$3:$AD$8,2,FALSE),"Y","N")</f>
        <v>N</v>
      </c>
      <c r="X180" s="204">
        <f t="shared" si="83"/>
        <v>1</v>
      </c>
      <c r="Y180" s="204">
        <f t="shared" si="84"/>
        <v>0.10199999999999999</v>
      </c>
      <c r="Z180" s="204">
        <f t="shared" si="85"/>
        <v>5.8935000000000004</v>
      </c>
      <c r="AA180" s="204">
        <f t="shared" si="86"/>
        <v>5.7915000000000001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 t="shared" si="87"/>
        <v>821</v>
      </c>
      <c r="AE180" s="77" t="str">
        <f t="shared" si="88"/>
        <v>aws s3 cp s3://rtdc.mdm.uploadarchive.raw/RTDC4032/ "%USERPROFILE%\AppData\Local\Temp\OnboardLogs"\RTDC4032\2017-09-21 --exclude "*" --recursive --include "*20170921*" &amp; "%USERPROFILE%\Documents\GitHub\mrs-test-scripts\Headless Mode &amp; Sideloading\WalkAndUnGZ.bat" "%USERPROFILE%\AppData\Local\Temp\OnboardLogs"\RTDC4032\2017-09-21 &amp; aws s3 cp s3://rtdc.mdm.uploadarchive.raw/RTDC4032/ "%USERPROFILE%\AppData\Local\Temp\OnboardLogs"\RTDC4032\2017-09-22 --exclude "*" --recursive --include "*20170922*" &amp; "%USERPROFILE%\Documents\GitHub\mrs-test-scripts\Headless Mode &amp; Sideloading\WalkAndUnGZ.bat" "%USERPROFILE%\AppData\Local\Temp\OnboardLogs"\RTDC4032\2017-09-22</v>
      </c>
      <c r="AF180" s="74" t="str">
        <f t="shared" si="89"/>
        <v>"C:\Program Files (x86)\AstroGrep\AstroGrep.exe" /e /r /s /spath="%USERPROFILE%\AppData\Local\Temp\OnboardLogs" /stypes="app*4032*20170921*" /stext=" 19:.+((SYSTEM_STATE.+slice.+state.+changed )|(ment ac)|(multiple cpu faults)|(system.+state.+changed )|(\[timeout)|(PRM\|1\|D)|(kpr)|(kdp)|(train st.+moving)|(\|lc)|(penalty))"</v>
      </c>
      <c r="AG180" s="182" t="str">
        <f t="shared" si="90"/>
        <v>NW</v>
      </c>
      <c r="AH180" s="78" t="str">
        <f t="shared" si="91"/>
        <v>"%USERPROFILE%\Documents\GitHub\eaglep3\Utilities\RefineRTDCRunTimes.py" --tripid 821-21 --locoid 4032 --swversion DE.1.0.9.0 --startMP 204:1020 --initTime 2017-09-21T12:59:03 --startdatetime 2017-09-21T13:09:45 --delay 98 --endMP 300:58935 --enddatetime 2017-09-21T13:22:43 --enforcementcount 0 &gt;&gt;c:\users\stu\Documents\GitHub\eaglep3-reporting\EC\2017-09-21-refined-times.txt</v>
      </c>
      <c r="AI180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{"issue":{"subject":"","project_id":79,"tracker_id":40,"status_id":1,"priority_id":2,"assigned_to_id":338,"start_date":"2017-09-21","description":"","custom_fields":[{"id":1,"name":"Subdivision","value":"NW"},{"id":4,"name":"Milepost","value":"5.8935"},{"id":17,"name":"Train ID","value":"821-21"},{"id":16,"name":"Locomotive ID","value":"4032"},{"id":130,"name":"Impact","value":""},{"id":150,"name":"Time of Event (Mountain Time)","value":"13:22:43"},{"id":151,"name":"Denver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93"/>
        <v>start /low /b %USERPROFILE%\Documents\GitHub\eaglep3\Utilities\DownloadLogsFromS3.py --loco 4032 --day 2017-09-21</v>
      </c>
      <c r="AN180" s="151" t="str">
        <f t="shared" si="94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19:22:43"},{"id":29,"name":"Sharepoint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95"/>
        <v>https://d0f6bd738d7f1b3e5a7ca70fe4ff75f0.us-east-1.aws.found.io/app/kibana#/discover/Steve-Slow-Train-Analysis-(2080s-and-2083s)?_g=(refreshInterval:(display:Off,pause:!f,section:0,value:0),time:(from:'2017-09-21T11:59:03-0600',mode:absolute,to:'2017-09-21T14:22:43-0600'))&amp;_a=(columns:!('Message%20ID',Summary),filters:!(),index:'emp_*',interval:auto,query:(query_string:(analyze_wildcard:!t,query:'Message%5C+ID:(*)+AND+%22rtdc.l.rtdc.4032%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605</v>
      </c>
      <c r="B181" s="7">
        <v>4031</v>
      </c>
      <c r="C181" s="21" t="s">
        <v>196</v>
      </c>
      <c r="D181" s="21" t="s">
        <v>941</v>
      </c>
      <c r="E181" s="13">
        <v>42999.558495370373</v>
      </c>
      <c r="F181" s="13">
        <v>42999.570254629631</v>
      </c>
      <c r="G181" s="7">
        <v>336</v>
      </c>
      <c r="H181" s="21" t="s">
        <v>942</v>
      </c>
      <c r="I181" s="13">
        <v>42999.57984953704</v>
      </c>
      <c r="J181" s="7">
        <v>0</v>
      </c>
      <c r="K181" s="89" t="str">
        <f t="shared" si="77"/>
        <v>4031/4032</v>
      </c>
      <c r="L181" s="185" t="str">
        <f>VLOOKUP(A181,'Trips&amp;Operators'!$C$1:$G$99911,5,FALSE)</f>
        <v>STAMBAUGH JAMES</v>
      </c>
      <c r="M181" s="6">
        <f t="shared" si="78"/>
        <v>9.5949074093368836E-3</v>
      </c>
      <c r="N181" s="7">
        <f t="shared" si="79"/>
        <v>13.816666669445112</v>
      </c>
      <c r="O181" s="7"/>
      <c r="P181" s="7"/>
      <c r="Q181" s="22"/>
      <c r="R181" s="174"/>
      <c r="S181" s="221">
        <f t="shared" si="80"/>
        <v>1</v>
      </c>
      <c r="T181" s="174" t="str">
        <f t="shared" si="81"/>
        <v>Southbound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 t="shared" si="82"/>
        <v>https://d0f6bd738d7f1b3e5a7ca70fe4ff75f0.us-east-1.aws.found.io/app/kibana#/discover/Steve-Slow-Train-Analysis-(2080s-and-2083s)?_g=(refreshInterval:(display:Off,pause:!f,section:0,value:0),time:(from:'2017-09-21T12:24:14-0600',mode:absolute,to:'2017-09-21T14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1" s="204" t="str">
        <f>IF(AA181&lt;VLOOKUP(AG181,Variables!$AC$3:$AD$8,2,FALSE),"Y","N")</f>
        <v>N</v>
      </c>
      <c r="X181" s="204">
        <f t="shared" si="83"/>
        <v>1</v>
      </c>
      <c r="Y181" s="204">
        <f t="shared" si="84"/>
        <v>5.8620999999999999</v>
      </c>
      <c r="Z181" s="204">
        <f t="shared" si="85"/>
        <v>6.7100000000000007E-2</v>
      </c>
      <c r="AA181" s="204">
        <f t="shared" si="86"/>
        <v>5.7949999999999999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 t="shared" si="87"/>
        <v>822</v>
      </c>
      <c r="AE181" s="77" t="str">
        <f t="shared" si="88"/>
        <v>aws s3 cp s3://rtdc.mdm.uploadarchive.raw/RTDC4031/ "%USERPROFILE%\AppData\Local\Temp\OnboardLogs"\RTDC4031\2017-09-21 --exclude "*" --recursive --include "*20170921*" &amp; "%USERPROFILE%\Documents\GitHub\mrs-test-scripts\Headless Mode &amp; Sideloading\WalkAndUnGZ.bat" "%USERPROFILE%\AppData\Local\Temp\OnboardLogs"\RTDC4031\2017-09-21 &amp; aws s3 cp s3://rtdc.mdm.uploadarchive.raw/RTDC4031/ "%USERPROFILE%\AppData\Local\Temp\OnboardLogs"\RTDC4031\2017-09-22 --exclude "*" --recursive --include "*20170922*" &amp; "%USERPROFILE%\Documents\GitHub\mrs-test-scripts\Headless Mode &amp; Sideloading\WalkAndUnGZ.bat" "%USERPROFILE%\AppData\Local\Temp\OnboardLogs"\RTDC4031\2017-09-22</v>
      </c>
      <c r="AF181" s="74" t="str">
        <f t="shared" si="89"/>
        <v>"C:\Program Files (x86)\AstroGrep\AstroGrep.exe" /e /r /s /spath="%USERPROFILE%\AppData\Local\Temp\OnboardLogs" /stypes="app*4031*20170921*" /stext=" 19:.+((SYSTEM_STATE.+slice.+state.+changed )|(ment ac)|(multiple cpu faults)|(system.+state.+changed )|(\[timeout)|(PRM\|1\|D)|(kpr)|(kdp)|(train st.+moving)|(\|lc)|(penalty))"</v>
      </c>
      <c r="AG181" s="182" t="str">
        <f t="shared" si="90"/>
        <v>NW</v>
      </c>
      <c r="AH181" s="78" t="str">
        <f t="shared" si="91"/>
        <v>"%USERPROFILE%\Documents\GitHub\eaglep3\Utilities\RefineRTDCRunTimes.py" --tripid 822-21 --locoid 4031 --swversion DE.1.0.9.0 --startMP 300:58621 --initTime 2017-09-21T13:24:14 --startdatetime 2017-09-21T13:41:10 --delay 336 --endMP 204:671 --enddatetime 2017-09-21T13:54:59 --enforcementcount 0 &gt;&gt;c:\users\stu\Documents\GitHub\eaglep3-reporting\EC\2017-09-21-refined-times.txt</v>
      </c>
      <c r="AI181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{"issue":{"subject":"","project_id":79,"tracker_id":40,"status_id":1,"priority_id":2,"assigned_to_id":338,"start_date":"2017-09-21","description":"","custom_fields":[{"id":1,"name":"Subdivision","value":"NW"},{"id":4,"name":"Milepost","value":"0.0671"},{"id":17,"name":"Train ID","value":"822-21"},{"id":16,"name":"Locomotive ID","value":"4031"},{"id":130,"name":"Impact","value":""},{"id":150,"name":"Time of Event (Mountain Time)","value":"13:54:59"},{"id":151,"name":"Denver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93"/>
        <v>start /low /b %USERPROFILE%\Documents\GitHub\eaglep3\Utilities\DownloadLogsFromS3.py --loco 4031 --day 2017-09-21</v>
      </c>
      <c r="AN181" s="151" t="str">
        <f t="shared" si="94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19:54:59"},{"id":29,"name":"Sharepoint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95"/>
        <v>https://d0f6bd738d7f1b3e5a7ca70fe4ff75f0.us-east-1.aws.found.io/app/kibana#/discover/Steve-Slow-Train-Analysis-(2080s-and-2083s)?_g=(refreshInterval:(display:Off,pause:!f,section:0,value:0),time:(from:'2017-09-21T12:24:14-0600',mode:absolute,to:'2017-09-21T14:54:59-0600'))&amp;_a=(columns:!('Message%20ID',Summary),filters:!(),index:'emp_*',interval:auto,query:(query_string:(analyze_wildcard:!t,query:'Message%5C+ID:(*)+AND+%22rtdc.l.rtdc.4031%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727</v>
      </c>
      <c r="B182" s="7">
        <v>4032</v>
      </c>
      <c r="C182" s="21" t="s">
        <v>196</v>
      </c>
      <c r="D182" s="21" t="s">
        <v>473</v>
      </c>
      <c r="E182" s="13">
        <v>42999.587129629632</v>
      </c>
      <c r="F182" s="13">
        <v>42999.59</v>
      </c>
      <c r="G182" s="7">
        <v>77</v>
      </c>
      <c r="H182" s="21" t="s">
        <v>943</v>
      </c>
      <c r="I182" s="13">
        <v>42999.599236111113</v>
      </c>
      <c r="J182" s="7">
        <v>0</v>
      </c>
      <c r="K182" s="89" t="str">
        <f t="shared" si="77"/>
        <v>4031/4032</v>
      </c>
      <c r="L182" s="185" t="str">
        <f>VLOOKUP(A182,'Trips&amp;Operators'!$C$1:$G$99911,5,FALSE)</f>
        <v>STAMBAUGH JAMES</v>
      </c>
      <c r="M182" s="6">
        <f t="shared" si="78"/>
        <v>9.236111116479151E-3</v>
      </c>
      <c r="N182" s="7">
        <f t="shared" si="79"/>
        <v>13.300000007729977</v>
      </c>
      <c r="O182" s="7"/>
      <c r="P182" s="7"/>
      <c r="Q182" s="22"/>
      <c r="R182" s="174"/>
      <c r="S182" s="221">
        <f t="shared" si="80"/>
        <v>1</v>
      </c>
      <c r="T182" s="174" t="str">
        <f t="shared" si="81"/>
        <v>NorthBound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 t="shared" si="82"/>
        <v>https://d0f6bd738d7f1b3e5a7ca70fe4ff75f0.us-east-1.aws.found.io/app/kibana#/discover/Steve-Slow-Train-Analysis-(2080s-and-2083s)?_g=(refreshInterval:(display:Off,pause:!f,section:0,value:0),time:(from:'2017-09-21T13:05:28-0600',mode:absolute,to:'2017-09-21T15:22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2" s="204" t="str">
        <f>IF(AA182&lt;VLOOKUP(AG182,Variables!$AC$3:$AD$8,2,FALSE),"Y","N")</f>
        <v>N</v>
      </c>
      <c r="X182" s="204">
        <f t="shared" si="83"/>
        <v>1</v>
      </c>
      <c r="Y182" s="204">
        <f t="shared" si="84"/>
        <v>9.7100000000000006E-2</v>
      </c>
      <c r="Z182" s="204">
        <f t="shared" si="85"/>
        <v>5.8940999999999999</v>
      </c>
      <c r="AA182" s="204">
        <f t="shared" si="86"/>
        <v>5.7969999999999997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 t="shared" si="87"/>
        <v>823</v>
      </c>
      <c r="AE182" s="77" t="str">
        <f t="shared" si="88"/>
        <v>aws s3 cp s3://rtdc.mdm.uploadarchive.raw/RTDC4032/ "%USERPROFILE%\AppData\Local\Temp\OnboardLogs"\RTDC4032\2017-09-21 --exclude "*" --recursive --include "*20170921*" &amp; "%USERPROFILE%\Documents\GitHub\mrs-test-scripts\Headless Mode &amp; Sideloading\WalkAndUnGZ.bat" "%USERPROFILE%\AppData\Local\Temp\OnboardLogs"\RTDC4032\2017-09-21 &amp; aws s3 cp s3://rtdc.mdm.uploadarchive.raw/RTDC4032/ "%USERPROFILE%\AppData\Local\Temp\OnboardLogs"\RTDC4032\2017-09-22 --exclude "*" --recursive --include "*20170922*" &amp; "%USERPROFILE%\Documents\GitHub\mrs-test-scripts\Headless Mode &amp; Sideloading\WalkAndUnGZ.bat" "%USERPROFILE%\AppData\Local\Temp\OnboardLogs"\RTDC4032\2017-09-22</v>
      </c>
      <c r="AF182" s="74" t="str">
        <f t="shared" si="89"/>
        <v>"C:\Program Files (x86)\AstroGrep\AstroGrep.exe" /e /r /s /spath="%USERPROFILE%\AppData\Local\Temp\OnboardLogs" /stypes="app*4032*20170921*" /stext=" 20:.+((SYSTEM_STATE.+slice.+state.+changed )|(ment ac)|(multiple cpu faults)|(system.+state.+changed )|(\[timeout)|(PRM\|1\|D)|(kpr)|(kdp)|(train st.+moving)|(\|lc)|(penalty))"</v>
      </c>
      <c r="AG182" s="182" t="str">
        <f t="shared" si="90"/>
        <v>NW</v>
      </c>
      <c r="AH182" s="78" t="str">
        <f t="shared" si="91"/>
        <v>"%USERPROFILE%\Documents\GitHub\eaglep3\Utilities\RefineRTDCRunTimes.py" --tripid 823-21 --locoid 4032 --swversion DE.1.0.9.0 --startMP 204:971 --initTime 2017-09-21T14:05:28 --startdatetime 2017-09-21T14:09:36 --delay 77 --endMP 300:58941 --enddatetime 2017-09-21T14:22:54 --enforcementcount 0 &gt;&gt;c:\users\stu\Documents\GitHub\eaglep3-reporting\EC\2017-09-21-refined-times.txt</v>
      </c>
      <c r="AI182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{"issue":{"subject":"","project_id":79,"tracker_id":40,"status_id":1,"priority_id":2,"assigned_to_id":338,"start_date":"2017-09-21","description":"","custom_fields":[{"id":1,"name":"Subdivision","value":"NW"},{"id":4,"name":"Milepost","value":"5.8941"},{"id":17,"name":"Train ID","value":"823-21"},{"id":16,"name":"Locomotive ID","value":"4032"},{"id":130,"name":"Impact","value":""},{"id":150,"name":"Time of Event (Mountain Time)","value":"14:22:54"},{"id":151,"name":"Denver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93"/>
        <v>start /low /b %USERPROFILE%\Documents\GitHub\eaglep3\Utilities\DownloadLogsFromS3.py --loco 4032 --day 2017-09-21</v>
      </c>
      <c r="AN182" s="151" t="str">
        <f t="shared" si="94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20:22:54"},{"id":29,"name":"Sharepoint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95"/>
        <v>https://d0f6bd738d7f1b3e5a7ca70fe4ff75f0.us-east-1.aws.found.io/app/kibana#/discover/Steve-Slow-Train-Analysis-(2080s-and-2083s)?_g=(refreshInterval:(display:Off,pause:!f,section:0,value:0),time:(from:'2017-09-21T13:05:28-0600',mode:absolute,to:'2017-09-21T15:22:54-0600'))&amp;_a=(columns:!('Message%20ID',Summary),filters:!(),index:'emp_*',interval:auto,query:(query_string:(analyze_wildcard:!t,query:'Message%5C+ID:(*)+AND+%22rtdc.l.rtdc.4032%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733</v>
      </c>
      <c r="B183" s="7">
        <v>4031</v>
      </c>
      <c r="C183" s="21" t="s">
        <v>196</v>
      </c>
      <c r="D183" s="21" t="s">
        <v>569</v>
      </c>
      <c r="E183" s="13">
        <v>42999.600300925929</v>
      </c>
      <c r="F183" s="13">
        <v>42999.612083333333</v>
      </c>
      <c r="G183" s="7">
        <v>58</v>
      </c>
      <c r="H183" s="21" t="s">
        <v>945</v>
      </c>
      <c r="I183" s="13">
        <v>42999.620810185188</v>
      </c>
      <c r="J183" s="7">
        <v>0</v>
      </c>
      <c r="K183" s="89" t="str">
        <f t="shared" si="77"/>
        <v>4031/4032</v>
      </c>
      <c r="L183" s="185" t="str">
        <f>VLOOKUP(A183,'Trips&amp;Operators'!$C$1:$G$99911,5,FALSE)</f>
        <v>STAMBAUGH JAMES</v>
      </c>
      <c r="M183" s="6">
        <f t="shared" si="78"/>
        <v>8.7268518545897678E-3</v>
      </c>
      <c r="N183" s="7"/>
      <c r="O183" s="7"/>
      <c r="P183" s="7"/>
      <c r="Q183" s="22"/>
      <c r="R183" s="174"/>
      <c r="S183" s="221"/>
      <c r="T183" s="174" t="str">
        <f t="shared" si="81"/>
        <v>Southbound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0</v>
      </c>
      <c r="V183" s="216" t="str">
        <f t="shared" si="82"/>
        <v>https://d0f6bd738d7f1b3e5a7ca70fe4ff75f0.us-east-1.aws.found.io/app/kibana#/discover/Steve-Slow-Train-Analysis-(2080s-and-2083s)?_g=(refreshInterval:(display:Off,pause:!f,section:0,value:0),time:(from:'2017-09-21T13:24:26-0600',mode:absolute,to:'2017-09-21T15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3" s="204" t="str">
        <f>IF(AA183&lt;VLOOKUP(AG183,Variables!$AC$3:$AD$8,2,FALSE),"Y","N")</f>
        <v>Y</v>
      </c>
      <c r="X183" s="204">
        <f t="shared" si="83"/>
        <v>1</v>
      </c>
      <c r="Y183" s="204">
        <f t="shared" si="84"/>
        <v>5.8625999999999996</v>
      </c>
      <c r="Z183" s="204">
        <f t="shared" si="85"/>
        <v>5.8630000000000004</v>
      </c>
      <c r="AA183" s="204">
        <f t="shared" si="86"/>
        <v>4.0000000000084412E-4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 t="shared" si="87"/>
        <v>824</v>
      </c>
      <c r="AE183" s="77" t="str">
        <f t="shared" si="88"/>
        <v>aws s3 cp s3://rtdc.mdm.uploadarchive.raw/RTDC4031/ "%USERPROFILE%\AppData\Local\Temp\OnboardLogs"\RTDC4031\2017-09-21 --exclude "*" --recursive --include "*20170921*" &amp; "%USERPROFILE%\Documents\GitHub\mrs-test-scripts\Headless Mode &amp; Sideloading\WalkAndUnGZ.bat" "%USERPROFILE%\AppData\Local\Temp\OnboardLogs"\RTDC4031\2017-09-21 &amp; aws s3 cp s3://rtdc.mdm.uploadarchive.raw/RTDC4031/ "%USERPROFILE%\AppData\Local\Temp\OnboardLogs"\RTDC4031\2017-09-22 --exclude "*" --recursive --include "*20170922*" &amp; "%USERPROFILE%\Documents\GitHub\mrs-test-scripts\Headless Mode &amp; Sideloading\WalkAndUnGZ.bat" "%USERPROFILE%\AppData\Local\Temp\OnboardLogs"\RTDC4031\2017-09-22</v>
      </c>
      <c r="AF183" s="74" t="str">
        <f t="shared" si="89"/>
        <v>"C:\Program Files (x86)\AstroGrep\AstroGrep.exe" /e /r /s /spath="%USERPROFILE%\AppData\Local\Temp\OnboardLogs" /stypes="app*4031*20170921*" /stext=" 20:.+((SYSTEM_STATE.+slice.+state.+changed )|(ment ac)|(multiple cpu faults)|(system.+state.+changed )|(\[timeout)|(PRM\|1\|D)|(kpr)|(kdp)|(train st.+moving)|(\|lc)|(penalty))"</v>
      </c>
      <c r="AG183" s="182" t="str">
        <f t="shared" si="90"/>
        <v>NW</v>
      </c>
      <c r="AH183" s="78" t="str">
        <f t="shared" si="91"/>
        <v>"%USERPROFILE%\Documents\GitHub\eaglep3\Utilities\RefineRTDCRunTimes.py" --tripid 824-21 --locoid 4031 --swversion DE.1.0.9.0 --startMP 300:58626 --initTime 2017-09-21T14:24:26 --startdatetime 2017-09-21T14:41:24 --delay 58 --endMP 300:58630 --enddatetime 2017-09-21T14:53:58 --enforcementcount 0 &gt;&gt;c:\users\stu\Documents\GitHub\eaglep3-reporting\EC\2017-09-21-refined-times.txt</v>
      </c>
      <c r="AI183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{"issue":{"subject":"","project_id":79,"tracker_id":40,"status_id":1,"priority_id":2,"assigned_to_id":338,"start_date":"2017-09-21","description":"","custom_fields":[{"id":1,"name":"Subdivision","value":"NW"},{"id":4,"name":"Milepost","value":"5.863"},{"id":17,"name":"Train ID","value":"824-21"},{"id":16,"name":"Locomotive ID","value":"4031"},{"id":130,"name":"Impact","value":""},{"id":150,"name":"Time of Event (Mountain Time)","value":"14:53:58"},{"id":151,"name":"Denver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93"/>
        <v>start /low /b %USERPROFILE%\Documents\GitHub\eaglep3\Utilities\DownloadLogsFromS3.py --loco 4031 --day 2017-09-21</v>
      </c>
      <c r="AN183" s="151" t="str">
        <f t="shared" si="94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20:53:58"},{"id":29,"name":"Sharepoint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95"/>
        <v>https://d0f6bd738d7f1b3e5a7ca70fe4ff75f0.us-east-1.aws.found.io/app/kibana#/discover/Steve-Slow-Train-Analysis-(2080s-and-2083s)?_g=(refreshInterval:(display:Off,pause:!f,section:0,value:0),time:(from:'2017-09-21T13:24:26-0600',mode:absolute,to:'2017-09-21T15:53:58-0600'))&amp;_a=(columns:!('Message%20ID',Summary),filters:!(),index:'emp_*',interval:auto,query:(query_string:(analyze_wildcard:!t,query:'Message%5C+ID:(*)+AND+%22rtdc.l.rtdc.4031%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733</v>
      </c>
      <c r="B184" s="7">
        <v>4031</v>
      </c>
      <c r="C184" s="21" t="s">
        <v>196</v>
      </c>
      <c r="D184" s="21" t="s">
        <v>941</v>
      </c>
      <c r="E184" s="13">
        <v>42999.610844907409</v>
      </c>
      <c r="F184" s="13">
        <v>42999.612083333333</v>
      </c>
      <c r="G184" s="7">
        <v>57</v>
      </c>
      <c r="H184" s="21" t="s">
        <v>944</v>
      </c>
      <c r="I184" s="13">
        <v>42999.620810185188</v>
      </c>
      <c r="J184" s="7">
        <v>0</v>
      </c>
      <c r="K184" s="89" t="str">
        <f t="shared" si="77"/>
        <v>4031/4032</v>
      </c>
      <c r="L184" s="185" t="str">
        <f>VLOOKUP(A184,'Trips&amp;Operators'!$C$1:$G$99911,5,FALSE)</f>
        <v>STAMBAUGH JAMES</v>
      </c>
      <c r="M184" s="6">
        <f t="shared" si="78"/>
        <v>8.7268518545897678E-3</v>
      </c>
      <c r="N184" s="7">
        <f t="shared" si="79"/>
        <v>12.566666670609266</v>
      </c>
      <c r="O184" s="7"/>
      <c r="P184" s="7"/>
      <c r="Q184" s="22"/>
      <c r="R184" s="174"/>
      <c r="S184" s="221">
        <f t="shared" si="80"/>
        <v>1</v>
      </c>
      <c r="T184" s="174" t="str">
        <f t="shared" si="81"/>
        <v>Southbound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 t="shared" si="82"/>
        <v>https://d0f6bd738d7f1b3e5a7ca70fe4ff75f0.us-east-1.aws.found.io/app/kibana#/discover/Steve-Slow-Train-Analysis-(2080s-and-2083s)?_g=(refreshInterval:(display:Off,pause:!f,section:0,value:0),time:(from:'2017-09-21T13:39:37-0600',mode:absolute,to:'2017-09-21T15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4" s="204" t="str">
        <f>IF(AA184&lt;VLOOKUP(AG184,Variables!$AC$3:$AD$8,2,FALSE),"Y","N")</f>
        <v>N</v>
      </c>
      <c r="X184" s="204">
        <f t="shared" si="83"/>
        <v>0</v>
      </c>
      <c r="Y184" s="204">
        <f t="shared" si="84"/>
        <v>5.8620999999999999</v>
      </c>
      <c r="Z184" s="204">
        <f t="shared" si="85"/>
        <v>6.4699999999999994E-2</v>
      </c>
      <c r="AA184" s="204">
        <f t="shared" si="86"/>
        <v>5.7973999999999997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 t="shared" si="87"/>
        <v>824</v>
      </c>
      <c r="AE184" s="77" t="str">
        <f t="shared" si="88"/>
        <v>aws s3 cp s3://rtdc.mdm.uploadarchive.raw/RTDC4031/ "%USERPROFILE%\AppData\Local\Temp\OnboardLogs"\RTDC4031\2017-09-21 --exclude "*" --recursive --include "*20170921*" &amp; "%USERPROFILE%\Documents\GitHub\mrs-test-scripts\Headless Mode &amp; Sideloading\WalkAndUnGZ.bat" "%USERPROFILE%\AppData\Local\Temp\OnboardLogs"\RTDC4031\2017-09-21 &amp; aws s3 cp s3://rtdc.mdm.uploadarchive.raw/RTDC4031/ "%USERPROFILE%\AppData\Local\Temp\OnboardLogs"\RTDC4031\2017-09-22 --exclude "*" --recursive --include "*20170922*" &amp; "%USERPROFILE%\Documents\GitHub\mrs-test-scripts\Headless Mode &amp; Sideloading\WalkAndUnGZ.bat" "%USERPROFILE%\AppData\Local\Temp\OnboardLogs"\RTDC4031\2017-09-22</v>
      </c>
      <c r="AF184" s="74" t="str">
        <f t="shared" si="89"/>
        <v>"C:\Program Files (x86)\AstroGrep\AstroGrep.exe" /e /r /s /spath="%USERPROFILE%\AppData\Local\Temp\OnboardLogs" /stypes="app*4031*20170921*" /stext=" 20:.+((SYSTEM_STATE.+slice.+state.+changed )|(ment ac)|(multiple cpu faults)|(system.+state.+changed )|(\[timeout)|(PRM\|1\|D)|(kpr)|(kdp)|(train st.+moving)|(\|lc)|(penalty))"</v>
      </c>
      <c r="AG184" s="182" t="str">
        <f t="shared" si="90"/>
        <v>NW</v>
      </c>
      <c r="AH184" s="78" t="str">
        <f t="shared" si="91"/>
        <v>"%USERPROFILE%\Documents\GitHub\eaglep3\Utilities\RefineRTDCRunTimes.py" --tripid 824-21 --locoid 4031 --swversion DE.1.0.9.0 --startMP 300:58621 --initTime 2017-09-21T14:39:37 --startdatetime 2017-09-21T14:41:24 --delay 57 --endMP 204:647 --enddatetime 2017-09-21T14:53:58 --enforcementcount 0 &gt;&gt;c:\users\stu\Documents\GitHub\eaglep3-reporting\EC\2017-09-21-refined-times.txt</v>
      </c>
      <c r="AI184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{"issue":{"subject":"","project_id":79,"tracker_id":40,"status_id":1,"priority_id":2,"assigned_to_id":338,"start_date":"2017-09-21","description":"","custom_fields":[{"id":1,"name":"Subdivision","value":"NW"},{"id":4,"name":"Milepost","value":"0.0647"},{"id":17,"name":"Train ID","value":"824-21"},{"id":16,"name":"Locomotive ID","value":"4031"},{"id":130,"name":"Impact","value":""},{"id":150,"name":"Time of Event (Mountain Time)","value":"14:53:58"},{"id":151,"name":"Denver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93"/>
        <v>start /low /b %USERPROFILE%\Documents\GitHub\eaglep3\Utilities\DownloadLogsFromS3.py --loco 4031 --day 2017-09-21</v>
      </c>
      <c r="AN184" s="151" t="str">
        <f t="shared" si="94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20:53:58"},{"id":29,"name":"Sharepoint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95"/>
        <v>https://d0f6bd738d7f1b3e5a7ca70fe4ff75f0.us-east-1.aws.found.io/app/kibana#/discover/Steve-Slow-Train-Analysis-(2080s-and-2083s)?_g=(refreshInterval:(display:Off,pause:!f,section:0,value:0),time:(from:'2017-09-21T13:39:37-0600',mode:absolute,to:'2017-09-21T15:53:58-0600'))&amp;_a=(columns:!('Message%20ID',Summary),filters:!(),index:'emp_*',interval:auto,query:(query_string:(analyze_wildcard:!t,query:'Message%5C+ID:(*)+AND+%22rtdc.l.rtdc.4031%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736</v>
      </c>
      <c r="B185" s="7">
        <v>4032</v>
      </c>
      <c r="C185" s="21" t="s">
        <v>196</v>
      </c>
      <c r="D185" s="21" t="s">
        <v>946</v>
      </c>
      <c r="E185" s="13">
        <v>42999.629756944443</v>
      </c>
      <c r="F185" s="13">
        <v>42999.631747685184</v>
      </c>
      <c r="G185" s="7">
        <v>71</v>
      </c>
      <c r="H185" s="21" t="s">
        <v>943</v>
      </c>
      <c r="I185" s="13">
        <v>42999.640763888892</v>
      </c>
      <c r="J185" s="7">
        <v>0</v>
      </c>
      <c r="K185" s="89" t="str">
        <f t="shared" si="77"/>
        <v>4031/4032</v>
      </c>
      <c r="L185" s="185" t="str">
        <f>VLOOKUP(A185,'Trips&amp;Operators'!$C$1:$G$99911,5,FALSE)</f>
        <v>STAMBAUGH JAMES</v>
      </c>
      <c r="M185" s="6">
        <f t="shared" si="78"/>
        <v>9.0162037085974589E-3</v>
      </c>
      <c r="N185" s="7">
        <f t="shared" si="79"/>
        <v>12.983333340380341</v>
      </c>
      <c r="O185" s="7"/>
      <c r="P185" s="7"/>
      <c r="Q185" s="22"/>
      <c r="R185" s="174" t="s">
        <v>1002</v>
      </c>
      <c r="S185" s="221">
        <f t="shared" si="80"/>
        <v>1</v>
      </c>
      <c r="T185" s="174" t="str">
        <f t="shared" si="81"/>
        <v>NorthBound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-09-21T14:06:51-0600',mode:absolute,to:'2017-09-21T16:22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5" s="204" t="str">
        <f>IF(AA185&lt;VLOOKUP(AG185,Variables!$AC$3:$AD$8,2,FALSE),"Y","N")</f>
        <v>N</v>
      </c>
      <c r="X185" s="204">
        <f t="shared" si="83"/>
        <v>1</v>
      </c>
      <c r="Y185" s="204">
        <f t="shared" si="84"/>
        <v>9.74E-2</v>
      </c>
      <c r="Z185" s="204">
        <f t="shared" si="85"/>
        <v>5.8940999999999999</v>
      </c>
      <c r="AA185" s="204">
        <f t="shared" si="86"/>
        <v>5.7966999999999995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 t="shared" si="87"/>
        <v>825</v>
      </c>
      <c r="AE185" s="77" t="str">
        <f t="shared" si="88"/>
        <v>aws s3 cp s3://rtdc.mdm.uploadarchive.raw/RTDC4032/ "%USERPROFILE%\AppData\Local\Temp\OnboardLogs"\RTDC4032\2017-09-21 --exclude "*" --recursive --include "*20170921*" &amp; "%USERPROFILE%\Documents\GitHub\mrs-test-scripts\Headless Mode &amp; Sideloading\WalkAndUnGZ.bat" "%USERPROFILE%\AppData\Local\Temp\OnboardLogs"\RTDC4032\2017-09-21 &amp; aws s3 cp s3://rtdc.mdm.uploadarchive.raw/RTDC4032/ "%USERPROFILE%\AppData\Local\Temp\OnboardLogs"\RTDC4032\2017-09-22 --exclude "*" --recursive --include "*20170922*" &amp; "%USERPROFILE%\Documents\GitHub\mrs-test-scripts\Headless Mode &amp; Sideloading\WalkAndUnGZ.bat" "%USERPROFILE%\AppData\Local\Temp\OnboardLogs"\RTDC4032\2017-09-22</v>
      </c>
      <c r="AF185" s="74" t="str">
        <f t="shared" si="89"/>
        <v>"C:\Program Files (x86)\AstroGrep\AstroGrep.exe" /e /r /s /spath="%USERPROFILE%\AppData\Local\Temp\OnboardLogs" /stypes="app*4032*20170921*" /stext=" 21:.+((SYSTEM_STATE.+slice.+state.+changed )|(ment ac)|(multiple cpu faults)|(system.+state.+changed )|(\[timeout)|(PRM\|1\|D)|(kpr)|(kdp)|(train st.+moving)|(\|lc)|(penalty))"</v>
      </c>
      <c r="AG185" s="182" t="str">
        <f t="shared" si="90"/>
        <v>NW</v>
      </c>
      <c r="AH185" s="78" t="str">
        <f t="shared" si="91"/>
        <v>"%USERPROFILE%\Documents\GitHub\eaglep3\Utilities\RefineRTDCRunTimes.py" --tripid 825-21 --locoid 4032 --swversion DE.1.0.9.0 --startMP 204:974 --initTime 2017-09-21T15:06:51 --startdatetime 2017-09-21T15:09:43 --delay 71 --endMP 300:58941 --enddatetime 2017-09-21T15:22:42 --enforcementcount 0 &gt;&gt;c:\users\stu\Documents\GitHub\eaglep3-reporting\EC\2017-09-21-refined-times.txt</v>
      </c>
      <c r="AI185" s="96" t="str">
        <f t="shared" si="92"/>
        <v>echo {"issue":{"subject":"Observed GPS issues, no effect on run time ","project_id":79,"tracker_id":40,"status_id":1,"priority_id":2,"assigned_to_id":338,"start_date":"2017-09-21","description":"","custom_fields":[{"id":1,"name":"Subdivision","value":"NW"},{"id":4,"name":"Milepost","value":"5.8941"},{"id":17,"name":"Train ID","value":"825-21"},{"id":16,"name":"Locomotive ID","value":"4032"},{"id":130,"name":"Impact","value":""},{"id":150,"name":"Time of Event (Mountain Time)","value":"15:22:42"},{"id":151,"name":"Denver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93"/>
        <v>start /low /b %USERPROFILE%\Documents\GitHub\eaglep3\Utilities\DownloadLogsFromS3.py --loco 4032 --day 2017-09-21</v>
      </c>
      <c r="AN185" s="151" t="str">
        <f t="shared" si="94"/>
        <v>echo {"issue":{"subject":"Observed GPS issues, no effect on run time 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21:22:42"},{"id":29,"name":"Sharepoint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95"/>
        <v>https://d0f6bd738d7f1b3e5a7ca70fe4ff75f0.us-east-1.aws.found.io/app/kibana#/discover/Steve-Slow-Train-Analysis-(2080s-and-2083s)?_g=(refreshInterval:(display:Off,pause:!f,section:0,value:0),time:(from:'2017-09-21T14:06:51-0600',mode:absolute,to:'2017-09-21T16:22:42-0600'))&amp;_a=(columns:!('Message%20ID',Summary),filters:!(),index:'emp_*',interval:auto,query:(query_string:(analyze_wildcard:!t,query:'Message%5C+ID:(*)+AND+%22rtdc.l.rtdc.4032%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743</v>
      </c>
      <c r="B186" s="7">
        <v>4031</v>
      </c>
      <c r="C186" s="21" t="s">
        <v>196</v>
      </c>
      <c r="D186" s="21" t="s">
        <v>565</v>
      </c>
      <c r="E186" s="13">
        <v>42999.64166666667</v>
      </c>
      <c r="F186" s="13">
        <v>42999.653668981482</v>
      </c>
      <c r="G186" s="7">
        <v>57</v>
      </c>
      <c r="H186" s="21" t="s">
        <v>566</v>
      </c>
      <c r="I186" s="13">
        <v>42999.662731481483</v>
      </c>
      <c r="J186" s="7">
        <v>0</v>
      </c>
      <c r="K186" s="89" t="str">
        <f t="shared" si="77"/>
        <v>4031/4032</v>
      </c>
      <c r="L186" s="185" t="str">
        <f>VLOOKUP(A186,'Trips&amp;Operators'!$C$1:$G$99911,5,FALSE)</f>
        <v>STAMBAUGH JAMES</v>
      </c>
      <c r="M186" s="6">
        <f t="shared" si="78"/>
        <v>9.0625000011641532E-3</v>
      </c>
      <c r="N186" s="7">
        <f t="shared" si="79"/>
        <v>13.050000001676381</v>
      </c>
      <c r="O186" s="7"/>
      <c r="P186" s="7"/>
      <c r="Q186" s="22"/>
      <c r="R186" s="174"/>
      <c r="S186" s="221">
        <f t="shared" si="80"/>
        <v>1</v>
      </c>
      <c r="T186" s="174" t="str">
        <f t="shared" si="81"/>
        <v>Southbound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 t="shared" si="82"/>
        <v>https://d0f6bd738d7f1b3e5a7ca70fe4ff75f0.us-east-1.aws.found.io/app/kibana#/discover/Steve-Slow-Train-Analysis-(2080s-and-2083s)?_g=(refreshInterval:(display:Off,pause:!f,section:0,value:0),time:(from:'2017-09-21T14:24:00-0600',mode:absolute,to:'2017-09-21T16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6" s="204" t="str">
        <f>IF(AA186&lt;VLOOKUP(AG186,Variables!$AC$3:$AD$8,2,FALSE),"Y","N")</f>
        <v>N</v>
      </c>
      <c r="X186" s="204">
        <f t="shared" si="83"/>
        <v>1</v>
      </c>
      <c r="Y186" s="204">
        <f t="shared" si="84"/>
        <v>5.8635999999999999</v>
      </c>
      <c r="Z186" s="204">
        <f t="shared" si="85"/>
        <v>6.6799999999999998E-2</v>
      </c>
      <c r="AA186" s="204">
        <f t="shared" si="86"/>
        <v>5.7968000000000002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 t="shared" si="87"/>
        <v>826</v>
      </c>
      <c r="AE186" s="77" t="str">
        <f t="shared" si="88"/>
        <v>aws s3 cp s3://rtdc.mdm.uploadarchive.raw/RTDC4031/ "%USERPROFILE%\AppData\Local\Temp\OnboardLogs"\RTDC4031\2017-09-21 --exclude "*" --recursive --include "*20170921*" &amp; "%USERPROFILE%\Documents\GitHub\mrs-test-scripts\Headless Mode &amp; Sideloading\WalkAndUnGZ.bat" "%USERPROFILE%\AppData\Local\Temp\OnboardLogs"\RTDC4031\2017-09-21 &amp; aws s3 cp s3://rtdc.mdm.uploadarchive.raw/RTDC4031/ "%USERPROFILE%\AppData\Local\Temp\OnboardLogs"\RTDC4031\2017-09-22 --exclude "*" --recursive --include "*20170922*" &amp; "%USERPROFILE%\Documents\GitHub\mrs-test-scripts\Headless Mode &amp; Sideloading\WalkAndUnGZ.bat" "%USERPROFILE%\AppData\Local\Temp\OnboardLogs"\RTDC4031\2017-09-22</v>
      </c>
      <c r="AF186" s="74" t="str">
        <f t="shared" si="89"/>
        <v>"C:\Program Files (x86)\AstroGrep\AstroGrep.exe" /e /r /s /spath="%USERPROFILE%\AppData\Local\Temp\OnboardLogs" /stypes="app*4031*20170921*" /stext=" 21:.+((SYSTEM_STATE.+slice.+state.+changed )|(ment ac)|(multiple cpu faults)|(system.+state.+changed )|(\[timeout)|(PRM\|1\|D)|(kpr)|(kdp)|(train st.+moving)|(\|lc)|(penalty))"</v>
      </c>
      <c r="AG186" s="182" t="str">
        <f t="shared" si="90"/>
        <v>NW</v>
      </c>
      <c r="AH186" s="78" t="str">
        <f t="shared" si="91"/>
        <v>"%USERPROFILE%\Documents\GitHub\eaglep3\Utilities\RefineRTDCRunTimes.py" --tripid 826-21 --locoid 4031 --swversion DE.1.0.9.0 --startMP 300:58636 --initTime 2017-09-21T15:24:00 --startdatetime 2017-09-21T15:41:17 --delay 57 --endMP 204:668 --enddatetime 2017-09-21T15:54:20 --enforcementcount 0 &gt;&gt;c:\users\stu\Documents\GitHub\eaglep3-reporting\EC\2017-09-21-refined-times.txt</v>
      </c>
      <c r="AI186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{"issue":{"subject":"","project_id":79,"tracker_id":40,"status_id":1,"priority_id":2,"assigned_to_id":338,"start_date":"2017-09-21","description":"","custom_fields":[{"id":1,"name":"Subdivision","value":"NW"},{"id":4,"name":"Milepost","value":"0.0668"},{"id":17,"name":"Train ID","value":"826-21"},{"id":16,"name":"Locomotive ID","value":"4031"},{"id":130,"name":"Impact","value":""},{"id":150,"name":"Time of Event (Mountain Time)","value":"15:54:20"},{"id":151,"name":"Denver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93"/>
        <v>start /low /b %USERPROFILE%\Documents\GitHub\eaglep3\Utilities\DownloadLogsFromS3.py --loco 4031 --day 2017-09-21</v>
      </c>
      <c r="AN186" s="151" t="str">
        <f t="shared" si="94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21:54:20"},{"id":29,"name":"Sharepoint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95"/>
        <v>https://d0f6bd738d7f1b3e5a7ca70fe4ff75f0.us-east-1.aws.found.io/app/kibana#/discover/Steve-Slow-Train-Analysis-(2080s-and-2083s)?_g=(refreshInterval:(display:Off,pause:!f,section:0,value:0),time:(from:'2017-09-21T14:24:00-0600',mode:absolute,to:'2017-09-21T16:54:20-0600'))&amp;_a=(columns:!('Message%20ID',Summary),filters:!(),index:'emp_*',interval:auto,query:(query_string:(analyze_wildcard:!t,query:'Message%5C+ID:(*)+AND+%22rtdc.l.rtdc.4031%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745</v>
      </c>
      <c r="B187" s="7">
        <v>4054</v>
      </c>
      <c r="C187" s="21" t="s">
        <v>196</v>
      </c>
      <c r="D187" s="21" t="s">
        <v>449</v>
      </c>
      <c r="E187" s="13">
        <v>42999.65</v>
      </c>
      <c r="F187" s="13">
        <v>42999.652766203704</v>
      </c>
      <c r="G187" s="7">
        <v>65</v>
      </c>
      <c r="H187" s="21" t="s">
        <v>947</v>
      </c>
      <c r="I187" s="13">
        <v>42999.66302083333</v>
      </c>
      <c r="J187" s="7">
        <v>0</v>
      </c>
      <c r="K187" s="89" t="str">
        <f t="shared" si="77"/>
        <v>4053/4054</v>
      </c>
      <c r="L187" s="185" t="str">
        <f>VLOOKUP(A187,'Trips&amp;Operators'!$C$1:$G$99911,5,FALSE)</f>
        <v>BIRKHOLZ NADINE</v>
      </c>
      <c r="M187" s="6">
        <f t="shared" si="78"/>
        <v>1.0254629625706002E-2</v>
      </c>
      <c r="N187" s="7">
        <f t="shared" si="79"/>
        <v>14.766666661016643</v>
      </c>
      <c r="O187" s="7"/>
      <c r="P187" s="7"/>
      <c r="Q187" s="22"/>
      <c r="R187" s="174"/>
      <c r="S187" s="221">
        <f t="shared" si="80"/>
        <v>1</v>
      </c>
      <c r="T187" s="174" t="str">
        <f t="shared" si="81"/>
        <v>NorthBound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 t="shared" si="82"/>
        <v>https://d0f6bd738d7f1b3e5a7ca70fe4ff75f0.us-east-1.aws.found.io/app/kibana#/discover/Steve-Slow-Train-Analysis-(2080s-and-2083s)?_g=(refreshInterval:(display:Off,pause:!f,section:0,value:0),time:(from:'2017-09-21T14:36:00-0600',mode:absolute,to:'2017-09-21T16:54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7" s="204" t="str">
        <f>IF(AA187&lt;VLOOKUP(AG187,Variables!$AC$3:$AD$8,2,FALSE),"Y","N")</f>
        <v>N</v>
      </c>
      <c r="X187" s="204">
        <f t="shared" si="83"/>
        <v>1</v>
      </c>
      <c r="Y187" s="204">
        <f t="shared" si="84"/>
        <v>9.6699999999999994E-2</v>
      </c>
      <c r="Z187" s="204">
        <f t="shared" si="85"/>
        <v>5.8924000000000003</v>
      </c>
      <c r="AA187" s="204">
        <f t="shared" si="86"/>
        <v>5.7957000000000001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 t="shared" si="87"/>
        <v>827</v>
      </c>
      <c r="AE187" s="77" t="str">
        <f t="shared" si="88"/>
        <v>aws s3 cp s3://rtdc.mdm.uploadarchive.raw/RTDC4054/ "%USERPROFILE%\AppData\Local\Temp\OnboardLogs"\RTDC4054\2017-09-21 --exclude "*" --recursive --include "*20170921*" &amp; "%USERPROFILE%\Documents\GitHub\mrs-test-scripts\Headless Mode &amp; Sideloading\WalkAndUnGZ.bat" "%USERPROFILE%\AppData\Local\Temp\OnboardLogs"\RTDC4054\2017-09-21 &amp; aws s3 cp s3://rtdc.mdm.uploadarchive.raw/RTDC4054/ "%USERPROFILE%\AppData\Local\Temp\OnboardLogs"\RTDC4054\2017-09-22 --exclude "*" --recursive --include "*20170922*" &amp; "%USERPROFILE%\Documents\GitHub\mrs-test-scripts\Headless Mode &amp; Sideloading\WalkAndUnGZ.bat" "%USERPROFILE%\AppData\Local\Temp\OnboardLogs"\RTDC4054\2017-09-22</v>
      </c>
      <c r="AF187" s="74" t="str">
        <f t="shared" si="89"/>
        <v>"C:\Program Files (x86)\AstroGrep\AstroGrep.exe" /e /r /s /spath="%USERPROFILE%\AppData\Local\Temp\OnboardLogs" /stypes="app*4054*20170921*" /stext=" 21:.+((SYSTEM_STATE.+slice.+state.+changed )|(ment ac)|(multiple cpu faults)|(system.+state.+changed )|(\[timeout)|(PRM\|1\|D)|(kpr)|(kdp)|(train st.+moving)|(\|lc)|(penalty))"</v>
      </c>
      <c r="AG187" s="182" t="str">
        <f t="shared" si="90"/>
        <v>NW</v>
      </c>
      <c r="AH187" s="78" t="str">
        <f t="shared" si="91"/>
        <v>"%USERPROFILE%\Documents\GitHub\eaglep3\Utilities\RefineRTDCRunTimes.py" --tripid 827-21 --locoid 4054 --swversion DE.1.0.9.0 --startMP 204:967 --initTime 2017-09-21T15:36:00 --startdatetime 2017-09-21T15:39:59 --delay 65 --endMP 300:58924 --enddatetime 2017-09-21T15:54:45 --enforcementcount 0 &gt;&gt;c:\users\stu\Documents\GitHub\eaglep3-reporting\EC\2017-09-21-refined-times.txt</v>
      </c>
      <c r="AI187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{"issue":{"subject":"","project_id":79,"tracker_id":40,"status_id":1,"priority_id":2,"assigned_to_id":338,"start_date":"2017-09-21","description":"","custom_fields":[{"id":1,"name":"Subdivision","value":"NW"},{"id":4,"name":"Milepost","value":"5.8924"},{"id":17,"name":"Train ID","value":"827-21"},{"id":16,"name":"Locomotive ID","value":"4054"},{"id":130,"name":"Impact","value":""},{"id":150,"name":"Time of Event (Mountain Time)","value":"15:54:45"},{"id":151,"name":"Denver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93"/>
        <v>start /low /b %USERPROFILE%\Documents\GitHub\eaglep3\Utilities\DownloadLogsFromS3.py --loco 4054 --day 2017-09-21</v>
      </c>
      <c r="AN187" s="151" t="str">
        <f t="shared" si="94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21:54:45"},{"id":29,"name":"Sharepoint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95"/>
        <v>https://d0f6bd738d7f1b3e5a7ca70fe4ff75f0.us-east-1.aws.found.io/app/kibana#/discover/Steve-Slow-Train-Analysis-(2080s-and-2083s)?_g=(refreshInterval:(display:Off,pause:!f,section:0,value:0),time:(from:'2017-09-21T14:36:00-0600',mode:absolute,to:'2017-09-21T16:54:45-0600'))&amp;_a=(columns:!('Message%20ID',Summary),filters:!(),index:'emp_*',interval:auto,query:(query_string:(analyze_wildcard:!t,query:'Message%5C+ID:(*)+AND+%22rtdc.l.rtdc.4054%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749</v>
      </c>
      <c r="B188" s="7">
        <v>4053</v>
      </c>
      <c r="C188" s="21" t="s">
        <v>196</v>
      </c>
      <c r="D188" s="21" t="s">
        <v>948</v>
      </c>
      <c r="E188" s="13">
        <v>42999.664375</v>
      </c>
      <c r="F188" s="13">
        <v>42999.674074074072</v>
      </c>
      <c r="G188" s="7">
        <v>56</v>
      </c>
      <c r="H188" s="21" t="s">
        <v>949</v>
      </c>
      <c r="I188" s="13">
        <v>42999.686412037037</v>
      </c>
      <c r="J188" s="7">
        <v>0</v>
      </c>
      <c r="K188" s="89" t="str">
        <f t="shared" si="77"/>
        <v>4053/4054</v>
      </c>
      <c r="L188" s="185" t="str">
        <f>VLOOKUP(A188,'Trips&amp;Operators'!$C$1:$G$99911,5,FALSE)</f>
        <v>BIRKHOLZ NADINE</v>
      </c>
      <c r="M188" s="6">
        <f t="shared" si="78"/>
        <v>1.2337962965830229E-2</v>
      </c>
      <c r="N188" s="7">
        <f t="shared" si="79"/>
        <v>17.76666667079553</v>
      </c>
      <c r="O188" s="7"/>
      <c r="P188" s="7"/>
      <c r="Q188" s="22"/>
      <c r="R188" s="174"/>
      <c r="S188" s="221">
        <f t="shared" si="80"/>
        <v>1</v>
      </c>
      <c r="T188" s="174" t="str">
        <f t="shared" si="81"/>
        <v>Southbound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 t="shared" si="82"/>
        <v>https://d0f6bd738d7f1b3e5a7ca70fe4ff75f0.us-east-1.aws.found.io/app/kibana#/discover/Steve-Slow-Train-Analysis-(2080s-and-2083s)?_g=(refreshInterval:(display:Off,pause:!f,section:0,value:0),time:(from:'2017-09-21T14:56:42-0600',mode:absolute,to:'2017-09-21T17:28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8" s="204" t="str">
        <f>IF(AA188&lt;VLOOKUP(AG188,Variables!$AC$3:$AD$8,2,FALSE),"Y","N")</f>
        <v>N</v>
      </c>
      <c r="X188" s="204">
        <f t="shared" si="83"/>
        <v>1</v>
      </c>
      <c r="Y188" s="204">
        <f t="shared" si="84"/>
        <v>5.8609</v>
      </c>
      <c r="Z188" s="204">
        <f t="shared" si="85"/>
        <v>7.3800000000000004E-2</v>
      </c>
      <c r="AA188" s="204">
        <f t="shared" si="86"/>
        <v>5.7870999999999997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 t="shared" si="87"/>
        <v>828</v>
      </c>
      <c r="AE188" s="77" t="str">
        <f t="shared" si="88"/>
        <v>aws s3 cp s3://rtdc.mdm.uploadarchive.raw/RTDC4053/ "%USERPROFILE%\AppData\Local\Temp\OnboardLogs"\RTDC4053\2017-09-21 --exclude "*" --recursive --include "*20170921*" &amp; "%USERPROFILE%\Documents\GitHub\mrs-test-scripts\Headless Mode &amp; Sideloading\WalkAndUnGZ.bat" "%USERPROFILE%\AppData\Local\Temp\OnboardLogs"\RTDC4053\2017-09-21 &amp; aws s3 cp s3://rtdc.mdm.uploadarchive.raw/RTDC4053/ "%USERPROFILE%\AppData\Local\Temp\OnboardLogs"\RTDC4053\2017-09-22 --exclude "*" --recursive --include "*20170922*" &amp; "%USERPROFILE%\Documents\GitHub\mrs-test-scripts\Headless Mode &amp; Sideloading\WalkAndUnGZ.bat" "%USERPROFILE%\AppData\Local\Temp\OnboardLogs"\RTDC4053\2017-09-22</v>
      </c>
      <c r="AF188" s="74" t="str">
        <f t="shared" si="89"/>
        <v>"C:\Program Files (x86)\AstroGrep\AstroGrep.exe" /e /r /s /spath="%USERPROFILE%\AppData\Local\Temp\OnboardLogs" /stypes="app*4053*20170921*" /stext=" 22:.+((SYSTEM_STATE.+slice.+state.+changed )|(ment ac)|(multiple cpu faults)|(system.+state.+changed )|(\[timeout)|(PRM\|1\|D)|(kpr)|(kdp)|(train st.+moving)|(\|lc)|(penalty))"</v>
      </c>
      <c r="AG188" s="182" t="str">
        <f t="shared" si="90"/>
        <v>NW</v>
      </c>
      <c r="AH188" s="78" t="str">
        <f t="shared" si="91"/>
        <v>"%USERPROFILE%\Documents\GitHub\eaglep3\Utilities\RefineRTDCRunTimes.py" --tripid 828-21 --locoid 4053 --swversion DE.1.0.9.0 --startMP 300:58609 --initTime 2017-09-21T15:56:42 --startdatetime 2017-09-21T16:10:40 --delay 56 --endMP 204:738 --enddatetime 2017-09-21T16:28:26 --enforcementcount 0 &gt;&gt;c:\users\stu\Documents\GitHub\eaglep3-reporting\EC\2017-09-21-refined-times.txt</v>
      </c>
      <c r="AI188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{"issue":{"subject":"","project_id":79,"tracker_id":40,"status_id":1,"priority_id":2,"assigned_to_id":338,"start_date":"2017-09-21","description":"","custom_fields":[{"id":1,"name":"Subdivision","value":"NW"},{"id":4,"name":"Milepost","value":"0.0738"},{"id":17,"name":"Train ID","value":"828-21"},{"id":16,"name":"Locomotive ID","value":"4053"},{"id":130,"name":"Impact","value":""},{"id":150,"name":"Time of Event (Mountain Time)","value":"16:28:26"},{"id":151,"name":"Denver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93"/>
        <v>start /low /b %USERPROFILE%\Documents\GitHub\eaglep3\Utilities\DownloadLogsFromS3.py --loco 4053 --day 2017-09-21</v>
      </c>
      <c r="AN188" s="151" t="str">
        <f t="shared" si="94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22:28:26"},{"id":29,"name":"Sharepoint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95"/>
        <v>https://d0f6bd738d7f1b3e5a7ca70fe4ff75f0.us-east-1.aws.found.io/app/kibana#/discover/Steve-Slow-Train-Analysis-(2080s-and-2083s)?_g=(refreshInterval:(display:Off,pause:!f,section:0,value:0),time:(from:'2017-09-21T14:56:42-0600',mode:absolute,to:'2017-09-21T17:28:26-0600'))&amp;_a=(columns:!('Message%20ID',Summary),filters:!(),index:'emp_*',interval:auto,query:(query_string:(analyze_wildcard:!t,query:'Message%5C+ID:(*)+AND+%22rtdc.l.rtdc.4053%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751</v>
      </c>
      <c r="B189" s="7">
        <v>4032</v>
      </c>
      <c r="C189" s="21" t="s">
        <v>196</v>
      </c>
      <c r="D189" s="21" t="s">
        <v>558</v>
      </c>
      <c r="E189" s="13">
        <v>42999.671238425923</v>
      </c>
      <c r="F189" s="13">
        <v>42999.673344907409</v>
      </c>
      <c r="G189" s="7">
        <v>58</v>
      </c>
      <c r="H189" s="21" t="s">
        <v>950</v>
      </c>
      <c r="I189" s="13">
        <v>42999.683425925927</v>
      </c>
      <c r="J189" s="7">
        <v>0</v>
      </c>
      <c r="K189" s="89" t="str">
        <f t="shared" si="77"/>
        <v>4031/4032</v>
      </c>
      <c r="L189" s="185" t="str">
        <f>VLOOKUP(A189,'Trips&amp;Operators'!$C$1:$G$99911,5,FALSE)</f>
        <v>STAMBAUGH JAMES</v>
      </c>
      <c r="M189" s="6">
        <f t="shared" si="78"/>
        <v>1.0081018517666962E-2</v>
      </c>
      <c r="N189" s="7">
        <f t="shared" si="79"/>
        <v>14.516666665440425</v>
      </c>
      <c r="O189" s="7"/>
      <c r="P189" s="7"/>
      <c r="Q189" s="22"/>
      <c r="R189" s="174"/>
      <c r="S189" s="221">
        <f t="shared" si="80"/>
        <v>1</v>
      </c>
      <c r="T189" s="174" t="str">
        <f t="shared" si="81"/>
        <v>NorthBound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 t="shared" si="82"/>
        <v>https://d0f6bd738d7f1b3e5a7ca70fe4ff75f0.us-east-1.aws.found.io/app/kibana#/discover/Steve-Slow-Train-Analysis-(2080s-and-2083s)?_g=(refreshInterval:(display:Off,pause:!f,section:0,value:0),time:(from:'2017-09-21T15:06:35-0600',mode:absolute,to:'2017-09-21T17:24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9" s="204" t="str">
        <f>IF(AA189&lt;VLOOKUP(AG189,Variables!$AC$3:$AD$8,2,FALSE),"Y","N")</f>
        <v>N</v>
      </c>
      <c r="X189" s="204">
        <f t="shared" si="83"/>
        <v>1</v>
      </c>
      <c r="Y189" s="204">
        <f t="shared" si="84"/>
        <v>9.7600000000000006E-2</v>
      </c>
      <c r="Z189" s="204">
        <f t="shared" si="85"/>
        <v>5.8956</v>
      </c>
      <c r="AA189" s="204">
        <f t="shared" si="86"/>
        <v>5.798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 t="shared" si="87"/>
        <v>829</v>
      </c>
      <c r="AE189" s="77" t="str">
        <f t="shared" si="88"/>
        <v>aws s3 cp s3://rtdc.mdm.uploadarchive.raw/RTDC4032/ "%USERPROFILE%\AppData\Local\Temp\OnboardLogs"\RTDC4032\2017-09-21 --exclude "*" --recursive --include "*20170921*" &amp; "%USERPROFILE%\Documents\GitHub\mrs-test-scripts\Headless Mode &amp; Sideloading\WalkAndUnGZ.bat" "%USERPROFILE%\AppData\Local\Temp\OnboardLogs"\RTDC4032\2017-09-21 &amp; aws s3 cp s3://rtdc.mdm.uploadarchive.raw/RTDC4032/ "%USERPROFILE%\AppData\Local\Temp\OnboardLogs"\RTDC4032\2017-09-22 --exclude "*" --recursive --include "*20170922*" &amp; "%USERPROFILE%\Documents\GitHub\mrs-test-scripts\Headless Mode &amp; Sideloading\WalkAndUnGZ.bat" "%USERPROFILE%\AppData\Local\Temp\OnboardLogs"\RTDC4032\2017-09-22</v>
      </c>
      <c r="AF189" s="74" t="str">
        <f t="shared" si="89"/>
        <v>"C:\Program Files (x86)\AstroGrep\AstroGrep.exe" /e /r /s /spath="%USERPROFILE%\AppData\Local\Temp\OnboardLogs" /stypes="app*4032*20170921*" /stext=" 22:.+((SYSTEM_STATE.+slice.+state.+changed )|(ment ac)|(multiple cpu faults)|(system.+state.+changed )|(\[timeout)|(PRM\|1\|D)|(kpr)|(kdp)|(train st.+moving)|(\|lc)|(penalty))"</v>
      </c>
      <c r="AG189" s="182" t="str">
        <f t="shared" si="90"/>
        <v>NW</v>
      </c>
      <c r="AH189" s="78" t="str">
        <f t="shared" si="91"/>
        <v>"%USERPROFILE%\Documents\GitHub\eaglep3\Utilities\RefineRTDCRunTimes.py" --tripid 829-21 --locoid 4032 --swversion DE.1.0.9.0 --startMP 204:976 --initTime 2017-09-21T16:06:35 --startdatetime 2017-09-21T16:09:37 --delay 58 --endMP 300:58956 --enddatetime 2017-09-21T16:24:08 --enforcementcount 0 &gt;&gt;c:\users\stu\Documents\GitHub\eaglep3-reporting\EC\2017-09-21-refined-times.txt</v>
      </c>
      <c r="AI189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{"issue":{"subject":"","project_id":79,"tracker_id":40,"status_id":1,"priority_id":2,"assigned_to_id":338,"start_date":"2017-09-21","description":"","custom_fields":[{"id":1,"name":"Subdivision","value":"NW"},{"id":4,"name":"Milepost","value":"5.8956"},{"id":17,"name":"Train ID","value":"829-21"},{"id":16,"name":"Locomotive ID","value":"4032"},{"id":130,"name":"Impact","value":""},{"id":150,"name":"Time of Event (Mountain Time)","value":"16:24:08"},{"id":151,"name":"Denver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93"/>
        <v>start /low /b %USERPROFILE%\Documents\GitHub\eaglep3\Utilities\DownloadLogsFromS3.py --loco 4032 --day 2017-09-21</v>
      </c>
      <c r="AN189" s="151" t="str">
        <f t="shared" si="94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22:24:08"},{"id":29,"name":"Sharepoint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95"/>
        <v>https://d0f6bd738d7f1b3e5a7ca70fe4ff75f0.us-east-1.aws.found.io/app/kibana#/discover/Steve-Slow-Train-Analysis-(2080s-and-2083s)?_g=(refreshInterval:(display:Off,pause:!f,section:0,value:0),time:(from:'2017-09-21T15:06:35-0600',mode:absolute,to:'2017-09-21T17:24:08-0600'))&amp;_a=(columns:!('Message%20ID',Summary),filters:!(),index:'emp_*',interval:auto,query:(query_string:(analyze_wildcard:!t,query:'Message%5C+ID:(*)+AND+%22rtdc.l.rtdc.4032%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611</v>
      </c>
      <c r="B190" s="7">
        <v>4031</v>
      </c>
      <c r="C190" s="21" t="s">
        <v>196</v>
      </c>
      <c r="D190" s="21" t="s">
        <v>951</v>
      </c>
      <c r="E190" s="13">
        <v>42999.684201388889</v>
      </c>
      <c r="F190" s="13">
        <v>42999.695324074077</v>
      </c>
      <c r="G190" s="7">
        <v>56</v>
      </c>
      <c r="H190" s="21" t="s">
        <v>952</v>
      </c>
      <c r="I190" s="13">
        <v>42999.705254629633</v>
      </c>
      <c r="J190" s="7">
        <v>0</v>
      </c>
      <c r="K190" s="89" t="str">
        <f t="shared" si="77"/>
        <v>4031/4032</v>
      </c>
      <c r="L190" s="185" t="str">
        <f>VLOOKUP(A190,'Trips&amp;Operators'!$C$1:$G$99911,5,FALSE)</f>
        <v>STAMBAUGH JAMES</v>
      </c>
      <c r="M190" s="6">
        <f t="shared" si="78"/>
        <v>9.930555555911269E-3</v>
      </c>
      <c r="N190" s="7">
        <f t="shared" si="79"/>
        <v>14.300000000512227</v>
      </c>
      <c r="O190" s="7"/>
      <c r="P190" s="7"/>
      <c r="Q190" s="22"/>
      <c r="R190" s="174"/>
      <c r="S190" s="221">
        <f t="shared" si="80"/>
        <v>1</v>
      </c>
      <c r="T190" s="174" t="str">
        <f t="shared" si="81"/>
        <v>Southbound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 t="shared" si="82"/>
        <v>https://d0f6bd738d7f1b3e5a7ca70fe4ff75f0.us-east-1.aws.found.io/app/kibana#/discover/Steve-Slow-Train-Analysis-(2080s-and-2083s)?_g=(refreshInterval:(display:Off,pause:!f,section:0,value:0),time:(from:'2017-09-21T15:25:15-0600',mode:absolute,to:'2017-09-21T17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0" s="204" t="str">
        <f>IF(AA190&lt;VLOOKUP(AG190,Variables!$AC$3:$AD$8,2,FALSE),"Y","N")</f>
        <v>N</v>
      </c>
      <c r="X190" s="204">
        <f t="shared" si="83"/>
        <v>1</v>
      </c>
      <c r="Y190" s="204">
        <f t="shared" si="84"/>
        <v>5.8639999999999999</v>
      </c>
      <c r="Z190" s="204">
        <f t="shared" si="85"/>
        <v>9.7000000000000003E-3</v>
      </c>
      <c r="AA190" s="204">
        <f t="shared" si="86"/>
        <v>5.8543000000000003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 t="shared" si="87"/>
        <v>830</v>
      </c>
      <c r="AE190" s="77" t="str">
        <f t="shared" si="88"/>
        <v>aws s3 cp s3://rtdc.mdm.uploadarchive.raw/RTDC4031/ "%USERPROFILE%\AppData\Local\Temp\OnboardLogs"\RTDC4031\2017-09-21 --exclude "*" --recursive --include "*20170921*" &amp; "%USERPROFILE%\Documents\GitHub\mrs-test-scripts\Headless Mode &amp; Sideloading\WalkAndUnGZ.bat" "%USERPROFILE%\AppData\Local\Temp\OnboardLogs"\RTDC4031\2017-09-21 &amp; aws s3 cp s3://rtdc.mdm.uploadarchive.raw/RTDC4031/ "%USERPROFILE%\AppData\Local\Temp\OnboardLogs"\RTDC4031\2017-09-22 --exclude "*" --recursive --include "*20170922*" &amp; "%USERPROFILE%\Documents\GitHub\mrs-test-scripts\Headless Mode &amp; Sideloading\WalkAndUnGZ.bat" "%USERPROFILE%\AppData\Local\Temp\OnboardLogs"\RTDC4031\2017-09-22</v>
      </c>
      <c r="AF190" s="74" t="str">
        <f t="shared" si="89"/>
        <v>"C:\Program Files (x86)\AstroGrep\AstroGrep.exe" /e /r /s /spath="%USERPROFILE%\AppData\Local\Temp\OnboardLogs" /stypes="app*4031*20170921*" /stext=" 22:.+((SYSTEM_STATE.+slice.+state.+changed )|(ment ac)|(multiple cpu faults)|(system.+state.+changed )|(\[timeout)|(PRM\|1\|D)|(kpr)|(kdp)|(train st.+moving)|(\|lc)|(penalty))"</v>
      </c>
      <c r="AG190" s="182" t="str">
        <f t="shared" si="90"/>
        <v>NW</v>
      </c>
      <c r="AH190" s="78" t="str">
        <f t="shared" si="91"/>
        <v>"%USERPROFILE%\Documents\GitHub\eaglep3\Utilities\RefineRTDCRunTimes.py" --tripid 830-21 --locoid 4031 --swversion DE.1.0.9.0 --startMP 300:58640 --initTime 2017-09-21T16:25:15 --startdatetime 2017-09-21T16:41:16 --delay 56 --endMP 204:97 --enddatetime 2017-09-21T16:55:34 --enforcementcount 0 &gt;&gt;c:\users\stu\Documents\GitHub\eaglep3-reporting\EC\2017-09-21-refined-times.txt</v>
      </c>
      <c r="AI190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{"issue":{"subject":"","project_id":79,"tracker_id":40,"status_id":1,"priority_id":2,"assigned_to_id":338,"start_date":"2017-09-21","description":"","custom_fields":[{"id":1,"name":"Subdivision","value":"NW"},{"id":4,"name":"Milepost","value":"0.0097"},{"id":17,"name":"Train ID","value":"830-21"},{"id":16,"name":"Locomotive ID","value":"4031"},{"id":130,"name":"Impact","value":""},{"id":150,"name":"Time of Event (Mountain Time)","value":"16:55:34"},{"id":151,"name":"Denver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si="93"/>
        <v>start /low /b %USERPROFILE%\Documents\GitHub\eaglep3\Utilities\DownloadLogsFromS3.py --loco 4031 --day 2017-09-21</v>
      </c>
      <c r="AN190" s="151" t="str">
        <f t="shared" si="94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22:55:34"},{"id":29,"name":"Sharepoint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95"/>
        <v>https://d0f6bd738d7f1b3e5a7ca70fe4ff75f0.us-east-1.aws.found.io/app/kibana#/discover/Steve-Slow-Train-Analysis-(2080s-and-2083s)?_g=(refreshInterval:(display:Off,pause:!f,section:0,value:0),time:(from:'2017-09-21T15:25:15-0600',mode:absolute,to:'2017-09-21T17:55:34-0600'))&amp;_a=(columns:!('Message%20ID',Summary),filters:!(),index:'emp_*',interval:auto,query:(query_string:(analyze_wildcard:!t,query:'Message%5C+ID:(*)+AND+%22rtdc.l.rtdc.4031%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757</v>
      </c>
      <c r="B191" s="7">
        <v>4016</v>
      </c>
      <c r="C191" s="21" t="s">
        <v>196</v>
      </c>
      <c r="D191" s="21" t="s">
        <v>340</v>
      </c>
      <c r="E191" s="13">
        <v>42999.691168981481</v>
      </c>
      <c r="F191" s="13">
        <v>42999.694675925923</v>
      </c>
      <c r="G191" s="7">
        <v>237</v>
      </c>
      <c r="H191" s="21" t="s">
        <v>953</v>
      </c>
      <c r="I191" s="13">
        <v>42999.704664351855</v>
      </c>
      <c r="J191" s="7">
        <v>0</v>
      </c>
      <c r="K191" s="89" t="str">
        <f t="shared" si="77"/>
        <v>4015/4016</v>
      </c>
      <c r="L191" s="185" t="str">
        <f>VLOOKUP(A191,'Trips&amp;Operators'!$C$1:$G$99911,5,FALSE)</f>
        <v>BIRKHOLZ NADINE</v>
      </c>
      <c r="M191" s="6">
        <f t="shared" si="78"/>
        <v>9.9884259325335734E-3</v>
      </c>
      <c r="N191" s="7">
        <f t="shared" si="79"/>
        <v>14.383333342848346</v>
      </c>
      <c r="O191" s="7"/>
      <c r="P191" s="7"/>
      <c r="Q191" s="22"/>
      <c r="R191" s="174"/>
      <c r="S191" s="221">
        <f t="shared" si="80"/>
        <v>1</v>
      </c>
      <c r="T191" s="174" t="str">
        <f t="shared" si="81"/>
        <v>NorthBound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 t="shared" si="82"/>
        <v>https://d0f6bd738d7f1b3e5a7ca70fe4ff75f0.us-east-1.aws.found.io/app/kibana#/discover/Steve-Slow-Train-Analysis-(2080s-and-2083s)?_g=(refreshInterval:(display:Off,pause:!f,section:0,value:0),time:(from:'2017-09-21T15:35:17-0600',mode:absolute,to:'2017-09-21T17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1" s="204" t="str">
        <f>IF(AA191&lt;VLOOKUP(AG191,Variables!$AC$3:$AD$8,2,FALSE),"Y","N")</f>
        <v>N</v>
      </c>
      <c r="X191" s="204">
        <f t="shared" si="83"/>
        <v>1</v>
      </c>
      <c r="Y191" s="204">
        <f t="shared" si="84"/>
        <v>4.53E-2</v>
      </c>
      <c r="Z191" s="204">
        <f t="shared" si="85"/>
        <v>5.8928000000000003</v>
      </c>
      <c r="AA191" s="204">
        <f t="shared" si="86"/>
        <v>5.8475000000000001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 t="shared" si="87"/>
        <v>831</v>
      </c>
      <c r="AE191" s="77" t="str">
        <f t="shared" si="88"/>
        <v>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 &amp; aws s3 cp s3://rtdc.mdm.uploadarchive.raw/RTDC4016/ "%USERPROFILE%\AppData\Local\Temp\OnboardLogs"\RTDC4016\2017-09-22 --exclude "*" --recursive --include "*20170922*" &amp; "%USERPROFILE%\Documents\GitHub\mrs-test-scripts\Headless Mode &amp; Sideloading\WalkAndUnGZ.bat" "%USERPROFILE%\AppData\Local\Temp\OnboardLogs"\RTDC4016\2017-09-22</v>
      </c>
      <c r="AF191" s="74" t="str">
        <f t="shared" si="89"/>
        <v>"C:\Program Files (x86)\AstroGrep\AstroGrep.exe" /e /r /s /spath="%USERPROFILE%\AppData\Local\Temp\OnboardLogs" /stypes="app*4016*20170921*" /stext=" 22:.+((SYSTEM_STATE.+slice.+state.+changed )|(ment ac)|(multiple cpu faults)|(system.+state.+changed )|(\[timeout)|(PRM\|1\|D)|(kpr)|(kdp)|(train st.+moving)|(\|lc)|(penalty))"</v>
      </c>
      <c r="AG191" s="182" t="str">
        <f t="shared" si="90"/>
        <v>NW</v>
      </c>
      <c r="AH191" s="78" t="str">
        <f t="shared" si="91"/>
        <v>"%USERPROFILE%\Documents\GitHub\eaglep3\Utilities\RefineRTDCRunTimes.py" --tripid 831-21 --locoid 4016 --swversion DE.1.0.9.0 --startMP 204:453 --initTime 2017-09-21T16:35:17 --startdatetime 2017-09-21T16:40:20 --delay 237 --endMP 300:58928 --enddatetime 2017-09-21T16:54:43 --enforcementcount 0 &gt;&gt;c:\users\stu\Documents\GitHub\eaglep3-reporting\EC\2017-09-21-refined-times.txt</v>
      </c>
      <c r="AI191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{"issue":{"subject":"","project_id":79,"tracker_id":40,"status_id":1,"priority_id":2,"assigned_to_id":338,"start_date":"2017-09-21","description":"","custom_fields":[{"id":1,"name":"Subdivision","value":"NW"},{"id":4,"name":"Milepost","value":"5.8928"},{"id":17,"name":"Train ID","value":"831-21"},{"id":16,"name":"Locomotive ID","value":"4016"},{"id":130,"name":"Impact","value":""},{"id":150,"name":"Time of Event (Mountain Time)","value":"16:54:43"},{"id":151,"name":"Denver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si="93"/>
        <v>start /low /b %USERPROFILE%\Documents\GitHub\eaglep3\Utilities\DownloadLogsFromS3.py --loco 4016 --day 2017-09-21</v>
      </c>
      <c r="AN191" s="151" t="str">
        <f t="shared" si="94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22:54:43"},{"id":29,"name":"Sharepoint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95"/>
        <v>https://d0f6bd738d7f1b3e5a7ca70fe4ff75f0.us-east-1.aws.found.io/app/kibana#/discover/Steve-Slow-Train-Analysis-(2080s-and-2083s)?_g=(refreshInterval:(display:Off,pause:!f,section:0,value:0),time:(from:'2017-09-21T15:35:17-0600',mode:absolute,to:'2017-09-21T17:54:43-0600'))&amp;_a=(columns:!('Message%20ID',Summary),filters:!(),index:'emp_*',interval:auto,query:(query_string:(analyze_wildcard:!t,query:'Message%5C+ID:(*)+AND+%22rtdc.l.rtdc.4016%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759</v>
      </c>
      <c r="B192" s="7">
        <v>4015</v>
      </c>
      <c r="C192" s="21" t="s">
        <v>196</v>
      </c>
      <c r="D192" s="21" t="s">
        <v>574</v>
      </c>
      <c r="E192" s="13">
        <v>42999.711041666669</v>
      </c>
      <c r="F192" s="13">
        <v>42999.715636574074</v>
      </c>
      <c r="G192" s="7">
        <v>80</v>
      </c>
      <c r="H192" s="21" t="s">
        <v>563</v>
      </c>
      <c r="I192" s="13">
        <v>42999.726064814815</v>
      </c>
      <c r="J192" s="7">
        <v>0</v>
      </c>
      <c r="K192" s="89" t="str">
        <f t="shared" si="77"/>
        <v>4015/4016</v>
      </c>
      <c r="L192" s="185" t="str">
        <f>VLOOKUP(A192,'Trips&amp;Operators'!$C$1:$G$99911,5,FALSE)</f>
        <v>BIRKHOLZ NADINE</v>
      </c>
      <c r="M192" s="6">
        <f t="shared" si="78"/>
        <v>1.0428240741021E-2</v>
      </c>
      <c r="N192" s="7">
        <f t="shared" si="79"/>
        <v>15.01666666707024</v>
      </c>
      <c r="O192" s="7"/>
      <c r="P192" s="7"/>
      <c r="Q192" s="22"/>
      <c r="R192" s="174"/>
      <c r="S192" s="221">
        <f t="shared" si="80"/>
        <v>1</v>
      </c>
      <c r="T192" s="174" t="str">
        <f t="shared" si="81"/>
        <v>Southbound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 t="shared" si="82"/>
        <v>https://d0f6bd738d7f1b3e5a7ca70fe4ff75f0.us-east-1.aws.found.io/app/kibana#/discover/Steve-Slow-Train-Analysis-(2080s-and-2083s)?_g=(refreshInterval:(display:Off,pause:!f,section:0,value:0),time:(from:'2017-09-21T16:03:54-0600',mode:absolute,to:'2017-09-21T18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2" s="204" t="str">
        <f>IF(AA192&lt;VLOOKUP(AG192,Variables!$AC$3:$AD$8,2,FALSE),"Y","N")</f>
        <v>N</v>
      </c>
      <c r="X192" s="204">
        <f t="shared" si="83"/>
        <v>1</v>
      </c>
      <c r="Y192" s="204">
        <f t="shared" si="84"/>
        <v>5.8619000000000003</v>
      </c>
      <c r="Z192" s="204">
        <f t="shared" si="85"/>
        <v>1.4200000000000001E-2</v>
      </c>
      <c r="AA192" s="204">
        <f t="shared" si="86"/>
        <v>5.8477000000000006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 t="shared" si="87"/>
        <v>832</v>
      </c>
      <c r="AE192" s="77" t="str">
        <f t="shared" si="88"/>
        <v>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 &amp; aws s3 cp s3://rtdc.mdm.uploadarchive.raw/RTDC4015/ "%USERPROFILE%\AppData\Local\Temp\OnboardLogs"\RTDC4015\2017-09-22 --exclude "*" --recursive --include "*20170922*" &amp; "%USERPROFILE%\Documents\GitHub\mrs-test-scripts\Headless Mode &amp; Sideloading\WalkAndUnGZ.bat" "%USERPROFILE%\AppData\Local\Temp\OnboardLogs"\RTDC4015\2017-09-22</v>
      </c>
      <c r="AF192" s="74" t="str">
        <f t="shared" si="89"/>
        <v>"C:\Program Files (x86)\AstroGrep\AstroGrep.exe" /e /r /s /spath="%USERPROFILE%\AppData\Local\Temp\OnboardLogs" /stypes="app*4015*20170921*" /stext=" 23:.+((SYSTEM_STATE.+slice.+state.+changed )|(ment ac)|(multiple cpu faults)|(system.+state.+changed )|(\[timeout)|(PRM\|1\|D)|(kpr)|(kdp)|(train st.+moving)|(\|lc)|(penalty))"</v>
      </c>
      <c r="AG192" s="182" t="str">
        <f t="shared" si="90"/>
        <v>NW</v>
      </c>
      <c r="AH192" s="78" t="str">
        <f t="shared" si="91"/>
        <v>"%USERPROFILE%\Documents\GitHub\eaglep3\Utilities\RefineRTDCRunTimes.py" --tripid 832-21 --locoid 4015 --swversion DE.1.0.9.0 --startMP 300:58619 --initTime 2017-09-21T17:03:54 --startdatetime 2017-09-21T17:10:31 --delay 80 --endMP 204:142 --enddatetime 2017-09-21T17:25:32 --enforcementcount 0 &gt;&gt;c:\users\stu\Documents\GitHub\eaglep3-reporting\EC\2017-09-21-refined-times.txt</v>
      </c>
      <c r="AI192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{"issue":{"subject":"","project_id":79,"tracker_id":40,"status_id":1,"priority_id":2,"assigned_to_id":338,"start_date":"2017-09-21","description":"","custom_fields":[{"id":1,"name":"Subdivision","value":"NW"},{"id":4,"name":"Milepost","value":"0.0142"},{"id":17,"name":"Train ID","value":"832-21"},{"id":16,"name":"Locomotive ID","value":"4015"},{"id":130,"name":"Impact","value":""},{"id":150,"name":"Time of Event (Mountain Time)","value":"17:25:32"},{"id":151,"name":"Denver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si="93"/>
        <v>start /low /b %USERPROFILE%\Documents\GitHub\eaglep3\Utilities\DownloadLogsFromS3.py --loco 4015 --day 2017-09-21</v>
      </c>
      <c r="AN192" s="151" t="str">
        <f t="shared" si="94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23:25:32"},{"id":29,"name":"Sharepoint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95"/>
        <v>https://d0f6bd738d7f1b3e5a7ca70fe4ff75f0.us-east-1.aws.found.io/app/kibana#/discover/Steve-Slow-Train-Analysis-(2080s-and-2083s)?_g=(refreshInterval:(display:Off,pause:!f,section:0,value:0),time:(from:'2017-09-21T16:03:54-0600',mode:absolute,to:'2017-09-21T18:25:32-0600'))&amp;_a=(columns:!('Message%20ID',Summary),filters:!(),index:'emp_*',interval:auto,query:(query_string:(analyze_wildcard:!t,query:'Message%5C+ID:(*)+AND+%22rtdc.l.rtdc.4015%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761</v>
      </c>
      <c r="B193" s="7">
        <v>4032</v>
      </c>
      <c r="C193" s="21" t="s">
        <v>196</v>
      </c>
      <c r="D193" s="21" t="s">
        <v>954</v>
      </c>
      <c r="E193" s="13">
        <v>42999.711550925924</v>
      </c>
      <c r="F193" s="13">
        <v>42999.714999999997</v>
      </c>
      <c r="G193" s="7">
        <v>92</v>
      </c>
      <c r="H193" s="21" t="s">
        <v>955</v>
      </c>
      <c r="I193" s="13">
        <v>42999.725324074076</v>
      </c>
      <c r="J193" s="7">
        <v>0</v>
      </c>
      <c r="K193" s="89" t="str">
        <f t="shared" si="77"/>
        <v>4031/4032</v>
      </c>
      <c r="L193" s="185" t="str">
        <f>VLOOKUP(A193,'Trips&amp;Operators'!$C$1:$G$99911,5,FALSE)</f>
        <v>STAMBAUGH JAMES</v>
      </c>
      <c r="M193" s="6">
        <f t="shared" si="78"/>
        <v>1.0324074079107959E-2</v>
      </c>
      <c r="N193" s="7">
        <f t="shared" si="79"/>
        <v>14.866666673915461</v>
      </c>
      <c r="O193" s="7"/>
      <c r="P193" s="7"/>
      <c r="Q193" s="22"/>
      <c r="R193" s="174"/>
      <c r="S193" s="221">
        <f t="shared" si="80"/>
        <v>1</v>
      </c>
      <c r="T193" s="174" t="str">
        <f t="shared" si="81"/>
        <v>NorthBound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 t="shared" si="82"/>
        <v>https://d0f6bd738d7f1b3e5a7ca70fe4ff75f0.us-east-1.aws.found.io/app/kibana#/discover/Steve-Slow-Train-Analysis-(2080s-and-2083s)?_g=(refreshInterval:(display:Off,pause:!f,section:0,value:0),time:(from:'2017-09-21T16:04:38-0600',mode:absolute,to:'2017-09-21T18:24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3" s="204" t="str">
        <f>IF(AA193&lt;VLOOKUP(AG193,Variables!$AC$3:$AD$8,2,FALSE),"Y","N")</f>
        <v>N</v>
      </c>
      <c r="X193" s="204">
        <f t="shared" si="83"/>
        <v>1</v>
      </c>
      <c r="Y193" s="204">
        <f t="shared" si="84"/>
        <v>3.9899999999999998E-2</v>
      </c>
      <c r="Z193" s="204">
        <f t="shared" si="85"/>
        <v>5.8958000000000004</v>
      </c>
      <c r="AA193" s="204">
        <f t="shared" si="86"/>
        <v>5.8559000000000001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 t="shared" si="87"/>
        <v>833</v>
      </c>
      <c r="AE193" s="77" t="str">
        <f t="shared" si="88"/>
        <v>aws s3 cp s3://rtdc.mdm.uploadarchive.raw/RTDC4032/ "%USERPROFILE%\AppData\Local\Temp\OnboardLogs"\RTDC4032\2017-09-21 --exclude "*" --recursive --include "*20170921*" &amp; "%USERPROFILE%\Documents\GitHub\mrs-test-scripts\Headless Mode &amp; Sideloading\WalkAndUnGZ.bat" "%USERPROFILE%\AppData\Local\Temp\OnboardLogs"\RTDC4032\2017-09-21 &amp; aws s3 cp s3://rtdc.mdm.uploadarchive.raw/RTDC4032/ "%USERPROFILE%\AppData\Local\Temp\OnboardLogs"\RTDC4032\2017-09-22 --exclude "*" --recursive --include "*20170922*" &amp; "%USERPROFILE%\Documents\GitHub\mrs-test-scripts\Headless Mode &amp; Sideloading\WalkAndUnGZ.bat" "%USERPROFILE%\AppData\Local\Temp\OnboardLogs"\RTDC4032\2017-09-22</v>
      </c>
      <c r="AF193" s="74" t="str">
        <f t="shared" si="89"/>
        <v>"C:\Program Files (x86)\AstroGrep\AstroGrep.exe" /e /r /s /spath="%USERPROFILE%\AppData\Local\Temp\OnboardLogs" /stypes="app*4032*20170921*" /stext=" 23:.+((SYSTEM_STATE.+slice.+state.+changed )|(ment ac)|(multiple cpu faults)|(system.+state.+changed )|(\[timeout)|(PRM\|1\|D)|(kpr)|(kdp)|(train st.+moving)|(\|lc)|(penalty))"</v>
      </c>
      <c r="AG193" s="182" t="str">
        <f t="shared" si="90"/>
        <v>NW</v>
      </c>
      <c r="AH193" s="78" t="str">
        <f t="shared" si="91"/>
        <v>"%USERPROFILE%\Documents\GitHub\eaglep3\Utilities\RefineRTDCRunTimes.py" --tripid 833-21 --locoid 4032 --swversion DE.1.0.9.0 --startMP 204:399 --initTime 2017-09-21T17:04:38 --startdatetime 2017-09-21T17:09:36 --delay 92 --endMP 300:58958 --enddatetime 2017-09-21T17:24:28 --enforcementcount 0 &gt;&gt;c:\users\stu\Documents\GitHub\eaglep3-reporting\EC\2017-09-21-refined-times.txt</v>
      </c>
      <c r="AI193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{"issue":{"subject":"","project_id":79,"tracker_id":40,"status_id":1,"priority_id":2,"assigned_to_id":338,"start_date":"2017-09-21","description":"","custom_fields":[{"id":1,"name":"Subdivision","value":"NW"},{"id":4,"name":"Milepost","value":"5.8958"},{"id":17,"name":"Train ID","value":"833-21"},{"id":16,"name":"Locomotive ID","value":"4032"},{"id":130,"name":"Impact","value":""},{"id":150,"name":"Time of Event (Mountain Time)","value":"17:24:28"},{"id":151,"name":"Denver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si="93"/>
        <v>start /low /b %USERPROFILE%\Documents\GitHub\eaglep3\Utilities\DownloadLogsFromS3.py --loco 4032 --day 2017-09-21</v>
      </c>
      <c r="AN193" s="151" t="str">
        <f t="shared" si="94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23:24:28"},{"id":29,"name":"Sharepoint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95"/>
        <v>https://d0f6bd738d7f1b3e5a7ca70fe4ff75f0.us-east-1.aws.found.io/app/kibana#/discover/Steve-Slow-Train-Analysis-(2080s-and-2083s)?_g=(refreshInterval:(display:Off,pause:!f,section:0,value:0),time:(from:'2017-09-21T16:04:38-0600',mode:absolute,to:'2017-09-21T18:24:28-0600'))&amp;_a=(columns:!('Message%20ID',Summary),filters:!(),index:'emp_*',interval:auto,query:(query_string:(analyze_wildcard:!t,query:'Message%5C+ID:(*)+AND+%22rtdc.l.rtdc.4032%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766</v>
      </c>
      <c r="B194" s="7">
        <v>4031</v>
      </c>
      <c r="C194" s="21" t="s">
        <v>196</v>
      </c>
      <c r="D194" s="21" t="s">
        <v>564</v>
      </c>
      <c r="E194" s="13">
        <v>42999.726076388892</v>
      </c>
      <c r="F194" s="13">
        <v>42999.736678240741</v>
      </c>
      <c r="G194" s="7">
        <v>62</v>
      </c>
      <c r="H194" s="21" t="s">
        <v>922</v>
      </c>
      <c r="I194" s="13">
        <v>42999.746064814812</v>
      </c>
      <c r="J194" s="7">
        <v>0</v>
      </c>
      <c r="K194" s="89" t="str">
        <f t="shared" si="77"/>
        <v>4031/4032</v>
      </c>
      <c r="L194" s="185" t="str">
        <f>VLOOKUP(A194,'Trips&amp;Operators'!$C$1:$G$99911,5,FALSE)</f>
        <v>STAMBAUGH JAMES</v>
      </c>
      <c r="M194" s="6">
        <f t="shared" si="78"/>
        <v>9.3865740709588863E-3</v>
      </c>
      <c r="N194" s="7">
        <f t="shared" si="79"/>
        <v>13.516666662180796</v>
      </c>
      <c r="O194" s="7"/>
      <c r="P194" s="7"/>
      <c r="Q194" s="22"/>
      <c r="R194" s="174"/>
      <c r="S194" s="221">
        <f t="shared" si="80"/>
        <v>1</v>
      </c>
      <c r="T194" s="174" t="str">
        <f t="shared" si="81"/>
        <v>Southbound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 t="shared" si="82"/>
        <v>https://d0f6bd738d7f1b3e5a7ca70fe4ff75f0.us-east-1.aws.found.io/app/kibana#/discover/Steve-Slow-Train-Analysis-(2080s-and-2083s)?_g=(refreshInterval:(display:Off,pause:!f,section:0,value:0),time:(from:'2017-09-21T16:25:33-0600',mode:absolute,to:'2017-09-21T18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4" s="204" t="str">
        <f>IF(AA194&lt;VLOOKUP(AG194,Variables!$AC$3:$AD$8,2,FALSE),"Y","N")</f>
        <v>N</v>
      </c>
      <c r="X194" s="204">
        <f t="shared" si="83"/>
        <v>1</v>
      </c>
      <c r="Y194" s="204">
        <f t="shared" si="84"/>
        <v>5.8640999999999996</v>
      </c>
      <c r="Z194" s="204">
        <f t="shared" si="85"/>
        <v>6.7799999999999999E-2</v>
      </c>
      <c r="AA194" s="204">
        <f t="shared" si="86"/>
        <v>5.7962999999999996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 t="shared" si="87"/>
        <v>834</v>
      </c>
      <c r="AE194" s="77" t="str">
        <f t="shared" si="88"/>
        <v>aws s3 cp s3://rtdc.mdm.uploadarchive.raw/RTDC4031/ "%USERPROFILE%\AppData\Local\Temp\OnboardLogs"\RTDC4031\2017-09-21 --exclude "*" --recursive --include "*20170921*" &amp; "%USERPROFILE%\Documents\GitHub\mrs-test-scripts\Headless Mode &amp; Sideloading\WalkAndUnGZ.bat" "%USERPROFILE%\AppData\Local\Temp\OnboardLogs"\RTDC4031\2017-09-21 &amp; aws s3 cp s3://rtdc.mdm.uploadarchive.raw/RTDC4031/ "%USERPROFILE%\AppData\Local\Temp\OnboardLogs"\RTDC4031\2017-09-22 --exclude "*" --recursive --include "*20170922*" &amp; "%USERPROFILE%\Documents\GitHub\mrs-test-scripts\Headless Mode &amp; Sideloading\WalkAndUnGZ.bat" "%USERPROFILE%\AppData\Local\Temp\OnboardLogs"\RTDC4031\2017-09-22</v>
      </c>
      <c r="AF194" s="74" t="str">
        <f t="shared" si="89"/>
        <v>"C:\Program Files (x86)\AstroGrep\AstroGrep.exe" /e /r /s /spath="%USERPROFILE%\AppData\Local\Temp\OnboardLogs" /stypes="app*4031*20170921*" /stext=" 23:.+((SYSTEM_STATE.+slice.+state.+changed )|(ment ac)|(multiple cpu faults)|(system.+state.+changed )|(\[timeout)|(PRM\|1\|D)|(kpr)|(kdp)|(train st.+moving)|(\|lc)|(penalty))"</v>
      </c>
      <c r="AG194" s="182" t="str">
        <f t="shared" si="90"/>
        <v>NW</v>
      </c>
      <c r="AH194" s="78" t="str">
        <f t="shared" si="91"/>
        <v>"%USERPROFILE%\Documents\GitHub\eaglep3\Utilities\RefineRTDCRunTimes.py" --tripid 834-21 --locoid 4031 --swversion DE.1.0.9.0 --startMP 300:58641 --initTime 2017-09-21T17:25:33 --startdatetime 2017-09-21T17:40:49 --delay 62 --endMP 204:678 --enddatetime 2017-09-21T17:54:20 --enforcementcount 0 &gt;&gt;c:\users\stu\Documents\GitHub\eaglep3-reporting\EC\2017-09-21-refined-times.txt</v>
      </c>
      <c r="AI194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{"issue":{"subject":"","project_id":79,"tracker_id":40,"status_id":1,"priority_id":2,"assigned_to_id":338,"start_date":"2017-09-21","description":"","custom_fields":[{"id":1,"name":"Subdivision","value":"NW"},{"id":4,"name":"Milepost","value":"0.0678"},{"id":17,"name":"Train ID","value":"834-21"},{"id":16,"name":"Locomotive ID","value":"4031"},{"id":130,"name":"Impact","value":""},{"id":150,"name":"Time of Event (Mountain Time)","value":"17:54:20"},{"id":151,"name":"Denver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4" s="47"/>
      <c r="AL194" s="47"/>
      <c r="AM194" s="142" t="str">
        <f t="shared" si="93"/>
        <v>start /low /b %USERPROFILE%\Documents\GitHub\eaglep3\Utilities\DownloadLogsFromS3.py --loco 4031 --day 2017-09-21</v>
      </c>
      <c r="AN194" s="151" t="str">
        <f t="shared" si="94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23:54:20"},{"id":29,"name":"Sharepoint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95"/>
        <v>https://d0f6bd738d7f1b3e5a7ca70fe4ff75f0.us-east-1.aws.found.io/app/kibana#/discover/Steve-Slow-Train-Analysis-(2080s-and-2083s)?_g=(refreshInterval:(display:Off,pause:!f,section:0,value:0),time:(from:'2017-09-21T16:25:33-0600',mode:absolute,to:'2017-09-21T18:54:20-0600'))&amp;_a=(columns:!('Message%20ID',Summary),filters:!(),index:'emp_*',interval:auto,query:(query_string:(analyze_wildcard:!t,query:'Message%5C+ID:(*)+AND+%22rtdc.l.rtdc.4031%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770</v>
      </c>
      <c r="B195" s="7">
        <v>4016</v>
      </c>
      <c r="C195" s="21" t="s">
        <v>196</v>
      </c>
      <c r="D195" s="21" t="s">
        <v>956</v>
      </c>
      <c r="E195" s="13">
        <v>42999.731793981482</v>
      </c>
      <c r="F195" s="13">
        <v>42999.735717592594</v>
      </c>
      <c r="G195" s="7">
        <v>66</v>
      </c>
      <c r="H195" s="21" t="s">
        <v>957</v>
      </c>
      <c r="I195" s="13">
        <v>42999.746331018519</v>
      </c>
      <c r="J195" s="7">
        <v>0</v>
      </c>
      <c r="K195" s="89" t="str">
        <f t="shared" si="77"/>
        <v>4015/4016</v>
      </c>
      <c r="L195" s="185" t="str">
        <f>VLOOKUP(A195,'Trips&amp;Operators'!$C$1:$G$99911,5,FALSE)</f>
        <v>BIRKHOLZ NADINE</v>
      </c>
      <c r="M195" s="6">
        <f t="shared" si="78"/>
        <v>1.0613425925839692E-2</v>
      </c>
      <c r="N195" s="7">
        <f t="shared" si="79"/>
        <v>15.283333333209157</v>
      </c>
      <c r="O195" s="7"/>
      <c r="P195" s="7"/>
      <c r="Q195" s="22"/>
      <c r="R195" s="174"/>
      <c r="S195" s="221">
        <f t="shared" si="80"/>
        <v>1</v>
      </c>
      <c r="T195" s="174" t="str">
        <f t="shared" si="81"/>
        <v>NorthBound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 t="shared" si="82"/>
        <v>https://d0f6bd738d7f1b3e5a7ca70fe4ff75f0.us-east-1.aws.found.io/app/kibana#/discover/Steve-Slow-Train-Analysis-(2080s-and-2083s)?_g=(refreshInterval:(display:Off,pause:!f,section:0,value:0),time:(from:'2017-09-21T16:33:47-0600',mode:absolute,to:'2017-09-21T18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5" s="204" t="str">
        <f>IF(AA195&lt;VLOOKUP(AG195,Variables!$AC$3:$AD$8,2,FALSE),"Y","N")</f>
        <v>N</v>
      </c>
      <c r="X195" s="204">
        <f t="shared" si="83"/>
        <v>1</v>
      </c>
      <c r="Y195" s="204">
        <f t="shared" si="84"/>
        <v>4.3900000000000002E-2</v>
      </c>
      <c r="Z195" s="204">
        <f t="shared" si="85"/>
        <v>5.8929</v>
      </c>
      <c r="AA195" s="204">
        <f t="shared" si="86"/>
        <v>5.8490000000000002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 t="shared" si="87"/>
        <v>835</v>
      </c>
      <c r="AE195" s="77" t="str">
        <f t="shared" si="88"/>
        <v>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 &amp; aws s3 cp s3://rtdc.mdm.uploadarchive.raw/RTDC4016/ "%USERPROFILE%\AppData\Local\Temp\OnboardLogs"\RTDC4016\2017-09-22 --exclude "*" --recursive --include "*20170922*" &amp; "%USERPROFILE%\Documents\GitHub\mrs-test-scripts\Headless Mode &amp; Sideloading\WalkAndUnGZ.bat" "%USERPROFILE%\AppData\Local\Temp\OnboardLogs"\RTDC4016\2017-09-22</v>
      </c>
      <c r="AF195" s="74" t="str">
        <f t="shared" si="89"/>
        <v>"C:\Program Files (x86)\AstroGrep\AstroGrep.exe" /e /r /s /spath="%USERPROFILE%\AppData\Local\Temp\OnboardLogs" /stypes="app*4016*20170921*" /stext=" 23:.+((SYSTEM_STATE.+slice.+state.+changed )|(ment ac)|(multiple cpu faults)|(system.+state.+changed )|(\[timeout)|(PRM\|1\|D)|(kpr)|(kdp)|(train st.+moving)|(\|lc)|(penalty))"</v>
      </c>
      <c r="AG195" s="182" t="str">
        <f t="shared" si="90"/>
        <v>NW</v>
      </c>
      <c r="AH195" s="78" t="str">
        <f t="shared" si="91"/>
        <v>"%USERPROFILE%\Documents\GitHub\eaglep3\Utilities\RefineRTDCRunTimes.py" --tripid 835-21 --locoid 4016 --swversion DE.1.0.9.0 --startMP 204:439 --initTime 2017-09-21T17:33:47 --startdatetime 2017-09-21T17:39:26 --delay 66 --endMP 300:58929 --enddatetime 2017-09-21T17:54:43 --enforcementcount 0 &gt;&gt;c:\users\stu\Documents\GitHub\eaglep3-reporting\EC\2017-09-21-refined-times.txt</v>
      </c>
      <c r="AI195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{"issue":{"subject":"","project_id":79,"tracker_id":40,"status_id":1,"priority_id":2,"assigned_to_id":338,"start_date":"2017-09-21","description":"","custom_fields":[{"id":1,"name":"Subdivision","value":"NW"},{"id":4,"name":"Milepost","value":"5.8929"},{"id":17,"name":"Train ID","value":"835-21"},{"id":16,"name":"Locomotive ID","value":"4016"},{"id":130,"name":"Impact","value":""},{"id":150,"name":"Time of Event (Mountain Time)","value":"17:54:43"},{"id":151,"name":"Denver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5" s="47"/>
      <c r="AL195" s="47"/>
      <c r="AM195" s="142" t="str">
        <f t="shared" si="93"/>
        <v>start /low /b %USERPROFILE%\Documents\GitHub\eaglep3\Utilities\DownloadLogsFromS3.py --loco 4016 --day 2017-09-21</v>
      </c>
      <c r="AN195" s="151" t="str">
        <f t="shared" si="94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23:54:43"},{"id":29,"name":"Sharepoint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95"/>
        <v>https://d0f6bd738d7f1b3e5a7ca70fe4ff75f0.us-east-1.aws.found.io/app/kibana#/discover/Steve-Slow-Train-Analysis-(2080s-and-2083s)?_g=(refreshInterval:(display:Off,pause:!f,section:0,value:0),time:(from:'2017-09-21T16:33:47-0600',mode:absolute,to:'2017-09-21T18:54:43-0600'))&amp;_a=(columns:!('Message%20ID',Summary),filters:!(),index:'emp_*',interval:auto,query:(query_string:(analyze_wildcard:!t,query:'Message%5C+ID:(*)+AND+%22rtdc.l.rtdc.4016%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780</v>
      </c>
      <c r="B196" s="7">
        <v>4015</v>
      </c>
      <c r="C196" s="21" t="s">
        <v>196</v>
      </c>
      <c r="D196" s="21" t="s">
        <v>475</v>
      </c>
      <c r="E196" s="13">
        <v>42999.755844907406</v>
      </c>
      <c r="F196" s="13">
        <v>42999.757731481484</v>
      </c>
      <c r="G196" s="7">
        <v>72</v>
      </c>
      <c r="H196" s="21" t="s">
        <v>576</v>
      </c>
      <c r="I196" s="13">
        <v>42999.76761574074</v>
      </c>
      <c r="J196" s="7">
        <v>0</v>
      </c>
      <c r="K196" s="89" t="str">
        <f t="shared" si="77"/>
        <v>4015/4016</v>
      </c>
      <c r="L196" s="185" t="str">
        <f>VLOOKUP(A196,'Trips&amp;Operators'!$C$1:$G$99911,5,FALSE)</f>
        <v>BIRKHOLZ NADINE</v>
      </c>
      <c r="M196" s="6">
        <f t="shared" si="78"/>
        <v>9.8842592560686171E-3</v>
      </c>
      <c r="N196" s="7">
        <f t="shared" si="79"/>
        <v>14.233333328738809</v>
      </c>
      <c r="O196" s="7"/>
      <c r="P196" s="7"/>
      <c r="Q196" s="22"/>
      <c r="R196" s="174"/>
      <c r="S196" s="221">
        <f t="shared" si="80"/>
        <v>1</v>
      </c>
      <c r="T196" s="174" t="str">
        <f t="shared" si="81"/>
        <v>Southbound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 t="shared" si="82"/>
        <v>https://d0f6bd738d7f1b3e5a7ca70fe4ff75f0.us-east-1.aws.found.io/app/kibana#/discover/Steve-Slow-Train-Analysis-(2080s-and-2083s)?_g=(refreshInterval:(display:Off,pause:!f,section:0,value:0),time:(from:'2017-09-21T17:08:25-0600',mode:absolute,to:'2017-09-21T19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6" s="204" t="str">
        <f>IF(AA196&lt;VLOOKUP(AG196,Variables!$AC$3:$AD$8,2,FALSE),"Y","N")</f>
        <v>N</v>
      </c>
      <c r="X196" s="204">
        <f t="shared" si="83"/>
        <v>1</v>
      </c>
      <c r="Y196" s="204">
        <f t="shared" si="84"/>
        <v>5.8628</v>
      </c>
      <c r="Z196" s="204">
        <f t="shared" si="85"/>
        <v>6.7500000000000004E-2</v>
      </c>
      <c r="AA196" s="204">
        <f t="shared" si="86"/>
        <v>5.7953000000000001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 t="shared" si="87"/>
        <v>836</v>
      </c>
      <c r="AE196" s="77" t="str">
        <f t="shared" si="88"/>
        <v>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 &amp; aws s3 cp s3://rtdc.mdm.uploadarchive.raw/RTDC4015/ "%USERPROFILE%\AppData\Local\Temp\OnboardLogs"\RTDC4015\2017-09-22 --exclude "*" --recursive --include "*20170922*" &amp; "%USERPROFILE%\Documents\GitHub\mrs-test-scripts\Headless Mode &amp; Sideloading\WalkAndUnGZ.bat" "%USERPROFILE%\AppData\Local\Temp\OnboardLogs"\RTDC4015\2017-09-22</v>
      </c>
      <c r="AF196" s="74" t="str">
        <f t="shared" si="89"/>
        <v>"C:\Program Files (x86)\AstroGrep\AstroGrep.exe" /e /r /s /spath="%USERPROFILE%\AppData\Local\Temp\OnboardLogs" /stypes="app*4015*20170922*" /stext=" 00:.+((SYSTEM_STATE.+slice.+state.+changed )|(ment ac)|(multiple cpu faults)|(system.+state.+changed )|(\[timeout)|(PRM\|1\|D)|(kpr)|(kdp)|(train st.+moving)|(\|lc)|(penalty))"</v>
      </c>
      <c r="AG196" s="182" t="str">
        <f t="shared" si="90"/>
        <v>NW</v>
      </c>
      <c r="AH196" s="78" t="str">
        <f t="shared" si="91"/>
        <v>"%USERPROFILE%\Documents\GitHub\eaglep3\Utilities\RefineRTDCRunTimes.py" --tripid 836-21 --locoid 4015 --swversion DE.1.0.9.0 --startMP 300:58628 --initTime 2017-09-21T18:08:25 --startdatetime 2017-09-21T18:11:08 --delay 72 --endMP 204:675 --enddatetime 2017-09-21T18:25:22 --enforcementcount 0 &gt;&gt;c:\users\stu\Documents\GitHub\eaglep3-reporting\EC\2017-09-21-refined-times.txt</v>
      </c>
      <c r="AI196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{"issue":{"subject":"","project_id":79,"tracker_id":40,"status_id":1,"priority_id":2,"assigned_to_id":338,"start_date":"2017-09-21","description":"","custom_fields":[{"id":1,"name":"Subdivision","value":"NW"},{"id":4,"name":"Milepost","value":"0.0675"},{"id":17,"name":"Train ID","value":"836-21"},{"id":16,"name":"Locomotive ID","value":"4015"},{"id":130,"name":"Impact","value":""},{"id":150,"name":"Time of Event (Mountain Time)","value":"18:25:22"},{"id":151,"name":"Denver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93"/>
        <v>start /low /b %USERPROFILE%\Documents\GitHub\eaglep3\Utilities\DownloadLogsFromS3.py --loco 4015 --day 2017-09-21</v>
      </c>
      <c r="AN196" s="151" t="str">
        <f t="shared" si="94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00:25:22"},{"id":29,"name":"Sharepoint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95"/>
        <v>https://d0f6bd738d7f1b3e5a7ca70fe4ff75f0.us-east-1.aws.found.io/app/kibana#/discover/Steve-Slow-Train-Analysis-(2080s-and-2083s)?_g=(refreshInterval:(display:Off,pause:!f,section:0,value:0),time:(from:'2017-09-21T17:08:25-0600',mode:absolute,to:'2017-09-21T19:25:22-0600'))&amp;_a=(columns:!('Message%20ID',Summary),filters:!(),index:'emp_*',interval:auto,query:(query_string:(analyze_wildcard:!t,query:'Message%5C+ID:(*)+AND+%22rtdc.l.rtdc.4015%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2" t="s">
        <v>779</v>
      </c>
      <c r="B197" s="7">
        <v>4032</v>
      </c>
      <c r="C197" s="21" t="s">
        <v>196</v>
      </c>
      <c r="D197" s="21" t="s">
        <v>946</v>
      </c>
      <c r="E197" s="13">
        <v>42999.754930555559</v>
      </c>
      <c r="F197" s="13">
        <v>42999.756712962961</v>
      </c>
      <c r="G197" s="7">
        <v>65</v>
      </c>
      <c r="H197" s="21" t="s">
        <v>918</v>
      </c>
      <c r="I197" s="13">
        <v>42999.766759259262</v>
      </c>
      <c r="J197" s="7">
        <v>0</v>
      </c>
      <c r="K197" s="89" t="str">
        <f t="shared" si="77"/>
        <v>4031/4032</v>
      </c>
      <c r="L197" s="185" t="str">
        <f>VLOOKUP(A197,'Trips&amp;Operators'!$C$1:$G$99911,5,FALSE)</f>
        <v>STAMBAUGH JAMES</v>
      </c>
      <c r="M197" s="6">
        <f t="shared" si="78"/>
        <v>1.004629630187992E-2</v>
      </c>
      <c r="N197" s="7">
        <f t="shared" si="79"/>
        <v>14.466666674707085</v>
      </c>
      <c r="O197" s="7"/>
      <c r="P197" s="7"/>
      <c r="Q197" s="22"/>
      <c r="R197" s="174"/>
      <c r="S197" s="221">
        <f t="shared" si="80"/>
        <v>1</v>
      </c>
      <c r="T197" s="174" t="str">
        <f t="shared" si="81"/>
        <v>NorthBound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 t="shared" si="82"/>
        <v>https://d0f6bd738d7f1b3e5a7ca70fe4ff75f0.us-east-1.aws.found.io/app/kibana#/discover/Steve-Slow-Train-Analysis-(2080s-and-2083s)?_g=(refreshInterval:(display:Off,pause:!f,section:0,value:0),time:(from:'2017-09-21T17:07:06-0600',mode:absolute,to:'2017-09-21T19:24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7" s="204" t="str">
        <f>IF(AA197&lt;VLOOKUP(AG197,Variables!$AC$3:$AD$8,2,FALSE),"Y","N")</f>
        <v>N</v>
      </c>
      <c r="X197" s="204">
        <f t="shared" si="83"/>
        <v>1</v>
      </c>
      <c r="Y197" s="204">
        <f t="shared" si="84"/>
        <v>9.74E-2</v>
      </c>
      <c r="Z197" s="204">
        <f t="shared" si="85"/>
        <v>5.8960999999999997</v>
      </c>
      <c r="AA197" s="204">
        <f t="shared" si="86"/>
        <v>5.7986999999999993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 t="shared" si="87"/>
        <v>837</v>
      </c>
      <c r="AE197" s="77" t="str">
        <f t="shared" si="88"/>
        <v>aws s3 cp s3://rtdc.mdm.uploadarchive.raw/RTDC4032/ "%USERPROFILE%\AppData\Local\Temp\OnboardLogs"\RTDC4032\2017-09-21 --exclude "*" --recursive --include "*20170921*" &amp; "%USERPROFILE%\Documents\GitHub\mrs-test-scripts\Headless Mode &amp; Sideloading\WalkAndUnGZ.bat" "%USERPROFILE%\AppData\Local\Temp\OnboardLogs"\RTDC4032\2017-09-21 &amp; aws s3 cp s3://rtdc.mdm.uploadarchive.raw/RTDC4032/ "%USERPROFILE%\AppData\Local\Temp\OnboardLogs"\RTDC4032\2017-09-22 --exclude "*" --recursive --include "*20170922*" &amp; "%USERPROFILE%\Documents\GitHub\mrs-test-scripts\Headless Mode &amp; Sideloading\WalkAndUnGZ.bat" "%USERPROFILE%\AppData\Local\Temp\OnboardLogs"\RTDC4032\2017-09-22</v>
      </c>
      <c r="AF197" s="74" t="str">
        <f t="shared" si="89"/>
        <v>"C:\Program Files (x86)\AstroGrep\AstroGrep.exe" /e /r /s /spath="%USERPROFILE%\AppData\Local\Temp\OnboardLogs" /stypes="app*4032*20170922*" /stext=" 00:.+((SYSTEM_STATE.+slice.+state.+changed )|(ment ac)|(multiple cpu faults)|(system.+state.+changed )|(\[timeout)|(PRM\|1\|D)|(kpr)|(kdp)|(train st.+moving)|(\|lc)|(penalty))"</v>
      </c>
      <c r="AG197" s="182" t="str">
        <f t="shared" si="90"/>
        <v>NW</v>
      </c>
      <c r="AH197" s="78" t="str">
        <f t="shared" si="91"/>
        <v>"%USERPROFILE%\Documents\GitHub\eaglep3\Utilities\RefineRTDCRunTimes.py" --tripid 837-21 --locoid 4032 --swversion DE.1.0.9.0 --startMP 204:974 --initTime 2017-09-21T18:07:06 --startdatetime 2017-09-21T18:09:40 --delay 65 --endMP 300:58961 --enddatetime 2017-09-21T18:24:08 --enforcementcount 0 &gt;&gt;c:\users\stu\Documents\GitHub\eaglep3-reporting\EC\2017-09-21-refined-times.txt</v>
      </c>
      <c r="AI197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{"issue":{"subject":"","project_id":79,"tracker_id":40,"status_id":1,"priority_id":2,"assigned_to_id":338,"start_date":"2017-09-21","description":"","custom_fields":[{"id":1,"name":"Subdivision","value":"NW"},{"id":4,"name":"Milepost","value":"5.8961"},{"id":17,"name":"Train ID","value":"837-21"},{"id":16,"name":"Locomotive ID","value":"4032"},{"id":130,"name":"Impact","value":""},{"id":150,"name":"Time of Event (Mountain Time)","value":"18:24:08"},{"id":151,"name":"Denver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93"/>
        <v>start /low /b %USERPROFILE%\Documents\GitHub\eaglep3\Utilities\DownloadLogsFromS3.py --loco 4032 --day 2017-09-21</v>
      </c>
      <c r="AN197" s="151" t="str">
        <f t="shared" si="94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00:24:08"},{"id":29,"name":"Sharepoint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95"/>
        <v>https://d0f6bd738d7f1b3e5a7ca70fe4ff75f0.us-east-1.aws.found.io/app/kibana#/discover/Steve-Slow-Train-Analysis-(2080s-and-2083s)?_g=(refreshInterval:(display:Off,pause:!f,section:0,value:0),time:(from:'2017-09-21T17:07:06-0600',mode:absolute,to:'2017-09-21T19:24:08-0600'))&amp;_a=(columns:!('Message%20ID',Summary),filters:!(),index:'emp_*',interval:auto,query:(query_string:(analyze_wildcard:!t,query:'Message%5C+ID:(*)+AND+%22rtdc.l.rtdc.4032%22')),sort:!(Time.ISO8601,asc))</v>
      </c>
    </row>
    <row r="198" spans="1:91" s="20" customFormat="1" x14ac:dyDescent="0.25">
      <c r="A198" s="32" t="s">
        <v>783</v>
      </c>
      <c r="B198" s="7">
        <v>4031</v>
      </c>
      <c r="C198" s="21" t="s">
        <v>196</v>
      </c>
      <c r="D198" s="21" t="s">
        <v>498</v>
      </c>
      <c r="E198" s="13">
        <v>42999.767511574071</v>
      </c>
      <c r="F198" s="13">
        <v>42999.778854166667</v>
      </c>
      <c r="G198" s="7">
        <v>56</v>
      </c>
      <c r="H198" s="21" t="s">
        <v>575</v>
      </c>
      <c r="I198" s="13">
        <v>42999.787685185183</v>
      </c>
      <c r="J198" s="7">
        <v>0</v>
      </c>
      <c r="K198" s="89" t="str">
        <f t="shared" si="77"/>
        <v>4031/4032</v>
      </c>
      <c r="L198" s="185" t="str">
        <f>VLOOKUP(A198,'Trips&amp;Operators'!$C$1:$G$99911,5,FALSE)</f>
        <v>STAMBAUGH JAMES</v>
      </c>
      <c r="M198" s="6">
        <f t="shared" si="78"/>
        <v>8.8310185165028088E-3</v>
      </c>
      <c r="N198" s="7">
        <f t="shared" si="79"/>
        <v>12.716666663764045</v>
      </c>
      <c r="O198" s="7"/>
      <c r="P198" s="7"/>
      <c r="Q198" s="22"/>
      <c r="R198" s="174"/>
      <c r="S198" s="221">
        <f t="shared" si="80"/>
        <v>1</v>
      </c>
      <c r="T198" s="174" t="str">
        <f t="shared" si="81"/>
        <v>Southbound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 t="shared" si="82"/>
        <v>https://d0f6bd738d7f1b3e5a7ca70fe4ff75f0.us-east-1.aws.found.io/app/kibana#/discover/Steve-Slow-Train-Analysis-(2080s-and-2083s)?_g=(refreshInterval:(display:Off,pause:!f,section:0,value:0),time:(from:'2017-09-21T17:25:13-0600',mode:absolute,to:'2017-09-21T19:54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8" s="204" t="str">
        <f>IF(AA198&lt;VLOOKUP(AG198,Variables!$AC$3:$AD$8,2,FALSE),"Y","N")</f>
        <v>N</v>
      </c>
      <c r="X198" s="204">
        <f t="shared" si="83"/>
        <v>1</v>
      </c>
      <c r="Y198" s="204">
        <f t="shared" si="84"/>
        <v>5.8647</v>
      </c>
      <c r="Z198" s="204">
        <f t="shared" si="85"/>
        <v>6.9800000000000001E-2</v>
      </c>
      <c r="AA198" s="204">
        <f t="shared" si="86"/>
        <v>5.7949000000000002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 t="shared" si="87"/>
        <v>838</v>
      </c>
      <c r="AE198" s="77" t="str">
        <f t="shared" si="88"/>
        <v>aws s3 cp s3://rtdc.mdm.uploadarchive.raw/RTDC4031/ "%USERPROFILE%\AppData\Local\Temp\OnboardLogs"\RTDC4031\2017-09-21 --exclude "*" --recursive --include "*20170921*" &amp; "%USERPROFILE%\Documents\GitHub\mrs-test-scripts\Headless Mode &amp; Sideloading\WalkAndUnGZ.bat" "%USERPROFILE%\AppData\Local\Temp\OnboardLogs"\RTDC4031\2017-09-21 &amp; aws s3 cp s3://rtdc.mdm.uploadarchive.raw/RTDC4031/ "%USERPROFILE%\AppData\Local\Temp\OnboardLogs"\RTDC4031\2017-09-22 --exclude "*" --recursive --include "*20170922*" &amp; "%USERPROFILE%\Documents\GitHub\mrs-test-scripts\Headless Mode &amp; Sideloading\WalkAndUnGZ.bat" "%USERPROFILE%\AppData\Local\Temp\OnboardLogs"\RTDC4031\2017-09-22</v>
      </c>
      <c r="AF198" s="74" t="str">
        <f t="shared" si="89"/>
        <v>"C:\Program Files (x86)\AstroGrep\AstroGrep.exe" /e /r /s /spath="%USERPROFILE%\AppData\Local\Temp\OnboardLogs" /stypes="app*4031*20170922*" /stext=" 00:.+((SYSTEM_STATE.+slice.+state.+changed )|(ment ac)|(multiple cpu faults)|(system.+state.+changed )|(\[timeout)|(PRM\|1\|D)|(kpr)|(kdp)|(train st.+moving)|(\|lc)|(penalty))"</v>
      </c>
      <c r="AG198" s="182" t="str">
        <f t="shared" si="90"/>
        <v>NW</v>
      </c>
      <c r="AH198" s="78" t="str">
        <f t="shared" si="91"/>
        <v>"%USERPROFILE%\Documents\GitHub\eaglep3\Utilities\RefineRTDCRunTimes.py" --tripid 838-21 --locoid 4031 --swversion DE.1.0.9.0 --startMP 300:58647 --initTime 2017-09-21T18:25:13 --startdatetime 2017-09-21T18:41:33 --delay 56 --endMP 204:698 --enddatetime 2017-09-21T18:54:16 --enforcementcount 0 &gt;&gt;c:\users\stu\Documents\GitHub\eaglep3-reporting\EC\2017-09-21-refined-times.txt</v>
      </c>
      <c r="AI198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{"issue":{"subject":"","project_id":79,"tracker_id":40,"status_id":1,"priority_id":2,"assigned_to_id":338,"start_date":"2017-09-21","description":"","custom_fields":[{"id":1,"name":"Subdivision","value":"NW"},{"id":4,"name":"Milepost","value":"0.0698"},{"id":17,"name":"Train ID","value":"838-21"},{"id":16,"name":"Locomotive ID","value":"4031"},{"id":130,"name":"Impact","value":""},{"id":150,"name":"Time of Event (Mountain Time)","value":"18:54:16"},{"id":151,"name":"Denver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si="93"/>
        <v>start /low /b %USERPROFILE%\Documents\GitHub\eaglep3\Utilities\DownloadLogsFromS3.py --loco 4031 --day 2017-09-21</v>
      </c>
      <c r="AN198" s="151" t="str">
        <f t="shared" si="94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00:54:16"},{"id":29,"name":"Sharepoint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95"/>
        <v>https://d0f6bd738d7f1b3e5a7ca70fe4ff75f0.us-east-1.aws.found.io/app/kibana#/discover/Steve-Slow-Train-Analysis-(2080s-and-2083s)?_g=(refreshInterval:(display:Off,pause:!f,section:0,value:0),time:(from:'2017-09-21T17:25:13-0600',mode:absolute,to:'2017-09-21T19:54:16-0600'))&amp;_a=(columns:!('Message%20ID',Summary),filters:!(),index:'emp_*',interval:auto,query:(query_string:(analyze_wildcard:!t,query:'Message%5C+ID:(*)+AND+%22rtdc.l.rtdc.4031%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784</v>
      </c>
      <c r="B199" s="7">
        <v>4016</v>
      </c>
      <c r="C199" s="21" t="s">
        <v>196</v>
      </c>
      <c r="D199" s="21" t="s">
        <v>502</v>
      </c>
      <c r="E199" s="13">
        <v>42999.774062500001</v>
      </c>
      <c r="F199" s="13">
        <v>42999.777326388888</v>
      </c>
      <c r="G199" s="7">
        <v>54</v>
      </c>
      <c r="H199" s="21" t="s">
        <v>571</v>
      </c>
      <c r="I199" s="13">
        <v>42999.787581018521</v>
      </c>
      <c r="J199" s="7">
        <v>0</v>
      </c>
      <c r="K199" s="89" t="str">
        <f t="shared" si="77"/>
        <v>4015/4016</v>
      </c>
      <c r="L199" s="185" t="str">
        <f>VLOOKUP(A199,'Trips&amp;Operators'!$C$1:$G$99911,5,FALSE)</f>
        <v>BIRKHOLZ NADINE</v>
      </c>
      <c r="M199" s="6">
        <f t="shared" si="78"/>
        <v>1.025462963298196E-2</v>
      </c>
      <c r="N199" s="7">
        <f t="shared" si="79"/>
        <v>14.766666671494022</v>
      </c>
      <c r="O199" s="7"/>
      <c r="P199" s="7"/>
      <c r="Q199" s="22"/>
      <c r="R199" s="174"/>
      <c r="S199" s="221">
        <f t="shared" si="80"/>
        <v>1</v>
      </c>
      <c r="T199" s="174" t="str">
        <f t="shared" si="81"/>
        <v>NorthBound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 t="shared" si="82"/>
        <v>https://d0f6bd738d7f1b3e5a7ca70fe4ff75f0.us-east-1.aws.found.io/app/kibana#/discover/Steve-Slow-Train-Analysis-(2080s-and-2083s)?_g=(refreshInterval:(display:Off,pause:!f,section:0,value:0),time:(from:'2017-09-21T17:34:39-0600',mode:absolute,to:'2017-09-21T19:54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9" s="204" t="str">
        <f>IF(AA199&lt;VLOOKUP(AG199,Variables!$AC$3:$AD$8,2,FALSE),"Y","N")</f>
        <v>N</v>
      </c>
      <c r="X199" s="204">
        <f t="shared" si="83"/>
        <v>1</v>
      </c>
      <c r="Y199" s="204">
        <f t="shared" si="84"/>
        <v>9.7199999999999995E-2</v>
      </c>
      <c r="Z199" s="204">
        <f t="shared" si="85"/>
        <v>5.8933</v>
      </c>
      <c r="AA199" s="204">
        <f t="shared" si="86"/>
        <v>5.7961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 t="shared" si="87"/>
        <v>839</v>
      </c>
      <c r="AE199" s="77" t="str">
        <f t="shared" si="88"/>
        <v>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 &amp; aws s3 cp s3://rtdc.mdm.uploadarchive.raw/RTDC4016/ "%USERPROFILE%\AppData\Local\Temp\OnboardLogs"\RTDC4016\2017-09-22 --exclude "*" --recursive --include "*20170922*" &amp; "%USERPROFILE%\Documents\GitHub\mrs-test-scripts\Headless Mode &amp; Sideloading\WalkAndUnGZ.bat" "%USERPROFILE%\AppData\Local\Temp\OnboardLogs"\RTDC4016\2017-09-22</v>
      </c>
      <c r="AF199" s="74" t="str">
        <f t="shared" si="89"/>
        <v>"C:\Program Files (x86)\AstroGrep\AstroGrep.exe" /e /r /s /spath="%USERPROFILE%\AppData\Local\Temp\OnboardLogs" /stypes="app*4016*20170922*" /stext=" 00:.+((SYSTEM_STATE.+slice.+state.+changed )|(ment ac)|(multiple cpu faults)|(system.+state.+changed )|(\[timeout)|(PRM\|1\|D)|(kpr)|(kdp)|(train st.+moving)|(\|lc)|(penalty))"</v>
      </c>
      <c r="AG199" s="182" t="str">
        <f t="shared" si="90"/>
        <v>NW</v>
      </c>
      <c r="AH199" s="78" t="str">
        <f t="shared" si="91"/>
        <v>"%USERPROFILE%\Documents\GitHub\eaglep3\Utilities\RefineRTDCRunTimes.py" --tripid 839-21 --locoid 4016 --swversion DE.1.0.9.0 --startMP 204:972 --initTime 2017-09-21T18:34:39 --startdatetime 2017-09-21T18:39:21 --delay 54 --endMP 300:58933 --enddatetime 2017-09-21T18:54:07 --enforcementcount 0 &gt;&gt;c:\users\stu\Documents\GitHub\eaglep3-reporting\EC\2017-09-21-refined-times.txt</v>
      </c>
      <c r="AI199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{"issue":{"subject":"","project_id":79,"tracker_id":40,"status_id":1,"priority_id":2,"assigned_to_id":338,"start_date":"2017-09-21","description":"","custom_fields":[{"id":1,"name":"Subdivision","value":"NW"},{"id":4,"name":"Milepost","value":"5.8933"},{"id":17,"name":"Train ID","value":"839-21"},{"id":16,"name":"Locomotive ID","value":"4016"},{"id":130,"name":"Impact","value":""},{"id":150,"name":"Time of Event (Mountain Time)","value":"18:54:07"},{"id":151,"name":"Denver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9" s="47"/>
      <c r="AL199" s="47"/>
      <c r="AM199" s="142" t="str">
        <f t="shared" si="93"/>
        <v>start /low /b %USERPROFILE%\Documents\GitHub\eaglep3\Utilities\DownloadLogsFromS3.py --loco 4016 --day 2017-09-21</v>
      </c>
      <c r="AN199" s="151" t="str">
        <f t="shared" si="94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00:54:07"},{"id":29,"name":"Sharepoint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95"/>
        <v>https://d0f6bd738d7f1b3e5a7ca70fe4ff75f0.us-east-1.aws.found.io/app/kibana#/discover/Steve-Slow-Train-Analysis-(2080s-and-2083s)?_g=(refreshInterval:(display:Off,pause:!f,section:0,value:0),time:(from:'2017-09-21T17:34:39-0600',mode:absolute,to:'2017-09-21T19:54:07-0600'))&amp;_a=(columns:!('Message%20ID',Summary),filters:!(),index:'emp_*',interval:auto,query:(query_string:(analyze_wildcard:!t,query:'Message%5C+ID:(*)+AND+%22rtdc.l.rtdc.4016%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792</v>
      </c>
      <c r="B200" s="7">
        <v>4031</v>
      </c>
      <c r="C200" s="21" t="s">
        <v>196</v>
      </c>
      <c r="D200" s="21" t="s">
        <v>501</v>
      </c>
      <c r="E200" s="13">
        <v>42999.809652777774</v>
      </c>
      <c r="F200" s="13">
        <v>42999.820659722223</v>
      </c>
      <c r="G200" s="7">
        <v>54</v>
      </c>
      <c r="H200" s="21" t="s">
        <v>958</v>
      </c>
      <c r="I200" s="13">
        <v>42999.830995370372</v>
      </c>
      <c r="J200" s="7">
        <v>0</v>
      </c>
      <c r="K200" s="89" t="str">
        <f t="shared" si="77"/>
        <v>4031/4032</v>
      </c>
      <c r="L200" s="185" t="str">
        <f>VLOOKUP(A200,'Trips&amp;Operators'!$C$1:$G$99911,5,FALSE)</f>
        <v>STAMBAUGH JAMES</v>
      </c>
      <c r="M200" s="6">
        <f t="shared" si="78"/>
        <v>1.0335648148611654E-2</v>
      </c>
      <c r="N200" s="7">
        <f t="shared" si="79"/>
        <v>14.883333334000781</v>
      </c>
      <c r="O200" s="7"/>
      <c r="P200" s="7"/>
      <c r="Q200" s="22"/>
      <c r="R200" s="174"/>
      <c r="S200" s="221">
        <f t="shared" si="80"/>
        <v>1</v>
      </c>
      <c r="T200" s="174" t="str">
        <f t="shared" si="81"/>
        <v>Southbound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 t="shared" si="82"/>
        <v>https://d0f6bd738d7f1b3e5a7ca70fe4ff75f0.us-east-1.aws.found.io/app/kibana#/discover/Steve-Slow-Train-Analysis-(2080s-and-2083s)?_g=(refreshInterval:(display:Off,pause:!f,section:0,value:0),time:(from:'2017-09-21T18:25:54-0600',mode:absolute,to:'2017-09-21T20:56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0" s="204" t="str">
        <f>IF(AA200&lt;VLOOKUP(AG200,Variables!$AC$3:$AD$8,2,FALSE),"Y","N")</f>
        <v>N</v>
      </c>
      <c r="X200" s="204">
        <f t="shared" si="83"/>
        <v>1</v>
      </c>
      <c r="Y200" s="204">
        <f t="shared" si="84"/>
        <v>5.8632</v>
      </c>
      <c r="Z200" s="204">
        <f t="shared" si="85"/>
        <v>6.8199999999999997E-2</v>
      </c>
      <c r="AA200" s="204">
        <f t="shared" si="86"/>
        <v>5.7949999999999999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 t="shared" si="87"/>
        <v>840</v>
      </c>
      <c r="AE200" s="77" t="str">
        <f t="shared" si="88"/>
        <v>aws s3 cp s3://rtdc.mdm.uploadarchive.raw/RTDC4031/ "%USERPROFILE%\AppData\Local\Temp\OnboardLogs"\RTDC4031\2017-09-21 --exclude "*" --recursive --include "*20170921*" &amp; "%USERPROFILE%\Documents\GitHub\mrs-test-scripts\Headless Mode &amp; Sideloading\WalkAndUnGZ.bat" "%USERPROFILE%\AppData\Local\Temp\OnboardLogs"\RTDC4031\2017-09-21 &amp; aws s3 cp s3://rtdc.mdm.uploadarchive.raw/RTDC4031/ "%USERPROFILE%\AppData\Local\Temp\OnboardLogs"\RTDC4031\2017-09-22 --exclude "*" --recursive --include "*20170922*" &amp; "%USERPROFILE%\Documents\GitHub\mrs-test-scripts\Headless Mode &amp; Sideloading\WalkAndUnGZ.bat" "%USERPROFILE%\AppData\Local\Temp\OnboardLogs"\RTDC4031\2017-09-22</v>
      </c>
      <c r="AF200" s="74" t="str">
        <f t="shared" si="89"/>
        <v>"C:\Program Files (x86)\AstroGrep\AstroGrep.exe" /e /r /s /spath="%USERPROFILE%\AppData\Local\Temp\OnboardLogs" /stypes="app*4031*20170922*" /stext=" 01:.+((SYSTEM_STATE.+slice.+state.+changed )|(ment ac)|(multiple cpu faults)|(system.+state.+changed )|(\[timeout)|(PRM\|1\|D)|(kpr)|(kdp)|(train st.+moving)|(\|lc)|(penalty))"</v>
      </c>
      <c r="AG200" s="182" t="str">
        <f t="shared" si="90"/>
        <v>NW</v>
      </c>
      <c r="AH200" s="78" t="str">
        <f t="shared" si="91"/>
        <v>"%USERPROFILE%\Documents\GitHub\eaglep3\Utilities\RefineRTDCRunTimes.py" --tripid 840-21 --locoid 4031 --swversion DE.1.0.9.0 --startMP 300:58632 --initTime 2017-09-21T19:25:54 --startdatetime 2017-09-21T19:41:45 --delay 54 --endMP 204:682 --enddatetime 2017-09-21T19:56:38 --enforcementcount 0 &gt;&gt;c:\users\stu\Documents\GitHub\eaglep3-reporting\EC\2017-09-21-refined-times.txt</v>
      </c>
      <c r="AI200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{"issue":{"subject":"","project_id":79,"tracker_id":40,"status_id":1,"priority_id":2,"assigned_to_id":338,"start_date":"2017-09-21","description":"","custom_fields":[{"id":1,"name":"Subdivision","value":"NW"},{"id":4,"name":"Milepost","value":"0.0682"},{"id":17,"name":"Train ID","value":"840-21"},{"id":16,"name":"Locomotive ID","value":"4031"},{"id":130,"name":"Impact","value":""},{"id":150,"name":"Time of Event (Mountain Time)","value":"19:56:38"},{"id":151,"name":"Denver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93"/>
        <v>start /low /b %USERPROFILE%\Documents\GitHub\eaglep3\Utilities\DownloadLogsFromS3.py --loco 4031 --day 2017-09-21</v>
      </c>
      <c r="AN200" s="151" t="str">
        <f t="shared" si="94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01:56:38"},{"id":29,"name":"Sharepoint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95"/>
        <v>https://d0f6bd738d7f1b3e5a7ca70fe4ff75f0.us-east-1.aws.found.io/app/kibana#/discover/Steve-Slow-Train-Analysis-(2080s-and-2083s)?_g=(refreshInterval:(display:Off,pause:!f,section:0,value:0),time:(from:'2017-09-21T18:25:54-0600',mode:absolute,to:'2017-09-21T20:56:38-0600'))&amp;_a=(columns:!('Message%20ID',Summary),filters:!(),index:'emp_*',interval:auto,query:(query_string:(analyze_wildcard:!t,query:'Message%5C+ID:(*)+AND+%22rtdc.l.rtdc.4031%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614</v>
      </c>
      <c r="B201" s="7">
        <v>4032</v>
      </c>
      <c r="C201" s="21" t="s">
        <v>196</v>
      </c>
      <c r="D201" s="21" t="s">
        <v>473</v>
      </c>
      <c r="E201" s="13">
        <v>42999.795868055553</v>
      </c>
      <c r="F201" s="13">
        <v>42999.798263888886</v>
      </c>
      <c r="G201" s="7">
        <v>53</v>
      </c>
      <c r="H201" s="21" t="s">
        <v>497</v>
      </c>
      <c r="I201" s="13">
        <v>42999.807893518519</v>
      </c>
      <c r="J201" s="7">
        <v>0</v>
      </c>
      <c r="K201" s="89" t="str">
        <f t="shared" si="77"/>
        <v>4031/4032</v>
      </c>
      <c r="L201" s="185" t="str">
        <f>VLOOKUP(A201,'Trips&amp;Operators'!$C$1:$G$99911,5,FALSE)</f>
        <v>STAMBAUGH JAMES</v>
      </c>
      <c r="M201" s="6">
        <f t="shared" si="78"/>
        <v>9.6296296323998831E-3</v>
      </c>
      <c r="N201" s="7">
        <f t="shared" si="79"/>
        <v>13.866666670655832</v>
      </c>
      <c r="O201" s="7"/>
      <c r="P201" s="7"/>
      <c r="Q201" s="22"/>
      <c r="R201" s="174"/>
      <c r="S201" s="221">
        <f t="shared" si="80"/>
        <v>1</v>
      </c>
      <c r="T201" s="174" t="str">
        <f t="shared" si="81"/>
        <v>NorthBound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 t="shared" si="82"/>
        <v>https://d0f6bd738d7f1b3e5a7ca70fe4ff75f0.us-east-1.aws.found.io/app/kibana#/discover/Steve-Slow-Train-Analysis-(2080s-and-2083s)?_g=(refreshInterval:(display:Off,pause:!f,section:0,value:0),time:(from:'2017-09-21T18:06:03-0600',mode:absolute,to:'2017-09-21T20:23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1" s="204" t="str">
        <f>IF(AA201&lt;VLOOKUP(AG201,Variables!$AC$3:$AD$8,2,FALSE),"Y","N")</f>
        <v>N</v>
      </c>
      <c r="X201" s="204">
        <f t="shared" si="83"/>
        <v>1</v>
      </c>
      <c r="Y201" s="204">
        <f t="shared" si="84"/>
        <v>9.7100000000000006E-2</v>
      </c>
      <c r="Z201" s="204">
        <f t="shared" si="85"/>
        <v>5.8952</v>
      </c>
      <c r="AA201" s="204">
        <f t="shared" si="86"/>
        <v>5.7980999999999998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 t="shared" si="87"/>
        <v>841</v>
      </c>
      <c r="AE201" s="77" t="str">
        <f t="shared" si="88"/>
        <v>aws s3 cp s3://rtdc.mdm.uploadarchive.raw/RTDC4032/ "%USERPROFILE%\AppData\Local\Temp\OnboardLogs"\RTDC4032\2017-09-21 --exclude "*" --recursive --include "*20170921*" &amp; "%USERPROFILE%\Documents\GitHub\mrs-test-scripts\Headless Mode &amp; Sideloading\WalkAndUnGZ.bat" "%USERPROFILE%\AppData\Local\Temp\OnboardLogs"\RTDC4032\2017-09-21 &amp; aws s3 cp s3://rtdc.mdm.uploadarchive.raw/RTDC4032/ "%USERPROFILE%\AppData\Local\Temp\OnboardLogs"\RTDC4032\2017-09-22 --exclude "*" --recursive --include "*20170922*" &amp; "%USERPROFILE%\Documents\GitHub\mrs-test-scripts\Headless Mode &amp; Sideloading\WalkAndUnGZ.bat" "%USERPROFILE%\AppData\Local\Temp\OnboardLogs"\RTDC4032\2017-09-22</v>
      </c>
      <c r="AF201" s="74" t="str">
        <f t="shared" si="89"/>
        <v>"C:\Program Files (x86)\AstroGrep\AstroGrep.exe" /e /r /s /spath="%USERPROFILE%\AppData\Local\Temp\OnboardLogs" /stypes="app*4032*20170922*" /stext=" 01:.+((SYSTEM_STATE.+slice.+state.+changed )|(ment ac)|(multiple cpu faults)|(system.+state.+changed )|(\[timeout)|(PRM\|1\|D)|(kpr)|(kdp)|(train st.+moving)|(\|lc)|(penalty))"</v>
      </c>
      <c r="AG201" s="182" t="str">
        <f t="shared" si="90"/>
        <v>NW</v>
      </c>
      <c r="AH201" s="78" t="str">
        <f t="shared" si="91"/>
        <v>"%USERPROFILE%\Documents\GitHub\eaglep3\Utilities\RefineRTDCRunTimes.py" --tripid 841-21 --locoid 4032 --swversion DE.1.0.9.0 --startMP 204:971 --initTime 2017-09-21T19:06:03 --startdatetime 2017-09-21T19:09:30 --delay 53 --endMP 300:58952 --enddatetime 2017-09-21T19:23:22 --enforcementcount 0 &gt;&gt;c:\users\stu\Documents\GitHub\eaglep3-reporting\EC\2017-09-21-refined-times.txt</v>
      </c>
      <c r="AI201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{"issue":{"subject":"","project_id":79,"tracker_id":40,"status_id":1,"priority_id":2,"assigned_to_id":338,"start_date":"2017-09-21","description":"","custom_fields":[{"id":1,"name":"Subdivision","value":"NW"},{"id":4,"name":"Milepost","value":"5.8952"},{"id":17,"name":"Train ID","value":"841-21"},{"id":16,"name":"Locomotive ID","value":"4032"},{"id":130,"name":"Impact","value":""},{"id":150,"name":"Time of Event (Mountain Time)","value":"19:23:22"},{"id":151,"name":"Denver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1" s="47"/>
      <c r="AL201" s="47"/>
      <c r="AM201" s="142" t="str">
        <f t="shared" si="93"/>
        <v>start /low /b %USERPROFILE%\Documents\GitHub\eaglep3\Utilities\DownloadLogsFromS3.py --loco 4032 --day 2017-09-21</v>
      </c>
      <c r="AN201" s="151" t="str">
        <f t="shared" si="94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01:23:22"},{"id":29,"name":"Sharepoint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95"/>
        <v>https://d0f6bd738d7f1b3e5a7ca70fe4ff75f0.us-east-1.aws.found.io/app/kibana#/discover/Steve-Slow-Train-Analysis-(2080s-and-2083s)?_g=(refreshInterval:(display:Off,pause:!f,section:0,value:0),time:(from:'2017-09-21T18:06:03-0600',mode:absolute,to:'2017-09-21T20:23:22-0600'))&amp;_a=(columns:!('Message%20ID',Summary),filters:!(),index:'emp_*',interval:auto,query:(query_string:(analyze_wildcard:!t,query:'Message%5C+ID:(*)+AND+%22rtdc.l.rtdc.4032%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2" t="s">
        <v>804</v>
      </c>
      <c r="B202" s="7">
        <v>4031</v>
      </c>
      <c r="C202" s="21" t="s">
        <v>196</v>
      </c>
      <c r="D202" s="21" t="s">
        <v>945</v>
      </c>
      <c r="E202" s="13">
        <v>42999.849699074075</v>
      </c>
      <c r="F202" s="13">
        <v>42999.861817129633</v>
      </c>
      <c r="G202" s="7">
        <v>61</v>
      </c>
      <c r="H202" s="21" t="s">
        <v>959</v>
      </c>
      <c r="I202" s="13">
        <v>42999.871145833335</v>
      </c>
      <c r="J202" s="7">
        <v>0</v>
      </c>
      <c r="K202" s="89" t="str">
        <f t="shared" si="77"/>
        <v>4031/4032</v>
      </c>
      <c r="L202" s="185" t="str">
        <f>VLOOKUP(A202,'Trips&amp;Operators'!$C$1:$G$99911,5,FALSE)</f>
        <v>STAMBAUGH JAMES</v>
      </c>
      <c r="M202" s="6">
        <f t="shared" si="78"/>
        <v>9.3287037016125396E-3</v>
      </c>
      <c r="N202" s="7">
        <f t="shared" si="79"/>
        <v>13.433333330322057</v>
      </c>
      <c r="O202" s="7"/>
      <c r="P202" s="7"/>
      <c r="Q202" s="22"/>
      <c r="R202" s="174"/>
      <c r="S202" s="221">
        <f t="shared" si="80"/>
        <v>1</v>
      </c>
      <c r="T202" s="174" t="str">
        <f t="shared" si="81"/>
        <v>Southbound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 t="shared" si="82"/>
        <v>https://d0f6bd738d7f1b3e5a7ca70fe4ff75f0.us-east-1.aws.found.io/app/kibana#/discover/Steve-Slow-Train-Analysis-(2080s-and-2083s)?_g=(refreshInterval:(display:Off,pause:!f,section:0,value:0),time:(from:'2017-09-21T19:23:34-0600',mode:absolute,to:'2017-09-21T21:54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2" s="204" t="str">
        <f>IF(AA202&lt;VLOOKUP(AG202,Variables!$AC$3:$AD$8,2,FALSE),"Y","N")</f>
        <v>N</v>
      </c>
      <c r="X202" s="204">
        <f t="shared" si="83"/>
        <v>1</v>
      </c>
      <c r="Y202" s="204">
        <f t="shared" si="84"/>
        <v>5.8630000000000004</v>
      </c>
      <c r="Z202" s="204">
        <f t="shared" si="85"/>
        <v>6.7699999999999996E-2</v>
      </c>
      <c r="AA202" s="204">
        <f t="shared" si="86"/>
        <v>5.7953000000000001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 t="shared" si="87"/>
        <v>842</v>
      </c>
      <c r="AE202" s="77" t="str">
        <f t="shared" si="88"/>
        <v>aws s3 cp s3://rtdc.mdm.uploadarchive.raw/RTDC4031/ "%USERPROFILE%\AppData\Local\Temp\OnboardLogs"\RTDC4031\2017-09-21 --exclude "*" --recursive --include "*20170921*" &amp; "%USERPROFILE%\Documents\GitHub\mrs-test-scripts\Headless Mode &amp; Sideloading\WalkAndUnGZ.bat" "%USERPROFILE%\AppData\Local\Temp\OnboardLogs"\RTDC4031\2017-09-21 &amp; aws s3 cp s3://rtdc.mdm.uploadarchive.raw/RTDC4031/ "%USERPROFILE%\AppData\Local\Temp\OnboardLogs"\RTDC4031\2017-09-22 --exclude "*" --recursive --include "*20170922*" &amp; "%USERPROFILE%\Documents\GitHub\mrs-test-scripts\Headless Mode &amp; Sideloading\WalkAndUnGZ.bat" "%USERPROFILE%\AppData\Local\Temp\OnboardLogs"\RTDC4031\2017-09-22</v>
      </c>
      <c r="AF202" s="74" t="str">
        <f t="shared" si="89"/>
        <v>"C:\Program Files (x86)\AstroGrep\AstroGrep.exe" /e /r /s /spath="%USERPROFILE%\AppData\Local\Temp\OnboardLogs" /stypes="app*4031*20170922*" /stext=" 02:.+((SYSTEM_STATE.+slice.+state.+changed )|(ment ac)|(multiple cpu faults)|(system.+state.+changed )|(\[timeout)|(PRM\|1\|D)|(kpr)|(kdp)|(train st.+moving)|(\|lc)|(penalty))"</v>
      </c>
      <c r="AG202" s="182" t="str">
        <f t="shared" si="90"/>
        <v>NW</v>
      </c>
      <c r="AH202" s="78" t="str">
        <f t="shared" si="91"/>
        <v>"%USERPROFILE%\Documents\GitHub\eaglep3\Utilities\RefineRTDCRunTimes.py" --tripid 842-21 --locoid 4031 --swversion DE.1.0.9.0 --startMP 300:58630 --initTime 2017-09-21T20:23:34 --startdatetime 2017-09-21T20:41:01 --delay 61 --endMP 204:677 --enddatetime 2017-09-21T20:54:27 --enforcementcount 0 &gt;&gt;c:\users\stu\Documents\GitHub\eaglep3-reporting\EC\2017-09-21-refined-times.txt</v>
      </c>
      <c r="AI202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{"issue":{"subject":"","project_id":79,"tracker_id":40,"status_id":1,"priority_id":2,"assigned_to_id":338,"start_date":"2017-09-21","description":"","custom_fields":[{"id":1,"name":"Subdivision","value":"NW"},{"id":4,"name":"Milepost","value":"0.0677"},{"id":17,"name":"Train ID","value":"842-21"},{"id":16,"name":"Locomotive ID","value":"4031"},{"id":130,"name":"Impact","value":""},{"id":150,"name":"Time of Event (Mountain Time)","value":"20:54:27"},{"id":151,"name":"Denver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93"/>
        <v>start /low /b %USERPROFILE%\Documents\GitHub\eaglep3\Utilities\DownloadLogsFromS3.py --loco 4031 --day 2017-09-21</v>
      </c>
      <c r="AN202" s="151" t="str">
        <f t="shared" si="94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02:54:27"},{"id":29,"name":"Sharepoint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95"/>
        <v>https://d0f6bd738d7f1b3e5a7ca70fe4ff75f0.us-east-1.aws.found.io/app/kibana#/discover/Steve-Slow-Train-Analysis-(2080s-and-2083s)?_g=(refreshInterval:(display:Off,pause:!f,section:0,value:0),time:(from:'2017-09-21T19:23:34-0600',mode:absolute,to:'2017-09-21T21:54:27-0600'))&amp;_a=(columns:!('Message%20ID',Summary),filters:!(),index:'emp_*',interval:auto,query:(query_string:(analyze_wildcard:!t,query:'Message%5C+ID:(*)+AND+%22rtdc.l.rtdc.4031%22')),sort:!(Time.ISO8601,asc))</v>
      </c>
    </row>
    <row r="203" spans="1:91" x14ac:dyDescent="0.25">
      <c r="A203" s="32" t="s">
        <v>801</v>
      </c>
      <c r="B203" s="7">
        <v>4032</v>
      </c>
      <c r="C203" s="21" t="s">
        <v>196</v>
      </c>
      <c r="D203" s="21" t="s">
        <v>567</v>
      </c>
      <c r="E203" s="13">
        <v>42999.838287037041</v>
      </c>
      <c r="F203" s="13">
        <v>42999.839884259258</v>
      </c>
      <c r="G203" s="7">
        <v>52</v>
      </c>
      <c r="H203" s="21" t="s">
        <v>960</v>
      </c>
      <c r="I203" s="13">
        <v>42999.84884259259</v>
      </c>
      <c r="J203" s="7">
        <v>0</v>
      </c>
      <c r="K203" s="89" t="str">
        <f t="shared" si="77"/>
        <v>4031/4032</v>
      </c>
      <c r="L203" s="185" t="str">
        <f>VLOOKUP(A203,'Trips&amp;Operators'!$C$1:$G$99911,5,FALSE)</f>
        <v>STAMBAUGH JAMES</v>
      </c>
      <c r="M203" s="6">
        <f t="shared" si="78"/>
        <v>8.9583333319751546E-3</v>
      </c>
      <c r="N203" s="7">
        <f t="shared" si="79"/>
        <v>12.899999998044223</v>
      </c>
      <c r="O203" s="7"/>
      <c r="P203" s="7"/>
      <c r="Q203" s="22"/>
      <c r="R203" s="174"/>
      <c r="S203" s="221">
        <f t="shared" si="80"/>
        <v>1</v>
      </c>
      <c r="T203" s="174" t="str">
        <f t="shared" si="81"/>
        <v>NorthBound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 t="shared" si="82"/>
        <v>https://d0f6bd738d7f1b3e5a7ca70fe4ff75f0.us-east-1.aws.found.io/app/kibana#/discover/Steve-Slow-Train-Analysis-(2080s-and-2083s)?_g=(refreshInterval:(display:Off,pause:!f,section:0,value:0),time:(from:'2017-09-21T19:07:08-0600',mode:absolute,to:'2017-09-21T21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3" s="204" t="str">
        <f>IF(AA203&lt;VLOOKUP(AG203,Variables!$AC$3:$AD$8,2,FALSE),"Y","N")</f>
        <v>N</v>
      </c>
      <c r="X203" s="204">
        <f t="shared" si="83"/>
        <v>1</v>
      </c>
      <c r="Y203" s="204">
        <f t="shared" si="84"/>
        <v>9.8799999999999999E-2</v>
      </c>
      <c r="Z203" s="204">
        <f t="shared" si="85"/>
        <v>5.8949999999999996</v>
      </c>
      <c r="AA203" s="204">
        <f t="shared" si="86"/>
        <v>5.7961999999999998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 t="shared" si="87"/>
        <v>843</v>
      </c>
      <c r="AE203" s="77" t="str">
        <f t="shared" si="88"/>
        <v>aws s3 cp s3://rtdc.mdm.uploadarchive.raw/RTDC4032/ "%USERPROFILE%\AppData\Local\Temp\OnboardLogs"\RTDC4032\2017-09-21 --exclude "*" --recursive --include "*20170921*" &amp; "%USERPROFILE%\Documents\GitHub\mrs-test-scripts\Headless Mode &amp; Sideloading\WalkAndUnGZ.bat" "%USERPROFILE%\AppData\Local\Temp\OnboardLogs"\RTDC4032\2017-09-21 &amp; aws s3 cp s3://rtdc.mdm.uploadarchive.raw/RTDC4032/ "%USERPROFILE%\AppData\Local\Temp\OnboardLogs"\RTDC4032\2017-09-22 --exclude "*" --recursive --include "*20170922*" &amp; "%USERPROFILE%\Documents\GitHub\mrs-test-scripts\Headless Mode &amp; Sideloading\WalkAndUnGZ.bat" "%USERPROFILE%\AppData\Local\Temp\OnboardLogs"\RTDC4032\2017-09-22</v>
      </c>
      <c r="AF203" s="74" t="str">
        <f t="shared" si="89"/>
        <v>"C:\Program Files (x86)\AstroGrep\AstroGrep.exe" /e /r /s /spath="%USERPROFILE%\AppData\Local\Temp\OnboardLogs" /stypes="app*4032*20170922*" /stext=" 02:.+((SYSTEM_STATE.+slice.+state.+changed )|(ment ac)|(multiple cpu faults)|(system.+state.+changed )|(\[timeout)|(PRM\|1\|D)|(kpr)|(kdp)|(train st.+moving)|(\|lc)|(penalty))"</v>
      </c>
      <c r="AG203" s="182" t="str">
        <f t="shared" si="90"/>
        <v>NW</v>
      </c>
      <c r="AH203" s="78" t="str">
        <f t="shared" si="91"/>
        <v>"%USERPROFILE%\Documents\GitHub\eaglep3\Utilities\RefineRTDCRunTimes.py" --tripid 843-21 --locoid 4032 --swversion DE.1.0.9.0 --startMP 204:988 --initTime 2017-09-21T20:07:08 --startdatetime 2017-09-21T20:09:26 --delay 52 --endMP 300:58950 --enddatetime 2017-09-21T20:22:20 --enforcementcount 0 &gt;&gt;c:\users\stu\Documents\GitHub\eaglep3-reporting\EC\2017-09-21-refined-times.txt</v>
      </c>
      <c r="AI203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{"issue":{"subject":"","project_id":79,"tracker_id":40,"status_id":1,"priority_id":2,"assigned_to_id":338,"start_date":"2017-09-21","description":"","custom_fields":[{"id":1,"name":"Subdivision","value":"NW"},{"id":4,"name":"Milepost","value":"5.895"},{"id":17,"name":"Train ID","value":"843-21"},{"id":16,"name":"Locomotive ID","value":"4032"},{"id":130,"name":"Impact","value":""},{"id":150,"name":"Time of Event (Mountain Time)","value":"20:22:20"},{"id":151,"name":"Denver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93"/>
        <v>start /low /b %USERPROFILE%\Documents\GitHub\eaglep3\Utilities\DownloadLogsFromS3.py --loco 4032 --day 2017-09-21</v>
      </c>
      <c r="AN203" s="151" t="str">
        <f t="shared" si="94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02:22:20"},{"id":29,"name":"Sharepoint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95"/>
        <v>https://d0f6bd738d7f1b3e5a7ca70fe4ff75f0.us-east-1.aws.found.io/app/kibana#/discover/Steve-Slow-Train-Analysis-(2080s-and-2083s)?_g=(refreshInterval:(display:Off,pause:!f,section:0,value:0),time:(from:'2017-09-21T19:07:08-0600',mode:absolute,to:'2017-09-21T21:22:20-0600'))&amp;_a=(columns:!('Message%20ID',Summary),filters:!(),index:'emp_*',interval:auto,query:(query_string:(analyze_wildcard:!t,query:'Message%5C+ID:(*)+AND+%22rtdc.l.rtdc.4032%22')),sort:!(Time.ISO8601,asc))</v>
      </c>
    </row>
    <row r="204" spans="1:91" s="20" customFormat="1" x14ac:dyDescent="0.25">
      <c r="A204" s="32" t="s">
        <v>812</v>
      </c>
      <c r="B204" s="7">
        <v>4031</v>
      </c>
      <c r="C204" s="21" t="s">
        <v>196</v>
      </c>
      <c r="D204" s="21" t="s">
        <v>572</v>
      </c>
      <c r="E204" s="13">
        <v>42999.898888888885</v>
      </c>
      <c r="F204" s="13">
        <v>42999.903090277781</v>
      </c>
      <c r="G204" s="7">
        <v>86</v>
      </c>
      <c r="H204" s="21" t="s">
        <v>500</v>
      </c>
      <c r="I204" s="13">
        <v>42999.913425925923</v>
      </c>
      <c r="J204" s="7">
        <v>0</v>
      </c>
      <c r="K204" s="89" t="str">
        <f t="shared" si="77"/>
        <v>4031/4032</v>
      </c>
      <c r="L204" s="185" t="str">
        <f>VLOOKUP(A204,'Trips&amp;Operators'!$C$1:$G$99911,5,FALSE)</f>
        <v>BIRKHOLZ NADINE</v>
      </c>
      <c r="M204" s="6">
        <f t="shared" si="78"/>
        <v>1.0335648141335696E-2</v>
      </c>
      <c r="N204" s="7">
        <f t="shared" si="79"/>
        <v>14.883333323523402</v>
      </c>
      <c r="O204" s="7"/>
      <c r="P204" s="7"/>
      <c r="Q204" s="22"/>
      <c r="R204" s="174"/>
      <c r="S204" s="221">
        <f t="shared" si="80"/>
        <v>1</v>
      </c>
      <c r="T204" s="174" t="str">
        <f t="shared" si="81"/>
        <v>Southbound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 t="shared" si="82"/>
        <v>https://d0f6bd738d7f1b3e5a7ca70fe4ff75f0.us-east-1.aws.found.io/app/kibana#/discover/Steve-Slow-Train-Analysis-(2080s-and-2083s)?_g=(refreshInterval:(display:Off,pause:!f,section:0,value:0),time:(from:'2017-09-21T20:34:24-0600',mode:absolute,to:'2017-09-21T22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4" s="204" t="str">
        <f>IF(AA204&lt;VLOOKUP(AG204,Variables!$AC$3:$AD$8,2,FALSE),"Y","N")</f>
        <v>N</v>
      </c>
      <c r="X204" s="204">
        <f t="shared" si="83"/>
        <v>1</v>
      </c>
      <c r="Y204" s="204">
        <f t="shared" si="84"/>
        <v>5.8613</v>
      </c>
      <c r="Z204" s="204">
        <f t="shared" si="85"/>
        <v>6.9099999999999995E-2</v>
      </c>
      <c r="AA204" s="204">
        <f t="shared" si="86"/>
        <v>5.7922000000000002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 t="shared" si="87"/>
        <v>844</v>
      </c>
      <c r="AE204" s="77" t="str">
        <f t="shared" si="88"/>
        <v>aws s3 cp s3://rtdc.mdm.uploadarchive.raw/RTDC4031/ "%USERPROFILE%\AppData\Local\Temp\OnboardLogs"\RTDC4031\2017-09-21 --exclude "*" --recursive --include "*20170921*" &amp; "%USERPROFILE%\Documents\GitHub\mrs-test-scripts\Headless Mode &amp; Sideloading\WalkAndUnGZ.bat" "%USERPROFILE%\AppData\Local\Temp\OnboardLogs"\RTDC4031\2017-09-21 &amp; aws s3 cp s3://rtdc.mdm.uploadarchive.raw/RTDC4031/ "%USERPROFILE%\AppData\Local\Temp\OnboardLogs"\RTDC4031\2017-09-22 --exclude "*" --recursive --include "*20170922*" &amp; "%USERPROFILE%\Documents\GitHub\mrs-test-scripts\Headless Mode &amp; Sideloading\WalkAndUnGZ.bat" "%USERPROFILE%\AppData\Local\Temp\OnboardLogs"\RTDC4031\2017-09-22</v>
      </c>
      <c r="AF204" s="74" t="str">
        <f t="shared" si="89"/>
        <v>"C:\Program Files (x86)\AstroGrep\AstroGrep.exe" /e /r /s /spath="%USERPROFILE%\AppData\Local\Temp\OnboardLogs" /stypes="app*4031*20170922*" /stext=" 03:.+((SYSTEM_STATE.+slice.+state.+changed )|(ment ac)|(multiple cpu faults)|(system.+state.+changed )|(\[timeout)|(PRM\|1\|D)|(kpr)|(kdp)|(train st.+moving)|(\|lc)|(penalty))"</v>
      </c>
      <c r="AG204" s="182" t="str">
        <f t="shared" si="90"/>
        <v>NW</v>
      </c>
      <c r="AH204" s="78" t="str">
        <f t="shared" si="91"/>
        <v>"%USERPROFILE%\Documents\GitHub\eaglep3\Utilities\RefineRTDCRunTimes.py" --tripid 844-21 --locoid 4031 --swversion DE.1.0.9.0 --startMP 300:58613 --initTime 2017-09-21T21:34:24 --startdatetime 2017-09-21T21:40:27 --delay 86 --endMP 204:691 --enddatetime 2017-09-21T21:55:20 --enforcementcount 0 &gt;&gt;c:\users\stu\Documents\GitHub\eaglep3-reporting\EC\2017-09-21-refined-times.txt</v>
      </c>
      <c r="AI204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{"issue":{"subject":"","project_id":79,"tracker_id":40,"status_id":1,"priority_id":2,"assigned_to_id":338,"start_date":"2017-09-21","description":"","custom_fields":[{"id":1,"name":"Subdivision","value":"NW"},{"id":4,"name":"Milepost","value":"0.0691"},{"id":17,"name":"Train ID","value":"844-21"},{"id":16,"name":"Locomotive ID","value":"4031"},{"id":130,"name":"Impact","value":""},{"id":150,"name":"Time of Event (Mountain Time)","value":"21:55:20"},{"id":151,"name":"Denver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4" s="47"/>
      <c r="AL204" s="47"/>
      <c r="AM204" s="142" t="str">
        <f t="shared" si="93"/>
        <v>start /low /b %USERPROFILE%\Documents\GitHub\eaglep3\Utilities\DownloadLogsFromS3.py --loco 4031 --day 2017-09-21</v>
      </c>
      <c r="AN204" s="151" t="str">
        <f t="shared" si="94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03:55:20"},{"id":29,"name":"Sharepoint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95"/>
        <v>https://d0f6bd738d7f1b3e5a7ca70fe4ff75f0.us-east-1.aws.found.io/app/kibana#/discover/Steve-Slow-Train-Analysis-(2080s-and-2083s)?_g=(refreshInterval:(display:Off,pause:!f,section:0,value:0),time:(from:'2017-09-21T20:34:24-0600',mode:absolute,to:'2017-09-21T22:55:20-0600'))&amp;_a=(columns:!('Message%20ID',Summary),filters:!(),index:'emp_*',interval:auto,query:(query_string:(analyze_wildcard:!t,query:'Message%5C+ID:(*)+AND+%22rtdc.l.rtdc.4031%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32" t="s">
        <v>808</v>
      </c>
      <c r="B205" s="7">
        <v>4032</v>
      </c>
      <c r="C205" s="21" t="s">
        <v>196</v>
      </c>
      <c r="D205" s="21" t="s">
        <v>504</v>
      </c>
      <c r="E205" s="13">
        <v>42999.87395833333</v>
      </c>
      <c r="F205" s="13">
        <v>42999.882002314815</v>
      </c>
      <c r="G205" s="7">
        <v>98</v>
      </c>
      <c r="H205" s="21" t="s">
        <v>957</v>
      </c>
      <c r="I205" s="13">
        <v>42999.891944444447</v>
      </c>
      <c r="J205" s="7">
        <v>0</v>
      </c>
      <c r="K205" s="89" t="str">
        <f t="shared" si="77"/>
        <v>4031/4032</v>
      </c>
      <c r="L205" s="185" t="str">
        <f>VLOOKUP(A205,'Trips&amp;Operators'!$C$1:$G$99911,5,FALSE)</f>
        <v>BIRKHOLZ NADINE</v>
      </c>
      <c r="M205" s="6">
        <f t="shared" si="78"/>
        <v>9.9421296326909214E-3</v>
      </c>
      <c r="N205" s="7">
        <f t="shared" si="79"/>
        <v>14.316666671074927</v>
      </c>
      <c r="O205" s="7"/>
      <c r="P205" s="7"/>
      <c r="Q205" s="22"/>
      <c r="R205" s="174"/>
      <c r="S205" s="221">
        <f t="shared" si="80"/>
        <v>1</v>
      </c>
      <c r="T205" s="174" t="str">
        <f t="shared" si="81"/>
        <v>NorthBound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 t="shared" si="82"/>
        <v>https://d0f6bd738d7f1b3e5a7ca70fe4ff75f0.us-east-1.aws.found.io/app/kibana#/discover/Steve-Slow-Train-Analysis-(2080s-and-2083s)?_g=(refreshInterval:(display:Off,pause:!f,section:0,value:0),time:(from:'2017-09-21T19:58:30-0600',mode:absolute,to:'2017-09-21T22:24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5" s="204" t="str">
        <f>IF(AA205&lt;VLOOKUP(AG205,Variables!$AC$3:$AD$8,2,FALSE),"Y","N")</f>
        <v>N</v>
      </c>
      <c r="X205" s="204">
        <f t="shared" si="83"/>
        <v>1</v>
      </c>
      <c r="Y205" s="204">
        <f t="shared" si="84"/>
        <v>9.6500000000000002E-2</v>
      </c>
      <c r="Z205" s="204">
        <f t="shared" si="85"/>
        <v>5.8929</v>
      </c>
      <c r="AA205" s="204">
        <f t="shared" si="86"/>
        <v>5.7964000000000002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 t="shared" si="87"/>
        <v>845</v>
      </c>
      <c r="AE205" s="77" t="str">
        <f t="shared" si="88"/>
        <v>aws s3 cp s3://rtdc.mdm.uploadarchive.raw/RTDC4032/ "%USERPROFILE%\AppData\Local\Temp\OnboardLogs"\RTDC4032\2017-09-21 --exclude "*" --recursive --include "*20170921*" &amp; "%USERPROFILE%\Documents\GitHub\mrs-test-scripts\Headless Mode &amp; Sideloading\WalkAndUnGZ.bat" "%USERPROFILE%\AppData\Local\Temp\OnboardLogs"\RTDC4032\2017-09-21 &amp; aws s3 cp s3://rtdc.mdm.uploadarchive.raw/RTDC4032/ "%USERPROFILE%\AppData\Local\Temp\OnboardLogs"\RTDC4032\2017-09-22 --exclude "*" --recursive --include "*20170922*" &amp; "%USERPROFILE%\Documents\GitHub\mrs-test-scripts\Headless Mode &amp; Sideloading\WalkAndUnGZ.bat" "%USERPROFILE%\AppData\Local\Temp\OnboardLogs"\RTDC4032\2017-09-22</v>
      </c>
      <c r="AF205" s="74" t="str">
        <f t="shared" si="89"/>
        <v>"C:\Program Files (x86)\AstroGrep\AstroGrep.exe" /e /r /s /spath="%USERPROFILE%\AppData\Local\Temp\OnboardLogs" /stypes="app*4032*20170922*" /stext=" 03:.+((SYSTEM_STATE.+slice.+state.+changed )|(ment ac)|(multiple cpu faults)|(system.+state.+changed )|(\[timeout)|(PRM\|1\|D)|(kpr)|(kdp)|(train st.+moving)|(\|lc)|(penalty))"</v>
      </c>
      <c r="AG205" s="182" t="str">
        <f t="shared" si="90"/>
        <v>NW</v>
      </c>
      <c r="AH205" s="78" t="str">
        <f t="shared" si="91"/>
        <v>"%USERPROFILE%\Documents\GitHub\eaglep3\Utilities\RefineRTDCRunTimes.py" --tripid 845-21 --locoid 4032 --swversion DE.1.0.9.0 --startMP 204:965 --initTime 2017-09-21T20:58:30 --startdatetime 2017-09-21T21:10:05 --delay 98 --endMP 300:58929 --enddatetime 2017-09-21T21:24:24 --enforcementcount 0 &gt;&gt;c:\users\stu\Documents\GitHub\eaglep3-reporting\EC\2017-09-21-refined-times.txt</v>
      </c>
      <c r="AI205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{"issue":{"subject":"","project_id":79,"tracker_id":40,"status_id":1,"priority_id":2,"assigned_to_id":338,"start_date":"2017-09-21","description":"","custom_fields":[{"id":1,"name":"Subdivision","value":"NW"},{"id":4,"name":"Milepost","value":"5.8929"},{"id":17,"name":"Train ID","value":"845-21"},{"id":16,"name":"Locomotive ID","value":"4032"},{"id":130,"name":"Impact","value":""},{"id":150,"name":"Time of Event (Mountain Time)","value":"21:24:24"},{"id":151,"name":"Denver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5" s="47"/>
      <c r="AL205" s="47"/>
      <c r="AM205" s="142" t="str">
        <f t="shared" si="93"/>
        <v>start /low /b %USERPROFILE%\Documents\GitHub\eaglep3\Utilities\DownloadLogsFromS3.py --loco 4032 --day 2017-09-21</v>
      </c>
      <c r="AN205" s="151" t="str">
        <f t="shared" si="94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03:24:24"},{"id":29,"name":"Sharepoint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95"/>
        <v>https://d0f6bd738d7f1b3e5a7ca70fe4ff75f0.us-east-1.aws.found.io/app/kibana#/discover/Steve-Slow-Train-Analysis-(2080s-and-2083s)?_g=(refreshInterval:(display:Off,pause:!f,section:0,value:0),time:(from:'2017-09-21T19:58:30-0600',mode:absolute,to:'2017-09-21T22:24:24-0600'))&amp;_a=(columns:!('Message%20ID',Summary),filters:!(),index:'emp_*',interval:auto,query:(query_string:(analyze_wildcard:!t,query:'Message%5C+ID:(*)+AND+%22rtdc.l.rtdc.4032%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818</v>
      </c>
      <c r="B206" s="7">
        <v>4031</v>
      </c>
      <c r="C206" s="21" t="s">
        <v>196</v>
      </c>
      <c r="D206" s="21" t="s">
        <v>961</v>
      </c>
      <c r="E206" s="13">
        <v>42999.94290509259</v>
      </c>
      <c r="F206" s="13">
        <v>42999.94494212963</v>
      </c>
      <c r="G206" s="7">
        <v>72</v>
      </c>
      <c r="H206" s="21" t="s">
        <v>420</v>
      </c>
      <c r="I206" s="13">
        <v>42999.954895833333</v>
      </c>
      <c r="J206" s="7">
        <v>0</v>
      </c>
      <c r="K206" s="89" t="str">
        <f t="shared" si="77"/>
        <v>4031/4032</v>
      </c>
      <c r="L206" s="185" t="str">
        <f>VLOOKUP(A206,'Trips&amp;Operators'!$C$1:$G$99911,5,FALSE)</f>
        <v>BIRKHOLZ NADINE</v>
      </c>
      <c r="M206" s="6">
        <f t="shared" si="78"/>
        <v>9.9537037021946162E-3</v>
      </c>
      <c r="N206" s="7">
        <f t="shared" si="79"/>
        <v>14.333333331160247</v>
      </c>
      <c r="O206" s="7"/>
      <c r="P206" s="7"/>
      <c r="Q206" s="22"/>
      <c r="R206" s="174"/>
      <c r="S206" s="221">
        <f t="shared" si="80"/>
        <v>1</v>
      </c>
      <c r="T206" s="174" t="str">
        <f t="shared" si="81"/>
        <v>Southbound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 t="shared" si="82"/>
        <v>https://d0f6bd738d7f1b3e5a7ca70fe4ff75f0.us-east-1.aws.found.io/app/kibana#/discover/Steve-Slow-Train-Analysis-(2080s-and-2083s)?_g=(refreshInterval:(display:Off,pause:!f,section:0,value:0),time:(from:'2017-09-21T21:37:47-0600',mode:absolute,to:'2017-09-21T23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6" s="204" t="str">
        <f>IF(AA206&lt;VLOOKUP(AG206,Variables!$AC$3:$AD$8,2,FALSE),"Y","N")</f>
        <v>N</v>
      </c>
      <c r="X206" s="204">
        <f t="shared" si="83"/>
        <v>1</v>
      </c>
      <c r="Y206" s="204">
        <f t="shared" si="84"/>
        <v>5.8616999999999999</v>
      </c>
      <c r="Z206" s="204">
        <f t="shared" si="85"/>
        <v>6.8500000000000005E-2</v>
      </c>
      <c r="AA206" s="204">
        <f t="shared" si="86"/>
        <v>5.7931999999999997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 t="shared" si="87"/>
        <v>846</v>
      </c>
      <c r="AE206" s="77" t="str">
        <f t="shared" si="88"/>
        <v>aws s3 cp s3://rtdc.mdm.uploadarchive.raw/RTDC4031/ "%USERPROFILE%\AppData\Local\Temp\OnboardLogs"\RTDC4031\2017-09-21 --exclude "*" --recursive --include "*20170921*" &amp; "%USERPROFILE%\Documents\GitHub\mrs-test-scripts\Headless Mode &amp; Sideloading\WalkAndUnGZ.bat" "%USERPROFILE%\AppData\Local\Temp\OnboardLogs"\RTDC4031\2017-09-21 &amp; aws s3 cp s3://rtdc.mdm.uploadarchive.raw/RTDC4031/ "%USERPROFILE%\AppData\Local\Temp\OnboardLogs"\RTDC4031\2017-09-22 --exclude "*" --recursive --include "*20170922*" &amp; "%USERPROFILE%\Documents\GitHub\mrs-test-scripts\Headless Mode &amp; Sideloading\WalkAndUnGZ.bat" "%USERPROFILE%\AppData\Local\Temp\OnboardLogs"\RTDC4031\2017-09-22</v>
      </c>
      <c r="AF206" s="74" t="str">
        <f t="shared" si="89"/>
        <v>"C:\Program Files (x86)\AstroGrep\AstroGrep.exe" /e /r /s /spath="%USERPROFILE%\AppData\Local\Temp\OnboardLogs" /stypes="app*4031*20170922*" /stext=" 04:.+((SYSTEM_STATE.+slice.+state.+changed )|(ment ac)|(multiple cpu faults)|(system.+state.+changed )|(\[timeout)|(PRM\|1\|D)|(kpr)|(kdp)|(train st.+moving)|(\|lc)|(penalty))"</v>
      </c>
      <c r="AG206" s="182" t="str">
        <f t="shared" si="90"/>
        <v>NW</v>
      </c>
      <c r="AH206" s="78" t="str">
        <f t="shared" si="91"/>
        <v>"%USERPROFILE%\Documents\GitHub\eaglep3\Utilities\RefineRTDCRunTimes.py" --tripid 846-21 --locoid 4031 --swversion DE.1.0.9.0 --startMP 300:58617 --initTime 2017-09-21T22:37:47 --startdatetime 2017-09-21T22:40:43 --delay 72 --endMP 204:685 --enddatetime 2017-09-21T22:55:03 --enforcementcount 0 &gt;&gt;c:\users\stu\Documents\GitHub\eaglep3-reporting\EC\2017-09-21-refined-times.txt</v>
      </c>
      <c r="AI206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{"issue":{"subject":"","project_id":79,"tracker_id":40,"status_id":1,"priority_id":2,"assigned_to_id":338,"start_date":"2017-09-21","description":"","custom_fields":[{"id":1,"name":"Subdivision","value":"NW"},{"id":4,"name":"Milepost","value":"0.0685"},{"id":17,"name":"Train ID","value":"846-21"},{"id":16,"name":"Locomotive ID","value":"4031"},{"id":130,"name":"Impact","value":""},{"id":150,"name":"Time of Event (Mountain Time)","value":"22:55:03"},{"id":151,"name":"Denver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6" s="47"/>
      <c r="AL206" s="47"/>
      <c r="AM206" s="142" t="str">
        <f t="shared" si="93"/>
        <v>start /low /b %USERPROFILE%\Documents\GitHub\eaglep3\Utilities\DownloadLogsFromS3.py --loco 4031 --day 2017-09-21</v>
      </c>
      <c r="AN206" s="151" t="str">
        <f t="shared" si="94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04:55:03"},{"id":29,"name":"Sharepoint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95"/>
        <v>https://d0f6bd738d7f1b3e5a7ca70fe4ff75f0.us-east-1.aws.found.io/app/kibana#/discover/Steve-Slow-Train-Analysis-(2080s-and-2083s)?_g=(refreshInterval:(display:Off,pause:!f,section:0,value:0),time:(from:'2017-09-21T21:37:47-0600',mode:absolute,to:'2017-09-21T23:55:03-0600'))&amp;_a=(columns:!('Message%20ID',Summary),filters:!(),index:'emp_*',interval:auto,query:(query_string:(analyze_wildcard:!t,query:'Message%5C+ID:(*)+AND+%22rtdc.l.rtdc.4031%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32" t="s">
        <v>815</v>
      </c>
      <c r="B207" s="7">
        <v>4032</v>
      </c>
      <c r="C207" s="21" t="s">
        <v>196</v>
      </c>
      <c r="D207" s="21" t="s">
        <v>558</v>
      </c>
      <c r="E207" s="13">
        <v>42999.919340277775</v>
      </c>
      <c r="F207" s="13">
        <v>42999.923194444447</v>
      </c>
      <c r="G207" s="7">
        <v>76</v>
      </c>
      <c r="H207" s="21" t="s">
        <v>943</v>
      </c>
      <c r="I207" s="13">
        <v>42999.933449074073</v>
      </c>
      <c r="J207" s="7">
        <v>0</v>
      </c>
      <c r="K207" s="89" t="str">
        <f t="shared" si="77"/>
        <v>4031/4032</v>
      </c>
      <c r="L207" s="185" t="str">
        <f>VLOOKUP(A207,'Trips&amp;Operators'!$C$1:$G$99911,5,FALSE)</f>
        <v>BIRKHOLZ NADINE</v>
      </c>
      <c r="M207" s="6">
        <f t="shared" si="78"/>
        <v>1.0254629625706002E-2</v>
      </c>
      <c r="N207" s="7">
        <f t="shared" si="79"/>
        <v>14.766666661016643</v>
      </c>
      <c r="O207" s="7"/>
      <c r="P207" s="7"/>
      <c r="Q207" s="22"/>
      <c r="R207" s="174"/>
      <c r="S207" s="221">
        <f t="shared" si="80"/>
        <v>1</v>
      </c>
      <c r="T207" s="174" t="str">
        <f t="shared" si="81"/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 t="shared" si="82"/>
        <v>https://d0f6bd738d7f1b3e5a7ca70fe4ff75f0.us-east-1.aws.found.io/app/kibana#/discover/Steve-Slow-Train-Analysis-(2080s-and-2083s)?_g=(refreshInterval:(display:Off,pause:!f,section:0,value:0),time:(from:'2017-09-21T21:03:51-0600',mode:absolute,to:'2017-09-21T23:24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7" s="204" t="str">
        <f>IF(AA207&lt;VLOOKUP(AG207,Variables!$AC$3:$AD$8,2,FALSE),"Y","N")</f>
        <v>N</v>
      </c>
      <c r="X207" s="204">
        <f t="shared" si="83"/>
        <v>1</v>
      </c>
      <c r="Y207" s="204">
        <f t="shared" si="84"/>
        <v>9.7600000000000006E-2</v>
      </c>
      <c r="Z207" s="204">
        <f t="shared" si="85"/>
        <v>5.8940999999999999</v>
      </c>
      <c r="AA207" s="204">
        <f t="shared" si="86"/>
        <v>5.7965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 t="shared" si="87"/>
        <v>847</v>
      </c>
      <c r="AE207" s="77" t="str">
        <f t="shared" si="88"/>
        <v>aws s3 cp s3://rtdc.mdm.uploadarchive.raw/RTDC4032/ "%USERPROFILE%\AppData\Local\Temp\OnboardLogs"\RTDC4032\2017-09-21 --exclude "*" --recursive --include "*20170921*" &amp; "%USERPROFILE%\Documents\GitHub\mrs-test-scripts\Headless Mode &amp; Sideloading\WalkAndUnGZ.bat" "%USERPROFILE%\AppData\Local\Temp\OnboardLogs"\RTDC4032\2017-09-21 &amp; aws s3 cp s3://rtdc.mdm.uploadarchive.raw/RTDC4032/ "%USERPROFILE%\AppData\Local\Temp\OnboardLogs"\RTDC4032\2017-09-22 --exclude "*" --recursive --include "*20170922*" &amp; "%USERPROFILE%\Documents\GitHub\mrs-test-scripts\Headless Mode &amp; Sideloading\WalkAndUnGZ.bat" "%USERPROFILE%\AppData\Local\Temp\OnboardLogs"\RTDC4032\2017-09-22</v>
      </c>
      <c r="AF207" s="74" t="str">
        <f t="shared" si="89"/>
        <v>"C:\Program Files (x86)\AstroGrep\AstroGrep.exe" /e /r /s /spath="%USERPROFILE%\AppData\Local\Temp\OnboardLogs" /stypes="app*4032*20170922*" /stext=" 04:.+((SYSTEM_STATE.+slice.+state.+changed )|(ment ac)|(multiple cpu faults)|(system.+state.+changed )|(\[timeout)|(PRM\|1\|D)|(kpr)|(kdp)|(train st.+moving)|(\|lc)|(penalty))"</v>
      </c>
      <c r="AG207" s="182" t="str">
        <f t="shared" si="90"/>
        <v>NW</v>
      </c>
      <c r="AH207" s="78" t="str">
        <f t="shared" si="91"/>
        <v>"%USERPROFILE%\Documents\GitHub\eaglep3\Utilities\RefineRTDCRunTimes.py" --tripid 847-21 --locoid 4032 --swversion DE.1.0.9.0 --startMP 204:976 --initTime 2017-09-21T22:03:51 --startdatetime 2017-09-21T22:09:24 --delay 76 --endMP 300:58941 --enddatetime 2017-09-21T22:24:10 --enforcementcount 0 &gt;&gt;c:\users\stu\Documents\GitHub\eaglep3-reporting\EC\2017-09-21-refined-times.txt</v>
      </c>
      <c r="AI207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{"issue":{"subject":"","project_id":79,"tracker_id":40,"status_id":1,"priority_id":2,"assigned_to_id":338,"start_date":"2017-09-21","description":"","custom_fields":[{"id":1,"name":"Subdivision","value":"NW"},{"id":4,"name":"Milepost","value":"5.8941"},{"id":17,"name":"Train ID","value":"847-21"},{"id":16,"name":"Locomotive ID","value":"4032"},{"id":130,"name":"Impact","value":""},{"id":150,"name":"Time of Event (Mountain Time)","value":"22:24:10"},{"id":151,"name":"Denver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7" s="47"/>
      <c r="AL207" s="47"/>
      <c r="AM207" s="142" t="str">
        <f t="shared" si="93"/>
        <v>start /low /b %USERPROFILE%\Documents\GitHub\eaglep3\Utilities\DownloadLogsFromS3.py --loco 4032 --day 2017-09-21</v>
      </c>
      <c r="AN207" s="151" t="str">
        <f t="shared" si="94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04:24:10"},{"id":29,"name":"Sharepoint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95"/>
        <v>https://d0f6bd738d7f1b3e5a7ca70fe4ff75f0.us-east-1.aws.found.io/app/kibana#/discover/Steve-Slow-Train-Analysis-(2080s-and-2083s)?_g=(refreshInterval:(display:Off,pause:!f,section:0,value:0),time:(from:'2017-09-21T21:03:51-0600',mode:absolute,to:'2017-09-21T23:24:10-0600'))&amp;_a=(columns:!('Message%20ID',Summary),filters:!(),index:'emp_*',interval:auto,query:(query_string:(analyze_wildcard:!t,query:'Message%5C+ID:(*)+AND+%22rtdc.l.rtdc.4032%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32" t="s">
        <v>821</v>
      </c>
      <c r="B208" s="7">
        <v>4032</v>
      </c>
      <c r="C208" s="21" t="s">
        <v>196</v>
      </c>
      <c r="D208" s="21" t="s">
        <v>962</v>
      </c>
      <c r="E208" s="13">
        <v>42999.961597222224</v>
      </c>
      <c r="F208" s="13">
        <v>42999.965185185189</v>
      </c>
      <c r="G208" s="7">
        <v>67</v>
      </c>
      <c r="H208" s="21" t="s">
        <v>943</v>
      </c>
      <c r="I208" s="13">
        <v>42999.975995370369</v>
      </c>
      <c r="J208" s="7">
        <v>0</v>
      </c>
      <c r="K208" s="89" t="str">
        <f t="shared" si="77"/>
        <v>4031/4032</v>
      </c>
      <c r="L208" s="185" t="str">
        <f>VLOOKUP(A208,'Trips&amp;Operators'!$C$1:$G$99911,5,FALSE)</f>
        <v>BIRKHOLZ NADINE</v>
      </c>
      <c r="M208" s="6">
        <f t="shared" si="78"/>
        <v>1.081018518016208E-2</v>
      </c>
      <c r="N208" s="7">
        <f t="shared" si="79"/>
        <v>15.566666659433395</v>
      </c>
      <c r="O208" s="7"/>
      <c r="P208" s="7"/>
      <c r="Q208" s="22"/>
      <c r="R208" s="174"/>
      <c r="S208" s="221">
        <f t="shared" si="80"/>
        <v>1</v>
      </c>
      <c r="T208" s="174" t="str">
        <f t="shared" si="81"/>
        <v>NorthBound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 t="shared" si="82"/>
        <v>https://d0f6bd738d7f1b3e5a7ca70fe4ff75f0.us-east-1.aws.found.io/app/kibana#/discover/Steve-Slow-Train-Analysis-(2080s-and-2083s)?_g=(refreshInterval:(display:Off,pause:!f,section:0,value:0),time:(from:'2017-09-21T22:04:42-0600',mode:absolute,to:'2017-09-22T00:25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8" s="204" t="str">
        <f>IF(AA208&lt;VLOOKUP(AG208,Variables!$AC$3:$AD$8,2,FALSE),"Y","N")</f>
        <v>N</v>
      </c>
      <c r="X208" s="204">
        <f t="shared" si="83"/>
        <v>2</v>
      </c>
      <c r="Y208" s="204">
        <f t="shared" si="84"/>
        <v>9.8500000000000004E-2</v>
      </c>
      <c r="Z208" s="204">
        <f t="shared" si="85"/>
        <v>5.8940999999999999</v>
      </c>
      <c r="AA208" s="204">
        <f t="shared" si="86"/>
        <v>5.7956000000000003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 t="shared" si="87"/>
        <v>849</v>
      </c>
      <c r="AE208" s="77" t="str">
        <f t="shared" si="88"/>
        <v>aws s3 cp s3://rtdc.mdm.uploadarchive.raw/RTDC4032/ "%USERPROFILE%\AppData\Local\Temp\OnboardLogs"\RTDC4032\2017-09-21 --exclude "*" --recursive --include "*20170921*" &amp; "%USERPROFILE%\Documents\GitHub\mrs-test-scripts\Headless Mode &amp; Sideloading\WalkAndUnGZ.bat" "%USERPROFILE%\AppData\Local\Temp\OnboardLogs"\RTDC4032\2017-09-21 &amp; aws s3 cp s3://rtdc.mdm.uploadarchive.raw/RTDC4032/ "%USERPROFILE%\AppData\Local\Temp\OnboardLogs"\RTDC4032\2017-09-22 --exclude "*" --recursive --include "*20170922*" &amp; "%USERPROFILE%\Documents\GitHub\mrs-test-scripts\Headless Mode &amp; Sideloading\WalkAndUnGZ.bat" "%USERPROFILE%\AppData\Local\Temp\OnboardLogs"\RTDC4032\2017-09-22</v>
      </c>
      <c r="AF208" s="74" t="str">
        <f t="shared" si="89"/>
        <v>"C:\Program Files (x86)\AstroGrep\AstroGrep.exe" /e /r /s /spath="%USERPROFILE%\AppData\Local\Temp\OnboardLogs" /stypes="app*4032*20170922*" /stext=" 05:.+((SYSTEM_STATE.+slice.+state.+changed )|(ment ac)|(multiple cpu faults)|(system.+state.+changed )|(\[timeout)|(PRM\|1\|D)|(kpr)|(kdp)|(train st.+moving)|(\|lc)|(penalty))"</v>
      </c>
      <c r="AG208" s="182" t="str">
        <f t="shared" si="90"/>
        <v>NW</v>
      </c>
      <c r="AH208" s="78" t="str">
        <f t="shared" si="91"/>
        <v>"%USERPROFILE%\Documents\GitHub\eaglep3\Utilities\RefineRTDCRunTimes.py" --tripid 849-21 --locoid 4032 --swversion DE.1.0.9.0 --startMP 204:985 --initTime 2017-09-21T23:04:42 --startdatetime 2017-09-21T23:09:52 --delay 67 --endMP 300:58941 --enddatetime 2017-09-21T23:25:26 --enforcementcount 0 &gt;&gt;c:\users\stu\Documents\GitHub\eaglep3-reporting\EC\2017-09-21-refined-times.txt</v>
      </c>
      <c r="AI208" s="96" t="str">
        <f t="shared" si="92"/>
        <v>echo {"issue":{"subject":"","project_id":79,"tracker_id":40,"status_id":1,"priority_id":2,"assigned_to_id":338,"start_date":"2017-09-21","description":"","custom_fields":[{"id":1,"name":"Subdivision","value":"NW"},{"id":4,"name":"Milepost","value":"5.8941"},{"id":17,"name":"Train ID","value":"849-21"},{"id":16,"name":"Locomotive ID","value":"4032"},{"id":130,"name":"Impact","value":""},{"id":150,"name":"Time of Event (Mountain Time)","value":"23:25:26"},{"id":151,"name":"Denver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8" s="47"/>
      <c r="AL208" s="47"/>
      <c r="AM208" s="142" t="str">
        <f t="shared" si="93"/>
        <v>start /low /b %USERPROFILE%\Documents\GitHub\eaglep3\Utilities\DownloadLogsFromS3.py --loco 4032 --day 2017-09-21</v>
      </c>
      <c r="AN208" s="151" t="str">
        <f t="shared" si="94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05:25:26"},{"id":29,"name":"Sharepoint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95"/>
        <v>https://d0f6bd738d7f1b3e5a7ca70fe4ff75f0.us-east-1.aws.found.io/app/kibana#/discover/Steve-Slow-Train-Analysis-(2080s-and-2083s)?_g=(refreshInterval:(display:Off,pause:!f,section:0,value:0),time:(from:'2017-09-21T22:04:42-0600',mode:absolute,to:'2017-09-22T00:25:26-0600'))&amp;_a=(columns:!('Message%20ID',Summary),filters:!(),index:'emp_*',interval:auto,query:(query_string:(analyze_wildcard:!t,query:'Message%5C+ID:(*)+AND+%22rtdc.l.rtdc.4032%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32" t="s">
        <v>785</v>
      </c>
      <c r="B209" s="7">
        <v>4018</v>
      </c>
      <c r="C209" s="21" t="s">
        <v>196</v>
      </c>
      <c r="D209" s="21" t="s">
        <v>448</v>
      </c>
      <c r="E209" s="13">
        <v>42999.775069444448</v>
      </c>
      <c r="F209" s="13">
        <v>42999.776458333334</v>
      </c>
      <c r="G209" s="7">
        <v>55</v>
      </c>
      <c r="H209" s="21" t="s">
        <v>496</v>
      </c>
      <c r="I209" s="13">
        <v>42999.783553240741</v>
      </c>
      <c r="J209" s="7">
        <v>0</v>
      </c>
      <c r="K209" s="89" t="str">
        <f t="shared" si="77"/>
        <v>4017/4018</v>
      </c>
      <c r="L209" s="185" t="str">
        <f>VLOOKUP(A209,'Trips&amp;Operators'!$C$1:$G$99911,5,FALSE)</f>
        <v>LEVIN SCOTT</v>
      </c>
      <c r="M209" s="6">
        <f t="shared" si="78"/>
        <v>7.0949074070085771E-3</v>
      </c>
      <c r="N209" s="7">
        <f t="shared" si="79"/>
        <v>10.216666666092351</v>
      </c>
      <c r="O209" s="7"/>
      <c r="P209" s="7"/>
      <c r="Q209" s="22"/>
      <c r="R209" s="174"/>
      <c r="S209" s="221">
        <f t="shared" si="80"/>
        <v>1</v>
      </c>
      <c r="T209" s="174" t="str">
        <f t="shared" si="81"/>
        <v>NorthBound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 t="shared" si="82"/>
        <v>https://d0f6bd738d7f1b3e5a7ca70fe4ff75f0.us-east-1.aws.found.io/app/kibana#/discover/Steve-Slow-Train-Analysis-(2080s-and-2083s)?_g=(refreshInterval:(display:Off,pause:!f,section:0,value:0),time:(from:'2017-09-21T17:36:06-0600',mode:absolute,to:'2017-09-21T19:48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9" s="204" t="str">
        <f>IF(AA209&lt;VLOOKUP(AG209,Variables!$AC$3:$AD$8,2,FALSE),"Y","N")</f>
        <v>Y</v>
      </c>
      <c r="X209" s="204">
        <f t="shared" si="83"/>
        <v>-548</v>
      </c>
      <c r="Y209" s="204">
        <f t="shared" si="84"/>
        <v>4.5699999999999998E-2</v>
      </c>
      <c r="Z209" s="204">
        <f t="shared" si="85"/>
        <v>2.3346</v>
      </c>
      <c r="AA209" s="204">
        <f t="shared" si="86"/>
        <v>2.2888999999999999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 t="shared" si="87"/>
        <v>301</v>
      </c>
      <c r="AE209" s="77" t="str">
        <f t="shared" si="88"/>
        <v>aws s3 cp s3://rtdc.mdm.uploadarchive.raw/RTDC4018/ "%USERPROFILE%\AppData\Local\Temp\OnboardLogs"\RTDC4018\2017-09-21 --exclude "*" --recursive --include "*20170921*" &amp; "%USERPROFILE%\Documents\GitHub\mrs-test-scripts\Headless Mode &amp; Sideloading\WalkAndUnGZ.bat" "%USERPROFILE%\AppData\Local\Temp\OnboardLogs"\RTDC4018\2017-09-21 &amp; aws s3 cp s3://rtdc.mdm.uploadarchive.raw/RTDC4018/ "%USERPROFILE%\AppData\Local\Temp\OnboardLogs"\RTDC4018\2017-09-22 --exclude "*" --recursive --include "*20170922*" &amp; "%USERPROFILE%\Documents\GitHub\mrs-test-scripts\Headless Mode &amp; Sideloading\WalkAndUnGZ.bat" "%USERPROFILE%\AppData\Local\Temp\OnboardLogs"\RTDC4018\2017-09-22</v>
      </c>
      <c r="AF209" s="74" t="str">
        <f t="shared" si="89"/>
        <v>"C:\Program Files (x86)\AstroGrep\AstroGrep.exe" /e /r /s /spath="%USERPROFILE%\AppData\Local\Temp\OnboardLogs" /stypes="app*4018*20170922*" /stext=" 00:.+((SYSTEM_STATE.+slice.+state.+changed )|(ment ac)|(multiple cpu faults)|(system.+state.+changed )|(\[timeout)|(PRM\|1\|D)|(kpr)|(kdp)|(train st.+moving)|(\|lc)|(penalty))"</v>
      </c>
      <c r="AG209" s="182" t="str">
        <f t="shared" si="90"/>
        <v>Other</v>
      </c>
      <c r="AH209" s="78" t="str">
        <f t="shared" si="91"/>
        <v>"%USERPROFILE%\Documents\GitHub\eaglep3\Utilities\RefineRTDCRunTimes.py" --tripid 301-21 --locoid 4018 --swversion DE.1.0.9.0 --startMP 204:457 --initTime 2017-09-21T18:36:06 --startdatetime 2017-09-21T18:38:06 --delay 55 --endMP 300:23346 --enddatetime 2017-09-21T18:48:19 --enforcementcount 0 &gt;&gt;c:\users\stu\Documents\GitHub\eaglep3-reporting\EC\2017-09-21-refined-times.txt</v>
      </c>
      <c r="AI209" s="96" t="str">
        <f t="shared" si="92"/>
        <v>echo {"issue":{"subject":"","project_id":79,"tracker_id":40,"status_id":1,"priority_id":2,"assigned_to_id":338,"start_date":"2017-09-21","description":"","custom_fields":[{"id":1,"name":"Subdivision","value":"Other"},{"id":4,"name":"Milepost","value":"2.3346"},{"id":17,"name":"Train ID","value":"301-21"},{"id":16,"name":"Locomotive ID","value":"4018"},{"id":130,"name":"Impact","value":""},{"id":150,"name":"Time of Event (Mountain Time)","value":"18:48:19"},{"id":151,"name":"Denver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9" s="47"/>
      <c r="AL209" s="47"/>
      <c r="AM209" s="142" t="str">
        <f t="shared" si="93"/>
        <v>start /low /b %USERPROFILE%\Documents\GitHub\eaglep3\Utilities\DownloadLogsFromS3.py --loco 4018 --day 2017-09-21</v>
      </c>
      <c r="AN209" s="151" t="str">
        <f t="shared" si="94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00:48:19"},{"id":29,"name":"Sharepoint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95"/>
        <v>https://d0f6bd738d7f1b3e5a7ca70fe4ff75f0.us-east-1.aws.found.io/app/kibana#/discover/Steve-Slow-Train-Analysis-(2080s-and-2083s)?_g=(refreshInterval:(display:Off,pause:!f,section:0,value:0),time:(from:'2017-09-21T17:36:06-0600',mode:absolute,to:'2017-09-21T19:48:19-0600'))&amp;_a=(columns:!('Message%20ID',Summary),filters:!(),index:'emp_*',interval:auto,query:(query_string:(analyze_wildcard:!t,query:'Message%5C+ID:(*)+AND+%22rtdc.l.rtdc.4018%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x14ac:dyDescent="0.25">
      <c r="A210" s="32" t="s">
        <v>621</v>
      </c>
      <c r="B210" s="7">
        <v>4029</v>
      </c>
      <c r="C210" s="21" t="s">
        <v>196</v>
      </c>
      <c r="D210" s="21" t="s">
        <v>882</v>
      </c>
      <c r="E210" s="13">
        <v>42999.13349537037</v>
      </c>
      <c r="F210" s="13">
        <v>42999.144768518519</v>
      </c>
      <c r="G210" s="7">
        <v>80</v>
      </c>
      <c r="H210" s="21" t="s">
        <v>339</v>
      </c>
      <c r="I210" s="13">
        <v>42999.14984953704</v>
      </c>
      <c r="J210" s="7">
        <v>0</v>
      </c>
      <c r="K210" s="89" t="str">
        <f t="shared" si="77"/>
        <v>4029/4030</v>
      </c>
      <c r="L210" s="185" t="str">
        <f>VLOOKUP(A210,'Trips&amp;Operators'!$C$1:$G$99911,5,FALSE)</f>
        <v>STARKS ANGELINA</v>
      </c>
      <c r="M210" s="6">
        <f t="shared" si="78"/>
        <v>5.0810185202863067E-3</v>
      </c>
      <c r="N210" s="7">
        <f t="shared" si="79"/>
        <v>7.3166666692122817</v>
      </c>
      <c r="O210" s="7"/>
      <c r="P210" s="7"/>
      <c r="Q210" s="22"/>
      <c r="R210" s="174"/>
      <c r="S210" s="221">
        <f t="shared" si="80"/>
        <v>1</v>
      </c>
      <c r="T210" s="174" t="str">
        <f t="shared" si="81"/>
        <v>Southbound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 t="shared" si="82"/>
        <v>https://d0f6bd738d7f1b3e5a7ca70fe4ff75f0.us-east-1.aws.found.io/app/kibana#/discover/Steve-Slow-Train-Analysis-(2080s-and-2083s)?_g=(refreshInterval:(display:Off,pause:!f,section:0,value:0),time:(from:'2017-09-21T02:12:14-0600',mode:absolute,to:'2017-09-21T04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0" s="204" t="str">
        <f>IF(AA210&lt;VLOOKUP(AG210,Variables!$AC$3:$AD$8,2,FALSE),"Y","N")</f>
        <v>Y</v>
      </c>
      <c r="X210" s="204">
        <f t="shared" si="83"/>
        <v>1</v>
      </c>
      <c r="Y210" s="204">
        <f t="shared" si="84"/>
        <v>2.5766</v>
      </c>
      <c r="Z210" s="204">
        <f t="shared" si="85"/>
        <v>1.43E-2</v>
      </c>
      <c r="AA210" s="204">
        <f t="shared" si="86"/>
        <v>2.5623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 t="shared" si="87"/>
        <v>302</v>
      </c>
      <c r="AE210" s="77" t="str">
        <f t="shared" si="88"/>
        <v>aws s3 cp s3://rtdc.mdm.uploadarchive.raw/RTDC4029/ "%USERPROFILE%\AppData\Local\Temp\OnboardLogs"\RTDC4029\2017-09-21 --exclude "*" --recursive --include "*20170921*" &amp; "%USERPROFILE%\Documents\GitHub\mrs-test-scripts\Headless Mode &amp; Sideloading\WalkAndUnGZ.bat" "%USERPROFILE%\AppData\Local\Temp\OnboardLogs"\RTDC4029\2017-09-21 &amp; aws s3 cp s3://rtdc.mdm.uploadarchive.raw/RTDC4029/ "%USERPROFILE%\AppData\Local\Temp\OnboardLogs"\RTDC4029\2017-09-22 --exclude "*" --recursive --include "*20170922*" &amp; "%USERPROFILE%\Documents\GitHub\mrs-test-scripts\Headless Mode &amp; Sideloading\WalkAndUnGZ.bat" "%USERPROFILE%\AppData\Local\Temp\OnboardLogs"\RTDC4029\2017-09-22</v>
      </c>
      <c r="AF210" s="74" t="str">
        <f t="shared" si="89"/>
        <v>"C:\Program Files (x86)\AstroGrep\AstroGrep.exe" /e /r /s /spath="%USERPROFILE%\AppData\Local\Temp\OnboardLogs" /stypes="app*4029*20170921*" /stext=" 09:.+((SYSTEM_STATE.+slice.+state.+changed )|(ment ac)|(multiple cpu faults)|(system.+state.+changed )|(\[timeout)|(PRM\|1\|D)|(kpr)|(kdp)|(train st.+moving)|(\|lc)|(penalty))"</v>
      </c>
      <c r="AG210" s="182" t="str">
        <f t="shared" si="90"/>
        <v>Other</v>
      </c>
      <c r="AH210" s="78" t="str">
        <f t="shared" si="91"/>
        <v>"%USERPROFILE%\Documents\GitHub\eaglep3\Utilities\RefineRTDCRunTimes.py" --tripid 302-21 --locoid 4029 --swversion DE.1.0.9.0 --startMP 300:25766 --initTime 2017-09-21T03:12:14 --startdatetime 2017-09-21T03:28:28 --delay 80 --endMP 204:143 --enddatetime 2017-09-21T03:35:47 --enforcementcount 0 &gt;&gt;c:\users\stu\Documents\GitHub\eaglep3-reporting\EC\2017-09-21-refined-times.txt</v>
      </c>
      <c r="AI210" s="96" t="str">
        <f t="shared" si="92"/>
        <v>echo {"issue":{"subject":"","project_id":79,"tracker_id":40,"status_id":1,"priority_id":2,"assigned_to_id":338,"start_date":"2017-09-21","description":"","custom_fields":[{"id":1,"name":"Subdivision","value":"Other"},{"id":4,"name":"Milepost","value":"0.0143"},{"id":17,"name":"Train ID","value":"302-21"},{"id":16,"name":"Locomotive ID","value":"4029"},{"id":130,"name":"Impact","value":""},{"id":150,"name":"Time of Event (Mountain Time)","value":"03:35:47"},{"id":151,"name":"Denver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93"/>
        <v>start /low /b %USERPROFILE%\Documents\GitHub\eaglep3\Utilities\DownloadLogsFromS3.py --loco 4029 --day 2017-09-21</v>
      </c>
      <c r="AN210" s="151" t="str">
        <f t="shared" si="94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09:35:47"},{"id":29,"name":"Sharepoint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95"/>
        <v>https://d0f6bd738d7f1b3e5a7ca70fe4ff75f0.us-east-1.aws.found.io/app/kibana#/discover/Steve-Slow-Train-Analysis-(2080s-and-2083s)?_g=(refreshInterval:(display:Off,pause:!f,section:0,value:0),time:(from:'2017-09-21T02:12:14-0600',mode:absolute,to:'2017-09-21T04:35:47-0600'))&amp;_a=(columns:!('Message%20ID',Summary),filters:!(),index:'emp_*',interval:auto,query:(query_string:(analyze_wildcard:!t,query:'Message%5C+ID:(*)+AND+%22rtdc.l.rtdc.4029%22')),sort:!(Time.ISO8601,asc))</v>
      </c>
    </row>
    <row r="211" spans="1:91" s="20" customFormat="1" x14ac:dyDescent="0.25">
      <c r="A211" s="32" t="s">
        <v>627</v>
      </c>
      <c r="B211" s="7">
        <v>4013</v>
      </c>
      <c r="C211" s="21" t="s">
        <v>196</v>
      </c>
      <c r="D211" s="21" t="s">
        <v>883</v>
      </c>
      <c r="E211" s="13">
        <v>42999.154930555553</v>
      </c>
      <c r="F211" s="13">
        <v>42999.159317129626</v>
      </c>
      <c r="G211" s="7">
        <v>191</v>
      </c>
      <c r="H211" s="21" t="s">
        <v>338</v>
      </c>
      <c r="I211" s="13">
        <v>42999.16810185185</v>
      </c>
      <c r="J211" s="7">
        <v>0</v>
      </c>
      <c r="K211" s="89" t="str">
        <f t="shared" si="77"/>
        <v>4013/4014</v>
      </c>
      <c r="L211" s="185" t="str">
        <f>VLOOKUP(A211,'Trips&amp;Operators'!$C$1:$G$99911,5,FALSE)</f>
        <v>PAGE MARCUS</v>
      </c>
      <c r="M211" s="6">
        <f t="shared" si="78"/>
        <v>8.7847222239361145E-3</v>
      </c>
      <c r="N211" s="7">
        <f t="shared" si="79"/>
        <v>12.650000002468005</v>
      </c>
      <c r="O211" s="7"/>
      <c r="P211" s="7"/>
      <c r="Q211" s="22"/>
      <c r="R211" s="174"/>
      <c r="S211" s="221">
        <f t="shared" si="80"/>
        <v>1</v>
      </c>
      <c r="T211" s="174" t="str">
        <f t="shared" si="81"/>
        <v>Southbound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 t="shared" si="82"/>
        <v>https://d0f6bd738d7f1b3e5a7ca70fe4ff75f0.us-east-1.aws.found.io/app/kibana#/discover/Steve-Slow-Train-Analysis-(2080s-and-2083s)?_g=(refreshInterval:(display:Off,pause:!f,section:0,value:0),time:(from:'2017-09-21T02:43:06-0600',mode:absolute,to:'2017-09-21T05:02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1" s="204" t="str">
        <f>IF(AA211&lt;VLOOKUP(AG211,Variables!$AC$3:$AD$8,2,FALSE),"Y","N")</f>
        <v>Y</v>
      </c>
      <c r="X211" s="204">
        <f t="shared" si="83"/>
        <v>2</v>
      </c>
      <c r="Y211" s="204">
        <f t="shared" si="84"/>
        <v>2.3523000000000001</v>
      </c>
      <c r="Z211" s="204">
        <f t="shared" si="85"/>
        <v>1.49E-2</v>
      </c>
      <c r="AA211" s="204">
        <f t="shared" si="86"/>
        <v>2.3374000000000001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 t="shared" si="87"/>
        <v>304</v>
      </c>
      <c r="AE211" s="77" t="str">
        <f t="shared" si="88"/>
        <v>aws s3 cp s3://rtdc.mdm.uploadarchive.raw/RTDC4013/ "%USERPROFILE%\AppData\Local\Temp\OnboardLogs"\RTDC4013\2017-09-21 --exclude "*" --recursive --include "*20170921*" &amp; "%USERPROFILE%\Documents\GitHub\mrs-test-scripts\Headless Mode &amp; Sideloading\WalkAndUnGZ.bat" "%USERPROFILE%\AppData\Local\Temp\OnboardLogs"\RTDC4013\2017-09-21 &amp; aws s3 cp s3://rtdc.mdm.uploadarchive.raw/RTDC4013/ "%USERPROFILE%\AppData\Local\Temp\OnboardLogs"\RTDC4013\2017-09-22 --exclude "*" --recursive --include "*20170922*" &amp; "%USERPROFILE%\Documents\GitHub\mrs-test-scripts\Headless Mode &amp; Sideloading\WalkAndUnGZ.bat" "%USERPROFILE%\AppData\Local\Temp\OnboardLogs"\RTDC4013\2017-09-22</v>
      </c>
      <c r="AF211" s="74" t="str">
        <f t="shared" si="89"/>
        <v>"C:\Program Files (x86)\AstroGrep\AstroGrep.exe" /e /r /s /spath="%USERPROFILE%\AppData\Local\Temp\OnboardLogs" /stypes="app*4013*20170921*" /stext=" 10:.+((SYSTEM_STATE.+slice.+state.+changed )|(ment ac)|(multiple cpu faults)|(system.+state.+changed )|(\[timeout)|(PRM\|1\|D)|(kpr)|(kdp)|(train st.+moving)|(\|lc)|(penalty))"</v>
      </c>
      <c r="AG211" s="182" t="str">
        <f t="shared" si="90"/>
        <v>Other</v>
      </c>
      <c r="AH211" s="78" t="str">
        <f t="shared" si="91"/>
        <v>"%USERPROFILE%\Documents\GitHub\eaglep3\Utilities\RefineRTDCRunTimes.py" --tripid 304-21 --locoid 4013 --swversion DE.1.0.9.0 --startMP 300:23523 --initTime 2017-09-21T03:43:06 --startdatetime 2017-09-21T03:49:25 --delay 191 --endMP 204:149 --enddatetime 2017-09-21T04:02:04 --enforcementcount 0 &gt;&gt;c:\users\stu\Documents\GitHub\eaglep3-reporting\EC\2017-09-21-refined-times.txt</v>
      </c>
      <c r="AI211" s="96" t="str">
        <f t="shared" si="92"/>
        <v>echo {"issue":{"subject":"","project_id":79,"tracker_id":40,"status_id":1,"priority_id":2,"assigned_to_id":338,"start_date":"2017-09-21","description":"","custom_fields":[{"id":1,"name":"Subdivision","value":"Other"},{"id":4,"name":"Milepost","value":"0.0149"},{"id":17,"name":"Train ID","value":"304-21"},{"id":16,"name":"Locomotive ID","value":"4013"},{"id":130,"name":"Impact","value":""},{"id":150,"name":"Time of Event (Mountain Time)","value":"04:02:04"},{"id":151,"name":"Denver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1" s="47"/>
      <c r="AL211" s="47"/>
      <c r="AM211" s="142" t="str">
        <f t="shared" si="93"/>
        <v>start /low /b %USERPROFILE%\Documents\GitHub\eaglep3\Utilities\DownloadLogsFromS3.py --loco 4013 --day 2017-09-21</v>
      </c>
      <c r="AN211" s="151" t="str">
        <f t="shared" si="94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10:02:04"},{"id":29,"name":"Sharepoint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95"/>
        <v>https://d0f6bd738d7f1b3e5a7ca70fe4ff75f0.us-east-1.aws.found.io/app/kibana#/discover/Steve-Slow-Train-Analysis-(2080s-and-2083s)?_g=(refreshInterval:(display:Off,pause:!f,section:0,value:0),time:(from:'2017-09-21T02:43:06-0600',mode:absolute,to:'2017-09-21T05:02:04-0600'))&amp;_a=(columns:!('Message%20ID',Summary),filters:!(),index:'emp_*',interval:auto,query:(query_string:(analyze_wildcard:!t,query:'Message%5C+ID:(*)+AND+%22rtdc.l.rtdc.4013%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x14ac:dyDescent="0.25">
      <c r="A212" s="32" t="s">
        <v>794</v>
      </c>
      <c r="B212" s="7">
        <v>4006</v>
      </c>
      <c r="C212" s="21" t="s">
        <v>196</v>
      </c>
      <c r="D212" s="21" t="s">
        <v>448</v>
      </c>
      <c r="E212" s="13">
        <v>42999.820277777777</v>
      </c>
      <c r="F212" s="13">
        <v>42999.821539351855</v>
      </c>
      <c r="G212" s="7">
        <v>53</v>
      </c>
      <c r="H212" s="21" t="s">
        <v>560</v>
      </c>
      <c r="I212" s="13">
        <v>42999.889525462961</v>
      </c>
      <c r="J212" s="7">
        <v>0</v>
      </c>
      <c r="K212" s="89" t="str">
        <f t="shared" ref="K212:K246" si="146">IF(ISEVEN(B212),(B212-1)&amp;"/"&amp;B212,B212&amp;"/"&amp;(B212+1))</f>
        <v>4005/4006</v>
      </c>
      <c r="L212" s="185" t="str">
        <f>VLOOKUP(A212,'Trips&amp;Operators'!$C$1:$G$99911,5,FALSE)</f>
        <v>HOLCOMB KAMDEN</v>
      </c>
      <c r="M212" s="6">
        <f t="shared" ref="M212:M246" si="147">I212-F212</f>
        <v>6.7986111105710734E-2</v>
      </c>
      <c r="N212" s="7">
        <f t="shared" ref="N212:N246" si="148">24*60*SUM($M212:$M212)</f>
        <v>97.899999992223457</v>
      </c>
      <c r="O212" s="7"/>
      <c r="P212" s="7"/>
      <c r="Q212" s="22"/>
      <c r="R212" s="174"/>
      <c r="S212" s="221">
        <f t="shared" ref="S212:S246" si="149">1/IF(AG212="EC",12,1)*SUM(U212:U212)</f>
        <v>1</v>
      </c>
      <c r="T212" s="174" t="str">
        <f t="shared" ref="T212:T246" si="150">IF(ISEVEN(LEFT(AD212,4)),"Southbound","NorthBound")</f>
        <v>NorthBound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 t="shared" ref="V212:V246" si="151"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-09-21T18:41:12-0600',mode:absolute,to:'2017-09-21T22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2" s="204" t="str">
        <f>IF(AA212&lt;VLOOKUP(AG212,Variables!$AC$3:$AD$8,2,FALSE),"Y","N")</f>
        <v>Y</v>
      </c>
      <c r="X212" s="204">
        <f t="shared" ref="X212:X246" si="152">VALUE(LEFT(AD212,4))-VALUE(LEFT(AD211,4))</f>
        <v>1</v>
      </c>
      <c r="Y212" s="204">
        <f t="shared" ref="Y212:Y246" si="153">RIGHT(D212,LEN(D212)-4)/10000</f>
        <v>4.5699999999999998E-2</v>
      </c>
      <c r="Z212" s="204">
        <f t="shared" ref="Z212:Z246" si="154">RIGHT(H212,LEN(H212)-4)/10000</f>
        <v>2.331</v>
      </c>
      <c r="AA212" s="204">
        <f t="shared" ref="AA212:AA246" si="155">ABS(Z212-Y212)</f>
        <v>2.2852999999999999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 t="shared" ref="AD212:AD246" si="156">VALUE(LEFT(A212,LEN(A212)-3))</f>
        <v>305</v>
      </c>
      <c r="AE212" s="77" t="str">
        <f t="shared" ref="AE212:AE246" si="157"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s3://rtdc.mdm.uploadarchive.raw/RTDC4006/ "%USERPROFILE%\AppData\Local\Temp\OnboardLogs"\RTDC4006\2017-09-21 --exclude "*" --recursive --include "*20170921*" &amp; "%USERPROFILE%\Documents\GitHub\mrs-test-scripts\Headless Mode &amp; Sideloading\WalkAndUnGZ.bat" "%USERPROFILE%\AppData\Local\Temp\OnboardLogs"\RTDC4006\2017-09-21 &amp; aws s3 cp s3://rtdc.mdm.uploadarchive.raw/RTDC4006/ "%USERPROFILE%\AppData\Local\Temp\OnboardLogs"\RTDC4006\2017-09-22 --exclude "*" --recursive --include "*20170922*" &amp; "%USERPROFILE%\Documents\GitHub\mrs-test-scripts\Headless Mode &amp; Sideloading\WalkAndUnGZ.bat" "%USERPROFILE%\AppData\Local\Temp\OnboardLogs"\RTDC4006\2017-09-22</v>
      </c>
      <c r="AF212" s="74" t="str">
        <f t="shared" ref="AF212:AF246" si="158"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/stypes="app*4006*20170922*" /stext=" 03:.+((SYSTEM_STATE.+slice.+state.+changed )|(ment ac)|(multiple cpu faults)|(system.+state.+changed )|(\[timeout)|(PRM\|1\|D)|(kpr)|(kdp)|(train st.+moving)|(\|lc)|(penalty))"</v>
      </c>
      <c r="AG212" s="182" t="str">
        <f t="shared" ref="AG212:AG246" si="159">DetSubdiv(A212)</f>
        <v>Other</v>
      </c>
      <c r="AH212" s="78" t="str">
        <f t="shared" si="91"/>
        <v>"%USERPROFILE%\Documents\GitHub\eaglep3\Utilities\RefineRTDCRunTimes.py" --tripid 305-21 --locoid 4006 --swversion DE.1.0.9.0 --startMP 204:457 --initTime 2017-09-21T19:41:12 --startdatetime 2017-09-21T19:43:01 --delay 53 --endMP 300:23310 --enddatetime 2017-09-21T21:20:55 --enforcementcount 0 &gt;&gt;c:\users\stu\Documents\GitHub\eaglep3-reporting\EC\2017-09-21-refined-times.txt</v>
      </c>
      <c r="AI212" s="96" t="str">
        <f t="shared" si="92"/>
        <v>echo {"issue":{"subject":"","project_id":79,"tracker_id":40,"status_id":1,"priority_id":2,"assigned_to_id":338,"start_date":"2017-09-21","description":"","custom_fields":[{"id":1,"name":"Subdivision","value":"Other"},{"id":4,"name":"Milepost","value":"2.331"},{"id":17,"name":"Train ID","value":"305-21"},{"id":16,"name":"Locomotive ID","value":"4006"},{"id":130,"name":"Impact","value":""},{"id":150,"name":"Time of Event (Mountain Time)","value":"21:20:55"},{"id":151,"name":"Denver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93"/>
        <v>start /low /b %USERPROFILE%\Documents\GitHub\eaglep3\Utilities\DownloadLogsFromS3.py --loco 4006 --day 2017-09-21</v>
      </c>
      <c r="AN212" s="151" t="str">
        <f t="shared" si="94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03:20:55"},{"id":29,"name":"Sharepoint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95"/>
        <v>https://d0f6bd738d7f1b3e5a7ca70fe4ff75f0.us-east-1.aws.found.io/app/kibana#/discover/Steve-Slow-Train-Analysis-(2080s-and-2083s)?_g=(refreshInterval:(display:Off,pause:!f,section:0,value:0),time:(from:'2017-09-21T18:41:12-0600',mode:absolute,to:'2017-09-21T22:20:55-0600'))&amp;_a=(columns:!('Message%20ID',Summary),filters:!(),index:'emp_*',interval:auto,query:(query_string:(analyze_wildcard:!t,query:'Message%5C+ID:(*)+AND+%22rtdc.l.rtdc.4006%22')),sort:!(Time.ISO8601,asc))</v>
      </c>
    </row>
    <row r="213" spans="1:91" s="20" customFormat="1" x14ac:dyDescent="0.25">
      <c r="A213" s="32" t="s">
        <v>629</v>
      </c>
      <c r="B213" s="7">
        <v>4015</v>
      </c>
      <c r="C213" s="21" t="s">
        <v>196</v>
      </c>
      <c r="D213" s="21" t="s">
        <v>884</v>
      </c>
      <c r="E213" s="13">
        <v>42999.169652777775</v>
      </c>
      <c r="F213" s="13">
        <v>42999.174166666664</v>
      </c>
      <c r="G213" s="7">
        <v>94</v>
      </c>
      <c r="H213" s="21" t="s">
        <v>381</v>
      </c>
      <c r="I213" s="13">
        <v>42999.179849537039</v>
      </c>
      <c r="J213" s="7">
        <v>0</v>
      </c>
      <c r="K213" s="89" t="str">
        <f t="shared" si="146"/>
        <v>4015/4016</v>
      </c>
      <c r="L213" s="185" t="str">
        <f>VLOOKUP(A213,'Trips&amp;Operators'!$C$1:$G$99911,5,FALSE)</f>
        <v>GEBRETEKLE DAGNEW</v>
      </c>
      <c r="M213" s="6">
        <f t="shared" si="147"/>
        <v>5.6828703745850362E-3</v>
      </c>
      <c r="N213" s="7">
        <f t="shared" si="148"/>
        <v>8.1833333394024521</v>
      </c>
      <c r="O213" s="7"/>
      <c r="P213" s="7"/>
      <c r="Q213" s="22"/>
      <c r="R213" s="174"/>
      <c r="S213" s="221">
        <f t="shared" si="149"/>
        <v>1</v>
      </c>
      <c r="T213" s="174" t="str">
        <f t="shared" si="150"/>
        <v>Southbound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 t="shared" si="151"/>
        <v>https://d0f6bd738d7f1b3e5a7ca70fe4ff75f0.us-east-1.aws.found.io/app/kibana#/discover/Steve-Slow-Train-Analysis-(2080s-and-2083s)?_g=(refreshInterval:(display:Off,pause:!f,section:0,value:0),time:(from:'2017-09-21T03:04:18-0600',mode:absolute,to:'2017-09-21T05:18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3" s="204" t="str">
        <f>IF(AA213&lt;VLOOKUP(AG213,Variables!$AC$3:$AD$8,2,FALSE),"Y","N")</f>
        <v>Y</v>
      </c>
      <c r="X213" s="204">
        <f t="shared" si="152"/>
        <v>1</v>
      </c>
      <c r="Y213" s="204">
        <f t="shared" si="153"/>
        <v>2.3628999999999998</v>
      </c>
      <c r="Z213" s="204">
        <f t="shared" si="154"/>
        <v>1.5800000000000002E-2</v>
      </c>
      <c r="AA213" s="204">
        <f t="shared" si="155"/>
        <v>2.3470999999999997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 t="shared" si="156"/>
        <v>306</v>
      </c>
      <c r="AE213" s="77" t="str">
        <f t="shared" si="157"/>
        <v>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 &amp; aws s3 cp s3://rtdc.mdm.uploadarchive.raw/RTDC4015/ "%USERPROFILE%\AppData\Local\Temp\OnboardLogs"\RTDC4015\2017-09-22 --exclude "*" --recursive --include "*20170922*" &amp; "%USERPROFILE%\Documents\GitHub\mrs-test-scripts\Headless Mode &amp; Sideloading\WalkAndUnGZ.bat" "%USERPROFILE%\AppData\Local\Temp\OnboardLogs"\RTDC4015\2017-09-22</v>
      </c>
      <c r="AF213" s="74" t="str">
        <f t="shared" si="158"/>
        <v>"C:\Program Files (x86)\AstroGrep\AstroGrep.exe" /e /r /s /spath="%USERPROFILE%\AppData\Local\Temp\OnboardLogs" /stypes="app*4015*20170921*" /stext=" 10:.+((SYSTEM_STATE.+slice.+state.+changed )|(ment ac)|(multiple cpu faults)|(system.+state.+changed )|(\[timeout)|(PRM\|1\|D)|(kpr)|(kdp)|(train st.+moving)|(\|lc)|(penalty))"</v>
      </c>
      <c r="AG213" s="182" t="str">
        <f t="shared" si="159"/>
        <v>Other</v>
      </c>
      <c r="AH213" s="78" t="str">
        <f t="shared" ref="AH213:AH246" si="160">refinertdcruntimes&amp;" --tripid "&amp;A213&amp;" --locoid "&amp;B213&amp;" --swversion "&amp;C213&amp;" --startMP "&amp;D213&amp;" --initTime "&amp;TEXT(E213,"yyyy-mm-ddTHH:MM:SS")&amp;" --startdatetime "&amp;TEXT(F213,"yyyy-mm-ddTHH:MM:SS")&amp;" --delay "&amp;G213&amp;" --endMP "&amp;H213&amp;" --enddatetime "&amp;TEXT(I213,"yyyy-mm-ddTHH:MM:SS")&amp;" --enforcementcount "&amp;J213&amp;IF(outputrefinedruntimes," &gt;&gt;"&amp;RefinedRTDCRunTimesOutputFile,"")</f>
        <v>"%USERPROFILE%\Documents\GitHub\eaglep3\Utilities\RefineRTDCRunTimes.py" --tripid 306-21 --locoid 4015 --swversion DE.1.0.9.0 --startMP 300:23629 --initTime 2017-09-21T04:04:18 --startdatetime 2017-09-21T04:10:48 --delay 94 --endMP 204:158 --enddatetime 2017-09-21T04:18:59 --enforcementcount 0 &gt;&gt;c:\users\stu\Documents\GitHub\eaglep3-reporting\EC\2017-09-21-refined-times.txt</v>
      </c>
      <c r="AI213" s="96" t="str">
        <f t="shared" ref="AI213:AI246" si="161">"echo {""issue"":{""subject"":"""&amp;R213&amp;""",""project_id"":79,""tracker_id"":40,""status_id"":"&amp;redmine_status&amp;",""priority_id"":"&amp;redmine_priority&amp;",""assigned_to_id"":"&amp;redmine_assignee&amp;",""start_date"":"""&amp;TEXT(I213,"YYYY-mm-dd")&amp;""",""description"":"""&amp;AJ213&amp;""",""custom_fields"":[{""id"":1,""name"":""Subdivision"",""value"":"""&amp;AG213&amp;"""},{""id"":4,""name"":""Milepost"",""value"":"""&amp;Z213&amp;"""},{""id"":17,""name"":""Train ID"",""value"":"""&amp;A213&amp;"""},{""id"":16,""name"":""Locomotive ID"",""value"":"""&amp;B213&amp;"""},{""id"":130,""name"":""Impact"",""value"":"""&amp;AK213&amp;"""},{""id"":150,""name"":""Time of Event (Mountain Time)"",""value"":"""&amp;TEXT(I213,"hh:mm:ss")&amp;"""},{""id"":151,""name"":""Denver Issue ID"",""value"":"""&amp;"""},{""id"":178,""name"":""Operational Impact"",""value"":"""&amp;redmine_op_impact&amp;"""},{""id"":179,""name"":""Denver Segment Assigned"",""value"":"""&amp;AL213&amp;"""}]}}"&amp;"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{"issue":{"subject":"","project_id":79,"tracker_id":40,"status_id":1,"priority_id":2,"assigned_to_id":338,"start_date":"2017-09-21","description":"","custom_fields":[{"id":1,"name":"Subdivision","value":"Other"},{"id":4,"name":"Milepost","value":"0.0158"},{"id":17,"name":"Train ID","value":"306-21"},{"id":16,"name":"Locomotive ID","value":"4015"},{"id":130,"name":"Impact","value":""},{"id":150,"name":"Time of Event (Mountain Time)","value":"04:18:59"},{"id":151,"name":"Denver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3" s="47"/>
      <c r="AL213" s="47"/>
      <c r="AM213" s="142" t="str">
        <f t="shared" ref="AM213:AM246" si="162">"start /low /b "&amp;dls3logs&amp;" --loco "&amp;B213&amp;" --day "&amp;TEXT(F213,"YYYY-MM-DD")</f>
        <v>start /low /b %USERPROFILE%\Documents\GitHub\eaglep3\Utilities\DownloadLogsFromS3.py --loco 4015 --day 2017-09-21</v>
      </c>
      <c r="AN213" s="151" t="str">
        <f t="shared" ref="AN213:AN246" si="163">"echo {""issue"":{""subject"":"""&amp;R213&amp;""",""project_id"":30,""tracker_id"":4,""status_id"":"&amp;redmine_status_wcr&amp;",""priority_id"":"&amp;redmine_priority_wcr&amp;",""assigned_to_id"":"&amp;redmine_assignee_wcr&amp;",""start_date"":"""&amp;TEXT(I213-utc_offset/24,"YYYY-mm-dd")&amp;""",""description"":"""&amp;AJ213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10:18:59"},{"id":29,"name":"Sharepoint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ref="AO213:AO246" si="164"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Message%20ID',Summary),filters:!(),index:'emp_*',interval:auto,query:"&amp;"(query_string:(analyze_wildcard:!t,query:'Message%5C+ID:(*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-09-21T03:04:18-0600',mode:absolute,to:'2017-09-21T05:18:59-0600'))&amp;_a=(columns:!('Message%20ID',Summary),filters:!(),index:'emp_*',interval:auto,query:(query_string:(analyze_wildcard:!t,query:'Message%5C+ID:(*)+AND+%22rtdc.l.rtdc.4015%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x14ac:dyDescent="0.25">
      <c r="A214" s="32" t="s">
        <v>830</v>
      </c>
      <c r="B214" s="7">
        <v>4030</v>
      </c>
      <c r="C214" s="21" t="s">
        <v>196</v>
      </c>
      <c r="D214" s="21" t="s">
        <v>389</v>
      </c>
      <c r="E214" s="13">
        <v>43000.047002314815</v>
      </c>
      <c r="F214" s="13">
        <v>43000.049062500002</v>
      </c>
      <c r="G214" s="7">
        <v>83</v>
      </c>
      <c r="H214" s="21" t="s">
        <v>559</v>
      </c>
      <c r="I214" s="13">
        <v>43000.058055555557</v>
      </c>
      <c r="J214" s="7">
        <v>0</v>
      </c>
      <c r="K214" s="89" t="str">
        <f t="shared" si="146"/>
        <v>4029/4030</v>
      </c>
      <c r="L214" s="185" t="str">
        <f>VLOOKUP(A214,'Trips&amp;Operators'!$C$1:$G$99911,5,FALSE)</f>
        <v>LOZA FIDEL</v>
      </c>
      <c r="M214" s="6">
        <f t="shared" si="147"/>
        <v>8.9930555550381541E-3</v>
      </c>
      <c r="N214" s="7">
        <f t="shared" si="148"/>
        <v>12.949999999254942</v>
      </c>
      <c r="O214" s="7"/>
      <c r="P214" s="7"/>
      <c r="Q214" s="22"/>
      <c r="R214" s="174"/>
      <c r="S214" s="221">
        <f t="shared" si="149"/>
        <v>1</v>
      </c>
      <c r="T214" s="174" t="str">
        <f t="shared" si="150"/>
        <v>NorthBound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 t="shared" si="151"/>
        <v>https://d0f6bd738d7f1b3e5a7ca70fe4ff75f0.us-east-1.aws.found.io/app/kibana#/discover/Steve-Slow-Train-Analysis-(2080s-and-2083s)?_g=(refreshInterval:(display:Off,pause:!f,section:0,value:0),time:(from:'2017-09-22T00:07:41-0600',mode:absolute,to:'2017-09-22T02:23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4" s="204" t="str">
        <f>IF(AA214&lt;VLOOKUP(AG214,Variables!$AC$3:$AD$8,2,FALSE),"Y","N")</f>
        <v>Y</v>
      </c>
      <c r="X214" s="204">
        <f t="shared" si="152"/>
        <v>1</v>
      </c>
      <c r="Y214" s="204">
        <f t="shared" si="153"/>
        <v>4.3999999999999997E-2</v>
      </c>
      <c r="Z214" s="204">
        <f t="shared" si="154"/>
        <v>2.3300999999999998</v>
      </c>
      <c r="AA214" s="204">
        <f t="shared" si="155"/>
        <v>2.2860999999999998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 t="shared" si="156"/>
        <v>307</v>
      </c>
      <c r="AE214" s="77" t="str">
        <f t="shared" si="157"/>
        <v>aws s3 cp s3://rtdc.mdm.uploadarchive.raw/RTDC4030/ "%USERPROFILE%\AppData\Local\Temp\OnboardLogs"\RTDC4030\2017-09-22 --exclude "*" --recursive --include "*20170922*" &amp; "%USERPROFILE%\Documents\GitHub\mrs-test-scripts\Headless Mode &amp; Sideloading\WalkAndUnGZ.bat" "%USERPROFILE%\AppData\Local\Temp\OnboardLogs"\RTDC4030\2017-09-22 &amp; aws s3 cp s3://rtdc.mdm.uploadarchive.raw/RTDC4030/ "%USERPROFILE%\AppData\Local\Temp\OnboardLogs"\RTDC4030\2017-09-23 --exclude "*" --recursive --include "*20170923*" &amp; "%USERPROFILE%\Documents\GitHub\mrs-test-scripts\Headless Mode &amp; Sideloading\WalkAndUnGZ.bat" "%USERPROFILE%\AppData\Local\Temp\OnboardLogs"\RTDC4030\2017-09-23</v>
      </c>
      <c r="AF214" s="74" t="str">
        <f t="shared" si="158"/>
        <v>"C:\Program Files (x86)\AstroGrep\AstroGrep.exe" /e /r /s /spath="%USERPROFILE%\AppData\Local\Temp\OnboardLogs" /stypes="app*4030*20170922*" /stext=" 07:.+((SYSTEM_STATE.+slice.+state.+changed )|(ment ac)|(multiple cpu faults)|(system.+state.+changed )|(\[timeout)|(PRM\|1\|D)|(kpr)|(kdp)|(train st.+moving)|(\|lc)|(penalty))"</v>
      </c>
      <c r="AG214" s="182" t="str">
        <f t="shared" si="159"/>
        <v>Other</v>
      </c>
      <c r="AH214" s="78" t="str">
        <f t="shared" si="160"/>
        <v>"%USERPROFILE%\Documents\GitHub\eaglep3\Utilities\RefineRTDCRunTimes.py" --tripid 307-21 --locoid 4030 --swversion DE.1.0.9.0 --startMP 204:440 --initTime 2017-09-22T01:07:41 --startdatetime 2017-09-22T01:10:39 --delay 83 --endMP 300:23301 --enddatetime 2017-09-22T01:23:36 --enforcementcount 0 &gt;&gt;c:\users\stu\Documents\GitHub\eaglep3-reporting\EC\2017-09-21-refined-times.txt</v>
      </c>
      <c r="AI214" s="96" t="str">
        <f t="shared" si="161"/>
        <v>echo {"issue":{"subject":"","project_id":79,"tracker_id":40,"status_id":1,"priority_id":2,"assigned_to_id":338,"start_date":"2017-09-22","description":"","custom_fields":[{"id":1,"name":"Subdivision","value":"Other"},{"id":4,"name":"Milepost","value":"2.3301"},{"id":17,"name":"Train ID","value":"307-21"},{"id":16,"name":"Locomotive ID","value":"4030"},{"id":130,"name":"Impact","value":""},{"id":150,"name":"Time of Event (Mountain Time)","value":"01:23:36"},{"id":151,"name":"Denver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162"/>
        <v>start /low /b %USERPROFILE%\Documents\GitHub\eaglep3\Utilities\DownloadLogsFromS3.py --loco 4030 --day 2017-09-22</v>
      </c>
      <c r="AN214" s="151" t="str">
        <f t="shared" si="16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07:23:36"},{"id":29,"name":"Sharepoint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164"/>
        <v>https://d0f6bd738d7f1b3e5a7ca70fe4ff75f0.us-east-1.aws.found.io/app/kibana#/discover/Steve-Slow-Train-Analysis-(2080s-and-2083s)?_g=(refreshInterval:(display:Off,pause:!f,section:0,value:0),time:(from:'2017-09-22T00:07:41-0600',mode:absolute,to:'2017-09-22T02:23:36-0600'))&amp;_a=(columns:!('Message%20ID',Summary),filters:!(),index:'emp_*',interval:auto,query:(query_string:(analyze_wildcard:!t,query:'Message%5C+ID:(*)+AND+%22rtdc.l.rtdc.4030%22')),sort:!(Time.ISO8601,asc))</v>
      </c>
    </row>
    <row r="215" spans="1:91" s="20" customFormat="1" x14ac:dyDescent="0.25">
      <c r="A215" s="32" t="s">
        <v>630</v>
      </c>
      <c r="B215" s="7">
        <v>4017</v>
      </c>
      <c r="C215" s="21" t="s">
        <v>196</v>
      </c>
      <c r="D215" s="21" t="s">
        <v>885</v>
      </c>
      <c r="E215" s="13">
        <v>42999.174363425926</v>
      </c>
      <c r="F215" s="13">
        <v>42999.180011574077</v>
      </c>
      <c r="G215" s="7">
        <v>126</v>
      </c>
      <c r="H215" s="21" t="s">
        <v>339</v>
      </c>
      <c r="I215" s="13">
        <v>42999.190555555557</v>
      </c>
      <c r="J215" s="7">
        <v>0</v>
      </c>
      <c r="K215" s="89" t="str">
        <f t="shared" si="146"/>
        <v>4017/4018</v>
      </c>
      <c r="L215" s="185" t="str">
        <f>VLOOKUP(A215,'Trips&amp;Operators'!$C$1:$G$99911,5,FALSE)</f>
        <v>WILLIAMS DONTE</v>
      </c>
      <c r="M215" s="6">
        <f t="shared" si="147"/>
        <v>1.0543981479713693E-2</v>
      </c>
      <c r="N215" s="7">
        <f t="shared" si="148"/>
        <v>15.183333330787718</v>
      </c>
      <c r="O215" s="7"/>
      <c r="P215" s="7"/>
      <c r="Q215" s="22"/>
      <c r="R215" s="174"/>
      <c r="S215" s="221">
        <f t="shared" si="149"/>
        <v>1</v>
      </c>
      <c r="T215" s="174" t="str">
        <f t="shared" si="150"/>
        <v>Southbound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 t="shared" si="151"/>
        <v>https://d0f6bd738d7f1b3e5a7ca70fe4ff75f0.us-east-1.aws.found.io/app/kibana#/discover/Steve-Slow-Train-Analysis-(2080s-and-2083s)?_g=(refreshInterval:(display:Off,pause:!f,section:0,value:0),time:(from:'2017-09-21T03:11:05-0600',mode:absolute,to:'2017-09-21T05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5" s="204" t="str">
        <f>IF(AA215&lt;VLOOKUP(AG215,Variables!$AC$3:$AD$8,2,FALSE),"Y","N")</f>
        <v>Y</v>
      </c>
      <c r="X215" s="204">
        <f t="shared" si="152"/>
        <v>1</v>
      </c>
      <c r="Y215" s="204">
        <f t="shared" si="153"/>
        <v>2.3635000000000002</v>
      </c>
      <c r="Z215" s="204">
        <f t="shared" si="154"/>
        <v>1.43E-2</v>
      </c>
      <c r="AA215" s="204">
        <f t="shared" si="155"/>
        <v>2.3492000000000002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 t="shared" si="156"/>
        <v>308</v>
      </c>
      <c r="AE215" s="77" t="str">
        <f t="shared" si="157"/>
        <v>aws s3 cp s3://rtdc.mdm.uploadarchive.raw/RTDC4017/ "%USERPROFILE%\AppData\Local\Temp\OnboardLogs"\RTDC4017\2017-09-21 --exclude "*" --recursive --include "*20170921*" &amp; "%USERPROFILE%\Documents\GitHub\mrs-test-scripts\Headless Mode &amp; Sideloading\WalkAndUnGZ.bat" "%USERPROFILE%\AppData\Local\Temp\OnboardLogs"\RTDC4017\2017-09-21 &amp; aws s3 cp s3://rtdc.mdm.uploadarchive.raw/RTDC4017/ "%USERPROFILE%\AppData\Local\Temp\OnboardLogs"\RTDC4017\2017-09-22 --exclude "*" --recursive --include "*20170922*" &amp; "%USERPROFILE%\Documents\GitHub\mrs-test-scripts\Headless Mode &amp; Sideloading\WalkAndUnGZ.bat" "%USERPROFILE%\AppData\Local\Temp\OnboardLogs"\RTDC4017\2017-09-22</v>
      </c>
      <c r="AF215" s="74" t="str">
        <f t="shared" si="158"/>
        <v>"C:\Program Files (x86)\AstroGrep\AstroGrep.exe" /e /r /s /spath="%USERPROFILE%\AppData\Local\Temp\OnboardLogs" /stypes="app*4017*20170921*" /stext=" 10:.+((SYSTEM_STATE.+slice.+state.+changed )|(ment ac)|(multiple cpu faults)|(system.+state.+changed )|(\[timeout)|(PRM\|1\|D)|(kpr)|(kdp)|(train st.+moving)|(\|lc)|(penalty))"</v>
      </c>
      <c r="AG215" s="182" t="str">
        <f t="shared" si="159"/>
        <v>Other</v>
      </c>
      <c r="AH215" s="78" t="str">
        <f t="shared" si="160"/>
        <v>"%USERPROFILE%\Documents\GitHub\eaglep3\Utilities\RefineRTDCRunTimes.py" --tripid 308-21 --locoid 4017 --swversion DE.1.0.9.0 --startMP 300:23635 --initTime 2017-09-21T04:11:05 --startdatetime 2017-09-21T04:19:13 --delay 126 --endMP 204:143 --enddatetime 2017-09-21T04:34:24 --enforcementcount 0 &gt;&gt;c:\users\stu\Documents\GitHub\eaglep3-reporting\EC\2017-09-21-refined-times.txt</v>
      </c>
      <c r="AI215" s="96" t="str">
        <f t="shared" si="161"/>
        <v>echo {"issue":{"subject":"","project_id":79,"tracker_id":40,"status_id":1,"priority_id":2,"assigned_to_id":338,"start_date":"2017-09-21","description":"","custom_fields":[{"id":1,"name":"Subdivision","value":"Other"},{"id":4,"name":"Milepost","value":"0.0143"},{"id":17,"name":"Train ID","value":"308-21"},{"id":16,"name":"Locomotive ID","value":"4017"},{"id":130,"name":"Impact","value":""},{"id":150,"name":"Time of Event (Mountain Time)","value":"04:34:24"},{"id":151,"name":"Denver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5" s="47"/>
      <c r="AL215" s="47"/>
      <c r="AM215" s="142" t="str">
        <f t="shared" si="162"/>
        <v>start /low /b %USERPROFILE%\Documents\GitHub\eaglep3\Utilities\DownloadLogsFromS3.py --loco 4017 --day 2017-09-21</v>
      </c>
      <c r="AN215" s="151" t="str">
        <f t="shared" si="163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10:34:24"},{"id":29,"name":"Sharepoint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164"/>
        <v>https://d0f6bd738d7f1b3e5a7ca70fe4ff75f0.us-east-1.aws.found.io/app/kibana#/discover/Steve-Slow-Train-Analysis-(2080s-and-2083s)?_g=(refreshInterval:(display:Off,pause:!f,section:0,value:0),time:(from:'2017-09-21T03:11:05-0600',mode:absolute,to:'2017-09-21T05:34:24-0600'))&amp;_a=(columns:!('Message%20ID',Summary),filters:!(),index:'emp_*',interval:auto,query:(query_string:(analyze_wildcard:!t,query:'Message%5C+ID:(*)+AND+%22rtdc.l.rtdc.4017%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x14ac:dyDescent="0.25">
      <c r="A216" s="32" t="s">
        <v>831</v>
      </c>
      <c r="B216" s="7">
        <v>4014</v>
      </c>
      <c r="C216" s="21" t="s">
        <v>196</v>
      </c>
      <c r="D216" s="21" t="s">
        <v>403</v>
      </c>
      <c r="E216" s="13">
        <v>43000.066666666666</v>
      </c>
      <c r="F216" s="13">
        <v>43000.06821759259</v>
      </c>
      <c r="G216" s="7">
        <v>61</v>
      </c>
      <c r="H216" s="21" t="s">
        <v>559</v>
      </c>
      <c r="I216" s="13">
        <v>43000.077523148146</v>
      </c>
      <c r="J216" s="7">
        <v>0</v>
      </c>
      <c r="K216" s="89" t="str">
        <f t="shared" si="146"/>
        <v>4013/4014</v>
      </c>
      <c r="L216" s="185" t="str">
        <f>VLOOKUP(A216,'Trips&amp;Operators'!$C$1:$G$99911,5,FALSE)</f>
        <v>ELBAUM MIKE</v>
      </c>
      <c r="M216" s="6">
        <f t="shared" si="147"/>
        <v>9.3055555553291924E-3</v>
      </c>
      <c r="N216" s="7">
        <f t="shared" si="148"/>
        <v>13.399999999674037</v>
      </c>
      <c r="O216" s="7"/>
      <c r="P216" s="7"/>
      <c r="Q216" s="22"/>
      <c r="R216" s="174"/>
      <c r="S216" s="221">
        <f t="shared" si="149"/>
        <v>1</v>
      </c>
      <c r="T216" s="174" t="str">
        <f t="shared" si="150"/>
        <v>NorthBound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 t="shared" si="151"/>
        <v>https://d0f6bd738d7f1b3e5a7ca70fe4ff75f0.us-east-1.aws.found.io/app/kibana#/discover/Steve-Slow-Train-Analysis-(2080s-and-2083s)?_g=(refreshInterval:(display:Off,pause:!f,section:0,value:0),time:(from:'2017-09-22T00:36:00-0600',mode:absolute,to:'2017-09-22T02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6" s="204" t="str">
        <f>IF(AA216&lt;VLOOKUP(AG216,Variables!$AC$3:$AD$8,2,FALSE),"Y","N")</f>
        <v>Y</v>
      </c>
      <c r="X216" s="204">
        <f t="shared" si="152"/>
        <v>1</v>
      </c>
      <c r="Y216" s="204">
        <f t="shared" si="153"/>
        <v>4.7100000000000003E-2</v>
      </c>
      <c r="Z216" s="204">
        <f t="shared" si="154"/>
        <v>2.3300999999999998</v>
      </c>
      <c r="AA216" s="204">
        <f t="shared" si="155"/>
        <v>2.2829999999999999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 t="shared" si="156"/>
        <v>309</v>
      </c>
      <c r="AE216" s="77" t="str">
        <f t="shared" si="157"/>
        <v>aws s3 cp s3://rtdc.mdm.uploadarchive.raw/RTDC4014/ "%USERPROFILE%\AppData\Local\Temp\OnboardLogs"\RTDC4014\2017-09-22 --exclude "*" --recursive --include "*20170922*" &amp; "%USERPROFILE%\Documents\GitHub\mrs-test-scripts\Headless Mode &amp; Sideloading\WalkAndUnGZ.bat" "%USERPROFILE%\AppData\Local\Temp\OnboardLogs"\RTDC4014\2017-09-22 &amp; 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</v>
      </c>
      <c r="AF216" s="74" t="str">
        <f t="shared" si="158"/>
        <v>"C:\Program Files (x86)\AstroGrep\AstroGrep.exe" /e /r /s /spath="%USERPROFILE%\AppData\Local\Temp\OnboardLogs" /stypes="app*4014*20170922*" /stext=" 07:.+((SYSTEM_STATE.+slice.+state.+changed )|(ment ac)|(multiple cpu faults)|(system.+state.+changed )|(\[timeout)|(PRM\|1\|D)|(kpr)|(kdp)|(train st.+moving)|(\|lc)|(penalty))"</v>
      </c>
      <c r="AG216" s="182" t="str">
        <f t="shared" si="159"/>
        <v>Other</v>
      </c>
      <c r="AH216" s="78" t="str">
        <f t="shared" si="160"/>
        <v>"%USERPROFILE%\Documents\GitHub\eaglep3\Utilities\RefineRTDCRunTimes.py" --tripid 309-21 --locoid 4014 --swversion DE.1.0.9.0 --startMP 204:471 --initTime 2017-09-22T01:36:00 --startdatetime 2017-09-22T01:38:14 --delay 61 --endMP 300:23301 --enddatetime 2017-09-22T01:51:38 --enforcementcount 0 &gt;&gt;c:\users\stu\Documents\GitHub\eaglep3-reporting\EC\2017-09-21-refined-times.txt</v>
      </c>
      <c r="AI216" s="96" t="str">
        <f t="shared" si="161"/>
        <v>echo {"issue":{"subject":"","project_id":79,"tracker_id":40,"status_id":1,"priority_id":2,"assigned_to_id":338,"start_date":"2017-09-22","description":"","custom_fields":[{"id":1,"name":"Subdivision","value":"Other"},{"id":4,"name":"Milepost","value":"2.3301"},{"id":17,"name":"Train ID","value":"309-21"},{"id":16,"name":"Locomotive ID","value":"4014"},{"id":130,"name":"Impact","value":""},{"id":150,"name":"Time of Event (Mountain Time)","value":"01:51:38"},{"id":151,"name":"Denver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162"/>
        <v>start /low /b %USERPROFILE%\Documents\GitHub\eaglep3\Utilities\DownloadLogsFromS3.py --loco 4014 --day 2017-09-22</v>
      </c>
      <c r="AN216" s="151" t="str">
        <f t="shared" si="16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07:51:38"},{"id":29,"name":"Sharepoint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164"/>
        <v>https://d0f6bd738d7f1b3e5a7ca70fe4ff75f0.us-east-1.aws.found.io/app/kibana#/discover/Steve-Slow-Train-Analysis-(2080s-and-2083s)?_g=(refreshInterval:(display:Off,pause:!f,section:0,value:0),time:(from:'2017-09-22T00:36:00-0600',mode:absolute,to:'2017-09-22T02:51:38-0600'))&amp;_a=(columns:!('Message%20ID',Summary),filters:!(),index:'emp_*',interval:auto,query:(query_string:(analyze_wildcard:!t,query:'Message%5C+ID:(*)+AND+%22rtdc.l.rtdc.4014%22')),sort:!(Time.ISO8601,asc))</v>
      </c>
    </row>
    <row r="217" spans="1:91" s="20" customFormat="1" x14ac:dyDescent="0.25">
      <c r="A217" s="32" t="s">
        <v>637</v>
      </c>
      <c r="B217" s="7">
        <v>4009</v>
      </c>
      <c r="C217" s="21" t="s">
        <v>196</v>
      </c>
      <c r="D217" s="21" t="s">
        <v>886</v>
      </c>
      <c r="E217" s="13">
        <v>42999.195972222224</v>
      </c>
      <c r="F217" s="13">
        <v>42999.198252314818</v>
      </c>
      <c r="G217" s="7">
        <v>73</v>
      </c>
      <c r="H217" s="21" t="s">
        <v>339</v>
      </c>
      <c r="I217" s="13">
        <v>42999.204062500001</v>
      </c>
      <c r="J217" s="7">
        <v>0</v>
      </c>
      <c r="K217" s="89" t="str">
        <f t="shared" si="146"/>
        <v>4009/4010</v>
      </c>
      <c r="L217" s="185" t="str">
        <f>VLOOKUP(A217,'Trips&amp;Operators'!$C$1:$G$99911,5,FALSE)</f>
        <v>YANAI IAN</v>
      </c>
      <c r="M217" s="6">
        <f t="shared" si="147"/>
        <v>5.8101851827814244E-3</v>
      </c>
      <c r="N217" s="7">
        <f t="shared" si="148"/>
        <v>8.3666666632052511</v>
      </c>
      <c r="O217" s="7"/>
      <c r="P217" s="7"/>
      <c r="Q217" s="22"/>
      <c r="R217" s="174"/>
      <c r="S217" s="221">
        <f t="shared" si="149"/>
        <v>1</v>
      </c>
      <c r="T217" s="174" t="str">
        <f t="shared" si="150"/>
        <v>Southbound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 t="shared" si="151"/>
        <v>https://d0f6bd738d7f1b3e5a7ca70fe4ff75f0.us-east-1.aws.found.io/app/kibana#/discover/Steve-Slow-Train-Analysis-(2080s-and-2083s)?_g=(refreshInterval:(display:Off,pause:!f,section:0,value:0),time:(from:'2017-09-21T03:42:12-0600',mode:absolute,to:'2017-09-21T05:53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7" s="204" t="str">
        <f>IF(AA217&lt;VLOOKUP(AG217,Variables!$AC$3:$AD$8,2,FALSE),"Y","N")</f>
        <v>Y</v>
      </c>
      <c r="X217" s="204">
        <f t="shared" si="152"/>
        <v>1</v>
      </c>
      <c r="Y217" s="204">
        <f t="shared" si="153"/>
        <v>2.3734999999999999</v>
      </c>
      <c r="Z217" s="204">
        <f t="shared" si="154"/>
        <v>1.43E-2</v>
      </c>
      <c r="AA217" s="204">
        <f t="shared" si="155"/>
        <v>2.3592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 t="shared" si="156"/>
        <v>310</v>
      </c>
      <c r="AE217" s="77" t="str">
        <f t="shared" si="157"/>
        <v>aws s3 cp s3://rtdc.mdm.uploadarchive.raw/RTDC4009/ "%USERPROFILE%\AppData\Local\Temp\OnboardLogs"\RTDC4009\2017-09-21 --exclude "*" --recursive --include "*20170921*" &amp; "%USERPROFILE%\Documents\GitHub\mrs-test-scripts\Headless Mode &amp; Sideloading\WalkAndUnGZ.bat" "%USERPROFILE%\AppData\Local\Temp\OnboardLogs"\RTDC4009\2017-09-21 &amp; aws s3 cp s3://rtdc.mdm.uploadarchive.raw/RTDC4009/ "%USERPROFILE%\AppData\Local\Temp\OnboardLogs"\RTDC4009\2017-09-22 --exclude "*" --recursive --include "*20170922*" &amp; "%USERPROFILE%\Documents\GitHub\mrs-test-scripts\Headless Mode &amp; Sideloading\WalkAndUnGZ.bat" "%USERPROFILE%\AppData\Local\Temp\OnboardLogs"\RTDC4009\2017-09-22</v>
      </c>
      <c r="AF217" s="74" t="str">
        <f t="shared" si="158"/>
        <v>"C:\Program Files (x86)\AstroGrep\AstroGrep.exe" /e /r /s /spath="%USERPROFILE%\AppData\Local\Temp\OnboardLogs" /stypes="app*4009*20170921*" /stext=" 10:.+((SYSTEM_STATE.+slice.+state.+changed )|(ment ac)|(multiple cpu faults)|(system.+state.+changed )|(\[timeout)|(PRM\|1\|D)|(kpr)|(kdp)|(train st.+moving)|(\|lc)|(penalty))"</v>
      </c>
      <c r="AG217" s="182" t="str">
        <f t="shared" si="159"/>
        <v>Other</v>
      </c>
      <c r="AH217" s="78" t="str">
        <f t="shared" si="160"/>
        <v>"%USERPROFILE%\Documents\GitHub\eaglep3\Utilities\RefineRTDCRunTimes.py" --tripid 310-21 --locoid 4009 --swversion DE.1.0.9.0 --startMP 300:23735 --initTime 2017-09-21T04:42:12 --startdatetime 2017-09-21T04:45:29 --delay 73 --endMP 204:143 --enddatetime 2017-09-21T04:53:51 --enforcementcount 0 &gt;&gt;c:\users\stu\Documents\GitHub\eaglep3-reporting\EC\2017-09-21-refined-times.txt</v>
      </c>
      <c r="AI217" s="96" t="str">
        <f t="shared" si="161"/>
        <v>echo {"issue":{"subject":"","project_id":79,"tracker_id":40,"status_id":1,"priority_id":2,"assigned_to_id":338,"start_date":"2017-09-21","description":"","custom_fields":[{"id":1,"name":"Subdivision","value":"Other"},{"id":4,"name":"Milepost","value":"0.0143"},{"id":17,"name":"Train ID","value":"310-21"},{"id":16,"name":"Locomotive ID","value":"4009"},{"id":130,"name":"Impact","value":""},{"id":150,"name":"Time of Event (Mountain Time)","value":"04:53:51"},{"id":151,"name":"Denver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7" s="47"/>
      <c r="AL217" s="47"/>
      <c r="AM217" s="142" t="str">
        <f t="shared" si="162"/>
        <v>start /low /b %USERPROFILE%\Documents\GitHub\eaglep3\Utilities\DownloadLogsFromS3.py --loco 4009 --day 2017-09-21</v>
      </c>
      <c r="AN217" s="151" t="str">
        <f t="shared" si="163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10:53:51"},{"id":29,"name":"Sharepoint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164"/>
        <v>https://d0f6bd738d7f1b3e5a7ca70fe4ff75f0.us-east-1.aws.found.io/app/kibana#/discover/Steve-Slow-Train-Analysis-(2080s-and-2083s)?_g=(refreshInterval:(display:Off,pause:!f,section:0,value:0),time:(from:'2017-09-21T03:42:12-0600',mode:absolute,to:'2017-09-21T05:53:51-0600'))&amp;_a=(columns:!('Message%20ID',Summary),filters:!(),index:'emp_*',interval:auto,query:(query_string:(analyze_wildcard:!t,query:'Message%5C+ID:(*)+AND+%22rtdc.l.rtdc.4009%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32" t="s">
        <v>833</v>
      </c>
      <c r="B218" s="7">
        <v>4010</v>
      </c>
      <c r="C218" s="21" t="s">
        <v>196</v>
      </c>
      <c r="D218" s="21" t="s">
        <v>887</v>
      </c>
      <c r="E218" s="13">
        <v>43000.08934027778</v>
      </c>
      <c r="F218" s="13">
        <v>43000.091099537036</v>
      </c>
      <c r="G218" s="7">
        <v>58</v>
      </c>
      <c r="H218" s="21" t="s">
        <v>888</v>
      </c>
      <c r="I218" s="13">
        <v>43000.09883101852</v>
      </c>
      <c r="J218" s="7">
        <v>0</v>
      </c>
      <c r="K218" s="89" t="str">
        <f t="shared" si="146"/>
        <v>4009/4010</v>
      </c>
      <c r="L218" s="185" t="str">
        <f>VLOOKUP(A218,'Trips&amp;Operators'!$C$1:$G$99911,5,FALSE)</f>
        <v>PERKINS DARREN</v>
      </c>
      <c r="M218" s="6">
        <f t="shared" si="147"/>
        <v>7.7314814843703061E-3</v>
      </c>
      <c r="N218" s="7">
        <f t="shared" si="148"/>
        <v>11.133333337493241</v>
      </c>
      <c r="O218" s="7"/>
      <c r="P218" s="7"/>
      <c r="Q218" s="22"/>
      <c r="R218" s="174"/>
      <c r="S218" s="221">
        <f t="shared" si="149"/>
        <v>1</v>
      </c>
      <c r="T218" s="174" t="str">
        <f t="shared" si="150"/>
        <v>NorthBound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 t="shared" si="151"/>
        <v>https://d0f6bd738d7f1b3e5a7ca70fe4ff75f0.us-east-1.aws.found.io/app/kibana#/discover/Steve-Slow-Train-Analysis-(2080s-and-2083s)?_g=(refreshInterval:(display:Off,pause:!f,section:0,value:0),time:(from:'2017-09-22T01:08:39-0600',mode:absolute,to:'2017-09-22T03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8" s="204" t="str">
        <f>IF(AA218&lt;VLOOKUP(AG218,Variables!$AC$3:$AD$8,2,FALSE),"Y","N")</f>
        <v>Y</v>
      </c>
      <c r="X218" s="204">
        <f t="shared" si="152"/>
        <v>1</v>
      </c>
      <c r="Y218" s="204">
        <f t="shared" si="153"/>
        <v>3.9E-2</v>
      </c>
      <c r="Z218" s="204">
        <f t="shared" si="154"/>
        <v>2.3108</v>
      </c>
      <c r="AA218" s="204">
        <f t="shared" si="155"/>
        <v>2.2717999999999998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 t="shared" si="156"/>
        <v>311</v>
      </c>
      <c r="AE218" s="77" t="str">
        <f t="shared" si="157"/>
        <v>aws s3 cp s3://rtdc.mdm.uploadarchive.raw/RTDC4010/ "%USERPROFILE%\AppData\Local\Temp\OnboardLogs"\RTDC4010\2017-09-22 --exclude "*" --recursive --include "*20170922*" &amp; "%USERPROFILE%\Documents\GitHub\mrs-test-scripts\Headless Mode &amp; Sideloading\WalkAndUnGZ.bat" "%USERPROFILE%\AppData\Local\Temp\OnboardLogs"\RTDC4010\2017-09-22 &amp; aws s3 cp s3://rtdc.mdm.uploadarchive.raw/RTDC4010/ "%USERPROFILE%\AppData\Local\Temp\OnboardLogs"\RTDC4010\2017-09-23 --exclude "*" --recursive --include "*20170923*" &amp; "%USERPROFILE%\Documents\GitHub\mrs-test-scripts\Headless Mode &amp; Sideloading\WalkAndUnGZ.bat" "%USERPROFILE%\AppData\Local\Temp\OnboardLogs"\RTDC4010\2017-09-23</v>
      </c>
      <c r="AF218" s="74" t="str">
        <f t="shared" si="158"/>
        <v>"C:\Program Files (x86)\AstroGrep\AstroGrep.exe" /e /r /s /spath="%USERPROFILE%\AppData\Local\Temp\OnboardLogs" /stypes="app*4010*20170922*" /stext=" 08:.+((SYSTEM_STATE.+slice.+state.+changed )|(ment ac)|(multiple cpu faults)|(system.+state.+changed )|(\[timeout)|(PRM\|1\|D)|(kpr)|(kdp)|(train st.+moving)|(\|lc)|(penalty))"</v>
      </c>
      <c r="AG218" s="182" t="str">
        <f t="shared" si="159"/>
        <v>Other</v>
      </c>
      <c r="AH218" s="78" t="str">
        <f t="shared" si="160"/>
        <v>"%USERPROFILE%\Documents\GitHub\eaglep3\Utilities\RefineRTDCRunTimes.py" --tripid 311-21 --locoid 4010 --swversion DE.1.0.9.0 --startMP 204:390 --initTime 2017-09-22T02:08:39 --startdatetime 2017-09-22T02:11:11 --delay 58 --endMP 300:23108 --enddatetime 2017-09-22T02:22:19 --enforcementcount 0 &gt;&gt;c:\users\stu\Documents\GitHub\eaglep3-reporting\EC\2017-09-21-refined-times.txt</v>
      </c>
      <c r="AI218" s="96" t="str">
        <f t="shared" si="161"/>
        <v>echo {"issue":{"subject":"","project_id":79,"tracker_id":40,"status_id":1,"priority_id":2,"assigned_to_id":338,"start_date":"2017-09-22","description":"","custom_fields":[{"id":1,"name":"Subdivision","value":"Other"},{"id":4,"name":"Milepost","value":"2.3108"},{"id":17,"name":"Train ID","value":"311-21"},{"id":16,"name":"Locomotive ID","value":"4010"},{"id":130,"name":"Impact","value":""},{"id":150,"name":"Time of Event (Mountain Time)","value":"02:22:19"},{"id":151,"name":"Denver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8" s="47"/>
      <c r="AL218" s="47"/>
      <c r="AM218" s="142" t="str">
        <f t="shared" si="162"/>
        <v>start /low /b %USERPROFILE%\Documents\GitHub\eaglep3\Utilities\DownloadLogsFromS3.py --loco 4010 --day 2017-09-22</v>
      </c>
      <c r="AN218" s="151" t="str">
        <f t="shared" si="16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08:22:19"},{"id":29,"name":"Sharepoint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164"/>
        <v>https://d0f6bd738d7f1b3e5a7ca70fe4ff75f0.us-east-1.aws.found.io/app/kibana#/discover/Steve-Slow-Train-Analysis-(2080s-and-2083s)?_g=(refreshInterval:(display:Off,pause:!f,section:0,value:0),time:(from:'2017-09-22T01:08:39-0600',mode:absolute,to:'2017-09-22T03:22:19-0600'))&amp;_a=(columns:!('Message%20ID',Summary),filters:!(),index:'emp_*',interval:auto,query:(query_string:(analyze_wildcard:!t,query:'Message%5C+ID:(*)+AND+%22rtdc.l.rtdc.4010%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x14ac:dyDescent="0.25">
      <c r="A219" s="32" t="s">
        <v>642</v>
      </c>
      <c r="B219" s="7">
        <v>4051</v>
      </c>
      <c r="C219" s="21" t="s">
        <v>196</v>
      </c>
      <c r="D219" s="21" t="s">
        <v>889</v>
      </c>
      <c r="E219" s="13">
        <v>42999.2190625</v>
      </c>
      <c r="F219" s="13">
        <v>42999.223333333335</v>
      </c>
      <c r="G219" s="7">
        <v>71</v>
      </c>
      <c r="H219" s="21" t="s">
        <v>342</v>
      </c>
      <c r="I219" s="13">
        <v>42999.228877314818</v>
      </c>
      <c r="J219" s="7">
        <v>0</v>
      </c>
      <c r="K219" s="89" t="str">
        <f t="shared" si="146"/>
        <v>4051/4052</v>
      </c>
      <c r="L219" s="185" t="str">
        <f>VLOOKUP(A219,'Trips&amp;Operators'!$C$1:$G$99911,5,FALSE)</f>
        <v>YANG JAN</v>
      </c>
      <c r="M219" s="6">
        <f t="shared" si="147"/>
        <v>5.543981482333038E-3</v>
      </c>
      <c r="N219" s="7">
        <f t="shared" si="148"/>
        <v>7.9833333345595747</v>
      </c>
      <c r="O219" s="7"/>
      <c r="P219" s="7"/>
      <c r="Q219" s="22"/>
      <c r="R219" s="174"/>
      <c r="S219" s="221">
        <f t="shared" si="149"/>
        <v>1</v>
      </c>
      <c r="T219" s="174" t="str">
        <f t="shared" si="150"/>
        <v>Southbound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 t="shared" si="151"/>
        <v>https://d0f6bd738d7f1b3e5a7ca70fe4ff75f0.us-east-1.aws.found.io/app/kibana#/discover/Steve-Slow-Train-Analysis-(2080s-and-2083s)?_g=(refreshInterval:(display:Off,pause:!f,section:0,value:0),time:(from:'2017-09-21T04:15:27-0600',mode:absolute,to:'2017-09-21T06:29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9" s="204" t="str">
        <f>IF(AA219&lt;VLOOKUP(AG219,Variables!$AC$3:$AD$8,2,FALSE),"Y","N")</f>
        <v>Y</v>
      </c>
      <c r="X219" s="204">
        <f t="shared" si="152"/>
        <v>1</v>
      </c>
      <c r="Y219" s="204">
        <f t="shared" si="153"/>
        <v>2.3721999999999999</v>
      </c>
      <c r="Z219" s="204">
        <f t="shared" si="154"/>
        <v>1.47E-2</v>
      </c>
      <c r="AA219" s="204">
        <f t="shared" si="155"/>
        <v>2.3574999999999999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 t="shared" si="156"/>
        <v>312</v>
      </c>
      <c r="AE219" s="77" t="str">
        <f t="shared" si="157"/>
        <v>aws s3 cp s3://rtdc.mdm.uploadarchive.raw/RTDC4051/ "%USERPROFILE%\AppData\Local\Temp\OnboardLogs"\RTDC4051\2017-09-21 --exclude "*" --recursive --include "*20170921*" &amp; "%USERPROFILE%\Documents\GitHub\mrs-test-scripts\Headless Mode &amp; Sideloading\WalkAndUnGZ.bat" "%USERPROFILE%\AppData\Local\Temp\OnboardLogs"\RTDC4051\2017-09-21 &amp; aws s3 cp s3://rtdc.mdm.uploadarchive.raw/RTDC4051/ "%USERPROFILE%\AppData\Local\Temp\OnboardLogs"\RTDC4051\2017-09-22 --exclude "*" --recursive --include "*20170922*" &amp; "%USERPROFILE%\Documents\GitHub\mrs-test-scripts\Headless Mode &amp; Sideloading\WalkAndUnGZ.bat" "%USERPROFILE%\AppData\Local\Temp\OnboardLogs"\RTDC4051\2017-09-22</v>
      </c>
      <c r="AF219" s="74" t="str">
        <f t="shared" si="158"/>
        <v>"C:\Program Files (x86)\AstroGrep\AstroGrep.exe" /e /r /s /spath="%USERPROFILE%\AppData\Local\Temp\OnboardLogs" /stypes="app*4051*20170921*" /stext=" 11:.+((SYSTEM_STATE.+slice.+state.+changed )|(ment ac)|(multiple cpu faults)|(system.+state.+changed )|(\[timeout)|(PRM\|1\|D)|(kpr)|(kdp)|(train st.+moving)|(\|lc)|(penalty))"</v>
      </c>
      <c r="AG219" s="182" t="str">
        <f t="shared" si="159"/>
        <v>Other</v>
      </c>
      <c r="AH219" s="78" t="str">
        <f t="shared" si="160"/>
        <v>"%USERPROFILE%\Documents\GitHub\eaglep3\Utilities\RefineRTDCRunTimes.py" --tripid 312-21 --locoid 4051 --swversion DE.1.0.9.0 --startMP 300:23722 --initTime 2017-09-21T05:15:27 --startdatetime 2017-09-21T05:21:36 --delay 71 --endMP 204:147 --enddatetime 2017-09-21T05:29:35 --enforcementcount 0 &gt;&gt;c:\users\stu\Documents\GitHub\eaglep3-reporting\EC\2017-09-21-refined-times.txt</v>
      </c>
      <c r="AI219" s="96" t="str">
        <f t="shared" si="161"/>
        <v>echo {"issue":{"subject":"","project_id":79,"tracker_id":40,"status_id":1,"priority_id":2,"assigned_to_id":338,"start_date":"2017-09-21","description":"","custom_fields":[{"id":1,"name":"Subdivision","value":"Other"},{"id":4,"name":"Milepost","value":"0.0147"},{"id":17,"name":"Train ID","value":"312-21"},{"id":16,"name":"Locomotive ID","value":"4051"},{"id":130,"name":"Impact","value":""},{"id":150,"name":"Time of Event (Mountain Time)","value":"05:29:35"},{"id":151,"name":"Denver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162"/>
        <v>start /low /b %USERPROFILE%\Documents\GitHub\eaglep3\Utilities\DownloadLogsFromS3.py --loco 4051 --day 2017-09-21</v>
      </c>
      <c r="AN219" s="151" t="str">
        <f t="shared" si="163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11:29:35"},{"id":29,"name":"Sharepoint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164"/>
        <v>https://d0f6bd738d7f1b3e5a7ca70fe4ff75f0.us-east-1.aws.found.io/app/kibana#/discover/Steve-Slow-Train-Analysis-(2080s-and-2083s)?_g=(refreshInterval:(display:Off,pause:!f,section:0,value:0),time:(from:'2017-09-21T04:15:27-0600',mode:absolute,to:'2017-09-21T06:29:35-0600'))&amp;_a=(columns:!('Message%20ID',Summary),filters:!(),index:'emp_*',interval:auto,query:(query_string:(analyze_wildcard:!t,query:'Message%5C+ID:(*)+AND+%22rtdc.l.rtdc.4051%22')),sort:!(Time.ISO8601,asc))</v>
      </c>
    </row>
    <row r="220" spans="1:91" s="20" customFormat="1" x14ac:dyDescent="0.25">
      <c r="A220" s="32" t="s">
        <v>829</v>
      </c>
      <c r="B220" s="7">
        <v>4006</v>
      </c>
      <c r="C220" s="21" t="s">
        <v>196</v>
      </c>
      <c r="D220" s="21" t="s">
        <v>991</v>
      </c>
      <c r="E220" s="13">
        <v>43000.030532407407</v>
      </c>
      <c r="F220" s="13">
        <v>43000.033865740741</v>
      </c>
      <c r="G220" s="7">
        <v>170</v>
      </c>
      <c r="H220" s="21" t="s">
        <v>434</v>
      </c>
      <c r="I220" s="13">
        <v>43000.039664351854</v>
      </c>
      <c r="J220" s="7">
        <v>0</v>
      </c>
      <c r="K220" s="89" t="str">
        <f t="shared" si="146"/>
        <v>4005/4006</v>
      </c>
      <c r="L220" s="185" t="str">
        <f>VLOOKUP(A220,'Trips&amp;Operators'!$C$1:$G$99911,5,FALSE)</f>
        <v>HART KEVIN</v>
      </c>
      <c r="M220" s="6">
        <f t="shared" si="147"/>
        <v>5.7986111132777296E-3</v>
      </c>
      <c r="N220" s="7">
        <f t="shared" si="148"/>
        <v>8.3500000031199306</v>
      </c>
      <c r="O220" s="7"/>
      <c r="P220" s="7"/>
      <c r="Q220" s="22"/>
      <c r="R220" s="174"/>
      <c r="S220" s="221">
        <f t="shared" si="149"/>
        <v>1</v>
      </c>
      <c r="T220" s="174" t="str">
        <f t="shared" si="150"/>
        <v>NorthBound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6" t="str">
        <f t="shared" si="151"/>
        <v>https://d0f6bd738d7f1b3e5a7ca70fe4ff75f0.us-east-1.aws.found.io/app/kibana#/discover/Steve-Slow-Train-Analysis-(2080s-and-2083s)?_g=(refreshInterval:(display:Off,pause:!f,section:0,value:0),time:(from:'2017-09-21T23:43:58-0600',mode:absolute,to:'2017-09-22T01:57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0" s="204" t="str">
        <f>IF(AA220&lt;VLOOKUP(AG220,Variables!$AC$3:$AD$8,2,FALSE),"Y","N")</f>
        <v>Y</v>
      </c>
      <c r="X220" s="204">
        <f t="shared" si="152"/>
        <v>1</v>
      </c>
      <c r="Y220" s="204">
        <f t="shared" si="153"/>
        <v>0.11559999999999999</v>
      </c>
      <c r="Z220" s="204">
        <f t="shared" si="154"/>
        <v>2.3308</v>
      </c>
      <c r="AA220" s="204">
        <f t="shared" si="155"/>
        <v>2.2151999999999998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 t="shared" si="156"/>
        <v>313</v>
      </c>
      <c r="AE220" s="77" t="str">
        <f t="shared" si="157"/>
        <v>aws s3 cp s3://rtdc.mdm.uploadarchive.raw/RTDC4006/ "%USERPROFILE%\AppData\Local\Temp\OnboardLogs"\RTDC4006\2017-09-22 --exclude "*" --recursive --include "*20170922*" &amp; "%USERPROFILE%\Documents\GitHub\mrs-test-scripts\Headless Mode &amp; Sideloading\WalkAndUnGZ.bat" "%USERPROFILE%\AppData\Local\Temp\OnboardLogs"\RTDC4006\2017-09-22 &amp; aws s3 cp s3://rtdc.mdm.uploadarchive.raw/RTDC4006/ "%USERPROFILE%\AppData\Local\Temp\OnboardLogs"\RTDC4006\2017-09-23 --exclude "*" --recursive --include "*20170923*" &amp; "%USERPROFILE%\Documents\GitHub\mrs-test-scripts\Headless Mode &amp; Sideloading\WalkAndUnGZ.bat" "%USERPROFILE%\AppData\Local\Temp\OnboardLogs"\RTDC4006\2017-09-23</v>
      </c>
      <c r="AF220" s="74" t="str">
        <f t="shared" si="158"/>
        <v>"C:\Program Files (x86)\AstroGrep\AstroGrep.exe" /e /r /s /spath="%USERPROFILE%\AppData\Local\Temp\OnboardLogs" /stypes="app*4006*20170922*" /stext=" 06:.+((SYSTEM_STATE.+slice.+state.+changed )|(ment ac)|(multiple cpu faults)|(system.+state.+changed )|(\[timeout)|(PRM\|1\|D)|(kpr)|(kdp)|(train st.+moving)|(\|lc)|(penalty))"</v>
      </c>
      <c r="AG220" s="182" t="str">
        <f t="shared" si="159"/>
        <v>Other</v>
      </c>
      <c r="AH220" s="78" t="str">
        <f t="shared" si="160"/>
        <v>"%USERPROFILE%\Documents\GitHub\eaglep3\Utilities\RefineRTDCRunTimes.py" --tripid 313-21 --locoid 4006 --swversion DE.1.0.9.0 --startMP 204:1156 --initTime 2017-09-22T00:43:58 --startdatetime 2017-09-22T00:48:46 --delay 170 --endMP 300:23308 --enddatetime 2017-09-22T00:57:07 --enforcementcount 0 &gt;&gt;c:\users\stu\Documents\GitHub\eaglep3-reporting\EC\2017-09-21-refined-times.txt</v>
      </c>
      <c r="AI220" s="96" t="str">
        <f t="shared" si="161"/>
        <v>echo {"issue":{"subject":"","project_id":79,"tracker_id":40,"status_id":1,"priority_id":2,"assigned_to_id":338,"start_date":"2017-09-22","description":"","custom_fields":[{"id":1,"name":"Subdivision","value":"Other"},{"id":4,"name":"Milepost","value":"2.3308"},{"id":17,"name":"Train ID","value":"313-21"},{"id":16,"name":"Locomotive ID","value":"4006"},{"id":130,"name":"Impact","value":""},{"id":150,"name":"Time of Event (Mountain Time)","value":"00:57:07"},{"id":151,"name":"Denver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0" s="47"/>
      <c r="AL220" s="47"/>
      <c r="AM220" s="142" t="str">
        <f t="shared" si="162"/>
        <v>start /low /b %USERPROFILE%\Documents\GitHub\eaglep3\Utilities\DownloadLogsFromS3.py --loco 4006 --day 2017-09-22</v>
      </c>
      <c r="AN220" s="151" t="str">
        <f t="shared" si="16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06:57:07"},{"id":29,"name":"Sharepoint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164"/>
        <v>https://d0f6bd738d7f1b3e5a7ca70fe4ff75f0.us-east-1.aws.found.io/app/kibana#/discover/Steve-Slow-Train-Analysis-(2080s-and-2083s)?_g=(refreshInterval:(display:Off,pause:!f,section:0,value:0),time:(from:'2017-09-21T23:43:58-0600',mode:absolute,to:'2017-09-22T01:57:07-0600'))&amp;_a=(columns:!('Message%20ID',Summary),filters:!(),index:'emp_*',interval:auto,query:(query_string:(analyze_wildcard:!t,query:'Message%5C+ID:(*)+AND+%22rtdc.l.rtdc.4006%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x14ac:dyDescent="0.25">
      <c r="A221" s="32" t="s">
        <v>832</v>
      </c>
      <c r="B221" s="7">
        <v>4058</v>
      </c>
      <c r="C221" s="21" t="s">
        <v>196</v>
      </c>
      <c r="D221" s="21" t="s">
        <v>880</v>
      </c>
      <c r="E221" s="13">
        <v>43000.072245370371</v>
      </c>
      <c r="F221" s="13">
        <v>43000.077037037037</v>
      </c>
      <c r="G221" s="7">
        <v>301</v>
      </c>
      <c r="H221" s="21" t="s">
        <v>559</v>
      </c>
      <c r="I221" s="13">
        <v>43000.089571759258</v>
      </c>
      <c r="J221" s="7">
        <v>0</v>
      </c>
      <c r="K221" s="89" t="str">
        <f t="shared" si="146"/>
        <v>4057/4058</v>
      </c>
      <c r="L221" s="185" t="str">
        <f>VLOOKUP(A221,'Trips&amp;Operators'!$C$1:$G$99911,5,FALSE)</f>
        <v>NICHOLSON WESLEY</v>
      </c>
      <c r="M221" s="6">
        <f t="shared" si="147"/>
        <v>1.2534722220152617E-2</v>
      </c>
      <c r="N221" s="7">
        <f t="shared" si="148"/>
        <v>18.049999997019768</v>
      </c>
      <c r="O221" s="7"/>
      <c r="P221" s="7"/>
      <c r="Q221" s="22"/>
      <c r="R221" s="174"/>
      <c r="S221" s="221">
        <f t="shared" si="149"/>
        <v>0</v>
      </c>
      <c r="T221" s="174" t="str">
        <f t="shared" si="150"/>
        <v>Southbound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16" t="str">
        <f t="shared" si="151"/>
        <v>https://d0f6bd738d7f1b3e5a7ca70fe4ff75f0.us-east-1.aws.found.io/app/kibana#/discover/Steve-Slow-Train-Analysis-(2080s-and-2083s)?_g=(refreshInterval:(display:Off,pause:!f,section:0,value:0),time:(from:'2017-09-22T00:44:02-0600',mode:absolute,to:'2017-09-22T03:08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1" s="204" t="str">
        <f>IF(AA221&lt;VLOOKUP(AG221,Variables!$AC$3:$AD$8,2,FALSE),"Y","N")</f>
        <v>Y</v>
      </c>
      <c r="X221" s="204">
        <f t="shared" si="152"/>
        <v>393</v>
      </c>
      <c r="Y221" s="204">
        <f t="shared" si="153"/>
        <v>4.1799999999999997E-2</v>
      </c>
      <c r="Z221" s="204">
        <f t="shared" si="154"/>
        <v>2.3300999999999998</v>
      </c>
      <c r="AA221" s="204">
        <f t="shared" si="155"/>
        <v>2.2883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 t="shared" si="156"/>
        <v>706</v>
      </c>
      <c r="AE221" s="77" t="str">
        <f t="shared" si="157"/>
        <v>aws s3 cp s3://rtdc.mdm.uploadarchive.raw/RTDC4058/ "%USERPROFILE%\AppData\Local\Temp\OnboardLogs"\RTDC4058\2017-09-22 --exclude "*" --recursive --include "*20170922*" &amp; "%USERPROFILE%\Documents\GitHub\mrs-test-scripts\Headless Mode &amp; Sideloading\WalkAndUnGZ.bat" "%USERPROFILE%\AppData\Local\Temp\OnboardLogs"\RTDC4058\2017-09-22 &amp; aws s3 cp s3://rtdc.mdm.uploadarchive.raw/RTDC4058/ "%USERPROFILE%\AppData\Local\Temp\OnboardLogs"\RTDC4058\2017-09-23 --exclude "*" --recursive --include "*20170923*" &amp; "%USERPROFILE%\Documents\GitHub\mrs-test-scripts\Headless Mode &amp; Sideloading\WalkAndUnGZ.bat" "%USERPROFILE%\AppData\Local\Temp\OnboardLogs"\RTDC4058\2017-09-23</v>
      </c>
      <c r="AF221" s="74" t="str">
        <f t="shared" si="158"/>
        <v>"C:\Program Files (x86)\AstroGrep\AstroGrep.exe" /e /r /s /spath="%USERPROFILE%\AppData\Local\Temp\OnboardLogs" /stypes="app*4058*20170922*" /stext=" 08:.+((SYSTEM_STATE.+slice.+state.+changed )|(ment ac)|(multiple cpu faults)|(system.+state.+changed )|(\[timeout)|(PRM\|1\|D)|(kpr)|(kdp)|(train st.+moving)|(\|lc)|(penalty))"</v>
      </c>
      <c r="AG221" s="182" t="str">
        <f t="shared" si="159"/>
        <v>Other</v>
      </c>
      <c r="AH221" s="78" t="str">
        <f t="shared" si="160"/>
        <v>"%USERPROFILE%\Documents\GitHub\eaglep3\Utilities\RefineRTDCRunTimes.py" --tripid 706-21 --locoid 4058 --swversion DE.1.0.9.0 --startMP 204:418 --initTime 2017-09-22T01:44:02 --startdatetime 2017-09-22T01:50:56 --delay 301 --endMP 300:23301 --enddatetime 2017-09-22T02:08:59 --enforcementcount 0 &gt;&gt;c:\users\stu\Documents\GitHub\eaglep3-reporting\EC\2017-09-21-refined-times.txt</v>
      </c>
      <c r="AI221" s="96" t="str">
        <f t="shared" si="161"/>
        <v>echo {"issue":{"subject":"","project_id":79,"tracker_id":40,"status_id":1,"priority_id":2,"assigned_to_id":338,"start_date":"2017-09-22","description":"","custom_fields":[{"id":1,"name":"Subdivision","value":"Other"},{"id":4,"name":"Milepost","value":"2.3301"},{"id":17,"name":"Train ID","value":"706-21"},{"id":16,"name":"Locomotive ID","value":"4058"},{"id":130,"name":"Impact","value":""},{"id":150,"name":"Time of Event (Mountain Time)","value":"02:08:59"},{"id":151,"name":"Denver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162"/>
        <v>start /low /b %USERPROFILE%\Documents\GitHub\eaglep3\Utilities\DownloadLogsFromS3.py --loco 4058 --day 2017-09-22</v>
      </c>
      <c r="AN221" s="151" t="str">
        <f t="shared" si="16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08:08:59"},{"id":29,"name":"Sharepoint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164"/>
        <v>https://d0f6bd738d7f1b3e5a7ca70fe4ff75f0.us-east-1.aws.found.io/app/kibana#/discover/Steve-Slow-Train-Analysis-(2080s-and-2083s)?_g=(refreshInterval:(display:Off,pause:!f,section:0,value:0),time:(from:'2017-09-22T00:44:02-0600',mode:absolute,to:'2017-09-22T03:08:59-0600'))&amp;_a=(columns:!('Message%20ID',Summary),filters:!(),index:'emp_*',interval:auto,query:(query_string:(analyze_wildcard:!t,query:'Message%5C+ID:(*)+AND+%22rtdc.l.rtdc.4058%22')),sort:!(Time.ISO8601,asc))</v>
      </c>
    </row>
    <row r="222" spans="1:91" s="20" customFormat="1" x14ac:dyDescent="0.25">
      <c r="A222" s="32" t="s">
        <v>580</v>
      </c>
      <c r="B222" s="7">
        <v>4054</v>
      </c>
      <c r="C222" s="21" t="s">
        <v>196</v>
      </c>
      <c r="D222" s="21" t="s">
        <v>963</v>
      </c>
      <c r="E222" s="13">
        <v>42999.20076388889</v>
      </c>
      <c r="F222" s="13">
        <v>42999.206666666665</v>
      </c>
      <c r="G222" s="7">
        <v>77</v>
      </c>
      <c r="H222" s="21" t="s">
        <v>924</v>
      </c>
      <c r="I222" s="13">
        <v>42999.212291666663</v>
      </c>
      <c r="J222" s="7">
        <v>0</v>
      </c>
      <c r="K222" s="89" t="str">
        <f t="shared" si="146"/>
        <v>4053/4054</v>
      </c>
      <c r="L222" s="185" t="str">
        <f>VLOOKUP(A222,'Trips&amp;Operators'!$C$1:$G$99911,5,FALSE)</f>
        <v>DAVIS WENDY</v>
      </c>
      <c r="M222" s="6">
        <f t="shared" si="147"/>
        <v>5.6249999979627319E-3</v>
      </c>
      <c r="N222" s="7">
        <f t="shared" si="148"/>
        <v>8.0999999970663339</v>
      </c>
      <c r="O222" s="7"/>
      <c r="P222" s="7"/>
      <c r="Q222" s="22"/>
      <c r="R222" s="174"/>
      <c r="S222" s="221">
        <f t="shared" si="149"/>
        <v>0</v>
      </c>
      <c r="T222" s="174" t="str">
        <f t="shared" si="150"/>
        <v>NorthBound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16" t="str">
        <f t="shared" si="151"/>
        <v>https://d0f6bd738d7f1b3e5a7ca70fe4ff75f0.us-east-1.aws.found.io/app/kibana#/discover/Steve-Slow-Train-Analysis-(2080s-and-2083s)?_g=(refreshInterval:(display:Off,pause:!f,section:0,value:0),time:(from:'2017-09-21T03:49:06-0600',mode:absolute,to:'2017-09-21T06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2" s="204" t="str">
        <f>IF(AA222&lt;VLOOKUP(AG222,Variables!$AC$3:$AD$8,2,FALSE),"Y","N")</f>
        <v>Y</v>
      </c>
      <c r="X222" s="204">
        <f t="shared" si="152"/>
        <v>195</v>
      </c>
      <c r="Y222" s="204">
        <f t="shared" si="153"/>
        <v>3.0318000000000001</v>
      </c>
      <c r="Z222" s="204">
        <f t="shared" si="154"/>
        <v>5.9008000000000003</v>
      </c>
      <c r="AA222" s="204">
        <f t="shared" si="155"/>
        <v>2.8690000000000002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 t="shared" si="156"/>
        <v>901</v>
      </c>
      <c r="AE222" s="77" t="str">
        <f t="shared" si="157"/>
        <v>aws s3 cp s3://rtdc.mdm.uploadarchive.raw/RTDC4054/ "%USERPROFILE%\AppData\Local\Temp\OnboardLogs"\RTDC4054\2017-09-21 --exclude "*" --recursive --include "*20170921*" &amp; "%USERPROFILE%\Documents\GitHub\mrs-test-scripts\Headless Mode &amp; Sideloading\WalkAndUnGZ.bat" "%USERPROFILE%\AppData\Local\Temp\OnboardLogs"\RTDC4054\2017-09-21 &amp; aws s3 cp s3://rtdc.mdm.uploadarchive.raw/RTDC4054/ "%USERPROFILE%\AppData\Local\Temp\OnboardLogs"\RTDC4054\2017-09-22 --exclude "*" --recursive --include "*20170922*" &amp; "%USERPROFILE%\Documents\GitHub\mrs-test-scripts\Headless Mode &amp; Sideloading\WalkAndUnGZ.bat" "%USERPROFILE%\AppData\Local\Temp\OnboardLogs"\RTDC4054\2017-09-22</v>
      </c>
      <c r="AF222" s="74" t="str">
        <f t="shared" si="158"/>
        <v>"C:\Program Files (x86)\AstroGrep\AstroGrep.exe" /e /r /s /spath="%USERPROFILE%\AppData\Local\Temp\OnboardLogs" /stypes="app*4054*20170921*" /stext=" 11:.+((SYSTEM_STATE.+slice.+state.+changed )|(ment ac)|(multiple cpu faults)|(system.+state.+changed )|(\[timeout)|(PRM\|1\|D)|(kpr)|(kdp)|(train st.+moving)|(\|lc)|(penalty))"</v>
      </c>
      <c r="AG222" s="182" t="str">
        <f t="shared" si="159"/>
        <v>Other</v>
      </c>
      <c r="AH222" s="78" t="str">
        <f t="shared" si="160"/>
        <v>"%USERPROFILE%\Documents\GitHub\eaglep3\Utilities\RefineRTDCRunTimes.py" --tripid 901-21 --locoid 4054 --swversion DE.1.0.9.0 --startMP 300:30318 --initTime 2017-09-21T04:49:06 --startdatetime 2017-09-21T04:57:36 --delay 77 --endMP 300:59008 --enddatetime 2017-09-21T05:05:42 --enforcementcount 0 &gt;&gt;c:\users\stu\Documents\GitHub\eaglep3-reporting\EC\2017-09-21-refined-times.txt</v>
      </c>
      <c r="AI222" s="96" t="str">
        <f t="shared" si="161"/>
        <v>echo {"issue":{"subject":"","project_id":79,"tracker_id":40,"status_id":1,"priority_id":2,"assigned_to_id":338,"start_date":"2017-09-21","description":"","custom_fields":[{"id":1,"name":"Subdivision","value":"Other"},{"id":4,"name":"Milepost","value":"5.9008"},{"id":17,"name":"Train ID","value":"901-21"},{"id":16,"name":"Locomotive ID","value":"4054"},{"id":130,"name":"Impact","value":""},{"id":150,"name":"Time of Event (Mountain Time)","value":"05:05:42"},{"id":151,"name":"Denver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2" s="47"/>
      <c r="AL222" s="47"/>
      <c r="AM222" s="142" t="str">
        <f t="shared" si="162"/>
        <v>start /low /b %USERPROFILE%\Documents\GitHub\eaglep3\Utilities\DownloadLogsFromS3.py --loco 4054 --day 2017-09-21</v>
      </c>
      <c r="AN222" s="151" t="str">
        <f t="shared" si="163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11:05:42"},{"id":29,"name":"Sharepoint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164"/>
        <v>https://d0f6bd738d7f1b3e5a7ca70fe4ff75f0.us-east-1.aws.found.io/app/kibana#/discover/Steve-Slow-Train-Analysis-(2080s-and-2083s)?_g=(refreshInterval:(display:Off,pause:!f,section:0,value:0),time:(from:'2017-09-21T03:49:06-0600',mode:absolute,to:'2017-09-21T06:05:42-0600'))&amp;_a=(columns:!('Message%20ID',Summary),filters:!(),index:'emp_*',interval:auto,query:(query_string:(analyze_wildcard:!t,query:'Message%5C+ID:(*)+AND+%22rtdc.l.rtdc.4054%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32" t="s">
        <v>584</v>
      </c>
      <c r="B223" s="7">
        <v>4031</v>
      </c>
      <c r="C223" s="21" t="s">
        <v>196</v>
      </c>
      <c r="D223" s="21" t="s">
        <v>964</v>
      </c>
      <c r="E223" s="13">
        <v>42999.238680555558</v>
      </c>
      <c r="F223" s="13">
        <v>42999.241307870368</v>
      </c>
      <c r="G223" s="7">
        <v>80</v>
      </c>
      <c r="H223" s="21" t="s">
        <v>965</v>
      </c>
      <c r="I223" s="13">
        <v>42999.24695601852</v>
      </c>
      <c r="J223" s="7">
        <v>0</v>
      </c>
      <c r="K223" s="89" t="str">
        <f t="shared" si="146"/>
        <v>4031/4032</v>
      </c>
      <c r="L223" s="185" t="str">
        <f>VLOOKUP(A223,'Trips&amp;Operators'!$C$1:$G$99911,5,FALSE)</f>
        <v>FORTUNATO FRANK</v>
      </c>
      <c r="M223" s="6">
        <f t="shared" si="147"/>
        <v>5.6481481515220366E-3</v>
      </c>
      <c r="N223" s="7">
        <f t="shared" si="148"/>
        <v>8.1333333381917328</v>
      </c>
      <c r="O223" s="7"/>
      <c r="P223" s="7"/>
      <c r="Q223" s="22"/>
      <c r="R223" s="174"/>
      <c r="S223" s="221">
        <f t="shared" si="149"/>
        <v>1</v>
      </c>
      <c r="T223" s="174" t="str">
        <f t="shared" si="150"/>
        <v>Southbound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16" t="str">
        <f t="shared" si="151"/>
        <v>https://d0f6bd738d7f1b3e5a7ca70fe4ff75f0.us-east-1.aws.found.io/app/kibana#/discover/Steve-Slow-Train-Analysis-(2080s-and-2083s)?_g=(refreshInterval:(display:Off,pause:!f,section:0,value:0),time:(from:'2017-09-21T04:43:42-0600',mode:absolute,to:'2017-09-21T06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3" s="204" t="str">
        <f>IF(AA223&lt;VLOOKUP(AG223,Variables!$AC$3:$AD$8,2,FALSE),"Y","N")</f>
        <v>Y</v>
      </c>
      <c r="X223" s="204">
        <f t="shared" si="152"/>
        <v>1</v>
      </c>
      <c r="Y223" s="204">
        <f t="shared" si="153"/>
        <v>2.3662999999999998</v>
      </c>
      <c r="Z223" s="204">
        <f t="shared" si="154"/>
        <v>6.9599999999999995E-2</v>
      </c>
      <c r="AA223" s="204">
        <f t="shared" si="155"/>
        <v>2.2967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9">
        <f t="shared" si="156"/>
        <v>902</v>
      </c>
      <c r="AE223" s="77" t="str">
        <f t="shared" si="157"/>
        <v>aws s3 cp s3://rtdc.mdm.uploadarchive.raw/RTDC4031/ "%USERPROFILE%\AppData\Local\Temp\OnboardLogs"\RTDC4031\2017-09-21 --exclude "*" --recursive --include "*20170921*" &amp; "%USERPROFILE%\Documents\GitHub\mrs-test-scripts\Headless Mode &amp; Sideloading\WalkAndUnGZ.bat" "%USERPROFILE%\AppData\Local\Temp\OnboardLogs"\RTDC4031\2017-09-21 &amp; aws s3 cp s3://rtdc.mdm.uploadarchive.raw/RTDC4031/ "%USERPROFILE%\AppData\Local\Temp\OnboardLogs"\RTDC4031\2017-09-22 --exclude "*" --recursive --include "*20170922*" &amp; "%USERPROFILE%\Documents\GitHub\mrs-test-scripts\Headless Mode &amp; Sideloading\WalkAndUnGZ.bat" "%USERPROFILE%\AppData\Local\Temp\OnboardLogs"\RTDC4031\2017-09-22</v>
      </c>
      <c r="AF223" s="74" t="str">
        <f t="shared" si="158"/>
        <v>"C:\Program Files (x86)\AstroGrep\AstroGrep.exe" /e /r /s /spath="%USERPROFILE%\AppData\Local\Temp\OnboardLogs" /stypes="app*4031*20170921*" /stext=" 11:.+((SYSTEM_STATE.+slice.+state.+changed )|(ment ac)|(multiple cpu faults)|(system.+state.+changed )|(\[timeout)|(PRM\|1\|D)|(kpr)|(kdp)|(train st.+moving)|(\|lc)|(penalty))"</v>
      </c>
      <c r="AG223" s="182" t="str">
        <f t="shared" si="159"/>
        <v>Other</v>
      </c>
      <c r="AH223" s="78" t="str">
        <f t="shared" si="160"/>
        <v>"%USERPROFILE%\Documents\GitHub\eaglep3\Utilities\RefineRTDCRunTimes.py" --tripid 902-21 --locoid 4031 --swversion DE.1.0.9.0 --startMP 300:23663 --initTime 2017-09-21T05:43:42 --startdatetime 2017-09-21T05:47:29 --delay 80 --endMP 204:696 --enddatetime 2017-09-21T05:55:37 --enforcementcount 0 &gt;&gt;c:\users\stu\Documents\GitHub\eaglep3-reporting\EC\2017-09-21-refined-times.txt</v>
      </c>
      <c r="AI223" s="96" t="str">
        <f t="shared" si="161"/>
        <v>echo {"issue":{"subject":"","project_id":79,"tracker_id":40,"status_id":1,"priority_id":2,"assigned_to_id":338,"start_date":"2017-09-21","description":"","custom_fields":[{"id":1,"name":"Subdivision","value":"Other"},{"id":4,"name":"Milepost","value":"0.0696"},{"id":17,"name":"Train ID","value":"902-21"},{"id":16,"name":"Locomotive ID","value":"4031"},{"id":130,"name":"Impact","value":""},{"id":150,"name":"Time of Event (Mountain Time)","value":"05:55:37"},{"id":151,"name":"Denver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3" s="47"/>
      <c r="AL223" s="47"/>
      <c r="AM223" s="142" t="str">
        <f t="shared" si="162"/>
        <v>start /low /b %USERPROFILE%\Documents\GitHub\eaglep3\Utilities\DownloadLogsFromS3.py --loco 4031 --day 2017-09-21</v>
      </c>
      <c r="AN223" s="151" t="str">
        <f t="shared" si="163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11:55:37"},{"id":29,"name":"Sharepoint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164"/>
        <v>https://d0f6bd738d7f1b3e5a7ca70fe4ff75f0.us-east-1.aws.found.io/app/kibana#/discover/Steve-Slow-Train-Analysis-(2080s-and-2083s)?_g=(refreshInterval:(display:Off,pause:!f,section:0,value:0),time:(from:'2017-09-21T04:43:42-0600',mode:absolute,to:'2017-09-21T06:55:37-0600'))&amp;_a=(columns:!('Message%20ID',Summary),filters:!(),index:'emp_*',interval:auto,query:(query_string:(analyze_wildcard:!t,query:'Message%5C+ID:(*)+AND+%22rtdc.l.rtdc.4031%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32" t="s">
        <v>672</v>
      </c>
      <c r="B224" s="7">
        <v>4054</v>
      </c>
      <c r="C224" s="21" t="s">
        <v>196</v>
      </c>
      <c r="D224" s="21" t="s">
        <v>966</v>
      </c>
      <c r="E224" s="13">
        <v>42999.352696759262</v>
      </c>
      <c r="F224" s="13">
        <v>42999.35428240741</v>
      </c>
      <c r="G224" s="7">
        <v>49</v>
      </c>
      <c r="H224" s="21" t="s">
        <v>562</v>
      </c>
      <c r="I224" s="13">
        <v>42999.360555555555</v>
      </c>
      <c r="J224" s="7">
        <v>0</v>
      </c>
      <c r="K224" s="89" t="str">
        <f t="shared" si="146"/>
        <v>4053/4054</v>
      </c>
      <c r="L224" s="185" t="str">
        <f>VLOOKUP(A224,'Trips&amp;Operators'!$C$1:$G$99911,5,FALSE)</f>
        <v>DAVIS WENDY</v>
      </c>
      <c r="M224" s="6">
        <f t="shared" si="147"/>
        <v>6.2731481448281556E-3</v>
      </c>
      <c r="N224" s="7">
        <f t="shared" si="148"/>
        <v>9.0333333285525441</v>
      </c>
      <c r="O224" s="7"/>
      <c r="P224" s="7"/>
      <c r="Q224" s="22"/>
      <c r="R224" s="174"/>
      <c r="S224" s="221">
        <f t="shared" si="149"/>
        <v>1</v>
      </c>
      <c r="T224" s="174" t="str">
        <f t="shared" si="150"/>
        <v>NorthBound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16" t="str">
        <f t="shared" si="151"/>
        <v>https://d0f6bd738d7f1b3e5a7ca70fe4ff75f0.us-east-1.aws.found.io/app/kibana#/discover/Steve-Slow-Train-Analysis-(2080s-and-2083s)?_g=(refreshInterval:(display:Off,pause:!f,section:0,value:0),time:(from:'2017-09-21T07:27:53-0600',mode:absolute,to:'2017-09-21T09:39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4" s="204" t="str">
        <f>IF(AA224&lt;VLOOKUP(AG224,Variables!$AC$3:$AD$8,2,FALSE),"Y","N")</f>
        <v>Y</v>
      </c>
      <c r="X224" s="204">
        <f t="shared" si="152"/>
        <v>1</v>
      </c>
      <c r="Y224" s="204">
        <f t="shared" si="153"/>
        <v>4.48E-2</v>
      </c>
      <c r="Z224" s="204">
        <f t="shared" si="154"/>
        <v>2.4251999999999998</v>
      </c>
      <c r="AA224" s="204">
        <f t="shared" si="155"/>
        <v>2.3803999999999998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79">
        <f t="shared" si="156"/>
        <v>903</v>
      </c>
      <c r="AE224" s="77" t="str">
        <f t="shared" si="157"/>
        <v>aws s3 cp s3://rtdc.mdm.uploadarchive.raw/RTDC4054/ "%USERPROFILE%\AppData\Local\Temp\OnboardLogs"\RTDC4054\2017-09-21 --exclude "*" --recursive --include "*20170921*" &amp; "%USERPROFILE%\Documents\GitHub\mrs-test-scripts\Headless Mode &amp; Sideloading\WalkAndUnGZ.bat" "%USERPROFILE%\AppData\Local\Temp\OnboardLogs"\RTDC4054\2017-09-21 &amp; aws s3 cp s3://rtdc.mdm.uploadarchive.raw/RTDC4054/ "%USERPROFILE%\AppData\Local\Temp\OnboardLogs"\RTDC4054\2017-09-22 --exclude "*" --recursive --include "*20170922*" &amp; "%USERPROFILE%\Documents\GitHub\mrs-test-scripts\Headless Mode &amp; Sideloading\WalkAndUnGZ.bat" "%USERPROFILE%\AppData\Local\Temp\OnboardLogs"\RTDC4054\2017-09-22</v>
      </c>
      <c r="AF224" s="74" t="str">
        <f t="shared" si="158"/>
        <v>"C:\Program Files (x86)\AstroGrep\AstroGrep.exe" /e /r /s /spath="%USERPROFILE%\AppData\Local\Temp\OnboardLogs" /stypes="app*4054*20170921*" /stext=" 14:.+((SYSTEM_STATE.+slice.+state.+changed )|(ment ac)|(multiple cpu faults)|(system.+state.+changed )|(\[timeout)|(PRM\|1\|D)|(kpr)|(kdp)|(train st.+moving)|(\|lc)|(penalty))"</v>
      </c>
      <c r="AG224" s="182" t="str">
        <f t="shared" si="159"/>
        <v>Other</v>
      </c>
      <c r="AH224" s="78" t="str">
        <f t="shared" si="160"/>
        <v>"%USERPROFILE%\Documents\GitHub\eaglep3\Utilities\RefineRTDCRunTimes.py" --tripid 903-21 --locoid 4054 --swversion DE.1.0.9.0 --startMP 204:448 --initTime 2017-09-21T08:27:53 --startdatetime 2017-09-21T08:30:10 --delay 49 --endMP 300:24252 --enddatetime 2017-09-21T08:39:12 --enforcementcount 0 &gt;&gt;c:\users\stu\Documents\GitHub\eaglep3-reporting\EC\2017-09-21-refined-times.txt</v>
      </c>
      <c r="AI224" s="96" t="str">
        <f t="shared" si="161"/>
        <v>echo {"issue":{"subject":"","project_id":79,"tracker_id":40,"status_id":1,"priority_id":2,"assigned_to_id":338,"start_date":"2017-09-21","description":"","custom_fields":[{"id":1,"name":"Subdivision","value":"Other"},{"id":4,"name":"Milepost","value":"2.4252"},{"id":17,"name":"Train ID","value":"903-21"},{"id":16,"name":"Locomotive ID","value":"4054"},{"id":130,"name":"Impact","value":""},{"id":150,"name":"Time of Event (Mountain Time)","value":"08:39:12"},{"id":151,"name":"Denver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4" s="47"/>
      <c r="AL224" s="47"/>
      <c r="AM224" s="142" t="str">
        <f t="shared" si="162"/>
        <v>start /low /b %USERPROFILE%\Documents\GitHub\eaglep3\Utilities\DownloadLogsFromS3.py --loco 4054 --day 2017-09-21</v>
      </c>
      <c r="AN224" s="151" t="str">
        <f t="shared" si="163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14:39:12"},{"id":29,"name":"Sharepoint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164"/>
        <v>https://d0f6bd738d7f1b3e5a7ca70fe4ff75f0.us-east-1.aws.found.io/app/kibana#/discover/Steve-Slow-Train-Analysis-(2080s-and-2083s)?_g=(refreshInterval:(display:Off,pause:!f,section:0,value:0),time:(from:'2017-09-21T07:27:53-0600',mode:absolute,to:'2017-09-21T09:39:12-0600'))&amp;_a=(columns:!('Message%20ID',Summary),filters:!(),index:'emp_*',interval:auto,query:(query_string:(analyze_wildcard:!t,query:'Message%5C+ID:(*)+AND+%22rtdc.l.rtdc.4054%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x14ac:dyDescent="0.25">
      <c r="A225" s="32" t="s">
        <v>740</v>
      </c>
      <c r="B225" s="7">
        <v>4053</v>
      </c>
      <c r="C225" s="21" t="s">
        <v>196</v>
      </c>
      <c r="D225" s="21" t="s">
        <v>967</v>
      </c>
      <c r="E225" s="13">
        <v>42999.638402777775</v>
      </c>
      <c r="F225" s="13">
        <v>42999.643530092595</v>
      </c>
      <c r="G225" s="7">
        <v>72</v>
      </c>
      <c r="H225" s="21" t="s">
        <v>968</v>
      </c>
      <c r="I225" s="13">
        <v>42999.648865740739</v>
      </c>
      <c r="J225" s="7">
        <v>0</v>
      </c>
      <c r="K225" s="89" t="str">
        <f t="shared" si="146"/>
        <v>4053/4054</v>
      </c>
      <c r="L225" s="185" t="str">
        <f>VLOOKUP(A225,'Trips&amp;Operators'!$C$1:$G$99911,5,FALSE)</f>
        <v>BIRKHOLZ NADINE</v>
      </c>
      <c r="M225" s="6">
        <f t="shared" si="147"/>
        <v>5.3356481439550407E-3</v>
      </c>
      <c r="N225" s="7">
        <f t="shared" si="148"/>
        <v>7.6833333272952586</v>
      </c>
      <c r="O225" s="7"/>
      <c r="P225" s="7"/>
      <c r="Q225" s="22"/>
      <c r="R225" s="174"/>
      <c r="S225" s="221">
        <f t="shared" si="149"/>
        <v>1</v>
      </c>
      <c r="T225" s="174" t="str">
        <f t="shared" si="150"/>
        <v>Southbound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16" t="str">
        <f t="shared" si="151"/>
        <v>https://d0f6bd738d7f1b3e5a7ca70fe4ff75f0.us-east-1.aws.found.io/app/kibana#/discover/Steve-Slow-Train-Analysis-(2080s-and-2083s)?_g=(refreshInterval:(display:Off,pause:!f,section:0,value:0),time:(from:'2017-09-21T14:19:18-0600',mode:absolute,to:'2017-09-21T16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5" s="204" t="str">
        <f>IF(AA225&lt;VLOOKUP(AG225,Variables!$AC$3:$AD$8,2,FALSE),"Y","N")</f>
        <v>Y</v>
      </c>
      <c r="X225" s="204">
        <f t="shared" si="152"/>
        <v>1</v>
      </c>
      <c r="Y225" s="204">
        <f t="shared" si="153"/>
        <v>2.3660999999999999</v>
      </c>
      <c r="Z225" s="204">
        <f t="shared" si="154"/>
        <v>6.8400000000000002E-2</v>
      </c>
      <c r="AA225" s="204">
        <f t="shared" si="155"/>
        <v>2.2976999999999999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79">
        <f t="shared" si="156"/>
        <v>904</v>
      </c>
      <c r="AE225" s="77" t="str">
        <f t="shared" si="157"/>
        <v>aws s3 cp s3://rtdc.mdm.uploadarchive.raw/RTDC4053/ "%USERPROFILE%\AppData\Local\Temp\OnboardLogs"\RTDC4053\2017-09-21 --exclude "*" --recursive --include "*20170921*" &amp; "%USERPROFILE%\Documents\GitHub\mrs-test-scripts\Headless Mode &amp; Sideloading\WalkAndUnGZ.bat" "%USERPROFILE%\AppData\Local\Temp\OnboardLogs"\RTDC4053\2017-09-21 &amp; aws s3 cp s3://rtdc.mdm.uploadarchive.raw/RTDC4053/ "%USERPROFILE%\AppData\Local\Temp\OnboardLogs"\RTDC4053\2017-09-22 --exclude "*" --recursive --include "*20170922*" &amp; "%USERPROFILE%\Documents\GitHub\mrs-test-scripts\Headless Mode &amp; Sideloading\WalkAndUnGZ.bat" "%USERPROFILE%\AppData\Local\Temp\OnboardLogs"\RTDC4053\2017-09-22</v>
      </c>
      <c r="AF225" s="74" t="str">
        <f t="shared" si="158"/>
        <v>"C:\Program Files (x86)\AstroGrep\AstroGrep.exe" /e /r /s /spath="%USERPROFILE%\AppData\Local\Temp\OnboardLogs" /stypes="app*4053*20170921*" /stext=" 21:.+((SYSTEM_STATE.+slice.+state.+changed )|(ment ac)|(multiple cpu faults)|(system.+state.+changed )|(\[timeout)|(PRM\|1\|D)|(kpr)|(kdp)|(train st.+moving)|(\|lc)|(penalty))"</v>
      </c>
      <c r="AG225" s="182" t="str">
        <f t="shared" si="159"/>
        <v>Other</v>
      </c>
      <c r="AH225" s="78" t="str">
        <f t="shared" si="160"/>
        <v>"%USERPROFILE%\Documents\GitHub\eaglep3\Utilities\RefineRTDCRunTimes.py" --tripid 904-21 --locoid 4053 --swversion DE.1.0.9.0 --startMP 300:23661 --initTime 2017-09-21T15:19:18 --startdatetime 2017-09-21T15:26:41 --delay 72 --endMP 204:684 --enddatetime 2017-09-21T15:34:22 --enforcementcount 0 &gt;&gt;c:\users\stu\Documents\GitHub\eaglep3-reporting\EC\2017-09-21-refined-times.txt</v>
      </c>
      <c r="AI225" s="96" t="str">
        <f t="shared" si="161"/>
        <v>echo {"issue":{"subject":"","project_id":79,"tracker_id":40,"status_id":1,"priority_id":2,"assigned_to_id":338,"start_date":"2017-09-21","description":"","custom_fields":[{"id":1,"name":"Subdivision","value":"Other"},{"id":4,"name":"Milepost","value":"0.0684"},{"id":17,"name":"Train ID","value":"904-21"},{"id":16,"name":"Locomotive ID","value":"4053"},{"id":130,"name":"Impact","value":""},{"id":150,"name":"Time of Event (Mountain Time)","value":"15:34:22"},{"id":151,"name":"Denver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162"/>
        <v>start /low /b %USERPROFILE%\Documents\GitHub\eaglep3\Utilities\DownloadLogsFromS3.py --loco 4053 --day 2017-09-21</v>
      </c>
      <c r="AN225" s="151" t="str">
        <f t="shared" si="163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21:34:22"},{"id":29,"name":"Sharepoint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164"/>
        <v>https://d0f6bd738d7f1b3e5a7ca70fe4ff75f0.us-east-1.aws.found.io/app/kibana#/discover/Steve-Slow-Train-Analysis-(2080s-and-2083s)?_g=(refreshInterval:(display:Off,pause:!f,section:0,value:0),time:(from:'2017-09-21T14:19:18-0600',mode:absolute,to:'2017-09-21T16:34:22-0600'))&amp;_a=(columns:!('Message%20ID',Summary),filters:!(),index:'emp_*',interval:auto,query:(query_string:(analyze_wildcard:!t,query:'Message%5C+ID:(*)+AND+%22rtdc.l.rtdc.4053%22')),sort:!(Time.ISO8601,asc))</v>
      </c>
    </row>
    <row r="226" spans="1:91" s="20" customFormat="1" x14ac:dyDescent="0.25">
      <c r="A226" s="32" t="s">
        <v>789</v>
      </c>
      <c r="B226" s="7">
        <v>4015</v>
      </c>
      <c r="C226" s="21" t="s">
        <v>196</v>
      </c>
      <c r="D226" s="21" t="s">
        <v>572</v>
      </c>
      <c r="E226" s="13">
        <v>42999.788715277777</v>
      </c>
      <c r="F226" s="13">
        <v>42999.790324074071</v>
      </c>
      <c r="G226" s="7">
        <v>51</v>
      </c>
      <c r="H226" s="21" t="s">
        <v>969</v>
      </c>
      <c r="I226" s="13">
        <v>42999.798171296294</v>
      </c>
      <c r="J226" s="7">
        <v>0</v>
      </c>
      <c r="K226" s="89" t="str">
        <f t="shared" si="146"/>
        <v>4015/4016</v>
      </c>
      <c r="L226" s="185" t="str">
        <f>VLOOKUP(A226,'Trips&amp;Operators'!$C$1:$G$99911,5,FALSE)</f>
        <v>BIRKHOLZ NADINE</v>
      </c>
      <c r="M226" s="6">
        <f t="shared" si="147"/>
        <v>7.8472222230629995E-3</v>
      </c>
      <c r="N226" s="7">
        <f t="shared" si="148"/>
        <v>11.300000001210719</v>
      </c>
      <c r="O226" s="7"/>
      <c r="P226" s="7"/>
      <c r="Q226" s="22"/>
      <c r="R226" s="174"/>
      <c r="S226" s="221">
        <f t="shared" si="149"/>
        <v>0</v>
      </c>
      <c r="T226" s="174" t="str">
        <f t="shared" si="150"/>
        <v>Southbound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16" t="str">
        <f t="shared" si="151"/>
        <v>https://d0f6bd738d7f1b3e5a7ca70fe4ff75f0.us-east-1.aws.found.io/app/kibana#/discover/Steve-Slow-Train-Analysis-(2080s-and-2083s)?_g=(refreshInterval:(display:Off,pause:!f,section:0,value:0),time:(from:'2017-09-21T17:55:45-0600',mode:absolute,to:'2017-09-21T20:09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6" s="204" t="str">
        <f>IF(AA226&lt;VLOOKUP(AG226,Variables!$AC$3:$AD$8,2,FALSE),"Y","N")</f>
        <v>Y</v>
      </c>
      <c r="X226" s="204">
        <f t="shared" si="152"/>
        <v>2</v>
      </c>
      <c r="Y226" s="204">
        <f t="shared" si="153"/>
        <v>5.8613</v>
      </c>
      <c r="Z226" s="204">
        <f t="shared" si="154"/>
        <v>2.8765000000000001</v>
      </c>
      <c r="AA226" s="204">
        <f t="shared" si="155"/>
        <v>2.9847999999999999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179">
        <f t="shared" si="156"/>
        <v>906</v>
      </c>
      <c r="AE226" s="77" t="str">
        <f t="shared" si="157"/>
        <v>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 &amp; aws s3 cp s3://rtdc.mdm.uploadarchive.raw/RTDC4015/ "%USERPROFILE%\AppData\Local\Temp\OnboardLogs"\RTDC4015\2017-09-22 --exclude "*" --recursive --include "*20170922*" &amp; "%USERPROFILE%\Documents\GitHub\mrs-test-scripts\Headless Mode &amp; Sideloading\WalkAndUnGZ.bat" "%USERPROFILE%\AppData\Local\Temp\OnboardLogs"\RTDC4015\2017-09-22</v>
      </c>
      <c r="AF226" s="74" t="str">
        <f t="shared" si="158"/>
        <v>"C:\Program Files (x86)\AstroGrep\AstroGrep.exe" /e /r /s /spath="%USERPROFILE%\AppData\Local\Temp\OnboardLogs" /stypes="app*4015*20170922*" /stext=" 01:.+((SYSTEM_STATE.+slice.+state.+changed )|(ment ac)|(multiple cpu faults)|(system.+state.+changed )|(\[timeout)|(PRM\|1\|D)|(kpr)|(kdp)|(train st.+moving)|(\|lc)|(penalty))"</v>
      </c>
      <c r="AG226" s="182" t="str">
        <f t="shared" si="159"/>
        <v>Other</v>
      </c>
      <c r="AH226" s="78" t="str">
        <f t="shared" si="160"/>
        <v>"%USERPROFILE%\Documents\GitHub\eaglep3\Utilities\RefineRTDCRunTimes.py" --tripid 906-21 --locoid 4015 --swversion DE.1.0.9.0 --startMP 300:58613 --initTime 2017-09-21T18:55:45 --startdatetime 2017-09-21T18:58:04 --delay 51 --endMP 300:28765 --enddatetime 2017-09-21T19:09:22 --enforcementcount 0 &gt;&gt;c:\users\stu\Documents\GitHub\eaglep3-reporting\EC\2017-09-21-refined-times.txt</v>
      </c>
      <c r="AI226" s="96" t="str">
        <f t="shared" si="161"/>
        <v>echo {"issue":{"subject":"","project_id":79,"tracker_id":40,"status_id":1,"priority_id":2,"assigned_to_id":338,"start_date":"2017-09-21","description":"","custom_fields":[{"id":1,"name":"Subdivision","value":"Other"},{"id":4,"name":"Milepost","value":"2.8765"},{"id":17,"name":"Train ID","value":"906-21"},{"id":16,"name":"Locomotive ID","value":"4015"},{"id":130,"name":"Impact","value":""},{"id":150,"name":"Time of Event (Mountain Time)","value":"19:09:22"},{"id":151,"name":"Denver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6" s="47"/>
      <c r="AL226" s="47"/>
      <c r="AM226" s="142" t="str">
        <f t="shared" si="162"/>
        <v>start /low /b %USERPROFILE%\Documents\GitHub\eaglep3\Utilities\DownloadLogsFromS3.py --loco 4015 --day 2017-09-21</v>
      </c>
      <c r="AN226" s="151" t="str">
        <f t="shared" si="16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01:09:22"},{"id":29,"name":"Sharepoint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164"/>
        <v>https://d0f6bd738d7f1b3e5a7ca70fe4ff75f0.us-east-1.aws.found.io/app/kibana#/discover/Steve-Slow-Train-Analysis-(2080s-and-2083s)?_g=(refreshInterval:(display:Off,pause:!f,section:0,value:0),time:(from:'2017-09-21T17:55:45-0600',mode:absolute,to:'2017-09-21T20:09:22-0600'))&amp;_a=(columns:!('Message%20ID',Summary),filters:!(),index:'emp_*',interval:auto,query:(query_string:(analyze_wildcard:!t,query:'Message%5C+ID:(*)+AND+%22rtdc.l.rtdc.4015%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 s="32" t="s">
        <v>824</v>
      </c>
      <c r="B227" s="7">
        <v>4031</v>
      </c>
      <c r="C227" s="21" t="s">
        <v>196</v>
      </c>
      <c r="D227" s="21" t="s">
        <v>574</v>
      </c>
      <c r="E227" s="13">
        <v>42999.977326388886</v>
      </c>
      <c r="F227" s="13">
        <v>42999.979259259257</v>
      </c>
      <c r="G227" s="7">
        <v>68</v>
      </c>
      <c r="H227" s="21" t="s">
        <v>970</v>
      </c>
      <c r="I227" s="13">
        <v>25568.708333333332</v>
      </c>
      <c r="J227" s="7">
        <v>0</v>
      </c>
      <c r="K227" s="89" t="str">
        <f t="shared" si="146"/>
        <v>4031/4032</v>
      </c>
      <c r="L227" s="185" t="str">
        <f>VLOOKUP(A227,'Trips&amp;Operators'!$C$1:$G$99911,5,FALSE)</f>
        <v>BIRKHOLZ NADINE</v>
      </c>
      <c r="M227" s="6">
        <f t="shared" si="147"/>
        <v>-17431.270925925925</v>
      </c>
      <c r="N227" s="7">
        <f t="shared" si="148"/>
        <v>-25101030.133333333</v>
      </c>
      <c r="O227" s="7"/>
      <c r="P227" s="7"/>
      <c r="Q227" s="22"/>
      <c r="R227" s="174"/>
      <c r="S227" s="221">
        <f t="shared" si="149"/>
        <v>0</v>
      </c>
      <c r="T227" s="174" t="str">
        <f t="shared" si="150"/>
        <v>Southbound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16" t="str">
        <f t="shared" si="151"/>
        <v>https://d0f6bd738d7f1b3e5a7ca70fe4ff75f0.us-east-1.aws.found.io/app/kibana#/discover/Steve-Slow-Train-Analysis-(2080s-and-2083s)?_g=(refreshInterval:(display:Off,pause:!f,section:0,value:0),time:(from:'2017-09-21T22:27:21-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7" s="204" t="str">
        <f>IF(AA227&lt;VLOOKUP(AG227,Variables!$AC$3:$AD$8,2,FALSE),"Y","N")</f>
        <v>Y</v>
      </c>
      <c r="X227" s="204">
        <f t="shared" si="152"/>
        <v>2</v>
      </c>
      <c r="Y227" s="204">
        <f t="shared" si="153"/>
        <v>5.8619000000000003</v>
      </c>
      <c r="Z227" s="204">
        <f t="shared" si="154"/>
        <v>2.8797000000000001</v>
      </c>
      <c r="AA227" s="204">
        <f t="shared" si="155"/>
        <v>2.9822000000000002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179">
        <f t="shared" si="156"/>
        <v>908</v>
      </c>
      <c r="AE227" s="77" t="str">
        <f t="shared" si="157"/>
        <v>aws s3 cp s3://rtdc.mdm.uploadarchive.raw/RTDC4031/ "%USERPROFILE%\AppData\Local\Temp\OnboardLogs"\RTDC4031\2017-09-21 --exclude "*" --recursive --include "*20170921*" &amp; "%USERPROFILE%\Documents\GitHub\mrs-test-scripts\Headless Mode &amp; Sideloading\WalkAndUnGZ.bat" "%USERPROFILE%\AppData\Local\Temp\OnboardLogs"\RTDC4031\2017-09-21 &amp; aws s3 cp s3://rtdc.mdm.uploadarchive.raw/RTDC4031/ "%USERPROFILE%\AppData\Local\Temp\OnboardLogs"\RTDC4031\2017-09-22 --exclude "*" --recursive --include "*20170922*" &amp; "%USERPROFILE%\Documents\GitHub\mrs-test-scripts\Headless Mode &amp; Sideloading\WalkAndUnGZ.bat" "%USERPROFILE%\AppData\Local\Temp\OnboardLogs"\RTDC4031\2017-09-22</v>
      </c>
      <c r="AF227" s="74" t="str">
        <f t="shared" si="158"/>
        <v>"C:\Program Files (x86)\AstroGrep\AstroGrep.exe" /e /r /s /spath="%USERPROFILE%\AppData\Local\Temp\OnboardLogs" /stypes="app*4031*19691231*" /stext=" 23:.+((SYSTEM_STATE.+slice.+state.+changed )|(ment ac)|(multiple cpu faults)|(system.+state.+changed )|(\[timeout)|(PRM\|1\|D)|(kpr)|(kdp)|(train st.+moving)|(\|lc)|(penalty))"</v>
      </c>
      <c r="AG227" s="182" t="str">
        <f t="shared" si="159"/>
        <v>Other</v>
      </c>
      <c r="AH227" s="78" t="str">
        <f t="shared" si="160"/>
        <v>"%USERPROFILE%\Documents\GitHub\eaglep3\Utilities\RefineRTDCRunTimes.py" --tripid 908-21 --locoid 4031 --swversion DE.1.0.9.0 --startMP 300:58619 --initTime 2017-09-21T23:27:21 --startdatetime 2017-09-21T23:30:08 --delay 68 --endMP 300:28797 --enddatetime 1969-12-31T17:00:00 --enforcementcount 0 &gt;&gt;c:\users\stu\Documents\GitHub\eaglep3-reporting\EC\2017-09-21-refined-times.txt</v>
      </c>
      <c r="AI227" s="96" t="str">
        <f t="shared" si="161"/>
        <v>echo {"issue":{"subject":"","project_id":79,"tracker_id":40,"status_id":1,"priority_id":2,"assigned_to_id":338,"start_date":"1969-12-31","description":"","custom_fields":[{"id":1,"name":"Subdivision","value":"Other"},{"id":4,"name":"Milepost","value":"2.8797"},{"id":17,"name":"Train ID","value":"908-21"},{"id":16,"name":"Locomotive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7" s="47"/>
      <c r="AL227" s="47"/>
      <c r="AM227" s="142" t="str">
        <f t="shared" si="162"/>
        <v>start /low /b %USERPROFILE%\Documents\GitHub\eaglep3\Utilities\DownloadLogsFromS3.py --loco 4031 --day 2017-09-21</v>
      </c>
      <c r="AN227" s="151" t="str">
        <f t="shared" si="163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164"/>
        <v>https://d0f6bd738d7f1b3e5a7ca70fe4ff75f0.us-east-1.aws.found.io/app/kibana#/discover/Steve-Slow-Train-Analysis-(2080s-and-2083s)?_g=(refreshInterval:(display:Off,pause:!f,section:0,value:0),time:(from:'2017-09-21T22:27:21-0600',mode:absolute,to:'1969-12-31T18:00:00-0600'))&amp;_a=(columns:!('Message%20ID',Summary),filters:!(),index:'emp_*',interval:auto,query:(query_string:(analyze_wildcard:!t,query:'Message%5C+ID:(*)+AND+%22rtdc.l.rtdc.4031%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 s="32" t="s">
        <v>600</v>
      </c>
      <c r="B228" s="7">
        <v>4006</v>
      </c>
      <c r="C228" s="21" t="s">
        <v>196</v>
      </c>
      <c r="D228" s="21" t="s">
        <v>411</v>
      </c>
      <c r="E228" s="13">
        <v>42999.128125000003</v>
      </c>
      <c r="F228" s="13">
        <v>42999.13689814815</v>
      </c>
      <c r="G228" s="7">
        <v>88</v>
      </c>
      <c r="H228" s="21" t="s">
        <v>890</v>
      </c>
      <c r="I228" s="13">
        <v>42999.138148148151</v>
      </c>
      <c r="J228" s="7">
        <v>0</v>
      </c>
      <c r="K228" s="89" t="str">
        <f t="shared" si="146"/>
        <v>4005/4006</v>
      </c>
      <c r="L228" s="185" t="str">
        <f>VLOOKUP(A228,'Trips&amp;Operators'!$C$1:$G$99911,5,FALSE)</f>
        <v>SPECTOR MICHAEL</v>
      </c>
      <c r="M228" s="6">
        <f t="shared" si="147"/>
        <v>1.2500000011641532E-3</v>
      </c>
      <c r="N228" s="7">
        <f t="shared" si="148"/>
        <v>1.8000000016763806</v>
      </c>
      <c r="O228" s="7"/>
      <c r="P228" s="7"/>
      <c r="Q228" s="22"/>
      <c r="R228" s="174"/>
      <c r="S228" s="221">
        <f t="shared" si="149"/>
        <v>0</v>
      </c>
      <c r="T228" s="174" t="str">
        <f t="shared" si="150"/>
        <v>NorthBound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16" t="str">
        <f t="shared" si="151"/>
        <v>https://d0f6bd738d7f1b3e5a7ca70fe4ff75f0.us-east-1.aws.found.io/app/kibana#/discover/Steve-Slow-Train-Analysis-(2080s-and-2083s)?_g=(refreshInterval:(display:Off,pause:!f,section:0,value:0),time:(from:'2017-09-21T02:04:30-0600',mode:absolute,to:'2017-09-21T04:18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8" s="204" t="str">
        <f>IF(AA228&lt;VLOOKUP(AG228,Variables!$AC$3:$AD$8,2,FALSE),"Y","N")</f>
        <v>Y</v>
      </c>
      <c r="X228" s="204">
        <f t="shared" si="152"/>
        <v>-857</v>
      </c>
      <c r="Y228" s="204">
        <f t="shared" si="153"/>
        <v>4.3700000000000003E-2</v>
      </c>
      <c r="Z228" s="204">
        <f t="shared" si="154"/>
        <v>0.35639999999999999</v>
      </c>
      <c r="AA228" s="204">
        <f t="shared" si="155"/>
        <v>0.31269999999999998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179">
        <f t="shared" si="156"/>
        <v>51</v>
      </c>
      <c r="AE228" s="77" t="str">
        <f t="shared" si="157"/>
        <v>aws s3 cp s3://rtdc.mdm.uploadarchive.raw/RTDC4006/ "%USERPROFILE%\AppData\Local\Temp\OnboardLogs"\RTDC4006\2017-09-21 --exclude "*" --recursive --include "*20170921*" &amp; "%USERPROFILE%\Documents\GitHub\mrs-test-scripts\Headless Mode &amp; Sideloading\WalkAndUnGZ.bat" "%USERPROFILE%\AppData\Local\Temp\OnboardLogs"\RTDC4006\2017-09-21 &amp; aws s3 cp s3://rtdc.mdm.uploadarchive.raw/RTDC4006/ "%USERPROFILE%\AppData\Local\Temp\OnboardLogs"\RTDC4006\2017-09-22 --exclude "*" --recursive --include "*20170922*" &amp; "%USERPROFILE%\Documents\GitHub\mrs-test-scripts\Headless Mode &amp; Sideloading\WalkAndUnGZ.bat" "%USERPROFILE%\AppData\Local\Temp\OnboardLogs"\RTDC4006\2017-09-22</v>
      </c>
      <c r="AF228" s="74" t="str">
        <f t="shared" si="158"/>
        <v>"C:\Program Files (x86)\AstroGrep\AstroGrep.exe" /e /r /s /spath="%USERPROFILE%\AppData\Local\Temp\OnboardLogs" /stypes="app*4006*20170921*" /stext=" 09:.+((SYSTEM_STATE.+slice.+state.+changed )|(ment ac)|(multiple cpu faults)|(system.+state.+changed )|(\[timeout)|(PRM\|1\|D)|(kpr)|(kdp)|(train st.+moving)|(\|lc)|(penalty))"</v>
      </c>
      <c r="AG228" s="182" t="str">
        <f t="shared" si="159"/>
        <v>Shuttle/Test</v>
      </c>
      <c r="AH228" s="78" t="str">
        <f t="shared" si="160"/>
        <v>"%USERPROFILE%\Documents\GitHub\eaglep3\Utilities\RefineRTDCRunTimes.py" --tripid 51-21 --locoid 4006 --swversion DE.1.0.9.0 --startMP 204:437 --initTime 2017-09-21T03:04:30 --startdatetime 2017-09-21T03:17:08 --delay 88 --endMP 204:3564 --enddatetime 2017-09-21T03:18:56 --enforcementcount 0 &gt;&gt;c:\users\stu\Documents\GitHub\eaglep3-reporting\EC\2017-09-21-refined-times.txt</v>
      </c>
      <c r="AI228" s="96" t="str">
        <f t="shared" si="161"/>
        <v>echo {"issue":{"subject":"","project_id":79,"tracker_id":40,"status_id":1,"priority_id":2,"assigned_to_id":338,"start_date":"2017-09-21","description":"","custom_fields":[{"id":1,"name":"Subdivision","value":"Shuttle/Test"},{"id":4,"name":"Milepost","value":"0.3564"},{"id":17,"name":"Train ID","value":"51-21"},{"id":16,"name":"Locomotive ID","value":"4006"},{"id":130,"name":"Impact","value":""},{"id":150,"name":"Time of Event (Mountain Time)","value":"03:18:56"},{"id":151,"name":"Denver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8" s="47"/>
      <c r="AL228" s="47"/>
      <c r="AM228" s="142" t="str">
        <f t="shared" si="162"/>
        <v>start /low /b %USERPROFILE%\Documents\GitHub\eaglep3\Utilities\DownloadLogsFromS3.py --loco 4006 --day 2017-09-21</v>
      </c>
      <c r="AN228" s="151" t="str">
        <f t="shared" si="163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09:18:56"},{"id":29,"name":"Sharepoint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164"/>
        <v>https://d0f6bd738d7f1b3e5a7ca70fe4ff75f0.us-east-1.aws.found.io/app/kibana#/discover/Steve-Slow-Train-Analysis-(2080s-and-2083s)?_g=(refreshInterval:(display:Off,pause:!f,section:0,value:0),time:(from:'2017-09-21T02:04:30-0600',mode:absolute,to:'2017-09-21T04:18:56-0600'))&amp;_a=(columns:!('Message%20ID',Summary),filters:!(),index:'emp_*',interval:auto,query:(query_string:(analyze_wildcard:!t,query:'Message%5C+ID:(*)+AND+%22rtdc.l.rtdc.4006%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x14ac:dyDescent="0.25">
      <c r="A229" s="32" t="s">
        <v>600</v>
      </c>
      <c r="B229" s="7">
        <v>4001</v>
      </c>
      <c r="C229" s="21" t="s">
        <v>196</v>
      </c>
      <c r="D229" s="21" t="s">
        <v>891</v>
      </c>
      <c r="E229" s="13">
        <v>42999.445740740739</v>
      </c>
      <c r="F229" s="13">
        <v>42999.448750000003</v>
      </c>
      <c r="G229" s="7">
        <v>55</v>
      </c>
      <c r="H229" s="21" t="s">
        <v>892</v>
      </c>
      <c r="I229" s="13">
        <v>42999.453206018516</v>
      </c>
      <c r="J229" s="7">
        <v>0</v>
      </c>
      <c r="K229" s="89" t="str">
        <f t="shared" si="146"/>
        <v>4001/4002</v>
      </c>
      <c r="L229" s="185" t="str">
        <f>VLOOKUP(A229,'Trips&amp;Operators'!$C$1:$G$99911,5,FALSE)</f>
        <v>SPECTOR MICHAEL</v>
      </c>
      <c r="M229" s="6">
        <f t="shared" si="147"/>
        <v>4.4560185124282725E-3</v>
      </c>
      <c r="N229" s="7">
        <f t="shared" si="148"/>
        <v>6.4166666578967124</v>
      </c>
      <c r="O229" s="7"/>
      <c r="P229" s="7"/>
      <c r="Q229" s="22"/>
      <c r="R229" s="174"/>
      <c r="S229" s="221">
        <f t="shared" si="149"/>
        <v>0</v>
      </c>
      <c r="T229" s="174" t="str">
        <f t="shared" si="150"/>
        <v>NorthBound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16" t="str">
        <f t="shared" si="151"/>
        <v>https://d0f6bd738d7f1b3e5a7ca70fe4ff75f0.us-east-1.aws.found.io/app/kibana#/discover/Steve-Slow-Train-Analysis-(2080s-and-2083s)?_g=(refreshInterval:(display:Off,pause:!f,section:0,value:0),time:(from:'2017-09-21T09:41:52-0600',mode:absolute,to:'2017-09-21T11:52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9" s="204" t="str">
        <f>IF(AA229&lt;VLOOKUP(AG229,Variables!$AC$3:$AD$8,2,FALSE),"Y","N")</f>
        <v>Y</v>
      </c>
      <c r="X229" s="204">
        <f t="shared" si="152"/>
        <v>0</v>
      </c>
      <c r="Y229" s="204">
        <f t="shared" si="153"/>
        <v>2.2206000000000001</v>
      </c>
      <c r="Z229" s="204">
        <f t="shared" si="154"/>
        <v>9.2100000000000001E-2</v>
      </c>
      <c r="AA229" s="204">
        <f t="shared" si="155"/>
        <v>2.1285000000000003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179">
        <f t="shared" si="156"/>
        <v>51</v>
      </c>
      <c r="AE229" s="77" t="str">
        <f t="shared" si="157"/>
        <v>aws s3 cp s3://rtdc.mdm.uploadarchive.raw/RTDC4001/ "%USERPROFILE%\AppData\Local\Temp\OnboardLogs"\RTDC4001\2017-09-21 --exclude "*" --recursive --include "*20170921*" &amp; "%USERPROFILE%\Documents\GitHub\mrs-test-scripts\Headless Mode &amp; Sideloading\WalkAndUnGZ.bat" "%USERPROFILE%\AppData\Local\Temp\OnboardLogs"\RTDC4001\2017-09-21 &amp; aws s3 cp s3://rtdc.mdm.uploadarchive.raw/RTDC4001/ "%USERPROFILE%\AppData\Local\Temp\OnboardLogs"\RTDC4001\2017-09-22 --exclude "*" --recursive --include "*20170922*" &amp; "%USERPROFILE%\Documents\GitHub\mrs-test-scripts\Headless Mode &amp; Sideloading\WalkAndUnGZ.bat" "%USERPROFILE%\AppData\Local\Temp\OnboardLogs"\RTDC4001\2017-09-22</v>
      </c>
      <c r="AF229" s="74" t="str">
        <f t="shared" si="158"/>
        <v>"C:\Program Files (x86)\AstroGrep\AstroGrep.exe" /e /r /s /spath="%USERPROFILE%\AppData\Local\Temp\OnboardLogs" /stypes="app*4001*20170921*" /stext=" 16:.+((SYSTEM_STATE.+slice.+state.+changed )|(ment ac)|(multiple cpu faults)|(system.+state.+changed )|(\[timeout)|(PRM\|1\|D)|(kpr)|(kdp)|(train st.+moving)|(\|lc)|(penalty))"</v>
      </c>
      <c r="AG229" s="182" t="str">
        <f t="shared" si="159"/>
        <v>Shuttle/Test</v>
      </c>
      <c r="AH229" s="78" t="str">
        <f t="shared" si="160"/>
        <v>"%USERPROFILE%\Documents\GitHub\eaglep3\Utilities\RefineRTDCRunTimes.py" --tripid 51-21 --locoid 4001 --swversion DE.1.0.9.0 --startMP 300:22206 --initTime 2017-09-21T10:41:52 --startdatetime 2017-09-21T10:46:12 --delay 55 --endMP 204:921 --enddatetime 2017-09-21T10:52:37 --enforcementcount 0 &gt;&gt;c:\users\stu\Documents\GitHub\eaglep3-reporting\EC\2017-09-21-refined-times.txt</v>
      </c>
      <c r="AI229" s="96" t="str">
        <f t="shared" si="161"/>
        <v>echo {"issue":{"subject":"","project_id":79,"tracker_id":40,"status_id":1,"priority_id":2,"assigned_to_id":338,"start_date":"2017-09-21","description":"","custom_fields":[{"id":1,"name":"Subdivision","value":"Shuttle/Test"},{"id":4,"name":"Milepost","value":"0.0921"},{"id":17,"name":"Train ID","value":"51-21"},{"id":16,"name":"Locomotive ID","value":"4001"},{"id":130,"name":"Impact","value":""},{"id":150,"name":"Time of Event (Mountain Time)","value":"10:52:37"},{"id":151,"name":"Denver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162"/>
        <v>start /low /b %USERPROFILE%\Documents\GitHub\eaglep3\Utilities\DownloadLogsFromS3.py --loco 4001 --day 2017-09-21</v>
      </c>
      <c r="AN229" s="151" t="str">
        <f t="shared" si="163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16:52:37"},{"id":29,"name":"Sharepoint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164"/>
        <v>https://d0f6bd738d7f1b3e5a7ca70fe4ff75f0.us-east-1.aws.found.io/app/kibana#/discover/Steve-Slow-Train-Analysis-(2080s-and-2083s)?_g=(refreshInterval:(display:Off,pause:!f,section:0,value:0),time:(from:'2017-09-21T09:41:52-0600',mode:absolute,to:'2017-09-21T11:52:37-0600'))&amp;_a=(columns:!('Message%20ID',Summary),filters:!(),index:'emp_*',interval:auto,query:(query_string:(analyze_wildcard:!t,query:'Message%5C+ID:(*)+AND+%22rtdc.l.rtdc.4001%22')),sort:!(Time.ISO8601,asc))</v>
      </c>
    </row>
    <row r="230" spans="1:91" s="20" customFormat="1" x14ac:dyDescent="0.25">
      <c r="A230" s="32" t="s">
        <v>624</v>
      </c>
      <c r="B230" s="7">
        <v>4005</v>
      </c>
      <c r="C230" s="21" t="s">
        <v>196</v>
      </c>
      <c r="D230" s="21" t="s">
        <v>893</v>
      </c>
      <c r="E230" s="13">
        <v>42999.139270833337</v>
      </c>
      <c r="F230" s="13">
        <v>42999.140706018516</v>
      </c>
      <c r="G230" s="7">
        <v>63</v>
      </c>
      <c r="H230" s="21" t="s">
        <v>894</v>
      </c>
      <c r="I230" s="13">
        <v>42999.141724537039</v>
      </c>
      <c r="J230" s="7">
        <v>0</v>
      </c>
      <c r="K230" s="89" t="str">
        <f t="shared" si="146"/>
        <v>4005/4006</v>
      </c>
      <c r="L230" s="185" t="str">
        <f>VLOOKUP(A230,'Trips&amp;Operators'!$C$1:$G$99911,5,FALSE)</f>
        <v>SPECTOR MICHAEL</v>
      </c>
      <c r="M230" s="6">
        <f t="shared" si="147"/>
        <v>1.0185185237787664E-3</v>
      </c>
      <c r="N230" s="7">
        <f t="shared" si="148"/>
        <v>1.4666666742414236</v>
      </c>
      <c r="O230" s="7"/>
      <c r="P230" s="7"/>
      <c r="Q230" s="22"/>
      <c r="R230" s="174"/>
      <c r="S230" s="221">
        <f t="shared" si="149"/>
        <v>0</v>
      </c>
      <c r="T230" s="174" t="str">
        <f t="shared" si="150"/>
        <v>Southbound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16" t="str">
        <f t="shared" si="151"/>
        <v>https://d0f6bd738d7f1b3e5a7ca70fe4ff75f0.us-east-1.aws.found.io/app/kibana#/discover/Steve-Slow-Train-Analysis-(2080s-and-2083s)?_g=(refreshInterval:(display:Off,pause:!f,section:0,value:0),time:(from:'2017-09-21T02:20:33-0600',mode:absolute,to:'2017-09-21T04:24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30" s="204" t="str">
        <f>IF(AA230&lt;VLOOKUP(AG230,Variables!$AC$3:$AD$8,2,FALSE),"Y","N")</f>
        <v>Y</v>
      </c>
      <c r="X230" s="204">
        <f t="shared" si="152"/>
        <v>1</v>
      </c>
      <c r="Y230" s="204">
        <f t="shared" si="153"/>
        <v>0.32329999999999998</v>
      </c>
      <c r="Z230" s="204">
        <f t="shared" si="154"/>
        <v>0.1177</v>
      </c>
      <c r="AA230" s="204">
        <f t="shared" si="155"/>
        <v>0.20559999999999998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179">
        <f t="shared" si="156"/>
        <v>52</v>
      </c>
      <c r="AE230" s="77" t="str">
        <f t="shared" si="157"/>
        <v>aws s3 cp s3://rtdc.mdm.uploadarchive.raw/RTDC4005/ "%USERPROFILE%\AppData\Local\Temp\OnboardLogs"\RTDC4005\2017-09-21 --exclude "*" --recursive --include "*20170921*" &amp; "%USERPROFILE%\Documents\GitHub\mrs-test-scripts\Headless Mode &amp; Sideloading\WalkAndUnGZ.bat" "%USERPROFILE%\AppData\Local\Temp\OnboardLogs"\RTDC4005\2017-09-21 &amp; aws s3 cp s3://rtdc.mdm.uploadarchive.raw/RTDC4005/ "%USERPROFILE%\AppData\Local\Temp\OnboardLogs"\RTDC4005\2017-09-22 --exclude "*" --recursive --include "*20170922*" &amp; "%USERPROFILE%\Documents\GitHub\mrs-test-scripts\Headless Mode &amp; Sideloading\WalkAndUnGZ.bat" "%USERPROFILE%\AppData\Local\Temp\OnboardLogs"\RTDC4005\2017-09-22</v>
      </c>
      <c r="AF230" s="74" t="str">
        <f t="shared" si="158"/>
        <v>"C:\Program Files (x86)\AstroGrep\AstroGrep.exe" /e /r /s /spath="%USERPROFILE%\AppData\Local\Temp\OnboardLogs" /stypes="app*4005*20170921*" /stext=" 09:.+((SYSTEM_STATE.+slice.+state.+changed )|(ment ac)|(multiple cpu faults)|(system.+state.+changed )|(\[timeout)|(PRM\|1\|D)|(kpr)|(kdp)|(train st.+moving)|(\|lc)|(penalty))"</v>
      </c>
      <c r="AG230" s="182" t="str">
        <f t="shared" si="159"/>
        <v>Shuttle/Test</v>
      </c>
      <c r="AH230" s="78" t="str">
        <f t="shared" si="160"/>
        <v>"%USERPROFILE%\Documents\GitHub\eaglep3\Utilities\RefineRTDCRunTimes.py" --tripid 52-21 --locoid 4005 --swversion DE.1.0.9.0 --startMP 204:3233 --initTime 2017-09-21T03:20:33 --startdatetime 2017-09-21T03:22:37 --delay 63 --endMP 204:1177 --enddatetime 2017-09-21T03:24:05 --enforcementcount 0 &gt;&gt;c:\users\stu\Documents\GitHub\eaglep3-reporting\EC\2017-09-21-refined-times.txt</v>
      </c>
      <c r="AI230" s="96" t="str">
        <f t="shared" si="161"/>
        <v>echo {"issue":{"subject":"","project_id":79,"tracker_id":40,"status_id":1,"priority_id":2,"assigned_to_id":338,"start_date":"2017-09-21","description":"","custom_fields":[{"id":1,"name":"Subdivision","value":"Shuttle/Test"},{"id":4,"name":"Milepost","value":"0.1177"},{"id":17,"name":"Train ID","value":"52-21"},{"id":16,"name":"Locomotive ID","value":"4005"},{"id":130,"name":"Impact","value":""},{"id":150,"name":"Time of Event (Mountain Time)","value":"03:24:05"},{"id":151,"name":"Denver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0" s="47"/>
      <c r="AL230" s="47"/>
      <c r="AM230" s="142" t="str">
        <f t="shared" si="162"/>
        <v>start /low /b %USERPROFILE%\Documents\GitHub\eaglep3\Utilities\DownloadLogsFromS3.py --loco 4005 --day 2017-09-21</v>
      </c>
      <c r="AN230" s="151" t="str">
        <f t="shared" si="163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09:24:05"},{"id":29,"name":"Sharepoint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164"/>
        <v>https://d0f6bd738d7f1b3e5a7ca70fe4ff75f0.us-east-1.aws.found.io/app/kibana#/discover/Steve-Slow-Train-Analysis-(2080s-and-2083s)?_g=(refreshInterval:(display:Off,pause:!f,section:0,value:0),time:(from:'2017-09-21T02:20:33-0600',mode:absolute,to:'2017-09-21T04:24:05-0600'))&amp;_a=(columns:!('Message%20ID',Summary),filters:!(),index:'emp_*',interval:auto,query:(query_string:(analyze_wildcard:!t,query:'Message%5C+ID:(*)+AND+%22rtdc.l.rtdc.4005%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 s="32" t="s">
        <v>704</v>
      </c>
      <c r="B231" s="7">
        <v>4002</v>
      </c>
      <c r="C231" s="21" t="s">
        <v>196</v>
      </c>
      <c r="D231" s="21" t="s">
        <v>895</v>
      </c>
      <c r="E231" s="13">
        <v>42999.475439814814</v>
      </c>
      <c r="F231" s="13">
        <v>42999.478703703702</v>
      </c>
      <c r="G231" s="7">
        <v>64</v>
      </c>
      <c r="H231" s="21" t="s">
        <v>896</v>
      </c>
      <c r="I231" s="13">
        <v>42999.485671296294</v>
      </c>
      <c r="J231" s="7">
        <v>0</v>
      </c>
      <c r="K231" s="89" t="str">
        <f t="shared" si="146"/>
        <v>4001/4002</v>
      </c>
      <c r="L231" s="185" t="str">
        <f>VLOOKUP(A231,'Trips&amp;Operators'!$C$1:$G$99911,5,FALSE)</f>
        <v>CASSIDY BRANDON</v>
      </c>
      <c r="M231" s="6">
        <f t="shared" si="147"/>
        <v>6.9675925915362313E-3</v>
      </c>
      <c r="N231" s="7">
        <f t="shared" si="148"/>
        <v>10.033333331812173</v>
      </c>
      <c r="O231" s="7"/>
      <c r="P231" s="7"/>
      <c r="Q231" s="22"/>
      <c r="R231" s="174"/>
      <c r="S231" s="221">
        <f t="shared" si="149"/>
        <v>1</v>
      </c>
      <c r="T231" s="174" t="str">
        <f t="shared" si="150"/>
        <v>NorthBound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216" t="str">
        <f t="shared" si="151"/>
        <v>https://d0f6bd738d7f1b3e5a7ca70fe4ff75f0.us-east-1.aws.found.io/app/kibana#/discover/Steve-Slow-Train-Analysis-(2080s-and-2083s)?_g=(refreshInterval:(display:Off,pause:!f,section:0,value:0),time:(from:'2017-09-21T10:24:38-0600',mode:absolute,to:'2017-09-21T12:39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1" s="204" t="str">
        <f>IF(AA231&lt;VLOOKUP(AG231,Variables!$AC$3:$AD$8,2,FALSE),"Y","N")</f>
        <v>Y</v>
      </c>
      <c r="X231" s="204">
        <f t="shared" si="152"/>
        <v>1</v>
      </c>
      <c r="Y231" s="204">
        <f t="shared" si="153"/>
        <v>0.1244</v>
      </c>
      <c r="Z231" s="204">
        <f t="shared" si="154"/>
        <v>2.4205000000000001</v>
      </c>
      <c r="AA231" s="204">
        <f t="shared" si="155"/>
        <v>2.2961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179">
        <f t="shared" si="156"/>
        <v>53</v>
      </c>
      <c r="AE231" s="77" t="str">
        <f t="shared" si="157"/>
        <v>aws s3 cp s3://rtdc.mdm.uploadarchive.raw/RTDC4002/ "%USERPROFILE%\AppData\Local\Temp\OnboardLogs"\RTDC4002\2017-09-21 --exclude "*" --recursive --include "*20170921*" &amp; "%USERPROFILE%\Documents\GitHub\mrs-test-scripts\Headless Mode &amp; Sideloading\WalkAndUnGZ.bat" "%USERPROFILE%\AppData\Local\Temp\OnboardLogs"\RTDC4002\2017-09-21 &amp; aws s3 cp s3://rtdc.mdm.uploadarchive.raw/RTDC4002/ "%USERPROFILE%\AppData\Local\Temp\OnboardLogs"\RTDC4002\2017-09-22 --exclude "*" --recursive --include "*20170922*" &amp; "%USERPROFILE%\Documents\GitHub\mrs-test-scripts\Headless Mode &amp; Sideloading\WalkAndUnGZ.bat" "%USERPROFILE%\AppData\Local\Temp\OnboardLogs"\RTDC4002\2017-09-22</v>
      </c>
      <c r="AF231" s="74" t="str">
        <f t="shared" si="158"/>
        <v>"C:\Program Files (x86)\AstroGrep\AstroGrep.exe" /e /r /s /spath="%USERPROFILE%\AppData\Local\Temp\OnboardLogs" /stypes="app*4002*20170921*" /stext=" 17:.+((SYSTEM_STATE.+slice.+state.+changed )|(ment ac)|(multiple cpu faults)|(system.+state.+changed )|(\[timeout)|(PRM\|1\|D)|(kpr)|(kdp)|(train st.+moving)|(\|lc)|(penalty))"</v>
      </c>
      <c r="AG231" s="182" t="str">
        <f t="shared" si="159"/>
        <v>Shuttle/Test</v>
      </c>
      <c r="AH231" s="78" t="str">
        <f t="shared" si="160"/>
        <v>"%USERPROFILE%\Documents\GitHub\eaglep3\Utilities\RefineRTDCRunTimes.py" --tripid 53-21 --locoid 4002 --swversion DE.1.0.9.0 --startMP 204:1244 --initTime 2017-09-21T11:24:38 --startdatetime 2017-09-21T11:29:20 --delay 64 --endMP 300:24205 --enddatetime 2017-09-21T11:39:22 --enforcementcount 0 &gt;&gt;c:\users\stu\Documents\GitHub\eaglep3-reporting\EC\2017-09-21-refined-times.txt</v>
      </c>
      <c r="AI231" s="96" t="str">
        <f t="shared" si="161"/>
        <v>echo {"issue":{"subject":"","project_id":79,"tracker_id":40,"status_id":1,"priority_id":2,"assigned_to_id":338,"start_date":"2017-09-21","description":"","custom_fields":[{"id":1,"name":"Subdivision","value":"Shuttle/Test"},{"id":4,"name":"Milepost","value":"2.4205"},{"id":17,"name":"Train ID","value":"53-21"},{"id":16,"name":"Locomotive ID","value":"4002"},{"id":130,"name":"Impact","value":""},{"id":150,"name":"Time of Event (Mountain Time)","value":"11:39:22"},{"id":151,"name":"Denver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1" s="47"/>
      <c r="AL231" s="47"/>
      <c r="AM231" s="142" t="str">
        <f t="shared" si="162"/>
        <v>start /low /b %USERPROFILE%\Documents\GitHub\eaglep3\Utilities\DownloadLogsFromS3.py --loco 4002 --day 2017-09-21</v>
      </c>
      <c r="AN231" s="151" t="str">
        <f t="shared" si="163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17:39:22"},{"id":29,"name":"Sharepoint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164"/>
        <v>https://d0f6bd738d7f1b3e5a7ca70fe4ff75f0.us-east-1.aws.found.io/app/kibana#/discover/Steve-Slow-Train-Analysis-(2080s-and-2083s)?_g=(refreshInterval:(display:Off,pause:!f,section:0,value:0),time:(from:'2017-09-21T10:24:38-0600',mode:absolute,to:'2017-09-21T12:39:22-0600'))&amp;_a=(columns:!('Message%20ID',Summary),filters:!(),index:'emp_*',interval:auto,query:(query_string:(analyze_wildcard:!t,query:'Message%5C+ID:(*)+AND+%22rtdc.l.rtdc.4002%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 s="32" t="s">
        <v>800</v>
      </c>
      <c r="B232" s="7">
        <v>4024</v>
      </c>
      <c r="C232" s="21" t="s">
        <v>196</v>
      </c>
      <c r="D232" s="21" t="s">
        <v>370</v>
      </c>
      <c r="E232" s="13">
        <v>42999.837916666664</v>
      </c>
      <c r="F232" s="13">
        <v>42999.843935185185</v>
      </c>
      <c r="G232" s="7">
        <v>68</v>
      </c>
      <c r="H232" s="21" t="s">
        <v>468</v>
      </c>
      <c r="I232" s="13">
        <v>42999.875868055555</v>
      </c>
      <c r="J232" s="7">
        <v>0</v>
      </c>
      <c r="K232" s="89" t="str">
        <f t="shared" si="146"/>
        <v>4023/4024</v>
      </c>
      <c r="L232" s="185" t="str">
        <f>VLOOKUP(A232,'Trips&amp;Operators'!$C$1:$G$99911,5,FALSE)</f>
        <v>LOPES KIMBERLY</v>
      </c>
      <c r="M232" s="6">
        <f t="shared" si="147"/>
        <v>3.1932870369928423E-2</v>
      </c>
      <c r="N232" s="7">
        <f t="shared" si="148"/>
        <v>45.98333333269693</v>
      </c>
      <c r="O232" s="7"/>
      <c r="P232" s="7"/>
      <c r="Q232" s="22"/>
      <c r="R232" s="174"/>
      <c r="S232" s="221">
        <f t="shared" si="149"/>
        <v>1</v>
      </c>
      <c r="T232" s="174" t="str">
        <f t="shared" si="150"/>
        <v>NorthBound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16" t="str">
        <f t="shared" si="151"/>
        <v>https://d0f6bd738d7f1b3e5a7ca70fe4ff75f0.us-east-1.aws.found.io/app/kibana#/discover/Steve-Slow-Train-Analysis-(2080s-and-2083s)?_g=(refreshInterval:(display:Off,pause:!f,section:0,value:0),time:(from:'2017-09-21T19:06:36-0600',mode:absolute,to:'2017-09-21T22:01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2" s="204" t="str">
        <f>IF(AA232&lt;VLOOKUP(AG232,Variables!$AC$3:$AD$8,2,FALSE),"Y","N")</f>
        <v>Y</v>
      </c>
      <c r="X232" s="204">
        <f t="shared" si="152"/>
        <v>2</v>
      </c>
      <c r="Y232" s="204">
        <f t="shared" si="153"/>
        <v>4.6699999999999998E-2</v>
      </c>
      <c r="Z232" s="204">
        <f t="shared" si="154"/>
        <v>23.331700000000001</v>
      </c>
      <c r="AA232" s="204">
        <f t="shared" si="155"/>
        <v>23.285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179">
        <f t="shared" si="156"/>
        <v>55</v>
      </c>
      <c r="AE232" s="77" t="str">
        <f t="shared" si="157"/>
        <v>aws s3 cp s3://rtdc.mdm.uploadarchive.raw/RTDC4024/ "%USERPROFILE%\AppData\Local\Temp\OnboardLogs"\RTDC4024\2017-09-21 --exclude "*" --recursive --include "*20170921*" &amp; "%USERPROFILE%\Documents\GitHub\mrs-test-scripts\Headless Mode &amp; Sideloading\WalkAndUnGZ.bat" "%USERPROFILE%\AppData\Local\Temp\OnboardLogs"\RTDC4024\2017-09-21 &amp; aws s3 cp s3://rtdc.mdm.uploadarchive.raw/RTDC4024/ "%USERPROFILE%\AppData\Local\Temp\OnboardLogs"\RTDC4024\2017-09-22 --exclude "*" --recursive --include "*20170922*" &amp; "%USERPROFILE%\Documents\GitHub\mrs-test-scripts\Headless Mode &amp; Sideloading\WalkAndUnGZ.bat" "%USERPROFILE%\AppData\Local\Temp\OnboardLogs"\RTDC4024\2017-09-22</v>
      </c>
      <c r="AF232" s="74" t="str">
        <f t="shared" si="158"/>
        <v>"C:\Program Files (x86)\AstroGrep\AstroGrep.exe" /e /r /s /spath="%USERPROFILE%\AppData\Local\Temp\OnboardLogs" /stypes="app*4024*20170922*" /stext=" 03:.+((SYSTEM_STATE.+slice.+state.+changed )|(ment ac)|(multiple cpu faults)|(system.+state.+changed )|(\[timeout)|(PRM\|1\|D)|(kpr)|(kdp)|(train st.+moving)|(\|lc)|(penalty))"</v>
      </c>
      <c r="AG232" s="182" t="str">
        <f t="shared" si="159"/>
        <v>Shuttle/Test</v>
      </c>
      <c r="AH232" s="78" t="str">
        <f t="shared" si="160"/>
        <v>"%USERPROFILE%\Documents\GitHub\eaglep3\Utilities\RefineRTDCRunTimes.py" --tripid 55-21 --locoid 4024 --swversion DE.1.0.9.0 --startMP 204:467 --initTime 2017-09-21T20:06:36 --startdatetime 2017-09-21T20:15:16 --delay 68 --endMP 204:233317 --enddatetime 2017-09-21T21:01:15 --enforcementcount 0 &gt;&gt;c:\users\stu\Documents\GitHub\eaglep3-reporting\EC\2017-09-21-refined-times.txt</v>
      </c>
      <c r="AI232" s="96" t="str">
        <f t="shared" si="161"/>
        <v>echo {"issue":{"subject":"","project_id":79,"tracker_id":40,"status_id":1,"priority_id":2,"assigned_to_id":338,"start_date":"2017-09-21","description":"","custom_fields":[{"id":1,"name":"Subdivision","value":"Shuttle/Test"},{"id":4,"name":"Milepost","value":"23.3317"},{"id":17,"name":"Train ID","value":"55-21"},{"id":16,"name":"Locomotive ID","value":"4024"},{"id":130,"name":"Impact","value":""},{"id":150,"name":"Time of Event (Mountain Time)","value":"21:01:15"},{"id":151,"name":"Denver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2" s="47"/>
      <c r="AL232" s="47"/>
      <c r="AM232" s="142" t="str">
        <f t="shared" si="162"/>
        <v>start /low /b %USERPROFILE%\Documents\GitHub\eaglep3\Utilities\DownloadLogsFromS3.py --loco 4024 --day 2017-09-21</v>
      </c>
      <c r="AN232" s="151" t="str">
        <f t="shared" si="16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03:01:15"},{"id":29,"name":"Sharepoint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164"/>
        <v>https://d0f6bd738d7f1b3e5a7ca70fe4ff75f0.us-east-1.aws.found.io/app/kibana#/discover/Steve-Slow-Train-Analysis-(2080s-and-2083s)?_g=(refreshInterval:(display:Off,pause:!f,section:0,value:0),time:(from:'2017-09-21T19:06:36-0600',mode:absolute,to:'2017-09-21T22:01:15-0600'))&amp;_a=(columns:!('Message%20ID',Summary),filters:!(),index:'emp_*',interval:auto,query:(query_string:(analyze_wildcard:!t,query:'Message%5C+ID:(*)+AND+%22rtdc.l.rtdc.4024%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 s="32" t="s">
        <v>800</v>
      </c>
      <c r="B233" s="7">
        <v>4024</v>
      </c>
      <c r="C233" s="21" t="s">
        <v>196</v>
      </c>
      <c r="D233" s="21" t="s">
        <v>897</v>
      </c>
      <c r="E233" s="13">
        <v>42999.924826388888</v>
      </c>
      <c r="F233" s="13">
        <v>42999.947812500002</v>
      </c>
      <c r="G233" s="7">
        <v>49</v>
      </c>
      <c r="H233" s="21" t="s">
        <v>424</v>
      </c>
      <c r="I233" s="13">
        <v>42999.953946759262</v>
      </c>
      <c r="J233" s="7">
        <v>0</v>
      </c>
      <c r="K233" s="89" t="str">
        <f t="shared" si="146"/>
        <v>4023/4024</v>
      </c>
      <c r="L233" s="185" t="str">
        <f>VLOOKUP(A233,'Trips&amp;Operators'!$C$1:$G$99911,5,FALSE)</f>
        <v>LOPES KIMBERLY</v>
      </c>
      <c r="M233" s="6">
        <f t="shared" si="147"/>
        <v>6.1342592598521151E-3</v>
      </c>
      <c r="N233" s="7">
        <f t="shared" si="148"/>
        <v>8.8333333341870457</v>
      </c>
      <c r="O233" s="7"/>
      <c r="P233" s="7"/>
      <c r="Q233" s="22"/>
      <c r="R233" s="174"/>
      <c r="S233" s="221">
        <f t="shared" si="149"/>
        <v>0</v>
      </c>
      <c r="T233" s="174" t="str">
        <f t="shared" si="150"/>
        <v>NorthBound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16" t="str">
        <f t="shared" si="151"/>
        <v>https://d0f6bd738d7f1b3e5a7ca70fe4ff75f0.us-east-1.aws.found.io/app/kibana#/discover/Steve-Slow-Train-Analysis-(2080s-and-2083s)?_g=(refreshInterval:(display:Off,pause:!f,section:0,value:0),time:(from:'2017-09-21T21:11:45-0600',mode:absolute,to:'2017-09-21T23:53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3" s="204" t="str">
        <f>IF(AA233&lt;VLOOKUP(AG233,Variables!$AC$3:$AD$8,2,FALSE),"Y","N")</f>
        <v>Y</v>
      </c>
      <c r="X233" s="204">
        <f t="shared" si="152"/>
        <v>0</v>
      </c>
      <c r="Y233" s="204">
        <f t="shared" si="153"/>
        <v>19.038799999999998</v>
      </c>
      <c r="Z233" s="204">
        <f t="shared" si="154"/>
        <v>23.329899999999999</v>
      </c>
      <c r="AA233" s="204">
        <f t="shared" si="155"/>
        <v>4.2911000000000001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179">
        <f t="shared" si="156"/>
        <v>55</v>
      </c>
      <c r="AE233" s="77" t="str">
        <f t="shared" si="157"/>
        <v>aws s3 cp s3://rtdc.mdm.uploadarchive.raw/RTDC4024/ "%USERPROFILE%\AppData\Local\Temp\OnboardLogs"\RTDC4024\2017-09-21 --exclude "*" --recursive --include "*20170921*" &amp; "%USERPROFILE%\Documents\GitHub\mrs-test-scripts\Headless Mode &amp; Sideloading\WalkAndUnGZ.bat" "%USERPROFILE%\AppData\Local\Temp\OnboardLogs"\RTDC4024\2017-09-21 &amp; aws s3 cp s3://rtdc.mdm.uploadarchive.raw/RTDC4024/ "%USERPROFILE%\AppData\Local\Temp\OnboardLogs"\RTDC4024\2017-09-22 --exclude "*" --recursive --include "*20170922*" &amp; "%USERPROFILE%\Documents\GitHub\mrs-test-scripts\Headless Mode &amp; Sideloading\WalkAndUnGZ.bat" "%USERPROFILE%\AppData\Local\Temp\OnboardLogs"\RTDC4024\2017-09-22</v>
      </c>
      <c r="AF233" s="74" t="str">
        <f t="shared" si="158"/>
        <v>"C:\Program Files (x86)\AstroGrep\AstroGrep.exe" /e /r /s /spath="%USERPROFILE%\AppData\Local\Temp\OnboardLogs" /stypes="app*4024*20170922*" /stext=" 04:.+((SYSTEM_STATE.+slice.+state.+changed )|(ment ac)|(multiple cpu faults)|(system.+state.+changed )|(\[timeout)|(PRM\|1\|D)|(kpr)|(kdp)|(train st.+moving)|(\|lc)|(penalty))"</v>
      </c>
      <c r="AG233" s="182" t="str">
        <f t="shared" si="159"/>
        <v>Shuttle/Test</v>
      </c>
      <c r="AH233" s="78" t="str">
        <f t="shared" si="160"/>
        <v>"%USERPROFILE%\Documents\GitHub\eaglep3\Utilities\RefineRTDCRunTimes.py" --tripid 55-21 --locoid 4024 --swversion DE.1.0.9.0 --startMP 204:190388 --initTime 2017-09-21T22:11:45 --startdatetime 2017-09-21T22:44:51 --delay 49 --endMP 204:233299 --enddatetime 2017-09-21T22:53:41 --enforcementcount 0 &gt;&gt;c:\users\stu\Documents\GitHub\eaglep3-reporting\EC\2017-09-21-refined-times.txt</v>
      </c>
      <c r="AI233" s="96" t="str">
        <f t="shared" si="161"/>
        <v>echo {"issue":{"subject":"","project_id":79,"tracker_id":40,"status_id":1,"priority_id":2,"assigned_to_id":338,"start_date":"2017-09-21","description":"","custom_fields":[{"id":1,"name":"Subdivision","value":"Shuttle/Test"},{"id":4,"name":"Milepost","value":"23.3299"},{"id":17,"name":"Train ID","value":"55-21"},{"id":16,"name":"Locomotive ID","value":"4024"},{"id":130,"name":"Impact","value":""},{"id":150,"name":"Time of Event (Mountain Time)","value":"22:53:41"},{"id":151,"name":"Denver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3" s="47"/>
      <c r="AL233" s="47"/>
      <c r="AM233" s="142" t="str">
        <f t="shared" si="162"/>
        <v>start /low /b %USERPROFILE%\Documents\GitHub\eaglep3\Utilities\DownloadLogsFromS3.py --loco 4024 --day 2017-09-21</v>
      </c>
      <c r="AN233" s="151" t="str">
        <f t="shared" si="16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04:53:41"},{"id":29,"name":"Sharepoint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164"/>
        <v>https://d0f6bd738d7f1b3e5a7ca70fe4ff75f0.us-east-1.aws.found.io/app/kibana#/discover/Steve-Slow-Train-Analysis-(2080s-and-2083s)?_g=(refreshInterval:(display:Off,pause:!f,section:0,value:0),time:(from:'2017-09-21T21:11:45-0600',mode:absolute,to:'2017-09-21T23:53:41-0600'))&amp;_a=(columns:!('Message%20ID',Summary),filters:!(),index:'emp_*',interval:auto,query:(query_string:(analyze_wildcard:!t,query:'Message%5C+ID:(*)+AND+%22rtdc.l.rtdc.4024%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x14ac:dyDescent="0.25">
      <c r="A234" s="32" t="s">
        <v>800</v>
      </c>
      <c r="B234" s="7">
        <v>4024</v>
      </c>
      <c r="C234" s="21" t="s">
        <v>196</v>
      </c>
      <c r="D234" s="21" t="s">
        <v>898</v>
      </c>
      <c r="E234" s="13">
        <v>42999.971458333333</v>
      </c>
      <c r="F234" s="13">
        <v>42999.97283564815</v>
      </c>
      <c r="G234" s="7">
        <v>54</v>
      </c>
      <c r="H234" s="21" t="s">
        <v>876</v>
      </c>
      <c r="I234" s="13">
        <v>42999.980833333335</v>
      </c>
      <c r="J234" s="7">
        <v>0</v>
      </c>
      <c r="K234" s="89" t="str">
        <f t="shared" si="146"/>
        <v>4023/4024</v>
      </c>
      <c r="L234" s="185" t="str">
        <f>VLOOKUP(A234,'Trips&amp;Operators'!$C$1:$G$99911,5,FALSE)</f>
        <v>LOPES KIMBERLY</v>
      </c>
      <c r="M234" s="6">
        <f t="shared" si="147"/>
        <v>7.9976851848186925E-3</v>
      </c>
      <c r="N234" s="7">
        <f t="shared" si="148"/>
        <v>11.516666666138917</v>
      </c>
      <c r="O234" s="7"/>
      <c r="P234" s="7"/>
      <c r="Q234" s="22"/>
      <c r="R234" s="174"/>
      <c r="S234" s="221">
        <f t="shared" si="149"/>
        <v>0</v>
      </c>
      <c r="T234" s="174" t="str">
        <f t="shared" si="150"/>
        <v>NorthBound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16" t="str">
        <f t="shared" si="151"/>
        <v>https://d0f6bd738d7f1b3e5a7ca70fe4ff75f0.us-east-1.aws.found.io/app/kibana#/discover/Steve-Slow-Train-Analysis-(2080s-and-2083s)?_g=(refreshInterval:(display:Off,pause:!f,section:0,value:0),time:(from:'2017-09-21T22:18:54-0600',mode:absolute,to:'2017-09-22T00:32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4" s="204" t="str">
        <f>IF(AA234&lt;VLOOKUP(AG234,Variables!$AC$3:$AD$8,2,FALSE),"Y","N")</f>
        <v>Y</v>
      </c>
      <c r="X234" s="204">
        <f t="shared" si="152"/>
        <v>0</v>
      </c>
      <c r="Y234" s="204">
        <f t="shared" si="153"/>
        <v>19.0364</v>
      </c>
      <c r="Z234" s="204">
        <f t="shared" si="154"/>
        <v>23.332000000000001</v>
      </c>
      <c r="AA234" s="204">
        <f t="shared" si="155"/>
        <v>4.2956000000000003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179">
        <f t="shared" si="156"/>
        <v>55</v>
      </c>
      <c r="AE234" s="77" t="str">
        <f t="shared" si="157"/>
        <v>aws s3 cp s3://rtdc.mdm.uploadarchive.raw/RTDC4024/ "%USERPROFILE%\AppData\Local\Temp\OnboardLogs"\RTDC4024\2017-09-21 --exclude "*" --recursive --include "*20170921*" &amp; "%USERPROFILE%\Documents\GitHub\mrs-test-scripts\Headless Mode &amp; Sideloading\WalkAndUnGZ.bat" "%USERPROFILE%\AppData\Local\Temp\OnboardLogs"\RTDC4024\2017-09-21 &amp; aws s3 cp s3://rtdc.mdm.uploadarchive.raw/RTDC4024/ "%USERPROFILE%\AppData\Local\Temp\OnboardLogs"\RTDC4024\2017-09-22 --exclude "*" --recursive --include "*20170922*" &amp; "%USERPROFILE%\Documents\GitHub\mrs-test-scripts\Headless Mode &amp; Sideloading\WalkAndUnGZ.bat" "%USERPROFILE%\AppData\Local\Temp\OnboardLogs"\RTDC4024\2017-09-22</v>
      </c>
      <c r="AF234" s="74" t="str">
        <f t="shared" si="158"/>
        <v>"C:\Program Files (x86)\AstroGrep\AstroGrep.exe" /e /r /s /spath="%USERPROFILE%\AppData\Local\Temp\OnboardLogs" /stypes="app*4024*20170922*" /stext=" 05:.+((SYSTEM_STATE.+slice.+state.+changed )|(ment ac)|(multiple cpu faults)|(system.+state.+changed )|(\[timeout)|(PRM\|1\|D)|(kpr)|(kdp)|(train st.+moving)|(\|lc)|(penalty))"</v>
      </c>
      <c r="AG234" s="182" t="str">
        <f t="shared" si="159"/>
        <v>Shuttle/Test</v>
      </c>
      <c r="AH234" s="78" t="str">
        <f t="shared" si="160"/>
        <v>"%USERPROFILE%\Documents\GitHub\eaglep3\Utilities\RefineRTDCRunTimes.py" --tripid 55-21 --locoid 4024 --swversion DE.1.0.9.0 --startMP 204:190364 --initTime 2017-09-21T23:18:54 --startdatetime 2017-09-21T23:20:53 --delay 54 --endMP 204:233320 --enddatetime 2017-09-21T23:32:24 --enforcementcount 0 &gt;&gt;c:\users\stu\Documents\GitHub\eaglep3-reporting\EC\2017-09-21-refined-times.txt</v>
      </c>
      <c r="AI234" s="96" t="str">
        <f t="shared" si="161"/>
        <v>echo {"issue":{"subject":"","project_id":79,"tracker_id":40,"status_id":1,"priority_id":2,"assigned_to_id":338,"start_date":"2017-09-21","description":"","custom_fields":[{"id":1,"name":"Subdivision","value":"Shuttle/Test"},{"id":4,"name":"Milepost","value":"23.332"},{"id":17,"name":"Train ID","value":"55-21"},{"id":16,"name":"Locomotive ID","value":"4024"},{"id":130,"name":"Impact","value":""},{"id":150,"name":"Time of Event (Mountain Time)","value":"23:32:24"},{"id":151,"name":"Denver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162"/>
        <v>start /low /b %USERPROFILE%\Documents\GitHub\eaglep3\Utilities\DownloadLogsFromS3.py --loco 4024 --day 2017-09-21</v>
      </c>
      <c r="AN234" s="151" t="str">
        <f t="shared" si="16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05:32:24"},{"id":29,"name":"Sharepoint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164"/>
        <v>https://d0f6bd738d7f1b3e5a7ca70fe4ff75f0.us-east-1.aws.found.io/app/kibana#/discover/Steve-Slow-Train-Analysis-(2080s-and-2083s)?_g=(refreshInterval:(display:Off,pause:!f,section:0,value:0),time:(from:'2017-09-21T22:18:54-0600',mode:absolute,to:'2017-09-22T00:32:24-0600'))&amp;_a=(columns:!('Message%20ID',Summary),filters:!(),index:'emp_*',interval:auto,query:(query_string:(analyze_wildcard:!t,query:'Message%5C+ID:(*)+AND+%22rtdc.l.rtdc.4024%22')),sort:!(Time.ISO8601,asc))</v>
      </c>
    </row>
    <row r="235" spans="1:91" x14ac:dyDescent="0.25">
      <c r="A235" s="32" t="s">
        <v>795</v>
      </c>
      <c r="B235" s="7">
        <v>4023</v>
      </c>
      <c r="C235" s="21" t="s">
        <v>196</v>
      </c>
      <c r="D235" s="21" t="s">
        <v>899</v>
      </c>
      <c r="E235" s="13">
        <v>42999.820613425924</v>
      </c>
      <c r="F235" s="13">
        <v>42999.829629629632</v>
      </c>
      <c r="G235" s="7">
        <v>80</v>
      </c>
      <c r="H235" s="21" t="s">
        <v>337</v>
      </c>
      <c r="I235" s="13">
        <v>42999.83489583333</v>
      </c>
      <c r="J235" s="7">
        <v>0</v>
      </c>
      <c r="K235" s="89" t="str">
        <f t="shared" si="146"/>
        <v>4023/4024</v>
      </c>
      <c r="L235" s="185" t="str">
        <f>VLOOKUP(A235,'Trips&amp;Operators'!$C$1:$G$99911,5,FALSE)</f>
        <v>LOPES KIMBERLY</v>
      </c>
      <c r="M235" s="6">
        <f t="shared" si="147"/>
        <v>5.2662036978290416E-3</v>
      </c>
      <c r="N235" s="7">
        <f t="shared" si="148"/>
        <v>7.5833333248738199</v>
      </c>
      <c r="O235" s="7"/>
      <c r="P235" s="7"/>
      <c r="Q235" s="22"/>
      <c r="R235" s="174"/>
      <c r="S235" s="221">
        <f t="shared" si="149"/>
        <v>1</v>
      </c>
      <c r="T235" s="174" t="str">
        <f t="shared" si="150"/>
        <v>Southbound</v>
      </c>
      <c r="U235" s="19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16" t="str">
        <f t="shared" si="151"/>
        <v>https://d0f6bd738d7f1b3e5a7ca70fe4ff75f0.us-east-1.aws.found.io/app/kibana#/discover/Steve-Slow-Train-Analysis-(2080s-and-2083s)?_g=(refreshInterval:(display:Off,pause:!f,section:0,value:0),time:(from:'2017-09-21T18:41:41-0600',mode:absolute,to:'2017-09-21T21:02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5" s="204" t="str">
        <f>IF(AA235&lt;VLOOKUP(AG235,Variables!$AC$3:$AD$8,2,FALSE),"Y","N")</f>
        <v>Y</v>
      </c>
      <c r="X235" s="204">
        <f t="shared" si="152"/>
        <v>1</v>
      </c>
      <c r="Y235" s="204">
        <f t="shared" si="153"/>
        <v>2.3207</v>
      </c>
      <c r="Z235" s="204">
        <f t="shared" si="154"/>
        <v>1.4999999999999999E-2</v>
      </c>
      <c r="AA235" s="204">
        <f t="shared" si="155"/>
        <v>2.3056999999999999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179">
        <f t="shared" si="156"/>
        <v>56</v>
      </c>
      <c r="AE235" s="77" t="str">
        <f t="shared" si="157"/>
        <v>aws s3 cp s3://rtdc.mdm.uploadarchive.raw/RTDC4023/ "%USERPROFILE%\AppData\Local\Temp\OnboardLogs"\RTDC4023\2017-09-21 --exclude "*" --recursive --include "*20170921*" &amp; "%USERPROFILE%\Documents\GitHub\mrs-test-scripts\Headless Mode &amp; Sideloading\WalkAndUnGZ.bat" "%USERPROFILE%\AppData\Local\Temp\OnboardLogs"\RTDC4023\2017-09-21 &amp; aws s3 cp s3://rtdc.mdm.uploadarchive.raw/RTDC4023/ "%USERPROFILE%\AppData\Local\Temp\OnboardLogs"\RTDC4023\2017-09-22 --exclude "*" --recursive --include "*20170922*" &amp; "%USERPROFILE%\Documents\GitHub\mrs-test-scripts\Headless Mode &amp; Sideloading\WalkAndUnGZ.bat" "%USERPROFILE%\AppData\Local\Temp\OnboardLogs"\RTDC4023\2017-09-22</v>
      </c>
      <c r="AF235" s="74" t="str">
        <f t="shared" si="158"/>
        <v>"C:\Program Files (x86)\AstroGrep\AstroGrep.exe" /e /r /s /spath="%USERPROFILE%\AppData\Local\Temp\OnboardLogs" /stypes="app*4023*20170922*" /stext=" 02:.+((SYSTEM_STATE.+slice.+state.+changed )|(ment ac)|(multiple cpu faults)|(system.+state.+changed )|(\[timeout)|(PRM\|1\|D)|(kpr)|(kdp)|(train st.+moving)|(\|lc)|(penalty))"</v>
      </c>
      <c r="AG235" s="182" t="str">
        <f t="shared" si="159"/>
        <v>Shuttle/Test</v>
      </c>
      <c r="AH235" s="78" t="str">
        <f t="shared" si="160"/>
        <v>"%USERPROFILE%\Documents\GitHub\eaglep3\Utilities\RefineRTDCRunTimes.py" --tripid 56-21 --locoid 4023 --swversion DE.1.0.9.0 --startMP 300:23207 --initTime 2017-09-21T19:41:41 --startdatetime 2017-09-21T19:54:40 --delay 80 --endMP 204:150 --enddatetime 2017-09-21T20:02:15 --enforcementcount 0 &gt;&gt;c:\users\stu\Documents\GitHub\eaglep3-reporting\EC\2017-09-21-refined-times.txt</v>
      </c>
      <c r="AI235" s="96" t="str">
        <f t="shared" si="161"/>
        <v>echo {"issue":{"subject":"","project_id":79,"tracker_id":40,"status_id":1,"priority_id":2,"assigned_to_id":338,"start_date":"2017-09-21","description":"","custom_fields":[{"id":1,"name":"Subdivision","value":"Shuttle/Test"},{"id":4,"name":"Milepost","value":"0.015"},{"id":17,"name":"Train ID","value":"56-21"},{"id":16,"name":"Locomotive ID","value":"4023"},{"id":130,"name":"Impact","value":""},{"id":150,"name":"Time of Event (Mountain Time)","value":"20:02:15"},{"id":151,"name":"Denver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162"/>
        <v>start /low /b %USERPROFILE%\Documents\GitHub\eaglep3\Utilities\DownloadLogsFromS3.py --loco 4023 --day 2017-09-21</v>
      </c>
      <c r="AN235" s="151" t="str">
        <f t="shared" si="16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02:02:15"},{"id":29,"name":"Sharepoint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8" t="str">
        <f t="shared" si="164"/>
        <v>https://d0f6bd738d7f1b3e5a7ca70fe4ff75f0.us-east-1.aws.found.io/app/kibana#/discover/Steve-Slow-Train-Analysis-(2080s-and-2083s)?_g=(refreshInterval:(display:Off,pause:!f,section:0,value:0),time:(from:'2017-09-21T18:41:41-0600',mode:absolute,to:'2017-09-21T21:02:15-0600'))&amp;_a=(columns:!('Message%20ID',Summary),filters:!(),index:'emp_*',interval:auto,query:(query_string:(analyze_wildcard:!t,query:'Message%5C+ID:(*)+AND+%22rtdc.l.rtdc.4023%22')),sort:!(Time.ISO8601,asc))</v>
      </c>
    </row>
    <row r="236" spans="1:91" s="20" customFormat="1" x14ac:dyDescent="0.25">
      <c r="A236" s="32" t="s">
        <v>795</v>
      </c>
      <c r="B236" s="7">
        <v>4023</v>
      </c>
      <c r="C236" s="21" t="s">
        <v>196</v>
      </c>
      <c r="D236" s="21" t="s">
        <v>858</v>
      </c>
      <c r="E236" s="13">
        <v>42999.910624999997</v>
      </c>
      <c r="F236" s="13">
        <v>42999.940081018518</v>
      </c>
      <c r="G236" s="7">
        <v>87</v>
      </c>
      <c r="H236" s="21" t="s">
        <v>901</v>
      </c>
      <c r="I236" s="13">
        <v>42999.945798611108</v>
      </c>
      <c r="J236" s="7">
        <v>0</v>
      </c>
      <c r="K236" s="89" t="str">
        <f t="shared" si="146"/>
        <v>4023/4024</v>
      </c>
      <c r="L236" s="185" t="str">
        <f>VLOOKUP(A236,'Trips&amp;Operators'!$C$1:$G$99911,5,FALSE)</f>
        <v>LOPES KIMBERLY</v>
      </c>
      <c r="M236" s="6">
        <f t="shared" si="147"/>
        <v>5.7175925903720781E-3</v>
      </c>
      <c r="N236" s="7">
        <f t="shared" si="148"/>
        <v>8.2333333301357925</v>
      </c>
      <c r="O236" s="7"/>
      <c r="P236" s="7"/>
      <c r="Q236" s="22"/>
      <c r="R236" s="174"/>
      <c r="S236" s="221">
        <f t="shared" si="149"/>
        <v>0</v>
      </c>
      <c r="T236" s="174" t="str">
        <f t="shared" si="150"/>
        <v>Southbound</v>
      </c>
      <c r="U236" s="198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16" t="str">
        <f t="shared" si="151"/>
        <v>https://d0f6bd738d7f1b3e5a7ca70fe4ff75f0.us-east-1.aws.found.io/app/kibana#/discover/Steve-Slow-Train-Analysis-(2080s-and-2083s)?_g=(refreshInterval:(display:Off,pause:!f,section:0,value:0),time:(from:'2017-09-21T20:51:18-0600',mode:absolute,to:'2017-09-21T23:41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6" s="204" t="str">
        <f>IF(AA236&lt;VLOOKUP(AG236,Variables!$AC$3:$AD$8,2,FALSE),"Y","N")</f>
        <v>Y</v>
      </c>
      <c r="X236" s="204">
        <f t="shared" si="152"/>
        <v>0</v>
      </c>
      <c r="Y236" s="204">
        <f t="shared" si="153"/>
        <v>23.3</v>
      </c>
      <c r="Z236" s="204">
        <f t="shared" si="154"/>
        <v>19.007999999999999</v>
      </c>
      <c r="AA236" s="204">
        <f t="shared" si="155"/>
        <v>4.2920000000000016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179">
        <f t="shared" si="156"/>
        <v>56</v>
      </c>
      <c r="AE236" s="77" t="str">
        <f t="shared" si="157"/>
        <v>aws s3 cp s3://rtdc.mdm.uploadarchive.raw/RTDC4023/ "%USERPROFILE%\AppData\Local\Temp\OnboardLogs"\RTDC4023\2017-09-21 --exclude "*" --recursive --include "*20170921*" &amp; "%USERPROFILE%\Documents\GitHub\mrs-test-scripts\Headless Mode &amp; Sideloading\WalkAndUnGZ.bat" "%USERPROFILE%\AppData\Local\Temp\OnboardLogs"\RTDC4023\2017-09-21 &amp; aws s3 cp s3://rtdc.mdm.uploadarchive.raw/RTDC4023/ "%USERPROFILE%\AppData\Local\Temp\OnboardLogs"\RTDC4023\2017-09-22 --exclude "*" --recursive --include "*20170922*" &amp; "%USERPROFILE%\Documents\GitHub\mrs-test-scripts\Headless Mode &amp; Sideloading\WalkAndUnGZ.bat" "%USERPROFILE%\AppData\Local\Temp\OnboardLogs"\RTDC4023\2017-09-22</v>
      </c>
      <c r="AF236" s="74" t="str">
        <f t="shared" si="158"/>
        <v>"C:\Program Files (x86)\AstroGrep\AstroGrep.exe" /e /r /s /spath="%USERPROFILE%\AppData\Local\Temp\OnboardLogs" /stypes="app*4023*20170922*" /stext=" 04:.+((SYSTEM_STATE.+slice.+state.+changed )|(ment ac)|(multiple cpu faults)|(system.+state.+changed )|(\[timeout)|(PRM\|1\|D)|(kpr)|(kdp)|(train st.+moving)|(\|lc)|(penalty))"</v>
      </c>
      <c r="AG236" s="182" t="str">
        <f t="shared" si="159"/>
        <v>Shuttle/Test</v>
      </c>
      <c r="AH236" s="78" t="str">
        <f t="shared" si="160"/>
        <v>"%USERPROFILE%\Documents\GitHub\eaglep3\Utilities\RefineRTDCRunTimes.py" --tripid 56-21 --locoid 4023 --swversion DE.1.0.9.0 --startMP 204:233000 --initTime 2017-09-21T21:51:18 --startdatetime 2017-09-21T22:33:43 --delay 87 --endMP 204:190080 --enddatetime 2017-09-21T22:41:57 --enforcementcount 0 &gt;&gt;c:\users\stu\Documents\GitHub\eaglep3-reporting\EC\2017-09-21-refined-times.txt</v>
      </c>
      <c r="AI236" s="96" t="str">
        <f t="shared" si="161"/>
        <v>echo {"issue":{"subject":"","project_id":79,"tracker_id":40,"status_id":1,"priority_id":2,"assigned_to_id":338,"start_date":"2017-09-21","description":"","custom_fields":[{"id":1,"name":"Subdivision","value":"Shuttle/Test"},{"id":4,"name":"Milepost","value":"19.008"},{"id":17,"name":"Train ID","value":"56-21"},{"id":16,"name":"Locomotive ID","value":"4023"},{"id":130,"name":"Impact","value":""},{"id":150,"name":"Time of Event (Mountain Time)","value":"22:41:57"},{"id":151,"name":"Denver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6" s="47"/>
      <c r="AL236" s="47"/>
      <c r="AM236" s="142" t="str">
        <f t="shared" si="162"/>
        <v>start /low /b %USERPROFILE%\Documents\GitHub\eaglep3\Utilities\DownloadLogsFromS3.py --loco 4023 --day 2017-09-21</v>
      </c>
      <c r="AN236" s="151" t="str">
        <f t="shared" si="16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04:41:57"},{"id":29,"name":"Sharepoint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8" t="str">
        <f t="shared" si="164"/>
        <v>https://d0f6bd738d7f1b3e5a7ca70fe4ff75f0.us-east-1.aws.found.io/app/kibana#/discover/Steve-Slow-Train-Analysis-(2080s-and-2083s)?_g=(refreshInterval:(display:Off,pause:!f,section:0,value:0),time:(from:'2017-09-21T20:51:18-0600',mode:absolute,to:'2017-09-21T23:41:57-0600'))&amp;_a=(columns:!('Message%20ID',Summary),filters:!(),index:'emp_*',interval:auto,query:(query_string:(analyze_wildcard:!t,query:'Message%5C+ID:(*)+AND+%22rtdc.l.rtdc.4023%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x14ac:dyDescent="0.25">
      <c r="A237" s="32" t="s">
        <v>795</v>
      </c>
      <c r="B237" s="7">
        <v>4023</v>
      </c>
      <c r="C237" s="21" t="s">
        <v>196</v>
      </c>
      <c r="D237" s="21" t="s">
        <v>406</v>
      </c>
      <c r="E237" s="13">
        <v>42999.954583333332</v>
      </c>
      <c r="F237" s="13">
        <v>43000.000590277778</v>
      </c>
      <c r="G237" s="7">
        <v>59</v>
      </c>
      <c r="H237" s="21" t="s">
        <v>900</v>
      </c>
      <c r="I237" s="13">
        <v>43000.033668981479</v>
      </c>
      <c r="J237" s="7">
        <v>0</v>
      </c>
      <c r="K237" s="89" t="str">
        <f t="shared" si="146"/>
        <v>4023/4024</v>
      </c>
      <c r="L237" s="185" t="str">
        <f>VLOOKUP(A237,'Trips&amp;Operators'!$C$1:$G$99911,5,FALSE)</f>
        <v>LOPES KIMBERLY</v>
      </c>
      <c r="M237" s="6">
        <f t="shared" si="147"/>
        <v>3.3078703701903578E-2</v>
      </c>
      <c r="N237" s="7">
        <f t="shared" si="148"/>
        <v>47.633333330741152</v>
      </c>
      <c r="O237" s="7"/>
      <c r="P237" s="7"/>
      <c r="Q237" s="22"/>
      <c r="R237" s="174"/>
      <c r="S237" s="221">
        <f t="shared" si="149"/>
        <v>0</v>
      </c>
      <c r="T237" s="174" t="str">
        <f t="shared" si="150"/>
        <v>Southbound</v>
      </c>
      <c r="U237" s="198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16" t="str">
        <f t="shared" si="151"/>
        <v>https://d0f6bd738d7f1b3e5a7ca70fe4ff75f0.us-east-1.aws.found.io/app/kibana#/discover/Steve-Slow-Train-Analysis-(2080s-and-2083s)?_g=(refreshInterval:(display:Off,pause:!f,section:0,value:0),time:(from:'2017-09-21T21:54:36-0600',mode:absolute,to:'2017-09-22T01:48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7" s="204" t="str">
        <f>IF(AA237&lt;VLOOKUP(AG237,Variables!$AC$3:$AD$8,2,FALSE),"Y","N")</f>
        <v>Y</v>
      </c>
      <c r="X237" s="204">
        <f t="shared" si="152"/>
        <v>0</v>
      </c>
      <c r="Y237" s="204">
        <f t="shared" si="153"/>
        <v>23.301300000000001</v>
      </c>
      <c r="Z237" s="204">
        <f t="shared" si="154"/>
        <v>19.005099999999999</v>
      </c>
      <c r="AA237" s="204">
        <f t="shared" si="155"/>
        <v>4.2962000000000025</v>
      </c>
      <c r="AB237" s="54" t="e">
        <f>VLOOKUP(A237,Enforcements!$C$7:$K$11,8,0)</f>
        <v>#N/A</v>
      </c>
      <c r="AC237" s="51" t="e">
        <f>VLOOKUP(A237,Enforcements!$C$7:$E$11,3,0)</f>
        <v>#N/A</v>
      </c>
      <c r="AD237" s="179">
        <f t="shared" si="156"/>
        <v>56</v>
      </c>
      <c r="AE237" s="77" t="str">
        <f t="shared" si="157"/>
        <v>aws s3 cp s3://rtdc.mdm.uploadarchive.raw/RTDC4023/ "%USERPROFILE%\AppData\Local\Temp\OnboardLogs"\RTDC4023\2017-09-22 --exclude "*" --recursive --include "*20170922*" &amp; "%USERPROFILE%\Documents\GitHub\mrs-test-scripts\Headless Mode &amp; Sideloading\WalkAndUnGZ.bat" "%USERPROFILE%\AppData\Local\Temp\OnboardLogs"\RTDC4023\2017-09-22 &amp; aws s3 cp s3://rtdc.mdm.uploadarchive.raw/RTDC4023/ "%USERPROFILE%\AppData\Local\Temp\OnboardLogs"\RTDC4023\2017-09-23 --exclude "*" --recursive --include "*20170923*" &amp; "%USERPROFILE%\Documents\GitHub\mrs-test-scripts\Headless Mode &amp; Sideloading\WalkAndUnGZ.bat" "%USERPROFILE%\AppData\Local\Temp\OnboardLogs"\RTDC4023\2017-09-23</v>
      </c>
      <c r="AF237" s="74" t="str">
        <f t="shared" si="158"/>
        <v>"C:\Program Files (x86)\AstroGrep\AstroGrep.exe" /e /r /s /spath="%USERPROFILE%\AppData\Local\Temp\OnboardLogs" /stypes="app*4023*20170922*" /stext=" 06:.+((SYSTEM_STATE.+slice.+state.+changed )|(ment ac)|(multiple cpu faults)|(system.+state.+changed )|(\[timeout)|(PRM\|1\|D)|(kpr)|(kdp)|(train st.+moving)|(\|lc)|(penalty))"</v>
      </c>
      <c r="AG237" s="182" t="str">
        <f t="shared" si="159"/>
        <v>Shuttle/Test</v>
      </c>
      <c r="AH237" s="78" t="str">
        <f t="shared" si="160"/>
        <v>"%USERPROFILE%\Documents\GitHub\eaglep3\Utilities\RefineRTDCRunTimes.py" --tripid 56-21 --locoid 4023 --swversion DE.1.0.9.0 --startMP 204:233013 --initTime 2017-09-21T22:54:36 --startdatetime 2017-09-22T00:00:51 --delay 59 --endMP 204:190051 --enddatetime 2017-09-22T00:48:29 --enforcementcount 0 &gt;&gt;c:\users\stu\Documents\GitHub\eaglep3-reporting\EC\2017-09-21-refined-times.txt</v>
      </c>
      <c r="AI237" s="96" t="str">
        <f t="shared" si="161"/>
        <v>echo {"issue":{"subject":"","project_id":79,"tracker_id":40,"status_id":1,"priority_id":2,"assigned_to_id":338,"start_date":"2017-09-22","description":"","custom_fields":[{"id":1,"name":"Subdivision","value":"Shuttle/Test"},{"id":4,"name":"Milepost","value":"19.0051"},{"id":17,"name":"Train ID","value":"56-21"},{"id":16,"name":"Locomotive ID","value":"4023"},{"id":130,"name":"Impact","value":""},{"id":150,"name":"Time of Event (Mountain Time)","value":"00:48:29"},{"id":151,"name":"Denver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162"/>
        <v>start /low /b %USERPROFILE%\Documents\GitHub\eaglep3\Utilities\DownloadLogsFromS3.py --loco 4023 --day 2017-09-22</v>
      </c>
      <c r="AN237" s="151" t="str">
        <f t="shared" si="16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06:48:29"},{"id":29,"name":"Sharepoint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168" t="str">
        <f t="shared" si="164"/>
        <v>https://d0f6bd738d7f1b3e5a7ca70fe4ff75f0.us-east-1.aws.found.io/app/kibana#/discover/Steve-Slow-Train-Analysis-(2080s-and-2083s)?_g=(refreshInterval:(display:Off,pause:!f,section:0,value:0),time:(from:'2017-09-21T21:54:36-0600',mode:absolute,to:'2017-09-22T01:48:29-0600'))&amp;_a=(columns:!('Message%20ID',Summary),filters:!(),index:'emp_*',interval:auto,query:(query_string:(analyze_wildcard:!t,query:'Message%5C+ID:(*)+AND+%22rtdc.l.rtdc.4023%22')),sort:!(Time.ISO8601,asc))</v>
      </c>
    </row>
    <row r="238" spans="1:91" s="20" customFormat="1" x14ac:dyDescent="0.25">
      <c r="A238" s="32" t="s">
        <v>763</v>
      </c>
      <c r="B238" s="7">
        <v>4054</v>
      </c>
      <c r="C238" s="21" t="s">
        <v>196</v>
      </c>
      <c r="D238" s="21" t="s">
        <v>902</v>
      </c>
      <c r="E238" s="13">
        <v>42999.714236111111</v>
      </c>
      <c r="F238" s="13">
        <v>42999.726006944446</v>
      </c>
      <c r="G238" s="7">
        <v>66</v>
      </c>
      <c r="H238" s="21" t="s">
        <v>903</v>
      </c>
      <c r="I238" s="13">
        <v>42999.734189814815</v>
      </c>
      <c r="J238" s="7">
        <v>0</v>
      </c>
      <c r="K238" s="89" t="str">
        <f t="shared" si="146"/>
        <v>4053/4054</v>
      </c>
      <c r="L238" s="185" t="str">
        <f>VLOOKUP(A238,'Trips&amp;Operators'!$C$1:$G$99911,5,FALSE)</f>
        <v>DELGADO DIANAH</v>
      </c>
      <c r="M238" s="6">
        <f t="shared" si="147"/>
        <v>8.182870369637385E-3</v>
      </c>
      <c r="N238" s="7">
        <f t="shared" si="148"/>
        <v>11.783333332277834</v>
      </c>
      <c r="O238" s="7"/>
      <c r="P238" s="7"/>
      <c r="Q238" s="22"/>
      <c r="R238" s="174"/>
      <c r="S238" s="221">
        <f t="shared" si="149"/>
        <v>1</v>
      </c>
      <c r="T238" s="174" t="str">
        <f t="shared" si="150"/>
        <v>NorthBound</v>
      </c>
      <c r="U238" s="198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216" t="str">
        <f t="shared" si="151"/>
        <v>https://d0f6bd738d7f1b3e5a7ca70fe4ff75f0.us-east-1.aws.found.io/app/kibana#/discover/Steve-Slow-Train-Analysis-(2080s-and-2083s)?_g=(refreshInterval:(display:Off,pause:!f,section:0,value:0),time:(from:'2017-09-21T16:08:30-0600',mode:absolute,to:'2017-09-21T18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38" s="204" t="str">
        <f>IF(AA238&lt;VLOOKUP(AG238,Variables!$AC$3:$AD$8,2,FALSE),"Y","N")</f>
        <v>Y</v>
      </c>
      <c r="X238" s="204">
        <f t="shared" si="152"/>
        <v>1</v>
      </c>
      <c r="Y238" s="204">
        <f t="shared" si="153"/>
        <v>9.9900000000000003E-2</v>
      </c>
      <c r="Z238" s="204">
        <f t="shared" si="154"/>
        <v>2.2986</v>
      </c>
      <c r="AA238" s="204">
        <f t="shared" si="155"/>
        <v>2.1987000000000001</v>
      </c>
      <c r="AB238" s="54" t="e">
        <f>VLOOKUP(A238,Enforcements!$C$7:$K$11,8,0)</f>
        <v>#N/A</v>
      </c>
      <c r="AC238" s="51" t="e">
        <f>VLOOKUP(A238,Enforcements!$C$7:$E$11,3,0)</f>
        <v>#N/A</v>
      </c>
      <c r="AD238" s="179">
        <f t="shared" si="156"/>
        <v>57</v>
      </c>
      <c r="AE238" s="77" t="str">
        <f t="shared" si="157"/>
        <v>aws s3 cp s3://rtdc.mdm.uploadarchive.raw/RTDC4054/ "%USERPROFILE%\AppData\Local\Temp\OnboardLogs"\RTDC4054\2017-09-21 --exclude "*" --recursive --include "*20170921*" &amp; "%USERPROFILE%\Documents\GitHub\mrs-test-scripts\Headless Mode &amp; Sideloading\WalkAndUnGZ.bat" "%USERPROFILE%\AppData\Local\Temp\OnboardLogs"\RTDC4054\2017-09-21 &amp; aws s3 cp s3://rtdc.mdm.uploadarchive.raw/RTDC4054/ "%USERPROFILE%\AppData\Local\Temp\OnboardLogs"\RTDC4054\2017-09-22 --exclude "*" --recursive --include "*20170922*" &amp; "%USERPROFILE%\Documents\GitHub\mrs-test-scripts\Headless Mode &amp; Sideloading\WalkAndUnGZ.bat" "%USERPROFILE%\AppData\Local\Temp\OnboardLogs"\RTDC4054\2017-09-22</v>
      </c>
      <c r="AF238" s="74" t="str">
        <f t="shared" si="158"/>
        <v>"C:\Program Files (x86)\AstroGrep\AstroGrep.exe" /e /r /s /spath="%USERPROFILE%\AppData\Local\Temp\OnboardLogs" /stypes="app*4054*20170921*" /stext=" 23:.+((SYSTEM_STATE.+slice.+state.+changed )|(ment ac)|(multiple cpu faults)|(system.+state.+changed )|(\[timeout)|(PRM\|1\|D)|(kpr)|(kdp)|(train st.+moving)|(\|lc)|(penalty))"</v>
      </c>
      <c r="AG238" s="182" t="str">
        <f t="shared" si="159"/>
        <v>Shuttle/Test</v>
      </c>
      <c r="AH238" s="78" t="str">
        <f t="shared" si="160"/>
        <v>"%USERPROFILE%\Documents\GitHub\eaglep3\Utilities\RefineRTDCRunTimes.py" --tripid 57-21 --locoid 4054 --swversion DE.1.0.9.0 --startMP 204:999 --initTime 2017-09-21T17:08:30 --startdatetime 2017-09-21T17:25:27 --delay 66 --endMP 300:22986 --enddatetime 2017-09-21T17:37:14 --enforcementcount 0 &gt;&gt;c:\users\stu\Documents\GitHub\eaglep3-reporting\EC\2017-09-21-refined-times.txt</v>
      </c>
      <c r="AI238" s="96" t="str">
        <f t="shared" si="161"/>
        <v>echo {"issue":{"subject":"","project_id":79,"tracker_id":40,"status_id":1,"priority_id":2,"assigned_to_id":338,"start_date":"2017-09-21","description":"","custom_fields":[{"id":1,"name":"Subdivision","value":"Shuttle/Test"},{"id":4,"name":"Milepost","value":"2.2986"},{"id":17,"name":"Train ID","value":"57-21"},{"id":16,"name":"Locomotive ID","value":"4054"},{"id":130,"name":"Impact","value":""},{"id":150,"name":"Time of Event (Mountain Time)","value":"17:37:14"},{"id":151,"name":"Denver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8" s="47"/>
      <c r="AL238" s="47"/>
      <c r="AM238" s="142" t="str">
        <f t="shared" si="162"/>
        <v>start /low /b %USERPROFILE%\Documents\GitHub\eaglep3\Utilities\DownloadLogsFromS3.py --loco 4054 --day 2017-09-21</v>
      </c>
      <c r="AN238" s="151" t="str">
        <f t="shared" si="163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23:37:14"},{"id":29,"name":"Sharepoint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168" t="str">
        <f t="shared" si="164"/>
        <v>https://d0f6bd738d7f1b3e5a7ca70fe4ff75f0.us-east-1.aws.found.io/app/kibana#/discover/Steve-Slow-Train-Analysis-(2080s-and-2083s)?_g=(refreshInterval:(display:Off,pause:!f,section:0,value:0),time:(from:'2017-09-21T16:08:30-0600',mode:absolute,to:'2017-09-21T18:37:14-0600'))&amp;_a=(columns:!('Message%20ID',Summary),filters:!(),index:'emp_*',interval:auto,query:(query_string:(analyze_wildcard:!t,query:'Message%5C+ID:(*)+AND+%22rtdc.l.rtdc.4054%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 s="32" t="s">
        <v>731</v>
      </c>
      <c r="B239" s="7">
        <v>4009</v>
      </c>
      <c r="C239" s="21" t="s">
        <v>196</v>
      </c>
      <c r="D239" s="21" t="s">
        <v>904</v>
      </c>
      <c r="E239" s="13">
        <v>42999.597812499997</v>
      </c>
      <c r="F239" s="13">
        <v>42999.599305555559</v>
      </c>
      <c r="G239" s="7">
        <v>67</v>
      </c>
      <c r="H239" s="21" t="s">
        <v>905</v>
      </c>
      <c r="I239" s="13">
        <v>42999.600324074076</v>
      </c>
      <c r="J239" s="7">
        <v>0</v>
      </c>
      <c r="K239" s="89" t="str">
        <f t="shared" si="146"/>
        <v>4009/4010</v>
      </c>
      <c r="L239" s="185" t="str">
        <f>VLOOKUP(A239,'Trips&amp;Operators'!$C$1:$G$99911,5,FALSE)</f>
        <v>DE LA ROSA ALEX</v>
      </c>
      <c r="M239" s="6">
        <f t="shared" si="147"/>
        <v>1.0185185165028088E-3</v>
      </c>
      <c r="N239" s="7">
        <f t="shared" si="148"/>
        <v>1.4666666637640446</v>
      </c>
      <c r="O239" s="7"/>
      <c r="P239" s="7"/>
      <c r="Q239" s="22"/>
      <c r="R239" s="174"/>
      <c r="S239" s="221">
        <f t="shared" si="149"/>
        <v>0</v>
      </c>
      <c r="T239" s="174" t="str">
        <f t="shared" si="150"/>
        <v>Southbound</v>
      </c>
      <c r="U239" s="198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16" t="str">
        <f t="shared" si="151"/>
        <v>https://d0f6bd738d7f1b3e5a7ca70fe4ff75f0.us-east-1.aws.found.io/app/kibana#/discover/Steve-Slow-Train-Analysis-(2080s-and-2083s)?_g=(refreshInterval:(display:Off,pause:!f,section:0,value:0),time:(from:'2017-09-21T13:20:51-0600',mode:absolute,to:'2017-09-21T15:24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39" s="204" t="str">
        <f>IF(AA239&lt;VLOOKUP(AG239,Variables!$AC$3:$AD$8,2,FALSE),"Y","N")</f>
        <v>Y</v>
      </c>
      <c r="X239" s="204">
        <f t="shared" si="152"/>
        <v>3</v>
      </c>
      <c r="Y239" s="204">
        <f t="shared" si="153"/>
        <v>0.31969999999999998</v>
      </c>
      <c r="Z239" s="204">
        <f t="shared" si="154"/>
        <v>0.1158</v>
      </c>
      <c r="AA239" s="204">
        <f t="shared" si="155"/>
        <v>0.20389999999999997</v>
      </c>
      <c r="AB239" s="54" t="e">
        <f>VLOOKUP(A239,Enforcements!$C$7:$K$11,8,0)</f>
        <v>#N/A</v>
      </c>
      <c r="AC239" s="51" t="e">
        <f>VLOOKUP(A239,Enforcements!$C$7:$E$11,3,0)</f>
        <v>#N/A</v>
      </c>
      <c r="AD239" s="179">
        <f t="shared" si="156"/>
        <v>60</v>
      </c>
      <c r="AE239" s="77" t="str">
        <f t="shared" si="157"/>
        <v>aws s3 cp s3://rtdc.mdm.uploadarchive.raw/RTDC4009/ "%USERPROFILE%\AppData\Local\Temp\OnboardLogs"\RTDC4009\2017-09-21 --exclude "*" --recursive --include "*20170921*" &amp; "%USERPROFILE%\Documents\GitHub\mrs-test-scripts\Headless Mode &amp; Sideloading\WalkAndUnGZ.bat" "%USERPROFILE%\AppData\Local\Temp\OnboardLogs"\RTDC4009\2017-09-21 &amp; aws s3 cp s3://rtdc.mdm.uploadarchive.raw/RTDC4009/ "%USERPROFILE%\AppData\Local\Temp\OnboardLogs"\RTDC4009\2017-09-22 --exclude "*" --recursive --include "*20170922*" &amp; "%USERPROFILE%\Documents\GitHub\mrs-test-scripts\Headless Mode &amp; Sideloading\WalkAndUnGZ.bat" "%USERPROFILE%\AppData\Local\Temp\OnboardLogs"\RTDC4009\2017-09-22</v>
      </c>
      <c r="AF239" s="74" t="str">
        <f t="shared" si="158"/>
        <v>"C:\Program Files (x86)\AstroGrep\AstroGrep.exe" /e /r /s /spath="%USERPROFILE%\AppData\Local\Temp\OnboardLogs" /stypes="app*4009*20170921*" /stext=" 20:.+((SYSTEM_STATE.+slice.+state.+changed )|(ment ac)|(multiple cpu faults)|(system.+state.+changed )|(\[timeout)|(PRM\|1\|D)|(kpr)|(kdp)|(train st.+moving)|(\|lc)|(penalty))"</v>
      </c>
      <c r="AG239" s="182" t="str">
        <f t="shared" si="159"/>
        <v>Shuttle/Test</v>
      </c>
      <c r="AH239" s="78" t="str">
        <f t="shared" si="160"/>
        <v>"%USERPROFILE%\Documents\GitHub\eaglep3\Utilities\RefineRTDCRunTimes.py" --tripid 60-21 --locoid 4009 --swversion DE.1.0.9.0 --startMP 204:3197 --initTime 2017-09-21T14:20:51 --startdatetime 2017-09-21T14:23:00 --delay 67 --endMP 204:1158 --enddatetime 2017-09-21T14:24:28 --enforcementcount 0 &gt;&gt;c:\users\stu\Documents\GitHub\eaglep3-reporting\EC\2017-09-21-refined-times.txt</v>
      </c>
      <c r="AI239" s="96" t="str">
        <f t="shared" si="161"/>
        <v>echo {"issue":{"subject":"","project_id":79,"tracker_id":40,"status_id":1,"priority_id":2,"assigned_to_id":338,"start_date":"2017-09-21","description":"","custom_fields":[{"id":1,"name":"Subdivision","value":"Shuttle/Test"},{"id":4,"name":"Milepost","value":"0.1158"},{"id":17,"name":"Train ID","value":"60-21"},{"id":16,"name":"Locomotive ID","value":"4009"},{"id":130,"name":"Impact","value":""},{"id":150,"name":"Time of Event (Mountain Time)","value":"14:24:28"},{"id":151,"name":"Denver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9" s="47"/>
      <c r="AL239" s="47"/>
      <c r="AM239" s="142" t="str">
        <f t="shared" si="162"/>
        <v>start /low /b %USERPROFILE%\Documents\GitHub\eaglep3\Utilities\DownloadLogsFromS3.py --loco 4009 --day 2017-09-21</v>
      </c>
      <c r="AN239" s="151" t="str">
        <f t="shared" si="163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20:24:28"},{"id":29,"name":"Sharepoint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168" t="str">
        <f t="shared" si="164"/>
        <v>https://d0f6bd738d7f1b3e5a7ca70fe4ff75f0.us-east-1.aws.found.io/app/kibana#/discover/Steve-Slow-Train-Analysis-(2080s-and-2083s)?_g=(refreshInterval:(display:Off,pause:!f,section:0,value:0),time:(from:'2017-09-21T13:20:51-0600',mode:absolute,to:'2017-09-21T15:24:28-0600'))&amp;_a=(columns:!('Message%20ID',Summary),filters:!(),index:'emp_*',interval:auto,query:(query_string:(analyze_wildcard:!t,query:'Message%5C+ID:(*)+AND+%22rtdc.l.rtdc.4009%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 s="32" t="s">
        <v>731</v>
      </c>
      <c r="B240" s="7">
        <v>4015</v>
      </c>
      <c r="C240" s="21" t="s">
        <v>196</v>
      </c>
      <c r="D240" s="21" t="s">
        <v>906</v>
      </c>
      <c r="E240" s="13">
        <v>42999.629432870373</v>
      </c>
      <c r="F240" s="13">
        <v>42999.632361111115</v>
      </c>
      <c r="G240" s="7">
        <v>69</v>
      </c>
      <c r="H240" s="21" t="s">
        <v>379</v>
      </c>
      <c r="I240" s="13">
        <v>42999.634189814817</v>
      </c>
      <c r="J240" s="7">
        <v>0</v>
      </c>
      <c r="K240" s="89" t="str">
        <f t="shared" si="146"/>
        <v>4015/4016</v>
      </c>
      <c r="L240" s="185" t="str">
        <f>VLOOKUP(A240,'Trips&amp;Operators'!$C$1:$G$99911,5,FALSE)</f>
        <v>DE LA ROSA ALEX</v>
      </c>
      <c r="M240" s="6">
        <f t="shared" si="147"/>
        <v>1.8287037019035779E-3</v>
      </c>
      <c r="N240" s="7">
        <f t="shared" si="148"/>
        <v>2.6333333307411522</v>
      </c>
      <c r="O240" s="7"/>
      <c r="P240" s="7"/>
      <c r="Q240" s="22"/>
      <c r="R240" s="174"/>
      <c r="S240" s="221">
        <f t="shared" si="149"/>
        <v>0</v>
      </c>
      <c r="T240" s="174" t="str">
        <f t="shared" si="150"/>
        <v>Southbound</v>
      </c>
      <c r="U240" s="198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16" t="str">
        <f t="shared" si="151"/>
        <v>https://d0f6bd738d7f1b3e5a7ca70fe4ff75f0.us-east-1.aws.found.io/app/kibana#/discover/Steve-Slow-Train-Analysis-(2080s-and-2083s)?_g=(refreshInterval:(display:Off,pause:!f,section:0,value:0),time:(from:'2017-09-21T14:06:23-0600',mode:absolute,to:'2017-09-21T16:13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40" s="204" t="str">
        <f>IF(AA240&lt;VLOOKUP(AG240,Variables!$AC$3:$AD$8,2,FALSE),"Y","N")</f>
        <v>Y</v>
      </c>
      <c r="X240" s="204">
        <f t="shared" si="152"/>
        <v>0</v>
      </c>
      <c r="Y240" s="204">
        <f t="shared" si="153"/>
        <v>0.52600000000000002</v>
      </c>
      <c r="Z240" s="204">
        <f t="shared" si="154"/>
        <v>1.6E-2</v>
      </c>
      <c r="AA240" s="204">
        <f t="shared" si="155"/>
        <v>0.51</v>
      </c>
      <c r="AB240" s="54" t="e">
        <f>VLOOKUP(A240,Enforcements!$C$7:$K$11,8,0)</f>
        <v>#N/A</v>
      </c>
      <c r="AC240" s="51" t="e">
        <f>VLOOKUP(A240,Enforcements!$C$7:$E$11,3,0)</f>
        <v>#N/A</v>
      </c>
      <c r="AD240" s="179">
        <f t="shared" si="156"/>
        <v>60</v>
      </c>
      <c r="AE240" s="77" t="str">
        <f t="shared" si="157"/>
        <v>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 &amp; aws s3 cp s3://rtdc.mdm.uploadarchive.raw/RTDC4015/ "%USERPROFILE%\AppData\Local\Temp\OnboardLogs"\RTDC4015\2017-09-22 --exclude "*" --recursive --include "*20170922*" &amp; "%USERPROFILE%\Documents\GitHub\mrs-test-scripts\Headless Mode &amp; Sideloading\WalkAndUnGZ.bat" "%USERPROFILE%\AppData\Local\Temp\OnboardLogs"\RTDC4015\2017-09-22</v>
      </c>
      <c r="AF240" s="74" t="str">
        <f t="shared" si="158"/>
        <v>"C:\Program Files (x86)\AstroGrep\AstroGrep.exe" /e /r /s /spath="%USERPROFILE%\AppData\Local\Temp\OnboardLogs" /stypes="app*4015*20170921*" /stext=" 21:.+((SYSTEM_STATE.+slice.+state.+changed )|(ment ac)|(multiple cpu faults)|(system.+state.+changed )|(\[timeout)|(PRM\|1\|D)|(kpr)|(kdp)|(train st.+moving)|(\|lc)|(penalty))"</v>
      </c>
      <c r="AG240" s="182" t="str">
        <f t="shared" si="159"/>
        <v>Shuttle/Test</v>
      </c>
      <c r="AH240" s="78" t="str">
        <f t="shared" si="160"/>
        <v>"%USERPROFILE%\Documents\GitHub\eaglep3\Utilities\RefineRTDCRunTimes.py" --tripid 60-21 --locoid 4015 --swversion DE.1.0.9.0 --startMP 300:5260 --initTime 2017-09-21T15:06:23 --startdatetime 2017-09-21T15:10:36 --delay 69 --endMP 204:160 --enddatetime 2017-09-21T15:13:14 --enforcementcount 0 &gt;&gt;c:\users\stu\Documents\GitHub\eaglep3-reporting\EC\2017-09-21-refined-times.txt</v>
      </c>
      <c r="AI240" s="96" t="str">
        <f t="shared" si="161"/>
        <v>echo {"issue":{"subject":"","project_id":79,"tracker_id":40,"status_id":1,"priority_id":2,"assigned_to_id":338,"start_date":"2017-09-21","description":"","custom_fields":[{"id":1,"name":"Subdivision","value":"Shuttle/Test"},{"id":4,"name":"Milepost","value":"0.016"},{"id":17,"name":"Train ID","value":"60-21"},{"id":16,"name":"Locomotive ID","value":"4015"},{"id":130,"name":"Impact","value":""},{"id":150,"name":"Time of Event (Mountain Time)","value":"15:13:14"},{"id":151,"name":"Denver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40" s="47"/>
      <c r="AL240" s="47"/>
      <c r="AM240" s="142" t="str">
        <f t="shared" si="162"/>
        <v>start /low /b %USERPROFILE%\Documents\GitHub\eaglep3\Utilities\DownloadLogsFromS3.py --loco 4015 --day 2017-09-21</v>
      </c>
      <c r="AN240" s="151" t="str">
        <f t="shared" si="163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21:13:14"},{"id":29,"name":"Sharepoint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168" t="str">
        <f t="shared" si="164"/>
        <v>https://d0f6bd738d7f1b3e5a7ca70fe4ff75f0.us-east-1.aws.found.io/app/kibana#/discover/Steve-Slow-Train-Analysis-(2080s-and-2083s)?_g=(refreshInterval:(display:Off,pause:!f,section:0,value:0),time:(from:'2017-09-21T14:06:23-0600',mode:absolute,to:'2017-09-21T16:13:14-0600'))&amp;_a=(columns:!('Message%20ID',Summary),filters:!(),index:'emp_*',interval:auto,query:(query_string:(analyze_wildcard:!t,query:'Message%5C+ID:(*)+AND+%22rtdc.l.rtdc.4015%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x14ac:dyDescent="0.25">
      <c r="A241" s="32" t="s">
        <v>606</v>
      </c>
      <c r="B241" s="7">
        <v>4010</v>
      </c>
      <c r="C241" s="21" t="s">
        <v>196</v>
      </c>
      <c r="D241" s="21" t="s">
        <v>907</v>
      </c>
      <c r="E241" s="13">
        <v>42999.59134259259</v>
      </c>
      <c r="F241" s="13">
        <v>42999.595636574071</v>
      </c>
      <c r="G241" s="7">
        <v>78</v>
      </c>
      <c r="H241" s="21" t="s">
        <v>908</v>
      </c>
      <c r="I241" s="13">
        <v>42999.597187500003</v>
      </c>
      <c r="J241" s="7">
        <v>0</v>
      </c>
      <c r="K241" s="89" t="str">
        <f t="shared" si="146"/>
        <v>4009/4010</v>
      </c>
      <c r="L241" s="185" t="str">
        <f>VLOOKUP(A241,'Trips&amp;Operators'!$C$1:$G$99911,5,FALSE)</f>
        <v>DE LA ROSA ALEX</v>
      </c>
      <c r="M241" s="6">
        <f t="shared" si="147"/>
        <v>1.5509259319514968E-3</v>
      </c>
      <c r="N241" s="7">
        <f t="shared" si="148"/>
        <v>2.2333333420101553</v>
      </c>
      <c r="O241" s="7"/>
      <c r="P241" s="7"/>
      <c r="Q241" s="22"/>
      <c r="R241" s="174"/>
      <c r="S241" s="221">
        <f t="shared" si="149"/>
        <v>0</v>
      </c>
      <c r="T241" s="174" t="str">
        <f t="shared" si="150"/>
        <v>NorthBound</v>
      </c>
      <c r="U241" s="198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216" t="str">
        <f t="shared" si="151"/>
        <v>https://d0f6bd738d7f1b3e5a7ca70fe4ff75f0.us-east-1.aws.found.io/app/kibana#/discover/Steve-Slow-Train-Analysis-(2080s-and-2083s)?_g=(refreshInterval:(display:Off,pause:!f,section:0,value:0),time:(from:'2017-09-21T13:11:32-0600',mode:absolute,to:'2017-09-21T15:19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41" s="204" t="str">
        <f>IF(AA241&lt;VLOOKUP(AG241,Variables!$AC$3:$AD$8,2,FALSE),"Y","N")</f>
        <v>Y</v>
      </c>
      <c r="X241" s="204">
        <f t="shared" si="152"/>
        <v>1</v>
      </c>
      <c r="Y241" s="204">
        <f t="shared" si="153"/>
        <v>3.1800000000000002E-2</v>
      </c>
      <c r="Z241" s="204">
        <f t="shared" si="154"/>
        <v>0.35160000000000002</v>
      </c>
      <c r="AA241" s="204">
        <f t="shared" si="155"/>
        <v>0.31980000000000003</v>
      </c>
      <c r="AB241" s="54" t="e">
        <f>VLOOKUP(A241,Enforcements!$C$7:$K$11,8,0)</f>
        <v>#N/A</v>
      </c>
      <c r="AC241" s="51" t="e">
        <f>VLOOKUP(A241,Enforcements!$C$7:$E$11,3,0)</f>
        <v>#N/A</v>
      </c>
      <c r="AD241" s="179">
        <f t="shared" si="156"/>
        <v>61</v>
      </c>
      <c r="AE241" s="77" t="str">
        <f t="shared" si="157"/>
        <v>aws s3 cp s3://rtdc.mdm.uploadarchive.raw/RTDC4010/ "%USERPROFILE%\AppData\Local\Temp\OnboardLogs"\RTDC4010\2017-09-21 --exclude "*" --recursive --include "*20170921*" &amp; "%USERPROFILE%\Documents\GitHub\mrs-test-scripts\Headless Mode &amp; Sideloading\WalkAndUnGZ.bat" "%USERPROFILE%\AppData\Local\Temp\OnboardLogs"\RTDC4010\2017-09-21 &amp; aws s3 cp s3://rtdc.mdm.uploadarchive.raw/RTDC4010/ "%USERPROFILE%\AppData\Local\Temp\OnboardLogs"\RTDC4010\2017-09-22 --exclude "*" --recursive --include "*20170922*" &amp; "%USERPROFILE%\Documents\GitHub\mrs-test-scripts\Headless Mode &amp; Sideloading\WalkAndUnGZ.bat" "%USERPROFILE%\AppData\Local\Temp\OnboardLogs"\RTDC4010\2017-09-22</v>
      </c>
      <c r="AF241" s="74" t="str">
        <f t="shared" si="158"/>
        <v>"C:\Program Files (x86)\AstroGrep\AstroGrep.exe" /e /r /s /spath="%USERPROFILE%\AppData\Local\Temp\OnboardLogs" /stypes="app*4010*20170921*" /stext=" 20:.+((SYSTEM_STATE.+slice.+state.+changed )|(ment ac)|(multiple cpu faults)|(system.+state.+changed )|(\[timeout)|(PRM\|1\|D)|(kpr)|(kdp)|(train st.+moving)|(\|lc)|(penalty))"</v>
      </c>
      <c r="AG241" s="182" t="str">
        <f t="shared" si="159"/>
        <v>Shuttle/Test</v>
      </c>
      <c r="AH241" s="78" t="str">
        <f t="shared" si="160"/>
        <v>"%USERPROFILE%\Documents\GitHub\eaglep3\Utilities\RefineRTDCRunTimes.py" --tripid 61-21 --locoid 4010 --swversion DE.1.0.9.0 --startMP 204:318 --initTime 2017-09-21T14:11:32 --startdatetime 2017-09-21T14:17:43 --delay 78 --endMP 204:3516 --enddatetime 2017-09-21T14:19:57 --enforcementcount 0 &gt;&gt;c:\users\stu\Documents\GitHub\eaglep3-reporting\EC\2017-09-21-refined-times.txt</v>
      </c>
      <c r="AI241" s="96" t="str">
        <f t="shared" si="161"/>
        <v>echo {"issue":{"subject":"","project_id":79,"tracker_id":40,"status_id":1,"priority_id":2,"assigned_to_id":338,"start_date":"2017-09-21","description":"","custom_fields":[{"id":1,"name":"Subdivision","value":"Shuttle/Test"},{"id":4,"name":"Milepost","value":"0.3516"},{"id":17,"name":"Train ID","value":"61-21"},{"id":16,"name":"Locomotive ID","value":"4010"},{"id":130,"name":"Impact","value":""},{"id":150,"name":"Time of Event (Mountain Time)","value":"14:19:57"},{"id":151,"name":"Denver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162"/>
        <v>start /low /b %USERPROFILE%\Documents\GitHub\eaglep3\Utilities\DownloadLogsFromS3.py --loco 4010 --day 2017-09-21</v>
      </c>
      <c r="AN241" s="151" t="str">
        <f t="shared" si="163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20:19:57"},{"id":29,"name":"Sharepoint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168" t="str">
        <f t="shared" si="164"/>
        <v>https://d0f6bd738d7f1b3e5a7ca70fe4ff75f0.us-east-1.aws.found.io/app/kibana#/discover/Steve-Slow-Train-Analysis-(2080s-and-2083s)?_g=(refreshInterval:(display:Off,pause:!f,section:0,value:0),time:(from:'2017-09-21T13:11:32-0600',mode:absolute,to:'2017-09-21T15:19:57-0600'))&amp;_a=(columns:!('Message%20ID',Summary),filters:!(),index:'emp_*',interval:auto,query:(query_string:(analyze_wildcard:!t,query:'Message%5C+ID:(*)+AND+%22rtdc.l.rtdc.4010%22')),sort:!(Time.ISO8601,asc))</v>
      </c>
    </row>
    <row r="242" spans="1:91" x14ac:dyDescent="0.25">
      <c r="A242" s="32" t="s">
        <v>606</v>
      </c>
      <c r="B242" s="7">
        <v>4016</v>
      </c>
      <c r="C242" s="21" t="s">
        <v>196</v>
      </c>
      <c r="D242" s="21" t="s">
        <v>412</v>
      </c>
      <c r="E242" s="13">
        <v>42999.620856481481</v>
      </c>
      <c r="F242" s="13">
        <v>42999.627106481479</v>
      </c>
      <c r="G242" s="7">
        <v>109</v>
      </c>
      <c r="H242" s="21" t="s">
        <v>909</v>
      </c>
      <c r="I242" s="13">
        <v>42999.628668981481</v>
      </c>
      <c r="J242" s="7">
        <v>0</v>
      </c>
      <c r="K242" s="89" t="str">
        <f t="shared" si="146"/>
        <v>4015/4016</v>
      </c>
      <c r="L242" s="185" t="str">
        <f>VLOOKUP(A242,'Trips&amp;Operators'!$C$1:$G$99911,5,FALSE)</f>
        <v>DE LA ROSA ALEX</v>
      </c>
      <c r="M242" s="6">
        <f t="shared" si="147"/>
        <v>1.5625000014551915E-3</v>
      </c>
      <c r="N242" s="7">
        <f t="shared" si="148"/>
        <v>2.2500000020954758</v>
      </c>
      <c r="O242" s="7"/>
      <c r="P242" s="7"/>
      <c r="Q242" s="22"/>
      <c r="R242" s="174"/>
      <c r="S242" s="221">
        <f t="shared" si="149"/>
        <v>0</v>
      </c>
      <c r="T242" s="174" t="str">
        <f t="shared" si="150"/>
        <v>NorthBound</v>
      </c>
      <c r="U242" s="198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216" t="str">
        <f t="shared" si="151"/>
        <v>https://d0f6bd738d7f1b3e5a7ca70fe4ff75f0.us-east-1.aws.found.io/app/kibana#/discover/Steve-Slow-Train-Analysis-(2080s-and-2083s)?_g=(refreshInterval:(display:Off,pause:!f,section:0,value:0),time:(from:'2017-09-21T13:54:02-0600',mode:absolute,to:'2017-09-21T16:05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42" s="204" t="str">
        <f>IF(AA242&lt;VLOOKUP(AG242,Variables!$AC$3:$AD$8,2,FALSE),"Y","N")</f>
        <v>Y</v>
      </c>
      <c r="X242" s="204">
        <f t="shared" si="152"/>
        <v>0</v>
      </c>
      <c r="Y242" s="204">
        <f t="shared" si="153"/>
        <v>4.6600000000000003E-2</v>
      </c>
      <c r="Z242" s="204">
        <f t="shared" si="154"/>
        <v>0.55549999999999999</v>
      </c>
      <c r="AA242" s="204">
        <f t="shared" si="155"/>
        <v>0.50890000000000002</v>
      </c>
      <c r="AB242" s="54" t="e">
        <f>VLOOKUP(A242,Enforcements!$C$7:$K$11,8,0)</f>
        <v>#N/A</v>
      </c>
      <c r="AC242" s="51" t="e">
        <f>VLOOKUP(A242,Enforcements!$C$7:$E$11,3,0)</f>
        <v>#N/A</v>
      </c>
      <c r="AD242" s="179">
        <f t="shared" si="156"/>
        <v>61</v>
      </c>
      <c r="AE242" s="77" t="str">
        <f t="shared" si="157"/>
        <v>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 &amp; aws s3 cp s3://rtdc.mdm.uploadarchive.raw/RTDC4016/ "%USERPROFILE%\AppData\Local\Temp\OnboardLogs"\RTDC4016\2017-09-22 --exclude "*" --recursive --include "*20170922*" &amp; "%USERPROFILE%\Documents\GitHub\mrs-test-scripts\Headless Mode &amp; Sideloading\WalkAndUnGZ.bat" "%USERPROFILE%\AppData\Local\Temp\OnboardLogs"\RTDC4016\2017-09-22</v>
      </c>
      <c r="AF242" s="74" t="str">
        <f t="shared" si="158"/>
        <v>"C:\Program Files (x86)\AstroGrep\AstroGrep.exe" /e /r /s /spath="%USERPROFILE%\AppData\Local\Temp\OnboardLogs" /stypes="app*4016*20170921*" /stext=" 21:.+((SYSTEM_STATE.+slice.+state.+changed )|(ment ac)|(multiple cpu faults)|(system.+state.+changed )|(\[timeout)|(PRM\|1\|D)|(kpr)|(kdp)|(train st.+moving)|(\|lc)|(penalty))"</v>
      </c>
      <c r="AG242" s="182" t="str">
        <f t="shared" si="159"/>
        <v>Shuttle/Test</v>
      </c>
      <c r="AH242" s="78" t="str">
        <f t="shared" si="160"/>
        <v>"%USERPROFILE%\Documents\GitHub\eaglep3\Utilities\RefineRTDCRunTimes.py" --tripid 61-21 --locoid 4016 --swversion DE.1.0.9.0 --startMP 204:466 --initTime 2017-09-21T14:54:02 --startdatetime 2017-09-21T15:03:02 --delay 109 --endMP 300:5555 --enddatetime 2017-09-21T15:05:17 --enforcementcount 0 &gt;&gt;c:\users\stu\Documents\GitHub\eaglep3-reporting\EC\2017-09-21-refined-times.txt</v>
      </c>
      <c r="AI242" s="96" t="str">
        <f t="shared" si="161"/>
        <v>echo {"issue":{"subject":"","project_id":79,"tracker_id":40,"status_id":1,"priority_id":2,"assigned_to_id":338,"start_date":"2017-09-21","description":"","custom_fields":[{"id":1,"name":"Subdivision","value":"Shuttle/Test"},{"id":4,"name":"Milepost","value":"0.5555"},{"id":17,"name":"Train ID","value":"61-21"},{"id":16,"name":"Locomotive ID","value":"4016"},{"id":130,"name":"Impact","value":""},{"id":150,"name":"Time of Event (Mountain Time)","value":"15:05:17"},{"id":151,"name":"Denver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2" t="str">
        <f t="shared" si="162"/>
        <v>start /low /b %USERPROFILE%\Documents\GitHub\eaglep3\Utilities\DownloadLogsFromS3.py --loco 4016 --day 2017-09-21</v>
      </c>
      <c r="AN242" s="151" t="str">
        <f t="shared" si="163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21:05:17"},{"id":29,"name":"Sharepoint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168" t="str">
        <f t="shared" si="164"/>
        <v>https://d0f6bd738d7f1b3e5a7ca70fe4ff75f0.us-east-1.aws.found.io/app/kibana#/discover/Steve-Slow-Train-Analysis-(2080s-and-2083s)?_g=(refreshInterval:(display:Off,pause:!f,section:0,value:0),time:(from:'2017-09-21T13:54:02-0600',mode:absolute,to:'2017-09-21T16:05:17-0600'))&amp;_a=(columns:!('Message%20ID',Summary),filters:!(),index:'emp_*',interval:auto,query:(query_string:(analyze_wildcard:!t,query:'Message%5C+ID:(*)+AND+%22rtdc.l.rtdc.4016%22')),sort:!(Time.ISO8601,asc))</v>
      </c>
    </row>
    <row r="243" spans="1:91" x14ac:dyDescent="0.25">
      <c r="A243" s="32" t="s">
        <v>738</v>
      </c>
      <c r="B243" s="7">
        <v>4027</v>
      </c>
      <c r="C243" s="21" t="s">
        <v>196</v>
      </c>
      <c r="D243" s="21" t="s">
        <v>910</v>
      </c>
      <c r="E243" s="13">
        <v>42999.641469907408</v>
      </c>
      <c r="F243" s="13">
        <v>42999.642708333333</v>
      </c>
      <c r="G243" s="7">
        <v>56</v>
      </c>
      <c r="H243" s="21" t="s">
        <v>911</v>
      </c>
      <c r="I243" s="13">
        <v>42999.643750000003</v>
      </c>
      <c r="J243" s="7">
        <v>0</v>
      </c>
      <c r="K243" s="89" t="str">
        <f t="shared" si="146"/>
        <v>4027/4028</v>
      </c>
      <c r="L243" s="185" t="str">
        <f>VLOOKUP(A243,'Trips&amp;Operators'!$C$1:$G$99911,5,FALSE)</f>
        <v>NEWELL JAMES</v>
      </c>
      <c r="M243" s="6">
        <f t="shared" si="147"/>
        <v>1.0416666700621136E-3</v>
      </c>
      <c r="N243" s="7">
        <f t="shared" si="148"/>
        <v>1.5000000048894435</v>
      </c>
      <c r="O243" s="7"/>
      <c r="P243" s="7"/>
      <c r="Q243" s="22"/>
      <c r="R243" s="174"/>
      <c r="S243" s="221">
        <f t="shared" si="149"/>
        <v>0</v>
      </c>
      <c r="T243" s="174" t="str">
        <f t="shared" si="150"/>
        <v>Southbound</v>
      </c>
      <c r="U243" s="198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216" t="str">
        <f t="shared" si="151"/>
        <v>https://d0f6bd738d7f1b3e5a7ca70fe4ff75f0.us-east-1.aws.found.io/app/kibana#/discover/Steve-Slow-Train-Analysis-(2080s-and-2083s)?_g=(refreshInterval:(display:Off,pause:!f,section:0,value:0),time:(from:'2017-09-21T14:23:43-0600',mode:absolute,to:'2017-09-21T16:27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43" s="204" t="str">
        <f>IF(AA243&lt;VLOOKUP(AG243,Variables!$AC$3:$AD$8,2,FALSE),"Y","N")</f>
        <v>Y</v>
      </c>
      <c r="X243" s="204">
        <f t="shared" si="152"/>
        <v>9</v>
      </c>
      <c r="Y243" s="204">
        <f t="shared" si="153"/>
        <v>0.32219999999999999</v>
      </c>
      <c r="Z243" s="204">
        <f t="shared" si="154"/>
        <v>2.2700000000000001E-2</v>
      </c>
      <c r="AA243" s="204">
        <f t="shared" si="155"/>
        <v>0.29949999999999999</v>
      </c>
      <c r="AB243" s="54" t="e">
        <f>VLOOKUP(A243,Enforcements!$C$7:$K$11,8,0)</f>
        <v>#N/A</v>
      </c>
      <c r="AC243" s="51" t="e">
        <f>VLOOKUP(A243,Enforcements!$C$7:$E$11,3,0)</f>
        <v>#N/A</v>
      </c>
      <c r="AD243" s="179">
        <f t="shared" si="156"/>
        <v>70</v>
      </c>
      <c r="AE243" s="77" t="str">
        <f t="shared" si="157"/>
        <v>aws s3 cp s3://rtdc.mdm.uploadarchive.raw/RTDC4027/ "%USERPROFILE%\AppData\Local\Temp\OnboardLogs"\RTDC4027\2017-09-21 --exclude "*" --recursive --include "*20170921*" &amp; "%USERPROFILE%\Documents\GitHub\mrs-test-scripts\Headless Mode &amp; Sideloading\WalkAndUnGZ.bat" "%USERPROFILE%\AppData\Local\Temp\OnboardLogs"\RTDC4027\2017-09-21 &amp; aws s3 cp s3://rtdc.mdm.uploadarchive.raw/RTDC4027/ "%USERPROFILE%\AppData\Local\Temp\OnboardLogs"\RTDC4027\2017-09-22 --exclude "*" --recursive --include "*20170922*" &amp; "%USERPROFILE%\Documents\GitHub\mrs-test-scripts\Headless Mode &amp; Sideloading\WalkAndUnGZ.bat" "%USERPROFILE%\AppData\Local\Temp\OnboardLogs"\RTDC4027\2017-09-22</v>
      </c>
      <c r="AF243" s="74" t="str">
        <f t="shared" si="158"/>
        <v>"C:\Program Files (x86)\AstroGrep\AstroGrep.exe" /e /r /s /spath="%USERPROFILE%\AppData\Local\Temp\OnboardLogs" /stypes="app*4027*20170921*" /stext=" 21:.+((SYSTEM_STATE.+slice.+state.+changed )|(ment ac)|(multiple cpu faults)|(system.+state.+changed )|(\[timeout)|(PRM\|1\|D)|(kpr)|(kdp)|(train st.+moving)|(\|lc)|(penalty))"</v>
      </c>
      <c r="AG243" s="182" t="str">
        <f t="shared" si="159"/>
        <v>Shuttle/Test</v>
      </c>
      <c r="AH243" s="78" t="str">
        <f t="shared" si="160"/>
        <v>"%USERPROFILE%\Documents\GitHub\eaglep3\Utilities\RefineRTDCRunTimes.py" --tripid 70-21 --locoid 4027 --swversion DE.1.0.9.0 --startMP 204:3222 --initTime 2017-09-21T15:23:43 --startdatetime 2017-09-21T15:25:30 --delay 56 --endMP 204:227 --enddatetime 2017-09-21T15:27:00 --enforcementcount 0 &gt;&gt;c:\users\stu\Documents\GitHub\eaglep3-reporting\EC\2017-09-21-refined-times.txt</v>
      </c>
      <c r="AI243" s="96" t="str">
        <f t="shared" si="161"/>
        <v>echo {"issue":{"subject":"","project_id":79,"tracker_id":40,"status_id":1,"priority_id":2,"assigned_to_id":338,"start_date":"2017-09-21","description":"","custom_fields":[{"id":1,"name":"Subdivision","value":"Shuttle/Test"},{"id":4,"name":"Milepost","value":"0.0227"},{"id":17,"name":"Train ID","value":"70-21"},{"id":16,"name":"Locomotive ID","value":"4027"},{"id":130,"name":"Impact","value":""},{"id":150,"name":"Time of Event (Mountain Time)","value":"15:27:00"},{"id":151,"name":"Denver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2" t="str">
        <f t="shared" si="162"/>
        <v>start /low /b %USERPROFILE%\Documents\GitHub\eaglep3\Utilities\DownloadLogsFromS3.py --loco 4027 --day 2017-09-21</v>
      </c>
      <c r="AN243" s="151" t="str">
        <f t="shared" si="163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21:27:00"},{"id":29,"name":"Sharepoint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 s="168" t="str">
        <f t="shared" si="164"/>
        <v>https://d0f6bd738d7f1b3e5a7ca70fe4ff75f0.us-east-1.aws.found.io/app/kibana#/discover/Steve-Slow-Train-Analysis-(2080s-and-2083s)?_g=(refreshInterval:(display:Off,pause:!f,section:0,value:0),time:(from:'2017-09-21T14:23:43-0600',mode:absolute,to:'2017-09-21T16:27:00-0600'))&amp;_a=(columns:!('Message%20ID',Summary),filters:!(),index:'emp_*',interval:auto,query:(query_string:(analyze_wildcard:!t,query:'Message%5C+ID:(*)+AND+%22rtdc.l.rtdc.4027%22')),sort:!(Time.ISO8601,asc))</v>
      </c>
    </row>
    <row r="244" spans="1:91" s="20" customFormat="1" x14ac:dyDescent="0.25">
      <c r="A244" s="32" t="s">
        <v>739</v>
      </c>
      <c r="B244" s="7">
        <v>4028</v>
      </c>
      <c r="C244" s="21" t="s">
        <v>196</v>
      </c>
      <c r="D244" s="21" t="s">
        <v>912</v>
      </c>
      <c r="E244" s="13">
        <v>42999.635821759257</v>
      </c>
      <c r="F244" s="13">
        <v>42999.639062499999</v>
      </c>
      <c r="G244" s="7">
        <v>46</v>
      </c>
      <c r="H244" s="21" t="s">
        <v>913</v>
      </c>
      <c r="I244" s="13">
        <v>42999.640856481485</v>
      </c>
      <c r="J244" s="7">
        <v>0</v>
      </c>
      <c r="K244" s="89" t="str">
        <f t="shared" si="146"/>
        <v>4027/4028</v>
      </c>
      <c r="L244" s="185" t="str">
        <f>VLOOKUP(A244,'Trips&amp;Operators'!$C$1:$G$99911,5,FALSE)</f>
        <v>NEWELL JAMES</v>
      </c>
      <c r="M244" s="6">
        <f t="shared" si="147"/>
        <v>1.793981486116536E-3</v>
      </c>
      <c r="N244" s="7">
        <f t="shared" si="148"/>
        <v>2.5833333400078118</v>
      </c>
      <c r="O244" s="7"/>
      <c r="P244" s="7"/>
      <c r="Q244" s="22"/>
      <c r="R244" s="174"/>
      <c r="S244" s="221">
        <f t="shared" si="149"/>
        <v>0</v>
      </c>
      <c r="T244" s="174" t="str">
        <f t="shared" si="150"/>
        <v>NorthBound</v>
      </c>
      <c r="U244" s="198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216" t="str">
        <f t="shared" si="151"/>
        <v>https://d0f6bd738d7f1b3e5a7ca70fe4ff75f0.us-east-1.aws.found.io/app/kibana#/discover/Steve-Slow-Train-Analysis-(2080s-and-2083s)?_g=(refreshInterval:(display:Off,pause:!f,section:0,value:0),time:(from:'2017-09-21T14:15:35-0600',mode:absolute,to:'2017-09-21T16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44" s="204" t="str">
        <f>IF(AA244&lt;VLOOKUP(AG244,Variables!$AC$3:$AD$8,2,FALSE),"Y","N")</f>
        <v>Y</v>
      </c>
      <c r="X244" s="204">
        <f t="shared" si="152"/>
        <v>1</v>
      </c>
      <c r="Y244" s="204">
        <f t="shared" si="153"/>
        <v>0.11600000000000001</v>
      </c>
      <c r="Z244" s="204">
        <f t="shared" si="154"/>
        <v>0.3493</v>
      </c>
      <c r="AA244" s="204">
        <f t="shared" si="155"/>
        <v>0.23330000000000001</v>
      </c>
      <c r="AB244" s="54" t="e">
        <f>VLOOKUP(A244,Enforcements!$C$7:$K$11,8,0)</f>
        <v>#N/A</v>
      </c>
      <c r="AC244" s="51" t="e">
        <f>VLOOKUP(A244,Enforcements!$C$7:$E$11,3,0)</f>
        <v>#N/A</v>
      </c>
      <c r="AD244" s="179">
        <f t="shared" si="156"/>
        <v>71</v>
      </c>
      <c r="AE244" s="77" t="str">
        <f t="shared" si="157"/>
        <v>aws s3 cp s3://rtdc.mdm.uploadarchive.raw/RTDC4028/ "%USERPROFILE%\AppData\Local\Temp\OnboardLogs"\RTDC4028\2017-09-21 --exclude "*" --recursive --include "*20170921*" &amp; "%USERPROFILE%\Documents\GitHub\mrs-test-scripts\Headless Mode &amp; Sideloading\WalkAndUnGZ.bat" "%USERPROFILE%\AppData\Local\Temp\OnboardLogs"\RTDC4028\2017-09-21 &amp; aws s3 cp s3://rtdc.mdm.uploadarchive.raw/RTDC4028/ "%USERPROFILE%\AppData\Local\Temp\OnboardLogs"\RTDC4028\2017-09-22 --exclude "*" --recursive --include "*20170922*" &amp; "%USERPROFILE%\Documents\GitHub\mrs-test-scripts\Headless Mode &amp; Sideloading\WalkAndUnGZ.bat" "%USERPROFILE%\AppData\Local\Temp\OnboardLogs"\RTDC4028\2017-09-22</v>
      </c>
      <c r="AF244" s="74" t="str">
        <f t="shared" si="158"/>
        <v>"C:\Program Files (x86)\AstroGrep\AstroGrep.exe" /e /r /s /spath="%USERPROFILE%\AppData\Local\Temp\OnboardLogs" /stypes="app*4028*20170921*" /stext=" 21:.+((SYSTEM_STATE.+slice.+state.+changed )|(ment ac)|(multiple cpu faults)|(system.+state.+changed )|(\[timeout)|(PRM\|1\|D)|(kpr)|(kdp)|(train st.+moving)|(\|lc)|(penalty))"</v>
      </c>
      <c r="AG244" s="182" t="str">
        <f t="shared" si="159"/>
        <v>Shuttle/Test</v>
      </c>
      <c r="AH244" s="78" t="str">
        <f t="shared" si="160"/>
        <v>"%USERPROFILE%\Documents\GitHub\eaglep3\Utilities\RefineRTDCRunTimes.py" --tripid 71-21 --locoid 4028 --swversion DE.1.0.9.0 --startMP 204:1160 --initTime 2017-09-21T15:15:35 --startdatetime 2017-09-21T15:20:15 --delay 46 --endMP 204:3493 --enddatetime 2017-09-21T15:22:50 --enforcementcount 0 &gt;&gt;c:\users\stu\Documents\GitHub\eaglep3-reporting\EC\2017-09-21-refined-times.txt</v>
      </c>
      <c r="AI244" s="96" t="str">
        <f t="shared" si="161"/>
        <v>echo {"issue":{"subject":"","project_id":79,"tracker_id":40,"status_id":1,"priority_id":2,"assigned_to_id":338,"start_date":"2017-09-21","description":"","custom_fields":[{"id":1,"name":"Subdivision","value":"Shuttle/Test"},{"id":4,"name":"Milepost","value":"0.3493"},{"id":17,"name":"Train ID","value":"71-21"},{"id":16,"name":"Locomotive ID","value":"4028"},{"id":130,"name":"Impact","value":""},{"id":150,"name":"Time of Event (Mountain Time)","value":"15:22:50"},{"id":151,"name":"Denver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44" s="47"/>
      <c r="AL244" s="47"/>
      <c r="AM244" s="142" t="str">
        <f t="shared" si="162"/>
        <v>start /low /b %USERPROFILE%\Documents\GitHub\eaglep3\Utilities\DownloadLogsFromS3.py --loco 4028 --day 2017-09-21</v>
      </c>
      <c r="AN244" s="151" t="str">
        <f t="shared" si="163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21:22:50"},{"id":29,"name":"Sharepoint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 s="168" t="str">
        <f t="shared" si="164"/>
        <v>https://d0f6bd738d7f1b3e5a7ca70fe4ff75f0.us-east-1.aws.found.io/app/kibana#/discover/Steve-Slow-Train-Analysis-(2080s-and-2083s)?_g=(refreshInterval:(display:Off,pause:!f,section:0,value:0),time:(from:'2017-09-21T14:15:35-0600',mode:absolute,to:'2017-09-21T16:22:50-0600'))&amp;_a=(columns:!('Message%20ID',Summary),filters:!(),index:'emp_*',interval:auto,query:(query_string:(analyze_wildcard:!t,query:'Message%5C+ID:(*)+AND+%22rtdc.l.rtdc.4028%22')),sort:!(Time.ISO8601,asc))</v>
      </c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x14ac:dyDescent="0.25">
      <c r="A245" s="32" t="s">
        <v>754</v>
      </c>
      <c r="B245" s="7">
        <v>4052</v>
      </c>
      <c r="C245" s="21" t="s">
        <v>196</v>
      </c>
      <c r="D245" s="21" t="s">
        <v>925</v>
      </c>
      <c r="E245" s="13">
        <v>42999.681469907409</v>
      </c>
      <c r="F245" s="13">
        <v>42999.693993055553</v>
      </c>
      <c r="G245" s="7">
        <v>62</v>
      </c>
      <c r="H245" s="21" t="s">
        <v>495</v>
      </c>
      <c r="I245" s="13">
        <v>42999.703252314815</v>
      </c>
      <c r="J245" s="7">
        <v>0</v>
      </c>
      <c r="K245" s="89" t="str">
        <f t="shared" si="146"/>
        <v>4051/4052</v>
      </c>
      <c r="L245" s="185" t="str">
        <f>VLOOKUP(A245,'Trips&amp;Operators'!$C$1:$G$99911,5,FALSE)</f>
        <v>NEWELL JAMES</v>
      </c>
      <c r="M245" s="6">
        <f t="shared" si="147"/>
        <v>9.2592592627624981E-3</v>
      </c>
      <c r="N245" s="7">
        <f t="shared" si="148"/>
        <v>13.333333338377997</v>
      </c>
      <c r="O245" s="7"/>
      <c r="P245" s="7"/>
      <c r="Q245" s="22"/>
      <c r="R245" s="174"/>
      <c r="S245" s="221">
        <f t="shared" si="149"/>
        <v>1</v>
      </c>
      <c r="T245" s="174" t="str">
        <f t="shared" si="150"/>
        <v>NorthBound</v>
      </c>
      <c r="U245" s="198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1</v>
      </c>
      <c r="V245" s="216" t="str">
        <f t="shared" si="151"/>
        <v>https://d0f6bd738d7f1b3e5a7ca70fe4ff75f0.us-east-1.aws.found.io/app/kibana#/discover/Steve-Slow-Train-Analysis-(2080s-and-2083s)?_g=(refreshInterval:(display:Off,pause:!f,section:0,value:0),time:(from:'2017-09-21T15:21:19-0600',mode:absolute,to:'2017-09-21T17:52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45" s="204" t="str">
        <f>IF(AA245&lt;VLOOKUP(AG245,Variables!$AC$3:$AD$8,2,FALSE),"Y","N")</f>
        <v>Y</v>
      </c>
      <c r="X245" s="204">
        <f t="shared" si="152"/>
        <v>10</v>
      </c>
      <c r="Y245" s="204">
        <f t="shared" si="153"/>
        <v>0.12130000000000001</v>
      </c>
      <c r="Z245" s="204">
        <f t="shared" si="154"/>
        <v>2.3306</v>
      </c>
      <c r="AA245" s="204">
        <f t="shared" si="155"/>
        <v>2.2092999999999998</v>
      </c>
      <c r="AB245" s="54" t="e">
        <f>VLOOKUP(A245,Enforcements!$C$7:$K$11,8,0)</f>
        <v>#N/A</v>
      </c>
      <c r="AC245" s="51" t="e">
        <f>VLOOKUP(A245,Enforcements!$C$7:$E$11,3,0)</f>
        <v>#N/A</v>
      </c>
      <c r="AD245" s="179">
        <f t="shared" si="156"/>
        <v>81</v>
      </c>
      <c r="AE245" s="77" t="str">
        <f t="shared" si="157"/>
        <v>aws s3 cp s3://rtdc.mdm.uploadarchive.raw/RTDC4052/ "%USERPROFILE%\AppData\Local\Temp\OnboardLogs"\RTDC4052\2017-09-21 --exclude "*" --recursive --include "*20170921*" &amp; "%USERPROFILE%\Documents\GitHub\mrs-test-scripts\Headless Mode &amp; Sideloading\WalkAndUnGZ.bat" "%USERPROFILE%\AppData\Local\Temp\OnboardLogs"\RTDC4052\2017-09-21 &amp; aws s3 cp s3://rtdc.mdm.uploadarchive.raw/RTDC4052/ "%USERPROFILE%\AppData\Local\Temp\OnboardLogs"\RTDC4052\2017-09-22 --exclude "*" --recursive --include "*20170922*" &amp; "%USERPROFILE%\Documents\GitHub\mrs-test-scripts\Headless Mode &amp; Sideloading\WalkAndUnGZ.bat" "%USERPROFILE%\AppData\Local\Temp\OnboardLogs"\RTDC4052\2017-09-22</v>
      </c>
      <c r="AF245" s="74" t="str">
        <f t="shared" si="158"/>
        <v>"C:\Program Files (x86)\AstroGrep\AstroGrep.exe" /e /r /s /spath="%USERPROFILE%\AppData\Local\Temp\OnboardLogs" /stypes="app*4052*20170921*" /stext=" 22:.+((SYSTEM_STATE.+slice.+state.+changed )|(ment ac)|(multiple cpu faults)|(system.+state.+changed )|(\[timeout)|(PRM\|1\|D)|(kpr)|(kdp)|(train st.+moving)|(\|lc)|(penalty))"</v>
      </c>
      <c r="AG245" s="182" t="str">
        <f t="shared" si="159"/>
        <v>Shuttle/Test</v>
      </c>
      <c r="AH245" s="78" t="str">
        <f t="shared" si="160"/>
        <v>"%USERPROFILE%\Documents\GitHub\eaglep3\Utilities\RefineRTDCRunTimes.py" --tripid 81-21 --locoid 4052 --swversion DE.1.0.9.0 --startMP 204:1213 --initTime 2017-09-21T16:21:19 --startdatetime 2017-09-21T16:39:21 --delay 62 --endMP 300:23306 --enddatetime 2017-09-21T16:52:41 --enforcementcount 0 &gt;&gt;c:\users\stu\Documents\GitHub\eaglep3-reporting\EC\2017-09-21-refined-times.txt</v>
      </c>
      <c r="AI245" s="96" t="str">
        <f t="shared" si="161"/>
        <v>echo {"issue":{"subject":"","project_id":79,"tracker_id":40,"status_id":1,"priority_id":2,"assigned_to_id":338,"start_date":"2017-09-21","description":"","custom_fields":[{"id":1,"name":"Subdivision","value":"Shuttle/Test"},{"id":4,"name":"Milepost","value":"2.3306"},{"id":17,"name":"Train ID","value":"81-21"},{"id":16,"name":"Locomotive ID","value":"4052"},{"id":130,"name":"Impact","value":""},{"id":150,"name":"Time of Event (Mountain Time)","value":"16:52:41"},{"id":151,"name":"Denver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2" t="str">
        <f t="shared" si="162"/>
        <v>start /low /b %USERPROFILE%\Documents\GitHub\eaglep3\Utilities\DownloadLogsFromS3.py --loco 4052 --day 2017-09-21</v>
      </c>
      <c r="AN245" s="151" t="str">
        <f t="shared" si="163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22:52:41"},{"id":29,"name":"Sharepoint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 s="168" t="str">
        <f t="shared" si="164"/>
        <v>https://d0f6bd738d7f1b3e5a7ca70fe4ff75f0.us-east-1.aws.found.io/app/kibana#/discover/Steve-Slow-Train-Analysis-(2080s-and-2083s)?_g=(refreshInterval:(display:Off,pause:!f,section:0,value:0),time:(from:'2017-09-21T15:21:19-0600',mode:absolute,to:'2017-09-21T17:52:41-0600'))&amp;_a=(columns:!('Message%20ID',Summary),filters:!(),index:'emp_*',interval:auto,query:(query_string:(analyze_wildcard:!t,query:'Message%5C+ID:(*)+AND+%22rtdc.l.rtdc.4052%22')),sort:!(Time.ISO8601,asc))</v>
      </c>
    </row>
    <row r="246" spans="1:91" x14ac:dyDescent="0.25">
      <c r="A246" s="32" t="s">
        <v>811</v>
      </c>
      <c r="B246" s="7">
        <v>4005</v>
      </c>
      <c r="C246" s="21" t="s">
        <v>196</v>
      </c>
      <c r="D246" s="21" t="s">
        <v>992</v>
      </c>
      <c r="E246" s="13">
        <v>42999.890520833331</v>
      </c>
      <c r="F246" s="13">
        <v>42999.893935185188</v>
      </c>
      <c r="G246" s="7">
        <v>85</v>
      </c>
      <c r="H246" s="21" t="s">
        <v>993</v>
      </c>
      <c r="I246" s="13">
        <v>42999.900208333333</v>
      </c>
      <c r="J246" s="7">
        <v>0</v>
      </c>
      <c r="K246" s="89" t="str">
        <f t="shared" si="146"/>
        <v>4005/4006</v>
      </c>
      <c r="L246" s="185" t="str">
        <f>VLOOKUP(A246,'Trips&amp;Operators'!$C$1:$G$99911,5,FALSE)</f>
        <v>DAVIDSON DAVID</v>
      </c>
      <c r="M246" s="6">
        <f t="shared" si="147"/>
        <v>6.2731481448281556E-3</v>
      </c>
      <c r="N246" s="7">
        <f t="shared" si="148"/>
        <v>9.0333333285525441</v>
      </c>
      <c r="O246" s="7"/>
      <c r="P246" s="7"/>
      <c r="Q246" s="22"/>
      <c r="R246" s="174"/>
      <c r="S246" s="221">
        <f t="shared" si="149"/>
        <v>1</v>
      </c>
      <c r="T246" s="174" t="str">
        <f t="shared" si="150"/>
        <v>Southbound</v>
      </c>
      <c r="U246" s="198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1</v>
      </c>
      <c r="V246" s="216" t="str">
        <f t="shared" si="151"/>
        <v>https://d0f6bd738d7f1b3e5a7ca70fe4ff75f0.us-east-1.aws.found.io/app/kibana#/discover/Steve-Slow-Train-Analysis-(2080s-and-2083s)?_g=(refreshInterval:(display:Off,pause:!f,section:0,value:0),time:(from:'2017-09-21T20:22:21-0600',mode:absolute,to:'2017-09-21T22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46" s="204" t="str">
        <f>IF(AA246&lt;VLOOKUP(AG246,Variables!$AC$3:$AD$8,2,FALSE),"Y","N")</f>
        <v>Y</v>
      </c>
      <c r="X246" s="204">
        <f t="shared" si="152"/>
        <v>3</v>
      </c>
      <c r="Y246" s="204">
        <f t="shared" si="153"/>
        <v>2.2052999999999998</v>
      </c>
      <c r="Z246" s="204">
        <f t="shared" si="154"/>
        <v>9.0899999999999995E-2</v>
      </c>
      <c r="AA246" s="204">
        <f t="shared" si="155"/>
        <v>2.1143999999999998</v>
      </c>
      <c r="AB246" s="54" t="e">
        <f>VLOOKUP(A246,Enforcements!$C$7:$K$11,8,0)</f>
        <v>#N/A</v>
      </c>
      <c r="AC246" s="51" t="e">
        <f>VLOOKUP(A246,Enforcements!$C$7:$E$11,3,0)</f>
        <v>#N/A</v>
      </c>
      <c r="AD246" s="179">
        <f t="shared" si="156"/>
        <v>84</v>
      </c>
      <c r="AE246" s="77" t="str">
        <f t="shared" si="157"/>
        <v>aws s3 cp s3://rtdc.mdm.uploadarchive.raw/RTDC4005/ "%USERPROFILE%\AppData\Local\Temp\OnboardLogs"\RTDC4005\2017-09-21 --exclude "*" --recursive --include "*20170921*" &amp; "%USERPROFILE%\Documents\GitHub\mrs-test-scripts\Headless Mode &amp; Sideloading\WalkAndUnGZ.bat" "%USERPROFILE%\AppData\Local\Temp\OnboardLogs"\RTDC4005\2017-09-21 &amp; aws s3 cp s3://rtdc.mdm.uploadarchive.raw/RTDC4005/ "%USERPROFILE%\AppData\Local\Temp\OnboardLogs"\RTDC4005\2017-09-22 --exclude "*" --recursive --include "*20170922*" &amp; "%USERPROFILE%\Documents\GitHub\mrs-test-scripts\Headless Mode &amp; Sideloading\WalkAndUnGZ.bat" "%USERPROFILE%\AppData\Local\Temp\OnboardLogs"\RTDC4005\2017-09-22</v>
      </c>
      <c r="AF246" s="74" t="str">
        <f t="shared" si="158"/>
        <v>"C:\Program Files (x86)\AstroGrep\AstroGrep.exe" /e /r /s /spath="%USERPROFILE%\AppData\Local\Temp\OnboardLogs" /stypes="app*4005*20170922*" /stext=" 03:.+((SYSTEM_STATE.+slice.+state.+changed )|(ment ac)|(multiple cpu faults)|(system.+state.+changed )|(\[timeout)|(PRM\|1\|D)|(kpr)|(kdp)|(train st.+moving)|(\|lc)|(penalty))"</v>
      </c>
      <c r="AG246" s="182" t="str">
        <f t="shared" si="159"/>
        <v>Shuttle/Test</v>
      </c>
      <c r="AH246" s="78" t="str">
        <f t="shared" si="160"/>
        <v>"%USERPROFILE%\Documents\GitHub\eaglep3\Utilities\RefineRTDCRunTimes.py" --tripid 84-21 --locoid 4005 --swversion DE.1.0.9.0 --startMP 300:22053 --initTime 2017-09-21T21:22:21 --startdatetime 2017-09-21T21:27:16 --delay 85 --endMP 204:909 --enddatetime 2017-09-21T21:36:18 --enforcementcount 0 &gt;&gt;c:\users\stu\Documents\GitHub\eaglep3-reporting\EC\2017-09-21-refined-times.txt</v>
      </c>
      <c r="AI246" s="96" t="str">
        <f t="shared" si="161"/>
        <v>echo {"issue":{"subject":"","project_id":79,"tracker_id":40,"status_id":1,"priority_id":2,"assigned_to_id":338,"start_date":"2017-09-21","description":"","custom_fields":[{"id":1,"name":"Subdivision","value":"Shuttle/Test"},{"id":4,"name":"Milepost","value":"0.0909"},{"id":17,"name":"Train ID","value":"84-21"},{"id":16,"name":"Locomotive ID","value":"4005"},{"id":130,"name":"Impact","value":""},{"id":150,"name":"Time of Event (Mountain Time)","value":"21:36:18"},{"id":151,"name":"Denver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2" t="str">
        <f t="shared" si="162"/>
        <v>start /low /b %USERPROFILE%\Documents\GitHub\eaglep3\Utilities\DownloadLogsFromS3.py --loco 4005 --day 2017-09-21</v>
      </c>
      <c r="AN246" s="151" t="str">
        <f t="shared" si="163"/>
        <v>echo {"issue":{"subject":"","project_id":30,"tracker_id":4,"status_id":1,"priority_id":1,"assigned_to_id":10,"start_date":"2017-09-22","description":"","custom_fields":[{"id":30,"name":"Category","value":"Issue"},{"id":3,"name":"Functional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UTC","value":"2017-09-22 03:36:18"},{"id":29,"name":"Sharepoint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 s="168" t="str">
        <f t="shared" si="164"/>
        <v>https://d0f6bd738d7f1b3e5a7ca70fe4ff75f0.us-east-1.aws.found.io/app/kibana#/discover/Steve-Slow-Train-Analysis-(2080s-and-2083s)?_g=(refreshInterval:(display:Off,pause:!f,section:0,value:0),time:(from:'2017-09-21T20:22:21-0600',mode:absolute,to:'2017-09-21T22:36:18-0600'))&amp;_a=(columns:!('Message%20ID',Summary),filters:!(),index:'emp_*',interval:auto,query:(query_string:(analyze_wildcard:!t,query:'Message%5C+ID:(*)+AND+%22rtdc.l.rtdc.4005%22')),sort:!(Time.ISO8601,asc))</v>
      </c>
    </row>
    <row r="247" spans="1:9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9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9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9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9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9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9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9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9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9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9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9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9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9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9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9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9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9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9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9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9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  <row r="278" spans="1:9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M278"/>
      <c r="AO278"/>
    </row>
    <row r="279" spans="1:9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M279"/>
      <c r="AO279"/>
    </row>
    <row r="280" spans="1:9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M280"/>
      <c r="AO280"/>
    </row>
    <row r="281" spans="1:9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M281"/>
      <c r="AO281"/>
    </row>
    <row r="282" spans="1:9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M282"/>
      <c r="AO282"/>
    </row>
    <row r="283" spans="1:9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M283"/>
      <c r="AO283"/>
    </row>
    <row r="284" spans="1:9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M284"/>
      <c r="AO284"/>
    </row>
    <row r="285" spans="1:9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M285"/>
      <c r="AO285"/>
    </row>
    <row r="286" spans="1:9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M286"/>
      <c r="AO286"/>
    </row>
    <row r="287" spans="1:9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M287"/>
      <c r="AO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M289"/>
      <c r="AO289"/>
    </row>
    <row r="290" spans="1:9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M290"/>
      <c r="AO290"/>
    </row>
    <row r="291" spans="1:9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M291"/>
      <c r="AO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M293"/>
      <c r="AO293"/>
    </row>
    <row r="294" spans="1:9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M294"/>
      <c r="AO294"/>
    </row>
    <row r="295" spans="1:9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M295"/>
      <c r="AO295"/>
    </row>
    <row r="296" spans="1:9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M296"/>
      <c r="AO296"/>
    </row>
    <row r="297" spans="1:9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M297"/>
      <c r="AO297"/>
    </row>
    <row r="298" spans="1:9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M298"/>
      <c r="AO298"/>
    </row>
    <row r="299" spans="1:9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M299"/>
      <c r="AO299"/>
    </row>
    <row r="300" spans="1:9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M300"/>
      <c r="AO300"/>
    </row>
    <row r="301" spans="1:9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M301"/>
      <c r="AO301"/>
    </row>
    <row r="302" spans="1:9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M302"/>
      <c r="AO302"/>
    </row>
    <row r="303" spans="1:9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M303"/>
      <c r="AO303"/>
    </row>
    <row r="304" spans="1:9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M304"/>
      <c r="AO304"/>
    </row>
    <row r="305" spans="1:4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M305"/>
      <c r="AO305"/>
    </row>
    <row r="306" spans="1:4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M306"/>
      <c r="AO306"/>
    </row>
    <row r="307" spans="1:4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M307"/>
      <c r="AO307"/>
    </row>
    <row r="308" spans="1:4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M308"/>
      <c r="AO308"/>
    </row>
    <row r="309" spans="1:4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M309"/>
      <c r="AO309"/>
    </row>
    <row r="310" spans="1:4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M310"/>
      <c r="AO310"/>
    </row>
    <row r="311" spans="1:4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M311"/>
      <c r="AO311"/>
    </row>
    <row r="312" spans="1:4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M312"/>
      <c r="AO312"/>
    </row>
    <row r="313" spans="1:4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M313"/>
      <c r="AO313"/>
    </row>
  </sheetData>
  <autoFilter ref="A12:AG308">
    <sortState ref="A13:AG301">
      <sortCondition ref="AG13:AG239"/>
      <sortCondition ref="AD13:AD239"/>
    </sortState>
  </autoFilter>
  <sortState ref="A13:AN257">
    <sortCondition ref="AG13:AG257"/>
    <sortCondition ref="AD13:AD257"/>
  </sortState>
  <mergeCells count="1">
    <mergeCell ref="A11:P11"/>
  </mergeCells>
  <conditionalFormatting sqref="W11:W12 W314:X1048576 W13:X246">
    <cfRule type="cellIs" dxfId="10" priority="422" operator="equal">
      <formula>"Y"</formula>
    </cfRule>
  </conditionalFormatting>
  <conditionalFormatting sqref="X314:X1048576 X13:X246">
    <cfRule type="cellIs" dxfId="9" priority="405" operator="greaterThan">
      <formula>1</formula>
    </cfRule>
  </conditionalFormatting>
  <conditionalFormatting sqref="X314:X1048576 X12:X246">
    <cfRule type="cellIs" dxfId="8" priority="402" operator="equal">
      <formula>0</formula>
    </cfRule>
  </conditionalFormatting>
  <conditionalFormatting sqref="A13:S246">
    <cfRule type="expression" dxfId="7" priority="396" stopIfTrue="1">
      <formula>$P13&gt;0</formula>
    </cfRule>
    <cfRule type="expression" dxfId="6" priority="39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A13:S246</xm:sqref>
        </x14:conditionalFormatting>
        <x14:conditionalFormatting xmlns:xm="http://schemas.microsoft.com/office/excel/2006/main">
          <x14:cfRule type="expression" priority="8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AK13:AK246</xm:sqref>
        </x14:dataValidation>
        <x14:dataValidation type="list" allowBlank="1" showInputMessage="1" showErrorMessage="1">
          <x14:formula1>
            <xm:f>'Redmine List Values'!$C$2:$C$15</xm:f>
          </x14:formula1>
          <xm:sqref>AL13:AL246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4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COUNTIF($O$7:$O$247,"=Y")</f>
        <v>2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COUNTA($O$7:$O$247)-O2</f>
        <v>37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6" t="str">
        <f>"Eagle P3 Braking Events - "&amp;TEXT(Variables!$A$2,"YYYY-mm-dd")</f>
        <v>Eagle P3 Braking Events - 2017-09-21</v>
      </c>
      <c r="B5" s="226"/>
      <c r="C5" s="226"/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148</v>
      </c>
      <c r="J6" s="114" t="s">
        <v>30</v>
      </c>
      <c r="K6" s="114" t="s">
        <v>29</v>
      </c>
      <c r="L6" s="114" t="s">
        <v>28</v>
      </c>
      <c r="M6" s="99" t="s">
        <v>149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356</v>
      </c>
      <c r="X6" s="181" t="s">
        <v>349</v>
      </c>
      <c r="Y6" s="105" t="s">
        <v>142</v>
      </c>
      <c r="Z6" s="158" t="s">
        <v>143</v>
      </c>
      <c r="AA6" s="106" t="s">
        <v>116</v>
      </c>
      <c r="AB6" s="106" t="s">
        <v>144</v>
      </c>
      <c r="AC6" s="118" t="s">
        <v>168</v>
      </c>
      <c r="AD6" s="107" t="s">
        <v>185</v>
      </c>
      <c r="AE6" s="143" t="s">
        <v>191</v>
      </c>
    </row>
    <row r="7" spans="1:32" s="1" customFormat="1" x14ac:dyDescent="0.25">
      <c r="A7" s="31">
        <v>42999.571770833332</v>
      </c>
      <c r="B7" s="30" t="s">
        <v>587</v>
      </c>
      <c r="C7" s="30" t="s">
        <v>604</v>
      </c>
      <c r="D7" s="30" t="s">
        <v>95</v>
      </c>
      <c r="E7" s="30" t="s">
        <v>186</v>
      </c>
      <c r="F7" s="42">
        <v>0</v>
      </c>
      <c r="G7" s="42">
        <v>147</v>
      </c>
      <c r="H7" s="42">
        <v>27329</v>
      </c>
      <c r="I7" s="42">
        <v>27193</v>
      </c>
      <c r="J7" s="30" t="s">
        <v>187</v>
      </c>
      <c r="K7" s="42">
        <v>27350</v>
      </c>
      <c r="L7" s="131" t="s">
        <v>51</v>
      </c>
      <c r="M7" s="132">
        <f t="shared" ref="M7:M45" si="0">CONVERT((I7-K7)/10000,"mi","ft")*IF(L7="Increasing Mileposts (1)",-1,1)</f>
        <v>-82.895999999999987</v>
      </c>
      <c r="N7" s="133" t="str">
        <f>VLOOKUP(C7,'Trips&amp;Operators'!$C$1:$G$99911,5,FALSE)</f>
        <v>LEVERE CRAIG</v>
      </c>
      <c r="O7" s="176" t="s">
        <v>179</v>
      </c>
      <c r="P7" s="134" t="s">
        <v>368</v>
      </c>
      <c r="Q7" s="30"/>
      <c r="R7" s="81" t="str">
        <f>VLOOKUP(C7,'Train Runs'!$A$13:$AE$9967,31,0)</f>
        <v>aws s3 cp s3://rtdc.mdm.uploadarchive.raw/RTDC4009/ "%USERPROFILE%\AppData\Local\Temp\OnboardLogs"\RTDC4009\2017-09-21 --exclude "*" --recursive --include "*20170921*" &amp; "%USERPROFILE%\Documents\GitHub\mrs-test-scripts\Headless Mode &amp; Sideloading\WalkAndUnGZ.bat" "%USERPROFILE%\AppData\Local\Temp\OnboardLogs"\RTDC4009\2017-09-21 &amp; aws s3 cp s3://rtdc.mdm.uploadarchive.raw/RTDC4009/ "%USERPROFILE%\AppData\Local\Temp\OnboardLogs"\RTDC4009\2017-09-22 --exclude "*" --recursive --include "*20170922*" &amp; "%USERPROFILE%\Documents\GitHub\mrs-test-scripts\Headless Mode &amp; Sideloading\WalkAndUnGZ.bat" "%USERPROFILE%\AppData\Local\Temp\OnboardLogs"\RTDC4009\2017-09-22</v>
      </c>
      <c r="S7" s="84" t="str">
        <f>VLOOKUP(C7,'Train Runs'!$A$13:$AE$9967,22,0)</f>
        <v>https://d0f6bd738d7f1b3e5a7ca70fe4ff75f0.us-east-1.aws.found.io/app/kibana#/discover/Steve-Slow-Train-Analysis-(2080s-and-2083s)?_g=(refreshInterval:(display:Off,pause:!f,section:0,value:0),time:(from:'2017-09-21T12:03:51-0600',mode:absolute,to:'2017-09-21T14:53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7" s="86" t="str">
        <f t="shared" ref="T7:T45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/stypes="*4009*201709211*" /stext=" 19:.+((SYSTEM_STATE.+slice.+state.+changed )|(ment ac)|(multiple cpu faults)|(system.+state.+changed )|(\[timeout)|(PRM\|1\|D)|(kpr)|(kdp)|(train st.+moving)|(\|lc)|(penalty))"</v>
      </c>
      <c r="U7" s="9" t="str">
        <f t="shared" ref="U7:U45" si="2">MID(B7,13,4)</f>
        <v>4009</v>
      </c>
      <c r="V7" s="31">
        <f t="shared" ref="V7:V45" si="3">A7-utc_offset/24</f>
        <v>42999.821770833332</v>
      </c>
      <c r="W7" s="45" t="str">
        <f t="shared" ref="W7:W45" si="4">DetSubdiv(C7)</f>
        <v>EC</v>
      </c>
      <c r="X7" s="22">
        <f t="shared" ref="X7:X45" si="5">VALUE(LEFT(C7,LEN(C7)-3))</f>
        <v>170</v>
      </c>
      <c r="Y7" s="96" t="str">
        <f t="shared" ref="Y7:Y45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Arrival","project_id":79,"tracker_id":40,"status_id":1,"priority_id":2,"assigned_to_id":338,"start_date":"2017-09-21","description":"","custom_fields":[{"id":1,"name":"Subdivision","value":"EC"},{"id":4,"name":"Milepost","value":"2.735"},{"id":17,"name":"Train ID","value":"170-21"},{"id":16,"name":"Locomotive ID","value":"4009"},{"id":130,"name":"Impact","value":""},{"id":150,"name":"Time of Event (Mountain Time)","value":"13:43:21"},{"id":151,"name":"Denver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45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/c/Users/stu/AppData/Local/Temp/OnboardLogs/RTDC4009 --include="*4009*201709211*"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"%USERPROFILE%\AppData\Local\Temp\OnboardLogs"\RTDC4009\*4009*201709211* &gt;&gt; 2017-09-21-SliceDisagreementCheck.txt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4009 --day 2017-09-21</v>
      </c>
    </row>
    <row r="8" spans="1:32" s="1" customFormat="1" x14ac:dyDescent="0.25">
      <c r="A8" s="31">
        <v>42999.218136574076</v>
      </c>
      <c r="B8" s="30" t="s">
        <v>400</v>
      </c>
      <c r="C8" s="30" t="s">
        <v>578</v>
      </c>
      <c r="D8" s="30" t="s">
        <v>49</v>
      </c>
      <c r="E8" s="30" t="s">
        <v>186</v>
      </c>
      <c r="F8" s="42">
        <v>0</v>
      </c>
      <c r="G8" s="42">
        <v>186</v>
      </c>
      <c r="H8" s="42">
        <v>31072</v>
      </c>
      <c r="I8" s="42">
        <v>30918</v>
      </c>
      <c r="J8" s="30" t="s">
        <v>187</v>
      </c>
      <c r="K8" s="42">
        <v>30970</v>
      </c>
      <c r="L8" s="131" t="s">
        <v>51</v>
      </c>
      <c r="M8" s="132">
        <f t="shared" si="0"/>
        <v>-27.456</v>
      </c>
      <c r="N8" s="133" t="str">
        <f>VLOOKUP(C8,'Trips&amp;Operators'!$C$1:$G$99911,5,FALSE)</f>
        <v>STARKS ANGELINA</v>
      </c>
      <c r="O8" s="176" t="s">
        <v>179</v>
      </c>
      <c r="P8" s="134" t="s">
        <v>368</v>
      </c>
      <c r="Q8" s="30"/>
      <c r="R8" s="81" t="str">
        <f>VLOOKUP(C8,'Train Runs'!$A$13:$AE$9967,31,0)</f>
        <v>aws s3 cp s3://rtdc.mdm.uploadarchive.raw/RTDC4029/ "%USERPROFILE%\AppData\Local\Temp\OnboardLogs"\RTDC4029\2017-09-21 --exclude "*" --recursive --include "*20170921*" &amp; "%USERPROFILE%\Documents\GitHub\mrs-test-scripts\Headless Mode &amp; Sideloading\WalkAndUnGZ.bat" "%USERPROFILE%\AppData\Local\Temp\OnboardLogs"\RTDC4029\2017-09-21 &amp; aws s3 cp s3://rtdc.mdm.uploadarchive.raw/RTDC4029/ "%USERPROFILE%\AppData\Local\Temp\OnboardLogs"\RTDC4029\2017-09-22 --exclude "*" --recursive --include "*20170922*" &amp; "%USERPROFILE%\Documents\GitHub\mrs-test-scripts\Headless Mode &amp; Sideloading\WalkAndUnGZ.bat" "%USERPROFILE%\AppData\Local\Temp\OnboardLogs"\RTDC4029\2017-09-22</v>
      </c>
      <c r="S8" s="84" t="str">
        <f>VLOOKUP(C8,'Train Runs'!$A$13:$AE$9967,22,0)</f>
        <v>https://d0f6bd738d7f1b3e5a7ca70fe4ff75f0.us-east-1.aws.found.io/app/kibana#/discover/Steve-Slow-Train-Analysis-(2080s-and-2083s)?_g=(refreshInterval:(display:Off,pause:!f,section:0,value:0),time:(from:'2017-09-21T03:24:30-0600',mode:absolute,to:'2017-09-21T06:23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8" s="86" t="str">
        <f t="shared" si="1"/>
        <v>"C:\Program Files (x86)\AstroGrep\AstroGrep.exe" /e /r /s /spath="%USERPROFILE%\AppData\Local\Temp\OnboardLogs" /stypes="*4029*201709211*" /stext=" 11:.+((SYSTEM_STATE.+slice.+state.+changed )|(ment ac)|(multiple cpu faults)|(system.+state.+changed )|(\[timeout)|(PRM\|1\|D)|(kpr)|(kdp)|(train st.+moving)|(\|lc)|(penalty))"</v>
      </c>
      <c r="U8" s="9" t="str">
        <f t="shared" si="2"/>
        <v>4029</v>
      </c>
      <c r="V8" s="31">
        <f t="shared" si="3"/>
        <v>42999.468136574076</v>
      </c>
      <c r="W8" s="45" t="str">
        <f t="shared" si="4"/>
        <v>EC</v>
      </c>
      <c r="X8" s="22">
        <f t="shared" si="5"/>
        <v>104</v>
      </c>
      <c r="Y8" s="96" t="str">
        <f t="shared" si="6"/>
        <v>echo {"issue":{"subject":"Early Arrival","project_id":79,"tracker_id":40,"status_id":1,"priority_id":2,"assigned_to_id":338,"start_date":"2017-09-21","description":"","custom_fields":[{"id":1,"name":"Subdivision","value":"EC"},{"id":4,"name":"Milepost","value":"3.097"},{"id":17,"name":"Train ID","value":"104-21"},{"id":16,"name":"Locomotive ID","value":"4029"},{"id":130,"name":"Impact","value":""},{"id":150,"name":"Time of Event (Mountain Time)","value":"05:14:07"},{"id":151,"name":"Denver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/c/Users/stu/AppData/Local/Temp/OnboardLogs/RTDC4029 --include="*4029*201709211*"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"%USERPROFILE%\AppData\Local\Temp\OnboardLogs"\RTDC4029\*4029*201709211* &gt;&gt; 2017-09-21-SliceDisagreementCheck.txt</v>
      </c>
      <c r="AE8" s="145" t="str">
        <f t="shared" ref="AE8:AE45" si="9">"start /low /b "&amp;dls3logs&amp;" --loco "&amp;U8&amp;" --day "&amp;TEXT(V8,"YYYY-MM-DD")</f>
        <v>start /low /b %USERPROFILE%\Documents\GitHub\eaglep3\Utilities\DownloadLogsFromS3.py --loco 4029 --day 2017-09-21</v>
      </c>
    </row>
    <row r="9" spans="1:32" s="1" customFormat="1" x14ac:dyDescent="0.25">
      <c r="A9" s="31">
        <v>42999.558425925927</v>
      </c>
      <c r="B9" s="30" t="s">
        <v>602</v>
      </c>
      <c r="C9" s="30" t="s">
        <v>603</v>
      </c>
      <c r="D9" s="30" t="s">
        <v>49</v>
      </c>
      <c r="E9" s="30" t="s">
        <v>186</v>
      </c>
      <c r="F9" s="42">
        <v>360</v>
      </c>
      <c r="G9" s="42">
        <v>415</v>
      </c>
      <c r="H9" s="42">
        <v>58803</v>
      </c>
      <c r="I9" s="42">
        <v>57528</v>
      </c>
      <c r="J9" s="30" t="s">
        <v>187</v>
      </c>
      <c r="K9" s="42">
        <v>58301</v>
      </c>
      <c r="L9" s="131" t="s">
        <v>51</v>
      </c>
      <c r="M9" s="132">
        <f t="shared" si="0"/>
        <v>-408.14400000000001</v>
      </c>
      <c r="N9" s="133" t="str">
        <f>VLOOKUP(C9,'Trips&amp;Operators'!$C$1:$G$99911,5,FALSE)</f>
        <v>BERLING GARY</v>
      </c>
      <c r="O9" s="176" t="s">
        <v>179</v>
      </c>
      <c r="P9" s="134" t="s">
        <v>368</v>
      </c>
      <c r="Q9" s="30"/>
      <c r="R9" s="81" t="str">
        <f>VLOOKUP(C9,'Train Runs'!$A$13:$AE$9967,31,0)</f>
        <v>aws s3 cp s3://rtdc.mdm.uploadarchive.raw/RTDC4055/ "%USERPROFILE%\AppData\Local\Temp\OnboardLogs"\RTDC4055\2017-09-21 --exclude "*" --recursive --include "*20170921*" &amp; "%USERPROFILE%\Documents\GitHub\mrs-test-scripts\Headless Mode &amp; Sideloading\WalkAndUnGZ.bat" "%USERPROFILE%\AppData\Local\Temp\OnboardLogs"\RTDC4055\2017-09-21 &amp; aws s3 cp s3://rtdc.mdm.uploadarchive.raw/RTDC4055/ "%USERPROFILE%\AppData\Local\Temp\OnboardLogs"\RTDC4055\2017-09-22 --exclude "*" --recursive --include "*20170922*" &amp; "%USERPROFILE%\Documents\GitHub\mrs-test-scripts\Headless Mode &amp; Sideloading\WalkAndUnGZ.bat" "%USERPROFILE%\AppData\Local\Temp\OnboardLogs"\RTDC4055\2017-09-22</v>
      </c>
      <c r="S9" s="84" t="str">
        <f>VLOOKUP(C9,'Train Runs'!$A$13:$AE$9967,22,0)</f>
        <v>https://d0f6bd738d7f1b3e5a7ca70fe4ff75f0.us-east-1.aws.found.io/app/kibana#/discover/Steve-Slow-Train-Analysis-(2080s-and-2083s)?_g=(refreshInterval:(display:Off,pause:!f,section:0,value:0),time:(from:'2017-09-21T11:46:41-0600',mode:absolute,to:'2017-09-21T14:38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9" s="86" t="str">
        <f t="shared" si="1"/>
        <v>"C:\Program Files (x86)\AstroGrep\AstroGrep.exe" /e /r /s /spath="%USERPROFILE%\AppData\Local\Temp\OnboardLogs" /stypes="*4055*201709211*" /stext=" 19:.+((SYSTEM_STATE.+slice.+state.+changed )|(ment ac)|(multiple cpu faults)|(system.+state.+changed )|(\[timeout)|(PRM\|1\|D)|(kpr)|(kdp)|(train st.+moving)|(\|lc)|(penalty))"</v>
      </c>
      <c r="U9" s="9" t="str">
        <f t="shared" si="2"/>
        <v>4055</v>
      </c>
      <c r="V9" s="31">
        <f t="shared" si="3"/>
        <v>42999.808425925927</v>
      </c>
      <c r="W9" s="45" t="str">
        <f t="shared" si="4"/>
        <v>EC</v>
      </c>
      <c r="X9" s="22">
        <f t="shared" si="5"/>
        <v>168</v>
      </c>
      <c r="Y9" s="96" t="str">
        <f t="shared" si="6"/>
        <v>echo {"issue":{"subject":"Early Arrival","project_id":79,"tracker_id":40,"status_id":1,"priority_id":2,"assigned_to_id":338,"start_date":"2017-09-21","description":"","custom_fields":[{"id":1,"name":"Subdivision","value":"EC"},{"id":4,"name":"Milepost","value":"5.8301"},{"id":17,"name":"Train ID","value":"168-21"},{"id":16,"name":"Locomotive ID","value":"4055"},{"id":130,"name":"Impact","value":""},{"id":150,"name":"Time of Event (Mountain Time)","value":"13:24:08"},{"id":151,"name":"Denver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/c/Users/stu/AppData/Local/Temp/OnboardLogs/RTDC4055 --include="*4055*201709211*"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"%USERPROFILE%\AppData\Local\Temp\OnboardLogs"\RTDC4055\*4055*201709211* &gt;&gt; 2017-09-21-SliceDisagreementCheck.txt</v>
      </c>
      <c r="AE9" s="145" t="str">
        <f t="shared" si="9"/>
        <v>start /low /b %USERPROFILE%\Documents\GitHub\eaglep3\Utilities\DownloadLogsFromS3.py --loco 4055 --day 2017-09-21</v>
      </c>
    </row>
    <row r="10" spans="1:32" s="1" customFormat="1" x14ac:dyDescent="0.25">
      <c r="A10" s="31">
        <v>42999.395277777781</v>
      </c>
      <c r="B10" s="30" t="s">
        <v>595</v>
      </c>
      <c r="C10" s="30" t="s">
        <v>596</v>
      </c>
      <c r="D10" s="30" t="s">
        <v>49</v>
      </c>
      <c r="E10" s="30" t="s">
        <v>186</v>
      </c>
      <c r="F10" s="42">
        <v>0</v>
      </c>
      <c r="G10" s="42">
        <v>590</v>
      </c>
      <c r="H10" s="42">
        <v>61864</v>
      </c>
      <c r="I10" s="42">
        <v>63674</v>
      </c>
      <c r="J10" s="30" t="s">
        <v>187</v>
      </c>
      <c r="K10" s="42">
        <v>63069</v>
      </c>
      <c r="L10" s="131" t="s">
        <v>50</v>
      </c>
      <c r="M10" s="132">
        <f t="shared" si="0"/>
        <v>-319.44</v>
      </c>
      <c r="N10" s="133" t="str">
        <f>VLOOKUP(C10,'Trips&amp;Operators'!$C$1:$G$99911,5,FALSE)</f>
        <v>YANG JAN</v>
      </c>
      <c r="O10" s="176" t="s">
        <v>179</v>
      </c>
      <c r="P10" s="134" t="s">
        <v>1000</v>
      </c>
      <c r="Q10" s="30"/>
      <c r="R10" s="81" t="str">
        <f>VLOOKUP(C10,'Train Runs'!$A$13:$AE$9967,31,0)</f>
        <v>aws s3 cp s3://rtdc.mdm.uploadarchive.raw/RTDC4052/ "%USERPROFILE%\AppData\Local\Temp\OnboardLogs"\RTDC4052\2017-09-21 --exclude "*" --recursive --include "*20170921*" &amp; "%USERPROFILE%\Documents\GitHub\mrs-test-scripts\Headless Mode &amp; Sideloading\WalkAndUnGZ.bat" "%USERPROFILE%\AppData\Local\Temp\OnboardLogs"\RTDC4052\2017-09-21 &amp; aws s3 cp s3://rtdc.mdm.uploadarchive.raw/RTDC4052/ "%USERPROFILE%\AppData\Local\Temp\OnboardLogs"\RTDC4052\2017-09-22 --exclude "*" --recursive --include "*20170922*" &amp; "%USERPROFILE%\Documents\GitHub\mrs-test-scripts\Headless Mode &amp; Sideloading\WalkAndUnGZ.bat" "%USERPROFILE%\AppData\Local\Temp\OnboardLogs"\RTDC4052\2017-09-22</v>
      </c>
      <c r="S10" s="84" t="str">
        <f>VLOOKUP(C10,'Train Runs'!$A$13:$AE$9967,22,0)</f>
        <v>https://d0f6bd738d7f1b3e5a7ca70fe4ff75f0.us-east-1.aws.found.io/app/kibana#/discover/Steve-Slow-Train-Analysis-(2080s-and-2083s)?_g=(refreshInterval:(display:Off,pause:!f,section:0,value:0),time:(from:'2017-09-21T08:08:46-0600',mode:absolute,to:'2017-09-21T10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0" s="86" t="str">
        <f t="shared" si="1"/>
        <v>"C:\Program Files (x86)\AstroGrep\AstroGrep.exe" /e /r /s /spath="%USERPROFILE%\AppData\Local\Temp\OnboardLogs" /stypes="*4052*201709211*" /stext=" 15:.+((SYSTEM_STATE.+slice.+state.+changed )|(ment ac)|(multiple cpu faults)|(system.+state.+changed )|(\[timeout)|(PRM\|1\|D)|(kpr)|(kdp)|(train st.+moving)|(\|lc)|(penalty))"</v>
      </c>
      <c r="U10" s="9" t="str">
        <f t="shared" si="2"/>
        <v>4052</v>
      </c>
      <c r="V10" s="31">
        <f t="shared" si="3"/>
        <v>42999.645277777781</v>
      </c>
      <c r="W10" s="45" t="str">
        <f t="shared" si="4"/>
        <v>EC</v>
      </c>
      <c r="X10" s="22">
        <f t="shared" si="5"/>
        <v>145</v>
      </c>
      <c r="Y10" s="96" t="str">
        <f t="shared" si="6"/>
        <v>echo {"issue":{"subject":"Early Arrival exasperated by WiMAX data drop","project_id":79,"tracker_id":40,"status_id":1,"priority_id":2,"assigned_to_id":338,"start_date":"2017-09-21","description":"","custom_fields":[{"id":1,"name":"Subdivision","value":"EC"},{"id":4,"name":"Milepost","value":"6.3069"},{"id":17,"name":"Train ID","value":"145-21"},{"id":16,"name":"Locomotive ID","value":"4052"},{"id":130,"name":"Impact","value":""},{"id":150,"name":"Time of Event (Mountain Time)","value":"09:29:12"},{"id":151,"name":"Denver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/c/Users/stu/AppData/Local/Temp/OnboardLogs/RTDC4052 --include="*4052*201709211*"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"%USERPROFILE%\AppData\Local\Temp\OnboardLogs"\RTDC4052\*4052*201709211* &gt;&gt; 2017-09-21-SliceDisagreementCheck.txt</v>
      </c>
      <c r="AE10" s="145" t="str">
        <f t="shared" si="9"/>
        <v>start /low /b %USERPROFILE%\Documents\GitHub\eaglep3\Utilities\DownloadLogsFromS3.py --loco 4052 --day 2017-09-21</v>
      </c>
    </row>
    <row r="11" spans="1:32" s="1" customFormat="1" x14ac:dyDescent="0.25">
      <c r="A11" s="31">
        <v>42999.227581018517</v>
      </c>
      <c r="B11" s="30" t="s">
        <v>455</v>
      </c>
      <c r="C11" s="30" t="s">
        <v>581</v>
      </c>
      <c r="D11" s="30" t="s">
        <v>49</v>
      </c>
      <c r="E11" s="30" t="s">
        <v>186</v>
      </c>
      <c r="F11" s="42">
        <v>370</v>
      </c>
      <c r="G11" s="42">
        <v>516</v>
      </c>
      <c r="H11" s="42">
        <v>61626</v>
      </c>
      <c r="I11" s="42">
        <v>62913</v>
      </c>
      <c r="J11" s="30" t="s">
        <v>187</v>
      </c>
      <c r="K11" s="42">
        <v>63069</v>
      </c>
      <c r="L11" s="131" t="s">
        <v>50</v>
      </c>
      <c r="M11" s="132">
        <f t="shared" si="0"/>
        <v>82.367999999999995</v>
      </c>
      <c r="N11" s="133" t="str">
        <f>VLOOKUP(C11,'Trips&amp;Operators'!$C$1:$G$99911,5,FALSE)</f>
        <v>YANAI IAN</v>
      </c>
      <c r="O11" s="176" t="s">
        <v>179</v>
      </c>
      <c r="P11" s="134" t="s">
        <v>368</v>
      </c>
      <c r="Q11" s="30"/>
      <c r="R11" s="81" t="str">
        <f>VLOOKUP(C11,'Train Runs'!$A$13:$AE$9967,31,0)</f>
        <v>aws s3 cp s3://rtdc.mdm.uploadarchive.raw/RTDC4010/ "%USERPROFILE%\AppData\Local\Temp\OnboardLogs"\RTDC4010\2017-09-21 --exclude "*" --recursive --include "*20170921*" &amp; "%USERPROFILE%\Documents\GitHub\mrs-test-scripts\Headless Mode &amp; Sideloading\WalkAndUnGZ.bat" "%USERPROFILE%\AppData\Local\Temp\OnboardLogs"\RTDC4010\2017-09-21 &amp; aws s3 cp s3://rtdc.mdm.uploadarchive.raw/RTDC4010/ "%USERPROFILE%\AppData\Local\Temp\OnboardLogs"\RTDC4010\2017-09-22 --exclude "*" --recursive --include "*20170922*" &amp; "%USERPROFILE%\Documents\GitHub\mrs-test-scripts\Headless Mode &amp; Sideloading\WalkAndUnGZ.bat" "%USERPROFILE%\AppData\Local\Temp\OnboardLogs"\RTDC4010\2017-09-22</v>
      </c>
      <c r="S11" s="84" t="str">
        <f>VLOOKUP(C11,'Train Runs'!$A$13:$AE$9967,22,0)</f>
        <v>https://d0f6bd738d7f1b3e5a7ca70fe4ff75f0.us-east-1.aws.found.io/app/kibana#/discover/Steve-Slow-Train-Analysis-(2080s-and-2083s)?_g=(refreshInterval:(display:Off,pause:!f,section:0,value:0),time:(from:'2017-09-21T03:55:36-0600',mode:absolute,to:'2017-09-21T06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1" s="86" t="str">
        <f t="shared" si="1"/>
        <v>"C:\Program Files (x86)\AstroGrep\AstroGrep.exe" /e /r /s /spath="%USERPROFILE%\AppData\Local\Temp\OnboardLogs" /stypes="*4010*201709211*" /stext=" 11:.+((SYSTEM_STATE.+slice.+state.+changed )|(ment ac)|(multiple cpu faults)|(system.+state.+changed )|(\[timeout)|(PRM\|1\|D)|(kpr)|(kdp)|(train st.+moving)|(\|lc)|(penalty))"</v>
      </c>
      <c r="U11" s="9" t="str">
        <f t="shared" si="2"/>
        <v>4010</v>
      </c>
      <c r="V11" s="31">
        <f t="shared" si="3"/>
        <v>42999.477581018517</v>
      </c>
      <c r="W11" s="45" t="str">
        <f t="shared" si="4"/>
        <v>EC</v>
      </c>
      <c r="X11" s="22">
        <f t="shared" si="5"/>
        <v>113</v>
      </c>
      <c r="Y11" s="96" t="str">
        <f t="shared" si="6"/>
        <v>echo {"issue":{"subject":"Early Arrival","project_id":79,"tracker_id":40,"status_id":1,"priority_id":2,"assigned_to_id":338,"start_date":"2017-09-21","description":"","custom_fields":[{"id":1,"name":"Subdivision","value":"EC"},{"id":4,"name":"Milepost","value":"6.3069"},{"id":17,"name":"Train ID","value":"113-21"},{"id":16,"name":"Locomotive ID","value":"4010"},{"id":130,"name":"Impact","value":""},{"id":150,"name":"Time of Event (Mountain Time)","value":"05:27:43"},{"id":151,"name":"Denver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/c/Users/stu/AppData/Local/Temp/OnboardLogs/RTDC4010 --include="*4010*201709211*"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"%USERPROFILE%\AppData\Local\Temp\OnboardLogs"\RTDC4010\*4010*201709211* &gt;&gt; 2017-09-21-SliceDisagreementCheck.txt</v>
      </c>
      <c r="AE11" s="145" t="str">
        <f t="shared" si="9"/>
        <v>start /low /b %USERPROFILE%\Documents\GitHub\eaglep3\Utilities\DownloadLogsFromS3.py --loco 4010 --day 2017-09-21</v>
      </c>
    </row>
    <row r="12" spans="1:32" x14ac:dyDescent="0.25">
      <c r="A12" s="31">
        <v>42999.208194444444</v>
      </c>
      <c r="B12" s="30" t="s">
        <v>400</v>
      </c>
      <c r="C12" s="30" t="s">
        <v>578</v>
      </c>
      <c r="D12" s="30" t="s">
        <v>49</v>
      </c>
      <c r="E12" s="30" t="s">
        <v>186</v>
      </c>
      <c r="F12" s="42">
        <v>320</v>
      </c>
      <c r="G12" s="42">
        <v>382</v>
      </c>
      <c r="H12" s="42">
        <v>110092</v>
      </c>
      <c r="I12" s="42">
        <v>108901</v>
      </c>
      <c r="J12" s="30" t="s">
        <v>187</v>
      </c>
      <c r="K12" s="42">
        <v>109135</v>
      </c>
      <c r="L12" s="131" t="s">
        <v>51</v>
      </c>
      <c r="M12" s="132">
        <f t="shared" si="0"/>
        <v>-123.55200000000001</v>
      </c>
      <c r="N12" s="133" t="str">
        <f>VLOOKUP(C12,'Trips&amp;Operators'!$C$1:$G$99911,5,FALSE)</f>
        <v>STARKS ANGELINA</v>
      </c>
      <c r="O12" s="176" t="s">
        <v>179</v>
      </c>
      <c r="P12" s="134" t="s">
        <v>368</v>
      </c>
      <c r="Q12" s="30"/>
      <c r="R12" s="81" t="str">
        <f>VLOOKUP(C12,'Train Runs'!$A$13:$AE$9967,31,0)</f>
        <v>aws s3 cp s3://rtdc.mdm.uploadarchive.raw/RTDC4029/ "%USERPROFILE%\AppData\Local\Temp\OnboardLogs"\RTDC4029\2017-09-21 --exclude "*" --recursive --include "*20170921*" &amp; "%USERPROFILE%\Documents\GitHub\mrs-test-scripts\Headless Mode &amp; Sideloading\WalkAndUnGZ.bat" "%USERPROFILE%\AppData\Local\Temp\OnboardLogs"\RTDC4029\2017-09-21 &amp; aws s3 cp s3://rtdc.mdm.uploadarchive.raw/RTDC4029/ "%USERPROFILE%\AppData\Local\Temp\OnboardLogs"\RTDC4029\2017-09-22 --exclude "*" --recursive --include "*20170922*" &amp; "%USERPROFILE%\Documents\GitHub\mrs-test-scripts\Headless Mode &amp; Sideloading\WalkAndUnGZ.bat" "%USERPROFILE%\AppData\Local\Temp\OnboardLogs"\RTDC4029\2017-09-22</v>
      </c>
      <c r="S12" s="84" t="str">
        <f>VLOOKUP(C12,'Train Runs'!$A$13:$AE$9967,22,0)</f>
        <v>https://d0f6bd738d7f1b3e5a7ca70fe4ff75f0.us-east-1.aws.found.io/app/kibana#/discover/Steve-Slow-Train-Analysis-(2080s-and-2083s)?_g=(refreshInterval:(display:Off,pause:!f,section:0,value:0),time:(from:'2017-09-21T03:24:30-0600',mode:absolute,to:'2017-09-21T06:23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2" s="86" t="str">
        <f t="shared" si="1"/>
        <v>"C:\Program Files (x86)\AstroGrep\AstroGrep.exe" /e /r /s /spath="%USERPROFILE%\AppData\Local\Temp\OnboardLogs" /stypes="*4029*201709211*" /stext=" 10:.+((SYSTEM_STATE.+slice.+state.+changed )|(ment ac)|(multiple cpu faults)|(system.+state.+changed )|(\[timeout)|(PRM\|1\|D)|(kpr)|(kdp)|(train st.+moving)|(\|lc)|(penalty))"</v>
      </c>
      <c r="U12" s="9" t="str">
        <f t="shared" si="2"/>
        <v>4029</v>
      </c>
      <c r="V12" s="31">
        <f t="shared" si="3"/>
        <v>42999.458194444444</v>
      </c>
      <c r="W12" s="45" t="str">
        <f t="shared" si="4"/>
        <v>EC</v>
      </c>
      <c r="X12" s="22">
        <f t="shared" si="5"/>
        <v>104</v>
      </c>
      <c r="Y12" s="96" t="str">
        <f t="shared" si="6"/>
        <v>echo {"issue":{"subject":"Early Arrival","project_id":79,"tracker_id":40,"status_id":1,"priority_id":2,"assigned_to_id":338,"start_date":"2017-09-21","description":"","custom_fields":[{"id":1,"name":"Subdivision","value":"EC"},{"id":4,"name":"Milepost","value":"10.9135"},{"id":17,"name":"Train ID","value":"104-21"},{"id":16,"name":"Locomotive ID","value":"4029"},{"id":130,"name":"Impact","value":""},{"id":150,"name":"Time of Event (Mountain Time)","value":"04:59:48"},{"id":151,"name":"Denver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/c/Users/stu/AppData/Local/Temp/OnboardLogs/RTDC4029 --include="*4029*201709211*"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"%USERPROFILE%\AppData\Local\Temp\OnboardLogs"\RTDC4029\*4029*201709211* &gt;&gt; 2017-09-21-SliceDisagreementCheck.txt</v>
      </c>
      <c r="AE12" s="145" t="str">
        <f t="shared" si="9"/>
        <v>start /low /b %USERPROFILE%\Documents\GitHub\eaglep3\Utilities\DownloadLogsFromS3.py --loco 4029 --day 2017-09-21</v>
      </c>
      <c r="AF12" s="1"/>
    </row>
    <row r="13" spans="1:32" x14ac:dyDescent="0.25">
      <c r="A13" s="31">
        <v>42999.522847222222</v>
      </c>
      <c r="B13" s="30" t="s">
        <v>374</v>
      </c>
      <c r="C13" s="30" t="s">
        <v>601</v>
      </c>
      <c r="D13" s="30" t="s">
        <v>95</v>
      </c>
      <c r="E13" s="30" t="s">
        <v>194</v>
      </c>
      <c r="F13" s="42">
        <v>150</v>
      </c>
      <c r="G13" s="42">
        <v>200</v>
      </c>
      <c r="H13" s="42">
        <v>3179</v>
      </c>
      <c r="I13" s="42">
        <v>3465</v>
      </c>
      <c r="J13" s="30" t="s">
        <v>195</v>
      </c>
      <c r="K13" s="42">
        <v>0</v>
      </c>
      <c r="L13" s="131" t="s">
        <v>50</v>
      </c>
      <c r="M13" s="132">
        <f t="shared" si="0"/>
        <v>-1829.52</v>
      </c>
      <c r="N13" s="133" t="str">
        <f>VLOOKUP(C13,'Trips&amp;Operators'!$C$1:$G$99911,5,FALSE)</f>
        <v>BADERTSCHER DIANE</v>
      </c>
      <c r="O13" s="176" t="s">
        <v>179</v>
      </c>
      <c r="P13" s="134"/>
      <c r="Q13" s="30"/>
      <c r="R13" s="81" t="str">
        <f>VLOOKUP(C13,'Train Runs'!$A$13:$AE$9967,31,0)</f>
        <v>aws s3 cp s3://rtdc.mdm.uploadarchive.raw/RTDC4030/ "%USERPROFILE%\AppData\Local\Temp\OnboardLogs"\RTDC4030\2017-09-21 --exclude "*" --recursive --include "*20170921*" &amp; "%USERPROFILE%\Documents\GitHub\mrs-test-scripts\Headless Mode &amp; Sideloading\WalkAndUnGZ.bat" "%USERPROFILE%\AppData\Local\Temp\OnboardLogs"\RTDC4030\2017-09-21 &amp; aws s3 cp s3://rtdc.mdm.uploadarchive.raw/RTDC4030/ "%USERPROFILE%\AppData\Local\Temp\OnboardLogs"\RTDC4030\2017-09-22 --exclude "*" --recursive --include "*20170922*" &amp; "%USERPROFILE%\Documents\GitHub\mrs-test-scripts\Headless Mode &amp; Sideloading\WalkAndUnGZ.bat" "%USERPROFILE%\AppData\Local\Temp\OnboardLogs"\RTDC4030\2017-09-22</v>
      </c>
      <c r="S13" s="84" t="str">
        <f>VLOOKUP(C13,'Train Runs'!$A$13:$AE$9967,22,0)</f>
        <v>https://d0f6bd738d7f1b3e5a7ca70fe4ff75f0.us-east-1.aws.found.io/app/kibana#/discover/Steve-Slow-Train-Analysis-(2080s-and-2083s)?_g=(refreshInterval:(display:Off,pause:!f,section:0,value:0),time:(from:'2017-09-21T11:26:45-0600',mode:absolute,to:'2017-09-21T14:07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3" s="86" t="str">
        <f t="shared" si="1"/>
        <v>"C:\Program Files (x86)\AstroGrep\AstroGrep.exe" /e /r /s /spath="%USERPROFILE%\AppData\Local\Temp\OnboardLogs" /stypes="*4030*201709211*" /stext=" 18:.+((SYSTEM_STATE.+slice.+state.+changed )|(ment ac)|(multiple cpu faults)|(system.+state.+changed )|(\[timeout)|(PRM\|1\|D)|(kpr)|(kdp)|(train st.+moving)|(\|lc)|(penalty))"</v>
      </c>
      <c r="U13" s="9" t="str">
        <f t="shared" si="2"/>
        <v>4030</v>
      </c>
      <c r="V13" s="31">
        <f t="shared" si="3"/>
        <v>42999.772847222222</v>
      </c>
      <c r="W13" s="45" t="str">
        <f t="shared" si="4"/>
        <v>EC</v>
      </c>
      <c r="X13" s="22">
        <f t="shared" si="5"/>
        <v>171</v>
      </c>
      <c r="Y13" s="96" t="str">
        <f t="shared" si="6"/>
        <v>echo {"issue":{"subject":"","project_id":79,"tracker_id":40,"status_id":1,"priority_id":2,"assigned_to_id":338,"start_date":"2017-09-21","description":"","custom_fields":[{"id":1,"name":"Subdivision","value":"EC"},{"id":4,"name":"Milepost","value":"0"},{"id":17,"name":"Train ID","value":"171-21"},{"id":16,"name":"Locomotive ID","value":"4030"},{"id":130,"name":"Impact","value":""},{"id":150,"name":"Time of Event (Mountain Time)","value":"12:32:54"},{"id":151,"name":"Denver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/c/Users/stu/AppData/Local/Temp/OnboardLogs/RTDC4030 --include="*4030*201709211*"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"%USERPROFILE%\AppData\Local\Temp\OnboardLogs"\RTDC4030\*4030*201709211* &gt;&gt; 2017-09-21-SliceDisagreementCheck.txt</v>
      </c>
      <c r="AE13" s="145" t="str">
        <f t="shared" si="9"/>
        <v>start /low /b %USERPROFILE%\Documents\GitHub\eaglep3\Utilities\DownloadLogsFromS3.py --loco 4030 --day 2017-09-21</v>
      </c>
      <c r="AF13" s="1"/>
    </row>
    <row r="14" spans="1:32" x14ac:dyDescent="0.25">
      <c r="A14" s="31">
        <v>42999.280185185184</v>
      </c>
      <c r="B14" s="30" t="s">
        <v>587</v>
      </c>
      <c r="C14" s="30" t="s">
        <v>588</v>
      </c>
      <c r="D14" s="30" t="s">
        <v>49</v>
      </c>
      <c r="E14" s="30" t="s">
        <v>194</v>
      </c>
      <c r="F14" s="42">
        <v>300</v>
      </c>
      <c r="G14" s="42">
        <v>379</v>
      </c>
      <c r="H14" s="42">
        <v>23077</v>
      </c>
      <c r="I14" s="42">
        <v>21959</v>
      </c>
      <c r="J14" s="30" t="s">
        <v>195</v>
      </c>
      <c r="K14" s="42">
        <v>21848</v>
      </c>
      <c r="L14" s="131" t="s">
        <v>51</v>
      </c>
      <c r="M14" s="132">
        <f t="shared" si="0"/>
        <v>58.607999999999997</v>
      </c>
      <c r="N14" s="133" t="str">
        <f>VLOOKUP(C14,'Trips&amp;Operators'!$C$1:$G$99911,5,FALSE)</f>
        <v>YANAI IAN</v>
      </c>
      <c r="O14" s="176" t="s">
        <v>179</v>
      </c>
      <c r="P14" s="134"/>
      <c r="Q14" s="30"/>
      <c r="R14" s="81" t="str">
        <f>VLOOKUP(C14,'Train Runs'!$A$13:$AE$9967,31,0)</f>
        <v>aws s3 cp s3://rtdc.mdm.uploadarchive.raw/RTDC4009/ "%USERPROFILE%\AppData\Local\Temp\OnboardLogs"\RTDC4009\2017-09-21 --exclude "*" --recursive --include "*20170921*" &amp; "%USERPROFILE%\Documents\GitHub\mrs-test-scripts\Headless Mode &amp; Sideloading\WalkAndUnGZ.bat" "%USERPROFILE%\AppData\Local\Temp\OnboardLogs"\RTDC4009\2017-09-21 &amp; aws s3 cp s3://rtdc.mdm.uploadarchive.raw/RTDC4009/ "%USERPROFILE%\AppData\Local\Temp\OnboardLogs"\RTDC4009\2017-09-22 --exclude "*" --recursive --include "*20170922*" &amp; "%USERPROFILE%\Documents\GitHub\mrs-test-scripts\Headless Mode &amp; Sideloading\WalkAndUnGZ.bat" "%USERPROFILE%\AppData\Local\Temp\OnboardLogs"\RTDC4009\2017-09-22</v>
      </c>
      <c r="S14" s="84" t="str">
        <f>VLOOKUP(C14,'Train Runs'!$A$13:$AE$9967,22,0)</f>
        <v>https://d0f6bd738d7f1b3e5a7ca70fe4ff75f0.us-east-1.aws.found.io/app/kibana#/discover/Steve-Slow-Train-Analysis-(2080s-and-2083s)?_g=(refreshInterval:(display:Off,pause:!f,section:0,value:0),time:(from:'2017-09-21T04:54:57-0600',mode:absolute,to:'2017-09-21T07:49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4" s="86" t="str">
        <f t="shared" si="1"/>
        <v>"C:\Program Files (x86)\AstroGrep\AstroGrep.exe" /e /r /s /spath="%USERPROFILE%\AppData\Local\Temp\OnboardLogs" /stypes="*4009*201709211*" /stext=" 12:.+((SYSTEM_STATE.+slice.+state.+changed )|(ment ac)|(multiple cpu faults)|(system.+state.+changed )|(\[timeout)|(PRM\|1\|D)|(kpr)|(kdp)|(train st.+moving)|(\|lc)|(penalty))"</v>
      </c>
      <c r="U14" s="9" t="str">
        <f t="shared" si="2"/>
        <v>4009</v>
      </c>
      <c r="V14" s="31">
        <f t="shared" si="3"/>
        <v>42999.530185185184</v>
      </c>
      <c r="W14" s="45" t="str">
        <f t="shared" si="4"/>
        <v>EC</v>
      </c>
      <c r="X14" s="22">
        <f t="shared" si="5"/>
        <v>114</v>
      </c>
      <c r="Y14" s="96" t="str">
        <f t="shared" si="6"/>
        <v>echo {"issue":{"subject":"","project_id":79,"tracker_id":40,"status_id":1,"priority_id":2,"assigned_to_id":338,"start_date":"2017-09-21","description":"","custom_fields":[{"id":1,"name":"Subdivision","value":"EC"},{"id":4,"name":"Milepost","value":"2.1848"},{"id":17,"name":"Train ID","value":"114-21"},{"id":16,"name":"Locomotive ID","value":"4009"},{"id":130,"name":"Impact","value":""},{"id":150,"name":"Time of Event (Mountain Time)","value":"06:43:28"},{"id":151,"name":"Denver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/c/Users/stu/AppData/Local/Temp/OnboardLogs/RTDC4009 --include="*4009*201709211*"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"%USERPROFILE%\AppData\Local\Temp\OnboardLogs"\RTDC4009\*4009*201709211* &gt;&gt; 2017-09-21-SliceDisagreementCheck.txt</v>
      </c>
      <c r="AE14" s="145" t="str">
        <f t="shared" si="9"/>
        <v>start /low /b %USERPROFILE%\Documents\GitHub\eaglep3\Utilities\DownloadLogsFromS3.py --loco 4009 --day 2017-09-21</v>
      </c>
      <c r="AF14" s="1"/>
    </row>
    <row r="15" spans="1:32" x14ac:dyDescent="0.25">
      <c r="A15" s="31">
        <v>42999.6562962963</v>
      </c>
      <c r="B15" s="30" t="s">
        <v>400</v>
      </c>
      <c r="C15" s="30" t="s">
        <v>610</v>
      </c>
      <c r="D15" s="30" t="s">
        <v>49</v>
      </c>
      <c r="E15" s="30" t="s">
        <v>194</v>
      </c>
      <c r="F15" s="42">
        <v>300</v>
      </c>
      <c r="G15" s="42">
        <v>416</v>
      </c>
      <c r="H15" s="42">
        <v>23415</v>
      </c>
      <c r="I15" s="42">
        <v>22071</v>
      </c>
      <c r="J15" s="30" t="s">
        <v>195</v>
      </c>
      <c r="K15" s="42">
        <v>21848</v>
      </c>
      <c r="L15" s="131" t="s">
        <v>51</v>
      </c>
      <c r="M15" s="132">
        <f t="shared" si="0"/>
        <v>117.744</v>
      </c>
      <c r="N15" s="133" t="str">
        <f>VLOOKUP(C15,'Trips&amp;Operators'!$C$1:$G$99911,5,FALSE)</f>
        <v>BADERTSCHER DIANE</v>
      </c>
      <c r="O15" s="176" t="s">
        <v>179</v>
      </c>
      <c r="P15" s="134"/>
      <c r="Q15" s="30"/>
      <c r="R15" s="81" t="str">
        <f>VLOOKUP(C15,'Train Runs'!$A$13:$AE$9967,31,0)</f>
        <v>aws s3 cp s3://rtdc.mdm.uploadarchive.raw/RTDC4029/ "%USERPROFILE%\AppData\Local\Temp\OnboardLogs"\RTDC4029\2017-09-21 --exclude "*" --recursive --include "*20170921*" &amp; "%USERPROFILE%\Documents\GitHub\mrs-test-scripts\Headless Mode &amp; Sideloading\WalkAndUnGZ.bat" "%USERPROFILE%\AppData\Local\Temp\OnboardLogs"\RTDC4029\2017-09-21 &amp; aws s3 cp s3://rtdc.mdm.uploadarchive.raw/RTDC4029/ "%USERPROFILE%\AppData\Local\Temp\OnboardLogs"\RTDC4029\2017-09-22 --exclude "*" --recursive --include "*20170922*" &amp; "%USERPROFILE%\Documents\GitHub\mrs-test-scripts\Headless Mode &amp; Sideloading\WalkAndUnGZ.bat" "%USERPROFILE%\AppData\Local\Temp\OnboardLogs"\RTDC4029\2017-09-22</v>
      </c>
      <c r="S15" s="84" t="str">
        <f>VLOOKUP(C15,'Train Runs'!$A$13:$AE$9967,22,0)</f>
        <v>https://d0f6bd738d7f1b3e5a7ca70fe4ff75f0.us-east-1.aws.found.io/app/kibana#/discover/Steve-Slow-Train-Analysis-(2080s-and-2083s)?_g=(refreshInterval:(display:Off,pause:!f,section:0,value:0),time:(from:'2017-09-21T14:01:47-0600',mode:absolute,to:'2017-09-21T16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5" s="86" t="str">
        <f t="shared" si="1"/>
        <v>"C:\Program Files (x86)\AstroGrep\AstroGrep.exe" /e /r /s /spath="%USERPROFILE%\AppData\Local\Temp\OnboardLogs" /stypes="*4029*201709212*" /stext=" 21:.+((SYSTEM_STATE.+slice.+state.+changed )|(ment ac)|(multiple cpu faults)|(system.+state.+changed )|(\[timeout)|(PRM\|1\|D)|(kpr)|(kdp)|(train st.+moving)|(\|lc)|(penalty))"</v>
      </c>
      <c r="U15" s="9" t="str">
        <f t="shared" si="2"/>
        <v>4029</v>
      </c>
      <c r="V15" s="31">
        <f t="shared" si="3"/>
        <v>42999.9062962963</v>
      </c>
      <c r="W15" s="45" t="str">
        <f t="shared" si="4"/>
        <v>EC</v>
      </c>
      <c r="X15" s="22">
        <f t="shared" si="5"/>
        <v>186</v>
      </c>
      <c r="Y15" s="96" t="str">
        <f t="shared" si="6"/>
        <v>echo {"issue":{"subject":"","project_id":79,"tracker_id":40,"status_id":1,"priority_id":2,"assigned_to_id":338,"start_date":"2017-09-21","description":"","custom_fields":[{"id":1,"name":"Subdivision","value":"EC"},{"id":4,"name":"Milepost","value":"2.1848"},{"id":17,"name":"Train ID","value":"186-21"},{"id":16,"name":"Locomotive ID","value":"4029"},{"id":130,"name":"Impact","value":""},{"id":150,"name":"Time of Event (Mountain Time)","value":"15:45:04"},{"id":151,"name":"Denver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/c/Users/stu/AppData/Local/Temp/OnboardLogs/RTDC4029 --include="*4029*201709212*"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"%USERPROFILE%\AppData\Local\Temp\OnboardLogs"\RTDC4029\*4029*201709212* &gt;&gt; 2017-09-21-SliceDisagreementCheck.txt</v>
      </c>
      <c r="AE15" s="145" t="str">
        <f t="shared" si="9"/>
        <v>start /low /b %USERPROFILE%\Documents\GitHub\eaglep3\Utilities\DownloadLogsFromS3.py --loco 4029 --day 2017-09-21</v>
      </c>
      <c r="AF15" s="1"/>
    </row>
    <row r="16" spans="1:32" x14ac:dyDescent="0.25">
      <c r="A16" s="31">
        <v>42999.43681712963</v>
      </c>
      <c r="B16" s="30" t="s">
        <v>454</v>
      </c>
      <c r="C16" s="30" t="s">
        <v>598</v>
      </c>
      <c r="D16" s="30" t="s">
        <v>95</v>
      </c>
      <c r="E16" s="30" t="s">
        <v>194</v>
      </c>
      <c r="F16" s="42">
        <v>700</v>
      </c>
      <c r="G16" s="42">
        <v>754</v>
      </c>
      <c r="H16" s="42">
        <v>163768</v>
      </c>
      <c r="I16" s="42">
        <v>166933</v>
      </c>
      <c r="J16" s="30" t="s">
        <v>195</v>
      </c>
      <c r="K16" s="42">
        <v>161962</v>
      </c>
      <c r="L16" s="131" t="s">
        <v>50</v>
      </c>
      <c r="M16" s="132">
        <f t="shared" si="0"/>
        <v>-2624.6880000000001</v>
      </c>
      <c r="N16" s="133" t="str">
        <f>VLOOKUP(C16,'Trips&amp;Operators'!$C$1:$G$99911,5,FALSE)</f>
        <v>WILLIAMS DONTE</v>
      </c>
      <c r="O16" s="176" t="s">
        <v>179</v>
      </c>
      <c r="P16" s="134"/>
      <c r="Q16" s="30"/>
      <c r="R16" s="81" t="str">
        <f>VLOOKUP(C16,'Train Runs'!$A$13:$AE$9967,31,0)</f>
        <v>aws s3 cp s3://rtdc.mdm.uploadarchive.raw/RTDC4018/ "%USERPROFILE%\AppData\Local\Temp\OnboardLogs"\RTDC4018\2017-09-21 --exclude "*" --recursive --include "*20170921*" &amp; "%USERPROFILE%\Documents\GitHub\mrs-test-scripts\Headless Mode &amp; Sideloading\WalkAndUnGZ.bat" "%USERPROFILE%\AppData\Local\Temp\OnboardLogs"\RTDC4018\2017-09-21 &amp; aws s3 cp s3://rtdc.mdm.uploadarchive.raw/RTDC4018/ "%USERPROFILE%\AppData\Local\Temp\OnboardLogs"\RTDC4018\2017-09-22 --exclude "*" --recursive --include "*20170922*" &amp; "%USERPROFILE%\Documents\GitHub\mrs-test-scripts\Headless Mode &amp; Sideloading\WalkAndUnGZ.bat" "%USERPROFILE%\AppData\Local\Temp\OnboardLogs"\RTDC4018\2017-09-22</v>
      </c>
      <c r="S16" s="84" t="str">
        <f>VLOOKUP(C16,'Train Runs'!$A$13:$AE$9967,22,0)</f>
        <v>https://d0f6bd738d7f1b3e5a7ca70fe4ff75f0.us-east-1.aws.found.io/app/kibana#/discover/Steve-Slow-Train-Analysis-(2080s-and-2083s)?_g=(refreshInterval:(display:Off,pause:!f,section:0,value:0),time:(from:'2017-09-21T08:52:56-0600',mode:absolute,to:'2017-09-21T11:37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6" s="86" t="str">
        <f t="shared" si="1"/>
        <v>"C:\Program Files (x86)\AstroGrep\AstroGrep.exe" /e /r /s /spath="%USERPROFILE%\AppData\Local\Temp\OnboardLogs" /stypes="*4018*201709211*" /stext=" 16:.+((SYSTEM_STATE.+slice.+state.+changed )|(ment ac)|(multiple cpu faults)|(system.+state.+changed )|(\[timeout)|(PRM\|1\|D)|(kpr)|(kdp)|(train st.+moving)|(\|lc)|(penalty))"</v>
      </c>
      <c r="U16" s="9" t="str">
        <f t="shared" si="2"/>
        <v>4018</v>
      </c>
      <c r="V16" s="31">
        <f t="shared" si="3"/>
        <v>42999.68681712963</v>
      </c>
      <c r="W16" s="45" t="str">
        <f t="shared" si="4"/>
        <v>EC</v>
      </c>
      <c r="X16" s="22">
        <f t="shared" si="5"/>
        <v>151</v>
      </c>
      <c r="Y16" s="96" t="str">
        <f t="shared" si="6"/>
        <v>echo {"issue":{"subject":"","project_id":79,"tracker_id":40,"status_id":1,"priority_id":2,"assigned_to_id":338,"start_date":"2017-09-21","description":"","custom_fields":[{"id":1,"name":"Subdivision","value":"EC"},{"id":4,"name":"Milepost","value":"16.1962"},{"id":17,"name":"Train ID","value":"151-21"},{"id":16,"name":"Locomotive ID","value":"4018"},{"id":130,"name":"Impact","value":""},{"id":150,"name":"Time of Event (Mountain Time)","value":"10:29:01"},{"id":151,"name":"Denver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/c/Users/stu/AppData/Local/Temp/OnboardLogs/RTDC4018 --include="*4018*201709211*"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"%USERPROFILE%\AppData\Local\Temp\OnboardLogs"\RTDC4018\*4018*201709211* &gt;&gt; 2017-09-21-SliceDisagreementCheck.txt</v>
      </c>
      <c r="AE16" s="145" t="str">
        <f t="shared" si="9"/>
        <v>start /low /b %USERPROFILE%\Documents\GitHub\eaglep3\Utilities\DownloadLogsFromS3.py --loco 4018 --day 2017-09-21</v>
      </c>
      <c r="AF16" s="1"/>
    </row>
    <row r="17" spans="1:32" x14ac:dyDescent="0.25">
      <c r="A17" s="31">
        <v>43000.023715277777</v>
      </c>
      <c r="B17" s="30" t="s">
        <v>400</v>
      </c>
      <c r="C17" s="30" t="s">
        <v>616</v>
      </c>
      <c r="D17" s="30" t="s">
        <v>95</v>
      </c>
      <c r="E17" s="30" t="s">
        <v>194</v>
      </c>
      <c r="F17" s="42">
        <v>700</v>
      </c>
      <c r="G17" s="42">
        <v>750</v>
      </c>
      <c r="H17" s="42">
        <v>179716</v>
      </c>
      <c r="I17" s="42">
        <v>176410</v>
      </c>
      <c r="J17" s="30" t="s">
        <v>195</v>
      </c>
      <c r="K17" s="42">
        <v>183829</v>
      </c>
      <c r="L17" s="131" t="s">
        <v>51</v>
      </c>
      <c r="M17" s="132">
        <f t="shared" si="0"/>
        <v>-3917.232</v>
      </c>
      <c r="N17" s="133" t="str">
        <f>VLOOKUP(C17,'Trips&amp;Operators'!$C$1:$G$99911,5,FALSE)</f>
        <v>LOZA FIDEL</v>
      </c>
      <c r="O17" s="176" t="s">
        <v>179</v>
      </c>
      <c r="P17" s="134"/>
      <c r="Q17" s="30"/>
      <c r="R17" s="81" t="str">
        <f>VLOOKUP(C17,'Train Runs'!$A$13:$AE$9967,31,0)</f>
        <v>aws s3 cp s3://rtdc.mdm.uploadarchive.raw/RTDC4029/ "%USERPROFILE%\AppData\Local\Temp\OnboardLogs"\RTDC4029\2017-09-22 --exclude "*" --recursive --include "*20170922*" &amp; "%USERPROFILE%\Documents\GitHub\mrs-test-scripts\Headless Mode &amp; Sideloading\WalkAndUnGZ.bat" "%USERPROFILE%\AppData\Local\Temp\OnboardLogs"\RTDC4029\2017-09-22 &amp; aws s3 cp s3://rtdc.mdm.uploadarchive.raw/RTDC4029/ "%USERPROFILE%\AppData\Local\Temp\OnboardLogs"\RTDC4029\2017-09-23 --exclude "*" --recursive --include "*20170923*" &amp; "%USERPROFILE%\Documents\GitHub\mrs-test-scripts\Headless Mode &amp; Sideloading\WalkAndUnGZ.bat" "%USERPROFILE%\AppData\Local\Temp\OnboardLogs"\RTDC4029\2017-09-23</v>
      </c>
      <c r="S17" s="84" t="str">
        <f>VLOOKUP(C17,'Train Runs'!$A$13:$AE$9967,22,0)</f>
        <v>https://d0f6bd738d7f1b3e5a7ca70fe4ff75f0.us-east-1.aws.found.io/app/kibana#/discover/Steve-Slow-Train-Analysis-(2080s-and-2083s)?_g=(refreshInterval:(display:Off,pause:!f,section:0,value:0),time:(from:'2017-09-21T23:25:12-0600',mode:absolute,to:'2017-09-22T02:04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7" s="86" t="str">
        <f t="shared" si="1"/>
        <v>"C:\Program Files (x86)\AstroGrep\AstroGrep.exe" /e /r /s /spath="%USERPROFILE%\AppData\Local\Temp\OnboardLogs" /stypes="*4029*201709220*" /stext=" 06:.+((SYSTEM_STATE.+slice.+state.+changed )|(ment ac)|(multiple cpu faults)|(system.+state.+changed )|(\[timeout)|(PRM\|1\|D)|(kpr)|(kdp)|(train st.+moving)|(\|lc)|(penalty))"</v>
      </c>
      <c r="U17" s="9" t="str">
        <f t="shared" si="2"/>
        <v>4029</v>
      </c>
      <c r="V17" s="31">
        <f t="shared" si="3"/>
        <v>43000.273715277777</v>
      </c>
      <c r="W17" s="45" t="str">
        <f t="shared" si="4"/>
        <v>EC</v>
      </c>
      <c r="X17" s="22">
        <f t="shared" si="5"/>
        <v>240</v>
      </c>
      <c r="Y17" s="96" t="str">
        <f t="shared" si="6"/>
        <v>echo {"issue":{"subject":"","project_id":79,"tracker_id":40,"status_id":1,"priority_id":2,"assigned_to_id":338,"start_date":"2017-09-22","description":"","custom_fields":[{"id":1,"name":"Subdivision","value":"EC"},{"id":4,"name":"Milepost","value":"18.3829"},{"id":17,"name":"Train ID","value":"240-21"},{"id":16,"name":"Locomotive ID","value":"4029"},{"id":130,"name":"Impact","value":""},{"id":150,"name":"Time of Event (Mountain Time)","value":"00:34:09"},{"id":151,"name":"Denver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/c/Users/stu/AppData/Local/Temp/OnboardLogs/RTDC4029 --include="*4029*201709220*"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"%USERPROFILE%\AppData\Local\Temp\OnboardLogs"\RTDC4029\*4029*201709220* &gt;&gt; 2017-09-21-SliceDisagreementCheck.txt</v>
      </c>
      <c r="AE17" s="145" t="str">
        <f t="shared" si="9"/>
        <v>start /low /b %USERPROFILE%\Documents\GitHub\eaglep3\Utilities\DownloadLogsFromS3.py --loco 4029 --day 2017-09-22</v>
      </c>
      <c r="AF17" s="1"/>
    </row>
    <row r="18" spans="1:32" x14ac:dyDescent="0.25">
      <c r="A18" s="31">
        <v>42999.54515046296</v>
      </c>
      <c r="B18" s="30" t="s">
        <v>602</v>
      </c>
      <c r="C18" s="30" t="s">
        <v>603</v>
      </c>
      <c r="D18" s="30" t="s">
        <v>95</v>
      </c>
      <c r="E18" s="30" t="s">
        <v>194</v>
      </c>
      <c r="F18" s="42">
        <v>600</v>
      </c>
      <c r="G18" s="42">
        <v>653</v>
      </c>
      <c r="H18" s="42">
        <v>184352</v>
      </c>
      <c r="I18" s="42">
        <v>181279</v>
      </c>
      <c r="J18" s="30" t="s">
        <v>195</v>
      </c>
      <c r="K18" s="42">
        <v>190834</v>
      </c>
      <c r="L18" s="131" t="s">
        <v>51</v>
      </c>
      <c r="M18" s="132">
        <f t="shared" si="0"/>
        <v>-5045.04</v>
      </c>
      <c r="N18" s="133" t="str">
        <f>VLOOKUP(C18,'Trips&amp;Operators'!$C$1:$G$99911,5,FALSE)</f>
        <v>BERLING GARY</v>
      </c>
      <c r="O18" s="176" t="s">
        <v>179</v>
      </c>
      <c r="P18" s="134"/>
      <c r="Q18" s="30"/>
      <c r="R18" s="81" t="str">
        <f>VLOOKUP(C18,'Train Runs'!$A$13:$AE$9967,31,0)</f>
        <v>aws s3 cp s3://rtdc.mdm.uploadarchive.raw/RTDC4055/ "%USERPROFILE%\AppData\Local\Temp\OnboardLogs"\RTDC4055\2017-09-21 --exclude "*" --recursive --include "*20170921*" &amp; "%USERPROFILE%\Documents\GitHub\mrs-test-scripts\Headless Mode &amp; Sideloading\WalkAndUnGZ.bat" "%USERPROFILE%\AppData\Local\Temp\OnboardLogs"\RTDC4055\2017-09-21 &amp; aws s3 cp s3://rtdc.mdm.uploadarchive.raw/RTDC4055/ "%USERPROFILE%\AppData\Local\Temp\OnboardLogs"\RTDC4055\2017-09-22 --exclude "*" --recursive --include "*20170922*" &amp; "%USERPROFILE%\Documents\GitHub\mrs-test-scripts\Headless Mode &amp; Sideloading\WalkAndUnGZ.bat" "%USERPROFILE%\AppData\Local\Temp\OnboardLogs"\RTDC4055\2017-09-22</v>
      </c>
      <c r="S18" s="84" t="str">
        <f>VLOOKUP(C18,'Train Runs'!$A$13:$AE$9967,22,0)</f>
        <v>https://d0f6bd738d7f1b3e5a7ca70fe4ff75f0.us-east-1.aws.found.io/app/kibana#/discover/Steve-Slow-Train-Analysis-(2080s-and-2083s)?_g=(refreshInterval:(display:Off,pause:!f,section:0,value:0),time:(from:'2017-09-21T11:46:41-0600',mode:absolute,to:'2017-09-21T14:38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8" s="86" t="str">
        <f t="shared" si="1"/>
        <v>"C:\Program Files (x86)\AstroGrep\AstroGrep.exe" /e /r /s /spath="%USERPROFILE%\AppData\Local\Temp\OnboardLogs" /stypes="*4055*201709211*" /stext=" 19:.+((SYSTEM_STATE.+slice.+state.+changed )|(ment ac)|(multiple cpu faults)|(system.+state.+changed )|(\[timeout)|(PRM\|1\|D)|(kpr)|(kdp)|(train st.+moving)|(\|lc)|(penalty))"</v>
      </c>
      <c r="U18" s="9" t="str">
        <f t="shared" si="2"/>
        <v>4055</v>
      </c>
      <c r="V18" s="31">
        <f t="shared" si="3"/>
        <v>42999.79515046296</v>
      </c>
      <c r="W18" s="45" t="str">
        <f t="shared" si="4"/>
        <v>EC</v>
      </c>
      <c r="X18" s="22">
        <f t="shared" si="5"/>
        <v>168</v>
      </c>
      <c r="Y18" s="96" t="str">
        <f t="shared" si="6"/>
        <v>echo {"issue":{"subject":"","project_id":79,"tracker_id":40,"status_id":1,"priority_id":2,"assigned_to_id":338,"start_date":"2017-09-21","description":"","custom_fields":[{"id":1,"name":"Subdivision","value":"EC"},{"id":4,"name":"Milepost","value":"19.0834"},{"id":17,"name":"Train ID","value":"168-21"},{"id":16,"name":"Locomotive ID","value":"4055"},{"id":130,"name":"Impact","value":""},{"id":150,"name":"Time of Event (Mountain Time)","value":"13:05:01"},{"id":151,"name":"Denver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/c/Users/stu/AppData/Local/Temp/OnboardLogs/RTDC4055 --include="*4055*201709211*"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"%USERPROFILE%\AppData\Local\Temp\OnboardLogs"\RTDC4055\*4055*201709211* &gt;&gt; 2017-09-21-SliceDisagreementCheck.txt</v>
      </c>
      <c r="AE18" s="145" t="str">
        <f t="shared" si="9"/>
        <v>start /low /b %USERPROFILE%\Documents\GitHub\eaglep3\Utilities\DownloadLogsFromS3.py --loco 4055 --day 2017-09-21</v>
      </c>
      <c r="AF18" s="1"/>
    </row>
    <row r="19" spans="1:32" x14ac:dyDescent="0.25">
      <c r="A19" s="31">
        <v>43000.065405092595</v>
      </c>
      <c r="B19" s="30" t="s">
        <v>587</v>
      </c>
      <c r="C19" s="30" t="s">
        <v>617</v>
      </c>
      <c r="D19" s="30" t="s">
        <v>95</v>
      </c>
      <c r="E19" s="30" t="s">
        <v>194</v>
      </c>
      <c r="F19" s="42">
        <v>600</v>
      </c>
      <c r="G19" s="42">
        <v>651</v>
      </c>
      <c r="H19" s="42">
        <v>184285</v>
      </c>
      <c r="I19" s="42">
        <v>181430</v>
      </c>
      <c r="J19" s="30" t="s">
        <v>195</v>
      </c>
      <c r="K19" s="42">
        <v>190834</v>
      </c>
      <c r="L19" s="131" t="s">
        <v>51</v>
      </c>
      <c r="M19" s="132">
        <f t="shared" si="0"/>
        <v>-4965.3119999999999</v>
      </c>
      <c r="N19" s="133" t="str">
        <f>VLOOKUP(C19,'Trips&amp;Operators'!$C$1:$G$99911,5,FALSE)</f>
        <v>PERKINS DARREN</v>
      </c>
      <c r="O19" s="176" t="s">
        <v>179</v>
      </c>
      <c r="P19" s="134"/>
      <c r="Q19" s="30"/>
      <c r="R19" s="81" t="str">
        <f>VLOOKUP(C19,'Train Runs'!$A$13:$AE$9967,31,0)</f>
        <v>aws s3 cp s3://rtdc.mdm.uploadarchive.raw/RTDC4009/ "%USERPROFILE%\AppData\Local\Temp\OnboardLogs"\RTDC4009\2017-09-22 --exclude "*" --recursive --include "*20170922*" &amp; "%USERPROFILE%\Documents\GitHub\mrs-test-scripts\Headless Mode &amp; Sideloading\WalkAndUnGZ.bat" "%USERPROFILE%\AppData\Local\Temp\OnboardLogs"\RTDC4009\2017-09-22 &amp; aws s3 cp s3://rtdc.mdm.uploadarchive.raw/RTDC4009/ "%USERPROFILE%\AppData\Local\Temp\OnboardLogs"\RTDC4009\2017-09-23 --exclude "*" --recursive --include "*20170923*" &amp; "%USERPROFILE%\Documents\GitHub\mrs-test-scripts\Headless Mode &amp; Sideloading\WalkAndUnGZ.bat" "%USERPROFILE%\AppData\Local\Temp\OnboardLogs"\RTDC4009\2017-09-23</v>
      </c>
      <c r="S19" s="84" t="str">
        <f>VLOOKUP(C19,'Train Runs'!$A$13:$AE$9967,22,0)</f>
        <v>https://d0f6bd738d7f1b3e5a7ca70fe4ff75f0.us-east-1.aws.found.io/app/kibana#/discover/Steve-Slow-Train-Analysis-(2080s-and-2083s)?_g=(refreshInterval:(display:Off,pause:!f,section:0,value:0),time:(from:'2017-09-22T00:19:38-0600',mode:absolute,to:'2017-09-22T03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9" s="86" t="str">
        <f t="shared" si="1"/>
        <v>"C:\Program Files (x86)\AstroGrep\AstroGrep.exe" /e /r /s /spath="%USERPROFILE%\AppData\Local\Temp\OnboardLogs" /stypes="*4009*201709220*" /stext=" 07:.+((SYSTEM_STATE.+slice.+state.+changed )|(ment ac)|(multiple cpu faults)|(system.+state.+changed )|(\[timeout)|(PRM\|1\|D)|(kpr)|(kdp)|(train st.+moving)|(\|lc)|(penalty))"</v>
      </c>
      <c r="U19" s="9" t="str">
        <f t="shared" si="2"/>
        <v>4009</v>
      </c>
      <c r="V19" s="31">
        <f t="shared" si="3"/>
        <v>43000.315405092595</v>
      </c>
      <c r="W19" s="45" t="str">
        <f t="shared" si="4"/>
        <v>EC</v>
      </c>
      <c r="X19" s="22">
        <f t="shared" si="5"/>
        <v>244</v>
      </c>
      <c r="Y19" s="96" t="str">
        <f t="shared" si="6"/>
        <v>echo {"issue":{"subject":"","project_id":79,"tracker_id":40,"status_id":1,"priority_id":2,"assigned_to_id":338,"start_date":"2017-09-22","description":"","custom_fields":[{"id":1,"name":"Subdivision","value":"EC"},{"id":4,"name":"Milepost","value":"19.0834"},{"id":17,"name":"Train ID","value":"244-21"},{"id":16,"name":"Locomotive ID","value":"4009"},{"id":130,"name":"Impact","value":""},{"id":150,"name":"Time of Event (Mountain Time)","value":"01:34:11"},{"id":151,"name":"Denver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/c/Users/stu/AppData/Local/Temp/OnboardLogs/RTDC4009 --include="*4009*201709220*"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"%USERPROFILE%\AppData\Local\Temp\OnboardLogs"\RTDC4009\*4009*201709220* &gt;&gt; 2017-09-21-SliceDisagreementCheck.txt</v>
      </c>
      <c r="AE19" s="145" t="str">
        <f t="shared" si="9"/>
        <v>start /low /b %USERPROFILE%\Documents\GitHub\eaglep3\Utilities\DownloadLogsFromS3.py --loco 4009 --day 2017-09-22</v>
      </c>
      <c r="AF19" s="1"/>
    </row>
    <row r="20" spans="1:32" x14ac:dyDescent="0.25">
      <c r="A20" s="31">
        <v>42999.196689814817</v>
      </c>
      <c r="B20" s="30" t="s">
        <v>400</v>
      </c>
      <c r="C20" s="30" t="s">
        <v>578</v>
      </c>
      <c r="D20" s="30" t="s">
        <v>49</v>
      </c>
      <c r="E20" s="30" t="s">
        <v>194</v>
      </c>
      <c r="F20" s="42">
        <v>150</v>
      </c>
      <c r="G20" s="42">
        <v>210</v>
      </c>
      <c r="H20" s="42">
        <v>231290</v>
      </c>
      <c r="I20" s="42">
        <v>230870</v>
      </c>
      <c r="J20" s="30" t="s">
        <v>195</v>
      </c>
      <c r="K20" s="42">
        <v>231269</v>
      </c>
      <c r="L20" s="131" t="s">
        <v>51</v>
      </c>
      <c r="M20" s="132">
        <f t="shared" si="0"/>
        <v>-210.672</v>
      </c>
      <c r="N20" s="133" t="str">
        <f>VLOOKUP(C20,'Trips&amp;Operators'!$C$1:$G$99911,5,FALSE)</f>
        <v>STARKS ANGELINA</v>
      </c>
      <c r="O20" s="176" t="s">
        <v>179</v>
      </c>
      <c r="P20" s="134"/>
      <c r="Q20" s="30"/>
      <c r="R20" s="81" t="str">
        <f>VLOOKUP(C20,'Train Runs'!$A$13:$AE$9967,31,0)</f>
        <v>aws s3 cp s3://rtdc.mdm.uploadarchive.raw/RTDC4029/ "%USERPROFILE%\AppData\Local\Temp\OnboardLogs"\RTDC4029\2017-09-21 --exclude "*" --recursive --include "*20170921*" &amp; "%USERPROFILE%\Documents\GitHub\mrs-test-scripts\Headless Mode &amp; Sideloading\WalkAndUnGZ.bat" "%USERPROFILE%\AppData\Local\Temp\OnboardLogs"\RTDC4029\2017-09-21 &amp; aws s3 cp s3://rtdc.mdm.uploadarchive.raw/RTDC4029/ "%USERPROFILE%\AppData\Local\Temp\OnboardLogs"\RTDC4029\2017-09-22 --exclude "*" --recursive --include "*20170922*" &amp; "%USERPROFILE%\Documents\GitHub\mrs-test-scripts\Headless Mode &amp; Sideloading\WalkAndUnGZ.bat" "%USERPROFILE%\AppData\Local\Temp\OnboardLogs"\RTDC4029\2017-09-22</v>
      </c>
      <c r="S20" s="84" t="str">
        <f>VLOOKUP(C20,'Train Runs'!$A$13:$AE$9967,22,0)</f>
        <v>https://d0f6bd738d7f1b3e5a7ca70fe4ff75f0.us-east-1.aws.found.io/app/kibana#/discover/Steve-Slow-Train-Analysis-(2080s-and-2083s)?_g=(refreshInterval:(display:Off,pause:!f,section:0,value:0),time:(from:'2017-09-21T03:24:30-0600',mode:absolute,to:'2017-09-21T06:23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0" s="86" t="str">
        <f t="shared" si="1"/>
        <v>"C:\Program Files (x86)\AstroGrep\AstroGrep.exe" /e /r /s /spath="%USERPROFILE%\AppData\Local\Temp\OnboardLogs" /stypes="*4029*201709211*" /stext=" 10:.+((SYSTEM_STATE.+slice.+state.+changed )|(ment ac)|(multiple cpu faults)|(system.+state.+changed )|(\[timeout)|(PRM\|1\|D)|(kpr)|(kdp)|(train st.+moving)|(\|lc)|(penalty))"</v>
      </c>
      <c r="U20" s="9" t="str">
        <f t="shared" si="2"/>
        <v>4029</v>
      </c>
      <c r="V20" s="31">
        <f t="shared" si="3"/>
        <v>42999.446689814817</v>
      </c>
      <c r="W20" s="45" t="str">
        <f t="shared" si="4"/>
        <v>EC</v>
      </c>
      <c r="X20" s="22">
        <f t="shared" si="5"/>
        <v>104</v>
      </c>
      <c r="Y20" s="96" t="str">
        <f t="shared" si="6"/>
        <v>echo {"issue":{"subject":"","project_id":79,"tracker_id":40,"status_id":1,"priority_id":2,"assigned_to_id":338,"start_date":"2017-09-21","description":"","custom_fields":[{"id":1,"name":"Subdivision","value":"EC"},{"id":4,"name":"Milepost","value":"23.1269"},{"id":17,"name":"Train ID","value":"104-21"},{"id":16,"name":"Locomotive ID","value":"4029"},{"id":130,"name":"Impact","value":""},{"id":150,"name":"Time of Event (Mountain Time)","value":"04:43:14"},{"id":151,"name":"Denver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/c/Users/stu/AppData/Local/Temp/OnboardLogs/RTDC4029 --include="*4029*201709211*"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"%USERPROFILE%\AppData\Local\Temp\OnboardLogs"\RTDC4029\*4029*201709211* &gt;&gt; 2017-09-21-SliceDisagreementCheck.txt</v>
      </c>
      <c r="AE20" s="145" t="str">
        <f t="shared" si="9"/>
        <v>start /low /b %USERPROFILE%\Documents\GitHub\eaglep3\Utilities\DownloadLogsFromS3.py --loco 4029 --day 2017-09-21</v>
      </c>
      <c r="AF20" s="1"/>
    </row>
    <row r="21" spans="1:32" x14ac:dyDescent="0.25">
      <c r="A21" s="31">
        <v>42999.39576388889</v>
      </c>
      <c r="B21" s="30" t="s">
        <v>595</v>
      </c>
      <c r="C21" s="30" t="s">
        <v>596</v>
      </c>
      <c r="D21" s="30" t="s">
        <v>49</v>
      </c>
      <c r="E21" s="30" t="s">
        <v>360</v>
      </c>
      <c r="F21" s="42">
        <v>0</v>
      </c>
      <c r="G21" s="42">
        <v>57</v>
      </c>
      <c r="H21" s="42">
        <v>63712</v>
      </c>
      <c r="I21" s="42">
        <v>63833</v>
      </c>
      <c r="J21" s="30" t="s">
        <v>361</v>
      </c>
      <c r="K21" s="42">
        <v>63995</v>
      </c>
      <c r="L21" s="131" t="s">
        <v>50</v>
      </c>
      <c r="M21" s="132">
        <f t="shared" si="0"/>
        <v>85.536000000000001</v>
      </c>
      <c r="N21" s="133" t="str">
        <f>VLOOKUP(C21,'Trips&amp;Operators'!$C$1:$G$99911,5,FALSE)</f>
        <v>YANG JAN</v>
      </c>
      <c r="O21" s="176" t="s">
        <v>427</v>
      </c>
      <c r="P21" s="134" t="s">
        <v>999</v>
      </c>
      <c r="Q21" s="30"/>
      <c r="R21" s="81" t="str">
        <f>VLOOKUP(C21,'Train Runs'!$A$13:$AE$9967,31,0)</f>
        <v>aws s3 cp s3://rtdc.mdm.uploadarchive.raw/RTDC4052/ "%USERPROFILE%\AppData\Local\Temp\OnboardLogs"\RTDC4052\2017-09-21 --exclude "*" --recursive --include "*20170921*" &amp; "%USERPROFILE%\Documents\GitHub\mrs-test-scripts\Headless Mode &amp; Sideloading\WalkAndUnGZ.bat" "%USERPROFILE%\AppData\Local\Temp\OnboardLogs"\RTDC4052\2017-09-21 &amp; aws s3 cp s3://rtdc.mdm.uploadarchive.raw/RTDC4052/ "%USERPROFILE%\AppData\Local\Temp\OnboardLogs"\RTDC4052\2017-09-22 --exclude "*" --recursive --include "*20170922*" &amp; "%USERPROFILE%\Documents\GitHub\mrs-test-scripts\Headless Mode &amp; Sideloading\WalkAndUnGZ.bat" "%USERPROFILE%\AppData\Local\Temp\OnboardLogs"\RTDC4052\2017-09-22</v>
      </c>
      <c r="S21" s="84" t="str">
        <f>VLOOKUP(C21,'Train Runs'!$A$13:$AE$9967,22,0)</f>
        <v>https://d0f6bd738d7f1b3e5a7ca70fe4ff75f0.us-east-1.aws.found.io/app/kibana#/discover/Steve-Slow-Train-Analysis-(2080s-and-2083s)?_g=(refreshInterval:(display:Off,pause:!f,section:0,value:0),time:(from:'2017-09-21T08:08:46-0600',mode:absolute,to:'2017-09-21T10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1" s="86" t="str">
        <f t="shared" si="1"/>
        <v>"C:\Program Files (x86)\AstroGrep\AstroGrep.exe" /e /r /s /spath="%USERPROFILE%\AppData\Local\Temp\OnboardLogs" /stypes="*4052*201709211*" /stext=" 15:.+((SYSTEM_STATE.+slice.+state.+changed )|(ment ac)|(multiple cpu faults)|(system.+state.+changed )|(\[timeout)|(PRM\|1\|D)|(kpr)|(kdp)|(train st.+moving)|(\|lc)|(penalty))"</v>
      </c>
      <c r="U21" s="9" t="str">
        <f t="shared" si="2"/>
        <v>4052</v>
      </c>
      <c r="V21" s="31">
        <f t="shared" si="3"/>
        <v>42999.64576388889</v>
      </c>
      <c r="W21" s="45" t="str">
        <f t="shared" si="4"/>
        <v>EC</v>
      </c>
      <c r="X21" s="22">
        <f t="shared" si="5"/>
        <v>145</v>
      </c>
      <c r="Y21" s="96" t="str">
        <f t="shared" si="6"/>
        <v>echo {"issue":{"subject":"WiMAX data drop","project_id":79,"tracker_id":40,"status_id":1,"priority_id":2,"assigned_to_id":338,"start_date":"2017-09-21","description":"","custom_fields":[{"id":1,"name":"Subdivision","value":"EC"},{"id":4,"name":"Milepost","value":"6.3995"},{"id":17,"name":"Train ID","value":"145-21"},{"id":16,"name":"Locomotive ID","value":"4052"},{"id":130,"name":"Impact","value":""},{"id":150,"name":"Time of Event (Mountain Time)","value":"09:29:54"},{"id":151,"name":"Denver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/c/Users/stu/AppData/Local/Temp/OnboardLogs/RTDC4052 --include="*4052*201709211*"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"%USERPROFILE%\AppData\Local\Temp\OnboardLogs"\RTDC4052\*4052*201709211* &gt;&gt; 2017-09-21-SliceDisagreementCheck.txt</v>
      </c>
      <c r="AE21" s="145" t="str">
        <f t="shared" si="9"/>
        <v>start /low /b %USERPROFILE%\Documents\GitHub\eaglep3\Utilities\DownloadLogsFromS3.py --loco 4052 --day 2017-09-21</v>
      </c>
      <c r="AF21" s="1"/>
    </row>
    <row r="22" spans="1:32" x14ac:dyDescent="0.25">
      <c r="A22" s="31">
        <v>42999.801006944443</v>
      </c>
      <c r="B22" s="30" t="s">
        <v>438</v>
      </c>
      <c r="C22" s="30" t="s">
        <v>615</v>
      </c>
      <c r="D22" s="30" t="s">
        <v>49</v>
      </c>
      <c r="E22" s="30" t="s">
        <v>360</v>
      </c>
      <c r="F22" s="42">
        <v>0</v>
      </c>
      <c r="G22" s="42">
        <v>72</v>
      </c>
      <c r="H22" s="42">
        <v>127604</v>
      </c>
      <c r="I22" s="42">
        <v>127488</v>
      </c>
      <c r="J22" s="30" t="s">
        <v>361</v>
      </c>
      <c r="K22" s="42">
        <v>127587</v>
      </c>
      <c r="L22" s="131" t="s">
        <v>51</v>
      </c>
      <c r="M22" s="132">
        <f t="shared" si="0"/>
        <v>-52.271999999999998</v>
      </c>
      <c r="N22" s="133" t="str">
        <f>VLOOKUP(C22,'Trips&amp;Operators'!$C$1:$G$99911,5,FALSE)</f>
        <v>HOLCOMB KAMDEN</v>
      </c>
      <c r="O22" s="176" t="s">
        <v>427</v>
      </c>
      <c r="P22" s="134" t="s">
        <v>998</v>
      </c>
      <c r="Q22" s="30"/>
      <c r="R22" s="81" t="str">
        <f>VLOOKUP(C22,'Train Runs'!$A$13:$AE$9967,31,0)</f>
        <v>aws s3 cp s3://rtdc.mdm.uploadarchive.raw/RTDC4005/ "%USERPROFILE%\AppData\Local\Temp\OnboardLogs"\RTDC4005\2017-09-21 --exclude "*" --recursive --include "*20170921*" &amp; "%USERPROFILE%\Documents\GitHub\mrs-test-scripts\Headless Mode &amp; Sideloading\WalkAndUnGZ.bat" "%USERPROFILE%\AppData\Local\Temp\OnboardLogs"\RTDC4005\2017-09-21 &amp; aws s3 cp s3://rtdc.mdm.uploadarchive.raw/RTDC4005/ "%USERPROFILE%\AppData\Local\Temp\OnboardLogs"\RTDC4005\2017-09-22 --exclude "*" --recursive --include "*20170922*" &amp; "%USERPROFILE%\Documents\GitHub\mrs-test-scripts\Headless Mode &amp; Sideloading\WalkAndUnGZ.bat" "%USERPROFILE%\AppData\Local\Temp\OnboardLogs"\RTDC4005\2017-09-22</v>
      </c>
      <c r="S22" s="84" t="str">
        <f>VLOOKUP(C22,'Train Runs'!$A$13:$AE$9967,22,0)</f>
        <v>https://d0f6bd738d7f1b3e5a7ca70fe4ff75f0.us-east-1.aws.found.io/app/kibana#/discover/Steve-Slow-Train-Analysis-(2080s-and-2083s)?_g=(refreshInterval:(display:Off,pause:!f,section:0,value:0),time:(from:'2017-09-21T18:11:26-0600',mode:absolute,to:'2017-09-21T20:13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2" s="86" t="str">
        <f t="shared" si="1"/>
        <v>"C:\Program Files (x86)\AstroGrep\AstroGrep.exe" /e /r /s /spath="%USERPROFILE%\AppData\Local\Temp\OnboardLogs" /stypes="*4005*201709220*" /stext=" 01:.+((SYSTEM_STATE.+slice.+state.+changed )|(ment ac)|(multiple cpu faults)|(system.+state.+changed )|(\[timeout)|(PRM\|1\|D)|(kpr)|(kdp)|(train st.+moving)|(\|lc)|(penalty))"</v>
      </c>
      <c r="U22" s="9" t="str">
        <f t="shared" si="2"/>
        <v>4005</v>
      </c>
      <c r="V22" s="31">
        <f t="shared" si="3"/>
        <v>43000.051006944443</v>
      </c>
      <c r="W22" s="45" t="str">
        <f t="shared" si="4"/>
        <v>EC</v>
      </c>
      <c r="X22" s="22">
        <f t="shared" si="5"/>
        <v>216</v>
      </c>
      <c r="Y22" s="96" t="str">
        <f t="shared" si="6"/>
        <v>echo {"issue":{"subject":"Onboard en route failure","project_id":79,"tracker_id":40,"status_id":1,"priority_id":2,"assigned_to_id":338,"start_date":"2017-09-21","description":"","custom_fields":[{"id":1,"name":"Subdivision","value":"EC"},{"id":4,"name":"Milepost","value":"12.7587"},{"id":17,"name":"Train ID","value":"216-21"},{"id":16,"name":"Locomotive ID","value":"4005"},{"id":130,"name":"Impact","value":""},{"id":150,"name":"Time of Event (Mountain Time)","value":"19:13:27"},{"id":151,"name":"Denver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/c/Users/stu/AppData/Local/Temp/OnboardLogs/RTDC4005 --include="*4005*201709220*"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"%USERPROFILE%\AppData\Local\Temp\OnboardLogs"\RTDC4005\*4005*201709220* &gt;&gt; 2017-09-21-SliceDisagreementCheck.txt</v>
      </c>
      <c r="AE22" s="145" t="str">
        <f t="shared" si="9"/>
        <v>start /low /b %USERPROFILE%\Documents\GitHub\eaglep3\Utilities\DownloadLogsFromS3.py --loco 4005 --day 2017-09-22</v>
      </c>
      <c r="AF22" s="1"/>
    </row>
    <row r="23" spans="1:32" x14ac:dyDescent="0.25">
      <c r="A23" s="31">
        <v>42999.296238425923</v>
      </c>
      <c r="B23" s="30" t="s">
        <v>400</v>
      </c>
      <c r="C23" s="30" t="s">
        <v>590</v>
      </c>
      <c r="D23" s="30" t="s">
        <v>49</v>
      </c>
      <c r="E23" s="30" t="s">
        <v>180</v>
      </c>
      <c r="F23" s="42">
        <v>0</v>
      </c>
      <c r="G23" s="42">
        <v>31</v>
      </c>
      <c r="H23" s="42">
        <v>163</v>
      </c>
      <c r="I23" s="42">
        <v>125</v>
      </c>
      <c r="J23" s="30" t="s">
        <v>181</v>
      </c>
      <c r="K23" s="42">
        <v>1</v>
      </c>
      <c r="L23" s="131" t="s">
        <v>51</v>
      </c>
      <c r="M23" s="132">
        <f t="shared" si="0"/>
        <v>65.471999999999994</v>
      </c>
      <c r="N23" s="133" t="str">
        <f>VLOOKUP(C23,'Trips&amp;Operators'!$C$1:$G$99911,5,FALSE)</f>
        <v>STARKS ANGELINA</v>
      </c>
      <c r="O23" s="176" t="s">
        <v>179</v>
      </c>
      <c r="P23" s="134"/>
      <c r="Q23" s="30"/>
      <c r="R23" s="81" t="str">
        <f>VLOOKUP(C23,'Train Runs'!$A$13:$AE$9967,31,0)</f>
        <v>aws s3 cp s3://rtdc.mdm.uploadarchive.raw/RTDC4029/ "%USERPROFILE%\AppData\Local\Temp\OnboardLogs"\RTDC4029\2017-09-21 --exclude "*" --recursive --include "*20170921*" &amp; "%USERPROFILE%\Documents\GitHub\mrs-test-scripts\Headless Mode &amp; Sideloading\WalkAndUnGZ.bat" "%USERPROFILE%\AppData\Local\Temp\OnboardLogs"\RTDC4029\2017-09-21 &amp; aws s3 cp s3://rtdc.mdm.uploadarchive.raw/RTDC4029/ "%USERPROFILE%\AppData\Local\Temp\OnboardLogs"\RTDC4029\2017-09-22 --exclude "*" --recursive --include "*20170922*" &amp; "%USERPROFILE%\Documents\GitHub\mrs-test-scripts\Headless Mode &amp; Sideloading\WalkAndUnGZ.bat" "%USERPROFILE%\AppData\Local\Temp\OnboardLogs"\RTDC4029\2017-09-22</v>
      </c>
      <c r="S23" s="84" t="str">
        <f>VLOOKUP(C23,'Train Runs'!$A$13:$AE$9967,22,0)</f>
        <v>https://d0f6bd738d7f1b3e5a7ca70fe4ff75f0.us-east-1.aws.found.io/app/kibana#/discover/Steve-Slow-Train-Analysis-(2080s-and-2083s)?_g=(refreshInterval:(display:Off,pause:!f,section:0,value:0),time:(from:'2017-09-21T05:18:58-0600',mode:absolute,to:'2017-09-21T08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3" s="86" t="str">
        <f t="shared" si="1"/>
        <v>"C:\Program Files (x86)\AstroGrep\AstroGrep.exe" /e /r /s /spath="%USERPROFILE%\AppData\Local\Temp\OnboardLogs" /stypes="*4029*201709211*" /stext=" 13:.+((SYSTEM_STATE.+slice.+state.+changed )|(ment ac)|(multiple cpu faults)|(system.+state.+changed )|(\[timeout)|(PRM\|1\|D)|(kpr)|(kdp)|(train st.+moving)|(\|lc)|(penalty))"</v>
      </c>
      <c r="U23" s="9" t="str">
        <f t="shared" si="2"/>
        <v>4029</v>
      </c>
      <c r="V23" s="31">
        <f t="shared" si="3"/>
        <v>42999.546238425923</v>
      </c>
      <c r="W23" s="45" t="str">
        <f t="shared" si="4"/>
        <v>EC</v>
      </c>
      <c r="X23" s="22">
        <f t="shared" si="5"/>
        <v>116</v>
      </c>
      <c r="Y23" s="96" t="str">
        <f t="shared" si="6"/>
        <v>echo {"issue":{"subject":"","project_id":79,"tracker_id":40,"status_id":1,"priority_id":2,"assigned_to_id":338,"start_date":"2017-09-21","description":"","custom_fields":[{"id":1,"name":"Subdivision","value":"EC"},{"id":4,"name":"Milepost","value":"0.0001"},{"id":17,"name":"Train ID","value":"116-21"},{"id":16,"name":"Locomotive ID","value":"4029"},{"id":130,"name":"Impact","value":""},{"id":150,"name":"Time of Event (Mountain Time)","value":"07:06:35"},{"id":151,"name":"Denver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/c/Users/stu/AppData/Local/Temp/OnboardLogs/RTDC4029 --include="*4029*201709211*"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"%USERPROFILE%\AppData\Local\Temp\OnboardLogs"\RTDC4029\*4029*201709211* &gt;&gt; 2017-09-21-SliceDisagreementCheck.txt</v>
      </c>
      <c r="AE23" s="145" t="str">
        <f t="shared" si="9"/>
        <v>start /low /b %USERPROFILE%\Documents\GitHub\eaglep3\Utilities\DownloadLogsFromS3.py --loco 4029 --day 2017-09-21</v>
      </c>
      <c r="AF23" s="1"/>
    </row>
    <row r="24" spans="1:32" x14ac:dyDescent="0.25">
      <c r="A24" s="31">
        <v>42999.357499999998</v>
      </c>
      <c r="B24" s="30" t="s">
        <v>587</v>
      </c>
      <c r="C24" s="30" t="s">
        <v>594</v>
      </c>
      <c r="D24" s="30" t="s">
        <v>49</v>
      </c>
      <c r="E24" s="30" t="s">
        <v>180</v>
      </c>
      <c r="F24" s="42">
        <v>0</v>
      </c>
      <c r="G24" s="42">
        <v>60</v>
      </c>
      <c r="H24" s="42">
        <v>209</v>
      </c>
      <c r="I24" s="42">
        <v>139</v>
      </c>
      <c r="J24" s="30" t="s">
        <v>181</v>
      </c>
      <c r="K24" s="42">
        <v>1</v>
      </c>
      <c r="L24" s="131" t="s">
        <v>51</v>
      </c>
      <c r="M24" s="132">
        <f t="shared" si="0"/>
        <v>72.864000000000004</v>
      </c>
      <c r="N24" s="133" t="str">
        <f>VLOOKUP(C24,'Trips&amp;Operators'!$C$1:$G$99911,5,FALSE)</f>
        <v>YANAI IAN</v>
      </c>
      <c r="O24" s="176" t="s">
        <v>179</v>
      </c>
      <c r="P24" s="134"/>
      <c r="Q24" s="30"/>
      <c r="R24" s="81" t="str">
        <f>VLOOKUP(C24,'Train Runs'!$A$13:$AE$9967,31,0)</f>
        <v>aws s3 cp s3://rtdc.mdm.uploadarchive.raw/RTDC4009/ "%USERPROFILE%\AppData\Local\Temp\OnboardLogs"\RTDC4009\2017-09-21 --exclude "*" --recursive --include "*20170921*" &amp; "%USERPROFILE%\Documents\GitHub\mrs-test-scripts\Headless Mode &amp; Sideloading\WalkAndUnGZ.bat" "%USERPROFILE%\AppData\Local\Temp\OnboardLogs"\RTDC4009\2017-09-21 &amp; aws s3 cp s3://rtdc.mdm.uploadarchive.raw/RTDC4009/ "%USERPROFILE%\AppData\Local\Temp\OnboardLogs"\RTDC4009\2017-09-22 --exclude "*" --recursive --include "*20170922*" &amp; "%USERPROFILE%\Documents\GitHub\mrs-test-scripts\Headless Mode &amp; Sideloading\WalkAndUnGZ.bat" "%USERPROFILE%\AppData\Local\Temp\OnboardLogs"\RTDC4009\2017-09-22</v>
      </c>
      <c r="S24" s="84" t="str">
        <f>VLOOKUP(C24,'Train Runs'!$A$13:$AE$9967,22,0)</f>
        <v>https://d0f6bd738d7f1b3e5a7ca70fe4ff75f0.us-east-1.aws.found.io/app/kibana#/discover/Steve-Slow-Train-Analysis-(2080s-and-2083s)?_g=(refreshInterval:(display:Off,pause:!f,section:0,value:0),time:(from:'2017-09-21T05:52:37-0600',mode:absolute,to:'2017-09-21T09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4" s="86" t="str">
        <f t="shared" si="1"/>
        <v>"C:\Program Files (x86)\AstroGrep\AstroGrep.exe" /e /r /s /spath="%USERPROFILE%\AppData\Local\Temp\OnboardLogs" /stypes="*4009*201709211*" /stext=" 14:.+((SYSTEM_STATE.+slice.+state.+changed )|(ment ac)|(multiple cpu faults)|(system.+state.+changed )|(\[timeout)|(PRM\|1\|D)|(kpr)|(kdp)|(train st.+moving)|(\|lc)|(penalty))"</v>
      </c>
      <c r="U24" s="9" t="str">
        <f t="shared" si="2"/>
        <v>4009</v>
      </c>
      <c r="V24" s="31">
        <f t="shared" si="3"/>
        <v>42999.607499999998</v>
      </c>
      <c r="W24" s="45" t="str">
        <f t="shared" si="4"/>
        <v>EC</v>
      </c>
      <c r="X24" s="22">
        <f t="shared" si="5"/>
        <v>128</v>
      </c>
      <c r="Y24" s="96" t="str">
        <f t="shared" si="6"/>
        <v>echo {"issue":{"subject":"","project_id":79,"tracker_id":40,"status_id":1,"priority_id":2,"assigned_to_id":338,"start_date":"2017-09-21","description":"","custom_fields":[{"id":1,"name":"Subdivision","value":"EC"},{"id":4,"name":"Milepost","value":"0.0001"},{"id":17,"name":"Train ID","value":"128-21"},{"id":16,"name":"Locomotive ID","value":"4009"},{"id":130,"name":"Impact","value":""},{"id":150,"name":"Time of Event (Mountain Time)","value":"08:34:48"},{"id":151,"name":"Denver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/c/Users/stu/AppData/Local/Temp/OnboardLogs/RTDC4009 --include="*4009*201709211*"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"%USERPROFILE%\AppData\Local\Temp\OnboardLogs"\RTDC4009\*4009*201709211* &gt;&gt; 2017-09-21-SliceDisagreementCheck.txt</v>
      </c>
      <c r="AE24" s="145" t="str">
        <f t="shared" si="9"/>
        <v>start /low /b %USERPROFILE%\Documents\GitHub\eaglep3\Utilities\DownloadLogsFromS3.py --loco 4009 --day 2017-09-21</v>
      </c>
      <c r="AF24" s="1"/>
    </row>
    <row r="25" spans="1:32" x14ac:dyDescent="0.25">
      <c r="A25" s="31">
        <v>42999.640115740738</v>
      </c>
      <c r="B25" s="30" t="s">
        <v>602</v>
      </c>
      <c r="C25" s="30" t="s">
        <v>607</v>
      </c>
      <c r="D25" s="30" t="s">
        <v>49</v>
      </c>
      <c r="E25" s="30" t="s">
        <v>180</v>
      </c>
      <c r="F25" s="42">
        <v>0</v>
      </c>
      <c r="G25" s="42">
        <v>73</v>
      </c>
      <c r="H25" s="42">
        <v>260</v>
      </c>
      <c r="I25" s="42">
        <v>201</v>
      </c>
      <c r="J25" s="30" t="s">
        <v>181</v>
      </c>
      <c r="K25" s="42">
        <v>1</v>
      </c>
      <c r="L25" s="131" t="s">
        <v>51</v>
      </c>
      <c r="M25" s="132">
        <f t="shared" si="0"/>
        <v>105.6</v>
      </c>
      <c r="N25" s="133" t="str">
        <f>VLOOKUP(C25,'Trips&amp;Operators'!$C$1:$G$99911,5,FALSE)</f>
        <v>BERLING GARY</v>
      </c>
      <c r="O25" s="176" t="s">
        <v>179</v>
      </c>
      <c r="P25" s="134"/>
      <c r="Q25" s="30"/>
      <c r="R25" s="81" t="str">
        <f>VLOOKUP(C25,'Train Runs'!$A$13:$AE$9967,31,0)</f>
        <v>aws s3 cp s3://rtdc.mdm.uploadarchive.raw/RTDC4055/ "%USERPROFILE%\AppData\Local\Temp\OnboardLogs"\RTDC4055\2017-09-21 --exclude "*" --recursive --include "*20170921*" &amp; "%USERPROFILE%\Documents\GitHub\mrs-test-scripts\Headless Mode &amp; Sideloading\WalkAndUnGZ.bat" "%USERPROFILE%\AppData\Local\Temp\OnboardLogs"\RTDC4055\2017-09-21 &amp; aws s3 cp s3://rtdc.mdm.uploadarchive.raw/RTDC4055/ "%USERPROFILE%\AppData\Local\Temp\OnboardLogs"\RTDC4055\2017-09-22 --exclude "*" --recursive --include "*20170922*" &amp; "%USERPROFILE%\Documents\GitHub\mrs-test-scripts\Headless Mode &amp; Sideloading\WalkAndUnGZ.bat" "%USERPROFILE%\AppData\Local\Temp\OnboardLogs"\RTDC4055\2017-09-22</v>
      </c>
      <c r="S25" s="84" t="str">
        <f>VLOOKUP(C25,'Train Runs'!$A$13:$AE$9967,22,0)</f>
        <v>https://d0f6bd738d7f1b3e5a7ca70fe4ff75f0.us-east-1.aws.found.io/app/kibana#/discover/Steve-Slow-Train-Analysis-(2080s-and-2083s)?_g=(refreshInterval:(display:Off,pause:!f,section:0,value:0),time:(from:'2017-09-21T13:31:11-0600',mode:absolute,to:'2017-09-21T16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5" s="86" t="str">
        <f t="shared" si="1"/>
        <v>"C:\Program Files (x86)\AstroGrep\AstroGrep.exe" /e /r /s /spath="%USERPROFILE%\AppData\Local\Temp\OnboardLogs" /stypes="*4055*201709212*" /stext=" 21:.+((SYSTEM_STATE.+slice.+state.+changed )|(ment ac)|(multiple cpu faults)|(system.+state.+changed )|(\[timeout)|(PRM\|1\|D)|(kpr)|(kdp)|(train st.+moving)|(\|lc)|(penalty))"</v>
      </c>
      <c r="U25" s="9" t="str">
        <f t="shared" si="2"/>
        <v>4055</v>
      </c>
      <c r="V25" s="31">
        <f t="shared" si="3"/>
        <v>42999.890115740738</v>
      </c>
      <c r="W25" s="45" t="str">
        <f t="shared" si="4"/>
        <v>EC</v>
      </c>
      <c r="X25" s="22">
        <f t="shared" si="5"/>
        <v>182</v>
      </c>
      <c r="Y25" s="96" t="str">
        <f t="shared" si="6"/>
        <v>echo {"issue":{"subject":"","project_id":79,"tracker_id":40,"status_id":1,"priority_id":2,"assigned_to_id":338,"start_date":"2017-09-21","description":"","custom_fields":[{"id":1,"name":"Subdivision","value":"EC"},{"id":4,"name":"Milepost","value":"0.0001"},{"id":17,"name":"Train ID","value":"182-21"},{"id":16,"name":"Locomotive ID","value":"4055"},{"id":130,"name":"Impact","value":""},{"id":150,"name":"Time of Event (Mountain Time)","value":"15:21:46"},{"id":151,"name":"Denver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/c/Users/stu/AppData/Local/Temp/OnboardLogs/RTDC4055 --include="*4055*201709212*"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"%USERPROFILE%\AppData\Local\Temp\OnboardLogs"\RTDC4055\*4055*201709212* &gt;&gt; 2017-09-21-SliceDisagreementCheck.txt</v>
      </c>
      <c r="AE25" s="145" t="str">
        <f t="shared" si="9"/>
        <v>start /low /b %USERPROFILE%\Documents\GitHub\eaglep3\Utilities\DownloadLogsFromS3.py --loco 4055 --day 2017-09-21</v>
      </c>
      <c r="AF25" s="1"/>
    </row>
    <row r="26" spans="1:32" x14ac:dyDescent="0.25">
      <c r="A26" s="31">
        <v>42999.733182870368</v>
      </c>
      <c r="B26" s="30" t="s">
        <v>400</v>
      </c>
      <c r="C26" s="30" t="s">
        <v>613</v>
      </c>
      <c r="D26" s="30" t="s">
        <v>49</v>
      </c>
      <c r="E26" s="30" t="s">
        <v>180</v>
      </c>
      <c r="F26" s="42">
        <v>0</v>
      </c>
      <c r="G26" s="42">
        <v>94</v>
      </c>
      <c r="H26" s="42">
        <v>376</v>
      </c>
      <c r="I26" s="42">
        <v>267</v>
      </c>
      <c r="J26" s="30" t="s">
        <v>181</v>
      </c>
      <c r="K26" s="42">
        <v>1</v>
      </c>
      <c r="L26" s="131" t="s">
        <v>51</v>
      </c>
      <c r="M26" s="132">
        <f t="shared" si="0"/>
        <v>140.44800000000001</v>
      </c>
      <c r="N26" s="133" t="str">
        <f>VLOOKUP(C26,'Trips&amp;Operators'!$C$1:$G$99911,5,FALSE)</f>
        <v>BADERTSCHER DIANE</v>
      </c>
      <c r="O26" s="176" t="s">
        <v>179</v>
      </c>
      <c r="P26" s="134"/>
      <c r="Q26" s="30"/>
      <c r="R26" s="81" t="str">
        <f>VLOOKUP(C26,'Train Runs'!$A$13:$AE$9967,31,0)</f>
        <v>aws s3 cp s3://rtdc.mdm.uploadarchive.raw/RTDC4029/ "%USERPROFILE%\AppData\Local\Temp\OnboardLogs"\RTDC4029\2017-09-21 --exclude "*" --recursive --include "*20170921*" &amp; "%USERPROFILE%\Documents\GitHub\mrs-test-scripts\Headless Mode &amp; Sideloading\WalkAndUnGZ.bat" "%USERPROFILE%\AppData\Local\Temp\OnboardLogs"\RTDC4029\2017-09-21 &amp; aws s3 cp s3://rtdc.mdm.uploadarchive.raw/RTDC4029/ "%USERPROFILE%\AppData\Local\Temp\OnboardLogs"\RTDC4029\2017-09-22 --exclude "*" --recursive --include "*20170922*" &amp; "%USERPROFILE%\Documents\GitHub\mrs-test-scripts\Headless Mode &amp; Sideloading\WalkAndUnGZ.bat" "%USERPROFILE%\AppData\Local\Temp\OnboardLogs"\RTDC4029\2017-09-22</v>
      </c>
      <c r="S26" s="84" t="str">
        <f>VLOOKUP(C26,'Train Runs'!$A$13:$AE$9967,22,0)</f>
        <v>https://d0f6bd738d7f1b3e5a7ca70fe4ff75f0.us-east-1.aws.found.io/app/kibana#/discover/Steve-Slow-Train-Analysis-(2080s-and-2083s)?_g=(refreshInterval:(display:Off,pause:!f,section:0,value:0),time:(from:'2017-09-21T15:49:26-0600',mode:absolute,to:'2017-09-21T18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6" s="86" t="str">
        <f t="shared" si="1"/>
        <v>"C:\Program Files (x86)\AstroGrep\AstroGrep.exe" /e /r /s /spath="%USERPROFILE%\AppData\Local\Temp\OnboardLogs" /stypes="*4029*201709212*" /stext=" 23:.+((SYSTEM_STATE.+slice.+state.+changed )|(ment ac)|(multiple cpu faults)|(system.+state.+changed )|(\[timeout)|(PRM\|1\|D)|(kpr)|(kdp)|(train st.+moving)|(\|lc)|(penalty))"</v>
      </c>
      <c r="U26" s="9" t="str">
        <f t="shared" si="2"/>
        <v>4029</v>
      </c>
      <c r="V26" s="31">
        <f t="shared" si="3"/>
        <v>42999.983182870368</v>
      </c>
      <c r="W26" s="45" t="str">
        <f t="shared" si="4"/>
        <v>EC</v>
      </c>
      <c r="X26" s="22">
        <f t="shared" si="5"/>
        <v>200</v>
      </c>
      <c r="Y26" s="96" t="str">
        <f t="shared" si="6"/>
        <v>echo {"issue":{"subject":"","project_id":79,"tracker_id":40,"status_id":1,"priority_id":2,"assigned_to_id":338,"start_date":"2017-09-21","description":"","custom_fields":[{"id":1,"name":"Subdivision","value":"EC"},{"id":4,"name":"Milepost","value":"0.0001"},{"id":17,"name":"Train ID","value":"200-21"},{"id":16,"name":"Locomotive ID","value":"4029"},{"id":130,"name":"Impact","value":""},{"id":150,"name":"Time of Event (Mountain Time)","value":"17:35:47"},{"id":151,"name":"Denver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/c/Users/stu/AppData/Local/Temp/OnboardLogs/RTDC4029 --include="*4029*201709212*"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"%USERPROFILE%\AppData\Local\Temp\OnboardLogs"\RTDC4029\*4029*201709212* &gt;&gt; 2017-09-21-SliceDisagreementCheck.txt</v>
      </c>
      <c r="AE26" s="145" t="str">
        <f t="shared" si="9"/>
        <v>start /low /b %USERPROFILE%\Documents\GitHub\eaglep3\Utilities\DownloadLogsFromS3.py --loco 4029 --day 2017-09-21</v>
      </c>
      <c r="AF26" s="1"/>
    </row>
    <row r="27" spans="1:32" x14ac:dyDescent="0.25">
      <c r="A27" s="31">
        <v>42999.733715277776</v>
      </c>
      <c r="B27" s="30" t="s">
        <v>400</v>
      </c>
      <c r="C27" s="30" t="s">
        <v>613</v>
      </c>
      <c r="D27" s="30" t="s">
        <v>49</v>
      </c>
      <c r="E27" s="30" t="s">
        <v>180</v>
      </c>
      <c r="F27" s="42">
        <v>0</v>
      </c>
      <c r="G27" s="42">
        <v>39</v>
      </c>
      <c r="H27" s="42">
        <v>141</v>
      </c>
      <c r="I27" s="42">
        <v>109</v>
      </c>
      <c r="J27" s="30" t="s">
        <v>181</v>
      </c>
      <c r="K27" s="42">
        <v>1</v>
      </c>
      <c r="L27" s="131" t="s">
        <v>51</v>
      </c>
      <c r="M27" s="132">
        <f t="shared" si="0"/>
        <v>57.024000000000001</v>
      </c>
      <c r="N27" s="133" t="str">
        <f>VLOOKUP(C27,'Trips&amp;Operators'!$C$1:$G$99911,5,FALSE)</f>
        <v>BADERTSCHER DIANE</v>
      </c>
      <c r="O27" s="176" t="s">
        <v>179</v>
      </c>
      <c r="P27" s="134"/>
      <c r="Q27" s="30"/>
      <c r="R27" s="81" t="str">
        <f>VLOOKUP(C27,'Train Runs'!$A$13:$AE$9967,31,0)</f>
        <v>aws s3 cp s3://rtdc.mdm.uploadarchive.raw/RTDC4029/ "%USERPROFILE%\AppData\Local\Temp\OnboardLogs"\RTDC4029\2017-09-21 --exclude "*" --recursive --include "*20170921*" &amp; "%USERPROFILE%\Documents\GitHub\mrs-test-scripts\Headless Mode &amp; Sideloading\WalkAndUnGZ.bat" "%USERPROFILE%\AppData\Local\Temp\OnboardLogs"\RTDC4029\2017-09-21 &amp; aws s3 cp s3://rtdc.mdm.uploadarchive.raw/RTDC4029/ "%USERPROFILE%\AppData\Local\Temp\OnboardLogs"\RTDC4029\2017-09-22 --exclude "*" --recursive --include "*20170922*" &amp; "%USERPROFILE%\Documents\GitHub\mrs-test-scripts\Headless Mode &amp; Sideloading\WalkAndUnGZ.bat" "%USERPROFILE%\AppData\Local\Temp\OnboardLogs"\RTDC4029\2017-09-22</v>
      </c>
      <c r="S27" s="84" t="str">
        <f>VLOOKUP(C27,'Train Runs'!$A$13:$AE$9967,22,0)</f>
        <v>https://d0f6bd738d7f1b3e5a7ca70fe4ff75f0.us-east-1.aws.found.io/app/kibana#/discover/Steve-Slow-Train-Analysis-(2080s-and-2083s)?_g=(refreshInterval:(display:Off,pause:!f,section:0,value:0),time:(from:'2017-09-21T15:49:26-0600',mode:absolute,to:'2017-09-21T18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7" s="86" t="str">
        <f t="shared" si="1"/>
        <v>"C:\Program Files (x86)\AstroGrep\AstroGrep.exe" /e /r /s /spath="%USERPROFILE%\AppData\Local\Temp\OnboardLogs" /stypes="*4029*201709212*" /stext=" 23:.+((SYSTEM_STATE.+slice.+state.+changed )|(ment ac)|(multiple cpu faults)|(system.+state.+changed )|(\[timeout)|(PRM\|1\|D)|(kpr)|(kdp)|(train st.+moving)|(\|lc)|(penalty))"</v>
      </c>
      <c r="U27" s="9" t="str">
        <f t="shared" si="2"/>
        <v>4029</v>
      </c>
      <c r="V27" s="31">
        <f t="shared" si="3"/>
        <v>42999.983715277776</v>
      </c>
      <c r="W27" s="45" t="str">
        <f t="shared" si="4"/>
        <v>EC</v>
      </c>
      <c r="X27" s="22">
        <f t="shared" si="5"/>
        <v>200</v>
      </c>
      <c r="Y27" s="96" t="str">
        <f t="shared" si="6"/>
        <v>echo {"issue":{"subject":"","project_id":79,"tracker_id":40,"status_id":1,"priority_id":2,"assigned_to_id":338,"start_date":"2017-09-21","description":"","custom_fields":[{"id":1,"name":"Subdivision","value":"EC"},{"id":4,"name":"Milepost","value":"0.0001"},{"id":17,"name":"Train ID","value":"200-21"},{"id":16,"name":"Locomotive ID","value":"4029"},{"id":130,"name":"Impact","value":""},{"id":150,"name":"Time of Event (Mountain Time)","value":"17:36:33"},{"id":151,"name":"Denver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/c/Users/stu/AppData/Local/Temp/OnboardLogs/RTDC4029 --include="*4029*201709212*"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"%USERPROFILE%\AppData\Local\Temp\OnboardLogs"\RTDC4029\*4029*201709212* &gt;&gt; 2017-09-21-SliceDisagreementCheck.txt</v>
      </c>
      <c r="AE27" s="145" t="str">
        <f t="shared" si="9"/>
        <v>start /low /b %USERPROFILE%\Documents\GitHub\eaglep3\Utilities\DownloadLogsFromS3.py --loco 4029 --day 2017-09-21</v>
      </c>
      <c r="AF27" s="1"/>
    </row>
    <row r="28" spans="1:32" x14ac:dyDescent="0.25">
      <c r="A28" s="31">
        <v>43000.087546296294</v>
      </c>
      <c r="B28" s="30" t="s">
        <v>587</v>
      </c>
      <c r="C28" s="30" t="s">
        <v>617</v>
      </c>
      <c r="D28" s="30" t="s">
        <v>49</v>
      </c>
      <c r="E28" s="30" t="s">
        <v>180</v>
      </c>
      <c r="F28" s="42">
        <v>0</v>
      </c>
      <c r="G28" s="42">
        <v>30</v>
      </c>
      <c r="H28" s="42">
        <v>73</v>
      </c>
      <c r="I28" s="42">
        <v>44</v>
      </c>
      <c r="J28" s="30" t="s">
        <v>181</v>
      </c>
      <c r="K28" s="42">
        <v>1</v>
      </c>
      <c r="L28" s="131" t="s">
        <v>51</v>
      </c>
      <c r="M28" s="132">
        <f t="shared" si="0"/>
        <v>22.704000000000001</v>
      </c>
      <c r="N28" s="133" t="str">
        <f>VLOOKUP(C28,'Trips&amp;Operators'!$C$1:$G$99911,5,FALSE)</f>
        <v>PERKINS DARREN</v>
      </c>
      <c r="O28" s="176" t="s">
        <v>179</v>
      </c>
      <c r="P28" s="134"/>
      <c r="Q28" s="30"/>
      <c r="R28" s="81" t="str">
        <f>VLOOKUP(C28,'Train Runs'!$A$13:$AE$9967,31,0)</f>
        <v>aws s3 cp s3://rtdc.mdm.uploadarchive.raw/RTDC4009/ "%USERPROFILE%\AppData\Local\Temp\OnboardLogs"\RTDC4009\2017-09-22 --exclude "*" --recursive --include "*20170922*" &amp; "%USERPROFILE%\Documents\GitHub\mrs-test-scripts\Headless Mode &amp; Sideloading\WalkAndUnGZ.bat" "%USERPROFILE%\AppData\Local\Temp\OnboardLogs"\RTDC4009\2017-09-22 &amp; aws s3 cp s3://rtdc.mdm.uploadarchive.raw/RTDC4009/ "%USERPROFILE%\AppData\Local\Temp\OnboardLogs"\RTDC4009\2017-09-23 --exclude "*" --recursive --include "*20170923*" &amp; "%USERPROFILE%\Documents\GitHub\mrs-test-scripts\Headless Mode &amp; Sideloading\WalkAndUnGZ.bat" "%USERPROFILE%\AppData\Local\Temp\OnboardLogs"\RTDC4009\2017-09-23</v>
      </c>
      <c r="S28" s="84" t="str">
        <f>VLOOKUP(C28,'Train Runs'!$A$13:$AE$9967,22,0)</f>
        <v>https://d0f6bd738d7f1b3e5a7ca70fe4ff75f0.us-east-1.aws.found.io/app/kibana#/discover/Steve-Slow-Train-Analysis-(2080s-and-2083s)?_g=(refreshInterval:(display:Off,pause:!f,section:0,value:0),time:(from:'2017-09-22T00:19:38-0600',mode:absolute,to:'2017-09-22T03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8" s="86" t="str">
        <f t="shared" si="1"/>
        <v>"C:\Program Files (x86)\AstroGrep\AstroGrep.exe" /e /r /s /spath="%USERPROFILE%\AppData\Local\Temp\OnboardLogs" /stypes="*4009*201709220*" /stext=" 08:.+((SYSTEM_STATE.+slice.+state.+changed )|(ment ac)|(multiple cpu faults)|(system.+state.+changed )|(\[timeout)|(PRM\|1\|D)|(kpr)|(kdp)|(train st.+moving)|(\|lc)|(penalty))"</v>
      </c>
      <c r="U28" s="9" t="str">
        <f t="shared" si="2"/>
        <v>4009</v>
      </c>
      <c r="V28" s="31">
        <f t="shared" si="3"/>
        <v>43000.337546296294</v>
      </c>
      <c r="W28" s="45" t="str">
        <f t="shared" si="4"/>
        <v>EC</v>
      </c>
      <c r="X28" s="22">
        <f t="shared" si="5"/>
        <v>244</v>
      </c>
      <c r="Y28" s="96" t="str">
        <f t="shared" si="6"/>
        <v>echo {"issue":{"subject":"","project_id":79,"tracker_id":40,"status_id":1,"priority_id":2,"assigned_to_id":338,"start_date":"2017-09-22","description":"","custom_fields":[{"id":1,"name":"Subdivision","value":"EC"},{"id":4,"name":"Milepost","value":"0.0001"},{"id":17,"name":"Train ID","value":"244-21"},{"id":16,"name":"Locomotive ID","value":"4009"},{"id":130,"name":"Impact","value":""},{"id":150,"name":"Time of Event (Mountain Time)","value":"02:06:04"},{"id":151,"name":"Denver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/c/Users/stu/AppData/Local/Temp/OnboardLogs/RTDC4009 --include="*4009*201709220*"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"%USERPROFILE%\AppData\Local\Temp\OnboardLogs"\RTDC4009\*4009*201709220* &gt;&gt; 2017-09-21-SliceDisagreementCheck.txt</v>
      </c>
      <c r="AE28" s="145" t="str">
        <f t="shared" si="9"/>
        <v>start /low /b %USERPROFILE%\Documents\GitHub\eaglep3\Utilities\DownloadLogsFromS3.py --loco 4009 --day 2017-09-22</v>
      </c>
      <c r="AF28" s="1"/>
    </row>
    <row r="29" spans="1:32" x14ac:dyDescent="0.25">
      <c r="A29" s="31">
        <v>42999.650671296295</v>
      </c>
      <c r="B29" s="30" t="s">
        <v>608</v>
      </c>
      <c r="C29" s="30" t="s">
        <v>609</v>
      </c>
      <c r="D29" s="30" t="s">
        <v>49</v>
      </c>
      <c r="E29" s="30" t="s">
        <v>180</v>
      </c>
      <c r="F29" s="42">
        <v>0</v>
      </c>
      <c r="G29" s="42">
        <v>20</v>
      </c>
      <c r="H29" s="42">
        <v>886</v>
      </c>
      <c r="I29" s="42">
        <v>871</v>
      </c>
      <c r="J29" s="30" t="s">
        <v>181</v>
      </c>
      <c r="K29" s="42">
        <v>839</v>
      </c>
      <c r="L29" s="131" t="s">
        <v>51</v>
      </c>
      <c r="M29" s="132">
        <f t="shared" si="0"/>
        <v>16.896000000000001</v>
      </c>
      <c r="N29" s="133" t="str">
        <f>VLOOKUP(C29,'Trips&amp;Operators'!$C$1:$G$99911,5,FALSE)</f>
        <v>LEVERE CRAIG</v>
      </c>
      <c r="O29" s="176" t="s">
        <v>179</v>
      </c>
      <c r="P29" s="134"/>
      <c r="Q29" s="30"/>
      <c r="R29" s="81" t="str">
        <f>VLOOKUP(C29,'Train Runs'!$A$13:$AE$9967,31,0)</f>
        <v>aws s3 cp s3://rtdc.mdm.uploadarchive.raw/RTDC4051/ "%USERPROFILE%\AppData\Local\Temp\OnboardLogs"\RTDC4051\2017-09-21 --exclude "*" --recursive --include "*20170921*" &amp; "%USERPROFILE%\Documents\GitHub\mrs-test-scripts\Headless Mode &amp; Sideloading\WalkAndUnGZ.bat" "%USERPROFILE%\AppData\Local\Temp\OnboardLogs"\RTDC4051\2017-09-21 &amp; aws s3 cp s3://rtdc.mdm.uploadarchive.raw/RTDC4051/ "%USERPROFILE%\AppData\Local\Temp\OnboardLogs"\RTDC4051\2017-09-22 --exclude "*" --recursive --include "*20170922*" &amp; "%USERPROFILE%\Documents\GitHub\mrs-test-scripts\Headless Mode &amp; Sideloading\WalkAndUnGZ.bat" "%USERPROFILE%\AppData\Local\Temp\OnboardLogs"\RTDC4051\2017-09-22</v>
      </c>
      <c r="S29" s="84" t="str">
        <f>VLOOKUP(C29,'Train Runs'!$A$13:$AE$9967,22,0)</f>
        <v>https://d0f6bd738d7f1b3e5a7ca70fe4ff75f0.us-east-1.aws.found.io/app/kibana#/discover/Steve-Slow-Train-Analysis-(2080s-and-2083s)?_g=(refreshInterval:(display:Off,pause:!f,section:0,value:0),time:(from:'2017-09-21T13:48:58-0600',mode:absolute,to:'2017-09-21T16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9" s="86" t="str">
        <f t="shared" si="1"/>
        <v>"C:\Program Files (x86)\AstroGrep\AstroGrep.exe" /e /r /s /spath="%USERPROFILE%\AppData\Local\Temp\OnboardLogs" /stypes="*4051*201709212*" /stext=" 21:.+((SYSTEM_STATE.+slice.+state.+changed )|(ment ac)|(multiple cpu faults)|(system.+state.+changed )|(\[timeout)|(PRM\|1\|D)|(kpr)|(kdp)|(train st.+moving)|(\|lc)|(penalty))"</v>
      </c>
      <c r="U29" s="9" t="str">
        <f t="shared" si="2"/>
        <v>4051</v>
      </c>
      <c r="V29" s="31">
        <f t="shared" si="3"/>
        <v>42999.900671296295</v>
      </c>
      <c r="W29" s="45" t="str">
        <f t="shared" si="4"/>
        <v>EC</v>
      </c>
      <c r="X29" s="22">
        <f t="shared" si="5"/>
        <v>184</v>
      </c>
      <c r="Y29" s="96" t="str">
        <f t="shared" si="6"/>
        <v>echo {"issue":{"subject":"","project_id":79,"tracker_id":40,"status_id":1,"priority_id":2,"assigned_to_id":338,"start_date":"2017-09-21","description":"","custom_fields":[{"id":1,"name":"Subdivision","value":"EC"},{"id":4,"name":"Milepost","value":"0.0839"},{"id":17,"name":"Train ID","value":"184-21"},{"id":16,"name":"Locomotive ID","value":"4051"},{"id":130,"name":"Impact","value":""},{"id":150,"name":"Time of Event (Mountain Time)","value":"15:36:58"},{"id":151,"name":"Denver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/c/Users/stu/AppData/Local/Temp/OnboardLogs/RTDC4051 --include="*4051*201709212*"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"%USERPROFILE%\AppData\Local\Temp\OnboardLogs"\RTDC4051\*4051*201709212* &gt;&gt; 2017-09-21-SliceDisagreementCheck.txt</v>
      </c>
      <c r="AE29" s="145" t="str">
        <f t="shared" si="9"/>
        <v>start /low /b %USERPROFILE%\Documents\GitHub\eaglep3\Utilities\DownloadLogsFromS3.py --loco 4051 --day 2017-09-21</v>
      </c>
      <c r="AF29" s="1"/>
    </row>
    <row r="30" spans="1:32" x14ac:dyDescent="0.25">
      <c r="A30" s="31">
        <v>42999.452881944446</v>
      </c>
      <c r="B30" s="30" t="s">
        <v>437</v>
      </c>
      <c r="C30" s="30" t="s">
        <v>599</v>
      </c>
      <c r="D30" s="30" t="s">
        <v>49</v>
      </c>
      <c r="E30" s="30" t="s">
        <v>180</v>
      </c>
      <c r="F30" s="42">
        <v>0</v>
      </c>
      <c r="G30" s="42">
        <v>143</v>
      </c>
      <c r="H30" s="42">
        <v>232841</v>
      </c>
      <c r="I30" s="42">
        <v>233015</v>
      </c>
      <c r="J30" s="30" t="s">
        <v>181</v>
      </c>
      <c r="K30" s="42">
        <v>233491</v>
      </c>
      <c r="L30" s="131" t="s">
        <v>50</v>
      </c>
      <c r="M30" s="132">
        <f t="shared" si="0"/>
        <v>251.328</v>
      </c>
      <c r="N30" s="133" t="str">
        <f>VLOOKUP(C30,'Trips&amp;Operators'!$C$1:$G$99911,5,FALSE)</f>
        <v>DAVIS WENDY</v>
      </c>
      <c r="O30" s="176" t="s">
        <v>179</v>
      </c>
      <c r="P30" s="134"/>
      <c r="Q30" s="30"/>
      <c r="R30" s="81" t="str">
        <f>VLOOKUP(C30,'Train Runs'!$A$13:$AE$9967,31,0)</f>
        <v>aws s3 cp s3://rtdc.mdm.uploadarchive.raw/RTDC4056/ "%USERPROFILE%\AppData\Local\Temp\OnboardLogs"\RTDC4056\2017-09-21 --exclude "*" --recursive --include "*20170921*" &amp; "%USERPROFILE%\Documents\GitHub\mrs-test-scripts\Headless Mode &amp; Sideloading\WalkAndUnGZ.bat" "%USERPROFILE%\AppData\Local\Temp\OnboardLogs"\RTDC4056\2017-09-21 &amp; aws s3 cp s3://rtdc.mdm.uploadarchive.raw/RTDC4056/ "%USERPROFILE%\AppData\Local\Temp\OnboardLogs"\RTDC4056\2017-09-22 --exclude "*" --recursive --include "*20170922*" &amp; "%USERPROFILE%\Documents\GitHub\mrs-test-scripts\Headless Mode &amp; Sideloading\WalkAndUnGZ.bat" "%USERPROFILE%\AppData\Local\Temp\OnboardLogs"\RTDC4056\2017-09-22</v>
      </c>
      <c r="S30" s="84" t="str">
        <f>VLOOKUP(C30,'Train Runs'!$A$13:$AE$9967,22,0)</f>
        <v>https://d0f6bd738d7f1b3e5a7ca70fe4ff75f0.us-east-1.aws.found.io/app/kibana#/discover/Steve-Slow-Train-Analysis-(2080s-and-2083s)?_g=(refreshInterval:(display:Off,pause:!f,section:0,value:0),time:(from:'2017-09-21T09:11:20-0600',mode:absolute,to:'2017-09-21T11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30" s="86" t="str">
        <f t="shared" si="1"/>
        <v>"C:\Program Files (x86)\AstroGrep\AstroGrep.exe" /e /r /s /spath="%USERPROFILE%\AppData\Local\Temp\OnboardLogs" /stypes="*4056*201709211*" /stext=" 16:.+((SYSTEM_STATE.+slice.+state.+changed )|(ment ac)|(multiple cpu faults)|(system.+state.+changed )|(\[timeout)|(PRM\|1\|D)|(kpr)|(kdp)|(train st.+moving)|(\|lc)|(penalty))"</v>
      </c>
      <c r="U30" s="9" t="str">
        <f t="shared" si="2"/>
        <v>4056</v>
      </c>
      <c r="V30" s="31">
        <f t="shared" si="3"/>
        <v>42999.702881944446</v>
      </c>
      <c r="W30" s="45" t="str">
        <f t="shared" si="4"/>
        <v>EC</v>
      </c>
      <c r="X30" s="22">
        <f t="shared" si="5"/>
        <v>153</v>
      </c>
      <c r="Y30" s="96" t="str">
        <f t="shared" si="6"/>
        <v>echo {"issue":{"subject":"","project_id":79,"tracker_id":40,"status_id":1,"priority_id":2,"assigned_to_id":338,"start_date":"2017-09-21","description":"","custom_fields":[{"id":1,"name":"Subdivision","value":"EC"},{"id":4,"name":"Milepost","value":"23.3491"},{"id":17,"name":"Train ID","value":"153-21"},{"id":16,"name":"Locomotive ID","value":"4056"},{"id":130,"name":"Impact","value":""},{"id":150,"name":"Time of Event (Mountain Time)","value":"10:52:09"},{"id":151,"name":"Denver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/c/Users/stu/AppData/Local/Temp/OnboardLogs/RTDC4056 --include="*4056*201709211*"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"%USERPROFILE%\AppData\Local\Temp\OnboardLogs"\RTDC4056\*4056*201709211* &gt;&gt; 2017-09-21-SliceDisagreementCheck.txt</v>
      </c>
      <c r="AE30" s="145" t="str">
        <f t="shared" si="9"/>
        <v>start /low /b %USERPROFILE%\Documents\GitHub\eaglep3\Utilities\DownloadLogsFromS3.py --loco 4056 --day 2017-09-21</v>
      </c>
      <c r="AF30" s="1"/>
    </row>
    <row r="31" spans="1:32" x14ac:dyDescent="0.25">
      <c r="A31" s="31">
        <v>42999.723773148151</v>
      </c>
      <c r="B31" s="30" t="s">
        <v>455</v>
      </c>
      <c r="C31" s="30" t="s">
        <v>612</v>
      </c>
      <c r="D31" s="30" t="s">
        <v>49</v>
      </c>
      <c r="E31" s="30" t="s">
        <v>180</v>
      </c>
      <c r="F31" s="42">
        <v>0</v>
      </c>
      <c r="G31" s="42">
        <v>42</v>
      </c>
      <c r="H31" s="42">
        <v>233315</v>
      </c>
      <c r="I31" s="42">
        <v>233331</v>
      </c>
      <c r="J31" s="30" t="s">
        <v>181</v>
      </c>
      <c r="K31" s="42">
        <v>233491</v>
      </c>
      <c r="L31" s="131" t="s">
        <v>50</v>
      </c>
      <c r="M31" s="132">
        <f t="shared" si="0"/>
        <v>84.48</v>
      </c>
      <c r="N31" s="133" t="str">
        <f>VLOOKUP(C31,'Trips&amp;Operators'!$C$1:$G$99911,5,FALSE)</f>
        <v>ROBINSON KADDIBA</v>
      </c>
      <c r="O31" s="176" t="s">
        <v>179</v>
      </c>
      <c r="P31" s="134"/>
      <c r="Q31" s="30"/>
      <c r="R31" s="81" t="str">
        <f>VLOOKUP(C31,'Train Runs'!$A$13:$AE$9967,31,0)</f>
        <v>aws s3 cp s3://rtdc.mdm.uploadarchive.raw/RTDC4010/ "%USERPROFILE%\AppData\Local\Temp\OnboardLogs"\RTDC4010\2017-09-21 --exclude "*" --recursive --include "*20170921*" &amp; "%USERPROFILE%\Documents\GitHub\mrs-test-scripts\Headless Mode &amp; Sideloading\WalkAndUnGZ.bat" "%USERPROFILE%\AppData\Local\Temp\OnboardLogs"\RTDC4010\2017-09-21 &amp; aws s3 cp s3://rtdc.mdm.uploadarchive.raw/RTDC4010/ "%USERPROFILE%\AppData\Local\Temp\OnboardLogs"\RTDC4010\2017-09-22 --exclude "*" --recursive --include "*20170922*" &amp; "%USERPROFILE%\Documents\GitHub\mrs-test-scripts\Headless Mode &amp; Sideloading\WalkAndUnGZ.bat" "%USERPROFILE%\AppData\Local\Temp\OnboardLogs"\RTDC4010\2017-09-22</v>
      </c>
      <c r="S31" s="84" t="str">
        <f>VLOOKUP(C31,'Train Runs'!$A$13:$AE$9967,22,0)</f>
        <v>https://d0f6bd738d7f1b3e5a7ca70fe4ff75f0.us-east-1.aws.found.io/app/kibana#/discover/Steve-Slow-Train-Analysis-(2080s-and-2083s)?_g=(refreshInterval:(display:Off,pause:!f,section:0,value:0),time:(from:'2017-09-21T15:37:52-0600',mode:absolute,to:'2017-09-21T18:22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1" s="86" t="str">
        <f t="shared" si="1"/>
        <v>"C:\Program Files (x86)\AstroGrep\AstroGrep.exe" /e /r /s /spath="%USERPROFILE%\AppData\Local\Temp\OnboardLogs" /stypes="*4010*201709212*" /stext=" 23:.+((SYSTEM_STATE.+slice.+state.+changed )|(ment ac)|(multiple cpu faults)|(system.+state.+changed )|(\[timeout)|(PRM\|1\|D)|(kpr)|(kdp)|(train st.+moving)|(\|lc)|(penalty))"</v>
      </c>
      <c r="U31" s="9" t="str">
        <f t="shared" si="2"/>
        <v>4010</v>
      </c>
      <c r="V31" s="31">
        <f t="shared" si="3"/>
        <v>42999.973773148151</v>
      </c>
      <c r="W31" s="45" t="str">
        <f t="shared" si="4"/>
        <v>EC</v>
      </c>
      <c r="X31" s="22">
        <f t="shared" si="5"/>
        <v>205</v>
      </c>
      <c r="Y31" s="96" t="str">
        <f t="shared" si="6"/>
        <v>echo {"issue":{"subject":"","project_id":79,"tracker_id":40,"status_id":1,"priority_id":2,"assigned_to_id":338,"start_date":"2017-09-21","description":"","custom_fields":[{"id":1,"name":"Subdivision","value":"EC"},{"id":4,"name":"Milepost","value":"23.3491"},{"id":17,"name":"Train ID","value":"205-21"},{"id":16,"name":"Locomotive ID","value":"4010"},{"id":130,"name":"Impact","value":""},{"id":150,"name":"Time of Event (Mountain Time)","value":"17:22:14"},{"id":151,"name":"Denver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/c/Users/stu/AppData/Local/Temp/OnboardLogs/RTDC4010 --include="*4010*201709212*"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"%USERPROFILE%\AppData\Local\Temp\OnboardLogs"\RTDC4010\*4010*201709212* &gt;&gt; 2017-09-21-SliceDisagreementCheck.txt</v>
      </c>
      <c r="AE31" s="145" t="str">
        <f t="shared" si="9"/>
        <v>start /low /b %USERPROFILE%\Documents\GitHub\eaglep3\Utilities\DownloadLogsFromS3.py --loco 4010 --day 2017-09-21</v>
      </c>
      <c r="AF31" s="1"/>
    </row>
    <row r="32" spans="1:32" x14ac:dyDescent="0.25">
      <c r="A32" s="31">
        <v>42999.80064814815</v>
      </c>
      <c r="B32" s="30" t="s">
        <v>591</v>
      </c>
      <c r="C32" s="30" t="s">
        <v>614</v>
      </c>
      <c r="D32" s="30" t="s">
        <v>95</v>
      </c>
      <c r="E32" s="30" t="s">
        <v>186</v>
      </c>
      <c r="F32" s="42">
        <v>180</v>
      </c>
      <c r="G32" s="42">
        <v>230</v>
      </c>
      <c r="H32" s="42">
        <v>10977</v>
      </c>
      <c r="I32" s="42">
        <v>11591</v>
      </c>
      <c r="J32" s="30" t="s">
        <v>187</v>
      </c>
      <c r="K32" s="42">
        <v>10714</v>
      </c>
      <c r="L32" s="131" t="s">
        <v>50</v>
      </c>
      <c r="M32" s="132">
        <f t="shared" si="0"/>
        <v>-463.05599999999998</v>
      </c>
      <c r="N32" s="133" t="str">
        <f>VLOOKUP(C32,'Trips&amp;Operators'!$C$1:$G$99911,5,FALSE)</f>
        <v>STAMBAUGH JAMES</v>
      </c>
      <c r="O32" s="176" t="s">
        <v>179</v>
      </c>
      <c r="P32" s="134" t="s">
        <v>368</v>
      </c>
      <c r="Q32" s="30"/>
      <c r="R32" s="81" t="str">
        <f>VLOOKUP(C32,'Train Runs'!$A$13:$AE$9967,31,0)</f>
        <v>aws s3 cp s3://rtdc.mdm.uploadarchive.raw/RTDC4032/ "%USERPROFILE%\AppData\Local\Temp\OnboardLogs"\RTDC4032\2017-09-21 --exclude "*" --recursive --include "*20170921*" &amp; "%USERPROFILE%\Documents\GitHub\mrs-test-scripts\Headless Mode &amp; Sideloading\WalkAndUnGZ.bat" "%USERPROFILE%\AppData\Local\Temp\OnboardLogs"\RTDC4032\2017-09-21 &amp; aws s3 cp s3://rtdc.mdm.uploadarchive.raw/RTDC4032/ "%USERPROFILE%\AppData\Local\Temp\OnboardLogs"\RTDC4032\2017-09-22 --exclude "*" --recursive --include "*20170922*" &amp; "%USERPROFILE%\Documents\GitHub\mrs-test-scripts\Headless Mode &amp; Sideloading\WalkAndUnGZ.bat" "%USERPROFILE%\AppData\Local\Temp\OnboardLogs"\RTDC4032\2017-09-22</v>
      </c>
      <c r="S32" s="84" t="str">
        <f>VLOOKUP(C32,'Train Runs'!$A$13:$AE$9967,22,0)</f>
        <v>https://d0f6bd738d7f1b3e5a7ca70fe4ff75f0.us-east-1.aws.found.io/app/kibana#/discover/Steve-Slow-Train-Analysis-(2080s-and-2083s)?_g=(refreshInterval:(display:Off,pause:!f,section:0,value:0),time:(from:'2017-09-21T18:06:03-0600',mode:absolute,to:'2017-09-21T20:23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2" s="86" t="str">
        <f t="shared" si="1"/>
        <v>"C:\Program Files (x86)\AstroGrep\AstroGrep.exe" /e /r /s /spath="%USERPROFILE%\AppData\Local\Temp\OnboardLogs" /stypes="*4032*201709220*" /stext=" 01:.+((SYSTEM_STATE.+slice.+state.+changed )|(ment ac)|(multiple cpu faults)|(system.+state.+changed )|(\[timeout)|(PRM\|1\|D)|(kpr)|(kdp)|(train st.+moving)|(\|lc)|(penalty))"</v>
      </c>
      <c r="U32" s="9" t="str">
        <f t="shared" si="2"/>
        <v>4032</v>
      </c>
      <c r="V32" s="31">
        <f t="shared" si="3"/>
        <v>43000.05064814815</v>
      </c>
      <c r="W32" s="45" t="str">
        <f t="shared" si="4"/>
        <v>NW</v>
      </c>
      <c r="X32" s="22">
        <f t="shared" si="5"/>
        <v>841</v>
      </c>
      <c r="Y32" s="96" t="str">
        <f t="shared" si="6"/>
        <v>echo {"issue":{"subject":"Early Arrival","project_id":79,"tracker_id":40,"status_id":1,"priority_id":2,"assigned_to_id":338,"start_date":"2017-09-21","description":"","custom_fields":[{"id":1,"name":"Subdivision","value":"NW"},{"id":4,"name":"Milepost","value":"1.0714"},{"id":17,"name":"Train ID","value":"841-21"},{"id":16,"name":"Locomotive ID","value":"4032"},{"id":130,"name":"Impact","value":""},{"id":150,"name":"Time of Event (Mountain Time)","value":"19:12:56"},{"id":151,"name":"Denver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/c/Users/stu/AppData/Local/Temp/OnboardLogs/RTDC4032 --include="*4032*201709220*"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"%USERPROFILE%\AppData\Local\Temp\OnboardLogs"\RTDC4032\*4032*201709220* &gt;&gt; 2017-09-21-SliceDisagreementCheck.txt</v>
      </c>
      <c r="AE32" s="145" t="str">
        <f t="shared" si="9"/>
        <v>start /low /b %USERPROFILE%\Documents\GitHub\eaglep3\Utilities\DownloadLogsFromS3.py --loco 4032 --day 2017-09-22</v>
      </c>
      <c r="AF32" s="1"/>
    </row>
    <row r="33" spans="1:32" x14ac:dyDescent="0.25">
      <c r="A33" s="31">
        <v>42999.343402777777</v>
      </c>
      <c r="B33" s="30" t="s">
        <v>591</v>
      </c>
      <c r="C33" s="30" t="s">
        <v>593</v>
      </c>
      <c r="D33" s="30" t="s">
        <v>49</v>
      </c>
      <c r="E33" s="30" t="s">
        <v>194</v>
      </c>
      <c r="F33" s="42">
        <v>300</v>
      </c>
      <c r="G33" s="42">
        <v>353</v>
      </c>
      <c r="H33" s="42">
        <v>20977</v>
      </c>
      <c r="I33" s="42">
        <v>21894</v>
      </c>
      <c r="J33" s="30" t="s">
        <v>195</v>
      </c>
      <c r="K33" s="42">
        <v>21299</v>
      </c>
      <c r="L33" s="131" t="s">
        <v>50</v>
      </c>
      <c r="M33" s="132">
        <f t="shared" si="0"/>
        <v>-314.16000000000003</v>
      </c>
      <c r="N33" s="133" t="str">
        <f>VLOOKUP(C33,'Trips&amp;Operators'!$C$1:$G$99911,5,FALSE)</f>
        <v>FORTUNATO FRANK</v>
      </c>
      <c r="O33" s="176" t="s">
        <v>179</v>
      </c>
      <c r="P33" s="134"/>
      <c r="Q33" s="30"/>
      <c r="R33" s="81" t="str">
        <f>VLOOKUP(C33,'Train Runs'!$A$13:$AE$9967,31,0)</f>
        <v>aws s3 cp s3://rtdc.mdm.uploadarchive.raw/RTDC4032/ "%USERPROFILE%\AppData\Local\Temp\OnboardLogs"\RTDC4032\2017-09-21 --exclude "*" --recursive --include "*20170921*" &amp; "%USERPROFILE%\Documents\GitHub\mrs-test-scripts\Headless Mode &amp; Sideloading\WalkAndUnGZ.bat" "%USERPROFILE%\AppData\Local\Temp\OnboardLogs"\RTDC4032\2017-09-21 &amp; aws s3 cp s3://rtdc.mdm.uploadarchive.raw/RTDC4032/ "%USERPROFILE%\AppData\Local\Temp\OnboardLogs"\RTDC4032\2017-09-22 --exclude "*" --recursive --include "*20170922*" &amp; "%USERPROFILE%\Documents\GitHub\mrs-test-scripts\Headless Mode &amp; Sideloading\WalkAndUnGZ.bat" "%USERPROFILE%\AppData\Local\Temp\OnboardLogs"\RTDC4032\2017-09-22</v>
      </c>
      <c r="S33" s="84" t="str">
        <f>VLOOKUP(C33,'Train Runs'!$A$13:$AE$9967,22,0)</f>
        <v>https://d0f6bd738d7f1b3e5a7ca70fe4ff75f0.us-east-1.aws.found.io/app/kibana#/discover/Steve-Slow-Train-Analysis-(2080s-and-2083s)?_g=(refreshInterval:(display:Off,pause:!f,section:0,value:0),time:(from:'2017-09-21T06:56:45-0600',mode:absolute,to:'2017-09-21T09:25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3" s="86" t="str">
        <f t="shared" si="1"/>
        <v>"C:\Program Files (x86)\AstroGrep\AstroGrep.exe" /e /r /s /spath="%USERPROFILE%\AppData\Local\Temp\OnboardLogs" /stypes="*4032*201709211*" /stext=" 14:.+((SYSTEM_STATE.+slice.+state.+changed )|(ment ac)|(multiple cpu faults)|(system.+state.+changed )|(\[timeout)|(PRM\|1\|D)|(kpr)|(kdp)|(train st.+moving)|(\|lc)|(penalty))"</v>
      </c>
      <c r="U33" s="9" t="str">
        <f t="shared" si="2"/>
        <v>4032</v>
      </c>
      <c r="V33" s="31">
        <f t="shared" si="3"/>
        <v>42999.593402777777</v>
      </c>
      <c r="W33" s="45" t="str">
        <f t="shared" si="4"/>
        <v>NW</v>
      </c>
      <c r="X33" s="22">
        <f t="shared" si="5"/>
        <v>811</v>
      </c>
      <c r="Y33" s="96" t="str">
        <f t="shared" si="6"/>
        <v>echo {"issue":{"subject":"","project_id":79,"tracker_id":40,"status_id":1,"priority_id":2,"assigned_to_id":338,"start_date":"2017-09-21","description":"","custom_fields":[{"id":1,"name":"Subdivision","value":"NW"},{"id":4,"name":"Milepost","value":"2.1299"},{"id":17,"name":"Train ID","value":"811-21"},{"id":16,"name":"Locomotive ID","value":"4032"},{"id":130,"name":"Impact","value":""},{"id":150,"name":"Time of Event (Mountain Time)","value":"08:14:30"},{"id":151,"name":"Denver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/c/Users/stu/AppData/Local/Temp/OnboardLogs/RTDC4032 --include="*4032*201709211*"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"%USERPROFILE%\AppData\Local\Temp\OnboardLogs"\RTDC4032\*4032*201709211* &gt;&gt; 2017-09-21-SliceDisagreementCheck.txt</v>
      </c>
      <c r="AE33" s="145" t="str">
        <f t="shared" si="9"/>
        <v>start /low /b %USERPROFILE%\Documents\GitHub\eaglep3\Utilities\DownloadLogsFromS3.py --loco 4032 --day 2017-09-21</v>
      </c>
      <c r="AF33" s="1"/>
    </row>
    <row r="34" spans="1:32" x14ac:dyDescent="0.25">
      <c r="A34" s="31">
        <v>42999.575636574074</v>
      </c>
      <c r="B34" s="30" t="s">
        <v>583</v>
      </c>
      <c r="C34" s="30" t="s">
        <v>605</v>
      </c>
      <c r="D34" s="30" t="s">
        <v>95</v>
      </c>
      <c r="E34" s="30" t="s">
        <v>194</v>
      </c>
      <c r="F34" s="42">
        <v>300</v>
      </c>
      <c r="G34" s="42">
        <v>354</v>
      </c>
      <c r="H34" s="42">
        <v>20956</v>
      </c>
      <c r="I34" s="42">
        <v>20059</v>
      </c>
      <c r="J34" s="30" t="s">
        <v>195</v>
      </c>
      <c r="K34" s="42">
        <v>23561</v>
      </c>
      <c r="L34" s="131" t="s">
        <v>51</v>
      </c>
      <c r="M34" s="132">
        <f t="shared" si="0"/>
        <v>-1849.056</v>
      </c>
      <c r="N34" s="133" t="str">
        <f>VLOOKUP(C34,'Trips&amp;Operators'!$C$1:$G$99911,5,FALSE)</f>
        <v>STAMBAUGH JAMES</v>
      </c>
      <c r="O34" s="176" t="s">
        <v>179</v>
      </c>
      <c r="P34" s="134"/>
      <c r="Q34" s="30"/>
      <c r="R34" s="81" t="str">
        <f>VLOOKUP(C34,'Train Runs'!$A$13:$AE$9967,31,0)</f>
        <v>aws s3 cp s3://rtdc.mdm.uploadarchive.raw/RTDC4031/ "%USERPROFILE%\AppData\Local\Temp\OnboardLogs"\RTDC4031\2017-09-21 --exclude "*" --recursive --include "*20170921*" &amp; "%USERPROFILE%\Documents\GitHub\mrs-test-scripts\Headless Mode &amp; Sideloading\WalkAndUnGZ.bat" "%USERPROFILE%\AppData\Local\Temp\OnboardLogs"\RTDC4031\2017-09-21 &amp; aws s3 cp s3://rtdc.mdm.uploadarchive.raw/RTDC4031/ "%USERPROFILE%\AppData\Local\Temp\OnboardLogs"\RTDC4031\2017-09-22 --exclude "*" --recursive --include "*20170922*" &amp; "%USERPROFILE%\Documents\GitHub\mrs-test-scripts\Headless Mode &amp; Sideloading\WalkAndUnGZ.bat" "%USERPROFILE%\AppData\Local\Temp\OnboardLogs"\RTDC4031\2017-09-22</v>
      </c>
      <c r="S34" s="84" t="str">
        <f>VLOOKUP(C34,'Train Runs'!$A$13:$AE$9967,22,0)</f>
        <v>https://d0f6bd738d7f1b3e5a7ca70fe4ff75f0.us-east-1.aws.found.io/app/kibana#/discover/Steve-Slow-Train-Analysis-(2080s-and-2083s)?_g=(refreshInterval:(display:Off,pause:!f,section:0,value:0),time:(from:'2017-09-21T12:24:14-0600',mode:absolute,to:'2017-09-21T14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4" s="86" t="str">
        <f t="shared" si="1"/>
        <v>"C:\Program Files (x86)\AstroGrep\AstroGrep.exe" /e /r /s /spath="%USERPROFILE%\AppData\Local\Temp\OnboardLogs" /stypes="*4031*201709211*" /stext=" 19:.+((SYSTEM_STATE.+slice.+state.+changed )|(ment ac)|(multiple cpu faults)|(system.+state.+changed )|(\[timeout)|(PRM\|1\|D)|(kpr)|(kdp)|(train st.+moving)|(\|lc)|(penalty))"</v>
      </c>
      <c r="U34" s="9" t="str">
        <f t="shared" si="2"/>
        <v>4031</v>
      </c>
      <c r="V34" s="31">
        <f t="shared" si="3"/>
        <v>42999.825636574074</v>
      </c>
      <c r="W34" s="45" t="str">
        <f t="shared" si="4"/>
        <v>NW</v>
      </c>
      <c r="X34" s="22">
        <f t="shared" si="5"/>
        <v>822</v>
      </c>
      <c r="Y34" s="96" t="str">
        <f t="shared" si="6"/>
        <v>echo {"issue":{"subject":"","project_id":79,"tracker_id":40,"status_id":1,"priority_id":2,"assigned_to_id":338,"start_date":"2017-09-21","description":"","custom_fields":[{"id":1,"name":"Subdivision","value":"NW"},{"id":4,"name":"Milepost","value":"2.3561"},{"id":17,"name":"Train ID","value":"822-21"},{"id":16,"name":"Locomotive ID","value":"4031"},{"id":130,"name":"Impact","value":""},{"id":150,"name":"Time of Event (Mountain Time)","value":"13:48:55"},{"id":151,"name":"Denver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/c/Users/stu/AppData/Local/Temp/OnboardLogs/RTDC4031 --include="*4031*201709211*"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"%USERPROFILE%\AppData\Local\Temp\OnboardLogs"\RTDC4031\*4031*201709211* &gt;&gt; 2017-09-21-SliceDisagreementCheck.txt</v>
      </c>
      <c r="AE34" s="145" t="str">
        <f t="shared" si="9"/>
        <v>start /low /b %USERPROFILE%\Documents\GitHub\eaglep3\Utilities\DownloadLogsFromS3.py --loco 4031 --day 2017-09-21</v>
      </c>
      <c r="AF34" s="1"/>
    </row>
    <row r="35" spans="1:32" x14ac:dyDescent="0.25">
      <c r="A35" s="31">
        <v>42999.700381944444</v>
      </c>
      <c r="B35" s="30" t="s">
        <v>583</v>
      </c>
      <c r="C35" s="30" t="s">
        <v>611</v>
      </c>
      <c r="D35" s="30" t="s">
        <v>49</v>
      </c>
      <c r="E35" s="30" t="s">
        <v>194</v>
      </c>
      <c r="F35" s="42">
        <v>300</v>
      </c>
      <c r="G35" s="42">
        <v>519</v>
      </c>
      <c r="H35" s="42">
        <v>25425</v>
      </c>
      <c r="I35" s="42">
        <v>23834</v>
      </c>
      <c r="J35" s="30" t="s">
        <v>195</v>
      </c>
      <c r="K35" s="42">
        <v>23561</v>
      </c>
      <c r="L35" s="131" t="s">
        <v>51</v>
      </c>
      <c r="M35" s="132">
        <f t="shared" si="0"/>
        <v>144.14400000000001</v>
      </c>
      <c r="N35" s="133" t="str">
        <f>VLOOKUP(C35,'Trips&amp;Operators'!$C$1:$G$99911,5,FALSE)</f>
        <v>STAMBAUGH JAMES</v>
      </c>
      <c r="O35" s="176" t="s">
        <v>179</v>
      </c>
      <c r="P35" s="134"/>
      <c r="Q35" s="30"/>
      <c r="R35" s="81" t="str">
        <f>VLOOKUP(C35,'Train Runs'!$A$13:$AE$9967,31,0)</f>
        <v>aws s3 cp s3://rtdc.mdm.uploadarchive.raw/RTDC4031/ "%USERPROFILE%\AppData\Local\Temp\OnboardLogs"\RTDC4031\2017-09-21 --exclude "*" --recursive --include "*20170921*" &amp; "%USERPROFILE%\Documents\GitHub\mrs-test-scripts\Headless Mode &amp; Sideloading\WalkAndUnGZ.bat" "%USERPROFILE%\AppData\Local\Temp\OnboardLogs"\RTDC4031\2017-09-21 &amp; aws s3 cp s3://rtdc.mdm.uploadarchive.raw/RTDC4031/ "%USERPROFILE%\AppData\Local\Temp\OnboardLogs"\RTDC4031\2017-09-22 --exclude "*" --recursive --include "*20170922*" &amp; "%USERPROFILE%\Documents\GitHub\mrs-test-scripts\Headless Mode &amp; Sideloading\WalkAndUnGZ.bat" "%USERPROFILE%\AppData\Local\Temp\OnboardLogs"\RTDC4031\2017-09-22</v>
      </c>
      <c r="S35" s="84" t="str">
        <f>VLOOKUP(C35,'Train Runs'!$A$13:$AE$9967,22,0)</f>
        <v>https://d0f6bd738d7f1b3e5a7ca70fe4ff75f0.us-east-1.aws.found.io/app/kibana#/discover/Steve-Slow-Train-Analysis-(2080s-and-2083s)?_g=(refreshInterval:(display:Off,pause:!f,section:0,value:0),time:(from:'2017-09-21T15:25:15-0600',mode:absolute,to:'2017-09-21T17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5" s="86" t="str">
        <f t="shared" si="1"/>
        <v>"C:\Program Files (x86)\AstroGrep\AstroGrep.exe" /e /r /s /spath="%USERPROFILE%\AppData\Local\Temp\OnboardLogs" /stypes="*4031*201709212*" /stext=" 22:.+((SYSTEM_STATE.+slice.+state.+changed )|(ment ac)|(multiple cpu faults)|(system.+state.+changed )|(\[timeout)|(PRM\|1\|D)|(kpr)|(kdp)|(train st.+moving)|(\|lc)|(penalty))"</v>
      </c>
      <c r="U35" s="9" t="str">
        <f t="shared" si="2"/>
        <v>4031</v>
      </c>
      <c r="V35" s="31">
        <f t="shared" si="3"/>
        <v>42999.950381944444</v>
      </c>
      <c r="W35" s="45" t="str">
        <f t="shared" si="4"/>
        <v>NW</v>
      </c>
      <c r="X35" s="22">
        <f t="shared" si="5"/>
        <v>830</v>
      </c>
      <c r="Y35" s="96" t="str">
        <f t="shared" si="6"/>
        <v>echo {"issue":{"subject":"","project_id":79,"tracker_id":40,"status_id":1,"priority_id":2,"assigned_to_id":338,"start_date":"2017-09-21","description":"","custom_fields":[{"id":1,"name":"Subdivision","value":"NW"},{"id":4,"name":"Milepost","value":"2.3561"},{"id":17,"name":"Train ID","value":"830-21"},{"id":16,"name":"Locomotive ID","value":"4031"},{"id":130,"name":"Impact","value":""},{"id":150,"name":"Time of Event (Mountain Time)","value":"16:48:33"},{"id":151,"name":"Denver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/c/Users/stu/AppData/Local/Temp/OnboardLogs/RTDC4031 --include="*4031*201709212*"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"%USERPROFILE%\AppData\Local\Temp\OnboardLogs"\RTDC4031\*4031*201709212* &gt;&gt; 2017-09-21-SliceDisagreementCheck.txt</v>
      </c>
      <c r="AE35" s="145" t="str">
        <f t="shared" si="9"/>
        <v>start /low /b %USERPROFILE%\Documents\GitHub\eaglep3\Utilities\DownloadLogsFromS3.py --loco 4031 --day 2017-09-21</v>
      </c>
      <c r="AF35" s="1"/>
    </row>
    <row r="36" spans="1:32" x14ac:dyDescent="0.25">
      <c r="A36" s="31">
        <v>42999.302997685183</v>
      </c>
      <c r="B36" s="30" t="s">
        <v>591</v>
      </c>
      <c r="C36" s="30" t="s">
        <v>592</v>
      </c>
      <c r="D36" s="30" t="s">
        <v>49</v>
      </c>
      <c r="E36" s="30" t="s">
        <v>360</v>
      </c>
      <c r="F36" s="42">
        <v>0</v>
      </c>
      <c r="G36" s="42">
        <v>262</v>
      </c>
      <c r="H36" s="42">
        <v>33306</v>
      </c>
      <c r="I36" s="42">
        <v>33728</v>
      </c>
      <c r="J36" s="30" t="s">
        <v>361</v>
      </c>
      <c r="K36" s="42">
        <v>34583</v>
      </c>
      <c r="L36" s="131" t="s">
        <v>50</v>
      </c>
      <c r="M36" s="132">
        <f t="shared" si="0"/>
        <v>451.44</v>
      </c>
      <c r="N36" s="133" t="str">
        <f>VLOOKUP(C36,'Trips&amp;Operators'!$C$1:$G$99911,5,FALSE)</f>
        <v>FORTUNATO FRANK</v>
      </c>
      <c r="O36" s="176" t="s">
        <v>179</v>
      </c>
      <c r="P36" s="134" t="s">
        <v>1001</v>
      </c>
      <c r="Q36" s="30"/>
      <c r="R36" s="81" t="str">
        <f>VLOOKUP(C36,'Train Runs'!$A$13:$AE$9967,31,0)</f>
        <v>aws s3 cp s3://rtdc.mdm.uploadarchive.raw/RTDC4032/ "%USERPROFILE%\AppData\Local\Temp\OnboardLogs"\RTDC4032\2017-09-21 --exclude "*" --recursive --include "*20170921*" &amp; "%USERPROFILE%\Documents\GitHub\mrs-test-scripts\Headless Mode &amp; Sideloading\WalkAndUnGZ.bat" "%USERPROFILE%\AppData\Local\Temp\OnboardLogs"\RTDC4032\2017-09-21 &amp; aws s3 cp s3://rtdc.mdm.uploadarchive.raw/RTDC4032/ "%USERPROFILE%\AppData\Local\Temp\OnboardLogs"\RTDC4032\2017-09-22 --exclude "*" --recursive --include "*20170922*" &amp; "%USERPROFILE%\Documents\GitHub\mrs-test-scripts\Headless Mode &amp; Sideloading\WalkAndUnGZ.bat" "%USERPROFILE%\AppData\Local\Temp\OnboardLogs"\RTDC4032\2017-09-22</v>
      </c>
      <c r="S36" s="84" t="str">
        <f>VLOOKUP(C36,'Train Runs'!$A$13:$AE$9967,22,0)</f>
        <v>https://d0f6bd738d7f1b3e5a7ca70fe4ff75f0.us-east-1.aws.found.io/app/kibana#/discover/Steve-Slow-Train-Analysis-(2080s-and-2083s)?_g=(refreshInterval:(display:Off,pause:!f,section:0,value:0),time:(from:'2017-09-21T05:57:13-0600',mode:absolute,to:'2017-09-21T08:24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6" s="86" t="str">
        <f t="shared" si="1"/>
        <v>"C:\Program Files (x86)\AstroGrep\AstroGrep.exe" /e /r /s /spath="%USERPROFILE%\AppData\Local\Temp\OnboardLogs" /stypes="*4032*201709211*" /stext=" 13:.+((SYSTEM_STATE.+slice.+state.+changed )|(ment ac)|(multiple cpu faults)|(system.+state.+changed )|(\[timeout)|(PRM\|1\|D)|(kpr)|(kdp)|(train st.+moving)|(\|lc)|(penalty))"</v>
      </c>
      <c r="U36" s="9" t="str">
        <f t="shared" si="2"/>
        <v>4032</v>
      </c>
      <c r="V36" s="31">
        <f t="shared" si="3"/>
        <v>42999.552997685183</v>
      </c>
      <c r="W36" s="45" t="str">
        <f t="shared" si="4"/>
        <v>NW</v>
      </c>
      <c r="X36" s="22">
        <f t="shared" si="5"/>
        <v>807</v>
      </c>
      <c r="Y36" s="96" t="str">
        <f t="shared" si="6"/>
        <v>echo {"issue":{"subject":"Restricting Aspect","project_id":79,"tracker_id":40,"status_id":1,"priority_id":2,"assigned_to_id":338,"start_date":"2017-09-21","description":"","custom_fields":[{"id":1,"name":"Subdivision","value":"NW"},{"id":4,"name":"Milepost","value":"3.4583"},{"id":17,"name":"Train ID","value":"807-21"},{"id":16,"name":"Locomotive ID","value":"4032"},{"id":130,"name":"Impact","value":""},{"id":150,"name":"Time of Event (Mountain Time)","value":"07:16:19"},{"id":151,"name":"Denver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/c/Users/stu/AppData/Local/Temp/OnboardLogs/RTDC4032 --include="*4032*201709211*"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"%USERPROFILE%\AppData\Local\Temp\OnboardLogs"\RTDC4032\*4032*201709211* &gt;&gt; 2017-09-21-SliceDisagreementCheck.txt</v>
      </c>
      <c r="AE36" s="145" t="str">
        <f t="shared" si="9"/>
        <v>start /low /b %USERPROFILE%\Documents\GitHub\eaglep3\Utilities\DownloadLogsFromS3.py --loco 4032 --day 2017-09-21</v>
      </c>
      <c r="AF36" s="1"/>
    </row>
    <row r="37" spans="1:32" x14ac:dyDescent="0.25">
      <c r="A37" s="31">
        <v>42999.267870370371</v>
      </c>
      <c r="B37" s="30" t="s">
        <v>585</v>
      </c>
      <c r="C37" s="30" t="s">
        <v>586</v>
      </c>
      <c r="D37" s="30" t="s">
        <v>49</v>
      </c>
      <c r="E37" s="30" t="s">
        <v>180</v>
      </c>
      <c r="F37" s="42">
        <v>0</v>
      </c>
      <c r="G37" s="42">
        <v>19</v>
      </c>
      <c r="H37" s="42">
        <v>628</v>
      </c>
      <c r="I37" s="42">
        <v>614</v>
      </c>
      <c r="J37" s="30" t="s">
        <v>181</v>
      </c>
      <c r="K37" s="42">
        <v>575</v>
      </c>
      <c r="L37" s="131" t="s">
        <v>51</v>
      </c>
      <c r="M37" s="132">
        <f t="shared" si="0"/>
        <v>20.591999999999999</v>
      </c>
      <c r="N37" s="133" t="str">
        <f>VLOOKUP(C37,'Trips&amp;Operators'!$C$1:$G$99911,5,FALSE)</f>
        <v>DAVIS WENDY</v>
      </c>
      <c r="O37" s="176" t="s">
        <v>179</v>
      </c>
      <c r="P37" s="134"/>
      <c r="Q37" s="30"/>
      <c r="R37" s="81" t="str">
        <f>VLOOKUP(C37,'Train Runs'!$A$13:$AE$9967,31,0)</f>
        <v>aws s3 cp s3://rtdc.mdm.uploadarchive.raw/RTDC4053/ "%USERPROFILE%\AppData\Local\Temp\OnboardLogs"\RTDC4053\2017-09-21 --exclude "*" --recursive --include "*20170921*" &amp; "%USERPROFILE%\Documents\GitHub\mrs-test-scripts\Headless Mode &amp; Sideloading\WalkAndUnGZ.bat" "%USERPROFILE%\AppData\Local\Temp\OnboardLogs"\RTDC4053\2017-09-21 &amp; aws s3 cp s3://rtdc.mdm.uploadarchive.raw/RTDC4053/ "%USERPROFILE%\AppData\Local\Temp\OnboardLogs"\RTDC4053\2017-09-22 --exclude "*" --recursive --include "*20170922*" &amp; "%USERPROFILE%\Documents\GitHub\mrs-test-scripts\Headless Mode &amp; Sideloading\WalkAndUnGZ.bat" "%USERPROFILE%\AppData\Local\Temp\OnboardLogs"\RTDC4053\2017-09-22</v>
      </c>
      <c r="S37" s="84" t="str">
        <f>VLOOKUP(C37,'Train Runs'!$A$13:$AE$9967,22,0)</f>
        <v>https://d0f6bd738d7f1b3e5a7ca70fe4ff75f0.us-east-1.aws.found.io/app/kibana#/discover/Steve-Slow-Train-Analysis-(2080s-and-2083s)?_g=(refreshInterval:(display:Off,pause:!f,section:0,value:0),time:(from:'2017-09-21T04:56:02-0600',mode:absolute,to:'2017-09-21T07:25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7" s="86" t="str">
        <f t="shared" si="1"/>
        <v>"C:\Program Files (x86)\AstroGrep\AstroGrep.exe" /e /r /s /spath="%USERPROFILE%\AppData\Local\Temp\OnboardLogs" /stypes="*4053*201709211*" /stext=" 12:.+((SYSTEM_STATE.+slice.+state.+changed )|(ment ac)|(multiple cpu faults)|(system.+state.+changed )|(\[timeout)|(PRM\|1\|D)|(kpr)|(kdp)|(train st.+moving)|(\|lc)|(penalty))"</v>
      </c>
      <c r="U37" s="9" t="str">
        <f t="shared" si="2"/>
        <v>4053</v>
      </c>
      <c r="V37" s="31">
        <f t="shared" si="3"/>
        <v>42999.517870370371</v>
      </c>
      <c r="W37" s="45" t="str">
        <f t="shared" si="4"/>
        <v>NW</v>
      </c>
      <c r="X37" s="22">
        <f t="shared" si="5"/>
        <v>802</v>
      </c>
      <c r="Y37" s="96" t="str">
        <f t="shared" si="6"/>
        <v>echo {"issue":{"subject":"","project_id":79,"tracker_id":40,"status_id":1,"priority_id":2,"assigned_to_id":338,"start_date":"2017-09-21","description":"","custom_fields":[{"id":1,"name":"Subdivision","value":"NW"},{"id":4,"name":"Milepost","value":"0.0575"},{"id":17,"name":"Train ID","value":"802-21"},{"id":16,"name":"Locomotive ID","value":"4053"},{"id":130,"name":"Impact","value":""},{"id":150,"name":"Time of Event (Mountain Time)","value":"06:25:44"},{"id":151,"name":"Denver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/c/Users/stu/AppData/Local/Temp/OnboardLogs/RTDC4053 --include="*4053*201709211*"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"%USERPROFILE%\AppData\Local\Temp\OnboardLogs"\RTDC4053\*4053*201709211* &gt;&gt; 2017-09-21-SliceDisagreementCheck.txt</v>
      </c>
      <c r="AE37" s="145" t="str">
        <f t="shared" si="9"/>
        <v>start /low /b %USERPROFILE%\Documents\GitHub\eaglep3\Utilities\DownloadLogsFromS3.py --loco 4053 --day 2017-09-21</v>
      </c>
      <c r="AF37" s="1"/>
    </row>
    <row r="38" spans="1:32" x14ac:dyDescent="0.25">
      <c r="A38" s="31">
        <v>42999.245844907404</v>
      </c>
      <c r="B38" s="30" t="s">
        <v>579</v>
      </c>
      <c r="C38" s="30" t="s">
        <v>582</v>
      </c>
      <c r="D38" s="30" t="s">
        <v>95</v>
      </c>
      <c r="E38" s="30" t="s">
        <v>180</v>
      </c>
      <c r="F38" s="42">
        <v>0</v>
      </c>
      <c r="G38" s="42">
        <v>5</v>
      </c>
      <c r="H38" s="42">
        <v>59048</v>
      </c>
      <c r="I38" s="42">
        <v>59049</v>
      </c>
      <c r="J38" s="30" t="s">
        <v>181</v>
      </c>
      <c r="K38" s="42">
        <v>59048</v>
      </c>
      <c r="L38" s="131" t="s">
        <v>50</v>
      </c>
      <c r="M38" s="132">
        <f t="shared" si="0"/>
        <v>-0.52800000000000002</v>
      </c>
      <c r="N38" s="133" t="str">
        <f>VLOOKUP(C38,'Trips&amp;Operators'!$C$1:$G$99911,5,FALSE)</f>
        <v>DAVIS WENDY</v>
      </c>
      <c r="O38" s="176" t="s">
        <v>179</v>
      </c>
      <c r="P38" s="134"/>
      <c r="Q38" s="30"/>
      <c r="R38" s="81" t="str">
        <f>VLOOKUP(C38,'Train Runs'!$A$13:$AE$9967,31,0)</f>
        <v>aws s3 cp s3://rtdc.mdm.uploadarchive.raw/RTDC4054/ "%USERPROFILE%\AppData\Local\Temp\OnboardLogs"\RTDC4054\2017-09-21 --exclude "*" --recursive --include "*20170921*" &amp; "%USERPROFILE%\Documents\GitHub\mrs-test-scripts\Headless Mode &amp; Sideloading\WalkAndUnGZ.bat" "%USERPROFILE%\AppData\Local\Temp\OnboardLogs"\RTDC4054\2017-09-21 &amp; aws s3 cp s3://rtdc.mdm.uploadarchive.raw/RTDC4054/ "%USERPROFILE%\AppData\Local\Temp\OnboardLogs"\RTDC4054\2017-09-22 --exclude "*" --recursive --include "*20170922*" &amp; "%USERPROFILE%\Documents\GitHub\mrs-test-scripts\Headless Mode &amp; Sideloading\WalkAndUnGZ.bat" "%USERPROFILE%\AppData\Local\Temp\OnboardLogs"\RTDC4054\2017-09-22</v>
      </c>
      <c r="S38" s="84" t="str">
        <f>VLOOKUP(C38,'Train Runs'!$A$13:$AE$9967,22,0)</f>
        <v>https://d0f6bd738d7f1b3e5a7ca70fe4ff75f0.us-east-1.aws.found.io/app/kibana#/discover/Steve-Slow-Train-Analysis-(2080s-and-2083s)?_g=(refreshInterval:(display:Off,pause:!f,section:0,value:0),time:(from:'2017-09-21T04:08:55-0600',mode:absolute,to:'2017-09-21T06:54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38" s="86" t="str">
        <f t="shared" si="1"/>
        <v>"C:\Program Files (x86)\AstroGrep\AstroGrep.exe" /e /r /s /spath="%USERPROFILE%\AppData\Local\Temp\OnboardLogs" /stypes="*4054*201709211*" /stext=" 11:.+((SYSTEM_STATE.+slice.+state.+changed )|(ment ac)|(multiple cpu faults)|(system.+state.+changed )|(\[timeout)|(PRM\|1\|D)|(kpr)|(kdp)|(train st.+moving)|(\|lc)|(penalty))"</v>
      </c>
      <c r="U38" s="9" t="str">
        <f t="shared" si="2"/>
        <v>4054</v>
      </c>
      <c r="V38" s="31">
        <f t="shared" si="3"/>
        <v>42999.495844907404</v>
      </c>
      <c r="W38" s="45" t="str">
        <f t="shared" si="4"/>
        <v>NW</v>
      </c>
      <c r="X38" s="22">
        <f t="shared" si="5"/>
        <v>801</v>
      </c>
      <c r="Y38" s="96" t="str">
        <f t="shared" si="6"/>
        <v>echo {"issue":{"subject":"","project_id":79,"tracker_id":40,"status_id":1,"priority_id":2,"assigned_to_id":338,"start_date":"2017-09-21","description":"","custom_fields":[{"id":1,"name":"Subdivision","value":"NW"},{"id":4,"name":"Milepost","value":"5.9048"},{"id":17,"name":"Train ID","value":"801-21"},{"id":16,"name":"Locomotive ID","value":"4054"},{"id":130,"name":"Impact","value":""},{"id":150,"name":"Time of Event (Mountain Time)","value":"05:54:01"},{"id":151,"name":"Denver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/c/Users/stu/AppData/Local/Temp/OnboardLogs/RTDC4054 --include="*4054*201709211*"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"%USERPROFILE%\AppData\Local\Temp\OnboardLogs"\RTDC4054\*4054*201709211* &gt;&gt; 2017-09-21-SliceDisagreementCheck.txt</v>
      </c>
      <c r="AE38" s="145" t="str">
        <f t="shared" si="9"/>
        <v>start /low /b %USERPROFILE%\Documents\GitHub\eaglep3\Utilities\DownloadLogsFromS3.py --loco 4054 --day 2017-09-21</v>
      </c>
      <c r="AF38" s="1"/>
    </row>
    <row r="39" spans="1:32" x14ac:dyDescent="0.25">
      <c r="A39" s="31">
        <v>42999.287893518522</v>
      </c>
      <c r="B39" s="30" t="s">
        <v>579</v>
      </c>
      <c r="C39" s="30" t="s">
        <v>589</v>
      </c>
      <c r="D39" s="30" t="s">
        <v>49</v>
      </c>
      <c r="E39" s="30" t="s">
        <v>180</v>
      </c>
      <c r="F39" s="42">
        <v>0</v>
      </c>
      <c r="G39" s="42">
        <v>15</v>
      </c>
      <c r="H39" s="42">
        <v>59027</v>
      </c>
      <c r="I39" s="42">
        <v>59046</v>
      </c>
      <c r="J39" s="30" t="s">
        <v>181</v>
      </c>
      <c r="K39" s="42">
        <v>59048</v>
      </c>
      <c r="L39" s="131" t="s">
        <v>50</v>
      </c>
      <c r="M39" s="132">
        <f t="shared" si="0"/>
        <v>1.056</v>
      </c>
      <c r="N39" s="133" t="str">
        <f>VLOOKUP(C39,'Trips&amp;Operators'!$C$1:$G$99911,5,FALSE)</f>
        <v>DAVIS WENDY</v>
      </c>
      <c r="O39" s="176" t="s">
        <v>179</v>
      </c>
      <c r="P39" s="134"/>
      <c r="Q39" s="30"/>
      <c r="R39" s="81" t="str">
        <f>VLOOKUP(C39,'Train Runs'!$A$13:$AE$9967,31,0)</f>
        <v>aws s3 cp s3://rtdc.mdm.uploadarchive.raw/RTDC4054/ "%USERPROFILE%\AppData\Local\Temp\OnboardLogs"\RTDC4054\2017-09-21 --exclude "*" --recursive --include "*20170921*" &amp; "%USERPROFILE%\Documents\GitHub\mrs-test-scripts\Headless Mode &amp; Sideloading\WalkAndUnGZ.bat" "%USERPROFILE%\AppData\Local\Temp\OnboardLogs"\RTDC4054\2017-09-21 &amp; aws s3 cp s3://rtdc.mdm.uploadarchive.raw/RTDC4054/ "%USERPROFILE%\AppData\Local\Temp\OnboardLogs"\RTDC4054\2017-09-22 --exclude "*" --recursive --include "*20170922*" &amp; "%USERPROFILE%\Documents\GitHub\mrs-test-scripts\Headless Mode &amp; Sideloading\WalkAndUnGZ.bat" "%USERPROFILE%\AppData\Local\Temp\OnboardLogs"\RTDC4054\2017-09-22</v>
      </c>
      <c r="S39" s="84" t="str">
        <f>VLOOKUP(C39,'Train Runs'!$A$13:$AE$9967,22,0)</f>
        <v>https://d0f6bd738d7f1b3e5a7ca70fe4ff75f0.us-east-1.aws.found.io/app/kibana#/discover/Steve-Slow-Train-Analysis-(2080s-and-2083s)?_g=(refreshInterval:(display:Off,pause:!f,section:0,value:0),time:(from:'2017-09-21T05:26:24-0600',mode:absolute,to:'2017-09-21T07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39" s="86" t="str">
        <f t="shared" si="1"/>
        <v>"C:\Program Files (x86)\AstroGrep\AstroGrep.exe" /e /r /s /spath="%USERPROFILE%\AppData\Local\Temp\OnboardLogs" /stypes="*4054*201709211*" /stext=" 12:.+((SYSTEM_STATE.+slice.+state.+changed )|(ment ac)|(multiple cpu faults)|(system.+state.+changed )|(\[timeout)|(PRM\|1\|D)|(kpr)|(kdp)|(train st.+moving)|(\|lc)|(penalty))"</v>
      </c>
      <c r="U39" s="9" t="str">
        <f t="shared" si="2"/>
        <v>4054</v>
      </c>
      <c r="V39" s="31">
        <f t="shared" si="3"/>
        <v>42999.537893518522</v>
      </c>
      <c r="W39" s="45" t="str">
        <f t="shared" si="4"/>
        <v>NW</v>
      </c>
      <c r="X39" s="22">
        <f t="shared" si="5"/>
        <v>805</v>
      </c>
      <c r="Y39" s="96" t="str">
        <f t="shared" si="6"/>
        <v>echo {"issue":{"subject":"","project_id":79,"tracker_id":40,"status_id":1,"priority_id":2,"assigned_to_id":338,"start_date":"2017-09-21","description":"","custom_fields":[{"id":1,"name":"Subdivision","value":"NW"},{"id":4,"name":"Milepost","value":"5.9048"},{"id":17,"name":"Train ID","value":"805-21"},{"id":16,"name":"Locomotive ID","value":"4054"},{"id":130,"name":"Impact","value":""},{"id":150,"name":"Time of Event (Mountain Time)","value":"06:54:34"},{"id":151,"name":"Denver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/c/Users/stu/AppData/Local/Temp/OnboardLogs/RTDC4054 --include="*4054*201709211*"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"%USERPROFILE%\AppData\Local\Temp\OnboardLogs"\RTDC4054\*4054*201709211* &gt;&gt; 2017-09-21-SliceDisagreementCheck.txt</v>
      </c>
      <c r="AE39" s="145" t="str">
        <f t="shared" si="9"/>
        <v>start /low /b %USERPROFILE%\Documents\GitHub\eaglep3\Utilities\DownloadLogsFromS3.py --loco 4054 --day 2017-09-21</v>
      </c>
      <c r="AF39" s="1"/>
    </row>
    <row r="40" spans="1:32" x14ac:dyDescent="0.25">
      <c r="A40" s="31">
        <v>42999.432673611111</v>
      </c>
      <c r="B40" s="30" t="s">
        <v>591</v>
      </c>
      <c r="C40" s="30" t="s">
        <v>597</v>
      </c>
      <c r="D40" s="30" t="s">
        <v>49</v>
      </c>
      <c r="E40" s="30" t="s">
        <v>180</v>
      </c>
      <c r="F40" s="42">
        <v>0</v>
      </c>
      <c r="G40" s="42">
        <v>69</v>
      </c>
      <c r="H40" s="42">
        <v>58888</v>
      </c>
      <c r="I40" s="42">
        <v>58950</v>
      </c>
      <c r="J40" s="30" t="s">
        <v>181</v>
      </c>
      <c r="K40" s="42">
        <v>59048</v>
      </c>
      <c r="L40" s="131" t="s">
        <v>50</v>
      </c>
      <c r="M40" s="132">
        <f t="shared" si="0"/>
        <v>51.744</v>
      </c>
      <c r="N40" s="133" t="str">
        <f>VLOOKUP(C40,'Trips&amp;Operators'!$C$1:$G$99911,5,FALSE)</f>
        <v>FORTUNATO FRANK</v>
      </c>
      <c r="O40" s="176" t="s">
        <v>179</v>
      </c>
      <c r="P40" s="134"/>
      <c r="Q40" s="30"/>
      <c r="R40" s="81" t="str">
        <f>VLOOKUP(C40,'Train Runs'!$A$13:$AE$9967,31,0)</f>
        <v>aws s3 cp s3://rtdc.mdm.uploadarchive.raw/RTDC4032/ "%USERPROFILE%\AppData\Local\Temp\OnboardLogs"\RTDC4032\2017-09-21 --exclude "*" --recursive --include "*20170921*" &amp; "%USERPROFILE%\Documents\GitHub\mrs-test-scripts\Headless Mode &amp; Sideloading\WalkAndUnGZ.bat" "%USERPROFILE%\AppData\Local\Temp\OnboardLogs"\RTDC4032\2017-09-21 &amp; aws s3 cp s3://rtdc.mdm.uploadarchive.raw/RTDC4032/ "%USERPROFILE%\AppData\Local\Temp\OnboardLogs"\RTDC4032\2017-09-22 --exclude "*" --recursive --include "*20170922*" &amp; "%USERPROFILE%\Documents\GitHub\mrs-test-scripts\Headless Mode &amp; Sideloading\WalkAndUnGZ.bat" "%USERPROFILE%\AppData\Local\Temp\OnboardLogs"\RTDC4032\2017-09-22</v>
      </c>
      <c r="S40" s="84" t="str">
        <f>VLOOKUP(C40,'Train Runs'!$A$13:$AE$9967,22,0)</f>
        <v>https://d0f6bd738d7f1b3e5a7ca70fe4ff75f0.us-east-1.aws.found.io/app/kibana#/discover/Steve-Slow-Train-Analysis-(2080s-and-2083s)?_g=(refreshInterval:(display:Off,pause:!f,section:0,value:0),time:(from:'2017-09-21T08:57:33-0600',mode:absolute,to:'2017-09-21T11:23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0" s="86" t="str">
        <f t="shared" si="1"/>
        <v>"C:\Program Files (x86)\AstroGrep\AstroGrep.exe" /e /r /s /spath="%USERPROFILE%\AppData\Local\Temp\OnboardLogs" /stypes="*4032*201709211*" /stext=" 16:.+((SYSTEM_STATE.+slice.+state.+changed )|(ment ac)|(multiple cpu faults)|(system.+state.+changed )|(\[timeout)|(PRM\|1\|D)|(kpr)|(kdp)|(train st.+moving)|(\|lc)|(penalty))"</v>
      </c>
      <c r="U40" s="9" t="str">
        <f t="shared" si="2"/>
        <v>4032</v>
      </c>
      <c r="V40" s="31">
        <f t="shared" si="3"/>
        <v>42999.682673611111</v>
      </c>
      <c r="W40" s="45" t="str">
        <f t="shared" si="4"/>
        <v>NW</v>
      </c>
      <c r="X40" s="22">
        <f t="shared" si="5"/>
        <v>815</v>
      </c>
      <c r="Y40" s="96" t="str">
        <f t="shared" si="6"/>
        <v>echo {"issue":{"subject":"","project_id":79,"tracker_id":40,"status_id":1,"priority_id":2,"assigned_to_id":338,"start_date":"2017-09-21","description":"","custom_fields":[{"id":1,"name":"Subdivision","value":"NW"},{"id":4,"name":"Milepost","value":"5.9048"},{"id":17,"name":"Train ID","value":"815-21"},{"id":16,"name":"Locomotive ID","value":"4032"},{"id":130,"name":"Impact","value":""},{"id":150,"name":"Time of Event (Mountain Time)","value":"10:23:03"},{"id":151,"name":"Denver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/c/Users/stu/AppData/Local/Temp/OnboardLogs/RTDC4032 --include="*4032*201709211*"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"%USERPROFILE%\AppData\Local\Temp\OnboardLogs"\RTDC4032\*4032*201709211* &gt;&gt; 2017-09-21-SliceDisagreementCheck.txt</v>
      </c>
      <c r="AE40" s="145" t="str">
        <f t="shared" si="9"/>
        <v>start /low /b %USERPROFILE%\Documents\GitHub\eaglep3\Utilities\DownloadLogsFromS3.py --loco 4032 --day 2017-09-21</v>
      </c>
      <c r="AF40" s="1"/>
    </row>
    <row r="41" spans="1:32" x14ac:dyDescent="0.25">
      <c r="A41" s="31">
        <v>42999.24695601852</v>
      </c>
      <c r="B41" s="30" t="s">
        <v>583</v>
      </c>
      <c r="C41" s="30" t="s">
        <v>584</v>
      </c>
      <c r="D41" s="30" t="s">
        <v>49</v>
      </c>
      <c r="E41" s="30" t="s">
        <v>180</v>
      </c>
      <c r="F41" s="42">
        <v>0</v>
      </c>
      <c r="G41" s="42">
        <v>39</v>
      </c>
      <c r="H41" s="42">
        <v>703</v>
      </c>
      <c r="I41" s="42">
        <v>675</v>
      </c>
      <c r="J41" s="30" t="s">
        <v>181</v>
      </c>
      <c r="K41" s="42">
        <v>575</v>
      </c>
      <c r="L41" s="131" t="s">
        <v>51</v>
      </c>
      <c r="M41" s="132">
        <f t="shared" si="0"/>
        <v>52.8</v>
      </c>
      <c r="N41" s="133" t="str">
        <f>VLOOKUP(C41,'Trips&amp;Operators'!$C$1:$G$99911,5,FALSE)</f>
        <v>FORTUNATO FRANK</v>
      </c>
      <c r="O41" s="176" t="s">
        <v>179</v>
      </c>
      <c r="P41" s="134"/>
      <c r="Q41" s="30"/>
      <c r="R41" s="81" t="str">
        <f>VLOOKUP(C41,'Train Runs'!$A$13:$AE$9967,31,0)</f>
        <v>aws s3 cp s3://rtdc.mdm.uploadarchive.raw/RTDC4031/ "%USERPROFILE%\AppData\Local\Temp\OnboardLogs"\RTDC4031\2017-09-21 --exclude "*" --recursive --include "*20170921*" &amp; "%USERPROFILE%\Documents\GitHub\mrs-test-scripts\Headless Mode &amp; Sideloading\WalkAndUnGZ.bat" "%USERPROFILE%\AppData\Local\Temp\OnboardLogs"\RTDC4031\2017-09-21 &amp; aws s3 cp s3://rtdc.mdm.uploadarchive.raw/RTDC4031/ "%USERPROFILE%\AppData\Local\Temp\OnboardLogs"\RTDC4031\2017-09-22 --exclude "*" --recursive --include "*20170922*" &amp; "%USERPROFILE%\Documents\GitHub\mrs-test-scripts\Headless Mode &amp; Sideloading\WalkAndUnGZ.bat" "%USERPROFILE%\AppData\Local\Temp\OnboardLogs"\RTDC4031\2017-09-22</v>
      </c>
      <c r="S41" s="84" t="str">
        <f>VLOOKUP(C41,'Train Runs'!$A$13:$AE$9967,22,0)</f>
        <v>https://d0f6bd738d7f1b3e5a7ca70fe4ff75f0.us-east-1.aws.found.io/app/kibana#/discover/Steve-Slow-Train-Analysis-(2080s-and-2083s)?_g=(refreshInterval:(display:Off,pause:!f,section:0,value:0),time:(from:'2017-09-21T04:43:42-0600',mode:absolute,to:'2017-09-21T06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41" s="86" t="str">
        <f t="shared" si="1"/>
        <v>"C:\Program Files (x86)\AstroGrep\AstroGrep.exe" /e /r /s /spath="%USERPROFILE%\AppData\Local\Temp\OnboardLogs" /stypes="*4031*201709211*" /stext=" 11:.+((SYSTEM_STATE.+slice.+state.+changed )|(ment ac)|(multiple cpu faults)|(system.+state.+changed )|(\[timeout)|(PRM\|1\|D)|(kpr)|(kdp)|(train st.+moving)|(\|lc)|(penalty))"</v>
      </c>
      <c r="U41" s="9" t="str">
        <f t="shared" si="2"/>
        <v>4031</v>
      </c>
      <c r="V41" s="31">
        <f t="shared" si="3"/>
        <v>42999.49695601852</v>
      </c>
      <c r="W41" s="45" t="str">
        <f t="shared" si="4"/>
        <v>Other</v>
      </c>
      <c r="X41" s="22">
        <f t="shared" si="5"/>
        <v>902</v>
      </c>
      <c r="Y41" s="96" t="str">
        <f t="shared" si="6"/>
        <v>echo {"issue":{"subject":"","project_id":79,"tracker_id":40,"status_id":1,"priority_id":2,"assigned_to_id":338,"start_date":"2017-09-21","description":"","custom_fields":[{"id":1,"name":"Subdivision","value":"Other"},{"id":4,"name":"Milepost","value":"0.0575"},{"id":17,"name":"Train ID","value":"902-21"},{"id":16,"name":"Locomotive ID","value":"4031"},{"id":130,"name":"Impact","value":""},{"id":150,"name":"Time of Event (Mountain Time)","value":"05:55:37"},{"id":151,"name":"Denver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/c/Users/stu/AppData/Local/Temp/OnboardLogs/RTDC4031 --include="*4031*201709211*"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"%USERPROFILE%\AppData\Local\Temp\OnboardLogs"\RTDC4031\*4031*201709211* &gt;&gt; 2017-09-21-SliceDisagreementCheck.txt</v>
      </c>
      <c r="AE41" s="145" t="str">
        <f t="shared" si="9"/>
        <v>start /low /b %USERPROFILE%\Documents\GitHub\eaglep3\Utilities\DownloadLogsFromS3.py --loco 4031 --day 2017-09-21</v>
      </c>
      <c r="AF41" s="1"/>
    </row>
    <row r="42" spans="1:32" x14ac:dyDescent="0.25">
      <c r="A42" s="31">
        <v>42999.212314814817</v>
      </c>
      <c r="B42" s="30" t="s">
        <v>579</v>
      </c>
      <c r="C42" s="30" t="s">
        <v>580</v>
      </c>
      <c r="D42" s="30" t="s">
        <v>49</v>
      </c>
      <c r="E42" s="30" t="s">
        <v>180</v>
      </c>
      <c r="F42" s="42">
        <v>0</v>
      </c>
      <c r="G42" s="42">
        <v>11</v>
      </c>
      <c r="H42" s="42">
        <v>59035</v>
      </c>
      <c r="I42" s="42">
        <v>59040</v>
      </c>
      <c r="J42" s="30" t="s">
        <v>181</v>
      </c>
      <c r="K42" s="42">
        <v>59048</v>
      </c>
      <c r="L42" s="131" t="s">
        <v>50</v>
      </c>
      <c r="M42" s="132">
        <f t="shared" si="0"/>
        <v>4.2240000000000002</v>
      </c>
      <c r="N42" s="133" t="str">
        <f>VLOOKUP(C42,'Trips&amp;Operators'!$C$1:$G$99911,5,FALSE)</f>
        <v>DAVIS WENDY</v>
      </c>
      <c r="O42" s="176" t="s">
        <v>179</v>
      </c>
      <c r="P42" s="134"/>
      <c r="Q42" s="30"/>
      <c r="R42" s="81" t="str">
        <f>VLOOKUP(C42,'Train Runs'!$A$13:$AE$9967,31,0)</f>
        <v>aws s3 cp s3://rtdc.mdm.uploadarchive.raw/RTDC4054/ "%USERPROFILE%\AppData\Local\Temp\OnboardLogs"\RTDC4054\2017-09-21 --exclude "*" --recursive --include "*20170921*" &amp; "%USERPROFILE%\Documents\GitHub\mrs-test-scripts\Headless Mode &amp; Sideloading\WalkAndUnGZ.bat" "%USERPROFILE%\AppData\Local\Temp\OnboardLogs"\RTDC4054\2017-09-21 &amp; aws s3 cp s3://rtdc.mdm.uploadarchive.raw/RTDC4054/ "%USERPROFILE%\AppData\Local\Temp\OnboardLogs"\RTDC4054\2017-09-22 --exclude "*" --recursive --include "*20170922*" &amp; "%USERPROFILE%\Documents\GitHub\mrs-test-scripts\Headless Mode &amp; Sideloading\WalkAndUnGZ.bat" "%USERPROFILE%\AppData\Local\Temp\OnboardLogs"\RTDC4054\2017-09-22</v>
      </c>
      <c r="S42" s="84" t="str">
        <f>VLOOKUP(C42,'Train Runs'!$A$13:$AE$9967,22,0)</f>
        <v>https://d0f6bd738d7f1b3e5a7ca70fe4ff75f0.us-east-1.aws.found.io/app/kibana#/discover/Steve-Slow-Train-Analysis-(2080s-and-2083s)?_g=(refreshInterval:(display:Off,pause:!f,section:0,value:0),time:(from:'2017-09-21T03:49:06-0600',mode:absolute,to:'2017-09-21T06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42" s="86" t="str">
        <f t="shared" si="1"/>
        <v>"C:\Program Files (x86)\AstroGrep\AstroGrep.exe" /e /r /s /spath="%USERPROFILE%\AppData\Local\Temp\OnboardLogs" /stypes="*4054*201709211*" /stext=" 11:.+((SYSTEM_STATE.+slice.+state.+changed )|(ment ac)|(multiple cpu faults)|(system.+state.+changed )|(\[timeout)|(PRM\|1\|D)|(kpr)|(kdp)|(train st.+moving)|(\|lc)|(penalty))"</v>
      </c>
      <c r="U42" s="9" t="str">
        <f t="shared" si="2"/>
        <v>4054</v>
      </c>
      <c r="V42" s="31">
        <f t="shared" si="3"/>
        <v>42999.462314814817</v>
      </c>
      <c r="W42" s="45" t="str">
        <f t="shared" si="4"/>
        <v>Other</v>
      </c>
      <c r="X42" s="22">
        <f t="shared" si="5"/>
        <v>901</v>
      </c>
      <c r="Y42" s="96" t="str">
        <f t="shared" si="6"/>
        <v>echo {"issue":{"subject":"","project_id":79,"tracker_id":40,"status_id":1,"priority_id":2,"assigned_to_id":338,"start_date":"2017-09-21","description":"","custom_fields":[{"id":1,"name":"Subdivision","value":"Other"},{"id":4,"name":"Milepost","value":"5.9048"},{"id":17,"name":"Train ID","value":"901-21"},{"id":16,"name":"Locomotive ID","value":"4054"},{"id":130,"name":"Impact","value":""},{"id":150,"name":"Time of Event (Mountain Time)","value":"05:05:44"},{"id":151,"name":"Denver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7"/>
        <v>grep -hrE -A400 "Enforcement Action" /c/Users/stu/AppData/Local/Temp/OnboardLogs/RTDC4054 --include="*4054*201709211*"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"%USERPROFILE%\AppData\Local\Temp\OnboardLogs"\RTDC4054\*4054*201709211* &gt;&gt; 2017-09-21-SliceDisagreementCheck.txt</v>
      </c>
      <c r="AE42" s="145" t="str">
        <f t="shared" si="9"/>
        <v>start /low /b %USERPROFILE%\Documents\GitHub\eaglep3\Utilities\DownloadLogsFromS3.py --loco 4054 --day 2017-09-21</v>
      </c>
      <c r="AF42" s="1"/>
    </row>
    <row r="43" spans="1:32" x14ac:dyDescent="0.25">
      <c r="A43" s="31">
        <v>42999.212743055556</v>
      </c>
      <c r="B43" s="30" t="s">
        <v>579</v>
      </c>
      <c r="C43" s="30" t="s">
        <v>580</v>
      </c>
      <c r="D43" s="30" t="s">
        <v>95</v>
      </c>
      <c r="E43" s="30" t="s">
        <v>180</v>
      </c>
      <c r="F43" s="42">
        <v>0</v>
      </c>
      <c r="G43" s="42">
        <v>5</v>
      </c>
      <c r="H43" s="42">
        <v>59048</v>
      </c>
      <c r="I43" s="42">
        <v>0</v>
      </c>
      <c r="J43" s="30" t="s">
        <v>181</v>
      </c>
      <c r="K43" s="42">
        <v>59048</v>
      </c>
      <c r="L43" s="131" t="s">
        <v>50</v>
      </c>
      <c r="M43" s="132">
        <f t="shared" si="0"/>
        <v>31177.344000000001</v>
      </c>
      <c r="N43" s="133" t="str">
        <f>VLOOKUP(C43,'Trips&amp;Operators'!$C$1:$G$99911,5,FALSE)</f>
        <v>DAVIS WENDY</v>
      </c>
      <c r="O43" s="176" t="s">
        <v>179</v>
      </c>
      <c r="P43" s="134"/>
      <c r="Q43" s="30"/>
      <c r="R43" s="81" t="str">
        <f>VLOOKUP(C43,'Train Runs'!$A$13:$AE$9967,31,0)</f>
        <v>aws s3 cp s3://rtdc.mdm.uploadarchive.raw/RTDC4054/ "%USERPROFILE%\AppData\Local\Temp\OnboardLogs"\RTDC4054\2017-09-21 --exclude "*" --recursive --include "*20170921*" &amp; "%USERPROFILE%\Documents\GitHub\mrs-test-scripts\Headless Mode &amp; Sideloading\WalkAndUnGZ.bat" "%USERPROFILE%\AppData\Local\Temp\OnboardLogs"\RTDC4054\2017-09-21 &amp; aws s3 cp s3://rtdc.mdm.uploadarchive.raw/RTDC4054/ "%USERPROFILE%\AppData\Local\Temp\OnboardLogs"\RTDC4054\2017-09-22 --exclude "*" --recursive --include "*20170922*" &amp; "%USERPROFILE%\Documents\GitHub\mrs-test-scripts\Headless Mode &amp; Sideloading\WalkAndUnGZ.bat" "%USERPROFILE%\AppData\Local\Temp\OnboardLogs"\RTDC4054\2017-09-22</v>
      </c>
      <c r="S43" s="84" t="str">
        <f>VLOOKUP(C43,'Train Runs'!$A$13:$AE$9967,22,0)</f>
        <v>https://d0f6bd738d7f1b3e5a7ca70fe4ff75f0.us-east-1.aws.found.io/app/kibana#/discover/Steve-Slow-Train-Analysis-(2080s-and-2083s)?_g=(refreshInterval:(display:Off,pause:!f,section:0,value:0),time:(from:'2017-09-21T03:49:06-0600',mode:absolute,to:'2017-09-21T06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43" s="86" t="str">
        <f t="shared" si="1"/>
        <v>"C:\Program Files (x86)\AstroGrep\AstroGrep.exe" /e /r /s /spath="%USERPROFILE%\AppData\Local\Temp\OnboardLogs" /stypes="*4054*201709211*" /stext=" 11:.+((SYSTEM_STATE.+slice.+state.+changed )|(ment ac)|(multiple cpu faults)|(system.+state.+changed )|(\[timeout)|(PRM\|1\|D)|(kpr)|(kdp)|(train st.+moving)|(\|lc)|(penalty))"</v>
      </c>
      <c r="U43" s="9" t="str">
        <f t="shared" si="2"/>
        <v>4054</v>
      </c>
      <c r="V43" s="31">
        <f t="shared" si="3"/>
        <v>42999.462743055556</v>
      </c>
      <c r="W43" s="45" t="str">
        <f t="shared" si="4"/>
        <v>Other</v>
      </c>
      <c r="X43" s="22">
        <f t="shared" si="5"/>
        <v>901</v>
      </c>
      <c r="Y43" s="96" t="str">
        <f t="shared" si="6"/>
        <v>echo {"issue":{"subject":"","project_id":79,"tracker_id":40,"status_id":1,"priority_id":2,"assigned_to_id":338,"start_date":"2017-09-21","description":"","custom_fields":[{"id":1,"name":"Subdivision","value":"Other"},{"id":4,"name":"Milepost","value":"5.9048"},{"id":17,"name":"Train ID","value":"901-21"},{"id":16,"name":"Locomotive ID","value":"4054"},{"id":130,"name":"Impact","value":""},{"id":150,"name":"Time of Event (Mountain Time)","value":"05:06:21"},{"id":151,"name":"Denver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7"/>
        <v>grep -hrE -A400 "Enforcement Action" /c/Users/stu/AppData/Local/Temp/OnboardLogs/RTDC4054 --include="*4054*201709211*"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"%USERPROFILE%\AppData\Local\Temp\OnboardLogs"\RTDC4054\*4054*201709211* &gt;&gt; 2017-09-21-SliceDisagreementCheck.txt</v>
      </c>
      <c r="AE43" s="145" t="str">
        <f t="shared" si="9"/>
        <v>start /low /b %USERPROFILE%\Documents\GitHub\eaglep3\Utilities\DownloadLogsFromS3.py --loco 4054 --day 2017-09-21</v>
      </c>
      <c r="AF43" s="1"/>
    </row>
    <row r="44" spans="1:32" x14ac:dyDescent="0.25">
      <c r="A44" s="31">
        <v>42999.596412037034</v>
      </c>
      <c r="B44" s="30" t="s">
        <v>455</v>
      </c>
      <c r="C44" s="30" t="s">
        <v>606</v>
      </c>
      <c r="D44" s="30" t="s">
        <v>95</v>
      </c>
      <c r="E44" s="30" t="s">
        <v>194</v>
      </c>
      <c r="F44" s="42">
        <v>150</v>
      </c>
      <c r="G44" s="42">
        <v>200</v>
      </c>
      <c r="H44" s="42">
        <v>1771</v>
      </c>
      <c r="I44" s="42">
        <v>2107</v>
      </c>
      <c r="J44" s="30" t="s">
        <v>195</v>
      </c>
      <c r="K44" s="42">
        <v>0</v>
      </c>
      <c r="L44" s="131" t="s">
        <v>50</v>
      </c>
      <c r="M44" s="132">
        <f t="shared" si="0"/>
        <v>-1112.4960000000001</v>
      </c>
      <c r="N44" s="133" t="str">
        <f>VLOOKUP(C44,'Trips&amp;Operators'!$C$1:$G$99911,5,FALSE)</f>
        <v>DE LA ROSA ALEX</v>
      </c>
      <c r="O44" s="176" t="s">
        <v>179</v>
      </c>
      <c r="P44" s="134"/>
      <c r="Q44" s="30"/>
      <c r="R44" s="81" t="str">
        <f>VLOOKUP(C44,'Train Runs'!$A$13:$AE$9967,31,0)</f>
        <v>aws s3 cp s3://rtdc.mdm.uploadarchive.raw/RTDC4010/ "%USERPROFILE%\AppData\Local\Temp\OnboardLogs"\RTDC4010\2017-09-21 --exclude "*" --recursive --include "*20170921*" &amp; "%USERPROFILE%\Documents\GitHub\mrs-test-scripts\Headless Mode &amp; Sideloading\WalkAndUnGZ.bat" "%USERPROFILE%\AppData\Local\Temp\OnboardLogs"\RTDC4010\2017-09-21 &amp; aws s3 cp s3://rtdc.mdm.uploadarchive.raw/RTDC4010/ "%USERPROFILE%\AppData\Local\Temp\OnboardLogs"\RTDC4010\2017-09-22 --exclude "*" --recursive --include "*20170922*" &amp; "%USERPROFILE%\Documents\GitHub\mrs-test-scripts\Headless Mode &amp; Sideloading\WalkAndUnGZ.bat" "%USERPROFILE%\AppData\Local\Temp\OnboardLogs"\RTDC4010\2017-09-22</v>
      </c>
      <c r="S44" s="84" t="str">
        <f>VLOOKUP(C44,'Train Runs'!$A$13:$AE$9967,22,0)</f>
        <v>https://d0f6bd738d7f1b3e5a7ca70fe4ff75f0.us-east-1.aws.found.io/app/kibana#/discover/Steve-Slow-Train-Analysis-(2080s-and-2083s)?_g=(refreshInterval:(display:Off,pause:!f,section:0,value:0),time:(from:'2017-09-21T13:11:32-0600',mode:absolute,to:'2017-09-21T15:19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4" s="86" t="str">
        <f t="shared" si="1"/>
        <v>"C:\Program Files (x86)\AstroGrep\AstroGrep.exe" /e /r /s /spath="%USERPROFILE%\AppData\Local\Temp\OnboardLogs" /stypes="*4010*201709212*" /stext=" 20:.+((SYSTEM_STATE.+slice.+state.+changed )|(ment ac)|(multiple cpu faults)|(system.+state.+changed )|(\[timeout)|(PRM\|1\|D)|(kpr)|(kdp)|(train st.+moving)|(\|lc)|(penalty))"</v>
      </c>
      <c r="U44" s="9" t="str">
        <f t="shared" si="2"/>
        <v>4010</v>
      </c>
      <c r="V44" s="31">
        <f t="shared" si="3"/>
        <v>42999.846412037034</v>
      </c>
      <c r="W44" s="45" t="str">
        <f t="shared" si="4"/>
        <v>Shuttle/Test</v>
      </c>
      <c r="X44" s="22">
        <f t="shared" si="5"/>
        <v>61</v>
      </c>
      <c r="Y44" s="96" t="str">
        <f t="shared" si="6"/>
        <v>echo {"issue":{"subject":"","project_id":79,"tracker_id":40,"status_id":1,"priority_id":2,"assigned_to_id":338,"start_date":"2017-09-21","description":"","custom_fields":[{"id":1,"name":"Subdivision","value":"Shuttle/Test"},{"id":4,"name":"Milepost","value":"0"},{"id":17,"name":"Train ID","value":"61-21"},{"id":16,"name":"Locomotive ID","value":"4010"},{"id":130,"name":"Impact","value":""},{"id":150,"name":"Time of Event (Mountain Time)","value":"14:18:50"},{"id":151,"name":"Denver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7"/>
        <v>grep -hrE -A400 "Enforcement Action" /c/Users/stu/AppData/Local/Temp/OnboardLogs/RTDC4010 --include="*4010*201709212*"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"%USERPROFILE%\AppData\Local\Temp\OnboardLogs"\RTDC4010\*4010*201709212* &gt;&gt; 2017-09-21-SliceDisagreementCheck.txt</v>
      </c>
      <c r="AE44" s="145" t="str">
        <f t="shared" si="9"/>
        <v>start /low /b %USERPROFILE%\Documents\GitHub\eaglep3\Utilities\DownloadLogsFromS3.py --loco 4010 --day 2017-09-21</v>
      </c>
      <c r="AF44" s="1"/>
    </row>
    <row r="45" spans="1:32" x14ac:dyDescent="0.25">
      <c r="A45" s="31">
        <v>42999.453206018516</v>
      </c>
      <c r="B45" s="30" t="s">
        <v>508</v>
      </c>
      <c r="C45" s="30" t="s">
        <v>600</v>
      </c>
      <c r="D45" s="30" t="s">
        <v>49</v>
      </c>
      <c r="E45" s="30" t="s">
        <v>180</v>
      </c>
      <c r="F45" s="42">
        <v>0</v>
      </c>
      <c r="G45" s="42">
        <v>36</v>
      </c>
      <c r="H45" s="42">
        <v>917</v>
      </c>
      <c r="I45" s="42">
        <v>885</v>
      </c>
      <c r="J45" s="30" t="s">
        <v>181</v>
      </c>
      <c r="K45" s="42">
        <v>826</v>
      </c>
      <c r="L45" s="131" t="s">
        <v>51</v>
      </c>
      <c r="M45" s="132">
        <f t="shared" si="0"/>
        <v>31.152000000000001</v>
      </c>
      <c r="N45" s="133" t="str">
        <f>VLOOKUP(C45,'Trips&amp;Operators'!$C$1:$G$99911,5,FALSE)</f>
        <v>SPECTOR MICHAEL</v>
      </c>
      <c r="O45" s="176" t="s">
        <v>179</v>
      </c>
      <c r="P45" s="134"/>
      <c r="Q45" s="30"/>
      <c r="R45" s="81" t="str">
        <f>VLOOKUP(C45,'Train Runs'!$A$13:$AE$9967,31,0)</f>
        <v>aws s3 cp s3://rtdc.mdm.uploadarchive.raw/RTDC4006/ "%USERPROFILE%\AppData\Local\Temp\OnboardLogs"\RTDC4006\2017-09-21 --exclude "*" --recursive --include "*20170921*" &amp; "%USERPROFILE%\Documents\GitHub\mrs-test-scripts\Headless Mode &amp; Sideloading\WalkAndUnGZ.bat" "%USERPROFILE%\AppData\Local\Temp\OnboardLogs"\RTDC4006\2017-09-21 &amp; aws s3 cp s3://rtdc.mdm.uploadarchive.raw/RTDC4006/ "%USERPROFILE%\AppData\Local\Temp\OnboardLogs"\RTDC4006\2017-09-22 --exclude "*" --recursive --include "*20170922*" &amp; "%USERPROFILE%\Documents\GitHub\mrs-test-scripts\Headless Mode &amp; Sideloading\WalkAndUnGZ.bat" "%USERPROFILE%\AppData\Local\Temp\OnboardLogs"\RTDC4006\2017-09-22</v>
      </c>
      <c r="S45" s="84" t="str">
        <f>VLOOKUP(C45,'Train Runs'!$A$13:$AE$9967,22,0)</f>
        <v>https://d0f6bd738d7f1b3e5a7ca70fe4ff75f0.us-east-1.aws.found.io/app/kibana#/discover/Steve-Slow-Train-Analysis-(2080s-and-2083s)?_g=(refreshInterval:(display:Off,pause:!f,section:0,value:0),time:(from:'2017-09-21T02:04:30-0600',mode:absolute,to:'2017-09-21T04:18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45" s="86" t="str">
        <f t="shared" si="1"/>
        <v>"C:\Program Files (x86)\AstroGrep\AstroGrep.exe" /e /r /s /spath="%USERPROFILE%\AppData\Local\Temp\OnboardLogs" /stypes="*4001*201709211*" /stext=" 16:.+((SYSTEM_STATE.+slice.+state.+changed )|(ment ac)|(multiple cpu faults)|(system.+state.+changed )|(\[timeout)|(PRM\|1\|D)|(kpr)|(kdp)|(train st.+moving)|(\|lc)|(penalty))"</v>
      </c>
      <c r="U45" s="9" t="str">
        <f t="shared" si="2"/>
        <v>4001</v>
      </c>
      <c r="V45" s="31">
        <f t="shared" si="3"/>
        <v>42999.703206018516</v>
      </c>
      <c r="W45" s="45" t="str">
        <f t="shared" si="4"/>
        <v>Shuttle/Test</v>
      </c>
      <c r="X45" s="22">
        <f t="shared" si="5"/>
        <v>51</v>
      </c>
      <c r="Y45" s="96" t="str">
        <f t="shared" si="6"/>
        <v>echo {"issue":{"subject":"","project_id":79,"tracker_id":40,"status_id":1,"priority_id":2,"assigned_to_id":338,"start_date":"2017-09-21","description":"","custom_fields":[{"id":1,"name":"Subdivision","value":"Shuttle/Test"},{"id":4,"name":"Milepost","value":"0.0826"},{"id":17,"name":"Train ID","value":"51-21"},{"id":16,"name":"Locomotive ID","value":"4001"},{"id":130,"name":"Impact","value":""},{"id":150,"name":"Time of Event (Mountain Time)","value":"10:52:37"},{"id":151,"name":"Denver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7"/>
        <v>grep -hrE -A400 "Enforcement Action" /c/Users/stu/AppData/Local/Temp/OnboardLogs/RTDC4001 --include="*4001*201709211*"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"%USERPROFILE%\AppData\Local\Temp\OnboardLogs"\RTDC4001\*4001*201709211* &gt;&gt; 2017-09-21-SliceDisagreementCheck.txt</v>
      </c>
      <c r="AE45" s="145" t="str">
        <f t="shared" si="9"/>
        <v>start /low /b %USERPROFILE%\Documents\GitHub\eaglep3\Utilities\DownloadLogsFromS3.py --loco 4001 --day 2017-09-21</v>
      </c>
      <c r="AF45" s="1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</sheetData>
  <autoFilter ref="A6:AC45">
    <sortState ref="A7:AC45">
      <sortCondition ref="W7:W45"/>
      <sortCondition ref="E7:E45"/>
      <sortCondition ref="K7:K45"/>
      <sortCondition ref="F7:F45"/>
    </sortState>
  </autoFilter>
  <sortState ref="A7:AE27">
    <sortCondition ref="W7:W27"/>
    <sortCondition ref="E7:E27"/>
    <sortCondition ref="K7:K27"/>
    <sortCondition ref="C7:C27"/>
    <sortCondition ref="F7:F27"/>
  </sortState>
  <mergeCells count="1">
    <mergeCell ref="A5:O5"/>
  </mergeCells>
  <conditionalFormatting sqref="O6:P6 R6 O55:O1048576 O7:O45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5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AA7:AA45</xm:sqref>
        </x14:dataValidation>
        <x14:dataValidation type="list" allowBlank="1" showInputMessage="1" showErrorMessage="1">
          <x14:formula1>
            <xm:f>'Redmine List Values'!$C$2:$C$15</xm:f>
          </x14:formula1>
          <xm:sqref>AB7:AB45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5" x14ac:dyDescent="0.25"/>
  <cols>
    <col min="1" max="1" width="8" style="196" customWidth="1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9" customWidth="1"/>
    <col min="10" max="10" width="9.140625" customWidth="1"/>
  </cols>
  <sheetData>
    <row r="1" spans="1:10" s="20" customFormat="1" x14ac:dyDescent="0.25">
      <c r="A1" s="196"/>
      <c r="B1" s="227" t="str">
        <f>"Trips that did not appear in PTC Data "&amp;TEXT(Variables!$A$2,"YYYY-mm-dd")</f>
        <v>Trips that did not appear in PTC Data 2017-09-21</v>
      </c>
      <c r="C1" s="227"/>
      <c r="D1" s="227"/>
      <c r="E1" s="227"/>
      <c r="F1" s="227"/>
      <c r="I1" s="189"/>
    </row>
    <row r="2" spans="1:10" s="23" customFormat="1" ht="45" x14ac:dyDescent="0.25">
      <c r="A2" s="224" t="s">
        <v>147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25">
      <c r="A3" s="198"/>
      <c r="B3" s="42" t="str">
        <f>A3&amp;"-"&amp;IF(DAY(Variables!$A$2)&lt;10,0,"")&amp;DAY(Variables!$A$2)</f>
        <v>-21</v>
      </c>
      <c r="C3" s="135"/>
      <c r="D3" s="153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" s="30" t="e">
        <f>VLOOKUP(B3,'Train Runs'!$A$13:$A$99964,1,FALSE)</f>
        <v>#N/A</v>
      </c>
    </row>
    <row r="4" spans="1:10" x14ac:dyDescent="0.25">
      <c r="A4" s="198"/>
      <c r="B4" s="42" t="str">
        <f>A4&amp;"-"&amp;IF(DAY(Variables!$A$2)&lt;10,0,"")&amp;DAY(Variables!$A$2)</f>
        <v>-21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" s="30" t="e">
        <f>VLOOKUP(B4,'Train Runs'!$A$13:$A$99964,1,FALSE)</f>
        <v>#N/A</v>
      </c>
    </row>
    <row r="5" spans="1:10" x14ac:dyDescent="0.25">
      <c r="A5" s="198"/>
      <c r="B5" s="42" t="str">
        <f>A5&amp;"-"&amp;IF(DAY(Variables!$A$2)&lt;10,0,"")&amp;DAY(Variables!$A$2)</f>
        <v>-21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" s="30" t="e">
        <f>VLOOKUP(B5,'Train Runs'!$A$13:$A$99964,1,FALSE)</f>
        <v>#N/A</v>
      </c>
    </row>
    <row r="6" spans="1:10" x14ac:dyDescent="0.25">
      <c r="A6" s="198"/>
      <c r="B6" s="42" t="str">
        <f>A6&amp;"-"&amp;IF(DAY(Variables!$A$2)&lt;10,0,"")&amp;DAY(Variables!$A$2)</f>
        <v>-21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" s="30" t="e">
        <f>VLOOKUP(B6,'Train Runs'!$A$13:$A$99964,1,FALSE)</f>
        <v>#N/A</v>
      </c>
    </row>
    <row r="7" spans="1:10" x14ac:dyDescent="0.25">
      <c r="A7" s="198"/>
      <c r="B7" s="42" t="str">
        <f>A7&amp;"-"&amp;IF(DAY(Variables!$A$2)&lt;10,0,"")&amp;DAY(Variables!$A$2)</f>
        <v>-21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" s="30" t="e">
        <f>VLOOKUP(B7,'Train Runs'!$A$13:$A$99964,1,FALSE)</f>
        <v>#N/A</v>
      </c>
    </row>
    <row r="8" spans="1:10" x14ac:dyDescent="0.25">
      <c r="A8" s="198"/>
      <c r="B8" s="42" t="str">
        <f>A8&amp;"-"&amp;IF(DAY(Variables!$A$2)&lt;10,0,"")&amp;DAY(Variables!$A$2)</f>
        <v>-21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" s="30" t="e">
        <f>VLOOKUP(B8,'Train Runs'!$A$13:$A$99964,1,FALSE)</f>
        <v>#N/A</v>
      </c>
    </row>
    <row r="9" spans="1:10" x14ac:dyDescent="0.25">
      <c r="A9" s="198"/>
      <c r="B9" s="42" t="str">
        <f>A9&amp;"-"&amp;IF(DAY(Variables!$A$2)&lt;10,0,"")&amp;DAY(Variables!$A$2)</f>
        <v>-21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" s="30" t="e">
        <f>VLOOKUP(B9,'Train Runs'!$A$13:$A$99964,1,FALSE)</f>
        <v>#N/A</v>
      </c>
    </row>
    <row r="10" spans="1:10" x14ac:dyDescent="0.25">
      <c r="A10" s="198"/>
      <c r="B10" s="42" t="str">
        <f>A10&amp;"-"&amp;IF(DAY(Variables!$A$2)&lt;10,0,"")&amp;DAY(Variables!$A$2)</f>
        <v>-21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" s="30" t="e">
        <f>VLOOKUP(B10,'Train Runs'!$A$13:$A$99964,1,FALSE)</f>
        <v>#N/A</v>
      </c>
    </row>
    <row r="11" spans="1:10" x14ac:dyDescent="0.25">
      <c r="A11" s="198"/>
      <c r="B11" s="42" t="str">
        <f>A11&amp;"-"&amp;IF(DAY(Variables!$A$2)&lt;10,0,"")&amp;DAY(Variables!$A$2)</f>
        <v>-21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1" s="30" t="e">
        <f>VLOOKUP(B11,'Train Runs'!$A$13:$A$99964,1,FALSE)</f>
        <v>#N/A</v>
      </c>
    </row>
    <row r="12" spans="1:10" x14ac:dyDescent="0.25">
      <c r="A12" s="198"/>
      <c r="B12" s="42" t="str">
        <f>A12&amp;"-"&amp;IF(DAY(Variables!$A$2)&lt;10,0,"")&amp;DAY(Variables!$A$2)</f>
        <v>-21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2" s="30" t="e">
        <f>VLOOKUP(B12,'Train Runs'!$A$13:$A$99964,1,FALSE)</f>
        <v>#N/A</v>
      </c>
    </row>
    <row r="13" spans="1:10" x14ac:dyDescent="0.25">
      <c r="A13" s="198"/>
      <c r="B13" s="42" t="str">
        <f>A13&amp;"-"&amp;IF(DAY(Variables!$A$2)&lt;10,0,"")&amp;DAY(Variables!$A$2)</f>
        <v>-21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3" s="30" t="e">
        <f>VLOOKUP(B13,'Train Runs'!$A$13:$A$99964,1,FALSE)</f>
        <v>#N/A</v>
      </c>
    </row>
    <row r="14" spans="1:10" x14ac:dyDescent="0.25">
      <c r="A14" s="198"/>
      <c r="B14" s="42" t="str">
        <f>A14&amp;"-"&amp;IF(DAY(Variables!$A$2)&lt;10,0,"")&amp;DAY(Variables!$A$2)</f>
        <v>-21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4" s="30" t="e">
        <f>VLOOKUP(B14,'Train Runs'!$A$13:$A$99964,1,FALSE)</f>
        <v>#N/A</v>
      </c>
    </row>
    <row r="15" spans="1:10" x14ac:dyDescent="0.25">
      <c r="A15" s="198"/>
      <c r="B15" s="42" t="str">
        <f>A15&amp;"-"&amp;IF(DAY(Variables!$A$2)&lt;10,0,"")&amp;DAY(Variables!$A$2)</f>
        <v>-21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5" s="30" t="e">
        <f>VLOOKUP(B15,'Train Runs'!$A$13:$A$99964,1,FALSE)</f>
        <v>#N/A</v>
      </c>
    </row>
    <row r="16" spans="1:10" x14ac:dyDescent="0.25">
      <c r="A16" s="198"/>
      <c r="B16" s="42" t="str">
        <f>A16&amp;"-"&amp;IF(DAY(Variables!$A$2)&lt;10,0,"")&amp;DAY(Variables!$A$2)</f>
        <v>-21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6" s="30" t="e">
        <f>VLOOKUP(B16,'Train Runs'!$A$13:$A$99964,1,FALSE)</f>
        <v>#N/A</v>
      </c>
    </row>
    <row r="17" spans="1:10" x14ac:dyDescent="0.25">
      <c r="A17" s="198"/>
      <c r="B17" s="42" t="str">
        <f>A17&amp;"-"&amp;IF(DAY(Variables!$A$2)&lt;10,0,"")&amp;DAY(Variables!$A$2)</f>
        <v>-21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7" s="30" t="e">
        <f>VLOOKUP(B17,'Train Runs'!$A$13:$A$99964,1,FALSE)</f>
        <v>#N/A</v>
      </c>
    </row>
    <row r="18" spans="1:10" x14ac:dyDescent="0.25">
      <c r="A18" s="198"/>
      <c r="B18" s="42" t="str">
        <f>A18&amp;"-"&amp;IF(DAY(Variables!$A$2)&lt;10,0,"")&amp;DAY(Variables!$A$2)</f>
        <v>-21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8" s="30" t="e">
        <f>VLOOKUP(B18,'Train Runs'!$A$13:$A$99964,1,FALSE)</f>
        <v>#N/A</v>
      </c>
    </row>
    <row r="19" spans="1:10" x14ac:dyDescent="0.25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25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25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25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25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25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25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25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25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25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25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25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25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25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25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25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25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25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25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25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25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25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25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25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25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25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25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25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25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25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25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25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25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25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25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25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25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25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25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25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25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25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25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25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25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25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25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25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25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25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25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25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25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25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25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25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3"/>
  <sheetViews>
    <sheetView topLeftCell="A1035" workbookViewId="0">
      <selection sqref="A1:F26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169</v>
      </c>
      <c r="B1" s="20" t="s">
        <v>170</v>
      </c>
      <c r="C1" s="20" t="s">
        <v>0</v>
      </c>
      <c r="D1" s="138" t="s">
        <v>171</v>
      </c>
      <c r="E1" s="20" t="s">
        <v>172</v>
      </c>
      <c r="F1" s="20" t="s">
        <v>189</v>
      </c>
      <c r="G1" s="8" t="s">
        <v>188</v>
      </c>
      <c r="H1" s="20" t="s">
        <v>60</v>
      </c>
    </row>
    <row r="2" spans="1:8" x14ac:dyDescent="0.25">
      <c r="A2" s="8">
        <v>42999.038171296299</v>
      </c>
      <c r="B2" s="20" t="s">
        <v>453</v>
      </c>
      <c r="C2" s="20" t="s">
        <v>537</v>
      </c>
      <c r="D2" s="138">
        <v>890000</v>
      </c>
      <c r="E2" s="20" t="s">
        <v>371</v>
      </c>
      <c r="F2" s="20" t="s">
        <v>372</v>
      </c>
      <c r="G2" s="8" t="str">
        <f>E2&amp;" "&amp;F2</f>
        <v>LOZA FIDEL</v>
      </c>
      <c r="H2" t="str">
        <f>MID(B2,13,4)</f>
        <v>4039</v>
      </c>
    </row>
    <row r="3" spans="1:8" x14ac:dyDescent="0.25">
      <c r="A3" s="8">
        <v>42999.046215277776</v>
      </c>
      <c r="B3" s="20" t="s">
        <v>509</v>
      </c>
      <c r="C3" s="20" t="s">
        <v>538</v>
      </c>
      <c r="D3" s="138">
        <v>2680000</v>
      </c>
      <c r="E3" s="20" t="s">
        <v>383</v>
      </c>
      <c r="F3" s="20" t="s">
        <v>384</v>
      </c>
      <c r="G3" s="8" t="str">
        <f t="shared" ref="G3:G66" si="0">E3&amp;" "&amp;F3</f>
        <v>DUNCAN SHEILA</v>
      </c>
      <c r="H3" s="20" t="str">
        <f t="shared" ref="H3:H66" si="1">MID(B3,13,4)</f>
        <v>4064</v>
      </c>
    </row>
    <row r="4" spans="1:8" x14ac:dyDescent="0.25">
      <c r="A4" s="8">
        <v>42999.056111111109</v>
      </c>
      <c r="B4" s="20" t="s">
        <v>506</v>
      </c>
      <c r="C4" s="20" t="s">
        <v>538</v>
      </c>
      <c r="D4" s="138">
        <v>2680000</v>
      </c>
      <c r="E4" s="20" t="s">
        <v>383</v>
      </c>
      <c r="F4" s="20" t="s">
        <v>384</v>
      </c>
      <c r="G4" s="8" t="str">
        <f t="shared" si="0"/>
        <v>DUNCAN SHEILA</v>
      </c>
      <c r="H4" s="20" t="str">
        <f t="shared" si="1"/>
        <v>4063</v>
      </c>
    </row>
    <row r="5" spans="1:8" x14ac:dyDescent="0.25">
      <c r="A5" s="8">
        <v>42999.058923611112</v>
      </c>
      <c r="B5" s="20" t="s">
        <v>421</v>
      </c>
      <c r="C5" s="20" t="s">
        <v>511</v>
      </c>
      <c r="D5" s="138">
        <v>3190000</v>
      </c>
      <c r="E5" s="20" t="s">
        <v>387</v>
      </c>
      <c r="F5" s="20" t="s">
        <v>388</v>
      </c>
      <c r="G5" s="8" t="str">
        <f t="shared" si="0"/>
        <v>HART KEVIN</v>
      </c>
      <c r="H5" s="20" t="str">
        <f t="shared" si="1"/>
        <v>4043</v>
      </c>
    </row>
    <row r="6" spans="1:8" x14ac:dyDescent="0.25">
      <c r="A6" s="8">
        <v>42999.067094907405</v>
      </c>
      <c r="B6" s="20" t="s">
        <v>457</v>
      </c>
      <c r="C6" s="20" t="s">
        <v>539</v>
      </c>
      <c r="D6" s="138">
        <v>890000</v>
      </c>
      <c r="E6" s="20" t="s">
        <v>371</v>
      </c>
      <c r="F6" s="20" t="s">
        <v>372</v>
      </c>
      <c r="G6" s="8" t="str">
        <f t="shared" si="0"/>
        <v>LOZA FIDEL</v>
      </c>
      <c r="H6" s="20" t="str">
        <f t="shared" si="1"/>
        <v>4040</v>
      </c>
    </row>
    <row r="7" spans="1:8" x14ac:dyDescent="0.25">
      <c r="A7" s="8">
        <v>42999.070891203701</v>
      </c>
      <c r="B7" s="20" t="s">
        <v>509</v>
      </c>
      <c r="C7" s="20" t="s">
        <v>538</v>
      </c>
      <c r="D7" s="138">
        <v>2680000</v>
      </c>
      <c r="E7" s="20" t="s">
        <v>383</v>
      </c>
      <c r="F7" s="20" t="s">
        <v>384</v>
      </c>
      <c r="G7" s="8" t="str">
        <f t="shared" si="0"/>
        <v>DUNCAN SHEILA</v>
      </c>
      <c r="H7" s="20" t="str">
        <f t="shared" si="1"/>
        <v>4064</v>
      </c>
    </row>
    <row r="8" spans="1:8" x14ac:dyDescent="0.25">
      <c r="A8" s="8">
        <v>42999.07104166667</v>
      </c>
      <c r="B8" s="20" t="s">
        <v>421</v>
      </c>
      <c r="C8" s="20" t="s">
        <v>511</v>
      </c>
      <c r="D8" s="138">
        <v>3190000</v>
      </c>
      <c r="E8" s="20" t="s">
        <v>387</v>
      </c>
      <c r="F8" s="20" t="s">
        <v>388</v>
      </c>
      <c r="G8" s="8" t="str">
        <f t="shared" si="0"/>
        <v>HART KEVIN</v>
      </c>
      <c r="H8" s="20" t="str">
        <f t="shared" si="1"/>
        <v>4043</v>
      </c>
    </row>
    <row r="9" spans="1:8" ht="15.75" thickBot="1" x14ac:dyDescent="0.3">
      <c r="A9" s="24">
        <v>42999.089884259258</v>
      </c>
      <c r="B9" s="20" t="s">
        <v>479</v>
      </c>
      <c r="C9" s="20" t="s">
        <v>540</v>
      </c>
      <c r="D9" s="138">
        <v>3190000</v>
      </c>
      <c r="E9" s="20" t="s">
        <v>387</v>
      </c>
      <c r="F9" s="20" t="s">
        <v>388</v>
      </c>
      <c r="G9" s="8" t="str">
        <f t="shared" si="0"/>
        <v>HART KEVIN</v>
      </c>
      <c r="H9" s="20" t="str">
        <f t="shared" si="1"/>
        <v>4044</v>
      </c>
    </row>
    <row r="10" spans="1:8" x14ac:dyDescent="0.25">
      <c r="A10" s="8">
        <v>42999.114386574074</v>
      </c>
      <c r="B10" s="20" t="s">
        <v>438</v>
      </c>
      <c r="C10" s="20" t="s">
        <v>541</v>
      </c>
      <c r="D10" s="138">
        <v>1830000</v>
      </c>
      <c r="E10" s="20" t="s">
        <v>422</v>
      </c>
      <c r="F10" s="20" t="s">
        <v>423</v>
      </c>
      <c r="G10" s="8" t="str">
        <f t="shared" si="0"/>
        <v>YORK EDGAR</v>
      </c>
      <c r="H10" s="20" t="str">
        <f t="shared" si="1"/>
        <v>4005</v>
      </c>
    </row>
    <row r="11" spans="1:8" x14ac:dyDescent="0.25">
      <c r="A11" s="8">
        <v>42999.124849537038</v>
      </c>
      <c r="B11" s="20" t="s">
        <v>437</v>
      </c>
      <c r="C11" s="20" t="s">
        <v>618</v>
      </c>
      <c r="D11" s="138">
        <v>1830000</v>
      </c>
      <c r="E11" s="20" t="s">
        <v>422</v>
      </c>
      <c r="F11" s="20" t="s">
        <v>423</v>
      </c>
      <c r="G11" s="8" t="str">
        <f t="shared" si="0"/>
        <v>YORK EDGAR</v>
      </c>
      <c r="H11" s="20" t="str">
        <f t="shared" si="1"/>
        <v>4056</v>
      </c>
    </row>
    <row r="12" spans="1:8" x14ac:dyDescent="0.25">
      <c r="A12" s="8">
        <v>42999.128750000003</v>
      </c>
      <c r="B12" s="20" t="s">
        <v>619</v>
      </c>
      <c r="C12" s="20" t="s">
        <v>600</v>
      </c>
      <c r="D12" s="138">
        <v>1090000</v>
      </c>
      <c r="E12" s="20" t="s">
        <v>620</v>
      </c>
      <c r="F12" s="20" t="s">
        <v>190</v>
      </c>
      <c r="G12" s="8" t="str">
        <f t="shared" si="0"/>
        <v>SPECTOR MICHAEL</v>
      </c>
      <c r="H12" s="20" t="str">
        <f t="shared" si="1"/>
        <v>4006</v>
      </c>
    </row>
    <row r="13" spans="1:8" x14ac:dyDescent="0.25">
      <c r="A13" s="8">
        <v>42999.134201388886</v>
      </c>
      <c r="B13" s="20" t="s">
        <v>400</v>
      </c>
      <c r="C13" s="20" t="s">
        <v>621</v>
      </c>
      <c r="D13" s="138">
        <v>1110000</v>
      </c>
      <c r="E13" s="20" t="s">
        <v>622</v>
      </c>
      <c r="F13" s="20" t="s">
        <v>623</v>
      </c>
      <c r="G13" s="8" t="str">
        <f t="shared" si="0"/>
        <v>STARKS ANGELINA</v>
      </c>
      <c r="H13" s="20" t="str">
        <f t="shared" si="1"/>
        <v>4029</v>
      </c>
    </row>
    <row r="14" spans="1:8" x14ac:dyDescent="0.25">
      <c r="A14" s="8">
        <v>42999.139768518522</v>
      </c>
      <c r="B14" s="20" t="s">
        <v>438</v>
      </c>
      <c r="C14" s="20" t="s">
        <v>624</v>
      </c>
      <c r="D14" s="138">
        <v>1090000</v>
      </c>
      <c r="E14" s="20" t="s">
        <v>620</v>
      </c>
      <c r="F14" s="20" t="s">
        <v>190</v>
      </c>
      <c r="G14" s="8" t="str">
        <f t="shared" si="0"/>
        <v>SPECTOR MICHAEL</v>
      </c>
      <c r="H14" s="20" t="str">
        <f t="shared" si="1"/>
        <v>4005</v>
      </c>
    </row>
    <row r="15" spans="1:8" x14ac:dyDescent="0.25">
      <c r="A15" s="8">
        <v>42999.152349537035</v>
      </c>
      <c r="B15" s="20" t="s">
        <v>374</v>
      </c>
      <c r="C15" s="20" t="s">
        <v>625</v>
      </c>
      <c r="D15" s="138">
        <v>1110000</v>
      </c>
      <c r="E15" s="20" t="s">
        <v>622</v>
      </c>
      <c r="F15" s="20" t="s">
        <v>623</v>
      </c>
      <c r="G15" s="8" t="str">
        <f t="shared" si="0"/>
        <v>STARKS ANGELINA</v>
      </c>
      <c r="H15" s="20" t="str">
        <f t="shared" si="1"/>
        <v>4030</v>
      </c>
    </row>
    <row r="16" spans="1:8" x14ac:dyDescent="0.25">
      <c r="A16" s="8">
        <v>42999.156793981485</v>
      </c>
      <c r="B16" s="20" t="s">
        <v>626</v>
      </c>
      <c r="C16" s="20" t="s">
        <v>627</v>
      </c>
      <c r="D16" s="138">
        <v>3260000</v>
      </c>
      <c r="E16" s="20" t="s">
        <v>520</v>
      </c>
      <c r="F16" s="20" t="s">
        <v>521</v>
      </c>
      <c r="G16" s="8" t="str">
        <f t="shared" si="0"/>
        <v>PAGE MARCUS</v>
      </c>
      <c r="H16" s="20" t="str">
        <f t="shared" si="1"/>
        <v>4013</v>
      </c>
    </row>
    <row r="17" spans="1:8" x14ac:dyDescent="0.25">
      <c r="A17" s="8">
        <v>42999.161145833335</v>
      </c>
      <c r="B17" s="20" t="s">
        <v>602</v>
      </c>
      <c r="C17" s="20" t="s">
        <v>628</v>
      </c>
      <c r="D17" s="138">
        <v>1830000</v>
      </c>
      <c r="E17" s="20" t="s">
        <v>422</v>
      </c>
      <c r="F17" s="20" t="s">
        <v>423</v>
      </c>
      <c r="G17" s="8" t="str">
        <f t="shared" si="0"/>
        <v>YORK EDGAR</v>
      </c>
      <c r="H17" s="20" t="str">
        <f t="shared" si="1"/>
        <v>4055</v>
      </c>
    </row>
    <row r="18" spans="1:8" x14ac:dyDescent="0.25">
      <c r="A18" s="8">
        <v>42999.170277777775</v>
      </c>
      <c r="B18" s="20" t="s">
        <v>391</v>
      </c>
      <c r="C18" s="20" t="s">
        <v>629</v>
      </c>
      <c r="D18" s="138">
        <v>1100000</v>
      </c>
      <c r="E18" s="20" t="s">
        <v>516</v>
      </c>
      <c r="F18" s="20" t="s">
        <v>517</v>
      </c>
      <c r="G18" s="8" t="str">
        <f t="shared" si="0"/>
        <v>GEBRETEKLE DAGNEW</v>
      </c>
      <c r="H18" s="20" t="str">
        <f t="shared" si="1"/>
        <v>4015</v>
      </c>
    </row>
    <row r="19" spans="1:8" x14ac:dyDescent="0.25">
      <c r="A19" s="8">
        <v>42999.175254629627</v>
      </c>
      <c r="B19" s="20" t="s">
        <v>456</v>
      </c>
      <c r="C19" s="20" t="s">
        <v>630</v>
      </c>
      <c r="D19" s="138">
        <v>3040000</v>
      </c>
      <c r="E19" s="20" t="s">
        <v>631</v>
      </c>
      <c r="F19" s="20" t="s">
        <v>632</v>
      </c>
      <c r="G19" s="8" t="str">
        <f t="shared" si="0"/>
        <v>WILLIAMS DONTE</v>
      </c>
      <c r="H19" s="20" t="str">
        <f t="shared" si="1"/>
        <v>4017</v>
      </c>
    </row>
    <row r="20" spans="1:8" x14ac:dyDescent="0.25">
      <c r="A20" s="8">
        <v>42999.176157407404</v>
      </c>
      <c r="B20" s="20" t="s">
        <v>633</v>
      </c>
      <c r="C20" s="20" t="s">
        <v>634</v>
      </c>
      <c r="D20" s="138">
        <v>3260000</v>
      </c>
      <c r="E20" s="20" t="s">
        <v>520</v>
      </c>
      <c r="F20" s="20" t="s">
        <v>521</v>
      </c>
      <c r="G20" s="8" t="str">
        <f t="shared" si="0"/>
        <v>PAGE MARCUS</v>
      </c>
      <c r="H20" s="20" t="str">
        <f t="shared" si="1"/>
        <v>4014</v>
      </c>
    </row>
    <row r="21" spans="1:8" x14ac:dyDescent="0.25">
      <c r="A21" s="8">
        <v>42999.182789351849</v>
      </c>
      <c r="B21" s="20" t="s">
        <v>392</v>
      </c>
      <c r="C21" s="20" t="s">
        <v>635</v>
      </c>
      <c r="D21" s="138">
        <v>1100000</v>
      </c>
      <c r="E21" s="20" t="s">
        <v>516</v>
      </c>
      <c r="F21" s="20" t="s">
        <v>517</v>
      </c>
      <c r="G21" s="8" t="str">
        <f t="shared" si="0"/>
        <v>GEBRETEKLE DAGNEW</v>
      </c>
      <c r="H21" s="20" t="str">
        <f t="shared" si="1"/>
        <v>4016</v>
      </c>
    </row>
    <row r="22" spans="1:8" x14ac:dyDescent="0.25">
      <c r="A22" s="26">
        <v>42999.18414351852</v>
      </c>
      <c r="B22" s="20" t="s">
        <v>400</v>
      </c>
      <c r="C22" s="20" t="s">
        <v>578</v>
      </c>
      <c r="D22" s="138">
        <v>1110000</v>
      </c>
      <c r="E22" s="20" t="s">
        <v>622</v>
      </c>
      <c r="F22" s="20" t="s">
        <v>623</v>
      </c>
      <c r="G22" s="8" t="str">
        <f t="shared" si="0"/>
        <v>STARKS ANGELINA</v>
      </c>
      <c r="H22" s="20" t="str">
        <f t="shared" si="1"/>
        <v>4029</v>
      </c>
    </row>
    <row r="23" spans="1:8" x14ac:dyDescent="0.25">
      <c r="A23" s="8">
        <v>42999.195937500001</v>
      </c>
      <c r="B23" s="20" t="s">
        <v>454</v>
      </c>
      <c r="C23" s="20" t="s">
        <v>636</v>
      </c>
      <c r="D23" s="138">
        <v>3040000</v>
      </c>
      <c r="E23" s="20" t="s">
        <v>631</v>
      </c>
      <c r="F23" s="20" t="s">
        <v>632</v>
      </c>
      <c r="G23" s="8" t="str">
        <f t="shared" si="0"/>
        <v>WILLIAMS DONTE</v>
      </c>
      <c r="H23" s="20" t="str">
        <f t="shared" si="1"/>
        <v>4018</v>
      </c>
    </row>
    <row r="24" spans="1:8" x14ac:dyDescent="0.25">
      <c r="A24" s="8">
        <v>42999.196608796294</v>
      </c>
      <c r="B24" s="20" t="s">
        <v>587</v>
      </c>
      <c r="C24" s="20" t="s">
        <v>637</v>
      </c>
      <c r="D24" s="138">
        <v>1230000</v>
      </c>
      <c r="E24" s="20" t="s">
        <v>518</v>
      </c>
      <c r="F24" s="20" t="s">
        <v>519</v>
      </c>
      <c r="G24" s="8" t="str">
        <f t="shared" si="0"/>
        <v>YANAI IAN</v>
      </c>
      <c r="H24" s="20" t="str">
        <f t="shared" si="1"/>
        <v>4009</v>
      </c>
    </row>
    <row r="25" spans="1:8" x14ac:dyDescent="0.25">
      <c r="A25" s="8">
        <v>42999.201423611114</v>
      </c>
      <c r="B25" s="20" t="s">
        <v>579</v>
      </c>
      <c r="C25" s="20" t="s">
        <v>580</v>
      </c>
      <c r="D25" s="138">
        <v>1990000</v>
      </c>
      <c r="E25" s="20" t="s">
        <v>344</v>
      </c>
      <c r="F25" s="20" t="s">
        <v>514</v>
      </c>
      <c r="G25" s="8" t="str">
        <f t="shared" si="0"/>
        <v>DAVIS WENDY</v>
      </c>
      <c r="H25" s="20" t="str">
        <f t="shared" si="1"/>
        <v>4054</v>
      </c>
    </row>
    <row r="26" spans="1:8" x14ac:dyDescent="0.25">
      <c r="A26" s="8">
        <v>42999.201724537037</v>
      </c>
      <c r="B26" s="20" t="s">
        <v>437</v>
      </c>
      <c r="C26" s="20" t="s">
        <v>638</v>
      </c>
      <c r="D26" s="138">
        <v>1830000</v>
      </c>
      <c r="E26" s="20" t="s">
        <v>422</v>
      </c>
      <c r="F26" s="20" t="s">
        <v>423</v>
      </c>
      <c r="G26" s="8" t="str">
        <f t="shared" si="0"/>
        <v>YORK EDGAR</v>
      </c>
      <c r="H26" s="20" t="str">
        <f t="shared" si="1"/>
        <v>4056</v>
      </c>
    </row>
    <row r="27" spans="1:8" x14ac:dyDescent="0.25">
      <c r="A27" s="8">
        <v>42999.205775462964</v>
      </c>
      <c r="B27" s="20" t="s">
        <v>455</v>
      </c>
      <c r="C27" s="20" t="s">
        <v>581</v>
      </c>
      <c r="D27" s="138">
        <v>1230000</v>
      </c>
      <c r="E27" s="20" t="s">
        <v>518</v>
      </c>
      <c r="F27" s="20" t="s">
        <v>519</v>
      </c>
      <c r="G27" s="8" t="str">
        <f t="shared" si="0"/>
        <v>YANAI IAN</v>
      </c>
      <c r="H27" s="20" t="str">
        <f t="shared" si="1"/>
        <v>4010</v>
      </c>
    </row>
    <row r="28" spans="1:8" x14ac:dyDescent="0.25">
      <c r="A28" s="8">
        <v>42999.213356481479</v>
      </c>
      <c r="B28" s="20" t="s">
        <v>626</v>
      </c>
      <c r="C28" s="20" t="s">
        <v>639</v>
      </c>
      <c r="D28" s="138">
        <v>3260000</v>
      </c>
      <c r="E28" s="20" t="s">
        <v>520</v>
      </c>
      <c r="F28" s="20" t="s">
        <v>521</v>
      </c>
      <c r="G28" s="8" t="str">
        <f t="shared" si="0"/>
        <v>PAGE MARCUS</v>
      </c>
      <c r="H28" s="20" t="str">
        <f t="shared" si="1"/>
        <v>4013</v>
      </c>
    </row>
    <row r="29" spans="1:8" x14ac:dyDescent="0.25">
      <c r="A29" s="8">
        <v>42999.214525462965</v>
      </c>
      <c r="B29" s="20" t="s">
        <v>391</v>
      </c>
      <c r="C29" s="20" t="s">
        <v>640</v>
      </c>
      <c r="D29" s="138">
        <v>1100000</v>
      </c>
      <c r="E29" s="20" t="s">
        <v>516</v>
      </c>
      <c r="F29" s="20" t="s">
        <v>517</v>
      </c>
      <c r="G29" s="8" t="str">
        <f t="shared" si="0"/>
        <v>GEBRETEKLE DAGNEW</v>
      </c>
      <c r="H29" s="20" t="str">
        <f t="shared" si="1"/>
        <v>4015</v>
      </c>
    </row>
    <row r="30" spans="1:8" x14ac:dyDescent="0.25">
      <c r="A30" s="8">
        <v>42999.215046296296</v>
      </c>
      <c r="B30" s="20" t="s">
        <v>585</v>
      </c>
      <c r="C30" s="20" t="s">
        <v>641</v>
      </c>
      <c r="D30" s="138">
        <v>1990000</v>
      </c>
      <c r="E30" s="20" t="s">
        <v>344</v>
      </c>
      <c r="F30" s="20" t="s">
        <v>514</v>
      </c>
      <c r="G30" s="8" t="str">
        <f t="shared" si="0"/>
        <v>DAVIS WENDY</v>
      </c>
      <c r="H30" s="20" t="str">
        <f t="shared" si="1"/>
        <v>4053</v>
      </c>
    </row>
    <row r="31" spans="1:8" x14ac:dyDescent="0.25">
      <c r="A31" s="8">
        <v>42999.219664351855</v>
      </c>
      <c r="B31" s="20" t="s">
        <v>608</v>
      </c>
      <c r="C31" s="20" t="s">
        <v>642</v>
      </c>
      <c r="D31" s="138">
        <v>2730000</v>
      </c>
      <c r="E31" s="20" t="s">
        <v>480</v>
      </c>
      <c r="F31" s="20" t="s">
        <v>481</v>
      </c>
      <c r="G31" s="8" t="str">
        <f t="shared" si="0"/>
        <v>YANG JAN</v>
      </c>
      <c r="H31" s="20" t="str">
        <f t="shared" si="1"/>
        <v>4051</v>
      </c>
    </row>
    <row r="32" spans="1:8" x14ac:dyDescent="0.25">
      <c r="A32" s="8">
        <v>42999.227627314816</v>
      </c>
      <c r="B32" s="20" t="s">
        <v>374</v>
      </c>
      <c r="C32" s="20" t="s">
        <v>643</v>
      </c>
      <c r="D32" s="138">
        <v>1110000</v>
      </c>
      <c r="E32" s="20" t="s">
        <v>622</v>
      </c>
      <c r="F32" s="20" t="s">
        <v>623</v>
      </c>
      <c r="G32" s="8" t="str">
        <f t="shared" si="0"/>
        <v>STARKS ANGELINA</v>
      </c>
      <c r="H32" s="20" t="str">
        <f t="shared" si="1"/>
        <v>4030</v>
      </c>
    </row>
    <row r="33" spans="1:8" x14ac:dyDescent="0.25">
      <c r="A33" s="8">
        <v>42999.233784722222</v>
      </c>
      <c r="B33" s="20" t="s">
        <v>579</v>
      </c>
      <c r="C33" s="20" t="s">
        <v>582</v>
      </c>
      <c r="D33" s="138">
        <v>1990000</v>
      </c>
      <c r="E33" s="20" t="s">
        <v>344</v>
      </c>
      <c r="F33" s="20" t="s">
        <v>514</v>
      </c>
      <c r="G33" s="8" t="str">
        <f t="shared" si="0"/>
        <v>DAVIS WENDY</v>
      </c>
      <c r="H33" s="20" t="str">
        <f t="shared" si="1"/>
        <v>4054</v>
      </c>
    </row>
    <row r="34" spans="1:8" x14ac:dyDescent="0.25">
      <c r="A34" s="8">
        <v>42999.234016203707</v>
      </c>
      <c r="B34" s="20" t="s">
        <v>602</v>
      </c>
      <c r="C34" s="20" t="s">
        <v>644</v>
      </c>
      <c r="D34" s="138">
        <v>1830000</v>
      </c>
      <c r="E34" s="20" t="s">
        <v>422</v>
      </c>
      <c r="F34" s="20" t="s">
        <v>423</v>
      </c>
      <c r="G34" s="8" t="str">
        <f t="shared" si="0"/>
        <v>YORK EDGAR</v>
      </c>
      <c r="H34" s="20" t="str">
        <f t="shared" si="1"/>
        <v>4055</v>
      </c>
    </row>
    <row r="35" spans="1:8" x14ac:dyDescent="0.25">
      <c r="A35" s="8">
        <v>42999.234282407408</v>
      </c>
      <c r="B35" s="20" t="s">
        <v>456</v>
      </c>
      <c r="C35" s="20" t="s">
        <v>645</v>
      </c>
      <c r="D35" s="138">
        <v>3040000</v>
      </c>
      <c r="E35" s="20" t="s">
        <v>631</v>
      </c>
      <c r="F35" s="20" t="s">
        <v>632</v>
      </c>
      <c r="G35" s="8" t="str">
        <f t="shared" si="0"/>
        <v>WILLIAMS DONTE</v>
      </c>
      <c r="H35" s="20" t="str">
        <f t="shared" si="1"/>
        <v>4017</v>
      </c>
    </row>
    <row r="36" spans="1:8" x14ac:dyDescent="0.25">
      <c r="A36" s="8">
        <v>42999.235312500001</v>
      </c>
      <c r="B36" s="20" t="s">
        <v>595</v>
      </c>
      <c r="C36" s="20" t="s">
        <v>646</v>
      </c>
      <c r="D36" s="138">
        <v>2730000</v>
      </c>
      <c r="E36" s="20" t="s">
        <v>480</v>
      </c>
      <c r="F36" s="20" t="s">
        <v>481</v>
      </c>
      <c r="G36" s="8" t="str">
        <f t="shared" si="0"/>
        <v>YANG JAN</v>
      </c>
      <c r="H36" s="20" t="str">
        <f t="shared" si="1"/>
        <v>4052</v>
      </c>
    </row>
    <row r="37" spans="1:8" x14ac:dyDescent="0.25">
      <c r="A37" s="8">
        <v>42999.239398148151</v>
      </c>
      <c r="B37" s="20" t="s">
        <v>583</v>
      </c>
      <c r="C37" s="20" t="s">
        <v>584</v>
      </c>
      <c r="D37" s="138">
        <v>3000000</v>
      </c>
      <c r="E37" s="20" t="s">
        <v>482</v>
      </c>
      <c r="F37" s="20" t="s">
        <v>483</v>
      </c>
      <c r="G37" s="8" t="str">
        <f t="shared" si="0"/>
        <v>FORTUNATO FRANK</v>
      </c>
      <c r="H37" s="20" t="str">
        <f t="shared" si="1"/>
        <v>4031</v>
      </c>
    </row>
    <row r="38" spans="1:8" x14ac:dyDescent="0.25">
      <c r="A38" s="8">
        <v>42999.245937500003</v>
      </c>
      <c r="B38" s="20" t="s">
        <v>633</v>
      </c>
      <c r="C38" s="20" t="s">
        <v>647</v>
      </c>
      <c r="D38" s="138">
        <v>3260000</v>
      </c>
      <c r="E38" s="20" t="s">
        <v>520</v>
      </c>
      <c r="F38" s="20" t="s">
        <v>521</v>
      </c>
      <c r="G38" s="8" t="str">
        <f t="shared" si="0"/>
        <v>PAGE MARCUS</v>
      </c>
      <c r="H38" s="20" t="str">
        <f t="shared" si="1"/>
        <v>4014</v>
      </c>
    </row>
    <row r="39" spans="1:8" x14ac:dyDescent="0.25">
      <c r="A39" s="8">
        <v>42999.246828703705</v>
      </c>
      <c r="B39" s="20" t="s">
        <v>587</v>
      </c>
      <c r="C39" s="20" t="s">
        <v>588</v>
      </c>
      <c r="D39" s="138">
        <v>1230000</v>
      </c>
      <c r="E39" s="20" t="s">
        <v>518</v>
      </c>
      <c r="F39" s="20" t="s">
        <v>519</v>
      </c>
      <c r="G39" s="8" t="str">
        <f t="shared" si="0"/>
        <v>YANAI IAN</v>
      </c>
      <c r="H39" s="20" t="str">
        <f t="shared" si="1"/>
        <v>4009</v>
      </c>
    </row>
    <row r="40" spans="1:8" x14ac:dyDescent="0.25">
      <c r="A40" s="8">
        <v>42999.247615740744</v>
      </c>
      <c r="B40" s="25" t="s">
        <v>585</v>
      </c>
      <c r="C40" s="20" t="s">
        <v>586</v>
      </c>
      <c r="D40" s="138">
        <v>1990000</v>
      </c>
      <c r="E40" s="20" t="s">
        <v>344</v>
      </c>
      <c r="F40" s="20" t="s">
        <v>514</v>
      </c>
      <c r="G40" s="8" t="str">
        <f t="shared" si="0"/>
        <v>DAVIS WENDY</v>
      </c>
      <c r="H40" s="20" t="str">
        <f t="shared" si="1"/>
        <v>4053</v>
      </c>
    </row>
    <row r="41" spans="1:8" x14ac:dyDescent="0.25">
      <c r="A41" s="8">
        <v>42999.249525462961</v>
      </c>
      <c r="B41" s="20" t="s">
        <v>591</v>
      </c>
      <c r="C41" s="20" t="s">
        <v>648</v>
      </c>
      <c r="D41" s="138">
        <v>3000000</v>
      </c>
      <c r="E41" s="20" t="s">
        <v>482</v>
      </c>
      <c r="F41" s="20" t="s">
        <v>483</v>
      </c>
      <c r="G41" s="8" t="str">
        <f t="shared" si="0"/>
        <v>FORTUNATO FRANK</v>
      </c>
      <c r="H41" s="20" t="str">
        <f t="shared" si="1"/>
        <v>4032</v>
      </c>
    </row>
    <row r="42" spans="1:8" x14ac:dyDescent="0.25">
      <c r="A42" s="8">
        <v>42999.257627314815</v>
      </c>
      <c r="B42" s="20" t="s">
        <v>392</v>
      </c>
      <c r="C42" s="20" t="s">
        <v>649</v>
      </c>
      <c r="D42" s="138">
        <v>1100000</v>
      </c>
      <c r="E42" s="20" t="s">
        <v>516</v>
      </c>
      <c r="F42" s="20" t="s">
        <v>517</v>
      </c>
      <c r="G42" s="8" t="str">
        <f t="shared" si="0"/>
        <v>GEBRETEKLE DAGNEW</v>
      </c>
      <c r="H42" s="20" t="str">
        <f t="shared" si="1"/>
        <v>4016</v>
      </c>
    </row>
    <row r="43" spans="1:8" x14ac:dyDescent="0.25">
      <c r="A43" s="8">
        <v>42999.263541666667</v>
      </c>
      <c r="B43" s="20" t="s">
        <v>400</v>
      </c>
      <c r="C43" s="20" t="s">
        <v>590</v>
      </c>
      <c r="D43" s="138">
        <v>1110000</v>
      </c>
      <c r="E43" s="20" t="s">
        <v>622</v>
      </c>
      <c r="F43" s="20" t="s">
        <v>623</v>
      </c>
      <c r="G43" s="8" t="str">
        <f t="shared" si="0"/>
        <v>STARKS ANGELINA</v>
      </c>
      <c r="H43" s="20" t="str">
        <f t="shared" si="1"/>
        <v>4029</v>
      </c>
    </row>
    <row r="44" spans="1:8" x14ac:dyDescent="0.25">
      <c r="A44" s="8">
        <v>42999.267256944448</v>
      </c>
      <c r="B44" s="20" t="s">
        <v>454</v>
      </c>
      <c r="C44" s="20" t="s">
        <v>650</v>
      </c>
      <c r="D44" s="138">
        <v>3040000</v>
      </c>
      <c r="E44" s="20" t="s">
        <v>631</v>
      </c>
      <c r="F44" s="20" t="s">
        <v>632</v>
      </c>
      <c r="G44" s="8" t="str">
        <f t="shared" si="0"/>
        <v>WILLIAMS DONTE</v>
      </c>
      <c r="H44" s="20" t="str">
        <f t="shared" si="1"/>
        <v>4018</v>
      </c>
    </row>
    <row r="45" spans="1:8" x14ac:dyDescent="0.25">
      <c r="A45" s="8">
        <v>42999.26902777778</v>
      </c>
      <c r="B45" s="20" t="s">
        <v>583</v>
      </c>
      <c r="C45" s="20" t="s">
        <v>651</v>
      </c>
      <c r="D45" s="138">
        <v>3000000</v>
      </c>
      <c r="E45" s="20" t="s">
        <v>482</v>
      </c>
      <c r="F45" s="20" t="s">
        <v>483</v>
      </c>
      <c r="G45" s="8" t="str">
        <f t="shared" si="0"/>
        <v>FORTUNATO FRANK</v>
      </c>
      <c r="H45" s="20" t="str">
        <f t="shared" si="1"/>
        <v>4031</v>
      </c>
    </row>
    <row r="46" spans="1:8" x14ac:dyDescent="0.25">
      <c r="A46" s="8">
        <v>42999.275185185186</v>
      </c>
      <c r="B46" s="20" t="s">
        <v>437</v>
      </c>
      <c r="C46" s="20" t="s">
        <v>652</v>
      </c>
      <c r="D46" s="138">
        <v>1830000</v>
      </c>
      <c r="E46" s="20" t="s">
        <v>422</v>
      </c>
      <c r="F46" s="20" t="s">
        <v>423</v>
      </c>
      <c r="G46" s="8" t="str">
        <f t="shared" si="0"/>
        <v>YORK EDGAR</v>
      </c>
      <c r="H46" s="20" t="str">
        <f t="shared" si="1"/>
        <v>4056</v>
      </c>
    </row>
    <row r="47" spans="1:8" x14ac:dyDescent="0.25">
      <c r="A47" s="8">
        <v>42999.27547453704</v>
      </c>
      <c r="B47" s="20" t="s">
        <v>608</v>
      </c>
      <c r="C47" s="20" t="s">
        <v>653</v>
      </c>
      <c r="D47" s="138">
        <v>2730000</v>
      </c>
      <c r="E47" s="20" t="s">
        <v>480</v>
      </c>
      <c r="F47" s="20" t="s">
        <v>481</v>
      </c>
      <c r="G47" s="8" t="str">
        <f t="shared" si="0"/>
        <v>YANG JAN</v>
      </c>
      <c r="H47" s="20" t="str">
        <f t="shared" si="1"/>
        <v>4051</v>
      </c>
    </row>
    <row r="48" spans="1:8" x14ac:dyDescent="0.25">
      <c r="A48" s="8">
        <v>42999.275972222225</v>
      </c>
      <c r="B48" s="20" t="s">
        <v>579</v>
      </c>
      <c r="C48" s="20" t="s">
        <v>589</v>
      </c>
      <c r="D48" s="138">
        <v>1990000</v>
      </c>
      <c r="E48" s="20" t="s">
        <v>344</v>
      </c>
      <c r="F48" s="20" t="s">
        <v>514</v>
      </c>
      <c r="G48" s="8" t="str">
        <f t="shared" si="0"/>
        <v>DAVIS WENDY</v>
      </c>
      <c r="H48" s="20" t="str">
        <f t="shared" si="1"/>
        <v>4054</v>
      </c>
    </row>
    <row r="49" spans="1:8" x14ac:dyDescent="0.25">
      <c r="A49" s="8">
        <v>42999.285150462965</v>
      </c>
      <c r="B49" s="20" t="s">
        <v>626</v>
      </c>
      <c r="C49" s="20" t="s">
        <v>654</v>
      </c>
      <c r="D49" s="138">
        <v>3260000</v>
      </c>
      <c r="E49" s="20" t="s">
        <v>520</v>
      </c>
      <c r="F49" s="20" t="s">
        <v>521</v>
      </c>
      <c r="G49" s="8" t="str">
        <f t="shared" si="0"/>
        <v>PAGE MARCUS</v>
      </c>
      <c r="H49" s="20" t="str">
        <f t="shared" si="1"/>
        <v>4013</v>
      </c>
    </row>
    <row r="50" spans="1:8" x14ac:dyDescent="0.25">
      <c r="A50" s="8">
        <v>42999.286736111113</v>
      </c>
      <c r="B50" s="20" t="s">
        <v>391</v>
      </c>
      <c r="C50" s="20" t="s">
        <v>655</v>
      </c>
      <c r="D50" s="138">
        <v>1100000</v>
      </c>
      <c r="E50" s="20" t="s">
        <v>516</v>
      </c>
      <c r="F50" s="20" t="s">
        <v>517</v>
      </c>
      <c r="G50" s="8" t="str">
        <f t="shared" si="0"/>
        <v>GEBRETEKLE DAGNEW</v>
      </c>
      <c r="H50" s="20" t="str">
        <f t="shared" si="1"/>
        <v>4015</v>
      </c>
    </row>
    <row r="51" spans="1:8" x14ac:dyDescent="0.25">
      <c r="A51" s="8">
        <v>42999.286990740744</v>
      </c>
      <c r="B51" s="20" t="s">
        <v>455</v>
      </c>
      <c r="C51" s="20" t="s">
        <v>656</v>
      </c>
      <c r="D51" s="138">
        <v>1230000</v>
      </c>
      <c r="E51" s="20" t="s">
        <v>518</v>
      </c>
      <c r="F51" s="20" t="s">
        <v>519</v>
      </c>
      <c r="G51" s="8" t="str">
        <f t="shared" si="0"/>
        <v>YANAI IAN</v>
      </c>
      <c r="H51" s="20" t="str">
        <f t="shared" si="1"/>
        <v>4010</v>
      </c>
    </row>
    <row r="52" spans="1:8" x14ac:dyDescent="0.25">
      <c r="A52" s="8">
        <v>42999.289583333331</v>
      </c>
      <c r="B52" s="20" t="s">
        <v>585</v>
      </c>
      <c r="C52" s="20" t="s">
        <v>657</v>
      </c>
      <c r="D52" s="138">
        <v>1990000</v>
      </c>
      <c r="E52" s="20" t="s">
        <v>344</v>
      </c>
      <c r="F52" s="20" t="s">
        <v>514</v>
      </c>
      <c r="G52" s="8" t="str">
        <f t="shared" si="0"/>
        <v>DAVIS WENDY</v>
      </c>
      <c r="H52" s="20" t="str">
        <f t="shared" si="1"/>
        <v>4053</v>
      </c>
    </row>
    <row r="53" spans="1:8" x14ac:dyDescent="0.25">
      <c r="A53" s="8">
        <v>42999.290196759262</v>
      </c>
      <c r="B53" s="20" t="s">
        <v>591</v>
      </c>
      <c r="C53" s="20" t="s">
        <v>592</v>
      </c>
      <c r="D53" s="138">
        <v>3000000</v>
      </c>
      <c r="E53" s="20" t="s">
        <v>482</v>
      </c>
      <c r="F53" s="20" t="s">
        <v>483</v>
      </c>
      <c r="G53" s="8" t="str">
        <f t="shared" si="0"/>
        <v>FORTUNATO FRANK</v>
      </c>
      <c r="H53" s="20" t="str">
        <f t="shared" si="1"/>
        <v>4032</v>
      </c>
    </row>
    <row r="54" spans="1:8" x14ac:dyDescent="0.25">
      <c r="A54" s="8">
        <v>42999.299004629633</v>
      </c>
      <c r="B54" s="20" t="s">
        <v>374</v>
      </c>
      <c r="C54" s="20" t="s">
        <v>658</v>
      </c>
      <c r="D54" s="138">
        <v>1110000</v>
      </c>
      <c r="E54" s="20" t="s">
        <v>622</v>
      </c>
      <c r="F54" s="20" t="s">
        <v>623</v>
      </c>
      <c r="G54" s="8" t="str">
        <f t="shared" si="0"/>
        <v>STARKS ANGELINA</v>
      </c>
      <c r="H54" s="20" t="str">
        <f t="shared" si="1"/>
        <v>4030</v>
      </c>
    </row>
    <row r="55" spans="1:8" x14ac:dyDescent="0.25">
      <c r="A55" s="8">
        <v>42999.304537037038</v>
      </c>
      <c r="B55" s="20" t="s">
        <v>456</v>
      </c>
      <c r="C55" s="20" t="s">
        <v>659</v>
      </c>
      <c r="D55" s="138">
        <v>3040000</v>
      </c>
      <c r="E55" s="20" t="s">
        <v>631</v>
      </c>
      <c r="F55" s="20" t="s">
        <v>632</v>
      </c>
      <c r="G55" s="8" t="str">
        <f t="shared" si="0"/>
        <v>WILLIAMS DONTE</v>
      </c>
      <c r="H55" s="20" t="str">
        <f t="shared" si="1"/>
        <v>4017</v>
      </c>
    </row>
    <row r="56" spans="1:8" x14ac:dyDescent="0.25">
      <c r="A56" s="8">
        <v>42999.307534722226</v>
      </c>
      <c r="B56" s="20" t="s">
        <v>602</v>
      </c>
      <c r="C56" s="20" t="s">
        <v>660</v>
      </c>
      <c r="D56" s="138">
        <v>1830000</v>
      </c>
      <c r="E56" s="20" t="s">
        <v>422</v>
      </c>
      <c r="F56" s="20" t="s">
        <v>423</v>
      </c>
      <c r="G56" s="8" t="str">
        <f t="shared" si="0"/>
        <v>YORK EDGAR</v>
      </c>
      <c r="H56" s="20" t="str">
        <f t="shared" si="1"/>
        <v>4055</v>
      </c>
    </row>
    <row r="57" spans="1:8" x14ac:dyDescent="0.25">
      <c r="A57" s="8">
        <v>42999.308900462966</v>
      </c>
      <c r="B57" s="20" t="s">
        <v>595</v>
      </c>
      <c r="C57" s="20" t="s">
        <v>661</v>
      </c>
      <c r="D57" s="138">
        <v>2730000</v>
      </c>
      <c r="E57" s="20" t="s">
        <v>480</v>
      </c>
      <c r="F57" s="20" t="s">
        <v>481</v>
      </c>
      <c r="G57" s="8" t="str">
        <f t="shared" si="0"/>
        <v>YANG JAN</v>
      </c>
      <c r="H57" s="20" t="str">
        <f t="shared" si="1"/>
        <v>4052</v>
      </c>
    </row>
    <row r="58" spans="1:8" x14ac:dyDescent="0.25">
      <c r="A58" s="8">
        <v>42999.310624999998</v>
      </c>
      <c r="B58" s="20" t="s">
        <v>583</v>
      </c>
      <c r="C58" s="20" t="s">
        <v>662</v>
      </c>
      <c r="D58" s="138">
        <v>3000000</v>
      </c>
      <c r="E58" s="20" t="s">
        <v>482</v>
      </c>
      <c r="F58" s="20" t="s">
        <v>483</v>
      </c>
      <c r="G58" s="8" t="str">
        <f t="shared" si="0"/>
        <v>FORTUNATO FRANK</v>
      </c>
      <c r="H58" s="20" t="str">
        <f t="shared" si="1"/>
        <v>4031</v>
      </c>
    </row>
    <row r="59" spans="1:8" x14ac:dyDescent="0.25">
      <c r="A59" s="8">
        <v>42999.316851851851</v>
      </c>
      <c r="B59" s="20" t="s">
        <v>579</v>
      </c>
      <c r="C59" s="20" t="s">
        <v>663</v>
      </c>
      <c r="D59" s="138">
        <v>1990000</v>
      </c>
      <c r="E59" s="20" t="s">
        <v>344</v>
      </c>
      <c r="F59" s="20" t="s">
        <v>514</v>
      </c>
      <c r="G59" s="8" t="str">
        <f t="shared" si="0"/>
        <v>DAVIS WENDY</v>
      </c>
      <c r="H59" s="20" t="str">
        <f t="shared" si="1"/>
        <v>4054</v>
      </c>
    </row>
    <row r="60" spans="1:8" x14ac:dyDescent="0.25">
      <c r="A60" s="8">
        <v>42999.317291666666</v>
      </c>
      <c r="B60" s="20" t="s">
        <v>587</v>
      </c>
      <c r="C60" s="20" t="s">
        <v>594</v>
      </c>
      <c r="D60" s="138">
        <v>1230000</v>
      </c>
      <c r="E60" s="20" t="s">
        <v>518</v>
      </c>
      <c r="F60" s="20" t="s">
        <v>519</v>
      </c>
      <c r="G60" s="8" t="str">
        <f t="shared" si="0"/>
        <v>YANAI IAN</v>
      </c>
      <c r="H60" s="20" t="str">
        <f t="shared" si="1"/>
        <v>4009</v>
      </c>
    </row>
    <row r="61" spans="1:8" x14ac:dyDescent="0.25">
      <c r="A61" s="8">
        <v>42999.319421296299</v>
      </c>
      <c r="B61" s="20" t="s">
        <v>633</v>
      </c>
      <c r="C61" s="20" t="s">
        <v>664</v>
      </c>
      <c r="D61" s="138">
        <v>3260000</v>
      </c>
      <c r="E61" s="20" t="s">
        <v>520</v>
      </c>
      <c r="F61" s="20" t="s">
        <v>521</v>
      </c>
      <c r="G61" s="8" t="str">
        <f t="shared" si="0"/>
        <v>PAGE MARCUS</v>
      </c>
      <c r="H61" s="20" t="str">
        <f t="shared" si="1"/>
        <v>4014</v>
      </c>
    </row>
    <row r="62" spans="1:8" x14ac:dyDescent="0.25">
      <c r="A62" s="8">
        <v>42999.330243055556</v>
      </c>
      <c r="B62" s="20" t="s">
        <v>392</v>
      </c>
      <c r="C62" s="20" t="s">
        <v>665</v>
      </c>
      <c r="D62" s="138">
        <v>3180000</v>
      </c>
      <c r="E62" s="20" t="s">
        <v>522</v>
      </c>
      <c r="F62" s="20" t="s">
        <v>523</v>
      </c>
      <c r="G62" s="8" t="str">
        <f t="shared" si="0"/>
        <v>HUFFSMITH MONTY</v>
      </c>
      <c r="H62" s="20" t="str">
        <f t="shared" si="1"/>
        <v>4016</v>
      </c>
    </row>
    <row r="63" spans="1:8" x14ac:dyDescent="0.25">
      <c r="A63" s="8">
        <v>42999.331400462965</v>
      </c>
      <c r="B63" s="20" t="s">
        <v>585</v>
      </c>
      <c r="C63" s="20" t="s">
        <v>666</v>
      </c>
      <c r="D63" s="138">
        <v>1990000</v>
      </c>
      <c r="E63" s="20" t="s">
        <v>344</v>
      </c>
      <c r="F63" s="20" t="s">
        <v>514</v>
      </c>
      <c r="G63" s="8" t="str">
        <f t="shared" si="0"/>
        <v>DAVIS WENDY</v>
      </c>
      <c r="H63" s="20" t="str">
        <f t="shared" si="1"/>
        <v>4053</v>
      </c>
    </row>
    <row r="64" spans="1:8" x14ac:dyDescent="0.25">
      <c r="A64" s="26">
        <v>42999.331446759257</v>
      </c>
      <c r="B64" s="20" t="s">
        <v>591</v>
      </c>
      <c r="C64" s="20" t="s">
        <v>593</v>
      </c>
      <c r="D64" s="138">
        <v>3000000</v>
      </c>
      <c r="E64" s="20" t="s">
        <v>482</v>
      </c>
      <c r="F64" s="20" t="s">
        <v>483</v>
      </c>
      <c r="G64" s="8" t="str">
        <f t="shared" si="0"/>
        <v>FORTUNATO FRANK</v>
      </c>
      <c r="H64" s="20" t="str">
        <f t="shared" si="1"/>
        <v>4032</v>
      </c>
    </row>
    <row r="65" spans="1:8" x14ac:dyDescent="0.25">
      <c r="A65" s="8">
        <v>42999.334236111114</v>
      </c>
      <c r="B65" s="20" t="s">
        <v>400</v>
      </c>
      <c r="C65" s="20" t="s">
        <v>667</v>
      </c>
      <c r="D65" s="138">
        <v>1110000</v>
      </c>
      <c r="E65" s="20" t="s">
        <v>622</v>
      </c>
      <c r="F65" s="20" t="s">
        <v>623</v>
      </c>
      <c r="G65" s="8" t="str">
        <f t="shared" si="0"/>
        <v>STARKS ANGELINA</v>
      </c>
      <c r="H65" s="20" t="str">
        <f t="shared" si="1"/>
        <v>4029</v>
      </c>
    </row>
    <row r="66" spans="1:8" x14ac:dyDescent="0.25">
      <c r="A66" s="8">
        <v>42999.340324074074</v>
      </c>
      <c r="B66" s="20" t="s">
        <v>454</v>
      </c>
      <c r="C66" s="20" t="s">
        <v>668</v>
      </c>
      <c r="D66" s="138">
        <v>3040000</v>
      </c>
      <c r="E66" s="20" t="s">
        <v>631</v>
      </c>
      <c r="F66" s="20" t="s">
        <v>632</v>
      </c>
      <c r="G66" s="8" t="str">
        <f t="shared" si="0"/>
        <v>WILLIAMS DONTE</v>
      </c>
      <c r="H66" s="20" t="str">
        <f t="shared" si="1"/>
        <v>4018</v>
      </c>
    </row>
    <row r="67" spans="1:8" x14ac:dyDescent="0.25">
      <c r="A67" s="8">
        <v>42999.347604166665</v>
      </c>
      <c r="B67" s="20" t="s">
        <v>608</v>
      </c>
      <c r="C67" s="20" t="s">
        <v>669</v>
      </c>
      <c r="D67" s="138">
        <v>2730000</v>
      </c>
      <c r="E67" s="20" t="s">
        <v>480</v>
      </c>
      <c r="F67" s="20" t="s">
        <v>481</v>
      </c>
      <c r="G67" s="8" t="str">
        <f t="shared" ref="G67:G130" si="2">E67&amp;" "&amp;F67</f>
        <v>YANG JAN</v>
      </c>
      <c r="H67" s="20" t="str">
        <f t="shared" ref="H67:H130" si="3">MID(B67,13,4)</f>
        <v>4051</v>
      </c>
    </row>
    <row r="68" spans="1:8" x14ac:dyDescent="0.25">
      <c r="A68" s="8">
        <v>42999.348182870373</v>
      </c>
      <c r="B68" s="20" t="s">
        <v>437</v>
      </c>
      <c r="C68" s="20" t="s">
        <v>670</v>
      </c>
      <c r="D68" s="138">
        <v>1830000</v>
      </c>
      <c r="E68" s="20" t="s">
        <v>422</v>
      </c>
      <c r="F68" s="20" t="s">
        <v>423</v>
      </c>
      <c r="G68" s="8" t="str">
        <f t="shared" si="2"/>
        <v>YORK EDGAR</v>
      </c>
      <c r="H68" s="20" t="str">
        <f t="shared" si="3"/>
        <v>4056</v>
      </c>
    </row>
    <row r="69" spans="1:8" x14ac:dyDescent="0.25">
      <c r="A69" s="8">
        <v>42999.352951388886</v>
      </c>
      <c r="B69" s="20" t="s">
        <v>583</v>
      </c>
      <c r="C69" s="20" t="s">
        <v>671</v>
      </c>
      <c r="D69" s="138">
        <v>3000000</v>
      </c>
      <c r="E69" s="20" t="s">
        <v>482</v>
      </c>
      <c r="F69" s="20" t="s">
        <v>483</v>
      </c>
      <c r="G69" s="8" t="str">
        <f t="shared" si="2"/>
        <v>FORTUNATO FRANK</v>
      </c>
      <c r="H69" s="20" t="str">
        <f t="shared" si="3"/>
        <v>4031</v>
      </c>
    </row>
    <row r="70" spans="1:8" x14ac:dyDescent="0.25">
      <c r="A70" s="8">
        <v>42999.353032407409</v>
      </c>
      <c r="B70" s="20" t="s">
        <v>579</v>
      </c>
      <c r="C70" s="20" t="s">
        <v>672</v>
      </c>
      <c r="D70" s="138">
        <v>1990000</v>
      </c>
      <c r="E70" s="20" t="s">
        <v>344</v>
      </c>
      <c r="F70" s="20" t="s">
        <v>514</v>
      </c>
      <c r="G70" s="8" t="str">
        <f t="shared" si="2"/>
        <v>DAVIS WENDY</v>
      </c>
      <c r="H70" s="20" t="str">
        <f t="shared" si="3"/>
        <v>4054</v>
      </c>
    </row>
    <row r="71" spans="1:8" x14ac:dyDescent="0.25">
      <c r="A71" s="8">
        <v>42999.359085648146</v>
      </c>
      <c r="B71" s="20" t="s">
        <v>626</v>
      </c>
      <c r="C71" s="20" t="s">
        <v>673</v>
      </c>
      <c r="D71" s="138">
        <v>3260000</v>
      </c>
      <c r="E71" s="20" t="s">
        <v>520</v>
      </c>
      <c r="F71" s="20" t="s">
        <v>521</v>
      </c>
      <c r="G71" s="8" t="str">
        <f t="shared" si="2"/>
        <v>PAGE MARCUS</v>
      </c>
      <c r="H71" s="20" t="str">
        <f t="shared" si="3"/>
        <v>4013</v>
      </c>
    </row>
    <row r="72" spans="1:8" x14ac:dyDescent="0.25">
      <c r="A72" s="8">
        <v>42999.360231481478</v>
      </c>
      <c r="B72" s="20" t="s">
        <v>455</v>
      </c>
      <c r="C72" s="20" t="s">
        <v>674</v>
      </c>
      <c r="D72" s="138">
        <v>3330000</v>
      </c>
      <c r="E72" s="20" t="s">
        <v>675</v>
      </c>
      <c r="F72" s="20" t="s">
        <v>676</v>
      </c>
      <c r="G72" s="8" t="str">
        <f t="shared" si="2"/>
        <v>GONZALEZ ARMANDO</v>
      </c>
      <c r="H72" s="20" t="str">
        <f t="shared" si="3"/>
        <v>4010</v>
      </c>
    </row>
    <row r="73" spans="1:8" x14ac:dyDescent="0.25">
      <c r="A73" s="8">
        <v>42999.368761574071</v>
      </c>
      <c r="B73" s="20" t="s">
        <v>391</v>
      </c>
      <c r="C73" s="20" t="s">
        <v>677</v>
      </c>
      <c r="D73" s="138">
        <v>3180000</v>
      </c>
      <c r="E73" s="20" t="s">
        <v>522</v>
      </c>
      <c r="F73" s="20" t="s">
        <v>523</v>
      </c>
      <c r="G73" s="8" t="str">
        <f t="shared" si="2"/>
        <v>HUFFSMITH MONTY</v>
      </c>
      <c r="H73" s="20" t="str">
        <f t="shared" si="3"/>
        <v>4015</v>
      </c>
    </row>
    <row r="74" spans="1:8" x14ac:dyDescent="0.25">
      <c r="A74" s="8">
        <v>42999.372245370374</v>
      </c>
      <c r="B74" s="20" t="s">
        <v>374</v>
      </c>
      <c r="C74" s="20" t="s">
        <v>678</v>
      </c>
      <c r="D74" s="138">
        <v>3290000</v>
      </c>
      <c r="E74" s="20" t="s">
        <v>679</v>
      </c>
      <c r="F74" s="20" t="s">
        <v>680</v>
      </c>
      <c r="G74" s="8" t="str">
        <f t="shared" si="2"/>
        <v>CASSIDY BRANDON</v>
      </c>
      <c r="H74" s="20" t="str">
        <f t="shared" si="3"/>
        <v>4030</v>
      </c>
    </row>
    <row r="75" spans="1:8" x14ac:dyDescent="0.25">
      <c r="A75" s="8">
        <v>42999.375162037039</v>
      </c>
      <c r="B75" s="20" t="s">
        <v>591</v>
      </c>
      <c r="C75" s="20" t="s">
        <v>681</v>
      </c>
      <c r="D75" s="138">
        <v>3000000</v>
      </c>
      <c r="E75" s="20" t="s">
        <v>482</v>
      </c>
      <c r="F75" s="20" t="s">
        <v>483</v>
      </c>
      <c r="G75" s="8" t="str">
        <f t="shared" si="2"/>
        <v>FORTUNATO FRANK</v>
      </c>
      <c r="H75" s="20" t="str">
        <f t="shared" si="3"/>
        <v>4032</v>
      </c>
    </row>
    <row r="76" spans="1:8" x14ac:dyDescent="0.25">
      <c r="A76" s="8">
        <v>42999.377060185187</v>
      </c>
      <c r="B76" s="20" t="s">
        <v>456</v>
      </c>
      <c r="C76" s="20" t="s">
        <v>682</v>
      </c>
      <c r="D76" s="138">
        <v>3040000</v>
      </c>
      <c r="E76" s="20" t="s">
        <v>631</v>
      </c>
      <c r="F76" s="20" t="s">
        <v>632</v>
      </c>
      <c r="G76" s="8" t="str">
        <f t="shared" si="2"/>
        <v>WILLIAMS DONTE</v>
      </c>
      <c r="H76" s="20" t="str">
        <f t="shared" si="3"/>
        <v>4017</v>
      </c>
    </row>
    <row r="77" spans="1:8" x14ac:dyDescent="0.25">
      <c r="A77" s="8">
        <v>42999.37945601852</v>
      </c>
      <c r="B77" s="20" t="s">
        <v>602</v>
      </c>
      <c r="C77" s="20" t="s">
        <v>683</v>
      </c>
      <c r="D77" s="138">
        <v>1830000</v>
      </c>
      <c r="E77" s="20" t="s">
        <v>422</v>
      </c>
      <c r="F77" s="20" t="s">
        <v>423</v>
      </c>
      <c r="G77" s="8" t="str">
        <f t="shared" si="2"/>
        <v>YORK EDGAR</v>
      </c>
      <c r="H77" s="20" t="str">
        <f t="shared" si="3"/>
        <v>4055</v>
      </c>
    </row>
    <row r="78" spans="1:8" x14ac:dyDescent="0.25">
      <c r="A78" s="8">
        <v>42999.381643518522</v>
      </c>
      <c r="B78" s="20" t="s">
        <v>595</v>
      </c>
      <c r="C78" s="20" t="s">
        <v>596</v>
      </c>
      <c r="D78" s="138">
        <v>2730000</v>
      </c>
      <c r="E78" s="20" t="s">
        <v>480</v>
      </c>
      <c r="F78" s="20" t="s">
        <v>481</v>
      </c>
      <c r="G78" s="8" t="str">
        <f t="shared" si="2"/>
        <v>YANG JAN</v>
      </c>
      <c r="H78" s="20" t="str">
        <f t="shared" si="3"/>
        <v>4052</v>
      </c>
    </row>
    <row r="79" spans="1:8" x14ac:dyDescent="0.25">
      <c r="A79" s="8">
        <v>42999.39130787037</v>
      </c>
      <c r="B79" s="20" t="s">
        <v>633</v>
      </c>
      <c r="C79" s="20" t="s">
        <v>684</v>
      </c>
      <c r="D79" s="138">
        <v>3260000</v>
      </c>
      <c r="E79" s="20" t="s">
        <v>520</v>
      </c>
      <c r="F79" s="20" t="s">
        <v>521</v>
      </c>
      <c r="G79" s="8" t="str">
        <f t="shared" si="2"/>
        <v>PAGE MARCUS</v>
      </c>
      <c r="H79" s="20" t="str">
        <f t="shared" si="3"/>
        <v>4014</v>
      </c>
    </row>
    <row r="80" spans="1:8" x14ac:dyDescent="0.25">
      <c r="A80" s="8">
        <v>42999.393587962964</v>
      </c>
      <c r="B80" s="20" t="s">
        <v>583</v>
      </c>
      <c r="C80" s="20" t="s">
        <v>685</v>
      </c>
      <c r="D80" s="138">
        <v>3000000</v>
      </c>
      <c r="E80" s="20" t="s">
        <v>482</v>
      </c>
      <c r="F80" s="20" t="s">
        <v>483</v>
      </c>
      <c r="G80" s="8" t="str">
        <f t="shared" si="2"/>
        <v>FORTUNATO FRANK</v>
      </c>
      <c r="H80" s="20" t="str">
        <f t="shared" si="3"/>
        <v>4031</v>
      </c>
    </row>
    <row r="81" spans="1:8" x14ac:dyDescent="0.25">
      <c r="A81" s="8">
        <v>42999.400763888887</v>
      </c>
      <c r="B81" s="20" t="s">
        <v>587</v>
      </c>
      <c r="C81" s="20" t="s">
        <v>686</v>
      </c>
      <c r="D81" s="138">
        <v>3330000</v>
      </c>
      <c r="E81" s="20" t="s">
        <v>675</v>
      </c>
      <c r="F81" s="20" t="s">
        <v>676</v>
      </c>
      <c r="G81" s="8" t="str">
        <f t="shared" si="2"/>
        <v>GONZALEZ ARMANDO</v>
      </c>
      <c r="H81" s="20" t="str">
        <f t="shared" si="3"/>
        <v>4009</v>
      </c>
    </row>
    <row r="82" spans="1:8" x14ac:dyDescent="0.25">
      <c r="A82" s="8">
        <v>42999.403553240743</v>
      </c>
      <c r="B82" s="20" t="s">
        <v>392</v>
      </c>
      <c r="C82" s="20" t="s">
        <v>687</v>
      </c>
      <c r="D82" s="138">
        <v>1100000</v>
      </c>
      <c r="E82" s="20" t="s">
        <v>516</v>
      </c>
      <c r="F82" s="20" t="s">
        <v>517</v>
      </c>
      <c r="G82" s="8" t="str">
        <f t="shared" si="2"/>
        <v>GEBRETEKLE DAGNEW</v>
      </c>
      <c r="H82" s="20" t="str">
        <f t="shared" si="3"/>
        <v>4016</v>
      </c>
    </row>
    <row r="83" spans="1:8" x14ac:dyDescent="0.25">
      <c r="A83" s="8">
        <v>42999.412523148145</v>
      </c>
      <c r="B83" s="20" t="s">
        <v>454</v>
      </c>
      <c r="C83" s="20" t="s">
        <v>598</v>
      </c>
      <c r="D83" s="138">
        <v>3040000</v>
      </c>
      <c r="E83" s="20" t="s">
        <v>631</v>
      </c>
      <c r="F83" s="20" t="s">
        <v>632</v>
      </c>
      <c r="G83" s="8" t="str">
        <f t="shared" si="2"/>
        <v>WILLIAMS DONTE</v>
      </c>
      <c r="H83" s="20" t="str">
        <f t="shared" si="3"/>
        <v>4018</v>
      </c>
    </row>
    <row r="84" spans="1:8" x14ac:dyDescent="0.25">
      <c r="A84" s="8">
        <v>42999.413206018522</v>
      </c>
      <c r="B84" s="20" t="s">
        <v>400</v>
      </c>
      <c r="C84" s="20" t="s">
        <v>688</v>
      </c>
      <c r="D84" s="138">
        <v>3290000</v>
      </c>
      <c r="E84" s="20" t="s">
        <v>679</v>
      </c>
      <c r="F84" s="20" t="s">
        <v>680</v>
      </c>
      <c r="G84" s="8" t="str">
        <f t="shared" si="2"/>
        <v>CASSIDY BRANDON</v>
      </c>
      <c r="H84" s="20" t="str">
        <f t="shared" si="3"/>
        <v>4029</v>
      </c>
    </row>
    <row r="85" spans="1:8" x14ac:dyDescent="0.25">
      <c r="A85" s="8">
        <v>42999.415358796294</v>
      </c>
      <c r="B85" s="20" t="s">
        <v>591</v>
      </c>
      <c r="C85" s="20" t="s">
        <v>597</v>
      </c>
      <c r="D85" s="138">
        <v>3000000</v>
      </c>
      <c r="E85" s="20" t="s">
        <v>482</v>
      </c>
      <c r="F85" s="20" t="s">
        <v>483</v>
      </c>
      <c r="G85" s="8" t="str">
        <f t="shared" si="2"/>
        <v>FORTUNATO FRANK</v>
      </c>
      <c r="H85" s="20" t="str">
        <f t="shared" si="3"/>
        <v>4032</v>
      </c>
    </row>
    <row r="86" spans="1:8" x14ac:dyDescent="0.25">
      <c r="A86" s="8">
        <v>42999.419745370367</v>
      </c>
      <c r="B86" s="20" t="s">
        <v>608</v>
      </c>
      <c r="C86" s="20" t="s">
        <v>689</v>
      </c>
      <c r="D86" s="138">
        <v>2730000</v>
      </c>
      <c r="E86" s="20" t="s">
        <v>480</v>
      </c>
      <c r="F86" s="20" t="s">
        <v>481</v>
      </c>
      <c r="G86" s="8" t="str">
        <f t="shared" si="2"/>
        <v>YANG JAN</v>
      </c>
      <c r="H86" s="20" t="str">
        <f t="shared" si="3"/>
        <v>4051</v>
      </c>
    </row>
    <row r="87" spans="1:8" x14ac:dyDescent="0.25">
      <c r="A87" s="8">
        <v>42999.425381944442</v>
      </c>
      <c r="B87" s="20" t="s">
        <v>437</v>
      </c>
      <c r="C87" s="20" t="s">
        <v>599</v>
      </c>
      <c r="D87" s="138">
        <v>1990000</v>
      </c>
      <c r="E87" s="20" t="s">
        <v>344</v>
      </c>
      <c r="F87" s="20" t="s">
        <v>514</v>
      </c>
      <c r="G87" s="8" t="str">
        <f t="shared" si="2"/>
        <v>DAVIS WENDY</v>
      </c>
      <c r="H87" s="20" t="str">
        <f t="shared" si="3"/>
        <v>4056</v>
      </c>
    </row>
    <row r="88" spans="1:8" x14ac:dyDescent="0.25">
      <c r="A88" s="8">
        <v>42999.430960648147</v>
      </c>
      <c r="B88" s="20" t="s">
        <v>626</v>
      </c>
      <c r="C88" s="20" t="s">
        <v>690</v>
      </c>
      <c r="D88" s="138">
        <v>3260000</v>
      </c>
      <c r="E88" s="20" t="s">
        <v>520</v>
      </c>
      <c r="F88" s="20" t="s">
        <v>521</v>
      </c>
      <c r="G88" s="8" t="str">
        <f t="shared" si="2"/>
        <v>PAGE MARCUS</v>
      </c>
      <c r="H88" s="20" t="str">
        <f t="shared" si="3"/>
        <v>4013</v>
      </c>
    </row>
    <row r="89" spans="1:8" x14ac:dyDescent="0.25">
      <c r="A89" s="8">
        <v>42999.433136574073</v>
      </c>
      <c r="B89" s="20" t="s">
        <v>455</v>
      </c>
      <c r="C89" s="20" t="s">
        <v>691</v>
      </c>
      <c r="D89" s="138">
        <v>1230000</v>
      </c>
      <c r="E89" s="20" t="s">
        <v>518</v>
      </c>
      <c r="F89" s="20" t="s">
        <v>519</v>
      </c>
      <c r="G89" s="8" t="str">
        <f t="shared" si="2"/>
        <v>YANAI IAN</v>
      </c>
      <c r="H89" s="20" t="str">
        <f t="shared" si="3"/>
        <v>4010</v>
      </c>
    </row>
    <row r="90" spans="1:8" x14ac:dyDescent="0.25">
      <c r="A90" s="8">
        <v>42999.433472222219</v>
      </c>
      <c r="B90" s="20" t="s">
        <v>391</v>
      </c>
      <c r="C90" s="20" t="s">
        <v>692</v>
      </c>
      <c r="D90" s="138">
        <v>1100000</v>
      </c>
      <c r="E90" s="20" t="s">
        <v>516</v>
      </c>
      <c r="F90" s="20" t="s">
        <v>517</v>
      </c>
      <c r="G90" s="8" t="str">
        <f t="shared" si="2"/>
        <v>GEBRETEKLE DAGNEW</v>
      </c>
      <c r="H90" s="20" t="str">
        <f t="shared" si="3"/>
        <v>4015</v>
      </c>
    </row>
    <row r="91" spans="1:8" x14ac:dyDescent="0.25">
      <c r="A91" s="8">
        <v>42999.435717592591</v>
      </c>
      <c r="B91" s="20" t="s">
        <v>583</v>
      </c>
      <c r="C91" s="20" t="s">
        <v>693</v>
      </c>
      <c r="D91" s="138">
        <v>3000000</v>
      </c>
      <c r="E91" s="20" t="s">
        <v>482</v>
      </c>
      <c r="F91" s="20" t="s">
        <v>483</v>
      </c>
      <c r="G91" s="8" t="str">
        <f t="shared" si="2"/>
        <v>FORTUNATO FRANK</v>
      </c>
      <c r="H91" s="20" t="str">
        <f t="shared" si="3"/>
        <v>4031</v>
      </c>
    </row>
    <row r="92" spans="1:8" x14ac:dyDescent="0.25">
      <c r="A92" s="8">
        <v>42999.44462962963</v>
      </c>
      <c r="B92" s="20" t="s">
        <v>374</v>
      </c>
      <c r="C92" s="20" t="s">
        <v>694</v>
      </c>
      <c r="D92" s="138">
        <v>2550000</v>
      </c>
      <c r="E92" s="20" t="s">
        <v>695</v>
      </c>
      <c r="F92" s="20" t="s">
        <v>696</v>
      </c>
      <c r="G92" s="8" t="str">
        <f t="shared" si="2"/>
        <v>BADERTSCHER DIANE</v>
      </c>
      <c r="H92" s="20" t="str">
        <f t="shared" si="3"/>
        <v>4030</v>
      </c>
    </row>
    <row r="93" spans="1:8" x14ac:dyDescent="0.25">
      <c r="A93" s="8">
        <v>42999.446157407408</v>
      </c>
      <c r="B93" s="20" t="s">
        <v>508</v>
      </c>
      <c r="C93" s="20" t="s">
        <v>600</v>
      </c>
      <c r="D93" s="138">
        <v>2040000</v>
      </c>
      <c r="E93" s="20" t="s">
        <v>486</v>
      </c>
      <c r="F93" s="20" t="s">
        <v>487</v>
      </c>
      <c r="G93" s="8" t="str">
        <f t="shared" si="2"/>
        <v>MOSES BRADLEY</v>
      </c>
      <c r="H93" s="20" t="str">
        <f t="shared" si="3"/>
        <v>4001</v>
      </c>
    </row>
    <row r="94" spans="1:8" x14ac:dyDescent="0.25">
      <c r="A94" s="8">
        <v>42999.451793981483</v>
      </c>
      <c r="B94" s="20" t="s">
        <v>456</v>
      </c>
      <c r="C94" s="20" t="s">
        <v>697</v>
      </c>
      <c r="D94" s="138">
        <v>3040000</v>
      </c>
      <c r="E94" s="20" t="s">
        <v>631</v>
      </c>
      <c r="F94" s="20" t="s">
        <v>632</v>
      </c>
      <c r="G94" s="8" t="str">
        <f t="shared" si="2"/>
        <v>WILLIAMS DONTE</v>
      </c>
      <c r="H94" s="20" t="str">
        <f t="shared" si="3"/>
        <v>4017</v>
      </c>
    </row>
    <row r="95" spans="1:8" x14ac:dyDescent="0.25">
      <c r="A95" s="8">
        <v>42999.454062500001</v>
      </c>
      <c r="B95" s="20" t="s">
        <v>595</v>
      </c>
      <c r="C95" s="20" t="s">
        <v>698</v>
      </c>
      <c r="D95" s="138">
        <v>2730000</v>
      </c>
      <c r="E95" s="20" t="s">
        <v>480</v>
      </c>
      <c r="F95" s="20" t="s">
        <v>481</v>
      </c>
      <c r="G95" s="8" t="str">
        <f t="shared" si="2"/>
        <v>YANG JAN</v>
      </c>
      <c r="H95" s="20" t="str">
        <f t="shared" si="3"/>
        <v>4052</v>
      </c>
    </row>
    <row r="96" spans="1:8" x14ac:dyDescent="0.25">
      <c r="A96" s="8">
        <v>42999.456759259258</v>
      </c>
      <c r="B96" s="20" t="s">
        <v>602</v>
      </c>
      <c r="C96" s="20" t="s">
        <v>699</v>
      </c>
      <c r="D96" s="138">
        <v>1990000</v>
      </c>
      <c r="E96" s="20" t="s">
        <v>344</v>
      </c>
      <c r="F96" s="20" t="s">
        <v>514</v>
      </c>
      <c r="G96" s="8" t="str">
        <f t="shared" si="2"/>
        <v>DAVIS WENDY</v>
      </c>
      <c r="H96" s="20" t="str">
        <f t="shared" si="3"/>
        <v>4055</v>
      </c>
    </row>
    <row r="97" spans="1:8" x14ac:dyDescent="0.25">
      <c r="A97" s="8">
        <v>42999.457372685189</v>
      </c>
      <c r="B97" s="20" t="s">
        <v>591</v>
      </c>
      <c r="C97" s="20" t="s">
        <v>700</v>
      </c>
      <c r="D97" s="138">
        <v>3000000</v>
      </c>
      <c r="E97" s="20" t="s">
        <v>482</v>
      </c>
      <c r="F97" s="20" t="s">
        <v>483</v>
      </c>
      <c r="G97" s="8" t="str">
        <f t="shared" si="2"/>
        <v>FORTUNATO FRANK</v>
      </c>
      <c r="H97" s="20" t="str">
        <f t="shared" si="3"/>
        <v>4032</v>
      </c>
    </row>
    <row r="98" spans="1:8" x14ac:dyDescent="0.25">
      <c r="A98" s="8">
        <v>42999.462893518517</v>
      </c>
      <c r="B98" s="20" t="s">
        <v>587</v>
      </c>
      <c r="C98" s="20" t="s">
        <v>701</v>
      </c>
      <c r="D98" s="138">
        <v>1230000</v>
      </c>
      <c r="E98" s="20" t="s">
        <v>518</v>
      </c>
      <c r="F98" s="20" t="s">
        <v>519</v>
      </c>
      <c r="G98" s="8" t="str">
        <f t="shared" si="2"/>
        <v>YANAI IAN</v>
      </c>
      <c r="H98" s="20" t="str">
        <f t="shared" si="3"/>
        <v>4009</v>
      </c>
    </row>
    <row r="99" spans="1:8" x14ac:dyDescent="0.25">
      <c r="A99" s="8">
        <v>42999.4690625</v>
      </c>
      <c r="B99" s="20" t="s">
        <v>633</v>
      </c>
      <c r="C99" s="20" t="s">
        <v>702</v>
      </c>
      <c r="D99" s="138">
        <v>1770000</v>
      </c>
      <c r="E99" s="20" t="s">
        <v>484</v>
      </c>
      <c r="F99" s="20" t="s">
        <v>485</v>
      </c>
      <c r="G99" s="8" t="str">
        <f t="shared" si="2"/>
        <v>BRUDER RICHARD</v>
      </c>
      <c r="H99" s="20" t="str">
        <f t="shared" si="3"/>
        <v>4014</v>
      </c>
    </row>
    <row r="100" spans="1:8" x14ac:dyDescent="0.25">
      <c r="A100" s="8">
        <v>42999.47488425926</v>
      </c>
      <c r="B100" s="20" t="s">
        <v>392</v>
      </c>
      <c r="C100" s="20" t="s">
        <v>703</v>
      </c>
      <c r="D100" s="138">
        <v>2140000</v>
      </c>
      <c r="E100" s="20" t="s">
        <v>532</v>
      </c>
      <c r="F100" s="20" t="s">
        <v>533</v>
      </c>
      <c r="G100" s="8" t="str">
        <f t="shared" si="2"/>
        <v>ROBINSON KADDIBA</v>
      </c>
      <c r="H100" s="20" t="str">
        <f t="shared" si="3"/>
        <v>4016</v>
      </c>
    </row>
    <row r="101" spans="1:8" x14ac:dyDescent="0.25">
      <c r="A101" s="8">
        <v>42999.475902777776</v>
      </c>
      <c r="B101" s="20" t="s">
        <v>515</v>
      </c>
      <c r="C101" s="20" t="s">
        <v>704</v>
      </c>
      <c r="D101" s="138">
        <v>3290000</v>
      </c>
      <c r="E101" s="20" t="s">
        <v>679</v>
      </c>
      <c r="F101" s="20" t="s">
        <v>680</v>
      </c>
      <c r="G101" s="8" t="str">
        <f t="shared" si="2"/>
        <v>CASSIDY BRANDON</v>
      </c>
      <c r="H101" s="20" t="str">
        <f t="shared" si="3"/>
        <v>4002</v>
      </c>
    </row>
    <row r="102" spans="1:8" x14ac:dyDescent="0.25">
      <c r="A102" s="8">
        <v>42999.477071759262</v>
      </c>
      <c r="B102" s="20" t="s">
        <v>583</v>
      </c>
      <c r="C102" s="20" t="s">
        <v>705</v>
      </c>
      <c r="D102" s="138">
        <v>3000000</v>
      </c>
      <c r="E102" s="20" t="s">
        <v>482</v>
      </c>
      <c r="F102" s="20" t="s">
        <v>483</v>
      </c>
      <c r="G102" s="8" t="str">
        <f t="shared" si="2"/>
        <v>FORTUNATO FRANK</v>
      </c>
      <c r="H102" s="20" t="str">
        <f t="shared" si="3"/>
        <v>4031</v>
      </c>
    </row>
    <row r="103" spans="1:8" x14ac:dyDescent="0.25">
      <c r="A103" s="8">
        <v>42999.479895833334</v>
      </c>
      <c r="B103" s="20" t="s">
        <v>400</v>
      </c>
      <c r="C103" s="20" t="s">
        <v>706</v>
      </c>
      <c r="D103" s="138">
        <v>2550000</v>
      </c>
      <c r="E103" s="20" t="s">
        <v>695</v>
      </c>
      <c r="F103" s="20" t="s">
        <v>696</v>
      </c>
      <c r="G103" s="8" t="str">
        <f t="shared" si="2"/>
        <v>BADERTSCHER DIANE</v>
      </c>
      <c r="H103" s="20" t="str">
        <f t="shared" si="3"/>
        <v>4029</v>
      </c>
    </row>
    <row r="104" spans="1:8" x14ac:dyDescent="0.25">
      <c r="A104" s="8">
        <v>42999.48646990741</v>
      </c>
      <c r="B104" s="20" t="s">
        <v>454</v>
      </c>
      <c r="C104" s="20" t="s">
        <v>707</v>
      </c>
      <c r="D104" s="138">
        <v>1300000</v>
      </c>
      <c r="E104" s="20" t="s">
        <v>460</v>
      </c>
      <c r="F104" s="20" t="s">
        <v>461</v>
      </c>
      <c r="G104" s="8" t="str">
        <f t="shared" si="2"/>
        <v>LEVIN SCOTT</v>
      </c>
      <c r="H104" s="20" t="str">
        <f t="shared" si="3"/>
        <v>4018</v>
      </c>
    </row>
    <row r="105" spans="1:8" x14ac:dyDescent="0.25">
      <c r="A105" s="8">
        <v>42999.494039351855</v>
      </c>
      <c r="B105" s="20" t="s">
        <v>608</v>
      </c>
      <c r="C105" s="20" t="s">
        <v>708</v>
      </c>
      <c r="D105" s="138">
        <v>2730000</v>
      </c>
      <c r="E105" s="20" t="s">
        <v>480</v>
      </c>
      <c r="F105" s="20" t="s">
        <v>481</v>
      </c>
      <c r="G105" s="8" t="str">
        <f t="shared" si="2"/>
        <v>YANG JAN</v>
      </c>
      <c r="H105" s="20" t="str">
        <f t="shared" si="3"/>
        <v>4051</v>
      </c>
    </row>
    <row r="106" spans="1:8" x14ac:dyDescent="0.25">
      <c r="A106" s="8">
        <v>42999.497013888889</v>
      </c>
      <c r="B106" s="20" t="s">
        <v>437</v>
      </c>
      <c r="C106" s="20" t="s">
        <v>709</v>
      </c>
      <c r="D106" s="138">
        <v>2350000</v>
      </c>
      <c r="E106" s="20" t="s">
        <v>526</v>
      </c>
      <c r="F106" s="20" t="s">
        <v>527</v>
      </c>
      <c r="G106" s="8" t="str">
        <f t="shared" si="2"/>
        <v>BERLING GARY</v>
      </c>
      <c r="H106" s="20" t="str">
        <f t="shared" si="3"/>
        <v>4056</v>
      </c>
    </row>
    <row r="107" spans="1:8" x14ac:dyDescent="0.25">
      <c r="A107" s="8">
        <v>42999.499224537038</v>
      </c>
      <c r="B107" s="20" t="s">
        <v>591</v>
      </c>
      <c r="C107" s="20" t="s">
        <v>710</v>
      </c>
      <c r="D107" s="138">
        <v>3000000</v>
      </c>
      <c r="E107" s="20" t="s">
        <v>482</v>
      </c>
      <c r="F107" s="20" t="s">
        <v>483</v>
      </c>
      <c r="G107" s="8" t="str">
        <f t="shared" si="2"/>
        <v>FORTUNATO FRANK</v>
      </c>
      <c r="H107" s="20" t="str">
        <f t="shared" si="3"/>
        <v>4032</v>
      </c>
    </row>
    <row r="108" spans="1:8" x14ac:dyDescent="0.25">
      <c r="A108" s="8">
        <v>42999.503148148149</v>
      </c>
      <c r="B108" s="20" t="s">
        <v>626</v>
      </c>
      <c r="C108" s="20" t="s">
        <v>711</v>
      </c>
      <c r="D108" s="138">
        <v>1770000</v>
      </c>
      <c r="E108" s="20" t="s">
        <v>484</v>
      </c>
      <c r="F108" s="20" t="s">
        <v>485</v>
      </c>
      <c r="G108" s="8" t="str">
        <f t="shared" si="2"/>
        <v>BRUDER RICHARD</v>
      </c>
      <c r="H108" s="20" t="str">
        <f t="shared" si="3"/>
        <v>4013</v>
      </c>
    </row>
    <row r="109" spans="1:8" x14ac:dyDescent="0.25">
      <c r="A109" s="8">
        <v>42999.507581018515</v>
      </c>
      <c r="B109" s="20" t="s">
        <v>455</v>
      </c>
      <c r="C109" s="20" t="s">
        <v>712</v>
      </c>
      <c r="D109" s="138">
        <v>1180000</v>
      </c>
      <c r="E109" s="20" t="s">
        <v>458</v>
      </c>
      <c r="F109" s="20" t="s">
        <v>459</v>
      </c>
      <c r="G109" s="8" t="str">
        <f t="shared" si="2"/>
        <v>LEVERE CRAIG</v>
      </c>
      <c r="H109" s="20" t="str">
        <f t="shared" si="3"/>
        <v>4010</v>
      </c>
    </row>
    <row r="110" spans="1:8" x14ac:dyDescent="0.25">
      <c r="A110" s="8">
        <v>42999.515439814815</v>
      </c>
      <c r="B110" s="20" t="s">
        <v>391</v>
      </c>
      <c r="C110" s="20" t="s">
        <v>713</v>
      </c>
      <c r="D110" s="138">
        <v>2140000</v>
      </c>
      <c r="E110" s="20" t="s">
        <v>532</v>
      </c>
      <c r="F110" s="20" t="s">
        <v>533</v>
      </c>
      <c r="G110" s="8" t="str">
        <f t="shared" si="2"/>
        <v>ROBINSON KADDIBA</v>
      </c>
      <c r="H110" s="20" t="str">
        <f t="shared" si="3"/>
        <v>4015</v>
      </c>
    </row>
    <row r="111" spans="1:8" x14ac:dyDescent="0.25">
      <c r="A111" s="8">
        <v>42999.518576388888</v>
      </c>
      <c r="B111" s="20" t="s">
        <v>583</v>
      </c>
      <c r="C111" s="20" t="s">
        <v>714</v>
      </c>
      <c r="D111" s="138">
        <v>3000000</v>
      </c>
      <c r="E111" s="20" t="s">
        <v>482</v>
      </c>
      <c r="F111" s="20" t="s">
        <v>483</v>
      </c>
      <c r="G111" s="8" t="str">
        <f t="shared" si="2"/>
        <v>FORTUNATO FRANK</v>
      </c>
      <c r="H111" s="20" t="str">
        <f t="shared" si="3"/>
        <v>4031</v>
      </c>
    </row>
    <row r="112" spans="1:8" x14ac:dyDescent="0.25">
      <c r="A112" s="8">
        <v>42999.518958333334</v>
      </c>
      <c r="B112" s="20" t="s">
        <v>374</v>
      </c>
      <c r="C112" s="20" t="s">
        <v>601</v>
      </c>
      <c r="D112" s="138">
        <v>2550000</v>
      </c>
      <c r="E112" s="20" t="s">
        <v>695</v>
      </c>
      <c r="F112" s="20" t="s">
        <v>696</v>
      </c>
      <c r="G112" s="8" t="str">
        <f t="shared" si="2"/>
        <v>BADERTSCHER DIANE</v>
      </c>
      <c r="H112" s="20" t="str">
        <f t="shared" si="3"/>
        <v>4030</v>
      </c>
    </row>
    <row r="113" spans="1:8" x14ac:dyDescent="0.25">
      <c r="A113" s="8">
        <v>42999.524930555555</v>
      </c>
      <c r="B113" s="20" t="s">
        <v>456</v>
      </c>
      <c r="C113" s="20" t="s">
        <v>715</v>
      </c>
      <c r="D113" s="138">
        <v>1300000</v>
      </c>
      <c r="E113" s="20" t="s">
        <v>460</v>
      </c>
      <c r="F113" s="20" t="s">
        <v>461</v>
      </c>
      <c r="G113" s="8" t="str">
        <f t="shared" si="2"/>
        <v>LEVIN SCOTT</v>
      </c>
      <c r="H113" s="20" t="str">
        <f t="shared" si="3"/>
        <v>4017</v>
      </c>
    </row>
    <row r="114" spans="1:8" x14ac:dyDescent="0.25">
      <c r="A114" s="8">
        <v>42999.526597222219</v>
      </c>
      <c r="B114" s="20" t="s">
        <v>619</v>
      </c>
      <c r="C114" s="20" t="s">
        <v>716</v>
      </c>
      <c r="D114" s="138">
        <v>1810000</v>
      </c>
      <c r="E114" s="20" t="s">
        <v>717</v>
      </c>
      <c r="F114" s="20" t="s">
        <v>378</v>
      </c>
      <c r="G114" s="8" t="str">
        <f t="shared" si="2"/>
        <v>NEWELL JAMES</v>
      </c>
      <c r="H114" s="20" t="str">
        <f t="shared" si="3"/>
        <v>4006</v>
      </c>
    </row>
    <row r="115" spans="1:8" x14ac:dyDescent="0.25">
      <c r="A115" s="8">
        <v>42999.527708333335</v>
      </c>
      <c r="B115" s="20" t="s">
        <v>619</v>
      </c>
      <c r="C115" s="20" t="s">
        <v>716</v>
      </c>
      <c r="D115" s="138">
        <v>1810000</v>
      </c>
      <c r="E115" s="20" t="s">
        <v>717</v>
      </c>
      <c r="F115" s="20" t="s">
        <v>378</v>
      </c>
      <c r="G115" s="8" t="str">
        <f t="shared" si="2"/>
        <v>NEWELL JAMES</v>
      </c>
      <c r="H115" s="20" t="str">
        <f t="shared" si="3"/>
        <v>4006</v>
      </c>
    </row>
    <row r="116" spans="1:8" x14ac:dyDescent="0.25">
      <c r="A116" s="8">
        <v>42999.533125000002</v>
      </c>
      <c r="B116" s="20" t="s">
        <v>602</v>
      </c>
      <c r="C116" s="20" t="s">
        <v>603</v>
      </c>
      <c r="D116" s="138">
        <v>2350000</v>
      </c>
      <c r="E116" s="20" t="s">
        <v>526</v>
      </c>
      <c r="F116" s="20" t="s">
        <v>527</v>
      </c>
      <c r="G116" s="8" t="str">
        <f t="shared" si="2"/>
        <v>BERLING GARY</v>
      </c>
      <c r="H116" s="20" t="str">
        <f t="shared" si="3"/>
        <v>4055</v>
      </c>
    </row>
    <row r="117" spans="1:8" x14ac:dyDescent="0.25">
      <c r="A117" s="8">
        <v>42999.540520833332</v>
      </c>
      <c r="B117" s="20" t="s">
        <v>633</v>
      </c>
      <c r="C117" s="20" t="s">
        <v>718</v>
      </c>
      <c r="D117" s="138">
        <v>1770000</v>
      </c>
      <c r="E117" s="20" t="s">
        <v>484</v>
      </c>
      <c r="F117" s="20" t="s">
        <v>485</v>
      </c>
      <c r="G117" s="8" t="str">
        <f t="shared" si="2"/>
        <v>BRUDER RICHARD</v>
      </c>
      <c r="H117" s="20" t="str">
        <f t="shared" si="3"/>
        <v>4014</v>
      </c>
    </row>
    <row r="118" spans="1:8" x14ac:dyDescent="0.25">
      <c r="A118" s="8">
        <v>42999.541724537034</v>
      </c>
      <c r="B118" s="20" t="s">
        <v>591</v>
      </c>
      <c r="C118" s="20" t="s">
        <v>719</v>
      </c>
      <c r="D118" s="138">
        <v>2000000</v>
      </c>
      <c r="E118" s="20" t="s">
        <v>405</v>
      </c>
      <c r="F118" s="20" t="s">
        <v>378</v>
      </c>
      <c r="G118" s="8" t="str">
        <f t="shared" si="2"/>
        <v>STAMBAUGH JAMES</v>
      </c>
      <c r="H118" s="20" t="str">
        <f t="shared" si="3"/>
        <v>4032</v>
      </c>
    </row>
    <row r="119" spans="1:8" x14ac:dyDescent="0.25">
      <c r="A119" s="8">
        <v>42999.544942129629</v>
      </c>
      <c r="B119" s="20" t="s">
        <v>587</v>
      </c>
      <c r="C119" s="20" t="s">
        <v>604</v>
      </c>
      <c r="D119" s="138">
        <v>1180000</v>
      </c>
      <c r="E119" s="20" t="s">
        <v>458</v>
      </c>
      <c r="F119" s="20" t="s">
        <v>459</v>
      </c>
      <c r="G119" s="8" t="str">
        <f t="shared" si="2"/>
        <v>LEVERE CRAIG</v>
      </c>
      <c r="H119" s="20" t="str">
        <f t="shared" si="3"/>
        <v>4009</v>
      </c>
    </row>
    <row r="120" spans="1:8" x14ac:dyDescent="0.25">
      <c r="A120" s="8">
        <v>42999.547476851854</v>
      </c>
      <c r="B120" s="20" t="s">
        <v>392</v>
      </c>
      <c r="C120" s="20" t="s">
        <v>720</v>
      </c>
      <c r="D120" s="138">
        <v>2140000</v>
      </c>
      <c r="E120" s="20" t="s">
        <v>532</v>
      </c>
      <c r="F120" s="20" t="s">
        <v>533</v>
      </c>
      <c r="G120" s="8" t="str">
        <f t="shared" si="2"/>
        <v>ROBINSON KADDIBA</v>
      </c>
      <c r="H120" s="20" t="str">
        <f t="shared" si="3"/>
        <v>4016</v>
      </c>
    </row>
    <row r="121" spans="1:8" x14ac:dyDescent="0.25">
      <c r="A121" s="8">
        <v>42999.555694444447</v>
      </c>
      <c r="B121" s="20" t="s">
        <v>400</v>
      </c>
      <c r="C121" s="20" t="s">
        <v>721</v>
      </c>
      <c r="D121" s="138">
        <v>2550000</v>
      </c>
      <c r="E121" s="20" t="s">
        <v>695</v>
      </c>
      <c r="F121" s="20" t="s">
        <v>696</v>
      </c>
      <c r="G121" s="8" t="str">
        <f t="shared" si="2"/>
        <v>BADERTSCHER DIANE</v>
      </c>
      <c r="H121" s="20" t="str">
        <f t="shared" si="3"/>
        <v>4029</v>
      </c>
    </row>
    <row r="122" spans="1:8" x14ac:dyDescent="0.25">
      <c r="A122" s="8">
        <v>42999.556504629632</v>
      </c>
      <c r="B122" s="25" t="s">
        <v>454</v>
      </c>
      <c r="C122" s="20" t="s">
        <v>722</v>
      </c>
      <c r="D122" s="138">
        <v>1300000</v>
      </c>
      <c r="E122" s="20" t="s">
        <v>460</v>
      </c>
      <c r="F122" s="20" t="s">
        <v>461</v>
      </c>
      <c r="G122" s="8" t="str">
        <f t="shared" si="2"/>
        <v>LEVIN SCOTT</v>
      </c>
      <c r="H122" s="20" t="str">
        <f t="shared" si="3"/>
        <v>4018</v>
      </c>
    </row>
    <row r="123" spans="1:8" x14ac:dyDescent="0.25">
      <c r="A123" s="8">
        <v>42999.557916666665</v>
      </c>
      <c r="B123" s="20" t="s">
        <v>438</v>
      </c>
      <c r="C123" s="20" t="s">
        <v>723</v>
      </c>
      <c r="D123" s="138">
        <v>1810000</v>
      </c>
      <c r="E123" s="20" t="s">
        <v>717</v>
      </c>
      <c r="F123" s="20" t="s">
        <v>378</v>
      </c>
      <c r="G123" s="8" t="str">
        <f t="shared" si="2"/>
        <v>NEWELL JAMES</v>
      </c>
      <c r="H123" s="20" t="str">
        <f t="shared" si="3"/>
        <v>4005</v>
      </c>
    </row>
    <row r="124" spans="1:8" x14ac:dyDescent="0.25">
      <c r="A124" s="8">
        <v>42999.56212962963</v>
      </c>
      <c r="B124" s="20" t="s">
        <v>583</v>
      </c>
      <c r="C124" s="20" t="s">
        <v>605</v>
      </c>
      <c r="D124" s="138">
        <v>2000000</v>
      </c>
      <c r="E124" s="20" t="s">
        <v>405</v>
      </c>
      <c r="F124" s="20" t="s">
        <v>378</v>
      </c>
      <c r="G124" s="8" t="str">
        <f t="shared" si="2"/>
        <v>STAMBAUGH JAMES</v>
      </c>
      <c r="H124" s="20" t="str">
        <f t="shared" si="3"/>
        <v>4031</v>
      </c>
    </row>
    <row r="125" spans="1:8" x14ac:dyDescent="0.25">
      <c r="A125" s="8">
        <v>42999.569699074076</v>
      </c>
      <c r="B125" s="20" t="s">
        <v>437</v>
      </c>
      <c r="C125" s="20" t="s">
        <v>724</v>
      </c>
      <c r="D125" s="138">
        <v>2350000</v>
      </c>
      <c r="E125" s="20" t="s">
        <v>526</v>
      </c>
      <c r="F125" s="20" t="s">
        <v>527</v>
      </c>
      <c r="G125" s="8" t="str">
        <f t="shared" si="2"/>
        <v>BERLING GARY</v>
      </c>
      <c r="H125" s="20" t="str">
        <f t="shared" si="3"/>
        <v>4056</v>
      </c>
    </row>
    <row r="126" spans="1:8" x14ac:dyDescent="0.25">
      <c r="A126" s="8">
        <v>42999.578043981484</v>
      </c>
      <c r="B126" s="20" t="s">
        <v>626</v>
      </c>
      <c r="C126" s="20" t="s">
        <v>725</v>
      </c>
      <c r="D126" s="138">
        <v>1770000</v>
      </c>
      <c r="E126" s="20" t="s">
        <v>484</v>
      </c>
      <c r="F126" s="20" t="s">
        <v>485</v>
      </c>
      <c r="G126" s="8" t="str">
        <f t="shared" si="2"/>
        <v>BRUDER RICHARD</v>
      </c>
      <c r="H126" s="20" t="str">
        <f t="shared" si="3"/>
        <v>4013</v>
      </c>
    </row>
    <row r="127" spans="1:8" x14ac:dyDescent="0.25">
      <c r="A127" s="8">
        <v>42999.583645833336</v>
      </c>
      <c r="B127" s="20" t="s">
        <v>595</v>
      </c>
      <c r="C127" s="20" t="s">
        <v>726</v>
      </c>
      <c r="D127" s="138">
        <v>1180000</v>
      </c>
      <c r="E127" s="20" t="s">
        <v>458</v>
      </c>
      <c r="F127" s="20" t="s">
        <v>459</v>
      </c>
      <c r="G127" s="8" t="str">
        <f t="shared" si="2"/>
        <v>LEVERE CRAIG</v>
      </c>
      <c r="H127" s="20" t="str">
        <f t="shared" si="3"/>
        <v>4052</v>
      </c>
    </row>
    <row r="128" spans="1:8" x14ac:dyDescent="0.25">
      <c r="A128" s="8">
        <v>42999.587569444448</v>
      </c>
      <c r="B128" s="20" t="s">
        <v>591</v>
      </c>
      <c r="C128" s="20" t="s">
        <v>727</v>
      </c>
      <c r="D128" s="138">
        <v>2000000</v>
      </c>
      <c r="E128" s="20" t="s">
        <v>405</v>
      </c>
      <c r="F128" s="20" t="s">
        <v>378</v>
      </c>
      <c r="G128" s="8" t="str">
        <f t="shared" si="2"/>
        <v>STAMBAUGH JAMES</v>
      </c>
      <c r="H128" s="20" t="str">
        <f t="shared" si="3"/>
        <v>4032</v>
      </c>
    </row>
    <row r="129" spans="1:8" x14ac:dyDescent="0.25">
      <c r="A129" s="8">
        <v>42999.589224537034</v>
      </c>
      <c r="B129" s="20" t="s">
        <v>391</v>
      </c>
      <c r="C129" s="20" t="s">
        <v>728</v>
      </c>
      <c r="D129" s="138">
        <v>2140000</v>
      </c>
      <c r="E129" s="20" t="s">
        <v>532</v>
      </c>
      <c r="F129" s="20" t="s">
        <v>533</v>
      </c>
      <c r="G129" s="8" t="str">
        <f t="shared" si="2"/>
        <v>ROBINSON KADDIBA</v>
      </c>
      <c r="H129" s="20" t="str">
        <f t="shared" si="3"/>
        <v>4015</v>
      </c>
    </row>
    <row r="130" spans="1:8" x14ac:dyDescent="0.25">
      <c r="A130" s="8">
        <v>42999.590763888889</v>
      </c>
      <c r="B130" s="20" t="s">
        <v>374</v>
      </c>
      <c r="C130" s="20" t="s">
        <v>729</v>
      </c>
      <c r="D130" s="138">
        <v>2550000</v>
      </c>
      <c r="E130" s="20" t="s">
        <v>695</v>
      </c>
      <c r="F130" s="20" t="s">
        <v>696</v>
      </c>
      <c r="G130" s="8" t="str">
        <f t="shared" si="2"/>
        <v>BADERTSCHER DIANE</v>
      </c>
      <c r="H130" s="20" t="str">
        <f t="shared" si="3"/>
        <v>4030</v>
      </c>
    </row>
    <row r="131" spans="1:8" x14ac:dyDescent="0.25">
      <c r="A131" s="8">
        <v>42999.591458333336</v>
      </c>
      <c r="B131" s="20" t="s">
        <v>456</v>
      </c>
      <c r="C131" s="20" t="s">
        <v>730</v>
      </c>
      <c r="D131" s="138">
        <v>1300000</v>
      </c>
      <c r="E131" s="20" t="s">
        <v>460</v>
      </c>
      <c r="F131" s="20" t="s">
        <v>461</v>
      </c>
      <c r="G131" s="8" t="str">
        <f t="shared" ref="G131:G194" si="4">E131&amp;" "&amp;F131</f>
        <v>LEVIN SCOTT</v>
      </c>
      <c r="H131" s="20" t="str">
        <f t="shared" ref="H131:H194" si="5">MID(B131,13,4)</f>
        <v>4017</v>
      </c>
    </row>
    <row r="132" spans="1:8" x14ac:dyDescent="0.25">
      <c r="A132" s="8">
        <v>42999.591990740744</v>
      </c>
      <c r="B132" s="20" t="s">
        <v>455</v>
      </c>
      <c r="C132" s="20" t="s">
        <v>606</v>
      </c>
      <c r="D132" s="138">
        <v>1780000</v>
      </c>
      <c r="E132" s="20" t="s">
        <v>530</v>
      </c>
      <c r="F132" s="20" t="s">
        <v>531</v>
      </c>
      <c r="G132" s="8" t="str">
        <f t="shared" si="4"/>
        <v>DE LA ROSA ALEX</v>
      </c>
      <c r="H132" s="20" t="str">
        <f t="shared" si="5"/>
        <v>4010</v>
      </c>
    </row>
    <row r="133" spans="1:8" x14ac:dyDescent="0.25">
      <c r="A133" s="8">
        <v>42999.598356481481</v>
      </c>
      <c r="B133" s="20" t="s">
        <v>587</v>
      </c>
      <c r="C133" s="20" t="s">
        <v>731</v>
      </c>
      <c r="D133" s="138">
        <v>1780000</v>
      </c>
      <c r="E133" s="20" t="s">
        <v>530</v>
      </c>
      <c r="F133" s="20" t="s">
        <v>531</v>
      </c>
      <c r="G133" s="8" t="str">
        <f t="shared" si="4"/>
        <v>DE LA ROSA ALEX</v>
      </c>
      <c r="H133" s="20" t="str">
        <f t="shared" si="5"/>
        <v>4009</v>
      </c>
    </row>
    <row r="134" spans="1:8" x14ac:dyDescent="0.25">
      <c r="A134" s="8">
        <v>42999.598437499997</v>
      </c>
      <c r="B134" s="20" t="s">
        <v>619</v>
      </c>
      <c r="C134" s="20" t="s">
        <v>732</v>
      </c>
      <c r="D134" s="138">
        <v>2420000</v>
      </c>
      <c r="E134" s="20" t="s">
        <v>528</v>
      </c>
      <c r="F134" s="20" t="s">
        <v>529</v>
      </c>
      <c r="G134" s="8" t="str">
        <f t="shared" si="4"/>
        <v>HOLCOMB KAMDEN</v>
      </c>
      <c r="H134" s="20" t="str">
        <f t="shared" si="5"/>
        <v>4006</v>
      </c>
    </row>
    <row r="135" spans="1:8" x14ac:dyDescent="0.25">
      <c r="A135" s="8">
        <v>42999.600729166668</v>
      </c>
      <c r="B135" s="20" t="s">
        <v>583</v>
      </c>
      <c r="C135" s="20" t="s">
        <v>733</v>
      </c>
      <c r="D135" s="138">
        <v>2000000</v>
      </c>
      <c r="E135" s="20" t="s">
        <v>405</v>
      </c>
      <c r="F135" s="20" t="s">
        <v>378</v>
      </c>
      <c r="G135" s="8" t="str">
        <f t="shared" si="4"/>
        <v>STAMBAUGH JAMES</v>
      </c>
      <c r="H135" s="20" t="str">
        <f t="shared" si="5"/>
        <v>4031</v>
      </c>
    </row>
    <row r="136" spans="1:8" x14ac:dyDescent="0.25">
      <c r="A136" s="8">
        <v>42999.605474537035</v>
      </c>
      <c r="B136" s="20" t="s">
        <v>602</v>
      </c>
      <c r="C136" s="20" t="s">
        <v>607</v>
      </c>
      <c r="D136" s="138">
        <v>2350000</v>
      </c>
      <c r="E136" s="20" t="s">
        <v>526</v>
      </c>
      <c r="F136" s="20" t="s">
        <v>527</v>
      </c>
      <c r="G136" s="8" t="str">
        <f t="shared" si="4"/>
        <v>BERLING GARY</v>
      </c>
      <c r="H136" s="20" t="str">
        <f t="shared" si="5"/>
        <v>4055</v>
      </c>
    </row>
    <row r="137" spans="1:8" x14ac:dyDescent="0.25">
      <c r="A137" s="8">
        <v>42999.609699074077</v>
      </c>
      <c r="B137" s="20" t="s">
        <v>633</v>
      </c>
      <c r="C137" s="20" t="s">
        <v>734</v>
      </c>
      <c r="D137" s="138">
        <v>2370000</v>
      </c>
      <c r="E137" s="20" t="s">
        <v>524</v>
      </c>
      <c r="F137" s="20" t="s">
        <v>525</v>
      </c>
      <c r="G137" s="8" t="str">
        <f t="shared" si="4"/>
        <v>DELGADO DIANAH</v>
      </c>
      <c r="H137" s="20" t="str">
        <f t="shared" si="5"/>
        <v>4014</v>
      </c>
    </row>
    <row r="138" spans="1:8" x14ac:dyDescent="0.25">
      <c r="A138" s="8">
        <v>42999.611296296294</v>
      </c>
      <c r="B138" s="20" t="s">
        <v>583</v>
      </c>
      <c r="C138" s="20" t="s">
        <v>733</v>
      </c>
      <c r="D138" s="138">
        <v>2000000</v>
      </c>
      <c r="E138" s="20" t="s">
        <v>405</v>
      </c>
      <c r="F138" s="20" t="s">
        <v>378</v>
      </c>
      <c r="G138" s="8" t="str">
        <f t="shared" si="4"/>
        <v>STAMBAUGH JAMES</v>
      </c>
      <c r="H138" s="20" t="str">
        <f t="shared" si="5"/>
        <v>4031</v>
      </c>
    </row>
    <row r="139" spans="1:8" x14ac:dyDescent="0.25">
      <c r="A139" s="8">
        <v>42999.616747685184</v>
      </c>
      <c r="B139" s="20" t="s">
        <v>455</v>
      </c>
      <c r="C139" s="20" t="s">
        <v>735</v>
      </c>
      <c r="D139" s="138">
        <v>2140000</v>
      </c>
      <c r="E139" s="20" t="s">
        <v>532</v>
      </c>
      <c r="F139" s="20" t="s">
        <v>533</v>
      </c>
      <c r="G139" s="8" t="str">
        <f t="shared" si="4"/>
        <v>ROBINSON KADDIBA</v>
      </c>
      <c r="H139" s="20" t="str">
        <f t="shared" si="5"/>
        <v>4010</v>
      </c>
    </row>
    <row r="140" spans="1:8" x14ac:dyDescent="0.25">
      <c r="A140" s="8">
        <v>42999.617905092593</v>
      </c>
      <c r="B140" s="20" t="s">
        <v>608</v>
      </c>
      <c r="C140" s="20" t="s">
        <v>609</v>
      </c>
      <c r="D140" s="138">
        <v>1180000</v>
      </c>
      <c r="E140" s="20" t="s">
        <v>458</v>
      </c>
      <c r="F140" s="20" t="s">
        <v>459</v>
      </c>
      <c r="G140" s="8" t="str">
        <f t="shared" si="4"/>
        <v>LEVERE CRAIG</v>
      </c>
      <c r="H140" s="20" t="str">
        <f t="shared" si="5"/>
        <v>4051</v>
      </c>
    </row>
    <row r="141" spans="1:8" x14ac:dyDescent="0.25">
      <c r="A141" s="8">
        <v>42999.62190972222</v>
      </c>
      <c r="B141" s="20" t="s">
        <v>392</v>
      </c>
      <c r="C141" s="20" t="s">
        <v>606</v>
      </c>
      <c r="D141" s="138">
        <v>1780000</v>
      </c>
      <c r="E141" s="20" t="s">
        <v>530</v>
      </c>
      <c r="F141" s="20" t="s">
        <v>531</v>
      </c>
      <c r="G141" s="8" t="str">
        <f t="shared" si="4"/>
        <v>DE LA ROSA ALEX</v>
      </c>
      <c r="H141" s="20" t="str">
        <f t="shared" si="5"/>
        <v>4016</v>
      </c>
    </row>
    <row r="142" spans="1:8" x14ac:dyDescent="0.25">
      <c r="A142" s="8">
        <v>42999.626701388886</v>
      </c>
      <c r="B142" s="20" t="s">
        <v>400</v>
      </c>
      <c r="C142" s="20" t="s">
        <v>610</v>
      </c>
      <c r="D142" s="138">
        <v>2550000</v>
      </c>
      <c r="E142" s="20" t="s">
        <v>695</v>
      </c>
      <c r="F142" s="20" t="s">
        <v>696</v>
      </c>
      <c r="G142" s="8" t="str">
        <f t="shared" si="4"/>
        <v>BADERTSCHER DIANE</v>
      </c>
      <c r="H142" s="20" t="str">
        <f t="shared" si="5"/>
        <v>4029</v>
      </c>
    </row>
    <row r="143" spans="1:8" x14ac:dyDescent="0.25">
      <c r="A143" s="8">
        <v>42999.630011574074</v>
      </c>
      <c r="B143" s="20" t="s">
        <v>391</v>
      </c>
      <c r="C143" s="20" t="s">
        <v>731</v>
      </c>
      <c r="D143" s="138">
        <v>1780000</v>
      </c>
      <c r="E143" s="20" t="s">
        <v>530</v>
      </c>
      <c r="F143" s="20" t="s">
        <v>531</v>
      </c>
      <c r="G143" s="8" t="str">
        <f t="shared" si="4"/>
        <v>DE LA ROSA ALEX</v>
      </c>
      <c r="H143" s="20" t="str">
        <f t="shared" si="5"/>
        <v>4015</v>
      </c>
    </row>
    <row r="144" spans="1:8" x14ac:dyDescent="0.25">
      <c r="A144" s="8">
        <v>42999.630300925928</v>
      </c>
      <c r="B144" s="20" t="s">
        <v>591</v>
      </c>
      <c r="C144" s="20" t="s">
        <v>736</v>
      </c>
      <c r="D144" s="138">
        <v>2000000</v>
      </c>
      <c r="E144" s="20" t="s">
        <v>405</v>
      </c>
      <c r="F144" s="20" t="s">
        <v>378</v>
      </c>
      <c r="G144" s="8" t="str">
        <f t="shared" si="4"/>
        <v>STAMBAUGH JAMES</v>
      </c>
      <c r="H144" s="20" t="str">
        <f t="shared" si="5"/>
        <v>4032</v>
      </c>
    </row>
    <row r="145" spans="1:8" x14ac:dyDescent="0.25">
      <c r="A145" s="8">
        <v>42999.633194444446</v>
      </c>
      <c r="B145" s="20" t="s">
        <v>454</v>
      </c>
      <c r="C145" s="20" t="s">
        <v>737</v>
      </c>
      <c r="D145" s="138">
        <v>1300000</v>
      </c>
      <c r="E145" s="20" t="s">
        <v>460</v>
      </c>
      <c r="F145" s="20" t="s">
        <v>461</v>
      </c>
      <c r="G145" s="8" t="str">
        <f t="shared" si="4"/>
        <v>LEVIN SCOTT</v>
      </c>
      <c r="H145" s="20" t="str">
        <f t="shared" si="5"/>
        <v>4018</v>
      </c>
    </row>
    <row r="146" spans="1:8" x14ac:dyDescent="0.25">
      <c r="A146" s="8">
        <v>42999.634618055556</v>
      </c>
      <c r="B146" s="20" t="s">
        <v>413</v>
      </c>
      <c r="C146" s="20" t="s">
        <v>738</v>
      </c>
      <c r="D146" s="138">
        <v>1810000</v>
      </c>
      <c r="E146" s="20" t="s">
        <v>717</v>
      </c>
      <c r="F146" s="20" t="s">
        <v>378</v>
      </c>
      <c r="G146" s="8" t="str">
        <f t="shared" si="4"/>
        <v>NEWELL JAMES</v>
      </c>
      <c r="H146" s="20" t="str">
        <f t="shared" si="5"/>
        <v>4028</v>
      </c>
    </row>
    <row r="147" spans="1:8" x14ac:dyDescent="0.25">
      <c r="A147" s="8">
        <v>42999.635254629633</v>
      </c>
      <c r="B147" s="20" t="s">
        <v>413</v>
      </c>
      <c r="C147" s="20" t="s">
        <v>738</v>
      </c>
      <c r="D147" s="138">
        <v>1810000</v>
      </c>
      <c r="E147" s="20" t="s">
        <v>717</v>
      </c>
      <c r="F147" s="20" t="s">
        <v>378</v>
      </c>
      <c r="G147" s="8" t="str">
        <f t="shared" si="4"/>
        <v>NEWELL JAMES</v>
      </c>
      <c r="H147" s="20" t="str">
        <f t="shared" si="5"/>
        <v>4028</v>
      </c>
    </row>
    <row r="148" spans="1:8" x14ac:dyDescent="0.25">
      <c r="A148" s="8">
        <v>42999.636157407411</v>
      </c>
      <c r="B148" s="20" t="s">
        <v>413</v>
      </c>
      <c r="C148" s="20" t="s">
        <v>739</v>
      </c>
      <c r="D148" s="138">
        <v>1810000</v>
      </c>
      <c r="E148" s="20" t="s">
        <v>717</v>
      </c>
      <c r="F148" s="20" t="s">
        <v>378</v>
      </c>
      <c r="G148" s="8" t="str">
        <f t="shared" si="4"/>
        <v>NEWELL JAMES</v>
      </c>
      <c r="H148" s="20" t="str">
        <f t="shared" si="5"/>
        <v>4028</v>
      </c>
    </row>
    <row r="149" spans="1:8" x14ac:dyDescent="0.25">
      <c r="A149" s="8">
        <v>42999.639016203706</v>
      </c>
      <c r="B149" s="20" t="s">
        <v>585</v>
      </c>
      <c r="C149" s="20" t="s">
        <v>740</v>
      </c>
      <c r="D149" s="138">
        <v>3280000</v>
      </c>
      <c r="E149" s="20" t="s">
        <v>488</v>
      </c>
      <c r="F149" s="20" t="s">
        <v>489</v>
      </c>
      <c r="G149" s="8" t="str">
        <f t="shared" si="4"/>
        <v>BIRKHOLZ NADINE</v>
      </c>
      <c r="H149" s="20" t="str">
        <f t="shared" si="5"/>
        <v>4053</v>
      </c>
    </row>
    <row r="150" spans="1:8" x14ac:dyDescent="0.25">
      <c r="A150" s="8">
        <v>42999.641388888886</v>
      </c>
      <c r="B150" s="20" t="s">
        <v>438</v>
      </c>
      <c r="C150" s="20" t="s">
        <v>741</v>
      </c>
      <c r="D150" s="138">
        <v>2420000</v>
      </c>
      <c r="E150" s="20" t="s">
        <v>528</v>
      </c>
      <c r="F150" s="20" t="s">
        <v>529</v>
      </c>
      <c r="G150" s="8" t="str">
        <f t="shared" si="4"/>
        <v>HOLCOMB KAMDEN</v>
      </c>
      <c r="H150" s="20" t="str">
        <f t="shared" si="5"/>
        <v>4005</v>
      </c>
    </row>
    <row r="151" spans="1:8" x14ac:dyDescent="0.25">
      <c r="A151" s="8">
        <v>42999.641851851855</v>
      </c>
      <c r="B151" s="20" t="s">
        <v>437</v>
      </c>
      <c r="C151" s="20" t="s">
        <v>742</v>
      </c>
      <c r="D151" s="138">
        <v>2350000</v>
      </c>
      <c r="E151" s="20" t="s">
        <v>526</v>
      </c>
      <c r="F151" s="20" t="s">
        <v>527</v>
      </c>
      <c r="G151" s="8" t="str">
        <f t="shared" si="4"/>
        <v>BERLING GARY</v>
      </c>
      <c r="H151" s="20" t="str">
        <f t="shared" si="5"/>
        <v>4056</v>
      </c>
    </row>
    <row r="152" spans="1:8" x14ac:dyDescent="0.25">
      <c r="A152" s="8">
        <v>42999.641875000001</v>
      </c>
      <c r="B152" s="20" t="s">
        <v>478</v>
      </c>
      <c r="C152" s="20" t="s">
        <v>738</v>
      </c>
      <c r="D152" s="138">
        <v>1810000</v>
      </c>
      <c r="E152" s="20" t="s">
        <v>717</v>
      </c>
      <c r="F152" s="20" t="s">
        <v>378</v>
      </c>
      <c r="G152" s="8" t="str">
        <f t="shared" si="4"/>
        <v>NEWELL JAMES</v>
      </c>
      <c r="H152" s="20" t="str">
        <f t="shared" si="5"/>
        <v>4027</v>
      </c>
    </row>
    <row r="153" spans="1:8" x14ac:dyDescent="0.25">
      <c r="A153" s="8">
        <v>42999.642083333332</v>
      </c>
      <c r="B153" s="20" t="s">
        <v>583</v>
      </c>
      <c r="C153" s="20" t="s">
        <v>743</v>
      </c>
      <c r="D153" s="138">
        <v>2000000</v>
      </c>
      <c r="E153" s="20" t="s">
        <v>405</v>
      </c>
      <c r="F153" s="20" t="s">
        <v>378</v>
      </c>
      <c r="G153" s="8" t="str">
        <f t="shared" si="4"/>
        <v>STAMBAUGH JAMES</v>
      </c>
      <c r="H153" s="20" t="str">
        <f t="shared" si="5"/>
        <v>4031</v>
      </c>
    </row>
    <row r="154" spans="1:8" x14ac:dyDescent="0.25">
      <c r="A154" s="8">
        <v>42999.648113425923</v>
      </c>
      <c r="B154" s="20" t="s">
        <v>413</v>
      </c>
      <c r="C154" s="20" t="s">
        <v>744</v>
      </c>
      <c r="D154" s="138">
        <v>1180000</v>
      </c>
      <c r="E154" s="20" t="s">
        <v>458</v>
      </c>
      <c r="F154" s="20" t="s">
        <v>459</v>
      </c>
      <c r="G154" s="8" t="str">
        <f t="shared" si="4"/>
        <v>LEVERE CRAIG</v>
      </c>
      <c r="H154" s="20" t="str">
        <f t="shared" si="5"/>
        <v>4028</v>
      </c>
    </row>
    <row r="155" spans="1:8" x14ac:dyDescent="0.25">
      <c r="A155" s="8">
        <v>42999.65053240741</v>
      </c>
      <c r="B155" s="20" t="s">
        <v>579</v>
      </c>
      <c r="C155" s="20" t="s">
        <v>745</v>
      </c>
      <c r="D155" s="138">
        <v>3280000</v>
      </c>
      <c r="E155" s="20" t="s">
        <v>488</v>
      </c>
      <c r="F155" s="20" t="s">
        <v>489</v>
      </c>
      <c r="G155" s="8" t="str">
        <f t="shared" si="4"/>
        <v>BIRKHOLZ NADINE</v>
      </c>
      <c r="H155" s="20" t="str">
        <f t="shared" si="5"/>
        <v>4054</v>
      </c>
    </row>
    <row r="156" spans="1:8" x14ac:dyDescent="0.25">
      <c r="A156" s="8">
        <v>42999.650937500002</v>
      </c>
      <c r="B156" s="20" t="s">
        <v>626</v>
      </c>
      <c r="C156" s="20" t="s">
        <v>746</v>
      </c>
      <c r="D156" s="138">
        <v>2370000</v>
      </c>
      <c r="E156" s="20" t="s">
        <v>524</v>
      </c>
      <c r="F156" s="20" t="s">
        <v>525</v>
      </c>
      <c r="G156" s="8" t="str">
        <f t="shared" si="4"/>
        <v>DELGADO DIANAH</v>
      </c>
      <c r="H156" s="20" t="str">
        <f t="shared" si="5"/>
        <v>4013</v>
      </c>
    </row>
    <row r="157" spans="1:8" x14ac:dyDescent="0.25">
      <c r="A157" s="8">
        <v>42999.66128472222</v>
      </c>
      <c r="B157" s="20" t="s">
        <v>587</v>
      </c>
      <c r="C157" s="20" t="s">
        <v>747</v>
      </c>
      <c r="D157" s="138">
        <v>2140000</v>
      </c>
      <c r="E157" s="20" t="s">
        <v>532</v>
      </c>
      <c r="F157" s="20" t="s">
        <v>533</v>
      </c>
      <c r="G157" s="8" t="str">
        <f t="shared" si="4"/>
        <v>ROBINSON KADDIBA</v>
      </c>
      <c r="H157" s="20" t="str">
        <f t="shared" si="5"/>
        <v>4009</v>
      </c>
    </row>
    <row r="158" spans="1:8" x14ac:dyDescent="0.25">
      <c r="A158" s="8">
        <v>42999.664641203701</v>
      </c>
      <c r="B158" s="20" t="s">
        <v>374</v>
      </c>
      <c r="C158" s="20" t="s">
        <v>748</v>
      </c>
      <c r="D158" s="138">
        <v>2550000</v>
      </c>
      <c r="E158" s="20" t="s">
        <v>695</v>
      </c>
      <c r="F158" s="20" t="s">
        <v>696</v>
      </c>
      <c r="G158" s="8" t="str">
        <f t="shared" si="4"/>
        <v>BADERTSCHER DIANE</v>
      </c>
      <c r="H158" s="20" t="str">
        <f t="shared" si="5"/>
        <v>4030</v>
      </c>
    </row>
    <row r="159" spans="1:8" x14ac:dyDescent="0.25">
      <c r="A159" s="8">
        <v>42999.66479166667</v>
      </c>
      <c r="B159" s="20" t="s">
        <v>585</v>
      </c>
      <c r="C159" s="20" t="s">
        <v>749</v>
      </c>
      <c r="D159" s="138">
        <v>3280000</v>
      </c>
      <c r="E159" s="20" t="s">
        <v>488</v>
      </c>
      <c r="F159" s="20" t="s">
        <v>489</v>
      </c>
      <c r="G159" s="8" t="str">
        <f t="shared" si="4"/>
        <v>BIRKHOLZ NADINE</v>
      </c>
      <c r="H159" s="20" t="str">
        <f t="shared" si="5"/>
        <v>4053</v>
      </c>
    </row>
    <row r="160" spans="1:8" x14ac:dyDescent="0.25">
      <c r="A160" s="8">
        <v>42999.667916666665</v>
      </c>
      <c r="B160" s="20" t="s">
        <v>456</v>
      </c>
      <c r="C160" s="20" t="s">
        <v>750</v>
      </c>
      <c r="D160" s="138">
        <v>1300000</v>
      </c>
      <c r="E160" s="20" t="s">
        <v>460</v>
      </c>
      <c r="F160" s="20" t="s">
        <v>461</v>
      </c>
      <c r="G160" s="8" t="str">
        <f t="shared" si="4"/>
        <v>LEVIN SCOTT</v>
      </c>
      <c r="H160" s="20" t="str">
        <f t="shared" si="5"/>
        <v>4017</v>
      </c>
    </row>
    <row r="161" spans="1:8" x14ac:dyDescent="0.25">
      <c r="A161" s="8">
        <v>42999.671585648146</v>
      </c>
      <c r="B161" s="20" t="s">
        <v>591</v>
      </c>
      <c r="C161" s="20" t="s">
        <v>751</v>
      </c>
      <c r="D161" s="138">
        <v>2000000</v>
      </c>
      <c r="E161" s="20" t="s">
        <v>405</v>
      </c>
      <c r="F161" s="20" t="s">
        <v>378</v>
      </c>
      <c r="G161" s="8" t="str">
        <f t="shared" si="4"/>
        <v>STAMBAUGH JAMES</v>
      </c>
      <c r="H161" s="20" t="str">
        <f t="shared" si="5"/>
        <v>4032</v>
      </c>
    </row>
    <row r="162" spans="1:8" x14ac:dyDescent="0.25">
      <c r="A162" s="8">
        <v>42999.673252314817</v>
      </c>
      <c r="B162" s="20" t="s">
        <v>602</v>
      </c>
      <c r="C162" s="20" t="s">
        <v>752</v>
      </c>
      <c r="D162" s="138">
        <v>2350000</v>
      </c>
      <c r="E162" s="20" t="s">
        <v>526</v>
      </c>
      <c r="F162" s="20" t="s">
        <v>527</v>
      </c>
      <c r="G162" s="8" t="str">
        <f t="shared" si="4"/>
        <v>BERLING GARY</v>
      </c>
      <c r="H162" s="20" t="str">
        <f t="shared" si="5"/>
        <v>4055</v>
      </c>
    </row>
    <row r="163" spans="1:8" x14ac:dyDescent="0.25">
      <c r="A163" s="8">
        <v>42999.674537037034</v>
      </c>
      <c r="B163" s="20" t="s">
        <v>619</v>
      </c>
      <c r="C163" s="20" t="s">
        <v>753</v>
      </c>
      <c r="D163" s="138">
        <v>2420000</v>
      </c>
      <c r="E163" s="20" t="s">
        <v>528</v>
      </c>
      <c r="F163" s="20" t="s">
        <v>529</v>
      </c>
      <c r="G163" s="8" t="str">
        <f t="shared" si="4"/>
        <v>HOLCOMB KAMDEN</v>
      </c>
      <c r="H163" s="20" t="str">
        <f t="shared" si="5"/>
        <v>4006</v>
      </c>
    </row>
    <row r="164" spans="1:8" x14ac:dyDescent="0.25">
      <c r="A164" s="8">
        <v>42999.681990740741</v>
      </c>
      <c r="B164" s="20" t="s">
        <v>595</v>
      </c>
      <c r="C164" s="20" t="s">
        <v>754</v>
      </c>
      <c r="D164" s="138">
        <v>1810000</v>
      </c>
      <c r="E164" s="20" t="s">
        <v>717</v>
      </c>
      <c r="F164" s="20" t="s">
        <v>378</v>
      </c>
      <c r="G164" s="8" t="str">
        <f t="shared" si="4"/>
        <v>NEWELL JAMES</v>
      </c>
      <c r="H164" s="20" t="str">
        <f t="shared" si="5"/>
        <v>4052</v>
      </c>
    </row>
    <row r="165" spans="1:8" x14ac:dyDescent="0.25">
      <c r="A165" s="8">
        <v>42999.68277777778</v>
      </c>
      <c r="B165" s="20" t="s">
        <v>633</v>
      </c>
      <c r="C165" s="20" t="s">
        <v>755</v>
      </c>
      <c r="D165" s="138">
        <v>1770000</v>
      </c>
      <c r="E165" s="20" t="s">
        <v>484</v>
      </c>
      <c r="F165" s="20" t="s">
        <v>485</v>
      </c>
      <c r="G165" s="8" t="str">
        <f t="shared" si="4"/>
        <v>BRUDER RICHARD</v>
      </c>
      <c r="H165" s="20" t="str">
        <f t="shared" si="5"/>
        <v>4014</v>
      </c>
    </row>
    <row r="166" spans="1:8" x14ac:dyDescent="0.25">
      <c r="A166" s="8">
        <v>42999.684629629628</v>
      </c>
      <c r="B166" s="20" t="s">
        <v>583</v>
      </c>
      <c r="C166" s="20" t="s">
        <v>611</v>
      </c>
      <c r="D166" s="138">
        <v>2000000</v>
      </c>
      <c r="E166" s="20" t="s">
        <v>405</v>
      </c>
      <c r="F166" s="20" t="s">
        <v>378</v>
      </c>
      <c r="G166" s="8" t="str">
        <f t="shared" si="4"/>
        <v>STAMBAUGH JAMES</v>
      </c>
      <c r="H166" s="20" t="str">
        <f t="shared" si="5"/>
        <v>4031</v>
      </c>
    </row>
    <row r="167" spans="1:8" x14ac:dyDescent="0.25">
      <c r="A167" s="8">
        <v>42999.690254629626</v>
      </c>
      <c r="B167" s="20" t="s">
        <v>478</v>
      </c>
      <c r="C167" s="20" t="s">
        <v>756</v>
      </c>
      <c r="D167" s="138">
        <v>1180000</v>
      </c>
      <c r="E167" s="20" t="s">
        <v>458</v>
      </c>
      <c r="F167" s="20" t="s">
        <v>459</v>
      </c>
      <c r="G167" s="8" t="str">
        <f t="shared" si="4"/>
        <v>LEVERE CRAIG</v>
      </c>
      <c r="H167" s="20" t="str">
        <f t="shared" si="5"/>
        <v>4027</v>
      </c>
    </row>
    <row r="168" spans="1:8" x14ac:dyDescent="0.25">
      <c r="A168" s="8">
        <v>42999.693425925929</v>
      </c>
      <c r="B168" s="20" t="s">
        <v>455</v>
      </c>
      <c r="C168" s="20" t="s">
        <v>612</v>
      </c>
      <c r="D168" s="138">
        <v>2140000</v>
      </c>
      <c r="E168" s="20" t="s">
        <v>532</v>
      </c>
      <c r="F168" s="20" t="s">
        <v>533</v>
      </c>
      <c r="G168" s="8" t="str">
        <f t="shared" si="4"/>
        <v>ROBINSON KADDIBA</v>
      </c>
      <c r="H168" s="20" t="str">
        <f t="shared" si="5"/>
        <v>4010</v>
      </c>
    </row>
    <row r="169" spans="1:8" x14ac:dyDescent="0.25">
      <c r="A169" s="8">
        <v>42999.693692129629</v>
      </c>
      <c r="B169" s="20" t="s">
        <v>392</v>
      </c>
      <c r="C169" s="20" t="s">
        <v>757</v>
      </c>
      <c r="D169" s="138">
        <v>3280000</v>
      </c>
      <c r="E169" s="20" t="s">
        <v>488</v>
      </c>
      <c r="F169" s="20" t="s">
        <v>489</v>
      </c>
      <c r="G169" s="8" t="str">
        <f t="shared" si="4"/>
        <v>BIRKHOLZ NADINE</v>
      </c>
      <c r="H169" s="20" t="str">
        <f t="shared" si="5"/>
        <v>4016</v>
      </c>
    </row>
    <row r="170" spans="1:8" x14ac:dyDescent="0.25">
      <c r="A170" s="8">
        <v>42999.70140046296</v>
      </c>
      <c r="B170" s="20" t="s">
        <v>400</v>
      </c>
      <c r="C170" s="20" t="s">
        <v>613</v>
      </c>
      <c r="D170" s="138">
        <v>2550000</v>
      </c>
      <c r="E170" s="20" t="s">
        <v>695</v>
      </c>
      <c r="F170" s="20" t="s">
        <v>696</v>
      </c>
      <c r="G170" s="8" t="str">
        <f t="shared" si="4"/>
        <v>BADERTSCHER DIANE</v>
      </c>
      <c r="H170" s="20" t="str">
        <f t="shared" si="5"/>
        <v>4029</v>
      </c>
    </row>
    <row r="171" spans="1:8" x14ac:dyDescent="0.25">
      <c r="A171" s="8">
        <v>42999.703611111108</v>
      </c>
      <c r="B171" s="20" t="s">
        <v>454</v>
      </c>
      <c r="C171" s="20" t="s">
        <v>758</v>
      </c>
      <c r="D171" s="138">
        <v>1300000</v>
      </c>
      <c r="E171" s="20" t="s">
        <v>460</v>
      </c>
      <c r="F171" s="20" t="s">
        <v>461</v>
      </c>
      <c r="G171" s="8" t="str">
        <f t="shared" si="4"/>
        <v>LEVIN SCOTT</v>
      </c>
      <c r="H171" s="20" t="str">
        <f t="shared" si="5"/>
        <v>4018</v>
      </c>
    </row>
    <row r="172" spans="1:8" x14ac:dyDescent="0.25">
      <c r="A172" s="8">
        <v>42999.711655092593</v>
      </c>
      <c r="B172" s="20" t="s">
        <v>391</v>
      </c>
      <c r="C172" s="20" t="s">
        <v>759</v>
      </c>
      <c r="D172" s="138">
        <v>3280000</v>
      </c>
      <c r="E172" s="20" t="s">
        <v>488</v>
      </c>
      <c r="F172" s="20" t="s">
        <v>489</v>
      </c>
      <c r="G172" s="8" t="str">
        <f t="shared" si="4"/>
        <v>BIRKHOLZ NADINE</v>
      </c>
      <c r="H172" s="20" t="str">
        <f t="shared" si="5"/>
        <v>4015</v>
      </c>
    </row>
    <row r="173" spans="1:8" x14ac:dyDescent="0.25">
      <c r="A173" s="8">
        <v>42999.712129629632</v>
      </c>
      <c r="B173" s="20" t="s">
        <v>438</v>
      </c>
      <c r="C173" s="20" t="s">
        <v>760</v>
      </c>
      <c r="D173" s="138">
        <v>2420000</v>
      </c>
      <c r="E173" s="20" t="s">
        <v>528</v>
      </c>
      <c r="F173" s="20" t="s">
        <v>529</v>
      </c>
      <c r="G173" s="8" t="str">
        <f t="shared" si="4"/>
        <v>HOLCOMB KAMDEN</v>
      </c>
      <c r="H173" s="20" t="str">
        <f t="shared" si="5"/>
        <v>4005</v>
      </c>
    </row>
    <row r="174" spans="1:8" x14ac:dyDescent="0.25">
      <c r="A174" s="8">
        <v>42999.712129629632</v>
      </c>
      <c r="B174" s="20" t="s">
        <v>591</v>
      </c>
      <c r="C174" s="20" t="s">
        <v>761</v>
      </c>
      <c r="D174" s="138">
        <v>2000000</v>
      </c>
      <c r="E174" s="20" t="s">
        <v>405</v>
      </c>
      <c r="F174" s="20" t="s">
        <v>378</v>
      </c>
      <c r="G174" s="8" t="str">
        <f t="shared" si="4"/>
        <v>STAMBAUGH JAMES</v>
      </c>
      <c r="H174" s="20" t="str">
        <f t="shared" si="5"/>
        <v>4032</v>
      </c>
    </row>
    <row r="175" spans="1:8" x14ac:dyDescent="0.25">
      <c r="A175" s="8">
        <v>42999.714282407411</v>
      </c>
      <c r="B175" s="20" t="s">
        <v>437</v>
      </c>
      <c r="C175" s="20" t="s">
        <v>762</v>
      </c>
      <c r="D175" s="138">
        <v>2350000</v>
      </c>
      <c r="E175" s="20" t="s">
        <v>526</v>
      </c>
      <c r="F175" s="20" t="s">
        <v>527</v>
      </c>
      <c r="G175" s="8" t="str">
        <f t="shared" si="4"/>
        <v>BERLING GARY</v>
      </c>
      <c r="H175" s="20" t="str">
        <f t="shared" si="5"/>
        <v>4056</v>
      </c>
    </row>
    <row r="176" spans="1:8" x14ac:dyDescent="0.25">
      <c r="A176" s="8">
        <v>42999.714733796296</v>
      </c>
      <c r="B176" s="20" t="s">
        <v>579</v>
      </c>
      <c r="C176" s="20" t="s">
        <v>763</v>
      </c>
      <c r="D176" s="138">
        <v>2370000</v>
      </c>
      <c r="E176" s="20" t="s">
        <v>524</v>
      </c>
      <c r="F176" s="20" t="s">
        <v>525</v>
      </c>
      <c r="G176" s="8" t="str">
        <f t="shared" si="4"/>
        <v>DELGADO DIANAH</v>
      </c>
      <c r="H176" s="20" t="str">
        <f t="shared" si="5"/>
        <v>4054</v>
      </c>
    </row>
    <row r="177" spans="1:8" x14ac:dyDescent="0.25">
      <c r="A177" s="8">
        <v>42999.724618055552</v>
      </c>
      <c r="B177" s="20" t="s">
        <v>413</v>
      </c>
      <c r="C177" s="20" t="s">
        <v>764</v>
      </c>
      <c r="D177" s="138">
        <v>1180000</v>
      </c>
      <c r="E177" s="20" t="s">
        <v>458</v>
      </c>
      <c r="F177" s="20" t="s">
        <v>459</v>
      </c>
      <c r="G177" s="8" t="str">
        <f t="shared" si="4"/>
        <v>LEVERE CRAIG</v>
      </c>
      <c r="H177" s="20" t="str">
        <f t="shared" si="5"/>
        <v>4028</v>
      </c>
    </row>
    <row r="178" spans="1:8" x14ac:dyDescent="0.25">
      <c r="A178" s="8">
        <v>42999.725706018522</v>
      </c>
      <c r="B178" s="20" t="s">
        <v>626</v>
      </c>
      <c r="C178" s="20" t="s">
        <v>765</v>
      </c>
      <c r="D178" s="138">
        <v>1770000</v>
      </c>
      <c r="E178" s="20" t="s">
        <v>484</v>
      </c>
      <c r="F178" s="20" t="s">
        <v>485</v>
      </c>
      <c r="G178" s="8" t="str">
        <f t="shared" si="4"/>
        <v>BRUDER RICHARD</v>
      </c>
      <c r="H178" s="20" t="str">
        <f t="shared" si="5"/>
        <v>4013</v>
      </c>
    </row>
    <row r="179" spans="1:8" x14ac:dyDescent="0.25">
      <c r="A179" s="8">
        <v>42999.726574074077</v>
      </c>
      <c r="B179" s="20" t="s">
        <v>583</v>
      </c>
      <c r="C179" s="20" t="s">
        <v>766</v>
      </c>
      <c r="D179" s="138">
        <v>2000000</v>
      </c>
      <c r="E179" s="20" t="s">
        <v>405</v>
      </c>
      <c r="F179" s="20" t="s">
        <v>378</v>
      </c>
      <c r="G179" s="8" t="str">
        <f t="shared" si="4"/>
        <v>STAMBAUGH JAMES</v>
      </c>
      <c r="H179" s="20" t="str">
        <f t="shared" si="5"/>
        <v>4031</v>
      </c>
    </row>
    <row r="180" spans="1:8" x14ac:dyDescent="0.25">
      <c r="A180" s="8">
        <v>42999.726712962962</v>
      </c>
      <c r="B180" s="20" t="s">
        <v>426</v>
      </c>
      <c r="C180" s="20" t="s">
        <v>767</v>
      </c>
      <c r="D180" s="138">
        <v>2600000</v>
      </c>
      <c r="E180" s="20" t="s">
        <v>768</v>
      </c>
      <c r="F180" s="20" t="s">
        <v>769</v>
      </c>
      <c r="G180" s="8" t="str">
        <f t="shared" si="4"/>
        <v>DAVIDSON DAVID</v>
      </c>
      <c r="H180" s="20" t="str">
        <f t="shared" si="5"/>
        <v>4057</v>
      </c>
    </row>
    <row r="181" spans="1:8" x14ac:dyDescent="0.25">
      <c r="A181" s="8">
        <v>42999.732349537036</v>
      </c>
      <c r="B181" s="20" t="s">
        <v>392</v>
      </c>
      <c r="C181" s="20" t="s">
        <v>770</v>
      </c>
      <c r="D181" s="138">
        <v>3280000</v>
      </c>
      <c r="E181" s="20" t="s">
        <v>488</v>
      </c>
      <c r="F181" s="20" t="s">
        <v>489</v>
      </c>
      <c r="G181" s="8" t="str">
        <f t="shared" si="4"/>
        <v>BIRKHOLZ NADINE</v>
      </c>
      <c r="H181" s="20" t="str">
        <f t="shared" si="5"/>
        <v>4016</v>
      </c>
    </row>
    <row r="182" spans="1:8" x14ac:dyDescent="0.25">
      <c r="A182" s="8">
        <v>42999.73364583333</v>
      </c>
      <c r="B182" s="20" t="s">
        <v>426</v>
      </c>
      <c r="C182" s="20" t="s">
        <v>767</v>
      </c>
      <c r="D182" s="138">
        <v>2600000</v>
      </c>
      <c r="E182" s="20" t="s">
        <v>768</v>
      </c>
      <c r="F182" s="20" t="s">
        <v>769</v>
      </c>
      <c r="G182" s="8" t="str">
        <f t="shared" si="4"/>
        <v>DAVIDSON DAVID</v>
      </c>
      <c r="H182" s="20" t="str">
        <f t="shared" si="5"/>
        <v>4057</v>
      </c>
    </row>
    <row r="183" spans="1:8" x14ac:dyDescent="0.25">
      <c r="A183" s="8">
        <v>42999.734224537038</v>
      </c>
      <c r="B183" s="20" t="s">
        <v>587</v>
      </c>
      <c r="C183" s="20" t="s">
        <v>771</v>
      </c>
      <c r="D183" s="138">
        <v>2140000</v>
      </c>
      <c r="E183" s="20" t="s">
        <v>532</v>
      </c>
      <c r="F183" s="20" t="s">
        <v>533</v>
      </c>
      <c r="G183" s="8" t="str">
        <f t="shared" si="4"/>
        <v>ROBINSON KADDIBA</v>
      </c>
      <c r="H183" s="20" t="str">
        <f t="shared" si="5"/>
        <v>4009</v>
      </c>
    </row>
    <row r="184" spans="1:8" x14ac:dyDescent="0.25">
      <c r="A184" s="8">
        <v>42999.737650462965</v>
      </c>
      <c r="B184" s="20" t="s">
        <v>374</v>
      </c>
      <c r="C184" s="20" t="s">
        <v>772</v>
      </c>
      <c r="D184" s="138">
        <v>890000</v>
      </c>
      <c r="E184" s="20" t="s">
        <v>371</v>
      </c>
      <c r="F184" s="20" t="s">
        <v>372</v>
      </c>
      <c r="G184" s="8" t="str">
        <f t="shared" si="4"/>
        <v>LOZA FIDEL</v>
      </c>
      <c r="H184" s="20" t="str">
        <f t="shared" si="5"/>
        <v>4030</v>
      </c>
    </row>
    <row r="185" spans="1:8" x14ac:dyDescent="0.25">
      <c r="A185" s="8">
        <v>42999.738877314812</v>
      </c>
      <c r="B185" s="20" t="s">
        <v>456</v>
      </c>
      <c r="C185" s="20" t="s">
        <v>773</v>
      </c>
      <c r="D185" s="138">
        <v>1300000</v>
      </c>
      <c r="E185" s="20" t="s">
        <v>460</v>
      </c>
      <c r="F185" s="20" t="s">
        <v>461</v>
      </c>
      <c r="G185" s="8" t="str">
        <f t="shared" si="4"/>
        <v>LEVIN SCOTT</v>
      </c>
      <c r="H185" s="20" t="str">
        <f t="shared" si="5"/>
        <v>4017</v>
      </c>
    </row>
    <row r="186" spans="1:8" x14ac:dyDescent="0.25">
      <c r="A186" s="8">
        <v>42999.748067129629</v>
      </c>
      <c r="B186" s="20" t="s">
        <v>619</v>
      </c>
      <c r="C186" s="20" t="s">
        <v>774</v>
      </c>
      <c r="D186" s="138">
        <v>2420000</v>
      </c>
      <c r="E186" s="20" t="s">
        <v>528</v>
      </c>
      <c r="F186" s="20" t="s">
        <v>529</v>
      </c>
      <c r="G186" s="8" t="str">
        <f t="shared" si="4"/>
        <v>HOLCOMB KAMDEN</v>
      </c>
      <c r="H186" s="20" t="str">
        <f t="shared" si="5"/>
        <v>4006</v>
      </c>
    </row>
    <row r="187" spans="1:8" x14ac:dyDescent="0.25">
      <c r="A187" s="8">
        <v>42999.753657407404</v>
      </c>
      <c r="B187" s="20" t="s">
        <v>602</v>
      </c>
      <c r="C187" s="20" t="s">
        <v>775</v>
      </c>
      <c r="D187" s="138">
        <v>2350000</v>
      </c>
      <c r="E187" s="20" t="s">
        <v>526</v>
      </c>
      <c r="F187" s="20" t="s">
        <v>527</v>
      </c>
      <c r="G187" s="8" t="str">
        <f t="shared" si="4"/>
        <v>BERLING GARY</v>
      </c>
      <c r="H187" s="20" t="str">
        <f t="shared" si="5"/>
        <v>4055</v>
      </c>
    </row>
    <row r="188" spans="1:8" x14ac:dyDescent="0.25">
      <c r="A188" s="8">
        <v>42999.754988425928</v>
      </c>
      <c r="B188" s="20" t="s">
        <v>633</v>
      </c>
      <c r="C188" s="20" t="s">
        <v>776</v>
      </c>
      <c r="D188" s="138">
        <v>3340000</v>
      </c>
      <c r="E188" s="20" t="s">
        <v>777</v>
      </c>
      <c r="F188" s="20" t="s">
        <v>778</v>
      </c>
      <c r="G188" s="8" t="str">
        <f t="shared" si="4"/>
        <v>ELBAUM MIKE</v>
      </c>
      <c r="H188" s="20" t="str">
        <f t="shared" si="5"/>
        <v>4014</v>
      </c>
    </row>
    <row r="189" spans="1:8" x14ac:dyDescent="0.25">
      <c r="A189" s="8">
        <v>42999.755312499998</v>
      </c>
      <c r="B189" s="20" t="s">
        <v>591</v>
      </c>
      <c r="C189" s="20" t="s">
        <v>779</v>
      </c>
      <c r="D189" s="138">
        <v>2000000</v>
      </c>
      <c r="E189" s="20" t="s">
        <v>405</v>
      </c>
      <c r="F189" s="20" t="s">
        <v>378</v>
      </c>
      <c r="G189" s="8" t="str">
        <f t="shared" si="4"/>
        <v>STAMBAUGH JAMES</v>
      </c>
      <c r="H189" s="20" t="str">
        <f t="shared" si="5"/>
        <v>4032</v>
      </c>
    </row>
    <row r="190" spans="1:8" x14ac:dyDescent="0.25">
      <c r="A190" s="8">
        <v>42999.756458333337</v>
      </c>
      <c r="B190" s="20" t="s">
        <v>391</v>
      </c>
      <c r="C190" s="20" t="s">
        <v>780</v>
      </c>
      <c r="D190" s="138">
        <v>3280000</v>
      </c>
      <c r="E190" s="20" t="s">
        <v>488</v>
      </c>
      <c r="F190" s="20" t="s">
        <v>489</v>
      </c>
      <c r="G190" s="8" t="str">
        <f t="shared" si="4"/>
        <v>BIRKHOLZ NADINE</v>
      </c>
      <c r="H190" s="20" t="str">
        <f t="shared" si="5"/>
        <v>4015</v>
      </c>
    </row>
    <row r="191" spans="1:8" x14ac:dyDescent="0.25">
      <c r="A191" s="8">
        <v>42999.762627314813</v>
      </c>
      <c r="B191" s="20" t="s">
        <v>478</v>
      </c>
      <c r="C191" s="20" t="s">
        <v>781</v>
      </c>
      <c r="D191" s="138">
        <v>1180000</v>
      </c>
      <c r="E191" s="20" t="s">
        <v>458</v>
      </c>
      <c r="F191" s="20" t="s">
        <v>459</v>
      </c>
      <c r="G191" s="8" t="str">
        <f t="shared" si="4"/>
        <v>LEVERE CRAIG</v>
      </c>
      <c r="H191" s="20" t="str">
        <f t="shared" si="5"/>
        <v>4027</v>
      </c>
    </row>
    <row r="192" spans="1:8" x14ac:dyDescent="0.25">
      <c r="A192" s="8">
        <v>42999.767442129632</v>
      </c>
      <c r="B192" s="20" t="s">
        <v>455</v>
      </c>
      <c r="C192" s="20" t="s">
        <v>782</v>
      </c>
      <c r="D192" s="138">
        <v>2620000</v>
      </c>
      <c r="E192" s="20" t="s">
        <v>385</v>
      </c>
      <c r="F192" s="20" t="s">
        <v>386</v>
      </c>
      <c r="G192" s="8" t="str">
        <f t="shared" si="4"/>
        <v>PERKINS DARREN</v>
      </c>
      <c r="H192" s="20" t="str">
        <f t="shared" si="5"/>
        <v>4010</v>
      </c>
    </row>
    <row r="193" spans="1:8" x14ac:dyDescent="0.25">
      <c r="A193" s="8">
        <v>42999.767951388887</v>
      </c>
      <c r="B193" s="20" t="s">
        <v>583</v>
      </c>
      <c r="C193" s="20" t="s">
        <v>783</v>
      </c>
      <c r="D193" s="138">
        <v>2000000</v>
      </c>
      <c r="E193" s="20" t="s">
        <v>405</v>
      </c>
      <c r="F193" s="20" t="s">
        <v>378</v>
      </c>
      <c r="G193" s="8" t="str">
        <f t="shared" si="4"/>
        <v>STAMBAUGH JAMES</v>
      </c>
      <c r="H193" s="20" t="str">
        <f t="shared" si="5"/>
        <v>4031</v>
      </c>
    </row>
    <row r="194" spans="1:8" x14ac:dyDescent="0.25">
      <c r="A194" s="8">
        <v>42999.774467592593</v>
      </c>
      <c r="B194" s="20" t="s">
        <v>392</v>
      </c>
      <c r="C194" s="20" t="s">
        <v>784</v>
      </c>
      <c r="D194" s="138">
        <v>3280000</v>
      </c>
      <c r="E194" s="20" t="s">
        <v>488</v>
      </c>
      <c r="F194" s="20" t="s">
        <v>489</v>
      </c>
      <c r="G194" s="8" t="str">
        <f t="shared" si="4"/>
        <v>BIRKHOLZ NADINE</v>
      </c>
      <c r="H194" s="20" t="str">
        <f t="shared" si="5"/>
        <v>4016</v>
      </c>
    </row>
    <row r="195" spans="1:8" x14ac:dyDescent="0.25">
      <c r="A195" s="8">
        <v>42999.775497685187</v>
      </c>
      <c r="B195" s="20" t="s">
        <v>454</v>
      </c>
      <c r="C195" s="20" t="s">
        <v>785</v>
      </c>
      <c r="D195" s="138">
        <v>1300000</v>
      </c>
      <c r="E195" s="20" t="s">
        <v>460</v>
      </c>
      <c r="F195" s="20" t="s">
        <v>461</v>
      </c>
      <c r="G195" s="8" t="str">
        <f t="shared" ref="G195:G258" si="6">E195&amp;" "&amp;F195</f>
        <v>LEVIN SCOTT</v>
      </c>
      <c r="H195" s="20" t="str">
        <f t="shared" ref="H195:H258" si="7">MID(B195,13,4)</f>
        <v>4018</v>
      </c>
    </row>
    <row r="196" spans="1:8" x14ac:dyDescent="0.25">
      <c r="A196" s="8">
        <v>42999.777719907404</v>
      </c>
      <c r="B196" s="20" t="s">
        <v>400</v>
      </c>
      <c r="C196" s="20" t="s">
        <v>786</v>
      </c>
      <c r="D196" s="138">
        <v>890000</v>
      </c>
      <c r="E196" s="20" t="s">
        <v>371</v>
      </c>
      <c r="F196" s="20" t="s">
        <v>372</v>
      </c>
      <c r="G196" s="8" t="str">
        <f t="shared" si="6"/>
        <v>LOZA FIDEL</v>
      </c>
      <c r="H196" s="20" t="str">
        <f t="shared" si="7"/>
        <v>4029</v>
      </c>
    </row>
    <row r="197" spans="1:8" x14ac:dyDescent="0.25">
      <c r="A197" s="8">
        <v>42999.786828703705</v>
      </c>
      <c r="B197" s="20" t="s">
        <v>438</v>
      </c>
      <c r="C197" s="20" t="s">
        <v>615</v>
      </c>
      <c r="D197" s="138">
        <v>2420000</v>
      </c>
      <c r="E197" s="20" t="s">
        <v>528</v>
      </c>
      <c r="F197" s="20" t="s">
        <v>529</v>
      </c>
      <c r="G197" s="8" t="str">
        <f t="shared" si="6"/>
        <v>HOLCOMB KAMDEN</v>
      </c>
      <c r="H197" s="20" t="str">
        <f t="shared" si="7"/>
        <v>4005</v>
      </c>
    </row>
    <row r="198" spans="1:8" x14ac:dyDescent="0.25">
      <c r="A198" s="8">
        <v>42999.787083333336</v>
      </c>
      <c r="B198" s="20" t="s">
        <v>626</v>
      </c>
      <c r="C198" s="20" t="s">
        <v>787</v>
      </c>
      <c r="D198" s="138">
        <v>3340000</v>
      </c>
      <c r="E198" s="20" t="s">
        <v>777</v>
      </c>
      <c r="F198" s="20" t="s">
        <v>778</v>
      </c>
      <c r="G198" s="8" t="str">
        <f t="shared" si="6"/>
        <v>ELBAUM MIKE</v>
      </c>
      <c r="H198" s="20" t="str">
        <f t="shared" si="7"/>
        <v>4013</v>
      </c>
    </row>
    <row r="199" spans="1:8" x14ac:dyDescent="0.25">
      <c r="A199" s="8">
        <v>42999.788935185185</v>
      </c>
      <c r="B199" s="20" t="s">
        <v>437</v>
      </c>
      <c r="C199" s="20" t="s">
        <v>788</v>
      </c>
      <c r="D199" s="138">
        <v>3190000</v>
      </c>
      <c r="E199" s="20" t="s">
        <v>387</v>
      </c>
      <c r="F199" s="20" t="s">
        <v>388</v>
      </c>
      <c r="G199" s="8" t="str">
        <f t="shared" si="6"/>
        <v>HART KEVIN</v>
      </c>
      <c r="H199" s="20" t="str">
        <f t="shared" si="7"/>
        <v>4056</v>
      </c>
    </row>
    <row r="200" spans="1:8" x14ac:dyDescent="0.25">
      <c r="A200" s="8">
        <v>42999.789085648146</v>
      </c>
      <c r="B200" s="20" t="s">
        <v>391</v>
      </c>
      <c r="C200" s="20" t="s">
        <v>789</v>
      </c>
      <c r="D200" s="138">
        <v>3280000</v>
      </c>
      <c r="E200" s="20" t="s">
        <v>488</v>
      </c>
      <c r="F200" s="20" t="s">
        <v>489</v>
      </c>
      <c r="G200" s="8" t="str">
        <f t="shared" si="6"/>
        <v>BIRKHOLZ NADINE</v>
      </c>
      <c r="H200" s="20" t="str">
        <f t="shared" si="7"/>
        <v>4015</v>
      </c>
    </row>
    <row r="201" spans="1:8" x14ac:dyDescent="0.25">
      <c r="A201" s="8">
        <v>42999.789675925924</v>
      </c>
      <c r="B201" s="20" t="s">
        <v>437</v>
      </c>
      <c r="C201" s="20" t="s">
        <v>788</v>
      </c>
      <c r="D201" s="138">
        <v>3190000</v>
      </c>
      <c r="E201" s="20" t="s">
        <v>387</v>
      </c>
      <c r="F201" s="20" t="s">
        <v>388</v>
      </c>
      <c r="G201" s="8" t="str">
        <f t="shared" si="6"/>
        <v>HART KEVIN</v>
      </c>
      <c r="H201" s="20" t="str">
        <f t="shared" si="7"/>
        <v>4056</v>
      </c>
    </row>
    <row r="202" spans="1:8" x14ac:dyDescent="0.25">
      <c r="A202" s="26">
        <v>42999.796226851853</v>
      </c>
      <c r="B202" s="20" t="s">
        <v>591</v>
      </c>
      <c r="C202" s="20" t="s">
        <v>614</v>
      </c>
      <c r="D202" s="138">
        <v>2000000</v>
      </c>
      <c r="E202" s="20" t="s">
        <v>405</v>
      </c>
      <c r="F202" s="20" t="s">
        <v>378</v>
      </c>
      <c r="G202" s="8" t="str">
        <f t="shared" si="6"/>
        <v>STAMBAUGH JAMES</v>
      </c>
      <c r="H202" s="20" t="str">
        <f t="shared" si="7"/>
        <v>4032</v>
      </c>
    </row>
    <row r="203" spans="1:8" x14ac:dyDescent="0.25">
      <c r="A203" s="8">
        <v>42999.798148148147</v>
      </c>
      <c r="B203" s="20" t="s">
        <v>413</v>
      </c>
      <c r="C203" s="20" t="s">
        <v>790</v>
      </c>
      <c r="D203" s="138">
        <v>1180000</v>
      </c>
      <c r="E203" s="20" t="s">
        <v>458</v>
      </c>
      <c r="F203" s="20" t="s">
        <v>459</v>
      </c>
      <c r="G203" s="8" t="str">
        <f t="shared" si="6"/>
        <v>LEVERE CRAIG</v>
      </c>
      <c r="H203" s="20" t="str">
        <f t="shared" si="7"/>
        <v>4028</v>
      </c>
    </row>
    <row r="204" spans="1:8" x14ac:dyDescent="0.25">
      <c r="A204" s="8">
        <v>42999.800046296295</v>
      </c>
      <c r="B204" s="20" t="s">
        <v>438</v>
      </c>
      <c r="C204" s="20" t="s">
        <v>615</v>
      </c>
      <c r="D204" s="138">
        <v>2420000</v>
      </c>
      <c r="E204" s="20" t="s">
        <v>528</v>
      </c>
      <c r="F204" s="20" t="s">
        <v>529</v>
      </c>
      <c r="G204" s="8" t="str">
        <f t="shared" si="6"/>
        <v>HOLCOMB KAMDEN</v>
      </c>
      <c r="H204" s="20" t="str">
        <f t="shared" si="7"/>
        <v>4005</v>
      </c>
    </row>
    <row r="205" spans="1:8" x14ac:dyDescent="0.25">
      <c r="A205" s="8">
        <v>42999.802048611113</v>
      </c>
      <c r="B205" s="20" t="s">
        <v>587</v>
      </c>
      <c r="C205" s="20" t="s">
        <v>791</v>
      </c>
      <c r="D205" s="138">
        <v>2620000</v>
      </c>
      <c r="E205" s="20" t="s">
        <v>385</v>
      </c>
      <c r="F205" s="20" t="s">
        <v>386</v>
      </c>
      <c r="G205" s="8" t="str">
        <f t="shared" si="6"/>
        <v>PERKINS DARREN</v>
      </c>
      <c r="H205" s="20" t="str">
        <f t="shared" si="7"/>
        <v>4009</v>
      </c>
    </row>
    <row r="206" spans="1:8" x14ac:dyDescent="0.25">
      <c r="A206" s="8">
        <v>42999.810034722221</v>
      </c>
      <c r="B206" s="20" t="s">
        <v>583</v>
      </c>
      <c r="C206" s="20" t="s">
        <v>792</v>
      </c>
      <c r="D206" s="138">
        <v>2000000</v>
      </c>
      <c r="E206" s="20" t="s">
        <v>405</v>
      </c>
      <c r="F206" s="20" t="s">
        <v>378</v>
      </c>
      <c r="G206" s="8" t="str">
        <f t="shared" si="6"/>
        <v>STAMBAUGH JAMES</v>
      </c>
      <c r="H206" s="20" t="str">
        <f t="shared" si="7"/>
        <v>4031</v>
      </c>
    </row>
    <row r="207" spans="1:8" x14ac:dyDescent="0.25">
      <c r="A207" s="8">
        <v>42999.811122685183</v>
      </c>
      <c r="B207" s="20" t="s">
        <v>374</v>
      </c>
      <c r="C207" s="20" t="s">
        <v>793</v>
      </c>
      <c r="D207" s="138">
        <v>890000</v>
      </c>
      <c r="E207" s="20" t="s">
        <v>371</v>
      </c>
      <c r="F207" s="20" t="s">
        <v>372</v>
      </c>
      <c r="G207" s="8" t="str">
        <f t="shared" si="6"/>
        <v>LOZA FIDEL</v>
      </c>
      <c r="H207" s="20" t="str">
        <f t="shared" si="7"/>
        <v>4030</v>
      </c>
    </row>
    <row r="208" spans="1:8" x14ac:dyDescent="0.25">
      <c r="A208" s="8">
        <v>42999.820601851854</v>
      </c>
      <c r="B208" s="20" t="s">
        <v>619</v>
      </c>
      <c r="C208" s="20" t="s">
        <v>794</v>
      </c>
      <c r="D208" s="138">
        <v>2420000</v>
      </c>
      <c r="E208" s="20" t="s">
        <v>528</v>
      </c>
      <c r="F208" s="20" t="s">
        <v>529</v>
      </c>
      <c r="G208" s="8" t="str">
        <f t="shared" si="6"/>
        <v>HOLCOMB KAMDEN</v>
      </c>
      <c r="H208" s="20" t="str">
        <f t="shared" si="7"/>
        <v>4006</v>
      </c>
    </row>
    <row r="209" spans="1:8" x14ac:dyDescent="0.25">
      <c r="A209" s="8">
        <v>42999.821331018517</v>
      </c>
      <c r="B209" s="20" t="s">
        <v>435</v>
      </c>
      <c r="C209" s="20" t="s">
        <v>795</v>
      </c>
      <c r="D209" s="138">
        <v>2440000</v>
      </c>
      <c r="E209" s="20" t="s">
        <v>796</v>
      </c>
      <c r="F209" s="20" t="s">
        <v>797</v>
      </c>
      <c r="G209" s="8" t="str">
        <f t="shared" si="6"/>
        <v>LOPES KIMBERLY</v>
      </c>
      <c r="H209" s="20" t="str">
        <f t="shared" si="7"/>
        <v>4023</v>
      </c>
    </row>
    <row r="210" spans="1:8" x14ac:dyDescent="0.25">
      <c r="A210" s="8">
        <v>42999.828009259261</v>
      </c>
      <c r="B210" s="20" t="s">
        <v>633</v>
      </c>
      <c r="C210" s="20" t="s">
        <v>798</v>
      </c>
      <c r="D210" s="138">
        <v>3340000</v>
      </c>
      <c r="E210" s="20" t="s">
        <v>777</v>
      </c>
      <c r="F210" s="20" t="s">
        <v>778</v>
      </c>
      <c r="G210" s="8" t="str">
        <f t="shared" si="6"/>
        <v>ELBAUM MIKE</v>
      </c>
      <c r="H210" s="20" t="str">
        <f t="shared" si="7"/>
        <v>4014</v>
      </c>
    </row>
    <row r="211" spans="1:8" x14ac:dyDescent="0.25">
      <c r="A211" s="8">
        <v>42999.829513888886</v>
      </c>
      <c r="B211" s="20" t="s">
        <v>602</v>
      </c>
      <c r="C211" s="20" t="s">
        <v>799</v>
      </c>
      <c r="D211" s="138">
        <v>3190000</v>
      </c>
      <c r="E211" s="20" t="s">
        <v>387</v>
      </c>
      <c r="F211" s="20" t="s">
        <v>388</v>
      </c>
      <c r="G211" s="8" t="str">
        <f t="shared" si="6"/>
        <v>HART KEVIN</v>
      </c>
      <c r="H211" s="20" t="str">
        <f t="shared" si="7"/>
        <v>4055</v>
      </c>
    </row>
    <row r="212" spans="1:8" x14ac:dyDescent="0.25">
      <c r="A212" s="8">
        <v>42999.838506944441</v>
      </c>
      <c r="B212" s="20" t="s">
        <v>436</v>
      </c>
      <c r="C212" s="20" t="s">
        <v>800</v>
      </c>
      <c r="D212" s="138">
        <v>2440000</v>
      </c>
      <c r="E212" s="20" t="s">
        <v>796</v>
      </c>
      <c r="F212" s="20" t="s">
        <v>797</v>
      </c>
      <c r="G212" s="8" t="str">
        <f t="shared" si="6"/>
        <v>LOPES KIMBERLY</v>
      </c>
      <c r="H212" s="20" t="str">
        <f t="shared" si="7"/>
        <v>4024</v>
      </c>
    </row>
    <row r="213" spans="1:8" x14ac:dyDescent="0.25">
      <c r="A213" s="8">
        <v>42999.83866898148</v>
      </c>
      <c r="B213" s="20" t="s">
        <v>591</v>
      </c>
      <c r="C213" s="20" t="s">
        <v>801</v>
      </c>
      <c r="D213" s="138">
        <v>2000000</v>
      </c>
      <c r="E213" s="20" t="s">
        <v>405</v>
      </c>
      <c r="F213" s="20" t="s">
        <v>378</v>
      </c>
      <c r="G213" s="8" t="str">
        <f t="shared" si="6"/>
        <v>STAMBAUGH JAMES</v>
      </c>
      <c r="H213" s="20" t="str">
        <f t="shared" si="7"/>
        <v>4032</v>
      </c>
    </row>
    <row r="214" spans="1:8" x14ac:dyDescent="0.25">
      <c r="A214" s="8">
        <v>42999.846319444441</v>
      </c>
      <c r="B214" s="20" t="s">
        <v>455</v>
      </c>
      <c r="C214" s="20" t="s">
        <v>802</v>
      </c>
      <c r="D214" s="138">
        <v>2620000</v>
      </c>
      <c r="E214" s="20" t="s">
        <v>385</v>
      </c>
      <c r="F214" s="20" t="s">
        <v>386</v>
      </c>
      <c r="G214" s="8" t="str">
        <f t="shared" si="6"/>
        <v>PERKINS DARREN</v>
      </c>
      <c r="H214" s="20" t="str">
        <f t="shared" si="7"/>
        <v>4010</v>
      </c>
    </row>
    <row r="215" spans="1:8" x14ac:dyDescent="0.25">
      <c r="A215" s="8">
        <v>42999.849849537037</v>
      </c>
      <c r="B215" s="20" t="s">
        <v>400</v>
      </c>
      <c r="C215" s="20" t="s">
        <v>803</v>
      </c>
      <c r="D215" s="138">
        <v>890000</v>
      </c>
      <c r="E215" s="20" t="s">
        <v>371</v>
      </c>
      <c r="F215" s="20" t="s">
        <v>372</v>
      </c>
      <c r="G215" s="8" t="str">
        <f t="shared" si="6"/>
        <v>LOZA FIDEL</v>
      </c>
      <c r="H215" s="20" t="str">
        <f t="shared" si="7"/>
        <v>4029</v>
      </c>
    </row>
    <row r="216" spans="1:8" x14ac:dyDescent="0.25">
      <c r="A216" s="8">
        <v>42999.85019675926</v>
      </c>
      <c r="B216" s="20" t="s">
        <v>583</v>
      </c>
      <c r="C216" s="20" t="s">
        <v>804</v>
      </c>
      <c r="D216" s="138">
        <v>2000000</v>
      </c>
      <c r="E216" s="20" t="s">
        <v>405</v>
      </c>
      <c r="F216" s="20" t="s">
        <v>378</v>
      </c>
      <c r="G216" s="8" t="str">
        <f t="shared" si="6"/>
        <v>STAMBAUGH JAMES</v>
      </c>
      <c r="H216" s="20" t="str">
        <f t="shared" si="7"/>
        <v>4031</v>
      </c>
    </row>
    <row r="217" spans="1:8" x14ac:dyDescent="0.25">
      <c r="A217" s="8">
        <v>42999.861064814817</v>
      </c>
      <c r="B217" s="20" t="s">
        <v>626</v>
      </c>
      <c r="C217" s="20" t="s">
        <v>805</v>
      </c>
      <c r="D217" s="138">
        <v>3340000</v>
      </c>
      <c r="E217" s="20" t="s">
        <v>777</v>
      </c>
      <c r="F217" s="20" t="s">
        <v>778</v>
      </c>
      <c r="G217" s="8" t="str">
        <f t="shared" si="6"/>
        <v>ELBAUM MIKE</v>
      </c>
      <c r="H217" s="20" t="str">
        <f t="shared" si="7"/>
        <v>4013</v>
      </c>
    </row>
    <row r="218" spans="1:8" x14ac:dyDescent="0.25">
      <c r="A218" s="8">
        <v>42999.865046296298</v>
      </c>
      <c r="B218" s="20" t="s">
        <v>437</v>
      </c>
      <c r="C218" s="20" t="s">
        <v>806</v>
      </c>
      <c r="D218" s="138">
        <v>2600000</v>
      </c>
      <c r="E218" s="20" t="s">
        <v>768</v>
      </c>
      <c r="F218" s="20" t="s">
        <v>769</v>
      </c>
      <c r="G218" s="8" t="str">
        <f t="shared" si="6"/>
        <v>DAVIDSON DAVID</v>
      </c>
      <c r="H218" s="20" t="str">
        <f t="shared" si="7"/>
        <v>4056</v>
      </c>
    </row>
    <row r="219" spans="1:8" x14ac:dyDescent="0.25">
      <c r="A219" s="8">
        <v>42999.8669212963</v>
      </c>
      <c r="B219" s="20" t="s">
        <v>407</v>
      </c>
      <c r="C219" s="20" t="s">
        <v>807</v>
      </c>
      <c r="D219" s="138">
        <v>3320000</v>
      </c>
      <c r="E219" s="20" t="s">
        <v>393</v>
      </c>
      <c r="F219" s="20" t="s">
        <v>394</v>
      </c>
      <c r="G219" s="8" t="str">
        <f t="shared" si="6"/>
        <v>NICHOLSON WESLEY</v>
      </c>
      <c r="H219" s="20" t="str">
        <f t="shared" si="7"/>
        <v>4058</v>
      </c>
    </row>
    <row r="220" spans="1:8" x14ac:dyDescent="0.25">
      <c r="A220" s="8">
        <v>42999.869247685187</v>
      </c>
      <c r="B220" s="20" t="s">
        <v>407</v>
      </c>
      <c r="C220" s="20" t="s">
        <v>807</v>
      </c>
      <c r="D220" s="138">
        <v>3320000</v>
      </c>
      <c r="E220" s="20" t="s">
        <v>393</v>
      </c>
      <c r="F220" s="20" t="s">
        <v>394</v>
      </c>
      <c r="G220" s="8" t="str">
        <f t="shared" si="6"/>
        <v>NICHOLSON WESLEY</v>
      </c>
      <c r="H220" s="20" t="str">
        <f t="shared" si="7"/>
        <v>4058</v>
      </c>
    </row>
    <row r="221" spans="1:8" x14ac:dyDescent="0.25">
      <c r="A221" s="8">
        <v>42999.870949074073</v>
      </c>
      <c r="B221" s="20" t="s">
        <v>407</v>
      </c>
      <c r="C221" s="20" t="s">
        <v>807</v>
      </c>
      <c r="D221" s="138">
        <v>3320000</v>
      </c>
      <c r="E221" s="20" t="s">
        <v>393</v>
      </c>
      <c r="F221" s="20" t="s">
        <v>394</v>
      </c>
      <c r="G221" s="8" t="str">
        <f t="shared" si="6"/>
        <v>NICHOLSON WESLEY</v>
      </c>
      <c r="H221" s="20" t="str">
        <f t="shared" si="7"/>
        <v>4058</v>
      </c>
    </row>
    <row r="222" spans="1:8" x14ac:dyDescent="0.25">
      <c r="A222" s="8">
        <v>42999.874652777777</v>
      </c>
      <c r="B222" s="20" t="s">
        <v>591</v>
      </c>
      <c r="C222" s="20" t="s">
        <v>808</v>
      </c>
      <c r="D222" s="138">
        <v>3280000</v>
      </c>
      <c r="E222" s="20" t="s">
        <v>488</v>
      </c>
      <c r="F222" s="20" t="s">
        <v>489</v>
      </c>
      <c r="G222" s="8" t="str">
        <f t="shared" si="6"/>
        <v>BIRKHOLZ NADINE</v>
      </c>
      <c r="H222" s="20" t="str">
        <f t="shared" si="7"/>
        <v>4032</v>
      </c>
    </row>
    <row r="223" spans="1:8" x14ac:dyDescent="0.25">
      <c r="A223" s="8">
        <v>42999.882303240738</v>
      </c>
      <c r="B223" s="20" t="s">
        <v>435</v>
      </c>
      <c r="C223" s="20" t="s">
        <v>795</v>
      </c>
      <c r="D223" s="138">
        <v>2440000</v>
      </c>
      <c r="E223" s="20" t="s">
        <v>796</v>
      </c>
      <c r="F223" s="20" t="s">
        <v>797</v>
      </c>
      <c r="G223" s="8" t="str">
        <f t="shared" si="6"/>
        <v>LOPES KIMBERLY</v>
      </c>
      <c r="H223" s="20" t="str">
        <f t="shared" si="7"/>
        <v>4023</v>
      </c>
    </row>
    <row r="224" spans="1:8" x14ac:dyDescent="0.25">
      <c r="A224" s="8">
        <v>42999.8827662037</v>
      </c>
      <c r="B224" t="s">
        <v>587</v>
      </c>
      <c r="C224" t="s">
        <v>809</v>
      </c>
      <c r="D224" s="138">
        <v>2620000</v>
      </c>
      <c r="E224" t="s">
        <v>385</v>
      </c>
      <c r="F224" s="20" t="s">
        <v>386</v>
      </c>
      <c r="G224" s="8" t="str">
        <f t="shared" si="6"/>
        <v>PERKINS DARREN</v>
      </c>
      <c r="H224" s="20" t="str">
        <f t="shared" si="7"/>
        <v>4009</v>
      </c>
    </row>
    <row r="225" spans="1:8" x14ac:dyDescent="0.25">
      <c r="A225" s="8">
        <v>42999.88354166667</v>
      </c>
      <c r="B225" t="s">
        <v>374</v>
      </c>
      <c r="C225" t="s">
        <v>810</v>
      </c>
      <c r="D225" s="138">
        <v>890000</v>
      </c>
      <c r="E225" t="s">
        <v>371</v>
      </c>
      <c r="F225" s="20" t="s">
        <v>372</v>
      </c>
      <c r="G225" s="8" t="str">
        <f t="shared" si="6"/>
        <v>LOZA FIDEL</v>
      </c>
      <c r="H225" s="20" t="str">
        <f t="shared" si="7"/>
        <v>4030</v>
      </c>
    </row>
    <row r="226" spans="1:8" x14ac:dyDescent="0.25">
      <c r="A226" s="8">
        <v>42999.891238425924</v>
      </c>
      <c r="B226" t="s">
        <v>438</v>
      </c>
      <c r="C226" t="s">
        <v>811</v>
      </c>
      <c r="D226" s="138">
        <v>2600000</v>
      </c>
      <c r="E226" t="s">
        <v>768</v>
      </c>
      <c r="F226" s="20" t="s">
        <v>769</v>
      </c>
      <c r="G226" s="8" t="str">
        <f t="shared" si="6"/>
        <v>DAVIDSON DAVID</v>
      </c>
      <c r="H226" s="20" t="str">
        <f t="shared" si="7"/>
        <v>4005</v>
      </c>
    </row>
    <row r="227" spans="1:8" x14ac:dyDescent="0.25">
      <c r="A227" s="8">
        <v>42999.899502314816</v>
      </c>
      <c r="B227" t="s">
        <v>583</v>
      </c>
      <c r="C227" t="s">
        <v>812</v>
      </c>
      <c r="D227" s="138">
        <v>3280000</v>
      </c>
      <c r="E227" t="s">
        <v>488</v>
      </c>
      <c r="F227" s="20" t="s">
        <v>489</v>
      </c>
      <c r="G227" s="8" t="str">
        <f t="shared" si="6"/>
        <v>BIRKHOLZ NADINE</v>
      </c>
      <c r="H227" s="20" t="str">
        <f t="shared" si="7"/>
        <v>4031</v>
      </c>
    </row>
    <row r="228" spans="1:8" x14ac:dyDescent="0.25">
      <c r="A228" s="8">
        <v>42999.901678240742</v>
      </c>
      <c r="B228" t="s">
        <v>633</v>
      </c>
      <c r="C228" t="s">
        <v>813</v>
      </c>
      <c r="D228" s="138">
        <v>3340000</v>
      </c>
      <c r="E228" t="s">
        <v>777</v>
      </c>
      <c r="F228" s="20" t="s">
        <v>778</v>
      </c>
      <c r="G228" s="8" t="str">
        <f t="shared" si="6"/>
        <v>ELBAUM MIKE</v>
      </c>
      <c r="H228" s="20" t="str">
        <f t="shared" si="7"/>
        <v>4014</v>
      </c>
    </row>
    <row r="229" spans="1:8" x14ac:dyDescent="0.25">
      <c r="A229" s="8">
        <v>42999.902685185189</v>
      </c>
      <c r="B229" t="s">
        <v>436</v>
      </c>
      <c r="C229" t="s">
        <v>800</v>
      </c>
      <c r="D229" s="138">
        <v>2440000</v>
      </c>
      <c r="E229" t="s">
        <v>796</v>
      </c>
      <c r="F229" s="20" t="s">
        <v>797</v>
      </c>
      <c r="G229" s="8" t="str">
        <f t="shared" si="6"/>
        <v>LOPES KIMBERLY</v>
      </c>
      <c r="H229" s="20" t="str">
        <f t="shared" si="7"/>
        <v>4024</v>
      </c>
    </row>
    <row r="230" spans="1:8" x14ac:dyDescent="0.25">
      <c r="A230" s="8">
        <v>42999.908888888887</v>
      </c>
      <c r="B230" t="s">
        <v>426</v>
      </c>
      <c r="C230" t="s">
        <v>814</v>
      </c>
      <c r="D230" s="138">
        <v>3320000</v>
      </c>
      <c r="E230" t="s">
        <v>393</v>
      </c>
      <c r="F230" s="20" t="s">
        <v>394</v>
      </c>
      <c r="G230" s="8" t="str">
        <f t="shared" si="6"/>
        <v>NICHOLSON WESLEY</v>
      </c>
      <c r="H230" s="20" t="str">
        <f t="shared" si="7"/>
        <v>4057</v>
      </c>
    </row>
    <row r="231" spans="1:8" x14ac:dyDescent="0.25">
      <c r="A231" s="8">
        <v>42999.911030092589</v>
      </c>
      <c r="B231" t="s">
        <v>435</v>
      </c>
      <c r="C231" t="s">
        <v>795</v>
      </c>
      <c r="D231" s="138">
        <v>2440000</v>
      </c>
      <c r="E231" t="s">
        <v>796</v>
      </c>
      <c r="F231" s="20" t="s">
        <v>797</v>
      </c>
      <c r="G231" s="8" t="str">
        <f t="shared" si="6"/>
        <v>LOPES KIMBERLY</v>
      </c>
      <c r="H231" s="20" t="str">
        <f t="shared" si="7"/>
        <v>4023</v>
      </c>
    </row>
    <row r="232" spans="1:8" x14ac:dyDescent="0.25">
      <c r="A232" s="8">
        <v>42999.919849537036</v>
      </c>
      <c r="B232" t="s">
        <v>591</v>
      </c>
      <c r="C232" t="s">
        <v>815</v>
      </c>
      <c r="D232" s="138">
        <v>3280000</v>
      </c>
      <c r="E232" t="s">
        <v>488</v>
      </c>
      <c r="F232" s="20" t="s">
        <v>489</v>
      </c>
      <c r="G232" s="8" t="str">
        <f t="shared" si="6"/>
        <v>BIRKHOLZ NADINE</v>
      </c>
      <c r="H232" s="20" t="str">
        <f t="shared" si="7"/>
        <v>4032</v>
      </c>
    </row>
    <row r="233" spans="1:8" x14ac:dyDescent="0.25">
      <c r="A233" s="8">
        <v>42999.925173611111</v>
      </c>
      <c r="B233" t="s">
        <v>436</v>
      </c>
      <c r="C233" t="s">
        <v>800</v>
      </c>
      <c r="D233" s="138">
        <v>2440000</v>
      </c>
      <c r="E233" t="s">
        <v>796</v>
      </c>
      <c r="F233" s="20" t="s">
        <v>797</v>
      </c>
      <c r="G233" s="8" t="str">
        <f t="shared" si="6"/>
        <v>LOPES KIMBERLY</v>
      </c>
      <c r="H233" s="20" t="str">
        <f t="shared" si="7"/>
        <v>4024</v>
      </c>
    </row>
    <row r="234" spans="1:8" x14ac:dyDescent="0.25">
      <c r="A234" s="8">
        <v>42999.926388888889</v>
      </c>
      <c r="B234" t="s">
        <v>455</v>
      </c>
      <c r="C234" t="s">
        <v>816</v>
      </c>
      <c r="D234" s="138">
        <v>2620000</v>
      </c>
      <c r="E234" t="s">
        <v>385</v>
      </c>
      <c r="F234" s="20" t="s">
        <v>386</v>
      </c>
      <c r="G234" s="8" t="str">
        <f t="shared" si="6"/>
        <v>PERKINS DARREN</v>
      </c>
      <c r="H234" s="20" t="str">
        <f t="shared" si="7"/>
        <v>4010</v>
      </c>
    </row>
    <row r="235" spans="1:8" x14ac:dyDescent="0.25">
      <c r="A235" s="8">
        <v>42999.93409722222</v>
      </c>
      <c r="B235" t="s">
        <v>400</v>
      </c>
      <c r="C235" t="s">
        <v>817</v>
      </c>
      <c r="D235" s="138">
        <v>890000</v>
      </c>
      <c r="E235" t="s">
        <v>371</v>
      </c>
      <c r="F235" s="20" t="s">
        <v>372</v>
      </c>
      <c r="G235" s="8" t="str">
        <f t="shared" si="6"/>
        <v>LOZA FIDEL</v>
      </c>
      <c r="H235" s="20" t="str">
        <f t="shared" si="7"/>
        <v>4029</v>
      </c>
    </row>
    <row r="236" spans="1:8" x14ac:dyDescent="0.25">
      <c r="A236" s="8">
        <v>42999.938275462962</v>
      </c>
      <c r="B236" t="s">
        <v>435</v>
      </c>
      <c r="C236" t="s">
        <v>795</v>
      </c>
      <c r="D236" s="138">
        <v>2440000</v>
      </c>
      <c r="E236" t="s">
        <v>796</v>
      </c>
      <c r="F236" s="20" t="s">
        <v>797</v>
      </c>
      <c r="G236" s="8" t="str">
        <f t="shared" si="6"/>
        <v>LOPES KIMBERLY</v>
      </c>
      <c r="H236" s="20" t="str">
        <f t="shared" si="7"/>
        <v>4023</v>
      </c>
    </row>
    <row r="237" spans="1:8" x14ac:dyDescent="0.25">
      <c r="A237" s="8">
        <v>42999.943391203706</v>
      </c>
      <c r="B237" t="s">
        <v>583</v>
      </c>
      <c r="C237" t="s">
        <v>818</v>
      </c>
      <c r="D237" s="138">
        <v>3280000</v>
      </c>
      <c r="E237" t="s">
        <v>488</v>
      </c>
      <c r="F237" s="20" t="s">
        <v>489</v>
      </c>
      <c r="G237" s="8" t="str">
        <f t="shared" si="6"/>
        <v>BIRKHOLZ NADINE</v>
      </c>
      <c r="H237" s="20" t="str">
        <f t="shared" si="7"/>
        <v>4031</v>
      </c>
    </row>
    <row r="238" spans="1:8" x14ac:dyDescent="0.25">
      <c r="A238" s="8">
        <v>42999.943668981483</v>
      </c>
      <c r="B238" t="s">
        <v>626</v>
      </c>
      <c r="C238" t="s">
        <v>819</v>
      </c>
      <c r="D238" s="138">
        <v>3340000</v>
      </c>
      <c r="E238" t="s">
        <v>777</v>
      </c>
      <c r="F238" s="20" t="s">
        <v>778</v>
      </c>
      <c r="G238" s="8" t="str">
        <f t="shared" si="6"/>
        <v>ELBAUM MIKE</v>
      </c>
      <c r="H238" s="20" t="str">
        <f t="shared" si="7"/>
        <v>4013</v>
      </c>
    </row>
    <row r="239" spans="1:8" x14ac:dyDescent="0.25">
      <c r="A239" s="8">
        <v>42999.946875000001</v>
      </c>
      <c r="B239" t="s">
        <v>436</v>
      </c>
      <c r="C239" t="s">
        <v>800</v>
      </c>
      <c r="D239" s="138">
        <v>2440000</v>
      </c>
      <c r="E239" t="s">
        <v>796</v>
      </c>
      <c r="F239" s="20" t="s">
        <v>797</v>
      </c>
      <c r="G239" s="8" t="str">
        <f t="shared" si="6"/>
        <v>LOPES KIMBERLY</v>
      </c>
      <c r="H239" s="20" t="str">
        <f t="shared" si="7"/>
        <v>4024</v>
      </c>
    </row>
    <row r="240" spans="1:8" x14ac:dyDescent="0.25">
      <c r="A240" s="8">
        <v>42999.954953703702</v>
      </c>
      <c r="B240" t="s">
        <v>435</v>
      </c>
      <c r="C240" t="s">
        <v>795</v>
      </c>
      <c r="D240" s="138">
        <v>2440000</v>
      </c>
      <c r="E240" t="s">
        <v>796</v>
      </c>
      <c r="F240" s="20" t="s">
        <v>797</v>
      </c>
      <c r="G240" s="8" t="str">
        <f t="shared" si="6"/>
        <v>LOPES KIMBERLY</v>
      </c>
      <c r="H240" s="20" t="str">
        <f t="shared" si="7"/>
        <v>4023</v>
      </c>
    </row>
    <row r="241" spans="1:8" x14ac:dyDescent="0.25">
      <c r="A241" s="8">
        <v>42999.955046296294</v>
      </c>
      <c r="B241" t="s">
        <v>407</v>
      </c>
      <c r="C241" t="s">
        <v>820</v>
      </c>
      <c r="D241" s="138">
        <v>3190000</v>
      </c>
      <c r="E241" t="s">
        <v>387</v>
      </c>
      <c r="F241" s="20" t="s">
        <v>388</v>
      </c>
      <c r="G241" s="8" t="str">
        <f t="shared" si="6"/>
        <v>HART KEVIN</v>
      </c>
      <c r="H241" s="20" t="str">
        <f t="shared" si="7"/>
        <v>4058</v>
      </c>
    </row>
    <row r="242" spans="1:8" x14ac:dyDescent="0.25">
      <c r="A242" s="8">
        <v>42999.962037037039</v>
      </c>
      <c r="B242" t="s">
        <v>591</v>
      </c>
      <c r="C242" t="s">
        <v>821</v>
      </c>
      <c r="D242" s="138">
        <v>3280000</v>
      </c>
      <c r="E242" t="s">
        <v>488</v>
      </c>
      <c r="F242" s="20" t="s">
        <v>489</v>
      </c>
      <c r="G242" s="8" t="str">
        <f t="shared" si="6"/>
        <v>BIRKHOLZ NADINE</v>
      </c>
      <c r="H242" s="20" t="str">
        <f t="shared" si="7"/>
        <v>4032</v>
      </c>
    </row>
    <row r="243" spans="1:8" x14ac:dyDescent="0.25">
      <c r="A243" s="8">
        <v>42999.967627314814</v>
      </c>
      <c r="B243" t="s">
        <v>374</v>
      </c>
      <c r="C243" t="s">
        <v>822</v>
      </c>
      <c r="D243" s="138">
        <v>890000</v>
      </c>
      <c r="E243" t="s">
        <v>371</v>
      </c>
      <c r="F243" s="20" t="s">
        <v>372</v>
      </c>
      <c r="G243" s="8" t="str">
        <f t="shared" si="6"/>
        <v>LOZA FIDEL</v>
      </c>
      <c r="H243" s="20" t="str">
        <f t="shared" si="7"/>
        <v>4030</v>
      </c>
    </row>
    <row r="244" spans="1:8" x14ac:dyDescent="0.25">
      <c r="A244" s="8">
        <v>42999.971516203703</v>
      </c>
      <c r="B244" t="s">
        <v>587</v>
      </c>
      <c r="C244" t="s">
        <v>823</v>
      </c>
      <c r="D244" s="138">
        <v>2620000</v>
      </c>
      <c r="E244" t="s">
        <v>385</v>
      </c>
      <c r="F244" s="20" t="s">
        <v>386</v>
      </c>
      <c r="G244" s="8" t="str">
        <f t="shared" si="6"/>
        <v>PERKINS DARREN</v>
      </c>
      <c r="H244" s="20" t="str">
        <f t="shared" si="7"/>
        <v>4009</v>
      </c>
    </row>
    <row r="245" spans="1:8" x14ac:dyDescent="0.25">
      <c r="A245" s="8">
        <v>42999.97179398148</v>
      </c>
      <c r="B245" t="s">
        <v>436</v>
      </c>
      <c r="C245" t="s">
        <v>800</v>
      </c>
      <c r="D245" s="138">
        <v>2440000</v>
      </c>
      <c r="E245" t="s">
        <v>796</v>
      </c>
      <c r="F245" s="20" t="s">
        <v>797</v>
      </c>
      <c r="G245" s="8" t="str">
        <f t="shared" si="6"/>
        <v>LOPES KIMBERLY</v>
      </c>
      <c r="H245" s="20" t="str">
        <f t="shared" si="7"/>
        <v>4024</v>
      </c>
    </row>
    <row r="246" spans="1:8" x14ac:dyDescent="0.25">
      <c r="A246" s="8">
        <v>42999.977789351855</v>
      </c>
      <c r="B246" t="s">
        <v>583</v>
      </c>
      <c r="C246" t="s">
        <v>824</v>
      </c>
      <c r="D246" s="138">
        <v>3280000</v>
      </c>
      <c r="E246" t="s">
        <v>488</v>
      </c>
      <c r="F246" s="20" t="s">
        <v>489</v>
      </c>
      <c r="G246" s="8" t="str">
        <f t="shared" si="6"/>
        <v>BIRKHOLZ NADINE</v>
      </c>
      <c r="H246" s="20" t="str">
        <f t="shared" si="7"/>
        <v>4031</v>
      </c>
    </row>
    <row r="247" spans="1:8" x14ac:dyDescent="0.25">
      <c r="A247" s="8">
        <v>42999.981793981482</v>
      </c>
      <c r="B247" t="s">
        <v>435</v>
      </c>
      <c r="C247" t="s">
        <v>795</v>
      </c>
      <c r="D247" s="138">
        <v>2440000</v>
      </c>
      <c r="E247" t="s">
        <v>796</v>
      </c>
      <c r="F247" s="20" t="s">
        <v>797</v>
      </c>
      <c r="G247" s="8" t="str">
        <f t="shared" si="6"/>
        <v>LOPES KIMBERLY</v>
      </c>
      <c r="H247" s="20" t="str">
        <f t="shared" si="7"/>
        <v>4023</v>
      </c>
    </row>
    <row r="248" spans="1:8" x14ac:dyDescent="0.25">
      <c r="A248" s="8">
        <v>42999.98940972222</v>
      </c>
      <c r="B248" t="s">
        <v>633</v>
      </c>
      <c r="C248" t="s">
        <v>825</v>
      </c>
      <c r="D248" s="138">
        <v>3340000</v>
      </c>
      <c r="E248" t="s">
        <v>777</v>
      </c>
      <c r="F248" s="20" t="s">
        <v>778</v>
      </c>
      <c r="G248" s="8" t="str">
        <f t="shared" si="6"/>
        <v>ELBAUM MIKE</v>
      </c>
      <c r="H248" s="20" t="str">
        <f t="shared" si="7"/>
        <v>4014</v>
      </c>
    </row>
    <row r="249" spans="1:8" x14ac:dyDescent="0.25">
      <c r="A249" s="8">
        <v>42999.993564814817</v>
      </c>
      <c r="B249" t="s">
        <v>426</v>
      </c>
      <c r="C249" t="s">
        <v>826</v>
      </c>
      <c r="D249" s="138">
        <v>3190000</v>
      </c>
      <c r="E249" t="s">
        <v>387</v>
      </c>
      <c r="F249" s="20" t="s">
        <v>388</v>
      </c>
      <c r="G249" s="8" t="str">
        <f t="shared" si="6"/>
        <v>HART KEVIN</v>
      </c>
      <c r="H249" s="20" t="str">
        <f t="shared" si="7"/>
        <v>4057</v>
      </c>
    </row>
    <row r="250" spans="1:8" x14ac:dyDescent="0.25">
      <c r="A250" s="8">
        <v>43000.006585648145</v>
      </c>
      <c r="B250" t="s">
        <v>455</v>
      </c>
      <c r="C250" t="s">
        <v>827</v>
      </c>
      <c r="D250" s="138">
        <v>2620000</v>
      </c>
      <c r="E250" t="s">
        <v>385</v>
      </c>
      <c r="F250" s="20" t="s">
        <v>386</v>
      </c>
      <c r="G250" s="8" t="str">
        <f t="shared" si="6"/>
        <v>PERKINS DARREN</v>
      </c>
      <c r="H250" s="20" t="str">
        <f t="shared" si="7"/>
        <v>4010</v>
      </c>
    </row>
    <row r="251" spans="1:8" x14ac:dyDescent="0.25">
      <c r="A251" s="8">
        <v>43000.017881944441</v>
      </c>
      <c r="B251" t="s">
        <v>400</v>
      </c>
      <c r="C251" t="s">
        <v>616</v>
      </c>
      <c r="D251" s="138">
        <v>890000</v>
      </c>
      <c r="E251" t="s">
        <v>371</v>
      </c>
      <c r="F251" s="20" t="s">
        <v>372</v>
      </c>
      <c r="G251" s="8" t="str">
        <f t="shared" si="6"/>
        <v>LOZA FIDEL</v>
      </c>
      <c r="H251" s="20" t="str">
        <f t="shared" si="7"/>
        <v>4029</v>
      </c>
    </row>
    <row r="252" spans="1:8" x14ac:dyDescent="0.25">
      <c r="A252" s="8">
        <v>43000.025775462964</v>
      </c>
      <c r="B252" t="s">
        <v>626</v>
      </c>
      <c r="C252" t="s">
        <v>828</v>
      </c>
      <c r="D252" s="138">
        <v>3340000</v>
      </c>
      <c r="E252" t="s">
        <v>777</v>
      </c>
      <c r="F252" s="20" t="s">
        <v>778</v>
      </c>
      <c r="G252" s="8" t="str">
        <f t="shared" si="6"/>
        <v>ELBAUM MIKE</v>
      </c>
      <c r="H252" s="20" t="str">
        <f t="shared" si="7"/>
        <v>4013</v>
      </c>
    </row>
    <row r="253" spans="1:8" x14ac:dyDescent="0.25">
      <c r="A253" s="8">
        <v>43000.032280092593</v>
      </c>
      <c r="B253" t="s">
        <v>619</v>
      </c>
      <c r="C253" t="s">
        <v>829</v>
      </c>
      <c r="D253" s="138">
        <v>3190000</v>
      </c>
      <c r="E253" t="s">
        <v>387</v>
      </c>
      <c r="F253" s="20" t="s">
        <v>388</v>
      </c>
      <c r="G253" s="8" t="str">
        <f t="shared" si="6"/>
        <v>HART KEVIN</v>
      </c>
      <c r="H253" s="20" t="str">
        <f t="shared" si="7"/>
        <v>4006</v>
      </c>
    </row>
    <row r="254" spans="1:8" x14ac:dyDescent="0.25">
      <c r="A254" s="8">
        <v>43000.034861111111</v>
      </c>
      <c r="B254" t="s">
        <v>436</v>
      </c>
      <c r="C254" t="s">
        <v>800</v>
      </c>
      <c r="D254" s="138">
        <v>2440000</v>
      </c>
      <c r="E254" t="s">
        <v>796</v>
      </c>
      <c r="F254" s="20" t="s">
        <v>797</v>
      </c>
      <c r="G254" s="8" t="str">
        <f t="shared" si="6"/>
        <v>LOPES KIMBERLY</v>
      </c>
      <c r="H254" s="20" t="str">
        <f t="shared" si="7"/>
        <v>4024</v>
      </c>
    </row>
    <row r="255" spans="1:8" x14ac:dyDescent="0.25">
      <c r="A255" s="8">
        <v>43000.047627314816</v>
      </c>
      <c r="B255" t="s">
        <v>374</v>
      </c>
      <c r="C255" t="s">
        <v>830</v>
      </c>
      <c r="D255" s="138">
        <v>890000</v>
      </c>
      <c r="E255" t="s">
        <v>371</v>
      </c>
      <c r="F255" s="20" t="s">
        <v>372</v>
      </c>
      <c r="G255" s="8" t="str">
        <f t="shared" si="6"/>
        <v>LOZA FIDEL</v>
      </c>
      <c r="H255" s="20" t="str">
        <f t="shared" si="7"/>
        <v>4030</v>
      </c>
    </row>
    <row r="256" spans="1:8" x14ac:dyDescent="0.25">
      <c r="A256" s="8">
        <v>43000.055752314816</v>
      </c>
      <c r="B256" t="s">
        <v>587</v>
      </c>
      <c r="C256" t="s">
        <v>617</v>
      </c>
      <c r="D256" s="138">
        <v>2620000</v>
      </c>
      <c r="E256" t="s">
        <v>385</v>
      </c>
      <c r="F256" s="20" t="s">
        <v>386</v>
      </c>
      <c r="G256" s="8" t="str">
        <f t="shared" si="6"/>
        <v>PERKINS DARREN</v>
      </c>
      <c r="H256" s="20" t="str">
        <f t="shared" si="7"/>
        <v>4009</v>
      </c>
    </row>
    <row r="257" spans="1:8" x14ac:dyDescent="0.25">
      <c r="A257" s="8">
        <v>43000.067048611112</v>
      </c>
      <c r="B257" t="s">
        <v>633</v>
      </c>
      <c r="C257" t="s">
        <v>831</v>
      </c>
      <c r="D257" s="138">
        <v>3340000</v>
      </c>
      <c r="E257" t="s">
        <v>777</v>
      </c>
      <c r="F257" s="20" t="s">
        <v>778</v>
      </c>
      <c r="G257" s="8" t="str">
        <f t="shared" si="6"/>
        <v>ELBAUM MIKE</v>
      </c>
      <c r="H257" s="20" t="str">
        <f t="shared" si="7"/>
        <v>4014</v>
      </c>
    </row>
    <row r="258" spans="1:8" x14ac:dyDescent="0.25">
      <c r="A258" s="8">
        <v>43000.073518518519</v>
      </c>
      <c r="B258" t="s">
        <v>407</v>
      </c>
      <c r="C258" t="s">
        <v>832</v>
      </c>
      <c r="D258" s="138">
        <v>3320000</v>
      </c>
      <c r="E258" t="s">
        <v>393</v>
      </c>
      <c r="F258" s="20" t="s">
        <v>394</v>
      </c>
      <c r="G258" s="8" t="str">
        <f t="shared" si="6"/>
        <v>NICHOLSON WESLEY</v>
      </c>
      <c r="H258" s="20" t="str">
        <f t="shared" si="7"/>
        <v>4058</v>
      </c>
    </row>
    <row r="259" spans="1:8" x14ac:dyDescent="0.25">
      <c r="A259" s="8">
        <v>43000.089803240742</v>
      </c>
      <c r="B259" t="s">
        <v>455</v>
      </c>
      <c r="C259" t="s">
        <v>833</v>
      </c>
      <c r="D259" s="138">
        <v>2620000</v>
      </c>
      <c r="E259" t="s">
        <v>385</v>
      </c>
      <c r="F259" s="20" t="s">
        <v>386</v>
      </c>
      <c r="G259" s="8" t="str">
        <f t="shared" ref="G259:G273" si="8">E259&amp;" "&amp;F259</f>
        <v>PERKINS DARREN</v>
      </c>
      <c r="H259" s="20" t="str">
        <f t="shared" ref="H259:H273" si="9">MID(B259,13,4)</f>
        <v>4010</v>
      </c>
    </row>
    <row r="260" spans="1:8" x14ac:dyDescent="0.25">
      <c r="A260" s="8">
        <v>43000.111990740741</v>
      </c>
      <c r="B260" t="s">
        <v>508</v>
      </c>
      <c r="C260" t="s">
        <v>834</v>
      </c>
      <c r="D260" s="138">
        <v>1830000</v>
      </c>
      <c r="E260" t="s">
        <v>422</v>
      </c>
      <c r="F260" s="20" t="s">
        <v>423</v>
      </c>
      <c r="G260" s="8" t="str">
        <f t="shared" si="8"/>
        <v>YORK EDGAR</v>
      </c>
      <c r="H260" s="20" t="str">
        <f t="shared" si="9"/>
        <v>4001</v>
      </c>
    </row>
    <row r="261" spans="1:8" x14ac:dyDescent="0.25">
      <c r="A261" s="8">
        <v>43000.112986111111</v>
      </c>
      <c r="B261" t="s">
        <v>426</v>
      </c>
      <c r="C261" t="s">
        <v>835</v>
      </c>
      <c r="D261" s="138">
        <v>900000</v>
      </c>
      <c r="E261" t="s">
        <v>512</v>
      </c>
      <c r="F261" s="20" t="s">
        <v>513</v>
      </c>
      <c r="G261" s="8" t="str">
        <f t="shared" si="8"/>
        <v>ROCHA YAOTL</v>
      </c>
      <c r="H261" s="20" t="str">
        <f t="shared" si="9"/>
        <v>4057</v>
      </c>
    </row>
    <row r="262" spans="1:8" x14ac:dyDescent="0.25">
      <c r="A262" s="8">
        <v>42999.026921296296</v>
      </c>
      <c r="B262" t="s">
        <v>507</v>
      </c>
      <c r="C262" t="s">
        <v>536</v>
      </c>
      <c r="D262" s="138">
        <v>2620000</v>
      </c>
      <c r="E262" t="s">
        <v>385</v>
      </c>
      <c r="F262" s="20" t="s">
        <v>386</v>
      </c>
      <c r="G262" s="8" t="str">
        <f t="shared" si="8"/>
        <v>PERKINS DARREN</v>
      </c>
      <c r="H262" s="20" t="str">
        <f t="shared" si="9"/>
        <v>4042</v>
      </c>
    </row>
    <row r="263" spans="1:8" x14ac:dyDescent="0.25">
      <c r="A263" s="8">
        <v>42999.029710648145</v>
      </c>
      <c r="B263" t="s">
        <v>435</v>
      </c>
      <c r="C263" t="s">
        <v>510</v>
      </c>
      <c r="D263" s="138">
        <v>3310000</v>
      </c>
      <c r="E263" t="s">
        <v>534</v>
      </c>
      <c r="F263" s="20" t="s">
        <v>535</v>
      </c>
      <c r="G263" s="8" t="str">
        <f t="shared" si="8"/>
        <v>ANDERS STEVEN</v>
      </c>
      <c r="H263" s="20" t="str">
        <f t="shared" si="9"/>
        <v>4023</v>
      </c>
    </row>
    <row r="264" spans="1:8" x14ac:dyDescent="0.25">
      <c r="A264" s="8">
        <v>42999.031157407408</v>
      </c>
      <c r="B264" t="s">
        <v>435</v>
      </c>
      <c r="C264" t="s">
        <v>510</v>
      </c>
      <c r="D264" s="138">
        <v>3310000</v>
      </c>
      <c r="E264" t="s">
        <v>534</v>
      </c>
      <c r="F264" s="20" t="s">
        <v>535</v>
      </c>
      <c r="G264" s="8" t="str">
        <f t="shared" si="8"/>
        <v>ANDERS STEVEN</v>
      </c>
      <c r="H264" s="20" t="str">
        <f t="shared" si="9"/>
        <v>4023</v>
      </c>
    </row>
    <row r="265" spans="1:8" x14ac:dyDescent="0.25">
      <c r="A265" s="8">
        <v>42999.038171296299</v>
      </c>
      <c r="B265" t="s">
        <v>453</v>
      </c>
      <c r="C265" t="s">
        <v>537</v>
      </c>
      <c r="D265" s="138">
        <v>890000</v>
      </c>
      <c r="E265" t="s">
        <v>371</v>
      </c>
      <c r="F265" s="20" t="s">
        <v>372</v>
      </c>
      <c r="G265" s="8" t="str">
        <f t="shared" si="8"/>
        <v>LOZA FIDEL</v>
      </c>
      <c r="H265" s="20" t="str">
        <f t="shared" si="9"/>
        <v>4039</v>
      </c>
    </row>
    <row r="266" spans="1:8" x14ac:dyDescent="0.25">
      <c r="A266" s="8">
        <v>42999.046215277776</v>
      </c>
      <c r="B266" t="s">
        <v>509</v>
      </c>
      <c r="C266" t="s">
        <v>538</v>
      </c>
      <c r="D266" s="138">
        <v>2680000</v>
      </c>
      <c r="E266" t="s">
        <v>383</v>
      </c>
      <c r="F266" s="20" t="s">
        <v>384</v>
      </c>
      <c r="G266" s="8" t="str">
        <f t="shared" si="8"/>
        <v>DUNCAN SHEILA</v>
      </c>
      <c r="H266" s="20" t="str">
        <f t="shared" si="9"/>
        <v>4064</v>
      </c>
    </row>
    <row r="267" spans="1:8" x14ac:dyDescent="0.25">
      <c r="A267" s="8">
        <v>42999.056111111109</v>
      </c>
      <c r="B267" t="s">
        <v>506</v>
      </c>
      <c r="C267" t="s">
        <v>538</v>
      </c>
      <c r="D267" s="138">
        <v>2680000</v>
      </c>
      <c r="E267" t="s">
        <v>383</v>
      </c>
      <c r="F267" s="20" t="s">
        <v>384</v>
      </c>
      <c r="G267" s="8" t="str">
        <f t="shared" si="8"/>
        <v>DUNCAN SHEILA</v>
      </c>
      <c r="H267" s="20" t="str">
        <f t="shared" si="9"/>
        <v>4063</v>
      </c>
    </row>
    <row r="268" spans="1:8" x14ac:dyDescent="0.25">
      <c r="A268" s="8">
        <v>42999.058923611112</v>
      </c>
      <c r="B268" t="s">
        <v>421</v>
      </c>
      <c r="C268" t="s">
        <v>511</v>
      </c>
      <c r="D268" s="138">
        <v>3190000</v>
      </c>
      <c r="E268" t="s">
        <v>387</v>
      </c>
      <c r="F268" s="20" t="s">
        <v>388</v>
      </c>
      <c r="G268" s="8" t="str">
        <f t="shared" si="8"/>
        <v>HART KEVIN</v>
      </c>
      <c r="H268" s="20" t="str">
        <f t="shared" si="9"/>
        <v>4043</v>
      </c>
    </row>
    <row r="269" spans="1:8" x14ac:dyDescent="0.25">
      <c r="A269" s="8">
        <v>42999.067094907405</v>
      </c>
      <c r="B269" t="s">
        <v>457</v>
      </c>
      <c r="C269" t="s">
        <v>539</v>
      </c>
      <c r="D269" s="138">
        <v>890000</v>
      </c>
      <c r="E269" t="s">
        <v>371</v>
      </c>
      <c r="F269" s="20" t="s">
        <v>372</v>
      </c>
      <c r="G269" s="8" t="str">
        <f t="shared" si="8"/>
        <v>LOZA FIDEL</v>
      </c>
      <c r="H269" s="20" t="str">
        <f t="shared" si="9"/>
        <v>4040</v>
      </c>
    </row>
    <row r="270" spans="1:8" x14ac:dyDescent="0.25">
      <c r="A270" s="8">
        <v>42999.070891203701</v>
      </c>
      <c r="B270" t="s">
        <v>509</v>
      </c>
      <c r="C270" t="s">
        <v>538</v>
      </c>
      <c r="D270" s="138">
        <v>2680000</v>
      </c>
      <c r="E270" t="s">
        <v>383</v>
      </c>
      <c r="F270" s="20" t="s">
        <v>384</v>
      </c>
      <c r="G270" s="8" t="str">
        <f t="shared" si="8"/>
        <v>DUNCAN SHEILA</v>
      </c>
      <c r="H270" s="20" t="str">
        <f t="shared" si="9"/>
        <v>4064</v>
      </c>
    </row>
    <row r="271" spans="1:8" x14ac:dyDescent="0.25">
      <c r="A271" s="8">
        <v>42999.07104166667</v>
      </c>
      <c r="B271" t="s">
        <v>421</v>
      </c>
      <c r="C271" t="s">
        <v>511</v>
      </c>
      <c r="D271" s="138">
        <v>3190000</v>
      </c>
      <c r="E271" t="s">
        <v>387</v>
      </c>
      <c r="F271" s="20" t="s">
        <v>388</v>
      </c>
      <c r="G271" s="8" t="str">
        <f t="shared" si="8"/>
        <v>HART KEVIN</v>
      </c>
      <c r="H271" s="20" t="str">
        <f t="shared" si="9"/>
        <v>4043</v>
      </c>
    </row>
    <row r="272" spans="1:8" x14ac:dyDescent="0.25">
      <c r="A272" s="8">
        <v>42999.089884259258</v>
      </c>
      <c r="B272" t="s">
        <v>479</v>
      </c>
      <c r="C272" t="s">
        <v>540</v>
      </c>
      <c r="D272" s="138">
        <v>3190000</v>
      </c>
      <c r="E272" t="s">
        <v>387</v>
      </c>
      <c r="F272" s="20" t="s">
        <v>388</v>
      </c>
      <c r="G272" s="8" t="str">
        <f t="shared" si="8"/>
        <v>HART KEVIN</v>
      </c>
      <c r="H272" s="20" t="str">
        <f t="shared" si="9"/>
        <v>4044</v>
      </c>
    </row>
    <row r="273" spans="1:8" x14ac:dyDescent="0.25">
      <c r="A273" s="8">
        <v>42999.114386574074</v>
      </c>
      <c r="B273" t="s">
        <v>438</v>
      </c>
      <c r="C273" t="s">
        <v>541</v>
      </c>
      <c r="D273" s="138">
        <v>1830000</v>
      </c>
      <c r="E273" t="s">
        <v>422</v>
      </c>
      <c r="F273" s="20" t="s">
        <v>423</v>
      </c>
      <c r="G273" s="8" t="str">
        <f t="shared" si="8"/>
        <v>YORK EDGAR</v>
      </c>
      <c r="H273" s="20" t="str">
        <f t="shared" si="9"/>
        <v>4005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R29"/>
    </sheetView>
  </sheetViews>
  <sheetFormatPr defaultColWidth="9.140625"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218" t="s">
        <v>157</v>
      </c>
      <c r="B1" s="218" t="s">
        <v>160</v>
      </c>
      <c r="C1" s="218" t="s">
        <v>153</v>
      </c>
      <c r="D1" s="136" t="s">
        <v>165</v>
      </c>
      <c r="E1" s="218" t="s">
        <v>154</v>
      </c>
      <c r="F1" s="218" t="s">
        <v>152</v>
      </c>
      <c r="G1" s="218" t="s">
        <v>150</v>
      </c>
      <c r="H1" s="218" t="s">
        <v>163</v>
      </c>
      <c r="I1" s="218" t="s">
        <v>164</v>
      </c>
      <c r="J1" s="218" t="s">
        <v>158</v>
      </c>
      <c r="K1" s="218" t="s">
        <v>156</v>
      </c>
      <c r="L1" s="218" t="s">
        <v>151</v>
      </c>
      <c r="M1" s="218" t="s">
        <v>161</v>
      </c>
      <c r="N1" s="218" t="s">
        <v>346</v>
      </c>
      <c r="O1" s="218" t="s">
        <v>155</v>
      </c>
      <c r="P1" s="218" t="s">
        <v>162</v>
      </c>
      <c r="Q1" s="218" t="s">
        <v>347</v>
      </c>
      <c r="R1" s="218" t="s">
        <v>159</v>
      </c>
      <c r="S1"/>
    </row>
    <row r="2" spans="1:19" x14ac:dyDescent="0.25">
      <c r="A2" s="196">
        <v>57.71</v>
      </c>
      <c r="B2" s="196">
        <v>0</v>
      </c>
      <c r="C2" s="196">
        <v>36.380000000000003</v>
      </c>
      <c r="D2" s="8">
        <v>42999</v>
      </c>
      <c r="E2" s="196">
        <v>0.45</v>
      </c>
      <c r="F2" s="196" t="s">
        <v>367</v>
      </c>
      <c r="G2" s="196">
        <v>282.77999999999997</v>
      </c>
      <c r="H2" s="196">
        <v>0</v>
      </c>
      <c r="I2" s="196">
        <v>0</v>
      </c>
      <c r="J2" s="196">
        <v>1003.88</v>
      </c>
      <c r="K2" s="196" t="s">
        <v>366</v>
      </c>
      <c r="L2" s="196">
        <v>57.71</v>
      </c>
      <c r="M2" s="196">
        <v>1505973600</v>
      </c>
      <c r="N2" s="196">
        <v>0</v>
      </c>
      <c r="O2" s="196">
        <v>3.03</v>
      </c>
      <c r="P2" s="196">
        <v>210</v>
      </c>
      <c r="Q2" s="196">
        <v>5.46</v>
      </c>
      <c r="R2" s="196">
        <v>2.37</v>
      </c>
      <c r="S2"/>
    </row>
    <row r="3" spans="1:19" x14ac:dyDescent="0.25">
      <c r="A3" s="196">
        <v>55.71</v>
      </c>
      <c r="B3" s="196">
        <v>0</v>
      </c>
      <c r="C3" s="196">
        <v>36.200000000000003</v>
      </c>
      <c r="D3" s="8">
        <v>42999.041666666664</v>
      </c>
      <c r="E3" s="196">
        <v>0.48</v>
      </c>
      <c r="F3" s="196" t="s">
        <v>367</v>
      </c>
      <c r="G3" s="196">
        <v>282.54000000000002</v>
      </c>
      <c r="H3" s="196">
        <v>0</v>
      </c>
      <c r="I3" s="196">
        <v>0</v>
      </c>
      <c r="J3" s="196">
        <v>1004.66</v>
      </c>
      <c r="K3" s="196" t="s">
        <v>366</v>
      </c>
      <c r="L3" s="196">
        <v>55.71</v>
      </c>
      <c r="M3" s="196">
        <v>1505977200</v>
      </c>
      <c r="N3" s="196">
        <v>0</v>
      </c>
      <c r="O3" s="196">
        <v>3.69</v>
      </c>
      <c r="P3" s="196">
        <v>205</v>
      </c>
      <c r="Q3" s="196">
        <v>3.82</v>
      </c>
      <c r="R3" s="196">
        <v>1.83</v>
      </c>
      <c r="S3"/>
    </row>
    <row r="4" spans="1:19" x14ac:dyDescent="0.25">
      <c r="A4" s="196">
        <v>55.43</v>
      </c>
      <c r="B4" s="196">
        <v>0</v>
      </c>
      <c r="C4" s="196">
        <v>35.36</v>
      </c>
      <c r="D4" s="8">
        <v>42999.083333333336</v>
      </c>
      <c r="E4" s="196">
        <v>0.47</v>
      </c>
      <c r="F4" s="196" t="s">
        <v>367</v>
      </c>
      <c r="G4" s="196">
        <v>281.72000000000003</v>
      </c>
      <c r="H4" s="196">
        <v>0</v>
      </c>
      <c r="I4" s="196">
        <v>0</v>
      </c>
      <c r="J4" s="196">
        <v>1003.49</v>
      </c>
      <c r="K4" s="196" t="s">
        <v>366</v>
      </c>
      <c r="L4" s="196">
        <v>55.43</v>
      </c>
      <c r="M4" s="196">
        <v>1505980800</v>
      </c>
      <c r="N4" s="196">
        <v>0</v>
      </c>
      <c r="O4" s="196">
        <v>3.2</v>
      </c>
      <c r="P4" s="196">
        <v>207</v>
      </c>
      <c r="Q4" s="196">
        <v>5.04</v>
      </c>
      <c r="R4" s="196">
        <v>2.2999999999999998</v>
      </c>
      <c r="S4"/>
    </row>
    <row r="5" spans="1:19" x14ac:dyDescent="0.25">
      <c r="A5" s="196">
        <v>55.25</v>
      </c>
      <c r="B5" s="196">
        <v>0</v>
      </c>
      <c r="C5" s="196">
        <v>34.270000000000003</v>
      </c>
      <c r="D5" s="8">
        <v>42999.125</v>
      </c>
      <c r="E5" s="196">
        <v>0.45</v>
      </c>
      <c r="F5" s="196" t="s">
        <v>367</v>
      </c>
      <c r="G5" s="196">
        <v>281.02</v>
      </c>
      <c r="H5" s="196">
        <v>0</v>
      </c>
      <c r="I5" s="196">
        <v>0</v>
      </c>
      <c r="J5" s="196">
        <v>1003.41</v>
      </c>
      <c r="K5" s="196" t="s">
        <v>366</v>
      </c>
      <c r="L5" s="196">
        <v>55.25</v>
      </c>
      <c r="M5" s="196">
        <v>1505984400</v>
      </c>
      <c r="N5" s="196">
        <v>0</v>
      </c>
      <c r="O5" s="196">
        <v>2.44</v>
      </c>
      <c r="P5" s="196">
        <v>197</v>
      </c>
      <c r="Q5" s="196">
        <v>4.82</v>
      </c>
      <c r="R5" s="196">
        <v>1.87</v>
      </c>
      <c r="S5"/>
    </row>
    <row r="6" spans="1:19" x14ac:dyDescent="0.25">
      <c r="A6" s="196">
        <v>55.37</v>
      </c>
      <c r="B6" s="196">
        <v>0</v>
      </c>
      <c r="C6" s="196">
        <v>33.47</v>
      </c>
      <c r="D6" s="8">
        <v>42999.166666666664</v>
      </c>
      <c r="E6" s="196">
        <v>0.43</v>
      </c>
      <c r="F6" s="196" t="s">
        <v>367</v>
      </c>
      <c r="G6" s="196">
        <v>280.32</v>
      </c>
      <c r="H6" s="196">
        <v>0</v>
      </c>
      <c r="I6" s="196">
        <v>0</v>
      </c>
      <c r="J6" s="196">
        <v>1003.33</v>
      </c>
      <c r="K6" s="196" t="s">
        <v>366</v>
      </c>
      <c r="L6" s="196">
        <v>55.37</v>
      </c>
      <c r="M6" s="196">
        <v>1505988000</v>
      </c>
      <c r="N6" s="196">
        <v>0</v>
      </c>
      <c r="O6" s="196">
        <v>2.61</v>
      </c>
      <c r="P6" s="196">
        <v>182</v>
      </c>
      <c r="Q6" s="196">
        <v>5.27</v>
      </c>
      <c r="R6" s="196">
        <v>1.88</v>
      </c>
      <c r="S6"/>
    </row>
    <row r="7" spans="1:19" x14ac:dyDescent="0.25">
      <c r="A7" s="196">
        <v>54.4</v>
      </c>
      <c r="B7" s="196">
        <v>0</v>
      </c>
      <c r="C7" s="196">
        <v>32.94</v>
      </c>
      <c r="D7" s="8">
        <v>42999.208333333336</v>
      </c>
      <c r="E7" s="196">
        <v>0.44</v>
      </c>
      <c r="F7" s="196" t="s">
        <v>367</v>
      </c>
      <c r="G7" s="196">
        <v>279.61</v>
      </c>
      <c r="H7" s="196">
        <v>0</v>
      </c>
      <c r="I7" s="196">
        <v>0</v>
      </c>
      <c r="J7" s="196">
        <v>1003.13</v>
      </c>
      <c r="K7" s="196" t="s">
        <v>366</v>
      </c>
      <c r="L7" s="196">
        <v>54.4</v>
      </c>
      <c r="M7" s="196">
        <v>1505991600</v>
      </c>
      <c r="N7" s="196">
        <v>0</v>
      </c>
      <c r="O7" s="196">
        <v>2.86</v>
      </c>
      <c r="P7" s="196">
        <v>184</v>
      </c>
      <c r="Q7" s="196">
        <v>5.43</v>
      </c>
      <c r="R7" s="196">
        <v>2.09</v>
      </c>
      <c r="S7"/>
    </row>
    <row r="8" spans="1:19" x14ac:dyDescent="0.25">
      <c r="A8" s="196">
        <v>53.02</v>
      </c>
      <c r="B8" s="196">
        <v>0</v>
      </c>
      <c r="C8" s="196">
        <v>33.18</v>
      </c>
      <c r="D8" s="8">
        <v>42999.25</v>
      </c>
      <c r="E8" s="196">
        <v>0.47</v>
      </c>
      <c r="F8" s="196" t="s">
        <v>367</v>
      </c>
      <c r="G8" s="196">
        <v>278.19</v>
      </c>
      <c r="H8" s="196">
        <v>0</v>
      </c>
      <c r="I8" s="196">
        <v>0</v>
      </c>
      <c r="J8" s="196">
        <v>1002.75</v>
      </c>
      <c r="K8" s="196" t="s">
        <v>366</v>
      </c>
      <c r="L8" s="196">
        <v>53.02</v>
      </c>
      <c r="M8" s="196">
        <v>1505995200</v>
      </c>
      <c r="N8" s="196">
        <v>0</v>
      </c>
      <c r="O8" s="196">
        <v>5.19</v>
      </c>
      <c r="P8" s="196">
        <v>196</v>
      </c>
      <c r="Q8" s="196">
        <v>4.79</v>
      </c>
      <c r="R8" s="196">
        <v>1.03</v>
      </c>
      <c r="S8"/>
    </row>
    <row r="9" spans="1:19" x14ac:dyDescent="0.25">
      <c r="A9" s="196">
        <v>52.07</v>
      </c>
      <c r="B9" s="196">
        <v>0.02</v>
      </c>
      <c r="C9" s="196">
        <v>33.29</v>
      </c>
      <c r="D9" s="8">
        <v>42999.291666666664</v>
      </c>
      <c r="E9" s="196">
        <v>0.49</v>
      </c>
      <c r="F9" s="196" t="s">
        <v>365</v>
      </c>
      <c r="G9" s="196">
        <v>277.83999999999997</v>
      </c>
      <c r="H9" s="196">
        <v>0</v>
      </c>
      <c r="I9" s="196">
        <v>0</v>
      </c>
      <c r="J9" s="196">
        <v>1002.27</v>
      </c>
      <c r="K9" s="196" t="s">
        <v>366</v>
      </c>
      <c r="L9" s="196">
        <v>52.07</v>
      </c>
      <c r="M9" s="196">
        <v>1505998800</v>
      </c>
      <c r="N9" s="196">
        <v>0</v>
      </c>
      <c r="O9" s="196">
        <v>5.8</v>
      </c>
      <c r="P9" s="196">
        <v>217</v>
      </c>
      <c r="Q9" s="196">
        <v>4.13</v>
      </c>
      <c r="R9" s="196">
        <v>1.28</v>
      </c>
      <c r="S9"/>
    </row>
    <row r="10" spans="1:19" x14ac:dyDescent="0.25">
      <c r="A10" s="196">
        <v>54.3</v>
      </c>
      <c r="B10" s="196">
        <v>0.01</v>
      </c>
      <c r="C10" s="196">
        <v>35.6</v>
      </c>
      <c r="D10" s="8">
        <v>42999.333333333336</v>
      </c>
      <c r="E10" s="196">
        <v>0.49</v>
      </c>
      <c r="F10" s="196" t="s">
        <v>365</v>
      </c>
      <c r="G10" s="196">
        <v>277.61</v>
      </c>
      <c r="H10" s="196">
        <v>0</v>
      </c>
      <c r="I10" s="196">
        <v>0</v>
      </c>
      <c r="J10" s="196">
        <v>1002.6</v>
      </c>
      <c r="K10" s="196" t="s">
        <v>366</v>
      </c>
      <c r="L10" s="196">
        <v>54.3</v>
      </c>
      <c r="M10" s="196">
        <v>1506002400</v>
      </c>
      <c r="N10" s="196">
        <v>1</v>
      </c>
      <c r="O10" s="196">
        <v>5.48</v>
      </c>
      <c r="P10" s="196">
        <v>173</v>
      </c>
      <c r="Q10" s="196">
        <v>4.53</v>
      </c>
      <c r="R10" s="196">
        <v>1.29</v>
      </c>
      <c r="S10"/>
    </row>
    <row r="11" spans="1:19" x14ac:dyDescent="0.25">
      <c r="A11" s="196">
        <v>63.72</v>
      </c>
      <c r="B11" s="196">
        <v>0.02</v>
      </c>
      <c r="C11" s="196">
        <v>36.369999999999997</v>
      </c>
      <c r="D11" s="8">
        <v>42999.375</v>
      </c>
      <c r="E11" s="196">
        <v>0.36</v>
      </c>
      <c r="F11" s="196" t="s">
        <v>365</v>
      </c>
      <c r="G11" s="196">
        <v>277.25</v>
      </c>
      <c r="H11" s="196">
        <v>0</v>
      </c>
      <c r="I11" s="196">
        <v>0</v>
      </c>
      <c r="J11" s="196">
        <v>1002.07</v>
      </c>
      <c r="K11" s="196" t="s">
        <v>366</v>
      </c>
      <c r="L11" s="196">
        <v>63.72</v>
      </c>
      <c r="M11" s="196">
        <v>1506006000</v>
      </c>
      <c r="N11" s="196">
        <v>2</v>
      </c>
      <c r="O11" s="196">
        <v>3.72</v>
      </c>
      <c r="P11" s="196">
        <v>182</v>
      </c>
      <c r="Q11" s="196">
        <v>5.29</v>
      </c>
      <c r="R11" s="196">
        <v>1.26</v>
      </c>
      <c r="S11"/>
    </row>
    <row r="12" spans="1:19" x14ac:dyDescent="0.25">
      <c r="A12" s="196">
        <v>71.739999999999995</v>
      </c>
      <c r="B12" s="196">
        <v>0.04</v>
      </c>
      <c r="C12" s="196">
        <v>34.840000000000003</v>
      </c>
      <c r="D12" s="8">
        <v>42999.416666666664</v>
      </c>
      <c r="E12" s="196">
        <v>0.26</v>
      </c>
      <c r="F12" s="196" t="s">
        <v>365</v>
      </c>
      <c r="G12" s="196">
        <v>276.29000000000002</v>
      </c>
      <c r="H12" s="196">
        <v>0</v>
      </c>
      <c r="I12" s="196">
        <v>0</v>
      </c>
      <c r="J12" s="196">
        <v>1001.93</v>
      </c>
      <c r="K12" s="196" t="s">
        <v>366</v>
      </c>
      <c r="L12" s="196">
        <v>71.739999999999995</v>
      </c>
      <c r="M12" s="196">
        <v>1506009600</v>
      </c>
      <c r="N12" s="196">
        <v>3</v>
      </c>
      <c r="O12" s="196">
        <v>4.68</v>
      </c>
      <c r="P12" s="196">
        <v>167</v>
      </c>
      <c r="Q12" s="196">
        <v>8.51</v>
      </c>
      <c r="R12" s="196">
        <v>2.76</v>
      </c>
      <c r="S12"/>
    </row>
    <row r="13" spans="1:19" x14ac:dyDescent="0.25">
      <c r="A13" s="196">
        <v>78.290000000000006</v>
      </c>
      <c r="B13" s="196">
        <v>0.03</v>
      </c>
      <c r="C13" s="196">
        <v>33.21</v>
      </c>
      <c r="D13" s="8">
        <v>42999.458333333336</v>
      </c>
      <c r="E13" s="196">
        <v>0.19</v>
      </c>
      <c r="F13" s="196" t="s">
        <v>365</v>
      </c>
      <c r="G13" s="196">
        <v>274.97000000000003</v>
      </c>
      <c r="H13" s="196">
        <v>0</v>
      </c>
      <c r="I13" s="196">
        <v>0</v>
      </c>
      <c r="J13" s="196">
        <v>1000.95</v>
      </c>
      <c r="K13" s="196" t="s">
        <v>366</v>
      </c>
      <c r="L13" s="196">
        <v>78.290000000000006</v>
      </c>
      <c r="M13" s="196">
        <v>1506013200</v>
      </c>
      <c r="N13" s="196">
        <v>5</v>
      </c>
      <c r="O13" s="196">
        <v>4.92</v>
      </c>
      <c r="P13" s="196">
        <v>172</v>
      </c>
      <c r="Q13" s="196">
        <v>9.2899999999999991</v>
      </c>
      <c r="R13" s="196">
        <v>2.66</v>
      </c>
      <c r="S13"/>
    </row>
    <row r="14" spans="1:19" x14ac:dyDescent="0.25">
      <c r="A14" s="196">
        <v>82.5</v>
      </c>
      <c r="B14" s="196">
        <v>0.03</v>
      </c>
      <c r="C14" s="196">
        <v>30.6</v>
      </c>
      <c r="D14" s="8">
        <v>42999.5</v>
      </c>
      <c r="E14" s="196">
        <v>0.15</v>
      </c>
      <c r="F14" s="196" t="s">
        <v>365</v>
      </c>
      <c r="G14" s="196">
        <v>277.97000000000003</v>
      </c>
      <c r="H14" s="196">
        <v>0</v>
      </c>
      <c r="I14" s="196">
        <v>0</v>
      </c>
      <c r="J14" s="196">
        <v>1000.1</v>
      </c>
      <c r="K14" s="196" t="s">
        <v>366</v>
      </c>
      <c r="L14" s="196">
        <v>82.5</v>
      </c>
      <c r="M14" s="196">
        <v>1506016800</v>
      </c>
      <c r="N14" s="196">
        <v>7</v>
      </c>
      <c r="O14" s="196">
        <v>4.3099999999999996</v>
      </c>
      <c r="P14" s="196">
        <v>149</v>
      </c>
      <c r="Q14" s="196">
        <v>10.64</v>
      </c>
      <c r="R14" s="196">
        <v>2.27</v>
      </c>
      <c r="S14"/>
    </row>
    <row r="15" spans="1:19" x14ac:dyDescent="0.25">
      <c r="A15" s="196">
        <v>85.29</v>
      </c>
      <c r="B15" s="196">
        <v>0.03</v>
      </c>
      <c r="C15" s="196">
        <v>29.11</v>
      </c>
      <c r="D15" s="8">
        <v>42999.541666666664</v>
      </c>
      <c r="E15" s="196">
        <v>0.13</v>
      </c>
      <c r="F15" s="196" t="s">
        <v>365</v>
      </c>
      <c r="G15" s="196">
        <v>277.01</v>
      </c>
      <c r="H15" s="196">
        <v>0</v>
      </c>
      <c r="I15" s="196">
        <v>0</v>
      </c>
      <c r="J15" s="196">
        <v>998.85</v>
      </c>
      <c r="K15" s="196" t="s">
        <v>366</v>
      </c>
      <c r="L15" s="196">
        <v>85.29</v>
      </c>
      <c r="M15" s="196">
        <v>1506020400</v>
      </c>
      <c r="N15" s="196">
        <v>7</v>
      </c>
      <c r="O15" s="196">
        <v>4.76</v>
      </c>
      <c r="P15" s="196">
        <v>116</v>
      </c>
      <c r="Q15" s="196">
        <v>10.67</v>
      </c>
      <c r="R15" s="196">
        <v>1.67</v>
      </c>
      <c r="S15"/>
    </row>
    <row r="16" spans="1:19" x14ac:dyDescent="0.25">
      <c r="A16" s="196">
        <v>87.38</v>
      </c>
      <c r="B16" s="196">
        <v>0.06</v>
      </c>
      <c r="C16" s="196">
        <v>27.47</v>
      </c>
      <c r="D16" s="8">
        <v>42999.583333333336</v>
      </c>
      <c r="E16" s="196">
        <v>0.11</v>
      </c>
      <c r="F16" s="196" t="s">
        <v>365</v>
      </c>
      <c r="G16" s="196">
        <v>275.44</v>
      </c>
      <c r="H16" s="196">
        <v>0</v>
      </c>
      <c r="I16" s="196">
        <v>0</v>
      </c>
      <c r="J16" s="196">
        <v>997.79</v>
      </c>
      <c r="K16" s="196" t="s">
        <v>366</v>
      </c>
      <c r="L16" s="196">
        <v>87.38</v>
      </c>
      <c r="M16" s="196">
        <v>1506024000</v>
      </c>
      <c r="N16" s="196">
        <v>6</v>
      </c>
      <c r="O16" s="196">
        <v>4.6500000000000004</v>
      </c>
      <c r="P16" s="196">
        <v>137</v>
      </c>
      <c r="Q16" s="196">
        <v>11.46</v>
      </c>
      <c r="R16" s="196">
        <v>1.46</v>
      </c>
      <c r="S16"/>
    </row>
    <row r="17" spans="1:19" x14ac:dyDescent="0.25">
      <c r="A17" s="196">
        <v>88.54</v>
      </c>
      <c r="B17" s="196">
        <v>0.04</v>
      </c>
      <c r="C17" s="196">
        <v>27.26</v>
      </c>
      <c r="D17" s="8">
        <v>42999.625</v>
      </c>
      <c r="E17" s="196">
        <v>0.11</v>
      </c>
      <c r="F17" s="196" t="s">
        <v>365</v>
      </c>
      <c r="G17" s="196">
        <v>273.75</v>
      </c>
      <c r="H17" s="196">
        <v>0</v>
      </c>
      <c r="I17" s="196">
        <v>0</v>
      </c>
      <c r="J17" s="196">
        <v>997.04</v>
      </c>
      <c r="K17" s="196" t="s">
        <v>366</v>
      </c>
      <c r="L17" s="196">
        <v>88.54</v>
      </c>
      <c r="M17" s="196">
        <v>1506027600</v>
      </c>
      <c r="N17" s="196">
        <v>4</v>
      </c>
      <c r="O17" s="196">
        <v>4.54</v>
      </c>
      <c r="P17" s="196">
        <v>157</v>
      </c>
      <c r="Q17" s="196">
        <v>12.24</v>
      </c>
      <c r="R17" s="196">
        <v>1.53</v>
      </c>
      <c r="S17"/>
    </row>
    <row r="18" spans="1:19" x14ac:dyDescent="0.25">
      <c r="A18" s="196">
        <v>89.01</v>
      </c>
      <c r="B18" s="196">
        <v>0.02</v>
      </c>
      <c r="C18" s="196">
        <v>27.52</v>
      </c>
      <c r="D18" s="8">
        <v>42999.666666666664</v>
      </c>
      <c r="E18" s="196">
        <v>0.11</v>
      </c>
      <c r="F18" s="196" t="s">
        <v>365</v>
      </c>
      <c r="G18" s="196">
        <v>272.05</v>
      </c>
      <c r="H18" s="196">
        <v>0</v>
      </c>
      <c r="I18" s="196">
        <v>0</v>
      </c>
      <c r="J18" s="196">
        <v>996.58</v>
      </c>
      <c r="K18" s="196" t="s">
        <v>366</v>
      </c>
      <c r="L18" s="196">
        <v>89.01</v>
      </c>
      <c r="M18" s="196">
        <v>1506031200</v>
      </c>
      <c r="N18" s="196">
        <v>3</v>
      </c>
      <c r="O18" s="196">
        <v>4.75</v>
      </c>
      <c r="P18" s="196">
        <v>165</v>
      </c>
      <c r="Q18" s="196">
        <v>12.87</v>
      </c>
      <c r="R18" s="196">
        <v>2.36</v>
      </c>
      <c r="S18"/>
    </row>
    <row r="19" spans="1:19" x14ac:dyDescent="0.25">
      <c r="A19" s="196">
        <v>88.08</v>
      </c>
      <c r="B19" s="196">
        <v>0.02</v>
      </c>
      <c r="C19" s="196">
        <v>28.73</v>
      </c>
      <c r="D19" s="8">
        <v>42999.708333333336</v>
      </c>
      <c r="E19" s="196">
        <v>0.12</v>
      </c>
      <c r="F19" s="196" t="s">
        <v>365</v>
      </c>
      <c r="G19" s="196">
        <v>270.20999999999998</v>
      </c>
      <c r="H19" s="196">
        <v>0</v>
      </c>
      <c r="I19" s="196">
        <v>0</v>
      </c>
      <c r="J19" s="196">
        <v>996.06</v>
      </c>
      <c r="K19" s="196" t="s">
        <v>366</v>
      </c>
      <c r="L19" s="196">
        <v>88.08</v>
      </c>
      <c r="M19" s="196">
        <v>1506034800</v>
      </c>
      <c r="N19" s="196">
        <v>1</v>
      </c>
      <c r="O19" s="196">
        <v>3.66</v>
      </c>
      <c r="P19" s="196">
        <v>167</v>
      </c>
      <c r="Q19" s="196">
        <v>13.45</v>
      </c>
      <c r="R19" s="196">
        <v>3.61</v>
      </c>
      <c r="S19"/>
    </row>
    <row r="20" spans="1:19" x14ac:dyDescent="0.25">
      <c r="A20" s="196">
        <v>85.55</v>
      </c>
      <c r="B20" s="196">
        <v>0.05</v>
      </c>
      <c r="C20" s="196">
        <v>28.15</v>
      </c>
      <c r="D20" s="8">
        <v>42999.75</v>
      </c>
      <c r="E20" s="196">
        <v>0.13</v>
      </c>
      <c r="F20" s="196" t="s">
        <v>365</v>
      </c>
      <c r="G20" s="196">
        <v>265.74</v>
      </c>
      <c r="H20" s="196">
        <v>0</v>
      </c>
      <c r="I20" s="196">
        <v>0</v>
      </c>
      <c r="J20" s="196">
        <v>995.96</v>
      </c>
      <c r="K20" s="196" t="s">
        <v>366</v>
      </c>
      <c r="L20" s="196">
        <v>85.55</v>
      </c>
      <c r="M20" s="196">
        <v>1506038400</v>
      </c>
      <c r="N20" s="196">
        <v>1</v>
      </c>
      <c r="O20" s="196">
        <v>4.76</v>
      </c>
      <c r="P20" s="196">
        <v>190</v>
      </c>
      <c r="Q20" s="196">
        <v>14.84</v>
      </c>
      <c r="R20" s="196">
        <v>4.08</v>
      </c>
      <c r="S20"/>
    </row>
    <row r="21" spans="1:19" x14ac:dyDescent="0.25">
      <c r="A21" s="196">
        <v>80.41</v>
      </c>
      <c r="B21" s="196">
        <v>0.04</v>
      </c>
      <c r="C21" s="196">
        <v>28.93</v>
      </c>
      <c r="D21" s="8">
        <v>42999.791666666664</v>
      </c>
      <c r="E21" s="196">
        <v>0.15</v>
      </c>
      <c r="F21" s="196" t="s">
        <v>367</v>
      </c>
      <c r="G21" s="196">
        <v>264.48</v>
      </c>
      <c r="H21" s="196">
        <v>0</v>
      </c>
      <c r="I21" s="196">
        <v>0</v>
      </c>
      <c r="J21" s="196">
        <v>996.46</v>
      </c>
      <c r="K21" s="196" t="s">
        <v>366</v>
      </c>
      <c r="L21" s="196">
        <v>80.41</v>
      </c>
      <c r="M21" s="196">
        <v>1506042000</v>
      </c>
      <c r="N21" s="196">
        <v>0</v>
      </c>
      <c r="O21" s="196">
        <v>4.5199999999999996</v>
      </c>
      <c r="P21" s="196">
        <v>198</v>
      </c>
      <c r="Q21" s="196">
        <v>9.64</v>
      </c>
      <c r="R21" s="196">
        <v>3.13</v>
      </c>
      <c r="S21"/>
    </row>
    <row r="22" spans="1:19" x14ac:dyDescent="0.25">
      <c r="A22" s="196">
        <v>75.83</v>
      </c>
      <c r="B22" s="196">
        <v>0.02</v>
      </c>
      <c r="C22" s="196">
        <v>28.69</v>
      </c>
      <c r="D22" s="8">
        <v>42999.833333333336</v>
      </c>
      <c r="E22" s="196">
        <v>0.18</v>
      </c>
      <c r="F22" s="196" t="s">
        <v>367</v>
      </c>
      <c r="G22" s="196">
        <v>263.85000000000002</v>
      </c>
      <c r="H22" s="196">
        <v>0</v>
      </c>
      <c r="I22" s="196">
        <v>0</v>
      </c>
      <c r="J22" s="196">
        <v>997.44</v>
      </c>
      <c r="K22" s="196" t="s">
        <v>366</v>
      </c>
      <c r="L22" s="196">
        <v>75.83</v>
      </c>
      <c r="M22" s="196">
        <v>1506045600</v>
      </c>
      <c r="N22" s="196">
        <v>0</v>
      </c>
      <c r="O22" s="196">
        <v>4.7699999999999996</v>
      </c>
      <c r="P22" s="196">
        <v>186</v>
      </c>
      <c r="Q22" s="196">
        <v>8.74</v>
      </c>
      <c r="R22" s="196">
        <v>3.4</v>
      </c>
      <c r="S22"/>
    </row>
    <row r="23" spans="1:19" x14ac:dyDescent="0.25">
      <c r="A23" s="196">
        <v>74.28</v>
      </c>
      <c r="B23" s="196">
        <v>0.01</v>
      </c>
      <c r="C23" s="196">
        <v>27.23</v>
      </c>
      <c r="D23" s="8">
        <v>42999.875</v>
      </c>
      <c r="E23" s="196">
        <v>0.17</v>
      </c>
      <c r="F23" s="196" t="s">
        <v>367</v>
      </c>
      <c r="G23" s="196">
        <v>263.60000000000002</v>
      </c>
      <c r="H23" s="196">
        <v>0</v>
      </c>
      <c r="I23" s="196">
        <v>0</v>
      </c>
      <c r="J23" s="196">
        <v>997.66</v>
      </c>
      <c r="K23" s="196" t="s">
        <v>366</v>
      </c>
      <c r="L23" s="196">
        <v>74.28</v>
      </c>
      <c r="M23" s="196">
        <v>1506049200</v>
      </c>
      <c r="N23" s="196">
        <v>0</v>
      </c>
      <c r="O23" s="196">
        <v>3.52</v>
      </c>
      <c r="P23" s="196">
        <v>185</v>
      </c>
      <c r="Q23" s="196">
        <v>10.46</v>
      </c>
      <c r="R23" s="196">
        <v>3.89</v>
      </c>
      <c r="S23"/>
    </row>
    <row r="24" spans="1:19" x14ac:dyDescent="0.25">
      <c r="A24" s="196">
        <v>73.95</v>
      </c>
      <c r="B24" s="196">
        <v>0.01</v>
      </c>
      <c r="C24" s="196">
        <v>27.17</v>
      </c>
      <c r="D24" s="8">
        <v>42999.916666666664</v>
      </c>
      <c r="E24" s="196">
        <v>0.18</v>
      </c>
      <c r="F24" s="196" t="s">
        <v>367</v>
      </c>
      <c r="G24" s="196">
        <v>263.47000000000003</v>
      </c>
      <c r="H24" s="196">
        <v>0</v>
      </c>
      <c r="I24" s="196">
        <v>0</v>
      </c>
      <c r="J24" s="196">
        <v>998.29</v>
      </c>
      <c r="K24" s="196" t="s">
        <v>366</v>
      </c>
      <c r="L24" s="196">
        <v>73.95</v>
      </c>
      <c r="M24" s="196">
        <v>1506052800</v>
      </c>
      <c r="N24" s="196">
        <v>0</v>
      </c>
      <c r="O24" s="196">
        <v>4.75</v>
      </c>
      <c r="P24" s="196">
        <v>190</v>
      </c>
      <c r="Q24" s="196">
        <v>11</v>
      </c>
      <c r="R24" s="196">
        <v>3.76</v>
      </c>
      <c r="S24"/>
    </row>
    <row r="25" spans="1:19" x14ac:dyDescent="0.25">
      <c r="A25" s="196">
        <v>72.44</v>
      </c>
      <c r="B25" s="196">
        <v>0</v>
      </c>
      <c r="C25" s="196">
        <v>27</v>
      </c>
      <c r="D25" s="8">
        <v>42999.958333333336</v>
      </c>
      <c r="E25" s="196">
        <v>0.18</v>
      </c>
      <c r="F25" s="196" t="s">
        <v>367</v>
      </c>
      <c r="G25" s="196">
        <v>263.60000000000002</v>
      </c>
      <c r="H25" s="196">
        <v>0</v>
      </c>
      <c r="I25" s="196">
        <v>0</v>
      </c>
      <c r="J25" s="196">
        <v>997.6</v>
      </c>
      <c r="K25" s="196" t="s">
        <v>836</v>
      </c>
      <c r="L25" s="196">
        <v>72.44</v>
      </c>
      <c r="M25" s="196">
        <v>1506056400</v>
      </c>
      <c r="N25" s="196">
        <v>0</v>
      </c>
      <c r="O25" s="196">
        <v>3.2</v>
      </c>
      <c r="P25" s="196">
        <v>198</v>
      </c>
      <c r="Q25" s="196">
        <v>11.45</v>
      </c>
      <c r="R25" s="196">
        <v>4.42</v>
      </c>
      <c r="S25"/>
    </row>
    <row r="26" spans="1:19" x14ac:dyDescent="0.25">
      <c r="A26" s="196">
        <v>71.22</v>
      </c>
      <c r="B26" s="196">
        <v>0</v>
      </c>
      <c r="C26" s="196">
        <v>26.3</v>
      </c>
      <c r="D26" s="8">
        <v>43000</v>
      </c>
      <c r="E26" s="196">
        <v>0.19</v>
      </c>
      <c r="F26" s="196" t="s">
        <v>367</v>
      </c>
      <c r="G26" s="196">
        <v>267.73</v>
      </c>
      <c r="H26" s="196">
        <v>0</v>
      </c>
      <c r="I26" s="196">
        <v>0</v>
      </c>
      <c r="J26" s="196">
        <v>998.89</v>
      </c>
      <c r="K26" s="196" t="s">
        <v>836</v>
      </c>
      <c r="L26" s="196">
        <v>71.22</v>
      </c>
      <c r="M26" s="196">
        <v>1506060000</v>
      </c>
      <c r="N26" s="196">
        <v>0</v>
      </c>
      <c r="O26" s="196">
        <v>3.2</v>
      </c>
      <c r="P26" s="196">
        <v>200</v>
      </c>
      <c r="Q26" s="196">
        <v>11.26</v>
      </c>
      <c r="R26" s="196">
        <v>4.3899999999999997</v>
      </c>
      <c r="S26"/>
    </row>
    <row r="27" spans="1:19" x14ac:dyDescent="0.25">
      <c r="A27" s="196">
        <v>68.67</v>
      </c>
      <c r="B27" s="196">
        <v>0</v>
      </c>
      <c r="C27" s="196">
        <v>26.89</v>
      </c>
      <c r="D27" s="8">
        <v>43000.041666666664</v>
      </c>
      <c r="E27" s="196">
        <v>0.21</v>
      </c>
      <c r="F27" s="196" t="s">
        <v>367</v>
      </c>
      <c r="G27" s="196">
        <v>267.24</v>
      </c>
      <c r="H27" s="196">
        <v>0</v>
      </c>
      <c r="I27" s="196">
        <v>0</v>
      </c>
      <c r="J27" s="196">
        <v>998.61</v>
      </c>
      <c r="K27" s="196" t="s">
        <v>836</v>
      </c>
      <c r="L27" s="196">
        <v>68.67</v>
      </c>
      <c r="M27" s="196">
        <v>1506063600</v>
      </c>
      <c r="N27" s="196">
        <v>0</v>
      </c>
      <c r="O27" s="196">
        <v>3.84</v>
      </c>
      <c r="P27" s="196">
        <v>191</v>
      </c>
      <c r="Q27" s="196">
        <v>7.08</v>
      </c>
      <c r="R27" s="196">
        <v>2.8</v>
      </c>
      <c r="S27"/>
    </row>
    <row r="28" spans="1:19" x14ac:dyDescent="0.25">
      <c r="A28" s="196">
        <v>64.78</v>
      </c>
      <c r="B28" s="196">
        <v>0</v>
      </c>
      <c r="C28" s="196">
        <v>27.91</v>
      </c>
      <c r="D28" s="8">
        <v>43000.083333333336</v>
      </c>
      <c r="E28" s="196">
        <v>0.25</v>
      </c>
      <c r="F28" s="196" t="s">
        <v>367</v>
      </c>
      <c r="G28" s="196">
        <v>265.87</v>
      </c>
      <c r="H28" s="196">
        <v>0</v>
      </c>
      <c r="I28" s="196">
        <v>0</v>
      </c>
      <c r="J28" s="196">
        <v>998.99</v>
      </c>
      <c r="K28" s="196" t="s">
        <v>366</v>
      </c>
      <c r="L28" s="196">
        <v>64.78</v>
      </c>
      <c r="M28" s="196">
        <v>1506067200</v>
      </c>
      <c r="N28" s="196">
        <v>0</v>
      </c>
      <c r="O28" s="196">
        <v>3.54</v>
      </c>
      <c r="P28" s="196">
        <v>184</v>
      </c>
      <c r="Q28" s="196">
        <v>5.37</v>
      </c>
      <c r="R28" s="196">
        <v>2.13</v>
      </c>
      <c r="S28"/>
    </row>
    <row r="29" spans="1:19" x14ac:dyDescent="0.25">
      <c r="A29" s="196">
        <v>61.8</v>
      </c>
      <c r="B29" s="196">
        <v>0</v>
      </c>
      <c r="C29" s="196">
        <v>29.14</v>
      </c>
      <c r="D29" s="8">
        <v>43000.125</v>
      </c>
      <c r="E29" s="196">
        <v>0.28999999999999998</v>
      </c>
      <c r="F29" s="196" t="s">
        <v>367</v>
      </c>
      <c r="G29" s="196">
        <v>265</v>
      </c>
      <c r="H29" s="196">
        <v>0</v>
      </c>
      <c r="I29" s="196">
        <v>0</v>
      </c>
      <c r="J29" s="196">
        <v>1000.5</v>
      </c>
      <c r="K29" s="196" t="s">
        <v>366</v>
      </c>
      <c r="L29" s="196">
        <v>61.8</v>
      </c>
      <c r="M29" s="196">
        <v>1506070800</v>
      </c>
      <c r="N29" s="196">
        <v>0</v>
      </c>
      <c r="O29" s="196">
        <v>3.83</v>
      </c>
      <c r="P29" s="196">
        <v>194</v>
      </c>
      <c r="Q29" s="196">
        <v>4.42</v>
      </c>
      <c r="R29" s="196">
        <v>1.91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182</v>
      </c>
    </row>
    <row r="33" spans="1:1" x14ac:dyDescent="0.25">
      <c r="A33" s="141" t="s">
        <v>174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5"/>
  <sheetViews>
    <sheetView workbookViewId="0">
      <selection activeCell="C18" sqref="C18:C35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328</v>
      </c>
      <c r="U1" s="156"/>
      <c r="V1" s="156"/>
      <c r="W1" s="156"/>
      <c r="X1" s="156"/>
    </row>
    <row r="2" spans="1:32" ht="15.75" thickBot="1" x14ac:dyDescent="0.3">
      <c r="A2" s="12">
        <v>42999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329</v>
      </c>
      <c r="U2" s="155">
        <v>167</v>
      </c>
      <c r="V2" s="155">
        <v>168</v>
      </c>
      <c r="W2" s="155">
        <v>199</v>
      </c>
      <c r="X2" s="155">
        <v>200</v>
      </c>
      <c r="AD2" t="s">
        <v>350</v>
      </c>
      <c r="AE2" s="56" t="s">
        <v>353</v>
      </c>
      <c r="AF2" s="56" t="s">
        <v>354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330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331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332</v>
      </c>
      <c r="U5" s="155">
        <v>187</v>
      </c>
      <c r="V5" s="155">
        <v>188</v>
      </c>
      <c r="W5" s="155">
        <v>223</v>
      </c>
      <c r="X5" s="155">
        <v>224</v>
      </c>
      <c r="AC5" s="30" t="s">
        <v>351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25">
      <c r="C7" s="56"/>
      <c r="F7" t="s">
        <v>345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352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451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355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183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971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972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25">
      <c r="C20" t="s">
        <v>973</v>
      </c>
      <c r="J20" s="140" t="s">
        <v>87</v>
      </c>
      <c r="M20" s="154" t="s">
        <v>343</v>
      </c>
      <c r="N20" s="154" t="s">
        <v>327</v>
      </c>
      <c r="T20" s="155"/>
      <c r="U20" s="155"/>
      <c r="V20" s="155"/>
      <c r="W20" s="155"/>
      <c r="X20" s="155"/>
    </row>
    <row r="21" spans="3:24" x14ac:dyDescent="0.25">
      <c r="C21" t="s">
        <v>974</v>
      </c>
      <c r="J21" s="140" t="s">
        <v>90</v>
      </c>
      <c r="K21" s="140" t="s">
        <v>91</v>
      </c>
      <c r="M21" s="154" t="s">
        <v>173</v>
      </c>
      <c r="T21" s="155"/>
      <c r="U21" s="155"/>
      <c r="V21" s="155"/>
      <c r="W21" s="155"/>
      <c r="X21" s="155"/>
    </row>
    <row r="22" spans="3:24" x14ac:dyDescent="0.25">
      <c r="C22" t="s">
        <v>975</v>
      </c>
      <c r="J22" s="140" t="s">
        <v>92</v>
      </c>
      <c r="K22" s="140" t="s">
        <v>577</v>
      </c>
      <c r="M22" s="154" t="s">
        <v>108</v>
      </c>
      <c r="T22" s="155"/>
      <c r="U22" s="155"/>
      <c r="V22" s="155"/>
      <c r="W22" s="155"/>
      <c r="X22" s="155"/>
    </row>
    <row r="23" spans="3:24" x14ac:dyDescent="0.25">
      <c r="C23" t="s">
        <v>976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977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25">
      <c r="C25" t="s">
        <v>978</v>
      </c>
      <c r="J25" s="140" t="s">
        <v>145</v>
      </c>
      <c r="M25" s="154" t="b">
        <v>1</v>
      </c>
    </row>
    <row r="26" spans="3:24" x14ac:dyDescent="0.25">
      <c r="C26" t="s">
        <v>979</v>
      </c>
      <c r="J26" s="140" t="s">
        <v>146</v>
      </c>
      <c r="M26" s="154" t="str">
        <f>"c:\users\stu\Documents\GitHub\eaglep3-reporting\EC\"&amp;TEXT(A2,"yyyy-mm-dd")&amp;"-refined-times.txt"</f>
        <v>c:\users\stu\Documents\GitHub\eaglep3-reporting\EC\2017-09-21-refined-times.txt</v>
      </c>
    </row>
    <row r="27" spans="3:24" x14ac:dyDescent="0.25">
      <c r="C27" t="s">
        <v>980</v>
      </c>
      <c r="J27" s="140" t="s">
        <v>175</v>
      </c>
      <c r="M27" s="154" t="str">
        <f>"c:\users\stu\Documents\GitHub\eaglep3-reporting\EC\"&amp;TEXT(A2,"YYYY-MM-DD")&amp;"-Enforcements.txt"</f>
        <v>c:\users\stu\Documents\GitHub\eaglep3-reporting\EC\2017-09-21-Enforcements.txt</v>
      </c>
    </row>
    <row r="28" spans="3:24" x14ac:dyDescent="0.25">
      <c r="C28" t="s">
        <v>981</v>
      </c>
      <c r="J28" s="140" t="s">
        <v>176</v>
      </c>
      <c r="M28" s="154" t="str">
        <f>"c:\users\stu\Documents\GitHub\eaglep3-reporting\EC\"&amp;TEXT(A2,"YYYY-MM-DD")&amp;"-Runs-refined.txt"</f>
        <v>c:\users\stu\Documents\GitHub\eaglep3-reporting\EC\2017-09-21-Runs-refined.txt</v>
      </c>
    </row>
    <row r="29" spans="3:24" x14ac:dyDescent="0.25">
      <c r="C29" t="s">
        <v>982</v>
      </c>
      <c r="J29" s="140" t="s">
        <v>177</v>
      </c>
      <c r="M29" s="154" t="str">
        <f>"c:\users\stu\Documents\GitHub\eaglep3-reporting\EC\"&amp;TEXT(A2,"YYYY-MM-DD")&amp;"-Trips.txt"</f>
        <v>c:\users\stu\Documents\GitHub\eaglep3-reporting\EC\2017-09-21-Trips.txt</v>
      </c>
    </row>
    <row r="30" spans="3:24" x14ac:dyDescent="0.25">
      <c r="C30" t="s">
        <v>983</v>
      </c>
      <c r="J30" s="140" t="s">
        <v>178</v>
      </c>
      <c r="M30" s="154" t="str">
        <f>"c:\users\stu\Documents\GitHub\eaglep3-reporting\EC\"&amp;TEXT(A2,"YYYY-MM-DD")&amp;"-Weather.txt"</f>
        <v>c:\users\stu\Documents\GitHub\eaglep3-reporting\EC\2017-09-21-Weather.txt</v>
      </c>
    </row>
    <row r="31" spans="3:24" x14ac:dyDescent="0.25">
      <c r="C31" t="s">
        <v>984</v>
      </c>
      <c r="J31" s="140" t="s">
        <v>192</v>
      </c>
      <c r="M31" s="154" t="s">
        <v>193</v>
      </c>
    </row>
    <row r="32" spans="3:24" x14ac:dyDescent="0.25">
      <c r="C32" t="s">
        <v>985</v>
      </c>
    </row>
    <row r="33" spans="3:3" x14ac:dyDescent="0.25">
      <c r="C33" t="s">
        <v>986</v>
      </c>
    </row>
    <row r="34" spans="3:3" x14ac:dyDescent="0.25">
      <c r="C34" t="s">
        <v>987</v>
      </c>
    </row>
    <row r="35" spans="3:3" x14ac:dyDescent="0.25">
      <c r="C35" t="s">
        <v>988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8" bestFit="1" customWidth="1"/>
    <col min="9" max="10" width="9.140625" style="188"/>
    <col min="11" max="16384" width="9.140625" style="93"/>
  </cols>
  <sheetData>
    <row r="1" spans="1:11" x14ac:dyDescent="0.25">
      <c r="A1" s="92" t="s">
        <v>116</v>
      </c>
      <c r="B1" s="92" t="s">
        <v>117</v>
      </c>
      <c r="C1" s="93" t="s">
        <v>118</v>
      </c>
      <c r="H1" s="168" t="s">
        <v>112</v>
      </c>
      <c r="I1" s="186" t="s">
        <v>114</v>
      </c>
      <c r="J1" s="168" t="s">
        <v>334</v>
      </c>
    </row>
    <row r="2" spans="1:11" x14ac:dyDescent="0.25">
      <c r="A2" s="93" t="s">
        <v>119</v>
      </c>
      <c r="B2" s="93" t="s">
        <v>120</v>
      </c>
      <c r="C2" s="93" t="s">
        <v>121</v>
      </c>
      <c r="H2" s="168" t="s">
        <v>113</v>
      </c>
      <c r="I2" s="168" t="s">
        <v>115</v>
      </c>
      <c r="J2" s="168" t="s">
        <v>335</v>
      </c>
    </row>
    <row r="3" spans="1:11" x14ac:dyDescent="0.25">
      <c r="A3" s="93" t="s">
        <v>122</v>
      </c>
      <c r="B3" s="93" t="s">
        <v>123</v>
      </c>
      <c r="C3" s="93" t="s">
        <v>124</v>
      </c>
      <c r="H3" s="168" t="s">
        <v>138</v>
      </c>
      <c r="I3" s="168">
        <v>1</v>
      </c>
      <c r="J3" s="168">
        <v>1</v>
      </c>
      <c r="K3" s="55"/>
    </row>
    <row r="4" spans="1:11" x14ac:dyDescent="0.25">
      <c r="A4" s="93" t="s">
        <v>125</v>
      </c>
      <c r="C4" s="93" t="s">
        <v>126</v>
      </c>
      <c r="H4" s="168" t="s">
        <v>139</v>
      </c>
      <c r="I4" s="168">
        <v>2</v>
      </c>
      <c r="J4" s="168">
        <v>1</v>
      </c>
      <c r="K4" s="55"/>
    </row>
    <row r="5" spans="1:11" x14ac:dyDescent="0.25">
      <c r="A5" s="93" t="s">
        <v>127</v>
      </c>
      <c r="C5" s="93" t="s">
        <v>128</v>
      </c>
      <c r="H5" s="168" t="s">
        <v>140</v>
      </c>
      <c r="I5" s="168">
        <v>338</v>
      </c>
      <c r="J5" s="168">
        <v>10</v>
      </c>
      <c r="K5" s="55"/>
    </row>
    <row r="6" spans="1:11" x14ac:dyDescent="0.25">
      <c r="A6" s="93" t="s">
        <v>129</v>
      </c>
      <c r="C6" s="93" t="s">
        <v>130</v>
      </c>
      <c r="H6" s="187" t="s">
        <v>141</v>
      </c>
      <c r="I6" s="187" t="s">
        <v>120</v>
      </c>
    </row>
    <row r="7" spans="1:11" x14ac:dyDescent="0.25">
      <c r="A7" s="93" t="s">
        <v>131</v>
      </c>
      <c r="C7" s="93" t="s">
        <v>132</v>
      </c>
    </row>
    <row r="8" spans="1:11" x14ac:dyDescent="0.25">
      <c r="C8" s="93" t="s">
        <v>133</v>
      </c>
    </row>
    <row r="9" spans="1:11" x14ac:dyDescent="0.25">
      <c r="C9" s="94" t="s">
        <v>166</v>
      </c>
    </row>
    <row r="10" spans="1:11" x14ac:dyDescent="0.25">
      <c r="C10" s="93" t="s">
        <v>134</v>
      </c>
    </row>
    <row r="11" spans="1:11" x14ac:dyDescent="0.25">
      <c r="C11" s="93" t="s">
        <v>135</v>
      </c>
    </row>
    <row r="12" spans="1:11" x14ac:dyDescent="0.25">
      <c r="C12" s="93" t="s">
        <v>136</v>
      </c>
    </row>
    <row r="13" spans="1:11" x14ac:dyDescent="0.25">
      <c r="C13" s="93" t="s">
        <v>137</v>
      </c>
    </row>
    <row r="14" spans="1:11" x14ac:dyDescent="0.25">
      <c r="C14" s="94" t="s">
        <v>167</v>
      </c>
    </row>
    <row r="15" spans="1:11" x14ac:dyDescent="0.25">
      <c r="C15" s="94" t="s">
        <v>184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197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198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199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200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201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202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203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204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205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206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207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208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209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210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211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212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213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214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215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216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217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218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219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220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221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222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223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224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225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226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227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228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229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230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231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232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233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234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235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236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237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238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239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240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241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242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243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244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245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246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247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248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249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250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251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252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253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254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255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256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257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258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259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260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261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262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263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264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265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266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267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268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269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270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271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272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273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274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275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276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277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278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279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280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281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282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283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284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285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286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287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288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289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290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291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292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293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294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295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296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297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298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299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300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301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302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303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304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305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306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307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308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309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310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311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312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313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314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315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316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317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318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319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320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321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322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323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324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325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326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2017-09-22T15:35:32Z</dcterms:modified>
</cp:coreProperties>
</file>