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Enforcements!$A$6:$AC$39</definedName>
    <definedName name="_xlnm._FilterDatabase" localSheetId="2" hidden="1">'Missing Trips'!$A$2:$J$26</definedName>
    <definedName name="_xlnm._FilterDatabase" localSheetId="0" hidden="1">'Train Runs'!$A$12:$AG$420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Runs'!$A$12:$J$81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42" i="1" l="1"/>
  <c r="X143" i="1"/>
  <c r="K167" i="1"/>
  <c r="L167" i="1"/>
  <c r="M167" i="1"/>
  <c r="N167" i="1" s="1"/>
  <c r="V167" i="1"/>
  <c r="S21" i="3" s="1"/>
  <c r="AB167" i="1"/>
  <c r="AC167" i="1"/>
  <c r="AD167" i="1"/>
  <c r="T167" i="1" s="1"/>
  <c r="AE167" i="1"/>
  <c r="R21" i="3" s="1"/>
  <c r="AF167" i="1"/>
  <c r="AH167" i="1"/>
  <c r="AM167" i="1"/>
  <c r="AN167" i="1"/>
  <c r="AO167" i="1"/>
  <c r="K158" i="1"/>
  <c r="L158" i="1"/>
  <c r="M158" i="1"/>
  <c r="N158" i="1" s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K63" i="1"/>
  <c r="L63" i="1"/>
  <c r="M63" i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40" i="1"/>
  <c r="M40" i="1"/>
  <c r="P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14" i="1"/>
  <c r="L14" i="1"/>
  <c r="M14" i="1"/>
  <c r="N14" i="1" s="1"/>
  <c r="V14" i="1"/>
  <c r="AA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P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R10" i="3" s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S7" i="3" s="1"/>
  <c r="Y51" i="1"/>
  <c r="Z51" i="1"/>
  <c r="AB51" i="1"/>
  <c r="AC51" i="1"/>
  <c r="AD51" i="1"/>
  <c r="AE51" i="1"/>
  <c r="R7" i="3" s="1"/>
  <c r="AF51" i="1"/>
  <c r="AH51" i="1"/>
  <c r="AM51" i="1"/>
  <c r="AN51" i="1"/>
  <c r="AO51" i="1"/>
  <c r="K52" i="1"/>
  <c r="L52" i="1"/>
  <c r="M52" i="1"/>
  <c r="N52" i="1" s="1"/>
  <c r="V52" i="1"/>
  <c r="Y52" i="1"/>
  <c r="AA52" i="1" s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S11" i="3" s="1"/>
  <c r="Y68" i="1"/>
  <c r="Z68" i="1"/>
  <c r="AB68" i="1"/>
  <c r="AC68" i="1"/>
  <c r="AD68" i="1"/>
  <c r="AE68" i="1"/>
  <c r="R8" i="3" s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S14" i="3" s="1"/>
  <c r="Y77" i="1"/>
  <c r="Z77" i="1"/>
  <c r="AB77" i="1"/>
  <c r="AC77" i="1"/>
  <c r="AD77" i="1"/>
  <c r="AE77" i="1"/>
  <c r="R14" i="3" s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S12" i="3" s="1"/>
  <c r="Y84" i="1"/>
  <c r="Z84" i="1"/>
  <c r="AB84" i="1"/>
  <c r="AC84" i="1"/>
  <c r="AD84" i="1"/>
  <c r="AE84" i="1"/>
  <c r="R12" i="3" s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P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S9" i="3" s="1"/>
  <c r="Y117" i="1"/>
  <c r="Z117" i="1"/>
  <c r="AB117" i="1"/>
  <c r="AC117" i="1"/>
  <c r="AD117" i="1"/>
  <c r="AE117" i="1"/>
  <c r="R9" i="3" s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P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X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AO129" i="1"/>
  <c r="K130" i="1"/>
  <c r="L130" i="1"/>
  <c r="M130" i="1"/>
  <c r="P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S13" i="3" s="1"/>
  <c r="Y134" i="1"/>
  <c r="Z134" i="1"/>
  <c r="AB134" i="1"/>
  <c r="AC134" i="1"/>
  <c r="AD134" i="1"/>
  <c r="T134" i="1" s="1"/>
  <c r="AE134" i="1"/>
  <c r="R13" i="3" s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S16" i="3" s="1"/>
  <c r="Y141" i="1"/>
  <c r="Z141" i="1"/>
  <c r="AB141" i="1"/>
  <c r="AC141" i="1"/>
  <c r="AD141" i="1"/>
  <c r="AE141" i="1"/>
  <c r="R16" i="3" s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A157" i="1" s="1"/>
  <c r="AB157" i="1"/>
  <c r="AC157" i="1"/>
  <c r="AD157" i="1"/>
  <c r="AE157" i="1"/>
  <c r="AF157" i="1"/>
  <c r="AH157" i="1"/>
  <c r="AM157" i="1"/>
  <c r="AN157" i="1"/>
  <c r="AO157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AO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2" i="1"/>
  <c r="AM172" i="1"/>
  <c r="AN172" i="1"/>
  <c r="AO17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3" i="1"/>
  <c r="AM173" i="1"/>
  <c r="AN173" i="1"/>
  <c r="AO173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X231" i="1" s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0" i="1"/>
  <c r="AM180" i="1"/>
  <c r="AN180" i="1"/>
  <c r="AO180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1" i="1"/>
  <c r="AM181" i="1"/>
  <c r="AN181" i="1"/>
  <c r="AO181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2" i="1"/>
  <c r="AM182" i="1"/>
  <c r="AN182" i="1"/>
  <c r="AO18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3" i="1"/>
  <c r="AM183" i="1"/>
  <c r="AN183" i="1"/>
  <c r="AO18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4" i="1"/>
  <c r="AM184" i="1"/>
  <c r="AN184" i="1"/>
  <c r="AO18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5" i="1"/>
  <c r="AM185" i="1"/>
  <c r="AN185" i="1"/>
  <c r="AO18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6" i="1"/>
  <c r="AM186" i="1"/>
  <c r="AN186" i="1"/>
  <c r="AO18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7" i="1"/>
  <c r="AM187" i="1"/>
  <c r="AN187" i="1"/>
  <c r="AO187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8" i="1"/>
  <c r="AM188" i="1"/>
  <c r="AN188" i="1"/>
  <c r="AO188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89" i="1"/>
  <c r="AM189" i="1"/>
  <c r="AN189" i="1"/>
  <c r="AO189" i="1"/>
  <c r="AH190" i="1"/>
  <c r="AM190" i="1"/>
  <c r="AN190" i="1"/>
  <c r="AO19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1" i="1"/>
  <c r="AM191" i="1"/>
  <c r="AN191" i="1"/>
  <c r="AO19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2" i="1"/>
  <c r="AM192" i="1"/>
  <c r="AN192" i="1"/>
  <c r="AO192" i="1"/>
  <c r="K171" i="1"/>
  <c r="L171" i="1"/>
  <c r="M171" i="1"/>
  <c r="N171" i="1" s="1"/>
  <c r="V171" i="1"/>
  <c r="S17" i="3" s="1"/>
  <c r="Y171" i="1"/>
  <c r="Z171" i="1"/>
  <c r="AB171" i="1"/>
  <c r="AC171" i="1"/>
  <c r="AD171" i="1"/>
  <c r="T171" i="1" s="1"/>
  <c r="AE171" i="1"/>
  <c r="R17" i="3" s="1"/>
  <c r="AF171" i="1"/>
  <c r="AH193" i="1"/>
  <c r="AM193" i="1"/>
  <c r="AN193" i="1"/>
  <c r="AO193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4" i="1"/>
  <c r="AM194" i="1"/>
  <c r="AN194" i="1"/>
  <c r="AO194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5" i="1"/>
  <c r="AM195" i="1"/>
  <c r="AN195" i="1"/>
  <c r="AO195" i="1"/>
  <c r="AH196" i="1"/>
  <c r="AM196" i="1"/>
  <c r="AN196" i="1"/>
  <c r="AO196" i="1"/>
  <c r="AH197" i="1"/>
  <c r="AM197" i="1"/>
  <c r="AN197" i="1"/>
  <c r="AO197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8" i="1"/>
  <c r="AM198" i="1"/>
  <c r="AN198" i="1"/>
  <c r="AO19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9" i="1"/>
  <c r="AM199" i="1"/>
  <c r="AN199" i="1"/>
  <c r="AO19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0" i="1"/>
  <c r="AM200" i="1"/>
  <c r="AN200" i="1"/>
  <c r="AO20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1" i="1"/>
  <c r="AM201" i="1"/>
  <c r="AN201" i="1"/>
  <c r="AO20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2" i="1"/>
  <c r="AM202" i="1"/>
  <c r="AN202" i="1"/>
  <c r="AO20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3" i="1"/>
  <c r="AM203" i="1"/>
  <c r="AN203" i="1"/>
  <c r="AO203" i="1"/>
  <c r="AH204" i="1"/>
  <c r="AM204" i="1"/>
  <c r="AN204" i="1"/>
  <c r="AO20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05" i="1"/>
  <c r="AM205" i="1"/>
  <c r="AN205" i="1"/>
  <c r="AO20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6" i="1"/>
  <c r="AM206" i="1"/>
  <c r="AN206" i="1"/>
  <c r="AO20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7" i="1"/>
  <c r="AM207" i="1"/>
  <c r="AN207" i="1"/>
  <c r="AO20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AO20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9" i="1"/>
  <c r="AM209" i="1"/>
  <c r="AN209" i="1"/>
  <c r="AO20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0" i="1"/>
  <c r="AM210" i="1"/>
  <c r="AN210" i="1"/>
  <c r="AO21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1" i="1"/>
  <c r="AM211" i="1"/>
  <c r="AN211" i="1"/>
  <c r="AO21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2" i="1"/>
  <c r="AM212" i="1"/>
  <c r="AN212" i="1"/>
  <c r="AO21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3" i="1"/>
  <c r="AM213" i="1"/>
  <c r="AN213" i="1"/>
  <c r="AO21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4" i="1"/>
  <c r="AM214" i="1"/>
  <c r="AN214" i="1"/>
  <c r="AO214" i="1"/>
  <c r="K191" i="1"/>
  <c r="L191" i="1"/>
  <c r="M191" i="1"/>
  <c r="N191" i="1" s="1"/>
  <c r="V191" i="1"/>
  <c r="S19" i="3" s="1"/>
  <c r="Y191" i="1"/>
  <c r="Z191" i="1"/>
  <c r="AB191" i="1"/>
  <c r="AC191" i="1"/>
  <c r="AD191" i="1"/>
  <c r="AE191" i="1"/>
  <c r="R19" i="3" s="1"/>
  <c r="AF191" i="1"/>
  <c r="AH215" i="1"/>
  <c r="AM215" i="1"/>
  <c r="AN215" i="1"/>
  <c r="AO21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6" i="1"/>
  <c r="AM216" i="1"/>
  <c r="AN216" i="1"/>
  <c r="AO21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7" i="1"/>
  <c r="AM217" i="1"/>
  <c r="AN217" i="1"/>
  <c r="AO217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8" i="1"/>
  <c r="AM218" i="1"/>
  <c r="AN218" i="1"/>
  <c r="AO218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9" i="1"/>
  <c r="AM219" i="1"/>
  <c r="AN219" i="1"/>
  <c r="AO21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0" i="1"/>
  <c r="AM220" i="1"/>
  <c r="AN220" i="1"/>
  <c r="AO220" i="1"/>
  <c r="K197" i="1"/>
  <c r="L197" i="1"/>
  <c r="M197" i="1"/>
  <c r="N197" i="1" s="1"/>
  <c r="V197" i="1"/>
  <c r="S18" i="3" s="1"/>
  <c r="Y197" i="1"/>
  <c r="Z197" i="1"/>
  <c r="AB197" i="1"/>
  <c r="AC197" i="1"/>
  <c r="AD197" i="1"/>
  <c r="AE197" i="1"/>
  <c r="R18" i="3" s="1"/>
  <c r="AF197" i="1"/>
  <c r="AH221" i="1"/>
  <c r="AM221" i="1"/>
  <c r="AN221" i="1"/>
  <c r="AO221" i="1"/>
  <c r="K198" i="1"/>
  <c r="L198" i="1"/>
  <c r="M198" i="1"/>
  <c r="N198" i="1" s="1"/>
  <c r="V198" i="1"/>
  <c r="S20" i="3" s="1"/>
  <c r="Y198" i="1"/>
  <c r="Z198" i="1"/>
  <c r="AB198" i="1"/>
  <c r="AC198" i="1"/>
  <c r="AD198" i="1"/>
  <c r="AE198" i="1"/>
  <c r="R20" i="3" s="1"/>
  <c r="AF198" i="1"/>
  <c r="AH222" i="1"/>
  <c r="AM222" i="1"/>
  <c r="AN222" i="1"/>
  <c r="AO222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3" i="1"/>
  <c r="AM223" i="1"/>
  <c r="AN223" i="1"/>
  <c r="AO22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4" i="1"/>
  <c r="AM224" i="1"/>
  <c r="AN224" i="1"/>
  <c r="AO224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5" i="1"/>
  <c r="AM225" i="1"/>
  <c r="AN225" i="1"/>
  <c r="AO225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6" i="1"/>
  <c r="AM226" i="1"/>
  <c r="AN226" i="1"/>
  <c r="AO226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7" i="1"/>
  <c r="AM227" i="1"/>
  <c r="AN227" i="1"/>
  <c r="AO227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8" i="1"/>
  <c r="AM228" i="1"/>
  <c r="AN228" i="1"/>
  <c r="AO228" i="1"/>
  <c r="AH229" i="1"/>
  <c r="AM229" i="1"/>
  <c r="AN229" i="1"/>
  <c r="AO229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30" i="1"/>
  <c r="AM230" i="1"/>
  <c r="AN230" i="1"/>
  <c r="AO230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231" i="1"/>
  <c r="AM231" i="1"/>
  <c r="AN231" i="1"/>
  <c r="AO231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2" i="1"/>
  <c r="AM232" i="1"/>
  <c r="AN232" i="1"/>
  <c r="AO232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33" i="1"/>
  <c r="AM233" i="1"/>
  <c r="AN233" i="1"/>
  <c r="AO233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34" i="1"/>
  <c r="AM234" i="1"/>
  <c r="AN234" i="1"/>
  <c r="AO234" i="1"/>
  <c r="K223" i="1"/>
  <c r="L223" i="1"/>
  <c r="M223" i="1"/>
  <c r="N223" i="1" s="1"/>
  <c r="V223" i="1"/>
  <c r="Y223" i="1"/>
  <c r="Z223" i="1"/>
  <c r="AA223" i="1" s="1"/>
  <c r="AB223" i="1"/>
  <c r="AC223" i="1"/>
  <c r="AD223" i="1"/>
  <c r="AE223" i="1"/>
  <c r="AF223" i="1"/>
  <c r="AH235" i="1"/>
  <c r="AM235" i="1"/>
  <c r="AN235" i="1"/>
  <c r="AO235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6" i="1"/>
  <c r="AM236" i="1"/>
  <c r="AN236" i="1"/>
  <c r="AO236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7" i="1"/>
  <c r="AM237" i="1"/>
  <c r="AN237" i="1"/>
  <c r="AO237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8" i="1"/>
  <c r="AM238" i="1"/>
  <c r="AN238" i="1"/>
  <c r="AO238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39" i="1"/>
  <c r="AM239" i="1"/>
  <c r="AN239" i="1"/>
  <c r="AO239" i="1"/>
  <c r="M21" i="3"/>
  <c r="U21" i="3"/>
  <c r="T21" i="3" s="1"/>
  <c r="V21" i="3"/>
  <c r="X21" i="3"/>
  <c r="M22" i="3"/>
  <c r="R22" i="3"/>
  <c r="U22" i="3"/>
  <c r="AC22" i="3" s="1"/>
  <c r="V22" i="3"/>
  <c r="X22" i="3"/>
  <c r="M23" i="3"/>
  <c r="S23" i="3"/>
  <c r="U23" i="3"/>
  <c r="AC23" i="3" s="1"/>
  <c r="V23" i="3"/>
  <c r="X23" i="3"/>
  <c r="M24" i="3"/>
  <c r="U24" i="3"/>
  <c r="AC24" i="3" s="1"/>
  <c r="V24" i="3"/>
  <c r="X24" i="3"/>
  <c r="M17" i="3"/>
  <c r="U17" i="3"/>
  <c r="T17" i="3" s="1"/>
  <c r="V17" i="3"/>
  <c r="X17" i="3"/>
  <c r="M10" i="3"/>
  <c r="S10" i="3"/>
  <c r="U10" i="3"/>
  <c r="V10" i="3"/>
  <c r="X10" i="3"/>
  <c r="M7" i="3"/>
  <c r="U7" i="3"/>
  <c r="AC7" i="3" s="1"/>
  <c r="V7" i="3"/>
  <c r="X7" i="3"/>
  <c r="M8" i="3"/>
  <c r="U8" i="3"/>
  <c r="AC8" i="3" s="1"/>
  <c r="V8" i="3"/>
  <c r="X8" i="3"/>
  <c r="M11" i="3"/>
  <c r="U11" i="3"/>
  <c r="AD11" i="3" s="1"/>
  <c r="V11" i="3"/>
  <c r="X11" i="3"/>
  <c r="M14" i="3"/>
  <c r="U14" i="3"/>
  <c r="V14" i="3"/>
  <c r="X14" i="3"/>
  <c r="M12" i="3"/>
  <c r="U12" i="3"/>
  <c r="AC12" i="3" s="1"/>
  <c r="V12" i="3"/>
  <c r="X12" i="3"/>
  <c r="M19" i="3"/>
  <c r="U19" i="3"/>
  <c r="AC19" i="3" s="1"/>
  <c r="V19" i="3"/>
  <c r="X19" i="3"/>
  <c r="M9" i="3"/>
  <c r="U9" i="3"/>
  <c r="T9" i="3" s="1"/>
  <c r="V9" i="3"/>
  <c r="X9" i="3"/>
  <c r="M18" i="3"/>
  <c r="U18" i="3"/>
  <c r="V18" i="3"/>
  <c r="X18" i="3"/>
  <c r="M20" i="3"/>
  <c r="U20" i="3"/>
  <c r="AC20" i="3" s="1"/>
  <c r="V20" i="3"/>
  <c r="X20" i="3"/>
  <c r="M13" i="3"/>
  <c r="U13" i="3"/>
  <c r="AC13" i="3" s="1"/>
  <c r="V13" i="3"/>
  <c r="X13" i="3"/>
  <c r="M16" i="3"/>
  <c r="U16" i="3"/>
  <c r="T16" i="3" s="1"/>
  <c r="V16" i="3"/>
  <c r="X16" i="3"/>
  <c r="AG167" i="1"/>
  <c r="AG158" i="1"/>
  <c r="AG63" i="1"/>
  <c r="AG40" i="1"/>
  <c r="AG14" i="1"/>
  <c r="AG21" i="1"/>
  <c r="AG29" i="1"/>
  <c r="AG37" i="1"/>
  <c r="AG46" i="1"/>
  <c r="AG16" i="1"/>
  <c r="AG61" i="1"/>
  <c r="AG66" i="1"/>
  <c r="AG70" i="1"/>
  <c r="AG74" i="1"/>
  <c r="AG78" i="1"/>
  <c r="AG82" i="1"/>
  <c r="AG86" i="1"/>
  <c r="AG90" i="1"/>
  <c r="AG94" i="1"/>
  <c r="AG98" i="1"/>
  <c r="AG102" i="1"/>
  <c r="AG106" i="1"/>
  <c r="AG110" i="1"/>
  <c r="AG114" i="1"/>
  <c r="AG118" i="1"/>
  <c r="AG122" i="1"/>
  <c r="AG20" i="1"/>
  <c r="AG28" i="1"/>
  <c r="AG36" i="1"/>
  <c r="AG45" i="1"/>
  <c r="AG55" i="1"/>
  <c r="AG57" i="1"/>
  <c r="AG127" i="1"/>
  <c r="AG131" i="1"/>
  <c r="AG135" i="1"/>
  <c r="AG139" i="1"/>
  <c r="AG142" i="1"/>
  <c r="AG146" i="1"/>
  <c r="AG150" i="1"/>
  <c r="AG154" i="1"/>
  <c r="AG159" i="1"/>
  <c r="AG212" i="1"/>
  <c r="AG216" i="1"/>
  <c r="AG220" i="1"/>
  <c r="AG229" i="1"/>
  <c r="AG233" i="1"/>
  <c r="AG237" i="1"/>
  <c r="AG162" i="1"/>
  <c r="AG166" i="1"/>
  <c r="AG170" i="1"/>
  <c r="AG176" i="1"/>
  <c r="AG183" i="1"/>
  <c r="AG187" i="1"/>
  <c r="AG191" i="1"/>
  <c r="AG195" i="1"/>
  <c r="AG199" i="1"/>
  <c r="AG203" i="1"/>
  <c r="AG206" i="1"/>
  <c r="AG223" i="1"/>
  <c r="AG227" i="1"/>
  <c r="AG15" i="1"/>
  <c r="AG25" i="1"/>
  <c r="AG33" i="1"/>
  <c r="AG42" i="1"/>
  <c r="AG50" i="1"/>
  <c r="AG59" i="1"/>
  <c r="AG64" i="1"/>
  <c r="AG68" i="1"/>
  <c r="AG72" i="1"/>
  <c r="AG76" i="1"/>
  <c r="AG80" i="1"/>
  <c r="AG84" i="1"/>
  <c r="AG88" i="1"/>
  <c r="AG92" i="1"/>
  <c r="AG96" i="1"/>
  <c r="AG100" i="1"/>
  <c r="AG104" i="1"/>
  <c r="AG108" i="1"/>
  <c r="AG112" i="1"/>
  <c r="AG116" i="1"/>
  <c r="AG120" i="1"/>
  <c r="AG124" i="1"/>
  <c r="AG24" i="1"/>
  <c r="AG32" i="1"/>
  <c r="AG41" i="1"/>
  <c r="AG49" i="1"/>
  <c r="AG51" i="1"/>
  <c r="AG125" i="1"/>
  <c r="AG129" i="1"/>
  <c r="AG133" i="1"/>
  <c r="AG137" i="1"/>
  <c r="AG141" i="1"/>
  <c r="AG144" i="1"/>
  <c r="AG148" i="1"/>
  <c r="AG152" i="1"/>
  <c r="AG156" i="1"/>
  <c r="AG210" i="1"/>
  <c r="AG214" i="1"/>
  <c r="AG218" i="1"/>
  <c r="AG222" i="1"/>
  <c r="AG231" i="1"/>
  <c r="AG235" i="1"/>
  <c r="AG239" i="1"/>
  <c r="AG164" i="1"/>
  <c r="AG172" i="1"/>
  <c r="AG174" i="1"/>
  <c r="AG178" i="1"/>
  <c r="AG181" i="1"/>
  <c r="AG185" i="1"/>
  <c r="AG189" i="1"/>
  <c r="AG193" i="1"/>
  <c r="AG197" i="1"/>
  <c r="AG201" i="1"/>
  <c r="AG208" i="1"/>
  <c r="AG225" i="1"/>
  <c r="AG93" i="1"/>
  <c r="AG19" i="1"/>
  <c r="AG27" i="1"/>
  <c r="AG35" i="1"/>
  <c r="AG44" i="1"/>
  <c r="AG52" i="1"/>
  <c r="AG60" i="1"/>
  <c r="AG65" i="1"/>
  <c r="AG69" i="1"/>
  <c r="AG73" i="1"/>
  <c r="AG77" i="1"/>
  <c r="AG81" i="1"/>
  <c r="AG85" i="1"/>
  <c r="AG89" i="1"/>
  <c r="AG97" i="1"/>
  <c r="AG101" i="1"/>
  <c r="AG105" i="1"/>
  <c r="AG109" i="1"/>
  <c r="AG23" i="1"/>
  <c r="AG58" i="1"/>
  <c r="AG75" i="1"/>
  <c r="AG91" i="1"/>
  <c r="AG107" i="1"/>
  <c r="AG117" i="1"/>
  <c r="AG17" i="1"/>
  <c r="AG34" i="1"/>
  <c r="AG54" i="1"/>
  <c r="AG126" i="1"/>
  <c r="AG134" i="1"/>
  <c r="AG149" i="1"/>
  <c r="AG157" i="1"/>
  <c r="AG215" i="1"/>
  <c r="AG228" i="1"/>
  <c r="AG236" i="1"/>
  <c r="AG165" i="1"/>
  <c r="AG173" i="1"/>
  <c r="AG179" i="1"/>
  <c r="AG186" i="1"/>
  <c r="AG194" i="1"/>
  <c r="AG202" i="1"/>
  <c r="AG209" i="1"/>
  <c r="AG31" i="1"/>
  <c r="AG62" i="1"/>
  <c r="AG79" i="1"/>
  <c r="AG95" i="1"/>
  <c r="AG111" i="1"/>
  <c r="AG119" i="1"/>
  <c r="AG22" i="1"/>
  <c r="AG38" i="1"/>
  <c r="AG18" i="1"/>
  <c r="AG128" i="1"/>
  <c r="AG136" i="1"/>
  <c r="AG143" i="1"/>
  <c r="AG151" i="1"/>
  <c r="AG160" i="1"/>
  <c r="AG217" i="1"/>
  <c r="AG230" i="1"/>
  <c r="AG238" i="1"/>
  <c r="AG168" i="1"/>
  <c r="AG180" i="1"/>
  <c r="AG188" i="1"/>
  <c r="AG196" i="1"/>
  <c r="AG204" i="1"/>
  <c r="AG224" i="1"/>
  <c r="AG39" i="1"/>
  <c r="AG67" i="1"/>
  <c r="AG83" i="1"/>
  <c r="AG99" i="1"/>
  <c r="AG113" i="1"/>
  <c r="AG121" i="1"/>
  <c r="AG26" i="1"/>
  <c r="AG43" i="1"/>
  <c r="AG56" i="1"/>
  <c r="AG130" i="1"/>
  <c r="AG138" i="1"/>
  <c r="AG145" i="1"/>
  <c r="AG153" i="1"/>
  <c r="AG211" i="1"/>
  <c r="AG219" i="1"/>
  <c r="AG232" i="1"/>
  <c r="AG161" i="1"/>
  <c r="AG169" i="1"/>
  <c r="AG175" i="1"/>
  <c r="AG182" i="1"/>
  <c r="AG190" i="1"/>
  <c r="AG198" i="1"/>
  <c r="AG205" i="1"/>
  <c r="AG226" i="1"/>
  <c r="AG48" i="1"/>
  <c r="AG71" i="1"/>
  <c r="AG87" i="1"/>
  <c r="AG103" i="1"/>
  <c r="AG115" i="1"/>
  <c r="AG123" i="1"/>
  <c r="AG30" i="1"/>
  <c r="AG47" i="1"/>
  <c r="AG53" i="1"/>
  <c r="AG132" i="1"/>
  <c r="AG140" i="1"/>
  <c r="AG147" i="1"/>
  <c r="AG155" i="1"/>
  <c r="AG213" i="1"/>
  <c r="AG221" i="1"/>
  <c r="AG234" i="1"/>
  <c r="AG163" i="1"/>
  <c r="AG171" i="1"/>
  <c r="AG177" i="1"/>
  <c r="AG184" i="1"/>
  <c r="AG192" i="1"/>
  <c r="AG200" i="1"/>
  <c r="AG207" i="1"/>
  <c r="W10" i="3"/>
  <c r="W11" i="3"/>
  <c r="W12" i="3"/>
  <c r="W19" i="3"/>
  <c r="W22" i="3"/>
  <c r="W13" i="3"/>
  <c r="W7" i="3"/>
  <c r="W8" i="3"/>
  <c r="W16" i="3"/>
  <c r="W14" i="3"/>
  <c r="W9" i="3"/>
  <c r="W20" i="3"/>
  <c r="W21" i="3"/>
  <c r="W18" i="3"/>
  <c r="W23" i="3"/>
  <c r="W24" i="3"/>
  <c r="W17" i="3"/>
  <c r="AA105" i="1" l="1"/>
  <c r="X188" i="1"/>
  <c r="X92" i="1"/>
  <c r="X88" i="1"/>
  <c r="X58" i="1"/>
  <c r="X202" i="1"/>
  <c r="X194" i="1"/>
  <c r="X174" i="1"/>
  <c r="X170" i="1"/>
  <c r="X118" i="1"/>
  <c r="X102" i="1"/>
  <c r="AA87" i="1"/>
  <c r="AA208" i="1"/>
  <c r="AA230" i="1"/>
  <c r="AA221" i="1"/>
  <c r="AA151" i="1"/>
  <c r="AA125" i="1"/>
  <c r="AA121" i="1"/>
  <c r="AA85" i="1"/>
  <c r="X180" i="1"/>
  <c r="X227" i="1"/>
  <c r="X237" i="1"/>
  <c r="X236" i="1"/>
  <c r="AA213" i="1"/>
  <c r="AA147" i="1"/>
  <c r="AA136" i="1"/>
  <c r="X108" i="1"/>
  <c r="AA94" i="1"/>
  <c r="AA48" i="1"/>
  <c r="AA44" i="1"/>
  <c r="AA39" i="1"/>
  <c r="AA35" i="1"/>
  <c r="AA31" i="1"/>
  <c r="AA27" i="1"/>
  <c r="AA167" i="1"/>
  <c r="W167" i="1" s="1"/>
  <c r="AA226" i="1"/>
  <c r="X121" i="1"/>
  <c r="X120" i="1"/>
  <c r="AA116" i="1"/>
  <c r="AA111" i="1"/>
  <c r="X110" i="1"/>
  <c r="AA79" i="1"/>
  <c r="AA72" i="1"/>
  <c r="W72" i="1" s="1"/>
  <c r="AA67" i="1"/>
  <c r="AA50" i="1"/>
  <c r="AA46" i="1"/>
  <c r="AA42" i="1"/>
  <c r="AA37" i="1"/>
  <c r="X40" i="1"/>
  <c r="R24" i="3"/>
  <c r="X223" i="1"/>
  <c r="X204" i="1"/>
  <c r="X196" i="1"/>
  <c r="T194" i="1"/>
  <c r="X191" i="1"/>
  <c r="X190" i="1"/>
  <c r="X173" i="1"/>
  <c r="X234" i="1"/>
  <c r="X233" i="1"/>
  <c r="X116" i="1"/>
  <c r="AA86" i="1"/>
  <c r="W86" i="1" s="1"/>
  <c r="X85" i="1"/>
  <c r="AA77" i="1"/>
  <c r="AA68" i="1"/>
  <c r="X64" i="1"/>
  <c r="AA36" i="1"/>
  <c r="AA205" i="1"/>
  <c r="X176" i="1"/>
  <c r="X175" i="1"/>
  <c r="AA217" i="1"/>
  <c r="AA143" i="1"/>
  <c r="W143" i="1" s="1"/>
  <c r="AA127" i="1"/>
  <c r="AA119" i="1"/>
  <c r="W119" i="1" s="1"/>
  <c r="AA113" i="1"/>
  <c r="AA108" i="1"/>
  <c r="AA103" i="1"/>
  <c r="AA92" i="1"/>
  <c r="W92" i="1" s="1"/>
  <c r="AA83" i="1"/>
  <c r="AA69" i="1"/>
  <c r="AA49" i="1"/>
  <c r="AA47" i="1"/>
  <c r="W47" i="1" s="1"/>
  <c r="AA45" i="1"/>
  <c r="AA43" i="1"/>
  <c r="X42" i="1"/>
  <c r="AA41" i="1"/>
  <c r="W41" i="1" s="1"/>
  <c r="AA38" i="1"/>
  <c r="AA33" i="1"/>
  <c r="AA29" i="1"/>
  <c r="AA63" i="1"/>
  <c r="AA228" i="1"/>
  <c r="AA160" i="1"/>
  <c r="AA132" i="1"/>
  <c r="AA128" i="1"/>
  <c r="W128" i="1" s="1"/>
  <c r="AA84" i="1"/>
  <c r="AA71" i="1"/>
  <c r="W71" i="1" s="1"/>
  <c r="AA62" i="1"/>
  <c r="AA61" i="1"/>
  <c r="AA60" i="1"/>
  <c r="X41" i="1"/>
  <c r="AA34" i="1"/>
  <c r="AA40" i="1"/>
  <c r="X63" i="1"/>
  <c r="X169" i="1"/>
  <c r="T202" i="1"/>
  <c r="AA64" i="1"/>
  <c r="AA59" i="1"/>
  <c r="AA58" i="1"/>
  <c r="W58" i="1" s="1"/>
  <c r="X158" i="1"/>
  <c r="T205" i="1"/>
  <c r="AA202" i="1"/>
  <c r="AA201" i="1"/>
  <c r="W201" i="1" s="1"/>
  <c r="X195" i="1"/>
  <c r="X185" i="1"/>
  <c r="X178" i="1"/>
  <c r="X177" i="1"/>
  <c r="X172" i="1"/>
  <c r="X171" i="1"/>
  <c r="X166" i="1"/>
  <c r="X162" i="1"/>
  <c r="X235" i="1"/>
  <c r="X230" i="1"/>
  <c r="X229" i="1"/>
  <c r="AA215" i="1"/>
  <c r="AA140" i="1"/>
  <c r="AA135" i="1"/>
  <c r="AA134" i="1"/>
  <c r="W134" i="1" s="1"/>
  <c r="AA131" i="1"/>
  <c r="AA124" i="1"/>
  <c r="X119" i="1"/>
  <c r="X112" i="1"/>
  <c r="X111" i="1"/>
  <c r="X104" i="1"/>
  <c r="X103" i="1"/>
  <c r="AA88" i="1"/>
  <c r="W88" i="1" s="1"/>
  <c r="AA81" i="1"/>
  <c r="AA80" i="1"/>
  <c r="W80" i="1" s="1"/>
  <c r="X79" i="1"/>
  <c r="AA73" i="1"/>
  <c r="AA25" i="1"/>
  <c r="AA19" i="1"/>
  <c r="X16" i="1"/>
  <c r="AA206" i="1"/>
  <c r="X203" i="1"/>
  <c r="AA199" i="1"/>
  <c r="X198" i="1"/>
  <c r="AA194" i="1"/>
  <c r="W194" i="1" s="1"/>
  <c r="X187" i="1"/>
  <c r="X183" i="1"/>
  <c r="X164" i="1"/>
  <c r="X239" i="1"/>
  <c r="X238" i="1"/>
  <c r="AA232" i="1"/>
  <c r="AA155" i="1"/>
  <c r="AA149" i="1"/>
  <c r="W149" i="1" s="1"/>
  <c r="AA129" i="1"/>
  <c r="AA118" i="1"/>
  <c r="W118" i="1" s="1"/>
  <c r="AA117" i="1"/>
  <c r="X113" i="1"/>
  <c r="AA112" i="1"/>
  <c r="AA110" i="1"/>
  <c r="W110" i="1" s="1"/>
  <c r="AA109" i="1"/>
  <c r="X105" i="1"/>
  <c r="AA104" i="1"/>
  <c r="AA102" i="1"/>
  <c r="W102" i="1" s="1"/>
  <c r="AA101" i="1"/>
  <c r="AA99" i="1"/>
  <c r="W99" i="1" s="1"/>
  <c r="AA97" i="1"/>
  <c r="AA96" i="1"/>
  <c r="AA93" i="1"/>
  <c r="AA90" i="1"/>
  <c r="AA89" i="1"/>
  <c r="AA75" i="1"/>
  <c r="W75" i="1" s="1"/>
  <c r="AA70" i="1"/>
  <c r="X15" i="1"/>
  <c r="X65" i="1"/>
  <c r="S22" i="3"/>
  <c r="S24" i="3"/>
  <c r="R23" i="3"/>
  <c r="AI167" i="1"/>
  <c r="U167" i="1"/>
  <c r="S167" i="1" s="1"/>
  <c r="X167" i="1"/>
  <c r="AI158" i="1"/>
  <c r="U158" i="1"/>
  <c r="S158" i="1" s="1"/>
  <c r="W158" i="1"/>
  <c r="AE23" i="3"/>
  <c r="S8" i="3"/>
  <c r="AD13" i="3"/>
  <c r="P63" i="1"/>
  <c r="U63" i="1"/>
  <c r="S63" i="1" s="1"/>
  <c r="AI63" i="1"/>
  <c r="W63" i="1"/>
  <c r="AD21" i="3"/>
  <c r="AI40" i="1"/>
  <c r="U40" i="1"/>
  <c r="S40" i="1" s="1"/>
  <c r="W40" i="1"/>
  <c r="R11" i="3"/>
  <c r="AI14" i="1"/>
  <c r="U14" i="1"/>
  <c r="S14" i="1" s="1"/>
  <c r="W14" i="1"/>
  <c r="T24" i="3"/>
  <c r="AE19" i="3"/>
  <c r="AC21" i="3"/>
  <c r="AA191" i="1"/>
  <c r="AA189" i="1"/>
  <c r="X182" i="1"/>
  <c r="AA227" i="1"/>
  <c r="AA225" i="1"/>
  <c r="X209" i="1"/>
  <c r="AA203" i="1"/>
  <c r="W203" i="1" s="1"/>
  <c r="AA198" i="1"/>
  <c r="T198" i="1"/>
  <c r="U198" i="1" s="1"/>
  <c r="S198" i="1" s="1"/>
  <c r="AA187" i="1"/>
  <c r="X184" i="1"/>
  <c r="AA195" i="1"/>
  <c r="AA193" i="1"/>
  <c r="W193" i="1" s="1"/>
  <c r="X186" i="1"/>
  <c r="X179" i="1"/>
  <c r="AA209" i="1"/>
  <c r="X199" i="1"/>
  <c r="AA197" i="1"/>
  <c r="AA190" i="1"/>
  <c r="AA186" i="1"/>
  <c r="W186" i="1" s="1"/>
  <c r="AA184" i="1"/>
  <c r="AA182" i="1"/>
  <c r="AA180" i="1"/>
  <c r="AA179" i="1"/>
  <c r="AA177" i="1"/>
  <c r="AA175" i="1"/>
  <c r="AA173" i="1"/>
  <c r="AA171" i="1"/>
  <c r="W171" i="1" s="1"/>
  <c r="AA169" i="1"/>
  <c r="AA168" i="1"/>
  <c r="AA163" i="1"/>
  <c r="AA237" i="1"/>
  <c r="W237" i="1" s="1"/>
  <c r="AA233" i="1"/>
  <c r="T231" i="1"/>
  <c r="AA214" i="1"/>
  <c r="AA211" i="1"/>
  <c r="AA156" i="1"/>
  <c r="AA153" i="1"/>
  <c r="AA148" i="1"/>
  <c r="AA145" i="1"/>
  <c r="AA141" i="1"/>
  <c r="AA138" i="1"/>
  <c r="AA133" i="1"/>
  <c r="T124" i="1"/>
  <c r="U124" i="1" s="1"/>
  <c r="S124" i="1" s="1"/>
  <c r="T118" i="1"/>
  <c r="T116" i="1"/>
  <c r="U116" i="1" s="1"/>
  <c r="S116" i="1" s="1"/>
  <c r="T110" i="1"/>
  <c r="T108" i="1"/>
  <c r="U108" i="1" s="1"/>
  <c r="S108" i="1" s="1"/>
  <c r="T102" i="1"/>
  <c r="X95" i="1"/>
  <c r="X94" i="1"/>
  <c r="X91" i="1"/>
  <c r="X90" i="1"/>
  <c r="X87" i="1"/>
  <c r="AA82" i="1"/>
  <c r="AA78" i="1"/>
  <c r="W78" i="1" s="1"/>
  <c r="X77" i="1"/>
  <c r="AA76" i="1"/>
  <c r="W76" i="1" s="1"/>
  <c r="X71" i="1"/>
  <c r="AA56" i="1"/>
  <c r="W56" i="1" s="1"/>
  <c r="AA185" i="1"/>
  <c r="AA183" i="1"/>
  <c r="W183" i="1" s="1"/>
  <c r="AA181" i="1"/>
  <c r="AA178" i="1"/>
  <c r="W178" i="1" s="1"/>
  <c r="AA176" i="1"/>
  <c r="AA174" i="1"/>
  <c r="W174" i="1" s="1"/>
  <c r="AA172" i="1"/>
  <c r="AA170" i="1"/>
  <c r="W170" i="1" s="1"/>
  <c r="AA164" i="1"/>
  <c r="X163" i="1"/>
  <c r="AA231" i="1"/>
  <c r="AA130" i="1"/>
  <c r="X93" i="1"/>
  <c r="X89" i="1"/>
  <c r="AA74" i="1"/>
  <c r="AA54" i="1"/>
  <c r="W54" i="1" s="1"/>
  <c r="T168" i="1"/>
  <c r="X165" i="1"/>
  <c r="T163" i="1"/>
  <c r="X161" i="1"/>
  <c r="AA236" i="1"/>
  <c r="AA229" i="1"/>
  <c r="W229" i="1" s="1"/>
  <c r="AA222" i="1"/>
  <c r="AA218" i="1"/>
  <c r="W218" i="1" s="1"/>
  <c r="AA216" i="1"/>
  <c r="AA210" i="1"/>
  <c r="AA159" i="1"/>
  <c r="AA152" i="1"/>
  <c r="W152" i="1" s="1"/>
  <c r="AA150" i="1"/>
  <c r="AA144" i="1"/>
  <c r="AA142" i="1"/>
  <c r="AA137" i="1"/>
  <c r="W137" i="1" s="1"/>
  <c r="AA126" i="1"/>
  <c r="X125" i="1"/>
  <c r="AA123" i="1"/>
  <c r="AA120" i="1"/>
  <c r="X117" i="1"/>
  <c r="AA115" i="1"/>
  <c r="W115" i="1" s="1"/>
  <c r="X109" i="1"/>
  <c r="AA107" i="1"/>
  <c r="AA100" i="1"/>
  <c r="AA98" i="1"/>
  <c r="AA95" i="1"/>
  <c r="AA91" i="1"/>
  <c r="AA55" i="1"/>
  <c r="X224" i="1"/>
  <c r="T224" i="1"/>
  <c r="U224" i="1" s="1"/>
  <c r="S224" i="1" s="1"/>
  <c r="AA166" i="1"/>
  <c r="AA165" i="1"/>
  <c r="AA162" i="1"/>
  <c r="W162" i="1" s="1"/>
  <c r="AA161" i="1"/>
  <c r="AA238" i="1"/>
  <c r="AA219" i="1"/>
  <c r="X226" i="1"/>
  <c r="X225" i="1"/>
  <c r="AA224" i="1"/>
  <c r="W224" i="1" s="1"/>
  <c r="X207" i="1"/>
  <c r="AA204" i="1"/>
  <c r="T204" i="1"/>
  <c r="U204" i="1" s="1"/>
  <c r="S204" i="1" s="1"/>
  <c r="X200" i="1"/>
  <c r="X197" i="1"/>
  <c r="AA196" i="1"/>
  <c r="T196" i="1"/>
  <c r="X192" i="1"/>
  <c r="X189" i="1"/>
  <c r="AA188" i="1"/>
  <c r="T188" i="1"/>
  <c r="AA239" i="1"/>
  <c r="X208" i="1"/>
  <c r="AA207" i="1"/>
  <c r="X201" i="1"/>
  <c r="AA200" i="1"/>
  <c r="X193" i="1"/>
  <c r="AA192" i="1"/>
  <c r="X122" i="1"/>
  <c r="X114" i="1"/>
  <c r="X106" i="1"/>
  <c r="T85" i="1"/>
  <c r="T77" i="1"/>
  <c r="AA23" i="1"/>
  <c r="X101" i="1"/>
  <c r="X99" i="1"/>
  <c r="X97" i="1"/>
  <c r="AA32" i="1"/>
  <c r="AA30" i="1"/>
  <c r="W30" i="1" s="1"/>
  <c r="AA28" i="1"/>
  <c r="AA26" i="1"/>
  <c r="AA235" i="1"/>
  <c r="AA234" i="1"/>
  <c r="W234" i="1" s="1"/>
  <c r="X232" i="1"/>
  <c r="AA220" i="1"/>
  <c r="AA212" i="1"/>
  <c r="AA154" i="1"/>
  <c r="AA146" i="1"/>
  <c r="AA139" i="1"/>
  <c r="X123" i="1"/>
  <c r="AA122" i="1"/>
  <c r="W122" i="1" s="1"/>
  <c r="X115" i="1"/>
  <c r="AA114" i="1"/>
  <c r="W114" i="1" s="1"/>
  <c r="X107" i="1"/>
  <c r="AA106" i="1"/>
  <c r="W106" i="1" s="1"/>
  <c r="X100" i="1"/>
  <c r="X98" i="1"/>
  <c r="AA66" i="1"/>
  <c r="AA65" i="1"/>
  <c r="W65" i="1" s="1"/>
  <c r="AA57" i="1"/>
  <c r="AA53" i="1"/>
  <c r="AA21" i="1"/>
  <c r="AA16" i="1"/>
  <c r="W16" i="1" s="1"/>
  <c r="U227" i="1"/>
  <c r="S227" i="1" s="1"/>
  <c r="AI239" i="1"/>
  <c r="U226" i="1"/>
  <c r="S226" i="1" s="1"/>
  <c r="AI238" i="1"/>
  <c r="AI237" i="1"/>
  <c r="AI236" i="1"/>
  <c r="AI235" i="1"/>
  <c r="U209" i="1"/>
  <c r="S209" i="1" s="1"/>
  <c r="AI234" i="1"/>
  <c r="AI233" i="1"/>
  <c r="U207" i="1"/>
  <c r="S207" i="1" s="1"/>
  <c r="AI232" i="1"/>
  <c r="AI231" i="1"/>
  <c r="U205" i="1"/>
  <c r="S205" i="1" s="1"/>
  <c r="AI230" i="1"/>
  <c r="AI229" i="1"/>
  <c r="AI228" i="1"/>
  <c r="AI227" i="1"/>
  <c r="U202" i="1"/>
  <c r="S202" i="1" s="1"/>
  <c r="AI226" i="1"/>
  <c r="AI225" i="1"/>
  <c r="U200" i="1"/>
  <c r="S200" i="1" s="1"/>
  <c r="AI224" i="1"/>
  <c r="AI223" i="1"/>
  <c r="AI222" i="1"/>
  <c r="AI221" i="1"/>
  <c r="U196" i="1"/>
  <c r="S196" i="1" s="1"/>
  <c r="AI220" i="1"/>
  <c r="AI219" i="1"/>
  <c r="U194" i="1"/>
  <c r="S194" i="1" s="1"/>
  <c r="AI218" i="1"/>
  <c r="AI217" i="1"/>
  <c r="U192" i="1"/>
  <c r="S192" i="1" s="1"/>
  <c r="AI216" i="1"/>
  <c r="AI215" i="1"/>
  <c r="U190" i="1"/>
  <c r="S190" i="1" s="1"/>
  <c r="AI214" i="1"/>
  <c r="AI213" i="1"/>
  <c r="U188" i="1"/>
  <c r="S188" i="1" s="1"/>
  <c r="AI212" i="1"/>
  <c r="AI211" i="1"/>
  <c r="U186" i="1"/>
  <c r="S186" i="1" s="1"/>
  <c r="AI210" i="1"/>
  <c r="AI209" i="1"/>
  <c r="U184" i="1"/>
  <c r="S184" i="1" s="1"/>
  <c r="AI208" i="1"/>
  <c r="AI207" i="1"/>
  <c r="U182" i="1"/>
  <c r="S182" i="1" s="1"/>
  <c r="AI206" i="1"/>
  <c r="AI205" i="1"/>
  <c r="U180" i="1"/>
  <c r="S180" i="1" s="1"/>
  <c r="AI204" i="1"/>
  <c r="U179" i="1"/>
  <c r="S179" i="1" s="1"/>
  <c r="AI203" i="1"/>
  <c r="AI202" i="1"/>
  <c r="U177" i="1"/>
  <c r="S177" i="1" s="1"/>
  <c r="AI201" i="1"/>
  <c r="AI200" i="1"/>
  <c r="U175" i="1"/>
  <c r="S175" i="1" s="1"/>
  <c r="AI199" i="1"/>
  <c r="AI198" i="1"/>
  <c r="AI197" i="1"/>
  <c r="AI196" i="1"/>
  <c r="U173" i="1"/>
  <c r="S173" i="1" s="1"/>
  <c r="AI195" i="1"/>
  <c r="AI194" i="1"/>
  <c r="U171" i="1"/>
  <c r="S171" i="1" s="1"/>
  <c r="AI193" i="1"/>
  <c r="AI192" i="1"/>
  <c r="U169" i="1"/>
  <c r="S169" i="1" s="1"/>
  <c r="AI191" i="1"/>
  <c r="AI190" i="1"/>
  <c r="U168" i="1"/>
  <c r="S168" i="1" s="1"/>
  <c r="AI189" i="1"/>
  <c r="AI188" i="1"/>
  <c r="U165" i="1"/>
  <c r="S165" i="1" s="1"/>
  <c r="AI187" i="1"/>
  <c r="AI186" i="1"/>
  <c r="U163" i="1"/>
  <c r="S163" i="1" s="1"/>
  <c r="AI185" i="1"/>
  <c r="AI184" i="1"/>
  <c r="U161" i="1"/>
  <c r="S161" i="1" s="1"/>
  <c r="AI183" i="1"/>
  <c r="AI182" i="1"/>
  <c r="U238" i="1"/>
  <c r="S238" i="1" s="1"/>
  <c r="AI181" i="1"/>
  <c r="AI180" i="1"/>
  <c r="U236" i="1"/>
  <c r="S236" i="1" s="1"/>
  <c r="AI179" i="1"/>
  <c r="AI178" i="1"/>
  <c r="U233" i="1"/>
  <c r="S233" i="1" s="1"/>
  <c r="AI177" i="1"/>
  <c r="AI176" i="1"/>
  <c r="U231" i="1"/>
  <c r="S231" i="1" s="1"/>
  <c r="AI175" i="1"/>
  <c r="AI174" i="1"/>
  <c r="U229" i="1"/>
  <c r="S229" i="1" s="1"/>
  <c r="AI173" i="1"/>
  <c r="AI172" i="1"/>
  <c r="AI171" i="1"/>
  <c r="AI170" i="1"/>
  <c r="AI169" i="1"/>
  <c r="AI168" i="1"/>
  <c r="AI166" i="1"/>
  <c r="AI165" i="1"/>
  <c r="AI164" i="1"/>
  <c r="AI163" i="1"/>
  <c r="AI162" i="1"/>
  <c r="AI161" i="1"/>
  <c r="AI160" i="1"/>
  <c r="AI159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U136" i="1"/>
  <c r="S136" i="1" s="1"/>
  <c r="AI136" i="1"/>
  <c r="U135" i="1"/>
  <c r="S135" i="1" s="1"/>
  <c r="AI135" i="1"/>
  <c r="U134" i="1"/>
  <c r="S134" i="1" s="1"/>
  <c r="AI134" i="1"/>
  <c r="U133" i="1"/>
  <c r="S133" i="1" s="1"/>
  <c r="AI133" i="1"/>
  <c r="U132" i="1"/>
  <c r="S132" i="1" s="1"/>
  <c r="AI132" i="1"/>
  <c r="U131" i="1"/>
  <c r="S131" i="1" s="1"/>
  <c r="AI131" i="1"/>
  <c r="U130" i="1"/>
  <c r="S130" i="1" s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AI125" i="1"/>
  <c r="AI53" i="1"/>
  <c r="AI57" i="1"/>
  <c r="AI56" i="1"/>
  <c r="AI51" i="1"/>
  <c r="AI18" i="1"/>
  <c r="U18" i="1"/>
  <c r="S18" i="1" s="1"/>
  <c r="AI55" i="1"/>
  <c r="AI54" i="1"/>
  <c r="AI49" i="1"/>
  <c r="AI47" i="1"/>
  <c r="AI45" i="1"/>
  <c r="AI43" i="1"/>
  <c r="AI41" i="1"/>
  <c r="AI38" i="1"/>
  <c r="AI36" i="1"/>
  <c r="AI34" i="1"/>
  <c r="AI32" i="1"/>
  <c r="AI30" i="1"/>
  <c r="AI28" i="1"/>
  <c r="AI26" i="1"/>
  <c r="AI24" i="1"/>
  <c r="AI22" i="1"/>
  <c r="AI20" i="1"/>
  <c r="AI17" i="1"/>
  <c r="U17" i="1"/>
  <c r="S17" i="1" s="1"/>
  <c r="AI124" i="1"/>
  <c r="AI123" i="1"/>
  <c r="U122" i="1"/>
  <c r="S122" i="1" s="1"/>
  <c r="AI122" i="1"/>
  <c r="AI121" i="1"/>
  <c r="U120" i="1"/>
  <c r="S120" i="1" s="1"/>
  <c r="AI120" i="1"/>
  <c r="AI119" i="1"/>
  <c r="U118" i="1"/>
  <c r="S118" i="1" s="1"/>
  <c r="AI118" i="1"/>
  <c r="AI117" i="1"/>
  <c r="AI116" i="1"/>
  <c r="AI115" i="1"/>
  <c r="U114" i="1"/>
  <c r="S114" i="1" s="1"/>
  <c r="AI114" i="1"/>
  <c r="AI113" i="1"/>
  <c r="U112" i="1"/>
  <c r="S112" i="1" s="1"/>
  <c r="AI112" i="1"/>
  <c r="AI111" i="1"/>
  <c r="U110" i="1"/>
  <c r="S110" i="1" s="1"/>
  <c r="AI110" i="1"/>
  <c r="AI109" i="1"/>
  <c r="AI108" i="1"/>
  <c r="AI107" i="1"/>
  <c r="U106" i="1"/>
  <c r="S106" i="1" s="1"/>
  <c r="AI106" i="1"/>
  <c r="AI105" i="1"/>
  <c r="U104" i="1"/>
  <c r="S104" i="1" s="1"/>
  <c r="AI104" i="1"/>
  <c r="AI103" i="1"/>
  <c r="U102" i="1"/>
  <c r="S102" i="1" s="1"/>
  <c r="AI102" i="1"/>
  <c r="U101" i="1"/>
  <c r="S101" i="1" s="1"/>
  <c r="AI101" i="1"/>
  <c r="AI100" i="1"/>
  <c r="U99" i="1"/>
  <c r="S99" i="1" s="1"/>
  <c r="AI99" i="1"/>
  <c r="AI98" i="1"/>
  <c r="W98" i="1"/>
  <c r="U97" i="1"/>
  <c r="S97" i="1" s="1"/>
  <c r="AI97" i="1"/>
  <c r="AI96" i="1"/>
  <c r="U95" i="1"/>
  <c r="S95" i="1" s="1"/>
  <c r="AI95" i="1"/>
  <c r="U94" i="1"/>
  <c r="AI94" i="1"/>
  <c r="U93" i="1"/>
  <c r="S93" i="1" s="1"/>
  <c r="AI93" i="1"/>
  <c r="AI92" i="1"/>
  <c r="U91" i="1"/>
  <c r="S91" i="1" s="1"/>
  <c r="AI91" i="1"/>
  <c r="AI90" i="1"/>
  <c r="W90" i="1"/>
  <c r="U89" i="1"/>
  <c r="S89" i="1" s="1"/>
  <c r="AI89" i="1"/>
  <c r="AI88" i="1"/>
  <c r="U87" i="1"/>
  <c r="S87" i="1" s="1"/>
  <c r="AI87" i="1"/>
  <c r="AI86" i="1"/>
  <c r="U85" i="1"/>
  <c r="S85" i="1" s="1"/>
  <c r="AI85" i="1"/>
  <c r="AI84" i="1"/>
  <c r="W84" i="1"/>
  <c r="U83" i="1"/>
  <c r="S83" i="1" s="1"/>
  <c r="AI83" i="1"/>
  <c r="AI82" i="1"/>
  <c r="U81" i="1"/>
  <c r="S81" i="1" s="1"/>
  <c r="AI81" i="1"/>
  <c r="AI80" i="1"/>
  <c r="U79" i="1"/>
  <c r="S79" i="1" s="1"/>
  <c r="AI79" i="1"/>
  <c r="AI78" i="1"/>
  <c r="U77" i="1"/>
  <c r="S77" i="1" s="1"/>
  <c r="AI77" i="1"/>
  <c r="AI76" i="1"/>
  <c r="U75" i="1"/>
  <c r="S75" i="1" s="1"/>
  <c r="AI75" i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2" i="1"/>
  <c r="S62" i="1" s="1"/>
  <c r="AI62" i="1"/>
  <c r="AI61" i="1"/>
  <c r="U60" i="1"/>
  <c r="S60" i="1" s="1"/>
  <c r="AI60" i="1"/>
  <c r="AI59" i="1"/>
  <c r="U58" i="1"/>
  <c r="S58" i="1" s="1"/>
  <c r="AI58" i="1"/>
  <c r="AI16" i="1"/>
  <c r="U16" i="1"/>
  <c r="S16" i="1" s="1"/>
  <c r="AI52" i="1"/>
  <c r="AI50" i="1"/>
  <c r="W50" i="1"/>
  <c r="AI48" i="1"/>
  <c r="W48" i="1"/>
  <c r="AI46" i="1"/>
  <c r="W46" i="1"/>
  <c r="AI44" i="1"/>
  <c r="W44" i="1"/>
  <c r="AI42" i="1"/>
  <c r="W42" i="1"/>
  <c r="AI39" i="1"/>
  <c r="W39" i="1"/>
  <c r="AI37" i="1"/>
  <c r="W37" i="1"/>
  <c r="AI35" i="1"/>
  <c r="W35" i="1"/>
  <c r="AI33" i="1"/>
  <c r="W33" i="1"/>
  <c r="AI31" i="1"/>
  <c r="W31" i="1"/>
  <c r="AI29" i="1"/>
  <c r="W29" i="1"/>
  <c r="AI27" i="1"/>
  <c r="W27" i="1"/>
  <c r="AI25" i="1"/>
  <c r="W25" i="1"/>
  <c r="AI23" i="1"/>
  <c r="AI21" i="1"/>
  <c r="AI19" i="1"/>
  <c r="U19" i="1"/>
  <c r="S19" i="1" s="1"/>
  <c r="AI15" i="1"/>
  <c r="U15" i="1"/>
  <c r="S15" i="1" s="1"/>
  <c r="W209" i="1"/>
  <c r="W202" i="1"/>
  <c r="W179" i="1"/>
  <c r="W173" i="1"/>
  <c r="W166" i="1"/>
  <c r="W161" i="1"/>
  <c r="W232" i="1"/>
  <c r="W214" i="1"/>
  <c r="W156" i="1"/>
  <c r="W141" i="1"/>
  <c r="W223" i="1"/>
  <c r="W207" i="1"/>
  <c r="W200" i="1"/>
  <c r="W195" i="1"/>
  <c r="W192" i="1"/>
  <c r="W187" i="1"/>
  <c r="W216" i="1"/>
  <c r="W159" i="1"/>
  <c r="W150" i="1"/>
  <c r="W142" i="1"/>
  <c r="W197" i="1"/>
  <c r="W189" i="1"/>
  <c r="W175" i="1"/>
  <c r="W165" i="1"/>
  <c r="W236" i="1"/>
  <c r="W230" i="1"/>
  <c r="W148" i="1"/>
  <c r="W206" i="1"/>
  <c r="W204" i="1"/>
  <c r="W199" i="1"/>
  <c r="W196" i="1"/>
  <c r="W191" i="1"/>
  <c r="W188" i="1"/>
  <c r="W235" i="1"/>
  <c r="W233" i="1"/>
  <c r="W231" i="1"/>
  <c r="W220" i="1"/>
  <c r="W212" i="1"/>
  <c r="W154" i="1"/>
  <c r="W146" i="1"/>
  <c r="W139" i="1"/>
  <c r="W227" i="1"/>
  <c r="W225" i="1"/>
  <c r="W182" i="1"/>
  <c r="W176" i="1"/>
  <c r="W169" i="1"/>
  <c r="W222" i="1"/>
  <c r="W89" i="1"/>
  <c r="W226" i="1"/>
  <c r="W208" i="1"/>
  <c r="W205" i="1"/>
  <c r="W198" i="1"/>
  <c r="W190" i="1"/>
  <c r="W185" i="1"/>
  <c r="W184" i="1"/>
  <c r="W181" i="1"/>
  <c r="W180" i="1"/>
  <c r="W177" i="1"/>
  <c r="W172" i="1"/>
  <c r="W168" i="1"/>
  <c r="W164" i="1"/>
  <c r="W163" i="1"/>
  <c r="W239" i="1"/>
  <c r="W238" i="1"/>
  <c r="W210" i="1"/>
  <c r="W144" i="1"/>
  <c r="T232" i="1"/>
  <c r="U232" i="1" s="1"/>
  <c r="S232" i="1" s="1"/>
  <c r="T221" i="1"/>
  <c r="U221" i="1" s="1"/>
  <c r="S221" i="1" s="1"/>
  <c r="X221" i="1"/>
  <c r="T217" i="1"/>
  <c r="U217" i="1" s="1"/>
  <c r="S217" i="1" s="1"/>
  <c r="X217" i="1"/>
  <c r="T213" i="1"/>
  <c r="U213" i="1" s="1"/>
  <c r="S213" i="1" s="1"/>
  <c r="X213" i="1"/>
  <c r="T160" i="1"/>
  <c r="U160" i="1" s="1"/>
  <c r="S160" i="1" s="1"/>
  <c r="X160" i="1"/>
  <c r="T155" i="1"/>
  <c r="U155" i="1" s="1"/>
  <c r="S155" i="1" s="1"/>
  <c r="X155" i="1"/>
  <c r="T151" i="1"/>
  <c r="U151" i="1" s="1"/>
  <c r="S151" i="1" s="1"/>
  <c r="X151" i="1"/>
  <c r="T147" i="1"/>
  <c r="U147" i="1" s="1"/>
  <c r="S147" i="1" s="1"/>
  <c r="X147" i="1"/>
  <c r="T143" i="1"/>
  <c r="U143" i="1" s="1"/>
  <c r="S143" i="1" s="1"/>
  <c r="T140" i="1"/>
  <c r="U140" i="1" s="1"/>
  <c r="S140" i="1" s="1"/>
  <c r="X140" i="1"/>
  <c r="W133" i="1"/>
  <c r="W129" i="1"/>
  <c r="W125" i="1"/>
  <c r="W117" i="1"/>
  <c r="W109" i="1"/>
  <c r="W101" i="1"/>
  <c r="W97" i="1"/>
  <c r="T64" i="1"/>
  <c r="U64" i="1" s="1"/>
  <c r="S64" i="1" s="1"/>
  <c r="T230" i="1"/>
  <c r="U230" i="1" s="1"/>
  <c r="S230" i="1" s="1"/>
  <c r="W130" i="1"/>
  <c r="W111" i="1"/>
  <c r="W103" i="1"/>
  <c r="T225" i="1"/>
  <c r="U225" i="1" s="1"/>
  <c r="S225" i="1" s="1"/>
  <c r="T223" i="1"/>
  <c r="U223" i="1" s="1"/>
  <c r="S223" i="1" s="1"/>
  <c r="T208" i="1"/>
  <c r="U208" i="1" s="1"/>
  <c r="S208" i="1" s="1"/>
  <c r="T206" i="1"/>
  <c r="U206" i="1" s="1"/>
  <c r="S206" i="1" s="1"/>
  <c r="T203" i="1"/>
  <c r="U203" i="1" s="1"/>
  <c r="S203" i="1" s="1"/>
  <c r="T201" i="1"/>
  <c r="U201" i="1" s="1"/>
  <c r="S201" i="1" s="1"/>
  <c r="T199" i="1"/>
  <c r="U199" i="1" s="1"/>
  <c r="S199" i="1" s="1"/>
  <c r="T197" i="1"/>
  <c r="U197" i="1" s="1"/>
  <c r="S197" i="1" s="1"/>
  <c r="T195" i="1"/>
  <c r="U195" i="1" s="1"/>
  <c r="S195" i="1" s="1"/>
  <c r="T193" i="1"/>
  <c r="U193" i="1" s="1"/>
  <c r="S193" i="1" s="1"/>
  <c r="T191" i="1"/>
  <c r="U191" i="1" s="1"/>
  <c r="S191" i="1" s="1"/>
  <c r="T189" i="1"/>
  <c r="U189" i="1" s="1"/>
  <c r="S189" i="1" s="1"/>
  <c r="T187" i="1"/>
  <c r="U187" i="1" s="1"/>
  <c r="S187" i="1" s="1"/>
  <c r="T185" i="1"/>
  <c r="U185" i="1" s="1"/>
  <c r="S185" i="1" s="1"/>
  <c r="T183" i="1"/>
  <c r="U183" i="1" s="1"/>
  <c r="S183" i="1" s="1"/>
  <c r="T181" i="1"/>
  <c r="U181" i="1" s="1"/>
  <c r="S181" i="1" s="1"/>
  <c r="T178" i="1"/>
  <c r="U178" i="1" s="1"/>
  <c r="S178" i="1" s="1"/>
  <c r="T176" i="1"/>
  <c r="U176" i="1" s="1"/>
  <c r="S176" i="1" s="1"/>
  <c r="T174" i="1"/>
  <c r="U174" i="1" s="1"/>
  <c r="S174" i="1" s="1"/>
  <c r="T172" i="1"/>
  <c r="U172" i="1" s="1"/>
  <c r="S172" i="1" s="1"/>
  <c r="T170" i="1"/>
  <c r="U170" i="1" s="1"/>
  <c r="S170" i="1" s="1"/>
  <c r="T166" i="1"/>
  <c r="U166" i="1" s="1"/>
  <c r="S166" i="1" s="1"/>
  <c r="T164" i="1"/>
  <c r="U164" i="1" s="1"/>
  <c r="S164" i="1" s="1"/>
  <c r="T162" i="1"/>
  <c r="U162" i="1" s="1"/>
  <c r="S162" i="1" s="1"/>
  <c r="T239" i="1"/>
  <c r="U239" i="1" s="1"/>
  <c r="S239" i="1" s="1"/>
  <c r="T237" i="1"/>
  <c r="U237" i="1" s="1"/>
  <c r="S237" i="1" s="1"/>
  <c r="T235" i="1"/>
  <c r="U235" i="1" s="1"/>
  <c r="S235" i="1" s="1"/>
  <c r="T228" i="1"/>
  <c r="U228" i="1" s="1"/>
  <c r="S228" i="1" s="1"/>
  <c r="X228" i="1"/>
  <c r="T219" i="1"/>
  <c r="U219" i="1" s="1"/>
  <c r="S219" i="1" s="1"/>
  <c r="X219" i="1"/>
  <c r="T215" i="1"/>
  <c r="U215" i="1" s="1"/>
  <c r="S215" i="1" s="1"/>
  <c r="X215" i="1"/>
  <c r="T211" i="1"/>
  <c r="U211" i="1" s="1"/>
  <c r="S211" i="1" s="1"/>
  <c r="X211" i="1"/>
  <c r="T157" i="1"/>
  <c r="U157" i="1" s="1"/>
  <c r="S157" i="1" s="1"/>
  <c r="X157" i="1"/>
  <c r="T153" i="1"/>
  <c r="U153" i="1" s="1"/>
  <c r="S153" i="1" s="1"/>
  <c r="X153" i="1"/>
  <c r="T149" i="1"/>
  <c r="U149" i="1" s="1"/>
  <c r="S149" i="1" s="1"/>
  <c r="X149" i="1"/>
  <c r="T145" i="1"/>
  <c r="U145" i="1" s="1"/>
  <c r="S145" i="1" s="1"/>
  <c r="X145" i="1"/>
  <c r="T138" i="1"/>
  <c r="U138" i="1" s="1"/>
  <c r="S138" i="1" s="1"/>
  <c r="X138" i="1"/>
  <c r="W135" i="1"/>
  <c r="W131" i="1"/>
  <c r="W127" i="1"/>
  <c r="W121" i="1"/>
  <c r="W113" i="1"/>
  <c r="W105" i="1"/>
  <c r="X80" i="1"/>
  <c r="T80" i="1"/>
  <c r="U80" i="1" s="1"/>
  <c r="S80" i="1" s="1"/>
  <c r="X81" i="1"/>
  <c r="W228" i="1"/>
  <c r="T222" i="1"/>
  <c r="U222" i="1" s="1"/>
  <c r="S222" i="1" s="1"/>
  <c r="X222" i="1"/>
  <c r="W219" i="1"/>
  <c r="T218" i="1"/>
  <c r="U218" i="1" s="1"/>
  <c r="S218" i="1" s="1"/>
  <c r="X218" i="1"/>
  <c r="W215" i="1"/>
  <c r="T214" i="1"/>
  <c r="U214" i="1" s="1"/>
  <c r="S214" i="1" s="1"/>
  <c r="X214" i="1"/>
  <c r="W211" i="1"/>
  <c r="T210" i="1"/>
  <c r="U210" i="1" s="1"/>
  <c r="S210" i="1" s="1"/>
  <c r="X210" i="1"/>
  <c r="W157" i="1"/>
  <c r="T156" i="1"/>
  <c r="U156" i="1" s="1"/>
  <c r="S156" i="1" s="1"/>
  <c r="X156" i="1"/>
  <c r="W153" i="1"/>
  <c r="T152" i="1"/>
  <c r="U152" i="1" s="1"/>
  <c r="S152" i="1" s="1"/>
  <c r="X152" i="1"/>
  <c r="T148" i="1"/>
  <c r="U148" i="1" s="1"/>
  <c r="S148" i="1" s="1"/>
  <c r="X148" i="1"/>
  <c r="W145" i="1"/>
  <c r="T144" i="1"/>
  <c r="U144" i="1" s="1"/>
  <c r="S144" i="1" s="1"/>
  <c r="X144" i="1"/>
  <c r="T141" i="1"/>
  <c r="U141" i="1" s="1"/>
  <c r="S141" i="1" s="1"/>
  <c r="X141" i="1"/>
  <c r="W138" i="1"/>
  <c r="T137" i="1"/>
  <c r="U137" i="1" s="1"/>
  <c r="S137" i="1" s="1"/>
  <c r="X137" i="1"/>
  <c r="W126" i="1"/>
  <c r="T234" i="1"/>
  <c r="U234" i="1" s="1"/>
  <c r="S234" i="1" s="1"/>
  <c r="W221" i="1"/>
  <c r="T220" i="1"/>
  <c r="U220" i="1" s="1"/>
  <c r="S220" i="1" s="1"/>
  <c r="X220" i="1"/>
  <c r="W217" i="1"/>
  <c r="T216" i="1"/>
  <c r="U216" i="1" s="1"/>
  <c r="S216" i="1" s="1"/>
  <c r="X216" i="1"/>
  <c r="W213" i="1"/>
  <c r="T212" i="1"/>
  <c r="U212" i="1" s="1"/>
  <c r="S212" i="1" s="1"/>
  <c r="X212" i="1"/>
  <c r="W160" i="1"/>
  <c r="T159" i="1"/>
  <c r="U159" i="1" s="1"/>
  <c r="S159" i="1" s="1"/>
  <c r="W155" i="1"/>
  <c r="T154" i="1"/>
  <c r="U154" i="1" s="1"/>
  <c r="S154" i="1" s="1"/>
  <c r="X154" i="1"/>
  <c r="W151" i="1"/>
  <c r="T150" i="1"/>
  <c r="U150" i="1" s="1"/>
  <c r="S150" i="1" s="1"/>
  <c r="X150" i="1"/>
  <c r="W147" i="1"/>
  <c r="T146" i="1"/>
  <c r="U146" i="1" s="1"/>
  <c r="S146" i="1" s="1"/>
  <c r="X146" i="1"/>
  <c r="T142" i="1"/>
  <c r="U142" i="1" s="1"/>
  <c r="S142" i="1" s="1"/>
  <c r="W140" i="1"/>
  <c r="T139" i="1"/>
  <c r="U139" i="1" s="1"/>
  <c r="S139" i="1" s="1"/>
  <c r="X139" i="1"/>
  <c r="W136" i="1"/>
  <c r="W132" i="1"/>
  <c r="W123" i="1"/>
  <c r="W107" i="1"/>
  <c r="W100" i="1"/>
  <c r="W93" i="1"/>
  <c r="W91" i="1"/>
  <c r="W85" i="1"/>
  <c r="X72" i="1"/>
  <c r="T72" i="1"/>
  <c r="U72" i="1" s="1"/>
  <c r="S72" i="1" s="1"/>
  <c r="X73" i="1"/>
  <c r="X61" i="1"/>
  <c r="T61" i="1"/>
  <c r="U61" i="1" s="1"/>
  <c r="S61" i="1" s="1"/>
  <c r="X62" i="1"/>
  <c r="T36" i="1"/>
  <c r="U36" i="1" s="1"/>
  <c r="S36" i="1" s="1"/>
  <c r="X36" i="1"/>
  <c r="T20" i="1"/>
  <c r="U20" i="1" s="1"/>
  <c r="S20" i="1" s="1"/>
  <c r="X20" i="1"/>
  <c r="W96" i="1"/>
  <c r="W95" i="1"/>
  <c r="W74" i="1"/>
  <c r="X66" i="1"/>
  <c r="T66" i="1"/>
  <c r="U66" i="1" s="1"/>
  <c r="S66" i="1" s="1"/>
  <c r="X67" i="1"/>
  <c r="T45" i="1"/>
  <c r="U45" i="1" s="1"/>
  <c r="S45" i="1" s="1"/>
  <c r="X45" i="1"/>
  <c r="T28" i="1"/>
  <c r="U28" i="1" s="1"/>
  <c r="S28" i="1" s="1"/>
  <c r="X28" i="1"/>
  <c r="W124" i="1"/>
  <c r="W120" i="1"/>
  <c r="W116" i="1"/>
  <c r="W112" i="1"/>
  <c r="W108" i="1"/>
  <c r="W104" i="1"/>
  <c r="W94" i="1"/>
  <c r="W82" i="1"/>
  <c r="W77" i="1"/>
  <c r="X68" i="1"/>
  <c r="T68" i="1"/>
  <c r="U68" i="1" s="1"/>
  <c r="S68" i="1" s="1"/>
  <c r="X69" i="1"/>
  <c r="X59" i="1"/>
  <c r="T59" i="1"/>
  <c r="U59" i="1" s="1"/>
  <c r="S59" i="1" s="1"/>
  <c r="X60" i="1"/>
  <c r="W57" i="1"/>
  <c r="W52" i="1"/>
  <c r="T100" i="1"/>
  <c r="U100" i="1" s="1"/>
  <c r="S100" i="1" s="1"/>
  <c r="T92" i="1"/>
  <c r="U92" i="1" s="1"/>
  <c r="S92" i="1" s="1"/>
  <c r="W87" i="1"/>
  <c r="X82" i="1"/>
  <c r="T82" i="1"/>
  <c r="U82" i="1" s="1"/>
  <c r="S82" i="1" s="1"/>
  <c r="W79" i="1"/>
  <c r="X74" i="1"/>
  <c r="T74" i="1"/>
  <c r="U74" i="1" s="1"/>
  <c r="S74" i="1" s="1"/>
  <c r="T57" i="1"/>
  <c r="U57" i="1" s="1"/>
  <c r="S57" i="1" s="1"/>
  <c r="X57" i="1"/>
  <c r="W53" i="1"/>
  <c r="T51" i="1"/>
  <c r="U51" i="1" s="1"/>
  <c r="S51" i="1" s="1"/>
  <c r="X51" i="1"/>
  <c r="T22" i="1"/>
  <c r="U22" i="1" s="1"/>
  <c r="S22" i="1" s="1"/>
  <c r="X22" i="1"/>
  <c r="T125" i="1"/>
  <c r="U125" i="1" s="1"/>
  <c r="S125" i="1" s="1"/>
  <c r="T123" i="1"/>
  <c r="U123" i="1" s="1"/>
  <c r="S123" i="1" s="1"/>
  <c r="T121" i="1"/>
  <c r="U121" i="1" s="1"/>
  <c r="T119" i="1"/>
  <c r="U119" i="1" s="1"/>
  <c r="S119" i="1" s="1"/>
  <c r="T117" i="1"/>
  <c r="U117" i="1" s="1"/>
  <c r="S117" i="1" s="1"/>
  <c r="T115" i="1"/>
  <c r="U115" i="1" s="1"/>
  <c r="S115" i="1" s="1"/>
  <c r="T113" i="1"/>
  <c r="U113" i="1" s="1"/>
  <c r="S113" i="1" s="1"/>
  <c r="T111" i="1"/>
  <c r="U111" i="1" s="1"/>
  <c r="S111" i="1" s="1"/>
  <c r="T109" i="1"/>
  <c r="U109" i="1" s="1"/>
  <c r="S109" i="1" s="1"/>
  <c r="T107" i="1"/>
  <c r="U107" i="1" s="1"/>
  <c r="S107" i="1" s="1"/>
  <c r="T105" i="1"/>
  <c r="U105" i="1" s="1"/>
  <c r="S105" i="1" s="1"/>
  <c r="T103" i="1"/>
  <c r="U103" i="1" s="1"/>
  <c r="S103" i="1" s="1"/>
  <c r="T98" i="1"/>
  <c r="U98" i="1" s="1"/>
  <c r="S98" i="1" s="1"/>
  <c r="T90" i="1"/>
  <c r="U90" i="1" s="1"/>
  <c r="S90" i="1" s="1"/>
  <c r="X84" i="1"/>
  <c r="T84" i="1"/>
  <c r="U84" i="1" s="1"/>
  <c r="S84" i="1" s="1"/>
  <c r="X83" i="1"/>
  <c r="W81" i="1"/>
  <c r="X76" i="1"/>
  <c r="T76" i="1"/>
  <c r="U76" i="1" s="1"/>
  <c r="S76" i="1" s="1"/>
  <c r="X75" i="1"/>
  <c r="W73" i="1"/>
  <c r="W70" i="1"/>
  <c r="W69" i="1"/>
  <c r="W55" i="1"/>
  <c r="T49" i="1"/>
  <c r="U49" i="1" s="1"/>
  <c r="S49" i="1" s="1"/>
  <c r="X49" i="1"/>
  <c r="T41" i="1"/>
  <c r="U41" i="1" s="1"/>
  <c r="S41" i="1" s="1"/>
  <c r="T32" i="1"/>
  <c r="U32" i="1" s="1"/>
  <c r="S32" i="1" s="1"/>
  <c r="X32" i="1"/>
  <c r="T24" i="1"/>
  <c r="U24" i="1" s="1"/>
  <c r="S24" i="1" s="1"/>
  <c r="X24" i="1"/>
  <c r="X136" i="1"/>
  <c r="X135" i="1"/>
  <c r="X134" i="1"/>
  <c r="X133" i="1"/>
  <c r="X132" i="1"/>
  <c r="X131" i="1"/>
  <c r="X130" i="1"/>
  <c r="X129" i="1"/>
  <c r="X128" i="1"/>
  <c r="X127" i="1"/>
  <c r="X126" i="1"/>
  <c r="T96" i="1"/>
  <c r="U96" i="1" s="1"/>
  <c r="S96" i="1" s="1"/>
  <c r="T88" i="1"/>
  <c r="U88" i="1" s="1"/>
  <c r="S88" i="1" s="1"/>
  <c r="X86" i="1"/>
  <c r="T86" i="1"/>
  <c r="U86" i="1" s="1"/>
  <c r="S86" i="1" s="1"/>
  <c r="W83" i="1"/>
  <c r="X78" i="1"/>
  <c r="T78" i="1"/>
  <c r="U78" i="1" s="1"/>
  <c r="S78" i="1" s="1"/>
  <c r="X70" i="1"/>
  <c r="T70" i="1"/>
  <c r="U70" i="1" s="1"/>
  <c r="S70" i="1" s="1"/>
  <c r="W68" i="1"/>
  <c r="W67" i="1"/>
  <c r="W66" i="1"/>
  <c r="W64" i="1"/>
  <c r="W62" i="1"/>
  <c r="W61" i="1"/>
  <c r="W60" i="1"/>
  <c r="W59" i="1"/>
  <c r="AA51" i="1"/>
  <c r="W51" i="1" s="1"/>
  <c r="W49" i="1"/>
  <c r="W45" i="1"/>
  <c r="W36" i="1"/>
  <c r="W32" i="1"/>
  <c r="W28" i="1"/>
  <c r="T55" i="1"/>
  <c r="U55" i="1" s="1"/>
  <c r="S55" i="1" s="1"/>
  <c r="X55" i="1"/>
  <c r="W43" i="1"/>
  <c r="W38" i="1"/>
  <c r="W34" i="1"/>
  <c r="W26" i="1"/>
  <c r="T53" i="1"/>
  <c r="U53" i="1" s="1"/>
  <c r="S53" i="1" s="1"/>
  <c r="X53" i="1"/>
  <c r="T47" i="1"/>
  <c r="U47" i="1" s="1"/>
  <c r="S47" i="1" s="1"/>
  <c r="X47" i="1"/>
  <c r="T43" i="1"/>
  <c r="U43" i="1" s="1"/>
  <c r="S43" i="1" s="1"/>
  <c r="X43" i="1"/>
  <c r="T38" i="1"/>
  <c r="U38" i="1" s="1"/>
  <c r="S38" i="1" s="1"/>
  <c r="X38" i="1"/>
  <c r="T34" i="1"/>
  <c r="U34" i="1" s="1"/>
  <c r="S34" i="1" s="1"/>
  <c r="X34" i="1"/>
  <c r="T30" i="1"/>
  <c r="U30" i="1" s="1"/>
  <c r="S30" i="1" s="1"/>
  <c r="X30" i="1"/>
  <c r="T26" i="1"/>
  <c r="U26" i="1" s="1"/>
  <c r="S26" i="1" s="1"/>
  <c r="X26" i="1"/>
  <c r="W23" i="1"/>
  <c r="W21" i="1"/>
  <c r="W19" i="1"/>
  <c r="AA15" i="1"/>
  <c r="W15" i="1" s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AA18" i="1"/>
  <c r="W18" i="1" s="1"/>
  <c r="AA24" i="1"/>
  <c r="W24" i="1" s="1"/>
  <c r="AA22" i="1"/>
  <c r="W22" i="1" s="1"/>
  <c r="AA20" i="1"/>
  <c r="W20" i="1" s="1"/>
  <c r="AA17" i="1"/>
  <c r="W17" i="1" s="1"/>
  <c r="X19" i="1"/>
  <c r="X18" i="1"/>
  <c r="X17" i="1"/>
  <c r="AC9" i="3"/>
  <c r="AC11" i="3"/>
  <c r="T11" i="3"/>
  <c r="AE20" i="3"/>
  <c r="AD17" i="3"/>
  <c r="AE16" i="3"/>
  <c r="T8" i="3"/>
  <c r="AC10" i="3"/>
  <c r="AD12" i="3"/>
  <c r="AE11" i="3"/>
  <c r="AD9" i="3"/>
  <c r="AD20" i="3"/>
  <c r="AD16" i="3"/>
  <c r="AD8" i="3"/>
  <c r="AD24" i="3"/>
  <c r="AD19" i="3"/>
  <c r="T19" i="3"/>
  <c r="AC14" i="3"/>
  <c r="AC17" i="3"/>
  <c r="AC16" i="3"/>
  <c r="AE24" i="3"/>
  <c r="AD23" i="3"/>
  <c r="T13" i="3"/>
  <c r="AC18" i="3"/>
  <c r="AE12" i="3"/>
  <c r="Y16" i="3"/>
  <c r="Y17" i="3"/>
  <c r="Y21" i="3"/>
  <c r="Y19" i="3"/>
  <c r="Y8" i="3"/>
  <c r="Y24" i="3"/>
  <c r="Y20" i="3"/>
  <c r="Y12" i="3"/>
  <c r="Y7" i="3"/>
  <c r="Y23" i="3"/>
  <c r="Y9" i="3"/>
  <c r="Y11" i="3"/>
  <c r="Y13" i="3"/>
  <c r="Y18" i="3"/>
  <c r="Y14" i="3"/>
  <c r="Y10" i="3"/>
  <c r="Y22" i="3"/>
  <c r="AE22" i="3"/>
  <c r="T20" i="3"/>
  <c r="AE18" i="3"/>
  <c r="T12" i="3"/>
  <c r="AE14" i="3"/>
  <c r="T7" i="3"/>
  <c r="AE10" i="3"/>
  <c r="T23" i="3"/>
  <c r="AD22" i="3"/>
  <c r="AE21" i="3"/>
  <c r="T18" i="3"/>
  <c r="AD18" i="3"/>
  <c r="AE17" i="3"/>
  <c r="T14" i="3"/>
  <c r="AD14" i="3"/>
  <c r="AE13" i="3"/>
  <c r="T10" i="3"/>
  <c r="AD10" i="3"/>
  <c r="AE9" i="3"/>
  <c r="T22" i="3"/>
  <c r="AE8" i="3"/>
  <c r="S15" i="3"/>
  <c r="R15" i="3"/>
  <c r="M15" i="3"/>
  <c r="U15" i="3"/>
  <c r="V15" i="3"/>
  <c r="X15" i="3"/>
  <c r="T15" i="3" l="1"/>
  <c r="AD15" i="3"/>
  <c r="AE15" i="3"/>
  <c r="W15" i="3"/>
  <c r="AC15" i="3" l="1"/>
  <c r="Y15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N17" i="3" s="1"/>
  <c r="G64" i="4"/>
  <c r="G65" i="4"/>
  <c r="G66" i="4"/>
  <c r="G67" i="4"/>
  <c r="N10" i="3" s="1"/>
  <c r="G68" i="4"/>
  <c r="G69" i="4"/>
  <c r="G70" i="4"/>
  <c r="N7" i="3" s="1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14" i="3" s="1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12" i="3" s="1"/>
  <c r="G128" i="4"/>
  <c r="G129" i="4"/>
  <c r="G130" i="4"/>
  <c r="N15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N19" i="3" s="1"/>
  <c r="G164" i="4"/>
  <c r="G165" i="4"/>
  <c r="G166" i="4"/>
  <c r="G167" i="4"/>
  <c r="G168" i="4"/>
  <c r="G169" i="4"/>
  <c r="G170" i="4"/>
  <c r="G171" i="4"/>
  <c r="G172" i="4"/>
  <c r="G173" i="4"/>
  <c r="N9" i="3" s="1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N18" i="3" s="1"/>
  <c r="G190" i="4"/>
  <c r="N20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13" i="3" s="1"/>
  <c r="G207" i="4"/>
  <c r="G208" i="4"/>
  <c r="G209" i="4"/>
  <c r="G210" i="4"/>
  <c r="G211" i="4"/>
  <c r="G212" i="4"/>
  <c r="G213" i="4"/>
  <c r="G214" i="4"/>
  <c r="G215" i="4"/>
  <c r="N16" i="3" s="1"/>
  <c r="G216" i="4"/>
  <c r="G217" i="4"/>
  <c r="G218" i="4"/>
  <c r="G219" i="4"/>
  <c r="G220" i="4"/>
  <c r="G221" i="4"/>
  <c r="G222" i="4"/>
  <c r="G223" i="4"/>
  <c r="G2" i="4"/>
  <c r="N8" i="3" l="1"/>
  <c r="N11" i="3"/>
  <c r="N21" i="3"/>
  <c r="N22" i="3"/>
  <c r="N23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<sst xmlns="http://schemas.openxmlformats.org/spreadsheetml/2006/main" count="2772" uniqueCount="1125">
  <si>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</si>
  <si>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</si>
  <si>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</si>
  <si>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</si>
  <si>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</si>
  <si>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</si>
  <si>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</si>
  <si>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</si>
  <si>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</si>
  <si>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</si>
  <si>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</si>
  <si>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</si>
  <si>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</si>
  <si>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</si>
  <si>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</si>
  <si>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</si>
  <si>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</si>
  <si>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</si>
  <si>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</si>
  <si>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</si>
  <si>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</si>
  <si>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</si>
  <si>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</si>
  <si>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</si>
  <si>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</si>
  <si>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</si>
  <si>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</si>
  <si>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</si>
  <si>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</si>
  <si>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</si>
  <si>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</si>
  <si>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</si>
  <si>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</si>
  <si>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</si>
  <si>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</si>
  <si>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</si>
  <si>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</si>
  <si>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</si>
  <si>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</si>
  <si>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</si>
  <si>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</si>
  <si>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</si>
  <si>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</si>
  <si>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</si>
  <si>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</si>
  <si>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</si>
  <si>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</si>
  <si>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</si>
  <si>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</si>
  <si>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</si>
  <si>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</si>
  <si>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</si>
  <si>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</si>
  <si>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</si>
  <si>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</si>
  <si>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</si>
  <si>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</si>
  <si>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</si>
  <si>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</si>
  <si>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</si>
  <si>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</si>
  <si>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</si>
  <si>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</si>
  <si>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</si>
  <si>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</si>
  <si>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</si>
  <si>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</si>
  <si>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</si>
  <si>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</si>
  <si>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</si>
  <si>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</si>
  <si>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</si>
  <si>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</si>
  <si>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</si>
  <si>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</si>
  <si>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</si>
  <si>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</si>
  <si>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</si>
  <si>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</si>
  <si>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</si>
  <si>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</si>
  <si>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</si>
  <si>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</si>
  <si>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</si>
  <si>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</si>
  <si>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</si>
  <si>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</si>
  <si>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</si>
  <si>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</si>
  <si>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</si>
  <si>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</si>
  <si>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</si>
  <si>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</si>
  <si>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</si>
  <si>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</si>
  <si>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</si>
  <si>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</si>
  <si>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</si>
  <si>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</si>
  <si>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</si>
  <si>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</si>
  <si>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</si>
  <si>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</si>
  <si>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</si>
  <si>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</si>
  <si>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</si>
  <si>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</si>
  <si>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</si>
  <si>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</si>
  <si>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</si>
  <si>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</si>
  <si>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</si>
  <si>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</si>
  <si>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</si>
  <si>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</si>
  <si>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</si>
  <si>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</si>
  <si>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</si>
  <si>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</si>
  <si>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</si>
  <si>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</si>
  <si>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</si>
  <si>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</si>
  <si>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</si>
  <si>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</si>
  <si>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</si>
  <si>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</si>
  <si>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</si>
  <si>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</si>
  <si>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</si>
  <si>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</si>
  <si>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</si>
  <si>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</si>
  <si>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</si>
  <si>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</si>
  <si>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</si>
  <si>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</si>
  <si>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</si>
  <si>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</si>
  <si>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</si>
  <si>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</si>
  <si>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</si>
  <si>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</si>
  <si>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</si>
  <si>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</si>
  <si>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</si>
  <si>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</si>
  <si>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</si>
  <si>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</si>
  <si>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</si>
  <si>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</si>
  <si>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</si>
  <si>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</si>
  <si>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</si>
  <si>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</si>
  <si>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</si>
  <si>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</si>
  <si>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</si>
  <si>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</si>
  <si>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</si>
  <si>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</si>
  <si>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</si>
  <si>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</si>
  <si>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</si>
  <si>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</si>
  <si>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</si>
  <si>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</si>
  <si>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</si>
  <si>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</si>
  <si>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</si>
  <si>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</si>
  <si>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</si>
  <si>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</si>
  <si>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</si>
  <si>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</si>
  <si>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</si>
  <si>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</si>
  <si>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</si>
  <si>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</si>
  <si>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</si>
  <si>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</si>
  <si>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</si>
  <si>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</si>
  <si>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</si>
  <si>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</si>
  <si>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</si>
  <si>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</si>
  <si>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</si>
  <si>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</si>
  <si>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</si>
  <si>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</si>
  <si>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</si>
  <si>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</si>
  <si>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</si>
  <si>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</si>
  <si>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</si>
  <si>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</si>
  <si>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</si>
  <si>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</si>
  <si>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</si>
  <si>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</si>
  <si>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</si>
  <si>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</si>
  <si>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</si>
  <si>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</si>
  <si>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</si>
  <si>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</si>
  <si>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</si>
  <si>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</si>
  <si>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</si>
  <si>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</si>
  <si>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</si>
  <si>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</si>
  <si>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</si>
  <si>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</si>
  <si>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</si>
  <si>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</si>
  <si>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</si>
  <si>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</si>
  <si>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</si>
  <si>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</si>
  <si>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</si>
  <si>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</si>
  <si>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</si>
  <si>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</si>
  <si>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</si>
  <si>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</si>
  <si>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</si>
  <si>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</si>
  <si>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</si>
  <si>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</si>
  <si>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</si>
  <si>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</si>
  <si>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</si>
  <si>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</si>
  <si>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</si>
  <si>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</si>
  <si>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</si>
  <si>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</si>
  <si>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</si>
  <si>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</si>
  <si>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</si>
  <si>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</si>
  <si>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</si>
  <si>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</si>
  <si>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</si>
  <si>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</si>
  <si>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</si>
  <si>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</si>
  <si>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</si>
  <si>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</si>
  <si>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</si>
  <si>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</si>
  <si>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</si>
  <si>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</si>
  <si>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</si>
  <si>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</si>
  <si>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</si>
  <si>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</si>
  <si>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</si>
  <si>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</si>
  <si>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</si>
  <si>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</si>
  <si>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</si>
  <si>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</si>
  <si>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</si>
  <si>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</si>
  <si>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</si>
  <si>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</si>
  <si>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</si>
  <si>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</si>
  <si>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</si>
  <si>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</si>
  <si>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</si>
  <si>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</si>
  <si>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</si>
  <si>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</si>
  <si>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</si>
  <si>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</si>
  <si>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</si>
  <si>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</si>
  <si>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</si>
  <si>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</si>
  <si>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</si>
  <si>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</si>
  <si>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</si>
  <si>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</si>
  <si>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</si>
  <si>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</si>
  <si>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</si>
  <si>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</si>
  <si>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</si>
  <si>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</si>
  <si>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</si>
  <si>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</si>
  <si>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</si>
  <si>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</si>
  <si>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</si>
  <si>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</si>
  <si>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</si>
  <si>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</si>
  <si>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</si>
  <si>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</si>
  <si>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</si>
  <si>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</si>
  <si>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</si>
  <si>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</si>
  <si>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</si>
  <si>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</si>
  <si>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</si>
  <si>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</si>
  <si>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</si>
  <si>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</si>
  <si>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</si>
  <si>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</si>
  <si>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</si>
  <si>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</si>
  <si>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</si>
  <si>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</si>
  <si>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</si>
  <si>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</si>
  <si>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</si>
  <si>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</si>
  <si>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</si>
  <si>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</si>
  <si>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</si>
  <si>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</si>
  <si>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</si>
  <si>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</si>
  <si>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</si>
  <si>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</si>
  <si>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</si>
  <si>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</si>
  <si>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</si>
  <si>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</si>
  <si>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</si>
  <si>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204:143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</si>
  <si>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</si>
  <si>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</si>
  <si>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</si>
  <si>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</si>
  <si>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</si>
  <si>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</si>
  <si>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</si>
  <si>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</si>
  <si>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</si>
  <si>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</si>
  <si>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</si>
  <si>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</si>
  <si>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</si>
  <si>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</si>
  <si>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</si>
  <si>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</si>
  <si>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LOZA</t>
  </si>
  <si>
    <t>FIDEL</t>
  </si>
  <si>
    <t>JAMES</t>
  </si>
  <si>
    <t>204:158</t>
  </si>
  <si>
    <t>204:471</t>
  </si>
  <si>
    <t>204:154</t>
  </si>
  <si>
    <t>204:447</t>
  </si>
  <si>
    <t>YORK</t>
  </si>
  <si>
    <t>EDGAR</t>
  </si>
  <si>
    <t>Y</t>
  </si>
  <si>
    <t>Sat - Sun = 36 Trips</t>
  </si>
  <si>
    <t>"Summary View"</t>
  </si>
  <si>
    <t>ANDERS</t>
  </si>
  <si>
    <t>STEVEN</t>
  </si>
  <si>
    <t>204:473</t>
  </si>
  <si>
    <t>rtdc.l.rtdc.4055:itc</t>
  </si>
  <si>
    <t>MICHAEL</t>
  </si>
  <si>
    <t>clear-night</t>
  </si>
  <si>
    <t>Clear</t>
  </si>
  <si>
    <t>rtdc.l.rtdc.4066:itc</t>
  </si>
  <si>
    <t>rtdc.l.rtdc.4065:itc</t>
  </si>
  <si>
    <t>MCREYNOLDS</t>
  </si>
  <si>
    <t>KYLE</t>
  </si>
  <si>
    <t>%REDMINEAPIKEY%</t>
  </si>
  <si>
    <t>204:464</t>
  </si>
  <si>
    <t>clear-day</t>
  </si>
  <si>
    <t>204:442</t>
  </si>
  <si>
    <t>300:23346</t>
  </si>
  <si>
    <t>SIGNAL</t>
  </si>
  <si>
    <t>Signal based authority (5)</t>
  </si>
  <si>
    <t>204:440</t>
  </si>
  <si>
    <t>204:141</t>
  </si>
  <si>
    <t>Wi-MAX data drop</t>
  </si>
  <si>
    <t>rtdc.l.rtdc.4008:itc</t>
  </si>
  <si>
    <t>rtdc.l.rtdc.4060:itc</t>
  </si>
  <si>
    <t>rtdc.l.rtdc.4009:itc</t>
  </si>
  <si>
    <t>rtdc.l.rtdc.4010:itc</t>
  </si>
  <si>
    <t>LEVERE</t>
  </si>
  <si>
    <t>CRAIG</t>
  </si>
  <si>
    <t>LEVIN</t>
  </si>
  <si>
    <t>SCOTT</t>
  </si>
  <si>
    <t>BIRKHOLZ</t>
  </si>
  <si>
    <t>NADINE</t>
  </si>
  <si>
    <t>rtdc.l.rtdc.4018:itc</t>
  </si>
  <si>
    <t>rtdc.l.rtdc.4005:itc</t>
  </si>
  <si>
    <t>rtdc.l.rtdc.4007:itc</t>
  </si>
  <si>
    <t>rtdc.l.rtdc.4017:itc</t>
  </si>
  <si>
    <t>rtdc.l.rtdc.4043:itc</t>
  </si>
  <si>
    <t>rtdc.l.rtdc.4044:itc</t>
  </si>
  <si>
    <t>DAVIS</t>
  </si>
  <si>
    <t>rtdc.l.rtdc.4006:itc</t>
  </si>
  <si>
    <t>BERLING</t>
  </si>
  <si>
    <t>GARY</t>
  </si>
  <si>
    <t>HOLCOMB</t>
  </si>
  <si>
    <t>KAMDEN</t>
  </si>
  <si>
    <t>ZEWDU</t>
  </si>
  <si>
    <t>DEREJE</t>
  </si>
  <si>
    <t>204:466</t>
  </si>
  <si>
    <t>rtdc.l.rtdc.4058:itc</t>
  </si>
  <si>
    <t>rtdc.l.rtdc.4024:itc</t>
  </si>
  <si>
    <t>rtdc.l.rtdc.4023:itc</t>
  </si>
  <si>
    <t>rtdc.l.rtdc.4057:itc</t>
  </si>
  <si>
    <t>216-19</t>
  </si>
  <si>
    <t>226-19</t>
  </si>
  <si>
    <t>rtdc.l.rtdc.4016:itc</t>
  </si>
  <si>
    <t>rtdc.l.rtdc.4014:itc</t>
  </si>
  <si>
    <t>DAVID</t>
  </si>
  <si>
    <t>75-19</t>
  </si>
  <si>
    <t>NICHOLSON</t>
  </si>
  <si>
    <t>WESLEY</t>
  </si>
  <si>
    <t>ELBAUM</t>
  </si>
  <si>
    <t>MIKE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</si>
  <si>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</si>
  <si>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</si>
  <si>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</si>
  <si>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</si>
  <si>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</si>
  <si>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</si>
  <si>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</si>
  <si>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</si>
  <si>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</si>
  <si>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</si>
  <si>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</si>
  <si>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</si>
  <si>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</si>
  <si>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</si>
  <si>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</si>
  <si>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</si>
  <si>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</si>
  <si>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</si>
  <si>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</si>
  <si>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</si>
  <si>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</si>
  <si>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</si>
  <si>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</si>
  <si>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</si>
  <si>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</si>
  <si>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</si>
  <si>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</si>
  <si>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</si>
  <si>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</si>
  <si>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</si>
  <si>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</si>
  <si>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</si>
  <si>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</si>
  <si>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</si>
  <si>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</si>
  <si>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</si>
  <si>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</si>
  <si>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</si>
  <si>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</si>
  <si>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</si>
  <si>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</si>
  <si>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</si>
  <si>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</si>
  <si>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</si>
  <si>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</si>
  <si>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</si>
  <si>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</si>
  <si>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</si>
  <si>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</si>
  <si>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</si>
  <si>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</si>
  <si>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204:449</t>
  </si>
  <si>
    <t>204:435</t>
  </si>
  <si>
    <t>rtdc.l.rtdc.4050:itc</t>
  </si>
  <si>
    <t>rtdc.l.rtdc.4026:itc</t>
  </si>
  <si>
    <t>204:233289</t>
  </si>
  <si>
    <t>STARKS</t>
  </si>
  <si>
    <t>ANGELINA</t>
  </si>
  <si>
    <t>rtdc.l.rtdc.4046:itc</t>
  </si>
  <si>
    <t>YANAI</t>
  </si>
  <si>
    <t>IAN</t>
  </si>
  <si>
    <t>204:233268</t>
  </si>
  <si>
    <t>204:160</t>
  </si>
  <si>
    <t>300:58948</t>
  </si>
  <si>
    <t>rtdc.l.rtdc.4036:itc</t>
  </si>
  <si>
    <t>STRICKLAND</t>
  </si>
  <si>
    <t>EVAN</t>
  </si>
  <si>
    <t>rtdc.l.rtdc.4035:itc</t>
  </si>
  <si>
    <t>FORTUNATO</t>
  </si>
  <si>
    <t>FRANK</t>
  </si>
  <si>
    <t>MOSES</t>
  </si>
  <si>
    <t>BRADLEY</t>
  </si>
  <si>
    <t>BRUDER</t>
  </si>
  <si>
    <t>RICHARD</t>
  </si>
  <si>
    <t>NEWELL</t>
  </si>
  <si>
    <t>204:232976</t>
  </si>
  <si>
    <t>204:233288</t>
  </si>
  <si>
    <t>204:232973</t>
  </si>
  <si>
    <t>204:233285</t>
  </si>
  <si>
    <t>204:444</t>
  </si>
  <si>
    <t>204:232879</t>
  </si>
  <si>
    <t>204:546</t>
  </si>
  <si>
    <t>204:233170</t>
  </si>
  <si>
    <t>204:232987</t>
  </si>
  <si>
    <t>300:58651</t>
  </si>
  <si>
    <t>rtdc.l.rtdc.4029:itc</t>
  </si>
  <si>
    <t>rtdc.l.rtdc.4045:itc</t>
  </si>
  <si>
    <t>rtdc.l.rtdc.4030:itc</t>
  </si>
  <si>
    <t>rtdc.l.rtdc.4051:itc</t>
  </si>
  <si>
    <t>WENDY</t>
  </si>
  <si>
    <t>GEBRETEKLE</t>
  </si>
  <si>
    <t>DAGNEW</t>
  </si>
  <si>
    <t>DELGADO</t>
  </si>
  <si>
    <t>DIANAH</t>
  </si>
  <si>
    <t>244-25</t>
  </si>
  <si>
    <t>307-25</t>
  </si>
  <si>
    <t>309-25</t>
  </si>
  <si>
    <t>311-25</t>
  </si>
  <si>
    <t>300-26</t>
  </si>
  <si>
    <t>precipType</t>
  </si>
  <si>
    <t>rain</t>
  </si>
  <si>
    <t>204:232873</t>
  </si>
  <si>
    <t>204:232859</t>
  </si>
  <si>
    <t>204:238</t>
  </si>
  <si>
    <t>204:482</t>
  </si>
  <si>
    <t>204:232938</t>
  </si>
  <si>
    <t>204:562</t>
  </si>
  <si>
    <t>204:232932</t>
  </si>
  <si>
    <t>204:233304</t>
  </si>
  <si>
    <t>204:232877</t>
  </si>
  <si>
    <t>204:519</t>
  </si>
  <si>
    <t>204:560</t>
  </si>
  <si>
    <t>204:252</t>
  </si>
  <si>
    <t>204:529</t>
  </si>
  <si>
    <t>300:58638</t>
  </si>
  <si>
    <t>204:993</t>
  </si>
  <si>
    <t>204:983</t>
  </si>
  <si>
    <t>204:985</t>
  </si>
  <si>
    <t>300:58946</t>
  </si>
  <si>
    <t>rtdc.l.rtdc.4015:itc</t>
  </si>
  <si>
    <t>MAELZER</t>
  </si>
  <si>
    <t>KURT</t>
  </si>
  <si>
    <t>WILLIAMS</t>
  </si>
  <si>
    <t>DONTE</t>
  </si>
  <si>
    <t>BADERTSCHER</t>
  </si>
  <si>
    <t>DIANE</t>
  </si>
  <si>
    <t>313-26</t>
  </si>
  <si>
    <t>307-26</t>
  </si>
  <si>
    <t>244-26</t>
  </si>
  <si>
    <t>309-26</t>
  </si>
  <si>
    <t>311-26</t>
  </si>
  <si>
    <t>precipAccumulation</t>
  </si>
  <si>
    <t>partly-cloudy-day</t>
  </si>
  <si>
    <t>Mostly Cloudy</t>
  </si>
  <si>
    <t>fog</t>
  </si>
  <si>
    <t>Foggy</t>
  </si>
  <si>
    <t>snow</t>
  </si>
  <si>
    <t>partly-cloudy-night</t>
  </si>
  <si>
    <t>cloudy</t>
  </si>
  <si>
    <t>Overcast</t>
  </si>
  <si>
    <t>Partly Cloudy</t>
  </si>
  <si>
    <t>204:156</t>
  </si>
  <si>
    <t>204:232998</t>
  </si>
  <si>
    <t>204:233280</t>
  </si>
  <si>
    <t>204:233249</t>
  </si>
  <si>
    <t>204:233295</t>
  </si>
  <si>
    <t>204:457</t>
  </si>
  <si>
    <t>204:451</t>
  </si>
  <si>
    <t>204:233172</t>
  </si>
  <si>
    <t>204:233186</t>
  </si>
  <si>
    <t>204:233198</t>
  </si>
  <si>
    <t>204:169</t>
  </si>
  <si>
    <t>204:233215</t>
  </si>
  <si>
    <t>204:489</t>
  </si>
  <si>
    <t>204:232872</t>
  </si>
  <si>
    <t>204:233192</t>
  </si>
  <si>
    <t>204:232852</t>
  </si>
  <si>
    <t>204:233253</t>
  </si>
  <si>
    <t>204:174</t>
  </si>
  <si>
    <t>204:539</t>
  </si>
  <si>
    <t>204:232857</t>
  </si>
  <si>
    <t>204:309</t>
  </si>
  <si>
    <t>204:650</t>
  </si>
  <si>
    <t>204:232904</t>
  </si>
  <si>
    <t>204:477</t>
  </si>
  <si>
    <t>204:232985</t>
  </si>
  <si>
    <t>204:212</t>
  </si>
  <si>
    <t>204:232969</t>
  </si>
  <si>
    <t>204:185</t>
  </si>
  <si>
    <t>204:234</t>
  </si>
  <si>
    <t>204:302</t>
  </si>
  <si>
    <t>204:232892</t>
  </si>
  <si>
    <t>204:273</t>
  </si>
  <si>
    <t>204:205</t>
  </si>
  <si>
    <t>204:520</t>
  </si>
  <si>
    <t>204:227</t>
  </si>
  <si>
    <t>204:233230</t>
  </si>
  <si>
    <t>204:287</t>
  </si>
  <si>
    <t>204:511</t>
  </si>
  <si>
    <t>204:233168</t>
  </si>
  <si>
    <t>204:251</t>
  </si>
  <si>
    <t>204:254</t>
  </si>
  <si>
    <t>204:515</t>
  </si>
  <si>
    <t>204:573</t>
  </si>
  <si>
    <t>204:571</t>
  </si>
  <si>
    <t>204:568</t>
  </si>
  <si>
    <t>300:58961</t>
  </si>
  <si>
    <t>300:58615</t>
  </si>
  <si>
    <t>300:58980</t>
  </si>
  <si>
    <t>300:58950</t>
  </si>
  <si>
    <t>300:58958</t>
  </si>
  <si>
    <t>300:58621</t>
  </si>
  <si>
    <t>204:652</t>
  </si>
  <si>
    <t>300:58988</t>
  </si>
  <si>
    <t>300:24224</t>
  </si>
  <si>
    <t>Onboard en route failure</t>
  </si>
  <si>
    <t>113-27</t>
  </si>
  <si>
    <t>806-27</t>
  </si>
  <si>
    <t>UNKNOWN LOCATION</t>
  </si>
  <si>
    <t>Other (9)</t>
  </si>
  <si>
    <t>810-27</t>
  </si>
  <si>
    <t>rtdc.l.rtdc.4052:itc</t>
  </si>
  <si>
    <t>137-27</t>
  </si>
  <si>
    <t>139-27</t>
  </si>
  <si>
    <t>rtdc.l.rtdc.4013:itc</t>
  </si>
  <si>
    <t>156-27</t>
  </si>
  <si>
    <t>165-27</t>
  </si>
  <si>
    <t>172-27</t>
  </si>
  <si>
    <t>rtdc.l.rtdc.4003:itc</t>
  </si>
  <si>
    <t>830-27</t>
  </si>
  <si>
    <t>204-27</t>
  </si>
  <si>
    <t>836-27</t>
  </si>
  <si>
    <t>rtdc.l.rtdc.4004:itc</t>
  </si>
  <si>
    <t>837-27</t>
  </si>
  <si>
    <t>220-27</t>
  </si>
  <si>
    <t>227-27</t>
  </si>
  <si>
    <t>300-27</t>
  </si>
  <si>
    <t>ROCHA</t>
  </si>
  <si>
    <t>YAOTL</t>
  </si>
  <si>
    <t>101-27</t>
  </si>
  <si>
    <t>51-27</t>
  </si>
  <si>
    <t>52-27</t>
  </si>
  <si>
    <t>302-27</t>
  </si>
  <si>
    <t>103-27</t>
  </si>
  <si>
    <t>304-27</t>
  </si>
  <si>
    <t>DE LA ROSA</t>
  </si>
  <si>
    <t>ALEX</t>
  </si>
  <si>
    <t>306-27</t>
  </si>
  <si>
    <t>102-27</t>
  </si>
  <si>
    <t>105-27</t>
  </si>
  <si>
    <t>308-27</t>
  </si>
  <si>
    <t>107-27</t>
  </si>
  <si>
    <t>104-27</t>
  </si>
  <si>
    <t>109-27</t>
  </si>
  <si>
    <t>901-27</t>
  </si>
  <si>
    <t>310-27</t>
  </si>
  <si>
    <t>MACDONALD</t>
  </si>
  <si>
    <t>THOMAS</t>
  </si>
  <si>
    <t>111-27</t>
  </si>
  <si>
    <t>106-27</t>
  </si>
  <si>
    <t>800-27</t>
  </si>
  <si>
    <t>108-27</t>
  </si>
  <si>
    <t>312-27</t>
  </si>
  <si>
    <t>115-27</t>
  </si>
  <si>
    <t>110-27</t>
  </si>
  <si>
    <t>rtdc.l.rtdc.4056:itc</t>
  </si>
  <si>
    <t>117-27</t>
  </si>
  <si>
    <t>801-27</t>
  </si>
  <si>
    <t>902-27</t>
  </si>
  <si>
    <t>BARRON</t>
  </si>
  <si>
    <t>PERLA</t>
  </si>
  <si>
    <t>112-27</t>
  </si>
  <si>
    <t>119-27</t>
  </si>
  <si>
    <t>114-27</t>
  </si>
  <si>
    <t>802-27</t>
  </si>
  <si>
    <t>803-27</t>
  </si>
  <si>
    <t>121-27</t>
  </si>
  <si>
    <t>BIRENBAUM</t>
  </si>
  <si>
    <t>116-27</t>
  </si>
  <si>
    <t>118-27</t>
  </si>
  <si>
    <t>123-27</t>
  </si>
  <si>
    <t>804-27</t>
  </si>
  <si>
    <t>125-27</t>
  </si>
  <si>
    <t>805-27</t>
  </si>
  <si>
    <t>122-27</t>
  </si>
  <si>
    <t>120-27</t>
  </si>
  <si>
    <t>127-27</t>
  </si>
  <si>
    <t>807-27</t>
  </si>
  <si>
    <t>129-27</t>
  </si>
  <si>
    <t>124-27</t>
  </si>
  <si>
    <t>131-27</t>
  </si>
  <si>
    <t>808-27</t>
  </si>
  <si>
    <t>809-27</t>
  </si>
  <si>
    <t>133-27</t>
  </si>
  <si>
    <t>126-27</t>
  </si>
  <si>
    <t>135-27</t>
  </si>
  <si>
    <t>130-27</t>
  </si>
  <si>
    <t>811-27</t>
  </si>
  <si>
    <t>53-27</t>
  </si>
  <si>
    <t>132-27</t>
  </si>
  <si>
    <t>812-27</t>
  </si>
  <si>
    <t>903-27</t>
  </si>
  <si>
    <t>134-27</t>
  </si>
  <si>
    <t>136-27</t>
  </si>
  <si>
    <t>141-27</t>
  </si>
  <si>
    <t>143-27</t>
  </si>
  <si>
    <t>813-27</t>
  </si>
  <si>
    <t>138-27</t>
  </si>
  <si>
    <t>145-27</t>
  </si>
  <si>
    <t>140-27</t>
  </si>
  <si>
    <t>147-27</t>
  </si>
  <si>
    <t>814-27</t>
  </si>
  <si>
    <t>149-27</t>
  </si>
  <si>
    <t>142-27</t>
  </si>
  <si>
    <t>144-27</t>
  </si>
  <si>
    <t>146-27</t>
  </si>
  <si>
    <t>151-27</t>
  </si>
  <si>
    <t>815-27</t>
  </si>
  <si>
    <t>153-27</t>
  </si>
  <si>
    <t>150-27</t>
  </si>
  <si>
    <t>148-27</t>
  </si>
  <si>
    <t>155-27</t>
  </si>
  <si>
    <t>816-27</t>
  </si>
  <si>
    <t>157-27</t>
  </si>
  <si>
    <t>152-27</t>
  </si>
  <si>
    <t>159-27</t>
  </si>
  <si>
    <t>817-27</t>
  </si>
  <si>
    <t>154-27</t>
  </si>
  <si>
    <t>161-27</t>
  </si>
  <si>
    <t>SAFIEF</t>
  </si>
  <si>
    <t>AEIMEN</t>
  </si>
  <si>
    <t>163-27</t>
  </si>
  <si>
    <t>818-27</t>
  </si>
  <si>
    <t>158-27</t>
  </si>
  <si>
    <t>55-27</t>
  </si>
  <si>
    <t>160-27</t>
  </si>
  <si>
    <t>162-27</t>
  </si>
  <si>
    <t>167-27</t>
  </si>
  <si>
    <t>819-27</t>
  </si>
  <si>
    <t>169-27</t>
  </si>
  <si>
    <t>164-27</t>
  </si>
  <si>
    <t>171-27</t>
  </si>
  <si>
    <t>820-27</t>
  </si>
  <si>
    <t>166-27</t>
  </si>
  <si>
    <t>168-27</t>
  </si>
  <si>
    <t>173-27</t>
  </si>
  <si>
    <t>175-27</t>
  </si>
  <si>
    <t>GONZALEZ</t>
  </si>
  <si>
    <t>ARMANDO</t>
  </si>
  <si>
    <t>821-27</t>
  </si>
  <si>
    <t>177-27</t>
  </si>
  <si>
    <t>170-27</t>
  </si>
  <si>
    <t>179-27</t>
  </si>
  <si>
    <t>822-27</t>
  </si>
  <si>
    <t>181-27</t>
  </si>
  <si>
    <t>174-27</t>
  </si>
  <si>
    <t>176-27</t>
  </si>
  <si>
    <t>183-27</t>
  </si>
  <si>
    <t>178-27</t>
  </si>
  <si>
    <t>823-27</t>
  </si>
  <si>
    <t>185-27</t>
  </si>
  <si>
    <t>180-27</t>
  </si>
  <si>
    <t>187-27</t>
  </si>
  <si>
    <t>182-27</t>
  </si>
  <si>
    <t>824-27</t>
  </si>
  <si>
    <t>189-27</t>
  </si>
  <si>
    <t>184-27</t>
  </si>
  <si>
    <t>191-27</t>
  </si>
  <si>
    <t>825-27</t>
  </si>
  <si>
    <t>186-27</t>
  </si>
  <si>
    <t>904-27</t>
  </si>
  <si>
    <t>SMITH</t>
  </si>
  <si>
    <t>193-27</t>
  </si>
  <si>
    <t>188-27</t>
  </si>
  <si>
    <t>190-27</t>
  </si>
  <si>
    <t>195-27</t>
  </si>
  <si>
    <t>827-27</t>
  </si>
  <si>
    <t>826-27</t>
  </si>
  <si>
    <t>197-27</t>
  </si>
  <si>
    <t>192-27</t>
  </si>
  <si>
    <t>199-27</t>
  </si>
  <si>
    <t>828-27</t>
  </si>
  <si>
    <t>194-27</t>
  </si>
  <si>
    <t>829-27</t>
  </si>
  <si>
    <t>201-27</t>
  </si>
  <si>
    <t>196-27</t>
  </si>
  <si>
    <t>203-27</t>
  </si>
  <si>
    <t>831-27</t>
  </si>
  <si>
    <t>66-27</t>
  </si>
  <si>
    <t>205-27</t>
  </si>
  <si>
    <t>198-27</t>
  </si>
  <si>
    <t>200-27</t>
  </si>
  <si>
    <t>207-27</t>
  </si>
  <si>
    <t>832-27</t>
  </si>
  <si>
    <t>833-27</t>
  </si>
  <si>
    <t>202-27</t>
  </si>
  <si>
    <t>209-27</t>
  </si>
  <si>
    <t>69-27</t>
  </si>
  <si>
    <t>211-27</t>
  </si>
  <si>
    <t>834-27</t>
  </si>
  <si>
    <t>835-27</t>
  </si>
  <si>
    <t>206-27</t>
  </si>
  <si>
    <t>213-27</t>
  </si>
  <si>
    <t>208-27</t>
  </si>
  <si>
    <t>215-27</t>
  </si>
  <si>
    <t>210-27</t>
  </si>
  <si>
    <t>217-27</t>
  </si>
  <si>
    <t>212-27</t>
  </si>
  <si>
    <t>219-27</t>
  </si>
  <si>
    <t>rtdc.l.rtdc.4011:itc</t>
  </si>
  <si>
    <t>70-27</t>
  </si>
  <si>
    <t>WEST</t>
  </si>
  <si>
    <t>BRYAN</t>
  </si>
  <si>
    <t>838-27</t>
  </si>
  <si>
    <t>214-27</t>
  </si>
  <si>
    <t>839-27</t>
  </si>
  <si>
    <t>301-27</t>
  </si>
  <si>
    <t>216-27</t>
  </si>
  <si>
    <t>221-27</t>
  </si>
  <si>
    <t>906-27</t>
  </si>
  <si>
    <t>218-27</t>
  </si>
  <si>
    <t>841-27</t>
  </si>
  <si>
    <t>303-27</t>
  </si>
  <si>
    <t>223-27</t>
  </si>
  <si>
    <t>rtdc.l.rtdc.4047:itc</t>
  </si>
  <si>
    <t>75-27</t>
  </si>
  <si>
    <t>GUNTHIER</t>
  </si>
  <si>
    <t>ERIC</t>
  </si>
  <si>
    <t>840-27</t>
  </si>
  <si>
    <t>222-27</t>
  </si>
  <si>
    <t>rtdc.l.rtdc.4048:itc</t>
  </si>
  <si>
    <t>61-27</t>
  </si>
  <si>
    <t>305-27</t>
  </si>
  <si>
    <t>225-27</t>
  </si>
  <si>
    <t>843-27</t>
  </si>
  <si>
    <t>224-27</t>
  </si>
  <si>
    <t>842-27</t>
  </si>
  <si>
    <t>229-27</t>
  </si>
  <si>
    <t>226-27</t>
  </si>
  <si>
    <t>60-27</t>
  </si>
  <si>
    <t>845-27</t>
  </si>
  <si>
    <t>231-27</t>
  </si>
  <si>
    <t>228-27</t>
  </si>
  <si>
    <t>844-27</t>
  </si>
  <si>
    <t>233-27</t>
  </si>
  <si>
    <t>230-27</t>
  </si>
  <si>
    <t>847-27</t>
  </si>
  <si>
    <t>235-27</t>
  </si>
  <si>
    <t>232-27</t>
  </si>
  <si>
    <t>849-27</t>
  </si>
  <si>
    <t>846-27</t>
  </si>
  <si>
    <t>237-27</t>
  </si>
  <si>
    <t>234-27</t>
  </si>
  <si>
    <t>236-27</t>
  </si>
  <si>
    <t>239-27</t>
  </si>
  <si>
    <t>908-27</t>
  </si>
  <si>
    <t>238-27</t>
  </si>
  <si>
    <t>241-27</t>
  </si>
  <si>
    <t>243-27</t>
  </si>
  <si>
    <t>240-27</t>
  </si>
  <si>
    <t>245-27</t>
  </si>
  <si>
    <t>242-27</t>
  </si>
  <si>
    <t>244-27</t>
  </si>
  <si>
    <t>307-27</t>
  </si>
  <si>
    <t>246-27</t>
  </si>
  <si>
    <t>309-27</t>
  </si>
  <si>
    <t>311-27</t>
  </si>
  <si>
    <t>313-27</t>
  </si>
  <si>
    <t>rtdc.l.rtdc.4063:itc</t>
  </si>
  <si>
    <t>300-28</t>
  </si>
  <si>
    <t>THOMPSON</t>
  </si>
  <si>
    <t>LESTER</t>
  </si>
  <si>
    <t>204:721</t>
  </si>
  <si>
    <t>204:233321</t>
  </si>
  <si>
    <t>204:233308</t>
  </si>
  <si>
    <t>204:232991</t>
  </si>
  <si>
    <t>204:232848</t>
  </si>
  <si>
    <t>204:247</t>
  </si>
  <si>
    <t>204:233255</t>
  </si>
  <si>
    <t>204:232926</t>
  </si>
  <si>
    <t>204:462</t>
  </si>
  <si>
    <t>204:232967</t>
  </si>
  <si>
    <t>204:233307</t>
  </si>
  <si>
    <t>204:232963</t>
  </si>
  <si>
    <t>204:163</t>
  </si>
  <si>
    <t>204:233315</t>
  </si>
  <si>
    <t>204:570</t>
  </si>
  <si>
    <t>204:233301</t>
  </si>
  <si>
    <t>204:232990</t>
  </si>
  <si>
    <t>204:167</t>
  </si>
  <si>
    <t>204:37190</t>
  </si>
  <si>
    <t>204:233286</t>
  </si>
  <si>
    <t>204:136</t>
  </si>
  <si>
    <t>204:467</t>
  </si>
  <si>
    <t>204:232</t>
  </si>
  <si>
    <t>204:588</t>
  </si>
  <si>
    <t>204:233147</t>
  </si>
  <si>
    <t>204:232833</t>
  </si>
  <si>
    <t>204:1483</t>
  </si>
  <si>
    <t>204:233195</t>
  </si>
  <si>
    <t>204:438</t>
  </si>
  <si>
    <t>204:233368</t>
  </si>
  <si>
    <t>204:233045</t>
  </si>
  <si>
    <t>204:548</t>
  </si>
  <si>
    <t>204:232863</t>
  </si>
  <si>
    <t>204:232891</t>
  </si>
  <si>
    <t>204:240</t>
  </si>
  <si>
    <t>204:233197</t>
  </si>
  <si>
    <t>204:232869</t>
  </si>
  <si>
    <t>204:178</t>
  </si>
  <si>
    <t>204:232989</t>
  </si>
  <si>
    <t>204:453</t>
  </si>
  <si>
    <t>204:460</t>
  </si>
  <si>
    <t>204:233257</t>
  </si>
  <si>
    <t>204:232944</t>
  </si>
  <si>
    <t>204:221</t>
  </si>
  <si>
    <t>204:555</t>
  </si>
  <si>
    <t>204:232850</t>
  </si>
  <si>
    <t>204:229</t>
  </si>
  <si>
    <t>204:233178</t>
  </si>
  <si>
    <t>204:232862</t>
  </si>
  <si>
    <t>204:223</t>
  </si>
  <si>
    <t>204:233163</t>
  </si>
  <si>
    <t>204:232834</t>
  </si>
  <si>
    <t>204:455</t>
  </si>
  <si>
    <t>204:233183</t>
  </si>
  <si>
    <t>204:232887</t>
  </si>
  <si>
    <t>204:232871</t>
  </si>
  <si>
    <t>204:243</t>
  </si>
  <si>
    <t>204:233270</t>
  </si>
  <si>
    <t>204:233193</t>
  </si>
  <si>
    <t>204:232867</t>
  </si>
  <si>
    <t>204:233208</t>
  </si>
  <si>
    <t>204:232885</t>
  </si>
  <si>
    <t>204:517</t>
  </si>
  <si>
    <t>204:233210</t>
  </si>
  <si>
    <t>204:263</t>
  </si>
  <si>
    <t>204:232284</t>
  </si>
  <si>
    <t>204:127866</t>
  </si>
  <si>
    <t>204:233293</t>
  </si>
  <si>
    <t>204:258</t>
  </si>
  <si>
    <t>204:232930</t>
  </si>
  <si>
    <t>204:233229</t>
  </si>
  <si>
    <t>204:232911</t>
  </si>
  <si>
    <t>204:502</t>
  </si>
  <si>
    <t>204:233236</t>
  </si>
  <si>
    <t>204:232919</t>
  </si>
  <si>
    <t>204:233227</t>
  </si>
  <si>
    <t>204:233190</t>
  </si>
  <si>
    <t>204:233196</t>
  </si>
  <si>
    <t>204:233282</t>
  </si>
  <si>
    <t>204:280</t>
  </si>
  <si>
    <t>204:544</t>
  </si>
  <si>
    <t>204:233191</t>
  </si>
  <si>
    <t>204:232898</t>
  </si>
  <si>
    <t>204:557</t>
  </si>
  <si>
    <t>204:232836</t>
  </si>
  <si>
    <t>204:245</t>
  </si>
  <si>
    <t>204:553</t>
  </si>
  <si>
    <t>204:233213</t>
  </si>
  <si>
    <t>204:233217</t>
  </si>
  <si>
    <t>204:127869</t>
  </si>
  <si>
    <t>204:232884</t>
  </si>
  <si>
    <t>204:233331</t>
  </si>
  <si>
    <t>204:233023</t>
  </si>
  <si>
    <t>204:233179</t>
  </si>
  <si>
    <t>204:61619</t>
  </si>
  <si>
    <t>204:233251</t>
  </si>
  <si>
    <t>204:232905</t>
  </si>
  <si>
    <t>204:283</t>
  </si>
  <si>
    <t>204:617</t>
  </si>
  <si>
    <t>204:233185</t>
  </si>
  <si>
    <t>204:269</t>
  </si>
  <si>
    <t>204:590</t>
  </si>
  <si>
    <t>204:340</t>
  </si>
  <si>
    <t>204:233276</t>
  </si>
  <si>
    <t>204:564</t>
  </si>
  <si>
    <t>204:232960</t>
  </si>
  <si>
    <t>204:542</t>
  </si>
  <si>
    <t>204:232942</t>
  </si>
  <si>
    <t>204:233138</t>
  </si>
  <si>
    <t>204:351</t>
  </si>
  <si>
    <t>204:233184</t>
  </si>
  <si>
    <t>204:265</t>
  </si>
  <si>
    <t>204:289</t>
  </si>
  <si>
    <t>204:233316</t>
  </si>
  <si>
    <t>300:23182</t>
  </si>
  <si>
    <t>300:23301</t>
  </si>
  <si>
    <t>300:19434</t>
  </si>
  <si>
    <t>204:611</t>
  </si>
  <si>
    <t>300:22891</t>
  </si>
  <si>
    <t>204:488</t>
  </si>
  <si>
    <t>300:23308</t>
  </si>
  <si>
    <t>300:23478</t>
  </si>
  <si>
    <t>300:22472</t>
  </si>
  <si>
    <t>204:606</t>
  </si>
  <si>
    <t>300:23299</t>
  </si>
  <si>
    <t>300:23637</t>
  </si>
  <si>
    <t>300:23569</t>
  </si>
  <si>
    <t>204:3411</t>
  </si>
  <si>
    <t>300:22611</t>
  </si>
  <si>
    <t>204:117</t>
  </si>
  <si>
    <t>204:417</t>
  </si>
  <si>
    <t>300:23919</t>
  </si>
  <si>
    <t>204:3046</t>
  </si>
  <si>
    <t>204:1152</t>
  </si>
  <si>
    <t>300:5383</t>
  </si>
  <si>
    <t>300:5069</t>
  </si>
  <si>
    <t>204:1165</t>
  </si>
  <si>
    <t>204:1155</t>
  </si>
  <si>
    <t>300:5520</t>
  </si>
  <si>
    <t>204:1184</t>
  </si>
  <si>
    <t>204:233243</t>
  </si>
  <si>
    <t>204:1466</t>
  </si>
  <si>
    <t>300:24229</t>
  </si>
  <si>
    <t>204:1156</t>
  </si>
  <si>
    <t>300:22019</t>
  </si>
  <si>
    <t>204:1849</t>
  </si>
  <si>
    <t>300:22098</t>
  </si>
  <si>
    <t>204:871</t>
  </si>
  <si>
    <t>204:717</t>
  </si>
  <si>
    <t>300:58628</t>
  </si>
  <si>
    <t>204:696</t>
  </si>
  <si>
    <t>204:967</t>
  </si>
  <si>
    <t>300:58647</t>
  </si>
  <si>
    <t>204:684</t>
  </si>
  <si>
    <t>204:986</t>
  </si>
  <si>
    <t>300:58931</t>
  </si>
  <si>
    <t>204:1086</t>
  </si>
  <si>
    <t>300:58963</t>
  </si>
  <si>
    <t>204:740</t>
  </si>
  <si>
    <t>204:988</t>
  </si>
  <si>
    <t>300:58929</t>
  </si>
  <si>
    <t>300:58613</t>
  </si>
  <si>
    <t>204:79</t>
  </si>
  <si>
    <t>204:1028</t>
  </si>
  <si>
    <t>300:58960</t>
  </si>
  <si>
    <t>300:58653</t>
  </si>
  <si>
    <t>204:768</t>
  </si>
  <si>
    <t>204:1135</t>
  </si>
  <si>
    <t>300:58640</t>
  </si>
  <si>
    <t>204:771</t>
  </si>
  <si>
    <t>204:1041</t>
  </si>
  <si>
    <t>204:743</t>
  </si>
  <si>
    <t>204:1037</t>
  </si>
  <si>
    <t>300:58965</t>
  </si>
  <si>
    <t>204:748</t>
  </si>
  <si>
    <t>204:1389</t>
  </si>
  <si>
    <t>300:58645</t>
  </si>
  <si>
    <t>204:775</t>
  </si>
  <si>
    <t>204:1044</t>
  </si>
  <si>
    <t>300:58673</t>
  </si>
  <si>
    <t>204:817</t>
  </si>
  <si>
    <t>204:1116</t>
  </si>
  <si>
    <t>300:58664</t>
  </si>
  <si>
    <t>204:796</t>
  </si>
  <si>
    <t>204:1111</t>
  </si>
  <si>
    <t>300:58655</t>
  </si>
  <si>
    <t>204:137</t>
  </si>
  <si>
    <t>204:424</t>
  </si>
  <si>
    <t>300:58926</t>
  </si>
  <si>
    <t>300:58606</t>
  </si>
  <si>
    <t>204:421</t>
  </si>
  <si>
    <t>204:432</t>
  </si>
  <si>
    <t>204:133</t>
  </si>
  <si>
    <t>204:430</t>
  </si>
  <si>
    <t>300:58982</t>
  </si>
  <si>
    <t>300:58675</t>
  </si>
  <si>
    <t>204:441</t>
  </si>
  <si>
    <t>204:4645</t>
  </si>
  <si>
    <t>204:437</t>
  </si>
  <si>
    <t>300:58649</t>
  </si>
  <si>
    <t>204:142</t>
  </si>
  <si>
    <t>204:448</t>
  </si>
  <si>
    <t>300:58656</t>
  </si>
  <si>
    <t>204:129</t>
  </si>
  <si>
    <t>204:450</t>
  </si>
  <si>
    <t>204:144</t>
  </si>
  <si>
    <t>300:58636</t>
  </si>
  <si>
    <t>204:656</t>
  </si>
  <si>
    <t>204:439</t>
  </si>
  <si>
    <t>300:58943</t>
  </si>
  <si>
    <t>204:703</t>
  </si>
  <si>
    <t>300:58954</t>
  </si>
  <si>
    <t>300:29991</t>
  </si>
  <si>
    <t>300:58935</t>
  </si>
  <si>
    <t>300:23837</t>
  </si>
  <si>
    <t>204:645</t>
  </si>
  <si>
    <t>204:365</t>
  </si>
  <si>
    <t>300:24203</t>
  </si>
  <si>
    <t>300:23349</t>
  </si>
  <si>
    <t>204:131</t>
  </si>
  <si>
    <t>300:58624</t>
  </si>
  <si>
    <t>300:28793</t>
  </si>
  <si>
    <t>start /low /b %USERPROFILE%\Documents\GitHub\eaglep3\Utilities\DownloadLogsFromS3.py --loco 4018 --day 2017-10-27</t>
  </si>
  <si>
    <t>start /low /b %USERPROFILE%\Documents\GitHub\eaglep3\Utilities\DownloadLogsFromS3.py --loco 4017 --day 2017-10-27</t>
  </si>
  <si>
    <t>start /low /b %USERPROFILE%\Documents\GitHub\eaglep3\Utilities\DownloadLogsFromS3.py --loco 4051 --day 2017-10-27</t>
  </si>
  <si>
    <t>start /low /b %USERPROFILE%\Documents\GitHub\eaglep3\Utilities\DownloadLogsFromS3.py --loco 4055 --day 2017-10-27</t>
  </si>
  <si>
    <t>start /low /b %USERPROFILE%\Documents\GitHub\eaglep3\Utilities\DownloadLogsFromS3.py --loco 4008 --day 2017-10-27</t>
  </si>
  <si>
    <t>start /low /b %USERPROFILE%\Documents\GitHub\eaglep3\Utilities\DownloadLogsFromS3.py --loco 4004 --day 2017-10-27</t>
  </si>
  <si>
    <t>start /low /b %USERPROFILE%\Documents\GitHub\eaglep3\Utilities\DownloadLogsFromS3.py --loco 4029 --day 2017-10-27</t>
  </si>
  <si>
    <t>start /low /b %USERPROFILE%\Documents\GitHub\eaglep3\Utilities\DownloadLogsFromS3.py --loco 4013 --day 2017-10-27</t>
  </si>
  <si>
    <t>start /low /b %USERPROFILE%\Documents\GitHub\eaglep3\Utilities\DownloadLogsFromS3.py --loco 4005 --day 2017-10-27</t>
  </si>
  <si>
    <t>start /low /b %USERPROFILE%\Documents\GitHub\eaglep3\Utilities\DownloadLogsFromS3.py --loco 4052 --day 2017-10-27</t>
  </si>
  <si>
    <t>start /low /b %USERPROFILE%\Documents\GitHub\eaglep3\Utilities\DownloadLogsFromS3.py --loco 4035 --day 2017-10-27</t>
  </si>
  <si>
    <t>start /low /b %USERPROFILE%\Documents\GitHub\eaglep3\Utilities\DownloadLogsFromS3.py --loco 4007 --day 2017-10-28</t>
  </si>
  <si>
    <t>start /low /b %USERPROFILE%\Documents\GitHub\eaglep3\Utilities\DownloadLogsFromS3.py --loco 4014 --day 2017-10-27</t>
  </si>
  <si>
    <t>start /low /b %USERPROFILE%\Documents\GitHub\eaglep3\Utilities\DownloadLogsFromS3.py --loco 4008 --day 2017-10-28</t>
  </si>
  <si>
    <t>start /low /b %USERPROFILE%\Documents\GitHub\eaglep3\Utilities\DownloadLogsFromS3.py --loco 4029 --day 2017-10-28</t>
  </si>
  <si>
    <t>start /low /b %USERPROFILE%\Documents\GitHub\eaglep3\Utilities\DownloadLogsFromS3.py --loco 4003 --day 2017-10-27</t>
  </si>
  <si>
    <t>start /low /b %USERPROFILE%\Documents\GitHub\eaglep3\Utilities\DownloadLogsFromS3.py --loco 4004 --day 2017-10-28</t>
  </si>
  <si>
    <t>128-27</t>
  </si>
  <si>
    <t>MACDONALD THOMAS</t>
  </si>
  <si>
    <t>Operator selected wrong track during init</t>
  </si>
  <si>
    <t>Poor GPS under Wewatta St overpass</t>
  </si>
  <si>
    <t>No initialization, Wi-MAX data drop</t>
  </si>
  <si>
    <t>Observed banner without braking</t>
  </si>
  <si>
    <t>Observed unhealthy xing banner at Ulster due to Wi-MAX data drop</t>
  </si>
  <si>
    <t>Unhealthy xing banner at Chambers due to 40th station stop</t>
  </si>
  <si>
    <t>Prompted for speed 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</si>
</sst>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25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43035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43035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COUNTIFS($N$13:$N$9468,"&gt;0",$AG$13:$AG$9468,I1)</f>
        <v>140</v>
      </c>
      <c r="K5" s="39"/>
      <c r="L5" s="172"/>
      <c r="M5" s="40">
        <f>AVERAGEIFS($N$13:$N$9468,$AG$13:$AG$9468,I1)</f>
        <v>37.051071429400636</v>
      </c>
      <c r="N5" s="38">
        <f t="array" ref="N5">MIN(IF($AG$13:$AG$9468=I1,IF(ISNUMBER($N$13:$N$9468),IF($N$13:$N$9468&gt;0,$N$13:$N$9468))))</f>
        <v>33.950000004842877</v>
      </c>
      <c r="O5" s="3">
        <f t="array" ref="O5">MAX(IF($AG$13:$AG$9468=I1,IF(ISNUMBER($N$13:$N$9468),IF($N$13:$N$9468&gt;0,$N$13:$N$9468))))</f>
        <v>42.116666663205251</v>
      </c>
      <c r="P5" s="2"/>
      <c r="R5" s="163" t="s">
        <v>17</v>
      </c>
      <c r="S5" s="207">
        <f>COUNTIFS($N$13:$N$9468,"&gt;0",$AG$13:$AG$9468,R1)</f>
        <v>49</v>
      </c>
      <c r="T5" s="172"/>
      <c r="U5" s="195"/>
      <c r="V5" s="211">
        <f>AVERAGEIFS($N$13:$N$9468,$AG$13:$AG$9468,R1)</f>
        <v>14.167687074347798</v>
      </c>
      <c r="W5" s="212">
        <f t="array" ref="W5">MIN(IF($AG$13:$AG$9468=R1,IF(ISNUMBER($N$13:$N$9468),IF($N$13:$N$9468&gt;0,$N$13:$N$9468))))</f>
        <v>10.633333325386047</v>
      </c>
      <c r="X5" s="200">
        <f t="array" ref="X5">MAX(IF($AG$13:$AG$9468=R1,IF(ISNUMBER($N$13:$N$9468),IF($N$13:$N$9468&gt;0,$N$13:$N$9468))))</f>
        <v>19.116666672052816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COUNT($O$13:$O$226)</f>
        <v>0</v>
      </c>
      <c r="K6" s="39"/>
      <c r="L6" s="172"/>
      <c r="M6" s="40">
        <f>IFERROR(AVERAGE($O$13:$O$226),0)</f>
        <v>0</v>
      </c>
      <c r="N6" s="38">
        <f>MIN($O$13:$O$226)</f>
        <v>0</v>
      </c>
      <c r="O6" s="3">
        <f>MAX($O$13:$O$226)</f>
        <v>0</v>
      </c>
      <c r="P6" s="2"/>
      <c r="R6" s="164" t="s">
        <v>43</v>
      </c>
      <c r="S6" s="207">
        <f>COUNT($O$13:$O$226)</f>
        <v>0</v>
      </c>
      <c r="T6" s="172"/>
      <c r="U6" s="195"/>
      <c r="V6" s="211">
        <f>IFERROR(AVERAGE($O$13:$O$226),0)</f>
        <v>0</v>
      </c>
      <c r="W6" s="212">
        <f>MIN($O$13:$O$226)</f>
        <v>0</v>
      </c>
      <c r="X6" s="200">
        <f>MAX($O$13:$O$226)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COUNTIFS($P$13:$P$9468,"&gt;0",$AG$13:$AG$9468,I1)</f>
        <v>6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COUNTIFS($P$13:$P$9468,"&gt;0",$AG$13:$AG$9468,R1)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2"/>
      <c r="M8" s="40">
        <f>M5</f>
        <v>37.051071429400636</v>
      </c>
      <c r="N8" s="38">
        <f>N5</f>
        <v>33.950000004842877</v>
      </c>
      <c r="O8" s="3">
        <f>O5</f>
        <v>42.116666663205251</v>
      </c>
      <c r="P8" s="2"/>
      <c r="R8" s="163" t="s">
        <v>16</v>
      </c>
      <c r="S8" s="207">
        <f>S5</f>
        <v>49</v>
      </c>
      <c r="T8" s="172"/>
      <c r="U8" s="195"/>
      <c r="V8" s="211">
        <f>V5</f>
        <v>14.167687074347798</v>
      </c>
      <c r="W8" s="212">
        <f>W5</f>
        <v>10.633333325386047</v>
      </c>
      <c r="X8" s="200">
        <f>X5</f>
        <v>19.116666672052816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0.95890410958904104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- 2017-10-27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AVERAGE(S13:S119)</f>
        <v>0.97877358490566035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364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644</v>
      </c>
      <c r="B13" s="7">
        <v>4018</v>
      </c>
      <c r="C13" s="21" t="s">
        <v>194</v>
      </c>
      <c r="D13" s="21" t="s">
        <v>877</v>
      </c>
      <c r="E13" s="13">
        <v>43035.133252314816</v>
      </c>
      <c r="F13" s="13">
        <v>43035.13559027778</v>
      </c>
      <c r="G13" s="7">
        <v>55</v>
      </c>
      <c r="H13" s="21" t="s">
        <v>878</v>
      </c>
      <c r="I13" s="13">
        <v>43035.159768518519</v>
      </c>
      <c r="J13" s="7">
        <v>0</v>
      </c>
      <c r="K13" s="89" t="str">
        <f>IF(ISEVEN(B13),(B13-1)&amp;"/"&amp;B13,B13&amp;"/"&amp;(B13+1))</f>
        <v>4017/4018</v>
      </c>
      <c r="L13" s="185" t="str">
        <f>VLOOKUP(A13,'Trips&amp;Operators'!$C$1:$G$99911,5,FALSE)</f>
        <v>ROCHA YAOTL</v>
      </c>
      <c r="M13" s="6">
        <f>I13-F13</f>
        <v>2.417824073927477E-2</v>
      </c>
      <c r="N13" s="7">
        <f>24*60*SUM($M13:$M13)</f>
        <v>34.816666664555669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-27T02:11:53-0600',mode:absolute,to:'2017-10-27T04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7.2099999999999997E-2</v>
      </c>
      <c r="Z13" s="204">
        <f>RIGHT(H13,LEN(H13)-4)/10000</f>
        <v>23.332100000000001</v>
      </c>
      <c r="AA13" s="204">
        <f>ABS(Z13-Y13)</f>
        <v>23.26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/stypes="app*4018*20171027*"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4018 --swversion DE.1.0.9.0 --startMP 204:721 --initTime 2017-10-27T03:11:53 --startdatetime 2017-10-27T03:15:15 --delay 55 --endMP 204:233321 --enddatetime 2017-10-27T03:50:04 --enforcementcount 0 &gt;&gt;%USERPROFILE%\Documents\GitHub\eaglep3-reporting\EC\2017-10-27-refined-times.txt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{"issue":{"subject":"","project_id":79,"tracker_id":40,"status_id":1,"priority_id":2,"assigned_to_id":338,"start_date":"2017-10-27","description":"","custom_fields":[{"id":1,"name":"Subdivision","value":"EC"},{"id":4,"name":"Milepost","value":"23.3321"},{"id":17,"name":"Train ID","value":"101-27"},{"id":16,"name":"Locomotive ID","value":"4018"},{"id":130,"name":"Impact","value":""},{"id":150,"name":"Time of Event (Mountain Time)","value":"03:50:04"},{"id":151,"name":"Denver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4018 --day 2017-10-27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09:50:04"},{"id":29,"name":"Sharepoint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-27T02:11:53-0600',mode:absolute,to:'2017-10-27T04:50:04-0600'))&amp;_a=(columns:!('Message%20ID',Summary),filters:!(),index:'emp_*',interval:auto,query:(query_string:(analyze_wildcard:!t,query:'%22rtdc.l.rtdc.4018%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653</v>
      </c>
      <c r="B14" s="7">
        <v>4017</v>
      </c>
      <c r="C14" s="21" t="s">
        <v>194</v>
      </c>
      <c r="D14" s="21" t="s">
        <v>877</v>
      </c>
      <c r="E14" s="13">
        <v>43035.133252314816</v>
      </c>
      <c r="F14" s="13">
        <v>43035.175208333334</v>
      </c>
      <c r="G14" s="7">
        <v>55</v>
      </c>
      <c r="H14" s="21" t="s">
        <v>878</v>
      </c>
      <c r="I14" s="13">
        <v>43035.200543981482</v>
      </c>
      <c r="J14" s="7">
        <v>0</v>
      </c>
      <c r="K14" s="89" t="str">
        <f>IF(ISEVEN(B14),(B14-1)&amp;"/"&amp;B14,B14&amp;"/"&amp;(B14+1))</f>
        <v>4017/4018</v>
      </c>
      <c r="L14" s="185" t="str">
        <f>VLOOKUP(A14,'Trips&amp;Operators'!$C$1:$G$99911,5,FALSE)</f>
        <v>ROCHA YAOTL</v>
      </c>
      <c r="M14" s="6">
        <f>I14-F14</f>
        <v>2.5335648148029577E-2</v>
      </c>
      <c r="N14" s="7">
        <f>24*60*SUM($M14:$M14)</f>
        <v>36.483333333162591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-27T02:11:53-0600',mode:absolute,to:'2017-10-27T05:48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204" t="str">
        <f>IF(AA14&lt;VLOOKUP(AG14,Variables!$AC$3:$AD$8,2,FALSE),"Y","N")</f>
        <v>N</v>
      </c>
      <c r="X14" s="204">
        <f t="shared" ref="X14:X16" si="5">VALUE(LEFT(AD14,4))-VALUE(LEFT(AD13,4))</f>
        <v>1</v>
      </c>
      <c r="Y14" s="204">
        <v>23.299099999999999</v>
      </c>
      <c r="Z14" s="204">
        <v>1.4500000000000001E-2</v>
      </c>
      <c r="AA14" s="204">
        <f>ABS(Z14-Y14)</f>
        <v>23.284599999999998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/stypes="app*4017*20171027*"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" si="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4017 --swversion DE.1.0.9.0 --startMP 204:721 --initTime 2017-10-27T03:11:53 --startdatetime 2017-10-27T04:12:18 --delay 55 --endMP 204:233321 --enddatetime 2017-10-27T04:48:47 --enforcementcount 0 &gt;&gt;%USERPROFILE%\Documents\GitHub\eaglep3-reporting\EC\2017-10-27-refined-times.txt</v>
      </c>
      <c r="AI14" s="96" t="str">
        <f t="shared" ref="AI14" si="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{"issue":{"subject":"","project_id":79,"tracker_id":40,"status_id":1,"priority_id":2,"assigned_to_id":338,"start_date":"2017-10-27","description":"","custom_fields":[{"id":1,"name":"Subdivision","value":"EC"},{"id":4,"name":"Milepost","value":"0.0145"},{"id":17,"name":"Train ID","value":"102-27"},{"id":16,"name":"Locomotive ID","value":"4017"},{"id":130,"name":"Impact","value":""},{"id":150,"name":"Time of Event (Mountain Time)","value":"04:48:47"},{"id":151,"name":"Denver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" si="8">"start /low /b "&amp;dls3logs&amp;" --loco "&amp;B14&amp;" --day "&amp;TEXT(F14,"YYYY-MM-DD")</f>
        <v>start /low /b %USERPROFILE%\Documents\GitHub\eaglep3\Utilities\DownloadLogsFromS3.py --loco 4017 --day 2017-10-27</v>
      </c>
      <c r="AN14" s="151" t="str">
        <f t="shared" ref="AN14" si="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10:48:47"},{"id":29,"name":"Sharepoint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" si="10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-27T02:11:53-0600',mode:absolute,to:'2017-10-27T05:48:47-0600'))&amp;_a=(columns:!('Message%20ID',Summary),filters:!(),index:'emp_*',interval:auto,query:(query_string:(analyze_wildcard:!t,query:'%22rtdc.l.rtdc.4017%22')),sort:!(Time.ISO8601,asc))</v>
      </c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3">
      <c r="A15" s="32" t="s">
        <v>648</v>
      </c>
      <c r="B15" s="7">
        <v>4036</v>
      </c>
      <c r="C15" s="21" t="s">
        <v>194</v>
      </c>
      <c r="D15" s="21" t="s">
        <v>359</v>
      </c>
      <c r="E15" s="13">
        <v>43035.151006944441</v>
      </c>
      <c r="F15" s="13">
        <v>43035.156446759262</v>
      </c>
      <c r="G15" s="7">
        <v>56</v>
      </c>
      <c r="H15" s="21" t="s">
        <v>879</v>
      </c>
      <c r="I15" s="13">
        <v>43035.18141203704</v>
      </c>
      <c r="J15" s="7">
        <v>0</v>
      </c>
      <c r="K15" s="89" t="str">
        <f>IF(ISEVEN(B15),(B15-1)&amp;"/"&amp;B15,B15&amp;"/"&amp;(B15+1))</f>
        <v>4035/4036</v>
      </c>
      <c r="L15" s="185" t="str">
        <f>VLOOKUP(A15,'Trips&amp;Operators'!$C$1:$G$99911,5,FALSE)</f>
        <v>MAELZER KURT</v>
      </c>
      <c r="M15" s="6">
        <f>I15-F15</f>
        <v>2.4965277778392192E-2</v>
      </c>
      <c r="N15" s="7">
        <f>24*60*SUM($M15:$M15)</f>
        <v>35.950000000884756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-27T02:37:27-0600',mode:absolute,to:'2017-10-27T05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" s="204" t="str">
        <f>IF(AA15&lt;VLOOKUP(AG15,Variables!$AC$3:$AD$8,2,FALSE),"Y","N")</f>
        <v>N</v>
      </c>
      <c r="X15" s="204">
        <f t="shared" si="5"/>
        <v>1</v>
      </c>
      <c r="Y15" s="204">
        <f>RIGHT(D15,LEN(D15)-4)/10000</f>
        <v>4.4699999999999997E-2</v>
      </c>
      <c r="Z15" s="204">
        <f>RIGHT(H15,LEN(H15)-4)/10000</f>
        <v>23.3308</v>
      </c>
      <c r="AA15" s="204">
        <f>ABS(Z15-Y15)</f>
        <v>23.286100000000001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/stypes="app*4036*20171027*"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ref="AH15:AH80" si="11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103-27 --locoid 4036 --swversion DE.1.0.9.0 --startMP 204:447 --initTime 2017-10-27T03:37:27 --startdatetime 2017-10-27T03:45:17 --delay 56 --endMP 204:233308 --enddatetime 2017-10-27T04:21:14 --enforcementcount 0 &gt;&gt;%USERPROFILE%\Documents\GitHub\eaglep3-reporting\EC\2017-10-27-refined-times.txt</v>
      </c>
      <c r="AI15" s="96" t="str">
        <f t="shared" ref="AI15:AI80" si="12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{"issue":{"subject":"","project_id":79,"tracker_id":40,"status_id":1,"priority_id":2,"assigned_to_id":338,"start_date":"2017-10-27","description":"","custom_fields":[{"id":1,"name":"Subdivision","value":"EC"},{"id":4,"name":"Milepost","value":"23.3308"},{"id":17,"name":"Train ID","value":"103-27"},{"id":16,"name":"Locomotive ID","value":"4036"},{"id":130,"name":"Impact","value":""},{"id":150,"name":"Time of Event (Mountain Time)","value":"04:21:14"},{"id":151,"name":"Denver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ref="AM15:AM80" si="13">"start /low /b "&amp;dls3logs&amp;" --loco "&amp;B15&amp;" --day "&amp;TEXT(F15,"YYYY-MM-DD")</f>
        <v>start /low /b %USERPROFILE%\Documents\GitHub\eaglep3\Utilities\DownloadLogsFromS3.py --loco 4036 --day 2017-10-27</v>
      </c>
      <c r="AN15" s="151" t="str">
        <f t="shared" ref="AN15:AN80" si="14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ref="AO15:AO80" si="15"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Message%20ID',Summary),filters:!(),index:'emp_*',interval:auto,query:"&amp;"(query_string:(analyze_wildcard:!t,query:'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-27T02:37:27-0600',mode:absolute,to:'2017-10-27T05:21:14-0600'))&amp;_a=(columns:!('Message%20ID',Summary),filters:!(),index:'emp_*',interval:auto,query:(query_string:(analyze_wildcard:!t,query:'%22rtdc.l.rtdc.4036%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657</v>
      </c>
      <c r="B16" s="7">
        <v>4035</v>
      </c>
      <c r="C16" s="21" t="s">
        <v>194</v>
      </c>
      <c r="D16" s="21" t="s">
        <v>880</v>
      </c>
      <c r="E16" s="13">
        <v>43035.189895833333</v>
      </c>
      <c r="F16" s="13">
        <v>43035.196030092593</v>
      </c>
      <c r="G16" s="7">
        <v>50</v>
      </c>
      <c r="H16" s="21" t="s">
        <v>351</v>
      </c>
      <c r="I16" s="13">
        <v>43035.222349537034</v>
      </c>
      <c r="J16" s="7">
        <v>0</v>
      </c>
      <c r="K16" s="89" t="str">
        <f>IF(ISEVEN(B16),(B16-1)&amp;"/"&amp;B16,B16&amp;"/"&amp;(B16+1))</f>
        <v>4035/4036</v>
      </c>
      <c r="L16" s="185" t="str">
        <f>VLOOKUP(A16,'Trips&amp;Operators'!$C$1:$G$99911,5,FALSE)</f>
        <v>MAELZER KURT</v>
      </c>
      <c r="M16" s="6">
        <f>I16-F16</f>
        <v>2.6319444441469386E-2</v>
      </c>
      <c r="N16" s="7">
        <f>24*60*SUM($M16:$M16)</f>
        <v>37.899999995715916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-27T03:33:27-0600',mode:absolute,to:'2017-10-27T06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" s="204" t="str">
        <f>IF(AA16&lt;VLOOKUP(AG16,Variables!$AC$3:$AD$8,2,FALSE),"Y","N")</f>
        <v>N</v>
      </c>
      <c r="X16" s="204">
        <f t="shared" si="5"/>
        <v>1</v>
      </c>
      <c r="Y16" s="204">
        <f>RIGHT(D16,LEN(D16)-4)/10000</f>
        <v>23.299099999999999</v>
      </c>
      <c r="Z16" s="204">
        <f>RIGHT(H16,LEN(H16)-4)/10000</f>
        <v>1.4500000000000001E-2</v>
      </c>
      <c r="AA16" s="204">
        <f>ABS(Z16-Y16)</f>
        <v>23.284599999999998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/stypes="app*4035*20171027*"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11"/>
        <v>"%USERPROFILE%\Documents\GitHub\eaglep3\Utilities\RefineRTDCRunTimes.py" --tripid 104-27 --locoid 4035 --swversion DE.1.0.9.0 --startMP 204:232991 --initTime 2017-10-27T04:33:27 --startdatetime 2017-10-27T04:42:17 --delay 50 --endMP 204:145 --enddatetime 2017-10-27T05:20:11 --enforcementcount 0 &gt;&gt;%USERPROFILE%\Documents\GitHub\eaglep3-reporting\EC\2017-10-27-refined-times.txt</v>
      </c>
      <c r="AI16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{"issue":{"subject":"","project_id":79,"tracker_id":40,"status_id":1,"priority_id":2,"assigned_to_id":338,"start_date":"2017-10-27","description":"","custom_fields":[{"id":1,"name":"Subdivision","value":"EC"},{"id":4,"name":"Milepost","value":"0.0145"},{"id":17,"name":"Train ID","value":"104-27"},{"id":16,"name":"Locomotive ID","value":"4035"},{"id":130,"name":"Impact","value":""},{"id":150,"name":"Time of Event (Mountain Time)","value":"05:20:11"},{"id":151,"name":"Denver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13"/>
        <v>start /low /b %USERPROFILE%\Documents\GitHub\eaglep3\Utilities\DownloadLogsFromS3.py --loco 4035 --day 2017-10-27</v>
      </c>
      <c r="AN16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15"/>
        <v>https://d0f6bd738d7f1b3e5a7ca70fe4ff75f0.us-east-1.aws.found.io/app/kibana#/discover/Steve-Slow-Train-Analysis-(2080s-and-2083s)?_g=(refreshInterval:(display:Off,pause:!f,section:0,value:0),time:(from:'2017-10-27T03:33:27-0600',mode:absolute,to:'2017-10-27T06:20:11-0600'))&amp;_a=(columns:!('Message%20ID',Summary),filters:!(),index:'emp_*',interval:auto,query:(query_string:(analyze_wildcard:!t,query:'%22rtdc.l.rtdc.4035%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654</v>
      </c>
      <c r="B17" s="7">
        <v>4006</v>
      </c>
      <c r="C17" s="21" t="s">
        <v>194</v>
      </c>
      <c r="D17" s="21" t="s">
        <v>609</v>
      </c>
      <c r="E17" s="13">
        <v>43035.174444444441</v>
      </c>
      <c r="F17" s="13">
        <v>43035.177384259259</v>
      </c>
      <c r="G17" s="7">
        <v>65</v>
      </c>
      <c r="H17" s="21" t="s">
        <v>573</v>
      </c>
      <c r="I17" s="13">
        <v>43035.202361111114</v>
      </c>
      <c r="J17" s="7">
        <v>0</v>
      </c>
      <c r="K17" s="89" t="str">
        <f>IF(ISEVEN(B17),(B17-1)&amp;"/"&amp;B17,B17&amp;"/"&amp;(B17+1))</f>
        <v>4005/4006</v>
      </c>
      <c r="L17" s="185" t="str">
        <f>VLOOKUP(A17,'Trips&amp;Operators'!$C$1:$G$99911,5,FALSE)</f>
        <v>DE LA ROSA ALEX</v>
      </c>
      <c r="M17" s="6">
        <f>I17-F17</f>
        <v>2.4976851855171844E-2</v>
      </c>
      <c r="N17" s="7">
        <f>24*60*SUM($M17:$M17)</f>
        <v>35.966666671447456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-27T03:11:12-0600',mode:absolute,to:'2017-10-27T05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5.7099999999999998E-2</v>
      </c>
      <c r="Z17" s="204">
        <f>RIGHT(H17,LEN(H17)-4)/10000</f>
        <v>23.3172</v>
      </c>
      <c r="AA17" s="204">
        <f>ABS(Z17-Y17)</f>
        <v>23.260100000000001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/stypes="app*4006*20171027*"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11"/>
        <v>"%USERPROFILE%\Documents\GitHub\eaglep3\Utilities\RefineRTDCRunTimes.py" --tripid 105-27 --locoid 4006 --swversion DE.1.0.9.0 --startMP 204:571 --initTime 2017-10-27T04:11:12 --startdatetime 2017-10-27T04:15:26 --delay 65 --endMP 204:233172 --enddatetime 2017-10-27T04:51:24 --enforcementcount 0 &gt;&gt;%USERPROFILE%\Documents\GitHub\eaglep3-reporting\EC\2017-10-27-refined-times.txt</v>
      </c>
      <c r="AI17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{"issue":{"subject":"","project_id":79,"tracker_id":40,"status_id":1,"priority_id":2,"assigned_to_id":338,"start_date":"2017-10-27","description":"","custom_fields":[{"id":1,"name":"Subdivision","value":"EC"},{"id":4,"name":"Milepost","value":"23.3172"},{"id":17,"name":"Train ID","value":"105-27"},{"id":16,"name":"Locomotive ID","value":"4006"},{"id":130,"name":"Impact","value":""},{"id":150,"name":"Time of Event (Mountain Time)","value":"04:51:24"},{"id":151,"name":"Denver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13"/>
        <v>start /low /b %USERPROFILE%\Documents\GitHub\eaglep3\Utilities\DownloadLogsFromS3.py --loco 4006 --day 2017-10-27</v>
      </c>
      <c r="AN17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15"/>
        <v>https://d0f6bd738d7f1b3e5a7ca70fe4ff75f0.us-east-1.aws.found.io/app/kibana#/discover/Steve-Slow-Train-Analysis-(2080s-and-2083s)?_g=(refreshInterval:(display:Off,pause:!f,section:0,value:0),time:(from:'2017-10-27T03:11:12-0600',mode:absolute,to:'2017-10-27T05:51:24-0600'))&amp;_a=(columns:!('Message%20ID',Summary),filters:!(),index:'emp_*',interval:auto,query:(query_string:(analyze_wildcard:!t,query:'%22rtdc.l.rtdc.4006%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664</v>
      </c>
      <c r="B18" s="7">
        <v>4005</v>
      </c>
      <c r="C18" s="21" t="s">
        <v>194</v>
      </c>
      <c r="D18" s="21" t="s">
        <v>881</v>
      </c>
      <c r="E18" s="13">
        <v>43035.210277777776</v>
      </c>
      <c r="F18" s="13">
        <v>43035.216898148145</v>
      </c>
      <c r="G18" s="7">
        <v>101</v>
      </c>
      <c r="H18" s="21" t="s">
        <v>882</v>
      </c>
      <c r="I18" s="13">
        <v>43035.243668981479</v>
      </c>
      <c r="J18" s="7">
        <v>0</v>
      </c>
      <c r="K18" s="89" t="str">
        <f>IF(ISEVEN(B18),(B18-1)&amp;"/"&amp;B18,B18&amp;"/"&amp;(B18+1))</f>
        <v>4005/4006</v>
      </c>
      <c r="L18" s="185" t="str">
        <f>VLOOKUP(A18,'Trips&amp;Operators'!$C$1:$G$99911,5,FALSE)</f>
        <v>DE LA ROSA ALEX</v>
      </c>
      <c r="M18" s="6">
        <f>I18-F18</f>
        <v>2.6770833334012423E-2</v>
      </c>
      <c r="N18" s="7">
        <f>24*60*SUM($M18:$M18)</f>
        <v>38.550000000977889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-27T04:02:48-0600',mode:absolute,to:'2017-10-27T06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23.284800000000001</v>
      </c>
      <c r="Z18" s="204">
        <f>RIGHT(H18,LEN(H18)-4)/10000</f>
        <v>2.47E-2</v>
      </c>
      <c r="AA18" s="204">
        <f>ABS(Z18-Y18)</f>
        <v>23.260100000000001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/stypes="app*4005*20171027*"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11"/>
        <v>"%USERPROFILE%\Documents\GitHub\eaglep3\Utilities\RefineRTDCRunTimes.py" --tripid 106-27 --locoid 4005 --swversion DE.1.0.9.0 --startMP 204:232848 --initTime 2017-10-27T05:02:48 --startdatetime 2017-10-27T05:12:20 --delay 101 --endMP 204:247 --enddatetime 2017-10-27T05:50:53 --enforcementcount 0 &gt;&gt;%USERPROFILE%\Documents\GitHub\eaglep3-reporting\EC\2017-10-27-refined-times.txt</v>
      </c>
      <c r="AI18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{"issue":{"subject":"","project_id":79,"tracker_id":40,"status_id":1,"priority_id":2,"assigned_to_id":338,"start_date":"2017-10-27","description":"","custom_fields":[{"id":1,"name":"Subdivision","value":"EC"},{"id":4,"name":"Milepost","value":"0.0247"},{"id":17,"name":"Train ID","value":"106-27"},{"id":16,"name":"Locomotive ID","value":"4005"},{"id":130,"name":"Impact","value":""},{"id":150,"name":"Time of Event (Mountain Time)","value":"05:50:53"},{"id":151,"name":"Denver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13"/>
        <v>start /low /b %USERPROFILE%\Documents\GitHub\eaglep3\Utilities\DownloadLogsFromS3.py --loco 4005 --day 2017-10-27</v>
      </c>
      <c r="AN18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15"/>
        <v>https://d0f6bd738d7f1b3e5a7ca70fe4ff75f0.us-east-1.aws.found.io/app/kibana#/discover/Steve-Slow-Train-Analysis-(2080s-and-2083s)?_g=(refreshInterval:(display:Off,pause:!f,section:0,value:0),time:(from:'2017-10-27T04:02:48-0600',mode:absolute,to:'2017-10-27T06:50:53-0600'))&amp;_a=(columns:!('Message%20ID',Summary),filters:!(),index:'emp_*',interval:auto,query:(query_string:(analyze_wildcard:!t,query:'%22rtdc.l.rtdc.4005%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656</v>
      </c>
      <c r="B19" s="7">
        <v>4016</v>
      </c>
      <c r="C19" s="21" t="s">
        <v>194</v>
      </c>
      <c r="D19" s="21" t="s">
        <v>578</v>
      </c>
      <c r="E19" s="13">
        <v>43035.183645833335</v>
      </c>
      <c r="F19" s="13">
        <v>43035.187673611108</v>
      </c>
      <c r="G19" s="7">
        <v>65</v>
      </c>
      <c r="H19" s="21" t="s">
        <v>883</v>
      </c>
      <c r="I19" s="13">
        <v>43035.21193287037</v>
      </c>
      <c r="J19" s="7">
        <v>0</v>
      </c>
      <c r="K19" s="89" t="str">
        <f>IF(ISEVEN(B19),(B19-1)&amp;"/"&amp;B19,B19&amp;"/"&amp;(B19+1))</f>
        <v>4015/4016</v>
      </c>
      <c r="L19" s="185" t="str">
        <f>VLOOKUP(A19,'Trips&amp;Operators'!$C$1:$G$99911,5,FALSE)</f>
        <v>GEBRETEKLE DAGNEW</v>
      </c>
      <c r="M19" s="6">
        <f>I19-F19</f>
        <v>2.4259259262180422E-2</v>
      </c>
      <c r="N19" s="7">
        <f>24*60*SUM($M19:$M19)</f>
        <v>34.933333337539807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-27T03:24:27-0600',mode:absolute,to:'2017-10-27T06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4.8899999999999999E-2</v>
      </c>
      <c r="Z19" s="204">
        <f>RIGHT(H19,LEN(H19)-4)/10000</f>
        <v>23.325500000000002</v>
      </c>
      <c r="AA19" s="204">
        <f>ABS(Z19-Y19)</f>
        <v>23.276600000000002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 &amp; aws s3 cp s3://rtdc.mdm.uploadarchive.raw/RTDC4016/ "%USERPROFILE%\AppData\Local\Temp\OnboardLogs"\RTDC4016\2017-10-28 --exclude "*" --recursive --include "*20171028*" &amp; "%USERPROFILE%\Documents\GitHub\mrs-test-scripts\Headless Mode &amp; Sideloading\WalkAndUnGZ.bat" "%USERPROFILE%\AppData\Local\Temp\OnboardLogs"\RTDC4016\2017-10-28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/stypes="app*4016*20171027*"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11"/>
        <v>"%USERPROFILE%\Documents\GitHub\eaglep3\Utilities\RefineRTDCRunTimes.py" --tripid 107-27 --locoid 4016 --swversion DE.1.0.9.0 --startMP 204:489 --initTime 2017-10-27T04:24:27 --startdatetime 2017-10-27T04:30:15 --delay 65 --endMP 204:233255 --enddatetime 2017-10-27T05:05:11 --enforcementcount 0 &gt;&gt;%USERPROFILE%\Documents\GitHub\eaglep3-reporting\EC\2017-10-27-refined-times.txt</v>
      </c>
      <c r="AI19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{"issue":{"subject":"","project_id":79,"tracker_id":40,"status_id":1,"priority_id":2,"assigned_to_id":338,"start_date":"2017-10-27","description":"","custom_fields":[{"id":1,"name":"Subdivision","value":"EC"},{"id":4,"name":"Milepost","value":"23.3255"},{"id":17,"name":"Train ID","value":"107-27"},{"id":16,"name":"Locomotive ID","value":"4016"},{"id":130,"name":"Impact","value":""},{"id":150,"name":"Time of Event (Mountain Time)","value":"05:05:11"},{"id":151,"name":"Denver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13"/>
        <v>start /low /b %USERPROFILE%\Documents\GitHub\eaglep3\Utilities\DownloadLogsFromS3.py --loco 4016 --day 2017-10-27</v>
      </c>
      <c r="AN19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15"/>
        <v>https://d0f6bd738d7f1b3e5a7ca70fe4ff75f0.us-east-1.aws.found.io/app/kibana#/discover/Steve-Slow-Train-Analysis-(2080s-and-2083s)?_g=(refreshInterval:(display:Off,pause:!f,section:0,value:0),time:(from:'2017-10-27T03:24:27-0600',mode:absolute,to:'2017-10-27T06:05:11-0600'))&amp;_a=(columns:!('Message%20ID',Summary),filters:!(),index:'emp_*',interval:auto,query:(query_string:(analyze_wildcard:!t,query:'%22rtdc.l.rtdc.4016%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666</v>
      </c>
      <c r="B20" s="7">
        <v>4015</v>
      </c>
      <c r="C20" s="21" t="s">
        <v>194</v>
      </c>
      <c r="D20" s="21" t="s">
        <v>884</v>
      </c>
      <c r="E20" s="13">
        <v>43035.213888888888</v>
      </c>
      <c r="F20" s="13">
        <v>43035.227268518516</v>
      </c>
      <c r="G20" s="7">
        <v>52</v>
      </c>
      <c r="H20" s="21" t="s">
        <v>350</v>
      </c>
      <c r="I20" s="13">
        <v>43035.25335648148</v>
      </c>
      <c r="J20" s="7">
        <v>0</v>
      </c>
      <c r="K20" s="89" t="str">
        <f>IF(ISEVEN(B20),(B20-1)&amp;"/"&amp;B20,B20&amp;"/"&amp;(B20+1))</f>
        <v>4015/4016</v>
      </c>
      <c r="L20" s="185" t="str">
        <f>VLOOKUP(A20,'Trips&amp;Operators'!$C$1:$G$99911,5,FALSE)</f>
        <v>GEBRETEKLE DAGNEW</v>
      </c>
      <c r="M20" s="6">
        <f>I20-F20</f>
        <v>2.6087962964083999E-2</v>
      </c>
      <c r="N20" s="7">
        <f>24*60*SUM($M20:$M20)</f>
        <v>37.566666668280959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-27T04:08:00-0600',mode:absolute,to:'2017-10-27T07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23.2926</v>
      </c>
      <c r="Z20" s="204">
        <f>RIGHT(H20,LEN(H20)-4)/10000</f>
        <v>1.52E-2</v>
      </c>
      <c r="AA20" s="204">
        <f>ABS(Z20-Y20)</f>
        <v>23.2774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 &amp; aws s3 cp s3://rtdc.mdm.uploadarchive.raw/RTDC4015/ "%USERPROFILE%\AppData\Local\Temp\OnboardLogs"\RTDC4015\2017-10-28 --exclude "*" --recursive --include "*20171028*" &amp; "%USERPROFILE%\Documents\GitHub\mrs-test-scripts\Headless Mode &amp; Sideloading\WalkAndUnGZ.bat" "%USERPROFILE%\AppData\Local\Temp\OnboardLogs"\RTDC4015\2017-10-28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/stypes="app*4015*20171027*"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11"/>
        <v>"%USERPROFILE%\Documents\GitHub\eaglep3\Utilities\RefineRTDCRunTimes.py" --tripid 108-27 --locoid 4015 --swversion DE.1.0.9.0 --startMP 204:232926 --initTime 2017-10-27T05:08:00 --startdatetime 2017-10-27T05:27:16 --delay 52 --endMP 204:152 --enddatetime 2017-10-27T06:04:50 --enforcementcount 0 &gt;&gt;%USERPROFILE%\Documents\GitHub\eaglep3-reporting\EC\2017-10-27-refined-times.txt</v>
      </c>
      <c r="AI20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{"issue":{"subject":"","project_id":79,"tracker_id":40,"status_id":1,"priority_id":2,"assigned_to_id":338,"start_date":"2017-10-27","description":"","custom_fields":[{"id":1,"name":"Subdivision","value":"EC"},{"id":4,"name":"Milepost","value":"0.0152"},{"id":17,"name":"Train ID","value":"108-27"},{"id":16,"name":"Locomotive ID","value":"4015"},{"id":130,"name":"Impact","value":""},{"id":150,"name":"Time of Event (Mountain Time)","value":"06:04:50"},{"id":151,"name":"Denver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13"/>
        <v>start /low /b %USERPROFILE%\Documents\GitHub\eaglep3\Utilities\DownloadLogsFromS3.py --loco 4015 --day 2017-10-27</v>
      </c>
      <c r="AN20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15"/>
        <v>https://d0f6bd738d7f1b3e5a7ca70fe4ff75f0.us-east-1.aws.found.io/app/kibana#/discover/Steve-Slow-Train-Analysis-(2080s-and-2083s)?_g=(refreshInterval:(display:Off,pause:!f,section:0,value:0),time:(from:'2017-10-27T04:08:00-0600',mode:absolute,to:'2017-10-27T07:04:50-0600'))&amp;_a=(columns:!('Message%20ID',Summary),filters:!(),index:'emp_*',interval:auto,query:(query_string:(analyze_wildcard:!t,query:'%22rtdc.l.rtdc.4015%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658</v>
      </c>
      <c r="B21" s="7">
        <v>4052</v>
      </c>
      <c r="C21" s="21" t="s">
        <v>194</v>
      </c>
      <c r="D21" s="21" t="s">
        <v>885</v>
      </c>
      <c r="E21" s="13">
        <v>43035.196388888886</v>
      </c>
      <c r="F21" s="13">
        <v>43035.198125000003</v>
      </c>
      <c r="G21" s="7">
        <v>81</v>
      </c>
      <c r="H21" s="21" t="s">
        <v>570</v>
      </c>
      <c r="I21" s="13">
        <v>43035.223298611112</v>
      </c>
      <c r="J21" s="7">
        <v>0</v>
      </c>
      <c r="K21" s="89" t="str">
        <f>IF(ISEVEN(B21),(B21-1)&amp;"/"&amp;B21,B21&amp;"/"&amp;(B21+1))</f>
        <v>4051/4052</v>
      </c>
      <c r="L21" s="185" t="str">
        <f>VLOOKUP(A21,'Trips&amp;Operators'!$C$1:$G$99911,5,FALSE)</f>
        <v>DAVIS WENDY</v>
      </c>
      <c r="M21" s="6">
        <f>I21-F21</f>
        <v>2.5173611109494232E-2</v>
      </c>
      <c r="N21" s="7">
        <f>24*60*SUM($M21:$M21)</f>
        <v>36.249999997671694</v>
      </c>
      <c r="O21" s="7"/>
      <c r="P21" s="7"/>
      <c r="Q21" s="22"/>
      <c r="R21" s="174" t="s">
        <v>385</v>
      </c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-27T03:42:48-0600',mode:absolute,to:'2017-10-27T06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4.6199999999999998E-2</v>
      </c>
      <c r="Z21" s="204">
        <f>RIGHT(H21,LEN(H21)-4)/10000</f>
        <v>23.329499999999999</v>
      </c>
      <c r="AA21" s="204">
        <f>ABS(Z21-Y21)</f>
        <v>23.283300000000001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/stypes="app*4052*20171027*"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11"/>
        <v>"%USERPROFILE%\Documents\GitHub\eaglep3\Utilities\RefineRTDCRunTimes.py" --tripid 109-27 --locoid 4052 --swversion DE.1.0.9.0 --startMP 204:462 --initTime 2017-10-27T04:42:48 --startdatetime 2017-10-27T04:45:18 --delay 81 --endMP 204:233295 --enddatetime 2017-10-27T05:21:33 --enforcementcount 0 &gt;&gt;%USERPROFILE%\Documents\GitHub\eaglep3-reporting\EC\2017-10-27-refined-times.txt</v>
      </c>
      <c r="AI21" s="96" t="str">
        <f t="shared" si="12"/>
        <v>echo {"issue":{"subject":"Wi-MAX data drop","project_id":79,"tracker_id":40,"status_id":1,"priority_id":2,"assigned_to_id":338,"start_date":"2017-10-27","description":"","custom_fields":[{"id":1,"name":"Subdivision","value":"EC"},{"id":4,"name":"Milepost","value":"23.3295"},{"id":17,"name":"Train ID","value":"109-27"},{"id":16,"name":"Locomotive ID","value":"4052"},{"id":130,"name":"Impact","value":""},{"id":150,"name":"Time of Event (Mountain Time)","value":"05:21:33"},{"id":151,"name":"Denver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13"/>
        <v>start /low /b %USERPROFILE%\Documents\GitHub\eaglep3\Utilities\DownloadLogsFromS3.py --loco 4052 --day 2017-10-27</v>
      </c>
      <c r="AN21" s="151" t="str">
        <f t="shared" si="14"/>
        <v>echo {"issue":{"subject":"Wi-MAX data drop","project_id":30,"tracker_id":4,"status_id":1,"priority_id":1,"assigned_to_id":10,"start_date":"2017-10-27","description":"","custom_fields":[{"id":30,"name":"Category","value":"Issue"},{"id":3,"name":"Functional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15"/>
        <v>https://d0f6bd738d7f1b3e5a7ca70fe4ff75f0.us-east-1.aws.found.io/app/kibana#/discover/Steve-Slow-Train-Analysis-(2080s-and-2083s)?_g=(refreshInterval:(display:Off,pause:!f,section:0,value:0),time:(from:'2017-10-27T03:42:48-0600',mode:absolute,to:'2017-10-27T06:21:33-0600'))&amp;_a=(columns:!('Message%20ID',Summary),filters:!(),index:'emp_*',interval:auto,query:(query_string:(analyze_wildcard:!t,query:'%22rtdc.l.rtdc.4052%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669</v>
      </c>
      <c r="B22" s="7">
        <v>4051</v>
      </c>
      <c r="C22" s="21" t="s">
        <v>194</v>
      </c>
      <c r="D22" s="21" t="s">
        <v>886</v>
      </c>
      <c r="E22" s="13">
        <v>43035.226331018515</v>
      </c>
      <c r="F22" s="13">
        <v>43035.237662037034</v>
      </c>
      <c r="G22" s="7">
        <v>46</v>
      </c>
      <c r="H22" s="21" t="s">
        <v>350</v>
      </c>
      <c r="I22" s="13">
        <v>43035.265023148146</v>
      </c>
      <c r="J22" s="7">
        <v>0</v>
      </c>
      <c r="K22" s="89" t="str">
        <f>IF(ISEVEN(B22),(B22-1)&amp;"/"&amp;B22,B22&amp;"/"&amp;(B22+1))</f>
        <v>4051/4052</v>
      </c>
      <c r="L22" s="185" t="str">
        <f>VLOOKUP(A22,'Trips&amp;Operators'!$C$1:$G$99911,5,FALSE)</f>
        <v>DAVIS WENDY</v>
      </c>
      <c r="M22" s="6">
        <f>I22-F22</f>
        <v>2.73611111115315E-2</v>
      </c>
      <c r="N22" s="7">
        <f>24*60*SUM($M22:$M22)</f>
        <v>39.40000000060536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-27T04:25:55-0600',mode:absolute,to:'2017-10-27T07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23.296700000000001</v>
      </c>
      <c r="Z22" s="204">
        <f>RIGHT(H22,LEN(H22)-4)/10000</f>
        <v>1.52E-2</v>
      </c>
      <c r="AA22" s="204">
        <f>ABS(Z22-Y22)</f>
        <v>23.281500000000001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s3://rtdc.mdm.uploadarchive.raw/RTDC4051/ "%USERPROFILE%\AppData\Local\Temp\OnboardLogs"\RTDC4051\2017-10-27 --exclude "*" --recursive --include "*20171027*" &amp; "%USERPROFILE%\Documents\GitHub\mrs-test-scripts\Headless Mode &amp; Sideloading\WalkAndUnGZ.bat" "%USERPROFILE%\AppData\Local\Temp\OnboardLogs"\RTDC4051\2017-10-27 &amp; aws s3 cp s3://rtdc.mdm.uploadarchive.raw/RTDC4051/ "%USERPROFILE%\AppData\Local\Temp\OnboardLogs"\RTDC4051\2017-10-28 --exclude "*" --recursive --include "*20171028*" &amp; "%USERPROFILE%\Documents\GitHub\mrs-test-scripts\Headless Mode &amp; Sideloading\WalkAndUnGZ.bat" "%USERPROFILE%\AppData\Local\Temp\OnboardLogs"\RTDC4051\2017-10-28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/stypes="app*4051*20171027*"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11"/>
        <v>"%USERPROFILE%\Documents\GitHub\eaglep3\Utilities\RefineRTDCRunTimes.py" --tripid 110-27 --locoid 4051 --swversion DE.1.0.9.0 --startMP 204:232967 --initTime 2017-10-27T05:25:55 --startdatetime 2017-10-27T05:42:14 --delay 46 --endMP 204:152 --enddatetime 2017-10-27T06:21:38 --enforcementcount 0 &gt;&gt;%USERPROFILE%\Documents\GitHub\eaglep3-reporting\EC\2017-10-27-refined-times.txt</v>
      </c>
      <c r="AI22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{"issue":{"subject":"","project_id":79,"tracker_id":40,"status_id":1,"priority_id":2,"assigned_to_id":338,"start_date":"2017-10-27","description":"","custom_fields":[{"id":1,"name":"Subdivision","value":"EC"},{"id":4,"name":"Milepost","value":"0.0152"},{"id":17,"name":"Train ID","value":"110-27"},{"id":16,"name":"Locomotive ID","value":"4051"},{"id":130,"name":"Impact","value":""},{"id":150,"name":"Time of Event (Mountain Time)","value":"06:21:38"},{"id":151,"name":"Denver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13"/>
        <v>start /low /b %USERPROFILE%\Documents\GitHub\eaglep3\Utilities\DownloadLogsFromS3.py --loco 4051 --day 2017-10-27</v>
      </c>
      <c r="AN22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15"/>
        <v>https://d0f6bd738d7f1b3e5a7ca70fe4ff75f0.us-east-1.aws.found.io/app/kibana#/discover/Steve-Slow-Train-Analysis-(2080s-and-2083s)?_g=(refreshInterval:(display:Off,pause:!f,section:0,value:0),time:(from:'2017-10-27T04:25:55-0600',mode:absolute,to:'2017-10-27T07:21:38-0600'))&amp;_a=(columns:!('Message%20ID',Summary),filters:!(),index:'emp_*',interval:auto,query:(query_string:(analyze_wildcard:!t,query:'%22rtdc.l.rtdc.4051%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663</v>
      </c>
      <c r="B23" s="7">
        <v>4018</v>
      </c>
      <c r="C23" s="21" t="s">
        <v>194</v>
      </c>
      <c r="D23" s="21" t="s">
        <v>504</v>
      </c>
      <c r="E23" s="13">
        <v>43035.202314814815</v>
      </c>
      <c r="F23" s="13">
        <v>43035.208506944444</v>
      </c>
      <c r="G23" s="7">
        <v>59</v>
      </c>
      <c r="H23" s="21" t="s">
        <v>533</v>
      </c>
      <c r="I23" s="13">
        <v>43035.234317129631</v>
      </c>
      <c r="J23" s="7">
        <v>0</v>
      </c>
      <c r="K23" s="89" t="str">
        <f>IF(ISEVEN(B23),(B23-1)&amp;"/"&amp;B23,B23&amp;"/"&amp;(B23+1))</f>
        <v>4017/4018</v>
      </c>
      <c r="L23" s="185" t="str">
        <f>VLOOKUP(A23,'Trips&amp;Operators'!$C$1:$G$99911,5,FALSE)</f>
        <v>ROCHA YAOTL</v>
      </c>
      <c r="M23" s="6">
        <f>I23-F23</f>
        <v>2.5810185186855961E-2</v>
      </c>
      <c r="N23" s="7">
        <f>24*60*SUM($M23:$M23)</f>
        <v>37.166666669072583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-27T03:51:20-0600',mode:absolute,to:'2017-10-27T06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4.4400000000000002E-2</v>
      </c>
      <c r="Z23" s="204">
        <f>RIGHT(H23,LEN(H23)-4)/10000</f>
        <v>23.330400000000001</v>
      </c>
      <c r="AA23" s="204">
        <f>ABS(Z23-Y23)</f>
        <v>23.286000000000001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/stypes="app*4018*20171027*"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11"/>
        <v>"%USERPROFILE%\Documents\GitHub\eaglep3\Utilities\RefineRTDCRunTimes.py" --tripid 111-27 --locoid 4018 --swversion DE.1.0.9.0 --startMP 204:444 --initTime 2017-10-27T04:51:20 --startdatetime 2017-10-27T05:00:15 --delay 59 --endMP 204:233304 --enddatetime 2017-10-27T05:37:25 --enforcementcount 0 &gt;&gt;%USERPROFILE%\Documents\GitHub\eaglep3-reporting\EC\2017-10-27-refined-times.txt</v>
      </c>
      <c r="AI23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{"issue":{"subject":"","project_id":79,"tracker_id":40,"status_id":1,"priority_id":2,"assigned_to_id":338,"start_date":"2017-10-27","description":"","custom_fields":[{"id":1,"name":"Subdivision","value":"EC"},{"id":4,"name":"Milepost","value":"23.3304"},{"id":17,"name":"Train ID","value":"111-27"},{"id":16,"name":"Locomotive ID","value":"4018"},{"id":130,"name":"Impact","value":""},{"id":150,"name":"Time of Event (Mountain Time)","value":"05:37:25"},{"id":151,"name":"Denver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13"/>
        <v>start /low /b %USERPROFILE%\Documents\GitHub\eaglep3\Utilities\DownloadLogsFromS3.py --loco 4018 --day 2017-10-27</v>
      </c>
      <c r="AN23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15"/>
        <v>https://d0f6bd738d7f1b3e5a7ca70fe4ff75f0.us-east-1.aws.found.io/app/kibana#/discover/Steve-Slow-Train-Analysis-(2080s-and-2083s)?_g=(refreshInterval:(display:Off,pause:!f,section:0,value:0),time:(from:'2017-10-27T03:51:20-0600',mode:absolute,to:'2017-10-27T06:37:25-0600'))&amp;_a=(columns:!('Message%20ID',Summary),filters:!(),index:'emp_*',interval:auto,query:(query_string:(analyze_wildcard:!t,query:'%22rtdc.l.rtdc.4018%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676</v>
      </c>
      <c r="B24" s="7">
        <v>4017</v>
      </c>
      <c r="C24" s="21" t="s">
        <v>194</v>
      </c>
      <c r="D24" s="21" t="s">
        <v>590</v>
      </c>
      <c r="E24" s="13">
        <v>43035.245891203704</v>
      </c>
      <c r="F24" s="13">
        <v>43035.248090277775</v>
      </c>
      <c r="G24" s="7">
        <v>55</v>
      </c>
      <c r="H24" s="21" t="s">
        <v>566</v>
      </c>
      <c r="I24" s="13">
        <v>43035.273981481485</v>
      </c>
      <c r="J24" s="7">
        <v>0</v>
      </c>
      <c r="K24" s="89" t="str">
        <f>IF(ISEVEN(B24),(B24-1)&amp;"/"&amp;B24,B24&amp;"/"&amp;(B24+1))</f>
        <v>4017/4018</v>
      </c>
      <c r="L24" s="185" t="str">
        <f>VLOOKUP(A24,'Trips&amp;Operators'!$C$1:$G$99911,5,FALSE)</f>
        <v>ROCHA YAOTL</v>
      </c>
      <c r="M24" s="6">
        <f>I24-F24</f>
        <v>2.5891203709761612E-2</v>
      </c>
      <c r="N24" s="7">
        <f>24*60*SUM($M24:$M24)</f>
        <v>37.283333342056721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-27T04:54:05-0600',mode:absolute,to:'2017-10-27T07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23.298500000000001</v>
      </c>
      <c r="Z24" s="204">
        <f>RIGHT(H24,LEN(H24)-4)/10000</f>
        <v>1.5599999999999999E-2</v>
      </c>
      <c r="AA24" s="204">
        <f>ABS(Z24-Y24)</f>
        <v>23.282900000000001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/stypes="app*4017*20171027*"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11"/>
        <v>"%USERPROFILE%\Documents\GitHub\eaglep3\Utilities\RefineRTDCRunTimes.py" --tripid 112-27 --locoid 4017 --swversion DE.1.0.9.0 --startMP 204:232985 --initTime 2017-10-27T05:54:05 --startdatetime 2017-10-27T05:57:15 --delay 55 --endMP 204:156 --enddatetime 2017-10-27T06:34:32 --enforcementcount 0 &gt;&gt;%USERPROFILE%\Documents\GitHub\eaglep3-reporting\EC\2017-10-27-refined-times.txt</v>
      </c>
      <c r="AI24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{"issue":{"subject":"","project_id":79,"tracker_id":40,"status_id":1,"priority_id":2,"assigned_to_id":338,"start_date":"2017-10-27","description":"","custom_fields":[{"id":1,"name":"Subdivision","value":"EC"},{"id":4,"name":"Milepost","value":"0.0156"},{"id":17,"name":"Train ID","value":"112-27"},{"id":16,"name":"Locomotive ID","value":"4017"},{"id":130,"name":"Impact","value":""},{"id":150,"name":"Time of Event (Mountain Time)","value":"06:34:32"},{"id":151,"name":"Denver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13"/>
        <v>start /low /b %USERPROFILE%\Documents\GitHub\eaglep3\Utilities\DownloadLogsFromS3.py --loco 4017 --day 2017-10-27</v>
      </c>
      <c r="AN24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15"/>
        <v>https://d0f6bd738d7f1b3e5a7ca70fe4ff75f0.us-east-1.aws.found.io/app/kibana#/discover/Steve-Slow-Train-Analysis-(2080s-and-2083s)?_g=(refreshInterval:(display:Off,pause:!f,section:0,value:0),time:(from:'2017-10-27T04:54:05-0600',mode:absolute,to:'2017-10-27T07:34:32-0600'))&amp;_a=(columns:!('Message%20ID',Summary),filters:!(),index:'emp_*',interval:auto,query:(query_string:(analyze_wildcard:!t,query:'%22rtdc.l.rtdc.4017%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621</v>
      </c>
      <c r="B25" s="7">
        <v>4014</v>
      </c>
      <c r="C25" s="21" t="s">
        <v>194</v>
      </c>
      <c r="D25" s="21" t="s">
        <v>572</v>
      </c>
      <c r="E25" s="13">
        <v>43035.21471064815</v>
      </c>
      <c r="F25" s="13">
        <v>43035.219178240739</v>
      </c>
      <c r="G25" s="7">
        <v>63</v>
      </c>
      <c r="H25" s="21" t="s">
        <v>887</v>
      </c>
      <c r="I25" s="13">
        <v>43035.244722222225</v>
      </c>
      <c r="J25" s="7">
        <v>0</v>
      </c>
      <c r="K25" s="89" t="str">
        <f>IF(ISEVEN(B25),(B25-1)&amp;"/"&amp;B25,B25&amp;"/"&amp;(B25+1))</f>
        <v>4013/4014</v>
      </c>
      <c r="L25" s="185" t="str">
        <f>VLOOKUP(A25,'Trips&amp;Operators'!$C$1:$G$99911,5,FALSE)</f>
        <v>MACDONALD THOMAS</v>
      </c>
      <c r="M25" s="6">
        <f>I25-F25</f>
        <v>2.5543981486407574E-2</v>
      </c>
      <c r="N25" s="7">
        <f>24*60*SUM($M25:$M25)</f>
        <v>36.783333340426907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-27T04:09:11-0600',mode:absolute,to:'2017-10-27T06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4.5100000000000001E-2</v>
      </c>
      <c r="Z25" s="204">
        <f>RIGHT(H25,LEN(H25)-4)/10000</f>
        <v>23.3307</v>
      </c>
      <c r="AA25" s="204">
        <f>ABS(Z25-Y25)</f>
        <v>23.285599999999999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s3://rtdc.mdm.uploadarchive.raw/RTDC4014/ "%USERPROFILE%\AppData\Local\Temp\OnboardLogs"\RTDC4014\2017-10-27 --exclude "*" --recursive --include "*20171027*" &amp; "%USERPROFILE%\Documents\GitHub\mrs-test-scripts\Headless Mode &amp; Sideloading\WalkAndUnGZ.bat" "%USERPROFILE%\AppData\Local\Temp\OnboardLogs"\RTDC4014\2017-10-27 &amp; aws s3 cp s3://rtdc.mdm.uploadarchive.raw/RTDC4014/ "%USERPROFILE%\AppData\Local\Temp\OnboardLogs"\RTDC4014\2017-10-28 --exclude "*" --recursive --include "*20171028*" &amp; "%USERPROFILE%\Documents\GitHub\mrs-test-scripts\Headless Mode &amp; Sideloading\WalkAndUnGZ.bat" "%USERPROFILE%\AppData\Local\Temp\OnboardLogs"\RTDC4014\2017-10-28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/stypes="app*4014*20171027*"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11"/>
        <v>"%USERPROFILE%\Documents\GitHub\eaglep3\Utilities\RefineRTDCRunTimes.py" --tripid 113-27 --locoid 4014 --swversion DE.1.0.9.0 --startMP 204:451 --initTime 2017-10-27T05:09:11 --startdatetime 2017-10-27T05:15:37 --delay 63 --endMP 204:233307 --enddatetime 2017-10-27T05:52:24 --enforcementcount 0 &gt;&gt;%USERPROFILE%\Documents\GitHub\eaglep3-reporting\EC\2017-10-27-refined-times.txt</v>
      </c>
      <c r="AI25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{"issue":{"subject":"","project_id":79,"tracker_id":40,"status_id":1,"priority_id":2,"assigned_to_id":338,"start_date":"2017-10-27","description":"","custom_fields":[{"id":1,"name":"Subdivision","value":"EC"},{"id":4,"name":"Milepost","value":"23.3307"},{"id":17,"name":"Train ID","value":"113-27"},{"id":16,"name":"Locomotive ID","value":"4014"},{"id":130,"name":"Impact","value":""},{"id":150,"name":"Time of Event (Mountain Time)","value":"05:52:24"},{"id":151,"name":"Denver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13"/>
        <v>start /low /b %USERPROFILE%\Documents\GitHub\eaglep3\Utilities\DownloadLogsFromS3.py --loco 4014 --day 2017-10-27</v>
      </c>
      <c r="AN25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15"/>
        <v>https://d0f6bd738d7f1b3e5a7ca70fe4ff75f0.us-east-1.aws.found.io/app/kibana#/discover/Steve-Slow-Train-Analysis-(2080s-and-2083s)?_g=(refreshInterval:(display:Off,pause:!f,section:0,value:0),time:(from:'2017-10-27T04:09:11-0600',mode:absolute,to:'2017-10-27T06:52:24-0600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678</v>
      </c>
      <c r="B26" s="7">
        <v>4013</v>
      </c>
      <c r="C26" s="21" t="s">
        <v>194</v>
      </c>
      <c r="D26" s="21" t="s">
        <v>888</v>
      </c>
      <c r="E26" s="13">
        <v>43035.246979166666</v>
      </c>
      <c r="F26" s="13">
        <v>43035.259212962963</v>
      </c>
      <c r="G26" s="7">
        <v>46</v>
      </c>
      <c r="H26" s="21" t="s">
        <v>889</v>
      </c>
      <c r="I26" s="13">
        <v>43035.286354166667</v>
      </c>
      <c r="J26" s="7">
        <v>0</v>
      </c>
      <c r="K26" s="89" t="str">
        <f>IF(ISEVEN(B26),(B26-1)&amp;"/"&amp;B26,B26&amp;"/"&amp;(B26+1))</f>
        <v>4013/4014</v>
      </c>
      <c r="L26" s="185" t="str">
        <f>VLOOKUP(A26,'Trips&amp;Operators'!$C$1:$G$99911,5,FALSE)</f>
        <v>MACDONALD THOMAS</v>
      </c>
      <c r="M26" s="6">
        <f>I26-F26</f>
        <v>2.7141203703649808E-2</v>
      </c>
      <c r="N26" s="7">
        <f>24*60*SUM($M26:$M26)</f>
        <v>39.083333333255723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-27T04:55:39-0600',mode:absolute,to:'2017-10-27T07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23.296299999999999</v>
      </c>
      <c r="Z26" s="204">
        <f>RIGHT(H26,LEN(H26)-4)/10000</f>
        <v>1.6299999999999999E-2</v>
      </c>
      <c r="AA26" s="204">
        <f>ABS(Z26-Y26)</f>
        <v>23.279999999999998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/stypes="app*4013*20171027*"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11"/>
        <v>"%USERPROFILE%\Documents\GitHub\eaglep3\Utilities\RefineRTDCRunTimes.py" --tripid 114-27 --locoid 4013 --swversion DE.1.0.9.0 --startMP 204:232963 --initTime 2017-10-27T05:55:39 --startdatetime 2017-10-27T06:13:16 --delay 46 --endMP 204:163 --enddatetime 2017-10-27T06:52:21 --enforcementcount 0 &gt;&gt;%USERPROFILE%\Documents\GitHub\eaglep3-reporting\EC\2017-10-27-refined-times.txt</v>
      </c>
      <c r="AI26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{"issue":{"subject":"","project_id":79,"tracker_id":40,"status_id":1,"priority_id":2,"assigned_to_id":338,"start_date":"2017-10-27","description":"","custom_fields":[{"id":1,"name":"Subdivision","value":"EC"},{"id":4,"name":"Milepost","value":"0.0163"},{"id":17,"name":"Train ID","value":"114-27"},{"id":16,"name":"Locomotive ID","value":"4013"},{"id":130,"name":"Impact","value":""},{"id":150,"name":"Time of Event (Mountain Time)","value":"06:52:21"},{"id":151,"name":"Denver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13"/>
        <v>start /low /b %USERPROFILE%\Documents\GitHub\eaglep3\Utilities\DownloadLogsFromS3.py --loco 4013 --day 2017-10-27</v>
      </c>
      <c r="AN26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15"/>
        <v>https://d0f6bd738d7f1b3e5a7ca70fe4ff75f0.us-east-1.aws.found.io/app/kibana#/discover/Steve-Slow-Train-Analysis-(2080s-and-2083s)?_g=(refreshInterval:(display:Off,pause:!f,section:0,value:0),time:(from:'2017-10-27T04:55:39-0600',mode:absolute,to:'2017-10-27T07:52:21-0600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668</v>
      </c>
      <c r="B27" s="7">
        <v>4036</v>
      </c>
      <c r="C27" s="21" t="s">
        <v>194</v>
      </c>
      <c r="D27" s="21" t="s">
        <v>359</v>
      </c>
      <c r="E27" s="13">
        <v>43035.22619212963</v>
      </c>
      <c r="F27" s="13">
        <v>43035.229467592595</v>
      </c>
      <c r="G27" s="7">
        <v>51</v>
      </c>
      <c r="H27" s="21" t="s">
        <v>890</v>
      </c>
      <c r="I27" s="13">
        <v>43035.255972222221</v>
      </c>
      <c r="J27" s="7">
        <v>0</v>
      </c>
      <c r="K27" s="89" t="str">
        <f>IF(ISEVEN(B27),(B27-1)&amp;"/"&amp;B27,B27&amp;"/"&amp;(B27+1))</f>
        <v>4035/4036</v>
      </c>
      <c r="L27" s="185" t="str">
        <f>VLOOKUP(A27,'Trips&amp;Operators'!$C$1:$G$99911,5,FALSE)</f>
        <v>MAELZER KURT</v>
      </c>
      <c r="M27" s="6">
        <f>I27-F27</f>
        <v>2.6504629626288079E-2</v>
      </c>
      <c r="N27" s="7">
        <f>24*60*SUM($M27:$M27)</f>
        <v>38.166666661854833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-27T04:25:43-0600',mode:absolute,to:'2017-10-27T07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4.4699999999999997E-2</v>
      </c>
      <c r="Z27" s="204">
        <f>RIGHT(H27,LEN(H27)-4)/10000</f>
        <v>23.331499999999998</v>
      </c>
      <c r="AA27" s="204">
        <f>ABS(Z27-Y27)</f>
        <v>23.286799999999999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/stypes="app*4036*20171027*"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11"/>
        <v>"%USERPROFILE%\Documents\GitHub\eaglep3\Utilities\RefineRTDCRunTimes.py" --tripid 115-27 --locoid 4036 --swversion DE.1.0.9.0 --startMP 204:447 --initTime 2017-10-27T05:25:43 --startdatetime 2017-10-27T05:30:26 --delay 51 --endMP 204:233315 --enddatetime 2017-10-27T06:08:36 --enforcementcount 0 &gt;&gt;%USERPROFILE%\Documents\GitHub\eaglep3-reporting\EC\2017-10-27-refined-times.txt</v>
      </c>
      <c r="AI27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{"issue":{"subject":"","project_id":79,"tracker_id":40,"status_id":1,"priority_id":2,"assigned_to_id":338,"start_date":"2017-10-27","description":"","custom_fields":[{"id":1,"name":"Subdivision","value":"EC"},{"id":4,"name":"Milepost","value":"23.3315"},{"id":17,"name":"Train ID","value":"115-27"},{"id":16,"name":"Locomotive ID","value":"4036"},{"id":130,"name":"Impact","value":""},{"id":150,"name":"Time of Event (Mountain Time)","value":"06:08:36"},{"id":151,"name":"Denver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13"/>
        <v>start /low /b %USERPROFILE%\Documents\GitHub\eaglep3\Utilities\DownloadLogsFromS3.py --loco 4036 --day 2017-10-27</v>
      </c>
      <c r="AN27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15"/>
        <v>https://d0f6bd738d7f1b3e5a7ca70fe4ff75f0.us-east-1.aws.found.io/app/kibana#/discover/Steve-Slow-Train-Analysis-(2080s-and-2083s)?_g=(refreshInterval:(display:Off,pause:!f,section:0,value:0),time:(from:'2017-10-27T04:25:43-0600',mode:absolute,to:'2017-10-27T07:08:36-0600'))&amp;_a=(columns:!('Message%20ID',Summary),filters:!(),index:'emp_*',interval:auto,query:(query_string:(analyze_wildcard:!t,query:'%22rtdc.l.rtdc.4036%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683</v>
      </c>
      <c r="B28" s="7">
        <v>4035</v>
      </c>
      <c r="C28" s="21" t="s">
        <v>194</v>
      </c>
      <c r="D28" s="21" t="s">
        <v>880</v>
      </c>
      <c r="E28" s="13">
        <v>43035.264652777776</v>
      </c>
      <c r="F28" s="13">
        <v>43035.268993055557</v>
      </c>
      <c r="G28" s="7">
        <v>56</v>
      </c>
      <c r="H28" s="21" t="s">
        <v>384</v>
      </c>
      <c r="I28" s="13">
        <v>43035.295706018522</v>
      </c>
      <c r="J28" s="7">
        <v>0</v>
      </c>
      <c r="K28" s="89" t="str">
        <f>IF(ISEVEN(B28),(B28-1)&amp;"/"&amp;B28,B28&amp;"/"&amp;(B28+1))</f>
        <v>4035/4036</v>
      </c>
      <c r="L28" s="185" t="str">
        <f>VLOOKUP(A28,'Trips&amp;Operators'!$C$1:$G$99911,5,FALSE)</f>
        <v>MAELZER KURT</v>
      </c>
      <c r="M28" s="6">
        <f>I28-F28</f>
        <v>2.6712962964666076E-2</v>
      </c>
      <c r="N28" s="7">
        <f>24*60*SUM($M28:$M28)</f>
        <v>38.466666669119149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-27T05:21:06-0600',mode:absolute,to:'2017-10-27T08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23.299099999999999</v>
      </c>
      <c r="Z28" s="204">
        <f>RIGHT(H28,LEN(H28)-4)/10000</f>
        <v>1.41E-2</v>
      </c>
      <c r="AA28" s="204">
        <f>ABS(Z28-Y28)</f>
        <v>23.285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/stypes="app*4035*20171027*"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11"/>
        <v>"%USERPROFILE%\Documents\GitHub\eaglep3\Utilities\RefineRTDCRunTimes.py" --tripid 116-27 --locoid 4035 --swversion DE.1.0.9.0 --startMP 204:232991 --initTime 2017-10-27T06:21:06 --startdatetime 2017-10-27T06:27:21 --delay 56 --endMP 204:141 --enddatetime 2017-10-27T07:05:49 --enforcementcount 0 &gt;&gt;%USERPROFILE%\Documents\GitHub\eaglep3-reporting\EC\2017-10-27-refined-times.txt</v>
      </c>
      <c r="AI28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{"issue":{"subject":"","project_id":79,"tracker_id":40,"status_id":1,"priority_id":2,"assigned_to_id":338,"start_date":"2017-10-27","description":"","custom_fields":[{"id":1,"name":"Subdivision","value":"EC"},{"id":4,"name":"Milepost","value":"0.0141"},{"id":17,"name":"Train ID","value":"116-27"},{"id":16,"name":"Locomotive ID","value":"4035"},{"id":130,"name":"Impact","value":""},{"id":150,"name":"Time of Event (Mountain Time)","value":"07:05:49"},{"id":151,"name":"Denver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13"/>
        <v>start /low /b %USERPROFILE%\Documents\GitHub\eaglep3\Utilities\DownloadLogsFromS3.py --loco 4035 --day 2017-10-27</v>
      </c>
      <c r="AN28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15"/>
        <v>https://d0f6bd738d7f1b3e5a7ca70fe4ff75f0.us-east-1.aws.found.io/app/kibana#/discover/Steve-Slow-Train-Analysis-(2080s-and-2083s)?_g=(refreshInterval:(display:Off,pause:!f,section:0,value:0),time:(from:'2017-10-27T05:21:06-0600',mode:absolute,to:'2017-10-27T08:05:49-0600'))&amp;_a=(columns:!('Message%20ID',Summary),filters:!(),index:'emp_*',interval:auto,query:(query_string:(analyze_wildcard:!t,query:'%22rtdc.l.rtdc.4035%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671</v>
      </c>
      <c r="B29" s="7">
        <v>4056</v>
      </c>
      <c r="C29" s="21" t="s">
        <v>194</v>
      </c>
      <c r="D29" s="21" t="s">
        <v>572</v>
      </c>
      <c r="E29" s="13">
        <v>43035.226261574076</v>
      </c>
      <c r="F29" s="13">
        <v>43035.239756944444</v>
      </c>
      <c r="G29" s="7">
        <v>56</v>
      </c>
      <c r="H29" s="21" t="s">
        <v>574</v>
      </c>
      <c r="I29" s="13">
        <v>43035.263923611114</v>
      </c>
      <c r="J29" s="7">
        <v>0</v>
      </c>
      <c r="K29" s="89" t="str">
        <f>IF(ISEVEN(B29),(B29-1)&amp;"/"&amp;B29,B29&amp;"/"&amp;(B29+1))</f>
        <v>4055/4056</v>
      </c>
      <c r="L29" s="185" t="str">
        <f>VLOOKUP(A29,'Trips&amp;Operators'!$C$1:$G$99911,5,FALSE)</f>
        <v>YANAI IAN</v>
      </c>
      <c r="M29" s="6">
        <f>I29-F29</f>
        <v>2.4166666669771075E-2</v>
      </c>
      <c r="N29" s="7">
        <f>24*60*SUM($M29:$M29)</f>
        <v>34.800000004470348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-27T04:25:49-0600',mode:absolute,to:'2017-10-27T07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4.5100000000000001E-2</v>
      </c>
      <c r="Z29" s="204">
        <f>RIGHT(H29,LEN(H29)-4)/10000</f>
        <v>23.3186</v>
      </c>
      <c r="AA29" s="204">
        <f>ABS(Z29-Y29)</f>
        <v>23.273499999999999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s3://rtdc.mdm.uploadarchive.raw/RTDC4056/ "%USERPROFILE%\AppData\Local\Temp\OnboardLogs"\RTDC4056\2017-10-27 --exclude "*" --recursive --include "*20171027*" &amp; "%USERPROFILE%\Documents\GitHub\mrs-test-scripts\Headless Mode &amp; Sideloading\WalkAndUnGZ.bat" "%USERPROFILE%\AppData\Local\Temp\OnboardLogs"\RTDC4056\2017-10-27 &amp; 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/stypes="app*4056*20171027*"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11"/>
        <v>"%USERPROFILE%\Documents\GitHub\eaglep3\Utilities\RefineRTDCRunTimes.py" --tripid 117-27 --locoid 4056 --swversion DE.1.0.9.0 --startMP 204:451 --initTime 2017-10-27T05:25:49 --startdatetime 2017-10-27T05:45:15 --delay 56 --endMP 204:233186 --enddatetime 2017-10-27T06:20:03 --enforcementcount 0 &gt;&gt;%USERPROFILE%\Documents\GitHub\eaglep3-reporting\EC\2017-10-27-refined-times.txt</v>
      </c>
      <c r="AI29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{"issue":{"subject":"","project_id":79,"tracker_id":40,"status_id":1,"priority_id":2,"assigned_to_id":338,"start_date":"2017-10-27","description":"","custom_fields":[{"id":1,"name":"Subdivision","value":"EC"},{"id":4,"name":"Milepost","value":"23.3186"},{"id":17,"name":"Train ID","value":"117-27"},{"id":16,"name":"Locomotive ID","value":"4056"},{"id":130,"name":"Impact","value":""},{"id":150,"name":"Time of Event (Mountain Time)","value":"06:20:03"},{"id":151,"name":"Denver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13"/>
        <v>start /low /b %USERPROFILE%\Documents\GitHub\eaglep3\Utilities\DownloadLogsFromS3.py --loco 4056 --day 2017-10-27</v>
      </c>
      <c r="AN29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15"/>
        <v>https://d0f6bd738d7f1b3e5a7ca70fe4ff75f0.us-east-1.aws.found.io/app/kibana#/discover/Steve-Slow-Train-Analysis-(2080s-and-2083s)?_g=(refreshInterval:(display:Off,pause:!f,section:0,value:0),time:(from:'2017-10-27T04:25:49-0600',mode:absolute,to:'2017-10-27T07:20:03-0600'))&amp;_a=(columns:!('Message%20ID',Summary),filters:!(),index:'emp_*',interval:auto,query:(query_string:(analyze_wildcard:!t,query:'%22rtdc.l.rtdc.4056%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684</v>
      </c>
      <c r="B30" s="7">
        <v>4055</v>
      </c>
      <c r="C30" s="21" t="s">
        <v>194</v>
      </c>
      <c r="D30" s="21" t="s">
        <v>585</v>
      </c>
      <c r="E30" s="13">
        <v>43035.264988425923</v>
      </c>
      <c r="F30" s="13">
        <v>43035.279340277775</v>
      </c>
      <c r="G30" s="7">
        <v>51</v>
      </c>
      <c r="H30" s="21" t="s">
        <v>335</v>
      </c>
      <c r="I30" s="13">
        <v>43035.305763888886</v>
      </c>
      <c r="J30" s="7">
        <v>0</v>
      </c>
      <c r="K30" s="89" t="str">
        <f>IF(ISEVEN(B30),(B30-1)&amp;"/"&amp;B30,B30&amp;"/"&amp;(B30+1))</f>
        <v>4055/4056</v>
      </c>
      <c r="L30" s="185" t="str">
        <f>VLOOKUP(A30,'Trips&amp;Operators'!$C$1:$G$99911,5,FALSE)</f>
        <v>YANAI IAN</v>
      </c>
      <c r="M30" s="6">
        <f>I30-F30</f>
        <v>2.6423611110658385E-2</v>
      </c>
      <c r="N30" s="7">
        <f>24*60*SUM($M30:$M30)</f>
        <v>38.049999999348074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-27T05:21:35-0600',mode:absolute,to:'2017-10-27T08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23.285699999999999</v>
      </c>
      <c r="Z30" s="204">
        <f>RIGHT(H30,LEN(H30)-4)/10000</f>
        <v>1.4999999999999999E-2</v>
      </c>
      <c r="AA30" s="204">
        <f>ABS(Z30-Y30)</f>
        <v>23.270699999999998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s3://rtdc.mdm.uploadarchive.raw/RTDC4055/ "%USERPROFILE%\AppData\Local\Temp\OnboardLogs"\RTDC4055\2017-10-27 --exclude "*" --recursive --include "*20171027*" &amp; "%USERPROFILE%\Documents\GitHub\mrs-test-scripts\Headless Mode &amp; Sideloading\WalkAndUnGZ.bat" "%USERPROFILE%\AppData\Local\Temp\OnboardLogs"\RTDC4055\2017-10-27 &amp; aws s3 cp s3://rtdc.mdm.uploadarchive.raw/RTDC4055/ "%USERPROFILE%\AppData\Local\Temp\OnboardLogs"\RTDC4055\2017-10-28 --exclude "*" --recursive --include "*20171028*" &amp; "%USERPROFILE%\Documents\GitHub\mrs-test-scripts\Headless Mode &amp; Sideloading\WalkAndUnGZ.bat" "%USERPROFILE%\AppData\Local\Temp\OnboardLogs"\RTDC4055\2017-10-28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/stypes="app*4055*20171027*"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11"/>
        <v>"%USERPROFILE%\Documents\GitHub\eaglep3\Utilities\RefineRTDCRunTimes.py" --tripid 118-27 --locoid 4055 --swversion DE.1.0.9.0 --startMP 204:232857 --initTime 2017-10-27T06:21:35 --startdatetime 2017-10-27T06:42:15 --delay 51 --endMP 204:150 --enddatetime 2017-10-27T07:20:18 --enforcementcount 0 &gt;&gt;%USERPROFILE%\Documents\GitHub\eaglep3-reporting\EC\2017-10-27-refined-times.txt</v>
      </c>
      <c r="AI30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{"issue":{"subject":"","project_id":79,"tracker_id":40,"status_id":1,"priority_id":2,"assigned_to_id":338,"start_date":"2017-10-27","description":"","custom_fields":[{"id":1,"name":"Subdivision","value":"EC"},{"id":4,"name":"Milepost","value":"0.015"},{"id":17,"name":"Train ID","value":"118-27"},{"id":16,"name":"Locomotive ID","value":"4055"},{"id":130,"name":"Impact","value":""},{"id":150,"name":"Time of Event (Mountain Time)","value":"07:20:18"},{"id":151,"name":"Denver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13"/>
        <v>start /low /b %USERPROFILE%\Documents\GitHub\eaglep3\Utilities\DownloadLogsFromS3.py --loco 4055 --day 2017-10-27</v>
      </c>
      <c r="AN30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15"/>
        <v>https://d0f6bd738d7f1b3e5a7ca70fe4ff75f0.us-east-1.aws.found.io/app/kibana#/discover/Steve-Slow-Train-Analysis-(2080s-and-2083s)?_g=(refreshInterval:(display:Off,pause:!f,section:0,value:0),time:(from:'2017-10-27T05:21:35-0600',mode:absolute,to:'2017-10-27T08:20:18-0600'))&amp;_a=(columns:!('Message%20ID',Summary),filters:!(),index:'emp_*',interval:auto,query:(query_string:(analyze_wildcard:!t,query:'%22rtdc.l.rtdc.4055%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677</v>
      </c>
      <c r="B31" s="7">
        <v>4006</v>
      </c>
      <c r="C31" s="21" t="s">
        <v>194</v>
      </c>
      <c r="D31" s="21" t="s">
        <v>891</v>
      </c>
      <c r="E31" s="13">
        <v>43035.245925925927</v>
      </c>
      <c r="F31" s="13">
        <v>43035.250393518516</v>
      </c>
      <c r="G31" s="7">
        <v>59</v>
      </c>
      <c r="H31" s="21" t="s">
        <v>575</v>
      </c>
      <c r="I31" s="13">
        <v>43035.276261574072</v>
      </c>
      <c r="J31" s="7">
        <v>0</v>
      </c>
      <c r="K31" s="89" t="str">
        <f>IF(ISEVEN(B31),(B31-1)&amp;"/"&amp;B31,B31&amp;"/"&amp;(B31+1))</f>
        <v>4005/4006</v>
      </c>
      <c r="L31" s="185" t="str">
        <f>VLOOKUP(A31,'Trips&amp;Operators'!$C$1:$G$99911,5,FALSE)</f>
        <v>DE LA ROSA ALEX</v>
      </c>
      <c r="M31" s="6">
        <f>I31-F31</f>
        <v>2.5868055556202307E-2</v>
      </c>
      <c r="N31" s="7">
        <f>24*60*SUM($M31:$M31)</f>
        <v>37.250000000931323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-27T04:54:08-0600',mode:absolute,to:'2017-10-27T07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5.7000000000000002E-2</v>
      </c>
      <c r="Z31" s="204">
        <f>RIGHT(H31,LEN(H31)-4)/10000</f>
        <v>23.319800000000001</v>
      </c>
      <c r="AA31" s="204">
        <f>ABS(Z31-Y31)</f>
        <v>23.262800000000002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/stypes="app*4006*20171027*"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11"/>
        <v>"%USERPROFILE%\Documents\GitHub\eaglep3\Utilities\RefineRTDCRunTimes.py" --tripid 119-27 --locoid 4006 --swversion DE.1.0.9.0 --startMP 204:570 --initTime 2017-10-27T05:54:08 --startdatetime 2017-10-27T06:00:34 --delay 59 --endMP 204:233198 --enddatetime 2017-10-27T06:37:49 --enforcementcount 0 &gt;&gt;%USERPROFILE%\Documents\GitHub\eaglep3-reporting\EC\2017-10-27-refined-times.txt</v>
      </c>
      <c r="AI31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{"issue":{"subject":"","project_id":79,"tracker_id":40,"status_id":1,"priority_id":2,"assigned_to_id":338,"start_date":"2017-10-27","description":"","custom_fields":[{"id":1,"name":"Subdivision","value":"EC"},{"id":4,"name":"Milepost","value":"23.3198"},{"id":17,"name":"Train ID","value":"119-27"},{"id":16,"name":"Locomotive ID","value":"4006"},{"id":130,"name":"Impact","value":""},{"id":150,"name":"Time of Event (Mountain Time)","value":"06:37:49"},{"id":151,"name":"Denver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13"/>
        <v>start /low /b %USERPROFILE%\Documents\GitHub\eaglep3\Utilities\DownloadLogsFromS3.py --loco 4006 --day 2017-10-27</v>
      </c>
      <c r="AN31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15"/>
        <v>https://d0f6bd738d7f1b3e5a7ca70fe4ff75f0.us-east-1.aws.found.io/app/kibana#/discover/Steve-Slow-Train-Analysis-(2080s-and-2083s)?_g=(refreshInterval:(display:Off,pause:!f,section:0,value:0),time:(from:'2017-10-27T04:54:08-0600',mode:absolute,to:'2017-10-27T07:37:49-0600'))&amp;_a=(columns:!('Message%20ID',Summary),filters:!(),index:'emp_*',interval:auto,query:(query_string:(analyze_wildcard:!t,query:'%22rtdc.l.rtdc.4006%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690</v>
      </c>
      <c r="B32" s="7">
        <v>4005</v>
      </c>
      <c r="C32" s="21" t="s">
        <v>194</v>
      </c>
      <c r="D32" s="21" t="s">
        <v>505</v>
      </c>
      <c r="E32" s="13">
        <v>43035.287291666667</v>
      </c>
      <c r="F32" s="13">
        <v>43035.289768518516</v>
      </c>
      <c r="G32" s="7">
        <v>61</v>
      </c>
      <c r="H32" s="21" t="s">
        <v>605</v>
      </c>
      <c r="I32" s="13">
        <v>43035.316134259258</v>
      </c>
      <c r="J32" s="7">
        <v>0</v>
      </c>
      <c r="K32" s="89" t="str">
        <f>IF(ISEVEN(B32),(B32-1)&amp;"/"&amp;B32,B32&amp;"/"&amp;(B32+1))</f>
        <v>4005/4006</v>
      </c>
      <c r="L32" s="185" t="str">
        <f>VLOOKUP(A32,'Trips&amp;Operators'!$C$1:$G$99911,5,FALSE)</f>
        <v>DE LA ROSA ALEX</v>
      </c>
      <c r="M32" s="6">
        <f>I32-F32</f>
        <v>2.6365740741312038E-2</v>
      </c>
      <c r="N32" s="7">
        <f>24*60*SUM($M32:$M32)</f>
        <v>37.966666667489335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-27T05:53:42-0600',mode:absolute,to:'2017-10-27T08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23.2879</v>
      </c>
      <c r="Z32" s="204">
        <f>RIGHT(H32,LEN(H32)-4)/10000</f>
        <v>2.5100000000000001E-2</v>
      </c>
      <c r="AA32" s="204">
        <f>ABS(Z32-Y32)</f>
        <v>23.262800000000002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/stypes="app*4005*20171027*"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11"/>
        <v>"%USERPROFILE%\Documents\GitHub\eaglep3\Utilities\RefineRTDCRunTimes.py" --tripid 120-27 --locoid 4005 --swversion DE.1.0.9.0 --startMP 204:232879 --initTime 2017-10-27T06:53:42 --startdatetime 2017-10-27T06:57:16 --delay 61 --endMP 204:251 --enddatetime 2017-10-27T07:35:14 --enforcementcount 0 &gt;&gt;%USERPROFILE%\Documents\GitHub\eaglep3-reporting\EC\2017-10-27-refined-times.txt</v>
      </c>
      <c r="AI32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{"issue":{"subject":"","project_id":79,"tracker_id":40,"status_id":1,"priority_id":2,"assigned_to_id":338,"start_date":"2017-10-27","description":"","custom_fields":[{"id":1,"name":"Subdivision","value":"EC"},{"id":4,"name":"Milepost","value":"0.0251"},{"id":17,"name":"Train ID","value":"120-27"},{"id":16,"name":"Locomotive ID","value":"4005"},{"id":130,"name":"Impact","value":""},{"id":150,"name":"Time of Event (Mountain Time)","value":"07:35:14"},{"id":151,"name":"Denver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13"/>
        <v>start /low /b %USERPROFILE%\Documents\GitHub\eaglep3\Utilities\DownloadLogsFromS3.py --loco 4005 --day 2017-10-27</v>
      </c>
      <c r="AN32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15"/>
        <v>https://d0f6bd738d7f1b3e5a7ca70fe4ff75f0.us-east-1.aws.found.io/app/kibana#/discover/Steve-Slow-Train-Analysis-(2080s-and-2083s)?_g=(refreshInterval:(display:Off,pause:!f,section:0,value:0),time:(from:'2017-10-27T05:53:42-0600',mode:absolute,to:'2017-10-27T08:35:14-0600'))&amp;_a=(columns:!('Message%20ID',Summary),filters:!(),index:'emp_*',interval:auto,query:(query_string:(analyze_wildcard:!t,query:'%22rtdc.l.rtdc.4005%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681</v>
      </c>
      <c r="B33" s="7">
        <v>4016</v>
      </c>
      <c r="C33" s="21" t="s">
        <v>194</v>
      </c>
      <c r="D33" s="21" t="s">
        <v>367</v>
      </c>
      <c r="E33" s="13">
        <v>43035.255613425928</v>
      </c>
      <c r="F33" s="13">
        <v>43035.260752314818</v>
      </c>
      <c r="G33" s="7">
        <v>73</v>
      </c>
      <c r="H33" s="21" t="s">
        <v>892</v>
      </c>
      <c r="I33" s="13">
        <v>43035.284421296295</v>
      </c>
      <c r="J33" s="7">
        <v>0</v>
      </c>
      <c r="K33" s="89" t="str">
        <f>IF(ISEVEN(B33),(B33-1)&amp;"/"&amp;B33,B33&amp;"/"&amp;(B33+1))</f>
        <v>4015/4016</v>
      </c>
      <c r="L33" s="185" t="str">
        <f>VLOOKUP(A33,'Trips&amp;Operators'!$C$1:$G$99911,5,FALSE)</f>
        <v>BIRENBAUM THOMAS</v>
      </c>
      <c r="M33" s="6">
        <f>I33-F33</f>
        <v>2.3668981477385387E-2</v>
      </c>
      <c r="N33" s="7">
        <f>24*60*SUM($M33:$M33)</f>
        <v>34.083333327434957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-27T05:08:05-0600',mode:absolute,to:'2017-10-27T07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4.7300000000000002E-2</v>
      </c>
      <c r="Z33" s="204">
        <f>RIGHT(H33,LEN(H33)-4)/10000</f>
        <v>23.330100000000002</v>
      </c>
      <c r="AA33" s="204">
        <f>ABS(Z33-Y33)</f>
        <v>23.282800000000002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 &amp; aws s3 cp s3://rtdc.mdm.uploadarchive.raw/RTDC4016/ "%USERPROFILE%\AppData\Local\Temp\OnboardLogs"\RTDC4016\2017-10-28 --exclude "*" --recursive --include "*20171028*" &amp; "%USERPROFILE%\Documents\GitHub\mrs-test-scripts\Headless Mode &amp; Sideloading\WalkAndUnGZ.bat" "%USERPROFILE%\AppData\Local\Temp\OnboardLogs"\RTDC4016\2017-10-28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/stypes="app*4016*20171027*"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11"/>
        <v>"%USERPROFILE%\Documents\GitHub\eaglep3\Utilities\RefineRTDCRunTimes.py" --tripid 121-27 --locoid 4016 --swversion DE.1.0.9.0 --startMP 204:473 --initTime 2017-10-27T06:08:05 --startdatetime 2017-10-27T06:15:29 --delay 73 --endMP 204:233301 --enddatetime 2017-10-27T06:49:34 --enforcementcount 0 &gt;&gt;%USERPROFILE%\Documents\GitHub\eaglep3-reporting\EC\2017-10-27-refined-times.txt</v>
      </c>
      <c r="AI33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{"issue":{"subject":"","project_id":79,"tracker_id":40,"status_id":1,"priority_id":2,"assigned_to_id":338,"start_date":"2017-10-27","description":"","custom_fields":[{"id":1,"name":"Subdivision","value":"EC"},{"id":4,"name":"Milepost","value":"23.3301"},{"id":17,"name":"Train ID","value":"121-27"},{"id":16,"name":"Locomotive ID","value":"4016"},{"id":130,"name":"Impact","value":""},{"id":150,"name":"Time of Event (Mountain Time)","value":"06:49:34"},{"id":151,"name":"Denver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13"/>
        <v>start /low /b %USERPROFILE%\Documents\GitHub\eaglep3\Utilities\DownloadLogsFromS3.py --loco 4016 --day 2017-10-27</v>
      </c>
      <c r="AN33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15"/>
        <v>https://d0f6bd738d7f1b3e5a7ca70fe4ff75f0.us-east-1.aws.found.io/app/kibana#/discover/Steve-Slow-Train-Analysis-(2080s-and-2083s)?_g=(refreshInterval:(display:Off,pause:!f,section:0,value:0),time:(from:'2017-10-27T05:08:05-0600',mode:absolute,to:'2017-10-27T07:49:34-0600'))&amp;_a=(columns:!('Message%20ID',Summary),filters:!(),index:'emp_*',interval:auto,query:(query_string:(analyze_wildcard:!t,query:'%22rtdc.l.rtdc.4016%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689</v>
      </c>
      <c r="B34" s="7">
        <v>4015</v>
      </c>
      <c r="C34" s="21" t="s">
        <v>194</v>
      </c>
      <c r="D34" s="21" t="s">
        <v>893</v>
      </c>
      <c r="E34" s="13">
        <v>43035.286030092589</v>
      </c>
      <c r="F34" s="13">
        <v>43035.30023148148</v>
      </c>
      <c r="G34" s="7">
        <v>109</v>
      </c>
      <c r="H34" s="21" t="s">
        <v>894</v>
      </c>
      <c r="I34" s="13">
        <v>43035.326203703706</v>
      </c>
      <c r="J34" s="7">
        <v>0</v>
      </c>
      <c r="K34" s="89" t="str">
        <f>IF(ISEVEN(B34),(B34-1)&amp;"/"&amp;B34,B34&amp;"/"&amp;(B34+1))</f>
        <v>4015/4016</v>
      </c>
      <c r="L34" s="185" t="str">
        <f>VLOOKUP(A34,'Trips&amp;Operators'!$C$1:$G$99911,5,FALSE)</f>
        <v>BIRENBAUM THOMAS</v>
      </c>
      <c r="M34" s="6">
        <f>I34-F34</f>
        <v>2.5972222225391306E-2</v>
      </c>
      <c r="N34" s="7">
        <f>24*60*SUM($M34:$M34)</f>
        <v>37.400000004563481</v>
      </c>
      <c r="O34" s="7"/>
      <c r="P34" s="7"/>
      <c r="Q34" s="22"/>
      <c r="R34" s="174" t="s">
        <v>1121</v>
      </c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-27T05:51:53-0600',mode:absolute,to:'2017-10-27T08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23.298999999999999</v>
      </c>
      <c r="Z34" s="204">
        <f>RIGHT(H34,LEN(H34)-4)/10000</f>
        <v>1.67E-2</v>
      </c>
      <c r="AA34" s="204">
        <f>ABS(Z34-Y34)</f>
        <v>23.282299999999999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 &amp; aws s3 cp s3://rtdc.mdm.uploadarchive.raw/RTDC4015/ "%USERPROFILE%\AppData\Local\Temp\OnboardLogs"\RTDC4015\2017-10-28 --exclude "*" --recursive --include "*20171028*" &amp; "%USERPROFILE%\Documents\GitHub\mrs-test-scripts\Headless Mode &amp; Sideloading\WalkAndUnGZ.bat" "%USERPROFILE%\AppData\Local\Temp\OnboardLogs"\RTDC4015\2017-10-28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/stypes="app*4015*20171027*"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11"/>
        <v>"%USERPROFILE%\Documents\GitHub\eaglep3\Utilities\RefineRTDCRunTimes.py" --tripid 122-27 --locoid 4015 --swversion DE.1.0.9.0 --startMP 204:232990 --initTime 2017-10-27T06:51:53 --startdatetime 2017-10-27T07:12:20 --delay 109 --endMP 204:167 --enddatetime 2017-10-27T07:49:44 --enforcementcount 0 &gt;&gt;%USERPROFILE%\Documents\GitHub\eaglep3-reporting\EC\2017-10-27-refined-times.txt</v>
      </c>
      <c r="AI34" s="96" t="str">
        <f t="shared" si="12"/>
        <v>echo {"issue":{"subject":"Observed banner without braking","project_id":79,"tracker_id":40,"status_id":1,"priority_id":2,"assigned_to_id":338,"start_date":"2017-10-27","description":"","custom_fields":[{"id":1,"name":"Subdivision","value":"EC"},{"id":4,"name":"Milepost","value":"0.0167"},{"id":17,"name":"Train ID","value":"122-27"},{"id":16,"name":"Locomotive ID","value":"4015"},{"id":130,"name":"Impact","value":""},{"id":150,"name":"Time of Event (Mountain Time)","value":"07:49:44"},{"id":151,"name":"Denver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13"/>
        <v>start /low /b %USERPROFILE%\Documents\GitHub\eaglep3\Utilities\DownloadLogsFromS3.py --loco 4015 --day 2017-10-27</v>
      </c>
      <c r="AN34" s="151" t="str">
        <f t="shared" si="14"/>
        <v>echo {"issue":{"subject":"Observed banner without braking","project_id":30,"tracker_id":4,"status_id":1,"priority_id":1,"assigned_to_id":10,"start_date":"2017-10-27","description":"","custom_fields":[{"id":30,"name":"Category","value":"Issue"},{"id":3,"name":"Functional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15"/>
        <v>https://d0f6bd738d7f1b3e5a7ca70fe4ff75f0.us-east-1.aws.found.io/app/kibana#/discover/Steve-Slow-Train-Analysis-(2080s-and-2083s)?_g=(refreshInterval:(display:Off,pause:!f,section:0,value:0),time:(from:'2017-10-27T05:51:53-0600',mode:absolute,to:'2017-10-27T08:49:44-0600'))&amp;_a=(columns:!('Message%20ID',Summary),filters:!(),index:'emp_*',interval:auto,query:(query_string:(analyze_wildcard:!t,query:'%22rtdc.l.rtdc.4015%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685</v>
      </c>
      <c r="B35" s="7">
        <v>4052</v>
      </c>
      <c r="C35" s="21" t="s">
        <v>194</v>
      </c>
      <c r="D35" s="21" t="s">
        <v>571</v>
      </c>
      <c r="E35" s="13">
        <v>43035.266388888886</v>
      </c>
      <c r="F35" s="13">
        <v>43035.271018518521</v>
      </c>
      <c r="G35" s="7">
        <v>68</v>
      </c>
      <c r="H35" s="21" t="s">
        <v>533</v>
      </c>
      <c r="I35" s="13">
        <v>43035.296296296299</v>
      </c>
      <c r="J35" s="7">
        <v>0</v>
      </c>
      <c r="K35" s="89" t="str">
        <f>IF(ISEVEN(B35),(B35-1)&amp;"/"&amp;B35,B35&amp;"/"&amp;(B35+1))</f>
        <v>4051/4052</v>
      </c>
      <c r="L35" s="185" t="str">
        <f>VLOOKUP(A35,'Trips&amp;Operators'!$C$1:$G$99911,5,FALSE)</f>
        <v>DAVIS WENDY</v>
      </c>
      <c r="M35" s="6">
        <f>I35-F35</f>
        <v>2.527777777868323E-2</v>
      </c>
      <c r="N35" s="7">
        <f>24*60*SUM($M35:$M35)</f>
        <v>36.400000001303852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-27T05:23:36-0600',mode:absolute,to:'2017-10-27T08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4.5699999999999998E-2</v>
      </c>
      <c r="Z35" s="204">
        <f>RIGHT(H35,LEN(H35)-4)/10000</f>
        <v>23.330400000000001</v>
      </c>
      <c r="AA35" s="204">
        <f>ABS(Z35-Y35)</f>
        <v>23.284700000000001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/stypes="app*4052*20171027*"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11"/>
        <v>"%USERPROFILE%\Documents\GitHub\eaglep3\Utilities\RefineRTDCRunTimes.py" --tripid 123-27 --locoid 4052 --swversion DE.1.0.9.0 --startMP 204:457 --initTime 2017-10-27T06:23:36 --startdatetime 2017-10-27T06:30:16 --delay 68 --endMP 204:233304 --enddatetime 2017-10-27T07:06:40 --enforcementcount 0 &gt;&gt;%USERPROFILE%\Documents\GitHub\eaglep3-reporting\EC\2017-10-27-refined-times.txt</v>
      </c>
      <c r="AI35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{"issue":{"subject":"","project_id":79,"tracker_id":40,"status_id":1,"priority_id":2,"assigned_to_id":338,"start_date":"2017-10-27","description":"","custom_fields":[{"id":1,"name":"Subdivision","value":"EC"},{"id":4,"name":"Milepost","value":"23.3304"},{"id":17,"name":"Train ID","value":"123-27"},{"id":16,"name":"Locomotive ID","value":"4052"},{"id":130,"name":"Impact","value":""},{"id":150,"name":"Time of Event (Mountain Time)","value":"07:06:40"},{"id":151,"name":"Denver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13"/>
        <v>start /low /b %USERPROFILE%\Documents\GitHub\eaglep3\Utilities\DownloadLogsFromS3.py --loco 4052 --day 2017-10-27</v>
      </c>
      <c r="AN35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15"/>
        <v>https://d0f6bd738d7f1b3e5a7ca70fe4ff75f0.us-east-1.aws.found.io/app/kibana#/discover/Steve-Slow-Train-Analysis-(2080s-and-2083s)?_g=(refreshInterval:(display:Off,pause:!f,section:0,value:0),time:(from:'2017-10-27T05:23:36-0600',mode:absolute,to:'2017-10-27T08:06:40-0600'))&amp;_a=(columns:!('Message%20ID',Summary),filters:!(),index:'emp_*',interval:auto,query:(query_string:(analyze_wildcard:!t,query:'%22rtdc.l.rtdc.4052%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694</v>
      </c>
      <c r="B36" s="7">
        <v>4051</v>
      </c>
      <c r="C36" s="21" t="s">
        <v>194</v>
      </c>
      <c r="D36" s="21" t="s">
        <v>590</v>
      </c>
      <c r="E36" s="13">
        <v>43035.30190972222</v>
      </c>
      <c r="F36" s="13">
        <v>43035.310613425929</v>
      </c>
      <c r="G36" s="7">
        <v>54</v>
      </c>
      <c r="H36" s="21" t="s">
        <v>358</v>
      </c>
      <c r="I36" s="13">
        <v>43035.337511574071</v>
      </c>
      <c r="J36" s="7">
        <v>0</v>
      </c>
      <c r="K36" s="89" t="str">
        <f>IF(ISEVEN(B36),(B36-1)&amp;"/"&amp;B36,B36&amp;"/"&amp;(B36+1))</f>
        <v>4051/4052</v>
      </c>
      <c r="L36" s="185" t="str">
        <f>VLOOKUP(A36,'Trips&amp;Operators'!$C$1:$G$99911,5,FALSE)</f>
        <v>DAVIS WENDY</v>
      </c>
      <c r="M36" s="6">
        <f>I36-F36</f>
        <v>2.6898148142208811E-2</v>
      </c>
      <c r="N36" s="7">
        <f>24*60*SUM($M36:$M36)</f>
        <v>38.733333324780688</v>
      </c>
      <c r="O36" s="7"/>
      <c r="P36" s="7"/>
      <c r="Q36" s="22"/>
      <c r="R36" s="174" t="s">
        <v>1122</v>
      </c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-27T06:14:45-0600',mode:absolute,to:'2017-10-27T09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23.298500000000001</v>
      </c>
      <c r="Z36" s="204">
        <f>RIGHT(H36,LEN(H36)-4)/10000</f>
        <v>1.54E-2</v>
      </c>
      <c r="AA36" s="204">
        <f>ABS(Z36-Y36)</f>
        <v>23.283100000000001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s3://rtdc.mdm.uploadarchive.raw/RTDC4051/ "%USERPROFILE%\AppData\Local\Temp\OnboardLogs"\RTDC4051\2017-10-27 --exclude "*" --recursive --include "*20171027*" &amp; "%USERPROFILE%\Documents\GitHub\mrs-test-scripts\Headless Mode &amp; Sideloading\WalkAndUnGZ.bat" "%USERPROFILE%\AppData\Local\Temp\OnboardLogs"\RTDC4051\2017-10-27 &amp; aws s3 cp s3://rtdc.mdm.uploadarchive.raw/RTDC4051/ "%USERPROFILE%\AppData\Local\Temp\OnboardLogs"\RTDC4051\2017-10-28 --exclude "*" --recursive --include "*20171028*" &amp; "%USERPROFILE%\Documents\GitHub\mrs-test-scripts\Headless Mode &amp; Sideloading\WalkAndUnGZ.bat" "%USERPROFILE%\AppData\Local\Temp\OnboardLogs"\RTDC4051\2017-10-28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/stypes="app*4051*20171027*"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11"/>
        <v>"%USERPROFILE%\Documents\GitHub\eaglep3\Utilities\RefineRTDCRunTimes.py" --tripid 124-27 --locoid 4051 --swversion DE.1.0.9.0 --startMP 204:232985 --initTime 2017-10-27T07:14:45 --startdatetime 2017-10-27T07:27:17 --delay 54 --endMP 204:154 --enddatetime 2017-10-27T08:06:01 --enforcementcount 0 &gt;&gt;%USERPROFILE%\Documents\GitHub\eaglep3-reporting\EC\2017-10-27-refined-times.txt</v>
      </c>
      <c r="AI36" s="96" t="str">
        <f t="shared" si="12"/>
        <v>echo {"issue":{"subject":"Observed unhealthy xing banner at Ulster due to Wi-MAX data drop","project_id":79,"tracker_id":40,"status_id":1,"priority_id":2,"assigned_to_id":338,"start_date":"2017-10-27","description":"","custom_fields":[{"id":1,"name":"Subdivision","value":"EC"},{"id":4,"name":"Milepost","value":"0.0154"},{"id":17,"name":"Train ID","value":"124-27"},{"id":16,"name":"Locomotive ID","value":"4051"},{"id":130,"name":"Impact","value":""},{"id":150,"name":"Time of Event (Mountain Time)","value":"08:06:01"},{"id":151,"name":"Denver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13"/>
        <v>start /low /b %USERPROFILE%\Documents\GitHub\eaglep3\Utilities\DownloadLogsFromS3.py --loco 4051 --day 2017-10-27</v>
      </c>
      <c r="AN36" s="151" t="str">
        <f t="shared" si="14"/>
        <v>echo {"issue":{"subject":"Observed unhealthy xing banner at Ulster due to Wi-MAX data drop","project_id":30,"tracker_id":4,"status_id":1,"priority_id":1,"assigned_to_id":10,"start_date":"2017-10-27","description":"","custom_fields":[{"id":30,"name":"Category","value":"Issue"},{"id":3,"name":"Functional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15"/>
        <v>https://d0f6bd738d7f1b3e5a7ca70fe4ff75f0.us-east-1.aws.found.io/app/kibana#/discover/Steve-Slow-Train-Analysis-(2080s-and-2083s)?_g=(refreshInterval:(display:Off,pause:!f,section:0,value:0),time:(from:'2017-10-27T06:14:45-0600',mode:absolute,to:'2017-10-27T09:06:01-0600'))&amp;_a=(columns:!('Message%20ID',Summary),filters:!(),index:'emp_*',interval:auto,query:(query_string:(analyze_wildcard:!t,query:'%22rtdc.l.rtdc.4051%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687</v>
      </c>
      <c r="B37" s="7">
        <v>4018</v>
      </c>
      <c r="C37" s="21" t="s">
        <v>194</v>
      </c>
      <c r="D37" s="21" t="s">
        <v>895</v>
      </c>
      <c r="E37" s="13">
        <v>43035.287430555552</v>
      </c>
      <c r="F37" s="13">
        <v>43035.288622685184</v>
      </c>
      <c r="G37" s="7">
        <v>45</v>
      </c>
      <c r="H37" s="21" t="s">
        <v>896</v>
      </c>
      <c r="I37" s="13">
        <v>43035.306122685186</v>
      </c>
      <c r="J37" s="7">
        <v>0</v>
      </c>
      <c r="K37" s="89" t="str">
        <f>IF(ISEVEN(B37),(B37-1)&amp;"/"&amp;B37,B37&amp;"/"&amp;(B37+1))</f>
        <v>4017/4018</v>
      </c>
      <c r="L37" s="185" t="str">
        <f>VLOOKUP(A37,'Trips&amp;Operators'!$C$1:$G$99911,5,FALSE)</f>
        <v>ROCHA YAOTL</v>
      </c>
      <c r="M37" s="6">
        <f>I37-F37</f>
        <v>1.750000000174623E-2</v>
      </c>
      <c r="N37" s="7"/>
      <c r="O37" s="7"/>
      <c r="P37" s="7">
        <f>24*60*SUM($M37:$M37)</f>
        <v>25.200000002514571</v>
      </c>
      <c r="Q37" s="22"/>
      <c r="R37" s="174" t="s">
        <v>620</v>
      </c>
      <c r="S37" s="221">
        <f>1/IF(AG37="EC",12,1)*SUM(U37:U37)</f>
        <v>0.75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9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-27T05:53:54-0600',mode:absolute,to:'2017-10-27T08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204" t="str">
        <f>IF(AA37&lt;VLOOKUP(AG37,Variables!$AC$3:$AD$8,2,FALSE),"Y","N")</f>
        <v>Y</v>
      </c>
      <c r="X37" s="204">
        <f>VALUE(LEFT(AD37,4))-VALUE(LEFT(AD36,4))</f>
        <v>1</v>
      </c>
      <c r="Y37" s="204">
        <f>RIGHT(D37,LEN(D37)-4)/10000</f>
        <v>3.7189999999999999</v>
      </c>
      <c r="Z37" s="204">
        <f>RIGHT(H37,LEN(H37)-4)/10000</f>
        <v>23.328600000000002</v>
      </c>
      <c r="AA37" s="204">
        <f>ABS(Z37-Y37)</f>
        <v>19.6096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/stypes="app*4018*20171027*"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11"/>
        <v>"%USERPROFILE%\Documents\GitHub\eaglep3\Utilities\RefineRTDCRunTimes.py" --tripid 125-27 --locoid 4018 --swversion DE.1.0.9.0 --startMP 204:37190 --initTime 2017-10-27T06:53:54 --startdatetime 2017-10-27T06:55:37 --delay 45 --endMP 204:233286 --enddatetime 2017-10-27T07:20:49 --enforcementcount 0 &gt;&gt;%USERPROFILE%\Documents\GitHub\eaglep3-reporting\EC\2017-10-27-refined-times.txt</v>
      </c>
      <c r="AI37" s="96" t="str">
        <f t="shared" si="12"/>
        <v>echo {"issue":{"subject":"Onboard en route failure","project_id":79,"tracker_id":40,"status_id":1,"priority_id":2,"assigned_to_id":338,"start_date":"2017-10-27","description":"","custom_fields":[{"id":1,"name":"Subdivision","value":"EC"},{"id":4,"name":"Milepost","value":"23.3286"},{"id":17,"name":"Train ID","value":"125-27"},{"id":16,"name":"Locomotive ID","value":"4018"},{"id":130,"name":"Impact","value":""},{"id":150,"name":"Time of Event (Mountain Time)","value":"07:20:49"},{"id":151,"name":"Denver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13"/>
        <v>start /low /b %USERPROFILE%\Documents\GitHub\eaglep3\Utilities\DownloadLogsFromS3.py --loco 4018 --day 2017-10-27</v>
      </c>
      <c r="AN37" s="151" t="str">
        <f t="shared" si="14"/>
        <v>echo {"issue":{"subject":"Onboard en route failure","project_id":30,"tracker_id":4,"status_id":1,"priority_id":1,"assigned_to_id":10,"start_date":"2017-10-27","description":"","custom_fields":[{"id":30,"name":"Category","value":"Issue"},{"id":3,"name":"Functional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15"/>
        <v>https://d0f6bd738d7f1b3e5a7ca70fe4ff75f0.us-east-1.aws.found.io/app/kibana#/discover/Steve-Slow-Train-Analysis-(2080s-and-2083s)?_g=(refreshInterval:(display:Off,pause:!f,section:0,value:0),time:(from:'2017-10-27T05:53:54-0600',mode:absolute,to:'2017-10-27T08:20:49-0600'))&amp;_a=(columns:!('Message%20ID',Summary),filters:!(),index:'emp_*',interval:auto,query:(query_string:(analyze_wildcard:!t,query:'%22rtdc.l.rtdc.4018%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699</v>
      </c>
      <c r="B38" s="7">
        <v>4017</v>
      </c>
      <c r="C38" s="21" t="s">
        <v>194</v>
      </c>
      <c r="D38" s="21" t="s">
        <v>592</v>
      </c>
      <c r="E38" s="13">
        <v>43035.319004629629</v>
      </c>
      <c r="F38" s="13">
        <v>43035.320983796293</v>
      </c>
      <c r="G38" s="7">
        <v>64</v>
      </c>
      <c r="H38" s="21" t="s">
        <v>897</v>
      </c>
      <c r="I38" s="13">
        <v>43035.346898148149</v>
      </c>
      <c r="J38" s="7">
        <v>0</v>
      </c>
      <c r="K38" s="89" t="str">
        <f>IF(ISEVEN(B38),(B38-1)&amp;"/"&amp;B38,B38&amp;"/"&amp;(B38+1))</f>
        <v>4017/4018</v>
      </c>
      <c r="L38" s="185" t="str">
        <f>VLOOKUP(A38,'Trips&amp;Operators'!$C$1:$G$99911,5,FALSE)</f>
        <v>ROCHA YAOTL</v>
      </c>
      <c r="M38" s="6">
        <f>I38-F38</f>
        <v>2.5914351856044959E-2</v>
      </c>
      <c r="N38" s="7">
        <f>24*60*SUM($M38:$M38)</f>
        <v>37.316666672704741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-27T06:39:22-0600',mode:absolute,to:'2017-10-27T09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23.296900000000001</v>
      </c>
      <c r="Z38" s="204">
        <f>RIGHT(H38,LEN(H38)-4)/10000</f>
        <v>1.3599999999999999E-2</v>
      </c>
      <c r="AA38" s="204">
        <f>ABS(Z38-Y38)</f>
        <v>23.283300000000001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/stypes="app*4017*20171027*"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11"/>
        <v>"%USERPROFILE%\Documents\GitHub\eaglep3\Utilities\RefineRTDCRunTimes.py" --tripid 126-27 --locoid 4017 --swversion DE.1.0.9.0 --startMP 204:232969 --initTime 2017-10-27T07:39:22 --startdatetime 2017-10-27T07:42:13 --delay 64 --endMP 204:136 --enddatetime 2017-10-27T08:19:32 --enforcementcount 0 &gt;&gt;%USERPROFILE%\Documents\GitHub\eaglep3-reporting\EC\2017-10-27-refined-times.txt</v>
      </c>
      <c r="AI38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{"issue":{"subject":"","project_id":79,"tracker_id":40,"status_id":1,"priority_id":2,"assigned_to_id":338,"start_date":"2017-10-27","description":"","custom_fields":[{"id":1,"name":"Subdivision","value":"EC"},{"id":4,"name":"Milepost","value":"0.0136"},{"id":17,"name":"Train ID","value":"126-27"},{"id":16,"name":"Locomotive ID","value":"4017"},{"id":130,"name":"Impact","value":""},{"id":150,"name":"Time of Event (Mountain Time)","value":"08:19:32"},{"id":151,"name":"Denver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13"/>
        <v>start /low /b %USERPROFILE%\Documents\GitHub\eaglep3\Utilities\DownloadLogsFromS3.py --loco 4017 --day 2017-10-27</v>
      </c>
      <c r="AN38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15"/>
        <v>https://d0f6bd738d7f1b3e5a7ca70fe4ff75f0.us-east-1.aws.found.io/app/kibana#/discover/Steve-Slow-Train-Analysis-(2080s-and-2083s)?_g=(refreshInterval:(display:Off,pause:!f,section:0,value:0),time:(from:'2017-10-27T06:39:22-0600',mode:absolute,to:'2017-10-27T09:19:32-0600'))&amp;_a=(columns:!('Message%20ID',Summary),filters:!(),index:'emp_*',interval:auto,query:(query_string:(analyze_wildcard:!t,query:'%22rtdc.l.rtdc.4017%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691</v>
      </c>
      <c r="B39" s="7">
        <v>4014</v>
      </c>
      <c r="C39" s="21" t="s">
        <v>194</v>
      </c>
      <c r="D39" s="21" t="s">
        <v>898</v>
      </c>
      <c r="E39" s="13">
        <v>43035.287719907406</v>
      </c>
      <c r="F39" s="13">
        <v>43035.291921296295</v>
      </c>
      <c r="G39" s="7">
        <v>251</v>
      </c>
      <c r="H39" s="21" t="s">
        <v>503</v>
      </c>
      <c r="I39" s="13">
        <v>43035.316793981481</v>
      </c>
      <c r="J39" s="7">
        <v>0</v>
      </c>
      <c r="K39" s="89" t="str">
        <f>IF(ISEVEN(B39),(B39-1)&amp;"/"&amp;B39,B39&amp;"/"&amp;(B39+1))</f>
        <v>4013/4014</v>
      </c>
      <c r="L39" s="185" t="str">
        <f>VLOOKUP(A39,'Trips&amp;Operators'!$C$1:$G$99911,5,FALSE)</f>
        <v>MACDONALD THOMAS</v>
      </c>
      <c r="M39" s="6">
        <f>I39-F39</f>
        <v>2.4872685185982846E-2</v>
      </c>
      <c r="N39" s="7">
        <f>24*60*SUM($M39:$M39)</f>
        <v>35.816666667815298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-27T05:54:19-0600',mode:absolute,to:'2017-10-27T08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4.6699999999999998E-2</v>
      </c>
      <c r="Z39" s="204">
        <f>RIGHT(H39,LEN(H39)-4)/10000</f>
        <v>23.328499999999998</v>
      </c>
      <c r="AA39" s="204">
        <f>ABS(Z39-Y39)</f>
        <v>23.281799999999997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s3://rtdc.mdm.uploadarchive.raw/RTDC4014/ "%USERPROFILE%\AppData\Local\Temp\OnboardLogs"\RTDC4014\2017-10-27 --exclude "*" --recursive --include "*20171027*" &amp; "%USERPROFILE%\Documents\GitHub\mrs-test-scripts\Headless Mode &amp; Sideloading\WalkAndUnGZ.bat" "%USERPROFILE%\AppData\Local\Temp\OnboardLogs"\RTDC4014\2017-10-27 &amp; aws s3 cp s3://rtdc.mdm.uploadarchive.raw/RTDC4014/ "%USERPROFILE%\AppData\Local\Temp\OnboardLogs"\RTDC4014\2017-10-28 --exclude "*" --recursive --include "*20171028*" &amp; "%USERPROFILE%\Documents\GitHub\mrs-test-scripts\Headless Mode &amp; Sideloading\WalkAndUnGZ.bat" "%USERPROFILE%\AppData\Local\Temp\OnboardLogs"\RTDC4014\2017-10-28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/stypes="app*4014*20171027*"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11"/>
        <v>"%USERPROFILE%\Documents\GitHub\eaglep3\Utilities\RefineRTDCRunTimes.py" --tripid 127-27 --locoid 4014 --swversion DE.1.0.9.0 --startMP 204:467 --initTime 2017-10-27T06:54:19 --startdatetime 2017-10-27T07:00:22 --delay 251 --endMP 204:233285 --enddatetime 2017-10-27T07:36:11 --enforcementcount 0 &gt;&gt;%USERPROFILE%\Documents\GitHub\eaglep3-reporting\EC\2017-10-27-refined-times.txt</v>
      </c>
      <c r="AI39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{"issue":{"subject":"","project_id":79,"tracker_id":40,"status_id":1,"priority_id":2,"assigned_to_id":338,"start_date":"2017-10-27","description":"","custom_fields":[{"id":1,"name":"Subdivision","value":"EC"},{"id":4,"name":"Milepost","value":"23.3285"},{"id":17,"name":"Train ID","value":"127-27"},{"id":16,"name":"Locomotive ID","value":"4014"},{"id":130,"name":"Impact","value":""},{"id":150,"name":"Time of Event (Mountain Time)","value":"07:36:11"},{"id":151,"name":"Denver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13"/>
        <v>start /low /b %USERPROFILE%\Documents\GitHub\eaglep3\Utilities\DownloadLogsFromS3.py --loco 4014 --day 2017-10-27</v>
      </c>
      <c r="AN39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15"/>
        <v>https://d0f6bd738d7f1b3e5a7ca70fe4ff75f0.us-east-1.aws.found.io/app/kibana#/discover/Steve-Slow-Train-Analysis-(2080s-and-2083s)?_g=(refreshInterval:(display:Off,pause:!f,section:0,value:0),time:(from:'2017-10-27T05:54:19-0600',mode:absolute,to:'2017-10-27T08:36:11-0600'))&amp;_a=(columns:!('Message%20ID',Summary),filters:!(),index:'emp_*',interval:auto,query:(query_string:(analyze_wildcard:!t,query:'%22rtdc.l.rtdc.4014%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1116</v>
      </c>
      <c r="B40" s="7">
        <v>4013</v>
      </c>
      <c r="C40" s="21" t="s">
        <v>194</v>
      </c>
      <c r="D40" s="21" t="s">
        <v>898</v>
      </c>
      <c r="E40" s="13">
        <v>43035.287719907406</v>
      </c>
      <c r="F40" s="13">
        <v>43035.331250000003</v>
      </c>
      <c r="G40" s="7">
        <v>251</v>
      </c>
      <c r="H40" s="21" t="s">
        <v>503</v>
      </c>
      <c r="I40" s="13">
        <v>43035.33861111111</v>
      </c>
      <c r="J40" s="7">
        <v>0</v>
      </c>
      <c r="K40" s="89" t="str">
        <f>IF(ISEVEN(B40),(B40-1)&amp;"/"&amp;B40,B40&amp;"/"&amp;(B40+1))</f>
        <v>4013/4014</v>
      </c>
      <c r="L40" s="185" t="s">
        <v>1117</v>
      </c>
      <c r="M40" s="6">
        <f>I40-F40</f>
        <v>7.3611111074569635E-3</v>
      </c>
      <c r="N40" s="7"/>
      <c r="O40" s="7"/>
      <c r="P40" s="7">
        <f>24*60*SUM($M40:$M40)</f>
        <v>10.599999994738027</v>
      </c>
      <c r="Q40" s="22"/>
      <c r="R40" s="174" t="s">
        <v>1120</v>
      </c>
      <c r="S40" s="221">
        <f>1/IF(AG40="EC",12,1)*SUM(U40:U40)</f>
        <v>0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-27T05:54:19-0600',mode:absolute,to:'2017-10-27T09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204" t="str">
        <f>IF(AA40&lt;VLOOKUP(AG40,Variables!$AC$3:$AD$8,2,FALSE),"Y","N")</f>
        <v>N</v>
      </c>
      <c r="X40" s="204">
        <f t="shared" ref="X40:X42" si="16">VALUE(LEFT(AD40,4))-VALUE(LEFT(AD39,4))</f>
        <v>1</v>
      </c>
      <c r="Y40" s="204">
        <f>RIGHT(D40,LEN(D40)-4)/10000</f>
        <v>4.6699999999999998E-2</v>
      </c>
      <c r="Z40" s="204">
        <f>RIGHT(H40,LEN(H40)-4)/10000</f>
        <v>23.328499999999998</v>
      </c>
      <c r="AA40" s="204">
        <f>ABS(Z40-Y40)</f>
        <v>23.281799999999997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/stypes="app*4013*20171027*"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ref="AH40" si="17"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"&amp;J40&amp;IF(outputrefinedruntimes," &gt;&gt;"&amp;RefinedRTDCRunTimesOutputFile,"")</f>
        <v>"%USERPROFILE%\Documents\GitHub\eaglep3\Utilities\RefineRTDCRunTimes.py" --tripid 128-27 --locoid 4013 --swversion DE.1.0.9.0 --startMP 204:467 --initTime 2017-10-27T06:54:19 --startdatetime 2017-10-27T07:57:00 --delay 251 --endMP 204:233285 --enddatetime 2017-10-27T08:07:36 --enforcementcount 0 &gt;&gt;%USERPROFILE%\Documents\GitHub\eaglep3-reporting\EC\2017-10-27-refined-times.txt</v>
      </c>
      <c r="AI40" s="96" t="str">
        <f t="shared" ref="AI40" si="18">"echo {""issue"":{""subject"":"""&amp;R40&amp;""",""project_id"":79,""tracker_id"":40,""status_id"":"&amp;redmine_status&amp;",""priority_id"":"&amp;redmine_priority&amp;",""assigned_to_id"":"&amp;redmine_assignee&amp;",""start_date"":"""&amp;TEXT(I40,"YYYY-mm-dd")&amp;""",""description"":"""&amp;AJ40&amp;""",""custom_fields"":[{""id"":1,""name"":""Subdivision"",""value"":"""&amp;AG40&amp;"""},{""id"":4,""name"":""Milepost"",""value"":"""&amp;Z40&amp;"""},{""id"":17,""name"":""Train ID"",""value"":"""&amp;A40&amp;"""},{""id"":16,""name"":""Locomotive ID"",""value"":"""&amp;B40&amp;"""},{""id"":130,""name"":""Impact"",""value"":"""&amp;AK40&amp;"""},{""id"":150,""name"":""Time of Event (Mountain Time)"",""value"":"""&amp;TEXT(I40,"hh:mm:ss")&amp;"""},{""id"":151,""name"":""Denver Issue ID"",""value"":"""&amp;"""},{""id"":178,""name"":""Operational Impact"",""value"":"""&amp;redmine_op_impact&amp;"""},{""id"":179,""name"":""Denver Segment Assigned"",""value"":"""&amp;AL40&amp;"""}]}}"&amp;" | curl --insecure -X POST -H ""Content-Type: application/json"" -H ""X-Redmine-API-Key: "&amp;redm_api_key&amp;""" "&amp;redm_url&amp;" --data @-"</f>
        <v>echo {"issue":{"subject":"No initialization, Wi-MAX data drop","project_id":79,"tracker_id":40,"status_id":1,"priority_id":2,"assigned_to_id":338,"start_date":"2017-10-27","description":"","custom_fields":[{"id":1,"name":"Subdivision","value":"EC"},{"id":4,"name":"Milepost","value":"23.3285"},{"id":17,"name":"Train ID","value":"128-27"},{"id":16,"name":"Locomotive ID","value":"4013"},{"id":130,"name":"Impact","value":""},{"id":150,"name":"Time of Event (Mountain Time)","value":"08:07:36"},{"id":151,"name":"Denver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ref="AM40" si="19">"start /low /b "&amp;dls3logs&amp;" --loco "&amp;B40&amp;" --day "&amp;TEXT(F40,"YYYY-MM-DD")</f>
        <v>start /low /b %USERPROFILE%\Documents\GitHub\eaglep3\Utilities\DownloadLogsFromS3.py --loco 4013 --day 2017-10-27</v>
      </c>
      <c r="AN40" s="151" t="str">
        <f t="shared" ref="AN40" si="20">"echo {""issue"":{""subject"":"""&amp;R40&amp;""",""project_id"":30,""tracker_id"":4,""status_id"":"&amp;redmine_status_wcr&amp;",""priority_id"":"&amp;redmine_priority_wcr&amp;",""assigned_to_id"":"&amp;redmine_assignee_wcr&amp;",""start_date"":"""&amp;TEXT(I40-utc_offset/24,"YYYY-mm-dd")&amp;""",""description"":"""&amp;AJ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{"issue":{"subject":"No initialization, Wi-MAX data drop","project_id":30,"tracker_id":4,"status_id":1,"priority_id":1,"assigned_to_id":10,"start_date":"2017-10-27","description":"","custom_fields":[{"id":30,"name":"Category","value":"Issue"},{"id":3,"name":"Functional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ref="AO40" si="21"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Message%20ID',Summary),filters:!(),index:'emp_*',interval:auto,query:"&amp;"(query_string:(analyze_wildcard:!t,query:'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-27T05:54:19-0600',mode:absolute,to:'2017-10-27T09:07:36-0600'))&amp;_a=(columns:!('Message%20ID',Summary),filters:!(),index:'emp_*',interval:auto,query:(query_string:(analyze_wildcard:!t,query:'%22rtdc.l.rtdc.4013%22')),sort:!(Time.ISO8601,asc))</v>
      </c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</row>
    <row r="41" spans="1:91" s="1" customFormat="1" x14ac:dyDescent="0.3">
      <c r="A41" s="32" t="s">
        <v>693</v>
      </c>
      <c r="B41" s="7">
        <v>4036</v>
      </c>
      <c r="C41" s="21" t="s">
        <v>194</v>
      </c>
      <c r="D41" s="21" t="s">
        <v>477</v>
      </c>
      <c r="E41" s="13">
        <v>43035.298506944448</v>
      </c>
      <c r="F41" s="13">
        <v>43035.302256944444</v>
      </c>
      <c r="G41" s="7">
        <v>61</v>
      </c>
      <c r="H41" s="21" t="s">
        <v>887</v>
      </c>
      <c r="I41" s="13">
        <v>43035.326782407406</v>
      </c>
      <c r="J41" s="7">
        <v>0</v>
      </c>
      <c r="K41" s="89" t="str">
        <f>IF(ISEVEN(B41),(B41-1)&amp;"/"&amp;B41,B41&amp;"/"&amp;(B41+1))</f>
        <v>4035/4036</v>
      </c>
      <c r="L41" s="185" t="str">
        <f>VLOOKUP(A41,'Trips&amp;Operators'!$C$1:$G$99911,5,FALSE)</f>
        <v>MAELZER KURT</v>
      </c>
      <c r="M41" s="6">
        <f>I41-F41</f>
        <v>2.4525462962628808E-2</v>
      </c>
      <c r="N41" s="7">
        <f>24*60*SUM($M41:$M41)</f>
        <v>35.316666666185483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-27T06:09:51-0600',mode:absolute,to:'2017-10-27T08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1" s="204" t="str">
        <f>IF(AA41&lt;VLOOKUP(AG41,Variables!$AC$3:$AD$8,2,FALSE),"Y","N")</f>
        <v>N</v>
      </c>
      <c r="X41" s="204">
        <f t="shared" si="16"/>
        <v>1</v>
      </c>
      <c r="Y41" s="204">
        <f>RIGHT(D41,LEN(D41)-4)/10000</f>
        <v>4.3499999999999997E-2</v>
      </c>
      <c r="Z41" s="204">
        <f>RIGHT(H41,LEN(H41)-4)/10000</f>
        <v>23.3307</v>
      </c>
      <c r="AA41" s="204">
        <f>ABS(Z41-Y41)</f>
        <v>23.287199999999999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/stypes="app*4036*20171027*"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11"/>
        <v>"%USERPROFILE%\Documents\GitHub\eaglep3\Utilities\RefineRTDCRunTimes.py" --tripid 129-27 --locoid 4036 --swversion DE.1.0.9.0 --startMP 204:435 --initTime 2017-10-27T07:09:51 --startdatetime 2017-10-27T07:15:15 --delay 61 --endMP 204:233307 --enddatetime 2017-10-27T07:50:34 --enforcementcount 0 &gt;&gt;%USERPROFILE%\Documents\GitHub\eaglep3-reporting\EC\2017-10-27-refined-times.txt</v>
      </c>
      <c r="AI41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{"issue":{"subject":"","project_id":79,"tracker_id":40,"status_id":1,"priority_id":2,"assigned_to_id":338,"start_date":"2017-10-27","description":"","custom_fields":[{"id":1,"name":"Subdivision","value":"EC"},{"id":4,"name":"Milepost","value":"23.3307"},{"id":17,"name":"Train ID","value":"129-27"},{"id":16,"name":"Locomotive ID","value":"4036"},{"id":130,"name":"Impact","value":""},{"id":150,"name":"Time of Event (Mountain Time)","value":"07:50:34"},{"id":151,"name":"Denver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13"/>
        <v>start /low /b %USERPROFILE%\Documents\GitHub\eaglep3\Utilities\DownloadLogsFromS3.py --loco 4036 --day 2017-10-27</v>
      </c>
      <c r="AN41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15"/>
        <v>https://d0f6bd738d7f1b3e5a7ca70fe4ff75f0.us-east-1.aws.found.io/app/kibana#/discover/Steve-Slow-Train-Analysis-(2080s-and-2083s)?_g=(refreshInterval:(display:Off,pause:!f,section:0,value:0),time:(from:'2017-10-27T06:09:51-0600',mode:absolute,to:'2017-10-27T08:50:34-0600'))&amp;_a=(columns:!('Message%20ID',Summary),filters:!(),index:'emp_*',interval:auto,query:(query_string:(analyze_wildcard:!t,query:'%22rtdc.l.rtdc.4036%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701</v>
      </c>
      <c r="B42" s="7">
        <v>4035</v>
      </c>
      <c r="C42" s="21" t="s">
        <v>194</v>
      </c>
      <c r="D42" s="21" t="s">
        <v>502</v>
      </c>
      <c r="E42" s="13">
        <v>43035.332511574074</v>
      </c>
      <c r="F42" s="13">
        <v>43035.341874999998</v>
      </c>
      <c r="G42" s="7">
        <v>53</v>
      </c>
      <c r="H42" s="21" t="s">
        <v>336</v>
      </c>
      <c r="I42" s="13">
        <v>43035.368634259263</v>
      </c>
      <c r="J42" s="7">
        <v>0</v>
      </c>
      <c r="K42" s="89" t="str">
        <f>IF(ISEVEN(B42),(B42-1)&amp;"/"&amp;B42,B42&amp;"/"&amp;(B42+1))</f>
        <v>4035/4036</v>
      </c>
      <c r="L42" s="185" t="str">
        <f>VLOOKUP(A42,'Trips&amp;Operators'!$C$1:$G$99911,5,FALSE)</f>
        <v>MAELZER KURT</v>
      </c>
      <c r="M42" s="6">
        <f>I42-F42</f>
        <v>2.6759259264508728E-2</v>
      </c>
      <c r="N42" s="7">
        <f>24*60*SUM($M42:$M42)</f>
        <v>38.533333340892568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-27T06:58:49-0600',mode:absolute,to:'2017-10-27T09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2" s="204" t="str">
        <f>IF(AA42&lt;VLOOKUP(AG42,Variables!$AC$3:$AD$8,2,FALSE),"Y","N")</f>
        <v>N</v>
      </c>
      <c r="X42" s="204">
        <f t="shared" si="16"/>
        <v>1</v>
      </c>
      <c r="Y42" s="204">
        <f>RIGHT(D42,LEN(D42)-4)/10000</f>
        <v>23.2973</v>
      </c>
      <c r="Z42" s="204">
        <f>RIGHT(H42,LEN(H42)-4)/10000</f>
        <v>1.43E-2</v>
      </c>
      <c r="AA42" s="204">
        <f>ABS(Z42-Y42)</f>
        <v>23.283000000000001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/stypes="app*4035*20171027*"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11"/>
        <v>"%USERPROFILE%\Documents\GitHub\eaglep3\Utilities\RefineRTDCRunTimes.py" --tripid 130-27 --locoid 4035 --swversion DE.1.0.9.0 --startMP 204:232973 --initTime 2017-10-27T07:58:49 --startdatetime 2017-10-27T08:12:18 --delay 53 --endMP 204:143 --enddatetime 2017-10-27T08:50:50 --enforcementcount 0 &gt;&gt;%USERPROFILE%\Documents\GitHub\eaglep3-reporting\EC\2017-10-27-refined-times.txt</v>
      </c>
      <c r="AI42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{"issue":{"subject":"","project_id":79,"tracker_id":40,"status_id":1,"priority_id":2,"assigned_to_id":338,"start_date":"2017-10-27","description":"","custom_fields":[{"id":1,"name":"Subdivision","value":"EC"},{"id":4,"name":"Milepost","value":"0.0143"},{"id":17,"name":"Train ID","value":"130-27"},{"id":16,"name":"Locomotive ID","value":"4035"},{"id":130,"name":"Impact","value":""},{"id":150,"name":"Time of Event (Mountain Time)","value":"08:50:50"},{"id":151,"name":"Denver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13"/>
        <v>start /low /b %USERPROFILE%\Documents\GitHub\eaglep3\Utilities\DownloadLogsFromS3.py --loco 4035 --day 2017-10-27</v>
      </c>
      <c r="AN42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15"/>
        <v>https://d0f6bd738d7f1b3e5a7ca70fe4ff75f0.us-east-1.aws.found.io/app/kibana#/discover/Steve-Slow-Train-Analysis-(2080s-and-2083s)?_g=(refreshInterval:(display:Off,pause:!f,section:0,value:0),time:(from:'2017-10-27T06:58:49-0600',mode:absolute,to:'2017-10-27T09:50:50-0600'))&amp;_a=(columns:!('Message%20ID',Summary),filters:!(),index:'emp_*',interval:auto,query:(query_string:(analyze_wildcard:!t,query:'%22rtdc.l.rtdc.4035%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695</v>
      </c>
      <c r="B43" s="7">
        <v>4056</v>
      </c>
      <c r="C43" s="21" t="s">
        <v>194</v>
      </c>
      <c r="D43" s="21" t="s">
        <v>571</v>
      </c>
      <c r="E43" s="13">
        <v>43035.308275462965</v>
      </c>
      <c r="F43" s="13">
        <v>43035.312696759262</v>
      </c>
      <c r="G43" s="7">
        <v>88</v>
      </c>
      <c r="H43" s="21" t="s">
        <v>573</v>
      </c>
      <c r="I43" s="13">
        <v>43035.339826388888</v>
      </c>
      <c r="J43" s="7">
        <v>0</v>
      </c>
      <c r="K43" s="89" t="str">
        <f>IF(ISEVEN(B43),(B43-1)&amp;"/"&amp;B43,B43&amp;"/"&amp;(B43+1))</f>
        <v>4055/4056</v>
      </c>
      <c r="L43" s="185" t="str">
        <f>VLOOKUP(A43,'Trips&amp;Operators'!$C$1:$G$99911,5,FALSE)</f>
        <v>YANAI IAN</v>
      </c>
      <c r="M43" s="6">
        <f>I43-F43</f>
        <v>2.7129629626870155E-2</v>
      </c>
      <c r="N43" s="7">
        <f>24*60*SUM($M43:$M43)</f>
        <v>39.066666662693024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-27T06:23:55-0600',mode:absolute,to:'2017-10-27T09:09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4.5699999999999998E-2</v>
      </c>
      <c r="Z43" s="204">
        <f>RIGHT(H43,LEN(H43)-4)/10000</f>
        <v>23.3172</v>
      </c>
      <c r="AA43" s="204">
        <f>ABS(Z43-Y43)</f>
        <v>23.2715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s3://rtdc.mdm.uploadarchive.raw/RTDC4056/ "%USERPROFILE%\AppData\Local\Temp\OnboardLogs"\RTDC4056\2017-10-27 --exclude "*" --recursive --include "*20171027*" &amp; "%USERPROFILE%\Documents\GitHub\mrs-test-scripts\Headless Mode &amp; Sideloading\WalkAndUnGZ.bat" "%USERPROFILE%\AppData\Local\Temp\OnboardLogs"\RTDC4056\2017-10-27 &amp; 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/stypes="app*4056*20171027*"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11"/>
        <v>"%USERPROFILE%\Documents\GitHub\eaglep3\Utilities\RefineRTDCRunTimes.py" --tripid 131-27 --locoid 4056 --swversion DE.1.0.9.0 --startMP 204:457 --initTime 2017-10-27T07:23:55 --startdatetime 2017-10-27T07:30:17 --delay 88 --endMP 204:233172 --enddatetime 2017-10-27T08:09:21 --enforcementcount 0 &gt;&gt;%USERPROFILE%\Documents\GitHub\eaglep3-reporting\EC\2017-10-27-refined-times.txt</v>
      </c>
      <c r="AI43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{"issue":{"subject":"","project_id":79,"tracker_id":40,"status_id":1,"priority_id":2,"assigned_to_id":338,"start_date":"2017-10-27","description":"","custom_fields":[{"id":1,"name":"Subdivision","value":"EC"},{"id":4,"name":"Milepost","value":"23.3172"},{"id":17,"name":"Train ID","value":"131-27"},{"id":16,"name":"Locomotive ID","value":"4056"},{"id":130,"name":"Impact","value":""},{"id":150,"name":"Time of Event (Mountain Time)","value":"08:09:21"},{"id":151,"name":"Denver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13"/>
        <v>start /low /b %USERPROFILE%\Documents\GitHub\eaglep3\Utilities\DownloadLogsFromS3.py --loco 4056 --day 2017-10-27</v>
      </c>
      <c r="AN43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14:09:21"},{"id":29,"name":"Sharepoint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15"/>
        <v>https://d0f6bd738d7f1b3e5a7ca70fe4ff75f0.us-east-1.aws.found.io/app/kibana#/discover/Steve-Slow-Train-Analysis-(2080s-and-2083s)?_g=(refreshInterval:(display:Off,pause:!f,section:0,value:0),time:(from:'2017-10-27T06:23:55-0600',mode:absolute,to:'2017-10-27T09:09:21-0600'))&amp;_a=(columns:!('Message%20ID',Summary),filters:!(),index:'emp_*',interval:auto,query:(query_string:(analyze_wildcard:!t,query:'%22rtdc.l.rtdc.4056%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704</v>
      </c>
      <c r="B44" s="7">
        <v>4055</v>
      </c>
      <c r="C44" s="21" t="s">
        <v>194</v>
      </c>
      <c r="D44" s="21" t="s">
        <v>579</v>
      </c>
      <c r="E44" s="13">
        <v>43035.347500000003</v>
      </c>
      <c r="F44" s="13">
        <v>43035.352361111109</v>
      </c>
      <c r="G44" s="7">
        <v>67</v>
      </c>
      <c r="H44" s="21" t="s">
        <v>899</v>
      </c>
      <c r="I44" s="13">
        <v>43035.379953703705</v>
      </c>
      <c r="J44" s="7">
        <v>0</v>
      </c>
      <c r="K44" s="89" t="str">
        <f>IF(ISEVEN(B44),(B44-1)&amp;"/"&amp;B44,B44&amp;"/"&amp;(B44+1))</f>
        <v>4055/4056</v>
      </c>
      <c r="L44" s="185" t="str">
        <f>VLOOKUP(A44,'Trips&amp;Operators'!$C$1:$G$99911,5,FALSE)</f>
        <v>YANAI IAN</v>
      </c>
      <c r="M44" s="6">
        <f>I44-F44</f>
        <v>2.7592592596192844E-2</v>
      </c>
      <c r="N44" s="7">
        <f>24*60*SUM($M44:$M44)</f>
        <v>39.733333338517696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-27T07:20:24-0600',mode:absolute,to:'2017-10-27T10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23.287199999999999</v>
      </c>
      <c r="Z44" s="204">
        <f>RIGHT(H44,LEN(H44)-4)/10000</f>
        <v>2.3199999999999998E-2</v>
      </c>
      <c r="AA44" s="204">
        <f>ABS(Z44-Y44)</f>
        <v>23.263999999999999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s3://rtdc.mdm.uploadarchive.raw/RTDC4055/ "%USERPROFILE%\AppData\Local\Temp\OnboardLogs"\RTDC4055\2017-10-27 --exclude "*" --recursive --include "*20171027*" &amp; "%USERPROFILE%\Documents\GitHub\mrs-test-scripts\Headless Mode &amp; Sideloading\WalkAndUnGZ.bat" "%USERPROFILE%\AppData\Local\Temp\OnboardLogs"\RTDC4055\2017-10-27 &amp; aws s3 cp s3://rtdc.mdm.uploadarchive.raw/RTDC4055/ "%USERPROFILE%\AppData\Local\Temp\OnboardLogs"\RTDC4055\2017-10-28 --exclude "*" --recursive --include "*20171028*" &amp; "%USERPROFILE%\Documents\GitHub\mrs-test-scripts\Headless Mode &amp; Sideloading\WalkAndUnGZ.bat" "%USERPROFILE%\AppData\Local\Temp\OnboardLogs"\RTDC4055\2017-10-28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/stypes="app*4055*20171027*"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11"/>
        <v>"%USERPROFILE%\Documents\GitHub\eaglep3\Utilities\RefineRTDCRunTimes.py" --tripid 132-27 --locoid 4055 --swversion DE.1.0.9.0 --startMP 204:232872 --initTime 2017-10-27T08:20:24 --startdatetime 2017-10-27T08:27:24 --delay 67 --endMP 204:232 --enddatetime 2017-10-27T09:07:08 --enforcementcount 0 &gt;&gt;%USERPROFILE%\Documents\GitHub\eaglep3-reporting\EC\2017-10-27-refined-times.txt</v>
      </c>
      <c r="AI44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{"issue":{"subject":"","project_id":79,"tracker_id":40,"status_id":1,"priority_id":2,"assigned_to_id":338,"start_date":"2017-10-27","description":"","custom_fields":[{"id":1,"name":"Subdivision","value":"EC"},{"id":4,"name":"Milepost","value":"0.0232"},{"id":17,"name":"Train ID","value":"132-27"},{"id":16,"name":"Locomotive ID","value":"4055"},{"id":130,"name":"Impact","value":""},{"id":150,"name":"Time of Event (Mountain Time)","value":"09:07:08"},{"id":151,"name":"Denver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13"/>
        <v>start /low /b %USERPROFILE%\Documents\GitHub\eaglep3\Utilities\DownloadLogsFromS3.py --loco 4055 --day 2017-10-27</v>
      </c>
      <c r="AN44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15:07:08"},{"id":29,"name":"Sharepoint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15"/>
        <v>https://d0f6bd738d7f1b3e5a7ca70fe4ff75f0.us-east-1.aws.found.io/app/kibana#/discover/Steve-Slow-Train-Analysis-(2080s-and-2083s)?_g=(refreshInterval:(display:Off,pause:!f,section:0,value:0),time:(from:'2017-10-27T07:20:24-0600',mode:absolute,to:'2017-10-27T10:07:08-0600'))&amp;_a=(columns:!('Message%20ID',Summary),filters:!(),index:'emp_*',interval:auto,query:(query_string:(analyze_wildcard:!t,query:'%22rtdc.l.rtdc.4055%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698</v>
      </c>
      <c r="B45" s="7">
        <v>4006</v>
      </c>
      <c r="C45" s="21" t="s">
        <v>194</v>
      </c>
      <c r="D45" s="21" t="s">
        <v>900</v>
      </c>
      <c r="E45" s="13">
        <v>43035.317511574074</v>
      </c>
      <c r="F45" s="13">
        <v>43035.323159722226</v>
      </c>
      <c r="G45" s="7">
        <v>88</v>
      </c>
      <c r="H45" s="21" t="s">
        <v>901</v>
      </c>
      <c r="I45" s="13">
        <v>43035.348958333336</v>
      </c>
      <c r="J45" s="7">
        <v>0</v>
      </c>
      <c r="K45" s="89" t="str">
        <f>IF(ISEVEN(B45),(B45-1)&amp;"/"&amp;B45,B45&amp;"/"&amp;(B45+1))</f>
        <v>4005/4006</v>
      </c>
      <c r="L45" s="185" t="str">
        <f>VLOOKUP(A45,'Trips&amp;Operators'!$C$1:$G$99911,5,FALSE)</f>
        <v>DE LA ROSA ALEX</v>
      </c>
      <c r="M45" s="6">
        <f>I45-F45</f>
        <v>2.5798611110076308E-2</v>
      </c>
      <c r="N45" s="7">
        <f>24*60*SUM($M45:$M45)</f>
        <v>37.149999998509884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-27T06:37:13-0600',mode:absolute,to:'2017-10-27T09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5.8799999999999998E-2</v>
      </c>
      <c r="Z45" s="204">
        <f>RIGHT(H45,LEN(H45)-4)/10000</f>
        <v>23.314699999999998</v>
      </c>
      <c r="AA45" s="204">
        <f>ABS(Z45-Y45)</f>
        <v>23.255899999999997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/stypes="app*4006*20171027*"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11"/>
        <v>"%USERPROFILE%\Documents\GitHub\eaglep3\Utilities\RefineRTDCRunTimes.py" --tripid 133-27 --locoid 4006 --swversion DE.1.0.9.0 --startMP 204:588 --initTime 2017-10-27T07:37:13 --startdatetime 2017-10-27T07:45:21 --delay 88 --endMP 204:233147 --enddatetime 2017-10-27T08:22:30 --enforcementcount 0 &gt;&gt;%USERPROFILE%\Documents\GitHub\eaglep3-reporting\EC\2017-10-27-refined-times.txt</v>
      </c>
      <c r="AI45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{"issue":{"subject":"","project_id":79,"tracker_id":40,"status_id":1,"priority_id":2,"assigned_to_id":338,"start_date":"2017-10-27","description":"","custom_fields":[{"id":1,"name":"Subdivision","value":"EC"},{"id":4,"name":"Milepost","value":"23.3147"},{"id":17,"name":"Train ID","value":"133-27"},{"id":16,"name":"Locomotive ID","value":"4006"},{"id":130,"name":"Impact","value":""},{"id":150,"name":"Time of Event (Mountain Time)","value":"08:22:30"},{"id":151,"name":"Denver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13"/>
        <v>start /low /b %USERPROFILE%\Documents\GitHub\eaglep3\Utilities\DownloadLogsFromS3.py --loco 4006 --day 2017-10-27</v>
      </c>
      <c r="AN45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15"/>
        <v>https://d0f6bd738d7f1b3e5a7ca70fe4ff75f0.us-east-1.aws.found.io/app/kibana#/discover/Steve-Slow-Train-Analysis-(2080s-and-2083s)?_g=(refreshInterval:(display:Off,pause:!f,section:0,value:0),time:(from:'2017-10-27T06:37:13-0600',mode:absolute,to:'2017-10-27T09:22:30-0600'))&amp;_a=(columns:!('Message%20ID',Summary),filters:!(),index:'emp_*',interval:auto,query:(query_string:(analyze_wildcard:!t,query:'%22rtdc.l.rtdc.4006%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707</v>
      </c>
      <c r="B46" s="7">
        <v>4005</v>
      </c>
      <c r="C46" s="21" t="s">
        <v>194</v>
      </c>
      <c r="D46" s="21" t="s">
        <v>902</v>
      </c>
      <c r="E46" s="13">
        <v>43035.357094907406</v>
      </c>
      <c r="F46" s="13">
        <v>43035.362650462965</v>
      </c>
      <c r="G46" s="7">
        <v>92</v>
      </c>
      <c r="H46" s="21" t="s">
        <v>598</v>
      </c>
      <c r="I46" s="13">
        <v>43035.390277777777</v>
      </c>
      <c r="J46" s="7">
        <v>0</v>
      </c>
      <c r="K46" s="89" t="str">
        <f>IF(ISEVEN(B46),(B46-1)&amp;"/"&amp;B46,B46&amp;"/"&amp;(B46+1))</f>
        <v>4005/4006</v>
      </c>
      <c r="L46" s="185" t="str">
        <f>VLOOKUP(A46,'Trips&amp;Operators'!$C$1:$G$99911,5,FALSE)</f>
        <v>DE LA ROSA ALEX</v>
      </c>
      <c r="M46" s="6">
        <f>I46-F46</f>
        <v>2.7627314811979886E-2</v>
      </c>
      <c r="N46" s="7">
        <f>24*60*SUM($M46:$M46)</f>
        <v>39.783333329251036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-27T07:34:13-0600',mode:absolute,to:'2017-10-27T10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23.283300000000001</v>
      </c>
      <c r="Z46" s="204">
        <f>RIGHT(H46,LEN(H46)-4)/10000</f>
        <v>2.0500000000000001E-2</v>
      </c>
      <c r="AA46" s="204">
        <f>ABS(Z46-Y46)</f>
        <v>23.262800000000002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/stypes="app*4005*20171027*"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11"/>
        <v>"%USERPROFILE%\Documents\GitHub\eaglep3\Utilities\RefineRTDCRunTimes.py" --tripid 134-27 --locoid 4005 --swversion DE.1.0.9.0 --startMP 204:232833 --initTime 2017-10-27T08:34:13 --startdatetime 2017-10-27T08:42:13 --delay 92 --endMP 204:205 --enddatetime 2017-10-27T09:22:00 --enforcementcount 0 &gt;&gt;%USERPROFILE%\Documents\GitHub\eaglep3-reporting\EC\2017-10-27-refined-times.txt</v>
      </c>
      <c r="AI46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{"issue":{"subject":"","project_id":79,"tracker_id":40,"status_id":1,"priority_id":2,"assigned_to_id":338,"start_date":"2017-10-27","description":"","custom_fields":[{"id":1,"name":"Subdivision","value":"EC"},{"id":4,"name":"Milepost","value":"0.0205"},{"id":17,"name":"Train ID","value":"134-27"},{"id":16,"name":"Locomotive ID","value":"4005"},{"id":130,"name":"Impact","value":""},{"id":150,"name":"Time of Event (Mountain Time)","value":"09:22:00"},{"id":151,"name":"Denver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13"/>
        <v>start /low /b %USERPROFILE%\Documents\GitHub\eaglep3\Utilities\DownloadLogsFromS3.py --loco 4005 --day 2017-10-27</v>
      </c>
      <c r="AN46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15:22:00"},{"id":29,"name":"Sharepoint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15"/>
        <v>https://d0f6bd738d7f1b3e5a7ca70fe4ff75f0.us-east-1.aws.found.io/app/kibana#/discover/Steve-Slow-Train-Analysis-(2080s-and-2083s)?_g=(refreshInterval:(display:Off,pause:!f,section:0,value:0),time:(from:'2017-10-27T07:34:13-0600',mode:absolute,to:'2017-10-27T10:22:00-0600'))&amp;_a=(columns:!('Message%20ID',Summary),filters:!(),index:'emp_*',interval:auto,query:(query_string:(analyze_wildcard:!t,query:'%22rtdc.l.rtdc.4005%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700</v>
      </c>
      <c r="B47" s="7">
        <v>4008</v>
      </c>
      <c r="C47" s="21" t="s">
        <v>194</v>
      </c>
      <c r="D47" s="21" t="s">
        <v>903</v>
      </c>
      <c r="E47" s="13">
        <v>43035.331423611111</v>
      </c>
      <c r="F47" s="13">
        <v>43035.33390046296</v>
      </c>
      <c r="G47" s="7">
        <v>74</v>
      </c>
      <c r="H47" s="21" t="s">
        <v>904</v>
      </c>
      <c r="I47" s="13">
        <v>43035.359375</v>
      </c>
      <c r="J47" s="7">
        <v>0</v>
      </c>
      <c r="K47" s="89" t="str">
        <f>IF(ISEVEN(B47),(B47-1)&amp;"/"&amp;B47,B47&amp;"/"&amp;(B47+1))</f>
        <v>4007/4008</v>
      </c>
      <c r="L47" s="185" t="str">
        <f>VLOOKUP(A47,'Trips&amp;Operators'!$C$1:$G$99911,5,FALSE)</f>
        <v>GEBRETEKLE DAGNEW</v>
      </c>
      <c r="M47" s="6">
        <f>I47-F47</f>
        <v>2.5474537040281575E-2</v>
      </c>
      <c r="N47" s="7">
        <f>24*60*SUM($M47:$M47)</f>
        <v>36.683333338005468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-27T06:57:15-0600',mode:absolute,to:'2017-10-27T09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0.14829999999999999</v>
      </c>
      <c r="Z47" s="204">
        <f>RIGHT(H47,LEN(H47)-4)/10000</f>
        <v>23.319500000000001</v>
      </c>
      <c r="AA47" s="204">
        <f>ABS(Z47-Y47)</f>
        <v>23.171200000000002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/stypes="app*4008*20171027*"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11"/>
        <v>"%USERPROFILE%\Documents\GitHub\eaglep3\Utilities\RefineRTDCRunTimes.py" --tripid 135-27 --locoid 4008 --swversion DE.1.0.9.0 --startMP 204:1483 --initTime 2017-10-27T07:57:15 --startdatetime 2017-10-27T08:00:49 --delay 74 --endMP 204:233195 --enddatetime 2017-10-27T08:37:30 --enforcementcount 0 &gt;&gt;%USERPROFILE%\Documents\GitHub\eaglep3-reporting\EC\2017-10-27-refined-times.txt</v>
      </c>
      <c r="AI47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{"issue":{"subject":"","project_id":79,"tracker_id":40,"status_id":1,"priority_id":2,"assigned_to_id":338,"start_date":"2017-10-27","description":"","custom_fields":[{"id":1,"name":"Subdivision","value":"EC"},{"id":4,"name":"Milepost","value":"23.3195"},{"id":17,"name":"Train ID","value":"135-27"},{"id":16,"name":"Locomotive ID","value":"4008"},{"id":130,"name":"Impact","value":""},{"id":150,"name":"Time of Event (Mountain Time)","value":"08:37:30"},{"id":151,"name":"Denver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13"/>
        <v>start /low /b %USERPROFILE%\Documents\GitHub\eaglep3\Utilities\DownloadLogsFromS3.py --loco 4008 --day 2017-10-27</v>
      </c>
      <c r="AN47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15"/>
        <v>https://d0f6bd738d7f1b3e5a7ca70fe4ff75f0.us-east-1.aws.found.io/app/kibana#/discover/Steve-Slow-Train-Analysis-(2080s-and-2083s)?_g=(refreshInterval:(display:Off,pause:!f,section:0,value:0),time:(from:'2017-10-27T06:57:15-0600',mode:absolute,to:'2017-10-27T09:37:30-0600'))&amp;_a=(columns:!('Message%20ID',Summary),filters:!(),index:'emp_*',interval:auto,query:(query_string:(analyze_wildcard:!t,query:'%22rtdc.l.rtdc.4008%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708</v>
      </c>
      <c r="B48" s="7">
        <v>4007</v>
      </c>
      <c r="C48" s="21" t="s">
        <v>194</v>
      </c>
      <c r="D48" s="21" t="s">
        <v>534</v>
      </c>
      <c r="E48" s="13">
        <v>43035.362245370372</v>
      </c>
      <c r="F48" s="13">
        <v>43035.373101851852</v>
      </c>
      <c r="G48" s="7">
        <v>103</v>
      </c>
      <c r="H48" s="21" t="s">
        <v>583</v>
      </c>
      <c r="I48" s="13">
        <v>43035.398715277777</v>
      </c>
      <c r="J48" s="7">
        <v>0</v>
      </c>
      <c r="K48" s="89" t="str">
        <f>IF(ISEVEN(B48),(B48-1)&amp;"/"&amp;B48,B48&amp;"/"&amp;(B48+1))</f>
        <v>4007/4008</v>
      </c>
      <c r="L48" s="185" t="str">
        <f>VLOOKUP(A48,'Trips&amp;Operators'!$C$1:$G$99911,5,FALSE)</f>
        <v>GEBRETEKLE DAGNEW</v>
      </c>
      <c r="M48" s="6">
        <f>I48-F48</f>
        <v>2.5613425925257616E-2</v>
      </c>
      <c r="N48" s="7">
        <f>24*60*SUM($M48:$M48)</f>
        <v>36.883333332370967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-27T07:41:38-0600',mode:absolute,to:'2017-10-27T10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23.287700000000001</v>
      </c>
      <c r="Z48" s="204">
        <f>RIGHT(H48,LEN(H48)-4)/10000</f>
        <v>1.7399999999999999E-2</v>
      </c>
      <c r="AA48" s="204">
        <f>ABS(Z48-Y48)</f>
        <v>23.270300000000002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/stypes="app*4007*20171027*"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11"/>
        <v>"%USERPROFILE%\Documents\GitHub\eaglep3\Utilities\RefineRTDCRunTimes.py" --tripid 136-27 --locoid 4007 --swversion DE.1.0.9.0 --startMP 204:232877 --initTime 2017-10-27T08:41:38 --startdatetime 2017-10-27T08:57:16 --delay 103 --endMP 204:174 --enddatetime 2017-10-27T09:34:09 --enforcementcount 0 &gt;&gt;%USERPROFILE%\Documents\GitHub\eaglep3-reporting\EC\2017-10-27-refined-times.txt</v>
      </c>
      <c r="AI48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{"issue":{"subject":"","project_id":79,"tracker_id":40,"status_id":1,"priority_id":2,"assigned_to_id":338,"start_date":"2017-10-27","description":"","custom_fields":[{"id":1,"name":"Subdivision","value":"EC"},{"id":4,"name":"Milepost","value":"0.0174"},{"id":17,"name":"Train ID","value":"136-27"},{"id":16,"name":"Locomotive ID","value":"4007"},{"id":130,"name":"Impact","value":""},{"id":150,"name":"Time of Event (Mountain Time)","value":"09:34:09"},{"id":151,"name":"Denver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13"/>
        <v>start /low /b %USERPROFILE%\Documents\GitHub\eaglep3\Utilities\DownloadLogsFromS3.py --loco 4007 --day 2017-10-27</v>
      </c>
      <c r="AN48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15:34:09"},{"id":29,"name":"Sharepoint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15"/>
        <v>https://d0f6bd738d7f1b3e5a7ca70fe4ff75f0.us-east-1.aws.found.io/app/kibana#/discover/Steve-Slow-Train-Analysis-(2080s-and-2083s)?_g=(refreshInterval:(display:Off,pause:!f,section:0,value:0),time:(from:'2017-10-27T07:41:38-0600',mode:absolute,to:'2017-10-27T10:34:09-0600'))&amp;_a=(columns:!('Message%20ID',Summary),filters:!(),index:'emp_*',interval:auto,query:(query_string:(analyze_wildcard:!t,query:'%22rtdc.l.rtdc.4007%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627</v>
      </c>
      <c r="B49" s="7">
        <v>4052</v>
      </c>
      <c r="C49" s="21" t="s">
        <v>194</v>
      </c>
      <c r="D49" s="21" t="s">
        <v>476</v>
      </c>
      <c r="E49" s="13">
        <v>43035.338842592595</v>
      </c>
      <c r="F49" s="13">
        <v>43035.343935185185</v>
      </c>
      <c r="G49" s="7">
        <v>51</v>
      </c>
      <c r="H49" s="21" t="s">
        <v>480</v>
      </c>
      <c r="I49" s="13">
        <v>43035.369664351849</v>
      </c>
      <c r="J49" s="7">
        <v>0</v>
      </c>
      <c r="K49" s="89" t="str">
        <f>IF(ISEVEN(B49),(B49-1)&amp;"/"&amp;B49,B49&amp;"/"&amp;(B49+1))</f>
        <v>4051/4052</v>
      </c>
      <c r="L49" s="185" t="str">
        <f>VLOOKUP(A49,'Trips&amp;Operators'!$C$1:$G$99911,5,FALSE)</f>
        <v>DAVIS WENDY</v>
      </c>
      <c r="M49" s="6">
        <f>I49-F49</f>
        <v>2.5729166663950309E-2</v>
      </c>
      <c r="N49" s="7">
        <f>24*60*SUM($M49:$M49)</f>
        <v>37.049999996088445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-27T07:07:56-0600',mode:absolute,to:'2017-10-27T09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4.4900000000000002E-2</v>
      </c>
      <c r="Z49" s="204">
        <f>RIGHT(H49,LEN(H49)-4)/10000</f>
        <v>23.328900000000001</v>
      </c>
      <c r="AA49" s="204">
        <f>ABS(Z49-Y49)</f>
        <v>23.284000000000002</v>
      </c>
      <c r="AB49" s="54" t="str">
        <f>VLOOKUP(A49,Enforcements!$C$7:$K$11,8,0)</f>
        <v>Bulletin (2)</v>
      </c>
      <c r="AC49" s="51" t="str">
        <f>VLOOKUP(A49,Enforcements!$C$7:$E$11,3,0)</f>
        <v>GRADE CROSSING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/stypes="app*4052*20171027*"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11"/>
        <v>"%USERPROFILE%\Documents\GitHub\eaglep3\Utilities\RefineRTDCRunTimes.py" --tripid 137-27 --locoid 4052 --swversion DE.1.0.9.0 --startMP 204:449 --initTime 2017-10-27T08:07:56 --startdatetime 2017-10-27T08:15:16 --delay 51 --endMP 204:233289 --enddatetime 2017-10-27T08:52:19 --enforcementcount 0 &gt;&gt;%USERPROFILE%\Documents\GitHub\eaglep3-reporting\EC\2017-10-27-refined-times.txt</v>
      </c>
      <c r="AI49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{"issue":{"subject":"","project_id":79,"tracker_id":40,"status_id":1,"priority_id":2,"assigned_to_id":338,"start_date":"2017-10-27","description":"","custom_fields":[{"id":1,"name":"Subdivision","value":"EC"},{"id":4,"name":"Milepost","value":"23.3289"},{"id":17,"name":"Train ID","value":"137-27"},{"id":16,"name":"Locomotive ID","value":"4052"},{"id":130,"name":"Impact","value":""},{"id":150,"name":"Time of Event (Mountain Time)","value":"08:52:19"},{"id":151,"name":"Denver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13"/>
        <v>start /low /b %USERPROFILE%\Documents\GitHub\eaglep3\Utilities\DownloadLogsFromS3.py --loco 4052 --day 2017-10-27</v>
      </c>
      <c r="AN49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15"/>
        <v>https://d0f6bd738d7f1b3e5a7ca70fe4ff75f0.us-east-1.aws.found.io/app/kibana#/discover/Steve-Slow-Train-Analysis-(2080s-and-2083s)?_g=(refreshInterval:(display:Off,pause:!f,section:0,value:0),time:(from:'2017-10-27T07:07:56-0600',mode:absolute,to:'2017-10-27T09:52:19-0600'))&amp;_a=(columns:!('Message%20ID',Summary),filters:!(),index:'emp_*',interval:auto,query:(query_string:(analyze_wildcard:!t,query:'%22rtdc.l.rtdc.4052%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712</v>
      </c>
      <c r="B50" s="7">
        <v>4051</v>
      </c>
      <c r="C50" s="21" t="s">
        <v>194</v>
      </c>
      <c r="D50" s="21" t="s">
        <v>888</v>
      </c>
      <c r="E50" s="13">
        <v>43035.374247685184</v>
      </c>
      <c r="F50" s="13">
        <v>43035.382789351854</v>
      </c>
      <c r="G50" s="7">
        <v>132</v>
      </c>
      <c r="H50" s="21" t="s">
        <v>350</v>
      </c>
      <c r="I50" s="13">
        <v>43035.410787037035</v>
      </c>
      <c r="J50" s="7">
        <v>0</v>
      </c>
      <c r="K50" s="89" t="str">
        <f>IF(ISEVEN(B50),(B50-1)&amp;"/"&amp;B50,B50&amp;"/"&amp;(B50+1))</f>
        <v>4051/4052</v>
      </c>
      <c r="L50" s="185" t="str">
        <f>VLOOKUP(A50,'Trips&amp;Operators'!$C$1:$G$99911,5,FALSE)</f>
        <v>DAVIS WENDY</v>
      </c>
      <c r="M50" s="6">
        <f>I50-F50</f>
        <v>2.7997685181617271E-2</v>
      </c>
      <c r="N50" s="7">
        <f>24*60*SUM($M50:$M50)</f>
        <v>40.31666666152887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-27T07:58:55-0600',mode:absolute,to:'2017-10-27T10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23.296299999999999</v>
      </c>
      <c r="Z50" s="204">
        <f>RIGHT(H50,LEN(H50)-4)/10000</f>
        <v>1.52E-2</v>
      </c>
      <c r="AA50" s="204">
        <f>ABS(Z50-Y50)</f>
        <v>23.281099999999999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s3://rtdc.mdm.uploadarchive.raw/RTDC4051/ "%USERPROFILE%\AppData\Local\Temp\OnboardLogs"\RTDC4051\2017-10-27 --exclude "*" --recursive --include "*20171027*" &amp; "%USERPROFILE%\Documents\GitHub\mrs-test-scripts\Headless Mode &amp; Sideloading\WalkAndUnGZ.bat" "%USERPROFILE%\AppData\Local\Temp\OnboardLogs"\RTDC4051\2017-10-27 &amp; aws s3 cp s3://rtdc.mdm.uploadarchive.raw/RTDC4051/ "%USERPROFILE%\AppData\Local\Temp\OnboardLogs"\RTDC4051\2017-10-28 --exclude "*" --recursive --include "*20171028*" &amp; "%USERPROFILE%\Documents\GitHub\mrs-test-scripts\Headless Mode &amp; Sideloading\WalkAndUnGZ.bat" "%USERPROFILE%\AppData\Local\Temp\OnboardLogs"\RTDC4051\2017-10-28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/stypes="app*4051*20171027*"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11"/>
        <v>"%USERPROFILE%\Documents\GitHub\eaglep3\Utilities\RefineRTDCRunTimes.py" --tripid 138-27 --locoid 4051 --swversion DE.1.0.9.0 --startMP 204:232963 --initTime 2017-10-27T08:58:55 --startdatetime 2017-10-27T09:11:13 --delay 132 --endMP 204:152 --enddatetime 2017-10-27T09:51:32 --enforcementcount 0 &gt;&gt;%USERPROFILE%\Documents\GitHub\eaglep3-reporting\EC\2017-10-27-refined-times.txt</v>
      </c>
      <c r="AI50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{"issue":{"subject":"","project_id":79,"tracker_id":40,"status_id":1,"priority_id":2,"assigned_to_id":338,"start_date":"2017-10-27","description":"","custom_fields":[{"id":1,"name":"Subdivision","value":"EC"},{"id":4,"name":"Milepost","value":"0.0152"},{"id":17,"name":"Train ID","value":"138-27"},{"id":16,"name":"Locomotive ID","value":"4051"},{"id":130,"name":"Impact","value":""},{"id":150,"name":"Time of Event (Mountain Time)","value":"09:51:32"},{"id":151,"name":"Denver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13"/>
        <v>start /low /b %USERPROFILE%\Documents\GitHub\eaglep3\Utilities\DownloadLogsFromS3.py --loco 4051 --day 2017-10-27</v>
      </c>
      <c r="AN50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15:51:32"},{"id":29,"name":"Sharepoint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15"/>
        <v>https://d0f6bd738d7f1b3e5a7ca70fe4ff75f0.us-east-1.aws.found.io/app/kibana#/discover/Steve-Slow-Train-Analysis-(2080s-and-2083s)?_g=(refreshInterval:(display:Off,pause:!f,section:0,value:0),time:(from:'2017-10-27T07:58:55-0600',mode:absolute,to:'2017-10-27T10:51:32-0600'))&amp;_a=(columns:!('Message%20ID',Summary),filters:!(),index:'emp_*',interval:auto,query:(query_string:(analyze_wildcard:!t,query:'%22rtdc.l.rtdc.4051%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628</v>
      </c>
      <c r="B51" s="7">
        <v>4018</v>
      </c>
      <c r="C51" s="21" t="s">
        <v>194</v>
      </c>
      <c r="D51" s="21" t="s">
        <v>905</v>
      </c>
      <c r="E51" s="13">
        <v>43035.352372685185</v>
      </c>
      <c r="F51" s="13">
        <v>43035.354351851849</v>
      </c>
      <c r="G51" s="7">
        <v>63</v>
      </c>
      <c r="H51" s="21" t="s">
        <v>906</v>
      </c>
      <c r="I51" s="13">
        <v>43035.379201388889</v>
      </c>
      <c r="J51" s="7">
        <v>0</v>
      </c>
      <c r="K51" s="89" t="str">
        <f>IF(ISEVEN(B51),(B51-1)&amp;"/"&amp;B51,B51&amp;"/"&amp;(B51+1))</f>
        <v>4017/4018</v>
      </c>
      <c r="L51" s="185" t="str">
        <f>VLOOKUP(A51,'Trips&amp;Operators'!$C$1:$G$99911,5,FALSE)</f>
        <v>ROCHA YAOTL</v>
      </c>
      <c r="M51" s="6">
        <f>I51-F51</f>
        <v>2.4849537039699499E-2</v>
      </c>
      <c r="N51" s="7">
        <f>24*60*SUM($M51:$M51)</f>
        <v>35.783333337167278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-27T07:27:25-0600',mode:absolute,to:'2017-10-27T10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4.3799999999999999E-2</v>
      </c>
      <c r="Z51" s="204">
        <f>RIGHT(H51,LEN(H51)-4)/10000</f>
        <v>23.3368</v>
      </c>
      <c r="AA51" s="204">
        <f>ABS(Z51-Y51)</f>
        <v>23.292999999999999</v>
      </c>
      <c r="AB51" s="54" t="str">
        <f>VLOOKUP(A51,Enforcements!$C$7:$K$11,8,0)</f>
        <v>Bulletin (2)</v>
      </c>
      <c r="AC51" s="51" t="str">
        <f>VLOOKUP(A51,Enforcements!$C$7:$E$11,3,0)</f>
        <v>GRADE CROSSING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/stypes="app*4018*20171027*"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11"/>
        <v>"%USERPROFILE%\Documents\GitHub\eaglep3\Utilities\RefineRTDCRunTimes.py" --tripid 139-27 --locoid 4018 --swversion DE.1.0.9.0 --startMP 204:438 --initTime 2017-10-27T08:27:25 --startdatetime 2017-10-27T08:30:16 --delay 63 --endMP 204:233368 --enddatetime 2017-10-27T09:06:03 --enforcementcount 0 &gt;&gt;%USERPROFILE%\Documents\GitHub\eaglep3-reporting\EC\2017-10-27-refined-times.txt</v>
      </c>
      <c r="AI51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{"issue":{"subject":"","project_id":79,"tracker_id":40,"status_id":1,"priority_id":2,"assigned_to_id":338,"start_date":"2017-10-27","description":"","custom_fields":[{"id":1,"name":"Subdivision","value":"EC"},{"id":4,"name":"Milepost","value":"23.3368"},{"id":17,"name":"Train ID","value":"139-27"},{"id":16,"name":"Locomotive ID","value":"4018"},{"id":130,"name":"Impact","value":""},{"id":150,"name":"Time of Event (Mountain Time)","value":"09:06:03"},{"id":151,"name":"Denver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13"/>
        <v>start /low /b %USERPROFILE%\Documents\GitHub\eaglep3\Utilities\DownloadLogsFromS3.py --loco 4018 --day 2017-10-27</v>
      </c>
      <c r="AN51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15:06:03"},{"id":29,"name":"Sharepoint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15"/>
        <v>https://d0f6bd738d7f1b3e5a7ca70fe4ff75f0.us-east-1.aws.found.io/app/kibana#/discover/Steve-Slow-Train-Analysis-(2080s-and-2083s)?_g=(refreshInterval:(display:Off,pause:!f,section:0,value:0),time:(from:'2017-10-27T07:27:25-0600',mode:absolute,to:'2017-10-27T10:06:03-0600'))&amp;_a=(columns:!('Message%20ID',Summary),filters:!(),index:'emp_*',interval:auto,query:(query_string:(analyze_wildcard:!t,query:'%22rtdc.l.rtdc.4018%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714</v>
      </c>
      <c r="B52" s="7">
        <v>4017</v>
      </c>
      <c r="C52" s="21" t="s">
        <v>194</v>
      </c>
      <c r="D52" s="21" t="s">
        <v>907</v>
      </c>
      <c r="E52" s="13">
        <v>43035.392245370371</v>
      </c>
      <c r="F52" s="13">
        <v>43035.39402777778</v>
      </c>
      <c r="G52" s="7">
        <v>56</v>
      </c>
      <c r="H52" s="21" t="s">
        <v>487</v>
      </c>
      <c r="I52" s="13">
        <v>43035.419166666667</v>
      </c>
      <c r="J52" s="7">
        <v>0</v>
      </c>
      <c r="K52" s="89" t="str">
        <f>IF(ISEVEN(B52),(B52-1)&amp;"/"&amp;B52,B52&amp;"/"&amp;(B52+1))</f>
        <v>4017/4018</v>
      </c>
      <c r="L52" s="185" t="str">
        <f>VLOOKUP(A52,'Trips&amp;Operators'!$C$1:$G$99911,5,FALSE)</f>
        <v>ROCHA YAOTL</v>
      </c>
      <c r="M52" s="6">
        <f>I52-F52</f>
        <v>2.5138888886431232E-2</v>
      </c>
      <c r="N52" s="7">
        <f>24*60*SUM($M52:$M52)</f>
        <v>36.199999996460974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-27T08:24:50-0600',mode:absolute,to:'2017-10-27T11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23.304500000000001</v>
      </c>
      <c r="Z52" s="204">
        <f>RIGHT(H52,LEN(H52)-4)/10000</f>
        <v>1.6E-2</v>
      </c>
      <c r="AA52" s="204">
        <f>ABS(Z52-Y52)</f>
        <v>23.288500000000003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/stypes="app*4017*20171027*"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11"/>
        <v>"%USERPROFILE%\Documents\GitHub\eaglep3\Utilities\RefineRTDCRunTimes.py" --tripid 140-27 --locoid 4017 --swversion DE.1.0.9.0 --startMP 204:233045 --initTime 2017-10-27T09:24:50 --startdatetime 2017-10-27T09:27:24 --delay 56 --endMP 204:160 --enddatetime 2017-10-27T10:03:36 --enforcementcount 0 &gt;&gt;%USERPROFILE%\Documents\GitHub\eaglep3-reporting\EC\2017-10-27-refined-times.txt</v>
      </c>
      <c r="AI52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{"issue":{"subject":"","project_id":79,"tracker_id":40,"status_id":1,"priority_id":2,"assigned_to_id":338,"start_date":"2017-10-27","description":"","custom_fields":[{"id":1,"name":"Subdivision","value":"EC"},{"id":4,"name":"Milepost","value":"0.016"},{"id":17,"name":"Train ID","value":"140-27"},{"id":16,"name":"Locomotive ID","value":"4017"},{"id":130,"name":"Impact","value":""},{"id":150,"name":"Time of Event (Mountain Time)","value":"10:03:36"},{"id":151,"name":"Denver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13"/>
        <v>start /low /b %USERPROFILE%\Documents\GitHub\eaglep3\Utilities\DownloadLogsFromS3.py --loco 4017 --day 2017-10-27</v>
      </c>
      <c r="AN52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16:03:36"},{"id":29,"name":"Sharepoint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15"/>
        <v>https://d0f6bd738d7f1b3e5a7ca70fe4ff75f0.us-east-1.aws.found.io/app/kibana#/discover/Steve-Slow-Train-Analysis-(2080s-and-2083s)?_g=(refreshInterval:(display:Off,pause:!f,section:0,value:0),time:(from:'2017-10-27T08:24:50-0600',mode:absolute,to:'2017-10-27T11:03:36-0600'))&amp;_a=(columns:!('Message%20ID',Summary),filters:!(),index:'emp_*',interval:auto,query:(query_string:(analyze_wildcard:!t,query:'%22rtdc.l.rtdc.4017%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709</v>
      </c>
      <c r="B53" s="7">
        <v>4014</v>
      </c>
      <c r="C53" s="21" t="s">
        <v>194</v>
      </c>
      <c r="D53" s="21" t="s">
        <v>589</v>
      </c>
      <c r="E53" s="13">
        <v>43035.362766203703</v>
      </c>
      <c r="F53" s="13">
        <v>43035.366053240738</v>
      </c>
      <c r="G53" s="7">
        <v>63</v>
      </c>
      <c r="H53" s="21" t="s">
        <v>568</v>
      </c>
      <c r="I53" s="13">
        <v>43035.390219907407</v>
      </c>
      <c r="J53" s="7">
        <v>0</v>
      </c>
      <c r="K53" s="89" t="str">
        <f>IF(ISEVEN(B53),(B53-1)&amp;"/"&amp;B53,B53&amp;"/"&amp;(B53+1))</f>
        <v>4013/4014</v>
      </c>
      <c r="L53" s="185" t="str">
        <f>VLOOKUP(A53,'Trips&amp;Operators'!$C$1:$G$99911,5,FALSE)</f>
        <v>MACDONALD THOMAS</v>
      </c>
      <c r="M53" s="6">
        <f>I53-F53</f>
        <v>2.4166666669771075E-2</v>
      </c>
      <c r="N53" s="7">
        <f>24*60*SUM($M53:$M53)</f>
        <v>34.800000004470348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-27T07:42:23-0600',mode:absolute,to:'2017-10-27T10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4.7699999999999999E-2</v>
      </c>
      <c r="Z53" s="204">
        <f>RIGHT(H53,LEN(H53)-4)/10000</f>
        <v>23.327999999999999</v>
      </c>
      <c r="AA53" s="204">
        <f>ABS(Z53-Y53)</f>
        <v>23.2803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s3://rtdc.mdm.uploadarchive.raw/RTDC4014/ "%USERPROFILE%\AppData\Local\Temp\OnboardLogs"\RTDC4014\2017-10-27 --exclude "*" --recursive --include "*20171027*" &amp; "%USERPROFILE%\Documents\GitHub\mrs-test-scripts\Headless Mode &amp; Sideloading\WalkAndUnGZ.bat" "%USERPROFILE%\AppData\Local\Temp\OnboardLogs"\RTDC4014\2017-10-27 &amp; aws s3 cp s3://rtdc.mdm.uploadarchive.raw/RTDC4014/ "%USERPROFILE%\AppData\Local\Temp\OnboardLogs"\RTDC4014\2017-10-28 --exclude "*" --recursive --include "*20171028*" &amp; "%USERPROFILE%\Documents\GitHub\mrs-test-scripts\Headless Mode &amp; Sideloading\WalkAndUnGZ.bat" "%USERPROFILE%\AppData\Local\Temp\OnboardLogs"\RTDC4014\2017-10-28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/stypes="app*4014*20171027*"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11"/>
        <v>"%USERPROFILE%\Documents\GitHub\eaglep3\Utilities\RefineRTDCRunTimes.py" --tripid 141-27 --locoid 4014 --swversion DE.1.0.9.0 --startMP 204:477 --initTime 2017-10-27T08:42:23 --startdatetime 2017-10-27T08:47:07 --delay 63 --endMP 204:233280 --enddatetime 2017-10-27T09:21:55 --enforcementcount 0 &gt;&gt;%USERPROFILE%\Documents\GitHub\eaglep3-reporting\EC\2017-10-27-refined-times.txt</v>
      </c>
      <c r="AI53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{"issue":{"subject":"","project_id":79,"tracker_id":40,"status_id":1,"priority_id":2,"assigned_to_id":338,"start_date":"2017-10-27","description":"","custom_fields":[{"id":1,"name":"Subdivision","value":"EC"},{"id":4,"name":"Milepost","value":"23.328"},{"id":17,"name":"Train ID","value":"141-27"},{"id":16,"name":"Locomotive ID","value":"4014"},{"id":130,"name":"Impact","value":""},{"id":150,"name":"Time of Event (Mountain Time)","value":"09:21:55"},{"id":151,"name":"Denver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13"/>
        <v>start /low /b %USERPROFILE%\Documents\GitHub\eaglep3\Utilities\DownloadLogsFromS3.py --loco 4014 --day 2017-10-27</v>
      </c>
      <c r="AN53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15:21:55"},{"id":29,"name":"Sharepoint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15"/>
        <v>https://d0f6bd738d7f1b3e5a7ca70fe4ff75f0.us-east-1.aws.found.io/app/kibana#/discover/Steve-Slow-Train-Analysis-(2080s-and-2083s)?_g=(refreshInterval:(display:Off,pause:!f,section:0,value:0),time:(from:'2017-10-27T07:42:23-0600',mode:absolute,to:'2017-10-27T10:21:55-0600'))&amp;_a=(columns:!('Message%20ID',Summary),filters:!(),index:'emp_*',interval:auto,query:(query_string:(analyze_wildcard:!t,query:'%22rtdc.l.rtdc.4014%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718</v>
      </c>
      <c r="B54" s="7">
        <v>4013</v>
      </c>
      <c r="C54" s="21" t="s">
        <v>194</v>
      </c>
      <c r="D54" s="21" t="s">
        <v>888</v>
      </c>
      <c r="E54" s="13">
        <v>43035.402951388889</v>
      </c>
      <c r="F54" s="13">
        <v>43035.404826388891</v>
      </c>
      <c r="G54" s="7">
        <v>56</v>
      </c>
      <c r="H54" s="21" t="s">
        <v>566</v>
      </c>
      <c r="I54" s="13">
        <v>43035.430868055555</v>
      </c>
      <c r="J54" s="7">
        <v>0</v>
      </c>
      <c r="K54" s="89" t="str">
        <f>IF(ISEVEN(B54),(B54-1)&amp;"/"&amp;B54,B54&amp;"/"&amp;(B54+1))</f>
        <v>4013/4014</v>
      </c>
      <c r="L54" s="185" t="str">
        <f>VLOOKUP(A54,'Trips&amp;Operators'!$C$1:$G$99911,5,FALSE)</f>
        <v>MACDONALD THOMAS</v>
      </c>
      <c r="M54" s="6">
        <f>I54-F54</f>
        <v>2.6041666664241347E-2</v>
      </c>
      <c r="N54" s="7">
        <f>24*60*SUM($M54:$M54)</f>
        <v>37.49999999650754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-27T08:40:15-0600',mode:absolute,to:'2017-10-27T11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23.296299999999999</v>
      </c>
      <c r="Z54" s="204">
        <f>RIGHT(H54,LEN(H54)-4)/10000</f>
        <v>1.5599999999999999E-2</v>
      </c>
      <c r="AA54" s="204">
        <f>ABS(Z54-Y54)</f>
        <v>23.2807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/stypes="app*4013*20171027*"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11"/>
        <v>"%USERPROFILE%\Documents\GitHub\eaglep3\Utilities\RefineRTDCRunTimes.py" --tripid 142-27 --locoid 4013 --swversion DE.1.0.9.0 --startMP 204:232963 --initTime 2017-10-27T09:40:15 --startdatetime 2017-10-27T09:42:57 --delay 56 --endMP 204:156 --enddatetime 2017-10-27T10:20:27 --enforcementcount 0 &gt;&gt;%USERPROFILE%\Documents\GitHub\eaglep3-reporting\EC\2017-10-27-refined-times.txt</v>
      </c>
      <c r="AI54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{"issue":{"subject":"","project_id":79,"tracker_id":40,"status_id":1,"priority_id":2,"assigned_to_id":338,"start_date":"2017-10-27","description":"","custom_fields":[{"id":1,"name":"Subdivision","value":"EC"},{"id":4,"name":"Milepost","value":"0.0156"},{"id":17,"name":"Train ID","value":"142-27"},{"id":16,"name":"Locomotive ID","value":"4013"},{"id":130,"name":"Impact","value":""},{"id":150,"name":"Time of Event (Mountain Time)","value":"10:20:27"},{"id":151,"name":"Denver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13"/>
        <v>start /low /b %USERPROFILE%\Documents\GitHub\eaglep3\Utilities\DownloadLogsFromS3.py --loco 4013 --day 2017-10-27</v>
      </c>
      <c r="AN54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16:20:27"},{"id":29,"name":"Sharepoint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15"/>
        <v>https://d0f6bd738d7f1b3e5a7ca70fe4ff75f0.us-east-1.aws.found.io/app/kibana#/discover/Steve-Slow-Train-Analysis-(2080s-and-2083s)?_g=(refreshInterval:(display:Off,pause:!f,section:0,value:0),time:(from:'2017-10-27T08:40:15-0600',mode:absolute,to:'2017-10-27T11:20:27-0600'))&amp;_a=(columns:!('Message%20ID',Summary),filters:!(),index:'emp_*',interval:auto,query:(query_string:(analyze_wildcard:!t,query:'%22rtdc.l.rtdc.4013%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710</v>
      </c>
      <c r="B55" s="7">
        <v>4036</v>
      </c>
      <c r="C55" s="21" t="s">
        <v>194</v>
      </c>
      <c r="D55" s="21" t="s">
        <v>383</v>
      </c>
      <c r="E55" s="13">
        <v>43035.370520833334</v>
      </c>
      <c r="F55" s="13">
        <v>43035.375219907408</v>
      </c>
      <c r="G55" s="7">
        <v>49</v>
      </c>
      <c r="H55" s="21" t="s">
        <v>879</v>
      </c>
      <c r="I55" s="13">
        <v>43035.400300925925</v>
      </c>
      <c r="J55" s="7">
        <v>0</v>
      </c>
      <c r="K55" s="89" t="str">
        <f>IF(ISEVEN(B55),(B55-1)&amp;"/"&amp;B55,B55&amp;"/"&amp;(B55+1))</f>
        <v>4035/4036</v>
      </c>
      <c r="L55" s="185" t="str">
        <f>VLOOKUP(A55,'Trips&amp;Operators'!$C$1:$G$99911,5,FALSE)</f>
        <v>MAELZER KURT</v>
      </c>
      <c r="M55" s="6">
        <f>I55-F55</f>
        <v>2.5081018517084885E-2</v>
      </c>
      <c r="N55" s="7">
        <f>24*60*SUM($M55:$M55)</f>
        <v>36.116666664602235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-27T07:53:33-0600',mode:absolute,to:'2017-10-27T10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4.3999999999999997E-2</v>
      </c>
      <c r="Z55" s="204">
        <f>RIGHT(H55,LEN(H55)-4)/10000</f>
        <v>23.3308</v>
      </c>
      <c r="AA55" s="204">
        <f>ABS(Z55-Y55)</f>
        <v>23.286799999999999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/stypes="app*4036*20171027*"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11"/>
        <v>"%USERPROFILE%\Documents\GitHub\eaglep3\Utilities\RefineRTDCRunTimes.py" --tripid 143-27 --locoid 4036 --swversion DE.1.0.9.0 --startMP 204:440 --initTime 2017-10-27T08:53:33 --startdatetime 2017-10-27T09:00:19 --delay 49 --endMP 204:233308 --enddatetime 2017-10-27T09:36:26 --enforcementcount 0 &gt;&gt;%USERPROFILE%\Documents\GitHub\eaglep3-reporting\EC\2017-10-27-refined-times.txt</v>
      </c>
      <c r="AI55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{"issue":{"subject":"","project_id":79,"tracker_id":40,"status_id":1,"priority_id":2,"assigned_to_id":338,"start_date":"2017-10-27","description":"","custom_fields":[{"id":1,"name":"Subdivision","value":"EC"},{"id":4,"name":"Milepost","value":"23.3308"},{"id":17,"name":"Train ID","value":"143-27"},{"id":16,"name":"Locomotive ID","value":"4036"},{"id":130,"name":"Impact","value":""},{"id":150,"name":"Time of Event (Mountain Time)","value":"09:36:26"},{"id":151,"name":"Denver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13"/>
        <v>start /low /b %USERPROFILE%\Documents\GitHub\eaglep3\Utilities\DownloadLogsFromS3.py --loco 4036 --day 2017-10-27</v>
      </c>
      <c r="AN55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15:36:26"},{"id":29,"name":"Sharepoint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15"/>
        <v>https://d0f6bd738d7f1b3e5a7ca70fe4ff75f0.us-east-1.aws.found.io/app/kibana#/discover/Steve-Slow-Train-Analysis-(2080s-and-2083s)?_g=(refreshInterval:(display:Off,pause:!f,section:0,value:0),time:(from:'2017-10-27T07:53:33-0600',mode:absolute,to:'2017-10-27T10:36:26-0600'))&amp;_a=(columns:!('Message%20ID',Summary),filters:!(),index:'emp_*',interval:auto,query:(query_string:(analyze_wildcard:!t,query:'%22rtdc.l.rtdc.4036%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719</v>
      </c>
      <c r="B56" s="7">
        <v>4035</v>
      </c>
      <c r="C56" s="21" t="s">
        <v>194</v>
      </c>
      <c r="D56" s="21" t="s">
        <v>567</v>
      </c>
      <c r="E56" s="13">
        <v>43035.40519675926</v>
      </c>
      <c r="F56" s="13">
        <v>43035.41505787037</v>
      </c>
      <c r="G56" s="7">
        <v>49</v>
      </c>
      <c r="H56" s="21" t="s">
        <v>335</v>
      </c>
      <c r="I56" s="13">
        <v>43035.440868055557</v>
      </c>
      <c r="J56" s="7">
        <v>0</v>
      </c>
      <c r="K56" s="89" t="str">
        <f>IF(ISEVEN(B56),(B56-1)&amp;"/"&amp;B56,B56&amp;"/"&amp;(B56+1))</f>
        <v>4035/4036</v>
      </c>
      <c r="L56" s="185" t="str">
        <f>VLOOKUP(A56,'Trips&amp;Operators'!$C$1:$G$99911,5,FALSE)</f>
        <v>MAELZER KURT</v>
      </c>
      <c r="M56" s="6">
        <f>I56-F56</f>
        <v>2.5810185186855961E-2</v>
      </c>
      <c r="N56" s="7">
        <f>24*60*SUM($M56:$M56)</f>
        <v>37.166666669072583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-27T08:43:29-0600',mode:absolute,to:'2017-10-27T11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23.299800000000001</v>
      </c>
      <c r="Z56" s="204">
        <f>RIGHT(H56,LEN(H56)-4)/10000</f>
        <v>1.4999999999999999E-2</v>
      </c>
      <c r="AA56" s="204">
        <f>ABS(Z56-Y56)</f>
        <v>23.284800000000001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/stypes="app*4035*20171027*"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11"/>
        <v>"%USERPROFILE%\Documents\GitHub\eaglep3\Utilities\RefineRTDCRunTimes.py" --tripid 144-27 --locoid 4035 --swversion DE.1.0.9.0 --startMP 204:232998 --initTime 2017-10-27T09:43:29 --startdatetime 2017-10-27T09:57:41 --delay 49 --endMP 204:150 --enddatetime 2017-10-27T10:34:51 --enforcementcount 0 &gt;&gt;%USERPROFILE%\Documents\GitHub\eaglep3-reporting\EC\2017-10-27-refined-times.txt</v>
      </c>
      <c r="AI56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{"issue":{"subject":"","project_id":79,"tracker_id":40,"status_id":1,"priority_id":2,"assigned_to_id":338,"start_date":"2017-10-27","description":"","custom_fields":[{"id":1,"name":"Subdivision","value":"EC"},{"id":4,"name":"Milepost","value":"0.015"},{"id":17,"name":"Train ID","value":"144-27"},{"id":16,"name":"Locomotive ID","value":"4035"},{"id":130,"name":"Impact","value":""},{"id":150,"name":"Time of Event (Mountain Time)","value":"10:34:51"},{"id":151,"name":"Denver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13"/>
        <v>start /low /b %USERPROFILE%\Documents\GitHub\eaglep3\Utilities\DownloadLogsFromS3.py --loco 4035 --day 2017-10-27</v>
      </c>
      <c r="AN56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16:34:51"},{"id":29,"name":"Sharepoint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15"/>
        <v>https://d0f6bd738d7f1b3e5a7ca70fe4ff75f0.us-east-1.aws.found.io/app/kibana#/discover/Steve-Slow-Train-Analysis-(2080s-and-2083s)?_g=(refreshInterval:(display:Off,pause:!f,section:0,value:0),time:(from:'2017-10-27T08:43:29-0600',mode:absolute,to:'2017-10-27T11:34:51-0600'))&amp;_a=(columns:!('Message%20ID',Summary),filters:!(),index:'emp_*',interval:auto,query:(query_string:(analyze_wildcard:!t,query:'%22rtdc.l.rtdc.4035%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713</v>
      </c>
      <c r="B57" s="7">
        <v>4056</v>
      </c>
      <c r="C57" s="21" t="s">
        <v>194</v>
      </c>
      <c r="D57" s="21" t="s">
        <v>908</v>
      </c>
      <c r="E57" s="13">
        <v>43035.381736111114</v>
      </c>
      <c r="F57" s="13">
        <v>43035.385601851849</v>
      </c>
      <c r="G57" s="7">
        <v>55</v>
      </c>
      <c r="H57" s="21" t="s">
        <v>904</v>
      </c>
      <c r="I57" s="13">
        <v>43035.409282407411</v>
      </c>
      <c r="J57" s="7">
        <v>0</v>
      </c>
      <c r="K57" s="89" t="str">
        <f>IF(ISEVEN(B57),(B57-1)&amp;"/"&amp;B57,B57&amp;"/"&amp;(B57+1))</f>
        <v>4055/4056</v>
      </c>
      <c r="L57" s="185" t="str">
        <f>VLOOKUP(A57,'Trips&amp;Operators'!$C$1:$G$99911,5,FALSE)</f>
        <v>YANAI IAN</v>
      </c>
      <c r="M57" s="6">
        <f>I57-F57</f>
        <v>2.3680555561440997E-2</v>
      </c>
      <c r="N57" s="7">
        <f>24*60*SUM($M57:$M57)</f>
        <v>34.100000008475035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-27T08:09:42-0600',mode:absolute,to:'2017-10-27T10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5.4800000000000001E-2</v>
      </c>
      <c r="Z57" s="204">
        <f>RIGHT(H57,LEN(H57)-4)/10000</f>
        <v>23.319500000000001</v>
      </c>
      <c r="AA57" s="204">
        <f>ABS(Z57-Y57)</f>
        <v>23.264700000000001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s3://rtdc.mdm.uploadarchive.raw/RTDC4056/ "%USERPROFILE%\AppData\Local\Temp\OnboardLogs"\RTDC4056\2017-10-27 --exclude "*" --recursive --include "*20171027*" &amp; "%USERPROFILE%\Documents\GitHub\mrs-test-scripts\Headless Mode &amp; Sideloading\WalkAndUnGZ.bat" "%USERPROFILE%\AppData\Local\Temp\OnboardLogs"\RTDC4056\2017-10-27 &amp; 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/stypes="app*4056*20171027*"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11"/>
        <v>"%USERPROFILE%\Documents\GitHub\eaglep3\Utilities\RefineRTDCRunTimes.py" --tripid 145-27 --locoid 4056 --swversion DE.1.0.9.0 --startMP 204:548 --initTime 2017-10-27T09:09:42 --startdatetime 2017-10-27T09:15:16 --delay 55 --endMP 204:233195 --enddatetime 2017-10-27T09:49:22 --enforcementcount 0 &gt;&gt;%USERPROFILE%\Documents\GitHub\eaglep3-reporting\EC\2017-10-27-refined-times.txt</v>
      </c>
      <c r="AI57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{"issue":{"subject":"","project_id":79,"tracker_id":40,"status_id":1,"priority_id":2,"assigned_to_id":338,"start_date":"2017-10-27","description":"","custom_fields":[{"id":1,"name":"Subdivision","value":"EC"},{"id":4,"name":"Milepost","value":"23.3195"},{"id":17,"name":"Train ID","value":"145-27"},{"id":16,"name":"Locomotive ID","value":"4056"},{"id":130,"name":"Impact","value":""},{"id":150,"name":"Time of Event (Mountain Time)","value":"09:49:22"},{"id":151,"name":"Denver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13"/>
        <v>start /low /b %USERPROFILE%\Documents\GitHub\eaglep3\Utilities\DownloadLogsFromS3.py --loco 4056 --day 2017-10-27</v>
      </c>
      <c r="AN57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15:49:22"},{"id":29,"name":"Sharepoint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15"/>
        <v>https://d0f6bd738d7f1b3e5a7ca70fe4ff75f0.us-east-1.aws.found.io/app/kibana#/discover/Steve-Slow-Train-Analysis-(2080s-and-2083s)?_g=(refreshInterval:(display:Off,pause:!f,section:0,value:0),time:(from:'2017-10-27T08:09:42-0600',mode:absolute,to:'2017-10-27T10:49:22-0600'))&amp;_a=(columns:!('Message%20ID',Summary),filters:!(),index:'emp_*',interval:auto,query:(query_string:(analyze_wildcard:!t,query:'%22rtdc.l.rtdc.4056%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720</v>
      </c>
      <c r="B58" s="7">
        <v>4055</v>
      </c>
      <c r="C58" s="21" t="s">
        <v>194</v>
      </c>
      <c r="D58" s="21" t="s">
        <v>909</v>
      </c>
      <c r="E58" s="13">
        <v>43035.41034722222</v>
      </c>
      <c r="F58" s="13">
        <v>43035.425173611111</v>
      </c>
      <c r="G58" s="7">
        <v>46</v>
      </c>
      <c r="H58" s="21" t="s">
        <v>894</v>
      </c>
      <c r="I58" s="13">
        <v>43035.451203703706</v>
      </c>
      <c r="J58" s="7">
        <v>0</v>
      </c>
      <c r="K58" s="89" t="str">
        <f>IF(ISEVEN(B58),(B58-1)&amp;"/"&amp;B58,B58&amp;"/"&amp;(B58+1))</f>
        <v>4055/4056</v>
      </c>
      <c r="L58" s="185" t="str">
        <f>VLOOKUP(A58,'Trips&amp;Operators'!$C$1:$G$99911,5,FALSE)</f>
        <v>YANAI IAN</v>
      </c>
      <c r="M58" s="6">
        <f>I58-F58</f>
        <v>2.6030092594737653E-2</v>
      </c>
      <c r="N58" s="7">
        <f>24*60*SUM($M58:$M58)</f>
        <v>37.48333333642222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-27T08:50:54-0600',mode:absolute,to:'2017-10-27T11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23.286300000000001</v>
      </c>
      <c r="Z58" s="204">
        <f>RIGHT(H58,LEN(H58)-4)/10000</f>
        <v>1.67E-2</v>
      </c>
      <c r="AA58" s="204">
        <f>ABS(Z58-Y58)</f>
        <v>23.269600000000001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s3://rtdc.mdm.uploadarchive.raw/RTDC4055/ "%USERPROFILE%\AppData\Local\Temp\OnboardLogs"\RTDC4055\2017-10-27 --exclude "*" --recursive --include "*20171027*" &amp; "%USERPROFILE%\Documents\GitHub\mrs-test-scripts\Headless Mode &amp; Sideloading\WalkAndUnGZ.bat" "%USERPROFILE%\AppData\Local\Temp\OnboardLogs"\RTDC4055\2017-10-27 &amp; aws s3 cp s3://rtdc.mdm.uploadarchive.raw/RTDC4055/ "%USERPROFILE%\AppData\Local\Temp\OnboardLogs"\RTDC4055\2017-10-28 --exclude "*" --recursive --include "*20171028*" &amp; "%USERPROFILE%\Documents\GitHub\mrs-test-scripts\Headless Mode &amp; Sideloading\WalkAndUnGZ.bat" "%USERPROFILE%\AppData\Local\Temp\OnboardLogs"\RTDC4055\2017-10-28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/stypes="app*4055*20171027*"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11"/>
        <v>"%USERPROFILE%\Documents\GitHub\eaglep3\Utilities\RefineRTDCRunTimes.py" --tripid 146-27 --locoid 4055 --swversion DE.1.0.9.0 --startMP 204:232863 --initTime 2017-10-27T09:50:54 --startdatetime 2017-10-27T10:12:15 --delay 46 --endMP 204:167 --enddatetime 2017-10-27T10:49:44 --enforcementcount 0 &gt;&gt;%USERPROFILE%\Documents\GitHub\eaglep3-reporting\EC\2017-10-27-refined-times.txt</v>
      </c>
      <c r="AI58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{"issue":{"subject":"","project_id":79,"tracker_id":40,"status_id":1,"priority_id":2,"assigned_to_id":338,"start_date":"2017-10-27","description":"","custom_fields":[{"id":1,"name":"Subdivision","value":"EC"},{"id":4,"name":"Milepost","value":"0.0167"},{"id":17,"name":"Train ID","value":"146-27"},{"id":16,"name":"Locomotive ID","value":"4055"},{"id":130,"name":"Impact","value":""},{"id":150,"name":"Time of Event (Mountain Time)","value":"10:49:44"},{"id":151,"name":"Denver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13"/>
        <v>start /low /b %USERPROFILE%\Documents\GitHub\eaglep3\Utilities\DownloadLogsFromS3.py --loco 4055 --day 2017-10-27</v>
      </c>
      <c r="AN58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16:49:44"},{"id":29,"name":"Sharepoint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15"/>
        <v>https://d0f6bd738d7f1b3e5a7ca70fe4ff75f0.us-east-1.aws.found.io/app/kibana#/discover/Steve-Slow-Train-Analysis-(2080s-and-2083s)?_g=(refreshInterval:(display:Off,pause:!f,section:0,value:0),time:(from:'2017-10-27T08:50:54-0600',mode:absolute,to:'2017-10-27T11:49:44-0600'))&amp;_a=(columns:!('Message%20ID',Summary),filters:!(),index:'emp_*',interval:auto,query:(query_string:(analyze_wildcard:!t,query:'%22rtdc.l.rtdc.4055%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715</v>
      </c>
      <c r="B59" s="7">
        <v>4006</v>
      </c>
      <c r="C59" s="21" t="s">
        <v>194</v>
      </c>
      <c r="D59" s="21" t="s">
        <v>599</v>
      </c>
      <c r="E59" s="13">
        <v>43035.392164351855</v>
      </c>
      <c r="F59" s="13">
        <v>43035.396006944444</v>
      </c>
      <c r="G59" s="7">
        <v>226</v>
      </c>
      <c r="H59" s="21" t="s">
        <v>577</v>
      </c>
      <c r="I59" s="13">
        <v>43035.421307870369</v>
      </c>
      <c r="J59" s="7">
        <v>0</v>
      </c>
      <c r="K59" s="89" t="str">
        <f>IF(ISEVEN(B59),(B59-1)&amp;"/"&amp;B59,B59&amp;"/"&amp;(B59+1))</f>
        <v>4005/4006</v>
      </c>
      <c r="L59" s="185" t="str">
        <f>VLOOKUP(A59,'Trips&amp;Operators'!$C$1:$G$99911,5,FALSE)</f>
        <v>DE LA ROSA ALEX</v>
      </c>
      <c r="M59" s="6">
        <f>I59-F59</f>
        <v>2.5300925924966577E-2</v>
      </c>
      <c r="N59" s="7">
        <f>24*60*SUM($M59:$M59)</f>
        <v>36.433333331951872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-27T08:24:43-0600',mode:absolute,to:'2017-10-27T11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5.1999999999999998E-2</v>
      </c>
      <c r="Z59" s="204">
        <f>RIGHT(H59,LEN(H59)-4)/10000</f>
        <v>23.3215</v>
      </c>
      <c r="AA59" s="204">
        <f>ABS(Z59-Y59)</f>
        <v>23.269500000000001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/stypes="app*4006*20171027*"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11"/>
        <v>"%USERPROFILE%\Documents\GitHub\eaglep3\Utilities\RefineRTDCRunTimes.py" --tripid 147-27 --locoid 4006 --swversion DE.1.0.9.0 --startMP 204:520 --initTime 2017-10-27T09:24:43 --startdatetime 2017-10-27T09:30:15 --delay 226 --endMP 204:233215 --enddatetime 2017-10-27T10:06:41 --enforcementcount 0 &gt;&gt;%USERPROFILE%\Documents\GitHub\eaglep3-reporting\EC\2017-10-27-refined-times.txt</v>
      </c>
      <c r="AI59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{"issue":{"subject":"","project_id":79,"tracker_id":40,"status_id":1,"priority_id":2,"assigned_to_id":338,"start_date":"2017-10-27","description":"","custom_fields":[{"id":1,"name":"Subdivision","value":"EC"},{"id":4,"name":"Milepost","value":"23.3215"},{"id":17,"name":"Train ID","value":"147-27"},{"id":16,"name":"Locomotive ID","value":"4006"},{"id":130,"name":"Impact","value":""},{"id":150,"name":"Time of Event (Mountain Time)","value":"10:06:41"},{"id":151,"name":"Denver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13"/>
        <v>start /low /b %USERPROFILE%\Documents\GitHub\eaglep3\Utilities\DownloadLogsFromS3.py --loco 4006 --day 2017-10-27</v>
      </c>
      <c r="AN59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16:06:41"},{"id":29,"name":"Sharepoint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15"/>
        <v>https://d0f6bd738d7f1b3e5a7ca70fe4ff75f0.us-east-1.aws.found.io/app/kibana#/discover/Steve-Slow-Train-Analysis-(2080s-and-2083s)?_g=(refreshInterval:(display:Off,pause:!f,section:0,value:0),time:(from:'2017-10-27T08:24:43-0600',mode:absolute,to:'2017-10-27T11:06:41-0600'))&amp;_a=(columns:!('Message%20ID',Summary),filters:!(),index:'emp_*',interval:auto,query:(query_string:(analyze_wildcard:!t,query:'%22rtdc.l.rtdc.4006%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725</v>
      </c>
      <c r="B60" s="7">
        <v>4005</v>
      </c>
      <c r="C60" s="21" t="s">
        <v>194</v>
      </c>
      <c r="D60" s="21" t="s">
        <v>910</v>
      </c>
      <c r="E60" s="13">
        <v>43035.432592592595</v>
      </c>
      <c r="F60" s="13">
        <v>43035.435706018521</v>
      </c>
      <c r="G60" s="7">
        <v>50</v>
      </c>
      <c r="H60" s="21" t="s">
        <v>911</v>
      </c>
      <c r="I60" s="13">
        <v>43035.462002314816</v>
      </c>
      <c r="J60" s="7">
        <v>0</v>
      </c>
      <c r="K60" s="89" t="str">
        <f>IF(ISEVEN(B60),(B60-1)&amp;"/"&amp;B60,B60&amp;"/"&amp;(B60+1))</f>
        <v>4005/4006</v>
      </c>
      <c r="L60" s="185" t="str">
        <f>VLOOKUP(A60,'Trips&amp;Operators'!$C$1:$G$99911,5,FALSE)</f>
        <v>DE LA ROSA ALEX</v>
      </c>
      <c r="M60" s="6">
        <f>I60-F60</f>
        <v>2.6296296295186039E-2</v>
      </c>
      <c r="N60" s="7">
        <f>24*60*SUM($M60:$M60)</f>
        <v>37.866666665067896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-27T09:22:56-0600',mode:absolute,to:'2017-10-27T12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23.289100000000001</v>
      </c>
      <c r="Z60" s="204">
        <f>RIGHT(H60,LEN(H60)-4)/10000</f>
        <v>2.4E-2</v>
      </c>
      <c r="AA60" s="204">
        <f>ABS(Z60-Y60)</f>
        <v>23.2651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/stypes="app*4005*20171027*"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11"/>
        <v>"%USERPROFILE%\Documents\GitHub\eaglep3\Utilities\RefineRTDCRunTimes.py" --tripid 148-27 --locoid 4005 --swversion DE.1.0.9.0 --startMP 204:232891 --initTime 2017-10-27T10:22:56 --startdatetime 2017-10-27T10:27:25 --delay 50 --endMP 204:240 --enddatetime 2017-10-27T11:05:17 --enforcementcount 0 &gt;&gt;%USERPROFILE%\Documents\GitHub\eaglep3-reporting\EC\2017-10-27-refined-times.txt</v>
      </c>
      <c r="AI60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{"issue":{"subject":"","project_id":79,"tracker_id":40,"status_id":1,"priority_id":2,"assigned_to_id":338,"start_date":"2017-10-27","description":"","custom_fields":[{"id":1,"name":"Subdivision","value":"EC"},{"id":4,"name":"Milepost","value":"0.024"},{"id":17,"name":"Train ID","value":"148-27"},{"id":16,"name":"Locomotive ID","value":"4005"},{"id":130,"name":"Impact","value":""},{"id":150,"name":"Time of Event (Mountain Time)","value":"11:05:17"},{"id":151,"name":"Denver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13"/>
        <v>start /low /b %USERPROFILE%\Documents\GitHub\eaglep3\Utilities\DownloadLogsFromS3.py --loco 4005 --day 2017-10-27</v>
      </c>
      <c r="AN60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15"/>
        <v>https://d0f6bd738d7f1b3e5a7ca70fe4ff75f0.us-east-1.aws.found.io/app/kibana#/discover/Steve-Slow-Train-Analysis-(2080s-and-2083s)?_g=(refreshInterval:(display:Off,pause:!f,section:0,value:0),time:(from:'2017-10-27T09:22:56-0600',mode:absolute,to:'2017-10-27T12:05:17-0600'))&amp;_a=(columns:!('Message%20ID',Summary),filters:!(),index:'emp_*',interval:auto,query:(query_string:(analyze_wildcard:!t,query:'%22rtdc.l.rtdc.4005%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717</v>
      </c>
      <c r="B61" s="7">
        <v>4008</v>
      </c>
      <c r="C61" s="21" t="s">
        <v>194</v>
      </c>
      <c r="D61" s="21" t="s">
        <v>529</v>
      </c>
      <c r="E61" s="13">
        <v>43035.40115740741</v>
      </c>
      <c r="F61" s="13">
        <v>43035.406423611108</v>
      </c>
      <c r="G61" s="7">
        <v>52</v>
      </c>
      <c r="H61" s="21" t="s">
        <v>912</v>
      </c>
      <c r="I61" s="13">
        <v>43035.430266203701</v>
      </c>
      <c r="J61" s="7">
        <v>0</v>
      </c>
      <c r="K61" s="89" t="str">
        <f>IF(ISEVEN(B61),(B61-1)&amp;"/"&amp;B61,B61&amp;"/"&amp;(B61+1))</f>
        <v>4007/4008</v>
      </c>
      <c r="L61" s="185" t="str">
        <f>VLOOKUP(A61,'Trips&amp;Operators'!$C$1:$G$99911,5,FALSE)</f>
        <v>GEBRETEKLE DAGNEW</v>
      </c>
      <c r="M61" s="6">
        <f>I61-F61</f>
        <v>2.3842592592700385E-2</v>
      </c>
      <c r="N61" s="7">
        <f>24*60*SUM($M61:$M61)</f>
        <v>34.333333333488554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-27T08:37:40-0600',mode:absolute,to:'2017-10-27T11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4.82E-2</v>
      </c>
      <c r="Z61" s="204">
        <f>RIGHT(H61,LEN(H61)-4)/10000</f>
        <v>23.319700000000001</v>
      </c>
      <c r="AA61" s="204">
        <f>ABS(Z61-Y61)</f>
        <v>23.2715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/stypes="app*4008*20171027*"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11"/>
        <v>"%USERPROFILE%\Documents\GitHub\eaglep3\Utilities\RefineRTDCRunTimes.py" --tripid 149-27 --locoid 4008 --swversion DE.1.0.9.0 --startMP 204:482 --initTime 2017-10-27T09:37:40 --startdatetime 2017-10-27T09:45:15 --delay 52 --endMP 204:233197 --enddatetime 2017-10-27T10:19:35 --enforcementcount 0 &gt;&gt;%USERPROFILE%\Documents\GitHub\eaglep3-reporting\EC\2017-10-27-refined-times.txt</v>
      </c>
      <c r="AI61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{"issue":{"subject":"","project_id":79,"tracker_id":40,"status_id":1,"priority_id":2,"assigned_to_id":338,"start_date":"2017-10-27","description":"","custom_fields":[{"id":1,"name":"Subdivision","value":"EC"},{"id":4,"name":"Milepost","value":"23.3197"},{"id":17,"name":"Train ID","value":"149-27"},{"id":16,"name":"Locomotive ID","value":"4008"},{"id":130,"name":"Impact","value":""},{"id":150,"name":"Time of Event (Mountain Time)","value":"10:19:35"},{"id":151,"name":"Denver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13"/>
        <v>start /low /b %USERPROFILE%\Documents\GitHub\eaglep3\Utilities\DownloadLogsFromS3.py --loco 4008 --day 2017-10-27</v>
      </c>
      <c r="AN61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16:19:35"},{"id":29,"name":"Sharepoint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15"/>
        <v>https://d0f6bd738d7f1b3e5a7ca70fe4ff75f0.us-east-1.aws.found.io/app/kibana#/discover/Steve-Slow-Train-Analysis-(2080s-and-2083s)?_g=(refreshInterval:(display:Off,pause:!f,section:0,value:0),time:(from:'2017-10-27T08:37:40-0600',mode:absolute,to:'2017-10-27T11:19:35-0600'))&amp;_a=(columns:!('Message%20ID',Summary),filters:!(),index:'emp_*',interval:auto,query:(query_string:(analyze_wildcard:!t,query:'%22rtdc.l.rtdc.4008%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724</v>
      </c>
      <c r="B62" s="7">
        <v>4007</v>
      </c>
      <c r="C62" s="21" t="s">
        <v>194</v>
      </c>
      <c r="D62" s="21" t="s">
        <v>913</v>
      </c>
      <c r="E62" s="13">
        <v>43035.431805555556</v>
      </c>
      <c r="F62" s="13">
        <v>43035.446018518516</v>
      </c>
      <c r="G62" s="7">
        <v>58</v>
      </c>
      <c r="H62" s="21" t="s">
        <v>914</v>
      </c>
      <c r="I62" s="13">
        <v>43035.472175925926</v>
      </c>
      <c r="J62" s="7">
        <v>0</v>
      </c>
      <c r="K62" s="89" t="str">
        <f>IF(ISEVEN(B62),(B62-1)&amp;"/"&amp;B62,B62&amp;"/"&amp;(B62+1))</f>
        <v>4007/4008</v>
      </c>
      <c r="L62" s="185" t="str">
        <f>VLOOKUP(A62,'Trips&amp;Operators'!$C$1:$G$99911,5,FALSE)</f>
        <v>GEBRETEKLE DAGNEW</v>
      </c>
      <c r="M62" s="6">
        <f>I62-F62</f>
        <v>2.6157407410209998E-2</v>
      </c>
      <c r="N62" s="7">
        <f>24*60*SUM($M62:$M62)</f>
        <v>37.666666670702398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-27T09:21:48-0600',mode:absolute,to:'2017-10-27T12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23.286899999999999</v>
      </c>
      <c r="Z62" s="204">
        <f>RIGHT(H62,LEN(H62)-4)/10000</f>
        <v>1.78E-2</v>
      </c>
      <c r="AA62" s="204">
        <f>ABS(Z62-Y62)</f>
        <v>23.269099999999998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/stypes="app*4007*20171027*"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11"/>
        <v>"%USERPROFILE%\Documents\GitHub\eaglep3\Utilities\RefineRTDCRunTimes.py" --tripid 150-27 --locoid 4007 --swversion DE.1.0.9.0 --startMP 204:232869 --initTime 2017-10-27T10:21:48 --startdatetime 2017-10-27T10:42:16 --delay 58 --endMP 204:178 --enddatetime 2017-10-27T11:19:56 --enforcementcount 0 &gt;&gt;%USERPROFILE%\Documents\GitHub\eaglep3-reporting\EC\2017-10-27-refined-times.txt</v>
      </c>
      <c r="AI62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{"issue":{"subject":"","project_id":79,"tracker_id":40,"status_id":1,"priority_id":2,"assigned_to_id":338,"start_date":"2017-10-27","description":"","custom_fields":[{"id":1,"name":"Subdivision","value":"EC"},{"id":4,"name":"Milepost","value":"0.0178"},{"id":17,"name":"Train ID","value":"150-27"},{"id":16,"name":"Locomotive ID","value":"4007"},{"id":130,"name":"Impact","value":""},{"id":150,"name":"Time of Event (Mountain Time)","value":"11:19:56"},{"id":151,"name":"Denver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13"/>
        <v>start /low /b %USERPROFILE%\Documents\GitHub\eaglep3\Utilities\DownloadLogsFromS3.py --loco 4007 --day 2017-10-27</v>
      </c>
      <c r="AN62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15"/>
        <v>https://d0f6bd738d7f1b3e5a7ca70fe4ff75f0.us-east-1.aws.found.io/app/kibana#/discover/Steve-Slow-Train-Analysis-(2080s-and-2083s)?_g=(refreshInterval:(display:Off,pause:!f,section:0,value:0),time:(from:'2017-10-27T09:21:48-0600',mode:absolute,to:'2017-10-27T12:19:56-0600'))&amp;_a=(columns:!('Message%20ID',Summary),filters:!(),index:'emp_*',interval:auto,query:(query_string:(analyze_wildcard:!t,query:'%22rtdc.l.rtdc.4007%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721</v>
      </c>
      <c r="B63" s="7">
        <v>4052</v>
      </c>
      <c r="C63" s="21" t="s">
        <v>194</v>
      </c>
      <c r="D63" s="21" t="s">
        <v>913</v>
      </c>
      <c r="E63" s="13">
        <v>43035.431805555556</v>
      </c>
      <c r="F63" s="13">
        <v>43035.44394675926</v>
      </c>
      <c r="G63" s="7">
        <v>58</v>
      </c>
      <c r="H63" s="21" t="s">
        <v>914</v>
      </c>
      <c r="I63" s="13">
        <v>43035.457939814813</v>
      </c>
      <c r="J63" s="7">
        <v>0</v>
      </c>
      <c r="K63" s="89" t="str">
        <f>IF(ISEVEN(B63),(B63-1)&amp;"/"&amp;B63,B63&amp;"/"&amp;(B63+1))</f>
        <v>4051/4052</v>
      </c>
      <c r="L63" s="185" t="str">
        <f>VLOOKUP(A63,'Trips&amp;Operators'!$C$1:$G$99911,5,FALSE)</f>
        <v>DAVIS WENDY</v>
      </c>
      <c r="M63" s="6">
        <f>I63-F63</f>
        <v>1.3993055552418809E-2</v>
      </c>
      <c r="N63" s="7"/>
      <c r="O63" s="7"/>
      <c r="P63" s="7">
        <f>24*60*SUM($M63:$M63)</f>
        <v>20.149999995483086</v>
      </c>
      <c r="Q63" s="22"/>
      <c r="R63" s="174" t="s">
        <v>620</v>
      </c>
      <c r="S63" s="221">
        <f>1/IF(AG63="EC",12,1)*SUM(U63:U63)</f>
        <v>0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-27T09:21:48-0600',mode:absolute,to:'2017-10-27T11:59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3" s="204" t="str">
        <f>IF(AA63&lt;VLOOKUP(AG63,Variables!$AC$3:$AD$8,2,FALSE),"Y","N")</f>
        <v>N</v>
      </c>
      <c r="X63" s="204">
        <f t="shared" ref="X63:X65" si="22">VALUE(LEFT(AD63,4))-VALUE(LEFT(AD62,4))</f>
        <v>1</v>
      </c>
      <c r="Y63" s="204">
        <f>RIGHT(D63,LEN(D63)-4)/10000</f>
        <v>23.286899999999999</v>
      </c>
      <c r="Z63" s="204">
        <f>RIGHT(H63,LEN(H63)-4)/10000</f>
        <v>1.78E-2</v>
      </c>
      <c r="AA63" s="204">
        <f>ABS(Z63-Y63)</f>
        <v>23.269099999999998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/stypes="app*4052*20171027*"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ref="AH63" si="23">refinertdcruntimes&amp;" --tripid "&amp;A63&amp;" --locoid "&amp;B63&amp;" --swversion "&amp;C63&amp;" --startMP "&amp;D63&amp;" --initTime "&amp;TEXT(E63,"yyyy-mm-ddTHH:MM:SS")&amp;" --startdatetime "&amp;TEXT(F63,"yyyy-mm-ddTHH:MM:SS")&amp;" --delay "&amp;G63&amp;" --endMP "&amp;H63&amp;" --enddatetime "&amp;TEXT(I63,"yyyy-mm-ddTHH:MM:SS")&amp;" --enforcementcount "&amp;J63&amp;IF(outputrefinedruntimes," &gt;&gt;"&amp;RefinedRTDCRunTimesOutputFile,"")</f>
        <v>"%USERPROFILE%\Documents\GitHub\eaglep3\Utilities\RefineRTDCRunTimes.py" --tripid 151-27 --locoid 4052 --swversion DE.1.0.9.0 --startMP 204:232869 --initTime 2017-10-27T10:21:48 --startdatetime 2017-10-27T10:39:17 --delay 58 --endMP 204:178 --enddatetime 2017-10-27T10:59:26 --enforcementcount 0 &gt;&gt;%USERPROFILE%\Documents\GitHub\eaglep3-reporting\EC\2017-10-27-refined-times.txt</v>
      </c>
      <c r="AI63" s="96" t="str">
        <f t="shared" ref="AI63" si="24">"echo {""issue"":{""subject"":"""&amp;R63&amp;""",""project_id"":79,""tracker_id"":40,""status_id"":"&amp;redmine_status&amp;",""priority_id"":"&amp;redmine_priority&amp;",""assigned_to_id"":"&amp;redmine_assignee&amp;",""start_date"":"""&amp;TEXT(I63,"YYYY-mm-dd")&amp;""",""description"":"""&amp;AJ63&amp;""",""custom_fields"":[{""id"":1,""name"":""Subdivision"",""value"":"""&amp;AG63&amp;"""},{""id"":4,""name"":""Milepost"",""value"":"""&amp;Z63&amp;"""},{""id"":17,""name"":""Train ID"",""value"":"""&amp;A63&amp;"""},{""id"":16,""name"":""Locomotive ID"",""value"":"""&amp;B63&amp;"""},{""id"":130,""name"":""Impact"",""value"":"""&amp;AK63&amp;"""},{""id"":150,""name"":""Time of Event (Mountain Time)"",""value"":"""&amp;TEXT(I63,"hh:mm:ss")&amp;"""},{""id"":151,""name"":""Denver Issue ID"",""value"":"""&amp;"""},{""id"":178,""name"":""Operational Impact"",""value"":"""&amp;redmine_op_impact&amp;"""},{""id"":179,""name"":""Denver Segment Assigned"",""value"":"""&amp;AL63&amp;"""}]}}"&amp;" | curl --insecure -X POST -H ""Content-Type: application/json"" -H ""X-Redmine-API-Key: "&amp;redm_api_key&amp;""" "&amp;redm_url&amp;" --data @-"</f>
        <v>echo {"issue":{"subject":"Onboard en route failure","project_id":79,"tracker_id":40,"status_id":1,"priority_id":2,"assigned_to_id":338,"start_date":"2017-10-27","description":"","custom_fields":[{"id":1,"name":"Subdivision","value":"EC"},{"id":4,"name":"Milepost","value":"0.0178"},{"id":17,"name":"Train ID","value":"151-27"},{"id":16,"name":"Locomotive ID","value":"4052"},{"id":130,"name":"Impact","value":""},{"id":150,"name":"Time of Event (Mountain Time)","value":"10:59:26"},{"id":151,"name":"Denver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ref="AM63" si="25">"start /low /b "&amp;dls3logs&amp;" --loco "&amp;B63&amp;" --day "&amp;TEXT(F63,"YYYY-MM-DD")</f>
        <v>start /low /b %USERPROFILE%\Documents\GitHub\eaglep3\Utilities\DownloadLogsFromS3.py --loco 4052 --day 2017-10-27</v>
      </c>
      <c r="AN63" s="151" t="str">
        <f t="shared" ref="AN63" si="26">"echo {""issue"":{""subject"":"""&amp;R63&amp;""",""project_id"":30,""tracker_id"":4,""status_id"":"&amp;redmine_status_wcr&amp;",""priority_id"":"&amp;redmine_priority_wcr&amp;",""assigned_to_id"":"&amp;redmine_assignee_wcr&amp;",""start_date"":"""&amp;TEXT(I63-utc_offset/24,"YYYY-mm-dd")&amp;""",""description"":"""&amp;AJ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16:59:26"},{"id":29,"name":"Sharepoint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ref="AO63" si="27"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Message%20ID',Summary),filters:!(),index:'emp_*',interval:auto,query:"&amp;"(query_string:(analyze_wildcard:!t,query:'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-27T09:21:48-0600',mode:absolute,to:'2017-10-27T11:59:26-0600'))&amp;_a=(columns:!('Message%20ID',Summary),filters:!(),index:'emp_*',interval:auto,query:(query_string:(analyze_wildcard:!t,query:'%22rtdc.l.rtdc.4052%22')),sort:!(Time.ISO8601,asc))</v>
      </c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</row>
    <row r="64" spans="1:91" s="1" customFormat="1" x14ac:dyDescent="0.3">
      <c r="A64" s="32" t="s">
        <v>729</v>
      </c>
      <c r="B64" s="7">
        <v>4051</v>
      </c>
      <c r="C64" s="21" t="s">
        <v>194</v>
      </c>
      <c r="D64" s="21" t="s">
        <v>915</v>
      </c>
      <c r="E64" s="13">
        <v>43035.450844907406</v>
      </c>
      <c r="F64" s="13">
        <v>43035.456446759257</v>
      </c>
      <c r="G64" s="7">
        <v>63</v>
      </c>
      <c r="H64" s="21" t="s">
        <v>350</v>
      </c>
      <c r="I64" s="13">
        <v>43035.483715277776</v>
      </c>
      <c r="J64" s="7">
        <v>0</v>
      </c>
      <c r="K64" s="89" t="str">
        <f>IF(ISEVEN(B64),(B64-1)&amp;"/"&amp;B64,B64&amp;"/"&amp;(B64+1))</f>
        <v>4051/4052</v>
      </c>
      <c r="L64" s="185" t="str">
        <f>VLOOKUP(A64,'Trips&amp;Operators'!$C$1:$G$99911,5,FALSE)</f>
        <v>DAVIS WENDY</v>
      </c>
      <c r="M64" s="6">
        <f>I64-F64</f>
        <v>2.7268518519122154E-2</v>
      </c>
      <c r="N64" s="7">
        <f>24*60*SUM($M64:$M64)</f>
        <v>39.266666667535901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-27T09:49:13-0600',mode:absolute,to:'2017-10-27T12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4" s="204" t="str">
        <f>IF(AA64&lt;VLOOKUP(AG64,Variables!$AC$3:$AD$8,2,FALSE),"Y","N")</f>
        <v>N</v>
      </c>
      <c r="X64" s="204">
        <f t="shared" si="22"/>
        <v>1</v>
      </c>
      <c r="Y64" s="204">
        <f>RIGHT(D64,LEN(D64)-4)/10000</f>
        <v>23.2989</v>
      </c>
      <c r="Z64" s="204">
        <f>RIGHT(H64,LEN(H64)-4)/10000</f>
        <v>1.52E-2</v>
      </c>
      <c r="AA64" s="204">
        <f>ABS(Z64-Y64)</f>
        <v>23.2837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s3://rtdc.mdm.uploadarchive.raw/RTDC4051/ "%USERPROFILE%\AppData\Local\Temp\OnboardLogs"\RTDC4051\2017-10-27 --exclude "*" --recursive --include "*20171027*" &amp; "%USERPROFILE%\Documents\GitHub\mrs-test-scripts\Headless Mode &amp; Sideloading\WalkAndUnGZ.bat" "%USERPROFILE%\AppData\Local\Temp\OnboardLogs"\RTDC4051\2017-10-27 &amp; aws s3 cp s3://rtdc.mdm.uploadarchive.raw/RTDC4051/ "%USERPROFILE%\AppData\Local\Temp\OnboardLogs"\RTDC4051\2017-10-28 --exclude "*" --recursive --include "*20171028*" &amp; "%USERPROFILE%\Documents\GitHub\mrs-test-scripts\Headless Mode &amp; Sideloading\WalkAndUnGZ.bat" "%USERPROFILE%\AppData\Local\Temp\OnboardLogs"\RTDC4051\2017-10-28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/stypes="app*4051*20171027*"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11"/>
        <v>"%USERPROFILE%\Documents\GitHub\eaglep3\Utilities\RefineRTDCRunTimes.py" --tripid 152-27 --locoid 4051 --swversion DE.1.0.9.0 --startMP 204:232989 --initTime 2017-10-27T10:49:13 --startdatetime 2017-10-27T10:57:17 --delay 63 --endMP 204:152 --enddatetime 2017-10-27T11:36:33 --enforcementcount 0 &gt;&gt;%USERPROFILE%\Documents\GitHub\eaglep3-reporting\EC\2017-10-27-refined-times.txt</v>
      </c>
      <c r="AI64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{"issue":{"subject":"","project_id":79,"tracker_id":40,"status_id":1,"priority_id":2,"assigned_to_id":338,"start_date":"2017-10-27","description":"","custom_fields":[{"id":1,"name":"Subdivision","value":"EC"},{"id":4,"name":"Milepost","value":"0.0152"},{"id":17,"name":"Train ID","value":"152-27"},{"id":16,"name":"Locomotive ID","value":"4051"},{"id":130,"name":"Impact","value":""},{"id":150,"name":"Time of Event (Mountain Time)","value":"11:36:33"},{"id":151,"name":"Denver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13"/>
        <v>start /low /b %USERPROFILE%\Documents\GitHub\eaglep3\Utilities\DownloadLogsFromS3.py --loco 4051 --day 2017-10-27</v>
      </c>
      <c r="AN64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15"/>
        <v>https://d0f6bd738d7f1b3e5a7ca70fe4ff75f0.us-east-1.aws.found.io/app/kibana#/discover/Steve-Slow-Train-Analysis-(2080s-and-2083s)?_g=(refreshInterval:(display:Off,pause:!f,section:0,value:0),time:(from:'2017-10-27T09:49:13-0600',mode:absolute,to:'2017-10-27T12:36:33-0600'))&amp;_a=(columns:!('Message%20ID',Summary),filters:!(),index:'emp_*',interval:auto,query:(query_string:(analyze_wildcard:!t,query:'%22rtdc.l.rtdc.4051%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723</v>
      </c>
      <c r="B65" s="7">
        <v>4018</v>
      </c>
      <c r="C65" s="21" t="s">
        <v>194</v>
      </c>
      <c r="D65" s="21" t="s">
        <v>916</v>
      </c>
      <c r="E65" s="13">
        <v>43035.422719907408</v>
      </c>
      <c r="F65" s="13">
        <v>43035.42728009259</v>
      </c>
      <c r="G65" s="7">
        <v>79</v>
      </c>
      <c r="H65" s="21" t="s">
        <v>501</v>
      </c>
      <c r="I65" s="13">
        <v>43035.452766203707</v>
      </c>
      <c r="J65" s="7">
        <v>0</v>
      </c>
      <c r="K65" s="89" t="str">
        <f>IF(ISEVEN(B65),(B65-1)&amp;"/"&amp;B65,B65&amp;"/"&amp;(B65+1))</f>
        <v>4017/4018</v>
      </c>
      <c r="L65" s="185" t="str">
        <f>VLOOKUP(A65,'Trips&amp;Operators'!$C$1:$G$99911,5,FALSE)</f>
        <v>WILLIAMS DONTE</v>
      </c>
      <c r="M65" s="6">
        <f>I65-F65</f>
        <v>2.5486111117061228E-2</v>
      </c>
      <c r="N65" s="7">
        <f>24*60*SUM($M65:$M65)</f>
        <v>36.700000008568168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-27T09:08:43-0600',mode:absolute,to:'2017-10-27T11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5" s="204" t="str">
        <f>IF(AA65&lt;VLOOKUP(AG65,Variables!$AC$3:$AD$8,2,FALSE),"Y","N")</f>
        <v>N</v>
      </c>
      <c r="X65" s="204">
        <f t="shared" si="22"/>
        <v>1</v>
      </c>
      <c r="Y65" s="204">
        <f>RIGHT(D65,LEN(D65)-4)/10000</f>
        <v>4.53E-2</v>
      </c>
      <c r="Z65" s="204">
        <f>RIGHT(H65,LEN(H65)-4)/10000</f>
        <v>23.328800000000001</v>
      </c>
      <c r="AA65" s="204">
        <f>ABS(Z65-Y65)</f>
        <v>23.2835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/stypes="app*4018*20171027*"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11"/>
        <v>"%USERPROFILE%\Documents\GitHub\eaglep3\Utilities\RefineRTDCRunTimes.py" --tripid 153-27 --locoid 4018 --swversion DE.1.0.9.0 --startMP 204:453 --initTime 2017-10-27T10:08:43 --startdatetime 2017-10-27T10:15:17 --delay 79 --endMP 204:233288 --enddatetime 2017-10-27T10:51:59 --enforcementcount 0 &gt;&gt;%USERPROFILE%\Documents\GitHub\eaglep3-reporting\EC\2017-10-27-refined-times.txt</v>
      </c>
      <c r="AI65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{"issue":{"subject":"","project_id":79,"tracker_id":40,"status_id":1,"priority_id":2,"assigned_to_id":338,"start_date":"2017-10-27","description":"","custom_fields":[{"id":1,"name":"Subdivision","value":"EC"},{"id":4,"name":"Milepost","value":"23.3288"},{"id":17,"name":"Train ID","value":"153-27"},{"id":16,"name":"Locomotive ID","value":"4018"},{"id":130,"name":"Impact","value":""},{"id":150,"name":"Time of Event (Mountain Time)","value":"10:51:59"},{"id":151,"name":"Denver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13"/>
        <v>start /low /b %USERPROFILE%\Documents\GitHub\eaglep3\Utilities\DownloadLogsFromS3.py --loco 4018 --day 2017-10-27</v>
      </c>
      <c r="AN65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16:51:59"},{"id":29,"name":"Sharepoint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15"/>
        <v>https://d0f6bd738d7f1b3e5a7ca70fe4ff75f0.us-east-1.aws.found.io/app/kibana#/discover/Steve-Slow-Train-Analysis-(2080s-and-2083s)?_g=(refreshInterval:(display:Off,pause:!f,section:0,value:0),time:(from:'2017-10-27T09:08:43-0600',mode:absolute,to:'2017-10-27T11:51:59-0600'))&amp;_a=(columns:!('Message%20ID',Summary),filters:!(),index:'emp_*',interval:auto,query:(query_string:(analyze_wildcard:!t,query:'%22rtdc.l.rtdc.4018%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732</v>
      </c>
      <c r="B66" s="7">
        <v>4017</v>
      </c>
      <c r="C66" s="21" t="s">
        <v>194</v>
      </c>
      <c r="D66" s="21" t="s">
        <v>888</v>
      </c>
      <c r="E66" s="13">
        <v>43035.461678240739</v>
      </c>
      <c r="F66" s="13">
        <v>43035.466932870368</v>
      </c>
      <c r="G66" s="7">
        <v>91</v>
      </c>
      <c r="H66" s="21" t="s">
        <v>356</v>
      </c>
      <c r="I66" s="13">
        <v>43035.495185185187</v>
      </c>
      <c r="J66" s="7">
        <v>0</v>
      </c>
      <c r="K66" s="89" t="str">
        <f>IF(ISEVEN(B66),(B66-1)&amp;"/"&amp;B66,B66&amp;"/"&amp;(B66+1))</f>
        <v>4017/4018</v>
      </c>
      <c r="L66" s="185" t="str">
        <f>VLOOKUP(A66,'Trips&amp;Operators'!$C$1:$G$99911,5,FALSE)</f>
        <v>WILLIAMS DONTE</v>
      </c>
      <c r="M66" s="6">
        <f>I66-F66</f>
        <v>2.825231481983792E-2</v>
      </c>
      <c r="N66" s="7">
        <f>24*60*SUM($M66:$M66)</f>
        <v>40.683333340566605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-27T10:04:49-0600',mode:absolute,to:'2017-10-27T12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23.296299999999999</v>
      </c>
      <c r="Z66" s="204">
        <f>RIGHT(H66,LEN(H66)-4)/10000</f>
        <v>1.5800000000000002E-2</v>
      </c>
      <c r="AA66" s="204">
        <f>ABS(Z66-Y66)</f>
        <v>23.2805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/stypes="app*4017*20171027*"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11"/>
        <v>"%USERPROFILE%\Documents\GitHub\eaglep3\Utilities\RefineRTDCRunTimes.py" --tripid 154-27 --locoid 4017 --swversion DE.1.0.9.0 --startMP 204:232963 --initTime 2017-10-27T11:04:49 --startdatetime 2017-10-27T11:12:23 --delay 91 --endMP 204:158 --enddatetime 2017-10-27T11:53:04 --enforcementcount 0 &gt;&gt;%USERPROFILE%\Documents\GitHub\eaglep3-reporting\EC\2017-10-27-refined-times.txt</v>
      </c>
      <c r="AI66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{"issue":{"subject":"","project_id":79,"tracker_id":40,"status_id":1,"priority_id":2,"assigned_to_id":338,"start_date":"2017-10-27","description":"","custom_fields":[{"id":1,"name":"Subdivision","value":"EC"},{"id":4,"name":"Milepost","value":"0.0158"},{"id":17,"name":"Train ID","value":"154-27"},{"id":16,"name":"Locomotive ID","value":"4017"},{"id":130,"name":"Impact","value":""},{"id":150,"name":"Time of Event (Mountain Time)","value":"11:53:04"},{"id":151,"name":"Denver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13"/>
        <v>start /low /b %USERPROFILE%\Documents\GitHub\eaglep3\Utilities\DownloadLogsFromS3.py --loco 4017 --day 2017-10-27</v>
      </c>
      <c r="AN66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15"/>
        <v>https://d0f6bd738d7f1b3e5a7ca70fe4ff75f0.us-east-1.aws.found.io/app/kibana#/discover/Steve-Slow-Train-Analysis-(2080s-and-2083s)?_g=(refreshInterval:(display:Off,pause:!f,section:0,value:0),time:(from:'2017-10-27T10:04:49-0600',mode:absolute,to:'2017-10-27T12:53:04-0600'))&amp;_a=(columns:!('Message%20ID',Summary),filters:!(),index:'emp_*',interval:auto,query:(query_string:(analyze_wildcard:!t,query:'%22rtdc.l.rtdc.4017%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726</v>
      </c>
      <c r="B67" s="7">
        <v>4014</v>
      </c>
      <c r="C67" s="21" t="s">
        <v>194</v>
      </c>
      <c r="D67" s="21" t="s">
        <v>334</v>
      </c>
      <c r="E67" s="13">
        <v>43035.434803240743</v>
      </c>
      <c r="F67" s="13">
        <v>43035.437800925924</v>
      </c>
      <c r="G67" s="7">
        <v>55</v>
      </c>
      <c r="H67" s="21" t="s">
        <v>879</v>
      </c>
      <c r="I67" s="13">
        <v>43035.462395833332</v>
      </c>
      <c r="J67" s="7">
        <v>0</v>
      </c>
      <c r="K67" s="89" t="str">
        <f>IF(ISEVEN(B67),(B67-1)&amp;"/"&amp;B67,B67&amp;"/"&amp;(B67+1))</f>
        <v>4013/4014</v>
      </c>
      <c r="L67" s="185" t="str">
        <f>VLOOKUP(A67,'Trips&amp;Operators'!$C$1:$G$99911,5,FALSE)</f>
        <v>MACDONALD THOMAS</v>
      </c>
      <c r="M67" s="6">
        <f>I67-F67</f>
        <v>2.4594907408754807E-2</v>
      </c>
      <c r="N67" s="7">
        <f>24*60*SUM($M67:$M67)</f>
        <v>35.416666668606922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-27T09:26:07-0600',mode:absolute,to:'2017-10-27T12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4.4600000000000001E-2</v>
      </c>
      <c r="Z67" s="204">
        <f>RIGHT(H67,LEN(H67)-4)/10000</f>
        <v>23.3308</v>
      </c>
      <c r="AA67" s="204">
        <f>ABS(Z67-Y67)</f>
        <v>23.286200000000001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s3://rtdc.mdm.uploadarchive.raw/RTDC4014/ "%USERPROFILE%\AppData\Local\Temp\OnboardLogs"\RTDC4014\2017-10-27 --exclude "*" --recursive --include "*20171027*" &amp; "%USERPROFILE%\Documents\GitHub\mrs-test-scripts\Headless Mode &amp; Sideloading\WalkAndUnGZ.bat" "%USERPROFILE%\AppData\Local\Temp\OnboardLogs"\RTDC4014\2017-10-27 &amp; aws s3 cp s3://rtdc.mdm.uploadarchive.raw/RTDC4014/ "%USERPROFILE%\AppData\Local\Temp\OnboardLogs"\RTDC4014\2017-10-28 --exclude "*" --recursive --include "*20171028*" &amp; "%USERPROFILE%\Documents\GitHub\mrs-test-scripts\Headless Mode &amp; Sideloading\WalkAndUnGZ.bat" "%USERPROFILE%\AppData\Local\Temp\OnboardLogs"\RTDC4014\2017-10-28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/stypes="app*4014*20171027*"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11"/>
        <v>"%USERPROFILE%\Documents\GitHub\eaglep3\Utilities\RefineRTDCRunTimes.py" --tripid 155-27 --locoid 4014 --swversion DE.1.0.9.0 --startMP 204:446 --initTime 2017-10-27T10:26:07 --startdatetime 2017-10-27T10:30:26 --delay 55 --endMP 204:233308 --enddatetime 2017-10-27T11:05:51 --enforcementcount 0 &gt;&gt;%USERPROFILE%\Documents\GitHub\eaglep3-reporting\EC\2017-10-27-refined-times.txt</v>
      </c>
      <c r="AI67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{"issue":{"subject":"","project_id":79,"tracker_id":40,"status_id":1,"priority_id":2,"assigned_to_id":338,"start_date":"2017-10-27","description":"","custom_fields":[{"id":1,"name":"Subdivision","value":"EC"},{"id":4,"name":"Milepost","value":"23.3308"},{"id":17,"name":"Train ID","value":"155-27"},{"id":16,"name":"Locomotive ID","value":"4014"},{"id":130,"name":"Impact","value":""},{"id":150,"name":"Time of Event (Mountain Time)","value":"11:05:51"},{"id":151,"name":"Denver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13"/>
        <v>start /low /b %USERPROFILE%\Documents\GitHub\eaglep3\Utilities\DownloadLogsFromS3.py --loco 4014 --day 2017-10-27</v>
      </c>
      <c r="AN67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15"/>
        <v>https://d0f6bd738d7f1b3e5a7ca70fe4ff75f0.us-east-1.aws.found.io/app/kibana#/discover/Steve-Slow-Train-Analysis-(2080s-and-2083s)?_g=(refreshInterval:(display:Off,pause:!f,section:0,value:0),time:(from:'2017-10-27T09:26:07-0600',mode:absolute,to:'2017-10-27T12:05:51-0600'))&amp;_a=(columns:!('Message%20ID',Summary),filters:!(),index:'emp_*',interval:auto,query:(query_string:(analyze_wildcard:!t,query:'%22rtdc.l.rtdc.4014%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630</v>
      </c>
      <c r="B68" s="7">
        <v>4013</v>
      </c>
      <c r="C68" s="21" t="s">
        <v>194</v>
      </c>
      <c r="D68" s="21" t="s">
        <v>508</v>
      </c>
      <c r="E68" s="13">
        <v>43035.473796296297</v>
      </c>
      <c r="F68" s="13">
        <v>43035.47729166667</v>
      </c>
      <c r="G68" s="7">
        <v>44</v>
      </c>
      <c r="H68" s="21" t="s">
        <v>335</v>
      </c>
      <c r="I68" s="13">
        <v>43035.504016203704</v>
      </c>
      <c r="J68" s="7">
        <v>0</v>
      </c>
      <c r="K68" s="89" t="str">
        <f>IF(ISEVEN(B68),(B68-1)&amp;"/"&amp;B68,B68&amp;"/"&amp;(B68+1))</f>
        <v>4013/4014</v>
      </c>
      <c r="L68" s="185" t="str">
        <f>VLOOKUP(A68,'Trips&amp;Operators'!$C$1:$G$99911,5,FALSE)</f>
        <v>MACDONALD THOMAS</v>
      </c>
      <c r="M68" s="6">
        <f>I68-F68</f>
        <v>2.6724537034169771E-2</v>
      </c>
      <c r="N68" s="7">
        <f>24*60*SUM($M68:$M68)</f>
        <v>38.48333332920447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-27T10:22:16-0600',mode:absolute,to:'2017-10-27T13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23.2987</v>
      </c>
      <c r="Z68" s="204">
        <f>RIGHT(H68,LEN(H68)-4)/10000</f>
        <v>1.4999999999999999E-2</v>
      </c>
      <c r="AA68" s="204">
        <f>ABS(Z68-Y68)</f>
        <v>23.2837</v>
      </c>
      <c r="AB68" s="54" t="str">
        <f>VLOOKUP(A68,Enforcements!$C$7:$K$11,8,0)</f>
        <v>Bulletin (2)</v>
      </c>
      <c r="AC68" s="51" t="str">
        <f>VLOOKUP(A68,Enforcements!$C$7:$E$11,3,0)</f>
        <v>GRADE CROSSING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/stypes="app*4013*20171027*"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11"/>
        <v>"%USERPROFILE%\Documents\GitHub\eaglep3\Utilities\RefineRTDCRunTimes.py" --tripid 156-27 --locoid 4013 --swversion DE.1.0.9.0 --startMP 204:232987 --initTime 2017-10-27T11:22:16 --startdatetime 2017-10-27T11:27:18 --delay 44 --endMP 204:150 --enddatetime 2017-10-27T12:05:47 --enforcementcount 0 &gt;&gt;%USERPROFILE%\Documents\GitHub\eaglep3-reporting\EC\2017-10-27-refined-times.txt</v>
      </c>
      <c r="AI68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{"issue":{"subject":"","project_id":79,"tracker_id":40,"status_id":1,"priority_id":2,"assigned_to_id":338,"start_date":"2017-10-27","description":"","custom_fields":[{"id":1,"name":"Subdivision","value":"EC"},{"id":4,"name":"Milepost","value":"0.015"},{"id":17,"name":"Train ID","value":"156-27"},{"id":16,"name":"Locomotive ID","value":"4013"},{"id":130,"name":"Impact","value":""},{"id":150,"name":"Time of Event (Mountain Time)","value":"12:05:47"},{"id":151,"name":"Denver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13"/>
        <v>start /low /b %USERPROFILE%\Documents\GitHub\eaglep3\Utilities\DownloadLogsFromS3.py --loco 4013 --day 2017-10-27</v>
      </c>
      <c r="AN68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15"/>
        <v>https://d0f6bd738d7f1b3e5a7ca70fe4ff75f0.us-east-1.aws.found.io/app/kibana#/discover/Steve-Slow-Train-Analysis-(2080s-and-2083s)?_g=(refreshInterval:(display:Off,pause:!f,section:0,value:0),time:(from:'2017-10-27T10:22:16-0600',mode:absolute,to:'2017-10-27T13:05:47-0600'))&amp;_a=(columns:!('Message%20ID',Summary),filters:!(),index:'emp_*',interval:auto,query:(query_string:(analyze_wildcard:!t,query:'%22rtdc.l.rtdc.4013%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728</v>
      </c>
      <c r="B69" s="7">
        <v>4036</v>
      </c>
      <c r="C69" s="21" t="s">
        <v>194</v>
      </c>
      <c r="D69" s="21" t="s">
        <v>917</v>
      </c>
      <c r="E69" s="13">
        <v>43035.443067129629</v>
      </c>
      <c r="F69" s="13">
        <v>43035.44809027778</v>
      </c>
      <c r="G69" s="7">
        <v>72</v>
      </c>
      <c r="H69" s="21" t="s">
        <v>918</v>
      </c>
      <c r="I69" s="13">
        <v>43035.472962962966</v>
      </c>
      <c r="J69" s="7">
        <v>0</v>
      </c>
      <c r="K69" s="89" t="str">
        <f>IF(ISEVEN(B69),(B69-1)&amp;"/"&amp;B69,B69&amp;"/"&amp;(B69+1))</f>
        <v>4035/4036</v>
      </c>
      <c r="L69" s="185" t="str">
        <f>VLOOKUP(A69,'Trips&amp;Operators'!$C$1:$G$99911,5,FALSE)</f>
        <v>BADERTSCHER DIANE</v>
      </c>
      <c r="M69" s="6">
        <f>I69-F69</f>
        <v>2.4872685185982846E-2</v>
      </c>
      <c r="N69" s="7">
        <f>24*60*SUM($M69:$M69)</f>
        <v>35.816666667815298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-27T09:38:01-0600',mode:absolute,to:'2017-10-27T12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4.5999999999999999E-2</v>
      </c>
      <c r="Z69" s="204">
        <f>RIGHT(H69,LEN(H69)-4)/10000</f>
        <v>23.325700000000001</v>
      </c>
      <c r="AA69" s="204">
        <f>ABS(Z69-Y69)</f>
        <v>23.279700000000002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/stypes="app*4036*20171027*"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11"/>
        <v>"%USERPROFILE%\Documents\GitHub\eaglep3\Utilities\RefineRTDCRunTimes.py" --tripid 157-27 --locoid 4036 --swversion DE.1.0.9.0 --startMP 204:460 --initTime 2017-10-27T10:38:01 --startdatetime 2017-10-27T10:45:15 --delay 72 --endMP 204:233257 --enddatetime 2017-10-27T11:21:04 --enforcementcount 0 &gt;&gt;%USERPROFILE%\Documents\GitHub\eaglep3-reporting\EC\2017-10-27-refined-times.txt</v>
      </c>
      <c r="AI69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{"issue":{"subject":"","project_id":79,"tracker_id":40,"status_id":1,"priority_id":2,"assigned_to_id":338,"start_date":"2017-10-27","description":"","custom_fields":[{"id":1,"name":"Subdivision","value":"EC"},{"id":4,"name":"Milepost","value":"23.3257"},{"id":17,"name":"Train ID","value":"157-27"},{"id":16,"name":"Locomotive ID","value":"4036"},{"id":130,"name":"Impact","value":""},{"id":150,"name":"Time of Event (Mountain Time)","value":"11:21:04"},{"id":151,"name":"Denver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13"/>
        <v>start /low /b %USERPROFILE%\Documents\GitHub\eaglep3\Utilities\DownloadLogsFromS3.py --loco 4036 --day 2017-10-27</v>
      </c>
      <c r="AN69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15"/>
        <v>https://d0f6bd738d7f1b3e5a7ca70fe4ff75f0.us-east-1.aws.found.io/app/kibana#/discover/Steve-Slow-Train-Analysis-(2080s-and-2083s)?_g=(refreshInterval:(display:Off,pause:!f,section:0,value:0),time:(from:'2017-10-27T09:38:01-0600',mode:absolute,to:'2017-10-27T12:21:04-0600'))&amp;_a=(columns:!('Message%20ID',Summary),filters:!(),index:'emp_*',interval:auto,query:(query_string:(analyze_wildcard:!t,query:'%22rtdc.l.rtdc.4036%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738</v>
      </c>
      <c r="B70" s="7">
        <v>4035</v>
      </c>
      <c r="C70" s="21" t="s">
        <v>194</v>
      </c>
      <c r="D70" s="21" t="s">
        <v>919</v>
      </c>
      <c r="E70" s="13">
        <v>43035.481412037036</v>
      </c>
      <c r="F70" s="13">
        <v>43035.487743055557</v>
      </c>
      <c r="G70" s="7">
        <v>83</v>
      </c>
      <c r="H70" s="21" t="s">
        <v>920</v>
      </c>
      <c r="I70" s="13">
        <v>43035.515115740738</v>
      </c>
      <c r="J70" s="7">
        <v>0</v>
      </c>
      <c r="K70" s="89" t="str">
        <f>IF(ISEVEN(B70),(B70-1)&amp;"/"&amp;B70,B70&amp;"/"&amp;(B70+1))</f>
        <v>4035/4036</v>
      </c>
      <c r="L70" s="185" t="str">
        <f>VLOOKUP(A70,'Trips&amp;Operators'!$C$1:$G$99911,5,FALSE)</f>
        <v>BADERTSCHER DIANE</v>
      </c>
      <c r="M70" s="6">
        <f>I70-F70</f>
        <v>2.7372685181035195E-2</v>
      </c>
      <c r="N70" s="7">
        <f>24*60*SUM($M70:$M70)</f>
        <v>39.41666666069068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-27T10:33:14-0600',mode:absolute,to:'2017-10-27T13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23.2944</v>
      </c>
      <c r="Z70" s="204">
        <f>RIGHT(H70,LEN(H70)-4)/10000</f>
        <v>2.2100000000000002E-2</v>
      </c>
      <c r="AA70" s="204">
        <f>ABS(Z70-Y70)</f>
        <v>23.272300000000001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/stypes="app*4035*20171027*"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11"/>
        <v>"%USERPROFILE%\Documents\GitHub\eaglep3\Utilities\RefineRTDCRunTimes.py" --tripid 158-27 --locoid 4035 --swversion DE.1.0.9.0 --startMP 204:232944 --initTime 2017-10-27T11:33:14 --startdatetime 2017-10-27T11:42:21 --delay 83 --endMP 204:221 --enddatetime 2017-10-27T12:21:46 --enforcementcount 0 &gt;&gt;%USERPROFILE%\Documents\GitHub\eaglep3-reporting\EC\2017-10-27-refined-times.txt</v>
      </c>
      <c r="AI70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{"issue":{"subject":"","project_id":79,"tracker_id":40,"status_id":1,"priority_id":2,"assigned_to_id":338,"start_date":"2017-10-27","description":"","custom_fields":[{"id":1,"name":"Subdivision","value":"EC"},{"id":4,"name":"Milepost","value":"0.0221"},{"id":17,"name":"Train ID","value":"158-27"},{"id":16,"name":"Locomotive ID","value":"4035"},{"id":130,"name":"Impact","value":""},{"id":150,"name":"Time of Event (Mountain Time)","value":"12:21:46"},{"id":151,"name":"Denver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13"/>
        <v>start /low /b %USERPROFILE%\Documents\GitHub\eaglep3\Utilities\DownloadLogsFromS3.py --loco 4035 --day 2017-10-27</v>
      </c>
      <c r="AN70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18:21:46"},{"id":29,"name":"Sharepoint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15"/>
        <v>https://d0f6bd738d7f1b3e5a7ca70fe4ff75f0.us-east-1.aws.found.io/app/kibana#/discover/Steve-Slow-Train-Analysis-(2080s-and-2083s)?_g=(refreshInterval:(display:Off,pause:!f,section:0,value:0),time:(from:'2017-10-27T10:33:14-0600',mode:absolute,to:'2017-10-27T13:21:46-0600'))&amp;_a=(columns:!('Message%20ID',Summary),filters:!(),index:'emp_*',interval:auto,query:(query_string:(analyze_wildcard:!t,query:'%22rtdc.l.rtdc.4035%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730</v>
      </c>
      <c r="B71" s="7">
        <v>4056</v>
      </c>
      <c r="C71" s="21" t="s">
        <v>194</v>
      </c>
      <c r="D71" s="21" t="s">
        <v>377</v>
      </c>
      <c r="E71" s="13">
        <v>43035.453703703701</v>
      </c>
      <c r="F71" s="13">
        <v>43035.45853009259</v>
      </c>
      <c r="G71" s="7">
        <v>70</v>
      </c>
      <c r="H71" s="21" t="s">
        <v>573</v>
      </c>
      <c r="I71" s="13">
        <v>43035.48400462963</v>
      </c>
      <c r="J71" s="7">
        <v>0</v>
      </c>
      <c r="K71" s="89" t="str">
        <f>IF(ISEVEN(B71),(B71-1)&amp;"/"&amp;B71,B71&amp;"/"&amp;(B71+1))</f>
        <v>4055/4056</v>
      </c>
      <c r="L71" s="185" t="str">
        <f>VLOOKUP(A71,'Trips&amp;Operators'!$C$1:$G$99911,5,FALSE)</f>
        <v>YANAI IAN</v>
      </c>
      <c r="M71" s="6">
        <f>I71-F71</f>
        <v>2.5474537040281575E-2</v>
      </c>
      <c r="N71" s="7">
        <f>24*60*SUM($M71:$M71)</f>
        <v>36.683333338005468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-27T09:53:20-0600',mode:absolute,to:'2017-10-27T12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4.6399999999999997E-2</v>
      </c>
      <c r="Z71" s="204">
        <f>RIGHT(H71,LEN(H71)-4)/10000</f>
        <v>23.3172</v>
      </c>
      <c r="AA71" s="204">
        <f>ABS(Z71-Y71)</f>
        <v>23.270800000000001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s3://rtdc.mdm.uploadarchive.raw/RTDC4056/ "%USERPROFILE%\AppData\Local\Temp\OnboardLogs"\RTDC4056\2017-10-27 --exclude "*" --recursive --include "*20171027*" &amp; "%USERPROFILE%\Documents\GitHub\mrs-test-scripts\Headless Mode &amp; Sideloading\WalkAndUnGZ.bat" "%USERPROFILE%\AppData\Local\Temp\OnboardLogs"\RTDC4056\2017-10-27 &amp; 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/stypes="app*4056*20171027*"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11"/>
        <v>"%USERPROFILE%\Documents\GitHub\eaglep3\Utilities\RefineRTDCRunTimes.py" --tripid 159-27 --locoid 4056 --swversion DE.1.0.9.0 --startMP 204:464 --initTime 2017-10-27T10:53:20 --startdatetime 2017-10-27T11:00:17 --delay 70 --endMP 204:233172 --enddatetime 2017-10-27T11:36:58 --enforcementcount 0 &gt;&gt;%USERPROFILE%\Documents\GitHub\eaglep3-reporting\EC\2017-10-27-refined-times.txt</v>
      </c>
      <c r="AI71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{"issue":{"subject":"","project_id":79,"tracker_id":40,"status_id":1,"priority_id":2,"assigned_to_id":338,"start_date":"2017-10-27","description":"","custom_fields":[{"id":1,"name":"Subdivision","value":"EC"},{"id":4,"name":"Milepost","value":"23.3172"},{"id":17,"name":"Train ID","value":"159-27"},{"id":16,"name":"Locomotive ID","value":"4056"},{"id":130,"name":"Impact","value":""},{"id":150,"name":"Time of Event (Mountain Time)","value":"11:36:58"},{"id":151,"name":"Denver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13"/>
        <v>start /low /b %USERPROFILE%\Documents\GitHub\eaglep3\Utilities\DownloadLogsFromS3.py --loco 4056 --day 2017-10-27</v>
      </c>
      <c r="AN71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15"/>
        <v>https://d0f6bd738d7f1b3e5a7ca70fe4ff75f0.us-east-1.aws.found.io/app/kibana#/discover/Steve-Slow-Train-Analysis-(2080s-and-2083s)?_g=(refreshInterval:(display:Off,pause:!f,section:0,value:0),time:(from:'2017-10-27T09:53:20-0600',mode:absolute,to:'2017-10-27T12:36:58-0600'))&amp;_a=(columns:!('Message%20ID',Summary),filters:!(),index:'emp_*',interval:auto,query:(query_string:(analyze_wildcard:!t,query:'%22rtdc.l.rtdc.4056%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740</v>
      </c>
      <c r="B72" s="7">
        <v>4055</v>
      </c>
      <c r="C72" s="21" t="s">
        <v>194</v>
      </c>
      <c r="D72" s="21" t="s">
        <v>585</v>
      </c>
      <c r="E72" s="13">
        <v>43035.485115740739</v>
      </c>
      <c r="F72" s="13">
        <v>43035.498055555552</v>
      </c>
      <c r="G72" s="7">
        <v>49</v>
      </c>
      <c r="H72" s="21" t="s">
        <v>920</v>
      </c>
      <c r="I72" s="13">
        <v>43035.525335648148</v>
      </c>
      <c r="J72" s="7">
        <v>0</v>
      </c>
      <c r="K72" s="89" t="str">
        <f>IF(ISEVEN(B72),(B72-1)&amp;"/"&amp;B72,B72&amp;"/"&amp;(B72+1))</f>
        <v>4055/4056</v>
      </c>
      <c r="L72" s="185" t="str">
        <f>VLOOKUP(A72,'Trips&amp;Operators'!$C$1:$G$99911,5,FALSE)</f>
        <v>YANAI IAN</v>
      </c>
      <c r="M72" s="6">
        <f>I72-F72</f>
        <v>2.7280092595901806E-2</v>
      </c>
      <c r="N72" s="7">
        <f>24*60*SUM($M72:$M72)</f>
        <v>39.283333338098601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-27T10:38:34-0600',mode:absolute,to:'2017-10-27T13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23.285699999999999</v>
      </c>
      <c r="Z72" s="204">
        <f>RIGHT(H72,LEN(H72)-4)/10000</f>
        <v>2.2100000000000002E-2</v>
      </c>
      <c r="AA72" s="204">
        <f>ABS(Z72-Y72)</f>
        <v>23.2636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s3://rtdc.mdm.uploadarchive.raw/RTDC4055/ "%USERPROFILE%\AppData\Local\Temp\OnboardLogs"\RTDC4055\2017-10-27 --exclude "*" --recursive --include "*20171027*" &amp; "%USERPROFILE%\Documents\GitHub\mrs-test-scripts\Headless Mode &amp; Sideloading\WalkAndUnGZ.bat" "%USERPROFILE%\AppData\Local\Temp\OnboardLogs"\RTDC4055\2017-10-27 &amp; aws s3 cp s3://rtdc.mdm.uploadarchive.raw/RTDC4055/ "%USERPROFILE%\AppData\Local\Temp\OnboardLogs"\RTDC4055\2017-10-28 --exclude "*" --recursive --include "*20171028*" &amp; "%USERPROFILE%\Documents\GitHub\mrs-test-scripts\Headless Mode &amp; Sideloading\WalkAndUnGZ.bat" "%USERPROFILE%\AppData\Local\Temp\OnboardLogs"\RTDC4055\2017-10-28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/stypes="app*4055*20171027*"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11"/>
        <v>"%USERPROFILE%\Documents\GitHub\eaglep3\Utilities\RefineRTDCRunTimes.py" --tripid 160-27 --locoid 4055 --swversion DE.1.0.9.0 --startMP 204:232857 --initTime 2017-10-27T11:38:34 --startdatetime 2017-10-27T11:57:12 --delay 49 --endMP 204:221 --enddatetime 2017-10-27T12:36:29 --enforcementcount 0 &gt;&gt;%USERPROFILE%\Documents\GitHub\eaglep3-reporting\EC\2017-10-27-refined-times.txt</v>
      </c>
      <c r="AI72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{"issue":{"subject":"","project_id":79,"tracker_id":40,"status_id":1,"priority_id":2,"assigned_to_id":338,"start_date":"2017-10-27","description":"","custom_fields":[{"id":1,"name":"Subdivision","value":"EC"},{"id":4,"name":"Milepost","value":"0.0221"},{"id":17,"name":"Train ID","value":"160-27"},{"id":16,"name":"Locomotive ID","value":"4055"},{"id":130,"name":"Impact","value":""},{"id":150,"name":"Time of Event (Mountain Time)","value":"12:36:29"},{"id":151,"name":"Denver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13"/>
        <v>start /low /b %USERPROFILE%\Documents\GitHub\eaglep3\Utilities\DownloadLogsFromS3.py --loco 4055 --day 2017-10-27</v>
      </c>
      <c r="AN72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18:36:29"},{"id":29,"name":"Sharepoint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15"/>
        <v>https://d0f6bd738d7f1b3e5a7ca70fe4ff75f0.us-east-1.aws.found.io/app/kibana#/discover/Steve-Slow-Train-Analysis-(2080s-and-2083s)?_g=(refreshInterval:(display:Off,pause:!f,section:0,value:0),time:(from:'2017-10-27T10:38:34-0600',mode:absolute,to:'2017-10-27T13:36:29-0600'))&amp;_a=(columns:!('Message%20ID',Summary),filters:!(),index:'emp_*',interval:auto,query:(query_string:(analyze_wildcard:!t,query:'%22rtdc.l.rtdc.4055%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733</v>
      </c>
      <c r="B73" s="7">
        <v>4006</v>
      </c>
      <c r="C73" s="21" t="s">
        <v>194</v>
      </c>
      <c r="D73" s="21" t="s">
        <v>921</v>
      </c>
      <c r="E73" s="13">
        <v>43035.46366898148</v>
      </c>
      <c r="F73" s="13">
        <v>43035.468935185185</v>
      </c>
      <c r="G73" s="7">
        <v>123</v>
      </c>
      <c r="H73" s="21" t="s">
        <v>604</v>
      </c>
      <c r="I73" s="13">
        <v>43035.49287037037</v>
      </c>
      <c r="J73" s="7">
        <v>0</v>
      </c>
      <c r="K73" s="89" t="str">
        <f>IF(ISEVEN(B73),(B73-1)&amp;"/"&amp;B73,B73&amp;"/"&amp;(B73+1))</f>
        <v>4005/4006</v>
      </c>
      <c r="L73" s="185" t="str">
        <f>VLOOKUP(A73,'Trips&amp;Operators'!$C$1:$G$99911,5,FALSE)</f>
        <v>SAFIEF AEIMEN</v>
      </c>
      <c r="M73" s="6">
        <f>I73-F73</f>
        <v>2.3935185185109731E-2</v>
      </c>
      <c r="N73" s="7">
        <f>24*60*SUM($M73:$M73)</f>
        <v>34.466666666558012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-27T10:07:41-0600',mode:absolute,to:'2017-10-27T12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5.5500000000000001E-2</v>
      </c>
      <c r="Z73" s="204">
        <f>RIGHT(H73,LEN(H73)-4)/10000</f>
        <v>23.316800000000001</v>
      </c>
      <c r="AA73" s="204">
        <f>ABS(Z73-Y73)</f>
        <v>23.261300000000002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/stypes="app*4006*20171027*"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11"/>
        <v>"%USERPROFILE%\Documents\GitHub\eaglep3\Utilities\RefineRTDCRunTimes.py" --tripid 161-27 --locoid 4006 --swversion DE.1.0.9.0 --startMP 204:555 --initTime 2017-10-27T11:07:41 --startdatetime 2017-10-27T11:15:16 --delay 123 --endMP 204:233168 --enddatetime 2017-10-27T11:49:44 --enforcementcount 0 &gt;&gt;%USERPROFILE%\Documents\GitHub\eaglep3-reporting\EC\2017-10-27-refined-times.txt</v>
      </c>
      <c r="AI73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{"issue":{"subject":"","project_id":79,"tracker_id":40,"status_id":1,"priority_id":2,"assigned_to_id":338,"start_date":"2017-10-27","description":"","custom_fields":[{"id":1,"name":"Subdivision","value":"EC"},{"id":4,"name":"Milepost","value":"23.3168"},{"id":17,"name":"Train ID","value":"161-27"},{"id":16,"name":"Locomotive ID","value":"4006"},{"id":130,"name":"Impact","value":""},{"id":150,"name":"Time of Event (Mountain Time)","value":"11:49:44"},{"id":151,"name":"Denver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13"/>
        <v>start /low /b %USERPROFILE%\Documents\GitHub\eaglep3\Utilities\DownloadLogsFromS3.py --loco 4006 --day 2017-10-27</v>
      </c>
      <c r="AN73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15"/>
        <v>https://d0f6bd738d7f1b3e5a7ca70fe4ff75f0.us-east-1.aws.found.io/app/kibana#/discover/Steve-Slow-Train-Analysis-(2080s-and-2083s)?_g=(refreshInterval:(display:Off,pause:!f,section:0,value:0),time:(from:'2017-10-27T10:07:41-0600',mode:absolute,to:'2017-10-27T12:49:44-0600'))&amp;_a=(columns:!('Message%20ID',Summary),filters:!(),index:'emp_*',interval:auto,query:(query_string:(analyze_wildcard:!t,query:'%22rtdc.l.rtdc.4006%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741</v>
      </c>
      <c r="B74" s="7">
        <v>4005</v>
      </c>
      <c r="C74" s="21" t="s">
        <v>194</v>
      </c>
      <c r="D74" s="21" t="s">
        <v>922</v>
      </c>
      <c r="E74" s="13">
        <v>43035.496562499997</v>
      </c>
      <c r="F74" s="13">
        <v>43035.508715277778</v>
      </c>
      <c r="G74" s="7">
        <v>132</v>
      </c>
      <c r="H74" s="21" t="s">
        <v>923</v>
      </c>
      <c r="I74" s="13">
        <v>43035.537962962961</v>
      </c>
      <c r="J74" s="7">
        <v>0</v>
      </c>
      <c r="K74" s="89" t="str">
        <f>IF(ISEVEN(B74),(B74-1)&amp;"/"&amp;B74,B74&amp;"/"&amp;(B74+1))</f>
        <v>4005/4006</v>
      </c>
      <c r="L74" s="185" t="str">
        <f>VLOOKUP(A74,'Trips&amp;Operators'!$C$1:$G$99911,5,FALSE)</f>
        <v>SAFIEF AEIMEN</v>
      </c>
      <c r="M74" s="6">
        <f>I74-F74</f>
        <v>2.9247685182781424E-2</v>
      </c>
      <c r="N74" s="7">
        <f>24*60*SUM($M74:$M74)</f>
        <v>42.116666663205251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-27T10:55:03-0600',mode:absolute,to:'2017-10-27T13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23.285</v>
      </c>
      <c r="Z74" s="204">
        <f>RIGHT(H74,LEN(H74)-4)/10000</f>
        <v>2.29E-2</v>
      </c>
      <c r="AA74" s="204">
        <f>ABS(Z74-Y74)</f>
        <v>23.2621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/stypes="app*4005*20171027*"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11"/>
        <v>"%USERPROFILE%\Documents\GitHub\eaglep3\Utilities\RefineRTDCRunTimes.py" --tripid 162-27 --locoid 4005 --swversion DE.1.0.9.0 --startMP 204:232850 --initTime 2017-10-27T11:55:03 --startdatetime 2017-10-27T12:12:33 --delay 132 --endMP 204:229 --enddatetime 2017-10-27T12:54:40 --enforcementcount 0 &gt;&gt;%USERPROFILE%\Documents\GitHub\eaglep3-reporting\EC\2017-10-27-refined-times.txt</v>
      </c>
      <c r="AI74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{"issue":{"subject":"","project_id":79,"tracker_id":40,"status_id":1,"priority_id":2,"assigned_to_id":338,"start_date":"2017-10-27","description":"","custom_fields":[{"id":1,"name":"Subdivision","value":"EC"},{"id":4,"name":"Milepost","value":"0.0229"},{"id":17,"name":"Train ID","value":"162-27"},{"id":16,"name":"Locomotive ID","value":"4005"},{"id":130,"name":"Impact","value":""},{"id":150,"name":"Time of Event (Mountain Time)","value":"12:54:40"},{"id":151,"name":"Denver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13"/>
        <v>start /low /b %USERPROFILE%\Documents\GitHub\eaglep3\Utilities\DownloadLogsFromS3.py --loco 4005 --day 2017-10-27</v>
      </c>
      <c r="AN74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18:54:40"},{"id":29,"name":"Sharepoint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15"/>
        <v>https://d0f6bd738d7f1b3e5a7ca70fe4ff75f0.us-east-1.aws.found.io/app/kibana#/discover/Steve-Slow-Train-Analysis-(2080s-and-2083s)?_g=(refreshInterval:(display:Off,pause:!f,section:0,value:0),time:(from:'2017-10-27T10:55:03-0600',mode:absolute,to:'2017-10-27T13:54:40-0600'))&amp;_a=(columns:!('Message%20ID',Summary),filters:!(),index:'emp_*',interval:auto,query:(query_string:(analyze_wildcard:!t,query:'%22rtdc.l.rtdc.4005%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736</v>
      </c>
      <c r="B75" s="7">
        <v>4008</v>
      </c>
      <c r="C75" s="21" t="s">
        <v>194</v>
      </c>
      <c r="D75" s="21" t="s">
        <v>529</v>
      </c>
      <c r="E75" s="13">
        <v>43035.475868055553</v>
      </c>
      <c r="F75" s="13">
        <v>43035.479328703703</v>
      </c>
      <c r="G75" s="7">
        <v>81</v>
      </c>
      <c r="H75" s="21" t="s">
        <v>924</v>
      </c>
      <c r="I75" s="13">
        <v>43035.503842592596</v>
      </c>
      <c r="J75" s="7">
        <v>0</v>
      </c>
      <c r="K75" s="89" t="str">
        <f>IF(ISEVEN(B75),(B75-1)&amp;"/"&amp;B75,B75&amp;"/"&amp;(B75+1))</f>
        <v>4007/4008</v>
      </c>
      <c r="L75" s="185" t="str">
        <f>VLOOKUP(A75,'Trips&amp;Operators'!$C$1:$G$99911,5,FALSE)</f>
        <v>BRUDER RICHARD</v>
      </c>
      <c r="M75" s="6">
        <f>I75-F75</f>
        <v>2.4513888893125113E-2</v>
      </c>
      <c r="N75" s="7">
        <f>24*60*SUM($M75:$M75)</f>
        <v>35.300000006100163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-27T10:25:15-0600',mode:absolute,to:'2017-10-27T13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4.82E-2</v>
      </c>
      <c r="Z75" s="204">
        <f>RIGHT(H75,LEN(H75)-4)/10000</f>
        <v>23.317799999999998</v>
      </c>
      <c r="AA75" s="204">
        <f>ABS(Z75-Y75)</f>
        <v>23.269599999999997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/stypes="app*4008*20171027*"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11"/>
        <v>"%USERPROFILE%\Documents\GitHub\eaglep3\Utilities\RefineRTDCRunTimes.py" --tripid 163-27 --locoid 4008 --swversion DE.1.0.9.0 --startMP 204:482 --initTime 2017-10-27T11:25:15 --startdatetime 2017-10-27T11:30:14 --delay 81 --endMP 204:233178 --enddatetime 2017-10-27T12:05:32 --enforcementcount 0 &gt;&gt;%USERPROFILE%\Documents\GitHub\eaglep3-reporting\EC\2017-10-27-refined-times.txt</v>
      </c>
      <c r="AI75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{"issue":{"subject":"","project_id":79,"tracker_id":40,"status_id":1,"priority_id":2,"assigned_to_id":338,"start_date":"2017-10-27","description":"","custom_fields":[{"id":1,"name":"Subdivision","value":"EC"},{"id":4,"name":"Milepost","value":"23.3178"},{"id":17,"name":"Train ID","value":"163-27"},{"id":16,"name":"Locomotive ID","value":"4008"},{"id":130,"name":"Impact","value":""},{"id":150,"name":"Time of Event (Mountain Time)","value":"12:05:32"},{"id":151,"name":"Denver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13"/>
        <v>start /low /b %USERPROFILE%\Documents\GitHub\eaglep3\Utilities\DownloadLogsFromS3.py --loco 4008 --day 2017-10-27</v>
      </c>
      <c r="AN75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18:05:32"},{"id":29,"name":"Sharepoint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15"/>
        <v>https://d0f6bd738d7f1b3e5a7ca70fe4ff75f0.us-east-1.aws.found.io/app/kibana#/discover/Steve-Slow-Train-Analysis-(2080s-and-2083s)?_g=(refreshInterval:(display:Off,pause:!f,section:0,value:0),time:(from:'2017-10-27T10:25:15-0600',mode:absolute,to:'2017-10-27T13:05:32-0600'))&amp;_a=(columns:!('Message%20ID',Summary),filters:!(),index:'emp_*',interval:auto,query:(query_string:(analyze_wildcard:!t,query:'%22rtdc.l.rtdc.4008%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745</v>
      </c>
      <c r="B76" s="7">
        <v>4007</v>
      </c>
      <c r="C76" s="21" t="s">
        <v>194</v>
      </c>
      <c r="D76" s="21" t="s">
        <v>925</v>
      </c>
      <c r="E76" s="13">
        <v>43035.515902777777</v>
      </c>
      <c r="F76" s="13">
        <v>43035.519131944442</v>
      </c>
      <c r="G76" s="7">
        <v>78</v>
      </c>
      <c r="H76" s="21" t="s">
        <v>926</v>
      </c>
      <c r="I76" s="13">
        <v>43035.544942129629</v>
      </c>
      <c r="J76" s="7">
        <v>0</v>
      </c>
      <c r="K76" s="89" t="str">
        <f>IF(ISEVEN(B76),(B76-1)&amp;"/"&amp;B76,B76&amp;"/"&amp;(B76+1))</f>
        <v>4007/4008</v>
      </c>
      <c r="L76" s="185" t="str">
        <f>VLOOKUP(A76,'Trips&amp;Operators'!$C$1:$G$99911,5,FALSE)</f>
        <v>BRUDER RICHARD</v>
      </c>
      <c r="M76" s="6">
        <f>I76-F76</f>
        <v>2.5810185186855961E-2</v>
      </c>
      <c r="N76" s="7">
        <f>24*60*SUM($M76:$M76)</f>
        <v>37.166666669072583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-27T11:22:54-0600',mode:absolute,to:'2017-10-27T14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23.286200000000001</v>
      </c>
      <c r="Z76" s="204">
        <f>RIGHT(H76,LEN(H76)-4)/10000</f>
        <v>2.23E-2</v>
      </c>
      <c r="AA76" s="204">
        <f>ABS(Z76-Y76)</f>
        <v>23.2639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/stypes="app*4007*20171027*"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11"/>
        <v>"%USERPROFILE%\Documents\GitHub\eaglep3\Utilities\RefineRTDCRunTimes.py" --tripid 164-27 --locoid 4007 --swversion DE.1.0.9.0 --startMP 204:232862 --initTime 2017-10-27T12:22:54 --startdatetime 2017-10-27T12:27:33 --delay 78 --endMP 204:223 --enddatetime 2017-10-27T13:04:43 --enforcementcount 0 &gt;&gt;%USERPROFILE%\Documents\GitHub\eaglep3-reporting\EC\2017-10-27-refined-times.txt</v>
      </c>
      <c r="AI76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{"issue":{"subject":"","project_id":79,"tracker_id":40,"status_id":1,"priority_id":2,"assigned_to_id":338,"start_date":"2017-10-27","description":"","custom_fields":[{"id":1,"name":"Subdivision","value":"EC"},{"id":4,"name":"Milepost","value":"0.0223"},{"id":17,"name":"Train ID","value":"164-27"},{"id":16,"name":"Locomotive ID","value":"4007"},{"id":130,"name":"Impact","value":""},{"id":150,"name":"Time of Event (Mountain Time)","value":"13:04:43"},{"id":151,"name":"Denver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3"/>
        <v>start /low /b %USERPROFILE%\Documents\GitHub\eaglep3\Utilities\DownloadLogsFromS3.py --loco 4007 --day 2017-10-27</v>
      </c>
      <c r="AN76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19:04:43"},{"id":29,"name":"Sharepoint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15"/>
        <v>https://d0f6bd738d7f1b3e5a7ca70fe4ff75f0.us-east-1.aws.found.io/app/kibana#/discover/Steve-Slow-Train-Analysis-(2080s-and-2083s)?_g=(refreshInterval:(display:Off,pause:!f,section:0,value:0),time:(from:'2017-10-27T11:22:54-0600',mode:absolute,to:'2017-10-27T14:04:43-0600'))&amp;_a=(columns:!('Message%20ID',Summary),filters:!(),index:'emp_*',interval:auto,query:(query_string:(analyze_wildcard:!t,query:'%22rtdc.l.rtdc.4007%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631</v>
      </c>
      <c r="B77" s="7">
        <v>4052</v>
      </c>
      <c r="C77" s="21" t="s">
        <v>194</v>
      </c>
      <c r="D77" s="21" t="s">
        <v>476</v>
      </c>
      <c r="E77" s="13">
        <v>43035.487893518519</v>
      </c>
      <c r="F77" s="13">
        <v>43035.490300925929</v>
      </c>
      <c r="G77" s="7">
        <v>139</v>
      </c>
      <c r="H77" s="21" t="s">
        <v>927</v>
      </c>
      <c r="I77" s="13">
        <v>43035.518229166664</v>
      </c>
      <c r="J77" s="7">
        <v>0</v>
      </c>
      <c r="K77" s="89" t="str">
        <f>IF(ISEVEN(B77),(B77-1)&amp;"/"&amp;B77,B77&amp;"/"&amp;(B77+1))</f>
        <v>4051/4052</v>
      </c>
      <c r="L77" s="185" t="str">
        <f>VLOOKUP(A77,'Trips&amp;Operators'!$C$1:$G$99911,5,FALSE)</f>
        <v>LEVERE CRAIG</v>
      </c>
      <c r="M77" s="6">
        <f>I77-F77</f>
        <v>2.7928240735491272E-2</v>
      </c>
      <c r="N77" s="7">
        <f>24*60*SUM($M77:$M77)</f>
        <v>40.216666659107432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-27T10:42:34-0600',mode:absolute,to:'2017-10-27T13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4.4900000000000002E-2</v>
      </c>
      <c r="Z77" s="204">
        <f>RIGHT(H77,LEN(H77)-4)/10000</f>
        <v>23.316299999999998</v>
      </c>
      <c r="AA77" s="204">
        <f>ABS(Z77-Y77)</f>
        <v>23.2714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/stypes="app*4052*20171027*"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11"/>
        <v>"%USERPROFILE%\Documents\GitHub\eaglep3\Utilities\RefineRTDCRunTimes.py" --tripid 165-27 --locoid 4052 --swversion DE.1.0.9.0 --startMP 204:449 --initTime 2017-10-27T11:42:34 --startdatetime 2017-10-27T11:46:02 --delay 139 --endMP 204:233163 --enddatetime 2017-10-27T12:26:15 --enforcementcount 0 &gt;&gt;%USERPROFILE%\Documents\GitHub\eaglep3-reporting\EC\2017-10-27-refined-times.txt</v>
      </c>
      <c r="AI77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{"issue":{"subject":"","project_id":79,"tracker_id":40,"status_id":1,"priority_id":2,"assigned_to_id":338,"start_date":"2017-10-27","description":"","custom_fields":[{"id":1,"name":"Subdivision","value":"EC"},{"id":4,"name":"Milepost","value":"23.3163"},{"id":17,"name":"Train ID","value":"165-27"},{"id":16,"name":"Locomotive ID","value":"4052"},{"id":130,"name":"Impact","value":""},{"id":150,"name":"Time of Event (Mountain Time)","value":"12:26:15"},{"id":151,"name":"Denver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13"/>
        <v>start /low /b %USERPROFILE%\Documents\GitHub\eaglep3\Utilities\DownloadLogsFromS3.py --loco 4052 --day 2017-10-27</v>
      </c>
      <c r="AN77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18:26:15"},{"id":29,"name":"Sharepoint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15"/>
        <v>https://d0f6bd738d7f1b3e5a7ca70fe4ff75f0.us-east-1.aws.found.io/app/kibana#/discover/Steve-Slow-Train-Analysis-(2080s-and-2083s)?_g=(refreshInterval:(display:Off,pause:!f,section:0,value:0),time:(from:'2017-10-27T10:42:34-0600',mode:absolute,to:'2017-10-27T13:26:15-0600'))&amp;_a=(columns:!('Message%20ID',Summary),filters:!(),index:'emp_*',interval:auto,query:(query_string:(analyze_wildcard:!t,query:'%22rtdc.l.rtdc.4052%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748</v>
      </c>
      <c r="B78" s="7">
        <v>4051</v>
      </c>
      <c r="C78" s="21" t="s">
        <v>194</v>
      </c>
      <c r="D78" s="21" t="s">
        <v>928</v>
      </c>
      <c r="E78" s="13">
        <v>43035.525150462963</v>
      </c>
      <c r="F78" s="13">
        <v>43035.529432870368</v>
      </c>
      <c r="G78" s="7">
        <v>92</v>
      </c>
      <c r="H78" s="21" t="s">
        <v>606</v>
      </c>
      <c r="I78" s="13">
        <v>43035.556180555555</v>
      </c>
      <c r="J78" s="7">
        <v>0</v>
      </c>
      <c r="K78" s="89" t="str">
        <f>IF(ISEVEN(B78),(B78-1)&amp;"/"&amp;B78,B78&amp;"/"&amp;(B78+1))</f>
        <v>4051/4052</v>
      </c>
      <c r="L78" s="185" t="str">
        <f>VLOOKUP(A78,'Trips&amp;Operators'!$C$1:$G$99911,5,FALSE)</f>
        <v>LEVERE CRAIG</v>
      </c>
      <c r="M78" s="6">
        <f>I78-F78</f>
        <v>2.6747685187729076E-2</v>
      </c>
      <c r="N78" s="7">
        <f>24*60*SUM($M78:$M78)</f>
        <v>38.516666670329869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-27T11:36:13-0600',mode:absolute,to:'2017-10-27T14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23.2834</v>
      </c>
      <c r="Z78" s="204">
        <f>RIGHT(H78,LEN(H78)-4)/10000</f>
        <v>2.5399999999999999E-2</v>
      </c>
      <c r="AA78" s="204">
        <f>ABS(Z78-Y78)</f>
        <v>23.257999999999999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s3://rtdc.mdm.uploadarchive.raw/RTDC4051/ "%USERPROFILE%\AppData\Local\Temp\OnboardLogs"\RTDC4051\2017-10-27 --exclude "*" --recursive --include "*20171027*" &amp; "%USERPROFILE%\Documents\GitHub\mrs-test-scripts\Headless Mode &amp; Sideloading\WalkAndUnGZ.bat" "%USERPROFILE%\AppData\Local\Temp\OnboardLogs"\RTDC4051\2017-10-27 &amp; aws s3 cp s3://rtdc.mdm.uploadarchive.raw/RTDC4051/ "%USERPROFILE%\AppData\Local\Temp\OnboardLogs"\RTDC4051\2017-10-28 --exclude "*" --recursive --include "*20171028*" &amp; "%USERPROFILE%\Documents\GitHub\mrs-test-scripts\Headless Mode &amp; Sideloading\WalkAndUnGZ.bat" "%USERPROFILE%\AppData\Local\Temp\OnboardLogs"\RTDC4051\2017-10-28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/stypes="app*4051*20171027*"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11"/>
        <v>"%USERPROFILE%\Documents\GitHub\eaglep3\Utilities\RefineRTDCRunTimes.py" --tripid 166-27 --locoid 4051 --swversion DE.1.0.9.0 --startMP 204:232834 --initTime 2017-10-27T12:36:13 --startdatetime 2017-10-27T12:42:23 --delay 92 --endMP 204:254 --enddatetime 2017-10-27T13:20:54 --enforcementcount 0 &gt;&gt;%USERPROFILE%\Documents\GitHub\eaglep3-reporting\EC\2017-10-27-refined-times.txt</v>
      </c>
      <c r="AI78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{"issue":{"subject":"","project_id":79,"tracker_id":40,"status_id":1,"priority_id":2,"assigned_to_id":338,"start_date":"2017-10-27","description":"","custom_fields":[{"id":1,"name":"Subdivision","value":"EC"},{"id":4,"name":"Milepost","value":"0.0254"},{"id":17,"name":"Train ID","value":"166-27"},{"id":16,"name":"Locomotive ID","value":"4051"},{"id":130,"name":"Impact","value":""},{"id":150,"name":"Time of Event (Mountain Time)","value":"13:20:54"},{"id":151,"name":"Denver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13"/>
        <v>start /low /b %USERPROFILE%\Documents\GitHub\eaglep3\Utilities\DownloadLogsFromS3.py --loco 4051 --day 2017-10-27</v>
      </c>
      <c r="AN78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19:20:54"},{"id":29,"name":"Sharepoint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15"/>
        <v>https://d0f6bd738d7f1b3e5a7ca70fe4ff75f0.us-east-1.aws.found.io/app/kibana#/discover/Steve-Slow-Train-Analysis-(2080s-and-2083s)?_g=(refreshInterval:(display:Off,pause:!f,section:0,value:0),time:(from:'2017-10-27T11:36:13-0600',mode:absolute,to:'2017-10-27T14:20:54-0600'))&amp;_a=(columns:!('Message%20ID',Summary),filters:!(),index:'emp_*',interval:auto,query:(query_string:(analyze_wildcard:!t,query:'%22rtdc.l.rtdc.4051%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742</v>
      </c>
      <c r="B79" s="7">
        <v>4018</v>
      </c>
      <c r="C79" s="21" t="s">
        <v>194</v>
      </c>
      <c r="D79" s="21" t="s">
        <v>929</v>
      </c>
      <c r="E79" s="13">
        <v>43035.497361111113</v>
      </c>
      <c r="F79" s="13">
        <v>43035.500381944446</v>
      </c>
      <c r="G79" s="7">
        <v>80</v>
      </c>
      <c r="H79" s="21" t="s">
        <v>930</v>
      </c>
      <c r="I79" s="13">
        <v>43035.525983796295</v>
      </c>
      <c r="J79" s="7">
        <v>0</v>
      </c>
      <c r="K79" s="89" t="str">
        <f>IF(ISEVEN(B79),(B79-1)&amp;"/"&amp;B79,B79&amp;"/"&amp;(B79+1))</f>
        <v>4017/4018</v>
      </c>
      <c r="L79" s="185" t="str">
        <f>VLOOKUP(A79,'Trips&amp;Operators'!$C$1:$G$99911,5,FALSE)</f>
        <v>FORTUNATO FRANK</v>
      </c>
      <c r="M79" s="6">
        <f>I79-F79</f>
        <v>2.5601851848477963E-2</v>
      </c>
      <c r="N79" s="7">
        <f>24*60*SUM($M79:$M79)</f>
        <v>36.866666661808267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-27T10:56:12-0600',mode:absolute,to:'2017-10-27T13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4.5499999999999999E-2</v>
      </c>
      <c r="Z79" s="204">
        <f>RIGHT(H79,LEN(H79)-4)/10000</f>
        <v>23.318300000000001</v>
      </c>
      <c r="AA79" s="204">
        <f>ABS(Z79-Y79)</f>
        <v>23.2728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/stypes="app*4018*20171027*"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1"/>
        <v>"%USERPROFILE%\Documents\GitHub\eaglep3\Utilities\RefineRTDCRunTimes.py" --tripid 167-27 --locoid 4018 --swversion DE.1.0.9.0 --startMP 204:455 --initTime 2017-10-27T11:56:12 --startdatetime 2017-10-27T12:00:33 --delay 80 --endMP 204:233183 --enddatetime 2017-10-27T12:37:25 --enforcementcount 0 &gt;&gt;%USERPROFILE%\Documents\GitHub\eaglep3-reporting\EC\2017-10-27-refined-times.txt</v>
      </c>
      <c r="AI79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{"issue":{"subject":"","project_id":79,"tracker_id":40,"status_id":1,"priority_id":2,"assigned_to_id":338,"start_date":"2017-10-27","description":"","custom_fields":[{"id":1,"name":"Subdivision","value":"EC"},{"id":4,"name":"Milepost","value":"23.3183"},{"id":17,"name":"Train ID","value":"167-27"},{"id":16,"name":"Locomotive ID","value":"4018"},{"id":130,"name":"Impact","value":""},{"id":150,"name":"Time of Event (Mountain Time)","value":"12:37:25"},{"id":151,"name":"Denver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3"/>
        <v>start /low /b %USERPROFILE%\Documents\GitHub\eaglep3\Utilities\DownloadLogsFromS3.py --loco 4018 --day 2017-10-27</v>
      </c>
      <c r="AN79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18:37:25"},{"id":29,"name":"Sharepoint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5"/>
        <v>https://d0f6bd738d7f1b3e5a7ca70fe4ff75f0.us-east-1.aws.found.io/app/kibana#/discover/Steve-Slow-Train-Analysis-(2080s-and-2083s)?_g=(refreshInterval:(display:Off,pause:!f,section:0,value:0),time:(from:'2017-10-27T10:56:12-0600',mode:absolute,to:'2017-10-27T13:37:25-0600'))&amp;_a=(columns:!('Message%20ID',Summary),filters:!(),index:'emp_*',interval:auto,query:(query_string:(analyze_wildcard:!t,query:'%22rtdc.l.rtdc.4018%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749</v>
      </c>
      <c r="B80" s="7">
        <v>4017</v>
      </c>
      <c r="C80" s="21" t="s">
        <v>194</v>
      </c>
      <c r="D80" s="21" t="s">
        <v>931</v>
      </c>
      <c r="E80" s="13">
        <v>43035.527303240742</v>
      </c>
      <c r="F80" s="13">
        <v>43035.53974537037</v>
      </c>
      <c r="G80" s="7">
        <v>58</v>
      </c>
      <c r="H80" s="21" t="s">
        <v>335</v>
      </c>
      <c r="I80" s="13">
        <v>43035.565798611111</v>
      </c>
      <c r="J80" s="7">
        <v>0</v>
      </c>
      <c r="K80" s="89" t="str">
        <f>IF(ISEVEN(B80),(B80-1)&amp;"/"&amp;B80,B80&amp;"/"&amp;(B80+1))</f>
        <v>4017/4018</v>
      </c>
      <c r="L80" s="185" t="str">
        <f>VLOOKUP(A80,'Trips&amp;Operators'!$C$1:$G$99911,5,FALSE)</f>
        <v>FORTUNATO FRANK</v>
      </c>
      <c r="M80" s="6">
        <f>I80-F80</f>
        <v>2.6053240741021E-2</v>
      </c>
      <c r="N80" s="7">
        <f>24*60*SUM($M80:$M80)</f>
        <v>37.51666666707024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-27T11:39:19-0600',mode:absolute,to:'2017-10-27T14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23.288699999999999</v>
      </c>
      <c r="Z80" s="204">
        <f>RIGHT(H80,LEN(H80)-4)/10000</f>
        <v>1.4999999999999999E-2</v>
      </c>
      <c r="AA80" s="204">
        <f>ABS(Z80-Y80)</f>
        <v>23.273699999999998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/stypes="app*4017*20171027*"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1"/>
        <v>"%USERPROFILE%\Documents\GitHub\eaglep3\Utilities\RefineRTDCRunTimes.py" --tripid 168-27 --locoid 4017 --swversion DE.1.0.9.0 --startMP 204:232887 --initTime 2017-10-27T12:39:19 --startdatetime 2017-10-27T12:57:14 --delay 58 --endMP 204:150 --enddatetime 2017-10-27T13:34:45 --enforcementcount 0 &gt;&gt;%USERPROFILE%\Documents\GitHub\eaglep3-reporting\EC\2017-10-27-refined-times.txt</v>
      </c>
      <c r="AI80" s="96" t="str">
        <f t="shared" si="12"/>
        <v>echo {"issue":{"subject":"","project_id":79,"tracker_id":40,"status_id":1,"priority_id":2,"assigned_to_id":338,"start_date":"2017-10-27","description":"","custom_fields":[{"id":1,"name":"Subdivision","value":"EC"},{"id":4,"name":"Milepost","value":"0.015"},{"id":17,"name":"Train ID","value":"168-27"},{"id":16,"name":"Locomotive ID","value":"4017"},{"id":130,"name":"Impact","value":""},{"id":150,"name":"Time of Event (Mountain Time)","value":"13:34:45"},{"id":151,"name":"Denver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3"/>
        <v>start /low /b %USERPROFILE%\Documents\GitHub\eaglep3\Utilities\DownloadLogsFromS3.py --loco 4017 --day 2017-10-27</v>
      </c>
      <c r="AN80" s="151" t="str">
        <f t="shared" si="14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19:34:45"},{"id":29,"name":"Sharepoint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5"/>
        <v>https://d0f6bd738d7f1b3e5a7ca70fe4ff75f0.us-east-1.aws.found.io/app/kibana#/discover/Steve-Slow-Train-Analysis-(2080s-and-2083s)?_g=(refreshInterval:(display:Off,pause:!f,section:0,value:0),time:(from:'2017-10-27T11:39:19-0600',mode:absolute,to:'2017-10-27T14:34:45-0600'))&amp;_a=(columns:!('Message%20ID',Summary),filters:!(),index:'emp_*',interval:auto,query:(query_string:(analyze_wildcard:!t,query:'%22rtdc.l.rtdc.4017%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744</v>
      </c>
      <c r="B81" s="7">
        <v>4014</v>
      </c>
      <c r="C81" s="21" t="s">
        <v>194</v>
      </c>
      <c r="D81" s="21" t="s">
        <v>578</v>
      </c>
      <c r="E81" s="13">
        <v>43035.506157407406</v>
      </c>
      <c r="F81" s="13">
        <v>43035.51059027778</v>
      </c>
      <c r="G81" s="7">
        <v>146</v>
      </c>
      <c r="H81" s="21" t="s">
        <v>580</v>
      </c>
      <c r="I81" s="13">
        <v>43035.535358796296</v>
      </c>
      <c r="J81" s="7">
        <v>0</v>
      </c>
      <c r="K81" s="89" t="str">
        <f>IF(ISEVEN(B81),(B81-1)&amp;"/"&amp;B81,B81&amp;"/"&amp;(B81+1))</f>
        <v>4013/4014</v>
      </c>
      <c r="L81" s="185" t="str">
        <f>VLOOKUP(A81,'Trips&amp;Operators'!$C$1:$G$99911,5,FALSE)</f>
        <v>LEVIN SCOTT</v>
      </c>
      <c r="M81" s="6">
        <f>I81-F81</f>
        <v>2.4768518516793847E-2</v>
      </c>
      <c r="N81" s="7">
        <f>24*60*SUM($M81:$M81)</f>
        <v>35.66666666418314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-27T11:08:52-0600',mode:absolute,to:'2017-10-27T13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4.8899999999999999E-2</v>
      </c>
      <c r="Z81" s="204">
        <f>RIGHT(H81,LEN(H81)-4)/10000</f>
        <v>23.319199999999999</v>
      </c>
      <c r="AA81" s="204">
        <f>ABS(Z81-Y81)</f>
        <v>23.270299999999999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s3://rtdc.mdm.uploadarchive.raw/RTDC4014/ "%USERPROFILE%\AppData\Local\Temp\OnboardLogs"\RTDC4014\2017-10-27 --exclude "*" --recursive --include "*20171027*" &amp; "%USERPROFILE%\Documents\GitHub\mrs-test-scripts\Headless Mode &amp; Sideloading\WalkAndUnGZ.bat" "%USERPROFILE%\AppData\Local\Temp\OnboardLogs"\RTDC4014\2017-10-27 &amp; aws s3 cp s3://rtdc.mdm.uploadarchive.raw/RTDC4014/ "%USERPROFILE%\AppData\Local\Temp\OnboardLogs"\RTDC4014\2017-10-28 --exclude "*" --recursive --include "*20171028*" &amp; "%USERPROFILE%\Documents\GitHub\mrs-test-scripts\Headless Mode &amp; Sideloading\WalkAndUnGZ.bat" "%USERPROFILE%\AppData\Local\Temp\OnboardLogs"\RTDC4014\2017-10-28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/stypes="app*4014*20171027*"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ref="AH81:AH143" si="28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169-27 --locoid 4014 --swversion DE.1.0.9.0 --startMP 204:489 --initTime 2017-10-27T12:08:52 --startdatetime 2017-10-27T12:15:15 --delay 146 --endMP 204:233192 --enddatetime 2017-10-27T12:50:55 --enforcementcount 0 &gt;&gt;%USERPROFILE%\Documents\GitHub\eaglep3-reporting\EC\2017-10-27-refined-times.txt</v>
      </c>
      <c r="AI81" s="96" t="str">
        <f t="shared" ref="AI81:AI143" si="29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{"issue":{"subject":"","project_id":79,"tracker_id":40,"status_id":1,"priority_id":2,"assigned_to_id":338,"start_date":"2017-10-27","description":"","custom_fields":[{"id":1,"name":"Subdivision","value":"EC"},{"id":4,"name":"Milepost","value":"23.3192"},{"id":17,"name":"Train ID","value":"169-27"},{"id":16,"name":"Locomotive ID","value":"4014"},{"id":130,"name":"Impact","value":""},{"id":150,"name":"Time of Event (Mountain Time)","value":"12:50:55"},{"id":151,"name":"Denver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ref="AM81:AM143" si="30">"start /low /b "&amp;dls3logs&amp;" --loco "&amp;B81&amp;" --day "&amp;TEXT(F81,"YYYY-MM-DD")</f>
        <v>start /low /b %USERPROFILE%\Documents\GitHub\eaglep3\Utilities\DownloadLogsFromS3.py --loco 4014 --day 2017-10-27</v>
      </c>
      <c r="AN81" s="151" t="str">
        <f t="shared" ref="AN81:AN143" si="31">"echo {""issue"":{""subject"":"""&amp;R81&amp;""",""project_id"":30,""tracker_id"":4,""status_id"":"&amp;redmine_status_wcr&amp;",""priority_id"":"&amp;redmine_priority_wcr&amp;",""assigned_to_id"":"&amp;redmine_assignee_wcr&amp;",""start_date"":"""&amp;TEXT(I81-utc_offset/24,"YYYY-mm-dd")&amp;""",""description"":"""&amp;AJ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18:50:55"},{"id":29,"name":"Sharepoint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ref="AO81:AO143" si="32"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Message%20ID',Summary),filters:!(),index:'emp_*',interval:auto,query:"&amp;"(query_string:(analyze_wildcard:!t,query:'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-27T11:08:52-0600',mode:absolute,to:'2017-10-27T13:50:55-0600'))&amp;_a=(columns:!('Message%20ID',Summary),filters:!(),index:'emp_*',interval:auto,query:(query_string:(analyze_wildcard:!t,query:'%22rtdc.l.rtdc.4014%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756</v>
      </c>
      <c r="B82" s="7">
        <v>4013</v>
      </c>
      <c r="C82" s="21" t="s">
        <v>194</v>
      </c>
      <c r="D82" s="21" t="s">
        <v>932</v>
      </c>
      <c r="E82" s="13">
        <v>43035.546793981484</v>
      </c>
      <c r="F82" s="13">
        <v>43035.550381944442</v>
      </c>
      <c r="G82" s="7">
        <v>96</v>
      </c>
      <c r="H82" s="21" t="s">
        <v>933</v>
      </c>
      <c r="I82" s="13">
        <v>43035.576192129629</v>
      </c>
      <c r="J82" s="7">
        <v>0</v>
      </c>
      <c r="K82" s="89" t="str">
        <f>IF(ISEVEN(B82),(B82-1)&amp;"/"&amp;B82,B82&amp;"/"&amp;(B82+1))</f>
        <v>4013/4014</v>
      </c>
      <c r="L82" s="185" t="str">
        <f>VLOOKUP(A82,'Trips&amp;Operators'!$C$1:$G$99911,5,FALSE)</f>
        <v>LEVIN SCOTT</v>
      </c>
      <c r="M82" s="6">
        <f>I82-F82</f>
        <v>2.5810185186855961E-2</v>
      </c>
      <c r="N82" s="7">
        <f>24*60*SUM($M82:$M82)</f>
        <v>37.166666669072583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-27T12:07:23-0600',mode:absolute,to:'2017-10-27T14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23.287099999999999</v>
      </c>
      <c r="Z82" s="204">
        <f>RIGHT(H82,LEN(H82)-4)/10000</f>
        <v>2.4299999999999999E-2</v>
      </c>
      <c r="AA82" s="204">
        <f>ABS(Z82-Y82)</f>
        <v>23.262799999999999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/stypes="app*4013*20171027*"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28"/>
        <v>"%USERPROFILE%\Documents\GitHub\eaglep3\Utilities\RefineRTDCRunTimes.py" --tripid 170-27 --locoid 4013 --swversion DE.1.0.9.0 --startMP 204:232871 --initTime 2017-10-27T13:07:23 --startdatetime 2017-10-27T13:12:33 --delay 96 --endMP 204:243 --enddatetime 2017-10-27T13:49:43 --enforcementcount 0 &gt;&gt;%USERPROFILE%\Documents\GitHub\eaglep3-reporting\EC\2017-10-27-refined-times.txt</v>
      </c>
      <c r="AI82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{"issue":{"subject":"","project_id":79,"tracker_id":40,"status_id":1,"priority_id":2,"assigned_to_id":338,"start_date":"2017-10-27","description":"","custom_fields":[{"id":1,"name":"Subdivision","value":"EC"},{"id":4,"name":"Milepost","value":"0.0243"},{"id":17,"name":"Train ID","value":"170-27"},{"id":16,"name":"Locomotive ID","value":"4013"},{"id":130,"name":"Impact","value":""},{"id":150,"name":"Time of Event (Mountain Time)","value":"13:49:43"},{"id":151,"name":"Denver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30"/>
        <v>start /low /b %USERPROFILE%\Documents\GitHub\eaglep3\Utilities\DownloadLogsFromS3.py --loco 4013 --day 2017-10-27</v>
      </c>
      <c r="AN82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19:49:43"},{"id":29,"name":"Sharepoint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32"/>
        <v>https://d0f6bd738d7f1b3e5a7ca70fe4ff75f0.us-east-1.aws.found.io/app/kibana#/discover/Steve-Slow-Train-Analysis-(2080s-and-2083s)?_g=(refreshInterval:(display:Off,pause:!f,section:0,value:0),time:(from:'2017-10-27T12:07:23-0600',mode:absolute,to:'2017-10-27T14:49:43-0600'))&amp;_a=(columns:!('Message%20ID',Summary),filters:!(),index:'emp_*',interval:auto,query:(query_string:(analyze_wildcard:!t,query:'%22rtdc.l.rtdc.4013%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746</v>
      </c>
      <c r="B83" s="7">
        <v>4036</v>
      </c>
      <c r="C83" s="21" t="s">
        <v>194</v>
      </c>
      <c r="D83" s="21" t="s">
        <v>535</v>
      </c>
      <c r="E83" s="13">
        <v>43035.516944444447</v>
      </c>
      <c r="F83" s="13">
        <v>43035.521006944444</v>
      </c>
      <c r="G83" s="7">
        <v>84</v>
      </c>
      <c r="H83" s="21" t="s">
        <v>934</v>
      </c>
      <c r="I83" s="13">
        <v>43035.546770833331</v>
      </c>
      <c r="J83" s="7">
        <v>0</v>
      </c>
      <c r="K83" s="89" t="str">
        <f>IF(ISEVEN(B83),(B83-1)&amp;"/"&amp;B83,B83&amp;"/"&amp;(B83+1))</f>
        <v>4035/4036</v>
      </c>
      <c r="L83" s="185" t="str">
        <f>VLOOKUP(A83,'Trips&amp;Operators'!$C$1:$G$99911,5,FALSE)</f>
        <v>BADERTSCHER DIANE</v>
      </c>
      <c r="M83" s="6">
        <f>I83-F83</f>
        <v>2.5763888887013309E-2</v>
      </c>
      <c r="N83" s="7">
        <f>24*60*SUM($M83:$M83)</f>
        <v>37.099999997299165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-27T11:24:24-0600',mode:absolute,to:'2017-10-27T14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5.1900000000000002E-2</v>
      </c>
      <c r="Z83" s="204">
        <f>RIGHT(H83,LEN(H83)-4)/10000</f>
        <v>23.327000000000002</v>
      </c>
      <c r="AA83" s="204">
        <f>ABS(Z83-Y83)</f>
        <v>23.275100000000002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/stypes="app*4036*20171027*"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28"/>
        <v>"%USERPROFILE%\Documents\GitHub\eaglep3\Utilities\RefineRTDCRunTimes.py" --tripid 171-27 --locoid 4036 --swversion DE.1.0.9.0 --startMP 204:519 --initTime 2017-10-27T12:24:24 --startdatetime 2017-10-27T12:30:15 --delay 84 --endMP 204:233270 --enddatetime 2017-10-27T13:07:21 --enforcementcount 0 &gt;&gt;%USERPROFILE%\Documents\GitHub\eaglep3-reporting\EC\2017-10-27-refined-times.txt</v>
      </c>
      <c r="AI83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{"issue":{"subject":"","project_id":79,"tracker_id":40,"status_id":1,"priority_id":2,"assigned_to_id":338,"start_date":"2017-10-27","description":"","custom_fields":[{"id":1,"name":"Subdivision","value":"EC"},{"id":4,"name":"Milepost","value":"23.327"},{"id":17,"name":"Train ID","value":"171-27"},{"id":16,"name":"Locomotive ID","value":"4036"},{"id":130,"name":"Impact","value":""},{"id":150,"name":"Time of Event (Mountain Time)","value":"13:07:21"},{"id":151,"name":"Denver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30"/>
        <v>start /low /b %USERPROFILE%\Documents\GitHub\eaglep3\Utilities\DownloadLogsFromS3.py --loco 4036 --day 2017-10-27</v>
      </c>
      <c r="AN83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19:07:21"},{"id":29,"name":"Sharepoint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32"/>
        <v>https://d0f6bd738d7f1b3e5a7ca70fe4ff75f0.us-east-1.aws.found.io/app/kibana#/discover/Steve-Slow-Train-Analysis-(2080s-and-2083s)?_g=(refreshInterval:(display:Off,pause:!f,section:0,value:0),time:(from:'2017-10-27T11:24:24-0600',mode:absolute,to:'2017-10-27T14:07:21-0600'))&amp;_a=(columns:!('Message%20ID',Summary),filters:!(),index:'emp_*',interval:auto,query:(query_string:(analyze_wildcard:!t,query:'%22rtdc.l.rtdc.4036%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632</v>
      </c>
      <c r="B84" s="7">
        <v>4035</v>
      </c>
      <c r="C84" s="21" t="s">
        <v>194</v>
      </c>
      <c r="D84" s="21" t="s">
        <v>532</v>
      </c>
      <c r="E84" s="13">
        <v>43035.555706018517</v>
      </c>
      <c r="F84" s="13">
        <v>43035.560636574075</v>
      </c>
      <c r="G84" s="7">
        <v>62</v>
      </c>
      <c r="H84" s="21" t="s">
        <v>537</v>
      </c>
      <c r="I84" s="13">
        <v>43035.589120370372</v>
      </c>
      <c r="J84" s="7">
        <v>0</v>
      </c>
      <c r="K84" s="89" t="str">
        <f>IF(ISEVEN(B84),(B84-1)&amp;"/"&amp;B84,B84&amp;"/"&amp;(B84+1))</f>
        <v>4035/4036</v>
      </c>
      <c r="L84" s="185" t="str">
        <f>VLOOKUP(A84,'Trips&amp;Operators'!$C$1:$G$99911,5,FALSE)</f>
        <v>BADERTSCHER DIANE</v>
      </c>
      <c r="M84" s="6">
        <f>I84-F84</f>
        <v>2.8483796297223307E-2</v>
      </c>
      <c r="N84" s="7">
        <f>24*60*SUM($M84:$M84)</f>
        <v>41.016666668001562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-27T12:20:13-0600',mode:absolute,to:'2017-10-27T15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23.293199999999999</v>
      </c>
      <c r="Z84" s="204">
        <f>RIGHT(H84,LEN(H84)-4)/10000</f>
        <v>2.52E-2</v>
      </c>
      <c r="AA84" s="204">
        <f>ABS(Z84-Y84)</f>
        <v>23.267999999999997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/stypes="app*4035*20171027*"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28"/>
        <v>"%USERPROFILE%\Documents\GitHub\eaglep3\Utilities\RefineRTDCRunTimes.py" --tripid 172-27 --locoid 4035 --swversion DE.1.0.9.0 --startMP 204:232932 --initTime 2017-10-27T13:20:13 --startdatetime 2017-10-27T13:27:19 --delay 62 --endMP 204:252 --enddatetime 2017-10-27T14:08:20 --enforcementcount 0 &gt;&gt;%USERPROFILE%\Documents\GitHub\eaglep3-reporting\EC\2017-10-27-refined-times.txt</v>
      </c>
      <c r="AI84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{"issue":{"subject":"","project_id":79,"tracker_id":40,"status_id":1,"priority_id":2,"assigned_to_id":338,"start_date":"2017-10-27","description":"","custom_fields":[{"id":1,"name":"Subdivision","value":"EC"},{"id":4,"name":"Milepost","value":"0.0252"},{"id":17,"name":"Train ID","value":"172-27"},{"id":16,"name":"Locomotive ID","value":"4035"},{"id":130,"name":"Impact","value":""},{"id":150,"name":"Time of Event (Mountain Time)","value":"14:08:20"},{"id":151,"name":"Denver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30"/>
        <v>start /low /b %USERPROFILE%\Documents\GitHub\eaglep3\Utilities\DownloadLogsFromS3.py --loco 4035 --day 2017-10-27</v>
      </c>
      <c r="AN84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20:08:20"},{"id":29,"name":"Sharepoint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32"/>
        <v>https://d0f6bd738d7f1b3e5a7ca70fe4ff75f0.us-east-1.aws.found.io/app/kibana#/discover/Steve-Slow-Train-Analysis-(2080s-and-2083s)?_g=(refreshInterval:(display:Off,pause:!f,section:0,value:0),time:(from:'2017-10-27T12:20:13-0600',mode:absolute,to:'2017-10-27T15:08:20-0600'))&amp;_a=(columns:!('Message%20ID',Summary),filters:!(),index:'emp_*',interval:auto,query:(query_string:(analyze_wildcard:!t,query:'%22rtdc.l.rtdc.4035%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750</v>
      </c>
      <c r="B85" s="7">
        <v>4056</v>
      </c>
      <c r="C85" s="21" t="s">
        <v>194</v>
      </c>
      <c r="D85" s="21" t="s">
        <v>603</v>
      </c>
      <c r="E85" s="13">
        <v>43035.52820601852</v>
      </c>
      <c r="F85" s="13">
        <v>43035.531550925924</v>
      </c>
      <c r="G85" s="7">
        <v>66</v>
      </c>
      <c r="H85" s="21" t="s">
        <v>935</v>
      </c>
      <c r="I85" s="13">
        <v>43035.555127314816</v>
      </c>
      <c r="J85" s="7">
        <v>0</v>
      </c>
      <c r="K85" s="89" t="str">
        <f>IF(ISEVEN(B85),(B85-1)&amp;"/"&amp;B85,B85&amp;"/"&amp;(B85+1))</f>
        <v>4055/4056</v>
      </c>
      <c r="L85" s="185" t="str">
        <f>VLOOKUP(A85,'Trips&amp;Operators'!$C$1:$G$99911,5,FALSE)</f>
        <v>HOLCOMB KAMDEN</v>
      </c>
      <c r="M85" s="6">
        <f>I85-F85</f>
        <v>2.3576388892251998E-2</v>
      </c>
      <c r="N85" s="7">
        <f>24*60*SUM($M85:$M85)</f>
        <v>33.950000004842877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-27T11:40:37-0600',mode:absolute,to:'2017-10-27T14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5.11E-2</v>
      </c>
      <c r="Z85" s="204">
        <f>RIGHT(H85,LEN(H85)-4)/10000</f>
        <v>23.319299999999998</v>
      </c>
      <c r="AA85" s="204">
        <f>ABS(Z85-Y85)</f>
        <v>23.268199999999997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s3://rtdc.mdm.uploadarchive.raw/RTDC4056/ "%USERPROFILE%\AppData\Local\Temp\OnboardLogs"\RTDC4056\2017-10-27 --exclude "*" --recursive --include "*20171027*" &amp; "%USERPROFILE%\Documents\GitHub\mrs-test-scripts\Headless Mode &amp; Sideloading\WalkAndUnGZ.bat" "%USERPROFILE%\AppData\Local\Temp\OnboardLogs"\RTDC4056\2017-10-27 &amp; 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/stypes="app*4056*20171027*"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28"/>
        <v>"%USERPROFILE%\Documents\GitHub\eaglep3\Utilities\RefineRTDCRunTimes.py" --tripid 173-27 --locoid 4056 --swversion DE.1.0.9.0 --startMP 204:511 --initTime 2017-10-27T12:40:37 --startdatetime 2017-10-27T12:45:26 --delay 66 --endMP 204:233193 --enddatetime 2017-10-27T13:19:23 --enforcementcount 0 &gt;&gt;%USERPROFILE%\Documents\GitHub\eaglep3-reporting\EC\2017-10-27-refined-times.txt</v>
      </c>
      <c r="AI85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{"issue":{"subject":"","project_id":79,"tracker_id":40,"status_id":1,"priority_id":2,"assigned_to_id":338,"start_date":"2017-10-27","description":"","custom_fields":[{"id":1,"name":"Subdivision","value":"EC"},{"id":4,"name":"Milepost","value":"23.3193"},{"id":17,"name":"Train ID","value":"173-27"},{"id":16,"name":"Locomotive ID","value":"4056"},{"id":130,"name":"Impact","value":""},{"id":150,"name":"Time of Event (Mountain Time)","value":"13:19:23"},{"id":151,"name":"Denver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30"/>
        <v>start /low /b %USERPROFILE%\Documents\GitHub\eaglep3\Utilities\DownloadLogsFromS3.py --loco 4056 --day 2017-10-27</v>
      </c>
      <c r="AN85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19:19:23"},{"id":29,"name":"Sharepoint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32"/>
        <v>https://d0f6bd738d7f1b3e5a7ca70fe4ff75f0.us-east-1.aws.found.io/app/kibana#/discover/Steve-Slow-Train-Analysis-(2080s-and-2083s)?_g=(refreshInterval:(display:Off,pause:!f,section:0,value:0),time:(from:'2017-10-27T11:40:37-0600',mode:absolute,to:'2017-10-27T14:19:23-0600'))&amp;_a=(columns:!('Message%20ID',Summary),filters:!(),index:'emp_*',interval:auto,query:(query_string:(analyze_wildcard:!t,query:'%22rtdc.l.rtdc.4056%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760</v>
      </c>
      <c r="B86" s="7">
        <v>4055</v>
      </c>
      <c r="C86" s="21" t="s">
        <v>194</v>
      </c>
      <c r="D86" s="21" t="s">
        <v>936</v>
      </c>
      <c r="E86" s="13">
        <v>43035.568472222221</v>
      </c>
      <c r="F86" s="13">
        <v>43035.571087962962</v>
      </c>
      <c r="G86" s="7">
        <v>66</v>
      </c>
      <c r="H86" s="21" t="s">
        <v>600</v>
      </c>
      <c r="I86" s="13">
        <v>43035.59716435185</v>
      </c>
      <c r="J86" s="7">
        <v>0</v>
      </c>
      <c r="K86" s="89" t="str">
        <f>IF(ISEVEN(B86),(B86-1)&amp;"/"&amp;B86,B86&amp;"/"&amp;(B86+1))</f>
        <v>4055/4056</v>
      </c>
      <c r="L86" s="185" t="str">
        <f>VLOOKUP(A86,'Trips&amp;Operators'!$C$1:$G$99911,5,FALSE)</f>
        <v>HOLCOMB KAMDEN</v>
      </c>
      <c r="M86" s="6">
        <f>I86-F86</f>
        <v>2.6076388887304347E-2</v>
      </c>
      <c r="N86" s="7">
        <f>24*60*SUM($M86:$M86)</f>
        <v>37.54999999771826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-27T12:38:36-0600',mode:absolute,to:'2017-10-27T15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23.2867</v>
      </c>
      <c r="Z86" s="204">
        <f>RIGHT(H86,LEN(H86)-4)/10000</f>
        <v>2.2700000000000001E-2</v>
      </c>
      <c r="AA86" s="204">
        <f>ABS(Z86-Y86)</f>
        <v>23.263999999999999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s3://rtdc.mdm.uploadarchive.raw/RTDC4055/ "%USERPROFILE%\AppData\Local\Temp\OnboardLogs"\RTDC4055\2017-10-27 --exclude "*" --recursive --include "*20171027*" &amp; "%USERPROFILE%\Documents\GitHub\mrs-test-scripts\Headless Mode &amp; Sideloading\WalkAndUnGZ.bat" "%USERPROFILE%\AppData\Local\Temp\OnboardLogs"\RTDC4055\2017-10-27 &amp; aws s3 cp s3://rtdc.mdm.uploadarchive.raw/RTDC4055/ "%USERPROFILE%\AppData\Local\Temp\OnboardLogs"\RTDC4055\2017-10-28 --exclude "*" --recursive --include "*20171028*" &amp; "%USERPROFILE%\Documents\GitHub\mrs-test-scripts\Headless Mode &amp; Sideloading\WalkAndUnGZ.bat" "%USERPROFILE%\AppData\Local\Temp\OnboardLogs"\RTDC4055\2017-10-28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/stypes="app*4055*20171027*"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28"/>
        <v>"%USERPROFILE%\Documents\GitHub\eaglep3\Utilities\RefineRTDCRunTimes.py" --tripid 174-27 --locoid 4055 --swversion DE.1.0.9.0 --startMP 204:232867 --initTime 2017-10-27T13:38:36 --startdatetime 2017-10-27T13:42:22 --delay 66 --endMP 204:227 --enddatetime 2017-10-27T14:19:55 --enforcementcount 0 &gt;&gt;%USERPROFILE%\Documents\GitHub\eaglep3-reporting\EC\2017-10-27-refined-times.txt</v>
      </c>
      <c r="AI86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{"issue":{"subject":"","project_id":79,"tracker_id":40,"status_id":1,"priority_id":2,"assigned_to_id":338,"start_date":"2017-10-27","description":"","custom_fields":[{"id":1,"name":"Subdivision","value":"EC"},{"id":4,"name":"Milepost","value":"0.0227"},{"id":17,"name":"Train ID","value":"174-27"},{"id":16,"name":"Locomotive ID","value":"4055"},{"id":130,"name":"Impact","value":""},{"id":150,"name":"Time of Event (Mountain Time)","value":"14:19:55"},{"id":151,"name":"Denver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30"/>
        <v>start /low /b %USERPROFILE%\Documents\GitHub\eaglep3\Utilities\DownloadLogsFromS3.py --loco 4055 --day 2017-10-27</v>
      </c>
      <c r="AN86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20:19:55"},{"id":29,"name":"Sharepoint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32"/>
        <v>https://d0f6bd738d7f1b3e5a7ca70fe4ff75f0.us-east-1.aws.found.io/app/kibana#/discover/Steve-Slow-Train-Analysis-(2080s-and-2083s)?_g=(refreshInterval:(display:Off,pause:!f,section:0,value:0),time:(from:'2017-10-27T12:38:36-0600',mode:absolute,to:'2017-10-27T15:19:55-0600'))&amp;_a=(columns:!('Message%20ID',Summary),filters:!(),index:'emp_*',interval:auto,query:(query_string:(analyze_wildcard:!t,query:'%22rtdc.l.rtdc.4055%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751</v>
      </c>
      <c r="B87" s="7">
        <v>4006</v>
      </c>
      <c r="C87" s="21" t="s">
        <v>194</v>
      </c>
      <c r="D87" s="21" t="s">
        <v>506</v>
      </c>
      <c r="E87" s="13">
        <v>43035.539363425924</v>
      </c>
      <c r="F87" s="13">
        <v>43035.541875000003</v>
      </c>
      <c r="G87" s="7">
        <v>103</v>
      </c>
      <c r="H87" s="21" t="s">
        <v>937</v>
      </c>
      <c r="I87" s="13">
        <v>43035.56653935185</v>
      </c>
      <c r="J87" s="7">
        <v>0</v>
      </c>
      <c r="K87" s="89" t="str">
        <f>IF(ISEVEN(B87),(B87-1)&amp;"/"&amp;B87,B87&amp;"/"&amp;(B87+1))</f>
        <v>4005/4006</v>
      </c>
      <c r="L87" s="185" t="str">
        <f>VLOOKUP(A87,'Trips&amp;Operators'!$C$1:$G$99911,5,FALSE)</f>
        <v>GONZALEZ ARMANDO</v>
      </c>
      <c r="M87" s="6">
        <f>I87-F87</f>
        <v>2.4664351847604848E-2</v>
      </c>
      <c r="N87" s="7">
        <f>24*60*SUM($M87:$M87)</f>
        <v>35.516666660550982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-27T11:56:41-0600',mode:absolute,to:'2017-10-27T14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5.4600000000000003E-2</v>
      </c>
      <c r="Z87" s="204">
        <f>RIGHT(H87,LEN(H87)-4)/10000</f>
        <v>23.320799999999998</v>
      </c>
      <c r="AA87" s="204">
        <f>ABS(Z87-Y87)</f>
        <v>23.266199999999998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/stypes="app*4006*20171027*"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28"/>
        <v>"%USERPROFILE%\Documents\GitHub\eaglep3\Utilities\RefineRTDCRunTimes.py" --tripid 175-27 --locoid 4006 --swversion DE.1.0.9.0 --startMP 204:546 --initTime 2017-10-27T12:56:41 --startdatetime 2017-10-27T13:00:18 --delay 103 --endMP 204:233208 --enddatetime 2017-10-27T13:35:49 --enforcementcount 0 &gt;&gt;%USERPROFILE%\Documents\GitHub\eaglep3-reporting\EC\2017-10-27-refined-times.txt</v>
      </c>
      <c r="AI87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{"issue":{"subject":"","project_id":79,"tracker_id":40,"status_id":1,"priority_id":2,"assigned_to_id":338,"start_date":"2017-10-27","description":"","custom_fields":[{"id":1,"name":"Subdivision","value":"EC"},{"id":4,"name":"Milepost","value":"23.3208"},{"id":17,"name":"Train ID","value":"175-27"},{"id":16,"name":"Locomotive ID","value":"4006"},{"id":130,"name":"Impact","value":""},{"id":150,"name":"Time of Event (Mountain Time)","value":"13:35:49"},{"id":151,"name":"Denver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30"/>
        <v>start /low /b %USERPROFILE%\Documents\GitHub\eaglep3\Utilities\DownloadLogsFromS3.py --loco 4006 --day 2017-10-27</v>
      </c>
      <c r="AN87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19:35:49"},{"id":29,"name":"Sharepoint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32"/>
        <v>https://d0f6bd738d7f1b3e5a7ca70fe4ff75f0.us-east-1.aws.found.io/app/kibana#/discover/Steve-Slow-Train-Analysis-(2080s-and-2083s)?_g=(refreshInterval:(display:Off,pause:!f,section:0,value:0),time:(from:'2017-10-27T11:56:41-0600',mode:absolute,to:'2017-10-27T14:35:49-0600'))&amp;_a=(columns:!('Message%20ID',Summary),filters:!(),index:'emp_*',interval:auto,query:(query_string:(analyze_wildcard:!t,query:'%22rtdc.l.rtdc.4006%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761</v>
      </c>
      <c r="B88" s="7">
        <v>4005</v>
      </c>
      <c r="C88" s="21" t="s">
        <v>194</v>
      </c>
      <c r="D88" s="21" t="s">
        <v>938</v>
      </c>
      <c r="E88" s="13">
        <v>43035.575844907406</v>
      </c>
      <c r="F88" s="13">
        <v>43035.581423611111</v>
      </c>
      <c r="G88" s="7">
        <v>79</v>
      </c>
      <c r="H88" s="21" t="s">
        <v>899</v>
      </c>
      <c r="I88" s="13">
        <v>43035.607233796298</v>
      </c>
      <c r="J88" s="7">
        <v>0</v>
      </c>
      <c r="K88" s="89" t="str">
        <f>IF(ISEVEN(B88),(B88-1)&amp;"/"&amp;B88,B88&amp;"/"&amp;(B88+1))</f>
        <v>4005/4006</v>
      </c>
      <c r="L88" s="185" t="str">
        <f>VLOOKUP(A88,'Trips&amp;Operators'!$C$1:$G$99911,5,FALSE)</f>
        <v>GONZALEZ ARMANDO</v>
      </c>
      <c r="M88" s="6">
        <f>I88-F88</f>
        <v>2.5810185186855961E-2</v>
      </c>
      <c r="N88" s="7">
        <f>24*60*SUM($M88:$M88)</f>
        <v>37.166666669072583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-27T12:49:13-0600',mode:absolute,to:'2017-10-27T15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23.288499999999999</v>
      </c>
      <c r="Z88" s="204">
        <f>RIGHT(H88,LEN(H88)-4)/10000</f>
        <v>2.3199999999999998E-2</v>
      </c>
      <c r="AA88" s="204">
        <f>ABS(Z88-Y88)</f>
        <v>23.2653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/stypes="app*4005*20171027*"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28"/>
        <v>"%USERPROFILE%\Documents\GitHub\eaglep3\Utilities\RefineRTDCRunTimes.py" --tripid 176-27 --locoid 4005 --swversion DE.1.0.9.0 --startMP 204:232885 --initTime 2017-10-27T13:49:13 --startdatetime 2017-10-27T13:57:15 --delay 79 --endMP 204:232 --enddatetime 2017-10-27T14:34:25 --enforcementcount 0 &gt;&gt;%USERPROFILE%\Documents\GitHub\eaglep3-reporting\EC\2017-10-27-refined-times.txt</v>
      </c>
      <c r="AI88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{"issue":{"subject":"","project_id":79,"tracker_id":40,"status_id":1,"priority_id":2,"assigned_to_id":338,"start_date":"2017-10-27","description":"","custom_fields":[{"id":1,"name":"Subdivision","value":"EC"},{"id":4,"name":"Milepost","value":"0.0232"},{"id":17,"name":"Train ID","value":"176-27"},{"id":16,"name":"Locomotive ID","value":"4005"},{"id":130,"name":"Impact","value":""},{"id":150,"name":"Time of Event (Mountain Time)","value":"14:34:25"},{"id":151,"name":"Denver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30"/>
        <v>start /low /b %USERPROFILE%\Documents\GitHub\eaglep3\Utilities\DownloadLogsFromS3.py --loco 4005 --day 2017-10-27</v>
      </c>
      <c r="AN88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20:34:25"},{"id":29,"name":"Sharepoint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32"/>
        <v>https://d0f6bd738d7f1b3e5a7ca70fe4ff75f0.us-east-1.aws.found.io/app/kibana#/discover/Steve-Slow-Train-Analysis-(2080s-and-2083s)?_g=(refreshInterval:(display:Off,pause:!f,section:0,value:0),time:(from:'2017-10-27T12:49:13-0600',mode:absolute,to:'2017-10-27T15:34:25-0600'))&amp;_a=(columns:!('Message%20ID',Summary),filters:!(),index:'emp_*',interval:auto,query:(query_string:(analyze_wildcard:!t,query:'%22rtdc.l.rtdc.4005%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755</v>
      </c>
      <c r="B89" s="7">
        <v>4008</v>
      </c>
      <c r="C89" s="21" t="s">
        <v>194</v>
      </c>
      <c r="D89" s="21" t="s">
        <v>939</v>
      </c>
      <c r="E89" s="13">
        <v>43035.546886574077</v>
      </c>
      <c r="F89" s="13">
        <v>43035.552245370367</v>
      </c>
      <c r="G89" s="7">
        <v>77</v>
      </c>
      <c r="H89" s="21" t="s">
        <v>912</v>
      </c>
      <c r="I89" s="13">
        <v>43035.576550925929</v>
      </c>
      <c r="J89" s="7">
        <v>0</v>
      </c>
      <c r="K89" s="89" t="str">
        <f>IF(ISEVEN(B89),(B89-1)&amp;"/"&amp;B89,B89&amp;"/"&amp;(B89+1))</f>
        <v>4007/4008</v>
      </c>
      <c r="L89" s="185" t="str">
        <f>VLOOKUP(A89,'Trips&amp;Operators'!$C$1:$G$99911,5,FALSE)</f>
        <v>BRUDER RICHARD</v>
      </c>
      <c r="M89" s="6">
        <f>I89-F89</f>
        <v>2.4305555562023073E-2</v>
      </c>
      <c r="N89" s="7">
        <f>24*60*SUM($M89:$M89)</f>
        <v>35.000000009313226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-27T12:07:31-0600',mode:absolute,to:'2017-10-27T14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5.1700000000000003E-2</v>
      </c>
      <c r="Z89" s="204">
        <f>RIGHT(H89,LEN(H89)-4)/10000</f>
        <v>23.319700000000001</v>
      </c>
      <c r="AA89" s="204">
        <f>ABS(Z89-Y89)</f>
        <v>23.268000000000001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/stypes="app*4008*20171027*"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28"/>
        <v>"%USERPROFILE%\Documents\GitHub\eaglep3\Utilities\RefineRTDCRunTimes.py" --tripid 177-27 --locoid 4008 --swversion DE.1.0.9.0 --startMP 204:517 --initTime 2017-10-27T13:07:31 --startdatetime 2017-10-27T13:15:14 --delay 77 --endMP 204:233197 --enddatetime 2017-10-27T13:50:14 --enforcementcount 0 &gt;&gt;%USERPROFILE%\Documents\GitHub\eaglep3-reporting\EC\2017-10-27-refined-times.txt</v>
      </c>
      <c r="AI89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{"issue":{"subject":"","project_id":79,"tracker_id":40,"status_id":1,"priority_id":2,"assigned_to_id":338,"start_date":"2017-10-27","description":"","custom_fields":[{"id":1,"name":"Subdivision","value":"EC"},{"id":4,"name":"Milepost","value":"23.3197"},{"id":17,"name":"Train ID","value":"177-27"},{"id":16,"name":"Locomotive ID","value":"4008"},{"id":130,"name":"Impact","value":""},{"id":150,"name":"Time of Event (Mountain Time)","value":"13:50:14"},{"id":151,"name":"Denver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30"/>
        <v>start /low /b %USERPROFILE%\Documents\GitHub\eaglep3\Utilities\DownloadLogsFromS3.py --loco 4008 --day 2017-10-27</v>
      </c>
      <c r="AN89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19:50:14"},{"id":29,"name":"Sharepoint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32"/>
        <v>https://d0f6bd738d7f1b3e5a7ca70fe4ff75f0.us-east-1.aws.found.io/app/kibana#/discover/Steve-Slow-Train-Analysis-(2080s-and-2083s)?_g=(refreshInterval:(display:Off,pause:!f,section:0,value:0),time:(from:'2017-10-27T12:07:31-0600',mode:absolute,to:'2017-10-27T14:50:14-0600'))&amp;_a=(columns:!('Message%20ID',Summary),filters:!(),index:'emp_*',interval:auto,query:(query_string:(analyze_wildcard:!t,query:'%22rtdc.l.rtdc.4008%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763</v>
      </c>
      <c r="B90" s="7">
        <v>4007</v>
      </c>
      <c r="C90" s="21" t="s">
        <v>194</v>
      </c>
      <c r="D90" s="21" t="s">
        <v>596</v>
      </c>
      <c r="E90" s="13">
        <v>43035.588368055556</v>
      </c>
      <c r="F90" s="13">
        <v>43035.591863425929</v>
      </c>
      <c r="G90" s="7">
        <v>63</v>
      </c>
      <c r="H90" s="21" t="s">
        <v>899</v>
      </c>
      <c r="I90" s="13">
        <v>43035.61755787037</v>
      </c>
      <c r="J90" s="7">
        <v>0</v>
      </c>
      <c r="K90" s="89" t="str">
        <f>IF(ISEVEN(B90),(B90-1)&amp;"/"&amp;B90,B90&amp;"/"&amp;(B90+1))</f>
        <v>4007/4008</v>
      </c>
      <c r="L90" s="185" t="str">
        <f>VLOOKUP(A90,'Trips&amp;Operators'!$C$1:$G$99911,5,FALSE)</f>
        <v>BRUDER RICHARD</v>
      </c>
      <c r="M90" s="6">
        <f>I90-F90</f>
        <v>2.569444444088731E-2</v>
      </c>
      <c r="N90" s="7">
        <f>24*60*SUM($M90:$M90)</f>
        <v>36.999999994877726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-27T13:07:15-0600',mode:absolute,to:'2017-10-27T15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23.289200000000001</v>
      </c>
      <c r="Z90" s="204">
        <f>RIGHT(H90,LEN(H90)-4)/10000</f>
        <v>2.3199999999999998E-2</v>
      </c>
      <c r="AA90" s="204">
        <f>ABS(Z90-Y90)</f>
        <v>23.266000000000002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/stypes="app*4007*20171027*"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28"/>
        <v>"%USERPROFILE%\Documents\GitHub\eaglep3\Utilities\RefineRTDCRunTimes.py" --tripid 178-27 --locoid 4007 --swversion DE.1.0.9.0 --startMP 204:232892 --initTime 2017-10-27T14:07:15 --startdatetime 2017-10-27T14:12:17 --delay 63 --endMP 204:232 --enddatetime 2017-10-27T14:49:17 --enforcementcount 0 &gt;&gt;%USERPROFILE%\Documents\GitHub\eaglep3-reporting\EC\2017-10-27-refined-times.txt</v>
      </c>
      <c r="AI90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{"issue":{"subject":"","project_id":79,"tracker_id":40,"status_id":1,"priority_id":2,"assigned_to_id":338,"start_date":"2017-10-27","description":"","custom_fields":[{"id":1,"name":"Subdivision","value":"EC"},{"id":4,"name":"Milepost","value":"0.0232"},{"id":17,"name":"Train ID","value":"178-27"},{"id":16,"name":"Locomotive ID","value":"4007"},{"id":130,"name":"Impact","value":""},{"id":150,"name":"Time of Event (Mountain Time)","value":"14:49:17"},{"id":151,"name":"Denver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30"/>
        <v>start /low /b %USERPROFILE%\Documents\GitHub\eaglep3\Utilities\DownloadLogsFromS3.py --loco 4007 --day 2017-10-27</v>
      </c>
      <c r="AN90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20:49:17"},{"id":29,"name":"Sharepoint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32"/>
        <v>https://d0f6bd738d7f1b3e5a7ca70fe4ff75f0.us-east-1.aws.found.io/app/kibana#/discover/Steve-Slow-Train-Analysis-(2080s-and-2083s)?_g=(refreshInterval:(display:Off,pause:!f,section:0,value:0),time:(from:'2017-10-27T13:07:15-0600',mode:absolute,to:'2017-10-27T15:49:17-0600'))&amp;_a=(columns:!('Message%20ID',Summary),filters:!(),index:'emp_*',interval:auto,query:(query_string:(analyze_wildcard:!t,query:'%22rtdc.l.rtdc.4007%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757</v>
      </c>
      <c r="B91" s="7">
        <v>4052</v>
      </c>
      <c r="C91" s="21" t="s">
        <v>194</v>
      </c>
      <c r="D91" s="21" t="s">
        <v>921</v>
      </c>
      <c r="E91" s="13">
        <v>43035.55940972222</v>
      </c>
      <c r="F91" s="13">
        <v>43035.562754629631</v>
      </c>
      <c r="G91" s="7">
        <v>59</v>
      </c>
      <c r="H91" s="21" t="s">
        <v>940</v>
      </c>
      <c r="I91" s="13">
        <v>43035.588495370372</v>
      </c>
      <c r="J91" s="7">
        <v>0</v>
      </c>
      <c r="K91" s="89" t="str">
        <f>IF(ISEVEN(B91),(B91-1)&amp;"/"&amp;B91,B91&amp;"/"&amp;(B91+1))</f>
        <v>4051/4052</v>
      </c>
      <c r="L91" s="185" t="str">
        <f>VLOOKUP(A91,'Trips&amp;Operators'!$C$1:$G$99911,5,FALSE)</f>
        <v>LEVERE CRAIG</v>
      </c>
      <c r="M91" s="6">
        <f>I91-F91</f>
        <v>2.5740740740729962E-2</v>
      </c>
      <c r="N91" s="7">
        <f>24*60*SUM($M91:$M91)</f>
        <v>37.066666666651145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-27T12:25:33-0600',mode:absolute,to:'2017-10-27T15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5.5500000000000001E-2</v>
      </c>
      <c r="Z91" s="204">
        <f>RIGHT(H91,LEN(H91)-4)/10000</f>
        <v>23.321000000000002</v>
      </c>
      <c r="AA91" s="204">
        <f>ABS(Z91-Y91)</f>
        <v>23.265500000000003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/stypes="app*4052*20171027*"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28"/>
        <v>"%USERPROFILE%\Documents\GitHub\eaglep3\Utilities\RefineRTDCRunTimes.py" --tripid 179-27 --locoid 4052 --swversion DE.1.0.9.0 --startMP 204:555 --initTime 2017-10-27T13:25:33 --startdatetime 2017-10-27T13:30:22 --delay 59 --endMP 204:233210 --enddatetime 2017-10-27T14:07:26 --enforcementcount 0 &gt;&gt;%USERPROFILE%\Documents\GitHub\eaglep3-reporting\EC\2017-10-27-refined-times.txt</v>
      </c>
      <c r="AI91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{"issue":{"subject":"","project_id":79,"tracker_id":40,"status_id":1,"priority_id":2,"assigned_to_id":338,"start_date":"2017-10-27","description":"","custom_fields":[{"id":1,"name":"Subdivision","value":"EC"},{"id":4,"name":"Milepost","value":"23.321"},{"id":17,"name":"Train ID","value":"179-27"},{"id":16,"name":"Locomotive ID","value":"4052"},{"id":130,"name":"Impact","value":""},{"id":150,"name":"Time of Event (Mountain Time)","value":"14:07:26"},{"id":151,"name":"Denver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30"/>
        <v>start /low /b %USERPROFILE%\Documents\GitHub\eaglep3\Utilities\DownloadLogsFromS3.py --loco 4052 --day 2017-10-27</v>
      </c>
      <c r="AN91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20:07:26"},{"id":29,"name":"Sharepoint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32"/>
        <v>https://d0f6bd738d7f1b3e5a7ca70fe4ff75f0.us-east-1.aws.found.io/app/kibana#/discover/Steve-Slow-Train-Analysis-(2080s-and-2083s)?_g=(refreshInterval:(display:Off,pause:!f,section:0,value:0),time:(from:'2017-10-27T12:25:33-0600',mode:absolute,to:'2017-10-27T15:07:26-0600'))&amp;_a=(columns:!('Message%20ID',Summary),filters:!(),index:'emp_*',interval:auto,query:(query_string:(analyze_wildcard:!t,query:'%22rtdc.l.rtdc.4052%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766</v>
      </c>
      <c r="B92" s="7">
        <v>4051</v>
      </c>
      <c r="C92" s="21" t="s">
        <v>194</v>
      </c>
      <c r="D92" s="21" t="s">
        <v>931</v>
      </c>
      <c r="E92" s="13">
        <v>43035.596921296295</v>
      </c>
      <c r="F92" s="13">
        <v>43035.602407407408</v>
      </c>
      <c r="G92" s="7">
        <v>64</v>
      </c>
      <c r="H92" s="21" t="s">
        <v>941</v>
      </c>
      <c r="I92" s="13">
        <v>43035.629710648151</v>
      </c>
      <c r="J92" s="7">
        <v>0</v>
      </c>
      <c r="K92" s="89" t="str">
        <f>IF(ISEVEN(B92),(B92-1)&amp;"/"&amp;B92,B92&amp;"/"&amp;(B92+1))</f>
        <v>4051/4052</v>
      </c>
      <c r="L92" s="185" t="str">
        <f>VLOOKUP(A92,'Trips&amp;Operators'!$C$1:$G$99911,5,FALSE)</f>
        <v>LEVERE CRAIG</v>
      </c>
      <c r="M92" s="6">
        <f>I92-F92</f>
        <v>2.7303240742185153E-2</v>
      </c>
      <c r="N92" s="7">
        <f>24*60*SUM($M92:$M92)</f>
        <v>39.31666666874662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-27T13:19:34-0600',mode:absolute,to:'2017-10-27T16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23.288699999999999</v>
      </c>
      <c r="Z92" s="204">
        <f>RIGHT(H92,LEN(H92)-4)/10000</f>
        <v>2.63E-2</v>
      </c>
      <c r="AA92" s="204">
        <f>ABS(Z92-Y92)</f>
        <v>23.2624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s3://rtdc.mdm.uploadarchive.raw/RTDC4051/ "%USERPROFILE%\AppData\Local\Temp\OnboardLogs"\RTDC4051\2017-10-27 --exclude "*" --recursive --include "*20171027*" &amp; "%USERPROFILE%\Documents\GitHub\mrs-test-scripts\Headless Mode &amp; Sideloading\WalkAndUnGZ.bat" "%USERPROFILE%\AppData\Local\Temp\OnboardLogs"\RTDC4051\2017-10-27 &amp; aws s3 cp s3://rtdc.mdm.uploadarchive.raw/RTDC4051/ "%USERPROFILE%\AppData\Local\Temp\OnboardLogs"\RTDC4051\2017-10-28 --exclude "*" --recursive --include "*20171028*" &amp; "%USERPROFILE%\Documents\GitHub\mrs-test-scripts\Headless Mode &amp; Sideloading\WalkAndUnGZ.bat" "%USERPROFILE%\AppData\Local\Temp\OnboardLogs"\RTDC4051\2017-10-28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/stypes="app*4051*20171027*"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28"/>
        <v>"%USERPROFILE%\Documents\GitHub\eaglep3\Utilities\RefineRTDCRunTimes.py" --tripid 180-27 --locoid 4051 --swversion DE.1.0.9.0 --startMP 204:232887 --initTime 2017-10-27T14:19:34 --startdatetime 2017-10-27T14:27:28 --delay 64 --endMP 204:263 --enddatetime 2017-10-27T15:06:47 --enforcementcount 0 &gt;&gt;%USERPROFILE%\Documents\GitHub\eaglep3-reporting\EC\2017-10-27-refined-times.txt</v>
      </c>
      <c r="AI92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{"issue":{"subject":"","project_id":79,"tracker_id":40,"status_id":1,"priority_id":2,"assigned_to_id":338,"start_date":"2017-10-27","description":"","custom_fields":[{"id":1,"name":"Subdivision","value":"EC"},{"id":4,"name":"Milepost","value":"0.0263"},{"id":17,"name":"Train ID","value":"180-27"},{"id":16,"name":"Locomotive ID","value":"4051"},{"id":130,"name":"Impact","value":""},{"id":150,"name":"Time of Event (Mountain Time)","value":"15:06:47"},{"id":151,"name":"Denver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30"/>
        <v>start /low /b %USERPROFILE%\Documents\GitHub\eaglep3\Utilities\DownloadLogsFromS3.py --loco 4051 --day 2017-10-27</v>
      </c>
      <c r="AN92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32"/>
        <v>https://d0f6bd738d7f1b3e5a7ca70fe4ff75f0.us-east-1.aws.found.io/app/kibana#/discover/Steve-Slow-Train-Analysis-(2080s-and-2083s)?_g=(refreshInterval:(display:Off,pause:!f,section:0,value:0),time:(from:'2017-10-27T13:19:34-0600',mode:absolute,to:'2017-10-27T16:06:47-0600'))&amp;_a=(columns:!('Message%20ID',Summary),filters:!(),index:'emp_*',interval:auto,query:(query_string:(analyze_wildcard:!t,query:'%22rtdc.l.rtdc.4051%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759</v>
      </c>
      <c r="B93" s="7">
        <v>4018</v>
      </c>
      <c r="C93" s="21" t="s">
        <v>194</v>
      </c>
      <c r="D93" s="21" t="s">
        <v>359</v>
      </c>
      <c r="E93" s="13">
        <v>43035.567627314813</v>
      </c>
      <c r="F93" s="13">
        <v>43035.573171296295</v>
      </c>
      <c r="G93" s="7">
        <v>94</v>
      </c>
      <c r="H93" s="21" t="s">
        <v>574</v>
      </c>
      <c r="I93" s="13">
        <v>43035.59920138889</v>
      </c>
      <c r="J93" s="7">
        <v>0</v>
      </c>
      <c r="K93" s="89" t="str">
        <f>IF(ISEVEN(B93),(B93-1)&amp;"/"&amp;B93,B93&amp;"/"&amp;(B93+1))</f>
        <v>4017/4018</v>
      </c>
      <c r="L93" s="185" t="str">
        <f>VLOOKUP(A93,'Trips&amp;Operators'!$C$1:$G$99911,5,FALSE)</f>
        <v>STRICKLAND EVAN</v>
      </c>
      <c r="M93" s="6">
        <f>I93-F93</f>
        <v>2.6030092594737653E-2</v>
      </c>
      <c r="N93" s="7">
        <f>24*60*SUM($M93:$M93)</f>
        <v>37.48333333642222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-27T12:37:23-0600',mode:absolute,to:'2017-10-27T15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4.4699999999999997E-2</v>
      </c>
      <c r="Z93" s="204">
        <f>RIGHT(H93,LEN(H93)-4)/10000</f>
        <v>23.3186</v>
      </c>
      <c r="AA93" s="204">
        <f>ABS(Z93-Y93)</f>
        <v>23.273900000000001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/stypes="app*4018*20171027*"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28"/>
        <v>"%USERPROFILE%\Documents\GitHub\eaglep3\Utilities\RefineRTDCRunTimes.py" --tripid 181-27 --locoid 4018 --swversion DE.1.0.9.0 --startMP 204:447 --initTime 2017-10-27T13:37:23 --startdatetime 2017-10-27T13:45:22 --delay 94 --endMP 204:233186 --enddatetime 2017-10-27T14:22:51 --enforcementcount 0 &gt;&gt;%USERPROFILE%\Documents\GitHub\eaglep3-reporting\EC\2017-10-27-refined-times.txt</v>
      </c>
      <c r="AI93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{"issue":{"subject":"","project_id":79,"tracker_id":40,"status_id":1,"priority_id":2,"assigned_to_id":338,"start_date":"2017-10-27","description":"","custom_fields":[{"id":1,"name":"Subdivision","value":"EC"},{"id":4,"name":"Milepost","value":"23.3186"},{"id":17,"name":"Train ID","value":"181-27"},{"id":16,"name":"Locomotive ID","value":"4018"},{"id":130,"name":"Impact","value":""},{"id":150,"name":"Time of Event (Mountain Time)","value":"14:22:51"},{"id":151,"name":"Denver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30"/>
        <v>start /low /b %USERPROFILE%\Documents\GitHub\eaglep3\Utilities\DownloadLogsFromS3.py --loco 4018 --day 2017-10-27</v>
      </c>
      <c r="AN93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20:22:51"},{"id":29,"name":"Sharepoint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32"/>
        <v>https://d0f6bd738d7f1b3e5a7ca70fe4ff75f0.us-east-1.aws.found.io/app/kibana#/discover/Steve-Slow-Train-Analysis-(2080s-and-2083s)?_g=(refreshInterval:(display:Off,pause:!f,section:0,value:0),time:(from:'2017-10-27T12:37:23-0600',mode:absolute,to:'2017-10-27T15:22:51-0600'))&amp;_a=(columns:!('Message%20ID',Summary),filters:!(),index:'emp_*',interval:auto,query:(query_string:(analyze_wildcard:!t,query:'%22rtdc.l.rtdc.4018%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768</v>
      </c>
      <c r="B94" s="7">
        <v>4017</v>
      </c>
      <c r="C94" s="21" t="s">
        <v>194</v>
      </c>
      <c r="D94" s="21" t="s">
        <v>931</v>
      </c>
      <c r="E94" s="13">
        <v>43035.600682870368</v>
      </c>
      <c r="F94" s="13">
        <v>43035.623912037037</v>
      </c>
      <c r="G94" s="7">
        <v>85</v>
      </c>
      <c r="H94" s="21" t="s">
        <v>942</v>
      </c>
      <c r="I94" s="13">
        <v>43035.641516203701</v>
      </c>
      <c r="J94" s="7">
        <v>0</v>
      </c>
      <c r="K94" s="89" t="str">
        <f>IF(ISEVEN(B94),(B94-1)&amp;"/"&amp;B94,B94&amp;"/"&amp;(B94+1))</f>
        <v>4017/4018</v>
      </c>
      <c r="L94" s="185" t="str">
        <f>VLOOKUP(A94,'Trips&amp;Operators'!$C$1:$G$99911,5,FALSE)</f>
        <v>STRICKLAND EVAN</v>
      </c>
      <c r="M94" s="6">
        <f>I94-F94</f>
        <v>1.7604166663659271E-2</v>
      </c>
      <c r="N94" s="7"/>
      <c r="O94" s="7"/>
      <c r="P94" s="7"/>
      <c r="Q94" s="22"/>
      <c r="R94" s="174"/>
      <c r="S94" s="221"/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-27T13:24:59-0600',mode:absolute,to:'2017-10-27T16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204" t="str">
        <f>IF(AA94&lt;VLOOKUP(AG94,Variables!$AC$3:$AD$8,2,FALSE),"Y","N")</f>
        <v>Y</v>
      </c>
      <c r="X94" s="204">
        <f>VALUE(LEFT(AD94,4))-VALUE(LEFT(AD93,4))</f>
        <v>1</v>
      </c>
      <c r="Y94" s="204">
        <f>RIGHT(D94,LEN(D94)-4)/10000</f>
        <v>23.288699999999999</v>
      </c>
      <c r="Z94" s="204">
        <f>RIGHT(H94,LEN(H94)-4)/10000</f>
        <v>23.228400000000001</v>
      </c>
      <c r="AA94" s="204">
        <f>ABS(Z94-Y94)</f>
        <v>6.0299999999998022E-2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/stypes="app*4017*20171027*"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28"/>
        <v>"%USERPROFILE%\Documents\GitHub\eaglep3\Utilities\RefineRTDCRunTimes.py" --tripid 182-27 --locoid 4017 --swversion DE.1.0.9.0 --startMP 204:232887 --initTime 2017-10-27T14:24:59 --startdatetime 2017-10-27T14:58:26 --delay 85 --endMP 204:232284 --enddatetime 2017-10-27T15:23:47 --enforcementcount 0 &gt;&gt;%USERPROFILE%\Documents\GitHub\eaglep3-reporting\EC\2017-10-27-refined-times.txt</v>
      </c>
      <c r="AI94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{"issue":{"subject":"","project_id":79,"tracker_id":40,"status_id":1,"priority_id":2,"assigned_to_id":338,"start_date":"2017-10-27","description":"","custom_fields":[{"id":1,"name":"Subdivision","value":"EC"},{"id":4,"name":"Milepost","value":"23.2284"},{"id":17,"name":"Train ID","value":"182-27"},{"id":16,"name":"Locomotive ID","value":"4017"},{"id":130,"name":"Impact","value":""},{"id":150,"name":"Time of Event (Mountain Time)","value":"15:23:47"},{"id":151,"name":"Denver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30"/>
        <v>start /low /b %USERPROFILE%\Documents\GitHub\eaglep3\Utilities\DownloadLogsFromS3.py --loco 4017 --day 2017-10-27</v>
      </c>
      <c r="AN94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32"/>
        <v>https://d0f6bd738d7f1b3e5a7ca70fe4ff75f0.us-east-1.aws.found.io/app/kibana#/discover/Steve-Slow-Train-Analysis-(2080s-and-2083s)?_g=(refreshInterval:(display:Off,pause:!f,section:0,value:0),time:(from:'2017-10-27T13:24:59-0600',mode:absolute,to:'2017-10-27T16:23:47-0600'))&amp;_a=(columns:!('Message%20ID',Summary),filters:!(),index:'emp_*',interval:auto,query:(query_string:(analyze_wildcard:!t,query:'%22rtdc.l.rtdc.4017%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768</v>
      </c>
      <c r="B95" s="7">
        <v>4017</v>
      </c>
      <c r="C95" s="21" t="s">
        <v>194</v>
      </c>
      <c r="D95" s="21" t="s">
        <v>943</v>
      </c>
      <c r="E95" s="13">
        <v>43035.622881944444</v>
      </c>
      <c r="F95" s="13">
        <v>43035.623912037037</v>
      </c>
      <c r="G95" s="7">
        <v>39</v>
      </c>
      <c r="H95" s="21" t="s">
        <v>358</v>
      </c>
      <c r="I95" s="13">
        <v>43035.641516203701</v>
      </c>
      <c r="J95" s="7">
        <v>0</v>
      </c>
      <c r="K95" s="89" t="str">
        <f>IF(ISEVEN(B95),(B95-1)&amp;"/"&amp;B95,B95&amp;"/"&amp;(B95+1))</f>
        <v>4017/4018</v>
      </c>
      <c r="L95" s="185" t="str">
        <f>VLOOKUP(A95,'Trips&amp;Operators'!$C$1:$G$99911,5,FALSE)</f>
        <v>STRICKLAND EVAN</v>
      </c>
      <c r="M95" s="6">
        <f>I95-F95</f>
        <v>1.7604166663659271E-2</v>
      </c>
      <c r="N95" s="7"/>
      <c r="O95" s="7"/>
      <c r="P95" s="7">
        <f>24*60*SUM($M95:$M95)</f>
        <v>25.34999999566935</v>
      </c>
      <c r="Q95" s="22"/>
      <c r="R95" s="174" t="s">
        <v>1118</v>
      </c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-27T13:56:57-0600',mode:absolute,to:'2017-10-27T16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5" s="204" t="str">
        <f>IF(AA95&lt;VLOOKUP(AG95,Variables!$AC$3:$AD$8,2,FALSE),"Y","N")</f>
        <v>Y</v>
      </c>
      <c r="X95" s="204">
        <f>VALUE(LEFT(AD95,4))-VALUE(LEFT(AD94,4))</f>
        <v>0</v>
      </c>
      <c r="Y95" s="204">
        <f>RIGHT(D95,LEN(D95)-4)/10000</f>
        <v>12.7866</v>
      </c>
      <c r="Z95" s="204">
        <f>RIGHT(H95,LEN(H95)-4)/10000</f>
        <v>1.54E-2</v>
      </c>
      <c r="AA95" s="204">
        <f>ABS(Z95-Y95)</f>
        <v>12.7712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/stypes="app*4017*20171027*" /stext=" 21:.+((SYSTEM_STATE.+slice.+state.+changed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28"/>
        <v>"%USERPROFILE%\Documents\GitHub\eaglep3\Utilities\RefineRTDCRunTimes.py" --tripid 182-27 --locoid 4017 --swversion DE.1.0.9.0 --startMP 204:127866 --initTime 2017-10-27T14:56:57 --startdatetime 2017-10-27T14:58:26 --delay 39 --endMP 204:154 --enddatetime 2017-10-27T15:23:47 --enforcementcount 0 &gt;&gt;%USERPROFILE%\Documents\GitHub\eaglep3-reporting\EC\2017-10-27-refined-times.txt</v>
      </c>
      <c r="AI95" s="96" t="str">
        <f t="shared" si="29"/>
        <v>echo {"issue":{"subject":"Operator selected wrong track during init","project_id":79,"tracker_id":40,"status_id":1,"priority_id":2,"assigned_to_id":338,"start_date":"2017-10-27","description":"","custom_fields":[{"id":1,"name":"Subdivision","value":"EC"},{"id":4,"name":"Milepost","value":"0.0154"},{"id":17,"name":"Train ID","value":"182-27"},{"id":16,"name":"Locomotive ID","value":"4017"},{"id":130,"name":"Impact","value":""},{"id":150,"name":"Time of Event (Mountain Time)","value":"15:23:47"},{"id":151,"name":"Denver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30"/>
        <v>start /low /b %USERPROFILE%\Documents\GitHub\eaglep3\Utilities\DownloadLogsFromS3.py --loco 4017 --day 2017-10-27</v>
      </c>
      <c r="AN95" s="151" t="str">
        <f t="shared" si="31"/>
        <v>echo {"issue":{"subject":"Operator selected wrong track during init","project_id":30,"tracker_id":4,"status_id":1,"priority_id":1,"assigned_to_id":10,"start_date":"2017-10-27","description":"","custom_fields":[{"id":30,"name":"Category","value":"Issue"},{"id":3,"name":"Functional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32"/>
        <v>https://d0f6bd738d7f1b3e5a7ca70fe4ff75f0.us-east-1.aws.found.io/app/kibana#/discover/Steve-Slow-Train-Analysis-(2080s-and-2083s)?_g=(refreshInterval:(display:Off,pause:!f,section:0,value:0),time:(from:'2017-10-27T13:56:57-0600',mode:absolute,to:'2017-10-27T16:23:47-0600'))&amp;_a=(columns:!('Message%20ID',Summary),filters:!(),index:'emp_*',interval:auto,query:(query_string:(analyze_wildcard:!t,query:'%22rtdc.l.rtdc.4017%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762</v>
      </c>
      <c r="B96" s="7">
        <v>4014</v>
      </c>
      <c r="C96" s="21" t="s">
        <v>194</v>
      </c>
      <c r="D96" s="21" t="s">
        <v>536</v>
      </c>
      <c r="E96" s="13">
        <v>43035.580706018518</v>
      </c>
      <c r="F96" s="13">
        <v>43035.583506944444</v>
      </c>
      <c r="G96" s="7">
        <v>47</v>
      </c>
      <c r="H96" s="21" t="s">
        <v>944</v>
      </c>
      <c r="I96" s="13">
        <v>43035.608020833337</v>
      </c>
      <c r="J96" s="7">
        <v>0</v>
      </c>
      <c r="K96" s="89" t="str">
        <f>IF(ISEVEN(B96),(B96-1)&amp;"/"&amp;B96,B96&amp;"/"&amp;(B96+1))</f>
        <v>4013/4014</v>
      </c>
      <c r="L96" s="185" t="str">
        <f>VLOOKUP(A96,'Trips&amp;Operators'!$C$1:$G$99911,5,FALSE)</f>
        <v>LEVIN SCOTT</v>
      </c>
      <c r="M96" s="6">
        <f>I96-F96</f>
        <v>2.4513888893125113E-2</v>
      </c>
      <c r="N96" s="7">
        <f>24*60*SUM($M96:$M96)</f>
        <v>35.300000006100163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-27T12:56:13-0600',mode:absolute,to:'2017-10-27T15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5.6000000000000001E-2</v>
      </c>
      <c r="Z96" s="204">
        <f>RIGHT(H96,LEN(H96)-4)/10000</f>
        <v>23.3293</v>
      </c>
      <c r="AA96" s="204">
        <f>ABS(Z96-Y96)</f>
        <v>23.273299999999999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s3://rtdc.mdm.uploadarchive.raw/RTDC4014/ "%USERPROFILE%\AppData\Local\Temp\OnboardLogs"\RTDC4014\2017-10-27 --exclude "*" --recursive --include "*20171027*" &amp; "%USERPROFILE%\Documents\GitHub\mrs-test-scripts\Headless Mode &amp; Sideloading\WalkAndUnGZ.bat" "%USERPROFILE%\AppData\Local\Temp\OnboardLogs"\RTDC4014\2017-10-27 &amp; aws s3 cp s3://rtdc.mdm.uploadarchive.raw/RTDC4014/ "%USERPROFILE%\AppData\Local\Temp\OnboardLogs"\RTDC4014\2017-10-28 --exclude "*" --recursive --include "*20171028*" &amp; "%USERPROFILE%\Documents\GitHub\mrs-test-scripts\Headless Mode &amp; Sideloading\WalkAndUnGZ.bat" "%USERPROFILE%\AppData\Local\Temp\OnboardLogs"\RTDC4014\2017-10-28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/stypes="app*4014*20171027*" /stext=" 20:.+((SYSTEM_STATE.+slice.+state.+changed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28"/>
        <v>"%USERPROFILE%\Documents\GitHub\eaglep3\Utilities\RefineRTDCRunTimes.py" --tripid 183-27 --locoid 4014 --swversion DE.1.0.9.0 --startMP 204:560 --initTime 2017-10-27T13:56:13 --startdatetime 2017-10-27T14:00:15 --delay 47 --endMP 204:233293 --enddatetime 2017-10-27T14:35:33 --enforcementcount 0 &gt;&gt;%USERPROFILE%\Documents\GitHub\eaglep3-reporting\EC\2017-10-27-refined-times.txt</v>
      </c>
      <c r="AI96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{"issue":{"subject":"","project_id":79,"tracker_id":40,"status_id":1,"priority_id":2,"assigned_to_id":338,"start_date":"2017-10-27","description":"","custom_fields":[{"id":1,"name":"Subdivision","value":"EC"},{"id":4,"name":"Milepost","value":"23.3293"},{"id":17,"name":"Train ID","value":"183-27"},{"id":16,"name":"Locomotive ID","value":"4014"},{"id":130,"name":"Impact","value":""},{"id":150,"name":"Time of Event (Mountain Time)","value":"14:35:33"},{"id":151,"name":"Denver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30"/>
        <v>start /low /b %USERPROFILE%\Documents\GitHub\eaglep3\Utilities\DownloadLogsFromS3.py --loco 4014 --day 2017-10-27</v>
      </c>
      <c r="AN96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20:35:33"},{"id":29,"name":"Sharepoint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32"/>
        <v>https://d0f6bd738d7f1b3e5a7ca70fe4ff75f0.us-east-1.aws.found.io/app/kibana#/discover/Steve-Slow-Train-Analysis-(2080s-and-2083s)?_g=(refreshInterval:(display:Off,pause:!f,section:0,value:0),time:(from:'2017-10-27T12:56:13-0600',mode:absolute,to:'2017-10-27T15:35:33-0600'))&amp;_a=(columns:!('Message%20ID',Summary),filters:!(),index:'emp_*',interval:auto,query:(query_string:(analyze_wildcard:!t,query:'%22rtdc.l.rtdc.4014%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771</v>
      </c>
      <c r="B97" s="7">
        <v>4013</v>
      </c>
      <c r="C97" s="21" t="s">
        <v>194</v>
      </c>
      <c r="D97" s="21" t="s">
        <v>500</v>
      </c>
      <c r="E97" s="13">
        <v>43035.615324074075</v>
      </c>
      <c r="F97" s="13">
        <v>43035.623090277775</v>
      </c>
      <c r="G97" s="7">
        <v>62</v>
      </c>
      <c r="H97" s="21" t="s">
        <v>945</v>
      </c>
      <c r="I97" s="13">
        <v>43035.649305555555</v>
      </c>
      <c r="J97" s="7">
        <v>0</v>
      </c>
      <c r="K97" s="89" t="str">
        <f>IF(ISEVEN(B97),(B97-1)&amp;"/"&amp;B97,B97&amp;"/"&amp;(B97+1))</f>
        <v>4013/4014</v>
      </c>
      <c r="L97" s="185" t="str">
        <f>VLOOKUP(A97,'Trips&amp;Operators'!$C$1:$G$99911,5,FALSE)</f>
        <v>LEVIN SCOTT</v>
      </c>
      <c r="M97" s="6">
        <f>I97-F97</f>
        <v>2.6215277779556345E-2</v>
      </c>
      <c r="N97" s="7">
        <f>24*60*SUM($M97:$M97)</f>
        <v>37.750000002561137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-27T13:46:04-0600',mode:absolute,to:'2017-10-27T16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23.297599999999999</v>
      </c>
      <c r="Z97" s="204">
        <f>RIGHT(H97,LEN(H97)-4)/10000</f>
        <v>2.58E-2</v>
      </c>
      <c r="AA97" s="204">
        <f>ABS(Z97-Y97)</f>
        <v>23.271799999999999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/stypes="app*4013*20171027*"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28"/>
        <v>"%USERPROFILE%\Documents\GitHub\eaglep3\Utilities\RefineRTDCRunTimes.py" --tripid 184-27 --locoid 4013 --swversion DE.1.0.9.0 --startMP 204:232976 --initTime 2017-10-27T14:46:04 --startdatetime 2017-10-27T14:57:15 --delay 62 --endMP 204:258 --enddatetime 2017-10-27T15:35:00 --enforcementcount 0 &gt;&gt;%USERPROFILE%\Documents\GitHub\eaglep3-reporting\EC\2017-10-27-refined-times.txt</v>
      </c>
      <c r="AI97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{"issue":{"subject":"","project_id":79,"tracker_id":40,"status_id":1,"priority_id":2,"assigned_to_id":338,"start_date":"2017-10-27","description":"","custom_fields":[{"id":1,"name":"Subdivision","value":"EC"},{"id":4,"name":"Milepost","value":"0.0258"},{"id":17,"name":"Train ID","value":"184-27"},{"id":16,"name":"Locomotive ID","value":"4013"},{"id":130,"name":"Impact","value":""},{"id":150,"name":"Time of Event (Mountain Time)","value":"15:35:00"},{"id":151,"name":"Denver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30"/>
        <v>start /low /b %USERPROFILE%\Documents\GitHub\eaglep3\Utilities\DownloadLogsFromS3.py --loco 4013 --day 2017-10-27</v>
      </c>
      <c r="AN97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32"/>
        <v>https://d0f6bd738d7f1b3e5a7ca70fe4ff75f0.us-east-1.aws.found.io/app/kibana#/discover/Steve-Slow-Train-Analysis-(2080s-and-2083s)?_g=(refreshInterval:(display:Off,pause:!f,section:0,value:0),time:(from:'2017-10-27T13:46:04-0600',mode:absolute,to:'2017-10-27T16:35:00-0600'))&amp;_a=(columns:!('Message%20ID',Summary),filters:!(),index:'emp_*',interval:auto,query:(query_string:(analyze_wildcard:!t,query:'%22rtdc.l.rtdc.4013%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765</v>
      </c>
      <c r="B98" s="7">
        <v>4036</v>
      </c>
      <c r="C98" s="21" t="s">
        <v>194</v>
      </c>
      <c r="D98" s="21" t="s">
        <v>610</v>
      </c>
      <c r="E98" s="13">
        <v>43035.590914351851</v>
      </c>
      <c r="F98" s="13">
        <v>43035.593958333331</v>
      </c>
      <c r="G98" s="7">
        <v>78</v>
      </c>
      <c r="H98" s="21" t="s">
        <v>601</v>
      </c>
      <c r="I98" s="13">
        <v>43035.619872685187</v>
      </c>
      <c r="J98" s="7">
        <v>0</v>
      </c>
      <c r="K98" s="89" t="str">
        <f>IF(ISEVEN(B98),(B98-1)&amp;"/"&amp;B98,B98&amp;"/"&amp;(B98+1))</f>
        <v>4035/4036</v>
      </c>
      <c r="L98" s="185" t="str">
        <f>VLOOKUP(A98,'Trips&amp;Operators'!$C$1:$G$99911,5,FALSE)</f>
        <v>BADERTSCHER DIANE</v>
      </c>
      <c r="M98" s="6">
        <f>I98-F98</f>
        <v>2.5914351856044959E-2</v>
      </c>
      <c r="N98" s="7">
        <f>24*60*SUM($M98:$M98)</f>
        <v>37.316666672704741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-27T13:10:55-0600',mode:absolute,to:'2017-10-27T15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5.6800000000000003E-2</v>
      </c>
      <c r="Z98" s="204">
        <f>RIGHT(H98,LEN(H98)-4)/10000</f>
        <v>23.323</v>
      </c>
      <c r="AA98" s="204">
        <f>ABS(Z98-Y98)</f>
        <v>23.266200000000001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/stypes="app*4036*20171027*" /stext=" 20:.+((SYSTEM_STATE.+slice.+state.+changed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28"/>
        <v>"%USERPROFILE%\Documents\GitHub\eaglep3\Utilities\RefineRTDCRunTimes.py" --tripid 185-27 --locoid 4036 --swversion DE.1.0.9.0 --startMP 204:568 --initTime 2017-10-27T14:10:55 --startdatetime 2017-10-27T14:15:18 --delay 78 --endMP 204:233230 --enddatetime 2017-10-27T14:52:37 --enforcementcount 0 &gt;&gt;%USERPROFILE%\Documents\GitHub\eaglep3-reporting\EC\2017-10-27-refined-times.txt</v>
      </c>
      <c r="AI98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{"issue":{"subject":"","project_id":79,"tracker_id":40,"status_id":1,"priority_id":2,"assigned_to_id":338,"start_date":"2017-10-27","description":"","custom_fields":[{"id":1,"name":"Subdivision","value":"EC"},{"id":4,"name":"Milepost","value":"23.323"},{"id":17,"name":"Train ID","value":"185-27"},{"id":16,"name":"Locomotive ID","value":"4036"},{"id":130,"name":"Impact","value":""},{"id":150,"name":"Time of Event (Mountain Time)","value":"14:52:37"},{"id":151,"name":"Denver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30"/>
        <v>start /low /b %USERPROFILE%\Documents\GitHub\eaglep3\Utilities\DownloadLogsFromS3.py --loco 4036 --day 2017-10-27</v>
      </c>
      <c r="AN98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20:52:37"},{"id":29,"name":"Sharepoint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32"/>
        <v>https://d0f6bd738d7f1b3e5a7ca70fe4ff75f0.us-east-1.aws.found.io/app/kibana#/discover/Steve-Slow-Train-Analysis-(2080s-and-2083s)?_g=(refreshInterval:(display:Off,pause:!f,section:0,value:0),time:(from:'2017-10-27T13:10:55-0600',mode:absolute,to:'2017-10-27T15:52:37-0600'))&amp;_a=(columns:!('Message%20ID',Summary),filters:!(),index:'emp_*',interval:auto,query:(query_string:(analyze_wildcard:!t,query:'%22rtdc.l.rtdc.4036%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774</v>
      </c>
      <c r="B99" s="7">
        <v>4035</v>
      </c>
      <c r="C99" s="21" t="s">
        <v>194</v>
      </c>
      <c r="D99" s="21" t="s">
        <v>946</v>
      </c>
      <c r="E99" s="13">
        <v>43035.631493055553</v>
      </c>
      <c r="F99" s="13">
        <v>43035.633888888886</v>
      </c>
      <c r="G99" s="7">
        <v>53</v>
      </c>
      <c r="H99" s="21" t="s">
        <v>899</v>
      </c>
      <c r="I99" s="13">
        <v>43035.660601851851</v>
      </c>
      <c r="J99" s="7">
        <v>0</v>
      </c>
      <c r="K99" s="89" t="str">
        <f>IF(ISEVEN(B99),(B99-1)&amp;"/"&amp;B99,B99&amp;"/"&amp;(B99+1))</f>
        <v>4035/4036</v>
      </c>
      <c r="L99" s="185" t="str">
        <f>VLOOKUP(A99,'Trips&amp;Operators'!$C$1:$G$99911,5,FALSE)</f>
        <v>BADERTSCHER DIANE</v>
      </c>
      <c r="M99" s="6">
        <f>I99-F99</f>
        <v>2.6712962964666076E-2</v>
      </c>
      <c r="N99" s="7">
        <f>24*60*SUM($M99:$M99)</f>
        <v>38.466666669119149</v>
      </c>
      <c r="O99" s="7"/>
      <c r="P99" s="7"/>
      <c r="Q99" s="22"/>
      <c r="R99" s="174" t="s">
        <v>1123</v>
      </c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-27T14:09:21-0600',mode:absolute,to:'2017-10-27T16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23.292999999999999</v>
      </c>
      <c r="Z99" s="204">
        <f>RIGHT(H99,LEN(H99)-4)/10000</f>
        <v>2.3199999999999998E-2</v>
      </c>
      <c r="AA99" s="204">
        <f>ABS(Z99-Y99)</f>
        <v>23.2698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/stypes="app*4035*20171027*"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28"/>
        <v>"%USERPROFILE%\Documents\GitHub\eaglep3\Utilities\RefineRTDCRunTimes.py" --tripid 186-27 --locoid 4035 --swversion DE.1.0.9.0 --startMP 204:232930 --initTime 2017-10-27T15:09:21 --startdatetime 2017-10-27T15:12:48 --delay 53 --endMP 204:232 --enddatetime 2017-10-27T15:51:16 --enforcementcount 0 &gt;&gt;%USERPROFILE%\Documents\GitHub\eaglep3-reporting\EC\2017-10-27-refined-times.txt</v>
      </c>
      <c r="AI99" s="96" t="str">
        <f t="shared" si="29"/>
        <v>echo {"issue":{"subject":"Unhealthy xing banner at Chambers due to 40th station stop","project_id":79,"tracker_id":40,"status_id":1,"priority_id":2,"assigned_to_id":338,"start_date":"2017-10-27","description":"","custom_fields":[{"id":1,"name":"Subdivision","value":"EC"},{"id":4,"name":"Milepost","value":"0.0232"},{"id":17,"name":"Train ID","value":"186-27"},{"id":16,"name":"Locomotive ID","value":"4035"},{"id":130,"name":"Impact","value":""},{"id":150,"name":"Time of Event (Mountain Time)","value":"15:51:16"},{"id":151,"name":"Denver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30"/>
        <v>start /low /b %USERPROFILE%\Documents\GitHub\eaglep3\Utilities\DownloadLogsFromS3.py --loco 4035 --day 2017-10-27</v>
      </c>
      <c r="AN99" s="151" t="str">
        <f t="shared" si="31"/>
        <v>echo {"issue":{"subject":"Unhealthy xing banner at Chambers due to 40th station stop","project_id":30,"tracker_id":4,"status_id":1,"priority_id":1,"assigned_to_id":10,"start_date":"2017-10-27","description":"","custom_fields":[{"id":30,"name":"Category","value":"Issue"},{"id":3,"name":"Functional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32"/>
        <v>https://d0f6bd738d7f1b3e5a7ca70fe4ff75f0.us-east-1.aws.found.io/app/kibana#/discover/Steve-Slow-Train-Analysis-(2080s-and-2083s)?_g=(refreshInterval:(display:Off,pause:!f,section:0,value:0),time:(from:'2017-10-27T14:09:21-0600',mode:absolute,to:'2017-10-27T16:51:16-0600'))&amp;_a=(columns:!('Message%20ID',Summary),filters:!(),index:'emp_*',interval:auto,query:(query_string:(analyze_wildcard:!t,query:'%22rtdc.l.rtdc.4035%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767</v>
      </c>
      <c r="B100" s="7">
        <v>4056</v>
      </c>
      <c r="C100" s="21" t="s">
        <v>194</v>
      </c>
      <c r="D100" s="21" t="s">
        <v>584</v>
      </c>
      <c r="E100" s="13">
        <v>43035.599756944444</v>
      </c>
      <c r="F100" s="13">
        <v>43035.604583333334</v>
      </c>
      <c r="G100" s="7">
        <v>68</v>
      </c>
      <c r="H100" s="21" t="s">
        <v>947</v>
      </c>
      <c r="I100" s="13">
        <v>43035.628587962965</v>
      </c>
      <c r="J100" s="7">
        <v>0</v>
      </c>
      <c r="K100" s="89" t="str">
        <f>IF(ISEVEN(B100),(B100-1)&amp;"/"&amp;B100,B100&amp;"/"&amp;(B100+1))</f>
        <v>4055/4056</v>
      </c>
      <c r="L100" s="185" t="str">
        <f>VLOOKUP(A100,'Trips&amp;Operators'!$C$1:$G$99911,5,FALSE)</f>
        <v>HOLCOMB KAMDEN</v>
      </c>
      <c r="M100" s="6">
        <f>I100-F100</f>
        <v>2.400462963123573E-2</v>
      </c>
      <c r="N100" s="7">
        <f>24*60*SUM($M100:$M100)</f>
        <v>34.566666668979451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-27T13:23:39-0600',mode:absolute,to:'2017-10-27T16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5.3900000000000003E-2</v>
      </c>
      <c r="Z100" s="204">
        <f>RIGHT(H100,LEN(H100)-4)/10000</f>
        <v>23.322900000000001</v>
      </c>
      <c r="AA100" s="204">
        <f>ABS(Z100-Y100)</f>
        <v>23.269000000000002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s3://rtdc.mdm.uploadarchive.raw/RTDC4056/ "%USERPROFILE%\AppData\Local\Temp\OnboardLogs"\RTDC4056\2017-10-27 --exclude "*" --recursive --include "*20171027*" &amp; "%USERPROFILE%\Documents\GitHub\mrs-test-scripts\Headless Mode &amp; Sideloading\WalkAndUnGZ.bat" "%USERPROFILE%\AppData\Local\Temp\OnboardLogs"\RTDC4056\2017-10-27 &amp; 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/stypes="app*4056*20171027*" /stext=" 21:.+((SYSTEM_STATE.+slice.+state.+changed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28"/>
        <v>"%USERPROFILE%\Documents\GitHub\eaglep3\Utilities\RefineRTDCRunTimes.py" --tripid 187-27 --locoid 4056 --swversion DE.1.0.9.0 --startMP 204:539 --initTime 2017-10-27T14:23:39 --startdatetime 2017-10-27T14:30:36 --delay 68 --endMP 204:233229 --enddatetime 2017-10-27T15:05:10 --enforcementcount 0 &gt;&gt;%USERPROFILE%\Documents\GitHub\eaglep3-reporting\EC\2017-10-27-refined-times.txt</v>
      </c>
      <c r="AI100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{"issue":{"subject":"","project_id":79,"tracker_id":40,"status_id":1,"priority_id":2,"assigned_to_id":338,"start_date":"2017-10-27","description":"","custom_fields":[{"id":1,"name":"Subdivision","value":"EC"},{"id":4,"name":"Milepost","value":"23.3229"},{"id":17,"name":"Train ID","value":"187-27"},{"id":16,"name":"Locomotive ID","value":"4056"},{"id":130,"name":"Impact","value":""},{"id":150,"name":"Time of Event (Mountain Time)","value":"15:05:10"},{"id":151,"name":"Denver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30"/>
        <v>start /low /b %USERPROFILE%\Documents\GitHub\eaglep3\Utilities\DownloadLogsFromS3.py --loco 4056 --day 2017-10-27</v>
      </c>
      <c r="AN100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32"/>
        <v>https://d0f6bd738d7f1b3e5a7ca70fe4ff75f0.us-east-1.aws.found.io/app/kibana#/discover/Steve-Slow-Train-Analysis-(2080s-and-2083s)?_g=(refreshInterval:(display:Off,pause:!f,section:0,value:0),time:(from:'2017-10-27T13:23:39-0600',mode:absolute,to:'2017-10-27T16:05:10-0600'))&amp;_a=(columns:!('Message%20ID',Summary),filters:!(),index:'emp_*',interval:auto,query:(query_string:(analyze_wildcard:!t,query:'%22rtdc.l.rtdc.4056%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778</v>
      </c>
      <c r="B101" s="7">
        <v>4055</v>
      </c>
      <c r="C101" s="21" t="s">
        <v>194</v>
      </c>
      <c r="D101" s="21" t="s">
        <v>948</v>
      </c>
      <c r="E101" s="13">
        <v>43035.637233796297</v>
      </c>
      <c r="F101" s="13">
        <v>43035.644062500003</v>
      </c>
      <c r="G101" s="7">
        <v>52</v>
      </c>
      <c r="H101" s="21" t="s">
        <v>606</v>
      </c>
      <c r="I101" s="13">
        <v>43035.669930555552</v>
      </c>
      <c r="J101" s="7">
        <v>0</v>
      </c>
      <c r="K101" s="89" t="str">
        <f>IF(ISEVEN(B101),(B101-1)&amp;"/"&amp;B101,B101&amp;"/"&amp;(B101+1))</f>
        <v>4055/4056</v>
      </c>
      <c r="L101" s="185" t="str">
        <f>VLOOKUP(A101,'Trips&amp;Operators'!$C$1:$G$99911,5,FALSE)</f>
        <v>HOLCOMB KAMDEN</v>
      </c>
      <c r="M101" s="6">
        <f>I101-F101</f>
        <v>2.586805554892635E-2</v>
      </c>
      <c r="N101" s="7">
        <f>24*60*SUM($M101:$M101)</f>
        <v>37.249999990453944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-27T14:17:37-0600',mode:absolute,to:'2017-10-27T17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23.2911</v>
      </c>
      <c r="Z101" s="204">
        <f>RIGHT(H101,LEN(H101)-4)/10000</f>
        <v>2.5399999999999999E-2</v>
      </c>
      <c r="AA101" s="204">
        <f>ABS(Z101-Y101)</f>
        <v>23.265699999999999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s3://rtdc.mdm.uploadarchive.raw/RTDC4055/ "%USERPROFILE%\AppData\Local\Temp\OnboardLogs"\RTDC4055\2017-10-27 --exclude "*" --recursive --include "*20171027*" &amp; "%USERPROFILE%\Documents\GitHub\mrs-test-scripts\Headless Mode &amp; Sideloading\WalkAndUnGZ.bat" "%USERPROFILE%\AppData\Local\Temp\OnboardLogs"\RTDC4055\2017-10-27 &amp; aws s3 cp s3://rtdc.mdm.uploadarchive.raw/RTDC4055/ "%USERPROFILE%\AppData\Local\Temp\OnboardLogs"\RTDC4055\2017-10-28 --exclude "*" --recursive --include "*20171028*" &amp; "%USERPROFILE%\Documents\GitHub\mrs-test-scripts\Headless Mode &amp; Sideloading\WalkAndUnGZ.bat" "%USERPROFILE%\AppData\Local\Temp\OnboardLogs"\RTDC4055\2017-10-28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/stypes="app*4055*20171027*"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28"/>
        <v>"%USERPROFILE%\Documents\GitHub\eaglep3\Utilities\RefineRTDCRunTimes.py" --tripid 188-27 --locoid 4055 --swversion DE.1.0.9.0 --startMP 204:232911 --initTime 2017-10-27T15:17:37 --startdatetime 2017-10-27T15:27:27 --delay 52 --endMP 204:254 --enddatetime 2017-10-27T16:04:42 --enforcementcount 0 &gt;&gt;%USERPROFILE%\Documents\GitHub\eaglep3-reporting\EC\2017-10-27-refined-times.txt</v>
      </c>
      <c r="AI101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{"issue":{"subject":"","project_id":79,"tracker_id":40,"status_id":1,"priority_id":2,"assigned_to_id":338,"start_date":"2017-10-27","description":"","custom_fields":[{"id":1,"name":"Subdivision","value":"EC"},{"id":4,"name":"Milepost","value":"0.0254"},{"id":17,"name":"Train ID","value":"188-27"},{"id":16,"name":"Locomotive ID","value":"4055"},{"id":130,"name":"Impact","value":""},{"id":150,"name":"Time of Event (Mountain Time)","value":"16:04:42"},{"id":151,"name":"Denver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30"/>
        <v>start /low /b %USERPROFILE%\Documents\GitHub\eaglep3\Utilities\DownloadLogsFromS3.py --loco 4055 --day 2017-10-27</v>
      </c>
      <c r="AN101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32"/>
        <v>https://d0f6bd738d7f1b3e5a7ca70fe4ff75f0.us-east-1.aws.found.io/app/kibana#/discover/Steve-Slow-Train-Analysis-(2080s-and-2083s)?_g=(refreshInterval:(display:Off,pause:!f,section:0,value:0),time:(from:'2017-10-27T14:17:37-0600',mode:absolute,to:'2017-10-27T17:04:42-0600'))&amp;_a=(columns:!('Message%20ID',Summary),filters:!(),index:'emp_*',interval:auto,query:(query_string:(analyze_wildcard:!t,query:'%22rtdc.l.rtdc.4055%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32" t="s">
        <v>770</v>
      </c>
      <c r="B102" s="7">
        <v>4006</v>
      </c>
      <c r="C102" s="21" t="s">
        <v>194</v>
      </c>
      <c r="D102" s="21" t="s">
        <v>949</v>
      </c>
      <c r="E102" s="13">
        <v>43035.609432870369</v>
      </c>
      <c r="F102" s="13">
        <v>43035.61482638889</v>
      </c>
      <c r="G102" s="7">
        <v>108</v>
      </c>
      <c r="H102" s="21" t="s">
        <v>950</v>
      </c>
      <c r="I102" s="13">
        <v>43035.640069444446</v>
      </c>
      <c r="J102" s="7">
        <v>0</v>
      </c>
      <c r="K102" s="89" t="str">
        <f>IF(ISEVEN(B102),(B102-1)&amp;"/"&amp;B102,B102&amp;"/"&amp;(B102+1))</f>
        <v>4005/4006</v>
      </c>
      <c r="L102" s="185" t="str">
        <f>VLOOKUP(A102,'Trips&amp;Operators'!$C$1:$G$99911,5,FALSE)</f>
        <v>SAFIEF AEIMEN</v>
      </c>
      <c r="M102" s="6">
        <f>I102-F102</f>
        <v>2.5243055555620231E-2</v>
      </c>
      <c r="N102" s="7">
        <f>24*60*SUM($M102:$M102)</f>
        <v>36.350000000093132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-27T13:37:35-0600',mode:absolute,to:'2017-10-27T16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5.0200000000000002E-2</v>
      </c>
      <c r="Z102" s="204">
        <f>RIGHT(H102,LEN(H102)-4)/10000</f>
        <v>23.323599999999999</v>
      </c>
      <c r="AA102" s="204">
        <f>ABS(Z102-Y102)</f>
        <v>23.273399999999999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/stypes="app*4006*20171027*" /stext=" 21:.+((SYSTEM_STATE.+slice.+state.+changed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28"/>
        <v>"%USERPROFILE%\Documents\GitHub\eaglep3\Utilities\RefineRTDCRunTimes.py" --tripid 189-27 --locoid 4006 --swversion DE.1.0.9.0 --startMP 204:502 --initTime 2017-10-27T14:37:35 --startdatetime 2017-10-27T14:45:21 --delay 108 --endMP 204:233236 --enddatetime 2017-10-27T15:21:42 --enforcementcount 0 &gt;&gt;%USERPROFILE%\Documents\GitHub\eaglep3-reporting\EC\2017-10-27-refined-times.txt</v>
      </c>
      <c r="AI102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{"issue":{"subject":"","project_id":79,"tracker_id":40,"status_id":1,"priority_id":2,"assigned_to_id":338,"start_date":"2017-10-27","description":"","custom_fields":[{"id":1,"name":"Subdivision","value":"EC"},{"id":4,"name":"Milepost","value":"23.3236"},{"id":17,"name":"Train ID","value":"189-27"},{"id":16,"name":"Locomotive ID","value":"4006"},{"id":130,"name":"Impact","value":""},{"id":150,"name":"Time of Event (Mountain Time)","value":"15:21:42"},{"id":151,"name":"Denver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30"/>
        <v>start /low /b %USERPROFILE%\Documents\GitHub\eaglep3\Utilities\DownloadLogsFromS3.py --loco 4006 --day 2017-10-27</v>
      </c>
      <c r="AN102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32"/>
        <v>https://d0f6bd738d7f1b3e5a7ca70fe4ff75f0.us-east-1.aws.found.io/app/kibana#/discover/Steve-Slow-Train-Analysis-(2080s-and-2083s)?_g=(refreshInterval:(display:Off,pause:!f,section:0,value:0),time:(from:'2017-10-27T13:37:35-0600',mode:absolute,to:'2017-10-27T16:21:42-0600'))&amp;_a=(columns:!('Message%20ID',Summary),filters:!(),index:'emp_*',interval:auto,query:(query_string:(analyze_wildcard:!t,query:'%22rtdc.l.rtdc.4006%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32" t="s">
        <v>779</v>
      </c>
      <c r="B103" s="7">
        <v>4005</v>
      </c>
      <c r="C103" s="21" t="s">
        <v>194</v>
      </c>
      <c r="D103" s="21" t="s">
        <v>951</v>
      </c>
      <c r="E103" s="13">
        <v>43035.642048611109</v>
      </c>
      <c r="F103" s="13">
        <v>43035.654548611114</v>
      </c>
      <c r="G103" s="7">
        <v>101</v>
      </c>
      <c r="H103" s="21" t="s">
        <v>923</v>
      </c>
      <c r="I103" s="13">
        <v>43035.680775462963</v>
      </c>
      <c r="J103" s="7">
        <v>0</v>
      </c>
      <c r="K103" s="89" t="str">
        <f>IF(ISEVEN(B103),(B103-1)&amp;"/"&amp;B103,B103&amp;"/"&amp;(B103+1))</f>
        <v>4005/4006</v>
      </c>
      <c r="L103" s="185" t="str">
        <f>VLOOKUP(A103,'Trips&amp;Operators'!$C$1:$G$99911,5,FALSE)</f>
        <v>SAFIEF AEIMEN</v>
      </c>
      <c r="M103" s="6">
        <f>I103-F103</f>
        <v>2.622685184906004E-2</v>
      </c>
      <c r="N103" s="7">
        <f>24*60*SUM($M103:$M103)</f>
        <v>37.766666662646458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-27T14:24:33-0600',mode:absolute,to:'2017-10-27T17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23.291899999999998</v>
      </c>
      <c r="Z103" s="204">
        <f>RIGHT(H103,LEN(H103)-4)/10000</f>
        <v>2.29E-2</v>
      </c>
      <c r="AA103" s="204">
        <f>ABS(Z103-Y103)</f>
        <v>23.268999999999998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/stypes="app*4005*20171027*" /stext=" 22:.+((SYSTEM_STATE.+slice.+state.+changed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28"/>
        <v>"%USERPROFILE%\Documents\GitHub\eaglep3\Utilities\RefineRTDCRunTimes.py" --tripid 190-27 --locoid 4005 --swversion DE.1.0.9.0 --startMP 204:232919 --initTime 2017-10-27T15:24:33 --startdatetime 2017-10-27T15:42:33 --delay 101 --endMP 204:229 --enddatetime 2017-10-27T16:20:19 --enforcementcount 0 &gt;&gt;%USERPROFILE%\Documents\GitHub\eaglep3-reporting\EC\2017-10-27-refined-times.txt</v>
      </c>
      <c r="AI103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{"issue":{"subject":"","project_id":79,"tracker_id":40,"status_id":1,"priority_id":2,"assigned_to_id":338,"start_date":"2017-10-27","description":"","custom_fields":[{"id":1,"name":"Subdivision","value":"EC"},{"id":4,"name":"Milepost","value":"0.0229"},{"id":17,"name":"Train ID","value":"190-27"},{"id":16,"name":"Locomotive ID","value":"4005"},{"id":130,"name":"Impact","value":""},{"id":150,"name":"Time of Event (Mountain Time)","value":"16:20:19"},{"id":151,"name":"Denver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0"/>
      <c r="AK103" s="47"/>
      <c r="AL103" s="47"/>
      <c r="AM103" s="142" t="str">
        <f t="shared" si="30"/>
        <v>start /low /b %USERPROFILE%\Documents\GitHub\eaglep3\Utilities\DownloadLogsFromS3.py --loco 4005 --day 2017-10-27</v>
      </c>
      <c r="AN103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32"/>
        <v>https://d0f6bd738d7f1b3e5a7ca70fe4ff75f0.us-east-1.aws.found.io/app/kibana#/discover/Steve-Slow-Train-Analysis-(2080s-and-2083s)?_g=(refreshInterval:(display:Off,pause:!f,section:0,value:0),time:(from:'2017-10-27T14:24:33-0600',mode:absolute,to:'2017-10-27T17:20:19-0600'))&amp;_a=(columns:!('Message%20ID',Summary),filters:!(),index:'emp_*',interval:auto,query:(query_string:(analyze_wildcard:!t,query:'%22rtdc.l.rtdc.4005%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3">
      <c r="A104" s="32" t="s">
        <v>772</v>
      </c>
      <c r="B104" s="7">
        <v>4008</v>
      </c>
      <c r="C104" s="21" t="s">
        <v>194</v>
      </c>
      <c r="D104" s="21" t="s">
        <v>908</v>
      </c>
      <c r="E104" s="13">
        <v>43035.619756944441</v>
      </c>
      <c r="F104" s="13">
        <v>43035.625173611108</v>
      </c>
      <c r="G104" s="7">
        <v>69</v>
      </c>
      <c r="H104" s="21" t="s">
        <v>952</v>
      </c>
      <c r="I104" s="13">
        <v>43035.649386574078</v>
      </c>
      <c r="J104" s="7">
        <v>0</v>
      </c>
      <c r="K104" s="89" t="str">
        <f>IF(ISEVEN(B104),(B104-1)&amp;"/"&amp;B104,B104&amp;"/"&amp;(B104+1))</f>
        <v>4007/4008</v>
      </c>
      <c r="L104" s="185" t="str">
        <f>VLOOKUP(A104,'Trips&amp;Operators'!$C$1:$G$99911,5,FALSE)</f>
        <v>BRUDER RICHARD</v>
      </c>
      <c r="M104" s="6">
        <f>I104-F104</f>
        <v>2.4212962969613727E-2</v>
      </c>
      <c r="N104" s="7">
        <f>24*60*SUM($M104:$M104)</f>
        <v>34.866666676243767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-27T13:52:27-0600',mode:absolute,to:'2017-10-27T16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5.4800000000000001E-2</v>
      </c>
      <c r="Z104" s="204">
        <f>RIGHT(H104,LEN(H104)-4)/10000</f>
        <v>23.322700000000001</v>
      </c>
      <c r="AA104" s="204">
        <f>ABS(Z104-Y104)</f>
        <v>23.267900000000001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/stypes="app*4008*20171027*" /stext=" 21:.+((SYSTEM_STATE.+slice.+state.+changed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28"/>
        <v>"%USERPROFILE%\Documents\GitHub\eaglep3\Utilities\RefineRTDCRunTimes.py" --tripid 191-27 --locoid 4008 --swversion DE.1.0.9.0 --startMP 204:548 --initTime 2017-10-27T14:52:27 --startdatetime 2017-10-27T15:00:15 --delay 69 --endMP 204:233227 --enddatetime 2017-10-27T15:35:07 --enforcementcount 0 &gt;&gt;%USERPROFILE%\Documents\GitHub\eaglep3-reporting\EC\2017-10-27-refined-times.txt</v>
      </c>
      <c r="AI104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{"issue":{"subject":"","project_id":79,"tracker_id":40,"status_id":1,"priority_id":2,"assigned_to_id":338,"start_date":"2017-10-27","description":"","custom_fields":[{"id":1,"name":"Subdivision","value":"EC"},{"id":4,"name":"Milepost","value":"23.3227"},{"id":17,"name":"Train ID","value":"191-27"},{"id":16,"name":"Locomotive ID","value":"4008"},{"id":130,"name":"Impact","value":""},{"id":150,"name":"Time of Event (Mountain Time)","value":"15:35:07"},{"id":151,"name":"Denver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0"/>
      <c r="AK104" s="47"/>
      <c r="AL104" s="47"/>
      <c r="AM104" s="142" t="str">
        <f t="shared" si="30"/>
        <v>start /low /b %USERPROFILE%\Documents\GitHub\eaglep3\Utilities\DownloadLogsFromS3.py --loco 4008 --day 2017-10-27</v>
      </c>
      <c r="AN104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32"/>
        <v>https://d0f6bd738d7f1b3e5a7ca70fe4ff75f0.us-east-1.aws.found.io/app/kibana#/discover/Steve-Slow-Train-Analysis-(2080s-and-2083s)?_g=(refreshInterval:(display:Off,pause:!f,section:0,value:0),time:(from:'2017-10-27T13:52:27-0600',mode:absolute,to:'2017-10-27T16:35:07-0600'))&amp;_a=(columns:!('Message%20ID',Summary),filters:!(),index:'emp_*',interval:auto,query:(query_string:(analyze_wildcard:!t,query:'%22rtdc.l.rtdc.4008%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3">
      <c r="A105" s="32" t="s">
        <v>784</v>
      </c>
      <c r="B105" s="7">
        <v>4007</v>
      </c>
      <c r="C105" s="21" t="s">
        <v>194</v>
      </c>
      <c r="D105" s="21" t="s">
        <v>588</v>
      </c>
      <c r="E105" s="13">
        <v>43035.661562499998</v>
      </c>
      <c r="F105" s="13">
        <v>43035.66474537037</v>
      </c>
      <c r="G105" s="7">
        <v>67</v>
      </c>
      <c r="H105" s="21" t="s">
        <v>899</v>
      </c>
      <c r="I105" s="13">
        <v>43035.690752314818</v>
      </c>
      <c r="J105" s="7">
        <v>0</v>
      </c>
      <c r="K105" s="89" t="str">
        <f>IF(ISEVEN(B105),(B105-1)&amp;"/"&amp;B105,B105&amp;"/"&amp;(B105+1))</f>
        <v>4007/4008</v>
      </c>
      <c r="L105" s="185" t="str">
        <f>VLOOKUP(A105,'Trips&amp;Operators'!$C$1:$G$99911,5,FALSE)</f>
        <v>BRUDER RICHARD</v>
      </c>
      <c r="M105" s="6">
        <f>I105-F105</f>
        <v>2.6006944448454306E-2</v>
      </c>
      <c r="N105" s="7">
        <f>24*60*SUM($M105:$M105)</f>
        <v>37.4500000057742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-27T14:52:39-0600',mode:absolute,to:'2017-10-27T17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23.290400000000002</v>
      </c>
      <c r="Z105" s="204">
        <f>RIGHT(H105,LEN(H105)-4)/10000</f>
        <v>2.3199999999999998E-2</v>
      </c>
      <c r="AA105" s="204">
        <f>ABS(Z105-Y105)</f>
        <v>23.267200000000003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/stypes="app*4007*20171027*" /stext=" 22:.+((SYSTEM_STATE.+slice.+state.+changed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28"/>
        <v>"%USERPROFILE%\Documents\GitHub\eaglep3\Utilities\RefineRTDCRunTimes.py" --tripid 192-27 --locoid 4007 --swversion DE.1.0.9.0 --startMP 204:232904 --initTime 2017-10-27T15:52:39 --startdatetime 2017-10-27T15:57:14 --delay 67 --endMP 204:232 --enddatetime 2017-10-27T16:34:41 --enforcementcount 0 &gt;&gt;%USERPROFILE%\Documents\GitHub\eaglep3-reporting\EC\2017-10-27-refined-times.txt</v>
      </c>
      <c r="AI105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{"issue":{"subject":"","project_id":79,"tracker_id":40,"status_id":1,"priority_id":2,"assigned_to_id":338,"start_date":"2017-10-27","description":"","custom_fields":[{"id":1,"name":"Subdivision","value":"EC"},{"id":4,"name":"Milepost","value":"0.0232"},{"id":17,"name":"Train ID","value":"192-27"},{"id":16,"name":"Locomotive ID","value":"4007"},{"id":130,"name":"Impact","value":""},{"id":150,"name":"Time of Event (Mountain Time)","value":"16:34:41"},{"id":151,"name":"Denver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0"/>
      <c r="AK105" s="47"/>
      <c r="AL105" s="47"/>
      <c r="AM105" s="142" t="str">
        <f t="shared" si="30"/>
        <v>start /low /b %USERPROFILE%\Documents\GitHub\eaglep3\Utilities\DownloadLogsFromS3.py --loco 4007 --day 2017-10-27</v>
      </c>
      <c r="AN105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32"/>
        <v>https://d0f6bd738d7f1b3e5a7ca70fe4ff75f0.us-east-1.aws.found.io/app/kibana#/discover/Steve-Slow-Train-Analysis-(2080s-and-2083s)?_g=(refreshInterval:(display:Off,pause:!f,section:0,value:0),time:(from:'2017-10-27T14:52:39-0600',mode:absolute,to:'2017-10-27T17:34:41-0600'))&amp;_a=(columns:!('Message%20ID',Summary),filters:!(),index:'emp_*',interval:auto,query:(query_string:(analyze_wildcard:!t,query:'%22rtdc.l.rtdc.4007%22')),sort:!(Time.ISO8601,asc))</v>
      </c>
    </row>
    <row r="106" spans="1:91" s="20" customFormat="1" x14ac:dyDescent="0.3">
      <c r="A106" s="32" t="s">
        <v>777</v>
      </c>
      <c r="B106" s="7">
        <v>4052</v>
      </c>
      <c r="C106" s="21" t="s">
        <v>194</v>
      </c>
      <c r="D106" s="21" t="s">
        <v>609</v>
      </c>
      <c r="E106" s="13">
        <v>43035.632650462961</v>
      </c>
      <c r="F106" s="13">
        <v>43035.635601851849</v>
      </c>
      <c r="G106" s="7">
        <v>58</v>
      </c>
      <c r="H106" s="21" t="s">
        <v>953</v>
      </c>
      <c r="I106" s="13">
        <v>43035.662164351852</v>
      </c>
      <c r="J106" s="7">
        <v>0</v>
      </c>
      <c r="K106" s="89" t="str">
        <f>IF(ISEVEN(B106),(B106-1)&amp;"/"&amp;B106,B106&amp;"/"&amp;(B106+1))</f>
        <v>4051/4052</v>
      </c>
      <c r="L106" s="185" t="str">
        <f>VLOOKUP(A106,'Trips&amp;Operators'!$C$1:$G$99911,5,FALSE)</f>
        <v>LEVERE CRAIG</v>
      </c>
      <c r="M106" s="6">
        <f>I106-F106</f>
        <v>2.6562500002910383E-2</v>
      </c>
      <c r="N106" s="7">
        <f>24*60*SUM($M106:$M106)</f>
        <v>38.250000004190952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-27T14:11:01-0600',mode:absolute,to:'2017-10-27T16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5.7099999999999998E-2</v>
      </c>
      <c r="Z106" s="204">
        <f>RIGHT(H106,LEN(H106)-4)/10000</f>
        <v>23.318999999999999</v>
      </c>
      <c r="AA106" s="204">
        <f>ABS(Z106-Y106)</f>
        <v>23.261900000000001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/stypes="app*4052*20171027*" /stext=" 21:.+((SYSTEM_STATE.+slice.+state.+changed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28"/>
        <v>"%USERPROFILE%\Documents\GitHub\eaglep3\Utilities\RefineRTDCRunTimes.py" --tripid 193-27 --locoid 4052 --swversion DE.1.0.9.0 --startMP 204:571 --initTime 2017-10-27T15:11:01 --startdatetime 2017-10-27T15:15:16 --delay 58 --endMP 204:233190 --enddatetime 2017-10-27T15:53:31 --enforcementcount 0 &gt;&gt;%USERPROFILE%\Documents\GitHub\eaglep3-reporting\EC\2017-10-27-refined-times.txt</v>
      </c>
      <c r="AI106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{"issue":{"subject":"","project_id":79,"tracker_id":40,"status_id":1,"priority_id":2,"assigned_to_id":338,"start_date":"2017-10-27","description":"","custom_fields":[{"id":1,"name":"Subdivision","value":"EC"},{"id":4,"name":"Milepost","value":"23.319"},{"id":17,"name":"Train ID","value":"193-27"},{"id":16,"name":"Locomotive ID","value":"4052"},{"id":130,"name":"Impact","value":""},{"id":150,"name":"Time of Event (Mountain Time)","value":"15:53:31"},{"id":151,"name":"Denver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30"/>
        <v>start /low /b %USERPROFILE%\Documents\GitHub\eaglep3\Utilities\DownloadLogsFromS3.py --loco 4052 --day 2017-10-27</v>
      </c>
      <c r="AN106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32"/>
        <v>https://d0f6bd738d7f1b3e5a7ca70fe4ff75f0.us-east-1.aws.found.io/app/kibana#/discover/Steve-Slow-Train-Analysis-(2080s-and-2083s)?_g=(refreshInterval:(display:Off,pause:!f,section:0,value:0),time:(from:'2017-10-27T14:11:01-0600',mode:absolute,to:'2017-10-27T16:53:31-0600'))&amp;_a=(columns:!('Message%20ID',Summary),filters:!(),index:'emp_*',interval:auto,query:(query_string:(analyze_wildcard:!t,query:'%22rtdc.l.rtdc.4052%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787</v>
      </c>
      <c r="B107" s="7">
        <v>4051</v>
      </c>
      <c r="C107" s="21" t="s">
        <v>194</v>
      </c>
      <c r="D107" s="21" t="s">
        <v>505</v>
      </c>
      <c r="E107" s="13">
        <v>43035.670104166667</v>
      </c>
      <c r="F107" s="13">
        <v>43035.675185185188</v>
      </c>
      <c r="G107" s="7">
        <v>80</v>
      </c>
      <c r="H107" s="21" t="s">
        <v>945</v>
      </c>
      <c r="I107" s="13">
        <v>43035.70175925926</v>
      </c>
      <c r="J107" s="7">
        <v>0</v>
      </c>
      <c r="K107" s="89" t="str">
        <f>IF(ISEVEN(B107),(B107-1)&amp;"/"&amp;B107,B107&amp;"/"&amp;(B107+1))</f>
        <v>4051/4052</v>
      </c>
      <c r="L107" s="185" t="str">
        <f>VLOOKUP(A107,'Trips&amp;Operators'!$C$1:$G$99911,5,FALSE)</f>
        <v>LEVERE CRAIG</v>
      </c>
      <c r="M107" s="6">
        <f>I107-F107</f>
        <v>2.6574074072414078E-2</v>
      </c>
      <c r="N107" s="7">
        <f>24*60*SUM($M107:$M107)</f>
        <v>38.266666664276272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-27T15:04:57-0600',mode:absolute,to:'2017-10-27T17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23.2879</v>
      </c>
      <c r="Z107" s="204">
        <f>RIGHT(H107,LEN(H107)-4)/10000</f>
        <v>2.58E-2</v>
      </c>
      <c r="AA107" s="204">
        <f>ABS(Z107-Y107)</f>
        <v>23.2621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s3://rtdc.mdm.uploadarchive.raw/RTDC4051/ "%USERPROFILE%\AppData\Local\Temp\OnboardLogs"\RTDC4051\2017-10-27 --exclude "*" --recursive --include "*20171027*" &amp; "%USERPROFILE%\Documents\GitHub\mrs-test-scripts\Headless Mode &amp; Sideloading\WalkAndUnGZ.bat" "%USERPROFILE%\AppData\Local\Temp\OnboardLogs"\RTDC4051\2017-10-27 &amp; aws s3 cp s3://rtdc.mdm.uploadarchive.raw/RTDC4051/ "%USERPROFILE%\AppData\Local\Temp\OnboardLogs"\RTDC4051\2017-10-28 --exclude "*" --recursive --include "*20171028*" &amp; "%USERPROFILE%\Documents\GitHub\mrs-test-scripts\Headless Mode &amp; Sideloading\WalkAndUnGZ.bat" "%USERPROFILE%\AppData\Local\Temp\OnboardLogs"\RTDC4051\2017-10-28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/stypes="app*4051*20171027*"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28"/>
        <v>"%USERPROFILE%\Documents\GitHub\eaglep3\Utilities\RefineRTDCRunTimes.py" --tripid 194-27 --locoid 4051 --swversion DE.1.0.9.0 --startMP 204:232879 --initTime 2017-10-27T16:04:57 --startdatetime 2017-10-27T16:12:16 --delay 80 --endMP 204:258 --enddatetime 2017-10-27T16:50:32 --enforcementcount 0 &gt;&gt;%USERPROFILE%\Documents\GitHub\eaglep3-reporting\EC\2017-10-27-refined-times.txt</v>
      </c>
      <c r="AI107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{"issue":{"subject":"","project_id":79,"tracker_id":40,"status_id":1,"priority_id":2,"assigned_to_id":338,"start_date":"2017-10-27","description":"","custom_fields":[{"id":1,"name":"Subdivision","value":"EC"},{"id":4,"name":"Milepost","value":"0.0258"},{"id":17,"name":"Train ID","value":"194-27"},{"id":16,"name":"Locomotive ID","value":"4051"},{"id":130,"name":"Impact","value":""},{"id":150,"name":"Time of Event (Mountain Time)","value":"16:50:32"},{"id":151,"name":"Denver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30"/>
        <v>start /low /b %USERPROFILE%\Documents\GitHub\eaglep3\Utilities\DownloadLogsFromS3.py --loco 4051 --day 2017-10-27</v>
      </c>
      <c r="AN107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32"/>
        <v>https://d0f6bd738d7f1b3e5a7ca70fe4ff75f0.us-east-1.aws.found.io/app/kibana#/discover/Steve-Slow-Train-Analysis-(2080s-and-2083s)?_g=(refreshInterval:(display:Off,pause:!f,section:0,value:0),time:(from:'2017-10-27T15:04:57-0600',mode:absolute,to:'2017-10-27T17:50:32-0600'))&amp;_a=(columns:!('Message%20ID',Summary),filters:!(),index:'emp_*',interval:auto,query:(query_string:(analyze_wildcard:!t,query:'%22rtdc.l.rtdc.4051%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780</v>
      </c>
      <c r="B108" s="7">
        <v>4018</v>
      </c>
      <c r="C108" s="21" t="s">
        <v>194</v>
      </c>
      <c r="D108" s="21" t="s">
        <v>410</v>
      </c>
      <c r="E108" s="13">
        <v>43035.642766203702</v>
      </c>
      <c r="F108" s="13">
        <v>43035.646018518521</v>
      </c>
      <c r="G108" s="7">
        <v>57</v>
      </c>
      <c r="H108" s="21" t="s">
        <v>954</v>
      </c>
      <c r="I108" s="13">
        <v>43035.671446759261</v>
      </c>
      <c r="J108" s="7">
        <v>0</v>
      </c>
      <c r="K108" s="89" t="str">
        <f>IF(ISEVEN(B108),(B108-1)&amp;"/"&amp;B108,B108&amp;"/"&amp;(B108+1))</f>
        <v>4017/4018</v>
      </c>
      <c r="L108" s="185" t="str">
        <f>VLOOKUP(A108,'Trips&amp;Operators'!$C$1:$G$99911,5,FALSE)</f>
        <v>STRICKLAND EVAN</v>
      </c>
      <c r="M108" s="6">
        <f>I108-F108</f>
        <v>2.5428240740438923E-2</v>
      </c>
      <c r="N108" s="7">
        <f>24*60*SUM($M108:$M108)</f>
        <v>36.616666666232049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-27T14:25:35-0600',mode:absolute,to:'2017-10-27T17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4.6600000000000003E-2</v>
      </c>
      <c r="Z108" s="204">
        <f>RIGHT(H108,LEN(H108)-4)/10000</f>
        <v>23.319600000000001</v>
      </c>
      <c r="AA108" s="204">
        <f>ABS(Z108-Y108)</f>
        <v>23.273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/stypes="app*4018*20171027*" /stext=" 22:.+((SYSTEM_STATE.+slice.+state.+changed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28"/>
        <v>"%USERPROFILE%\Documents\GitHub\eaglep3\Utilities\RefineRTDCRunTimes.py" --tripid 195-27 --locoid 4018 --swversion DE.1.0.9.0 --startMP 204:466 --initTime 2017-10-27T15:25:35 --startdatetime 2017-10-27T15:30:16 --delay 57 --endMP 204:233196 --enddatetime 2017-10-27T16:06:53 --enforcementcount 0 &gt;&gt;%USERPROFILE%\Documents\GitHub\eaglep3-reporting\EC\2017-10-27-refined-times.txt</v>
      </c>
      <c r="AI108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{"issue":{"subject":"","project_id":79,"tracker_id":40,"status_id":1,"priority_id":2,"assigned_to_id":338,"start_date":"2017-10-27","description":"","custom_fields":[{"id":1,"name":"Subdivision","value":"EC"},{"id":4,"name":"Milepost","value":"23.3196"},{"id":17,"name":"Train ID","value":"195-27"},{"id":16,"name":"Locomotive ID","value":"4018"},{"id":130,"name":"Impact","value":""},{"id":150,"name":"Time of Event (Mountain Time)","value":"16:06:53"},{"id":151,"name":"Denver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30"/>
        <v>start /low /b %USERPROFILE%\Documents\GitHub\eaglep3\Utilities\DownloadLogsFromS3.py --loco 4018 --day 2017-10-27</v>
      </c>
      <c r="AN108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32"/>
        <v>https://d0f6bd738d7f1b3e5a7ca70fe4ff75f0.us-east-1.aws.found.io/app/kibana#/discover/Steve-Slow-Train-Analysis-(2080s-and-2083s)?_g=(refreshInterval:(display:Off,pause:!f,section:0,value:0),time:(from:'2017-10-27T14:25:35-0600',mode:absolute,to:'2017-10-27T17:06:53-0600'))&amp;_a=(columns:!('Message%20ID',Summary),filters:!(),index:'emp_*',interval:auto,query:(query_string:(analyze_wildcard:!t,query:'%22rtdc.l.rtdc.4018%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790</v>
      </c>
      <c r="B109" s="7">
        <v>4017</v>
      </c>
      <c r="C109" s="21" t="s">
        <v>194</v>
      </c>
      <c r="D109" s="21" t="s">
        <v>579</v>
      </c>
      <c r="E109" s="13">
        <v>43035.678969907407</v>
      </c>
      <c r="F109" s="13">
        <v>43035.685706018521</v>
      </c>
      <c r="G109" s="7">
        <v>242</v>
      </c>
      <c r="H109" s="21" t="s">
        <v>583</v>
      </c>
      <c r="I109" s="13">
        <v>43035.714212962965</v>
      </c>
      <c r="J109" s="7">
        <v>0</v>
      </c>
      <c r="K109" s="89" t="str">
        <f>IF(ISEVEN(B109),(B109-1)&amp;"/"&amp;B109,B109&amp;"/"&amp;(B109+1))</f>
        <v>4017/4018</v>
      </c>
      <c r="L109" s="185" t="str">
        <f>VLOOKUP(A109,'Trips&amp;Operators'!$C$1:$G$99911,5,FALSE)</f>
        <v>STRICKLAND EVAN</v>
      </c>
      <c r="M109" s="6">
        <f>I109-F109</f>
        <v>2.8506944443506654E-2</v>
      </c>
      <c r="N109" s="7">
        <f>24*60*SUM($M109:$M109)</f>
        <v>41.049999998649582</v>
      </c>
      <c r="O109" s="7"/>
      <c r="P109" s="7"/>
      <c r="Q109" s="22"/>
      <c r="R109" s="174" t="s">
        <v>1124</v>
      </c>
      <c r="S109" s="221">
        <f>1/IF(AG109="EC",12,1)*SUM(U109:U109)</f>
        <v>1</v>
      </c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-27T15:17:43-0600',mode:absolute,to:'2017-10-27T18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23.287199999999999</v>
      </c>
      <c r="Z109" s="204">
        <f>RIGHT(H109,LEN(H109)-4)/10000</f>
        <v>1.7399999999999999E-2</v>
      </c>
      <c r="AA109" s="204">
        <f>ABS(Z109-Y109)</f>
        <v>23.2698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/stypes="app*4017*20171027*"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28"/>
        <v>"%USERPROFILE%\Documents\GitHub\eaglep3\Utilities\RefineRTDCRunTimes.py" --tripid 196-27 --locoid 4017 --swversion DE.1.0.9.0 --startMP 204:232872 --initTime 2017-10-27T16:17:43 --startdatetime 2017-10-27T16:27:25 --delay 242 --endMP 204:174 --enddatetime 2017-10-27T17:08:28 --enforcementcount 0 &gt;&gt;%USERPROFILE%\Documents\GitHub\eaglep3-reporting\EC\2017-10-27-refined-times.txt</v>
      </c>
      <c r="AI109" s="96" t="str">
        <f t="shared" si="29"/>
        <v>echo {"issue":{"subject":"Prompted for speed reduction","project_id":79,"tracker_id":40,"status_id":1,"priority_id":2,"assigned_to_id":338,"start_date":"2017-10-27","description":"","custom_fields":[{"id":1,"name":"Subdivision","value":"EC"},{"id":4,"name":"Milepost","value":"0.0174"},{"id":17,"name":"Train ID","value":"196-27"},{"id":16,"name":"Locomotive ID","value":"4017"},{"id":130,"name":"Impact","value":""},{"id":150,"name":"Time of Event (Mountain Time)","value":"17:08:28"},{"id":151,"name":"Denver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30"/>
        <v>start /low /b %USERPROFILE%\Documents\GitHub\eaglep3\Utilities\DownloadLogsFromS3.py --loco 4017 --day 2017-10-27</v>
      </c>
      <c r="AN109" s="151" t="str">
        <f t="shared" si="31"/>
        <v>echo {"issue":{"subject":"Prompted for speed reduction","project_id":30,"tracker_id":4,"status_id":1,"priority_id":1,"assigned_to_id":10,"start_date":"2017-10-27","description":"","custom_fields":[{"id":30,"name":"Category","value":"Issue"},{"id":3,"name":"Functional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32"/>
        <v>https://d0f6bd738d7f1b3e5a7ca70fe4ff75f0.us-east-1.aws.found.io/app/kibana#/discover/Steve-Slow-Train-Analysis-(2080s-and-2083s)?_g=(refreshInterval:(display:Off,pause:!f,section:0,value:0),time:(from:'2017-10-27T15:17:43-0600',mode:absolute,to:'2017-10-27T18:08:28-0600'))&amp;_a=(columns:!('Message%20ID',Summary),filters:!(),index:'emp_*',interval:auto,query:(query_string:(analyze_wildcard:!t,query:'%22rtdc.l.rtdc.4017%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783</v>
      </c>
      <c r="B110" s="7">
        <v>4014</v>
      </c>
      <c r="C110" s="21" t="s">
        <v>194</v>
      </c>
      <c r="D110" s="21" t="s">
        <v>608</v>
      </c>
      <c r="E110" s="13">
        <v>43035.654027777775</v>
      </c>
      <c r="F110" s="13">
        <v>43035.656446759262</v>
      </c>
      <c r="G110" s="7">
        <v>67</v>
      </c>
      <c r="H110" s="21" t="s">
        <v>955</v>
      </c>
      <c r="I110" s="13">
        <v>43035.681423611109</v>
      </c>
      <c r="J110" s="7">
        <v>0</v>
      </c>
      <c r="K110" s="89" t="str">
        <f>IF(ISEVEN(B110),(B110-1)&amp;"/"&amp;B110,B110&amp;"/"&amp;(B110+1))</f>
        <v>4013/4014</v>
      </c>
      <c r="L110" s="185" t="str">
        <f>VLOOKUP(A110,'Trips&amp;Operators'!$C$1:$G$99911,5,FALSE)</f>
        <v>LEVIN SCOTT</v>
      </c>
      <c r="M110" s="6">
        <f>I110-F110</f>
        <v>2.4976851847895887E-2</v>
      </c>
      <c r="N110" s="7">
        <f>24*60*SUM($M110:$M110)</f>
        <v>35.966666660970077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-27T14:41:48-0600',mode:absolute,to:'2017-10-27T17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5.7299999999999997E-2</v>
      </c>
      <c r="Z110" s="204">
        <f>RIGHT(H110,LEN(H110)-4)/10000</f>
        <v>23.328199999999999</v>
      </c>
      <c r="AA110" s="204">
        <f>ABS(Z110-Y110)</f>
        <v>23.270899999999997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s3://rtdc.mdm.uploadarchive.raw/RTDC4014/ "%USERPROFILE%\AppData\Local\Temp\OnboardLogs"\RTDC4014\2017-10-27 --exclude "*" --recursive --include "*20171027*" &amp; "%USERPROFILE%\Documents\GitHub\mrs-test-scripts\Headless Mode &amp; Sideloading\WalkAndUnGZ.bat" "%USERPROFILE%\AppData\Local\Temp\OnboardLogs"\RTDC4014\2017-10-27 &amp; aws s3 cp s3://rtdc.mdm.uploadarchive.raw/RTDC4014/ "%USERPROFILE%\AppData\Local\Temp\OnboardLogs"\RTDC4014\2017-10-28 --exclude "*" --recursive --include "*20171028*" &amp; "%USERPROFILE%\Documents\GitHub\mrs-test-scripts\Headless Mode &amp; Sideloading\WalkAndUnGZ.bat" "%USERPROFILE%\AppData\Local\Temp\OnboardLogs"\RTDC4014\2017-10-28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/stypes="app*4014*20171027*" /stext=" 22:.+((SYSTEM_STATE.+slice.+state.+changed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28"/>
        <v>"%USERPROFILE%\Documents\GitHub\eaglep3\Utilities\RefineRTDCRunTimes.py" --tripid 197-27 --locoid 4014 --swversion DE.1.0.9.0 --startMP 204:573 --initTime 2017-10-27T15:41:48 --startdatetime 2017-10-27T15:45:17 --delay 67 --endMP 204:233282 --enddatetime 2017-10-27T16:21:15 --enforcementcount 0 &gt;&gt;%USERPROFILE%\Documents\GitHub\eaglep3-reporting\EC\2017-10-27-refined-times.txt</v>
      </c>
      <c r="AI110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{"issue":{"subject":"","project_id":79,"tracker_id":40,"status_id":1,"priority_id":2,"assigned_to_id":338,"start_date":"2017-10-27","description":"","custom_fields":[{"id":1,"name":"Subdivision","value":"EC"},{"id":4,"name":"Milepost","value":"23.3282"},{"id":17,"name":"Train ID","value":"197-27"},{"id":16,"name":"Locomotive ID","value":"4014"},{"id":130,"name":"Impact","value":""},{"id":150,"name":"Time of Event (Mountain Time)","value":"16:21:15"},{"id":151,"name":"Denver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30"/>
        <v>start /low /b %USERPROFILE%\Documents\GitHub\eaglep3\Utilities\DownloadLogsFromS3.py --loco 4014 --day 2017-10-27</v>
      </c>
      <c r="AN110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32"/>
        <v>https://d0f6bd738d7f1b3e5a7ca70fe4ff75f0.us-east-1.aws.found.io/app/kibana#/discover/Steve-Slow-Train-Analysis-(2080s-and-2083s)?_g=(refreshInterval:(display:Off,pause:!f,section:0,value:0),time:(from:'2017-10-27T14:41:48-0600',mode:absolute,to:'2017-10-27T17:21:15-0600'))&amp;_a=(columns:!('Message%20ID',Summary),filters:!(),index:'emp_*',interval:auto,query:(query_string:(analyze_wildcard:!t,query:'%22rtdc.l.rtdc.4014%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795</v>
      </c>
      <c r="B111" s="7">
        <v>4013</v>
      </c>
      <c r="C111" s="21" t="s">
        <v>194</v>
      </c>
      <c r="D111" s="21" t="s">
        <v>888</v>
      </c>
      <c r="E111" s="13">
        <v>43035.693124999998</v>
      </c>
      <c r="F111" s="13">
        <v>43035.696145833332</v>
      </c>
      <c r="G111" s="7">
        <v>77</v>
      </c>
      <c r="H111" s="21" t="s">
        <v>956</v>
      </c>
      <c r="I111" s="13">
        <v>43035.721898148149</v>
      </c>
      <c r="J111" s="7">
        <v>0</v>
      </c>
      <c r="K111" s="89" t="str">
        <f>IF(ISEVEN(B111),(B111-1)&amp;"/"&amp;B111,B111&amp;"/"&amp;(B111+1))</f>
        <v>4013/4014</v>
      </c>
      <c r="L111" s="185" t="str">
        <f>VLOOKUP(A111,'Trips&amp;Operators'!$C$1:$G$99911,5,FALSE)</f>
        <v>LEVIN SCOTT</v>
      </c>
      <c r="M111" s="6">
        <f>I111-F111</f>
        <v>2.5752314817509614E-2</v>
      </c>
      <c r="N111" s="7">
        <f>24*60*SUM($M111:$M111)</f>
        <v>37.083333337213844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-27T15:38:06-0600',mode:absolute,to:'2017-10-27T18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23.296299999999999</v>
      </c>
      <c r="Z111" s="204">
        <f>RIGHT(H111,LEN(H111)-4)/10000</f>
        <v>2.8000000000000001E-2</v>
      </c>
      <c r="AA111" s="204">
        <f>ABS(Z111-Y111)</f>
        <v>23.2683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/stypes="app*4013*20171027*"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28"/>
        <v>"%USERPROFILE%\Documents\GitHub\eaglep3\Utilities\RefineRTDCRunTimes.py" --tripid 198-27 --locoid 4013 --swversion DE.1.0.9.0 --startMP 204:232963 --initTime 2017-10-27T16:38:06 --startdatetime 2017-10-27T16:42:27 --delay 77 --endMP 204:280 --enddatetime 2017-10-27T17:19:32 --enforcementcount 0 &gt;&gt;%USERPROFILE%\Documents\GitHub\eaglep3-reporting\EC\2017-10-27-refined-times.txt</v>
      </c>
      <c r="AI111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{"issue":{"subject":"","project_id":79,"tracker_id":40,"status_id":1,"priority_id":2,"assigned_to_id":338,"start_date":"2017-10-27","description":"","custom_fields":[{"id":1,"name":"Subdivision","value":"EC"},{"id":4,"name":"Milepost","value":"0.028"},{"id":17,"name":"Train ID","value":"198-27"},{"id":16,"name":"Locomotive ID","value":"4013"},{"id":130,"name":"Impact","value":""},{"id":150,"name":"Time of Event (Mountain Time)","value":"17:19:32"},{"id":151,"name":"Denver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30"/>
        <v>start /low /b %USERPROFILE%\Documents\GitHub\eaglep3\Utilities\DownloadLogsFromS3.py --loco 4013 --day 2017-10-27</v>
      </c>
      <c r="AN111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32"/>
        <v>https://d0f6bd738d7f1b3e5a7ca70fe4ff75f0.us-east-1.aws.found.io/app/kibana#/discover/Steve-Slow-Train-Analysis-(2080s-and-2083s)?_g=(refreshInterval:(display:Off,pause:!f,section:0,value:0),time:(from:'2017-10-27T15:38:06-0600',mode:absolute,to:'2017-10-27T18:19:32-0600'))&amp;_a=(columns:!('Message%20ID',Summary),filters:!(),index:'emp_*',interval:auto,query:(query_string:(analyze_wildcard:!t,query:'%22rtdc.l.rtdc.4013%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785</v>
      </c>
      <c r="B112" s="7">
        <v>4036</v>
      </c>
      <c r="C112" s="21" t="s">
        <v>194</v>
      </c>
      <c r="D112" s="21" t="s">
        <v>957</v>
      </c>
      <c r="E112" s="13">
        <v>43035.662407407406</v>
      </c>
      <c r="F112" s="13">
        <v>43035.666851851849</v>
      </c>
      <c r="G112" s="7">
        <v>82</v>
      </c>
      <c r="H112" s="21" t="s">
        <v>958</v>
      </c>
      <c r="I112" s="13">
        <v>43035.692199074074</v>
      </c>
      <c r="J112" s="7">
        <v>0</v>
      </c>
      <c r="K112" s="89" t="str">
        <f>IF(ISEVEN(B112),(B112-1)&amp;"/"&amp;B112,B112&amp;"/"&amp;(B112+1))</f>
        <v>4035/4036</v>
      </c>
      <c r="L112" s="185" t="str">
        <f>VLOOKUP(A112,'Trips&amp;Operators'!$C$1:$G$99911,5,FALSE)</f>
        <v>BADERTSCHER DIANE</v>
      </c>
      <c r="M112" s="6">
        <f>I112-F112</f>
        <v>2.5347222224809229E-2</v>
      </c>
      <c r="N112" s="7">
        <f>24*60*SUM($M112:$M112)</f>
        <v>36.50000000372529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-27T14:53:52-0600',mode:absolute,to:'2017-10-27T17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5.4399999999999997E-2</v>
      </c>
      <c r="Z112" s="204">
        <f>RIGHT(H112,LEN(H112)-4)/10000</f>
        <v>23.319099999999999</v>
      </c>
      <c r="AA112" s="204">
        <f>ABS(Z112-Y112)</f>
        <v>23.264699999999998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/stypes="app*4036*20171027*"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28"/>
        <v>"%USERPROFILE%\Documents\GitHub\eaglep3\Utilities\RefineRTDCRunTimes.py" --tripid 199-27 --locoid 4036 --swversion DE.1.0.9.0 --startMP 204:544 --initTime 2017-10-27T15:53:52 --startdatetime 2017-10-27T16:00:16 --delay 82 --endMP 204:233191 --enddatetime 2017-10-27T16:36:46 --enforcementcount 0 &gt;&gt;%USERPROFILE%\Documents\GitHub\eaglep3-reporting\EC\2017-10-27-refined-times.txt</v>
      </c>
      <c r="AI112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{"issue":{"subject":"","project_id":79,"tracker_id":40,"status_id":1,"priority_id":2,"assigned_to_id":338,"start_date":"2017-10-27","description":"","custom_fields":[{"id":1,"name":"Subdivision","value":"EC"},{"id":4,"name":"Milepost","value":"23.3191"},{"id":17,"name":"Train ID","value":"199-27"},{"id":16,"name":"Locomotive ID","value":"4036"},{"id":130,"name":"Impact","value":""},{"id":150,"name":"Time of Event (Mountain Time)","value":"16:36:46"},{"id":151,"name":"Denver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30"/>
        <v>start /low /b %USERPROFILE%\Documents\GitHub\eaglep3\Utilities\DownloadLogsFromS3.py --loco 4036 --day 2017-10-27</v>
      </c>
      <c r="AN112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32"/>
        <v>https://d0f6bd738d7f1b3e5a7ca70fe4ff75f0.us-east-1.aws.found.io/app/kibana#/discover/Steve-Slow-Train-Analysis-(2080s-and-2083s)?_g=(refreshInterval:(display:Off,pause:!f,section:0,value:0),time:(from:'2017-10-27T14:53:52-0600',mode:absolute,to:'2017-10-27T17:36:46-0600'))&amp;_a=(columns:!('Message%20ID',Summary),filters:!(),index:'emp_*',interval:auto,query:(query_string:(analyze_wildcard:!t,query:'%22rtdc.l.rtdc.4036%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796</v>
      </c>
      <c r="B113" s="7">
        <v>4035</v>
      </c>
      <c r="C113" s="21" t="s">
        <v>194</v>
      </c>
      <c r="D113" s="21" t="s">
        <v>959</v>
      </c>
      <c r="E113" s="13">
        <v>43035.700972222221</v>
      </c>
      <c r="F113" s="13">
        <v>43035.706435185188</v>
      </c>
      <c r="G113" s="7">
        <v>105</v>
      </c>
      <c r="H113" s="21" t="s">
        <v>591</v>
      </c>
      <c r="I113" s="13">
        <v>43035.7340625</v>
      </c>
      <c r="J113" s="7">
        <v>0</v>
      </c>
      <c r="K113" s="89" t="str">
        <f>IF(ISEVEN(B113),(B113-1)&amp;"/"&amp;B113,B113&amp;"/"&amp;(B113+1))</f>
        <v>4035/4036</v>
      </c>
      <c r="L113" s="185" t="str">
        <f>VLOOKUP(A113,'Trips&amp;Operators'!$C$1:$G$99911,5,FALSE)</f>
        <v>BADERTSCHER DIANE</v>
      </c>
      <c r="M113" s="6">
        <f>I113-F113</f>
        <v>2.7627314811979886E-2</v>
      </c>
      <c r="N113" s="7">
        <f>24*60*SUM($M113:$M113)</f>
        <v>39.783333329251036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-27T15:49:24-0600',mode:absolute,to:'2017-10-27T18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23.2898</v>
      </c>
      <c r="Z113" s="204">
        <f>RIGHT(H113,LEN(H113)-4)/10000</f>
        <v>2.12E-2</v>
      </c>
      <c r="AA113" s="204">
        <f>ABS(Z113-Y113)</f>
        <v>23.268599999999999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/stypes="app*4035*20171027*"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28"/>
        <v>"%USERPROFILE%\Documents\GitHub\eaglep3\Utilities\RefineRTDCRunTimes.py" --tripid 200-27 --locoid 4035 --swversion DE.1.0.9.0 --startMP 204:232898 --initTime 2017-10-27T16:49:24 --startdatetime 2017-10-27T16:57:16 --delay 105 --endMP 204:212 --enddatetime 2017-10-27T17:37:03 --enforcementcount 0 &gt;&gt;%USERPROFILE%\Documents\GitHub\eaglep3-reporting\EC\2017-10-27-refined-times.txt</v>
      </c>
      <c r="AI113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{"issue":{"subject":"","project_id":79,"tracker_id":40,"status_id":1,"priority_id":2,"assigned_to_id":338,"start_date":"2017-10-27","description":"","custom_fields":[{"id":1,"name":"Subdivision","value":"EC"},{"id":4,"name":"Milepost","value":"0.0212"},{"id":17,"name":"Train ID","value":"200-27"},{"id":16,"name":"Locomotive ID","value":"4035"},{"id":130,"name":"Impact","value":""},{"id":150,"name":"Time of Event (Mountain Time)","value":"17:37:03"},{"id":151,"name":"Denver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30"/>
        <v>start /low /b %USERPROFILE%\Documents\GitHub\eaglep3\Utilities\DownloadLogsFromS3.py --loco 4035 --day 2017-10-27</v>
      </c>
      <c r="AN113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32"/>
        <v>https://d0f6bd738d7f1b3e5a7ca70fe4ff75f0.us-east-1.aws.found.io/app/kibana#/discover/Steve-Slow-Train-Analysis-(2080s-and-2083s)?_g=(refreshInterval:(display:Off,pause:!f,section:0,value:0),time:(from:'2017-10-27T15:49:24-0600',mode:absolute,to:'2017-10-27T18:37:03-0600'))&amp;_a=(columns:!('Message%20ID',Summary),filters:!(),index:'emp_*',interval:auto,query:(query_string:(analyze_wildcard:!t,query:'%22rtdc.l.rtdc.4035%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789</v>
      </c>
      <c r="B114" s="7">
        <v>4056</v>
      </c>
      <c r="C114" s="21" t="s">
        <v>194</v>
      </c>
      <c r="D114" s="21" t="s">
        <v>960</v>
      </c>
      <c r="E114" s="13">
        <v>43035.672199074077</v>
      </c>
      <c r="F114" s="13">
        <v>43035.677268518521</v>
      </c>
      <c r="G114" s="7">
        <v>65</v>
      </c>
      <c r="H114" s="21" t="s">
        <v>927</v>
      </c>
      <c r="I114" s="13">
        <v>43035.702048611114</v>
      </c>
      <c r="J114" s="7">
        <v>0</v>
      </c>
      <c r="K114" s="89" t="str">
        <f>IF(ISEVEN(B114),(B114-1)&amp;"/"&amp;B114,B114&amp;"/"&amp;(B114+1))</f>
        <v>4055/4056</v>
      </c>
      <c r="L114" s="185" t="str">
        <f>VLOOKUP(A114,'Trips&amp;Operators'!$C$1:$G$99911,5,FALSE)</f>
        <v>HOLCOMB KAMDEN</v>
      </c>
      <c r="M114" s="6">
        <f>I114-F114</f>
        <v>2.4780092593573499E-2</v>
      </c>
      <c r="N114" s="7">
        <f>24*60*SUM($M114:$M114)</f>
        <v>35.683333334745839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-27T15:07:58-0600',mode:absolute,to:'2017-10-27T17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5.57E-2</v>
      </c>
      <c r="Z114" s="204">
        <f>RIGHT(H114,LEN(H114)-4)/10000</f>
        <v>23.316299999999998</v>
      </c>
      <c r="AA114" s="204">
        <f>ABS(Z114-Y114)</f>
        <v>23.260599999999997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s3://rtdc.mdm.uploadarchive.raw/RTDC4056/ "%USERPROFILE%\AppData\Local\Temp\OnboardLogs"\RTDC4056\2017-10-27 --exclude "*" --recursive --include "*20171027*" &amp; "%USERPROFILE%\Documents\GitHub\mrs-test-scripts\Headless Mode &amp; Sideloading\WalkAndUnGZ.bat" "%USERPROFILE%\AppData\Local\Temp\OnboardLogs"\RTDC4056\2017-10-27 &amp; 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/stypes="app*4056*20171027*"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28"/>
        <v>"%USERPROFILE%\Documents\GitHub\eaglep3\Utilities\RefineRTDCRunTimes.py" --tripid 201-27 --locoid 4056 --swversion DE.1.0.9.0 --startMP 204:557 --initTime 2017-10-27T16:07:58 --startdatetime 2017-10-27T16:15:16 --delay 65 --endMP 204:233163 --enddatetime 2017-10-27T16:50:57 --enforcementcount 0 &gt;&gt;%USERPROFILE%\Documents\GitHub\eaglep3-reporting\EC\2017-10-27-refined-times.txt</v>
      </c>
      <c r="AI114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{"issue":{"subject":"","project_id":79,"tracker_id":40,"status_id":1,"priority_id":2,"assigned_to_id":338,"start_date":"2017-10-27","description":"","custom_fields":[{"id":1,"name":"Subdivision","value":"EC"},{"id":4,"name":"Milepost","value":"23.3163"},{"id":17,"name":"Train ID","value":"201-27"},{"id":16,"name":"Locomotive ID","value":"4056"},{"id":130,"name":"Impact","value":""},{"id":150,"name":"Time of Event (Mountain Time)","value":"16:50:57"},{"id":151,"name":"Denver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30"/>
        <v>start /low /b %USERPROFILE%\Documents\GitHub\eaglep3\Utilities\DownloadLogsFromS3.py --loco 4056 --day 2017-10-27</v>
      </c>
      <c r="AN114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32"/>
        <v>https://d0f6bd738d7f1b3e5a7ca70fe4ff75f0.us-east-1.aws.found.io/app/kibana#/discover/Steve-Slow-Train-Analysis-(2080s-and-2083s)?_g=(refreshInterval:(display:Off,pause:!f,section:0,value:0),time:(from:'2017-10-27T15:07:58-0600',mode:absolute,to:'2017-10-27T17:50:57-0600'))&amp;_a=(columns:!('Message%20ID',Summary),filters:!(),index:'emp_*',interval:auto,query:(query_string:(analyze_wildcard:!t,query:'%22rtdc.l.rtdc.4056%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800</v>
      </c>
      <c r="B115" s="7">
        <v>4055</v>
      </c>
      <c r="C115" s="21" t="s">
        <v>194</v>
      </c>
      <c r="D115" s="21" t="s">
        <v>961</v>
      </c>
      <c r="E115" s="13">
        <v>43035.714560185188</v>
      </c>
      <c r="F115" s="13">
        <v>43035.717013888891</v>
      </c>
      <c r="G115" s="7">
        <v>59</v>
      </c>
      <c r="H115" s="21" t="s">
        <v>962</v>
      </c>
      <c r="I115" s="13">
        <v>43035.742361111108</v>
      </c>
      <c r="J115" s="7">
        <v>0</v>
      </c>
      <c r="K115" s="89" t="str">
        <f>IF(ISEVEN(B115),(B115-1)&amp;"/"&amp;B115,B115&amp;"/"&amp;(B115+1))</f>
        <v>4055/4056</v>
      </c>
      <c r="L115" s="185" t="str">
        <f>VLOOKUP(A115,'Trips&amp;Operators'!$C$1:$G$99911,5,FALSE)</f>
        <v>HOLCOMB KAMDEN</v>
      </c>
      <c r="M115" s="6">
        <f>I115-F115</f>
        <v>2.5347222217533272E-2</v>
      </c>
      <c r="N115" s="7">
        <f>24*60*SUM($M115:$M115)</f>
        <v>36.499999993247911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-27T16:08:58-0600',mode:absolute,to:'2017-10-27T18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23.2836</v>
      </c>
      <c r="Z115" s="204">
        <f>RIGHT(H115,LEN(H115)-4)/10000</f>
        <v>2.4500000000000001E-2</v>
      </c>
      <c r="AA115" s="204">
        <f>ABS(Z115-Y115)</f>
        <v>23.2591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s3://rtdc.mdm.uploadarchive.raw/RTDC4055/ "%USERPROFILE%\AppData\Local\Temp\OnboardLogs"\RTDC4055\2017-10-27 --exclude "*" --recursive --include "*20171027*" &amp; "%USERPROFILE%\Documents\GitHub\mrs-test-scripts\Headless Mode &amp; Sideloading\WalkAndUnGZ.bat" "%USERPROFILE%\AppData\Local\Temp\OnboardLogs"\RTDC4055\2017-10-27 &amp; aws s3 cp s3://rtdc.mdm.uploadarchive.raw/RTDC4055/ "%USERPROFILE%\AppData\Local\Temp\OnboardLogs"\RTDC4055\2017-10-28 --exclude "*" --recursive --include "*20171028*" &amp; "%USERPROFILE%\Documents\GitHub\mrs-test-scripts\Headless Mode &amp; Sideloading\WalkAndUnGZ.bat" "%USERPROFILE%\AppData\Local\Temp\OnboardLogs"\RTDC4055\2017-10-28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/stypes="app*4055*20171027*"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28"/>
        <v>"%USERPROFILE%\Documents\GitHub\eaglep3\Utilities\RefineRTDCRunTimes.py" --tripid 202-27 --locoid 4055 --swversion DE.1.0.9.0 --startMP 204:232836 --initTime 2017-10-27T17:08:58 --startdatetime 2017-10-27T17:12:30 --delay 59 --endMP 204:245 --enddatetime 2017-10-27T17:49:00 --enforcementcount 0 &gt;&gt;%USERPROFILE%\Documents\GitHub\eaglep3-reporting\EC\2017-10-27-refined-times.txt</v>
      </c>
      <c r="AI115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{"issue":{"subject":"","project_id":79,"tracker_id":40,"status_id":1,"priority_id":2,"assigned_to_id":338,"start_date":"2017-10-27","description":"","custom_fields":[{"id":1,"name":"Subdivision","value":"EC"},{"id":4,"name":"Milepost","value":"0.0245"},{"id":17,"name":"Train ID","value":"202-27"},{"id":16,"name":"Locomotive ID","value":"4055"},{"id":130,"name":"Impact","value":""},{"id":150,"name":"Time of Event (Mountain Time)","value":"17:49:00"},{"id":151,"name":"Denver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30"/>
        <v>start /low /b %USERPROFILE%\Documents\GitHub\eaglep3\Utilities\DownloadLogsFromS3.py --loco 4055 --day 2017-10-27</v>
      </c>
      <c r="AN115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32"/>
        <v>https://d0f6bd738d7f1b3e5a7ca70fe4ff75f0.us-east-1.aws.found.io/app/kibana#/discover/Steve-Slow-Train-Analysis-(2080s-and-2083s)?_g=(refreshInterval:(display:Off,pause:!f,section:0,value:0),time:(from:'2017-10-27T16:08:58-0600',mode:absolute,to:'2017-10-27T18:49:00-0600'))&amp;_a=(columns:!('Message%20ID',Summary),filters:!(),index:'emp_*',interval:auto,query:(query_string:(analyze_wildcard:!t,query:'%22rtdc.l.rtdc.4055%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791</v>
      </c>
      <c r="B116" s="7">
        <v>4006</v>
      </c>
      <c r="C116" s="21" t="s">
        <v>194</v>
      </c>
      <c r="D116" s="21" t="s">
        <v>963</v>
      </c>
      <c r="E116" s="13">
        <v>43035.683796296296</v>
      </c>
      <c r="F116" s="13">
        <v>43035.687789351854</v>
      </c>
      <c r="G116" s="7">
        <v>104</v>
      </c>
      <c r="H116" s="21" t="s">
        <v>964</v>
      </c>
      <c r="I116" s="13">
        <v>43035.712592592594</v>
      </c>
      <c r="J116" s="7">
        <v>0</v>
      </c>
      <c r="K116" s="89" t="str">
        <f>IF(ISEVEN(B116),(B116-1)&amp;"/"&amp;B116,B116&amp;"/"&amp;(B116+1))</f>
        <v>4005/4006</v>
      </c>
      <c r="L116" s="185" t="str">
        <f>VLOOKUP(A116,'Trips&amp;Operators'!$C$1:$G$99911,5,FALSE)</f>
        <v>SAFIEF AEIMEN</v>
      </c>
      <c r="M116" s="6">
        <f>I116-F116</f>
        <v>2.4803240739856847E-2</v>
      </c>
      <c r="N116" s="7">
        <f>24*60*SUM($M116:$M116)</f>
        <v>35.716666665393859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-27T15:24:40-0600',mode:absolute,to:'2017-10-27T18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5.5300000000000002E-2</v>
      </c>
      <c r="Z116" s="204">
        <f>RIGHT(H116,LEN(H116)-4)/10000</f>
        <v>23.321300000000001</v>
      </c>
      <c r="AA116" s="204">
        <f>ABS(Z116-Y116)</f>
        <v>23.266000000000002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/stypes="app*4006*20171027*"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28"/>
        <v>"%USERPROFILE%\Documents\GitHub\eaglep3\Utilities\RefineRTDCRunTimes.py" --tripid 203-27 --locoid 4006 --swversion DE.1.0.9.0 --startMP 204:553 --initTime 2017-10-27T16:24:40 --startdatetime 2017-10-27T16:30:25 --delay 104 --endMP 204:233213 --enddatetime 2017-10-27T17:06:08 --enforcementcount 0 &gt;&gt;%USERPROFILE%\Documents\GitHub\eaglep3-reporting\EC\2017-10-27-refined-times.txt</v>
      </c>
      <c r="AI116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{"issue":{"subject":"","project_id":79,"tracker_id":40,"status_id":1,"priority_id":2,"assigned_to_id":338,"start_date":"2017-10-27","description":"","custom_fields":[{"id":1,"name":"Subdivision","value":"EC"},{"id":4,"name":"Milepost","value":"23.3213"},{"id":17,"name":"Train ID","value":"203-27"},{"id":16,"name":"Locomotive ID","value":"4006"},{"id":130,"name":"Impact","value":""},{"id":150,"name":"Time of Event (Mountain Time)","value":"17:06:08"},{"id":151,"name":"Denver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30"/>
        <v>start /low /b %USERPROFILE%\Documents\GitHub\eaglep3\Utilities\DownloadLogsFromS3.py --loco 4006 --day 2017-10-27</v>
      </c>
      <c r="AN116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32"/>
        <v>https://d0f6bd738d7f1b3e5a7ca70fe4ff75f0.us-east-1.aws.found.io/app/kibana#/discover/Steve-Slow-Train-Analysis-(2080s-and-2083s)?_g=(refreshInterval:(display:Off,pause:!f,section:0,value:0),time:(from:'2017-10-27T15:24:40-0600',mode:absolute,to:'2017-10-27T18:06:08-0600'))&amp;_a=(columns:!('Message%20ID',Summary),filters:!(),index:'emp_*',interval:auto,query:(query_string:(analyze_wildcard:!t,query:'%22rtdc.l.rtdc.4006%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635</v>
      </c>
      <c r="B117" s="7">
        <v>4005</v>
      </c>
      <c r="C117" s="21" t="s">
        <v>194</v>
      </c>
      <c r="D117" s="21" t="s">
        <v>596</v>
      </c>
      <c r="E117" s="13">
        <v>43035.714965277781</v>
      </c>
      <c r="F117" s="13">
        <v>43035.72724537037</v>
      </c>
      <c r="G117" s="7">
        <v>72</v>
      </c>
      <c r="H117" s="21" t="s">
        <v>528</v>
      </c>
      <c r="I117" s="13">
        <v>43035.753645833334</v>
      </c>
      <c r="J117" s="7">
        <v>0</v>
      </c>
      <c r="K117" s="89" t="str">
        <f>IF(ISEVEN(B117),(B117-1)&amp;"/"&amp;B117,B117&amp;"/"&amp;(B117+1))</f>
        <v>4005/4006</v>
      </c>
      <c r="L117" s="185" t="str">
        <f>VLOOKUP(A117,'Trips&amp;Operators'!$C$1:$G$99911,5,FALSE)</f>
        <v>SAFIEF AEIMEN</v>
      </c>
      <c r="M117" s="6">
        <f>I117-F117</f>
        <v>2.6400462964375038E-2</v>
      </c>
      <c r="N117" s="7">
        <f>24*60*SUM($M117:$M117)</f>
        <v>38.016666668700054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-27T16:09:33-0600',mode:absolute,to:'2017-10-27T19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23.289200000000001</v>
      </c>
      <c r="Z117" s="204">
        <f>RIGHT(H117,LEN(H117)-4)/10000</f>
        <v>2.3800000000000002E-2</v>
      </c>
      <c r="AA117" s="204">
        <f>ABS(Z117-Y117)</f>
        <v>23.2654</v>
      </c>
      <c r="AB117" s="54" t="str">
        <f>VLOOKUP(A117,Enforcements!$C$7:$K$11,8,0)</f>
        <v>Bulletin (2)</v>
      </c>
      <c r="AC117" s="51" t="str">
        <f>VLOOKUP(A117,Enforcements!$C$7:$E$11,3,0)</f>
        <v>GRADE CROSSING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/stypes="app*4005*20171028*"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28"/>
        <v>"%USERPROFILE%\Documents\GitHub\eaglep3\Utilities\RefineRTDCRunTimes.py" --tripid 204-27 --locoid 4005 --swversion DE.1.0.9.0 --startMP 204:232892 --initTime 2017-10-27T17:09:33 --startdatetime 2017-10-27T17:27:14 --delay 72 --endMP 204:238 --enddatetime 2017-10-27T18:05:15 --enforcementcount 0 &gt;&gt;%USERPROFILE%\Documents\GitHub\eaglep3-reporting\EC\2017-10-27-refined-times.txt</v>
      </c>
      <c r="AI117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{"issue":{"subject":"","project_id":79,"tracker_id":40,"status_id":1,"priority_id":2,"assigned_to_id":338,"start_date":"2017-10-27","description":"","custom_fields":[{"id":1,"name":"Subdivision","value":"EC"},{"id":4,"name":"Milepost","value":"0.0238"},{"id":17,"name":"Train ID","value":"204-27"},{"id":16,"name":"Locomotive ID","value":"4005"},{"id":130,"name":"Impact","value":""},{"id":150,"name":"Time of Event (Mountain Time)","value":"18:05:15"},{"id":151,"name":"Denver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30"/>
        <v>start /low /b %USERPROFILE%\Documents\GitHub\eaglep3\Utilities\DownloadLogsFromS3.py --loco 4005 --day 2017-10-27</v>
      </c>
      <c r="AN117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32"/>
        <v>https://d0f6bd738d7f1b3e5a7ca70fe4ff75f0.us-east-1.aws.found.io/app/kibana#/discover/Steve-Slow-Train-Analysis-(2080s-and-2083s)?_g=(refreshInterval:(display:Off,pause:!f,section:0,value:0),time:(from:'2017-10-27T16:09:33-0600',mode:absolute,to:'2017-10-27T19:05:15-0600'))&amp;_a=(columns:!('Message%20ID',Summary),filters:!(),index:'emp_*',interval:auto,query:(query_string:(analyze_wildcard:!t,query:'%22rtdc.l.rtdc.4005%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794</v>
      </c>
      <c r="B118" s="7">
        <v>4008</v>
      </c>
      <c r="C118" s="21" t="s">
        <v>194</v>
      </c>
      <c r="D118" s="21" t="s">
        <v>607</v>
      </c>
      <c r="E118" s="13">
        <v>43035.692800925928</v>
      </c>
      <c r="F118" s="13">
        <v>43035.698101851849</v>
      </c>
      <c r="G118" s="7">
        <v>69</v>
      </c>
      <c r="H118" s="21" t="s">
        <v>935</v>
      </c>
      <c r="I118" s="13">
        <v>43035.723009259258</v>
      </c>
      <c r="J118" s="7">
        <v>0</v>
      </c>
      <c r="K118" s="89" t="str">
        <f>IF(ISEVEN(B118),(B118-1)&amp;"/"&amp;B118,B118&amp;"/"&amp;(B118+1))</f>
        <v>4007/4008</v>
      </c>
      <c r="L118" s="185" t="str">
        <f>VLOOKUP(A118,'Trips&amp;Operators'!$C$1:$G$99911,5,FALSE)</f>
        <v>BRUDER RICHARD</v>
      </c>
      <c r="M118" s="6">
        <f>I118-F118</f>
        <v>2.4907407409045845E-2</v>
      </c>
      <c r="N118" s="7">
        <f>24*60*SUM($M118:$M118)</f>
        <v>35.866666669026017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-27T15:37:38-0600',mode:absolute,to:'2017-10-27T18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5.1499999999999997E-2</v>
      </c>
      <c r="Z118" s="204">
        <f>RIGHT(H118,LEN(H118)-4)/10000</f>
        <v>23.319299999999998</v>
      </c>
      <c r="AA118" s="204">
        <f>ABS(Z118-Y118)</f>
        <v>23.267799999999998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/stypes="app*4008*20171027*"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28"/>
        <v>"%USERPROFILE%\Documents\GitHub\eaglep3\Utilities\RefineRTDCRunTimes.py" --tripid 205-27 --locoid 4008 --swversion DE.1.0.9.0 --startMP 204:515 --initTime 2017-10-27T16:37:38 --startdatetime 2017-10-27T16:45:16 --delay 69 --endMP 204:233193 --enddatetime 2017-10-27T17:21:08 --enforcementcount 0 &gt;&gt;%USERPROFILE%\Documents\GitHub\eaglep3-reporting\EC\2017-10-27-refined-times.txt</v>
      </c>
      <c r="AI118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{"issue":{"subject":"","project_id":79,"tracker_id":40,"status_id":1,"priority_id":2,"assigned_to_id":338,"start_date":"2017-10-27","description":"","custom_fields":[{"id":1,"name":"Subdivision","value":"EC"},{"id":4,"name":"Milepost","value":"23.3193"},{"id":17,"name":"Train ID","value":"205-27"},{"id":16,"name":"Locomotive ID","value":"4008"},{"id":130,"name":"Impact","value":""},{"id":150,"name":"Time of Event (Mountain Time)","value":"17:21:08"},{"id":151,"name":"Denver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30"/>
        <v>start /low /b %USERPROFILE%\Documents\GitHub\eaglep3\Utilities\DownloadLogsFromS3.py --loco 4008 --day 2017-10-27</v>
      </c>
      <c r="AN118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32"/>
        <v>https://d0f6bd738d7f1b3e5a7ca70fe4ff75f0.us-east-1.aws.found.io/app/kibana#/discover/Steve-Slow-Train-Analysis-(2080s-and-2083s)?_g=(refreshInterval:(display:Off,pause:!f,section:0,value:0),time:(from:'2017-10-27T15:37:38-0600',mode:absolute,to:'2017-10-27T18:21:08-0600'))&amp;_a=(columns:!('Message%20ID',Summary),filters:!(),index:'emp_*',interval:auto,query:(query_string:(analyze_wildcard:!t,query:'%22rtdc.l.rtdc.4008%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806</v>
      </c>
      <c r="B119" s="7">
        <v>4007</v>
      </c>
      <c r="C119" s="21" t="s">
        <v>194</v>
      </c>
      <c r="D119" s="21" t="s">
        <v>913</v>
      </c>
      <c r="E119" s="13">
        <v>43035.734155092592</v>
      </c>
      <c r="F119" s="13">
        <v>43035.737662037034</v>
      </c>
      <c r="G119" s="7">
        <v>80</v>
      </c>
      <c r="H119" s="21" t="s">
        <v>600</v>
      </c>
      <c r="I119" s="13">
        <v>43035.76358796296</v>
      </c>
      <c r="J119" s="7">
        <v>0</v>
      </c>
      <c r="K119" s="89" t="str">
        <f>IF(ISEVEN(B119),(B119-1)&amp;"/"&amp;B119,B119&amp;"/"&amp;(B119+1))</f>
        <v>4007/4008</v>
      </c>
      <c r="L119" s="185" t="str">
        <f>VLOOKUP(A119,'Trips&amp;Operators'!$C$1:$G$99911,5,FALSE)</f>
        <v>BRUDER RICHARD</v>
      </c>
      <c r="M119" s="6">
        <f>I119-F119</f>
        <v>2.5925925925548654E-2</v>
      </c>
      <c r="N119" s="7">
        <f>24*60*SUM($M119:$M119)</f>
        <v>37.333333332790062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-27T16:37:11-0600',mode:absolute,to:'2017-10-27T19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23.286899999999999</v>
      </c>
      <c r="Z119" s="204">
        <f>RIGHT(H119,LEN(H119)-4)/10000</f>
        <v>2.2700000000000001E-2</v>
      </c>
      <c r="AA119" s="204">
        <f>ABS(Z119-Y119)</f>
        <v>23.264199999999999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/stypes="app*4007*20171028*"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28"/>
        <v>"%USERPROFILE%\Documents\GitHub\eaglep3\Utilities\RefineRTDCRunTimes.py" --tripid 206-27 --locoid 4007 --swversion DE.1.0.9.0 --startMP 204:232869 --initTime 2017-10-27T17:37:11 --startdatetime 2017-10-27T17:42:14 --delay 80 --endMP 204:227 --enddatetime 2017-10-27T18:19:34 --enforcementcount 0 &gt;&gt;%USERPROFILE%\Documents\GitHub\eaglep3-reporting\EC\2017-10-27-refined-times.txt</v>
      </c>
      <c r="AI119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{"issue":{"subject":"","project_id":79,"tracker_id":40,"status_id":1,"priority_id":2,"assigned_to_id":338,"start_date":"2017-10-27","description":"","custom_fields":[{"id":1,"name":"Subdivision","value":"EC"},{"id":4,"name":"Milepost","value":"0.0227"},{"id":17,"name":"Train ID","value":"206-27"},{"id":16,"name":"Locomotive ID","value":"4007"},{"id":130,"name":"Impact","value":""},{"id":150,"name":"Time of Event (Mountain Time)","value":"18:19:34"},{"id":151,"name":"Denver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30"/>
        <v>start /low /b %USERPROFILE%\Documents\GitHub\eaglep3\Utilities\DownloadLogsFromS3.py --loco 4007 --day 2017-10-27</v>
      </c>
      <c r="AN119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32"/>
        <v>https://d0f6bd738d7f1b3e5a7ca70fe4ff75f0.us-east-1.aws.found.io/app/kibana#/discover/Steve-Slow-Train-Analysis-(2080s-and-2083s)?_g=(refreshInterval:(display:Off,pause:!f,section:0,value:0),time:(from:'2017-10-27T16:37:11-0600',mode:absolute,to:'2017-10-27T19:19:34-0600'))&amp;_a=(columns:!('Message%20ID',Summary),filters:!(),index:'emp_*',interval:auto,query:(query_string:(analyze_wildcard:!t,query:'%22rtdc.l.rtdc.4007%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797</v>
      </c>
      <c r="B120" s="7">
        <v>4052</v>
      </c>
      <c r="C120" s="21" t="s">
        <v>194</v>
      </c>
      <c r="D120" s="21" t="s">
        <v>531</v>
      </c>
      <c r="E120" s="13">
        <v>43035.703726851854</v>
      </c>
      <c r="F120" s="13">
        <v>43035.708553240744</v>
      </c>
      <c r="G120" s="7">
        <v>59</v>
      </c>
      <c r="H120" s="21" t="s">
        <v>965</v>
      </c>
      <c r="I120" s="13">
        <v>43035.733807870369</v>
      </c>
      <c r="J120" s="7">
        <v>0</v>
      </c>
      <c r="K120" s="89" t="str">
        <f>IF(ISEVEN(B120),(B120-1)&amp;"/"&amp;B120,B120&amp;"/"&amp;(B120+1))</f>
        <v>4051/4052</v>
      </c>
      <c r="L120" s="185" t="str">
        <f>VLOOKUP(A120,'Trips&amp;Operators'!$C$1:$G$99911,5,FALSE)</f>
        <v>LEVERE CRAIG</v>
      </c>
      <c r="M120" s="6">
        <f>I120-F120</f>
        <v>2.5254629625123926E-2</v>
      </c>
      <c r="N120" s="7">
        <f>24*60*SUM($M120:$M120)</f>
        <v>36.366666660178453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-27T15:53:22-0600',mode:absolute,to:'2017-10-27T18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5.62E-2</v>
      </c>
      <c r="Z120" s="204">
        <f>RIGHT(H120,LEN(H120)-4)/10000</f>
        <v>23.3217</v>
      </c>
      <c r="AA120" s="204">
        <f>ABS(Z120-Y120)</f>
        <v>23.265499999999999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/stypes="app*4052*20171027*"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28"/>
        <v>"%USERPROFILE%\Documents\GitHub\eaglep3\Utilities\RefineRTDCRunTimes.py" --tripid 207-27 --locoid 4052 --swversion DE.1.0.9.0 --startMP 204:562 --initTime 2017-10-27T16:53:22 --startdatetime 2017-10-27T17:00:19 --delay 59 --endMP 204:233217 --enddatetime 2017-10-27T17:36:41 --enforcementcount 0 &gt;&gt;%USERPROFILE%\Documents\GitHub\eaglep3-reporting\EC\2017-10-27-refined-times.txt</v>
      </c>
      <c r="AI120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{"issue":{"subject":"","project_id":79,"tracker_id":40,"status_id":1,"priority_id":2,"assigned_to_id":338,"start_date":"2017-10-27","description":"","custom_fields":[{"id":1,"name":"Subdivision","value":"EC"},{"id":4,"name":"Milepost","value":"23.3217"},{"id":17,"name":"Train ID","value":"207-27"},{"id":16,"name":"Locomotive ID","value":"4052"},{"id":130,"name":"Impact","value":""},{"id":150,"name":"Time of Event (Mountain Time)","value":"17:36:41"},{"id":151,"name":"Denver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30"/>
        <v>start /low /b %USERPROFILE%\Documents\GitHub\eaglep3\Utilities\DownloadLogsFromS3.py --loco 4052 --day 2017-10-27</v>
      </c>
      <c r="AN120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32"/>
        <v>https://d0f6bd738d7f1b3e5a7ca70fe4ff75f0.us-east-1.aws.found.io/app/kibana#/discover/Steve-Slow-Train-Analysis-(2080s-and-2083s)?_g=(refreshInterval:(display:Off,pause:!f,section:0,value:0),time:(from:'2017-10-27T15:53:22-0600',mode:absolute,to:'2017-10-27T18:36:41-0600'))&amp;_a=(columns:!('Message%20ID',Summary),filters:!(),index:'emp_*',interval:auto,query:(query_string:(analyze_wildcard:!t,query:'%22rtdc.l.rtdc.4052%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808</v>
      </c>
      <c r="B121" s="7">
        <v>4051</v>
      </c>
      <c r="C121" s="21" t="s">
        <v>194</v>
      </c>
      <c r="D121" s="21" t="s">
        <v>588</v>
      </c>
      <c r="E121" s="13">
        <v>43035.743078703701</v>
      </c>
      <c r="F121" s="13">
        <v>43035.759317129632</v>
      </c>
      <c r="G121" s="7">
        <v>68</v>
      </c>
      <c r="H121" s="21" t="s">
        <v>588</v>
      </c>
      <c r="I121" s="13">
        <v>43035.776817129627</v>
      </c>
      <c r="J121" s="7">
        <v>0</v>
      </c>
      <c r="K121" s="89" t="str">
        <f>IF(ISEVEN(B121),(B121-1)&amp;"/"&amp;B121,B121&amp;"/"&amp;(B121+1))</f>
        <v>4051/4052</v>
      </c>
      <c r="L121" s="185" t="str">
        <f>VLOOKUP(A121,'Trips&amp;Operators'!$C$1:$G$99911,5,FALSE)</f>
        <v>LEVERE CRAIG</v>
      </c>
      <c r="M121" s="6">
        <f>I121-F121</f>
        <v>1.7499999994470272E-2</v>
      </c>
      <c r="N121" s="7"/>
      <c r="O121" s="7"/>
      <c r="P121" s="7"/>
      <c r="Q121" s="22"/>
      <c r="R121" s="174"/>
      <c r="S121" s="221"/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0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-27T16:50:02-0600',mode:absolute,to:'2017-10-27T19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1" s="204" t="str">
        <f>IF(AA121&lt;VLOOKUP(AG121,Variables!$AC$3:$AD$8,2,FALSE),"Y","N")</f>
        <v>Y</v>
      </c>
      <c r="X121" s="204">
        <f>VALUE(LEFT(AD121,4))-VALUE(LEFT(AD120,4))</f>
        <v>1</v>
      </c>
      <c r="Y121" s="204">
        <f>RIGHT(D121,LEN(D121)-4)/10000</f>
        <v>23.290400000000002</v>
      </c>
      <c r="Z121" s="204">
        <f>RIGHT(H121,LEN(H121)-4)/10000</f>
        <v>23.290400000000002</v>
      </c>
      <c r="AA121" s="204">
        <f>ABS(Z121-Y121)</f>
        <v>0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s3://rtdc.mdm.uploadarchive.raw/RTDC4051/ "%USERPROFILE%\AppData\Local\Temp\OnboardLogs"\RTDC4051\2017-10-27 --exclude "*" --recursive --include "*20171027*" &amp; "%USERPROFILE%\Documents\GitHub\mrs-test-scripts\Headless Mode &amp; Sideloading\WalkAndUnGZ.bat" "%USERPROFILE%\AppData\Local\Temp\OnboardLogs"\RTDC4051\2017-10-27 &amp; aws s3 cp s3://rtdc.mdm.uploadarchive.raw/RTDC4051/ "%USERPROFILE%\AppData\Local\Temp\OnboardLogs"\RTDC4051\2017-10-28 --exclude "*" --recursive --include "*20171028*" &amp; "%USERPROFILE%\Documents\GitHub\mrs-test-scripts\Headless Mode &amp; Sideloading\WalkAndUnGZ.bat" "%USERPROFILE%\AppData\Local\Temp\OnboardLogs"\RTDC4051\2017-10-28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/stypes="app*4051*20171028*"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28"/>
        <v>"%USERPROFILE%\Documents\GitHub\eaglep3\Utilities\RefineRTDCRunTimes.py" --tripid 208-27 --locoid 4051 --swversion DE.1.0.9.0 --startMP 204:232904 --initTime 2017-10-27T17:50:02 --startdatetime 2017-10-27T18:13:25 --delay 68 --endMP 204:232904 --enddatetime 2017-10-27T18:38:37 --enforcementcount 0 &gt;&gt;%USERPROFILE%\Documents\GitHub\eaglep3-reporting\EC\2017-10-27-refined-times.txt</v>
      </c>
      <c r="AI121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{"issue":{"subject":"","project_id":79,"tracker_id":40,"status_id":1,"priority_id":2,"assigned_to_id":338,"start_date":"2017-10-27","description":"","custom_fields":[{"id":1,"name":"Subdivision","value":"EC"},{"id":4,"name":"Milepost","value":"23.2904"},{"id":17,"name":"Train ID","value":"208-27"},{"id":16,"name":"Locomotive ID","value":"4051"},{"id":130,"name":"Impact","value":""},{"id":150,"name":"Time of Event (Mountain Time)","value":"18:38:37"},{"id":151,"name":"Denver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30"/>
        <v>start /low /b %USERPROFILE%\Documents\GitHub\eaglep3\Utilities\DownloadLogsFromS3.py --loco 4051 --day 2017-10-27</v>
      </c>
      <c r="AN121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32"/>
        <v>https://d0f6bd738d7f1b3e5a7ca70fe4ff75f0.us-east-1.aws.found.io/app/kibana#/discover/Steve-Slow-Train-Analysis-(2080s-and-2083s)?_g=(refreshInterval:(display:Off,pause:!f,section:0,value:0),time:(from:'2017-10-27T16:50:02-0600',mode:absolute,to:'2017-10-27T19:38:37-0600'))&amp;_a=(columns:!('Message%20ID',Summary),filters:!(),index:'emp_*',interval:auto,query:(query_string:(analyze_wildcard:!t,query:'%22rtdc.l.rtdc.4051%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808</v>
      </c>
      <c r="B122" s="7">
        <v>4051</v>
      </c>
      <c r="C122" s="21" t="s">
        <v>194</v>
      </c>
      <c r="D122" s="21" t="s">
        <v>966</v>
      </c>
      <c r="E122" s="13">
        <v>43035.7580787037</v>
      </c>
      <c r="F122" s="13">
        <v>43035.759317129632</v>
      </c>
      <c r="G122" s="7">
        <v>51</v>
      </c>
      <c r="H122" s="21" t="s">
        <v>597</v>
      </c>
      <c r="I122" s="13">
        <v>43035.776817129627</v>
      </c>
      <c r="J122" s="7">
        <v>0</v>
      </c>
      <c r="K122" s="89" t="str">
        <f>IF(ISEVEN(B122),(B122-1)&amp;"/"&amp;B122,B122&amp;"/"&amp;(B122+1))</f>
        <v>4051/4052</v>
      </c>
      <c r="L122" s="185" t="str">
        <f>VLOOKUP(A122,'Trips&amp;Operators'!$C$1:$G$99911,5,FALSE)</f>
        <v>LEVERE CRAIG</v>
      </c>
      <c r="M122" s="6">
        <f>I122-F122</f>
        <v>1.7499999994470272E-2</v>
      </c>
      <c r="N122" s="7"/>
      <c r="O122" s="7"/>
      <c r="P122" s="7">
        <f>24*60*SUM($M122:$M122)</f>
        <v>25.199999992037192</v>
      </c>
      <c r="Q122" s="22"/>
      <c r="R122" s="174" t="s">
        <v>620</v>
      </c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-27T17:11:38-0600',mode:absolute,to:'2017-10-27T19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2" s="204" t="str">
        <f>IF(AA122&lt;VLOOKUP(AG122,Variables!$AC$3:$AD$8,2,FALSE),"Y","N")</f>
        <v>Y</v>
      </c>
      <c r="X122" s="204">
        <f>VALUE(LEFT(AD122,4))-VALUE(LEFT(AD121,4))</f>
        <v>0</v>
      </c>
      <c r="Y122" s="204">
        <f>RIGHT(D122,LEN(D122)-4)/10000</f>
        <v>12.786899999999999</v>
      </c>
      <c r="Z122" s="204">
        <f>RIGHT(H122,LEN(H122)-4)/10000</f>
        <v>2.7300000000000001E-2</v>
      </c>
      <c r="AA122" s="204">
        <f>ABS(Z122-Y122)</f>
        <v>12.759599999999999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208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s3://rtdc.mdm.uploadarchive.raw/RTDC4051/ "%USERPROFILE%\AppData\Local\Temp\OnboardLogs"\RTDC4051\2017-10-27 --exclude "*" --recursive --include "*20171027*" &amp; "%USERPROFILE%\Documents\GitHub\mrs-test-scripts\Headless Mode &amp; Sideloading\WalkAndUnGZ.bat" "%USERPROFILE%\AppData\Local\Temp\OnboardLogs"\RTDC4051\2017-10-27 &amp; aws s3 cp s3://rtdc.mdm.uploadarchive.raw/RTDC4051/ "%USERPROFILE%\AppData\Local\Temp\OnboardLogs"\RTDC4051\2017-10-28 --exclude "*" --recursive --include "*20171028*" &amp; "%USERPROFILE%\Documents\GitHub\mrs-test-scripts\Headless Mode &amp; Sideloading\WalkAndUnGZ.bat" "%USERPROFILE%\AppData\Local\Temp\OnboardLogs"\RTDC4051\2017-10-28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/stypes="app*4051*20171028*" /stext=" 00:.+((SYSTEM_STATE.+slice.+state.+changed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28"/>
        <v>"%USERPROFILE%\Documents\GitHub\eaglep3\Utilities\RefineRTDCRunTimes.py" --tripid 208-27 --locoid 4051 --swversion DE.1.0.9.0 --startMP 204:127869 --initTime 2017-10-27T18:11:38 --startdatetime 2017-10-27T18:13:25 --delay 51 --endMP 204:273 --enddatetime 2017-10-27T18:38:37 --enforcementcount 0 &gt;&gt;%USERPROFILE%\Documents\GitHub\eaglep3-reporting\EC\2017-10-27-refined-times.txt</v>
      </c>
      <c r="AI122" s="96" t="str">
        <f t="shared" si="29"/>
        <v>echo {"issue":{"subject":"Onboard en route failure","project_id":79,"tracker_id":40,"status_id":1,"priority_id":2,"assigned_to_id":338,"start_date":"2017-10-27","description":"","custom_fields":[{"id":1,"name":"Subdivision","value":"EC"},{"id":4,"name":"Milepost","value":"0.0273"},{"id":17,"name":"Train ID","value":"208-27"},{"id":16,"name":"Locomotive ID","value":"4051"},{"id":130,"name":"Impact","value":""},{"id":150,"name":"Time of Event (Mountain Time)","value":"18:38:37"},{"id":151,"name":"Denver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30"/>
        <v>start /low /b %USERPROFILE%\Documents\GitHub\eaglep3\Utilities\DownloadLogsFromS3.py --loco 4051 --day 2017-10-27</v>
      </c>
      <c r="AN122" s="151" t="str">
        <f t="shared" si="31"/>
        <v>echo {"issue":{"subject":"Onboard en route failure","project_id":30,"tracker_id":4,"status_id":1,"priority_id":1,"assigned_to_id":10,"start_date":"2017-10-28","description":"","custom_fields":[{"id":30,"name":"Category","value":"Issue"},{"id":3,"name":"Functional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32"/>
        <v>https://d0f6bd738d7f1b3e5a7ca70fe4ff75f0.us-east-1.aws.found.io/app/kibana#/discover/Steve-Slow-Train-Analysis-(2080s-and-2083s)?_g=(refreshInterval:(display:Off,pause:!f,section:0,value:0),time:(from:'2017-10-27T17:11:38-0600',mode:absolute,to:'2017-10-27T19:38:37-0600'))&amp;_a=(columns:!('Message%20ID',Summary),filters:!(),index:'emp_*',interval:auto,query:(query_string:(analyze_wildcard:!t,query:'%22rtdc.l.rtdc.4051%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801</v>
      </c>
      <c r="B123" s="7">
        <v>4018</v>
      </c>
      <c r="C123" s="21" t="s">
        <v>194</v>
      </c>
      <c r="D123" s="21" t="s">
        <v>349</v>
      </c>
      <c r="E123" s="13">
        <v>43035.715787037036</v>
      </c>
      <c r="F123" s="13">
        <v>43035.718981481485</v>
      </c>
      <c r="G123" s="7">
        <v>71</v>
      </c>
      <c r="H123" s="21" t="s">
        <v>580</v>
      </c>
      <c r="I123" s="13">
        <v>43035.745057870372</v>
      </c>
      <c r="J123" s="7">
        <v>0</v>
      </c>
      <c r="K123" s="89" t="str">
        <f>IF(ISEVEN(B123),(B123-1)&amp;"/"&amp;B123,B123&amp;"/"&amp;(B123+1))</f>
        <v>4017/4018</v>
      </c>
      <c r="L123" s="185" t="str">
        <f>VLOOKUP(A123,'Trips&amp;Operators'!$C$1:$G$99911,5,FALSE)</f>
        <v>STRICKLAND EVAN</v>
      </c>
      <c r="M123" s="6">
        <f>I123-F123</f>
        <v>2.6076388887304347E-2</v>
      </c>
      <c r="N123" s="7">
        <f>24*60*SUM($M123:$M123)</f>
        <v>37.54999999771826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-27T16:10:44-0600',mode:absolute,to:'2017-10-27T18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4.58E-2</v>
      </c>
      <c r="Z123" s="204">
        <f>RIGHT(H123,LEN(H123)-4)/10000</f>
        <v>23.319199999999999</v>
      </c>
      <c r="AA123" s="204">
        <f>ABS(Z123-Y123)</f>
        <v>23.273399999999999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209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/stypes="app*4018*20171027*" /stext=" 23:.+((SYSTEM_STATE.+slice.+state.+changed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28"/>
        <v>"%USERPROFILE%\Documents\GitHub\eaglep3\Utilities\RefineRTDCRunTimes.py" --tripid 209-27 --locoid 4018 --swversion DE.1.0.9.0 --startMP 204:458 --initTime 2017-10-27T17:10:44 --startdatetime 2017-10-27T17:15:20 --delay 71 --endMP 204:233192 --enddatetime 2017-10-27T17:52:53 --enforcementcount 0 &gt;&gt;%USERPROFILE%\Documents\GitHub\eaglep3-reporting\EC\2017-10-27-refined-times.txt</v>
      </c>
      <c r="AI123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{"issue":{"subject":"","project_id":79,"tracker_id":40,"status_id":1,"priority_id":2,"assigned_to_id":338,"start_date":"2017-10-27","description":"","custom_fields":[{"id":1,"name":"Subdivision","value":"EC"},{"id":4,"name":"Milepost","value":"23.3192"},{"id":17,"name":"Train ID","value":"209-27"},{"id":16,"name":"Locomotive ID","value":"4018"},{"id":130,"name":"Impact","value":""},{"id":150,"name":"Time of Event (Mountain Time)","value":"17:52:53"},{"id":151,"name":"Denver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30"/>
        <v>start /low /b %USERPROFILE%\Documents\GitHub\eaglep3\Utilities\DownloadLogsFromS3.py --loco 4018 --day 2017-10-27</v>
      </c>
      <c r="AN123" s="151" t="str">
        <f t="shared" si="31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32"/>
        <v>https://d0f6bd738d7f1b3e5a7ca70fe4ff75f0.us-east-1.aws.found.io/app/kibana#/discover/Steve-Slow-Train-Analysis-(2080s-and-2083s)?_g=(refreshInterval:(display:Off,pause:!f,section:0,value:0),time:(from:'2017-10-27T16:10:44-0600',mode:absolute,to:'2017-10-27T18:52:53-0600'))&amp;_a=(columns:!('Message%20ID',Summary),filters:!(),index:'emp_*',interval:auto,query:(query_string:(analyze_wildcard:!t,query:'%22rtdc.l.rtdc.4018%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810</v>
      </c>
      <c r="B124" s="7">
        <v>4017</v>
      </c>
      <c r="C124" s="21" t="s">
        <v>194</v>
      </c>
      <c r="D124" s="21" t="s">
        <v>967</v>
      </c>
      <c r="E124" s="13">
        <v>43035.746527777781</v>
      </c>
      <c r="F124" s="13">
        <v>43035.758703703701</v>
      </c>
      <c r="G124" s="7">
        <v>93</v>
      </c>
      <c r="H124" s="21" t="s">
        <v>350</v>
      </c>
      <c r="I124" s="13">
        <v>43035.785509259258</v>
      </c>
      <c r="J124" s="7">
        <v>0</v>
      </c>
      <c r="K124" s="89" t="str">
        <f>IF(ISEVEN(B124),(B124-1)&amp;"/"&amp;B124,B124&amp;"/"&amp;(B124+1))</f>
        <v>4017/4018</v>
      </c>
      <c r="L124" s="185" t="str">
        <f>VLOOKUP(A124,'Trips&amp;Operators'!$C$1:$G$99911,5,FALSE)</f>
        <v>STRICKLAND EVAN</v>
      </c>
      <c r="M124" s="6">
        <f>I124-F124</f>
        <v>2.6805555557075422E-2</v>
      </c>
      <c r="N124" s="7">
        <f>24*60*SUM($M124:$M124)</f>
        <v>38.600000002188608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-27T16:55:00-0600',mode:absolute,to:'2017-10-27T19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23.288399999999999</v>
      </c>
      <c r="Z124" s="204">
        <f>RIGHT(H124,LEN(H124)-4)/10000</f>
        <v>1.52E-2</v>
      </c>
      <c r="AA124" s="204">
        <f>ABS(Z124-Y124)</f>
        <v>23.273199999999999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210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/stypes="app*4017*20171028*"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28"/>
        <v>"%USERPROFILE%\Documents\GitHub\eaglep3\Utilities\RefineRTDCRunTimes.py" --tripid 210-27 --locoid 4017 --swversion DE.1.0.9.0 --startMP 204:232884 --initTime 2017-10-27T17:55:00 --startdatetime 2017-10-27T18:12:32 --delay 93 --endMP 204:152 --enddatetime 2017-10-27T18:51:08 --enforcementcount 0 &gt;&gt;%USERPROFILE%\Documents\GitHub\eaglep3-reporting\EC\2017-10-27-refined-times.txt</v>
      </c>
      <c r="AI124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{"issue":{"subject":"","project_id":79,"tracker_id":40,"status_id":1,"priority_id":2,"assigned_to_id":338,"start_date":"2017-10-27","description":"","custom_fields":[{"id":1,"name":"Subdivision","value":"EC"},{"id":4,"name":"Milepost","value":"0.0152"},{"id":17,"name":"Train ID","value":"210-27"},{"id":16,"name":"Locomotive ID","value":"4017"},{"id":130,"name":"Impact","value":""},{"id":150,"name":"Time of Event (Mountain Time)","value":"18:51:08"},{"id":151,"name":"Denver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30"/>
        <v>start /low /b %USERPROFILE%\Documents\GitHub\eaglep3\Utilities\DownloadLogsFromS3.py --loco 4017 --day 2017-10-27</v>
      </c>
      <c r="AN124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32"/>
        <v>https://d0f6bd738d7f1b3e5a7ca70fe4ff75f0.us-east-1.aws.found.io/app/kibana#/discover/Steve-Slow-Train-Analysis-(2080s-and-2083s)?_g=(refreshInterval:(display:Off,pause:!f,section:0,value:0),time:(from:'2017-10-27T16:55:00-0600',mode:absolute,to:'2017-10-27T19:51:08-0600'))&amp;_a=(columns:!('Message%20ID',Summary),filters:!(),index:'emp_*',interval:auto,query:(query_string:(analyze_wildcard:!t,query:'%22rtdc.l.rtdc.4017%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803</v>
      </c>
      <c r="B125" s="7">
        <v>4014</v>
      </c>
      <c r="C125" s="21" t="s">
        <v>194</v>
      </c>
      <c r="D125" s="21" t="s">
        <v>963</v>
      </c>
      <c r="E125" s="13">
        <v>43035.727037037039</v>
      </c>
      <c r="F125" s="13">
        <v>43035.729502314818</v>
      </c>
      <c r="G125" s="7">
        <v>59</v>
      </c>
      <c r="H125" s="21" t="s">
        <v>968</v>
      </c>
      <c r="I125" s="13">
        <v>43035.75409722222</v>
      </c>
      <c r="J125" s="7">
        <v>0</v>
      </c>
      <c r="K125" s="89" t="str">
        <f>IF(ISEVEN(B125),(B125-1)&amp;"/"&amp;B125,B125&amp;"/"&amp;(B125+1))</f>
        <v>4013/4014</v>
      </c>
      <c r="L125" s="185" t="str">
        <f>VLOOKUP(A125,'Trips&amp;Operators'!$C$1:$G$99911,5,FALSE)</f>
        <v>LEVIN SCOTT</v>
      </c>
      <c r="M125" s="6">
        <f>I125-F125</f>
        <v>2.4594907401478849E-2</v>
      </c>
      <c r="N125" s="7">
        <f>24*60*SUM($M125:$M125)</f>
        <v>35.416666658129543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-27T16:26:56-0600',mode:absolute,to:'2017-10-27T19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5.5300000000000002E-2</v>
      </c>
      <c r="Z125" s="204">
        <f>RIGHT(H125,LEN(H125)-4)/10000</f>
        <v>23.333100000000002</v>
      </c>
      <c r="AA125" s="204">
        <f>ABS(Z125-Y125)</f>
        <v>23.277800000000003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211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s3://rtdc.mdm.uploadarchive.raw/RTDC4014/ "%USERPROFILE%\AppData\Local\Temp\OnboardLogs"\RTDC4014\2017-10-27 --exclude "*" --recursive --include "*20171027*" &amp; "%USERPROFILE%\Documents\GitHub\mrs-test-scripts\Headless Mode &amp; Sideloading\WalkAndUnGZ.bat" "%USERPROFILE%\AppData\Local\Temp\OnboardLogs"\RTDC4014\2017-10-27 &amp; aws s3 cp s3://rtdc.mdm.uploadarchive.raw/RTDC4014/ "%USERPROFILE%\AppData\Local\Temp\OnboardLogs"\RTDC4014\2017-10-28 --exclude "*" --recursive --include "*20171028*" &amp; "%USERPROFILE%\Documents\GitHub\mrs-test-scripts\Headless Mode &amp; Sideloading\WalkAndUnGZ.bat" "%USERPROFILE%\AppData\Local\Temp\OnboardLogs"\RTDC4014\2017-10-28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/stypes="app*4014*20171028*" /stext=" 00:.+((SYSTEM_STATE.+slice.+state.+changed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28"/>
        <v>"%USERPROFILE%\Documents\GitHub\eaglep3\Utilities\RefineRTDCRunTimes.py" --tripid 211-27 --locoid 4014 --swversion DE.1.0.9.0 --startMP 204:553 --initTime 2017-10-27T17:26:56 --startdatetime 2017-10-27T17:30:29 --delay 59 --endMP 204:233331 --enddatetime 2017-10-27T18:05:54 --enforcementcount 0 &gt;&gt;%USERPROFILE%\Documents\GitHub\eaglep3-reporting\EC\2017-10-27-refined-times.txt</v>
      </c>
      <c r="AI125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{"issue":{"subject":"","project_id":79,"tracker_id":40,"status_id":1,"priority_id":2,"assigned_to_id":338,"start_date":"2017-10-27","description":"","custom_fields":[{"id":1,"name":"Subdivision","value":"EC"},{"id":4,"name":"Milepost","value":"23.3331"},{"id":17,"name":"Train ID","value":"211-27"},{"id":16,"name":"Locomotive ID","value":"4014"},{"id":130,"name":"Impact","value":""},{"id":150,"name":"Time of Event (Mountain Time)","value":"18:05:54"},{"id":151,"name":"Denver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30"/>
        <v>start /low /b %USERPROFILE%\Documents\GitHub\eaglep3\Utilities\DownloadLogsFromS3.py --loco 4014 --day 2017-10-27</v>
      </c>
      <c r="AN125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32"/>
        <v>https://d0f6bd738d7f1b3e5a7ca70fe4ff75f0.us-east-1.aws.found.io/app/kibana#/discover/Steve-Slow-Train-Analysis-(2080s-and-2083s)?_g=(refreshInterval:(display:Off,pause:!f,section:0,value:0),time:(from:'2017-10-27T16:26:56-0600',mode:absolute,to:'2017-10-27T19:05:54-0600'))&amp;_a=(columns:!('Message%20ID',Summary),filters:!(),index:'emp_*',interval:auto,query:(query_string:(analyze_wildcard:!t,query:'%22rtdc.l.rtdc.4014%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812</v>
      </c>
      <c r="B126" s="7">
        <v>4013</v>
      </c>
      <c r="C126" s="21" t="s">
        <v>194</v>
      </c>
      <c r="D126" s="21" t="s">
        <v>969</v>
      </c>
      <c r="E126" s="13">
        <v>43035.759432870371</v>
      </c>
      <c r="F126" s="13">
        <v>43035.768935185188</v>
      </c>
      <c r="G126" s="7">
        <v>55</v>
      </c>
      <c r="H126" s="21" t="s">
        <v>595</v>
      </c>
      <c r="I126" s="13">
        <v>43035.794745370367</v>
      </c>
      <c r="J126" s="7">
        <v>0</v>
      </c>
      <c r="K126" s="89" t="str">
        <f>IF(ISEVEN(B126),(B126-1)&amp;"/"&amp;B126,B126&amp;"/"&amp;(B126+1))</f>
        <v>4013/4014</v>
      </c>
      <c r="L126" s="185" t="str">
        <f>VLOOKUP(A126,'Trips&amp;Operators'!$C$1:$G$99911,5,FALSE)</f>
        <v>LEVIN SCOTT</v>
      </c>
      <c r="M126" s="6">
        <f>I126-F126</f>
        <v>2.5810185179580003E-2</v>
      </c>
      <c r="N126" s="7">
        <f>24*60*SUM($M126:$M126)</f>
        <v>37.166666658595204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-27T17:13:35-0600',mode:absolute,to:'2017-10-27T20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23.302299999999999</v>
      </c>
      <c r="Z126" s="204">
        <f>RIGHT(H126,LEN(H126)-4)/10000</f>
        <v>3.0200000000000001E-2</v>
      </c>
      <c r="AA126" s="204">
        <f>ABS(Z126-Y126)</f>
        <v>23.272099999999998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212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/stypes="app*4013*20171028*" /stext=" 01:.+((SYSTEM_STATE.+slice.+state.+changed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28"/>
        <v>"%USERPROFILE%\Documents\GitHub\eaglep3\Utilities\RefineRTDCRunTimes.py" --tripid 212-27 --locoid 4013 --swversion DE.1.0.9.0 --startMP 204:233023 --initTime 2017-10-27T18:13:35 --startdatetime 2017-10-27T18:27:16 --delay 55 --endMP 204:302 --enddatetime 2017-10-27T19:04:26 --enforcementcount 0 &gt;&gt;%USERPROFILE%\Documents\GitHub\eaglep3-reporting\EC\2017-10-27-refined-times.txt</v>
      </c>
      <c r="AI126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{"issue":{"subject":"","project_id":79,"tracker_id":40,"status_id":1,"priority_id":2,"assigned_to_id":338,"start_date":"2017-10-27","description":"","custom_fields":[{"id":1,"name":"Subdivision","value":"EC"},{"id":4,"name":"Milepost","value":"0.0302"},{"id":17,"name":"Train ID","value":"212-27"},{"id":16,"name":"Locomotive ID","value":"4013"},{"id":130,"name":"Impact","value":""},{"id":150,"name":"Time of Event (Mountain Time)","value":"19:04:26"},{"id":151,"name":"Denver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30"/>
        <v>start /low /b %USERPROFILE%\Documents\GitHub\eaglep3\Utilities\DownloadLogsFromS3.py --loco 4013 --day 2017-10-27</v>
      </c>
      <c r="AN126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32"/>
        <v>https://d0f6bd738d7f1b3e5a7ca70fe4ff75f0.us-east-1.aws.found.io/app/kibana#/discover/Steve-Slow-Train-Analysis-(2080s-and-2083s)?_g=(refreshInterval:(display:Off,pause:!f,section:0,value:0),time:(from:'2017-10-27T17:13:35-0600',mode:absolute,to:'2017-10-27T20:04:26-0600'))&amp;_a=(columns:!('Message%20ID',Summary),filters:!(),index:'emp_*',interval:auto,query:(query_string:(analyze_wildcard:!t,query:'%22rtdc.l.rtdc.4013%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807</v>
      </c>
      <c r="B127" s="7">
        <v>4036</v>
      </c>
      <c r="C127" s="21" t="s">
        <v>194</v>
      </c>
      <c r="D127" s="21" t="s">
        <v>506</v>
      </c>
      <c r="E127" s="13">
        <v>43035.736550925925</v>
      </c>
      <c r="F127" s="13">
        <v>43035.739745370367</v>
      </c>
      <c r="G127" s="7">
        <v>76</v>
      </c>
      <c r="H127" s="21" t="s">
        <v>953</v>
      </c>
      <c r="I127" s="13">
        <v>43035.764421296299</v>
      </c>
      <c r="J127" s="7">
        <v>0</v>
      </c>
      <c r="K127" s="89" t="str">
        <f>IF(ISEVEN(B127),(B127-1)&amp;"/"&amp;B127,B127&amp;"/"&amp;(B127+1))</f>
        <v>4035/4036</v>
      </c>
      <c r="L127" s="185" t="str">
        <f>VLOOKUP(A127,'Trips&amp;Operators'!$C$1:$G$99911,5,FALSE)</f>
        <v>MCREYNOLDS KYLE</v>
      </c>
      <c r="M127" s="6">
        <f>I127-F127</f>
        <v>2.4675925931660458E-2</v>
      </c>
      <c r="N127" s="7">
        <f>24*60*SUM($M127:$M127)</f>
        <v>35.53333334159106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-27T16:40:38-0600',mode:absolute,to:'2017-10-27T19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5.4600000000000003E-2</v>
      </c>
      <c r="Z127" s="204">
        <f>RIGHT(H127,LEN(H127)-4)/10000</f>
        <v>23.318999999999999</v>
      </c>
      <c r="AA127" s="204">
        <f>ABS(Z127-Y127)</f>
        <v>23.264399999999998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213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/stypes="app*4036*20171028*" /stext=" 00:.+((SYSTEM_STATE.+slice.+state.+changed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28"/>
        <v>"%USERPROFILE%\Documents\GitHub\eaglep3\Utilities\RefineRTDCRunTimes.py" --tripid 213-27 --locoid 4036 --swversion DE.1.0.9.0 --startMP 204:546 --initTime 2017-10-27T17:40:38 --startdatetime 2017-10-27T17:45:14 --delay 76 --endMP 204:233190 --enddatetime 2017-10-27T18:20:46 --enforcementcount 0 &gt;&gt;%USERPROFILE%\Documents\GitHub\eaglep3-reporting\EC\2017-10-27-refined-times.txt</v>
      </c>
      <c r="AI127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{"issue":{"subject":"","project_id":79,"tracker_id":40,"status_id":1,"priority_id":2,"assigned_to_id":338,"start_date":"2017-10-27","description":"","custom_fields":[{"id":1,"name":"Subdivision","value":"EC"},{"id":4,"name":"Milepost","value":"23.319"},{"id":17,"name":"Train ID","value":"213-27"},{"id":16,"name":"Locomotive ID","value":"4036"},{"id":130,"name":"Impact","value":""},{"id":150,"name":"Time of Event (Mountain Time)","value":"18:20:46"},{"id":151,"name":"Denver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30"/>
        <v>start /low /b %USERPROFILE%\Documents\GitHub\eaglep3\Utilities\DownloadLogsFromS3.py --loco 4036 --day 2017-10-27</v>
      </c>
      <c r="AN127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32"/>
        <v>https://d0f6bd738d7f1b3e5a7ca70fe4ff75f0.us-east-1.aws.found.io/app/kibana#/discover/Steve-Slow-Train-Analysis-(2080s-and-2083s)?_g=(refreshInterval:(display:Off,pause:!f,section:0,value:0),time:(from:'2017-10-27T16:40:38-0600',mode:absolute,to:'2017-10-27T19:20:46-0600'))&amp;_a=(columns:!('Message%20ID',Summary),filters:!(),index:'emp_*',interval:auto,query:(query_string:(analyze_wildcard:!t,query:'%22rtdc.l.rtdc.4036%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819</v>
      </c>
      <c r="B128" s="7">
        <v>4035</v>
      </c>
      <c r="C128" s="21" t="s">
        <v>194</v>
      </c>
      <c r="D128" s="21" t="s">
        <v>526</v>
      </c>
      <c r="E128" s="13">
        <v>43035.772638888891</v>
      </c>
      <c r="F128" s="13">
        <v>43035.779328703706</v>
      </c>
      <c r="G128" s="7">
        <v>63</v>
      </c>
      <c r="H128" s="21" t="s">
        <v>586</v>
      </c>
      <c r="I128" s="13">
        <v>43035.805046296293</v>
      </c>
      <c r="J128" s="7">
        <v>0</v>
      </c>
      <c r="K128" s="89" t="str">
        <f>IF(ISEVEN(B128),(B128-1)&amp;"/"&amp;B128,B128&amp;"/"&amp;(B128+1))</f>
        <v>4035/4036</v>
      </c>
      <c r="L128" s="185" t="str">
        <f>VLOOKUP(A128,'Trips&amp;Operators'!$C$1:$G$99911,5,FALSE)</f>
        <v>MCREYNOLDS KYLE</v>
      </c>
      <c r="M128" s="6">
        <f>I128-F128</f>
        <v>2.5717592587170657E-2</v>
      </c>
      <c r="N128" s="7">
        <f>24*60*SUM($M128:$M128)</f>
        <v>37.033333325525746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-27T17:32:36-0600',mode:absolute,to:'2017-10-27T20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23.287299999999998</v>
      </c>
      <c r="Z128" s="204">
        <f>RIGHT(H128,LEN(H128)-4)/10000</f>
        <v>3.09E-2</v>
      </c>
      <c r="AA128" s="204">
        <f>ABS(Z128-Y128)</f>
        <v>23.256399999999999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214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/stypes="app*4035*20171028*" /stext=" 01:.+((SYSTEM_STATE.+slice.+state.+changed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28"/>
        <v>"%USERPROFILE%\Documents\GitHub\eaglep3\Utilities\RefineRTDCRunTimes.py" --tripid 214-27 --locoid 4035 --swversion DE.1.0.9.0 --startMP 204:232873 --initTime 2017-10-27T18:32:36 --startdatetime 2017-10-27T18:42:14 --delay 63 --endMP 204:309 --enddatetime 2017-10-27T19:19:16 --enforcementcount 0 &gt;&gt;%USERPROFILE%\Documents\GitHub\eaglep3-reporting\EC\2017-10-27-refined-times.txt</v>
      </c>
      <c r="AI128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{"issue":{"subject":"","project_id":79,"tracker_id":40,"status_id":1,"priority_id":2,"assigned_to_id":338,"start_date":"2017-10-27","description":"","custom_fields":[{"id":1,"name":"Subdivision","value":"EC"},{"id":4,"name":"Milepost","value":"0.0309"},{"id":17,"name":"Train ID","value":"214-27"},{"id":16,"name":"Locomotive ID","value":"4035"},{"id":130,"name":"Impact","value":""},{"id":150,"name":"Time of Event (Mountain Time)","value":"19:19:16"},{"id":151,"name":"Denver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30"/>
        <v>start /low /b %USERPROFILE%\Documents\GitHub\eaglep3\Utilities\DownloadLogsFromS3.py --loco 4035 --day 2017-10-27</v>
      </c>
      <c r="AN128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32"/>
        <v>https://d0f6bd738d7f1b3e5a7ca70fe4ff75f0.us-east-1.aws.found.io/app/kibana#/discover/Steve-Slow-Train-Analysis-(2080s-and-2083s)?_g=(refreshInterval:(display:Off,pause:!f,section:0,value:0),time:(from:'2017-10-27T17:32:36-0600',mode:absolute,to:'2017-10-27T20:19:16-0600'))&amp;_a=(columns:!('Message%20ID',Summary),filters:!(),index:'emp_*',interval:auto,query:(query_string:(analyze_wildcard:!t,query:'%22rtdc.l.rtdc.4035%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809</v>
      </c>
      <c r="B129" s="7">
        <v>4056</v>
      </c>
      <c r="C129" s="21" t="s">
        <v>194</v>
      </c>
      <c r="D129" s="21" t="s">
        <v>610</v>
      </c>
      <c r="E129" s="13">
        <v>43035.746562499997</v>
      </c>
      <c r="F129" s="13">
        <v>43035.7502662037</v>
      </c>
      <c r="G129" s="7">
        <v>55</v>
      </c>
      <c r="H129" s="21" t="s">
        <v>970</v>
      </c>
      <c r="I129" s="13">
        <v>43035.774571759262</v>
      </c>
      <c r="J129" s="7">
        <v>0</v>
      </c>
      <c r="K129" s="89" t="str">
        <f>IF(ISEVEN(B129),(B129-1)&amp;"/"&amp;B129,B129&amp;"/"&amp;(B129+1))</f>
        <v>4055/4056</v>
      </c>
      <c r="L129" s="185" t="str">
        <f>VLOOKUP(A129,'Trips&amp;Operators'!$C$1:$G$99911,5,FALSE)</f>
        <v>HOLCOMB KAMDEN</v>
      </c>
      <c r="M129" s="6">
        <f>I129-F129</f>
        <v>2.4305555562023073E-2</v>
      </c>
      <c r="N129" s="7">
        <f>24*60*SUM($M129:$M129)</f>
        <v>35.000000009313226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-27T16:55:03-0600',mode:absolute,to:'2017-10-27T19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5.6800000000000003E-2</v>
      </c>
      <c r="Z129" s="204">
        <f>RIGHT(H129,LEN(H129)-4)/10000</f>
        <v>23.317900000000002</v>
      </c>
      <c r="AA129" s="204">
        <f>ABS(Z129-Y129)</f>
        <v>23.261100000000003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215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s3://rtdc.mdm.uploadarchive.raw/RTDC4056/ "%USERPROFILE%\AppData\Local\Temp\OnboardLogs"\RTDC4056\2017-10-27 --exclude "*" --recursive --include "*20171027*" &amp; "%USERPROFILE%\Documents\GitHub\mrs-test-scripts\Headless Mode &amp; Sideloading\WalkAndUnGZ.bat" "%USERPROFILE%\AppData\Local\Temp\OnboardLogs"\RTDC4056\2017-10-27 &amp; 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/stypes="app*4056*20171028*" /stext=" 00:.+((SYSTEM_STATE.+slice.+state.+changed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28"/>
        <v>"%USERPROFILE%\Documents\GitHub\eaglep3\Utilities\RefineRTDCRunTimes.py" --tripid 215-27 --locoid 4056 --swversion DE.1.0.9.0 --startMP 204:568 --initTime 2017-10-27T17:55:03 --startdatetime 2017-10-27T18:00:23 --delay 55 --endMP 204:233179 --enddatetime 2017-10-27T18:35:23 --enforcementcount 0 &gt;&gt;%USERPROFILE%\Documents\GitHub\eaglep3-reporting\EC\2017-10-27-refined-times.txt</v>
      </c>
      <c r="AI129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{"issue":{"subject":"","project_id":79,"tracker_id":40,"status_id":1,"priority_id":2,"assigned_to_id":338,"start_date":"2017-10-27","description":"","custom_fields":[{"id":1,"name":"Subdivision","value":"EC"},{"id":4,"name":"Milepost","value":"23.3179"},{"id":17,"name":"Train ID","value":"215-27"},{"id":16,"name":"Locomotive ID","value":"4056"},{"id":130,"name":"Impact","value":""},{"id":150,"name":"Time of Event (Mountain Time)","value":"18:35:23"},{"id":151,"name":"Denver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30"/>
        <v>start /low /b %USERPROFILE%\Documents\GitHub\eaglep3\Utilities\DownloadLogsFromS3.py --loco 4056 --day 2017-10-27</v>
      </c>
      <c r="AN129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32"/>
        <v>https://d0f6bd738d7f1b3e5a7ca70fe4ff75f0.us-east-1.aws.found.io/app/kibana#/discover/Steve-Slow-Train-Analysis-(2080s-and-2083s)?_g=(refreshInterval:(display:Off,pause:!f,section:0,value:0),time:(from:'2017-10-27T16:55:03-0600',mode:absolute,to:'2017-10-27T19:35:23-0600'))&amp;_a=(columns:!('Message%20ID',Summary),filters:!(),index:'emp_*',interval:auto,query:(query_string:(analyze_wildcard:!t,query:'%22rtdc.l.rtdc.4056%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822</v>
      </c>
      <c r="B130" s="7">
        <v>4055</v>
      </c>
      <c r="C130" s="21" t="s">
        <v>194</v>
      </c>
      <c r="D130" s="21" t="s">
        <v>579</v>
      </c>
      <c r="E130" s="13">
        <v>43035.786145833335</v>
      </c>
      <c r="F130" s="13">
        <v>43035.789837962962</v>
      </c>
      <c r="G130" s="7">
        <v>55</v>
      </c>
      <c r="H130" s="21" t="s">
        <v>971</v>
      </c>
      <c r="I130" s="13">
        <v>43035.806481481479</v>
      </c>
      <c r="J130" s="7">
        <v>0</v>
      </c>
      <c r="K130" s="89" t="str">
        <f>IF(ISEVEN(B130),(B130-1)&amp;"/"&amp;B130,B130&amp;"/"&amp;(B130+1))</f>
        <v>4055/4056</v>
      </c>
      <c r="L130" s="185" t="str">
        <f>VLOOKUP(A130,'Trips&amp;Operators'!$C$1:$G$99911,5,FALSE)</f>
        <v>HOLCOMB KAMDEN</v>
      </c>
      <c r="M130" s="6">
        <f>I130-F130</f>
        <v>1.6643518516502809E-2</v>
      </c>
      <c r="N130" s="7"/>
      <c r="O130" s="7"/>
      <c r="P130" s="7">
        <f>24*60*SUM($M130:$M130)</f>
        <v>23.966666663764045</v>
      </c>
      <c r="Q130" s="22"/>
      <c r="R130" s="174" t="s">
        <v>620</v>
      </c>
      <c r="S130" s="221">
        <f>1/IF(AG130="EC",12,1)*SUM(U130:U130)</f>
        <v>0.33333333333333331</v>
      </c>
      <c r="T130" s="174" t="str">
        <f>IF(ISEVEN(LEFT(AD130,4)),"Southbound","NorthBound")</f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4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-27T17:52:03-0600',mode:absolute,to:'2017-10-27T20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0" s="204" t="str">
        <f>IF(AA130&lt;VLOOKUP(AG130,Variables!$AC$3:$AD$8,2,FALSE),"Y","N")</f>
        <v>Y</v>
      </c>
      <c r="X130" s="204">
        <f>VALUE(LEFT(AD130,4))-VALUE(LEFT(AD129,4))</f>
        <v>1</v>
      </c>
      <c r="Y130" s="204">
        <f>RIGHT(D130,LEN(D130)-4)/10000</f>
        <v>23.287199999999999</v>
      </c>
      <c r="Z130" s="204">
        <f>RIGHT(H130,LEN(H130)-4)/10000</f>
        <v>6.1619000000000002</v>
      </c>
      <c r="AA130" s="204">
        <f>ABS(Z130-Y130)</f>
        <v>17.125299999999999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216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s3://rtdc.mdm.uploadarchive.raw/RTDC4055/ "%USERPROFILE%\AppData\Local\Temp\OnboardLogs"\RTDC4055\2017-10-27 --exclude "*" --recursive --include "*20171027*" &amp; "%USERPROFILE%\Documents\GitHub\mrs-test-scripts\Headless Mode &amp; Sideloading\WalkAndUnGZ.bat" "%USERPROFILE%\AppData\Local\Temp\OnboardLogs"\RTDC4055\2017-10-27 &amp; aws s3 cp s3://rtdc.mdm.uploadarchive.raw/RTDC4055/ "%USERPROFILE%\AppData\Local\Temp\OnboardLogs"\RTDC4055\2017-10-28 --exclude "*" --recursive --include "*20171028*" &amp; "%USERPROFILE%\Documents\GitHub\mrs-test-scripts\Headless Mode &amp; Sideloading\WalkAndUnGZ.bat" "%USERPROFILE%\AppData\Local\Temp\OnboardLogs"\RTDC4055\2017-10-28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/stypes="app*4055*20171028*" /stext=" 01:.+((SYSTEM_STATE.+slice.+state.+changed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28"/>
        <v>"%USERPROFILE%\Documents\GitHub\eaglep3\Utilities\RefineRTDCRunTimes.py" --tripid 216-27 --locoid 4055 --swversion DE.1.0.9.0 --startMP 204:232872 --initTime 2017-10-27T18:52:03 --startdatetime 2017-10-27T18:57:22 --delay 55 --endMP 204:61619 --enddatetime 2017-10-27T19:21:20 --enforcementcount 0 &gt;&gt;%USERPROFILE%\Documents\GitHub\eaglep3-reporting\EC\2017-10-27-refined-times.txt</v>
      </c>
      <c r="AI130" s="96" t="str">
        <f t="shared" si="29"/>
        <v>echo {"issue":{"subject":"Onboard en route failure","project_id":79,"tracker_id":40,"status_id":1,"priority_id":2,"assigned_to_id":338,"start_date":"2017-10-27","description":"","custom_fields":[{"id":1,"name":"Subdivision","value":"EC"},{"id":4,"name":"Milepost","value":"6.1619"},{"id":17,"name":"Train ID","value":"216-27"},{"id":16,"name":"Locomotive ID","value":"4055"},{"id":130,"name":"Impact","value":""},{"id":150,"name":"Time of Event (Mountain Time)","value":"19:21:20"},{"id":151,"name":"Denver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30"/>
        <v>start /low /b %USERPROFILE%\Documents\GitHub\eaglep3\Utilities\DownloadLogsFromS3.py --loco 4055 --day 2017-10-27</v>
      </c>
      <c r="AN130" s="151" t="str">
        <f t="shared" si="31"/>
        <v>echo {"issue":{"subject":"Onboard en route failure","project_id":30,"tracker_id":4,"status_id":1,"priority_id":1,"assigned_to_id":10,"start_date":"2017-10-28","description":"","custom_fields":[{"id":30,"name":"Category","value":"Issue"},{"id":3,"name":"Functional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32"/>
        <v>https://d0f6bd738d7f1b3e5a7ca70fe4ff75f0.us-east-1.aws.found.io/app/kibana#/discover/Steve-Slow-Train-Analysis-(2080s-and-2083s)?_g=(refreshInterval:(display:Off,pause:!f,section:0,value:0),time:(from:'2017-10-27T17:52:03-0600',mode:absolute,to:'2017-10-27T20:21:20-0600'))&amp;_a=(columns:!('Message%20ID',Summary),filters:!(),index:'emp_*',interval:auto,query:(query_string:(analyze_wildcard:!t,query:'%22rtdc.l.rtdc.4055%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811</v>
      </c>
      <c r="B131" s="7">
        <v>4006</v>
      </c>
      <c r="C131" s="21" t="s">
        <v>194</v>
      </c>
      <c r="D131" s="21" t="s">
        <v>535</v>
      </c>
      <c r="E131" s="13">
        <v>43035.756932870368</v>
      </c>
      <c r="F131" s="13">
        <v>43035.76085648148</v>
      </c>
      <c r="G131" s="7">
        <v>152</v>
      </c>
      <c r="H131" s="21" t="s">
        <v>972</v>
      </c>
      <c r="I131" s="13">
        <v>43035.786354166667</v>
      </c>
      <c r="J131" s="7">
        <v>0</v>
      </c>
      <c r="K131" s="89" t="str">
        <f>IF(ISEVEN(B131),(B131-1)&amp;"/"&amp;B131,B131&amp;"/"&amp;(B131+1))</f>
        <v>4005/4006</v>
      </c>
      <c r="L131" s="185" t="str">
        <f>VLOOKUP(A131,'Trips&amp;Operators'!$C$1:$G$99911,5,FALSE)</f>
        <v>NICHOLSON WESLEY</v>
      </c>
      <c r="M131" s="6">
        <f>I131-F131</f>
        <v>2.5497685186564922E-2</v>
      </c>
      <c r="N131" s="7">
        <f>24*60*SUM($M131:$M131)</f>
        <v>36.716666668653488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-27T17:09:59-0600',mode:absolute,to:'2017-10-27T19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5.1900000000000002E-2</v>
      </c>
      <c r="Z131" s="204">
        <f>RIGHT(H131,LEN(H131)-4)/10000</f>
        <v>23.325099999999999</v>
      </c>
      <c r="AA131" s="204">
        <f>ABS(Z131-Y131)</f>
        <v>23.273199999999999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217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/stypes="app*4006*20171028*" /stext=" 00:.+((SYSTEM_STATE.+slice.+state.+changed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28"/>
        <v>"%USERPROFILE%\Documents\GitHub\eaglep3\Utilities\RefineRTDCRunTimes.py" --tripid 217-27 --locoid 4006 --swversion DE.1.0.9.0 --startMP 204:519 --initTime 2017-10-27T18:09:59 --startdatetime 2017-10-27T18:15:38 --delay 152 --endMP 204:233251 --enddatetime 2017-10-27T18:52:21 --enforcementcount 0 &gt;&gt;%USERPROFILE%\Documents\GitHub\eaglep3-reporting\EC\2017-10-27-refined-times.txt</v>
      </c>
      <c r="AI131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{"issue":{"subject":"","project_id":79,"tracker_id":40,"status_id":1,"priority_id":2,"assigned_to_id":338,"start_date":"2017-10-27","description":"","custom_fields":[{"id":1,"name":"Subdivision","value":"EC"},{"id":4,"name":"Milepost","value":"23.3251"},{"id":17,"name":"Train ID","value":"217-27"},{"id":16,"name":"Locomotive ID","value":"4006"},{"id":130,"name":"Impact","value":""},{"id":150,"name":"Time of Event (Mountain Time)","value":"18:52:21"},{"id":151,"name":"Denver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30"/>
        <v>start /low /b %USERPROFILE%\Documents\GitHub\eaglep3\Utilities\DownloadLogsFromS3.py --loco 4006 --day 2017-10-27</v>
      </c>
      <c r="AN131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32"/>
        <v>https://d0f6bd738d7f1b3e5a7ca70fe4ff75f0.us-east-1.aws.found.io/app/kibana#/discover/Steve-Slow-Train-Analysis-(2080s-and-2083s)?_g=(refreshInterval:(display:Off,pause:!f,section:0,value:0),time:(from:'2017-10-27T17:09:59-0600',mode:absolute,to:'2017-10-27T19:52:21-0600'))&amp;_a=(columns:!('Message%20ID',Summary),filters:!(),index:'emp_*',interval:auto,query:(query_string:(analyze_wildcard:!t,query:'%22rtdc.l.rtdc.4006%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825</v>
      </c>
      <c r="B132" s="7">
        <v>4005</v>
      </c>
      <c r="C132" s="21" t="s">
        <v>194</v>
      </c>
      <c r="D132" s="21" t="s">
        <v>973</v>
      </c>
      <c r="E132" s="13">
        <v>43035.790775462963</v>
      </c>
      <c r="F132" s="13">
        <v>43035.800219907411</v>
      </c>
      <c r="G132" s="7">
        <v>96</v>
      </c>
      <c r="H132" s="21" t="s">
        <v>974</v>
      </c>
      <c r="I132" s="13">
        <v>43035.8278125</v>
      </c>
      <c r="J132" s="7">
        <v>0</v>
      </c>
      <c r="K132" s="89" t="str">
        <f>IF(ISEVEN(B132),(B132-1)&amp;"/"&amp;B132,B132&amp;"/"&amp;(B132+1))</f>
        <v>4005/4006</v>
      </c>
      <c r="L132" s="185" t="str">
        <f>VLOOKUP(A132,'Trips&amp;Operators'!$C$1:$G$99911,5,FALSE)</f>
        <v>NICHOLSON WESLEY</v>
      </c>
      <c r="M132" s="6">
        <f>I132-F132</f>
        <v>2.7592592588916887E-2</v>
      </c>
      <c r="N132" s="7">
        <f>24*60*SUM($M132:$M132)</f>
        <v>39.733333328040317</v>
      </c>
      <c r="O132" s="7"/>
      <c r="P132" s="7"/>
      <c r="Q132" s="22"/>
      <c r="R132" s="174" t="s">
        <v>385</v>
      </c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-27T17:58:43-0600',mode:absolute,to:'2017-10-27T20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23.290500000000002</v>
      </c>
      <c r="Z132" s="204">
        <f>RIGHT(H132,LEN(H132)-4)/10000</f>
        <v>2.8299999999999999E-2</v>
      </c>
      <c r="AA132" s="204">
        <f>ABS(Z132-Y132)</f>
        <v>23.2622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218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/stypes="app*4005*20171028*" /stext=" 01:.+((SYSTEM_STATE.+slice.+state.+changed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28"/>
        <v>"%USERPROFILE%\Documents\GitHub\eaglep3\Utilities\RefineRTDCRunTimes.py" --tripid 218-27 --locoid 4005 --swversion DE.1.0.9.0 --startMP 204:232905 --initTime 2017-10-27T18:58:43 --startdatetime 2017-10-27T19:12:19 --delay 96 --endMP 204:283 --enddatetime 2017-10-27T19:52:03 --enforcementcount 0 &gt;&gt;%USERPROFILE%\Documents\GitHub\eaglep3-reporting\EC\2017-10-27-refined-times.txt</v>
      </c>
      <c r="AI132" s="96" t="str">
        <f t="shared" si="29"/>
        <v>echo {"issue":{"subject":"Wi-MAX data drop","project_id":79,"tracker_id":40,"status_id":1,"priority_id":2,"assigned_to_id":338,"start_date":"2017-10-27","description":"","custom_fields":[{"id":1,"name":"Subdivision","value":"EC"},{"id":4,"name":"Milepost","value":"0.0283"},{"id":17,"name":"Train ID","value":"218-27"},{"id":16,"name":"Locomotive ID","value":"4005"},{"id":130,"name":"Impact","value":""},{"id":150,"name":"Time of Event (Mountain Time)","value":"19:52:03"},{"id":151,"name":"Denver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30"/>
        <v>start /low /b %USERPROFILE%\Documents\GitHub\eaglep3\Utilities\DownloadLogsFromS3.py --loco 4005 --day 2017-10-27</v>
      </c>
      <c r="AN132" s="151" t="str">
        <f t="shared" si="31"/>
        <v>echo {"issue":{"subject":"Wi-MAX data drop","project_id":30,"tracker_id":4,"status_id":1,"priority_id":1,"assigned_to_id":10,"start_date":"2017-10-28","description":"","custom_fields":[{"id":30,"name":"Category","value":"Issue"},{"id":3,"name":"Functional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32"/>
        <v>https://d0f6bd738d7f1b3e5a7ca70fe4ff75f0.us-east-1.aws.found.io/app/kibana#/discover/Steve-Slow-Train-Analysis-(2080s-and-2083s)?_g=(refreshInterval:(display:Off,pause:!f,section:0,value:0),time:(from:'2017-10-27T17:58:43-0600',mode:absolute,to:'2017-10-27T20:52:03-0600'))&amp;_a=(columns:!('Message%20ID',Summary),filters:!(),index:'emp_*',interval:auto,query:(query_string:(analyze_wildcard:!t,query:'%22rtdc.l.rtdc.4005%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813</v>
      </c>
      <c r="B133" s="7">
        <v>4008</v>
      </c>
      <c r="C133" s="21" t="s">
        <v>194</v>
      </c>
      <c r="D133" s="21" t="s">
        <v>538</v>
      </c>
      <c r="E133" s="13">
        <v>43035.766099537039</v>
      </c>
      <c r="F133" s="13">
        <v>43035.770983796298</v>
      </c>
      <c r="G133" s="7">
        <v>63</v>
      </c>
      <c r="H133" s="21" t="s">
        <v>890</v>
      </c>
      <c r="I133" s="13">
        <v>43035.795081018521</v>
      </c>
      <c r="J133" s="7">
        <v>0</v>
      </c>
      <c r="K133" s="89" t="str">
        <f>IF(ISEVEN(B133),(B133-1)&amp;"/"&amp;B133,B133&amp;"/"&amp;(B133+1))</f>
        <v>4007/4008</v>
      </c>
      <c r="L133" s="185" t="str">
        <f>VLOOKUP(A133,'Trips&amp;Operators'!$C$1:$G$99911,5,FALSE)</f>
        <v>ELBAUM MIKE</v>
      </c>
      <c r="M133" s="6">
        <f>I133-F133</f>
        <v>2.4097222223645076E-2</v>
      </c>
      <c r="N133" s="7">
        <f>24*60*SUM($M133:$M133)</f>
        <v>34.70000000204891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-27T17:23:11-0600',mode:absolute,to:'2017-10-27T20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5.2900000000000003E-2</v>
      </c>
      <c r="Z133" s="204">
        <f>RIGHT(H133,LEN(H133)-4)/10000</f>
        <v>23.331499999999998</v>
      </c>
      <c r="AA133" s="204">
        <f>ABS(Z133-Y133)</f>
        <v>23.278599999999997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219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/stypes="app*4008*20171028*"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28"/>
        <v>"%USERPROFILE%\Documents\GitHub\eaglep3\Utilities\RefineRTDCRunTimes.py" --tripid 219-27 --locoid 4008 --swversion DE.1.0.9.0 --startMP 204:529 --initTime 2017-10-27T18:23:11 --startdatetime 2017-10-27T18:30:13 --delay 63 --endMP 204:233315 --enddatetime 2017-10-27T19:04:55 --enforcementcount 0 &gt;&gt;%USERPROFILE%\Documents\GitHub\eaglep3-reporting\EC\2017-10-27-refined-times.txt</v>
      </c>
      <c r="AI133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{"issue":{"subject":"","project_id":79,"tracker_id":40,"status_id":1,"priority_id":2,"assigned_to_id":338,"start_date":"2017-10-27","description":"","custom_fields":[{"id":1,"name":"Subdivision","value":"EC"},{"id":4,"name":"Milepost","value":"23.3315"},{"id":17,"name":"Train ID","value":"219-27"},{"id":16,"name":"Locomotive ID","value":"4008"},{"id":130,"name":"Impact","value":""},{"id":150,"name":"Time of Event (Mountain Time)","value":"19:04:55"},{"id":151,"name":"Denver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30"/>
        <v>start /low /b %USERPROFILE%\Documents\GitHub\eaglep3\Utilities\DownloadLogsFromS3.py --loco 4008 --day 2017-10-27</v>
      </c>
      <c r="AN133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32"/>
        <v>https://d0f6bd738d7f1b3e5a7ca70fe4ff75f0.us-east-1.aws.found.io/app/kibana#/discover/Steve-Slow-Train-Analysis-(2080s-and-2083s)?_g=(refreshInterval:(display:Off,pause:!f,section:0,value:0),time:(from:'2017-10-27T17:23:11-0600',mode:absolute,to:'2017-10-27T20:04:55-0600'))&amp;_a=(columns:!('Message%20ID',Summary),filters:!(),index:'emp_*',interval:auto,query:(query_string:(analyze_wildcard:!t,query:'%22rtdc.l.rtdc.4008%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639</v>
      </c>
      <c r="B134" s="7">
        <v>4007</v>
      </c>
      <c r="C134" s="21" t="s">
        <v>194</v>
      </c>
      <c r="D134" s="21" t="s">
        <v>567</v>
      </c>
      <c r="E134" s="13">
        <v>43035.80159722222</v>
      </c>
      <c r="F134" s="13">
        <v>43035.810555555552</v>
      </c>
      <c r="G134" s="7">
        <v>64</v>
      </c>
      <c r="H134" s="21" t="s">
        <v>605</v>
      </c>
      <c r="I134" s="13">
        <v>43035.836504629631</v>
      </c>
      <c r="J134" s="7">
        <v>0</v>
      </c>
      <c r="K134" s="89" t="str">
        <f>IF(ISEVEN(B134),(B134-1)&amp;"/"&amp;B134,B134&amp;"/"&amp;(B134+1))</f>
        <v>4007/4008</v>
      </c>
      <c r="L134" s="185" t="str">
        <f>VLOOKUP(A134,'Trips&amp;Operators'!$C$1:$G$99911,5,FALSE)</f>
        <v>ELBAUM MIKE</v>
      </c>
      <c r="M134" s="6">
        <f>I134-F134</f>
        <v>2.5949074079107959E-2</v>
      </c>
      <c r="N134" s="7">
        <f>24*60*SUM($M134:$M134)</f>
        <v>37.366666673915461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-27T18:14:18-0600',mode:absolute,to:'2017-10-27T21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23.299800000000001</v>
      </c>
      <c r="Z134" s="204">
        <f>RIGHT(H134,LEN(H134)-4)/10000</f>
        <v>2.5100000000000001E-2</v>
      </c>
      <c r="AA134" s="204">
        <f>ABS(Z134-Y134)</f>
        <v>23.274700000000003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220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/stypes="app*4007*20171028*" /stext=" 02:.+((SYSTEM_STATE.+slice.+state.+changed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28"/>
        <v>"%USERPROFILE%\Documents\GitHub\eaglep3\Utilities\RefineRTDCRunTimes.py" --tripid 220-27 --locoid 4007 --swversion DE.1.0.9.0 --startMP 204:232998 --initTime 2017-10-27T19:14:18 --startdatetime 2017-10-27T19:27:12 --delay 64 --endMP 204:251 --enddatetime 2017-10-27T20:04:34 --enforcementcount 0 &gt;&gt;%USERPROFILE%\Documents\GitHub\eaglep3-reporting\EC\2017-10-27-refined-times.txt</v>
      </c>
      <c r="AI134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{"issue":{"subject":"","project_id":79,"tracker_id":40,"status_id":1,"priority_id":2,"assigned_to_id":338,"start_date":"2017-10-27","description":"","custom_fields":[{"id":1,"name":"Subdivision","value":"EC"},{"id":4,"name":"Milepost","value":"0.0251"},{"id":17,"name":"Train ID","value":"220-27"},{"id":16,"name":"Locomotive ID","value":"4007"},{"id":130,"name":"Impact","value":""},{"id":150,"name":"Time of Event (Mountain Time)","value":"20:04:34"},{"id":151,"name":"Denver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30"/>
        <v>start /low /b %USERPROFILE%\Documents\GitHub\eaglep3\Utilities\DownloadLogsFromS3.py --loco 4007 --day 2017-10-27</v>
      </c>
      <c r="AN134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02:04:34"},{"id":29,"name":"Sharepoint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32"/>
        <v>https://d0f6bd738d7f1b3e5a7ca70fe4ff75f0.us-east-1.aws.found.io/app/kibana#/discover/Steve-Slow-Train-Analysis-(2080s-and-2083s)?_g=(refreshInterval:(display:Off,pause:!f,section:0,value:0),time:(from:'2017-10-27T18:14:18-0600',mode:absolute,to:'2017-10-27T21:04:34-0600'))&amp;_a=(columns:!('Message%20ID',Summary),filters:!(),index:'emp_*',interval:auto,query:(query_string:(analyze_wildcard:!t,query:'%22rtdc.l.rtdc.4007%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823</v>
      </c>
      <c r="B135" s="7">
        <v>4018</v>
      </c>
      <c r="C135" s="21" t="s">
        <v>194</v>
      </c>
      <c r="D135" s="21" t="s">
        <v>410</v>
      </c>
      <c r="E135" s="13">
        <v>43035.788171296299</v>
      </c>
      <c r="F135" s="13">
        <v>43035.792222222219</v>
      </c>
      <c r="G135" s="7">
        <v>87</v>
      </c>
      <c r="H135" s="21" t="s">
        <v>952</v>
      </c>
      <c r="I135" s="13">
        <v>43035.817048611112</v>
      </c>
      <c r="J135" s="7">
        <v>0</v>
      </c>
      <c r="K135" s="89" t="str">
        <f>IF(ISEVEN(B135),(B135-1)&amp;"/"&amp;B135,B135&amp;"/"&amp;(B135+1))</f>
        <v>4017/4018</v>
      </c>
      <c r="L135" s="185" t="str">
        <f>VLOOKUP(A135,'Trips&amp;Operators'!$C$1:$G$99911,5,FALSE)</f>
        <v>ANDERS STEVEN</v>
      </c>
      <c r="M135" s="6">
        <f>I135-F135</f>
        <v>2.4826388893416151E-2</v>
      </c>
      <c r="N135" s="7">
        <f>24*60*SUM($M135:$M135)</f>
        <v>35.750000006519258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-27T17:54:58-0600',mode:absolute,to:'2017-10-27T20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4.6600000000000003E-2</v>
      </c>
      <c r="Z135" s="204">
        <f>RIGHT(H135,LEN(H135)-4)/10000</f>
        <v>23.322700000000001</v>
      </c>
      <c r="AA135" s="204">
        <f>ABS(Z135-Y135)</f>
        <v>23.2761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221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/stypes="app*4018*20171028*" /stext=" 01:.+((SYSTEM_STATE.+slice.+state.+changed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28"/>
        <v>"%USERPROFILE%\Documents\GitHub\eaglep3\Utilities\RefineRTDCRunTimes.py" --tripid 221-27 --locoid 4018 --swversion DE.1.0.9.0 --startMP 204:466 --initTime 2017-10-27T18:54:58 --startdatetime 2017-10-27T19:00:48 --delay 87 --endMP 204:233227 --enddatetime 2017-10-27T19:36:33 --enforcementcount 0 &gt;&gt;%USERPROFILE%\Documents\GitHub\eaglep3-reporting\EC\2017-10-27-refined-times.txt</v>
      </c>
      <c r="AI135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{"issue":{"subject":"","project_id":79,"tracker_id":40,"status_id":1,"priority_id":2,"assigned_to_id":338,"start_date":"2017-10-27","description":"","custom_fields":[{"id":1,"name":"Subdivision","value":"EC"},{"id":4,"name":"Milepost","value":"23.3227"},{"id":17,"name":"Train ID","value":"221-27"},{"id":16,"name":"Locomotive ID","value":"4018"},{"id":130,"name":"Impact","value":""},{"id":150,"name":"Time of Event (Mountain Time)","value":"19:36:33"},{"id":151,"name":"Denver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30"/>
        <v>start /low /b %USERPROFILE%\Documents\GitHub\eaglep3\Utilities\DownloadLogsFromS3.py --loco 4018 --day 2017-10-27</v>
      </c>
      <c r="AN135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32"/>
        <v>https://d0f6bd738d7f1b3e5a7ca70fe4ff75f0.us-east-1.aws.found.io/app/kibana#/discover/Steve-Slow-Train-Analysis-(2080s-and-2083s)?_g=(refreshInterval:(display:Off,pause:!f,section:0,value:0),time:(from:'2017-10-27T17:54:58-0600',mode:absolute,to:'2017-10-27T20:36:33-0600'))&amp;_a=(columns:!('Message%20ID',Summary),filters:!(),index:'emp_*',interval:auto,query:(query_string:(analyze_wildcard:!t,query:'%22rtdc.l.rtdc.4018%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834</v>
      </c>
      <c r="B136" s="7">
        <v>4017</v>
      </c>
      <c r="C136" s="21" t="s">
        <v>194</v>
      </c>
      <c r="D136" s="21" t="s">
        <v>948</v>
      </c>
      <c r="E136" s="13">
        <v>43035.819814814815</v>
      </c>
      <c r="F136" s="13">
        <v>43035.83221064815</v>
      </c>
      <c r="G136" s="7">
        <v>72</v>
      </c>
      <c r="H136" s="21" t="s">
        <v>528</v>
      </c>
      <c r="I136" s="13">
        <v>43035.858171296299</v>
      </c>
      <c r="J136" s="7">
        <v>0</v>
      </c>
      <c r="K136" s="89" t="str">
        <f>IF(ISEVEN(B136),(B136-1)&amp;"/"&amp;B136,B136&amp;"/"&amp;(B136+1))</f>
        <v>4017/4018</v>
      </c>
      <c r="L136" s="185" t="str">
        <f>VLOOKUP(A136,'Trips&amp;Operators'!$C$1:$G$99911,5,FALSE)</f>
        <v>ANDERS STEVEN</v>
      </c>
      <c r="M136" s="6">
        <f>I136-F136</f>
        <v>2.5960648148611654E-2</v>
      </c>
      <c r="N136" s="7">
        <f>24*60*SUM($M136:$M136)</f>
        <v>37.383333334000781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-27T18:40:32-0600',mode:absolute,to:'2017-10-27T21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23.2911</v>
      </c>
      <c r="Z136" s="204">
        <f>RIGHT(H136,LEN(H136)-4)/10000</f>
        <v>2.3800000000000002E-2</v>
      </c>
      <c r="AA136" s="204">
        <f>ABS(Z136-Y136)</f>
        <v>23.267299999999999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222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/stypes="app*4017*20171028*"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28"/>
        <v>"%USERPROFILE%\Documents\GitHub\eaglep3\Utilities\RefineRTDCRunTimes.py" --tripid 222-27 --locoid 4017 --swversion DE.1.0.9.0 --startMP 204:232911 --initTime 2017-10-27T19:40:32 --startdatetime 2017-10-27T19:58:23 --delay 72 --endMP 204:238 --enddatetime 2017-10-27T20:35:46 --enforcementcount 0 &gt;&gt;%USERPROFILE%\Documents\GitHub\eaglep3-reporting\EC\2017-10-27-refined-times.txt</v>
      </c>
      <c r="AI136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{"issue":{"subject":"","project_id":79,"tracker_id":40,"status_id":1,"priority_id":2,"assigned_to_id":338,"start_date":"2017-10-27","description":"","custom_fields":[{"id":1,"name":"Subdivision","value":"EC"},{"id":4,"name":"Milepost","value":"0.0238"},{"id":17,"name":"Train ID","value":"222-27"},{"id":16,"name":"Locomotive ID","value":"4017"},{"id":130,"name":"Impact","value":""},{"id":150,"name":"Time of Event (Mountain Time)","value":"20:35:46"},{"id":151,"name":"Denver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30"/>
        <v>start /low /b %USERPROFILE%\Documents\GitHub\eaglep3\Utilities\DownloadLogsFromS3.py --loco 4017 --day 2017-10-27</v>
      </c>
      <c r="AN136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02:35:46"},{"id":29,"name":"Sharepoint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32"/>
        <v>https://d0f6bd738d7f1b3e5a7ca70fe4ff75f0.us-east-1.aws.found.io/app/kibana#/discover/Steve-Slow-Train-Analysis-(2080s-and-2083s)?_g=(refreshInterval:(display:Off,pause:!f,section:0,value:0),time:(from:'2017-10-27T18:40:32-0600',mode:absolute,to:'2017-10-27T21:35:46-0600'))&amp;_a=(columns:!('Message%20ID',Summary),filters:!(),index:'emp_*',interval:auto,query:(query_string:(analyze_wildcard:!t,query:'%22rtdc.l.rtdc.4017%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828</v>
      </c>
      <c r="B137" s="7">
        <v>4036</v>
      </c>
      <c r="C137" s="21" t="s">
        <v>194</v>
      </c>
      <c r="D137" s="21" t="s">
        <v>975</v>
      </c>
      <c r="E137" s="13">
        <v>43035.80846064815</v>
      </c>
      <c r="F137" s="13">
        <v>43035.812662037039</v>
      </c>
      <c r="G137" s="7">
        <v>51</v>
      </c>
      <c r="H137" s="21" t="s">
        <v>976</v>
      </c>
      <c r="I137" s="13">
        <v>43035.836631944447</v>
      </c>
      <c r="J137" s="7">
        <v>0</v>
      </c>
      <c r="K137" s="89" t="str">
        <f>IF(ISEVEN(B137),(B137-1)&amp;"/"&amp;B137,B137&amp;"/"&amp;(B137+1))</f>
        <v>4035/4036</v>
      </c>
      <c r="L137" s="185" t="str">
        <f>VLOOKUP(A137,'Trips&amp;Operators'!$C$1:$G$99911,5,FALSE)</f>
        <v>MCREYNOLDS KYLE</v>
      </c>
      <c r="M137" s="6">
        <f>I137-F137</f>
        <v>2.396990740817273E-2</v>
      </c>
      <c r="N137" s="7">
        <f>24*60*SUM($M137:$M137)</f>
        <v>34.516666667768732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-27T18:24:11-0600',mode:absolute,to:'2017-10-27T21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6.1699999999999998E-2</v>
      </c>
      <c r="Z137" s="204">
        <f>RIGHT(H137,LEN(H137)-4)/10000</f>
        <v>23.3185</v>
      </c>
      <c r="AA137" s="204">
        <f>ABS(Z137-Y137)</f>
        <v>23.256800000000002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223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/stypes="app*4036*20171028*"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28"/>
        <v>"%USERPROFILE%\Documents\GitHub\eaglep3\Utilities\RefineRTDCRunTimes.py" --tripid 223-27 --locoid 4036 --swversion DE.1.0.9.0 --startMP 204:617 --initTime 2017-10-27T19:24:11 --startdatetime 2017-10-27T19:30:14 --delay 51 --endMP 204:233185 --enddatetime 2017-10-27T20:04:45 --enforcementcount 0 &gt;&gt;%USERPROFILE%\Documents\GitHub\eaglep3-reporting\EC\2017-10-27-refined-times.txt</v>
      </c>
      <c r="AI137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{"issue":{"subject":"","project_id":79,"tracker_id":40,"status_id":1,"priority_id":2,"assigned_to_id":338,"start_date":"2017-10-27","description":"","custom_fields":[{"id":1,"name":"Subdivision","value":"EC"},{"id":4,"name":"Milepost","value":"23.3185"},{"id":17,"name":"Train ID","value":"223-27"},{"id":16,"name":"Locomotive ID","value":"4036"},{"id":130,"name":"Impact","value":""},{"id":150,"name":"Time of Event (Mountain Time)","value":"20:04:45"},{"id":151,"name":"Denver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30"/>
        <v>start /low /b %USERPROFILE%\Documents\GitHub\eaglep3\Utilities\DownloadLogsFromS3.py --loco 4036 --day 2017-10-27</v>
      </c>
      <c r="AN137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32"/>
        <v>https://d0f6bd738d7f1b3e5a7ca70fe4ff75f0.us-east-1.aws.found.io/app/kibana#/discover/Steve-Slow-Train-Analysis-(2080s-and-2083s)?_g=(refreshInterval:(display:Off,pause:!f,section:0,value:0),time:(from:'2017-10-27T18:24:11-0600',mode:absolute,to:'2017-10-27T21:04:45-0600'))&amp;_a=(columns:!('Message%20ID',Summary),filters:!(),index:'emp_*',interval:auto,query:(query_string:(analyze_wildcard:!t,query:'%22rtdc.l.rtdc.4036%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840</v>
      </c>
      <c r="B138" s="7">
        <v>4035</v>
      </c>
      <c r="C138" s="21" t="s">
        <v>194</v>
      </c>
      <c r="D138" s="21" t="s">
        <v>579</v>
      </c>
      <c r="E138" s="13">
        <v>43035.847141203703</v>
      </c>
      <c r="F138" s="13">
        <v>43035.85224537037</v>
      </c>
      <c r="G138" s="7">
        <v>64</v>
      </c>
      <c r="H138" s="21" t="s">
        <v>977</v>
      </c>
      <c r="I138" s="13">
        <v>43035.879363425927</v>
      </c>
      <c r="J138" s="7">
        <v>0</v>
      </c>
      <c r="K138" s="89" t="str">
        <f>IF(ISEVEN(B138),(B138-1)&amp;"/"&amp;B138,B138&amp;"/"&amp;(B138+1))</f>
        <v>4035/4036</v>
      </c>
      <c r="L138" s="185" t="str">
        <f>VLOOKUP(A138,'Trips&amp;Operators'!$C$1:$G$99911,5,FALSE)</f>
        <v>MCREYNOLDS KYLE</v>
      </c>
      <c r="M138" s="6">
        <f>I138-F138</f>
        <v>2.7118055557366461E-2</v>
      </c>
      <c r="N138" s="7">
        <f>24*60*SUM($M138:$M138)</f>
        <v>39.050000002607703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-27T19:19:53-0600',mode:absolute,to:'2017-10-27T22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23.287199999999999</v>
      </c>
      <c r="Z138" s="204">
        <f>RIGHT(H138,LEN(H138)-4)/10000</f>
        <v>2.69E-2</v>
      </c>
      <c r="AA138" s="204">
        <f>ABS(Z138-Y138)</f>
        <v>23.260299999999997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224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/stypes="app*4035*20171028*" /stext=" 03:.+((SYSTEM_STATE.+slice.+state.+changed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28"/>
        <v>"%USERPROFILE%\Documents\GitHub\eaglep3\Utilities\RefineRTDCRunTimes.py" --tripid 224-27 --locoid 4035 --swversion DE.1.0.9.0 --startMP 204:232872 --initTime 2017-10-27T20:19:53 --startdatetime 2017-10-27T20:27:14 --delay 64 --endMP 204:269 --enddatetime 2017-10-27T21:06:17 --enforcementcount 0 &gt;&gt;%USERPROFILE%\Documents\GitHub\eaglep3-reporting\EC\2017-10-27-refined-times.txt</v>
      </c>
      <c r="AI138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{"issue":{"subject":"","project_id":79,"tracker_id":40,"status_id":1,"priority_id":2,"assigned_to_id":338,"start_date":"2017-10-27","description":"","custom_fields":[{"id":1,"name":"Subdivision","value":"EC"},{"id":4,"name":"Milepost","value":"0.0269"},{"id":17,"name":"Train ID","value":"224-27"},{"id":16,"name":"Locomotive ID","value":"4035"},{"id":130,"name":"Impact","value":""},{"id":150,"name":"Time of Event (Mountain Time)","value":"21:06:17"},{"id":151,"name":"Denver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30"/>
        <v>start /low /b %USERPROFILE%\Documents\GitHub\eaglep3\Utilities\DownloadLogsFromS3.py --loco 4035 --day 2017-10-27</v>
      </c>
      <c r="AN138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03:06:17"},{"id":29,"name":"Sharepoint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32"/>
        <v>https://d0f6bd738d7f1b3e5a7ca70fe4ff75f0.us-east-1.aws.found.io/app/kibana#/discover/Steve-Slow-Train-Analysis-(2080s-and-2083s)?_g=(refreshInterval:(display:Off,pause:!f,section:0,value:0),time:(from:'2017-10-27T19:19:53-0600',mode:absolute,to:'2017-10-27T22:06:17-0600'))&amp;_a=(columns:!('Message%20ID',Summary),filters:!(),index:'emp_*',interval:auto,query:(query_string:(analyze_wildcard:!t,query:'%22rtdc.l.rtdc.4035%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838</v>
      </c>
      <c r="B139" s="7">
        <v>4006</v>
      </c>
      <c r="C139" s="21" t="s">
        <v>194</v>
      </c>
      <c r="D139" s="21" t="s">
        <v>978</v>
      </c>
      <c r="E139" s="13">
        <v>43035.831388888888</v>
      </c>
      <c r="F139" s="13">
        <v>43035.833553240744</v>
      </c>
      <c r="G139" s="7">
        <v>63</v>
      </c>
      <c r="H139" s="21" t="s">
        <v>575</v>
      </c>
      <c r="I139" s="13">
        <v>43035.858449074076</v>
      </c>
      <c r="J139" s="7">
        <v>0</v>
      </c>
      <c r="K139" s="89" t="str">
        <f>IF(ISEVEN(B139),(B139-1)&amp;"/"&amp;B139,B139&amp;"/"&amp;(B139+1))</f>
        <v>4005/4006</v>
      </c>
      <c r="L139" s="185" t="str">
        <f>VLOOKUP(A139,'Trips&amp;Operators'!$C$1:$G$99911,5,FALSE)</f>
        <v>NICHOLSON WESLEY</v>
      </c>
      <c r="M139" s="6">
        <f>I139-F139</f>
        <v>2.4895833332266193E-2</v>
      </c>
      <c r="N139" s="7">
        <f>24*60*SUM($M139:$M139)</f>
        <v>35.849999998463318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-27T18:57:12-0600',mode:absolute,to:'2017-10-27T21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5.8999999999999997E-2</v>
      </c>
      <c r="Z139" s="204">
        <f>RIGHT(H139,LEN(H139)-4)/10000</f>
        <v>23.319800000000001</v>
      </c>
      <c r="AA139" s="204">
        <f>ABS(Z139-Y139)</f>
        <v>23.2608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225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/stypes="app*4006*20171028*" /stext=" 02:.+((SYSTEM_STATE.+slice.+state.+changed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28"/>
        <v>"%USERPROFILE%\Documents\GitHub\eaglep3\Utilities\RefineRTDCRunTimes.py" --tripid 225-27 --locoid 4006 --swversion DE.1.0.9.0 --startMP 204:590 --initTime 2017-10-27T19:57:12 --startdatetime 2017-10-27T20:00:19 --delay 63 --endMP 204:233198 --enddatetime 2017-10-27T20:36:10 --enforcementcount 0 &gt;&gt;%USERPROFILE%\Documents\GitHub\eaglep3-reporting\EC\2017-10-27-refined-times.txt</v>
      </c>
      <c r="AI139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{"issue":{"subject":"","project_id":79,"tracker_id":40,"status_id":1,"priority_id":2,"assigned_to_id":338,"start_date":"2017-10-27","description":"","custom_fields":[{"id":1,"name":"Subdivision","value":"EC"},{"id":4,"name":"Milepost","value":"23.3198"},{"id":17,"name":"Train ID","value":"225-27"},{"id":16,"name":"Locomotive ID","value":"4006"},{"id":130,"name":"Impact","value":""},{"id":150,"name":"Time of Event (Mountain Time)","value":"20:36:10"},{"id":151,"name":"Denver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30"/>
        <v>start /low /b %USERPROFILE%\Documents\GitHub\eaglep3\Utilities\DownloadLogsFromS3.py --loco 4006 --day 2017-10-27</v>
      </c>
      <c r="AN139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02:36:10"},{"id":29,"name":"Sharepoint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32"/>
        <v>https://d0f6bd738d7f1b3e5a7ca70fe4ff75f0.us-east-1.aws.found.io/app/kibana#/discover/Steve-Slow-Train-Analysis-(2080s-and-2083s)?_g=(refreshInterval:(display:Off,pause:!f,section:0,value:0),time:(from:'2017-10-27T18:57:12-0600',mode:absolute,to:'2017-10-27T21:36:10-0600'))&amp;_a=(columns:!('Message%20ID',Summary),filters:!(),index:'emp_*',interval:auto,query:(query_string:(analyze_wildcard:!t,query:'%22rtdc.l.rtdc.4006%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843</v>
      </c>
      <c r="B140" s="7">
        <v>4005</v>
      </c>
      <c r="C140" s="21" t="s">
        <v>194</v>
      </c>
      <c r="D140" s="21" t="s">
        <v>931</v>
      </c>
      <c r="E140" s="13">
        <v>43035.865185185183</v>
      </c>
      <c r="F140" s="13">
        <v>43035.873553240737</v>
      </c>
      <c r="G140" s="7">
        <v>107</v>
      </c>
      <c r="H140" s="21" t="s">
        <v>979</v>
      </c>
      <c r="I140" s="13">
        <v>43035.900613425925</v>
      </c>
      <c r="J140" s="7">
        <v>0</v>
      </c>
      <c r="K140" s="89" t="str">
        <f>IF(ISEVEN(B140),(B140-1)&amp;"/"&amp;B140,B140&amp;"/"&amp;(B140+1))</f>
        <v>4005/4006</v>
      </c>
      <c r="L140" s="185" t="str">
        <f>VLOOKUP(A140,'Trips&amp;Operators'!$C$1:$G$99911,5,FALSE)</f>
        <v>NICHOLSON WESLEY</v>
      </c>
      <c r="M140" s="6">
        <f>I140-F140</f>
        <v>2.7060185188020114E-2</v>
      </c>
      <c r="N140" s="7">
        <f>24*60*SUM($M140:$M140)</f>
        <v>38.966666670748964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-27T19:45:52-0600',mode:absolute,to:'2017-10-27T22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23.288699999999999</v>
      </c>
      <c r="Z140" s="204">
        <f>RIGHT(H140,LEN(H140)-4)/10000</f>
        <v>3.4000000000000002E-2</v>
      </c>
      <c r="AA140" s="204">
        <f>ABS(Z140-Y140)</f>
        <v>23.2547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226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/stypes="app*4005*20171028*" /stext=" 03:.+((SYSTEM_STATE.+slice.+state.+changed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28"/>
        <v>"%USERPROFILE%\Documents\GitHub\eaglep3\Utilities\RefineRTDCRunTimes.py" --tripid 226-27 --locoid 4005 --swversion DE.1.0.9.0 --startMP 204:232887 --initTime 2017-10-27T20:45:52 --startdatetime 2017-10-27T20:57:55 --delay 107 --endMP 204:340 --enddatetime 2017-10-27T21:36:53 --enforcementcount 0 &gt;&gt;%USERPROFILE%\Documents\GitHub\eaglep3-reporting\EC\2017-10-27-refined-times.txt</v>
      </c>
      <c r="AI140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{"issue":{"subject":"","project_id":79,"tracker_id":40,"status_id":1,"priority_id":2,"assigned_to_id":338,"start_date":"2017-10-27","description":"","custom_fields":[{"id":1,"name":"Subdivision","value":"EC"},{"id":4,"name":"Milepost","value":"0.034"},{"id":17,"name":"Train ID","value":"226-27"},{"id":16,"name":"Locomotive ID","value":"4005"},{"id":130,"name":"Impact","value":""},{"id":150,"name":"Time of Event (Mountain Time)","value":"21:36:53"},{"id":151,"name":"Denver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30"/>
        <v>start /low /b %USERPROFILE%\Documents\GitHub\eaglep3\Utilities\DownloadLogsFromS3.py --loco 4005 --day 2017-10-27</v>
      </c>
      <c r="AN140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03:36:53"},{"id":29,"name":"Sharepoint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32"/>
        <v>https://d0f6bd738d7f1b3e5a7ca70fe4ff75f0.us-east-1.aws.found.io/app/kibana#/discover/Steve-Slow-Train-Analysis-(2080s-and-2083s)?_g=(refreshInterval:(display:Off,pause:!f,section:0,value:0),time:(from:'2017-10-27T19:45:52-0600',mode:absolute,to:'2017-10-27T22:36:53-0600'))&amp;_a=(columns:!('Message%20ID',Summary),filters:!(),index:'emp_*',interval:auto,query:(query_string:(analyze_wildcard:!t,query:'%22rtdc.l.rtdc.4005%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640</v>
      </c>
      <c r="B141" s="7">
        <v>4008</v>
      </c>
      <c r="C141" s="21" t="s">
        <v>194</v>
      </c>
      <c r="D141" s="21" t="s">
        <v>891</v>
      </c>
      <c r="E141" s="13">
        <v>43035.845300925925</v>
      </c>
      <c r="F141" s="13">
        <v>43035.854363425926</v>
      </c>
      <c r="G141" s="7">
        <v>80</v>
      </c>
      <c r="H141" s="21" t="s">
        <v>980</v>
      </c>
      <c r="I141" s="13">
        <v>43035.879108796296</v>
      </c>
      <c r="J141" s="7">
        <v>0</v>
      </c>
      <c r="K141" s="89" t="str">
        <f>IF(ISEVEN(B141),(B141-1)&amp;"/"&amp;B141,B141&amp;"/"&amp;(B141+1))</f>
        <v>4007/4008</v>
      </c>
      <c r="L141" s="185" t="str">
        <f>VLOOKUP(A141,'Trips&amp;Operators'!$C$1:$G$99911,5,FALSE)</f>
        <v>ELBAUM MIKE</v>
      </c>
      <c r="M141" s="6">
        <f>I141-F141</f>
        <v>2.47453703705105E-2</v>
      </c>
      <c r="N141" s="7">
        <f>24*60*SUM($M141:$M141)</f>
        <v>35.63333333353512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-27T19:17:14-0600',mode:absolute,to:'2017-10-27T22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5.7000000000000002E-2</v>
      </c>
      <c r="Z141" s="204">
        <f>RIGHT(H141,LEN(H141)-4)/10000</f>
        <v>23.3276</v>
      </c>
      <c r="AA141" s="204">
        <f>ABS(Z141-Y141)</f>
        <v>23.270600000000002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227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/stypes="app*4008*20171028*"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28"/>
        <v>"%USERPROFILE%\Documents\GitHub\eaglep3\Utilities\RefineRTDCRunTimes.py" --tripid 227-27 --locoid 4008 --swversion DE.1.0.9.0 --startMP 204:570 --initTime 2017-10-27T20:17:14 --startdatetime 2017-10-27T20:30:17 --delay 80 --endMP 204:233276 --enddatetime 2017-10-27T21:05:55 --enforcementcount 0 &gt;&gt;%USERPROFILE%\Documents\GitHub\eaglep3-reporting\EC\2017-10-27-refined-times.txt</v>
      </c>
      <c r="AI141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{"issue":{"subject":"","project_id":79,"tracker_id":40,"status_id":1,"priority_id":2,"assigned_to_id":338,"start_date":"2017-10-27","description":"","custom_fields":[{"id":1,"name":"Subdivision","value":"EC"},{"id":4,"name":"Milepost","value":"23.3276"},{"id":17,"name":"Train ID","value":"227-27"},{"id":16,"name":"Locomotive ID","value":"4008"},{"id":130,"name":"Impact","value":""},{"id":150,"name":"Time of Event (Mountain Time)","value":"21:05:55"},{"id":151,"name":"Denver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30"/>
        <v>start /low /b %USERPROFILE%\Documents\GitHub\eaglep3\Utilities\DownloadLogsFromS3.py --loco 4008 --day 2017-10-27</v>
      </c>
      <c r="AN141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03:05:55"},{"id":29,"name":"Sharepoint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32"/>
        <v>https://d0f6bd738d7f1b3e5a7ca70fe4ff75f0.us-east-1.aws.found.io/app/kibana#/discover/Steve-Slow-Train-Analysis-(2080s-and-2083s)?_g=(refreshInterval:(display:Off,pause:!f,section:0,value:0),time:(from:'2017-10-27T19:17:14-0600',mode:absolute,to:'2017-10-27T22:05:55-0600'))&amp;_a=(columns:!('Message%20ID',Summary),filters:!(),index:'emp_*',interval:auto,query:(query_string:(analyze_wildcard:!t,query:'%22rtdc.l.rtdc.4008%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847</v>
      </c>
      <c r="B142" s="7">
        <v>4007</v>
      </c>
      <c r="C142" s="21" t="s">
        <v>194</v>
      </c>
      <c r="D142" s="21" t="s">
        <v>982</v>
      </c>
      <c r="E142" s="13">
        <v>43035.889097222222</v>
      </c>
      <c r="F142" s="13">
        <v>43035.893969907411</v>
      </c>
      <c r="G142" s="7">
        <v>71</v>
      </c>
      <c r="H142" s="21" t="s">
        <v>933</v>
      </c>
      <c r="I142" s="13">
        <v>43035.920949074076</v>
      </c>
      <c r="J142" s="7">
        <v>0</v>
      </c>
      <c r="K142" s="89" t="str">
        <f>IF(ISEVEN(B142),(B142-1)&amp;"/"&amp;B142,B142&amp;"/"&amp;(B142+1))</f>
        <v>4007/4008</v>
      </c>
      <c r="L142" s="185" t="str">
        <f>VLOOKUP(A142,'Trips&amp;Operators'!$C$1:$G$99911,5,FALSE)</f>
        <v>ZEWDU DEREJE</v>
      </c>
      <c r="M142" s="6">
        <f>I142-F142</f>
        <v>2.6979166665114462E-2</v>
      </c>
      <c r="N142" s="7">
        <f>24*60*SUM($M142:$M142)</f>
        <v>38.849999997764826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-27T20:20:18-0600',mode:absolute,to:'2017-10-27T23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204" t="str">
        <f>IF(AA142&lt;VLOOKUP(AG142,Variables!$AC$3:$AD$8,2,FALSE),"Y","N")</f>
        <v>N</v>
      </c>
      <c r="X142" s="204">
        <f t="shared" ref="X142:X143" si="33">VALUE(LEFT(AD142,4))-VALUE(LEFT(AD141,4))</f>
        <v>1</v>
      </c>
      <c r="Y142" s="204">
        <f>RIGHT(D142,LEN(D142)-4)/10000</f>
        <v>23.295999999999999</v>
      </c>
      <c r="Z142" s="204">
        <f>RIGHT(H142,LEN(H142)-4)/10000</f>
        <v>2.4299999999999999E-2</v>
      </c>
      <c r="AA142" s="204">
        <f>ABS(Z142-Y142)</f>
        <v>23.271699999999999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228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/stypes="app*4007*20171028*"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28"/>
        <v>"%USERPROFILE%\Documents\GitHub\eaglep3\Utilities\RefineRTDCRunTimes.py" --tripid 228-27 --locoid 4007 --swversion DE.1.0.9.0 --startMP 204:232960 --initTime 2017-10-27T21:20:18 --startdatetime 2017-10-27T21:27:19 --delay 71 --endMP 204:243 --enddatetime 2017-10-27T22:06:10 --enforcementcount 0 &gt;&gt;%USERPROFILE%\Documents\GitHub\eaglep3-reporting\EC\2017-10-27-refined-times.txt</v>
      </c>
      <c r="AI142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{"issue":{"subject":"","project_id":79,"tracker_id":40,"status_id":1,"priority_id":2,"assigned_to_id":338,"start_date":"2017-10-27","description":"","custom_fields":[{"id":1,"name":"Subdivision","value":"EC"},{"id":4,"name":"Milepost","value":"0.0243"},{"id":17,"name":"Train ID","value":"228-27"},{"id":16,"name":"Locomotive ID","value":"4007"},{"id":130,"name":"Impact","value":""},{"id":150,"name":"Time of Event (Mountain Time)","value":"22:06:10"},{"id":151,"name":"Denver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30"/>
        <v>start /low /b %USERPROFILE%\Documents\GitHub\eaglep3\Utilities\DownloadLogsFromS3.py --loco 4007 --day 2017-10-27</v>
      </c>
      <c r="AN142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04:06:10"},{"id":29,"name":"Sharepoint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32"/>
        <v>https://d0f6bd738d7f1b3e5a7ca70fe4ff75f0.us-east-1.aws.found.io/app/kibana#/discover/Steve-Slow-Train-Analysis-(2080s-and-2083s)?_g=(refreshInterval:(display:Off,pause:!f,section:0,value:0),time:(from:'2017-10-27T20:20:18-0600',mode:absolute,to:'2017-10-27T23:06:10-0600'))&amp;_a=(columns:!('Message%20ID',Summary),filters:!(),index:'emp_*',interval:auto,query:(query_string:(analyze_wildcard:!t,query:'%22rtdc.l.rtdc.4007%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842</v>
      </c>
      <c r="B143" s="7">
        <v>4018</v>
      </c>
      <c r="C143" s="21" t="s">
        <v>194</v>
      </c>
      <c r="D143" s="21" t="s">
        <v>983</v>
      </c>
      <c r="E143" s="13">
        <v>43035.860138888886</v>
      </c>
      <c r="F143" s="13">
        <v>43035.875324074077</v>
      </c>
      <c r="G143" s="7">
        <v>59</v>
      </c>
      <c r="H143" s="21" t="s">
        <v>582</v>
      </c>
      <c r="I143" s="13">
        <v>43035.899965277778</v>
      </c>
      <c r="J143" s="7">
        <v>0</v>
      </c>
      <c r="K143" s="89" t="str">
        <f>IF(ISEVEN(B143),(B143-1)&amp;"/"&amp;B143,B143&amp;"/"&amp;(B143+1))</f>
        <v>4017/4018</v>
      </c>
      <c r="L143" s="185" t="str">
        <f>VLOOKUP(A143,'Trips&amp;Operators'!$C$1:$G$99911,5,FALSE)</f>
        <v>ANDERS STEVEN</v>
      </c>
      <c r="M143" s="6">
        <f>I143-F143</f>
        <v>2.4641203701321501E-2</v>
      </c>
      <c r="N143" s="7">
        <f>24*60*SUM($M143:$M143)</f>
        <v>35.483333329902962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-27T19:38:36-0600',mode:absolute,to:'2017-10-27T22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3" s="204" t="str">
        <f>IF(AA143&lt;VLOOKUP(AG143,Variables!$AC$3:$AD$8,2,FALSE),"Y","N")</f>
        <v>N</v>
      </c>
      <c r="X143" s="204">
        <f t="shared" si="33"/>
        <v>1</v>
      </c>
      <c r="Y143" s="204">
        <f>RIGHT(D143,LEN(D143)-4)/10000</f>
        <v>5.4199999999999998E-2</v>
      </c>
      <c r="Z143" s="204">
        <f>RIGHT(H143,LEN(H143)-4)/10000</f>
        <v>23.325299999999999</v>
      </c>
      <c r="AA143" s="204">
        <f>ABS(Z143-Y143)</f>
        <v>23.271099999999997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229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/stypes="app*4018*20171028*" /stext=" 03:.+((SYSTEM_STATE.+slice.+state.+changed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28"/>
        <v>"%USERPROFILE%\Documents\GitHub\eaglep3\Utilities\RefineRTDCRunTimes.py" --tripid 229-27 --locoid 4018 --swversion DE.1.0.9.0 --startMP 204:542 --initTime 2017-10-27T20:38:36 --startdatetime 2017-10-27T21:00:28 --delay 59 --endMP 204:233253 --enddatetime 2017-10-27T21:35:57 --enforcementcount 0 &gt;&gt;%USERPROFILE%\Documents\GitHub\eaglep3-reporting\EC\2017-10-27-refined-times.txt</v>
      </c>
      <c r="AI143" s="96" t="str">
        <f t="shared" si="29"/>
        <v>echo {"issue":{"subject":"","project_id":79,"tracker_id":40,"status_id":1,"priority_id":2,"assigned_to_id":338,"start_date":"2017-10-27","description":"","custom_fields":[{"id":1,"name":"Subdivision","value":"EC"},{"id":4,"name":"Milepost","value":"23.3253"},{"id":17,"name":"Train ID","value":"229-27"},{"id":16,"name":"Locomotive ID","value":"4018"},{"id":130,"name":"Impact","value":""},{"id":150,"name":"Time of Event (Mountain Time)","value":"21:35:57"},{"id":151,"name":"Denver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30"/>
        <v>start /low /b %USERPROFILE%\Documents\GitHub\eaglep3\Utilities\DownloadLogsFromS3.py --loco 4018 --day 2017-10-27</v>
      </c>
      <c r="AN143" s="151" t="str">
        <f t="shared" si="3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03:35:57"},{"id":29,"name":"Sharepoint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32"/>
        <v>https://d0f6bd738d7f1b3e5a7ca70fe4ff75f0.us-east-1.aws.found.io/app/kibana#/discover/Steve-Slow-Train-Analysis-(2080s-and-2083s)?_g=(refreshInterval:(display:Off,pause:!f,section:0,value:0),time:(from:'2017-10-27T19:38:36-0600',mode:absolute,to:'2017-10-27T22:35:57-0600'))&amp;_a=(columns:!('Message%20ID',Summary),filters:!(),index:'emp_*',interval:auto,query:(query_string:(analyze_wildcard:!t,query:'%22rtdc.l.rtdc.4018%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850</v>
      </c>
      <c r="B144" s="7">
        <v>4017</v>
      </c>
      <c r="C144" s="21" t="s">
        <v>194</v>
      </c>
      <c r="D144" s="21" t="s">
        <v>984</v>
      </c>
      <c r="E144" s="13">
        <v>43035.910960648151</v>
      </c>
      <c r="F144" s="13">
        <v>43035.914837962962</v>
      </c>
      <c r="G144" s="7">
        <v>134</v>
      </c>
      <c r="H144" s="21" t="s">
        <v>537</v>
      </c>
      <c r="I144" s="13">
        <v>43035.940798611111</v>
      </c>
      <c r="J144" s="7">
        <v>0</v>
      </c>
      <c r="K144" s="89" t="str">
        <f>IF(ISEVEN(B144),(B144-1)&amp;"/"&amp;B144,B144&amp;"/"&amp;(B144+1))</f>
        <v>4017/4018</v>
      </c>
      <c r="L144" s="185" t="str">
        <f>VLOOKUP(A144,'Trips&amp;Operators'!$C$1:$G$99911,5,FALSE)</f>
        <v>ANDERS STEVEN</v>
      </c>
      <c r="M144" s="6">
        <f>I144-F144</f>
        <v>2.5960648148611654E-2</v>
      </c>
      <c r="N144" s="7">
        <f>24*60*SUM($M144:$M144)</f>
        <v>37.383333334000781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-27T20:51:47-0600',mode:absolute,to:'2017-10-27T23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23.2942</v>
      </c>
      <c r="Z144" s="204">
        <f>RIGHT(H144,LEN(H144)-4)/10000</f>
        <v>2.52E-2</v>
      </c>
      <c r="AA144" s="204">
        <f>ABS(Z144-Y144)</f>
        <v>23.268999999999998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230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/stypes="app*4017*20171028*"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ref="AH144:AH204" si="34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230-27 --locoid 4017 --swversion DE.1.0.9.0 --startMP 204:232942 --initTime 2017-10-27T21:51:47 --startdatetime 2017-10-27T21:57:22 --delay 134 --endMP 204:252 --enddatetime 2017-10-27T22:34:45 --enforcementcount 0 &gt;&gt;%USERPROFILE%\Documents\GitHub\eaglep3-reporting\EC\2017-10-27-refined-times.txt</v>
      </c>
      <c r="AI144" s="96" t="str">
        <f t="shared" ref="AI144:AI204" si="35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{"issue":{"subject":"","project_id":79,"tracker_id":40,"status_id":1,"priority_id":2,"assigned_to_id":338,"start_date":"2017-10-27","description":"","custom_fields":[{"id":1,"name":"Subdivision","value":"EC"},{"id":4,"name":"Milepost","value":"0.0252"},{"id":17,"name":"Train ID","value":"230-27"},{"id":16,"name":"Locomotive ID","value":"4017"},{"id":130,"name":"Impact","value":""},{"id":150,"name":"Time of Event (Mountain Time)","value":"22:34:45"},{"id":151,"name":"Denver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:AM204" si="36">"start /low /b "&amp;dls3logs&amp;" --loco "&amp;B144&amp;" --day "&amp;TEXT(F144,"YYYY-MM-DD")</f>
        <v>start /low /b %USERPROFILE%\Documents\GitHub\eaglep3\Utilities\DownloadLogsFromS3.py --loco 4017 --day 2017-10-27</v>
      </c>
      <c r="AN144" s="151" t="str">
        <f t="shared" ref="AN144:AN204" si="37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04:34:45"},{"id":29,"name":"Sharepoint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04" si="38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-27T20:51:47-0600',mode:absolute,to:'2017-10-27T23:34:45-0600'))&amp;_a=(columns:!('Message%20ID',Summary),filters:!(),index:'emp_*',interval:auto,query:(query_string:(analyze_wildcard:!t,query:'%22rtdc.l.rtdc.4017%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846</v>
      </c>
      <c r="B145" s="7">
        <v>4036</v>
      </c>
      <c r="C145" s="21" t="s">
        <v>194</v>
      </c>
      <c r="D145" s="21" t="s">
        <v>960</v>
      </c>
      <c r="E145" s="13">
        <v>43035.881458333337</v>
      </c>
      <c r="F145" s="13">
        <v>43035.896122685182</v>
      </c>
      <c r="G145" s="7">
        <v>58</v>
      </c>
      <c r="H145" s="21" t="s">
        <v>954</v>
      </c>
      <c r="I145" s="13">
        <v>43035.920347222222</v>
      </c>
      <c r="J145" s="7">
        <v>0</v>
      </c>
      <c r="K145" s="89" t="str">
        <f>IF(ISEVEN(B145),(B145-1)&amp;"/"&amp;B145,B145&amp;"/"&amp;(B145+1))</f>
        <v>4035/4036</v>
      </c>
      <c r="L145" s="185" t="str">
        <f>VLOOKUP(A145,'Trips&amp;Operators'!$C$1:$G$99911,5,FALSE)</f>
        <v>MCREYNOLDS KYLE</v>
      </c>
      <c r="M145" s="6">
        <f>I145-F145</f>
        <v>2.4224537039117422E-2</v>
      </c>
      <c r="N145" s="7">
        <f>24*60*SUM($M145:$M145)</f>
        <v>34.883333336329088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-27T20:09:18-0600',mode:absolute,to:'2017-10-27T23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5.57E-2</v>
      </c>
      <c r="Z145" s="204">
        <f>RIGHT(H145,LEN(H145)-4)/10000</f>
        <v>23.319600000000001</v>
      </c>
      <c r="AA145" s="204">
        <f>ABS(Z145-Y145)</f>
        <v>23.2639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231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/stypes="app*4036*20171028*"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34"/>
        <v>"%USERPROFILE%\Documents\GitHub\eaglep3\Utilities\RefineRTDCRunTimes.py" --tripid 231-27 --locoid 4036 --swversion DE.1.0.9.0 --startMP 204:557 --initTime 2017-10-27T21:09:18 --startdatetime 2017-10-27T21:30:25 --delay 58 --endMP 204:233196 --enddatetime 2017-10-27T22:05:18 --enforcementcount 0 &gt;&gt;%USERPROFILE%\Documents\GitHub\eaglep3-reporting\EC\2017-10-27-refined-times.txt</v>
      </c>
      <c r="AI145" s="96" t="str">
        <f t="shared" si="35"/>
        <v>echo {"issue":{"subject":"","project_id":79,"tracker_id":40,"status_id":1,"priority_id":2,"assigned_to_id":338,"start_date":"2017-10-27","description":"","custom_fields":[{"id":1,"name":"Subdivision","value":"EC"},{"id":4,"name":"Milepost","value":"23.3196"},{"id":17,"name":"Train ID","value":"231-27"},{"id":16,"name":"Locomotive ID","value":"4036"},{"id":130,"name":"Impact","value":""},{"id":150,"name":"Time of Event (Mountain Time)","value":"22:05:18"},{"id":151,"name":"Denver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36"/>
        <v>start /low /b %USERPROFILE%\Documents\GitHub\eaglep3\Utilities\DownloadLogsFromS3.py --loco 4036 --day 2017-10-27</v>
      </c>
      <c r="AN145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04:05:18"},{"id":29,"name":"Sharepoint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38"/>
        <v>https://d0f6bd738d7f1b3e5a7ca70fe4ff75f0.us-east-1.aws.found.io/app/kibana#/discover/Steve-Slow-Train-Analysis-(2080s-and-2083s)?_g=(refreshInterval:(display:Off,pause:!f,section:0,value:0),time:(from:'2017-10-27T20:09:18-0600',mode:absolute,to:'2017-10-27T23:05:18-0600'))&amp;_a=(columns:!('Message%20ID',Summary),filters:!(),index:'emp_*',interval:auto,query:(query_string:(analyze_wildcard:!t,query:'%22rtdc.l.rtdc.4036%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853</v>
      </c>
      <c r="B146" s="7">
        <v>4035</v>
      </c>
      <c r="C146" s="21" t="s">
        <v>194</v>
      </c>
      <c r="D146" s="21" t="s">
        <v>534</v>
      </c>
      <c r="E146" s="13">
        <v>43035.927847222221</v>
      </c>
      <c r="F146" s="13">
        <v>43035.935636574075</v>
      </c>
      <c r="G146" s="7">
        <v>55</v>
      </c>
      <c r="H146" s="21" t="s">
        <v>537</v>
      </c>
      <c r="I146" s="13">
        <v>43035.961770833332</v>
      </c>
      <c r="J146" s="7">
        <v>0</v>
      </c>
      <c r="K146" s="89" t="str">
        <f>IF(ISEVEN(B146),(B146-1)&amp;"/"&amp;B146,B146&amp;"/"&amp;(B146+1))</f>
        <v>4035/4036</v>
      </c>
      <c r="L146" s="185" t="str">
        <f>VLOOKUP(A146,'Trips&amp;Operators'!$C$1:$G$99911,5,FALSE)</f>
        <v>MCREYNOLDS KYLE</v>
      </c>
      <c r="M146" s="6">
        <f>I146-F146</f>
        <v>2.6134259256650694E-2</v>
      </c>
      <c r="N146" s="7">
        <f>24*60*SUM($M146:$M146)</f>
        <v>37.633333329576999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-27T21:16:06-0600',mode:absolute,to:'2017-10-28T00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23.287700000000001</v>
      </c>
      <c r="Z146" s="204">
        <f>RIGHT(H146,LEN(H146)-4)/10000</f>
        <v>2.52E-2</v>
      </c>
      <c r="AA146" s="204">
        <f>ABS(Z146-Y146)</f>
        <v>23.262499999999999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232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/stypes="app*4035*20171028*"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34"/>
        <v>"%USERPROFILE%\Documents\GitHub\eaglep3\Utilities\RefineRTDCRunTimes.py" --tripid 232-27 --locoid 4035 --swversion DE.1.0.9.0 --startMP 204:232877 --initTime 2017-10-27T22:16:06 --startdatetime 2017-10-27T22:27:19 --delay 55 --endMP 204:252 --enddatetime 2017-10-27T23:04:57 --enforcementcount 0 &gt;&gt;%USERPROFILE%\Documents\GitHub\eaglep3-reporting\EC\2017-10-27-refined-times.txt</v>
      </c>
      <c r="AI146" s="96" t="str">
        <f t="shared" si="35"/>
        <v>echo {"issue":{"subject":"","project_id":79,"tracker_id":40,"status_id":1,"priority_id":2,"assigned_to_id":338,"start_date":"2017-10-27","description":"","custom_fields":[{"id":1,"name":"Subdivision","value":"EC"},{"id":4,"name":"Milepost","value":"0.0252"},{"id":17,"name":"Train ID","value":"232-27"},{"id":16,"name":"Locomotive ID","value":"4035"},{"id":130,"name":"Impact","value":""},{"id":150,"name":"Time of Event (Mountain Time)","value":"23:04:57"},{"id":151,"name":"Denver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36"/>
        <v>start /low /b %USERPROFILE%\Documents\GitHub\eaglep3\Utilities\DownloadLogsFromS3.py --loco 4035 --day 2017-10-27</v>
      </c>
      <c r="AN146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05:04:57"},{"id":29,"name":"Sharepoint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38"/>
        <v>https://d0f6bd738d7f1b3e5a7ca70fe4ff75f0.us-east-1.aws.found.io/app/kibana#/discover/Steve-Slow-Train-Analysis-(2080s-and-2083s)?_g=(refreshInterval:(display:Off,pause:!f,section:0,value:0),time:(from:'2017-10-27T21:16:06-0600',mode:absolute,to:'2017-10-28T00:04:57-0600'))&amp;_a=(columns:!('Message%20ID',Summary),filters:!(),index:'emp_*',interval:auto,query:(query_string:(analyze_wildcard:!t,query:'%22rtdc.l.rtdc.4035%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849</v>
      </c>
      <c r="B147" s="7">
        <v>4006</v>
      </c>
      <c r="C147" s="21" t="s">
        <v>194</v>
      </c>
      <c r="D147" s="21" t="s">
        <v>617</v>
      </c>
      <c r="E147" s="13">
        <v>43035.909502314818</v>
      </c>
      <c r="F147" s="13">
        <v>43035.916932870372</v>
      </c>
      <c r="G147" s="7">
        <v>90</v>
      </c>
      <c r="H147" s="21" t="s">
        <v>985</v>
      </c>
      <c r="I147" s="13">
        <v>43035.941562499997</v>
      </c>
      <c r="J147" s="7">
        <v>0</v>
      </c>
      <c r="K147" s="89" t="str">
        <f>IF(ISEVEN(B147),(B147-1)&amp;"/"&amp;B147,B147&amp;"/"&amp;(B147+1))</f>
        <v>4005/4006</v>
      </c>
      <c r="L147" s="185" t="str">
        <f>VLOOKUP(A147,'Trips&amp;Operators'!$C$1:$G$99911,5,FALSE)</f>
        <v>NICHOLSON WESLEY</v>
      </c>
      <c r="M147" s="6">
        <f>I147-F147</f>
        <v>2.4629629624541849E-2</v>
      </c>
      <c r="N147" s="7">
        <f>24*60*SUM($M147:$M147)</f>
        <v>35.466666659340262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-27T20:49:41-0600',mode:absolute,to:'2017-10-27T23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6.5199999999999994E-2</v>
      </c>
      <c r="Z147" s="204">
        <f>RIGHT(H147,LEN(H147)-4)/10000</f>
        <v>23.313800000000001</v>
      </c>
      <c r="AA147" s="204">
        <f>ABS(Z147-Y147)</f>
        <v>23.2486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233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s3://rtdc.mdm.uploadarchive.raw/RTDC4006/ "%USERPROFILE%\AppData\Local\Temp\OnboardLogs"\RTDC4006\2017-10-27 --exclude "*" --recursive --include "*20171027*" &amp; "%USERPROFILE%\Documents\GitHub\mrs-test-scripts\Headless Mode &amp; Sideloading\WalkAndUnGZ.bat" "%USERPROFILE%\AppData\Local\Temp\OnboardLogs"\RTDC4006\2017-10-27 &amp; 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/stypes="app*4006*20171028*" /stext=" 04:.+((SYSTEM_STATE.+slice.+state.+changed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34"/>
        <v>"%USERPROFILE%\Documents\GitHub\eaglep3\Utilities\RefineRTDCRunTimes.py" --tripid 233-27 --locoid 4006 --swversion DE.1.0.9.0 --startMP 204:652 --initTime 2017-10-27T21:49:41 --startdatetime 2017-10-27T22:00:23 --delay 90 --endMP 204:233138 --enddatetime 2017-10-27T22:35:51 --enforcementcount 0 &gt;&gt;%USERPROFILE%\Documents\GitHub\eaglep3-reporting\EC\2017-10-27-refined-times.txt</v>
      </c>
      <c r="AI147" s="96" t="str">
        <f t="shared" si="35"/>
        <v>echo {"issue":{"subject":"","project_id":79,"tracker_id":40,"status_id":1,"priority_id":2,"assigned_to_id":338,"start_date":"2017-10-27","description":"","custom_fields":[{"id":1,"name":"Subdivision","value":"EC"},{"id":4,"name":"Milepost","value":"23.3138"},{"id":17,"name":"Train ID","value":"233-27"},{"id":16,"name":"Locomotive ID","value":"4006"},{"id":130,"name":"Impact","value":""},{"id":150,"name":"Time of Event (Mountain Time)","value":"22:35:51"},{"id":151,"name":"Denver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36"/>
        <v>start /low /b %USERPROFILE%\Documents\GitHub\eaglep3\Utilities\DownloadLogsFromS3.py --loco 4006 --day 2017-10-27</v>
      </c>
      <c r="AN147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04:35:51"},{"id":29,"name":"Sharepoint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38"/>
        <v>https://d0f6bd738d7f1b3e5a7ca70fe4ff75f0.us-east-1.aws.found.io/app/kibana#/discover/Steve-Slow-Train-Analysis-(2080s-and-2083s)?_g=(refreshInterval:(display:Off,pause:!f,section:0,value:0),time:(from:'2017-10-27T20:49:41-0600',mode:absolute,to:'2017-10-27T23:35:51-0600'))&amp;_a=(columns:!('Message%20ID',Summary),filters:!(),index:'emp_*',interval:auto,query:(query_string:(analyze_wildcard:!t,query:'%22rtdc.l.rtdc.4006%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857</v>
      </c>
      <c r="B148" s="7">
        <v>4005</v>
      </c>
      <c r="C148" s="21" t="s">
        <v>194</v>
      </c>
      <c r="D148" s="21" t="s">
        <v>581</v>
      </c>
      <c r="E148" s="13">
        <v>43035.952615740738</v>
      </c>
      <c r="F148" s="13">
        <v>43035.956631944442</v>
      </c>
      <c r="G148" s="7">
        <v>75</v>
      </c>
      <c r="H148" s="21" t="s">
        <v>986</v>
      </c>
      <c r="I148" s="13">
        <v>43035.983877314815</v>
      </c>
      <c r="J148" s="7">
        <v>0</v>
      </c>
      <c r="K148" s="89" t="str">
        <f>IF(ISEVEN(B148),(B148-1)&amp;"/"&amp;B148,B148&amp;"/"&amp;(B148+1))</f>
        <v>4005/4006</v>
      </c>
      <c r="L148" s="185" t="str">
        <f>VLOOKUP(A148,'Trips&amp;Operators'!$C$1:$G$99911,5,FALSE)</f>
        <v>NICHOLSON WESLEY</v>
      </c>
      <c r="M148" s="6">
        <f>I148-F148</f>
        <v>2.7245370372838806E-2</v>
      </c>
      <c r="N148" s="7">
        <f>24*60*SUM($M148:$M148)</f>
        <v>39.233333336887881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-27T21:51:46-0600',mode:absolute,to:'2017-10-28T00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23.2852</v>
      </c>
      <c r="Z148" s="204">
        <f>RIGHT(H148,LEN(H148)-4)/10000</f>
        <v>3.5099999999999999E-2</v>
      </c>
      <c r="AA148" s="204">
        <f>ABS(Z148-Y148)</f>
        <v>23.2501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234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/stypes="app*4005*20171028*"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34"/>
        <v>"%USERPROFILE%\Documents\GitHub\eaglep3\Utilities\RefineRTDCRunTimes.py" --tripid 234-27 --locoid 4005 --swversion DE.1.0.9.0 --startMP 204:232852 --initTime 2017-10-27T22:51:46 --startdatetime 2017-10-27T22:57:33 --delay 75 --endMP 204:351 --enddatetime 2017-10-27T23:36:47 --enforcementcount 0 &gt;&gt;%USERPROFILE%\Documents\GitHub\eaglep3-reporting\EC\2017-10-27-refined-times.txt</v>
      </c>
      <c r="AI148" s="96" t="str">
        <f t="shared" si="35"/>
        <v>echo {"issue":{"subject":"","project_id":79,"tracker_id":40,"status_id":1,"priority_id":2,"assigned_to_id":338,"start_date":"2017-10-27","description":"","custom_fields":[{"id":1,"name":"Subdivision","value":"EC"},{"id":4,"name":"Milepost","value":"0.0351"},{"id":17,"name":"Train ID","value":"234-27"},{"id":16,"name":"Locomotive ID","value":"4005"},{"id":130,"name":"Impact","value":""},{"id":150,"name":"Time of Event (Mountain Time)","value":"23:36:47"},{"id":151,"name":"Denver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36"/>
        <v>start /low /b %USERPROFILE%\Documents\GitHub\eaglep3\Utilities\DownloadLogsFromS3.py --loco 4005 --day 2017-10-27</v>
      </c>
      <c r="AN148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05:36:47"},{"id":29,"name":"Sharepoint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38"/>
        <v>https://d0f6bd738d7f1b3e5a7ca70fe4ff75f0.us-east-1.aws.found.io/app/kibana#/discover/Steve-Slow-Train-Analysis-(2080s-and-2083s)?_g=(refreshInterval:(display:Off,pause:!f,section:0,value:0),time:(from:'2017-10-27T21:51:46-0600',mode:absolute,to:'2017-10-28T00:36:47-0600'))&amp;_a=(columns:!('Message%20ID',Summary),filters:!(),index:'emp_*',interval:auto,query:(query_string:(analyze_wildcard:!t,query:'%22rtdc.l.rtdc.4005%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852</v>
      </c>
      <c r="B149" s="7">
        <v>4008</v>
      </c>
      <c r="C149" s="21" t="s">
        <v>194</v>
      </c>
      <c r="D149" s="21" t="s">
        <v>536</v>
      </c>
      <c r="E149" s="13">
        <v>43035.921967592592</v>
      </c>
      <c r="F149" s="13">
        <v>43035.937638888892</v>
      </c>
      <c r="G149" s="7">
        <v>80</v>
      </c>
      <c r="H149" s="21" t="s">
        <v>944</v>
      </c>
      <c r="I149" s="13">
        <v>43035.961354166669</v>
      </c>
      <c r="J149" s="7">
        <v>0</v>
      </c>
      <c r="K149" s="89" t="str">
        <f>IF(ISEVEN(B149),(B149-1)&amp;"/"&amp;B149,B149&amp;"/"&amp;(B149+1))</f>
        <v>4007/4008</v>
      </c>
      <c r="L149" s="185" t="str">
        <f>VLOOKUP(A149,'Trips&amp;Operators'!$C$1:$G$99911,5,FALSE)</f>
        <v>ELBAUM MIKE</v>
      </c>
      <c r="M149" s="6">
        <f>I149-F149</f>
        <v>2.3715277777228039E-2</v>
      </c>
      <c r="N149" s="7">
        <f>24*60*SUM($M149:$M149)</f>
        <v>34.149999999208376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-27T21:07:38-0600',mode:absolute,to:'2017-10-28T00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5.6000000000000001E-2</v>
      </c>
      <c r="Z149" s="204">
        <f>RIGHT(H149,LEN(H149)-4)/10000</f>
        <v>23.3293</v>
      </c>
      <c r="AA149" s="204">
        <f>ABS(Z149-Y149)</f>
        <v>23.273299999999999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235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/stypes="app*4008*20171028*"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34"/>
        <v>"%USERPROFILE%\Documents\GitHub\eaglep3\Utilities\RefineRTDCRunTimes.py" --tripid 235-27 --locoid 4008 --swversion DE.1.0.9.0 --startMP 204:560 --initTime 2017-10-27T22:07:38 --startdatetime 2017-10-27T22:30:12 --delay 80 --endMP 204:233293 --enddatetime 2017-10-27T23:04:21 --enforcementcount 0 &gt;&gt;%USERPROFILE%\Documents\GitHub\eaglep3-reporting\EC\2017-10-27-refined-times.txt</v>
      </c>
      <c r="AI149" s="96" t="str">
        <f t="shared" si="35"/>
        <v>echo {"issue":{"subject":"","project_id":79,"tracker_id":40,"status_id":1,"priority_id":2,"assigned_to_id":338,"start_date":"2017-10-27","description":"","custom_fields":[{"id":1,"name":"Subdivision","value":"EC"},{"id":4,"name":"Milepost","value":"23.3293"},{"id":17,"name":"Train ID","value":"235-27"},{"id":16,"name":"Locomotive ID","value":"4008"},{"id":130,"name":"Impact","value":""},{"id":150,"name":"Time of Event (Mountain Time)","value":"23:04:21"},{"id":151,"name":"Denver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36"/>
        <v>start /low /b %USERPROFILE%\Documents\GitHub\eaglep3\Utilities\DownloadLogsFromS3.py --loco 4008 --day 2017-10-27</v>
      </c>
      <c r="AN149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05:04:21"},{"id":29,"name":"Sharepoint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38"/>
        <v>https://d0f6bd738d7f1b3e5a7ca70fe4ff75f0.us-east-1.aws.found.io/app/kibana#/discover/Steve-Slow-Train-Analysis-(2080s-and-2083s)?_g=(refreshInterval:(display:Off,pause:!f,section:0,value:0),time:(from:'2017-10-27T21:07:38-0600',mode:absolute,to:'2017-10-28T00:04:21-0600'))&amp;_a=(columns:!('Message%20ID',Summary),filters:!(),index:'emp_*',interval:auto,query:(query_string:(analyze_wildcard:!t,query:'%22rtdc.l.rtdc.4008%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858</v>
      </c>
      <c r="B150" s="7">
        <v>4007</v>
      </c>
      <c r="C150" s="21" t="s">
        <v>194</v>
      </c>
      <c r="D150" s="21" t="s">
        <v>592</v>
      </c>
      <c r="E150" s="13">
        <v>43035.962824074071</v>
      </c>
      <c r="F150" s="13">
        <v>43035.977233796293</v>
      </c>
      <c r="G150" s="7">
        <v>69</v>
      </c>
      <c r="H150" s="21" t="s">
        <v>945</v>
      </c>
      <c r="I150" s="13">
        <v>43036.002592592595</v>
      </c>
      <c r="J150" s="7">
        <v>0</v>
      </c>
      <c r="K150" s="89" t="str">
        <f>IF(ISEVEN(B150),(B150-1)&amp;"/"&amp;B150,B150&amp;"/"&amp;(B150+1))</f>
        <v>4007/4008</v>
      </c>
      <c r="L150" s="185" t="str">
        <f>VLOOKUP(A150,'Trips&amp;Operators'!$C$1:$G$99911,5,FALSE)</f>
        <v>ELBAUM MIKE</v>
      </c>
      <c r="M150" s="6">
        <f>I150-F150</f>
        <v>2.5358796301588882E-2</v>
      </c>
      <c r="N150" s="7">
        <f>24*60*SUM($M150:$M150)</f>
        <v>36.51666667428799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-27T22:06:28-0600',mode:absolute,to:'2017-10-28T01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23.296900000000001</v>
      </c>
      <c r="Z150" s="204">
        <f>RIGHT(H150,LEN(H150)-4)/10000</f>
        <v>2.58E-2</v>
      </c>
      <c r="AA150" s="204">
        <f>ABS(Z150-Y150)</f>
        <v>23.271100000000001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236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/stypes="app*4007*20171028*"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34"/>
        <v>"%USERPROFILE%\Documents\GitHub\eaglep3\Utilities\RefineRTDCRunTimes.py" --tripid 236-27 --locoid 4007 --swversion DE.1.0.9.0 --startMP 204:232969 --initTime 2017-10-27T23:06:28 --startdatetime 2017-10-27T23:27:13 --delay 69 --endMP 204:258 --enddatetime 2017-10-28T00:03:44 --enforcementcount 0 &gt;&gt;%USERPROFILE%\Documents\GitHub\eaglep3-reporting\EC\2017-10-27-refined-times.txt</v>
      </c>
      <c r="AI150" s="96" t="str">
        <f t="shared" si="35"/>
        <v>echo {"issue":{"subject":"","project_id":79,"tracker_id":40,"status_id":1,"priority_id":2,"assigned_to_id":338,"start_date":"2017-10-28","description":"","custom_fields":[{"id":1,"name":"Subdivision","value":"EC"},{"id":4,"name":"Milepost","value":"0.0258"},{"id":17,"name":"Train ID","value":"236-27"},{"id":16,"name":"Locomotive ID","value":"4007"},{"id":130,"name":"Impact","value":""},{"id":150,"name":"Time of Event (Mountain Time)","value":"00:03:44"},{"id":151,"name":"Denver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36"/>
        <v>start /low /b %USERPROFILE%\Documents\GitHub\eaglep3\Utilities\DownloadLogsFromS3.py --loco 4007 --day 2017-10-27</v>
      </c>
      <c r="AN150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06:03:44"},{"id":29,"name":"Sharepoint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38"/>
        <v>https://d0f6bd738d7f1b3e5a7ca70fe4ff75f0.us-east-1.aws.found.io/app/kibana#/discover/Steve-Slow-Train-Analysis-(2080s-and-2083s)?_g=(refreshInterval:(display:Off,pause:!f,section:0,value:0),time:(from:'2017-10-27T22:06:28-0600',mode:absolute,to:'2017-10-28T01:03:44-0600'))&amp;_a=(columns:!('Message%20ID',Summary),filters:!(),index:'emp_*',interval:auto,query:(query_string:(analyze_wildcard:!t,query:'%22rtdc.l.rtdc.4007%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856</v>
      </c>
      <c r="B151" s="7">
        <v>4018</v>
      </c>
      <c r="C151" s="21" t="s">
        <v>194</v>
      </c>
      <c r="D151" s="21" t="s">
        <v>981</v>
      </c>
      <c r="E151" s="13">
        <v>43035.946400462963</v>
      </c>
      <c r="F151" s="13">
        <v>43035.958761574075</v>
      </c>
      <c r="G151" s="7">
        <v>50</v>
      </c>
      <c r="H151" s="21" t="s">
        <v>486</v>
      </c>
      <c r="I151" s="13">
        <v>43035.983530092592</v>
      </c>
      <c r="J151" s="7">
        <v>0</v>
      </c>
      <c r="K151" s="89" t="str">
        <f>IF(ISEVEN(B151),(B151-1)&amp;"/"&amp;B151,B151&amp;"/"&amp;(B151+1))</f>
        <v>4017/4018</v>
      </c>
      <c r="L151" s="185" t="str">
        <f>VLOOKUP(A151,'Trips&amp;Operators'!$C$1:$G$99911,5,FALSE)</f>
        <v>ANDERS STEVEN</v>
      </c>
      <c r="M151" s="6">
        <f>I151-F151</f>
        <v>2.4768518516793847E-2</v>
      </c>
      <c r="N151" s="7">
        <f>24*60*SUM($M151:$M151)</f>
        <v>35.66666666418314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-27T21:42:49-0600',mode:absolute,to:'2017-10-28T00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5.6399999999999999E-2</v>
      </c>
      <c r="Z151" s="204">
        <f>RIGHT(H151,LEN(H151)-4)/10000</f>
        <v>23.326799999999999</v>
      </c>
      <c r="AA151" s="204">
        <f>ABS(Z151-Y151)</f>
        <v>23.270399999999999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237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/stypes="app*4018*20171028*" /stext=" 05:.+((SYSTEM_STATE.+slice.+state.+changed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34"/>
        <v>"%USERPROFILE%\Documents\GitHub\eaglep3\Utilities\RefineRTDCRunTimes.py" --tripid 237-27 --locoid 4018 --swversion DE.1.0.9.0 --startMP 204:564 --initTime 2017-10-27T22:42:49 --startdatetime 2017-10-27T23:00:37 --delay 50 --endMP 204:233268 --enddatetime 2017-10-27T23:36:17 --enforcementcount 0 &gt;&gt;%USERPROFILE%\Documents\GitHub\eaglep3-reporting\EC\2017-10-27-refined-times.txt</v>
      </c>
      <c r="AI151" s="96" t="str">
        <f t="shared" si="35"/>
        <v>echo {"issue":{"subject":"","project_id":79,"tracker_id":40,"status_id":1,"priority_id":2,"assigned_to_id":338,"start_date":"2017-10-27","description":"","custom_fields":[{"id":1,"name":"Subdivision","value":"EC"},{"id":4,"name":"Milepost","value":"23.3268"},{"id":17,"name":"Train ID","value":"237-27"},{"id":16,"name":"Locomotive ID","value":"4018"},{"id":130,"name":"Impact","value":""},{"id":150,"name":"Time of Event (Mountain Time)","value":"23:36:17"},{"id":151,"name":"Denver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36"/>
        <v>start /low /b %USERPROFILE%\Documents\GitHub\eaglep3\Utilities\DownloadLogsFromS3.py --loco 4018 --day 2017-10-27</v>
      </c>
      <c r="AN151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05:36:17"},{"id":29,"name":"Sharepoint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38"/>
        <v>https://d0f6bd738d7f1b3e5a7ca70fe4ff75f0.us-east-1.aws.found.io/app/kibana#/discover/Steve-Slow-Train-Analysis-(2080s-and-2083s)?_g=(refreshInterval:(display:Off,pause:!f,section:0,value:0),time:(from:'2017-10-27T21:42:49-0600',mode:absolute,to:'2017-10-28T00:36:17-0600'))&amp;_a=(columns:!('Message%20ID',Summary),filters:!(),index:'emp_*',interval:auto,query:(query_string:(analyze_wildcard:!t,query:'%22rtdc.l.rtdc.4018%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861</v>
      </c>
      <c r="B152" s="7">
        <v>4017</v>
      </c>
      <c r="C152" s="21" t="s">
        <v>194</v>
      </c>
      <c r="D152" s="21" t="s">
        <v>530</v>
      </c>
      <c r="E152" s="13">
        <v>43035.987476851849</v>
      </c>
      <c r="F152" s="13">
        <v>43035.998171296298</v>
      </c>
      <c r="G152" s="7">
        <v>50</v>
      </c>
      <c r="H152" s="21" t="s">
        <v>594</v>
      </c>
      <c r="I152" s="13">
        <v>43036.024409722224</v>
      </c>
      <c r="J152" s="7">
        <v>0</v>
      </c>
      <c r="K152" s="89" t="str">
        <f>IF(ISEVEN(B152),(B152-1)&amp;"/"&amp;B152,B152&amp;"/"&amp;(B152+1))</f>
        <v>4017/4018</v>
      </c>
      <c r="L152" s="185" t="str">
        <f>VLOOKUP(A152,'Trips&amp;Operators'!$C$1:$G$99911,5,FALSE)</f>
        <v>ANDERS STEVEN</v>
      </c>
      <c r="M152" s="6">
        <f>I152-F152</f>
        <v>2.6238425925839692E-2</v>
      </c>
      <c r="N152" s="7">
        <f>24*60*SUM($M152:$M152)</f>
        <v>37.783333333209157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-27T22:41:58-0600',mode:absolute,to:'2017-10-28T01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23.293800000000001</v>
      </c>
      <c r="Z152" s="204">
        <f>RIGHT(H152,LEN(H152)-4)/10000</f>
        <v>2.3400000000000001E-2</v>
      </c>
      <c r="AA152" s="204">
        <f>ABS(Z152-Y152)</f>
        <v>23.270400000000002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238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 &amp; 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/stypes="app*4017*20171028*"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34"/>
        <v>"%USERPROFILE%\Documents\GitHub\eaglep3\Utilities\RefineRTDCRunTimes.py" --tripid 238-27 --locoid 4017 --swversion DE.1.0.9.0 --startMP 204:232938 --initTime 2017-10-27T23:41:58 --startdatetime 2017-10-27T23:57:22 --delay 50 --endMP 204:234 --enddatetime 2017-10-28T00:35:09 --enforcementcount 0 &gt;&gt;%USERPROFILE%\Documents\GitHub\eaglep3-reporting\EC\2017-10-27-refined-times.txt</v>
      </c>
      <c r="AI152" s="96" t="str">
        <f t="shared" si="35"/>
        <v>echo {"issue":{"subject":"","project_id":79,"tracker_id":40,"status_id":1,"priority_id":2,"assigned_to_id":338,"start_date":"2017-10-28","description":"","custom_fields":[{"id":1,"name":"Subdivision","value":"EC"},{"id":4,"name":"Milepost","value":"0.0234"},{"id":17,"name":"Train ID","value":"238-27"},{"id":16,"name":"Locomotive ID","value":"4017"},{"id":130,"name":"Impact","value":""},{"id":150,"name":"Time of Event (Mountain Time)","value":"00:35:09"},{"id":151,"name":"Denver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36"/>
        <v>start /low /b %USERPROFILE%\Documents\GitHub\eaglep3\Utilities\DownloadLogsFromS3.py --loco 4017 --day 2017-10-27</v>
      </c>
      <c r="AN152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06:35:09"},{"id":29,"name":"Sharepoint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38"/>
        <v>https://d0f6bd738d7f1b3e5a7ca70fe4ff75f0.us-east-1.aws.found.io/app/kibana#/discover/Steve-Slow-Train-Analysis-(2080s-and-2083s)?_g=(refreshInterval:(display:Off,pause:!f,section:0,value:0),time:(from:'2017-10-27T22:41:58-0600',mode:absolute,to:'2017-10-28T01:35:09-0600'))&amp;_a=(columns:!('Message%20ID',Summary),filters:!(),index:'emp_*',interval:auto,query:(query_string:(analyze_wildcard:!t,query:'%22rtdc.l.rtdc.4017%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859</v>
      </c>
      <c r="B153" s="7">
        <v>4036</v>
      </c>
      <c r="C153" s="21" t="s">
        <v>194</v>
      </c>
      <c r="D153" s="21" t="s">
        <v>536</v>
      </c>
      <c r="E153" s="13">
        <v>43035.965937499997</v>
      </c>
      <c r="F153" s="13">
        <v>43035.979398148149</v>
      </c>
      <c r="G153" s="7">
        <v>47</v>
      </c>
      <c r="H153" s="21" t="s">
        <v>987</v>
      </c>
      <c r="I153" s="13">
        <v>43036.00445601852</v>
      </c>
      <c r="J153" s="7">
        <v>0</v>
      </c>
      <c r="K153" s="89" t="str">
        <f>IF(ISEVEN(B153),(B153-1)&amp;"/"&amp;B153,B153&amp;"/"&amp;(B153+1))</f>
        <v>4035/4036</v>
      </c>
      <c r="L153" s="185" t="str">
        <f>VLOOKUP(A153,'Trips&amp;Operators'!$C$1:$G$99911,5,FALSE)</f>
        <v>MCREYNOLDS KYLE</v>
      </c>
      <c r="M153" s="6">
        <f>I153-F153</f>
        <v>2.5057870370801538E-2</v>
      </c>
      <c r="N153" s="7">
        <f>24*60*SUM($M153:$M153)</f>
        <v>36.083333333954215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-27T22:10:57-0600',mode:absolute,to:'2017-10-28T01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5.6000000000000001E-2</v>
      </c>
      <c r="Z153" s="204">
        <f>RIGHT(H153,LEN(H153)-4)/10000</f>
        <v>23.3184</v>
      </c>
      <c r="AA153" s="204">
        <f>ABS(Z153-Y153)</f>
        <v>23.2624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239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 &amp; 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/stypes="app*4036*20171028*"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34"/>
        <v>"%USERPROFILE%\Documents\GitHub\eaglep3\Utilities\RefineRTDCRunTimes.py" --tripid 239-27 --locoid 4036 --swversion DE.1.0.9.0 --startMP 204:560 --initTime 2017-10-27T23:10:57 --startdatetime 2017-10-27T23:30:20 --delay 47 --endMP 204:233184 --enddatetime 2017-10-28T00:06:25 --enforcementcount 0 &gt;&gt;%USERPROFILE%\Documents\GitHub\eaglep3-reporting\EC\2017-10-27-refined-times.txt</v>
      </c>
      <c r="AI153" s="96" t="str">
        <f t="shared" si="35"/>
        <v>echo {"issue":{"subject":"","project_id":79,"tracker_id":40,"status_id":1,"priority_id":2,"assigned_to_id":338,"start_date":"2017-10-28","description":"","custom_fields":[{"id":1,"name":"Subdivision","value":"EC"},{"id":4,"name":"Milepost","value":"23.3184"},{"id":17,"name":"Train ID","value":"239-27"},{"id":16,"name":"Locomotive ID","value":"4036"},{"id":130,"name":"Impact","value":""},{"id":150,"name":"Time of Event (Mountain Time)","value":"00:06:25"},{"id":151,"name":"Denver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36"/>
        <v>start /low /b %USERPROFILE%\Documents\GitHub\eaglep3\Utilities\DownloadLogsFromS3.py --loco 4036 --day 2017-10-27</v>
      </c>
      <c r="AN153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06:06:25"},{"id":29,"name":"Sharepoint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38"/>
        <v>https://d0f6bd738d7f1b3e5a7ca70fe4ff75f0.us-east-1.aws.found.io/app/kibana#/discover/Steve-Slow-Train-Analysis-(2080s-and-2083s)?_g=(refreshInterval:(display:Off,pause:!f,section:0,value:0),time:(from:'2017-10-27T22:10:57-0600',mode:absolute,to:'2017-10-28T01:06:25-0600'))&amp;_a=(columns:!('Message%20ID',Summary),filters:!(),index:'emp_*',interval:auto,query:(query_string:(analyze_wildcard:!t,query:'%22rtdc.l.rtdc.4036%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864</v>
      </c>
      <c r="B154" s="7">
        <v>4035</v>
      </c>
      <c r="C154" s="21" t="s">
        <v>194</v>
      </c>
      <c r="D154" s="21" t="s">
        <v>527</v>
      </c>
      <c r="E154" s="13">
        <v>43036.013449074075</v>
      </c>
      <c r="F154" s="13">
        <v>43036.018912037034</v>
      </c>
      <c r="G154" s="7">
        <v>54</v>
      </c>
      <c r="H154" s="21" t="s">
        <v>988</v>
      </c>
      <c r="I154" s="13">
        <v>43036.045416666668</v>
      </c>
      <c r="J154" s="7">
        <v>0</v>
      </c>
      <c r="K154" s="89" t="str">
        <f>IF(ISEVEN(B154),(B154-1)&amp;"/"&amp;B154,B154&amp;"/"&amp;(B154+1))</f>
        <v>4035/4036</v>
      </c>
      <c r="L154" s="185" t="str">
        <f>VLOOKUP(A154,'Trips&amp;Operators'!$C$1:$G$99911,5,FALSE)</f>
        <v>MCREYNOLDS KYLE</v>
      </c>
      <c r="M154" s="6">
        <f>I154-F154</f>
        <v>2.6504629633564036E-2</v>
      </c>
      <c r="N154" s="7">
        <f>24*60*SUM($M154:$M154)</f>
        <v>38.166666672332212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-27T23:19:22-0600',mode:absolute,to:'2017-10-28T02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23.285900000000002</v>
      </c>
      <c r="Z154" s="204">
        <f>RIGHT(H154,LEN(H154)-4)/10000</f>
        <v>2.6499999999999999E-2</v>
      </c>
      <c r="AA154" s="204">
        <f>ABS(Z154-Y154)</f>
        <v>23.259400000000003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240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 &amp; aws s3 cp s3://rtdc.mdm.uploadarchive.raw/RTDC4035/ "%USERPROFILE%\AppData\Local\Temp\OnboardLogs"\RTDC4035\2017-10-29 --exclude "*" --recursive --include "*20171029*" &amp; "%USERPROFILE%\Documents\GitHub\mrs-test-scripts\Headless Mode &amp; Sideloading\WalkAndUnGZ.bat" "%USERPROFILE%\AppData\Local\Temp\OnboardLogs"\RTDC4035\2017-10-29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/stypes="app*4035*20171028*"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34"/>
        <v>"%USERPROFILE%\Documents\GitHub\eaglep3\Utilities\RefineRTDCRunTimes.py" --tripid 240-27 --locoid 4035 --swversion DE.1.0.9.0 --startMP 204:232859 --initTime 2017-10-28T00:19:22 --startdatetime 2017-10-28T00:27:14 --delay 54 --endMP 204:265 --enddatetime 2017-10-28T01:05:24 --enforcementcount 0 &gt;&gt;%USERPROFILE%\Documents\GitHub\eaglep3-reporting\EC\2017-10-27-refined-times.txt</v>
      </c>
      <c r="AI154" s="96" t="str">
        <f t="shared" si="35"/>
        <v>echo {"issue":{"subject":"","project_id":79,"tracker_id":40,"status_id":1,"priority_id":2,"assigned_to_id":338,"start_date":"2017-10-28","description":"","custom_fields":[{"id":1,"name":"Subdivision","value":"EC"},{"id":4,"name":"Milepost","value":"0.0265"},{"id":17,"name":"Train ID","value":"240-27"},{"id":16,"name":"Locomotive ID","value":"4035"},{"id":130,"name":"Impact","value":""},{"id":150,"name":"Time of Event (Mountain Time)","value":"01:05:24"},{"id":151,"name":"Denver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36"/>
        <v>start /low /b %USERPROFILE%\Documents\GitHub\eaglep3\Utilities\DownloadLogsFromS3.py --loco 4035 --day 2017-10-28</v>
      </c>
      <c r="AN154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07:05:24"},{"id":29,"name":"Sharepoint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38"/>
        <v>https://d0f6bd738d7f1b3e5a7ca70fe4ff75f0.us-east-1.aws.found.io/app/kibana#/discover/Steve-Slow-Train-Analysis-(2080s-and-2083s)?_g=(refreshInterval:(display:Off,pause:!f,section:0,value:0),time:(from:'2017-10-27T23:19:22-0600',mode:absolute,to:'2017-10-28T02:05:24-0600'))&amp;_a=(columns:!('Message%20ID',Summary),filters:!(),index:'emp_*',interval:auto,query:(query_string:(analyze_wildcard:!t,query:'%22rtdc.l.rtdc.4035%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862</v>
      </c>
      <c r="B155" s="7">
        <v>4006</v>
      </c>
      <c r="C155" s="21" t="s">
        <v>194</v>
      </c>
      <c r="D155" s="21" t="s">
        <v>587</v>
      </c>
      <c r="E155" s="13">
        <v>43035.987650462965</v>
      </c>
      <c r="F155" s="13">
        <v>43036.000243055554</v>
      </c>
      <c r="G155" s="7">
        <v>88</v>
      </c>
      <c r="H155" s="21" t="s">
        <v>507</v>
      </c>
      <c r="I155" s="13">
        <v>43036.025972222225</v>
      </c>
      <c r="J155" s="7">
        <v>0</v>
      </c>
      <c r="K155" s="89" t="str">
        <f>IF(ISEVEN(B155),(B155-1)&amp;"/"&amp;B155,B155&amp;"/"&amp;(B155+1))</f>
        <v>4005/4006</v>
      </c>
      <c r="L155" s="185" t="str">
        <f>VLOOKUP(A155,'Trips&amp;Operators'!$C$1:$G$99911,5,FALSE)</f>
        <v>NICHOLSON WESLEY</v>
      </c>
      <c r="M155" s="6">
        <f>I155-F155</f>
        <v>2.5729166671226267E-2</v>
      </c>
      <c r="N155" s="7">
        <f>24*60*SUM($M155:$M155)</f>
        <v>37.050000006565824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-27T22:42:13-0600',mode:absolute,to:'2017-10-28T01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6.5000000000000002E-2</v>
      </c>
      <c r="Z155" s="204">
        <f>RIGHT(H155,LEN(H155)-4)/10000</f>
        <v>23.317</v>
      </c>
      <c r="AA155" s="204">
        <f>ABS(Z155-Y155)</f>
        <v>23.251999999999999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241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 &amp; 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/stypes="app*4006*20171028*" /stext=" 06:.+((SYSTEM_STATE.+slice.+state.+changed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34"/>
        <v>"%USERPROFILE%\Documents\GitHub\eaglep3\Utilities\RefineRTDCRunTimes.py" --tripid 241-27 --locoid 4006 --swversion DE.1.0.9.0 --startMP 204:650 --initTime 2017-10-27T23:42:13 --startdatetime 2017-10-28T00:00:21 --delay 88 --endMP 204:233170 --enddatetime 2017-10-28T00:37:24 --enforcementcount 0 &gt;&gt;%USERPROFILE%\Documents\GitHub\eaglep3-reporting\EC\2017-10-27-refined-times.txt</v>
      </c>
      <c r="AI155" s="96" t="str">
        <f t="shared" si="35"/>
        <v>echo {"issue":{"subject":"","project_id":79,"tracker_id":40,"status_id":1,"priority_id":2,"assigned_to_id":338,"start_date":"2017-10-28","description":"","custom_fields":[{"id":1,"name":"Subdivision","value":"EC"},{"id":4,"name":"Milepost","value":"23.317"},{"id":17,"name":"Train ID","value":"241-27"},{"id":16,"name":"Locomotive ID","value":"4006"},{"id":130,"name":"Impact","value":""},{"id":150,"name":"Time of Event (Mountain Time)","value":"00:37:24"},{"id":151,"name":"Denver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36"/>
        <v>start /low /b %USERPROFILE%\Documents\GitHub\eaglep3\Utilities\DownloadLogsFromS3.py --loco 4006 --day 2017-10-28</v>
      </c>
      <c r="AN155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06:37:24"},{"id":29,"name":"Sharepoint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38"/>
        <v>https://d0f6bd738d7f1b3e5a7ca70fe4ff75f0.us-east-1.aws.found.io/app/kibana#/discover/Steve-Slow-Train-Analysis-(2080s-and-2083s)?_g=(refreshInterval:(display:Off,pause:!f,section:0,value:0),time:(from:'2017-10-27T22:42:13-0600',mode:absolute,to:'2017-10-28T01:37:24-0600'))&amp;_a=(columns:!('Message%20ID',Summary),filters:!(),index:'emp_*',interval:auto,query:(query_string:(analyze_wildcard:!t,query:'%22rtdc.l.rtdc.4006%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866</v>
      </c>
      <c r="B156" s="7">
        <v>4005</v>
      </c>
      <c r="C156" s="21" t="s">
        <v>194</v>
      </c>
      <c r="D156" s="21" t="s">
        <v>925</v>
      </c>
      <c r="E156" s="13">
        <v>43036.036539351851</v>
      </c>
      <c r="F156" s="13">
        <v>43036.039872685185</v>
      </c>
      <c r="G156" s="7">
        <v>69</v>
      </c>
      <c r="H156" s="21" t="s">
        <v>989</v>
      </c>
      <c r="I156" s="13">
        <v>43036.066655092596</v>
      </c>
      <c r="J156" s="7">
        <v>0</v>
      </c>
      <c r="K156" s="89" t="str">
        <f>IF(ISEVEN(B156),(B156-1)&amp;"/"&amp;B156,B156&amp;"/"&amp;(B156+1))</f>
        <v>4005/4006</v>
      </c>
      <c r="L156" s="185" t="str">
        <f>VLOOKUP(A156,'Trips&amp;Operators'!$C$1:$G$99911,5,FALSE)</f>
        <v>NICHOLSON WESLEY</v>
      </c>
      <c r="M156" s="6">
        <f>I156-F156</f>
        <v>2.6782407410792075E-2</v>
      </c>
      <c r="N156" s="7">
        <f>24*60*SUM($M156:$M156)</f>
        <v>38.566666671540588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-27T23:52:37-0600',mode:absolute,to:'2017-10-28T02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23.286200000000001</v>
      </c>
      <c r="Z156" s="204">
        <f>RIGHT(H156,LEN(H156)-4)/10000</f>
        <v>2.8899999999999999E-2</v>
      </c>
      <c r="AA156" s="204">
        <f>ABS(Z156-Y156)</f>
        <v>23.257300000000001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242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 &amp; 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/stypes="app*4005*20171028*"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34"/>
        <v>"%USERPROFILE%\Documents\GitHub\eaglep3\Utilities\RefineRTDCRunTimes.py" --tripid 242-27 --locoid 4005 --swversion DE.1.0.9.0 --startMP 204:232862 --initTime 2017-10-28T00:52:37 --startdatetime 2017-10-28T00:57:25 --delay 69 --endMP 204:289 --enddatetime 2017-10-28T01:35:59 --enforcementcount 0 &gt;&gt;%USERPROFILE%\Documents\GitHub\eaglep3-reporting\EC\2017-10-27-refined-times.txt</v>
      </c>
      <c r="AI156" s="96" t="str">
        <f t="shared" si="35"/>
        <v>echo {"issue":{"subject":"","project_id":79,"tracker_id":40,"status_id":1,"priority_id":2,"assigned_to_id":338,"start_date":"2017-10-28","description":"","custom_fields":[{"id":1,"name":"Subdivision","value":"EC"},{"id":4,"name":"Milepost","value":"0.0289"},{"id":17,"name":"Train ID","value":"242-27"},{"id":16,"name":"Locomotive ID","value":"4005"},{"id":130,"name":"Impact","value":""},{"id":150,"name":"Time of Event (Mountain Time)","value":"01:35:59"},{"id":151,"name":"Denver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36"/>
        <v>start /low /b %USERPROFILE%\Documents\GitHub\eaglep3\Utilities\DownloadLogsFromS3.py --loco 4005 --day 2017-10-28</v>
      </c>
      <c r="AN156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07:35:59"},{"id":29,"name":"Sharepoint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38"/>
        <v>https://d0f6bd738d7f1b3e5a7ca70fe4ff75f0.us-east-1.aws.found.io/app/kibana#/discover/Steve-Slow-Train-Analysis-(2080s-and-2083s)?_g=(refreshInterval:(display:Off,pause:!f,section:0,value:0),time:(from:'2017-10-27T23:52:37-0600',mode:absolute,to:'2017-10-28T02:35:59-0600'))&amp;_a=(columns:!('Message%20ID',Summary),filters:!(),index:'emp_*',interval:auto,query:(query_string:(analyze_wildcard:!t,query:'%22rtdc.l.rtdc.4005%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863</v>
      </c>
      <c r="B157" s="7">
        <v>4008</v>
      </c>
      <c r="C157" s="21" t="s">
        <v>194</v>
      </c>
      <c r="D157" s="21" t="s">
        <v>609</v>
      </c>
      <c r="E157" s="13">
        <v>43036.004108796296</v>
      </c>
      <c r="F157" s="13">
        <v>43036.020972222221</v>
      </c>
      <c r="G157" s="7">
        <v>60</v>
      </c>
      <c r="H157" s="21" t="s">
        <v>990</v>
      </c>
      <c r="I157" s="13">
        <v>43036.044675925928</v>
      </c>
      <c r="J157" s="7">
        <v>0</v>
      </c>
      <c r="K157" s="89" t="str">
        <f>IF(ISEVEN(B157),(B157-1)&amp;"/"&amp;B157,B157&amp;"/"&amp;(B157+1))</f>
        <v>4007/4008</v>
      </c>
      <c r="L157" s="185" t="str">
        <f>VLOOKUP(A157,'Trips&amp;Operators'!$C$1:$G$99911,5,FALSE)</f>
        <v>ELBAUM MIKE</v>
      </c>
      <c r="M157" s="6">
        <f>I157-F157</f>
        <v>2.3703703707724344E-2</v>
      </c>
      <c r="N157" s="7">
        <f>24*60*SUM($M157:$M157)</f>
        <v>34.133333339123055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-27T23:05:55-0600',mode:absolute,to:'2017-10-28T02:04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5.7099999999999998E-2</v>
      </c>
      <c r="Z157" s="204">
        <f>RIGHT(H157,LEN(H157)-4)/10000</f>
        <v>23.331600000000002</v>
      </c>
      <c r="AA157" s="204">
        <f>ABS(Z157-Y157)</f>
        <v>23.274500000000003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243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 &amp; aws s3 cp s3://rtdc.mdm.uploadarchive.raw/RTDC4008/ "%USERPROFILE%\AppData\Local\Temp\OnboardLogs"\RTDC4008\2017-10-29 --exclude "*" --recursive --include "*20171029*" &amp; "%USERPROFILE%\Documents\GitHub\mrs-test-scripts\Headless Mode &amp; Sideloading\WalkAndUnGZ.bat" "%USERPROFILE%\AppData\Local\Temp\OnboardLogs"\RTDC4008\2017-10-29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/stypes="app*4008*20171028*" /stext=" 07:.+((SYSTEM_STATE.+slice.+state.+changed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34"/>
        <v>"%USERPROFILE%\Documents\GitHub\eaglep3\Utilities\RefineRTDCRunTimes.py" --tripid 243-27 --locoid 4008 --swversion DE.1.0.9.0 --startMP 204:571 --initTime 2017-10-28T00:05:55 --startdatetime 2017-10-28T00:30:12 --delay 60 --endMP 204:233316 --enddatetime 2017-10-28T01:04:20 --enforcementcount 0 &gt;&gt;%USERPROFILE%\Documents\GitHub\eaglep3-reporting\EC\2017-10-27-refined-times.txt</v>
      </c>
      <c r="AI157" s="96" t="str">
        <f t="shared" si="35"/>
        <v>echo {"issue":{"subject":"","project_id":79,"tracker_id":40,"status_id":1,"priority_id":2,"assigned_to_id":338,"start_date":"2017-10-28","description":"","custom_fields":[{"id":1,"name":"Subdivision","value":"EC"},{"id":4,"name":"Milepost","value":"23.3316"},{"id":17,"name":"Train ID","value":"243-27"},{"id":16,"name":"Locomotive ID","value":"4008"},{"id":130,"name":"Impact","value":""},{"id":150,"name":"Time of Event (Mountain Time)","value":"01:04:20"},{"id":151,"name":"Denver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36"/>
        <v>start /low /b %USERPROFILE%\Documents\GitHub\eaglep3\Utilities\DownloadLogsFromS3.py --loco 4008 --day 2017-10-28</v>
      </c>
      <c r="AN157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07:04:20"},{"id":29,"name":"Sharepoint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38"/>
        <v>https://d0f6bd738d7f1b3e5a7ca70fe4ff75f0.us-east-1.aws.found.io/app/kibana#/discover/Steve-Slow-Train-Analysis-(2080s-and-2083s)?_g=(refreshInterval:(display:Off,pause:!f,section:0,value:0),time:(from:'2017-10-27T23:05:55-0600',mode:absolute,to:'2017-10-28T02:04:20-0600'))&amp;_a=(columns:!('Message%20ID',Summary),filters:!(),index:'emp_*',interval:auto,query:(query_string:(analyze_wildcard:!t,query:'%22rtdc.l.rtdc.4008%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867</v>
      </c>
      <c r="B158" s="7">
        <v>4007</v>
      </c>
      <c r="C158" s="21" t="s">
        <v>194</v>
      </c>
      <c r="D158" s="21" t="s">
        <v>609</v>
      </c>
      <c r="E158" s="13">
        <v>43036.004108796296</v>
      </c>
      <c r="F158" s="13">
        <v>43036.060555555552</v>
      </c>
      <c r="G158" s="7">
        <v>60</v>
      </c>
      <c r="H158" s="21" t="s">
        <v>990</v>
      </c>
      <c r="I158" s="13">
        <v>43036.085821759261</v>
      </c>
      <c r="J158" s="7">
        <v>0</v>
      </c>
      <c r="K158" s="89" t="str">
        <f>IF(ISEVEN(B158),(B158-1)&amp;"/"&amp;B158,B158&amp;"/"&amp;(B158+1))</f>
        <v>4007/4008</v>
      </c>
      <c r="L158" s="185" t="str">
        <f>VLOOKUP(A158,'Trips&amp;Operators'!$C$1:$G$99911,5,FALSE)</f>
        <v>ELBAUM MIKE</v>
      </c>
      <c r="M158" s="6">
        <f>I158-F158</f>
        <v>2.5266203709179536E-2</v>
      </c>
      <c r="N158" s="7">
        <f>24*60*SUM($M158:$M158)</f>
        <v>36.383333341218531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-27T23:05:55-0600',mode:absolute,to:'2017-10-28T03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204" t="str">
        <f>IF(AA158&lt;VLOOKUP(AG158,Variables!$AC$3:$AD$8,2,FALSE),"Y","N")</f>
        <v>N</v>
      </c>
      <c r="X158" s="204">
        <f t="shared" ref="X158:X159" si="39">VALUE(LEFT(AD158,4))-VALUE(LEFT(AD157,4))</f>
        <v>1</v>
      </c>
      <c r="Y158" s="204">
        <v>23.286200000000001</v>
      </c>
      <c r="Z158" s="204">
        <v>2.8899999999999999E-2</v>
      </c>
      <c r="AA158" s="204">
        <f>ABS(Z158-Y158)</f>
        <v>23.257300000000001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244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 &amp; aws s3 cp s3://rtdc.mdm.uploadarchive.raw/RTDC4007/ "%USERPROFILE%\AppData\Local\Temp\OnboardLogs"\RTDC4007\2017-10-29 --exclude "*" --recursive --include "*20171029*" &amp; "%USERPROFILE%\Documents\GitHub\mrs-test-scripts\Headless Mode &amp; Sideloading\WalkAndUnGZ.bat" "%USERPROFILE%\AppData\Local\Temp\OnboardLogs"\RTDC4007\2017-10-29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/stypes="app*4007*20171028*" /stext=" 08:.+((SYSTEM_STATE.+slice.+state.+changed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ref="AH158" si="40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244-27 --locoid 4007 --swversion DE.1.0.9.0 --startMP 204:571 --initTime 2017-10-28T00:05:55 --startdatetime 2017-10-28T01:27:12 --delay 60 --endMP 204:233316 --enddatetime 2017-10-28T02:03:35 --enforcementcount 0 &gt;&gt;%USERPROFILE%\Documents\GitHub\eaglep3-reporting\EC\2017-10-27-refined-times.txt</v>
      </c>
      <c r="AI158" s="96" t="str">
        <f t="shared" ref="AI158" si="41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{"issue":{"subject":"","project_id":79,"tracker_id":40,"status_id":1,"priority_id":2,"assigned_to_id":338,"start_date":"2017-10-28","description":"","custom_fields":[{"id":1,"name":"Subdivision","value":"EC"},{"id":4,"name":"Milepost","value":"0.0289"},{"id":17,"name":"Train ID","value":"244-27"},{"id":16,"name":"Locomotive ID","value":"4007"},{"id":130,"name":"Impact","value":""},{"id":150,"name":"Time of Event (Mountain Time)","value":"02:03:35"},{"id":151,"name":"Denver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ref="AM158" si="42">"start /low /b "&amp;dls3logs&amp;" --loco "&amp;B158&amp;" --day "&amp;TEXT(F158,"YYYY-MM-DD")</f>
        <v>start /low /b %USERPROFILE%\Documents\GitHub\eaglep3\Utilities\DownloadLogsFromS3.py --loco 4007 --day 2017-10-28</v>
      </c>
      <c r="AN158" s="151" t="str">
        <f t="shared" ref="AN158" si="43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08:03:35"},{"id":29,"name":"Sharepoint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ref="AO158" si="44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-27T23:05:55-0600',mode:absolute,to:'2017-10-28T03:03:35-0600'))&amp;_a=(columns:!('Message%20ID',Summary),filters:!(),index:'emp_*',interval:auto,query:(query_string:(analyze_wildcard:!t,query:'%22rtdc.l.rtdc.4007%22')),sort:!(Time.ISO8601,asc))</v>
      </c>
    </row>
    <row r="159" spans="1:91" s="20" customFormat="1" x14ac:dyDescent="0.3">
      <c r="A159" s="32" t="s">
        <v>865</v>
      </c>
      <c r="B159" s="7">
        <v>4018</v>
      </c>
      <c r="C159" s="21" t="s">
        <v>194</v>
      </c>
      <c r="D159" s="21" t="s">
        <v>506</v>
      </c>
      <c r="E159" s="13">
        <v>43036.026701388888</v>
      </c>
      <c r="F159" s="13">
        <v>43036.042442129627</v>
      </c>
      <c r="G159" s="7">
        <v>81</v>
      </c>
      <c r="H159" s="21" t="s">
        <v>569</v>
      </c>
      <c r="I159" s="13">
        <v>43036.066840277781</v>
      </c>
      <c r="J159" s="7">
        <v>0</v>
      </c>
      <c r="K159" s="89" t="str">
        <f>IF(ISEVEN(B159),(B159-1)&amp;"/"&amp;B159,B159&amp;"/"&amp;(B159+1))</f>
        <v>4017/4018</v>
      </c>
      <c r="L159" s="185" t="str">
        <f>VLOOKUP(A159,'Trips&amp;Operators'!$C$1:$G$99911,5,FALSE)</f>
        <v>ANDERS STEVEN</v>
      </c>
      <c r="M159" s="6">
        <f>I159-F159</f>
        <v>2.439814815443242E-2</v>
      </c>
      <c r="N159" s="7">
        <f>24*60*SUM($M159:$M159)</f>
        <v>35.133333342382684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-27T23:38:27-0600',mode:absolute,to:'2017-10-28T02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9" s="204" t="str">
        <f>IF(AA159&lt;VLOOKUP(AG159,Variables!$AC$3:$AD$8,2,FALSE),"Y","N")</f>
        <v>N</v>
      </c>
      <c r="X159" s="204">
        <f t="shared" si="39"/>
        <v>1</v>
      </c>
      <c r="Y159" s="204">
        <f>RIGHT(D159,LEN(D159)-4)/10000</f>
        <v>5.4600000000000003E-2</v>
      </c>
      <c r="Z159" s="204">
        <f>RIGHT(H159,LEN(H159)-4)/10000</f>
        <v>23.3249</v>
      </c>
      <c r="AA159" s="204">
        <f>ABS(Z159-Y159)</f>
        <v>23.270299999999999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245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 &amp; 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/stypes="app*4018*20171028*" /stext=" 07:.+((SYSTEM_STATE.+slice.+state.+changed )|(ment ac)|(multiple cpu faults)|(system.+state.+changed )|(\[timeout)|(PRM\|1\|D)|(kpr)|(kdp)|(train st.+moving)|(\|lc)|(penalty))"</v>
      </c>
      <c r="AG159" s="182" t="str">
        <f>DetSubdiv(A159)</f>
        <v>EC</v>
      </c>
      <c r="AH159" s="78" t="str">
        <f t="shared" si="34"/>
        <v>"%USERPROFILE%\Documents\GitHub\eaglep3\Utilities\RefineRTDCRunTimes.py" --tripid 245-27 --locoid 4018 --swversion DE.1.0.9.0 --startMP 204:546 --initTime 2017-10-28T00:38:27 --startdatetime 2017-10-28T01:01:07 --delay 81 --endMP 204:233249 --enddatetime 2017-10-28T01:36:15 --enforcementcount 0 &gt;&gt;%USERPROFILE%\Documents\GitHub\eaglep3-reporting\EC\2017-10-27-refined-times.txt</v>
      </c>
      <c r="AI159" s="96" t="str">
        <f t="shared" si="35"/>
        <v>echo {"issue":{"subject":"","project_id":79,"tracker_id":40,"status_id":1,"priority_id":2,"assigned_to_id":338,"start_date":"2017-10-28","description":"","custom_fields":[{"id":1,"name":"Subdivision","value":"EC"},{"id":4,"name":"Milepost","value":"23.3249"},{"id":17,"name":"Train ID","value":"245-27"},{"id":16,"name":"Locomotive ID","value":"4018"},{"id":130,"name":"Impact","value":""},{"id":150,"name":"Time of Event (Mountain Time)","value":"01:36:15"},{"id":151,"name":"Denver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36"/>
        <v>start /low /b %USERPROFILE%\Documents\GitHub\eaglep3\Utilities\DownloadLogsFromS3.py --loco 4018 --day 2017-10-28</v>
      </c>
      <c r="AN159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07:36:15"},{"id":29,"name":"Sharepoint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38"/>
        <v>https://d0f6bd738d7f1b3e5a7ca70fe4ff75f0.us-east-1.aws.found.io/app/kibana#/discover/Steve-Slow-Train-Analysis-(2080s-and-2083s)?_g=(refreshInterval:(display:Off,pause:!f,section:0,value:0),time:(from:'2017-10-27T23:38:27-0600',mode:absolute,to:'2017-10-28T02:36:15-0600'))&amp;_a=(columns:!('Message%20ID',Summary),filters:!(),index:'emp_*',interval:auto,query:(query_string:(analyze_wildcard:!t,query:'%22rtdc.l.rtdc.4018%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869</v>
      </c>
      <c r="B160" s="7">
        <v>4017</v>
      </c>
      <c r="C160" s="21" t="s">
        <v>194</v>
      </c>
      <c r="D160" s="21" t="s">
        <v>884</v>
      </c>
      <c r="E160" s="13">
        <v>43036.069189814814</v>
      </c>
      <c r="F160" s="13">
        <v>43036.081435185188</v>
      </c>
      <c r="G160" s="7">
        <v>85</v>
      </c>
      <c r="H160" s="21" t="s">
        <v>899</v>
      </c>
      <c r="I160" s="13">
        <v>43036.107175925928</v>
      </c>
      <c r="J160" s="7">
        <v>0</v>
      </c>
      <c r="K160" s="89" t="str">
        <f>IF(ISEVEN(B160),(B160-1)&amp;"/"&amp;B160,B160&amp;"/"&amp;(B160+1))</f>
        <v>4017/4018</v>
      </c>
      <c r="L160" s="185" t="str">
        <f>VLOOKUP(A160,'Trips&amp;Operators'!$C$1:$G$99911,5,FALSE)</f>
        <v>ANDERS STEVEN</v>
      </c>
      <c r="M160" s="6">
        <f>I160-F160</f>
        <v>2.5740740740729962E-2</v>
      </c>
      <c r="N160" s="7">
        <f>24*60*SUM($M160:$M160)</f>
        <v>37.066666666651145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-28T00:39:38-0600',mode:absolute,to:'2017-10-28T03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23.2926</v>
      </c>
      <c r="Z160" s="204">
        <f>RIGHT(H160,LEN(H160)-4)/10000</f>
        <v>2.3199999999999998E-2</v>
      </c>
      <c r="AA160" s="204">
        <f>ABS(Z160-Y160)</f>
        <v>23.269400000000001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246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s3://rtdc.mdm.uploadarchive.raw/RTDC4017/ "%USERPROFILE%\AppData\Local\Temp\OnboardLogs"\RTDC4017\2017-10-28 --exclude "*" --recursive --include "*20171028*" &amp; "%USERPROFILE%\Documents\GitHub\mrs-test-scripts\Headless Mode &amp; Sideloading\WalkAndUnGZ.bat" "%USERPROFILE%\AppData\Local\Temp\OnboardLogs"\RTDC4017\2017-10-28 &amp; 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/stypes="app*4017*20171028*" /stext=" 08:.+((SYSTEM_STATE.+slice.+state.+changed )|(ment ac)|(multiple cpu faults)|(system.+state.+changed )|(\[timeout)|(PRM\|1\|D)|(kpr)|(kdp)|(train st.+moving)|(\|lc)|(penalty))"</v>
      </c>
      <c r="AG160" s="182" t="str">
        <f>DetSubdiv(A160)</f>
        <v>EC</v>
      </c>
      <c r="AH160" s="78" t="str">
        <f t="shared" si="34"/>
        <v>"%USERPROFILE%\Documents\GitHub\eaglep3\Utilities\RefineRTDCRunTimes.py" --tripid 246-27 --locoid 4017 --swversion DE.1.0.9.0 --startMP 204:232926 --initTime 2017-10-28T01:39:38 --startdatetime 2017-10-28T01:57:16 --delay 85 --endMP 204:232 --enddatetime 2017-10-28T02:34:20 --enforcementcount 0 &gt;&gt;%USERPROFILE%\Documents\GitHub\eaglep3-reporting\EC\2017-10-27-refined-times.txt</v>
      </c>
      <c r="AI160" s="96" t="str">
        <f t="shared" si="35"/>
        <v>echo {"issue":{"subject":"","project_id":79,"tracker_id":40,"status_id":1,"priority_id":2,"assigned_to_id":338,"start_date":"2017-10-28","description":"","custom_fields":[{"id":1,"name":"Subdivision","value":"EC"},{"id":4,"name":"Milepost","value":"0.0232"},{"id":17,"name":"Train ID","value":"246-27"},{"id":16,"name":"Locomotive ID","value":"4017"},{"id":130,"name":"Impact","value":""},{"id":150,"name":"Time of Event (Mountain Time)","value":"02:34:20"},{"id":151,"name":"Denver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36"/>
        <v>start /low /b %USERPROFILE%\Documents\GitHub\eaglep3\Utilities\DownloadLogsFromS3.py --loco 4017 --day 2017-10-28</v>
      </c>
      <c r="AN160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08:34:20"},{"id":29,"name":"Sharepoint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38"/>
        <v>https://d0f6bd738d7f1b3e5a7ca70fe4ff75f0.us-east-1.aws.found.io/app/kibana#/discover/Steve-Slow-Train-Analysis-(2080s-and-2083s)?_g=(refreshInterval:(display:Off,pause:!f,section:0,value:0),time:(from:'2017-10-28T00:39:38-0600',mode:absolute,to:'2017-10-28T03:34:20-0600'))&amp;_a=(columns:!('Message%20ID',Summary),filters:!(),index:'emp_*',interval:auto,query:(query_string:(analyze_wildcard:!t,query:'%22rtdc.l.rtdc.4017%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665</v>
      </c>
      <c r="B161" s="7">
        <v>4029</v>
      </c>
      <c r="C161" s="21" t="s">
        <v>194</v>
      </c>
      <c r="D161" s="21" t="s">
        <v>616</v>
      </c>
      <c r="E161" s="13">
        <v>43035.21193287037</v>
      </c>
      <c r="F161" s="13">
        <v>43035.214039351849</v>
      </c>
      <c r="G161" s="7">
        <v>86</v>
      </c>
      <c r="H161" s="21" t="s">
        <v>1025</v>
      </c>
      <c r="I161" s="13">
        <v>43035.227314814816</v>
      </c>
      <c r="J161" s="7">
        <v>0</v>
      </c>
      <c r="K161" s="89" t="str">
        <f>IF(ISEVEN(B161),(B161-1)&amp;"/"&amp;B161,B161&amp;"/"&amp;(B161+1))</f>
        <v>4029/4030</v>
      </c>
      <c r="L161" s="185" t="str">
        <f>VLOOKUP(A161,'Trips&amp;Operators'!$C$1:$G$99911,5,FALSE)</f>
        <v>WILLIAMS DONTE</v>
      </c>
      <c r="M161" s="6">
        <f>I161-F161</f>
        <v>1.3275462966703344E-2</v>
      </c>
      <c r="N161" s="7">
        <f>24*60*SUM($M161:$M161)</f>
        <v>19.116666672052816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-27T04:05:11-0600',mode:absolute,to:'2017-10-27T06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554</v>
      </c>
      <c r="Y161" s="204">
        <f>RIGHT(D161,LEN(D161)-4)/10000</f>
        <v>5.8620999999999999</v>
      </c>
      <c r="Z161" s="204">
        <f>RIGHT(H161,LEN(H161)-4)/10000</f>
        <v>7.17E-2</v>
      </c>
      <c r="AA161" s="204">
        <f>ABS(Z161-Y161)</f>
        <v>5.7904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800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/stypes="app*4029*20171027*" /stext=" 11:.+((SYSTEM_STATE.+slice.+state.+changed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34"/>
        <v>"%USERPROFILE%\Documents\GitHub\eaglep3\Utilities\RefineRTDCRunTimes.py" --tripid 800-27 --locoid 4029 --swversion DE.1.0.9.0 --startMP 300:58621 --initTime 2017-10-27T05:05:11 --startdatetime 2017-10-27T05:08:13 --delay 86 --endMP 204:717 --enddatetime 2017-10-27T05:27:20 --enforcementcount 0 &gt;&gt;%USERPROFILE%\Documents\GitHub\eaglep3-reporting\EC\2017-10-27-refined-times.txt</v>
      </c>
      <c r="AI161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{"issue":{"subject":"","project_id":79,"tracker_id":40,"status_id":1,"priority_id":2,"assigned_to_id":338,"start_date":"2017-10-27","description":"","custom_fields":[{"id":1,"name":"Subdivision","value":"NW"},{"id":4,"name":"Milepost","value":"0.0717"},{"id":17,"name":"Train ID","value":"800-27"},{"id":16,"name":"Locomotive ID","value":"4029"},{"id":130,"name":"Impact","value":""},{"id":150,"name":"Time of Event (Mountain Time)","value":"05:27:20"},{"id":151,"name":"Denver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36"/>
        <v>start /low /b %USERPROFILE%\Documents\GitHub\eaglep3\Utilities\DownloadLogsFromS3.py --loco 4029 --day 2017-10-27</v>
      </c>
      <c r="AN161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38"/>
        <v>https://d0f6bd738d7f1b3e5a7ca70fe4ff75f0.us-east-1.aws.found.io/app/kibana#/discover/Steve-Slow-Train-Analysis-(2080s-and-2083s)?_g=(refreshInterval:(display:Off,pause:!f,section:0,value:0),time:(from:'2017-10-27T04:05:11-0600',mode:absolute,to:'2017-10-27T06:27:20-0600'))&amp;_a=(columns:!('Message%20ID',Summary),filters:!(),index:'emp_*',interval:auto,query:(query_string:(analyze_wildcard:!t,query:'%22rtdc.l.rtdc.4029%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672</v>
      </c>
      <c r="B162" s="7">
        <v>4030</v>
      </c>
      <c r="C162" s="21" t="s">
        <v>194</v>
      </c>
      <c r="D162" s="21" t="s">
        <v>540</v>
      </c>
      <c r="E162" s="13">
        <v>43035.232395833336</v>
      </c>
      <c r="F162" s="13">
        <v>43035.235601851855</v>
      </c>
      <c r="G162" s="7">
        <v>68</v>
      </c>
      <c r="H162" s="21" t="s">
        <v>488</v>
      </c>
      <c r="I162" s="13">
        <v>43035.246111111112</v>
      </c>
      <c r="J162" s="7">
        <v>0</v>
      </c>
      <c r="K162" s="89" t="str">
        <f>IF(ISEVEN(B162),(B162-1)&amp;"/"&amp;B162,B162&amp;"/"&amp;(B162+1))</f>
        <v>4029/4030</v>
      </c>
      <c r="L162" s="185" t="str">
        <f>VLOOKUP(A162,'Trips&amp;Operators'!$C$1:$G$99911,5,FALSE)</f>
        <v>WILLIAMS DONTE</v>
      </c>
      <c r="M162" s="6">
        <f>I162-F162</f>
        <v>1.0509259256650694E-2</v>
      </c>
      <c r="N162" s="7">
        <f>24*60*SUM($M162:$M162)</f>
        <v>15.133333329576999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-27T04:34:39-0600',mode:absolute,to:'2017-10-27T06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9.9299999999999999E-2</v>
      </c>
      <c r="Z162" s="204">
        <f>RIGHT(H162,LEN(H162)-4)/10000</f>
        <v>5.8948</v>
      </c>
      <c r="AA162" s="204">
        <f>ABS(Z162-Y162)</f>
        <v>5.7954999999999997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801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 &amp; aws s3 cp s3://rtdc.mdm.uploadarchive.raw/RTDC4030/ "%USERPROFILE%\AppData\Local\Temp\OnboardLogs"\RTDC4030\2017-10-28 --exclude "*" --recursive --include "*20171028*" &amp; "%USERPROFILE%\Documents\GitHub\mrs-test-scripts\Headless Mode &amp; Sideloading\WalkAndUnGZ.bat" "%USERPROFILE%\AppData\Local\Temp\OnboardLogs"\RTDC4030\2017-10-28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/stypes="app*4030*20171027*" /stext=" 11:.+((SYSTEM_STATE.+slice.+state.+changed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34"/>
        <v>"%USERPROFILE%\Documents\GitHub\eaglep3\Utilities\RefineRTDCRunTimes.py" --tripid 801-27 --locoid 4030 --swversion DE.1.0.9.0 --startMP 204:993 --initTime 2017-10-27T05:34:39 --startdatetime 2017-10-27T05:39:16 --delay 68 --endMP 300:58948 --enddatetime 2017-10-27T05:54:24 --enforcementcount 0 &gt;&gt;%USERPROFILE%\Documents\GitHub\eaglep3-reporting\EC\2017-10-27-refined-times.txt</v>
      </c>
      <c r="AI162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{"issue":{"subject":"","project_id":79,"tracker_id":40,"status_id":1,"priority_id":2,"assigned_to_id":338,"start_date":"2017-10-27","description":"","custom_fields":[{"id":1,"name":"Subdivision","value":"NW"},{"id":4,"name":"Milepost","value":"5.8948"},{"id":17,"name":"Train ID","value":"801-27"},{"id":16,"name":"Locomotive ID","value":"4030"},{"id":130,"name":"Impact","value":""},{"id":150,"name":"Time of Event (Mountain Time)","value":"05:54:24"},{"id":151,"name":"Denver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36"/>
        <v>start /low /b %USERPROFILE%\Documents\GitHub\eaglep3\Utilities\DownloadLogsFromS3.py --loco 4030 --day 2017-10-27</v>
      </c>
      <c r="AN162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38"/>
        <v>https://d0f6bd738d7f1b3e5a7ca70fe4ff75f0.us-east-1.aws.found.io/app/kibana#/discover/Steve-Slow-Train-Analysis-(2080s-and-2083s)?_g=(refreshInterval:(display:Off,pause:!f,section:0,value:0),time:(from:'2017-10-27T04:34:39-0600',mode:absolute,to:'2017-10-27T06:54:24-0600'))&amp;_a=(columns:!('Message%20ID',Summary),filters:!(),index:'emp_*',interval:auto,query:(query_string:(analyze_wildcard:!t,query:'%22rtdc.l.rtdc.4030%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679</v>
      </c>
      <c r="B163" s="7">
        <v>4029</v>
      </c>
      <c r="C163" s="21" t="s">
        <v>194</v>
      </c>
      <c r="D163" s="21" t="s">
        <v>1026</v>
      </c>
      <c r="E163" s="13">
        <v>43035.247395833336</v>
      </c>
      <c r="F163" s="13">
        <v>43035.259085648147</v>
      </c>
      <c r="G163" s="7">
        <v>67</v>
      </c>
      <c r="H163" s="21" t="s">
        <v>1027</v>
      </c>
      <c r="I163" s="13">
        <v>43035.268437500003</v>
      </c>
      <c r="J163" s="7">
        <v>0</v>
      </c>
      <c r="K163" s="89" t="str">
        <f>IF(ISEVEN(B163),(B163-1)&amp;"/"&amp;B163,B163&amp;"/"&amp;(B163+1))</f>
        <v>4029/4030</v>
      </c>
      <c r="L163" s="185" t="str">
        <f>VLOOKUP(A163,'Trips&amp;Operators'!$C$1:$G$99911,5,FALSE)</f>
        <v>WILLIAMS DONTE</v>
      </c>
      <c r="M163" s="6">
        <f>I163-F163</f>
        <v>9.3518518551718444E-3</v>
      </c>
      <c r="N163" s="7">
        <f>24*60*SUM($M163:$M163)</f>
        <v>13.466666671447456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-27T04:56:15-0600',mode:absolute,to:'2017-10-27T07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5.8628</v>
      </c>
      <c r="Z163" s="204">
        <f>RIGHT(H163,LEN(H163)-4)/10000</f>
        <v>6.9599999999999995E-2</v>
      </c>
      <c r="AA163" s="204">
        <f>ABS(Z163-Y163)</f>
        <v>5.7931999999999997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802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/stypes="app*4029*20171027*"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34"/>
        <v>"%USERPROFILE%\Documents\GitHub\eaglep3\Utilities\RefineRTDCRunTimes.py" --tripid 802-27 --locoid 4029 --swversion DE.1.0.9.0 --startMP 300:58628 --initTime 2017-10-27T05:56:15 --startdatetime 2017-10-27T06:13:05 --delay 67 --endMP 204:696 --enddatetime 2017-10-27T06:26:33 --enforcementcount 0 &gt;&gt;%USERPROFILE%\Documents\GitHub\eaglep3-reporting\EC\2017-10-27-refined-times.txt</v>
      </c>
      <c r="AI163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{"issue":{"subject":"","project_id":79,"tracker_id":40,"status_id":1,"priority_id":2,"assigned_to_id":338,"start_date":"2017-10-27","description":"","custom_fields":[{"id":1,"name":"Subdivision","value":"NW"},{"id":4,"name":"Milepost","value":"0.0696"},{"id":17,"name":"Train ID","value":"802-27"},{"id":16,"name":"Locomotive ID","value":"4029"},{"id":130,"name":"Impact","value":""},{"id":150,"name":"Time of Event (Mountain Time)","value":"06:26:33"},{"id":151,"name":"Denver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36"/>
        <v>start /low /b %USERPROFILE%\Documents\GitHub\eaglep3\Utilities\DownloadLogsFromS3.py --loco 4029 --day 2017-10-27</v>
      </c>
      <c r="AN163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38"/>
        <v>https://d0f6bd738d7f1b3e5a7ca70fe4ff75f0.us-east-1.aws.found.io/app/kibana#/discover/Steve-Slow-Train-Analysis-(2080s-and-2083s)?_g=(refreshInterval:(display:Off,pause:!f,section:0,value:0),time:(from:'2017-10-27T04:56:15-0600',mode:absolute,to:'2017-10-27T07:26:33-0600'))&amp;_a=(columns:!('Message%20ID',Summary),filters:!(),index:'emp_*',interval:auto,query:(query_string:(analyze_wildcard:!t,query:'%22rtdc.l.rtdc.4029%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680</v>
      </c>
      <c r="B164" s="7">
        <v>4004</v>
      </c>
      <c r="C164" s="21" t="s">
        <v>194</v>
      </c>
      <c r="D164" s="21" t="s">
        <v>1028</v>
      </c>
      <c r="E164" s="13">
        <v>43035.252164351848</v>
      </c>
      <c r="F164" s="13">
        <v>43035.257118055553</v>
      </c>
      <c r="G164" s="7">
        <v>154</v>
      </c>
      <c r="H164" s="21" t="s">
        <v>615</v>
      </c>
      <c r="I164" s="13">
        <v>43035.26761574074</v>
      </c>
      <c r="J164" s="7">
        <v>0</v>
      </c>
      <c r="K164" s="89" t="str">
        <f>IF(ISEVEN(B164),(B164-1)&amp;"/"&amp;B164,B164&amp;"/"&amp;(B164+1))</f>
        <v>4003/4004</v>
      </c>
      <c r="L164" s="185" t="str">
        <f>VLOOKUP(A164,'Trips&amp;Operators'!$C$1:$G$99911,5,FALSE)</f>
        <v>BARRON PERLA</v>
      </c>
      <c r="M164" s="6">
        <f>I164-F164</f>
        <v>1.0497685187146999E-2</v>
      </c>
      <c r="N164" s="7">
        <f>24*60*SUM($M164:$M164)</f>
        <v>15.116666669491678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-27T05:03:07-0600',mode:absolute,to:'2017-10-27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9.6699999999999994E-2</v>
      </c>
      <c r="Z164" s="204">
        <f>RIGHT(H164,LEN(H164)-4)/10000</f>
        <v>5.8958000000000004</v>
      </c>
      <c r="AA164" s="204">
        <f>ABS(Z164-Y164)</f>
        <v>5.7991000000000001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803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/stypes="app*4004*20171027*" /stext=" 12:.+((SYSTEM_STATE.+slice.+state.+changed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34"/>
        <v>"%USERPROFILE%\Documents\GitHub\eaglep3\Utilities\RefineRTDCRunTimes.py" --tripid 803-27 --locoid 4004 --swversion DE.1.0.9.0 --startMP 204:967 --initTime 2017-10-27T06:03:07 --startdatetime 2017-10-27T06:10:15 --delay 154 --endMP 300:58958 --enddatetime 2017-10-27T06:25:22 --enforcementcount 0 &gt;&gt;%USERPROFILE%\Documents\GitHub\eaglep3-reporting\EC\2017-10-27-refined-times.txt</v>
      </c>
      <c r="AI164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{"issue":{"subject":"","project_id":79,"tracker_id":40,"status_id":1,"priority_id":2,"assigned_to_id":338,"start_date":"2017-10-27","description":"","custom_fields":[{"id":1,"name":"Subdivision","value":"NW"},{"id":4,"name":"Milepost","value":"5.8958"},{"id":17,"name":"Train ID","value":"803-27"},{"id":16,"name":"Locomotive ID","value":"4004"},{"id":130,"name":"Impact","value":""},{"id":150,"name":"Time of Event (Mountain Time)","value":"06:25:22"},{"id":151,"name":"Denver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36"/>
        <v>start /low /b %USERPROFILE%\Documents\GitHub\eaglep3\Utilities\DownloadLogsFromS3.py --loco 4004 --day 2017-10-27</v>
      </c>
      <c r="AN164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38"/>
        <v>https://d0f6bd738d7f1b3e5a7ca70fe4ff75f0.us-east-1.aws.found.io/app/kibana#/discover/Steve-Slow-Train-Analysis-(2080s-and-2083s)?_g=(refreshInterval:(display:Off,pause:!f,section:0,value:0),time:(from:'2017-10-27T05:03:07-0600',mode:absolute,to:'2017-10-27T07:25:22-0600'))&amp;_a=(columns:!('Message%20ID',Summary),filters:!(),index:'emp_*',interval:auto,query:(query_string:(analyze_wildcard:!t,query:'%22rtdc.l.rtdc.4004%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686</v>
      </c>
      <c r="B165" s="7">
        <v>4003</v>
      </c>
      <c r="C165" s="21" t="s">
        <v>194</v>
      </c>
      <c r="D165" s="21" t="s">
        <v>1029</v>
      </c>
      <c r="E165" s="13">
        <v>43035.268865740742</v>
      </c>
      <c r="F165" s="13">
        <v>43035.279976851853</v>
      </c>
      <c r="G165" s="7">
        <v>62</v>
      </c>
      <c r="H165" s="21" t="s">
        <v>1030</v>
      </c>
      <c r="I165" s="13">
        <v>43035.288472222222</v>
      </c>
      <c r="J165" s="7">
        <v>0</v>
      </c>
      <c r="K165" s="89" t="str">
        <f>IF(ISEVEN(B165),(B165-1)&amp;"/"&amp;B165,B165&amp;"/"&amp;(B165+1))</f>
        <v>4003/4004</v>
      </c>
      <c r="L165" s="185" t="str">
        <f>VLOOKUP(A165,'Trips&amp;Operators'!$C$1:$G$99911,5,FALSE)</f>
        <v>BARRON PERLA</v>
      </c>
      <c r="M165" s="6">
        <f>I165-F165</f>
        <v>8.4953703699284233E-3</v>
      </c>
      <c r="N165" s="7">
        <f>24*60*SUM($M165:$M165)</f>
        <v>12.23333333269693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-27T05:27:10-0600',mode:absolute,to:'2017-10-27T07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5.8647</v>
      </c>
      <c r="Z165" s="204">
        <f>RIGHT(H165,LEN(H165)-4)/10000</f>
        <v>6.8400000000000002E-2</v>
      </c>
      <c r="AA165" s="204">
        <f>ABS(Z165-Y165)</f>
        <v>5.7963000000000005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804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/stypes="app*4003*20171027*" /stext=" 12:.+((SYSTEM_STATE.+slice.+state.+changed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34"/>
        <v>"%USERPROFILE%\Documents\GitHub\eaglep3\Utilities\RefineRTDCRunTimes.py" --tripid 804-27 --locoid 4003 --swversion DE.1.0.9.0 --startMP 300:58647 --initTime 2017-10-27T06:27:10 --startdatetime 2017-10-27T06:43:10 --delay 62 --endMP 204:684 --enddatetime 2017-10-27T06:55:24 --enforcementcount 0 &gt;&gt;%USERPROFILE%\Documents\GitHub\eaglep3-reporting\EC\2017-10-27-refined-times.txt</v>
      </c>
      <c r="AI165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{"issue":{"subject":"","project_id":79,"tracker_id":40,"status_id":1,"priority_id":2,"assigned_to_id":338,"start_date":"2017-10-27","description":"","custom_fields":[{"id":1,"name":"Subdivision","value":"NW"},{"id":4,"name":"Milepost","value":"0.0684"},{"id":17,"name":"Train ID","value":"804-27"},{"id":16,"name":"Locomotive ID","value":"4003"},{"id":130,"name":"Impact","value":""},{"id":150,"name":"Time of Event (Mountain Time)","value":"06:55:24"},{"id":151,"name":"Denver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36"/>
        <v>start /low /b %USERPROFILE%\Documents\GitHub\eaglep3\Utilities\DownloadLogsFromS3.py --loco 4003 --day 2017-10-27</v>
      </c>
      <c r="AN165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38"/>
        <v>https://d0f6bd738d7f1b3e5a7ca70fe4ff75f0.us-east-1.aws.found.io/app/kibana#/discover/Steve-Slow-Train-Analysis-(2080s-and-2083s)?_g=(refreshInterval:(display:Off,pause:!f,section:0,value:0),time:(from:'2017-10-27T05:27:10-0600',mode:absolute,to:'2017-10-27T07:55:24-0600'))&amp;_a=(columns:!('Message%20ID',Summary),filters:!(),index:'emp_*',interval:auto,query:(query_string:(analyze_wildcard:!t,query:'%22rtdc.l.rtdc.4003%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688</v>
      </c>
      <c r="B166" s="7">
        <v>4030</v>
      </c>
      <c r="C166" s="21" t="s">
        <v>194</v>
      </c>
      <c r="D166" s="21" t="s">
        <v>1031</v>
      </c>
      <c r="E166" s="13">
        <v>43035.275127314817</v>
      </c>
      <c r="F166" s="13">
        <v>43035.277673611112</v>
      </c>
      <c r="G166" s="7">
        <v>65</v>
      </c>
      <c r="H166" s="21" t="s">
        <v>1032</v>
      </c>
      <c r="I166" s="13">
        <v>43035.288495370369</v>
      </c>
      <c r="J166" s="7">
        <v>0</v>
      </c>
      <c r="K166" s="89" t="str">
        <f>IF(ISEVEN(B166),(B166-1)&amp;"/"&amp;B166,B166&amp;"/"&amp;(B166+1))</f>
        <v>4029/4030</v>
      </c>
      <c r="L166" s="185" t="str">
        <f>VLOOKUP(A166,'Trips&amp;Operators'!$C$1:$G$99911,5,FALSE)</f>
        <v>WILLIAMS DONTE</v>
      </c>
      <c r="M166" s="6">
        <f>I166-F166</f>
        <v>1.0821759256941732E-2</v>
      </c>
      <c r="N166" s="7">
        <f>24*60*SUM($M166:$M166)</f>
        <v>15.583333329996094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-27T05:36:11-0600',mode:absolute,to:'2017-10-27T07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9.8599999999999993E-2</v>
      </c>
      <c r="Z166" s="204">
        <f>RIGHT(H166,LEN(H166)-4)/10000</f>
        <v>5.8930999999999996</v>
      </c>
      <c r="AA166" s="204">
        <f>ABS(Z166-Y166)</f>
        <v>5.7944999999999993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805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 &amp; aws s3 cp s3://rtdc.mdm.uploadarchive.raw/RTDC4030/ "%USERPROFILE%\AppData\Local\Temp\OnboardLogs"\RTDC4030\2017-10-28 --exclude "*" --recursive --include "*20171028*" &amp; "%USERPROFILE%\Documents\GitHub\mrs-test-scripts\Headless Mode &amp; Sideloading\WalkAndUnGZ.bat" "%USERPROFILE%\AppData\Local\Temp\OnboardLogs"\RTDC4030\2017-10-28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/stypes="app*4030*20171027*" /stext=" 12:.+((SYSTEM_STATE.+slice.+state.+changed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34"/>
        <v>"%USERPROFILE%\Documents\GitHub\eaglep3\Utilities\RefineRTDCRunTimes.py" --tripid 805-27 --locoid 4030 --swversion DE.1.0.9.0 --startMP 204:986 --initTime 2017-10-27T06:36:11 --startdatetime 2017-10-27T06:39:51 --delay 65 --endMP 300:58931 --enddatetime 2017-10-27T06:55:26 --enforcementcount 0 &gt;&gt;%USERPROFILE%\Documents\GitHub\eaglep3-reporting\EC\2017-10-27-refined-times.txt</v>
      </c>
      <c r="AI166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{"issue":{"subject":"","project_id":79,"tracker_id":40,"status_id":1,"priority_id":2,"assigned_to_id":338,"start_date":"2017-10-27","description":"","custom_fields":[{"id":1,"name":"Subdivision","value":"NW"},{"id":4,"name":"Milepost","value":"5.8931"},{"id":17,"name":"Train ID","value":"805-27"},{"id":16,"name":"Locomotive ID","value":"4030"},{"id":130,"name":"Impact","value":""},{"id":150,"name":"Time of Event (Mountain Time)","value":"06:55:26"},{"id":151,"name":"Denver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36"/>
        <v>start /low /b %USERPROFILE%\Documents\GitHub\eaglep3\Utilities\DownloadLogsFromS3.py --loco 4030 --day 2017-10-27</v>
      </c>
      <c r="AN166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38"/>
        <v>https://d0f6bd738d7f1b3e5a7ca70fe4ff75f0.us-east-1.aws.found.io/app/kibana#/discover/Steve-Slow-Train-Analysis-(2080s-and-2083s)?_g=(refreshInterval:(display:Off,pause:!f,section:0,value:0),time:(from:'2017-10-27T05:36:11-0600',mode:absolute,to:'2017-10-27T07:55:26-0600'))&amp;_a=(columns:!('Message%20ID',Summary),filters:!(),index:'emp_*',interval:auto,query:(query_string:(analyze_wildcard:!t,query:'%22rtdc.l.rtdc.4030%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622</v>
      </c>
      <c r="B167" s="7">
        <v>4029</v>
      </c>
      <c r="C167" s="21" t="s">
        <v>194</v>
      </c>
      <c r="D167" s="21" t="s">
        <v>1031</v>
      </c>
      <c r="E167" s="13">
        <v>43035.275127314817</v>
      </c>
      <c r="F167" s="13">
        <v>43035.300775462965</v>
      </c>
      <c r="G167" s="7">
        <v>65</v>
      </c>
      <c r="H167" s="21" t="s">
        <v>1032</v>
      </c>
      <c r="I167" s="13">
        <v>43035.312997685185</v>
      </c>
      <c r="J167" s="7">
        <v>0</v>
      </c>
      <c r="K167" s="89" t="str">
        <f>IF(ISEVEN(B167),(B167-1)&amp;"/"&amp;B167,B167&amp;"/"&amp;(B167+1))</f>
        <v>4029/4030</v>
      </c>
      <c r="L167" s="185" t="str">
        <f>VLOOKUP(A167,'Trips&amp;Operators'!$C$1:$G$99911,5,FALSE)</f>
        <v>WILLIAMS DONTE</v>
      </c>
      <c r="M167" s="6">
        <f>I167-F167</f>
        <v>1.2222222219861578E-2</v>
      </c>
      <c r="N167" s="7">
        <f>24*60*SUM($M167:$M167)</f>
        <v>17.599999996600673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-27T05:36:11-0600',mode:absolute,to:'2017-10-27T08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v>5.8647</v>
      </c>
      <c r="Z167" s="204">
        <v>6.8400000000000002E-2</v>
      </c>
      <c r="AA167" s="204">
        <f>ABS(Z167-Y167)</f>
        <v>5.7963000000000005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806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/stypes="app*4029*20171027*"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ref="AH167" si="45"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806-27 --locoid 4029 --swversion DE.1.0.9.0 --startMP 204:986 --initTime 2017-10-27T06:36:11 --startdatetime 2017-10-27T07:13:07 --delay 65 --endMP 300:58931 --enddatetime 2017-10-27T07:30:43 --enforcementcount 0 &gt;&gt;%USERPROFILE%\Documents\GitHub\eaglep3-reporting\EC\2017-10-27-refined-times.txt</v>
      </c>
      <c r="AI167" s="96" t="str">
        <f t="shared" ref="AI167" si="46"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{"issue":{"subject":"","project_id":79,"tracker_id":40,"status_id":1,"priority_id":2,"assigned_to_id":338,"start_date":"2017-10-27","description":"","custom_fields":[{"id":1,"name":"Subdivision","value":"NW"},{"id":4,"name":"Milepost","value":"0.0684"},{"id":17,"name":"Train ID","value":"806-27"},{"id":16,"name":"Locomotive ID","value":"4029"},{"id":130,"name":"Impact","value":""},{"id":150,"name":"Time of Event (Mountain Time)","value":"07:30:43"},{"id":151,"name":"Denver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ref="AM167" si="47">"start /low /b "&amp;dls3logs&amp;" --loco "&amp;B167&amp;" --day "&amp;TEXT(F167,"YYYY-MM-DD")</f>
        <v>start /low /b %USERPROFILE%\Documents\GitHub\eaglep3\Utilities\DownloadLogsFromS3.py --loco 4029 --day 2017-10-27</v>
      </c>
      <c r="AN167" s="151" t="str">
        <f t="shared" ref="AN167" si="48">"echo {""issue"":{""subject"":"""&amp;R167&amp;""",""project_id"":30,""tracker_id"":4,""status_id"":"&amp;redmine_status_wcr&amp;",""priority_id"":"&amp;redmine_priority_wcr&amp;",""assigned_to_id"":"&amp;redmine_assignee_wcr&amp;",""start_date"":"""&amp;TEXT(I167-utc_offset/24,"YYYY-mm-dd")&amp;""",""description"":"""&amp;AJ167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ref="AO167" si="49"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Message%20ID',Summary),filters:!(),index:'emp_*',interval:auto,query:"&amp;"(query_string:(analyze_wildcard:!t,query:'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-27T05:36:11-0600',mode:absolute,to:'2017-10-27T08:30:43-0600'))&amp;_a=(columns:!('Message%20ID',Summary),filters:!(),index:'emp_*',interval:auto,query:(query_string:(analyze_wildcard:!t,query:'%22rtdc.l.rtdc.4029%22')),sort:!(Time.ISO8601,asc))</v>
      </c>
    </row>
    <row r="168" spans="1:91" s="20" customFormat="1" x14ac:dyDescent="0.3">
      <c r="A168" s="32" t="s">
        <v>692</v>
      </c>
      <c r="B168" s="7">
        <v>4004</v>
      </c>
      <c r="C168" s="21" t="s">
        <v>194</v>
      </c>
      <c r="D168" s="21" t="s">
        <v>1033</v>
      </c>
      <c r="E168" s="13">
        <v>43035.291377314818</v>
      </c>
      <c r="F168" s="13">
        <v>43035.299224537041</v>
      </c>
      <c r="G168" s="7">
        <v>58</v>
      </c>
      <c r="H168" s="21" t="s">
        <v>1034</v>
      </c>
      <c r="I168" s="13">
        <v>43035.309594907405</v>
      </c>
      <c r="J168" s="7">
        <v>0</v>
      </c>
      <c r="K168" s="89" t="str">
        <f>IF(ISEVEN(B168),(B168-1)&amp;"/"&amp;B168,B168&amp;"/"&amp;(B168+1))</f>
        <v>4003/4004</v>
      </c>
      <c r="L168" s="185" t="str">
        <f>VLOOKUP(A168,'Trips&amp;Operators'!$C$1:$G$99911,5,FALSE)</f>
        <v>BARRON PERLA</v>
      </c>
      <c r="M168" s="6">
        <f>I168-F168</f>
        <v>1.0370370364398696E-2</v>
      </c>
      <c r="N168" s="7">
        <f>24*60*SUM($M168:$M168)</f>
        <v>14.933333324734122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-27T05:59:35-0600',mode:absolute,to:'2017-10-27T08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8" s="204" t="str">
        <f>IF(AA168&lt;VLOOKUP(AG168,Variables!$AC$3:$AD$8,2,FALSE),"Y","N")</f>
        <v>N</v>
      </c>
      <c r="X168" s="204">
        <f t="shared" ref="X168:X170" si="50">VALUE(LEFT(AD168,4))-VALUE(LEFT(AD167,4))</f>
        <v>1</v>
      </c>
      <c r="Y168" s="204">
        <f>RIGHT(D168,LEN(D168)-4)/10000</f>
        <v>0.1086</v>
      </c>
      <c r="Z168" s="204">
        <f>RIGHT(H168,LEN(H168)-4)/10000</f>
        <v>5.8963000000000001</v>
      </c>
      <c r="AA168" s="204">
        <f>ABS(Z168-Y168)</f>
        <v>5.7877000000000001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807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/stypes="app*4004*20171027*" /stext=" 13:.+((SYSTEM_STATE.+slice.+state.+changed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34"/>
        <v>"%USERPROFILE%\Documents\GitHub\eaglep3\Utilities\RefineRTDCRunTimes.py" --tripid 807-27 --locoid 4004 --swversion DE.1.0.9.0 --startMP 204:1086 --initTime 2017-10-27T06:59:35 --startdatetime 2017-10-27T07:10:53 --delay 58 --endMP 300:58963 --enddatetime 2017-10-27T07:25:49 --enforcementcount 0 &gt;&gt;%USERPROFILE%\Documents\GitHub\eaglep3-reporting\EC\2017-10-27-refined-times.txt</v>
      </c>
      <c r="AI168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{"issue":{"subject":"","project_id":79,"tracker_id":40,"status_id":1,"priority_id":2,"assigned_to_id":338,"start_date":"2017-10-27","description":"","custom_fields":[{"id":1,"name":"Subdivision","value":"NW"},{"id":4,"name":"Milepost","value":"5.8963"},{"id":17,"name":"Train ID","value":"807-27"},{"id":16,"name":"Locomotive ID","value":"4004"},{"id":130,"name":"Impact","value":""},{"id":150,"name":"Time of Event (Mountain Time)","value":"07:25:49"},{"id":151,"name":"Denver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36"/>
        <v>start /low /b %USERPROFILE%\Documents\GitHub\eaglep3\Utilities\DownloadLogsFromS3.py --loco 4004 --day 2017-10-27</v>
      </c>
      <c r="AN168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38"/>
        <v>https://d0f6bd738d7f1b3e5a7ca70fe4ff75f0.us-east-1.aws.found.io/app/kibana#/discover/Steve-Slow-Train-Analysis-(2080s-and-2083s)?_g=(refreshInterval:(display:Off,pause:!f,section:0,value:0),time:(from:'2017-10-27T05:59:35-0600',mode:absolute,to:'2017-10-27T08:25:49-0600'))&amp;_a=(columns:!('Message%20ID',Summary),filters:!(),index:'emp_*',interval:auto,query:(query_string:(analyze_wildcard:!t,query:'%22rtdc.l.rtdc.4004%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696</v>
      </c>
      <c r="B169" s="7">
        <v>4003</v>
      </c>
      <c r="C169" s="21" t="s">
        <v>194</v>
      </c>
      <c r="D169" s="21" t="s">
        <v>539</v>
      </c>
      <c r="E169" s="13">
        <v>43035.310937499999</v>
      </c>
      <c r="F169" s="13">
        <v>43035.321504629632</v>
      </c>
      <c r="G169" s="7">
        <v>54</v>
      </c>
      <c r="H169" s="21" t="s">
        <v>1035</v>
      </c>
      <c r="I169" s="13">
        <v>43035.331458333334</v>
      </c>
      <c r="J169" s="7">
        <v>0</v>
      </c>
      <c r="K169" s="89" t="str">
        <f>IF(ISEVEN(B169),(B169-1)&amp;"/"&amp;B169,B169&amp;"/"&amp;(B169+1))</f>
        <v>4003/4004</v>
      </c>
      <c r="L169" s="185" t="str">
        <f>VLOOKUP(A169,'Trips&amp;Operators'!$C$1:$G$99911,5,FALSE)</f>
        <v>BARRON PERLA</v>
      </c>
      <c r="M169" s="6">
        <f>I169-F169</f>
        <v>9.9537037021946162E-3</v>
      </c>
      <c r="N169" s="7">
        <f>24*60*SUM($M169:$M169)</f>
        <v>14.333333331160247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-27T06:27:45-0600',mode:absolute,to:'2017-10-27T08:57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9" s="204" t="str">
        <f>IF(AA169&lt;VLOOKUP(AG169,Variables!$AC$3:$AD$8,2,FALSE),"Y","N")</f>
        <v>N</v>
      </c>
      <c r="X169" s="204">
        <f t="shared" si="50"/>
        <v>1</v>
      </c>
      <c r="Y169" s="204">
        <f>RIGHT(D169,LEN(D169)-4)/10000</f>
        <v>5.8638000000000003</v>
      </c>
      <c r="Z169" s="204">
        <f>RIGHT(H169,LEN(H169)-4)/10000</f>
        <v>7.3999999999999996E-2</v>
      </c>
      <c r="AA169" s="204">
        <f>ABS(Z169-Y169)</f>
        <v>5.7898000000000005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808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/stypes="app*4003*20171027*" /stext=" 13:.+((SYSTEM_STATE.+slice.+state.+changed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34"/>
        <v>"%USERPROFILE%\Documents\GitHub\eaglep3\Utilities\RefineRTDCRunTimes.py" --tripid 808-27 --locoid 4003 --swversion DE.1.0.9.0 --startMP 300:58638 --initTime 2017-10-27T07:27:45 --startdatetime 2017-10-27T07:42:58 --delay 54 --endMP 204:740 --enddatetime 2017-10-27T07:57:18 --enforcementcount 0 &gt;&gt;%USERPROFILE%\Documents\GitHub\eaglep3-reporting\EC\2017-10-27-refined-times.txt</v>
      </c>
      <c r="AI169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{"issue":{"subject":"","project_id":79,"tracker_id":40,"status_id":1,"priority_id":2,"assigned_to_id":338,"start_date":"2017-10-27","description":"","custom_fields":[{"id":1,"name":"Subdivision","value":"NW"},{"id":4,"name":"Milepost","value":"0.074"},{"id":17,"name":"Train ID","value":"808-27"},{"id":16,"name":"Locomotive ID","value":"4003"},{"id":130,"name":"Impact","value":""},{"id":150,"name":"Time of Event (Mountain Time)","value":"07:57:18"},{"id":151,"name":"Denver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36"/>
        <v>start /low /b %USERPROFILE%\Documents\GitHub\eaglep3\Utilities\DownloadLogsFromS3.py --loco 4003 --day 2017-10-27</v>
      </c>
      <c r="AN169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13:57:18"},{"id":29,"name":"Sharepoint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38"/>
        <v>https://d0f6bd738d7f1b3e5a7ca70fe4ff75f0.us-east-1.aws.found.io/app/kibana#/discover/Steve-Slow-Train-Analysis-(2080s-and-2083s)?_g=(refreshInterval:(display:Off,pause:!f,section:0,value:0),time:(from:'2017-10-27T06:27:45-0600',mode:absolute,to:'2017-10-27T08:57:18-0600'))&amp;_a=(columns:!('Message%20ID',Summary),filters:!(),index:'emp_*',interval:auto,query:(query_string:(analyze_wildcard:!t,query:'%22rtdc.l.rtdc.4003%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697</v>
      </c>
      <c r="B170" s="7">
        <v>4030</v>
      </c>
      <c r="C170" s="21" t="s">
        <v>194</v>
      </c>
      <c r="D170" s="21" t="s">
        <v>1036</v>
      </c>
      <c r="E170" s="13">
        <v>43035.314930555556</v>
      </c>
      <c r="F170" s="13">
        <v>43035.319618055553</v>
      </c>
      <c r="G170" s="7">
        <v>66</v>
      </c>
      <c r="H170" s="21" t="s">
        <v>1037</v>
      </c>
      <c r="I170" s="13">
        <v>43035.330983796295</v>
      </c>
      <c r="J170" s="7">
        <v>0</v>
      </c>
      <c r="K170" s="89" t="str">
        <f>IF(ISEVEN(B170),(B170-1)&amp;"/"&amp;B170,B170&amp;"/"&amp;(B170+1))</f>
        <v>4029/4030</v>
      </c>
      <c r="L170" s="185" t="str">
        <f>VLOOKUP(A170,'Trips&amp;Operators'!$C$1:$G$99911,5,FALSE)</f>
        <v>WILLIAMS DONTE</v>
      </c>
      <c r="M170" s="6">
        <f>I170-F170</f>
        <v>1.1365740741894115E-2</v>
      </c>
      <c r="N170" s="7">
        <f>24*60*SUM($M170:$M170)</f>
        <v>16.366666668327525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-27T06:33:30-0600',mode:absolute,to:'2017-10-27T08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0" s="204" t="str">
        <f>IF(AA170&lt;VLOOKUP(AG170,Variables!$AC$3:$AD$8,2,FALSE),"Y","N")</f>
        <v>N</v>
      </c>
      <c r="X170" s="204">
        <f t="shared" si="50"/>
        <v>1</v>
      </c>
      <c r="Y170" s="204">
        <f>RIGHT(D170,LEN(D170)-4)/10000</f>
        <v>9.8799999999999999E-2</v>
      </c>
      <c r="Z170" s="204">
        <f>RIGHT(H170,LEN(H170)-4)/10000</f>
        <v>5.8929</v>
      </c>
      <c r="AA170" s="204">
        <f>ABS(Z170-Y170)</f>
        <v>5.7941000000000003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809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 &amp; aws s3 cp s3://rtdc.mdm.uploadarchive.raw/RTDC4030/ "%USERPROFILE%\AppData\Local\Temp\OnboardLogs"\RTDC4030\2017-10-28 --exclude "*" --recursive --include "*20171028*" &amp; "%USERPROFILE%\Documents\GitHub\mrs-test-scripts\Headless Mode &amp; Sideloading\WalkAndUnGZ.bat" "%USERPROFILE%\AppData\Local\Temp\OnboardLogs"\RTDC4030\2017-10-28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/stypes="app*4030*20171027*" /stext=" 13:.+((SYSTEM_STATE.+slice.+state.+changed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34"/>
        <v>"%USERPROFILE%\Documents\GitHub\eaglep3\Utilities\RefineRTDCRunTimes.py" --tripid 809-27 --locoid 4030 --swversion DE.1.0.9.0 --startMP 204:988 --initTime 2017-10-27T07:33:30 --startdatetime 2017-10-27T07:40:15 --delay 66 --endMP 300:58929 --enddatetime 2017-10-27T07:56:37 --enforcementcount 0 &gt;&gt;%USERPROFILE%\Documents\GitHub\eaglep3-reporting\EC\2017-10-27-refined-times.txt</v>
      </c>
      <c r="AI170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{"issue":{"subject":"","project_id":79,"tracker_id":40,"status_id":1,"priority_id":2,"assigned_to_id":338,"start_date":"2017-10-27","description":"","custom_fields":[{"id":1,"name":"Subdivision","value":"NW"},{"id":4,"name":"Milepost","value":"5.8929"},{"id":17,"name":"Train ID","value":"809-27"},{"id":16,"name":"Locomotive ID","value":"4030"},{"id":130,"name":"Impact","value":""},{"id":150,"name":"Time of Event (Mountain Time)","value":"07:56:37"},{"id":151,"name":"Denver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36"/>
        <v>start /low /b %USERPROFILE%\Documents\GitHub\eaglep3\Utilities\DownloadLogsFromS3.py --loco 4030 --day 2017-10-27</v>
      </c>
      <c r="AN170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13:56:37"},{"id":29,"name":"Sharepoint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38"/>
        <v>https://d0f6bd738d7f1b3e5a7ca70fe4ff75f0.us-east-1.aws.found.io/app/kibana#/discover/Steve-Slow-Train-Analysis-(2080s-and-2083s)?_g=(refreshInterval:(display:Off,pause:!f,section:0,value:0),time:(from:'2017-10-27T06:33:30-0600',mode:absolute,to:'2017-10-27T08:56:37-0600'))&amp;_a=(columns:!('Message%20ID',Summary),filters:!(),index:'emp_*',interval:auto,query:(query_string:(analyze_wildcard:!t,query:'%22rtdc.l.rtdc.4030%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625</v>
      </c>
      <c r="B171" s="7">
        <v>4029</v>
      </c>
      <c r="C171" s="21" t="s">
        <v>194</v>
      </c>
      <c r="D171" s="21" t="s">
        <v>1038</v>
      </c>
      <c r="E171" s="13">
        <v>43035.332083333335</v>
      </c>
      <c r="F171" s="13">
        <v>43035.342106481483</v>
      </c>
      <c r="G171" s="7">
        <v>60</v>
      </c>
      <c r="H171" s="21" t="s">
        <v>1039</v>
      </c>
      <c r="I171" s="13">
        <v>43035.352465277778</v>
      </c>
      <c r="J171" s="7">
        <v>0</v>
      </c>
      <c r="K171" s="89" t="str">
        <f>IF(ISEVEN(B171),(B171-1)&amp;"/"&amp;B171,B171&amp;"/"&amp;(B171+1))</f>
        <v>4029/4030</v>
      </c>
      <c r="L171" s="185" t="str">
        <f>VLOOKUP(A171,'Trips&amp;Operators'!$C$1:$G$99911,5,FALSE)</f>
        <v>WILLIAMS DONTE</v>
      </c>
      <c r="M171" s="6">
        <f>I171-F171</f>
        <v>1.0358796294895001E-2</v>
      </c>
      <c r="N171" s="7">
        <f>24*60*SUM($M171:$M171)</f>
        <v>14.916666664648801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-27T06:58:12-0600',mode:absolute,to:'2017-10-27T09:27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5.8613</v>
      </c>
      <c r="Z171" s="204">
        <f>RIGHT(H171,LEN(H171)-4)/10000</f>
        <v>7.9000000000000008E-3</v>
      </c>
      <c r="AA171" s="204">
        <f>ABS(Z171-Y171)</f>
        <v>5.8533999999999997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810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/stypes="app*4029*20171027*" /stext=" 14:.+((SYSTEM_STATE.+slice.+state.+changed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34"/>
        <v>"%USERPROFILE%\Documents\GitHub\eaglep3\Utilities\RefineRTDCRunTimes.py" --tripid 810-27 --locoid 4029 --swversion DE.1.0.9.0 --startMP 300:58613 --initTime 2017-10-27T07:58:12 --startdatetime 2017-10-27T08:12:38 --delay 60 --endMP 204:79 --enddatetime 2017-10-27T08:27:33 --enforcementcount 0 &gt;&gt;%USERPROFILE%\Documents\GitHub\eaglep3-reporting\EC\2017-10-27-refined-times.txt</v>
      </c>
      <c r="AI171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{"issue":{"subject":"","project_id":79,"tracker_id":40,"status_id":1,"priority_id":2,"assigned_to_id":338,"start_date":"2017-10-27","description":"","custom_fields":[{"id":1,"name":"Subdivision","value":"NW"},{"id":4,"name":"Milepost","value":"0.0079"},{"id":17,"name":"Train ID","value":"810-27"},{"id":16,"name":"Locomotive ID","value":"4029"},{"id":130,"name":"Impact","value":""},{"id":150,"name":"Time of Event (Mountain Time)","value":"08:27:33"},{"id":151,"name":"Denver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36"/>
        <v>start /low /b %USERPROFILE%\Documents\GitHub\eaglep3\Utilities\DownloadLogsFromS3.py --loco 4029 --day 2017-10-27</v>
      </c>
      <c r="AN171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14:27:33"},{"id":29,"name":"Sharepoint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38"/>
        <v>https://d0f6bd738d7f1b3e5a7ca70fe4ff75f0.us-east-1.aws.found.io/app/kibana#/discover/Steve-Slow-Train-Analysis-(2080s-and-2083s)?_g=(refreshInterval:(display:Off,pause:!f,section:0,value:0),time:(from:'2017-10-27T06:58:12-0600',mode:absolute,to:'2017-10-27T09:27:33-0600'))&amp;_a=(columns:!('Message%20ID',Summary),filters:!(),index:'emp_*',interval:auto,query:(query_string:(analyze_wildcard:!t,query:'%22rtdc.l.rtdc.4029%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702</v>
      </c>
      <c r="B172" s="7">
        <v>4004</v>
      </c>
      <c r="C172" s="21" t="s">
        <v>194</v>
      </c>
      <c r="D172" s="21" t="s">
        <v>1040</v>
      </c>
      <c r="E172" s="13">
        <v>43035.33284722222</v>
      </c>
      <c r="F172" s="13">
        <v>43035.339768518519</v>
      </c>
      <c r="G172" s="7">
        <v>81</v>
      </c>
      <c r="H172" s="21" t="s">
        <v>1041</v>
      </c>
      <c r="I172" s="13">
        <v>43035.350497685184</v>
      </c>
      <c r="J172" s="7">
        <v>0</v>
      </c>
      <c r="K172" s="89" t="str">
        <f>IF(ISEVEN(B172),(B172-1)&amp;"/"&amp;B172,B172&amp;"/"&amp;(B172+1))</f>
        <v>4003/4004</v>
      </c>
      <c r="L172" s="185" t="str">
        <f>VLOOKUP(A172,'Trips&amp;Operators'!$C$1:$G$99911,5,FALSE)</f>
        <v>BARRON PERLA</v>
      </c>
      <c r="M172" s="6">
        <f>I172-F172</f>
        <v>1.0729166664532386E-2</v>
      </c>
      <c r="N172" s="7">
        <f>24*60*SUM($M172:$M172)</f>
        <v>15.449999996926636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-27T06:59:18-0600',mode:absolute,to:'2017-10-27T09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0.1028</v>
      </c>
      <c r="Z172" s="204">
        <f>RIGHT(H172,LEN(H172)-4)/10000</f>
        <v>5.8959999999999999</v>
      </c>
      <c r="AA172" s="204">
        <f>ABS(Z172-Y172)</f>
        <v>5.7931999999999997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811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/stypes="app*4004*20171027*" /stext=" 14:.+((SYSTEM_STATE.+slice.+state.+changed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34"/>
        <v>"%USERPROFILE%\Documents\GitHub\eaglep3\Utilities\RefineRTDCRunTimes.py" --tripid 811-27 --locoid 4004 --swversion DE.1.0.9.0 --startMP 204:1028 --initTime 2017-10-27T07:59:18 --startdatetime 2017-10-27T08:09:16 --delay 81 --endMP 300:58960 --enddatetime 2017-10-27T08:24:43 --enforcementcount 0 &gt;&gt;%USERPROFILE%\Documents\GitHub\eaglep3-reporting\EC\2017-10-27-refined-times.txt</v>
      </c>
      <c r="AI172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{"issue":{"subject":"","project_id":79,"tracker_id":40,"status_id":1,"priority_id":2,"assigned_to_id":338,"start_date":"2017-10-27","description":"","custom_fields":[{"id":1,"name":"Subdivision","value":"NW"},{"id":4,"name":"Milepost","value":"5.896"},{"id":17,"name":"Train ID","value":"811-27"},{"id":16,"name":"Locomotive ID","value":"4004"},{"id":130,"name":"Impact","value":""},{"id":150,"name":"Time of Event (Mountain Time)","value":"08:24:43"},{"id":151,"name":"Denver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36"/>
        <v>start /low /b %USERPROFILE%\Documents\GitHub\eaglep3\Utilities\DownloadLogsFromS3.py --loco 4004 --day 2017-10-27</v>
      </c>
      <c r="AN172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38"/>
        <v>https://d0f6bd738d7f1b3e5a7ca70fe4ff75f0.us-east-1.aws.found.io/app/kibana#/discover/Steve-Slow-Train-Analysis-(2080s-and-2083s)?_g=(refreshInterval:(display:Off,pause:!f,section:0,value:0),time:(from:'2017-10-27T06:59:18-0600',mode:absolute,to:'2017-10-27T09:24:43-0600'))&amp;_a=(columns:!('Message%20ID',Summary),filters:!(),index:'emp_*',interval:auto,query:(query_string:(analyze_wildcard:!t,query:'%22rtdc.l.rtdc.4004%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705</v>
      </c>
      <c r="B173" s="7">
        <v>4003</v>
      </c>
      <c r="C173" s="21" t="s">
        <v>194</v>
      </c>
      <c r="D173" s="21" t="s">
        <v>1042</v>
      </c>
      <c r="E173" s="13">
        <v>43035.351724537039</v>
      </c>
      <c r="F173" s="13">
        <v>43035.363333333335</v>
      </c>
      <c r="G173" s="7">
        <v>54</v>
      </c>
      <c r="H173" s="21" t="s">
        <v>1043</v>
      </c>
      <c r="I173" s="13">
        <v>43035.371724537035</v>
      </c>
      <c r="J173" s="7">
        <v>0</v>
      </c>
      <c r="K173" s="89" t="str">
        <f>IF(ISEVEN(B173),(B173-1)&amp;"/"&amp;B173,B173&amp;"/"&amp;(B173+1))</f>
        <v>4003/4004</v>
      </c>
      <c r="L173" s="185" t="str">
        <f>VLOOKUP(A173,'Trips&amp;Operators'!$C$1:$G$99911,5,FALSE)</f>
        <v>BARRON PERLA</v>
      </c>
      <c r="M173" s="6">
        <f>I173-F173</f>
        <v>8.3912037007394247E-3</v>
      </c>
      <c r="N173" s="7">
        <f>24*60*SUM($M173:$M173)</f>
        <v>12.083333329064772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-27T07:26:29-0600',mode:absolute,to:'2017-10-27T09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5.8653000000000004</v>
      </c>
      <c r="Z173" s="204">
        <f>RIGHT(H173,LEN(H173)-4)/10000</f>
        <v>7.6799999999999993E-2</v>
      </c>
      <c r="AA173" s="204">
        <f>ABS(Z173-Y173)</f>
        <v>5.7885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812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/stypes="app*4003*20171027*" /stext=" 14:.+((SYSTEM_STATE.+slice.+state.+changed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34"/>
        <v>"%USERPROFILE%\Documents\GitHub\eaglep3\Utilities\RefineRTDCRunTimes.py" --tripid 812-27 --locoid 4003 --swversion DE.1.0.9.0 --startMP 300:58653 --initTime 2017-10-27T08:26:29 --startdatetime 2017-10-27T08:43:12 --delay 54 --endMP 204:768 --enddatetime 2017-10-27T08:55:17 --enforcementcount 0 &gt;&gt;%USERPROFILE%\Documents\GitHub\eaglep3-reporting\EC\2017-10-27-refined-times.txt</v>
      </c>
      <c r="AI173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{"issue":{"subject":"","project_id":79,"tracker_id":40,"status_id":1,"priority_id":2,"assigned_to_id":338,"start_date":"2017-10-27","description":"","custom_fields":[{"id":1,"name":"Subdivision","value":"NW"},{"id":4,"name":"Milepost","value":"0.0768"},{"id":17,"name":"Train ID","value":"812-27"},{"id":16,"name":"Locomotive ID","value":"4003"},{"id":130,"name":"Impact","value":""},{"id":150,"name":"Time of Event (Mountain Time)","value":"08:55:17"},{"id":151,"name":"Denver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36"/>
        <v>start /low /b %USERPROFILE%\Documents\GitHub\eaglep3\Utilities\DownloadLogsFromS3.py --loco 4003 --day 2017-10-27</v>
      </c>
      <c r="AN173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38"/>
        <v>https://d0f6bd738d7f1b3e5a7ca70fe4ff75f0.us-east-1.aws.found.io/app/kibana#/discover/Steve-Slow-Train-Analysis-(2080s-and-2083s)?_g=(refreshInterval:(display:Off,pause:!f,section:0,value:0),time:(from:'2017-10-27T07:26:29-0600',mode:absolute,to:'2017-10-27T09:55:17-0600'))&amp;_a=(columns:!('Message%20ID',Summary),filters:!(),index:'emp_*',interval:auto,query:(query_string:(analyze_wildcard:!t,query:'%22rtdc.l.rtdc.4003%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711</v>
      </c>
      <c r="B174" s="7">
        <v>4004</v>
      </c>
      <c r="C174" s="21" t="s">
        <v>194</v>
      </c>
      <c r="D174" s="21" t="s">
        <v>1044</v>
      </c>
      <c r="E174" s="13">
        <v>43035.380439814813</v>
      </c>
      <c r="F174" s="13">
        <v>43035.382465277777</v>
      </c>
      <c r="G174" s="7">
        <v>56</v>
      </c>
      <c r="H174" s="21" t="s">
        <v>615</v>
      </c>
      <c r="I174" s="13">
        <v>43035.392650462964</v>
      </c>
      <c r="J174" s="7">
        <v>0</v>
      </c>
      <c r="K174" s="89" t="str">
        <f>IF(ISEVEN(B174),(B174-1)&amp;"/"&amp;B174,B174&amp;"/"&amp;(B174+1))</f>
        <v>4003/4004</v>
      </c>
      <c r="L174" s="185" t="str">
        <f>VLOOKUP(A174,'Trips&amp;Operators'!$C$1:$G$99911,5,FALSE)</f>
        <v>BARRON PERLA</v>
      </c>
      <c r="M174" s="6">
        <f>I174-F174</f>
        <v>1.0185185186855961E-2</v>
      </c>
      <c r="N174" s="7">
        <f>24*60*SUM($M174:$M174)</f>
        <v>14.666666669072583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-27T08:07:50-0600',mode:absolute,to:'2017-10-27T10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0.1135</v>
      </c>
      <c r="Z174" s="204">
        <f>RIGHT(H174,LEN(H174)-4)/10000</f>
        <v>5.8958000000000004</v>
      </c>
      <c r="AA174" s="204">
        <f>ABS(Z174-Y174)</f>
        <v>5.7823000000000002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813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/stypes="app*4004*20171027*" /stext=" 15:.+((SYSTEM_STATE.+slice.+state.+changed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34"/>
        <v>"%USERPROFILE%\Documents\GitHub\eaglep3\Utilities\RefineRTDCRunTimes.py" --tripid 813-27 --locoid 4004 --swversion DE.1.0.9.0 --startMP 204:1135 --initTime 2017-10-27T09:07:50 --startdatetime 2017-10-27T09:10:45 --delay 56 --endMP 300:58958 --enddatetime 2017-10-27T09:25:25 --enforcementcount 0 &gt;&gt;%USERPROFILE%\Documents\GitHub\eaglep3-reporting\EC\2017-10-27-refined-times.txt</v>
      </c>
      <c r="AI174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{"issue":{"subject":"","project_id":79,"tracker_id":40,"status_id":1,"priority_id":2,"assigned_to_id":338,"start_date":"2017-10-27","description":"","custom_fields":[{"id":1,"name":"Subdivision","value":"NW"},{"id":4,"name":"Milepost","value":"5.8958"},{"id":17,"name":"Train ID","value":"813-27"},{"id":16,"name":"Locomotive ID","value":"4004"},{"id":130,"name":"Impact","value":""},{"id":150,"name":"Time of Event (Mountain Time)","value":"09:25:25"},{"id":151,"name":"Denver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36"/>
        <v>start /low /b %USERPROFILE%\Documents\GitHub\eaglep3\Utilities\DownloadLogsFromS3.py --loco 4004 --day 2017-10-27</v>
      </c>
      <c r="AN174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15:25:25"},{"id":29,"name":"Sharepoint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38"/>
        <v>https://d0f6bd738d7f1b3e5a7ca70fe4ff75f0.us-east-1.aws.found.io/app/kibana#/discover/Steve-Slow-Train-Analysis-(2080s-and-2083s)?_g=(refreshInterval:(display:Off,pause:!f,section:0,value:0),time:(from:'2017-10-27T08:07:50-0600',mode:absolute,to:'2017-10-27T10:25:25-0600'))&amp;_a=(columns:!('Message%20ID',Summary),filters:!(),index:'emp_*',interval:auto,query:(query_string:(analyze_wildcard:!t,query:'%22rtdc.l.rtdc.4004%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716</v>
      </c>
      <c r="B175" s="7">
        <v>4003</v>
      </c>
      <c r="C175" s="21" t="s">
        <v>194</v>
      </c>
      <c r="D175" s="21" t="s">
        <v>1045</v>
      </c>
      <c r="E175" s="13">
        <v>43035.39403935185</v>
      </c>
      <c r="F175" s="13">
        <v>43035.404999999999</v>
      </c>
      <c r="G175" s="7">
        <v>70</v>
      </c>
      <c r="H175" s="21" t="s">
        <v>1046</v>
      </c>
      <c r="I175" s="13">
        <v>43035.413229166668</v>
      </c>
      <c r="J175" s="7">
        <v>0</v>
      </c>
      <c r="K175" s="89" t="str">
        <f>IF(ISEVEN(B175),(B175-1)&amp;"/"&amp;B175,B175&amp;"/"&amp;(B175+1))</f>
        <v>4003/4004</v>
      </c>
      <c r="L175" s="185" t="str">
        <f>VLOOKUP(A175,'Trips&amp;Operators'!$C$1:$G$99911,5,FALSE)</f>
        <v>BARRON PERLA</v>
      </c>
      <c r="M175" s="6">
        <f>I175-F175</f>
        <v>8.2291666694800369E-3</v>
      </c>
      <c r="N175" s="7">
        <f>24*60*SUM($M175:$M175)</f>
        <v>11.850000004051253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-27T08:27:25-0600',mode:absolute,to:'2017-10-27T10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5.8639999999999999</v>
      </c>
      <c r="Z175" s="204">
        <f>RIGHT(H175,LEN(H175)-4)/10000</f>
        <v>7.7100000000000002E-2</v>
      </c>
      <c r="AA175" s="204">
        <f>ABS(Z175-Y175)</f>
        <v>5.7869000000000002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814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/stypes="app*4003*20171027*" /stext=" 15:.+((SYSTEM_STATE.+slice.+state.+changed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34"/>
        <v>"%USERPROFILE%\Documents\GitHub\eaglep3\Utilities\RefineRTDCRunTimes.py" --tripid 814-27 --locoid 4003 --swversion DE.1.0.9.0 --startMP 300:58640 --initTime 2017-10-27T09:27:25 --startdatetime 2017-10-27T09:43:12 --delay 70 --endMP 204:771 --enddatetime 2017-10-27T09:55:03 --enforcementcount 0 &gt;&gt;%USERPROFILE%\Documents\GitHub\eaglep3-reporting\EC\2017-10-27-refined-times.txt</v>
      </c>
      <c r="AI175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{"issue":{"subject":"","project_id":79,"tracker_id":40,"status_id":1,"priority_id":2,"assigned_to_id":338,"start_date":"2017-10-27","description":"","custom_fields":[{"id":1,"name":"Subdivision","value":"NW"},{"id":4,"name":"Milepost","value":"0.0771"},{"id":17,"name":"Train ID","value":"814-27"},{"id":16,"name":"Locomotive ID","value":"4003"},{"id":130,"name":"Impact","value":""},{"id":150,"name":"Time of Event (Mountain Time)","value":"09:55:03"},{"id":151,"name":"Denver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36"/>
        <v>start /low /b %USERPROFILE%\Documents\GitHub\eaglep3\Utilities\DownloadLogsFromS3.py --loco 4003 --day 2017-10-27</v>
      </c>
      <c r="AN175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15:55:03"},{"id":29,"name":"Sharepoint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38"/>
        <v>https://d0f6bd738d7f1b3e5a7ca70fe4ff75f0.us-east-1.aws.found.io/app/kibana#/discover/Steve-Slow-Train-Analysis-(2080s-and-2083s)?_g=(refreshInterval:(display:Off,pause:!f,section:0,value:0),time:(from:'2017-10-27T08:27:25-0600',mode:absolute,to:'2017-10-27T10:55:03-0600'))&amp;_a=(columns:!('Message%20ID',Summary),filters:!(),index:'emp_*',interval:auto,query:(query_string:(analyze_wildcard:!t,query:'%22rtdc.l.rtdc.4003%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722</v>
      </c>
      <c r="B176" s="7">
        <v>4004</v>
      </c>
      <c r="C176" s="21" t="s">
        <v>194</v>
      </c>
      <c r="D176" s="21" t="s">
        <v>1047</v>
      </c>
      <c r="E176" s="13">
        <v>43035.419004629628</v>
      </c>
      <c r="F176" s="13">
        <v>43035.423090277778</v>
      </c>
      <c r="G176" s="7">
        <v>76</v>
      </c>
      <c r="H176" s="21" t="s">
        <v>488</v>
      </c>
      <c r="I176" s="13">
        <v>43035.433483796296</v>
      </c>
      <c r="J176" s="7">
        <v>0</v>
      </c>
      <c r="K176" s="89" t="str">
        <f>IF(ISEVEN(B176),(B176-1)&amp;"/"&amp;B176,B176&amp;"/"&amp;(B176+1))</f>
        <v>4003/4004</v>
      </c>
      <c r="L176" s="185" t="str">
        <f>VLOOKUP(A176,'Trips&amp;Operators'!$C$1:$G$99911,5,FALSE)</f>
        <v>BARRON PERLA</v>
      </c>
      <c r="M176" s="6">
        <f>I176-F176</f>
        <v>1.0393518517958E-2</v>
      </c>
      <c r="N176" s="7">
        <f>24*60*SUM($M176:$M176)</f>
        <v>14.96666666585952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-27T09:03:22-0600',mode:absolute,to:'2017-10-27T11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0.1041</v>
      </c>
      <c r="Z176" s="204">
        <f>RIGHT(H176,LEN(H176)-4)/10000</f>
        <v>5.8948</v>
      </c>
      <c r="AA176" s="204">
        <f>ABS(Z176-Y176)</f>
        <v>5.7907000000000002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815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/stypes="app*4004*20171027*" /stext=" 16:.+((SYSTEM_STATE.+slice.+state.+changed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34"/>
        <v>"%USERPROFILE%\Documents\GitHub\eaglep3\Utilities\RefineRTDCRunTimes.py" --tripid 815-27 --locoid 4004 --swversion DE.1.0.9.0 --startMP 204:1041 --initTime 2017-10-27T10:03:22 --startdatetime 2017-10-27T10:09:15 --delay 76 --endMP 300:58948 --enddatetime 2017-10-27T10:24:13 --enforcementcount 0 &gt;&gt;%USERPROFILE%\Documents\GitHub\eaglep3-reporting\EC\2017-10-27-refined-times.txt</v>
      </c>
      <c r="AI176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{"issue":{"subject":"","project_id":79,"tracker_id":40,"status_id":1,"priority_id":2,"assigned_to_id":338,"start_date":"2017-10-27","description":"","custom_fields":[{"id":1,"name":"Subdivision","value":"NW"},{"id":4,"name":"Milepost","value":"5.8948"},{"id":17,"name":"Train ID","value":"815-27"},{"id":16,"name":"Locomotive ID","value":"4004"},{"id":130,"name":"Impact","value":""},{"id":150,"name":"Time of Event (Mountain Time)","value":"10:24:13"},{"id":151,"name":"Denver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36"/>
        <v>start /low /b %USERPROFILE%\Documents\GitHub\eaglep3\Utilities\DownloadLogsFromS3.py --loco 4004 --day 2017-10-27</v>
      </c>
      <c r="AN176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16:24:13"},{"id":29,"name":"Sharepoint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38"/>
        <v>https://d0f6bd738d7f1b3e5a7ca70fe4ff75f0.us-east-1.aws.found.io/app/kibana#/discover/Steve-Slow-Train-Analysis-(2080s-and-2083s)?_g=(refreshInterval:(display:Off,pause:!f,section:0,value:0),time:(from:'2017-10-27T09:03:22-0600',mode:absolute,to:'2017-10-27T11:24:13-0600'))&amp;_a=(columns:!('Message%20ID',Summary),filters:!(),index:'emp_*',interval:auto,query:(query_string:(analyze_wildcard:!t,query:'%22rtdc.l.rtdc.4004%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727</v>
      </c>
      <c r="B177" s="7">
        <v>4003</v>
      </c>
      <c r="C177" s="21" t="s">
        <v>194</v>
      </c>
      <c r="D177" s="21" t="s">
        <v>1026</v>
      </c>
      <c r="E177" s="13">
        <v>43035.434918981482</v>
      </c>
      <c r="F177" s="13">
        <v>43035.446585648147</v>
      </c>
      <c r="G177" s="7">
        <v>75</v>
      </c>
      <c r="H177" s="21" t="s">
        <v>1048</v>
      </c>
      <c r="I177" s="13">
        <v>43035.454872685186</v>
      </c>
      <c r="J177" s="7">
        <v>0</v>
      </c>
      <c r="K177" s="89" t="str">
        <f>IF(ISEVEN(B177),(B177-1)&amp;"/"&amp;B177,B177&amp;"/"&amp;(B177+1))</f>
        <v>4003/4004</v>
      </c>
      <c r="L177" s="185" t="str">
        <f>VLOOKUP(A177,'Trips&amp;Operators'!$C$1:$G$99911,5,FALSE)</f>
        <v>BARRON PERLA</v>
      </c>
      <c r="M177" s="6">
        <f>I177-F177</f>
        <v>8.2870370388263837E-3</v>
      </c>
      <c r="N177" s="7">
        <f>24*60*SUM($M177:$M177)</f>
        <v>11.933333335909992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-27T09:26:17-0600',mode:absolute,to:'2017-10-27T11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5.8628</v>
      </c>
      <c r="Z177" s="204">
        <f>RIGHT(H177,LEN(H177)-4)/10000</f>
        <v>7.4300000000000005E-2</v>
      </c>
      <c r="AA177" s="204">
        <f>ABS(Z177-Y177)</f>
        <v>5.7885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816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/stypes="app*4003*20171027*" /stext=" 16:.+((SYSTEM_STATE.+slice.+state.+changed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34"/>
        <v>"%USERPROFILE%\Documents\GitHub\eaglep3\Utilities\RefineRTDCRunTimes.py" --tripid 816-27 --locoid 4003 --swversion DE.1.0.9.0 --startMP 300:58628 --initTime 2017-10-27T10:26:17 --startdatetime 2017-10-27T10:43:05 --delay 75 --endMP 204:743 --enddatetime 2017-10-27T10:55:01 --enforcementcount 0 &gt;&gt;%USERPROFILE%\Documents\GitHub\eaglep3-reporting\EC\2017-10-27-refined-times.txt</v>
      </c>
      <c r="AI177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{"issue":{"subject":"","project_id":79,"tracker_id":40,"status_id":1,"priority_id":2,"assigned_to_id":338,"start_date":"2017-10-27","description":"","custom_fields":[{"id":1,"name":"Subdivision","value":"NW"},{"id":4,"name":"Milepost","value":"0.0743"},{"id":17,"name":"Train ID","value":"816-27"},{"id":16,"name":"Locomotive ID","value":"4003"},{"id":130,"name":"Impact","value":""},{"id":150,"name":"Time of Event (Mountain Time)","value":"10:55:01"},{"id":151,"name":"Denver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36"/>
        <v>start /low /b %USERPROFILE%\Documents\GitHub\eaglep3\Utilities\DownloadLogsFromS3.py --loco 4003 --day 2017-10-27</v>
      </c>
      <c r="AN177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16:55:01"},{"id":29,"name":"Sharepoint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38"/>
        <v>https://d0f6bd738d7f1b3e5a7ca70fe4ff75f0.us-east-1.aws.found.io/app/kibana#/discover/Steve-Slow-Train-Analysis-(2080s-and-2083s)?_g=(refreshInterval:(display:Off,pause:!f,section:0,value:0),time:(from:'2017-10-27T09:26:17-0600',mode:absolute,to:'2017-10-27T11:55:01-0600'))&amp;_a=(columns:!('Message%20ID',Summary),filters:!(),index:'emp_*',interval:auto,query:(query_string:(analyze_wildcard:!t,query:'%22rtdc.l.rtdc.4003%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731</v>
      </c>
      <c r="B178" s="7">
        <v>4004</v>
      </c>
      <c r="C178" s="21" t="s">
        <v>194</v>
      </c>
      <c r="D178" s="21" t="s">
        <v>1049</v>
      </c>
      <c r="E178" s="13">
        <v>43035.458136574074</v>
      </c>
      <c r="F178" s="13">
        <v>43035.464756944442</v>
      </c>
      <c r="G178" s="7">
        <v>62</v>
      </c>
      <c r="H178" s="21" t="s">
        <v>1050</v>
      </c>
      <c r="I178" s="13">
        <v>43035.475011574075</v>
      </c>
      <c r="J178" s="7">
        <v>0</v>
      </c>
      <c r="K178" s="89" t="str">
        <f>IF(ISEVEN(B178),(B178-1)&amp;"/"&amp;B178,B178&amp;"/"&amp;(B178+1))</f>
        <v>4003/4004</v>
      </c>
      <c r="L178" s="185" t="str">
        <f>VLOOKUP(A178,'Trips&amp;Operators'!$C$1:$G$99911,5,FALSE)</f>
        <v>BARRON PERLA</v>
      </c>
      <c r="M178" s="6">
        <f>I178-F178</f>
        <v>1.025462963298196E-2</v>
      </c>
      <c r="N178" s="7">
        <f>24*60*SUM($M178:$M178)</f>
        <v>14.766666671494022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-27T09:59:43-0600',mode:absolute,to:'2017-10-27T12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0.1037</v>
      </c>
      <c r="Z178" s="204">
        <f>RIGHT(H178,LEN(H178)-4)/10000</f>
        <v>5.8964999999999996</v>
      </c>
      <c r="AA178" s="204">
        <f>ABS(Z178-Y178)</f>
        <v>5.7927999999999997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817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/stypes="app*4004*20171027*" /stext=" 17:.+((SYSTEM_STATE.+slice.+state.+changed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34"/>
        <v>"%USERPROFILE%\Documents\GitHub\eaglep3\Utilities\RefineRTDCRunTimes.py" --tripid 817-27 --locoid 4004 --swversion DE.1.0.9.0 --startMP 204:1037 --initTime 2017-10-27T10:59:43 --startdatetime 2017-10-27T11:09:15 --delay 62 --endMP 300:58965 --enddatetime 2017-10-27T11:24:01 --enforcementcount 0 &gt;&gt;%USERPROFILE%\Documents\GitHub\eaglep3-reporting\EC\2017-10-27-refined-times.txt</v>
      </c>
      <c r="AI178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{"issue":{"subject":"","project_id":79,"tracker_id":40,"status_id":1,"priority_id":2,"assigned_to_id":338,"start_date":"2017-10-27","description":"","custom_fields":[{"id":1,"name":"Subdivision","value":"NW"},{"id":4,"name":"Milepost","value":"5.8965"},{"id":17,"name":"Train ID","value":"817-27"},{"id":16,"name":"Locomotive ID","value":"4004"},{"id":130,"name":"Impact","value":""},{"id":150,"name":"Time of Event (Mountain Time)","value":"11:24:01"},{"id":151,"name":"Denver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36"/>
        <v>start /low /b %USERPROFILE%\Documents\GitHub\eaglep3\Utilities\DownloadLogsFromS3.py --loco 4004 --day 2017-10-27</v>
      </c>
      <c r="AN178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38"/>
        <v>https://d0f6bd738d7f1b3e5a7ca70fe4ff75f0.us-east-1.aws.found.io/app/kibana#/discover/Steve-Slow-Train-Analysis-(2080s-and-2083s)?_g=(refreshInterval:(display:Off,pause:!f,section:0,value:0),time:(from:'2017-10-27T09:59:43-0600',mode:absolute,to:'2017-10-27T12:24:01-0600'))&amp;_a=(columns:!('Message%20ID',Summary),filters:!(),index:'emp_*',interval:auto,query:(query_string:(analyze_wildcard:!t,query:'%22rtdc.l.rtdc.4004%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737</v>
      </c>
      <c r="B179" s="7">
        <v>4003</v>
      </c>
      <c r="C179" s="21" t="s">
        <v>194</v>
      </c>
      <c r="D179" s="21" t="s">
        <v>509</v>
      </c>
      <c r="E179" s="13">
        <v>43035.476527777777</v>
      </c>
      <c r="F179" s="13">
        <v>43035.488252314812</v>
      </c>
      <c r="G179" s="7">
        <v>67</v>
      </c>
      <c r="H179" s="21" t="s">
        <v>1051</v>
      </c>
      <c r="I179" s="13">
        <v>43035.497407407405</v>
      </c>
      <c r="J179" s="7">
        <v>0</v>
      </c>
      <c r="K179" s="89" t="str">
        <f>IF(ISEVEN(B179),(B179-1)&amp;"/"&amp;B179,B179&amp;"/"&amp;(B179+1))</f>
        <v>4003/4004</v>
      </c>
      <c r="L179" s="185" t="str">
        <f>VLOOKUP(A179,'Trips&amp;Operators'!$C$1:$G$99911,5,FALSE)</f>
        <v>BARRON PERLA</v>
      </c>
      <c r="M179" s="6">
        <f>I179-F179</f>
        <v>9.1550925935734995E-3</v>
      </c>
      <c r="N179" s="7">
        <f>24*60*SUM($M179:$M179)</f>
        <v>13.183333334745839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-27T10:26:12-0600',mode:absolute,to:'2017-10-27T12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5.8651</v>
      </c>
      <c r="Z179" s="204">
        <f>RIGHT(H179,LEN(H179)-4)/10000</f>
        <v>7.4800000000000005E-2</v>
      </c>
      <c r="AA179" s="204">
        <f>ABS(Z179-Y179)</f>
        <v>5.7903000000000002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818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/stypes="app*4003*20171027*" /stext=" 17:.+((SYSTEM_STATE.+slice.+state.+changed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34"/>
        <v>"%USERPROFILE%\Documents\GitHub\eaglep3\Utilities\RefineRTDCRunTimes.py" --tripid 818-27 --locoid 4003 --swversion DE.1.0.9.0 --startMP 300:58651 --initTime 2017-10-27T11:26:12 --startdatetime 2017-10-27T11:43:05 --delay 67 --endMP 204:748 --enddatetime 2017-10-27T11:56:16 --enforcementcount 0 &gt;&gt;%USERPROFILE%\Documents\GitHub\eaglep3-reporting\EC\2017-10-27-refined-times.txt</v>
      </c>
      <c r="AI179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{"issue":{"subject":"","project_id":79,"tracker_id":40,"status_id":1,"priority_id":2,"assigned_to_id":338,"start_date":"2017-10-27","description":"","custom_fields":[{"id":1,"name":"Subdivision","value":"NW"},{"id":4,"name":"Milepost","value":"0.0748"},{"id":17,"name":"Train ID","value":"818-27"},{"id":16,"name":"Locomotive ID","value":"4003"},{"id":130,"name":"Impact","value":""},{"id":150,"name":"Time of Event (Mountain Time)","value":"11:56:16"},{"id":151,"name":"Denver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36"/>
        <v>start /low /b %USERPROFILE%\Documents\GitHub\eaglep3\Utilities\DownloadLogsFromS3.py --loco 4003 --day 2017-10-27</v>
      </c>
      <c r="AN179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38"/>
        <v>https://d0f6bd738d7f1b3e5a7ca70fe4ff75f0.us-east-1.aws.found.io/app/kibana#/discover/Steve-Slow-Train-Analysis-(2080s-and-2083s)?_g=(refreshInterval:(display:Off,pause:!f,section:0,value:0),time:(from:'2017-10-27T10:26:12-0600',mode:absolute,to:'2017-10-27T12:56:16-0600'))&amp;_a=(columns:!('Message%20ID',Summary),filters:!(),index:'emp_*',interval:auto,query:(query_string:(analyze_wildcard:!t,query:'%22rtdc.l.rtdc.4003%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743</v>
      </c>
      <c r="B180" s="7">
        <v>4004</v>
      </c>
      <c r="C180" s="21" t="s">
        <v>194</v>
      </c>
      <c r="D180" s="21" t="s">
        <v>1052</v>
      </c>
      <c r="E180" s="13">
        <v>43035.50576388889</v>
      </c>
      <c r="F180" s="13">
        <v>43035.507256944446</v>
      </c>
      <c r="G180" s="7">
        <v>69</v>
      </c>
      <c r="H180" s="21" t="s">
        <v>615</v>
      </c>
      <c r="I180" s="13">
        <v>43035.517569444448</v>
      </c>
      <c r="J180" s="7">
        <v>0</v>
      </c>
      <c r="K180" s="89" t="str">
        <f>IF(ISEVEN(B180),(B180-1)&amp;"/"&amp;B180,B180&amp;"/"&amp;(B180+1))</f>
        <v>4003/4004</v>
      </c>
      <c r="L180" s="185" t="str">
        <f>VLOOKUP(A180,'Trips&amp;Operators'!$C$1:$G$99911,5,FALSE)</f>
        <v>BARRON PERLA</v>
      </c>
      <c r="M180" s="6">
        <f>I180-F180</f>
        <v>1.0312500002328306E-2</v>
      </c>
      <c r="N180" s="7">
        <f>24*60*SUM($M180:$M180)</f>
        <v>14.850000003352761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-27T11:08:18-0600',mode:absolute,to:'2017-10-27T13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0" s="204" t="str">
        <f>IF(AA180&lt;VLOOKUP(AG180,Variables!$AC$3:$AD$8,2,FALSE),"Y","N")</f>
        <v>N</v>
      </c>
      <c r="X180" s="204">
        <f t="shared" ref="X180:X181" si="51">VALUE(LEFT(AD180,4))-VALUE(LEFT(AD179,4))</f>
        <v>1</v>
      </c>
      <c r="Y180" s="204">
        <f>RIGHT(D180,LEN(D180)-4)/10000</f>
        <v>0.1389</v>
      </c>
      <c r="Z180" s="204">
        <f>RIGHT(H180,LEN(H180)-4)/10000</f>
        <v>5.8958000000000004</v>
      </c>
      <c r="AA180" s="204">
        <f>ABS(Z180-Y180)</f>
        <v>5.7569000000000008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819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/stypes="app*4004*20171027*" /stext=" 18:.+((SYSTEM_STATE.+slice.+state.+changed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34"/>
        <v>"%USERPROFILE%\Documents\GitHub\eaglep3\Utilities\RefineRTDCRunTimes.py" --tripid 819-27 --locoid 4004 --swversion DE.1.0.9.0 --startMP 204:1389 --initTime 2017-10-27T12:08:18 --startdatetime 2017-10-27T12:10:27 --delay 69 --endMP 300:58958 --enddatetime 2017-10-27T12:25:18 --enforcementcount 0 &gt;&gt;%USERPROFILE%\Documents\GitHub\eaglep3-reporting\EC\2017-10-27-refined-times.txt</v>
      </c>
      <c r="AI180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{"issue":{"subject":"","project_id":79,"tracker_id":40,"status_id":1,"priority_id":2,"assigned_to_id":338,"start_date":"2017-10-27","description":"","custom_fields":[{"id":1,"name":"Subdivision","value":"NW"},{"id":4,"name":"Milepost","value":"5.8958"},{"id":17,"name":"Train ID","value":"819-27"},{"id":16,"name":"Locomotive ID","value":"4004"},{"id":130,"name":"Impact","value":""},{"id":150,"name":"Time of Event (Mountain Time)","value":"12:25:18"},{"id":151,"name":"Denver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36"/>
        <v>start /low /b %USERPROFILE%\Documents\GitHub\eaglep3\Utilities\DownloadLogsFromS3.py --loco 4004 --day 2017-10-27</v>
      </c>
      <c r="AN180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18:25:18"},{"id":29,"name":"Sharepoint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38"/>
        <v>https://d0f6bd738d7f1b3e5a7ca70fe4ff75f0.us-east-1.aws.found.io/app/kibana#/discover/Steve-Slow-Train-Analysis-(2080s-and-2083s)?_g=(refreshInterval:(display:Off,pause:!f,section:0,value:0),time:(from:'2017-10-27T11:08:18-0600',mode:absolute,to:'2017-10-27T13:25:18-0600'))&amp;_a=(columns:!('Message%20ID',Summary),filters:!(),index:'emp_*',interval:auto,query:(query_string:(analyze_wildcard:!t,query:'%22rtdc.l.rtdc.4004%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747</v>
      </c>
      <c r="B181" s="7">
        <v>4003</v>
      </c>
      <c r="C181" s="21" t="s">
        <v>194</v>
      </c>
      <c r="D181" s="21" t="s">
        <v>1053</v>
      </c>
      <c r="E181" s="13">
        <v>43035.518761574072</v>
      </c>
      <c r="F181" s="13">
        <v>43035.529918981483</v>
      </c>
      <c r="G181" s="7">
        <v>55</v>
      </c>
      <c r="H181" s="21" t="s">
        <v>1054</v>
      </c>
      <c r="I181" s="13">
        <v>43035.538113425922</v>
      </c>
      <c r="J181" s="7">
        <v>0</v>
      </c>
      <c r="K181" s="89" t="str">
        <f>IF(ISEVEN(B181),(B181-1)&amp;"/"&amp;B181,B181&amp;"/"&amp;(B181+1))</f>
        <v>4003/4004</v>
      </c>
      <c r="L181" s="185" t="str">
        <f>VLOOKUP(A181,'Trips&amp;Operators'!$C$1:$G$99911,5,FALSE)</f>
        <v>BARRON PERLA</v>
      </c>
      <c r="M181" s="6">
        <f>I181-F181</f>
        <v>8.1944444391410798E-3</v>
      </c>
      <c r="N181" s="7">
        <f>24*60*SUM($M181:$M181)</f>
        <v>11.799999992363155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-27T11:27:01-0600',mode:absolute,to:'2017-10-27T13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1" s="204" t="str">
        <f>IF(AA181&lt;VLOOKUP(AG181,Variables!$AC$3:$AD$8,2,FALSE),"Y","N")</f>
        <v>N</v>
      </c>
      <c r="X181" s="204">
        <f t="shared" si="51"/>
        <v>1</v>
      </c>
      <c r="Y181" s="204">
        <f>RIGHT(D181,LEN(D181)-4)/10000</f>
        <v>5.8644999999999996</v>
      </c>
      <c r="Z181" s="204">
        <f>RIGHT(H181,LEN(H181)-4)/10000</f>
        <v>7.7499999999999999E-2</v>
      </c>
      <c r="AA181" s="204">
        <f>ABS(Z181-Y181)</f>
        <v>5.7869999999999999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820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/stypes="app*4003*20171027*" /stext=" 18:.+((SYSTEM_STATE.+slice.+state.+changed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34"/>
        <v>"%USERPROFILE%\Documents\GitHub\eaglep3\Utilities\RefineRTDCRunTimes.py" --tripid 820-27 --locoid 4003 --swversion DE.1.0.9.0 --startMP 300:58645 --initTime 2017-10-27T12:27:01 --startdatetime 2017-10-27T12:43:05 --delay 55 --endMP 204:775 --enddatetime 2017-10-27T12:54:53 --enforcementcount 0 &gt;&gt;%USERPROFILE%\Documents\GitHub\eaglep3-reporting\EC\2017-10-27-refined-times.txt</v>
      </c>
      <c r="AI181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{"issue":{"subject":"","project_id":79,"tracker_id":40,"status_id":1,"priority_id":2,"assigned_to_id":338,"start_date":"2017-10-27","description":"","custom_fields":[{"id":1,"name":"Subdivision","value":"NW"},{"id":4,"name":"Milepost","value":"0.0775"},{"id":17,"name":"Train ID","value":"820-27"},{"id":16,"name":"Locomotive ID","value":"4003"},{"id":130,"name":"Impact","value":""},{"id":150,"name":"Time of Event (Mountain Time)","value":"12:54:53"},{"id":151,"name":"Denver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36"/>
        <v>start /low /b %USERPROFILE%\Documents\GitHub\eaglep3\Utilities\DownloadLogsFromS3.py --loco 4003 --day 2017-10-27</v>
      </c>
      <c r="AN181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18:54:53"},{"id":29,"name":"Sharepoint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38"/>
        <v>https://d0f6bd738d7f1b3e5a7ca70fe4ff75f0.us-east-1.aws.found.io/app/kibana#/discover/Steve-Slow-Train-Analysis-(2080s-and-2083s)?_g=(refreshInterval:(display:Off,pause:!f,section:0,value:0),time:(from:'2017-10-27T11:27:01-0600',mode:absolute,to:'2017-10-27T13:54:53-0600'))&amp;_a=(columns:!('Message%20ID',Summary),filters:!(),index:'emp_*',interval:auto,query:(query_string:(analyze_wildcard:!t,query:'%22rtdc.l.rtdc.4003%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754</v>
      </c>
      <c r="B182" s="7">
        <v>4004</v>
      </c>
      <c r="C182" s="21" t="s">
        <v>194</v>
      </c>
      <c r="D182" s="21" t="s">
        <v>1055</v>
      </c>
      <c r="E182" s="13">
        <v>43035.540729166663</v>
      </c>
      <c r="F182" s="13">
        <v>43035.548726851855</v>
      </c>
      <c r="G182" s="7">
        <v>100</v>
      </c>
      <c r="H182" s="21" t="s">
        <v>618</v>
      </c>
      <c r="I182" s="13">
        <v>43035.558865740742</v>
      </c>
      <c r="J182" s="7">
        <v>0</v>
      </c>
      <c r="K182" s="89" t="str">
        <f>IF(ISEVEN(B182),(B182-1)&amp;"/"&amp;B182,B182&amp;"/"&amp;(B182+1))</f>
        <v>4003/4004</v>
      </c>
      <c r="L182" s="185" t="str">
        <f>VLOOKUP(A182,'Trips&amp;Operators'!$C$1:$G$99911,5,FALSE)</f>
        <v>BERLING GARY</v>
      </c>
      <c r="M182" s="6">
        <f>I182-F182</f>
        <v>1.0138888887013309E-2</v>
      </c>
      <c r="N182" s="7">
        <f>24*60*SUM($M182:$M182)</f>
        <v>14.599999997299165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-27T11:58:39-0600',mode:absolute,to:'2017-10-27T14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0.10440000000000001</v>
      </c>
      <c r="Z182" s="204">
        <f>RIGHT(H182,LEN(H182)-4)/10000</f>
        <v>5.8987999999999996</v>
      </c>
      <c r="AA182" s="204">
        <f>ABS(Z182-Y182)</f>
        <v>5.7943999999999996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821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/stypes="app*4004*20171027*" /stext=" 19:.+((SYSTEM_STATE.+slice.+state.+changed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34"/>
        <v>"%USERPROFILE%\Documents\GitHub\eaglep3\Utilities\RefineRTDCRunTimes.py" --tripid 821-27 --locoid 4004 --swversion DE.1.0.9.0 --startMP 204:1044 --initTime 2017-10-27T12:58:39 --startdatetime 2017-10-27T13:10:10 --delay 100 --endMP 300:58988 --enddatetime 2017-10-27T13:24:46 --enforcementcount 0 &gt;&gt;%USERPROFILE%\Documents\GitHub\eaglep3-reporting\EC\2017-10-27-refined-times.txt</v>
      </c>
      <c r="AI182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{"issue":{"subject":"","project_id":79,"tracker_id":40,"status_id":1,"priority_id":2,"assigned_to_id":338,"start_date":"2017-10-27","description":"","custom_fields":[{"id":1,"name":"Subdivision","value":"NW"},{"id":4,"name":"Milepost","value":"5.8988"},{"id":17,"name":"Train ID","value":"821-27"},{"id":16,"name":"Locomotive ID","value":"4004"},{"id":130,"name":"Impact","value":""},{"id":150,"name":"Time of Event (Mountain Time)","value":"13:24:46"},{"id":151,"name":"Denver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36"/>
        <v>start /low /b %USERPROFILE%\Documents\GitHub\eaglep3\Utilities\DownloadLogsFromS3.py --loco 4004 --day 2017-10-27</v>
      </c>
      <c r="AN182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19:24:46"},{"id":29,"name":"Sharepoint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38"/>
        <v>https://d0f6bd738d7f1b3e5a7ca70fe4ff75f0.us-east-1.aws.found.io/app/kibana#/discover/Steve-Slow-Train-Analysis-(2080s-and-2083s)?_g=(refreshInterval:(display:Off,pause:!f,section:0,value:0),time:(from:'2017-10-27T11:58:39-0600',mode:absolute,to:'2017-10-27T14:24:46-0600'))&amp;_a=(columns:!('Message%20ID',Summary),filters:!(),index:'emp_*',interval:auto,query:(query_string:(analyze_wildcard:!t,query:'%22rtdc.l.rtdc.4004%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758</v>
      </c>
      <c r="B183" s="7">
        <v>4003</v>
      </c>
      <c r="C183" s="21" t="s">
        <v>194</v>
      </c>
      <c r="D183" s="21" t="s">
        <v>1056</v>
      </c>
      <c r="E183" s="13">
        <v>43035.561249999999</v>
      </c>
      <c r="F183" s="13">
        <v>43035.570891203701</v>
      </c>
      <c r="G183" s="7">
        <v>77</v>
      </c>
      <c r="H183" s="21" t="s">
        <v>1057</v>
      </c>
      <c r="I183" s="13">
        <v>43035.579768518517</v>
      </c>
      <c r="J183" s="7">
        <v>0</v>
      </c>
      <c r="K183" s="89" t="str">
        <f>IF(ISEVEN(B183),(B183-1)&amp;"/"&amp;B183,B183&amp;"/"&amp;(B183+1))</f>
        <v>4003/4004</v>
      </c>
      <c r="L183" s="185" t="str">
        <f>VLOOKUP(A183,'Trips&amp;Operators'!$C$1:$G$99911,5,FALSE)</f>
        <v>BERLING GARY</v>
      </c>
      <c r="M183" s="6">
        <f>I183-F183</f>
        <v>8.8773148163454607E-3</v>
      </c>
      <c r="N183" s="7">
        <f>24*60*SUM($M183:$M183)</f>
        <v>12.783333335537463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-27T12:28:12-0600',mode:absolute,to:'2017-10-27T14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5.8673000000000002</v>
      </c>
      <c r="Z183" s="204">
        <f>RIGHT(H183,LEN(H183)-4)/10000</f>
        <v>8.1699999999999995E-2</v>
      </c>
      <c r="AA183" s="204">
        <f>ABS(Z183-Y183)</f>
        <v>5.7856000000000005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822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/stypes="app*4003*20171027*" /stext=" 19:.+((SYSTEM_STATE.+slice.+state.+changed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34"/>
        <v>"%USERPROFILE%\Documents\GitHub\eaglep3\Utilities\RefineRTDCRunTimes.py" --tripid 822-27 --locoid 4003 --swversion DE.1.0.9.0 --startMP 300:58673 --initTime 2017-10-27T13:28:12 --startdatetime 2017-10-27T13:42:05 --delay 77 --endMP 204:817 --enddatetime 2017-10-27T13:54:52 --enforcementcount 0 &gt;&gt;%USERPROFILE%\Documents\GitHub\eaglep3-reporting\EC\2017-10-27-refined-times.txt</v>
      </c>
      <c r="AI183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{"issue":{"subject":"","project_id":79,"tracker_id":40,"status_id":1,"priority_id":2,"assigned_to_id":338,"start_date":"2017-10-27","description":"","custom_fields":[{"id":1,"name":"Subdivision","value":"NW"},{"id":4,"name":"Milepost","value":"0.0817"},{"id":17,"name":"Train ID","value":"822-27"},{"id":16,"name":"Locomotive ID","value":"4003"},{"id":130,"name":"Impact","value":""},{"id":150,"name":"Time of Event (Mountain Time)","value":"13:54:52"},{"id":151,"name":"Denver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36"/>
        <v>start /low /b %USERPROFILE%\Documents\GitHub\eaglep3\Utilities\DownloadLogsFromS3.py --loco 4003 --day 2017-10-27</v>
      </c>
      <c r="AN183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19:54:52"},{"id":29,"name":"Sharepoint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38"/>
        <v>https://d0f6bd738d7f1b3e5a7ca70fe4ff75f0.us-east-1.aws.found.io/app/kibana#/discover/Steve-Slow-Train-Analysis-(2080s-and-2083s)?_g=(refreshInterval:(display:Off,pause:!f,section:0,value:0),time:(from:'2017-10-27T12:28:12-0600',mode:absolute,to:'2017-10-27T14:54:52-0600'))&amp;_a=(columns:!('Message%20ID',Summary),filters:!(),index:'emp_*',interval:auto,query:(query_string:(analyze_wildcard:!t,query:'%22rtdc.l.rtdc.4003%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764</v>
      </c>
      <c r="B184" s="7">
        <v>4004</v>
      </c>
      <c r="C184" s="21" t="s">
        <v>194</v>
      </c>
      <c r="D184" s="21" t="s">
        <v>1058</v>
      </c>
      <c r="E184" s="13">
        <v>43035.587812500002</v>
      </c>
      <c r="F184" s="13">
        <v>43035.590150462966</v>
      </c>
      <c r="G184" s="7">
        <v>147</v>
      </c>
      <c r="H184" s="21" t="s">
        <v>613</v>
      </c>
      <c r="I184" s="13">
        <v>43035.600208333337</v>
      </c>
      <c r="J184" s="7">
        <v>0</v>
      </c>
      <c r="K184" s="89" t="str">
        <f>IF(ISEVEN(B184),(B184-1)&amp;"/"&amp;B184,B184&amp;"/"&amp;(B184+1))</f>
        <v>4003/4004</v>
      </c>
      <c r="L184" s="185" t="str">
        <f>VLOOKUP(A184,'Trips&amp;Operators'!$C$1:$G$99911,5,FALSE)</f>
        <v>BERLING GARY</v>
      </c>
      <c r="M184" s="6">
        <f>I184-F184</f>
        <v>1.0057870371383615E-2</v>
      </c>
      <c r="N184" s="7">
        <f>24*60*SUM($M184:$M184)</f>
        <v>14.483333334792405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-27T13:06:27-0600',mode:absolute,to:'2017-10-27T15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0.1116</v>
      </c>
      <c r="Z184" s="204">
        <f>RIGHT(H184,LEN(H184)-4)/10000</f>
        <v>5.8979999999999997</v>
      </c>
      <c r="AA184" s="204">
        <f>ABS(Z184-Y184)</f>
        <v>5.7863999999999995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823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/stypes="app*4004*20171027*" /stext=" 20:.+((SYSTEM_STATE.+slice.+state.+changed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34"/>
        <v>"%USERPROFILE%\Documents\GitHub\eaglep3\Utilities\RefineRTDCRunTimes.py" --tripid 823-27 --locoid 4004 --swversion DE.1.0.9.0 --startMP 204:1116 --initTime 2017-10-27T14:06:27 --startdatetime 2017-10-27T14:09:49 --delay 147 --endMP 300:58980 --enddatetime 2017-10-27T14:24:18 --enforcementcount 0 &gt;&gt;%USERPROFILE%\Documents\GitHub\eaglep3-reporting\EC\2017-10-27-refined-times.txt</v>
      </c>
      <c r="AI184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{"issue":{"subject":"","project_id":79,"tracker_id":40,"status_id":1,"priority_id":2,"assigned_to_id":338,"start_date":"2017-10-27","description":"","custom_fields":[{"id":1,"name":"Subdivision","value":"NW"},{"id":4,"name":"Milepost","value":"5.898"},{"id":17,"name":"Train ID","value":"823-27"},{"id":16,"name":"Locomotive ID","value":"4004"},{"id":130,"name":"Impact","value":""},{"id":150,"name":"Time of Event (Mountain Time)","value":"14:24:18"},{"id":151,"name":"Denver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36"/>
        <v>start /low /b %USERPROFILE%\Documents\GitHub\eaglep3\Utilities\DownloadLogsFromS3.py --loco 4004 --day 2017-10-27</v>
      </c>
      <c r="AN184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38"/>
        <v>https://d0f6bd738d7f1b3e5a7ca70fe4ff75f0.us-east-1.aws.found.io/app/kibana#/discover/Steve-Slow-Train-Analysis-(2080s-and-2083s)?_g=(refreshInterval:(display:Off,pause:!f,section:0,value:0),time:(from:'2017-10-27T13:06:27-0600',mode:absolute,to:'2017-10-27T15:24:18-0600'))&amp;_a=(columns:!('Message%20ID',Summary),filters:!(),index:'emp_*',interval:auto,query:(query_string:(analyze_wildcard:!t,query:'%22rtdc.l.rtdc.4004%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769</v>
      </c>
      <c r="B185" s="7">
        <v>4003</v>
      </c>
      <c r="C185" s="21" t="s">
        <v>194</v>
      </c>
      <c r="D185" s="21" t="s">
        <v>1059</v>
      </c>
      <c r="E185" s="13">
        <v>43035.601388888892</v>
      </c>
      <c r="F185" s="13">
        <v>43035.612916666665</v>
      </c>
      <c r="G185" s="7">
        <v>58</v>
      </c>
      <c r="H185" s="21" t="s">
        <v>1060</v>
      </c>
      <c r="I185" s="13">
        <v>43035.621180555558</v>
      </c>
      <c r="J185" s="7">
        <v>0</v>
      </c>
      <c r="K185" s="89" t="str">
        <f>IF(ISEVEN(B185),(B185-1)&amp;"/"&amp;B185,B185&amp;"/"&amp;(B185+1))</f>
        <v>4003/4004</v>
      </c>
      <c r="L185" s="185" t="str">
        <f>VLOOKUP(A185,'Trips&amp;Operators'!$C$1:$G$99911,5,FALSE)</f>
        <v>BERLING GARY</v>
      </c>
      <c r="M185" s="6">
        <f>I185-F185</f>
        <v>8.2638888925430365E-3</v>
      </c>
      <c r="N185" s="7">
        <f>24*60*SUM($M185:$M185)</f>
        <v>11.900000005261973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-27T13:26:00-0600',mode:absolute,to:'2017-10-27T15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5.8663999999999996</v>
      </c>
      <c r="Z185" s="204">
        <f>RIGHT(H185,LEN(H185)-4)/10000</f>
        <v>7.9600000000000004E-2</v>
      </c>
      <c r="AA185" s="204">
        <f>ABS(Z185-Y185)</f>
        <v>5.7867999999999995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824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/stypes="app*4003*20171027*" /stext=" 20:.+((SYSTEM_STATE.+slice.+state.+changed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34"/>
        <v>"%USERPROFILE%\Documents\GitHub\eaglep3\Utilities\RefineRTDCRunTimes.py" --tripid 824-27 --locoid 4003 --swversion DE.1.0.9.0 --startMP 300:58664 --initTime 2017-10-27T14:26:00 --startdatetime 2017-10-27T14:42:36 --delay 58 --endMP 204:796 --enddatetime 2017-10-27T14:54:30 --enforcementcount 0 &gt;&gt;%USERPROFILE%\Documents\GitHub\eaglep3-reporting\EC\2017-10-27-refined-times.txt</v>
      </c>
      <c r="AI185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{"issue":{"subject":"","project_id":79,"tracker_id":40,"status_id":1,"priority_id":2,"assigned_to_id":338,"start_date":"2017-10-27","description":"","custom_fields":[{"id":1,"name":"Subdivision","value":"NW"},{"id":4,"name":"Milepost","value":"0.0796"},{"id":17,"name":"Train ID","value":"824-27"},{"id":16,"name":"Locomotive ID","value":"4003"},{"id":130,"name":"Impact","value":""},{"id":150,"name":"Time of Event (Mountain Time)","value":"14:54:30"},{"id":151,"name":"Denver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36"/>
        <v>start /low /b %USERPROFILE%\Documents\GitHub\eaglep3\Utilities\DownloadLogsFromS3.py --loco 4003 --day 2017-10-27</v>
      </c>
      <c r="AN185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20:54:30"},{"id":29,"name":"Sharepoint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38"/>
        <v>https://d0f6bd738d7f1b3e5a7ca70fe4ff75f0.us-east-1.aws.found.io/app/kibana#/discover/Steve-Slow-Train-Analysis-(2080s-and-2083s)?_g=(refreshInterval:(display:Off,pause:!f,section:0,value:0),time:(from:'2017-10-27T13:26:00-0600',mode:absolute,to:'2017-10-27T15:54:30-0600'))&amp;_a=(columns:!('Message%20ID',Summary),filters:!(),index:'emp_*',interval:auto,query:(query_string:(analyze_wildcard:!t,query:'%22rtdc.l.rtdc.4003%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773</v>
      </c>
      <c r="B186" s="7">
        <v>4004</v>
      </c>
      <c r="C186" s="21" t="s">
        <v>194</v>
      </c>
      <c r="D186" s="21" t="s">
        <v>1061</v>
      </c>
      <c r="E186" s="13">
        <v>43035.626354166663</v>
      </c>
      <c r="F186" s="13">
        <v>43035.631435185183</v>
      </c>
      <c r="G186" s="7">
        <v>61</v>
      </c>
      <c r="H186" s="21" t="s">
        <v>611</v>
      </c>
      <c r="I186" s="13">
        <v>43035.641273148147</v>
      </c>
      <c r="J186" s="7">
        <v>0</v>
      </c>
      <c r="K186" s="89" t="str">
        <f>IF(ISEVEN(B186),(B186-1)&amp;"/"&amp;B186,B186&amp;"/"&amp;(B186+1))</f>
        <v>4003/4004</v>
      </c>
      <c r="L186" s="185" t="str">
        <f>VLOOKUP(A186,'Trips&amp;Operators'!$C$1:$G$99911,5,FALSE)</f>
        <v>BERLING GARY</v>
      </c>
      <c r="M186" s="6">
        <f>I186-F186</f>
        <v>9.8379629635019228E-3</v>
      </c>
      <c r="N186" s="7">
        <f>24*60*SUM($M186:$M186)</f>
        <v>14.166666667442769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-27T14:01:57-0600',mode:absolute,to:'2017-10-27T16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0.1111</v>
      </c>
      <c r="Z186" s="204">
        <f>RIGHT(H186,LEN(H186)-4)/10000</f>
        <v>5.8960999999999997</v>
      </c>
      <c r="AA186" s="204">
        <f>ABS(Z186-Y186)</f>
        <v>5.7849999999999993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825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/stypes="app*4004*20171027*" /stext=" 21:.+((SYSTEM_STATE.+slice.+state.+changed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34"/>
        <v>"%USERPROFILE%\Documents\GitHub\eaglep3\Utilities\RefineRTDCRunTimes.py" --tripid 825-27 --locoid 4004 --swversion DE.1.0.9.0 --startMP 204:1111 --initTime 2017-10-27T15:01:57 --startdatetime 2017-10-27T15:09:16 --delay 61 --endMP 300:58961 --enddatetime 2017-10-27T15:23:26 --enforcementcount 0 &gt;&gt;%USERPROFILE%\Documents\GitHub\eaglep3-reporting\EC\2017-10-27-refined-times.txt</v>
      </c>
      <c r="AI186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{"issue":{"subject":"","project_id":79,"tracker_id":40,"status_id":1,"priority_id":2,"assigned_to_id":338,"start_date":"2017-10-27","description":"","custom_fields":[{"id":1,"name":"Subdivision","value":"NW"},{"id":4,"name":"Milepost","value":"5.8961"},{"id":17,"name":"Train ID","value":"825-27"},{"id":16,"name":"Locomotive ID","value":"4004"},{"id":130,"name":"Impact","value":""},{"id":150,"name":"Time of Event (Mountain Time)","value":"15:23:26"},{"id":151,"name":"Denver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36"/>
        <v>start /low /b %USERPROFILE%\Documents\GitHub\eaglep3\Utilities\DownloadLogsFromS3.py --loco 4004 --day 2017-10-27</v>
      </c>
      <c r="AN186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38"/>
        <v>https://d0f6bd738d7f1b3e5a7ca70fe4ff75f0.us-east-1.aws.found.io/app/kibana#/discover/Steve-Slow-Train-Analysis-(2080s-and-2083s)?_g=(refreshInterval:(display:Off,pause:!f,section:0,value:0),time:(from:'2017-10-27T14:01:57-0600',mode:absolute,to:'2017-10-27T16:23:26-0600'))&amp;_a=(columns:!('Message%20ID',Summary),filters:!(),index:'emp_*',interval:auto,query:(query_string:(analyze_wildcard:!t,query:'%22rtdc.l.rtdc.4004%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782</v>
      </c>
      <c r="B187" s="7">
        <v>4003</v>
      </c>
      <c r="C187" s="21" t="s">
        <v>194</v>
      </c>
      <c r="D187" s="21" t="s">
        <v>1062</v>
      </c>
      <c r="E187" s="13">
        <v>43035.642731481479</v>
      </c>
      <c r="F187" s="13">
        <v>43035.654895833337</v>
      </c>
      <c r="G187" s="7">
        <v>64</v>
      </c>
      <c r="H187" s="21" t="s">
        <v>1063</v>
      </c>
      <c r="I187" s="13">
        <v>43035.663217592592</v>
      </c>
      <c r="J187" s="7">
        <v>0</v>
      </c>
      <c r="K187" s="89" t="str">
        <f>IF(ISEVEN(B187),(B187-1)&amp;"/"&amp;B187,B187&amp;"/"&amp;(B187+1))</f>
        <v>4003/4004</v>
      </c>
      <c r="L187" s="185" t="str">
        <f>VLOOKUP(A187,'Trips&amp;Operators'!$C$1:$G$99911,5,FALSE)</f>
        <v>BERLING GARY</v>
      </c>
      <c r="M187" s="6">
        <f>I187-F187</f>
        <v>8.3217592546134256E-3</v>
      </c>
      <c r="N187" s="7">
        <f>24*60*SUM($M187:$M187)</f>
        <v>11.983333326643333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-27T14:25:32-0600',mode:absolute,to:'2017-10-27T16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5.8654999999999999</v>
      </c>
      <c r="Z187" s="204">
        <f>RIGHT(H187,LEN(H187)-4)/10000</f>
        <v>1.37E-2</v>
      </c>
      <c r="AA187" s="204">
        <f>ABS(Z187-Y187)</f>
        <v>5.8517999999999999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826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/stypes="app*4003*20171027*" /stext=" 21:.+((SYSTEM_STATE.+slice.+state.+changed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34"/>
        <v>"%USERPROFILE%\Documents\GitHub\eaglep3\Utilities\RefineRTDCRunTimes.py" --tripid 826-27 --locoid 4003 --swversion DE.1.0.9.0 --startMP 300:58655 --initTime 2017-10-27T15:25:32 --startdatetime 2017-10-27T15:43:03 --delay 64 --endMP 204:137 --enddatetime 2017-10-27T15:55:02 --enforcementcount 0 &gt;&gt;%USERPROFILE%\Documents\GitHub\eaglep3-reporting\EC\2017-10-27-refined-times.txt</v>
      </c>
      <c r="AI187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{"issue":{"subject":"","project_id":79,"tracker_id":40,"status_id":1,"priority_id":2,"assigned_to_id":338,"start_date":"2017-10-27","description":"","custom_fields":[{"id":1,"name":"Subdivision","value":"NW"},{"id":4,"name":"Milepost","value":"0.0137"},{"id":17,"name":"Train ID","value":"826-27"},{"id":16,"name":"Locomotive ID","value":"4003"},{"id":130,"name":"Impact","value":""},{"id":150,"name":"Time of Event (Mountain Time)","value":"15:55:02"},{"id":151,"name":"Denver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36"/>
        <v>start /low /b %USERPROFILE%\Documents\GitHub\eaglep3\Utilities\DownloadLogsFromS3.py --loco 4003 --day 2017-10-27</v>
      </c>
      <c r="AN187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38"/>
        <v>https://d0f6bd738d7f1b3e5a7ca70fe4ff75f0.us-east-1.aws.found.io/app/kibana#/discover/Steve-Slow-Train-Analysis-(2080s-and-2083s)?_g=(refreshInterval:(display:Off,pause:!f,section:0,value:0),time:(from:'2017-10-27T14:25:32-0600',mode:absolute,to:'2017-10-27T16:55:02-0600'))&amp;_a=(columns:!('Message%20ID',Summary),filters:!(),index:'emp_*',interval:auto,query:(query_string:(analyze_wildcard:!t,query:'%22rtdc.l.rtdc.4003%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781</v>
      </c>
      <c r="B188" s="7">
        <v>4030</v>
      </c>
      <c r="C188" s="21" t="s">
        <v>194</v>
      </c>
      <c r="D188" s="21" t="s">
        <v>1064</v>
      </c>
      <c r="E188" s="13">
        <v>43035.642442129632</v>
      </c>
      <c r="F188" s="13">
        <v>43035.652418981481</v>
      </c>
      <c r="G188" s="7">
        <v>81</v>
      </c>
      <c r="H188" s="21" t="s">
        <v>1065</v>
      </c>
      <c r="I188" s="13">
        <v>43035.663113425922</v>
      </c>
      <c r="J188" s="7">
        <v>0</v>
      </c>
      <c r="K188" s="89" t="str">
        <f>IF(ISEVEN(B188),(B188-1)&amp;"/"&amp;B188,B188&amp;"/"&amp;(B188+1))</f>
        <v>4029/4030</v>
      </c>
      <c r="L188" s="185" t="str">
        <f>VLOOKUP(A188,'Trips&amp;Operators'!$C$1:$G$99911,5,FALSE)</f>
        <v>SMITH MICHAEL</v>
      </c>
      <c r="M188" s="6">
        <f>I188-F188</f>
        <v>1.0694444441469386E-2</v>
      </c>
      <c r="N188" s="7">
        <f>24*60*SUM($M188:$M188)</f>
        <v>15.399999995715916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-27T14:25:07-0600',mode:absolute,to:'2017-10-27T16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4.24E-2</v>
      </c>
      <c r="Z188" s="204">
        <f>RIGHT(H188,LEN(H188)-4)/10000</f>
        <v>5.8925999999999998</v>
      </c>
      <c r="AA188" s="204">
        <f>ABS(Z188-Y188)</f>
        <v>5.8502000000000001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827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 &amp; aws s3 cp s3://rtdc.mdm.uploadarchive.raw/RTDC4030/ "%USERPROFILE%\AppData\Local\Temp\OnboardLogs"\RTDC4030\2017-10-28 --exclude "*" --recursive --include "*20171028*" &amp; "%USERPROFILE%\Documents\GitHub\mrs-test-scripts\Headless Mode &amp; Sideloading\WalkAndUnGZ.bat" "%USERPROFILE%\AppData\Local\Temp\OnboardLogs"\RTDC4030\2017-10-28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/stypes="app*4030*20171027*" /stext=" 21:.+((SYSTEM_STATE.+slice.+state.+changed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34"/>
        <v>"%USERPROFILE%\Documents\GitHub\eaglep3\Utilities\RefineRTDCRunTimes.py" --tripid 827-27 --locoid 4030 --swversion DE.1.0.9.0 --startMP 204:424 --initTime 2017-10-27T15:25:07 --startdatetime 2017-10-27T15:39:29 --delay 81 --endMP 300:58926 --enddatetime 2017-10-27T15:54:53 --enforcementcount 0 &gt;&gt;%USERPROFILE%\Documents\GitHub\eaglep3-reporting\EC\2017-10-27-refined-times.txt</v>
      </c>
      <c r="AI188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{"issue":{"subject":"","project_id":79,"tracker_id":40,"status_id":1,"priority_id":2,"assigned_to_id":338,"start_date":"2017-10-27","description":"","custom_fields":[{"id":1,"name":"Subdivision","value":"NW"},{"id":4,"name":"Milepost","value":"5.8926"},{"id":17,"name":"Train ID","value":"827-27"},{"id":16,"name":"Locomotive ID","value":"4030"},{"id":130,"name":"Impact","value":""},{"id":150,"name":"Time of Event (Mountain Time)","value":"15:54:53"},{"id":151,"name":"Denver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36"/>
        <v>start /low /b %USERPROFILE%\Documents\GitHub\eaglep3\Utilities\DownloadLogsFromS3.py --loco 4030 --day 2017-10-27</v>
      </c>
      <c r="AN188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38"/>
        <v>https://d0f6bd738d7f1b3e5a7ca70fe4ff75f0.us-east-1.aws.found.io/app/kibana#/discover/Steve-Slow-Train-Analysis-(2080s-and-2083s)?_g=(refreshInterval:(display:Off,pause:!f,section:0,value:0),time:(from:'2017-10-27T14:25:07-0600',mode:absolute,to:'2017-10-27T16:54:53-0600'))&amp;_a=(columns:!('Message%20ID',Summary),filters:!(),index:'emp_*',interval:auto,query:(query_string:(analyze_wildcard:!t,query:'%22rtdc.l.rtdc.4030%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786</v>
      </c>
      <c r="B189" s="7">
        <v>4029</v>
      </c>
      <c r="C189" s="21" t="s">
        <v>194</v>
      </c>
      <c r="D189" s="21" t="s">
        <v>1066</v>
      </c>
      <c r="E189" s="13">
        <v>43035.664976851855</v>
      </c>
      <c r="F189" s="13">
        <v>43035.675798611112</v>
      </c>
      <c r="G189" s="7">
        <v>70</v>
      </c>
      <c r="H189" s="21" t="s">
        <v>356</v>
      </c>
      <c r="I189" s="13">
        <v>43035.683946759258</v>
      </c>
      <c r="J189" s="7">
        <v>0</v>
      </c>
      <c r="K189" s="89" t="str">
        <f>IF(ISEVEN(B189),(B189-1)&amp;"/"&amp;B189,B189&amp;"/"&amp;(B189+1))</f>
        <v>4029/4030</v>
      </c>
      <c r="L189" s="185" t="str">
        <f>VLOOKUP(A189,'Trips&amp;Operators'!$C$1:$G$99911,5,FALSE)</f>
        <v>SMITH MICHAEL</v>
      </c>
      <c r="M189" s="6">
        <f>I189-F189</f>
        <v>8.1481481465743855E-3</v>
      </c>
      <c r="N189" s="7">
        <f>24*60*SUM($M189:$M189)</f>
        <v>11.733333331067115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-27T14:57:34-0600',mode:absolute,to:'2017-10-27T17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5.8605999999999998</v>
      </c>
      <c r="Z189" s="204">
        <f>RIGHT(H189,LEN(H189)-4)/10000</f>
        <v>1.5800000000000002E-2</v>
      </c>
      <c r="AA189" s="204">
        <f>ABS(Z189-Y189)</f>
        <v>5.8448000000000002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828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/stypes="app*4029*20171027*"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34"/>
        <v>"%USERPROFILE%\Documents\GitHub\eaglep3\Utilities\RefineRTDCRunTimes.py" --tripid 828-27 --locoid 4029 --swversion DE.1.0.9.0 --startMP 300:58606 --initTime 2017-10-27T15:57:34 --startdatetime 2017-10-27T16:13:09 --delay 70 --endMP 204:158 --enddatetime 2017-10-27T16:24:53 --enforcementcount 0 &gt;&gt;%USERPROFILE%\Documents\GitHub\eaglep3-reporting\EC\2017-10-27-refined-times.txt</v>
      </c>
      <c r="AI189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{"issue":{"subject":"","project_id":79,"tracker_id":40,"status_id":1,"priority_id":2,"assigned_to_id":338,"start_date":"2017-10-27","description":"","custom_fields":[{"id":1,"name":"Subdivision","value":"NW"},{"id":4,"name":"Milepost","value":"0.0158"},{"id":17,"name":"Train ID","value":"828-27"},{"id":16,"name":"Locomotive ID","value":"4029"},{"id":130,"name":"Impact","value":""},{"id":150,"name":"Time of Event (Mountain Time)","value":"16:24:53"},{"id":151,"name":"Denver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36"/>
        <v>start /low /b %USERPROFILE%\Documents\GitHub\eaglep3\Utilities\DownloadLogsFromS3.py --loco 4029 --day 2017-10-27</v>
      </c>
      <c r="AN189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38"/>
        <v>https://d0f6bd738d7f1b3e5a7ca70fe4ff75f0.us-east-1.aws.found.io/app/kibana#/discover/Steve-Slow-Train-Analysis-(2080s-and-2083s)?_g=(refreshInterval:(display:Off,pause:!f,section:0,value:0),time:(from:'2017-10-27T14:57:34-0600',mode:absolute,to:'2017-10-27T17:24:53-0600'))&amp;_a=(columns:!('Message%20ID',Summary),filters:!(),index:'emp_*',interval:auto,query:(query_string:(analyze_wildcard:!t,query:'%22rtdc.l.rtdc.4029%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788</v>
      </c>
      <c r="B190" s="7">
        <v>4004</v>
      </c>
      <c r="C190" s="21" t="s">
        <v>194</v>
      </c>
      <c r="D190" s="21" t="s">
        <v>1067</v>
      </c>
      <c r="E190" s="13">
        <v>43035.669895833336</v>
      </c>
      <c r="F190" s="13">
        <v>43035.673148148147</v>
      </c>
      <c r="G190" s="7">
        <v>129</v>
      </c>
      <c r="H190" s="21" t="s">
        <v>615</v>
      </c>
      <c r="I190" s="13">
        <v>43035.68409722222</v>
      </c>
      <c r="J190" s="7">
        <v>0</v>
      </c>
      <c r="K190" s="89" t="str">
        <f>IF(ISEVEN(B190),(B190-1)&amp;"/"&amp;B190,B190&amp;"/"&amp;(B190+1))</f>
        <v>4003/4004</v>
      </c>
      <c r="L190" s="185" t="str">
        <f>VLOOKUP(A190,'Trips&amp;Operators'!$C$1:$G$99911,5,FALSE)</f>
        <v>BERLING GARY</v>
      </c>
      <c r="M190" s="6">
        <f>I190-F190</f>
        <v>1.0949074072414078E-2</v>
      </c>
      <c r="N190" s="7">
        <f>24*60*SUM($M190:$M190)</f>
        <v>15.766666664276272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-27T15:04:39-0600',mode:absolute,to:'2017-10-27T17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4.2099999999999999E-2</v>
      </c>
      <c r="Z190" s="204">
        <f>RIGHT(H190,LEN(H190)-4)/10000</f>
        <v>5.8958000000000004</v>
      </c>
      <c r="AA190" s="204">
        <f>ABS(Z190-Y190)</f>
        <v>5.8537000000000008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829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/stypes="app*4004*20171027*" /stext=" 22:.+((SYSTEM_STATE.+slice.+state.+changed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34"/>
        <v>"%USERPROFILE%\Documents\GitHub\eaglep3\Utilities\RefineRTDCRunTimes.py" --tripid 829-27 --locoid 4004 --swversion DE.1.0.9.0 --startMP 204:421 --initTime 2017-10-27T16:04:39 --startdatetime 2017-10-27T16:09:20 --delay 129 --endMP 300:58958 --enddatetime 2017-10-27T16:25:06 --enforcementcount 0 &gt;&gt;%USERPROFILE%\Documents\GitHub\eaglep3-reporting\EC\2017-10-27-refined-times.txt</v>
      </c>
      <c r="AI190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{"issue":{"subject":"","project_id":79,"tracker_id":40,"status_id":1,"priority_id":2,"assigned_to_id":338,"start_date":"2017-10-27","description":"","custom_fields":[{"id":1,"name":"Subdivision","value":"NW"},{"id":4,"name":"Milepost","value":"5.8958"},{"id":17,"name":"Train ID","value":"829-27"},{"id":16,"name":"Locomotive ID","value":"4004"},{"id":130,"name":"Impact","value":""},{"id":150,"name":"Time of Event (Mountain Time)","value":"16:25:06"},{"id":151,"name":"Denver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36"/>
        <v>start /low /b %USERPROFILE%\Documents\GitHub\eaglep3\Utilities\DownloadLogsFromS3.py --loco 4004 --day 2017-10-27</v>
      </c>
      <c r="AN190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38"/>
        <v>https://d0f6bd738d7f1b3e5a7ca70fe4ff75f0.us-east-1.aws.found.io/app/kibana#/discover/Steve-Slow-Train-Analysis-(2080s-and-2083s)?_g=(refreshInterval:(display:Off,pause:!f,section:0,value:0),time:(from:'2017-10-27T15:04:39-0600',mode:absolute,to:'2017-10-27T17:25:06-0600'))&amp;_a=(columns:!('Message%20ID',Summary),filters:!(),index:'emp_*',interval:auto,query:(query_string:(analyze_wildcard:!t,query:'%22rtdc.l.rtdc.4004%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634</v>
      </c>
      <c r="B191" s="7">
        <v>4003</v>
      </c>
      <c r="C191" s="21" t="s">
        <v>194</v>
      </c>
      <c r="D191" s="21" t="s">
        <v>509</v>
      </c>
      <c r="E191" s="13">
        <v>43035.686018518521</v>
      </c>
      <c r="F191" s="13">
        <v>43035.696180555555</v>
      </c>
      <c r="G191" s="7">
        <v>56</v>
      </c>
      <c r="H191" s="21" t="s">
        <v>1063</v>
      </c>
      <c r="I191" s="13">
        <v>43035.706666666665</v>
      </c>
      <c r="J191" s="7">
        <v>0</v>
      </c>
      <c r="K191" s="89" t="str">
        <f>IF(ISEVEN(B191),(B191-1)&amp;"/"&amp;B191,B191&amp;"/"&amp;(B191+1))</f>
        <v>4003/4004</v>
      </c>
      <c r="L191" s="185" t="str">
        <f>VLOOKUP(A191,'Trips&amp;Operators'!$C$1:$G$99911,5,FALSE)</f>
        <v>BERLING GARY</v>
      </c>
      <c r="M191" s="6">
        <f>I191-F191</f>
        <v>1.0486111110367347E-2</v>
      </c>
      <c r="N191" s="7">
        <f>24*60*SUM($M191:$M191)</f>
        <v>15.099999998928979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-27T15:27:52-0600',mode:absolute,to:'2017-10-27T17:57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5.8651</v>
      </c>
      <c r="Z191" s="204">
        <f>RIGHT(H191,LEN(H191)-4)/10000</f>
        <v>1.37E-2</v>
      </c>
      <c r="AA191" s="204">
        <f>ABS(Z191-Y191)</f>
        <v>5.8513999999999999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830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/stypes="app*4003*20171027*" /stext=" 22:.+((SYSTEM_STATE.+slice.+state.+changed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34"/>
        <v>"%USERPROFILE%\Documents\GitHub\eaglep3\Utilities\RefineRTDCRunTimes.py" --tripid 830-27 --locoid 4003 --swversion DE.1.0.9.0 --startMP 300:58651 --initTime 2017-10-27T16:27:52 --startdatetime 2017-10-27T16:42:30 --delay 56 --endMP 204:137 --enddatetime 2017-10-27T16:57:36 --enforcementcount 0 &gt;&gt;%USERPROFILE%\Documents\GitHub\eaglep3-reporting\EC\2017-10-27-refined-times.txt</v>
      </c>
      <c r="AI191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{"issue":{"subject":"","project_id":79,"tracker_id":40,"status_id":1,"priority_id":2,"assigned_to_id":338,"start_date":"2017-10-27","description":"","custom_fields":[{"id":1,"name":"Subdivision","value":"NW"},{"id":4,"name":"Milepost","value":"0.0137"},{"id":17,"name":"Train ID","value":"830-27"},{"id":16,"name":"Locomotive ID","value":"4003"},{"id":130,"name":"Impact","value":""},{"id":150,"name":"Time of Event (Mountain Time)","value":"16:57:36"},{"id":151,"name":"Denver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36"/>
        <v>start /low /b %USERPROFILE%\Documents\GitHub\eaglep3\Utilities\DownloadLogsFromS3.py --loco 4003 --day 2017-10-27</v>
      </c>
      <c r="AN191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22:57:36"},{"id":29,"name":"Sharepoint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38"/>
        <v>https://d0f6bd738d7f1b3e5a7ca70fe4ff75f0.us-east-1.aws.found.io/app/kibana#/discover/Steve-Slow-Train-Analysis-(2080s-and-2083s)?_g=(refreshInterval:(display:Off,pause:!f,section:0,value:0),time:(from:'2017-10-27T15:27:52-0600',mode:absolute,to:'2017-10-27T17:57:36-0600'))&amp;_a=(columns:!('Message%20ID',Summary),filters:!(),index:'emp_*',interval:auto,query:(query_string:(analyze_wildcard:!t,query:'%22rtdc.l.rtdc.4003%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792</v>
      </c>
      <c r="B192" s="7">
        <v>4030</v>
      </c>
      <c r="C192" s="21" t="s">
        <v>194</v>
      </c>
      <c r="D192" s="21" t="s">
        <v>1068</v>
      </c>
      <c r="E192" s="13">
        <v>43035.686840277776</v>
      </c>
      <c r="F192" s="13">
        <v>43035.694097222222</v>
      </c>
      <c r="G192" s="7">
        <v>75</v>
      </c>
      <c r="H192" s="21" t="s">
        <v>1065</v>
      </c>
      <c r="I192" s="13">
        <v>43035.705277777779</v>
      </c>
      <c r="J192" s="7">
        <v>0</v>
      </c>
      <c r="K192" s="89" t="str">
        <f>IF(ISEVEN(B192),(B192-1)&amp;"/"&amp;B192,B192&amp;"/"&amp;(B192+1))</f>
        <v>4029/4030</v>
      </c>
      <c r="L192" s="185" t="str">
        <f>VLOOKUP(A192,'Trips&amp;Operators'!$C$1:$G$99911,5,FALSE)</f>
        <v>SMITH MICHAEL</v>
      </c>
      <c r="M192" s="6">
        <f>I192-F192</f>
        <v>1.1180555557075422E-2</v>
      </c>
      <c r="N192" s="7">
        <f>24*60*SUM($M192:$M192)</f>
        <v>16.100000002188608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-27T15:29:03-0600',mode:absolute,to:'2017-10-27T17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4.3200000000000002E-2</v>
      </c>
      <c r="Z192" s="204">
        <f>RIGHT(H192,LEN(H192)-4)/10000</f>
        <v>5.8925999999999998</v>
      </c>
      <c r="AA192" s="204">
        <f>ABS(Z192-Y192)</f>
        <v>5.8494000000000002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831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 &amp; aws s3 cp s3://rtdc.mdm.uploadarchive.raw/RTDC4030/ "%USERPROFILE%\AppData\Local\Temp\OnboardLogs"\RTDC4030\2017-10-28 --exclude "*" --recursive --include "*20171028*" &amp; "%USERPROFILE%\Documents\GitHub\mrs-test-scripts\Headless Mode &amp; Sideloading\WalkAndUnGZ.bat" "%USERPROFILE%\AppData\Local\Temp\OnboardLogs"\RTDC4030\2017-10-28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/stypes="app*4030*20171027*" /stext=" 22:.+((SYSTEM_STATE.+slice.+state.+changed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34"/>
        <v>"%USERPROFILE%\Documents\GitHub\eaglep3\Utilities\RefineRTDCRunTimes.py" --tripid 831-27 --locoid 4030 --swversion DE.1.0.9.0 --startMP 204:432 --initTime 2017-10-27T16:29:03 --startdatetime 2017-10-27T16:39:30 --delay 75 --endMP 300:58926 --enddatetime 2017-10-27T16:55:36 --enforcementcount 0 &gt;&gt;%USERPROFILE%\Documents\GitHub\eaglep3-reporting\EC\2017-10-27-refined-times.txt</v>
      </c>
      <c r="AI192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{"issue":{"subject":"","project_id":79,"tracker_id":40,"status_id":1,"priority_id":2,"assigned_to_id":338,"start_date":"2017-10-27","description":"","custom_fields":[{"id":1,"name":"Subdivision","value":"NW"},{"id":4,"name":"Milepost","value":"5.8926"},{"id":17,"name":"Train ID","value":"831-27"},{"id":16,"name":"Locomotive ID","value":"4030"},{"id":130,"name":"Impact","value":""},{"id":150,"name":"Time of Event (Mountain Time)","value":"16:55:36"},{"id":151,"name":"Denver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36"/>
        <v>start /low /b %USERPROFILE%\Documents\GitHub\eaglep3\Utilities\DownloadLogsFromS3.py --loco 4030 --day 2017-10-27</v>
      </c>
      <c r="AN192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38"/>
        <v>https://d0f6bd738d7f1b3e5a7ca70fe4ff75f0.us-east-1.aws.found.io/app/kibana#/discover/Steve-Slow-Train-Analysis-(2080s-and-2083s)?_g=(refreshInterval:(display:Off,pause:!f,section:0,value:0),time:(from:'2017-10-27T15:29:03-0600',mode:absolute,to:'2017-10-27T17:55:36-0600'))&amp;_a=(columns:!('Message%20ID',Summary),filters:!(),index:'emp_*',interval:auto,query:(query_string:(analyze_wildcard:!t,query:'%22rtdc.l.rtdc.4030%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798</v>
      </c>
      <c r="B193" s="7">
        <v>4029</v>
      </c>
      <c r="C193" s="21" t="s">
        <v>194</v>
      </c>
      <c r="D193" s="21" t="s">
        <v>612</v>
      </c>
      <c r="E193" s="13">
        <v>43035.70689814815</v>
      </c>
      <c r="F193" s="13">
        <v>43035.717465277776</v>
      </c>
      <c r="G193" s="7">
        <v>68</v>
      </c>
      <c r="H193" s="21" t="s">
        <v>1069</v>
      </c>
      <c r="I193" s="13">
        <v>43035.726678240739</v>
      </c>
      <c r="J193" s="7">
        <v>0</v>
      </c>
      <c r="K193" s="89" t="str">
        <f>IF(ISEVEN(B193),(B193-1)&amp;"/"&amp;B193,B193&amp;"/"&amp;(B193+1))</f>
        <v>4029/4030</v>
      </c>
      <c r="L193" s="185" t="str">
        <f>VLOOKUP(A193,'Trips&amp;Operators'!$C$1:$G$99911,5,FALSE)</f>
        <v>SMITH MICHAEL</v>
      </c>
      <c r="M193" s="6">
        <f>I193-F193</f>
        <v>9.2129629629198462E-3</v>
      </c>
      <c r="N193" s="7">
        <f>24*60*SUM($M193:$M193)</f>
        <v>13.266666666604578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-27T15:57:56-0600',mode:absolute,to:'2017-10-27T18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5.8615000000000004</v>
      </c>
      <c r="Z193" s="204">
        <f>RIGHT(H193,LEN(H193)-4)/10000</f>
        <v>1.3299999999999999E-2</v>
      </c>
      <c r="AA193" s="204">
        <f>ABS(Z193-Y193)</f>
        <v>5.8482000000000003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832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/stypes="app*4029*20171027*"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34"/>
        <v>"%USERPROFILE%\Documents\GitHub\eaglep3\Utilities\RefineRTDCRunTimes.py" --tripid 832-27 --locoid 4029 --swversion DE.1.0.9.0 --startMP 300:58615 --initTime 2017-10-27T16:57:56 --startdatetime 2017-10-27T17:13:09 --delay 68 --endMP 204:133 --enddatetime 2017-10-27T17:26:25 --enforcementcount 0 &gt;&gt;%USERPROFILE%\Documents\GitHub\eaglep3-reporting\EC\2017-10-27-refined-times.txt</v>
      </c>
      <c r="AI193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{"issue":{"subject":"","project_id":79,"tracker_id":40,"status_id":1,"priority_id":2,"assigned_to_id":338,"start_date":"2017-10-27","description":"","custom_fields":[{"id":1,"name":"Subdivision","value":"NW"},{"id":4,"name":"Milepost","value":"0.0133"},{"id":17,"name":"Train ID","value":"832-27"},{"id":16,"name":"Locomotive ID","value":"4029"},{"id":130,"name":"Impact","value":""},{"id":150,"name":"Time of Event (Mountain Time)","value":"17:26:25"},{"id":151,"name":"Denver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36"/>
        <v>start /low /b %USERPROFILE%\Documents\GitHub\eaglep3\Utilities\DownloadLogsFromS3.py --loco 4029 --day 2017-10-27</v>
      </c>
      <c r="AN193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38"/>
        <v>https://d0f6bd738d7f1b3e5a7ca70fe4ff75f0.us-east-1.aws.found.io/app/kibana#/discover/Steve-Slow-Train-Analysis-(2080s-and-2083s)?_g=(refreshInterval:(display:Off,pause:!f,section:0,value:0),time:(from:'2017-10-27T15:57:56-0600',mode:absolute,to:'2017-10-27T18:26:25-0600'))&amp;_a=(columns:!('Message%20ID',Summary),filters:!(),index:'emp_*',interval:auto,query:(query_string:(analyze_wildcard:!t,query:'%22rtdc.l.rtdc.4029%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799</v>
      </c>
      <c r="B194" s="7">
        <v>4004</v>
      </c>
      <c r="C194" s="21" t="s">
        <v>194</v>
      </c>
      <c r="D194" s="21" t="s">
        <v>1070</v>
      </c>
      <c r="E194" s="13">
        <v>43035.709548611114</v>
      </c>
      <c r="F194" s="13">
        <v>43035.715092592596</v>
      </c>
      <c r="G194" s="7">
        <v>62</v>
      </c>
      <c r="H194" s="21" t="s">
        <v>1071</v>
      </c>
      <c r="I194" s="13">
        <v>43035.725624999999</v>
      </c>
      <c r="J194" s="7">
        <v>0</v>
      </c>
      <c r="K194" s="89" t="str">
        <f>IF(ISEVEN(B194),(B194-1)&amp;"/"&amp;B194,B194&amp;"/"&amp;(B194+1))</f>
        <v>4003/4004</v>
      </c>
      <c r="L194" s="185" t="str">
        <f>VLOOKUP(A194,'Trips&amp;Operators'!$C$1:$G$99911,5,FALSE)</f>
        <v>BERLING GARY</v>
      </c>
      <c r="M194" s="6">
        <f>I194-F194</f>
        <v>1.0532407402934041E-2</v>
      </c>
      <c r="N194" s="7">
        <f>24*60*SUM($M194:$M194)</f>
        <v>15.166666660225019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-27T16:01:45-0600',mode:absolute,to:'2017-10-27T18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4.2999999999999997E-2</v>
      </c>
      <c r="Z194" s="204">
        <f>RIGHT(H194,LEN(H194)-4)/10000</f>
        <v>5.8982000000000001</v>
      </c>
      <c r="AA194" s="204">
        <f>ABS(Z194-Y194)</f>
        <v>5.8552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833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/stypes="app*4004*20171027*"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34"/>
        <v>"%USERPROFILE%\Documents\GitHub\eaglep3\Utilities\RefineRTDCRunTimes.py" --tripid 833-27 --locoid 4004 --swversion DE.1.0.9.0 --startMP 204:430 --initTime 2017-10-27T17:01:45 --startdatetime 2017-10-27T17:09:44 --delay 62 --endMP 300:58982 --enddatetime 2017-10-27T17:24:54 --enforcementcount 0 &gt;&gt;%USERPROFILE%\Documents\GitHub\eaglep3-reporting\EC\2017-10-27-refined-times.txt</v>
      </c>
      <c r="AI194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{"issue":{"subject":"","project_id":79,"tracker_id":40,"status_id":1,"priority_id":2,"assigned_to_id":338,"start_date":"2017-10-27","description":"","custom_fields":[{"id":1,"name":"Subdivision","value":"NW"},{"id":4,"name":"Milepost","value":"5.8982"},{"id":17,"name":"Train ID","value":"833-27"},{"id":16,"name":"Locomotive ID","value":"4004"},{"id":130,"name":"Impact","value":""},{"id":150,"name":"Time of Event (Mountain Time)","value":"17:24:54"},{"id":151,"name":"Denver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36"/>
        <v>start /low /b %USERPROFILE%\Documents\GitHub\eaglep3\Utilities\DownloadLogsFromS3.py --loco 4004 --day 2017-10-27</v>
      </c>
      <c r="AN194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38"/>
        <v>https://d0f6bd738d7f1b3e5a7ca70fe4ff75f0.us-east-1.aws.found.io/app/kibana#/discover/Steve-Slow-Train-Analysis-(2080s-and-2083s)?_g=(refreshInterval:(display:Off,pause:!f,section:0,value:0),time:(from:'2017-10-27T16:01:45-0600',mode:absolute,to:'2017-10-27T18:24:54-0600'))&amp;_a=(columns:!('Message%20ID',Summary),filters:!(),index:'emp_*',interval:auto,query:(query_string:(analyze_wildcard:!t,query:'%22rtdc.l.rtdc.4004%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804</v>
      </c>
      <c r="B195" s="7">
        <v>4003</v>
      </c>
      <c r="C195" s="21" t="s">
        <v>194</v>
      </c>
      <c r="D195" s="21" t="s">
        <v>1072</v>
      </c>
      <c r="E195" s="13">
        <v>43035.727488425924</v>
      </c>
      <c r="F195" s="13">
        <v>43035.73809027778</v>
      </c>
      <c r="G195" s="7">
        <v>78</v>
      </c>
      <c r="H195" s="21" t="s">
        <v>1063</v>
      </c>
      <c r="I195" s="13">
        <v>43035.747199074074</v>
      </c>
      <c r="J195" s="7">
        <v>0</v>
      </c>
      <c r="K195" s="89" t="str">
        <f>IF(ISEVEN(B195),(B195-1)&amp;"/"&amp;B195,B195&amp;"/"&amp;(B195+1))</f>
        <v>4003/4004</v>
      </c>
      <c r="L195" s="185" t="str">
        <f>VLOOKUP(A195,'Trips&amp;Operators'!$C$1:$G$99911,5,FALSE)</f>
        <v>BERLING GARY</v>
      </c>
      <c r="M195" s="6">
        <f>I195-F195</f>
        <v>9.1087962937308475E-3</v>
      </c>
      <c r="N195" s="7">
        <f>24*60*SUM($M195:$M195)</f>
        <v>13.11666666297242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-27T16:27:35-0600',mode:absolute,to:'2017-10-27T18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5.8674999999999997</v>
      </c>
      <c r="Z195" s="204">
        <f>RIGHT(H195,LEN(H195)-4)/10000</f>
        <v>1.37E-2</v>
      </c>
      <c r="AA195" s="204">
        <f>ABS(Z195-Y195)</f>
        <v>5.8537999999999997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834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/stypes="app*4003*20171027*" /stext=" 23:.+((SYSTEM_STATE.+slice.+state.+changed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34"/>
        <v>"%USERPROFILE%\Documents\GitHub\eaglep3\Utilities\RefineRTDCRunTimes.py" --tripid 834-27 --locoid 4003 --swversion DE.1.0.9.0 --startMP 300:58675 --initTime 2017-10-27T17:27:35 --startdatetime 2017-10-27T17:42:51 --delay 78 --endMP 204:137 --enddatetime 2017-10-27T17:55:58 --enforcementcount 0 &gt;&gt;%USERPROFILE%\Documents\GitHub\eaglep3-reporting\EC\2017-10-27-refined-times.txt</v>
      </c>
      <c r="AI195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{"issue":{"subject":"","project_id":79,"tracker_id":40,"status_id":1,"priority_id":2,"assigned_to_id":338,"start_date":"2017-10-27","description":"","custom_fields":[{"id":1,"name":"Subdivision","value":"NW"},{"id":4,"name":"Milepost","value":"0.0137"},{"id":17,"name":"Train ID","value":"834-27"},{"id":16,"name":"Locomotive ID","value":"4003"},{"id":130,"name":"Impact","value":""},{"id":150,"name":"Time of Event (Mountain Time)","value":"17:55:58"},{"id":151,"name":"Denver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36"/>
        <v>start /low /b %USERPROFILE%\Documents\GitHub\eaglep3\Utilities\DownloadLogsFromS3.py --loco 4003 --day 2017-10-27</v>
      </c>
      <c r="AN195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38"/>
        <v>https://d0f6bd738d7f1b3e5a7ca70fe4ff75f0.us-east-1.aws.found.io/app/kibana#/discover/Steve-Slow-Train-Analysis-(2080s-and-2083s)?_g=(refreshInterval:(display:Off,pause:!f,section:0,value:0),time:(from:'2017-10-27T16:27:35-0600',mode:absolute,to:'2017-10-27T18:55:58-0600'))&amp;_a=(columns:!('Message%20ID',Summary),filters:!(),index:'emp_*',interval:auto,query:(query_string:(analyze_wildcard:!t,query:'%22rtdc.l.rtdc.4003%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805</v>
      </c>
      <c r="B196" s="7">
        <v>4030</v>
      </c>
      <c r="C196" s="21" t="s">
        <v>194</v>
      </c>
      <c r="D196" s="21" t="s">
        <v>1073</v>
      </c>
      <c r="E196" s="13">
        <v>43035.729155092595</v>
      </c>
      <c r="F196" s="13">
        <v>43035.735648148147</v>
      </c>
      <c r="G196" s="7">
        <v>78</v>
      </c>
      <c r="H196" s="21" t="s">
        <v>1065</v>
      </c>
      <c r="I196" s="13">
        <v>43035.746446759258</v>
      </c>
      <c r="J196" s="7">
        <v>0</v>
      </c>
      <c r="K196" s="89" t="str">
        <f>IF(ISEVEN(B196),(B196-1)&amp;"/"&amp;B196,B196&amp;"/"&amp;(B196+1))</f>
        <v>4029/4030</v>
      </c>
      <c r="L196" s="185" t="str">
        <f>VLOOKUP(A196,'Trips&amp;Operators'!$C$1:$G$99911,5,FALSE)</f>
        <v>SMITH MICHAEL</v>
      </c>
      <c r="M196" s="6">
        <f>I196-F196</f>
        <v>1.0798611110658385E-2</v>
      </c>
      <c r="N196" s="7">
        <f>24*60*SUM($M196:$M196)</f>
        <v>15.549999999348074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-27T16:29:59-0600',mode:absolute,to:'2017-10-27T18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4.41E-2</v>
      </c>
      <c r="Z196" s="204">
        <f>RIGHT(H196,LEN(H196)-4)/10000</f>
        <v>5.8925999999999998</v>
      </c>
      <c r="AA196" s="204">
        <f>ABS(Z196-Y196)</f>
        <v>5.8484999999999996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835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 &amp; aws s3 cp s3://rtdc.mdm.uploadarchive.raw/RTDC4030/ "%USERPROFILE%\AppData\Local\Temp\OnboardLogs"\RTDC4030\2017-10-28 --exclude "*" --recursive --include "*20171028*" &amp; "%USERPROFILE%\Documents\GitHub\mrs-test-scripts\Headless Mode &amp; Sideloading\WalkAndUnGZ.bat" "%USERPROFILE%\AppData\Local\Temp\OnboardLogs"\RTDC4030\2017-10-28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/stypes="app*4030*20171027*" /stext=" 23:.+((SYSTEM_STATE.+slice.+state.+changed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34"/>
        <v>"%USERPROFILE%\Documents\GitHub\eaglep3\Utilities\RefineRTDCRunTimes.py" --tripid 835-27 --locoid 4030 --swversion DE.1.0.9.0 --startMP 204:441 --initTime 2017-10-27T17:29:59 --startdatetime 2017-10-27T17:39:20 --delay 78 --endMP 300:58926 --enddatetime 2017-10-27T17:54:53 --enforcementcount 0 &gt;&gt;%USERPROFILE%\Documents\GitHub\eaglep3-reporting\EC\2017-10-27-refined-times.txt</v>
      </c>
      <c r="AI196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{"issue":{"subject":"","project_id":79,"tracker_id":40,"status_id":1,"priority_id":2,"assigned_to_id":338,"start_date":"2017-10-27","description":"","custom_fields":[{"id":1,"name":"Subdivision","value":"NW"},{"id":4,"name":"Milepost","value":"5.8926"},{"id":17,"name":"Train ID","value":"835-27"},{"id":16,"name":"Locomotive ID","value":"4030"},{"id":130,"name":"Impact","value":""},{"id":150,"name":"Time of Event (Mountain Time)","value":"17:54:53"},{"id":151,"name":"Denver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36"/>
        <v>start /low /b %USERPROFILE%\Documents\GitHub\eaglep3\Utilities\DownloadLogsFromS3.py --loco 4030 --day 2017-10-27</v>
      </c>
      <c r="AN196" s="151" t="str">
        <f t="shared" si="37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38"/>
        <v>https://d0f6bd738d7f1b3e5a7ca70fe4ff75f0.us-east-1.aws.found.io/app/kibana#/discover/Steve-Slow-Train-Analysis-(2080s-and-2083s)?_g=(refreshInterval:(display:Off,pause:!f,section:0,value:0),time:(from:'2017-10-27T16:29:59-0600',mode:absolute,to:'2017-10-27T18:54:53-0600'))&amp;_a=(columns:!('Message%20ID',Summary),filters:!(),index:'emp_*',interval:auto,query:(query_string:(analyze_wildcard:!t,query:'%22rtdc.l.rtdc.4030%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636</v>
      </c>
      <c r="B197" s="7">
        <v>4029</v>
      </c>
      <c r="C197" s="21" t="s">
        <v>194</v>
      </c>
      <c r="D197" s="21" t="s">
        <v>612</v>
      </c>
      <c r="E197" s="13">
        <v>43035.748425925929</v>
      </c>
      <c r="F197" s="13">
        <v>43035.759131944447</v>
      </c>
      <c r="G197" s="7">
        <v>62</v>
      </c>
      <c r="H197" s="21" t="s">
        <v>1074</v>
      </c>
      <c r="I197" s="13">
        <v>43035.766516203701</v>
      </c>
      <c r="J197" s="7">
        <v>0</v>
      </c>
      <c r="K197" s="89" t="str">
        <f>IF(ISEVEN(B197),(B197-1)&amp;"/"&amp;B197,B197&amp;"/"&amp;(B197+1))</f>
        <v>4029/4030</v>
      </c>
      <c r="L197" s="185" t="str">
        <f>VLOOKUP(A197,'Trips&amp;Operators'!$C$1:$G$99911,5,FALSE)</f>
        <v>SMITH MICHAEL</v>
      </c>
      <c r="M197" s="6">
        <f>I197-F197</f>
        <v>7.3842592537403107E-3</v>
      </c>
      <c r="N197" s="7">
        <f>24*60*SUM($M197:$M197)</f>
        <v>10.633333325386047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-27T16:57:44-0600',mode:absolute,to:'2017-10-27T19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7" s="204" t="str">
        <f>IF(AA197&lt;VLOOKUP(AG197,Variables!$AC$3:$AD$8,2,FALSE),"Y","N")</f>
        <v>Y</v>
      </c>
      <c r="X197" s="204">
        <f>VALUE(LEFT(AD197,4))-VALUE(LEFT(AD196,4))</f>
        <v>1</v>
      </c>
      <c r="Y197" s="204">
        <f>RIGHT(D197,LEN(D197)-4)/10000</f>
        <v>5.8615000000000004</v>
      </c>
      <c r="Z197" s="204">
        <f>RIGHT(H197,LEN(H197)-4)/10000</f>
        <v>0.46450000000000002</v>
      </c>
      <c r="AA197" s="204">
        <f>ABS(Z197-Y197)</f>
        <v>5.3970000000000002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836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/stypes="app*4029*20171028*"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34"/>
        <v>"%USERPROFILE%\Documents\GitHub\eaglep3\Utilities\RefineRTDCRunTimes.py" --tripid 836-27 --locoid 4029 --swversion DE.1.0.9.0 --startMP 300:58615 --initTime 2017-10-27T17:57:44 --startdatetime 2017-10-27T18:13:09 --delay 62 --endMP 204:4645 --enddatetime 2017-10-27T18:23:47 --enforcementcount 0 &gt;&gt;%USERPROFILE%\Documents\GitHub\eaglep3-reporting\EC\2017-10-27-refined-times.txt</v>
      </c>
      <c r="AI197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{"issue":{"subject":"","project_id":79,"tracker_id":40,"status_id":1,"priority_id":2,"assigned_to_id":338,"start_date":"2017-10-27","description":"","custom_fields":[{"id":1,"name":"Subdivision","value":"NW"},{"id":4,"name":"Milepost","value":"0.4645"},{"id":17,"name":"Train ID","value":"836-27"},{"id":16,"name":"Locomotive ID","value":"4029"},{"id":130,"name":"Impact","value":""},{"id":150,"name":"Time of Event (Mountain Time)","value":"18:23:47"},{"id":151,"name":"Denver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36"/>
        <v>start /low /b %USERPROFILE%\Documents\GitHub\eaglep3\Utilities\DownloadLogsFromS3.py --loco 4029 --day 2017-10-27</v>
      </c>
      <c r="AN197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38"/>
        <v>https://d0f6bd738d7f1b3e5a7ca70fe4ff75f0.us-east-1.aws.found.io/app/kibana#/discover/Steve-Slow-Train-Analysis-(2080s-and-2083s)?_g=(refreshInterval:(display:Off,pause:!f,section:0,value:0),time:(from:'2017-10-27T16:57:44-0600',mode:absolute,to:'2017-10-27T19:23:47-0600'))&amp;_a=(columns:!('Message%20ID',Summary),filters:!(),index:'emp_*',interval:auto,query:(query_string:(analyze_wildcard:!t,query:'%22rtdc.l.rtdc.4029%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638</v>
      </c>
      <c r="B198" s="7">
        <v>4004</v>
      </c>
      <c r="C198" s="21" t="s">
        <v>194</v>
      </c>
      <c r="D198" s="21" t="s">
        <v>1075</v>
      </c>
      <c r="E198" s="13">
        <v>43035.751076388886</v>
      </c>
      <c r="F198" s="13">
        <v>43035.756412037037</v>
      </c>
      <c r="G198" s="7">
        <v>78</v>
      </c>
      <c r="H198" s="21" t="s">
        <v>1050</v>
      </c>
      <c r="I198" s="13">
        <v>43035.76703703704</v>
      </c>
      <c r="J198" s="7">
        <v>0</v>
      </c>
      <c r="K198" s="89" t="str">
        <f>IF(ISEVEN(B198),(B198-1)&amp;"/"&amp;B198,B198&amp;"/"&amp;(B198+1))</f>
        <v>4003/4004</v>
      </c>
      <c r="L198" s="185" t="str">
        <f>VLOOKUP(A198,'Trips&amp;Operators'!$C$1:$G$99911,5,FALSE)</f>
        <v>BERLING GARY</v>
      </c>
      <c r="M198" s="6">
        <f>I198-F198</f>
        <v>1.0625000002619345E-2</v>
      </c>
      <c r="N198" s="7">
        <f>24*60*SUM($M198:$M198)</f>
        <v>15.300000003771856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-27T17:01:33-0600',mode:absolute,to:'2017-10-27T19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4.3700000000000003E-2</v>
      </c>
      <c r="Z198" s="204">
        <f>RIGHT(H198,LEN(H198)-4)/10000</f>
        <v>5.8964999999999996</v>
      </c>
      <c r="AA198" s="204">
        <f>ABS(Z198-Y198)</f>
        <v>5.8527999999999993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837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/stypes="app*4004*20171028*"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34"/>
        <v>"%USERPROFILE%\Documents\GitHub\eaglep3\Utilities\RefineRTDCRunTimes.py" --tripid 837-27 --locoid 4004 --swversion DE.1.0.9.0 --startMP 204:437 --initTime 2017-10-27T18:01:33 --startdatetime 2017-10-27T18:09:14 --delay 78 --endMP 300:58965 --enddatetime 2017-10-27T18:24:32 --enforcementcount 0 &gt;&gt;%USERPROFILE%\Documents\GitHub\eaglep3-reporting\EC\2017-10-27-refined-times.txt</v>
      </c>
      <c r="AI198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{"issue":{"subject":"","project_id":79,"tracker_id":40,"status_id":1,"priority_id":2,"assigned_to_id":338,"start_date":"2017-10-27","description":"","custom_fields":[{"id":1,"name":"Subdivision","value":"NW"},{"id":4,"name":"Milepost","value":"5.8965"},{"id":17,"name":"Train ID","value":"837-27"},{"id":16,"name":"Locomotive ID","value":"4004"},{"id":130,"name":"Impact","value":""},{"id":150,"name":"Time of Event (Mountain Time)","value":"18:24:32"},{"id":151,"name":"Denver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36"/>
        <v>start /low /b %USERPROFILE%\Documents\GitHub\eaglep3\Utilities\DownloadLogsFromS3.py --loco 4004 --day 2017-10-27</v>
      </c>
      <c r="AN198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38"/>
        <v>https://d0f6bd738d7f1b3e5a7ca70fe4ff75f0.us-east-1.aws.found.io/app/kibana#/discover/Steve-Slow-Train-Analysis-(2080s-and-2083s)?_g=(refreshInterval:(display:Off,pause:!f,section:0,value:0),time:(from:'2017-10-27T17:01:33-0600',mode:absolute,to:'2017-10-27T19:24:32-0600'))&amp;_a=(columns:!('Message%20ID',Summary),filters:!(),index:'emp_*',interval:auto,query:(query_string:(analyze_wildcard:!t,query:'%22rtdc.l.rtdc.4004%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818</v>
      </c>
      <c r="B199" s="7">
        <v>4003</v>
      </c>
      <c r="C199" s="21" t="s">
        <v>194</v>
      </c>
      <c r="D199" s="21" t="s">
        <v>1076</v>
      </c>
      <c r="E199" s="13">
        <v>43035.768923611111</v>
      </c>
      <c r="F199" s="13">
        <v>43035.779699074075</v>
      </c>
      <c r="G199" s="7">
        <v>80</v>
      </c>
      <c r="H199" s="21" t="s">
        <v>1077</v>
      </c>
      <c r="I199" s="13">
        <v>43035.788854166669</v>
      </c>
      <c r="J199" s="7">
        <v>0</v>
      </c>
      <c r="K199" s="89" t="str">
        <f>IF(ISEVEN(B199),(B199-1)&amp;"/"&amp;B199,B199&amp;"/"&amp;(B199+1))</f>
        <v>4003/4004</v>
      </c>
      <c r="L199" s="185" t="str">
        <f>VLOOKUP(A199,'Trips&amp;Operators'!$C$1:$G$99911,5,FALSE)</f>
        <v>BERLING GARY</v>
      </c>
      <c r="M199" s="6">
        <f>I199-F199</f>
        <v>9.1550925935734995E-3</v>
      </c>
      <c r="N199" s="7">
        <f>24*60*SUM($M199:$M199)</f>
        <v>13.183333334745839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-27T17:27:15-0600',mode:absolute,to:'2017-10-27T19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5.8648999999999996</v>
      </c>
      <c r="Z199" s="204">
        <f>RIGHT(H199,LEN(H199)-4)/10000</f>
        <v>1.4200000000000001E-2</v>
      </c>
      <c r="AA199" s="204">
        <f>ABS(Z199-Y199)</f>
        <v>5.8506999999999998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838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/stypes="app*4003*20171028*" /stext=" 00:.+((SYSTEM_STATE.+slice.+state.+changed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34"/>
        <v>"%USERPROFILE%\Documents\GitHub\eaglep3\Utilities\RefineRTDCRunTimes.py" --tripid 838-27 --locoid 4003 --swversion DE.1.0.9.0 --startMP 300:58649 --initTime 2017-10-27T18:27:15 --startdatetime 2017-10-27T18:42:46 --delay 80 --endMP 204:142 --enddatetime 2017-10-27T18:55:57 --enforcementcount 0 &gt;&gt;%USERPROFILE%\Documents\GitHub\eaglep3-reporting\EC\2017-10-27-refined-times.txt</v>
      </c>
      <c r="AI199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{"issue":{"subject":"","project_id":79,"tracker_id":40,"status_id":1,"priority_id":2,"assigned_to_id":338,"start_date":"2017-10-27","description":"","custom_fields":[{"id":1,"name":"Subdivision","value":"NW"},{"id":4,"name":"Milepost","value":"0.0142"},{"id":17,"name":"Train ID","value":"838-27"},{"id":16,"name":"Locomotive ID","value":"4003"},{"id":130,"name":"Impact","value":""},{"id":150,"name":"Time of Event (Mountain Time)","value":"18:55:57"},{"id":151,"name":"Denver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36"/>
        <v>start /low /b %USERPROFILE%\Documents\GitHub\eaglep3\Utilities\DownloadLogsFromS3.py --loco 4003 --day 2017-10-27</v>
      </c>
      <c r="AN199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38"/>
        <v>https://d0f6bd738d7f1b3e5a7ca70fe4ff75f0.us-east-1.aws.found.io/app/kibana#/discover/Steve-Slow-Train-Analysis-(2080s-and-2083s)?_g=(refreshInterval:(display:Off,pause:!f,section:0,value:0),time:(from:'2017-10-27T17:27:15-0600',mode:absolute,to:'2017-10-27T19:55:57-0600'))&amp;_a=(columns:!('Message%20ID',Summary),filters:!(),index:'emp_*',interval:auto,query:(query_string:(analyze_wildcard:!t,query:'%22rtdc.l.rtdc.4003%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820</v>
      </c>
      <c r="B200" s="7">
        <v>4030</v>
      </c>
      <c r="C200" s="21" t="s">
        <v>194</v>
      </c>
      <c r="D200" s="21" t="s">
        <v>1078</v>
      </c>
      <c r="E200" s="13">
        <v>43035.773969907408</v>
      </c>
      <c r="F200" s="13">
        <v>43035.777314814812</v>
      </c>
      <c r="G200" s="7">
        <v>71</v>
      </c>
      <c r="H200" s="21" t="s">
        <v>488</v>
      </c>
      <c r="I200" s="13">
        <v>43035.787835648145</v>
      </c>
      <c r="J200" s="7">
        <v>0</v>
      </c>
      <c r="K200" s="89" t="str">
        <f>IF(ISEVEN(B200),(B200-1)&amp;"/"&amp;B200,B200&amp;"/"&amp;(B200+1))</f>
        <v>4029/4030</v>
      </c>
      <c r="L200" s="185" t="str">
        <f>VLOOKUP(A200,'Trips&amp;Operators'!$C$1:$G$99911,5,FALSE)</f>
        <v>SMITH MICHAEL</v>
      </c>
      <c r="M200" s="6">
        <f>I200-F200</f>
        <v>1.0520833333430346E-2</v>
      </c>
      <c r="N200" s="7">
        <f>24*60*SUM($M200:$M200)</f>
        <v>15.150000000139698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-27T17:34:31-0600',mode:absolute,to:'2017-10-27T19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4.48E-2</v>
      </c>
      <c r="Z200" s="204">
        <f>RIGHT(H200,LEN(H200)-4)/10000</f>
        <v>5.8948</v>
      </c>
      <c r="AA200" s="204">
        <f>ABS(Z200-Y200)</f>
        <v>5.85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839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 &amp; aws s3 cp s3://rtdc.mdm.uploadarchive.raw/RTDC4030/ "%USERPROFILE%\AppData\Local\Temp\OnboardLogs"\RTDC4030\2017-10-28 --exclude "*" --recursive --include "*20171028*" &amp; "%USERPROFILE%\Documents\GitHub\mrs-test-scripts\Headless Mode &amp; Sideloading\WalkAndUnGZ.bat" "%USERPROFILE%\AppData\Local\Temp\OnboardLogs"\RTDC4030\2017-10-28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/stypes="app*4030*20171028*" /stext=" 00:.+((SYSTEM_STATE.+slice.+state.+changed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34"/>
        <v>"%USERPROFILE%\Documents\GitHub\eaglep3\Utilities\RefineRTDCRunTimes.py" --tripid 839-27 --locoid 4030 --swversion DE.1.0.9.0 --startMP 204:448 --initTime 2017-10-27T18:34:31 --startdatetime 2017-10-27T18:39:20 --delay 71 --endMP 300:58948 --enddatetime 2017-10-27T18:54:29 --enforcementcount 0 &gt;&gt;%USERPROFILE%\Documents\GitHub\eaglep3-reporting\EC\2017-10-27-refined-times.txt</v>
      </c>
      <c r="AI200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{"issue":{"subject":"","project_id":79,"tracker_id":40,"status_id":1,"priority_id":2,"assigned_to_id":338,"start_date":"2017-10-27","description":"","custom_fields":[{"id":1,"name":"Subdivision","value":"NW"},{"id":4,"name":"Milepost","value":"5.8948"},{"id":17,"name":"Train ID","value":"839-27"},{"id":16,"name":"Locomotive ID","value":"4030"},{"id":130,"name":"Impact","value":""},{"id":150,"name":"Time of Event (Mountain Time)","value":"18:54:29"},{"id":151,"name":"Denver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36"/>
        <v>start /low /b %USERPROFILE%\Documents\GitHub\eaglep3\Utilities\DownloadLogsFromS3.py --loco 4030 --day 2017-10-27</v>
      </c>
      <c r="AN200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38"/>
        <v>https://d0f6bd738d7f1b3e5a7ca70fe4ff75f0.us-east-1.aws.found.io/app/kibana#/discover/Steve-Slow-Train-Analysis-(2080s-and-2083s)?_g=(refreshInterval:(display:Off,pause:!f,section:0,value:0),time:(from:'2017-10-27T17:34:31-0600',mode:absolute,to:'2017-10-27T19:54:29-0600'))&amp;_a=(columns:!('Message%20ID',Summary),filters:!(),index:'emp_*',interval:auto,query:(query_string:(analyze_wildcard:!t,query:'%22rtdc.l.rtdc.4030%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833</v>
      </c>
      <c r="B201" s="7">
        <v>4003</v>
      </c>
      <c r="C201" s="21" t="s">
        <v>194</v>
      </c>
      <c r="D201" s="21" t="s">
        <v>1079</v>
      </c>
      <c r="E201" s="13">
        <v>43035.812152777777</v>
      </c>
      <c r="F201" s="13">
        <v>43035.821562500001</v>
      </c>
      <c r="G201" s="7">
        <v>92</v>
      </c>
      <c r="H201" s="21" t="s">
        <v>1080</v>
      </c>
      <c r="I201" s="13">
        <v>43035.830358796295</v>
      </c>
      <c r="J201" s="7">
        <v>0</v>
      </c>
      <c r="K201" s="89" t="str">
        <f>IF(ISEVEN(B201),(B201-1)&amp;"/"&amp;B201,B201&amp;"/"&amp;(B201+1))</f>
        <v>4003/4004</v>
      </c>
      <c r="L201" s="185" t="str">
        <f>VLOOKUP(A201,'Trips&amp;Operators'!$C$1:$G$99911,5,FALSE)</f>
        <v>BERLING GARY</v>
      </c>
      <c r="M201" s="6">
        <f>I201-F201</f>
        <v>8.7962962934398092E-3</v>
      </c>
      <c r="N201" s="7">
        <f>24*60*SUM($M201:$M201)</f>
        <v>12.666666662553325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-27T18:29:30-0600',mode:absolute,to:'2017-10-27T20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5.8655999999999997</v>
      </c>
      <c r="Z201" s="204">
        <f>RIGHT(H201,LEN(H201)-4)/10000</f>
        <v>1.29E-2</v>
      </c>
      <c r="AA201" s="204">
        <f>ABS(Z201-Y201)</f>
        <v>5.8526999999999996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840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/stypes="app*4003*20171028*" /stext=" 01:.+((SYSTEM_STATE.+slice.+state.+changed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34"/>
        <v>"%USERPROFILE%\Documents\GitHub\eaglep3\Utilities\RefineRTDCRunTimes.py" --tripid 840-27 --locoid 4003 --swversion DE.1.0.9.0 --startMP 300:58656 --initTime 2017-10-27T19:29:30 --startdatetime 2017-10-27T19:43:03 --delay 92 --endMP 204:129 --enddatetime 2017-10-27T19:55:43 --enforcementcount 0 &gt;&gt;%USERPROFILE%\Documents\GitHub\eaglep3-reporting\EC\2017-10-27-refined-times.txt</v>
      </c>
      <c r="AI201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{"issue":{"subject":"","project_id":79,"tracker_id":40,"status_id":1,"priority_id":2,"assigned_to_id":338,"start_date":"2017-10-27","description":"","custom_fields":[{"id":1,"name":"Subdivision","value":"NW"},{"id":4,"name":"Milepost","value":"0.0129"},{"id":17,"name":"Train ID","value":"840-27"},{"id":16,"name":"Locomotive ID","value":"4003"},{"id":130,"name":"Impact","value":""},{"id":150,"name":"Time of Event (Mountain Time)","value":"19:55:43"},{"id":151,"name":"Denver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36"/>
        <v>start /low /b %USERPROFILE%\Documents\GitHub\eaglep3\Utilities\DownloadLogsFromS3.py --loco 4003 --day 2017-10-27</v>
      </c>
      <c r="AN201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38"/>
        <v>https://d0f6bd738d7f1b3e5a7ca70fe4ff75f0.us-east-1.aws.found.io/app/kibana#/discover/Steve-Slow-Train-Analysis-(2080s-and-2083s)?_g=(refreshInterval:(display:Off,pause:!f,section:0,value:0),time:(from:'2017-10-27T18:29:30-0600',mode:absolute,to:'2017-10-27T20:55:43-0600'))&amp;_a=(columns:!('Message%20ID',Summary),filters:!(),index:'emp_*',interval:auto,query:(query_string:(analyze_wildcard:!t,query:'%22rtdc.l.rtdc.4003%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826</v>
      </c>
      <c r="B202" s="7">
        <v>4004</v>
      </c>
      <c r="C202" s="21" t="s">
        <v>194</v>
      </c>
      <c r="D202" s="21" t="s">
        <v>1081</v>
      </c>
      <c r="E202" s="13">
        <v>43035.793506944443</v>
      </c>
      <c r="F202" s="13">
        <v>43035.798078703701</v>
      </c>
      <c r="G202" s="7">
        <v>79</v>
      </c>
      <c r="H202" s="21" t="s">
        <v>1034</v>
      </c>
      <c r="I202" s="13">
        <v>43035.808854166666</v>
      </c>
      <c r="J202" s="7">
        <v>0</v>
      </c>
      <c r="K202" s="89" t="str">
        <f>IF(ISEVEN(B202),(B202-1)&amp;"/"&amp;B202,B202&amp;"/"&amp;(B202+1))</f>
        <v>4003/4004</v>
      </c>
      <c r="L202" s="185" t="str">
        <f>VLOOKUP(A202,'Trips&amp;Operators'!$C$1:$G$99911,5,FALSE)</f>
        <v>BERLING GARY</v>
      </c>
      <c r="M202" s="6">
        <f>I202-F202</f>
        <v>1.0775462964375038E-2</v>
      </c>
      <c r="N202" s="7">
        <f>24*60*SUM($M202:$M202)</f>
        <v>15.516666668700054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-27T18:02:39-0600',mode:absolute,to:'2017-10-27T20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4.4999999999999998E-2</v>
      </c>
      <c r="Z202" s="204">
        <f>RIGHT(H202,LEN(H202)-4)/10000</f>
        <v>5.8963000000000001</v>
      </c>
      <c r="AA202" s="204">
        <f>ABS(Z202-Y202)</f>
        <v>5.8513000000000002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841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/stypes="app*4004*20171028*" /stext=" 01:.+((SYSTEM_STATE.+slice.+state.+changed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34"/>
        <v>"%USERPROFILE%\Documents\GitHub\eaglep3\Utilities\RefineRTDCRunTimes.py" --tripid 841-27 --locoid 4004 --swversion DE.1.0.9.0 --startMP 204:450 --initTime 2017-10-27T19:02:39 --startdatetime 2017-10-27T19:09:14 --delay 79 --endMP 300:58963 --enddatetime 2017-10-27T19:24:45 --enforcementcount 0 &gt;&gt;%USERPROFILE%\Documents\GitHub\eaglep3-reporting\EC\2017-10-27-refined-times.txt</v>
      </c>
      <c r="AI202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{"issue":{"subject":"","project_id":79,"tracker_id":40,"status_id":1,"priority_id":2,"assigned_to_id":338,"start_date":"2017-10-27","description":"","custom_fields":[{"id":1,"name":"Subdivision","value":"NW"},{"id":4,"name":"Milepost","value":"5.8963"},{"id":17,"name":"Train ID","value":"841-27"},{"id":16,"name":"Locomotive ID","value":"4004"},{"id":130,"name":"Impact","value":""},{"id":150,"name":"Time of Event (Mountain Time)","value":"19:24:45"},{"id":151,"name":"Denver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36"/>
        <v>start /low /b %USERPROFILE%\Documents\GitHub\eaglep3\Utilities\DownloadLogsFromS3.py --loco 4004 --day 2017-10-27</v>
      </c>
      <c r="AN202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38"/>
        <v>https://d0f6bd738d7f1b3e5a7ca70fe4ff75f0.us-east-1.aws.found.io/app/kibana#/discover/Steve-Slow-Train-Analysis-(2080s-and-2083s)?_g=(refreshInterval:(display:Off,pause:!f,section:0,value:0),time:(from:'2017-10-27T18:02:39-0600',mode:absolute,to:'2017-10-27T20:24:45-0600'))&amp;_a=(columns:!('Message%20ID',Summary),filters:!(),index:'emp_*',interval:auto,query:(query_string:(analyze_wildcard:!t,query:'%22rtdc.l.rtdc.4004%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841</v>
      </c>
      <c r="B203" s="7">
        <v>4003</v>
      </c>
      <c r="C203" s="21" t="s">
        <v>194</v>
      </c>
      <c r="D203" s="21" t="s">
        <v>539</v>
      </c>
      <c r="E203" s="13">
        <v>43035.85297453704</v>
      </c>
      <c r="F203" s="13">
        <v>43035.863229166665</v>
      </c>
      <c r="G203" s="7">
        <v>55</v>
      </c>
      <c r="H203" s="21" t="s">
        <v>1082</v>
      </c>
      <c r="I203" s="13">
        <v>43035.87127314815</v>
      </c>
      <c r="J203" s="7">
        <v>0</v>
      </c>
      <c r="K203" s="89" t="str">
        <f>IF(ISEVEN(B203),(B203-1)&amp;"/"&amp;B203,B203&amp;"/"&amp;(B203+1))</f>
        <v>4003/4004</v>
      </c>
      <c r="L203" s="185" t="str">
        <f>VLOOKUP(A203,'Trips&amp;Operators'!$C$1:$G$99911,5,FALSE)</f>
        <v>BERLING GARY</v>
      </c>
      <c r="M203" s="6">
        <f>I203-F203</f>
        <v>8.0439814846613444E-3</v>
      </c>
      <c r="N203" s="7">
        <f>24*60*SUM($M203:$M203)</f>
        <v>11.583333337912336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-27T19:28:17-0600',mode:absolute,to:'2017-10-27T21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5.8638000000000003</v>
      </c>
      <c r="Z203" s="204">
        <f>RIGHT(H203,LEN(H203)-4)/10000</f>
        <v>1.44E-2</v>
      </c>
      <c r="AA203" s="204">
        <f>ABS(Z203-Y203)</f>
        <v>5.8494000000000002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842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/stypes="app*4003*20171028*" /stext=" 02:.+((SYSTEM_STATE.+slice.+state.+changed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34"/>
        <v>"%USERPROFILE%\Documents\GitHub\eaglep3\Utilities\RefineRTDCRunTimes.py" --tripid 842-27 --locoid 4003 --swversion DE.1.0.9.0 --startMP 300:58638 --initTime 2017-10-27T20:28:17 --startdatetime 2017-10-27T20:43:03 --delay 55 --endMP 204:144 --enddatetime 2017-10-27T20:54:38 --enforcementcount 0 &gt;&gt;%USERPROFILE%\Documents\GitHub\eaglep3-reporting\EC\2017-10-27-refined-times.txt</v>
      </c>
      <c r="AI203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{"issue":{"subject":"","project_id":79,"tracker_id":40,"status_id":1,"priority_id":2,"assigned_to_id":338,"start_date":"2017-10-27","description":"","custom_fields":[{"id":1,"name":"Subdivision","value":"NW"},{"id":4,"name":"Milepost","value":"0.0144"},{"id":17,"name":"Train ID","value":"842-27"},{"id":16,"name":"Locomotive ID","value":"4003"},{"id":130,"name":"Impact","value":""},{"id":150,"name":"Time of Event (Mountain Time)","value":"20:54:38"},{"id":151,"name":"Denver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36"/>
        <v>start /low /b %USERPROFILE%\Documents\GitHub\eaglep3\Utilities\DownloadLogsFromS3.py --loco 4003 --day 2017-10-27</v>
      </c>
      <c r="AN203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38"/>
        <v>https://d0f6bd738d7f1b3e5a7ca70fe4ff75f0.us-east-1.aws.found.io/app/kibana#/discover/Steve-Slow-Train-Analysis-(2080s-and-2083s)?_g=(refreshInterval:(display:Off,pause:!f,section:0,value:0),time:(from:'2017-10-27T19:28:17-0600',mode:absolute,to:'2017-10-27T21:54:38-0600'))&amp;_a=(columns:!('Message%20ID',Summary),filters:!(),index:'emp_*',interval:auto,query:(query_string:(analyze_wildcard:!t,query:'%22rtdc.l.rtdc.4003%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839</v>
      </c>
      <c r="B204" s="7">
        <v>4004</v>
      </c>
      <c r="C204" s="21" t="s">
        <v>194</v>
      </c>
      <c r="D204" s="21" t="s">
        <v>379</v>
      </c>
      <c r="E204" s="13">
        <v>43035.839953703704</v>
      </c>
      <c r="F204" s="13">
        <v>43035.841226851851</v>
      </c>
      <c r="G204" s="7">
        <v>59</v>
      </c>
      <c r="H204" s="21" t="s">
        <v>614</v>
      </c>
      <c r="I204" s="13">
        <v>43035.851886574077</v>
      </c>
      <c r="J204" s="7">
        <v>0</v>
      </c>
      <c r="K204" s="89" t="str">
        <f>IF(ISEVEN(B204),(B204-1)&amp;"/"&amp;B204,B204&amp;"/"&amp;(B204+1))</f>
        <v>4003/4004</v>
      </c>
      <c r="L204" s="185" t="str">
        <f>VLOOKUP(A204,'Trips&amp;Operators'!$C$1:$G$99911,5,FALSE)</f>
        <v>BERLING GARY</v>
      </c>
      <c r="M204" s="6">
        <f>I204-F204</f>
        <v>1.0659722225682344E-2</v>
      </c>
      <c r="N204" s="7">
        <f>24*60*SUM($M204:$M204)</f>
        <v>15.350000004982576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-27T19:09:32-0600',mode:absolute,to:'2017-10-27T21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4.4200000000000003E-2</v>
      </c>
      <c r="Z204" s="204">
        <f>RIGHT(H204,LEN(H204)-4)/10000</f>
        <v>5.8949999999999996</v>
      </c>
      <c r="AA204" s="204">
        <f>ABS(Z204-Y204)</f>
        <v>5.8507999999999996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843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/stypes="app*4004*20171028*" /stext=" 02:.+((SYSTEM_STATE.+slice.+state.+changed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34"/>
        <v>"%USERPROFILE%\Documents\GitHub\eaglep3\Utilities\RefineRTDCRunTimes.py" --tripid 843-27 --locoid 4004 --swversion DE.1.0.9.0 --startMP 204:442 --initTime 2017-10-27T20:09:32 --startdatetime 2017-10-27T20:11:22 --delay 59 --endMP 300:58950 --enddatetime 2017-10-27T20:26:43 --enforcementcount 0 &gt;&gt;%USERPROFILE%\Documents\GitHub\eaglep3-reporting\EC\2017-10-27-refined-times.txt</v>
      </c>
      <c r="AI204" s="96" t="str">
        <f t="shared" si="35"/>
        <v>echo {"issue":{"subject":"","project_id":79,"tracker_id":40,"status_id":1,"priority_id":2,"assigned_to_id":338,"start_date":"2017-10-27","description":"","custom_fields":[{"id":1,"name":"Subdivision","value":"NW"},{"id":4,"name":"Milepost","value":"5.895"},{"id":17,"name":"Train ID","value":"843-27"},{"id":16,"name":"Locomotive ID","value":"4004"},{"id":130,"name":"Impact","value":""},{"id":150,"name":"Time of Event (Mountain Time)","value":"20:26:43"},{"id":151,"name":"Denver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36"/>
        <v>start /low /b %USERPROFILE%\Documents\GitHub\eaglep3\Utilities\DownloadLogsFromS3.py --loco 4004 --day 2017-10-27</v>
      </c>
      <c r="AN204" s="151" t="str">
        <f t="shared" si="37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02:26:43"},{"id":29,"name":"Sharepoint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38"/>
        <v>https://d0f6bd738d7f1b3e5a7ca70fe4ff75f0.us-east-1.aws.found.io/app/kibana#/discover/Steve-Slow-Train-Analysis-(2080s-and-2083s)?_g=(refreshInterval:(display:Off,pause:!f,section:0,value:0),time:(from:'2017-10-27T19:09:32-0600',mode:absolute,to:'2017-10-27T21:26:43-0600'))&amp;_a=(columns:!('Message%20ID',Summary),filters:!(),index:'emp_*',interval:auto,query:(query_string:(analyze_wildcard:!t,query:'%22rtdc.l.rtdc.4004%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848</v>
      </c>
      <c r="B205" s="7">
        <v>4003</v>
      </c>
      <c r="C205" s="21" t="s">
        <v>194</v>
      </c>
      <c r="D205" s="21" t="s">
        <v>1083</v>
      </c>
      <c r="E205" s="13">
        <v>43035.89366898148</v>
      </c>
      <c r="F205" s="13">
        <v>43035.904976851853</v>
      </c>
      <c r="G205" s="7">
        <v>134</v>
      </c>
      <c r="H205" s="21" t="s">
        <v>1084</v>
      </c>
      <c r="I205" s="13">
        <v>43035.913090277776</v>
      </c>
      <c r="J205" s="7">
        <v>0</v>
      </c>
      <c r="K205" s="89" t="str">
        <f>IF(ISEVEN(B205),(B205-1)&amp;"/"&amp;B205,B205&amp;"/"&amp;(B205+1))</f>
        <v>4003/4004</v>
      </c>
      <c r="L205" s="185" t="str">
        <f>VLOOKUP(A205,'Trips&amp;Operators'!$C$1:$G$99911,5,FALSE)</f>
        <v>SMITH MICHAEL</v>
      </c>
      <c r="M205" s="6">
        <f>I205-F205</f>
        <v>8.1134259235113859E-3</v>
      </c>
      <c r="N205" s="7">
        <f>24*60*SUM($M205:$M205)</f>
        <v>11.683333329856396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-27T20:26:53-0600',mode:absolute,to:'2017-10-27T22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5" s="204" t="str">
        <f>IF(AA205&lt;VLOOKUP(AG205,Variables!$AC$3:$AD$8,2,FALSE),"Y","N")</f>
        <v>N</v>
      </c>
      <c r="X205" s="204">
        <f t="shared" ref="X205:X206" si="52">VALUE(LEFT(AD205,4))-VALUE(LEFT(AD204,4))</f>
        <v>1</v>
      </c>
      <c r="Y205" s="204">
        <f>RIGHT(D205,LEN(D205)-4)/10000</f>
        <v>5.8635999999999999</v>
      </c>
      <c r="Z205" s="204">
        <f>RIGHT(H205,LEN(H205)-4)/10000</f>
        <v>6.5600000000000006E-2</v>
      </c>
      <c r="AA205" s="204">
        <f>ABS(Z205-Y205)</f>
        <v>5.798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844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/stypes="app*4003*20171028*" /stext=" 03:.+((SYSTEM_STATE.+slice.+state.+changed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ref="AH205:AH239" si="5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844-27 --locoid 4003 --swversion DE.1.0.9.0 --startMP 300:58636 --initTime 2017-10-27T21:26:53 --startdatetime 2017-10-27T21:43:10 --delay 134 --endMP 204:656 --enddatetime 2017-10-27T21:54:51 --enforcementcount 0 &gt;&gt;%USERPROFILE%\Documents\GitHub\eaglep3-reporting\EC\2017-10-27-refined-times.txt</v>
      </c>
      <c r="AI205" s="96" t="str">
        <f t="shared" ref="AI205:AI239" si="5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{"issue":{"subject":"","project_id":79,"tracker_id":40,"status_id":1,"priority_id":2,"assigned_to_id":338,"start_date":"2017-10-27","description":"","custom_fields":[{"id":1,"name":"Subdivision","value":"NW"},{"id":4,"name":"Milepost","value":"0.0656"},{"id":17,"name":"Train ID","value":"844-27"},{"id":16,"name":"Locomotive ID","value":"4003"},{"id":130,"name":"Impact","value":""},{"id":150,"name":"Time of Event (Mountain Time)","value":"21:54:51"},{"id":151,"name":"Denver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ref="AM205:AM239" si="55">"start /low /b "&amp;dls3logs&amp;" --loco "&amp;B205&amp;" --day "&amp;TEXT(F205,"YYYY-MM-DD")</f>
        <v>start /low /b %USERPROFILE%\Documents\GitHub\eaglep3\Utilities\DownloadLogsFromS3.py --loco 4003 --day 2017-10-27</v>
      </c>
      <c r="AN205" s="151" t="str">
        <f t="shared" ref="AN205:AN239" si="56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03:54:51"},{"id":29,"name":"Sharepoint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ref="AO205:AO239" si="5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-27T20:26:53-0600',mode:absolute,to:'2017-10-27T22:54:51-0600'))&amp;_a=(columns:!('Message%20ID',Summary),filters:!(),index:'emp_*',interval:auto,query:(query_string:(analyze_wildcard:!t,query:'%22rtdc.l.rtdc.4003%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845</v>
      </c>
      <c r="B206" s="7">
        <v>4004</v>
      </c>
      <c r="C206" s="21" t="s">
        <v>194</v>
      </c>
      <c r="D206" s="21" t="s">
        <v>1085</v>
      </c>
      <c r="E206" s="13">
        <v>43035.875868055555</v>
      </c>
      <c r="F206" s="13">
        <v>43035.881620370368</v>
      </c>
      <c r="G206" s="7">
        <v>66</v>
      </c>
      <c r="H206" s="21" t="s">
        <v>1086</v>
      </c>
      <c r="I206" s="13">
        <v>43035.891875000001</v>
      </c>
      <c r="J206" s="7">
        <v>0</v>
      </c>
      <c r="K206" s="89" t="str">
        <f>IF(ISEVEN(B206),(B206-1)&amp;"/"&amp;B206,B206&amp;"/"&amp;(B206+1))</f>
        <v>4003/4004</v>
      </c>
      <c r="L206" s="185" t="str">
        <f>VLOOKUP(A206,'Trips&amp;Operators'!$C$1:$G$99911,5,FALSE)</f>
        <v>SMITH MICHAEL</v>
      </c>
      <c r="M206" s="6">
        <f>I206-F206</f>
        <v>1.025462963298196E-2</v>
      </c>
      <c r="N206" s="7">
        <f>24*60*SUM($M206:$M206)</f>
        <v>14.766666671494022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-27T20:01:15-0600',mode:absolute,to:'2017-10-27T22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6" s="204" t="str">
        <f>IF(AA206&lt;VLOOKUP(AG206,Variables!$AC$3:$AD$8,2,FALSE),"Y","N")</f>
        <v>N</v>
      </c>
      <c r="X206" s="204">
        <f t="shared" si="52"/>
        <v>1</v>
      </c>
      <c r="Y206" s="204">
        <f>RIGHT(D206,LEN(D206)-4)/10000</f>
        <v>4.3900000000000002E-2</v>
      </c>
      <c r="Z206" s="204">
        <f>RIGHT(H206,LEN(H206)-4)/10000</f>
        <v>5.8943000000000003</v>
      </c>
      <c r="AA206" s="204">
        <f>ABS(Z206-Y206)</f>
        <v>5.8504000000000005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845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/stypes="app*4004*20171028*" /stext=" 03:.+((SYSTEM_STATE.+slice.+state.+changed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53"/>
        <v>"%USERPROFILE%\Documents\GitHub\eaglep3\Utilities\RefineRTDCRunTimes.py" --tripid 845-27 --locoid 4004 --swversion DE.1.0.9.0 --startMP 204:439 --initTime 2017-10-27T21:01:15 --startdatetime 2017-10-27T21:09:32 --delay 66 --endMP 300:58943 --enddatetime 2017-10-27T21:24:18 --enforcementcount 0 &gt;&gt;%USERPROFILE%\Documents\GitHub\eaglep3-reporting\EC\2017-10-27-refined-times.txt</v>
      </c>
      <c r="AI206" s="96" t="str">
        <f t="shared" si="54"/>
        <v>echo {"issue":{"subject":"","project_id":79,"tracker_id":40,"status_id":1,"priority_id":2,"assigned_to_id":338,"start_date":"2017-10-27","description":"","custom_fields":[{"id":1,"name":"Subdivision","value":"NW"},{"id":4,"name":"Milepost","value":"5.8943"},{"id":17,"name":"Train ID","value":"845-27"},{"id":16,"name":"Locomotive ID","value":"4004"},{"id":130,"name":"Impact","value":""},{"id":150,"name":"Time of Event (Mountain Time)","value":"21:24:18"},{"id":151,"name":"Denver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55"/>
        <v>start /low /b %USERPROFILE%\Documents\GitHub\eaglep3\Utilities\DownloadLogsFromS3.py --loco 4004 --day 2017-10-27</v>
      </c>
      <c r="AN206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03:24:18"},{"id":29,"name":"Sharepoint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57"/>
        <v>https://d0f6bd738d7f1b3e5a7ca70fe4ff75f0.us-east-1.aws.found.io/app/kibana#/discover/Steve-Slow-Train-Analysis-(2080s-and-2083s)?_g=(refreshInterval:(display:Off,pause:!f,section:0,value:0),time:(from:'2017-10-27T20:01:15-0600',mode:absolute,to:'2017-10-27T22:24:18-0600'))&amp;_a=(columns:!('Message%20ID',Summary),filters:!(),index:'emp_*',interval:auto,query:(query_string:(analyze_wildcard:!t,query:'%22rtdc.l.rtdc.4004%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855</v>
      </c>
      <c r="B207" s="7">
        <v>4003</v>
      </c>
      <c r="C207" s="21" t="s">
        <v>194</v>
      </c>
      <c r="D207" s="21" t="s">
        <v>1026</v>
      </c>
      <c r="E207" s="13">
        <v>43035.935752314814</v>
      </c>
      <c r="F207" s="13">
        <v>43035.946655092594</v>
      </c>
      <c r="G207" s="7">
        <v>65</v>
      </c>
      <c r="H207" s="21" t="s">
        <v>1087</v>
      </c>
      <c r="I207" s="13">
        <v>43035.956226851849</v>
      </c>
      <c r="J207" s="7">
        <v>0</v>
      </c>
      <c r="K207" s="89" t="str">
        <f>IF(ISEVEN(B207),(B207-1)&amp;"/"&amp;B207,B207&amp;"/"&amp;(B207+1))</f>
        <v>4003/4004</v>
      </c>
      <c r="L207" s="185" t="str">
        <f>VLOOKUP(A207,'Trips&amp;Operators'!$C$1:$G$99911,5,FALSE)</f>
        <v>SMITH MICHAEL</v>
      </c>
      <c r="M207" s="6">
        <f>I207-F207</f>
        <v>9.5717592557775788E-3</v>
      </c>
      <c r="N207" s="7">
        <f>24*60*SUM($M207:$M207)</f>
        <v>13.783333328319713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-27T21:27:29-0600',mode:absolute,to:'2017-10-27T23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7" s="204" t="str">
        <f>IF(AA207&lt;VLOOKUP(AG207,Variables!$AC$3:$AD$8,2,FALSE),"Y","N")</f>
        <v>N</v>
      </c>
      <c r="X207" s="204">
        <f>VALUE(LEFT(AD207,4))-VALUE(LEFT(AD206,4))</f>
        <v>1</v>
      </c>
      <c r="Y207" s="204">
        <f>RIGHT(D207,LEN(D207)-4)/10000</f>
        <v>5.8628</v>
      </c>
      <c r="Z207" s="204">
        <f>RIGHT(H207,LEN(H207)-4)/10000</f>
        <v>7.0300000000000001E-2</v>
      </c>
      <c r="AA207" s="204">
        <f>ABS(Z207-Y207)</f>
        <v>5.7925000000000004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846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/stypes="app*4003*20171028*" /stext=" 04:.+((SYSTEM_STATE.+slice.+state.+changed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si="53"/>
        <v>"%USERPROFILE%\Documents\GitHub\eaglep3\Utilities\RefineRTDCRunTimes.py" --tripid 846-27 --locoid 4003 --swversion DE.1.0.9.0 --startMP 300:58628 --initTime 2017-10-27T22:27:29 --startdatetime 2017-10-27T22:43:11 --delay 65 --endMP 204:703 --enddatetime 2017-10-27T22:56:58 --enforcementcount 0 &gt;&gt;%USERPROFILE%\Documents\GitHub\eaglep3-reporting\EC\2017-10-27-refined-times.txt</v>
      </c>
      <c r="AI207" s="96" t="str">
        <f t="shared" si="54"/>
        <v>echo {"issue":{"subject":"","project_id":79,"tracker_id":40,"status_id":1,"priority_id":2,"assigned_to_id":338,"start_date":"2017-10-27","description":"","custom_fields":[{"id":1,"name":"Subdivision","value":"NW"},{"id":4,"name":"Milepost","value":"0.0703"},{"id":17,"name":"Train ID","value":"846-27"},{"id":16,"name":"Locomotive ID","value":"4003"},{"id":130,"name":"Impact","value":""},{"id":150,"name":"Time of Event (Mountain Time)","value":"22:56:58"},{"id":151,"name":"Denver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55"/>
        <v>start /low /b %USERPROFILE%\Documents\GitHub\eaglep3\Utilities\DownloadLogsFromS3.py --loco 4003 --day 2017-10-27</v>
      </c>
      <c r="AN207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04:56:58"},{"id":29,"name":"Sharepoint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57"/>
        <v>https://d0f6bd738d7f1b3e5a7ca70fe4ff75f0.us-east-1.aws.found.io/app/kibana#/discover/Steve-Slow-Train-Analysis-(2080s-and-2083s)?_g=(refreshInterval:(display:Off,pause:!f,section:0,value:0),time:(from:'2017-10-27T21:27:29-0600',mode:absolute,to:'2017-10-27T23:56:58-0600'))&amp;_a=(columns:!('Message%20ID',Summary),filters:!(),index:'emp_*',interval:auto,query:(query_string:(analyze_wildcard:!t,query:'%22rtdc.l.rtdc.4003%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851</v>
      </c>
      <c r="B208" s="7">
        <v>4004</v>
      </c>
      <c r="C208" s="21" t="s">
        <v>194</v>
      </c>
      <c r="D208" s="21" t="s">
        <v>541</v>
      </c>
      <c r="E208" s="13">
        <v>43035.914965277778</v>
      </c>
      <c r="F208" s="13">
        <v>43035.923159722224</v>
      </c>
      <c r="G208" s="7">
        <v>65</v>
      </c>
      <c r="H208" s="21" t="s">
        <v>1088</v>
      </c>
      <c r="I208" s="13">
        <v>43035.933449074073</v>
      </c>
      <c r="J208" s="7">
        <v>0</v>
      </c>
      <c r="K208" s="89" t="str">
        <f>IF(ISEVEN(B208),(B208-1)&amp;"/"&amp;B208,B208&amp;"/"&amp;(B208+1))</f>
        <v>4003/4004</v>
      </c>
      <c r="L208" s="185" t="str">
        <f>VLOOKUP(A208,'Trips&amp;Operators'!$C$1:$G$99911,5,FALSE)</f>
        <v>SMITH MICHAEL</v>
      </c>
      <c r="M208" s="6">
        <f>I208-F208</f>
        <v>1.0289351848769002E-2</v>
      </c>
      <c r="N208" s="7">
        <f>24*60*SUM($M208:$M208)</f>
        <v>14.816666662227362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-27T20:57:33-0600',mode:absolute,to:'2017-10-27T23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8" s="204" t="str">
        <f>IF(AA208&lt;VLOOKUP(AG208,Variables!$AC$3:$AD$8,2,FALSE),"Y","N")</f>
        <v>N</v>
      </c>
      <c r="X208" s="204">
        <f>VALUE(LEFT(AD208,4))-VALUE(LEFT(AD207,4))</f>
        <v>1</v>
      </c>
      <c r="Y208" s="204">
        <f>RIGHT(D208,LEN(D208)-4)/10000</f>
        <v>9.8299999999999998E-2</v>
      </c>
      <c r="Z208" s="204">
        <f>RIGHT(H208,LEN(H208)-4)/10000</f>
        <v>5.8954000000000004</v>
      </c>
      <c r="AA208" s="204">
        <f>ABS(Z208-Y208)</f>
        <v>5.7971000000000004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847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/stypes="app*4004*20171028*" /stext=" 04:.+((SYSTEM_STATE.+slice.+state.+changed )|(ment ac)|(multiple cpu faults)|(system.+state.+changed )|(\[timeout)|(PRM\|1\|D)|(kpr)|(kdp)|(train st.+moving)|(\|lc)|(penalty))"</v>
      </c>
      <c r="AG208" s="182" t="str">
        <f>DetSubdiv(A208)</f>
        <v>NW</v>
      </c>
      <c r="AH208" s="78" t="str">
        <f t="shared" si="53"/>
        <v>"%USERPROFILE%\Documents\GitHub\eaglep3\Utilities\RefineRTDCRunTimes.py" --tripid 847-27 --locoid 4004 --swversion DE.1.0.9.0 --startMP 204:983 --initTime 2017-10-27T21:57:33 --startdatetime 2017-10-27T22:09:21 --delay 65 --endMP 300:58954 --enddatetime 2017-10-27T22:24:10 --enforcementcount 0 &gt;&gt;%USERPROFILE%\Documents\GitHub\eaglep3-reporting\EC\2017-10-27-refined-times.txt</v>
      </c>
      <c r="AI208" s="96" t="str">
        <f t="shared" si="54"/>
        <v>echo {"issue":{"subject":"","project_id":79,"tracker_id":40,"status_id":1,"priority_id":2,"assigned_to_id":338,"start_date":"2017-10-27","description":"","custom_fields":[{"id":1,"name":"Subdivision","value":"NW"},{"id":4,"name":"Milepost","value":"5.8954"},{"id":17,"name":"Train ID","value":"847-27"},{"id":16,"name":"Locomotive ID","value":"4004"},{"id":130,"name":"Impact","value":""},{"id":150,"name":"Time of Event (Mountain Time)","value":"22:24:10"},{"id":151,"name":"Denver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55"/>
        <v>start /low /b %USERPROFILE%\Documents\GitHub\eaglep3\Utilities\DownloadLogsFromS3.py --loco 4004 --day 2017-10-27</v>
      </c>
      <c r="AN208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04:24:10"},{"id":29,"name":"Sharepoint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57"/>
        <v>https://d0f6bd738d7f1b3e5a7ca70fe4ff75f0.us-east-1.aws.found.io/app/kibana#/discover/Steve-Slow-Train-Analysis-(2080s-and-2083s)?_g=(refreshInterval:(display:Off,pause:!f,section:0,value:0),time:(from:'2017-10-27T20:57:33-0600',mode:absolute,to:'2017-10-27T23:24:10-0600'))&amp;_a=(columns:!('Message%20ID',Summary),filters:!(),index:'emp_*',interval:auto,query:(query_string:(analyze_wildcard:!t,query:'%22rtdc.l.rtdc.4004%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854</v>
      </c>
      <c r="B209" s="7">
        <v>4004</v>
      </c>
      <c r="C209" s="21" t="s">
        <v>194</v>
      </c>
      <c r="D209" s="21" t="s">
        <v>542</v>
      </c>
      <c r="E209" s="13">
        <v>43035.959652777776</v>
      </c>
      <c r="F209" s="13">
        <v>43035.964826388888</v>
      </c>
      <c r="G209" s="7">
        <v>66</v>
      </c>
      <c r="H209" s="21" t="s">
        <v>543</v>
      </c>
      <c r="I209" s="13">
        <v>43035.974768518521</v>
      </c>
      <c r="J209" s="7">
        <v>0</v>
      </c>
      <c r="K209" s="89" t="str">
        <f>IF(ISEVEN(B209),(B209-1)&amp;"/"&amp;B209,B209&amp;"/"&amp;(B209+1))</f>
        <v>4003/4004</v>
      </c>
      <c r="L209" s="185" t="str">
        <f>VLOOKUP(A209,'Trips&amp;Operators'!$C$1:$G$99911,5,FALSE)</f>
        <v>SMITH MICHAEL</v>
      </c>
      <c r="M209" s="6">
        <f>I209-F209</f>
        <v>9.9421296326909214E-3</v>
      </c>
      <c r="N209" s="7">
        <f>24*60*SUM($M209:$M209)</f>
        <v>14.316666671074927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-27T22:01:54-0600',mode:absolute,to:'2017-10-28T00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9" s="204" t="str">
        <f>IF(AA209&lt;VLOOKUP(AG209,Variables!$AC$3:$AD$8,2,FALSE),"Y","N")</f>
        <v>N</v>
      </c>
      <c r="X209" s="204">
        <f>VALUE(LEFT(AD209,4))-VALUE(LEFT(AD208,4))</f>
        <v>2</v>
      </c>
      <c r="Y209" s="204">
        <f>RIGHT(D209,LEN(D209)-4)/10000</f>
        <v>9.8500000000000004E-2</v>
      </c>
      <c r="Z209" s="204">
        <f>RIGHT(H209,LEN(H209)-4)/10000</f>
        <v>5.8945999999999996</v>
      </c>
      <c r="AA209" s="204">
        <f>ABS(Z209-Y209)</f>
        <v>5.7961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849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/stypes="app*4004*20171028*" /stext=" 05:.+((SYSTEM_STATE.+slice.+state.+changed )|(ment ac)|(multiple cpu faults)|(system.+state.+changed )|(\[timeout)|(PRM\|1\|D)|(kpr)|(kdp)|(train st.+moving)|(\|lc)|(penalty))"</v>
      </c>
      <c r="AG209" s="182" t="str">
        <f>DetSubdiv(A209)</f>
        <v>NW</v>
      </c>
      <c r="AH209" s="78" t="str">
        <f t="shared" si="53"/>
        <v>"%USERPROFILE%\Documents\GitHub\eaglep3\Utilities\RefineRTDCRunTimes.py" --tripid 849-27 --locoid 4004 --swversion DE.1.0.9.0 --startMP 204:985 --initTime 2017-10-27T23:01:54 --startdatetime 2017-10-27T23:09:21 --delay 66 --endMP 300:58946 --enddatetime 2017-10-27T23:23:40 --enforcementcount 0 &gt;&gt;%USERPROFILE%\Documents\GitHub\eaglep3-reporting\EC\2017-10-27-refined-times.txt</v>
      </c>
      <c r="AI209" s="96" t="str">
        <f t="shared" si="54"/>
        <v>echo {"issue":{"subject":"","project_id":79,"tracker_id":40,"status_id":1,"priority_id":2,"assigned_to_id":338,"start_date":"2017-10-27","description":"","custom_fields":[{"id":1,"name":"Subdivision","value":"NW"},{"id":4,"name":"Milepost","value":"5.8946"},{"id":17,"name":"Train ID","value":"849-27"},{"id":16,"name":"Locomotive ID","value":"4004"},{"id":130,"name":"Impact","value":""},{"id":150,"name":"Time of Event (Mountain Time)","value":"23:23:40"},{"id":151,"name":"Denver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55"/>
        <v>start /low /b %USERPROFILE%\Documents\GitHub\eaglep3\Utilities\DownloadLogsFromS3.py --loco 4004 --day 2017-10-27</v>
      </c>
      <c r="AN209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05:23:40"},{"id":29,"name":"Sharepoint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57"/>
        <v>https://d0f6bd738d7f1b3e5a7ca70fe4ff75f0.us-east-1.aws.found.io/app/kibana#/discover/Steve-Slow-Train-Analysis-(2080s-and-2083s)?_g=(refreshInterval:(display:Off,pause:!f,section:0,value:0),time:(from:'2017-10-27T22:01:54-0600',mode:absolute,to:'2017-10-28T00:23:40-0600'))&amp;_a=(columns:!('Message%20ID',Summary),filters:!(),index:'emp_*',interval:auto,query:(query_string:(analyze_wildcard:!t,query:'%22rtdc.l.rtdc.4004%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641</v>
      </c>
      <c r="B210" s="7">
        <v>4007</v>
      </c>
      <c r="C210" s="21" t="s">
        <v>194</v>
      </c>
      <c r="D210" s="21" t="s">
        <v>991</v>
      </c>
      <c r="E210" s="13">
        <v>43035.120567129627</v>
      </c>
      <c r="F210" s="13">
        <v>43035.124490740738</v>
      </c>
      <c r="G210" s="7">
        <v>118</v>
      </c>
      <c r="H210" s="21" t="s">
        <v>351</v>
      </c>
      <c r="I210" s="13">
        <v>43035.129687499997</v>
      </c>
      <c r="J210" s="7">
        <v>0</v>
      </c>
      <c r="K210" s="89" t="str">
        <f>IF(ISEVEN(B210),(B210-1)&amp;"/"&amp;B210,B210&amp;"/"&amp;(B210+1))</f>
        <v>4007/4008</v>
      </c>
      <c r="L210" s="185" t="str">
        <f>VLOOKUP(A210,'Trips&amp;Operators'!$C$1:$G$99911,5,FALSE)</f>
        <v>ROCHA YAOTL</v>
      </c>
      <c r="M210" s="6">
        <f>I210-F210</f>
        <v>5.1967592589790002E-3</v>
      </c>
      <c r="N210" s="7">
        <f>24*60*SUM($M210:$M210)</f>
        <v>7.4833333329297602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-27T01:53:37-0600',mode:absolute,to:'2017-10-27T04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-549</v>
      </c>
      <c r="Y210" s="204">
        <f>RIGHT(D210,LEN(D210)-4)/10000</f>
        <v>2.3182</v>
      </c>
      <c r="Z210" s="204">
        <f>RIGHT(H210,LEN(H210)-4)/10000</f>
        <v>1.4500000000000001E-2</v>
      </c>
      <c r="AA210" s="204">
        <f>ABS(Z210-Y210)</f>
        <v>2.3037000000000001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300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/stypes="app*4007*20171027*" /stext=" 09:.+((SYSTEM_STATE.+slice.+state.+changed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53"/>
        <v>"%USERPROFILE%\Documents\GitHub\eaglep3\Utilities\RefineRTDCRunTimes.py" --tripid 300-27 --locoid 4007 --swversion DE.1.0.9.0 --startMP 300:23182 --initTime 2017-10-27T02:53:37 --startdatetime 2017-10-27T02:59:16 --delay 118 --endMP 204:145 --enddatetime 2017-10-27T03:06:45 --enforcementcount 0 &gt;&gt;%USERPROFILE%\Documents\GitHub\eaglep3-reporting\EC\2017-10-27-refined-times.txt</v>
      </c>
      <c r="AI210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{"issue":{"subject":"","project_id":79,"tracker_id":40,"status_id":1,"priority_id":2,"assigned_to_id":338,"start_date":"2017-10-27","description":"","custom_fields":[{"id":1,"name":"Subdivision","value":"Other"},{"id":4,"name":"Milepost","value":"0.0145"},{"id":17,"name":"Train ID","value":"300-27"},{"id":16,"name":"Locomotive ID","value":"4007"},{"id":130,"name":"Impact","value":""},{"id":150,"name":"Time of Event (Mountain Time)","value":"03:06:45"},{"id":151,"name":"Denver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55"/>
        <v>start /low /b %USERPROFILE%\Documents\GitHub\eaglep3\Utilities\DownloadLogsFromS3.py --loco 4007 --day 2017-10-27</v>
      </c>
      <c r="AN210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09:06:45"},{"id":29,"name":"Sharepoint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57"/>
        <v>https://d0f6bd738d7f1b3e5a7ca70fe4ff75f0.us-east-1.aws.found.io/app/kibana#/discover/Steve-Slow-Train-Analysis-(2080s-and-2083s)?_g=(refreshInterval:(display:Off,pause:!f,section:0,value:0),time:(from:'2017-10-27T01:53:37-0600',mode:absolute,to:'2017-10-27T04:06:45-0600'))&amp;_a=(columns:!('Message%20ID',Summary),filters:!(),index:'emp_*',interval:auto,query:(query_string:(analyze_wildcard:!t,query:'%22rtdc.l.rtdc.4007%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821</v>
      </c>
      <c r="B211" s="7">
        <v>4052</v>
      </c>
      <c r="C211" s="21" t="s">
        <v>194</v>
      </c>
      <c r="D211" s="21" t="s">
        <v>891</v>
      </c>
      <c r="E211" s="13">
        <v>43035.782743055555</v>
      </c>
      <c r="F211" s="13">
        <v>43035.784375000003</v>
      </c>
      <c r="G211" s="7">
        <v>56</v>
      </c>
      <c r="H211" s="21" t="s">
        <v>992</v>
      </c>
      <c r="I211" s="13">
        <v>43035.790833333333</v>
      </c>
      <c r="J211" s="7">
        <v>0</v>
      </c>
      <c r="K211" s="89" t="str">
        <f>IF(ISEVEN(B211),(B211-1)&amp;"/"&amp;B211,B211&amp;"/"&amp;(B211+1))</f>
        <v>4051/4052</v>
      </c>
      <c r="L211" s="185" t="str">
        <f>VLOOKUP(A211,'Trips&amp;Operators'!$C$1:$G$99911,5,FALSE)</f>
        <v>LEVERE CRAIG</v>
      </c>
      <c r="M211" s="6">
        <f>I211-F211</f>
        <v>6.4583333296468481E-3</v>
      </c>
      <c r="N211" s="7">
        <f>24*60*SUM($M211:$M211)</f>
        <v>9.2999999946914613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-27T17:47:09-0600',mode:absolute,to:'2017-10-27T19:58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5.7000000000000002E-2</v>
      </c>
      <c r="Z211" s="204">
        <f>RIGHT(H211,LEN(H211)-4)/10000</f>
        <v>2.3300999999999998</v>
      </c>
      <c r="AA211" s="204">
        <f>ABS(Z211-Y211)</f>
        <v>2.2730999999999999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301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/stypes="app*4052*20171028*" /stext=" 00:.+((SYSTEM_STATE.+slice.+state.+changed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53"/>
        <v>"%USERPROFILE%\Documents\GitHub\eaglep3\Utilities\RefineRTDCRunTimes.py" --tripid 301-27 --locoid 4052 --swversion DE.1.0.9.0 --startMP 204:570 --initTime 2017-10-27T18:47:09 --startdatetime 2017-10-27T18:49:30 --delay 56 --endMP 300:23301 --enddatetime 2017-10-27T18:58:48 --enforcementcount 0 &gt;&gt;%USERPROFILE%\Documents\GitHub\eaglep3-reporting\EC\2017-10-27-refined-times.txt</v>
      </c>
      <c r="AI211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{"issue":{"subject":"","project_id":79,"tracker_id":40,"status_id":1,"priority_id":2,"assigned_to_id":338,"start_date":"2017-10-27","description":"","custom_fields":[{"id":1,"name":"Subdivision","value":"Other"},{"id":4,"name":"Milepost","value":"2.3301"},{"id":17,"name":"Train ID","value":"301-27"},{"id":16,"name":"Locomotive ID","value":"4052"},{"id":130,"name":"Impact","value":""},{"id":150,"name":"Time of Event (Mountain Time)","value":"18:58:48"},{"id":151,"name":"Denver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55"/>
        <v>start /low /b %USERPROFILE%\Documents\GitHub\eaglep3\Utilities\DownloadLogsFromS3.py --loco 4052 --day 2017-10-27</v>
      </c>
      <c r="AN211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00:58:48"},{"id":29,"name":"Sharepoint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57"/>
        <v>https://d0f6bd738d7f1b3e5a7ca70fe4ff75f0.us-east-1.aws.found.io/app/kibana#/discover/Steve-Slow-Train-Analysis-(2080s-and-2083s)?_g=(refreshInterval:(display:Off,pause:!f,section:0,value:0),time:(from:'2017-10-27T17:47:09-0600',mode:absolute,to:'2017-10-27T19:58:48-0600'))&amp;_a=(columns:!('Message%20ID',Summary),filters:!(),index:'emp_*',interval:auto,query:(query_string:(analyze_wildcard:!t,query:'%22rtdc.l.rtdc.4052%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647</v>
      </c>
      <c r="B212" s="7">
        <v>4035</v>
      </c>
      <c r="C212" s="21" t="s">
        <v>194</v>
      </c>
      <c r="D212" s="21" t="s">
        <v>993</v>
      </c>
      <c r="E212" s="13">
        <v>43035.139293981483</v>
      </c>
      <c r="F212" s="13">
        <v>43035.144236111111</v>
      </c>
      <c r="G212" s="7">
        <v>82</v>
      </c>
      <c r="H212" s="21" t="s">
        <v>351</v>
      </c>
      <c r="I212" s="13">
        <v>43035.148981481485</v>
      </c>
      <c r="J212" s="7">
        <v>0</v>
      </c>
      <c r="K212" s="89" t="str">
        <f>IF(ISEVEN(B212),(B212-1)&amp;"/"&amp;B212,B212&amp;"/"&amp;(B212+1))</f>
        <v>4035/4036</v>
      </c>
      <c r="L212" s="185" t="str">
        <f>VLOOKUP(A212,'Trips&amp;Operators'!$C$1:$G$99911,5,FALSE)</f>
        <v>MAELZER KURT</v>
      </c>
      <c r="M212" s="6">
        <f>I212-F212</f>
        <v>4.7453703737119213E-3</v>
      </c>
      <c r="N212" s="7">
        <f>24*60*SUM($M212:$M212)</f>
        <v>6.8333333381451666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-27T02:20:35-0600',mode:absolute,to:'2017-10-27T04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1.9434</v>
      </c>
      <c r="Z212" s="204">
        <f>RIGHT(H212,LEN(H212)-4)/10000</f>
        <v>1.4500000000000001E-2</v>
      </c>
      <c r="AA212" s="204">
        <f>ABS(Z212-Y212)</f>
        <v>1.9289000000000001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302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/stypes="app*4035*20171027*" /stext=" 09:.+((SYSTEM_STATE.+slice.+state.+changed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53"/>
        <v>"%USERPROFILE%\Documents\GitHub\eaglep3\Utilities\RefineRTDCRunTimes.py" --tripid 302-27 --locoid 4035 --swversion DE.1.0.9.0 --startMP 300:19434 --initTime 2017-10-27T03:20:35 --startdatetime 2017-10-27T03:27:42 --delay 82 --endMP 204:145 --enddatetime 2017-10-27T03:34:32 --enforcementcount 0 &gt;&gt;%USERPROFILE%\Documents\GitHub\eaglep3-reporting\EC\2017-10-27-refined-times.txt</v>
      </c>
      <c r="AI212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{"issue":{"subject":"","project_id":79,"tracker_id":40,"status_id":1,"priority_id":2,"assigned_to_id":338,"start_date":"2017-10-27","description":"","custom_fields":[{"id":1,"name":"Subdivision","value":"Other"},{"id":4,"name":"Milepost","value":"0.0145"},{"id":17,"name":"Train ID","value":"302-27"},{"id":16,"name":"Locomotive ID","value":"4035"},{"id":130,"name":"Impact","value":""},{"id":150,"name":"Time of Event (Mountain Time)","value":"03:34:32"},{"id":151,"name":"Denver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55"/>
        <v>start /low /b %USERPROFILE%\Documents\GitHub\eaglep3\Utilities\DownloadLogsFromS3.py --loco 4035 --day 2017-10-27</v>
      </c>
      <c r="AN212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09:34:32"},{"id":29,"name":"Sharepoint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57"/>
        <v>https://d0f6bd738d7f1b3e5a7ca70fe4ff75f0.us-east-1.aws.found.io/app/kibana#/discover/Steve-Slow-Train-Analysis-(2080s-and-2083s)?_g=(refreshInterval:(display:Off,pause:!f,section:0,value:0),time:(from:'2017-10-27T02:20:35-0600',mode:absolute,to:'2017-10-27T04:34:32-0600'))&amp;_a=(columns:!('Message%20ID',Summary),filters:!(),index:'emp_*',interval:auto,query:(query_string:(analyze_wildcard:!t,query:'%22rtdc.l.rtdc.4035%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827</v>
      </c>
      <c r="B213" s="7">
        <v>4014</v>
      </c>
      <c r="C213" s="21" t="s">
        <v>194</v>
      </c>
      <c r="D213" s="21" t="s">
        <v>994</v>
      </c>
      <c r="E213" s="13">
        <v>43035.796469907407</v>
      </c>
      <c r="F213" s="13">
        <v>43035.805439814816</v>
      </c>
      <c r="G213" s="7">
        <v>53</v>
      </c>
      <c r="H213" s="21" t="s">
        <v>380</v>
      </c>
      <c r="I213" s="13">
        <v>43035.812002314815</v>
      </c>
      <c r="J213" s="7">
        <v>0</v>
      </c>
      <c r="K213" s="89" t="str">
        <f>IF(ISEVEN(B213),(B213-1)&amp;"/"&amp;B213,B213&amp;"/"&amp;(B213+1))</f>
        <v>4013/4014</v>
      </c>
      <c r="L213" s="185" t="str">
        <f>VLOOKUP(A213,'Trips&amp;Operators'!$C$1:$G$99911,5,FALSE)</f>
        <v>LEVIN SCOTT</v>
      </c>
      <c r="M213" s="6">
        <f>I213-F213</f>
        <v>6.5624999988358468E-3</v>
      </c>
      <c r="N213" s="7">
        <f>24*60*SUM($M213:$M213)</f>
        <v>9.4499999983236194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-27T18:06:55-0600',mode:absolute,to:'2017-10-27T20:29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6.1100000000000002E-2</v>
      </c>
      <c r="Z213" s="204">
        <f>RIGHT(H213,LEN(H213)-4)/10000</f>
        <v>2.3346</v>
      </c>
      <c r="AA213" s="204">
        <f>ABS(Z213-Y213)</f>
        <v>2.2734999999999999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303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s3://rtdc.mdm.uploadarchive.raw/RTDC4014/ "%USERPROFILE%\AppData\Local\Temp\OnboardLogs"\RTDC4014\2017-10-27 --exclude "*" --recursive --include "*20171027*" &amp; "%USERPROFILE%\Documents\GitHub\mrs-test-scripts\Headless Mode &amp; Sideloading\WalkAndUnGZ.bat" "%USERPROFILE%\AppData\Local\Temp\OnboardLogs"\RTDC4014\2017-10-27 &amp; aws s3 cp s3://rtdc.mdm.uploadarchive.raw/RTDC4014/ "%USERPROFILE%\AppData\Local\Temp\OnboardLogs"\RTDC4014\2017-10-28 --exclude "*" --recursive --include "*20171028*" &amp; "%USERPROFILE%\Documents\GitHub\mrs-test-scripts\Headless Mode &amp; Sideloading\WalkAndUnGZ.bat" "%USERPROFILE%\AppData\Local\Temp\OnboardLogs"\RTDC4014\2017-10-28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/stypes="app*4014*20171028*" /stext=" 01:.+((SYSTEM_STATE.+slice.+state.+changed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53"/>
        <v>"%USERPROFILE%\Documents\GitHub\eaglep3\Utilities\RefineRTDCRunTimes.py" --tripid 303-27 --locoid 4014 --swversion DE.1.0.9.0 --startMP 204:611 --initTime 2017-10-27T19:06:55 --startdatetime 2017-10-27T19:19:50 --delay 53 --endMP 300:23346 --enddatetime 2017-10-27T19:29:17 --enforcementcount 0 &gt;&gt;%USERPROFILE%\Documents\GitHub\eaglep3-reporting\EC\2017-10-27-refined-times.txt</v>
      </c>
      <c r="AI213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{"issue":{"subject":"","project_id":79,"tracker_id":40,"status_id":1,"priority_id":2,"assigned_to_id":338,"start_date":"2017-10-27","description":"","custom_fields":[{"id":1,"name":"Subdivision","value":"Other"},{"id":4,"name":"Milepost","value":"2.3346"},{"id":17,"name":"Train ID","value":"303-27"},{"id":16,"name":"Locomotive ID","value":"4014"},{"id":130,"name":"Impact","value":""},{"id":150,"name":"Time of Event (Mountain Time)","value":"19:29:17"},{"id":151,"name":"Denver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55"/>
        <v>start /low /b %USERPROFILE%\Documents\GitHub\eaglep3\Utilities\DownloadLogsFromS3.py --loco 4014 --day 2017-10-27</v>
      </c>
      <c r="AN213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01:29:17"},{"id":29,"name":"Sharepoint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57"/>
        <v>https://d0f6bd738d7f1b3e5a7ca70fe4ff75f0.us-east-1.aws.found.io/app/kibana#/discover/Steve-Slow-Train-Analysis-(2080s-and-2083s)?_g=(refreshInterval:(display:Off,pause:!f,section:0,value:0),time:(from:'2017-10-27T18:06:55-0600',mode:absolute,to:'2017-10-27T20:29:17-0600'))&amp;_a=(columns:!('Message%20ID',Summary),filters:!(),index:'emp_*',interval:auto,query:(query_string:(analyze_wildcard:!t,query:'%22rtdc.l.rtdc.4014%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649</v>
      </c>
      <c r="B214" s="7">
        <v>4005</v>
      </c>
      <c r="C214" s="21" t="s">
        <v>194</v>
      </c>
      <c r="D214" s="21" t="s">
        <v>995</v>
      </c>
      <c r="E214" s="13">
        <v>43035.161215277774</v>
      </c>
      <c r="F214" s="13">
        <v>43035.167708333334</v>
      </c>
      <c r="G214" s="7">
        <v>388</v>
      </c>
      <c r="H214" s="21" t="s">
        <v>602</v>
      </c>
      <c r="I214" s="13">
        <v>43035.173217592594</v>
      </c>
      <c r="J214" s="7">
        <v>0</v>
      </c>
      <c r="K214" s="89" t="str">
        <f>IF(ISEVEN(B214),(B214-1)&amp;"/"&amp;B214,B214&amp;"/"&amp;(B214+1))</f>
        <v>4005/4006</v>
      </c>
      <c r="L214" s="185" t="str">
        <f>VLOOKUP(A214,'Trips&amp;Operators'!$C$1:$G$99911,5,FALSE)</f>
        <v>DE LA ROSA ALEX</v>
      </c>
      <c r="M214" s="6">
        <f>I214-F214</f>
        <v>5.5092592592700385E-3</v>
      </c>
      <c r="N214" s="7">
        <f>24*60*SUM($M214:$M214)</f>
        <v>7.9333333333488554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-27T02:52:09-0600',mode:absolute,to:'2017-10-27T05:09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2.2890999999999999</v>
      </c>
      <c r="Z214" s="204">
        <f>RIGHT(H214,LEN(H214)-4)/10000</f>
        <v>2.87E-2</v>
      </c>
      <c r="AA214" s="204">
        <f>ABS(Z214-Y214)</f>
        <v>2.2603999999999997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304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/stypes="app*4005*20171027*" /stext=" 10:.+((SYSTEM_STATE.+slice.+state.+changed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53"/>
        <v>"%USERPROFILE%\Documents\GitHub\eaglep3\Utilities\RefineRTDCRunTimes.py" --tripid 304-27 --locoid 4005 --swversion DE.1.0.9.0 --startMP 300:22891 --initTime 2017-10-27T03:52:09 --startdatetime 2017-10-27T04:01:30 --delay 388 --endMP 204:287 --enddatetime 2017-10-27T04:09:26 --enforcementcount 0 &gt;&gt;%USERPROFILE%\Documents\GitHub\eaglep3-reporting\EC\2017-10-27-refined-times.txt</v>
      </c>
      <c r="AI214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{"issue":{"subject":"","project_id":79,"tracker_id":40,"status_id":1,"priority_id":2,"assigned_to_id":338,"start_date":"2017-10-27","description":"","custom_fields":[{"id":1,"name":"Subdivision","value":"Other"},{"id":4,"name":"Milepost","value":"0.0287"},{"id":17,"name":"Train ID","value":"304-27"},{"id":16,"name":"Locomotive ID","value":"4005"},{"id":130,"name":"Impact","value":""},{"id":150,"name":"Time of Event (Mountain Time)","value":"04:09:26"},{"id":151,"name":"Denver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55"/>
        <v>start /low /b %USERPROFILE%\Documents\GitHub\eaglep3\Utilities\DownloadLogsFromS3.py --loco 4005 --day 2017-10-27</v>
      </c>
      <c r="AN214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10:09:26"},{"id":29,"name":"Sharepoint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57"/>
        <v>https://d0f6bd738d7f1b3e5a7ca70fe4ff75f0.us-east-1.aws.found.io/app/kibana#/discover/Steve-Slow-Train-Analysis-(2080s-and-2083s)?_g=(refreshInterval:(display:Off,pause:!f,section:0,value:0),time:(from:'2017-10-27T02:52:09-0600',mode:absolute,to:'2017-10-27T05:09:26-0600'))&amp;_a=(columns:!('Message%20ID',Summary),filters:!(),index:'emp_*',interval:auto,query:(query_string:(analyze_wildcard:!t,query:'%22rtdc.l.rtdc.4005%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837</v>
      </c>
      <c r="B215" s="7">
        <v>4056</v>
      </c>
      <c r="C215" s="21" t="s">
        <v>194</v>
      </c>
      <c r="D215" s="21" t="s">
        <v>996</v>
      </c>
      <c r="E215" s="13">
        <v>43035.829733796294</v>
      </c>
      <c r="F215" s="13">
        <v>43035.830891203703</v>
      </c>
      <c r="G215" s="7">
        <v>54</v>
      </c>
      <c r="H215" s="21" t="s">
        <v>997</v>
      </c>
      <c r="I215" s="13">
        <v>43035.837395833332</v>
      </c>
      <c r="J215" s="7">
        <v>0</v>
      </c>
      <c r="K215" s="89" t="str">
        <f>IF(ISEVEN(B215),(B215-1)&amp;"/"&amp;B215,B215&amp;"/"&amp;(B215+1))</f>
        <v>4055/4056</v>
      </c>
      <c r="L215" s="185" t="str">
        <f>VLOOKUP(A215,'Trips&amp;Operators'!$C$1:$G$99911,5,FALSE)</f>
        <v>HOLCOMB KAMDEN</v>
      </c>
      <c r="M215" s="6">
        <f>I215-F215</f>
        <v>6.5046296294895001E-3</v>
      </c>
      <c r="N215" s="7">
        <f>24*60*SUM($M215:$M215)</f>
        <v>9.3666666664648801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-27T18:54:49-0600',mode:absolute,to:'2017-10-27T21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4.8800000000000003E-2</v>
      </c>
      <c r="Z215" s="204">
        <f>RIGHT(H215,LEN(H215)-4)/10000</f>
        <v>2.3308</v>
      </c>
      <c r="AA215" s="204">
        <f>ABS(Z215-Y215)</f>
        <v>2.282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305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s3://rtdc.mdm.uploadarchive.raw/RTDC4056/ "%USERPROFILE%\AppData\Local\Temp\OnboardLogs"\RTDC4056\2017-10-27 --exclude "*" --recursive --include "*20171027*" &amp; "%USERPROFILE%\Documents\GitHub\mrs-test-scripts\Headless Mode &amp; Sideloading\WalkAndUnGZ.bat" "%USERPROFILE%\AppData\Local\Temp\OnboardLogs"\RTDC4056\2017-10-27 &amp; 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/stypes="app*4056*20171028*" /stext=" 02:.+((SYSTEM_STATE.+slice.+state.+changed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53"/>
        <v>"%USERPROFILE%\Documents\GitHub\eaglep3\Utilities\RefineRTDCRunTimes.py" --tripid 305-27 --locoid 4056 --swversion DE.1.0.9.0 --startMP 204:488 --initTime 2017-10-27T19:54:49 --startdatetime 2017-10-27T19:56:29 --delay 54 --endMP 300:23308 --enddatetime 2017-10-27T20:05:51 --enforcementcount 0 &gt;&gt;%USERPROFILE%\Documents\GitHub\eaglep3-reporting\EC\2017-10-27-refined-times.txt</v>
      </c>
      <c r="AI215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{"issue":{"subject":"","project_id":79,"tracker_id":40,"status_id":1,"priority_id":2,"assigned_to_id":338,"start_date":"2017-10-27","description":"","custom_fields":[{"id":1,"name":"Subdivision","value":"Other"},{"id":4,"name":"Milepost","value":"2.3308"},{"id":17,"name":"Train ID","value":"305-27"},{"id":16,"name":"Locomotive ID","value":"4056"},{"id":130,"name":"Impact","value":""},{"id":150,"name":"Time of Event (Mountain Time)","value":"20:05:51"},{"id":151,"name":"Denver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55"/>
        <v>start /low /b %USERPROFILE%\Documents\GitHub\eaglep3\Utilities\DownloadLogsFromS3.py --loco 4056 --day 2017-10-27</v>
      </c>
      <c r="AN215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57"/>
        <v>https://d0f6bd738d7f1b3e5a7ca70fe4ff75f0.us-east-1.aws.found.io/app/kibana#/discover/Steve-Slow-Train-Analysis-(2080s-and-2083s)?_g=(refreshInterval:(display:Off,pause:!f,section:0,value:0),time:(from:'2017-10-27T18:54:49-0600',mode:absolute,to:'2017-10-27T21:05:51-0600'))&amp;_a=(columns:!('Message%20ID',Summary),filters:!(),index:'emp_*',interval:auto,query:(query_string:(analyze_wildcard:!t,query:'%22rtdc.l.rtdc.4056%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652</v>
      </c>
      <c r="B216" s="7">
        <v>4015</v>
      </c>
      <c r="C216" s="21" t="s">
        <v>194</v>
      </c>
      <c r="D216" s="21" t="s">
        <v>998</v>
      </c>
      <c r="E216" s="13">
        <v>43035.172708333332</v>
      </c>
      <c r="F216" s="13">
        <v>43035.176527777781</v>
      </c>
      <c r="G216" s="7">
        <v>76</v>
      </c>
      <c r="H216" s="21" t="s">
        <v>593</v>
      </c>
      <c r="I216" s="13">
        <v>43035.181631944448</v>
      </c>
      <c r="J216" s="7">
        <v>0</v>
      </c>
      <c r="K216" s="89" t="str">
        <f>IF(ISEVEN(B216),(B216-1)&amp;"/"&amp;B216,B216&amp;"/"&amp;(B216+1))</f>
        <v>4015/4016</v>
      </c>
      <c r="L216" s="185" t="str">
        <f>VLOOKUP(A216,'Trips&amp;Operators'!$C$1:$G$99911,5,FALSE)</f>
        <v>GEBRETEKLE DAGNEW</v>
      </c>
      <c r="M216" s="6">
        <f>I216-F216</f>
        <v>5.1041666665696539E-3</v>
      </c>
      <c r="N216" s="7">
        <f>24*60*SUM($M216:$M216)</f>
        <v>7.3499999998603016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-27T03:08:42-0600',mode:absolute,to:'2017-10-27T05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2.3477999999999999</v>
      </c>
      <c r="Z216" s="204">
        <f>RIGHT(H216,LEN(H216)-4)/10000</f>
        <v>1.8499999999999999E-2</v>
      </c>
      <c r="AA216" s="204">
        <f>ABS(Z216-Y216)</f>
        <v>2.3292999999999999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306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 &amp; aws s3 cp s3://rtdc.mdm.uploadarchive.raw/RTDC4015/ "%USERPROFILE%\AppData\Local\Temp\OnboardLogs"\RTDC4015\2017-10-28 --exclude "*" --recursive --include "*20171028*" &amp; "%USERPROFILE%\Documents\GitHub\mrs-test-scripts\Headless Mode &amp; Sideloading\WalkAndUnGZ.bat" "%USERPROFILE%\AppData\Local\Temp\OnboardLogs"\RTDC4015\2017-10-28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/stypes="app*4015*20171027*" /stext=" 10:.+((SYSTEM_STATE.+slice.+state.+changed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53"/>
        <v>"%USERPROFILE%\Documents\GitHub\eaglep3\Utilities\RefineRTDCRunTimes.py" --tripid 306-27 --locoid 4015 --swversion DE.1.0.9.0 --startMP 300:23478 --initTime 2017-10-27T04:08:42 --startdatetime 2017-10-27T04:14:12 --delay 76 --endMP 204:185 --enddatetime 2017-10-27T04:21:33 --enforcementcount 0 &gt;&gt;%USERPROFILE%\Documents\GitHub\eaglep3-reporting\EC\2017-10-27-refined-times.txt</v>
      </c>
      <c r="AI216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{"issue":{"subject":"","project_id":79,"tracker_id":40,"status_id":1,"priority_id":2,"assigned_to_id":338,"start_date":"2017-10-27","description":"","custom_fields":[{"id":1,"name":"Subdivision","value":"Other"},{"id":4,"name":"Milepost","value":"0.0185"},{"id":17,"name":"Train ID","value":"306-27"},{"id":16,"name":"Locomotive ID","value":"4015"},{"id":130,"name":"Impact","value":""},{"id":150,"name":"Time of Event (Mountain Time)","value":"04:21:33"},{"id":151,"name":"Denver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55"/>
        <v>start /low /b %USERPROFILE%\Documents\GitHub\eaglep3\Utilities\DownloadLogsFromS3.py --loco 4015 --day 2017-10-27</v>
      </c>
      <c r="AN216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10:21:33"},{"id":29,"name":"Sharepoint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57"/>
        <v>https://d0f6bd738d7f1b3e5a7ca70fe4ff75f0.us-east-1.aws.found.io/app/kibana#/discover/Steve-Slow-Train-Analysis-(2080s-and-2083s)?_g=(refreshInterval:(display:Off,pause:!f,section:0,value:0),time:(from:'2017-10-27T03:08:42-0600',mode:absolute,to:'2017-10-27T05:21:33-0600'))&amp;_a=(columns:!('Message%20ID',Summary),filters:!(),index:'emp_*',interval:auto,query:(query_string:(analyze_wildcard:!t,query:'%22rtdc.l.rtdc.4015%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868</v>
      </c>
      <c r="B217" s="7">
        <v>4036</v>
      </c>
      <c r="C217" s="21" t="s">
        <v>194</v>
      </c>
      <c r="D217" s="21" t="s">
        <v>536</v>
      </c>
      <c r="E217" s="13">
        <v>43036.047962962963</v>
      </c>
      <c r="F217" s="13">
        <v>43036.050115740742</v>
      </c>
      <c r="G217" s="7">
        <v>50</v>
      </c>
      <c r="H217" s="21" t="s">
        <v>997</v>
      </c>
      <c r="I217" s="13">
        <v>43036.075173611112</v>
      </c>
      <c r="J217" s="7">
        <v>0</v>
      </c>
      <c r="K217" s="89" t="str">
        <f>IF(ISEVEN(B217),(B217-1)&amp;"/"&amp;B217,B217&amp;"/"&amp;(B217+1))</f>
        <v>4035/4036</v>
      </c>
      <c r="L217" s="185" t="str">
        <f>VLOOKUP(A217,'Trips&amp;Operators'!$C$1:$G$99911,5,FALSE)</f>
        <v>MCREYNOLDS KYLE</v>
      </c>
      <c r="M217" s="6">
        <f>I217-F217</f>
        <v>2.5057870370801538E-2</v>
      </c>
      <c r="N217" s="7">
        <f>24*60*SUM($M217:$M217)</f>
        <v>36.083333333954215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-28T00:09:04-0600',mode:absolute,to:'2017-10-28T02:48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5.6000000000000001E-2</v>
      </c>
      <c r="Z217" s="204">
        <f>RIGHT(H217,LEN(H217)-4)/10000</f>
        <v>2.3308</v>
      </c>
      <c r="AA217" s="204">
        <f>ABS(Z217-Y217)</f>
        <v>2.2747999999999999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307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s3://rtdc.mdm.uploadarchive.raw/RTDC4036/ "%USERPROFILE%\AppData\Local\Temp\OnboardLogs"\RTDC4036\2017-10-28 --exclude "*" --recursive --include "*20171028*" &amp; "%USERPROFILE%\Documents\GitHub\mrs-test-scripts\Headless Mode &amp; Sideloading\WalkAndUnGZ.bat" "%USERPROFILE%\AppData\Local\Temp\OnboardLogs"\RTDC4036\2017-10-28 &amp; aws s3 cp s3://rtdc.mdm.uploadarchive.raw/RTDC4036/ "%USERPROFILE%\AppData\Local\Temp\OnboardLogs"\RTDC4036\2017-10-29 --exclude "*" --recursive --include "*20171029*" &amp; "%USERPROFILE%\Documents\GitHub\mrs-test-scripts\Headless Mode &amp; Sideloading\WalkAndUnGZ.bat" "%USERPROFILE%\AppData\Local\Temp\OnboardLogs"\RTDC4036\2017-10-29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/stypes="app*4036*20171028*" /stext=" 07:.+((SYSTEM_STATE.+slice.+state.+changed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53"/>
        <v>"%USERPROFILE%\Documents\GitHub\eaglep3\Utilities\RefineRTDCRunTimes.py" --tripid 307-27 --locoid 4036 --swversion DE.1.0.9.0 --startMP 204:560 --initTime 2017-10-28T01:09:04 --startdatetime 2017-10-28T01:12:10 --delay 50 --endMP 300:23308 --enddatetime 2017-10-28T01:48:15 --enforcementcount 0 &gt;&gt;%USERPROFILE%\Documents\GitHub\eaglep3-reporting\EC\2017-10-27-refined-times.txt</v>
      </c>
      <c r="AI217" s="96" t="str">
        <f t="shared" si="54"/>
        <v>echo {"issue":{"subject":"","project_id":79,"tracker_id":40,"status_id":1,"priority_id":2,"assigned_to_id":338,"start_date":"2017-10-28","description":"","custom_fields":[{"id":1,"name":"Subdivision","value":"Other"},{"id":4,"name":"Milepost","value":"2.3308"},{"id":17,"name":"Train ID","value":"307-27"},{"id":16,"name":"Locomotive ID","value":"4036"},{"id":130,"name":"Impact","value":""},{"id":150,"name":"Time of Event (Mountain Time)","value":"01:48:15"},{"id":151,"name":"Denver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55"/>
        <v>start /low /b %USERPROFILE%\Documents\GitHub\eaglep3\Utilities\DownloadLogsFromS3.py --loco 4036 --day 2017-10-28</v>
      </c>
      <c r="AN217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07:48:15"},{"id":29,"name":"Sharepoint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57"/>
        <v>https://d0f6bd738d7f1b3e5a7ca70fe4ff75f0.us-east-1.aws.found.io/app/kibana#/discover/Steve-Slow-Train-Analysis-(2080s-and-2083s)?_g=(refreshInterval:(display:Off,pause:!f,section:0,value:0),time:(from:'2017-10-28T00:09:04-0600',mode:absolute,to:'2017-10-28T02:48:15-0600'))&amp;_a=(columns:!('Message%20ID',Summary),filters:!(),index:'emp_*',interval:auto,query:(query_string:(analyze_wildcard:!t,query:'%22rtdc.l.rtdc.4036%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655</v>
      </c>
      <c r="B218" s="7">
        <v>4051</v>
      </c>
      <c r="C218" s="21" t="s">
        <v>194</v>
      </c>
      <c r="D218" s="21" t="s">
        <v>999</v>
      </c>
      <c r="E218" s="13">
        <v>43035.182719907411</v>
      </c>
      <c r="F218" s="13">
        <v>43035.189293981479</v>
      </c>
      <c r="G218" s="7">
        <v>93</v>
      </c>
      <c r="H218" s="21" t="s">
        <v>356</v>
      </c>
      <c r="I218" s="13">
        <v>43035.194756944446</v>
      </c>
      <c r="J218" s="7">
        <v>0</v>
      </c>
      <c r="K218" s="89" t="str">
        <f>IF(ISEVEN(B218),(B218-1)&amp;"/"&amp;B218,B218&amp;"/"&amp;(B218+1))</f>
        <v>4051/4052</v>
      </c>
      <c r="L218" s="185" t="str">
        <f>VLOOKUP(A218,'Trips&amp;Operators'!$C$1:$G$99911,5,FALSE)</f>
        <v>DAVIS WENDY</v>
      </c>
      <c r="M218" s="6">
        <f>I218-F218</f>
        <v>5.4629629667033441E-3</v>
      </c>
      <c r="N218" s="7">
        <f>24*60*SUM($M218:$M218)</f>
        <v>7.8666666720528156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-27T03:23:07-0600',mode:absolute,to:'2017-10-27T05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2.2471999999999999</v>
      </c>
      <c r="Z218" s="204">
        <f>RIGHT(H218,LEN(H218)-4)/10000</f>
        <v>1.5800000000000002E-2</v>
      </c>
      <c r="AA218" s="204">
        <f>ABS(Z218-Y218)</f>
        <v>2.2313999999999998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308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s3://rtdc.mdm.uploadarchive.raw/RTDC4051/ "%USERPROFILE%\AppData\Local\Temp\OnboardLogs"\RTDC4051\2017-10-27 --exclude "*" --recursive --include "*20171027*" &amp; "%USERPROFILE%\Documents\GitHub\mrs-test-scripts\Headless Mode &amp; Sideloading\WalkAndUnGZ.bat" "%USERPROFILE%\AppData\Local\Temp\OnboardLogs"\RTDC4051\2017-10-27 &amp; aws s3 cp s3://rtdc.mdm.uploadarchive.raw/RTDC4051/ "%USERPROFILE%\AppData\Local\Temp\OnboardLogs"\RTDC4051\2017-10-28 --exclude "*" --recursive --include "*20171028*" &amp; "%USERPROFILE%\Documents\GitHub\mrs-test-scripts\Headless Mode &amp; Sideloading\WalkAndUnGZ.bat" "%USERPROFILE%\AppData\Local\Temp\OnboardLogs"\RTDC4051\2017-10-28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/stypes="app*4051*20171027*" /stext=" 10:.+((SYSTEM_STATE.+slice.+state.+changed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53"/>
        <v>"%USERPROFILE%\Documents\GitHub\eaglep3\Utilities\RefineRTDCRunTimes.py" --tripid 308-27 --locoid 4051 --swversion DE.1.0.9.0 --startMP 300:22472 --initTime 2017-10-27T04:23:07 --startdatetime 2017-10-27T04:32:35 --delay 93 --endMP 204:158 --enddatetime 2017-10-27T04:40:27 --enforcementcount 0 &gt;&gt;%USERPROFILE%\Documents\GitHub\eaglep3-reporting\EC\2017-10-27-refined-times.txt</v>
      </c>
      <c r="AI218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{"issue":{"subject":"","project_id":79,"tracker_id":40,"status_id":1,"priority_id":2,"assigned_to_id":338,"start_date":"2017-10-27","description":"","custom_fields":[{"id":1,"name":"Subdivision","value":"Other"},{"id":4,"name":"Milepost","value":"0.0158"},{"id":17,"name":"Train ID","value":"308-27"},{"id":16,"name":"Locomotive ID","value":"4051"},{"id":130,"name":"Impact","value":""},{"id":150,"name":"Time of Event (Mountain Time)","value":"04:40:27"},{"id":151,"name":"Denver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55"/>
        <v>start /low /b %USERPROFILE%\Documents\GitHub\eaglep3\Utilities\DownloadLogsFromS3.py --loco 4051 --day 2017-10-27</v>
      </c>
      <c r="AN218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10:40:27"},{"id":29,"name":"Sharepoint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57"/>
        <v>https://d0f6bd738d7f1b3e5a7ca70fe4ff75f0.us-east-1.aws.found.io/app/kibana#/discover/Steve-Slow-Train-Analysis-(2080s-and-2083s)?_g=(refreshInterval:(display:Off,pause:!f,section:0,value:0),time:(from:'2017-10-27T03:23:07-0600',mode:absolute,to:'2017-10-27T05:40:27-0600'))&amp;_a=(columns:!('Message%20ID',Summary),filters:!(),index:'emp_*',interval:auto,query:(query_string:(analyze_wildcard:!t,query:'%22rtdc.l.rtdc.4051%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870</v>
      </c>
      <c r="B219" s="7">
        <v>4006</v>
      </c>
      <c r="C219" s="21" t="s">
        <v>194</v>
      </c>
      <c r="D219" s="21" t="s">
        <v>1000</v>
      </c>
      <c r="E219" s="13">
        <v>43036.06962962963</v>
      </c>
      <c r="F219" s="13">
        <v>43036.071203703701</v>
      </c>
      <c r="G219" s="7">
        <v>64</v>
      </c>
      <c r="H219" s="21" t="s">
        <v>1001</v>
      </c>
      <c r="I219" s="13">
        <v>43036.081134259257</v>
      </c>
      <c r="J219" s="7">
        <v>0</v>
      </c>
      <c r="K219" s="89" t="str">
        <f>IF(ISEVEN(B219),(B219-1)&amp;"/"&amp;B219,B219&amp;"/"&amp;(B219+1))</f>
        <v>4005/4006</v>
      </c>
      <c r="L219" s="185" t="str">
        <f>VLOOKUP(A219,'Trips&amp;Operators'!$C$1:$G$99911,5,FALSE)</f>
        <v>NICHOLSON WESLEY</v>
      </c>
      <c r="M219" s="6">
        <f>I219-F219</f>
        <v>9.930555555911269E-3</v>
      </c>
      <c r="N219" s="7">
        <f>24*60*SUM($M219:$M219)</f>
        <v>14.300000000512227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-28T00:40:16-0600',mode:absolute,to:'2017-10-28T02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6.0600000000000001E-2</v>
      </c>
      <c r="Z219" s="204">
        <f>RIGHT(H219,LEN(H219)-4)/10000</f>
        <v>2.3298999999999999</v>
      </c>
      <c r="AA219" s="204">
        <f>ABS(Z219-Y219)</f>
        <v>2.2692999999999999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309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s3://rtdc.mdm.uploadarchive.raw/RTDC4006/ "%USERPROFILE%\AppData\Local\Temp\OnboardLogs"\RTDC4006\2017-10-28 --exclude "*" --recursive --include "*20171028*" &amp; "%USERPROFILE%\Documents\GitHub\mrs-test-scripts\Headless Mode &amp; Sideloading\WalkAndUnGZ.bat" "%USERPROFILE%\AppData\Local\Temp\OnboardLogs"\RTDC4006\2017-10-28 &amp; 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/stypes="app*4006*20171028*" /stext=" 07:.+((SYSTEM_STATE.+slice.+state.+changed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53"/>
        <v>"%USERPROFILE%\Documents\GitHub\eaglep3\Utilities\RefineRTDCRunTimes.py" --tripid 309-27 --locoid 4006 --swversion DE.1.0.9.0 --startMP 204:606 --initTime 2017-10-28T01:40:16 --startdatetime 2017-10-28T01:42:32 --delay 64 --endMP 300:23299 --enddatetime 2017-10-28T01:56:50 --enforcementcount 0 &gt;&gt;%USERPROFILE%\Documents\GitHub\eaglep3-reporting\EC\2017-10-27-refined-times.txt</v>
      </c>
      <c r="AI219" s="96" t="str">
        <f t="shared" si="54"/>
        <v>echo {"issue":{"subject":"","project_id":79,"tracker_id":40,"status_id":1,"priority_id":2,"assigned_to_id":338,"start_date":"2017-10-28","description":"","custom_fields":[{"id":1,"name":"Subdivision","value":"Other"},{"id":4,"name":"Milepost","value":"2.3299"},{"id":17,"name":"Train ID","value":"309-27"},{"id":16,"name":"Locomotive ID","value":"4006"},{"id":130,"name":"Impact","value":""},{"id":150,"name":"Time of Event (Mountain Time)","value":"01:56:50"},{"id":151,"name":"Denver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55"/>
        <v>start /low /b %USERPROFILE%\Documents\GitHub\eaglep3\Utilities\DownloadLogsFromS3.py --loco 4006 --day 2017-10-28</v>
      </c>
      <c r="AN219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07:56:50"},{"id":29,"name":"Sharepoint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57"/>
        <v>https://d0f6bd738d7f1b3e5a7ca70fe4ff75f0.us-east-1.aws.found.io/app/kibana#/discover/Steve-Slow-Train-Analysis-(2080s-and-2083s)?_g=(refreshInterval:(display:Off,pause:!f,section:0,value:0),time:(from:'2017-10-28T00:40:16-0600',mode:absolute,to:'2017-10-28T02:56:50-0600'))&amp;_a=(columns:!('Message%20ID',Summary),filters:!(),index:'emp_*',interval:auto,query:(query_string:(analyze_wildcard:!t,query:'%22rtdc.l.rtdc.4006%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660</v>
      </c>
      <c r="B220" s="7">
        <v>4013</v>
      </c>
      <c r="C220" s="21" t="s">
        <v>194</v>
      </c>
      <c r="D220" s="21" t="s">
        <v>1002</v>
      </c>
      <c r="E220" s="13">
        <v>43035.199907407405</v>
      </c>
      <c r="F220" s="13">
        <v>43035.203738425924</v>
      </c>
      <c r="G220" s="7">
        <v>182</v>
      </c>
      <c r="H220" s="21" t="s">
        <v>576</v>
      </c>
      <c r="I220" s="13">
        <v>43035.211041666669</v>
      </c>
      <c r="J220" s="7">
        <v>0</v>
      </c>
      <c r="K220" s="89" t="str">
        <f>IF(ISEVEN(B220),(B220-1)&amp;"/"&amp;B220,B220&amp;"/"&amp;(B220+1))</f>
        <v>4013/4014</v>
      </c>
      <c r="L220" s="185" t="str">
        <f>VLOOKUP(A220,'Trips&amp;Operators'!$C$1:$G$99911,5,FALSE)</f>
        <v>MACDONALD THOMAS</v>
      </c>
      <c r="M220" s="6">
        <f>I220-F220</f>
        <v>7.3032407453865744E-3</v>
      </c>
      <c r="N220" s="7">
        <f>24*60*SUM($M220:$M220)</f>
        <v>10.516666673356667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-27T03:47:52-0600',mode:absolute,to:'2017-10-27T06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2.3637000000000001</v>
      </c>
      <c r="Z220" s="204">
        <f>RIGHT(H220,LEN(H220)-4)/10000</f>
        <v>1.6899999999999998E-2</v>
      </c>
      <c r="AA220" s="204">
        <f>ABS(Z220-Y220)</f>
        <v>2.3468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310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/stypes="app*4013*20171027*" /stext=" 11:.+((SYSTEM_STATE.+slice.+state.+changed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53"/>
        <v>"%USERPROFILE%\Documents\GitHub\eaglep3\Utilities\RefineRTDCRunTimes.py" --tripid 310-27 --locoid 4013 --swversion DE.1.0.9.0 --startMP 300:23637 --initTime 2017-10-27T04:47:52 --startdatetime 2017-10-27T04:53:23 --delay 182 --endMP 204:169 --enddatetime 2017-10-27T05:03:54 --enforcementcount 0 &gt;&gt;%USERPROFILE%\Documents\GitHub\eaglep3-reporting\EC\2017-10-27-refined-times.txt</v>
      </c>
      <c r="AI220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{"issue":{"subject":"","project_id":79,"tracker_id":40,"status_id":1,"priority_id":2,"assigned_to_id":338,"start_date":"2017-10-27","description":"","custom_fields":[{"id":1,"name":"Subdivision","value":"Other"},{"id":4,"name":"Milepost","value":"0.0169"},{"id":17,"name":"Train ID","value":"310-27"},{"id":16,"name":"Locomotive ID","value":"4013"},{"id":130,"name":"Impact","value":""},{"id":150,"name":"Time of Event (Mountain Time)","value":"05:03:54"},{"id":151,"name":"Denver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55"/>
        <v>start /low /b %USERPROFILE%\Documents\GitHub\eaglep3\Utilities\DownloadLogsFromS3.py --loco 4013 --day 2017-10-27</v>
      </c>
      <c r="AN220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57"/>
        <v>https://d0f6bd738d7f1b3e5a7ca70fe4ff75f0.us-east-1.aws.found.io/app/kibana#/discover/Steve-Slow-Train-Analysis-(2080s-and-2083s)?_g=(refreshInterval:(display:Off,pause:!f,section:0,value:0),time:(from:'2017-10-27T03:47:52-0600',mode:absolute,to:'2017-10-27T06:03:54-0600'))&amp;_a=(columns:!('Message%20ID',Summary),filters:!(),index:'emp_*',interval:auto,query:(query_string:(analyze_wildcard:!t,query:'%22rtdc.l.rtdc.4013%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871</v>
      </c>
      <c r="B221" s="7">
        <v>4008</v>
      </c>
      <c r="C221" s="21" t="s">
        <v>194</v>
      </c>
      <c r="D221" s="21" t="s">
        <v>609</v>
      </c>
      <c r="E221" s="13">
        <v>43036.086875000001</v>
      </c>
      <c r="F221" s="13">
        <v>43036.088761574072</v>
      </c>
      <c r="G221" s="7">
        <v>54</v>
      </c>
      <c r="H221" s="21" t="s">
        <v>997</v>
      </c>
      <c r="I221" s="13">
        <v>43036.095995370371</v>
      </c>
      <c r="J221" s="7">
        <v>0</v>
      </c>
      <c r="K221" s="89" t="str">
        <f>IF(ISEVEN(B221),(B221-1)&amp;"/"&amp;B221,B221&amp;"/"&amp;(B221+1))</f>
        <v>4007/4008</v>
      </c>
      <c r="L221" s="185" t="str">
        <f>VLOOKUP(A221,'Trips&amp;Operators'!$C$1:$G$99911,5,FALSE)</f>
        <v>ELBAUM MIKE</v>
      </c>
      <c r="M221" s="6">
        <f>I221-F221</f>
        <v>7.2337962992605753E-3</v>
      </c>
      <c r="N221" s="7">
        <f>24*60*SUM($M221:$M221)</f>
        <v>10.416666670935228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-28T01:05:06-0600',mode:absolute,to:'2017-10-28T03:18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5.7099999999999998E-2</v>
      </c>
      <c r="Z221" s="204">
        <f>RIGHT(H221,LEN(H221)-4)/10000</f>
        <v>2.3308</v>
      </c>
      <c r="AA221" s="204">
        <f>ABS(Z221-Y221)</f>
        <v>2.2736999999999998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311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 &amp; aws s3 cp s3://rtdc.mdm.uploadarchive.raw/RTDC4008/ "%USERPROFILE%\AppData\Local\Temp\OnboardLogs"\RTDC4008\2017-10-29 --exclude "*" --recursive --include "*20171029*" &amp; "%USERPROFILE%\Documents\GitHub\mrs-test-scripts\Headless Mode &amp; Sideloading\WalkAndUnGZ.bat" "%USERPROFILE%\AppData\Local\Temp\OnboardLogs"\RTDC4008\2017-10-29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/stypes="app*4008*20171028*" /stext=" 08:.+((SYSTEM_STATE.+slice.+state.+changed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53"/>
        <v>"%USERPROFILE%\Documents\GitHub\eaglep3\Utilities\RefineRTDCRunTimes.py" --tripid 311-27 --locoid 4008 --swversion DE.1.0.9.0 --startMP 204:571 --initTime 2017-10-28T02:05:06 --startdatetime 2017-10-28T02:07:49 --delay 54 --endMP 300:23308 --enddatetime 2017-10-28T02:18:14 --enforcementcount 0 &gt;&gt;%USERPROFILE%\Documents\GitHub\eaglep3-reporting\EC\2017-10-27-refined-times.txt</v>
      </c>
      <c r="AI221" s="96" t="str">
        <f t="shared" si="54"/>
        <v>echo {"issue":{"subject":"","project_id":79,"tracker_id":40,"status_id":1,"priority_id":2,"assigned_to_id":338,"start_date":"2017-10-28","description":"","custom_fields":[{"id":1,"name":"Subdivision","value":"Other"},{"id":4,"name":"Milepost","value":"2.3308"},{"id":17,"name":"Train ID","value":"311-27"},{"id":16,"name":"Locomotive ID","value":"4008"},{"id":130,"name":"Impact","value":""},{"id":150,"name":"Time of Event (Mountain Time)","value":"02:18:14"},{"id":151,"name":"Denver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55"/>
        <v>start /low /b %USERPROFILE%\Documents\GitHub\eaglep3\Utilities\DownloadLogsFromS3.py --loco 4008 --day 2017-10-28</v>
      </c>
      <c r="AN221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08:18:14"},{"id":29,"name":"Sharepoint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57"/>
        <v>https://d0f6bd738d7f1b3e5a7ca70fe4ff75f0.us-east-1.aws.found.io/app/kibana#/discover/Steve-Slow-Train-Analysis-(2080s-and-2083s)?_g=(refreshInterval:(display:Off,pause:!f,section:0,value:0),time:(from:'2017-10-28T01:05:06-0600',mode:absolute,to:'2017-10-28T03:18:14-0600'))&amp;_a=(columns:!('Message%20ID',Summary),filters:!(),index:'emp_*',interval:auto,query:(query_string:(analyze_wildcard:!t,query:'%22rtdc.l.rtdc.4008%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667</v>
      </c>
      <c r="B222" s="7">
        <v>4055</v>
      </c>
      <c r="C222" s="21" t="s">
        <v>194</v>
      </c>
      <c r="D222" s="21" t="s">
        <v>1003</v>
      </c>
      <c r="E222" s="13">
        <v>43035.216585648152</v>
      </c>
      <c r="F222" s="13">
        <v>43035.219467592593</v>
      </c>
      <c r="G222" s="7">
        <v>74</v>
      </c>
      <c r="H222" s="21" t="s">
        <v>358</v>
      </c>
      <c r="I222" s="13">
        <v>43035.225162037037</v>
      </c>
      <c r="J222" s="7">
        <v>0</v>
      </c>
      <c r="K222" s="89" t="str">
        <f>IF(ISEVEN(B222),(B222-1)&amp;"/"&amp;B222,B222&amp;"/"&amp;(B222+1))</f>
        <v>4055/4056</v>
      </c>
      <c r="L222" s="185" t="str">
        <f>VLOOKUP(A222,'Trips&amp;Operators'!$C$1:$G$99911,5,FALSE)</f>
        <v>YANAI IAN</v>
      </c>
      <c r="M222" s="6">
        <f>I222-F222</f>
        <v>5.694444444088731E-3</v>
      </c>
      <c r="N222" s="7">
        <f>24*60*SUM($M222:$M222)</f>
        <v>8.1999999994877726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-27T04:11:53-0600',mode:absolute,to:'2017-10-27T06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2.3569</v>
      </c>
      <c r="Z222" s="204">
        <f>RIGHT(H222,LEN(H222)-4)/10000</f>
        <v>1.54E-2</v>
      </c>
      <c r="AA222" s="204">
        <f>ABS(Z222-Y222)</f>
        <v>2.3414999999999999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312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s3://rtdc.mdm.uploadarchive.raw/RTDC4055/ "%USERPROFILE%\AppData\Local\Temp\OnboardLogs"\RTDC4055\2017-10-27 --exclude "*" --recursive --include "*20171027*" &amp; "%USERPROFILE%\Documents\GitHub\mrs-test-scripts\Headless Mode &amp; Sideloading\WalkAndUnGZ.bat" "%USERPROFILE%\AppData\Local\Temp\OnboardLogs"\RTDC4055\2017-10-27 &amp; aws s3 cp s3://rtdc.mdm.uploadarchive.raw/RTDC4055/ "%USERPROFILE%\AppData\Local\Temp\OnboardLogs"\RTDC4055\2017-10-28 --exclude "*" --recursive --include "*20171028*" &amp; "%USERPROFILE%\Documents\GitHub\mrs-test-scripts\Headless Mode &amp; Sideloading\WalkAndUnGZ.bat" "%USERPROFILE%\AppData\Local\Temp\OnboardLogs"\RTDC4055\2017-10-28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/stypes="app*4055*20171027*" /stext=" 11:.+((SYSTEM_STATE.+slice.+state.+changed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53"/>
        <v>"%USERPROFILE%\Documents\GitHub\eaglep3\Utilities\RefineRTDCRunTimes.py" --tripid 312-27 --locoid 4055 --swversion DE.1.0.9.0 --startMP 300:23569 --initTime 2017-10-27T05:11:53 --startdatetime 2017-10-27T05:16:02 --delay 74 --endMP 204:154 --enddatetime 2017-10-27T05:24:14 --enforcementcount 0 &gt;&gt;%USERPROFILE%\Documents\GitHub\eaglep3-reporting\EC\2017-10-27-refined-times.txt</v>
      </c>
      <c r="AI222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{"issue":{"subject":"","project_id":79,"tracker_id":40,"status_id":1,"priority_id":2,"assigned_to_id":338,"start_date":"2017-10-27","description":"","custom_fields":[{"id":1,"name":"Subdivision","value":"Other"},{"id":4,"name":"Milepost","value":"0.0154"},{"id":17,"name":"Train ID","value":"312-27"},{"id":16,"name":"Locomotive ID","value":"4055"},{"id":130,"name":"Impact","value":""},{"id":150,"name":"Time of Event (Mountain Time)","value":"05:24:14"},{"id":151,"name":"Denver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55"/>
        <v>start /low /b %USERPROFILE%\Documents\GitHub\eaglep3\Utilities\DownloadLogsFromS3.py --loco 4055 --day 2017-10-27</v>
      </c>
      <c r="AN222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57"/>
        <v>https://d0f6bd738d7f1b3e5a7ca70fe4ff75f0.us-east-1.aws.found.io/app/kibana#/discover/Steve-Slow-Train-Analysis-(2080s-and-2083s)?_g=(refreshInterval:(display:Off,pause:!f,section:0,value:0),time:(from:'2017-10-27T04:11:53-0600',mode:absolute,to:'2017-10-27T06:24:14-0600'))&amp;_a=(columns:!('Message%20ID',Summary),filters:!(),index:'emp_*',interval:auto,query:(query_string:(analyze_wildcard:!t,query:'%22rtdc.l.rtdc.4055%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659</v>
      </c>
      <c r="B223" s="7">
        <v>4030</v>
      </c>
      <c r="C223" s="21" t="s">
        <v>194</v>
      </c>
      <c r="D223" s="21" t="s">
        <v>1089</v>
      </c>
      <c r="E223" s="13">
        <v>43035.19908564815</v>
      </c>
      <c r="F223" s="13">
        <v>43035.204236111109</v>
      </c>
      <c r="G223" s="7">
        <v>101</v>
      </c>
      <c r="H223" s="21" t="s">
        <v>1090</v>
      </c>
      <c r="I223" s="13">
        <v>43035.210659722223</v>
      </c>
      <c r="J223" s="7">
        <v>0</v>
      </c>
      <c r="K223" s="89" t="str">
        <f>IF(ISEVEN(B223),(B223-1)&amp;"/"&amp;B223,B223&amp;"/"&amp;(B223+1))</f>
        <v>4029/4030</v>
      </c>
      <c r="L223" s="185" t="str">
        <f>VLOOKUP(A223,'Trips&amp;Operators'!$C$1:$G$99911,5,FALSE)</f>
        <v>WILLIAMS DONTE</v>
      </c>
      <c r="M223" s="6">
        <f>I223-F223</f>
        <v>6.4236111138598062E-3</v>
      </c>
      <c r="N223" s="7">
        <f>24*60*SUM($M223:$M223)</f>
        <v>9.2500000039581209</v>
      </c>
      <c r="O223" s="7"/>
      <c r="P223" s="7"/>
      <c r="Q223" s="22"/>
      <c r="R223" s="174"/>
      <c r="S223" s="221">
        <f>1/IF(AG223="EC",12,1)*SUM(U223:U223)</f>
        <v>0</v>
      </c>
      <c r="T223" s="174" t="str">
        <f>IF(ISEVEN(LEFT(AD223,4)),"Southbound","NorthBound")</f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-27T03:46:41-0600',mode:absolute,to:'2017-10-27T06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589</v>
      </c>
      <c r="Y223" s="204">
        <f>RIGHT(D223,LEN(D223)-4)/10000</f>
        <v>2.9990999999999999</v>
      </c>
      <c r="Z223" s="204">
        <f>RIGHT(H223,LEN(H223)-4)/10000</f>
        <v>5.8935000000000004</v>
      </c>
      <c r="AA223" s="204">
        <f>ABS(Z223-Y223)</f>
        <v>2.8944000000000005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901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 &amp; aws s3 cp s3://rtdc.mdm.uploadarchive.raw/RTDC4030/ "%USERPROFILE%\AppData\Local\Temp\OnboardLogs"\RTDC4030\2017-10-28 --exclude "*" --recursive --include "*20171028*" &amp; "%USERPROFILE%\Documents\GitHub\mrs-test-scripts\Headless Mode &amp; Sideloading\WalkAndUnGZ.bat" "%USERPROFILE%\AppData\Local\Temp\OnboardLogs"\RTDC4030\2017-10-28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/stypes="app*4030*20171027*" /stext=" 11:.+((SYSTEM_STATE.+slice.+state.+changed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53"/>
        <v>"%USERPROFILE%\Documents\GitHub\eaglep3\Utilities\RefineRTDCRunTimes.py" --tripid 901-27 --locoid 4030 --swversion DE.1.0.9.0 --startMP 300:29991 --initTime 2017-10-27T04:46:41 --startdatetime 2017-10-27T04:54:06 --delay 101 --endMP 300:58935 --enddatetime 2017-10-27T05:03:21 --enforcementcount 0 &gt;&gt;%USERPROFILE%\Documents\GitHub\eaglep3-reporting\EC\2017-10-27-refined-times.txt</v>
      </c>
      <c r="AI223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{"issue":{"subject":"","project_id":79,"tracker_id":40,"status_id":1,"priority_id":2,"assigned_to_id":338,"start_date":"2017-10-27","description":"","custom_fields":[{"id":1,"name":"Subdivision","value":"Other"},{"id":4,"name":"Milepost","value":"5.8935"},{"id":17,"name":"Train ID","value":"901-27"},{"id":16,"name":"Locomotive ID","value":"4030"},{"id":130,"name":"Impact","value":""},{"id":150,"name":"Time of Event (Mountain Time)","value":"05:03:21"},{"id":151,"name":"Denver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55"/>
        <v>start /low /b %USERPROFILE%\Documents\GitHub\eaglep3\Utilities\DownloadLogsFromS3.py --loco 4030 --day 2017-10-27</v>
      </c>
      <c r="AN223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11:03:21"},{"id":29,"name":"Sharepoint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57"/>
        <v>https://d0f6bd738d7f1b3e5a7ca70fe4ff75f0.us-east-1.aws.found.io/app/kibana#/discover/Steve-Slow-Train-Analysis-(2080s-and-2083s)?_g=(refreshInterval:(display:Off,pause:!f,section:0,value:0),time:(from:'2017-10-27T03:46:41-0600',mode:absolute,to:'2017-10-27T06:03:21-0600'))&amp;_a=(columns:!('Message%20ID',Summary),filters:!(),index:'emp_*',interval:auto,query:(query_string:(analyze_wildcard:!t,query:'%22rtdc.l.rtdc.4030%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673</v>
      </c>
      <c r="B224" s="7">
        <v>4003</v>
      </c>
      <c r="C224" s="21" t="s">
        <v>194</v>
      </c>
      <c r="D224" s="21" t="s">
        <v>1091</v>
      </c>
      <c r="E224" s="13">
        <v>43035.236168981479</v>
      </c>
      <c r="F224" s="13">
        <v>43035.244583333333</v>
      </c>
      <c r="G224" s="7">
        <v>84</v>
      </c>
      <c r="H224" s="21" t="s">
        <v>1092</v>
      </c>
      <c r="I224" s="13">
        <v>43035.250324074077</v>
      </c>
      <c r="J224" s="7">
        <v>0</v>
      </c>
      <c r="K224" s="89" t="str">
        <f>IF(ISEVEN(B224),(B224-1)&amp;"/"&amp;B224,B224&amp;"/"&amp;(B224+1))</f>
        <v>4003/4004</v>
      </c>
      <c r="L224" s="185" t="str">
        <f>VLOOKUP(A224,'Trips&amp;Operators'!$C$1:$G$99911,5,FALSE)</f>
        <v>BARRON PERLA</v>
      </c>
      <c r="M224" s="6">
        <f>I224-F224</f>
        <v>5.7407407439313829E-3</v>
      </c>
      <c r="N224" s="7">
        <f>24*60*SUM($M224:$M224)</f>
        <v>8.2666666712611914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-27T04:40:05-0600',mode:absolute,to:'2017-10-27T07:00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2.3837000000000002</v>
      </c>
      <c r="Z224" s="204">
        <f>RIGHT(H224,LEN(H224)-4)/10000</f>
        <v>6.4500000000000002E-2</v>
      </c>
      <c r="AA224" s="204">
        <f>ABS(Z224-Y224)</f>
        <v>2.3192000000000004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902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/stypes="app*4003*20171027*" /stext=" 12:.+((SYSTEM_STATE.+slice.+state.+changed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53"/>
        <v>"%USERPROFILE%\Documents\GitHub\eaglep3\Utilities\RefineRTDCRunTimes.py" --tripid 902-27 --locoid 4003 --swversion DE.1.0.9.0 --startMP 300:23837 --initTime 2017-10-27T05:40:05 --startdatetime 2017-10-27T05:52:12 --delay 84 --endMP 204:645 --enddatetime 2017-10-27T06:00:28 --enforcementcount 0 &gt;&gt;%USERPROFILE%\Documents\GitHub\eaglep3-reporting\EC\2017-10-27-refined-times.txt</v>
      </c>
      <c r="AI224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{"issue":{"subject":"","project_id":79,"tracker_id":40,"status_id":1,"priority_id":2,"assigned_to_id":338,"start_date":"2017-10-27","description":"","custom_fields":[{"id":1,"name":"Subdivision","value":"Other"},{"id":4,"name":"Milepost","value":"0.0645"},{"id":17,"name":"Train ID","value":"902-27"},{"id":16,"name":"Locomotive ID","value":"4003"},{"id":130,"name":"Impact","value":""},{"id":150,"name":"Time of Event (Mountain Time)","value":"06:00:28"},{"id":151,"name":"Denver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55"/>
        <v>start /low /b %USERPROFILE%\Documents\GitHub\eaglep3\Utilities\DownloadLogsFromS3.py --loco 4003 --day 2017-10-27</v>
      </c>
      <c r="AN224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12:00:28"},{"id":29,"name":"Sharepoint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57"/>
        <v>https://d0f6bd738d7f1b3e5a7ca70fe4ff75f0.us-east-1.aws.found.io/app/kibana#/discover/Steve-Slow-Train-Analysis-(2080s-and-2083s)?_g=(refreshInterval:(display:Off,pause:!f,section:0,value:0),time:(from:'2017-10-27T04:40:05-0600',mode:absolute,to:'2017-10-27T07:00:28-0600'))&amp;_a=(columns:!('Message%20ID',Summary),filters:!(),index:'emp_*',interval:auto,query:(query_string:(analyze_wildcard:!t,query:'%22rtdc.l.rtdc.4003%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706</v>
      </c>
      <c r="B225" s="7">
        <v>4030</v>
      </c>
      <c r="C225" s="21" t="s">
        <v>194</v>
      </c>
      <c r="D225" s="21" t="s">
        <v>1093</v>
      </c>
      <c r="E225" s="13">
        <v>43035.354571759257</v>
      </c>
      <c r="F225" s="13">
        <v>43035.357685185183</v>
      </c>
      <c r="G225" s="7">
        <v>83</v>
      </c>
      <c r="H225" s="21" t="s">
        <v>1094</v>
      </c>
      <c r="I225" s="13">
        <v>43035.365543981483</v>
      </c>
      <c r="J225" s="7">
        <v>0</v>
      </c>
      <c r="K225" s="89" t="str">
        <f>IF(ISEVEN(B225),(B225-1)&amp;"/"&amp;B225,B225&amp;"/"&amp;(B225+1))</f>
        <v>4029/4030</v>
      </c>
      <c r="L225" s="185" t="str">
        <f>VLOOKUP(A225,'Trips&amp;Operators'!$C$1:$G$99911,5,FALSE)</f>
        <v>WILLIAMS DONTE</v>
      </c>
      <c r="M225" s="6">
        <f>I225-F225</f>
        <v>7.8587962998426519E-3</v>
      </c>
      <c r="N225" s="7">
        <f>24*60*SUM($M225:$M225)</f>
        <v>11.316666671773419</v>
      </c>
      <c r="O225" s="7"/>
      <c r="P225" s="7"/>
      <c r="Q225" s="22"/>
      <c r="R225" s="174"/>
      <c r="S225" s="221">
        <f>1/IF(AG225="EC",12,1)*SUM(U225:U225)</f>
        <v>1</v>
      </c>
      <c r="T225" s="174" t="str">
        <f>IF(ISEVEN(LEFT(AD225,4)),"Southbound","NorthBound")</f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-27T07:30:35-0600',mode:absolute,to:'2017-10-27T09:46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1</v>
      </c>
      <c r="Y225" s="204">
        <f>RIGHT(D225,LEN(D225)-4)/10000</f>
        <v>3.6499999999999998E-2</v>
      </c>
      <c r="Z225" s="204">
        <f>RIGHT(H225,LEN(H225)-4)/10000</f>
        <v>2.4203000000000001</v>
      </c>
      <c r="AA225" s="204">
        <f>ABS(Z225-Y225)</f>
        <v>2.3837999999999999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903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 &amp; aws s3 cp s3://rtdc.mdm.uploadarchive.raw/RTDC4030/ "%USERPROFILE%\AppData\Local\Temp\OnboardLogs"\RTDC4030\2017-10-28 --exclude "*" --recursive --include "*20171028*" &amp; "%USERPROFILE%\Documents\GitHub\mrs-test-scripts\Headless Mode &amp; Sideloading\WalkAndUnGZ.bat" "%USERPROFILE%\AppData\Local\Temp\OnboardLogs"\RTDC4030\2017-10-28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/stypes="app*4030*20171027*" /stext=" 14:.+((SYSTEM_STATE.+slice.+state.+changed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53"/>
        <v>"%USERPROFILE%\Documents\GitHub\eaglep3\Utilities\RefineRTDCRunTimes.py" --tripid 903-27 --locoid 4030 --swversion DE.1.0.9.0 --startMP 204:365 --initTime 2017-10-27T08:30:35 --startdatetime 2017-10-27T08:35:04 --delay 83 --endMP 300:24203 --enddatetime 2017-10-27T08:46:23 --enforcementcount 0 &gt;&gt;%USERPROFILE%\Documents\GitHub\eaglep3-reporting\EC\2017-10-27-refined-times.txt</v>
      </c>
      <c r="AI225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{"issue":{"subject":"","project_id":79,"tracker_id":40,"status_id":1,"priority_id":2,"assigned_to_id":338,"start_date":"2017-10-27","description":"","custom_fields":[{"id":1,"name":"Subdivision","value":"Other"},{"id":4,"name":"Milepost","value":"2.4203"},{"id":17,"name":"Train ID","value":"903-27"},{"id":16,"name":"Locomotive ID","value":"4030"},{"id":130,"name":"Impact","value":""},{"id":150,"name":"Time of Event (Mountain Time)","value":"08:46:23"},{"id":151,"name":"Denver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55"/>
        <v>start /low /b %USERPROFILE%\Documents\GitHub\eaglep3\Utilities\DownloadLogsFromS3.py --loco 4030 --day 2017-10-27</v>
      </c>
      <c r="AN225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14:46:23"},{"id":29,"name":"Sharepoint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57"/>
        <v>https://d0f6bd738d7f1b3e5a7ca70fe4ff75f0.us-east-1.aws.found.io/app/kibana#/discover/Steve-Slow-Train-Analysis-(2080s-and-2083s)?_g=(refreshInterval:(display:Off,pause:!f,section:0,value:0),time:(from:'2017-10-27T07:30:35-0600',mode:absolute,to:'2017-10-27T09:46:23-0600'))&amp;_a=(columns:!('Message%20ID',Summary),filters:!(),index:'emp_*',interval:auto,query:(query_string:(analyze_wildcard:!t,query:'%22rtdc.l.rtdc.4030%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775</v>
      </c>
      <c r="B226" s="7">
        <v>4029</v>
      </c>
      <c r="C226" s="21" t="s">
        <v>194</v>
      </c>
      <c r="D226" s="21" t="s">
        <v>1095</v>
      </c>
      <c r="E226" s="13">
        <v>43035.632303240738</v>
      </c>
      <c r="F226" s="13">
        <v>43035.63484953704</v>
      </c>
      <c r="G226" s="7">
        <v>66</v>
      </c>
      <c r="H226" s="21" t="s">
        <v>1096</v>
      </c>
      <c r="I226" s="13">
        <v>43035.640393518515</v>
      </c>
      <c r="J226" s="7">
        <v>0</v>
      </c>
      <c r="K226" s="89" t="str">
        <f>IF(ISEVEN(B226),(B226-1)&amp;"/"&amp;B226,B226&amp;"/"&amp;(B226+1))</f>
        <v>4029/4030</v>
      </c>
      <c r="L226" s="185" t="str">
        <f>VLOOKUP(A226,'Trips&amp;Operators'!$C$1:$G$99911,5,FALSE)</f>
        <v>SMITH MICHAEL</v>
      </c>
      <c r="M226" s="6">
        <f>I226-F226</f>
        <v>5.5439814750570804E-3</v>
      </c>
      <c r="N226" s="7">
        <f>24*60*SUM($M226:$M226)</f>
        <v>7.9833333240821958</v>
      </c>
      <c r="O226" s="7"/>
      <c r="P226" s="7"/>
      <c r="Q226" s="22"/>
      <c r="R226" s="174"/>
      <c r="S226" s="221">
        <f>1/IF(AG226="EC",12,1)*SUM(U226:U226)</f>
        <v>1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-27T14:10:31-0600',mode:absolute,to:'2017-10-27T16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1</v>
      </c>
      <c r="Y226" s="204">
        <f>RIGHT(D226,LEN(D226)-4)/10000</f>
        <v>2.3349000000000002</v>
      </c>
      <c r="Z226" s="204">
        <f>RIGHT(H226,LEN(H226)-4)/10000</f>
        <v>1.3100000000000001E-2</v>
      </c>
      <c r="AA226" s="204">
        <f>ABS(Z226-Y226)</f>
        <v>2.3218000000000001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904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/stypes="app*4029*20171027*" /stext=" 21:.+((SYSTEM_STATE.+slice.+state.+changed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53"/>
        <v>"%USERPROFILE%\Documents\GitHub\eaglep3\Utilities\RefineRTDCRunTimes.py" --tripid 904-27 --locoid 4029 --swversion DE.1.0.9.0 --startMP 300:23349 --initTime 2017-10-27T15:10:31 --startdatetime 2017-10-27T15:14:11 --delay 66 --endMP 204:131 --enddatetime 2017-10-27T15:22:10 --enforcementcount 0 &gt;&gt;%USERPROFILE%\Documents\GitHub\eaglep3-reporting\EC\2017-10-27-refined-times.txt</v>
      </c>
      <c r="AI226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{"issue":{"subject":"","project_id":79,"tracker_id":40,"status_id":1,"priority_id":2,"assigned_to_id":338,"start_date":"2017-10-27","description":"","custom_fields":[{"id":1,"name":"Subdivision","value":"Other"},{"id":4,"name":"Milepost","value":"0.0131"},{"id":17,"name":"Train ID","value":"904-27"},{"id":16,"name":"Locomotive ID","value":"4029"},{"id":130,"name":"Impact","value":""},{"id":150,"name":"Time of Event (Mountain Time)","value":"15:22:10"},{"id":151,"name":"Denver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55"/>
        <v>start /low /b %USERPROFILE%\Documents\GitHub\eaglep3\Utilities\DownloadLogsFromS3.py --loco 4029 --day 2017-10-27</v>
      </c>
      <c r="AN226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57"/>
        <v>https://d0f6bd738d7f1b3e5a7ca70fe4ff75f0.us-east-1.aws.found.io/app/kibana#/discover/Steve-Slow-Train-Analysis-(2080s-and-2083s)?_g=(refreshInterval:(display:Off,pause:!f,section:0,value:0),time:(from:'2017-10-27T14:10:31-0600',mode:absolute,to:'2017-10-27T16:22:10-0600'))&amp;_a=(columns:!('Message%20ID',Summary),filters:!(),index:'emp_*',interval:auto,query:(query_string:(analyze_wildcard:!t,query:'%22rtdc.l.rtdc.4029%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824</v>
      </c>
      <c r="B227" s="7">
        <v>4029</v>
      </c>
      <c r="C227" s="21" t="s">
        <v>194</v>
      </c>
      <c r="D227" s="21" t="s">
        <v>1097</v>
      </c>
      <c r="E227" s="13">
        <v>43035.789317129631</v>
      </c>
      <c r="F227" s="13">
        <v>43035.79111111111</v>
      </c>
      <c r="G227" s="7">
        <v>64</v>
      </c>
      <c r="H227" s="21" t="s">
        <v>1098</v>
      </c>
      <c r="I227" s="13">
        <v>43035.796712962961</v>
      </c>
      <c r="J227" s="7">
        <v>0</v>
      </c>
      <c r="K227" s="89" t="str">
        <f>IF(ISEVEN(B227),(B227-1)&amp;"/"&amp;B227,B227&amp;"/"&amp;(B227+1))</f>
        <v>4029/4030</v>
      </c>
      <c r="L227" s="185" t="str">
        <f>VLOOKUP(A227,'Trips&amp;Operators'!$C$1:$G$99911,5,FALSE)</f>
        <v>SMITH MICHAEL</v>
      </c>
      <c r="M227" s="6">
        <f>I227-F227</f>
        <v>5.6018518516793847E-3</v>
      </c>
      <c r="N227" s="7">
        <f>24*60*SUM($M227:$M227)</f>
        <v>8.066666666418314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-27T17:56:37-0600',mode:absolute,to:'2017-10-27T20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2</v>
      </c>
      <c r="Y227" s="204">
        <f>RIGHT(D227,LEN(D227)-4)/10000</f>
        <v>5.8624000000000001</v>
      </c>
      <c r="Z227" s="204">
        <f>RIGHT(H227,LEN(H227)-4)/10000</f>
        <v>2.8793000000000002</v>
      </c>
      <c r="AA227" s="204">
        <f>ABS(Z227-Y227)</f>
        <v>2.9830999999999999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906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/stypes="app*4029*20171028*" /stext=" 01:.+((SYSTEM_STATE.+slice.+state.+changed )|(ment ac)|(multiple cpu faults)|(system.+state.+changed )|(\[timeout)|(PRM\|1\|D)|(kpr)|(kdp)|(train st.+moving)|(\|lc)|(penalty))"</v>
      </c>
      <c r="AG227" s="182" t="str">
        <f>DetSubdiv(A227)</f>
        <v>Other</v>
      </c>
      <c r="AH227" s="78" t="str">
        <f t="shared" si="53"/>
        <v>"%USERPROFILE%\Documents\GitHub\eaglep3\Utilities\RefineRTDCRunTimes.py" --tripid 906-27 --locoid 4029 --swversion DE.1.0.9.0 --startMP 300:58624 --initTime 2017-10-27T18:56:37 --startdatetime 2017-10-27T18:59:12 --delay 64 --endMP 300:28793 --enddatetime 2017-10-27T19:07:16 --enforcementcount 0 &gt;&gt;%USERPROFILE%\Documents\GitHub\eaglep3-reporting\EC\2017-10-27-refined-times.txt</v>
      </c>
      <c r="AI227" s="96" t="str">
        <f t="shared" si="54"/>
        <v>echo {"issue":{"subject":"","project_id":79,"tracker_id":40,"status_id":1,"priority_id":2,"assigned_to_id":338,"start_date":"2017-10-27","description":"","custom_fields":[{"id":1,"name":"Subdivision","value":"Other"},{"id":4,"name":"Milepost","value":"2.8793"},{"id":17,"name":"Train ID","value":"906-27"},{"id":16,"name":"Locomotive ID","value":"4029"},{"id":130,"name":"Impact","value":""},{"id":150,"name":"Time of Event (Mountain Time)","value":"19:07:16"},{"id":151,"name":"Denver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55"/>
        <v>start /low /b %USERPROFILE%\Documents\GitHub\eaglep3\Utilities\DownloadLogsFromS3.py --loco 4029 --day 2017-10-27</v>
      </c>
      <c r="AN227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57"/>
        <v>https://d0f6bd738d7f1b3e5a7ca70fe4ff75f0.us-east-1.aws.found.io/app/kibana#/discover/Steve-Slow-Train-Analysis-(2080s-and-2083s)?_g=(refreshInterval:(display:Off,pause:!f,section:0,value:0),time:(from:'2017-10-27T17:56:37-0600',mode:absolute,to:'2017-10-27T20:07:16-0600'))&amp;_a=(columns:!('Message%20ID',Summary),filters:!(),index:'emp_*',interval:auto,query:(query_string:(analyze_wildcard:!t,query:'%22rtdc.l.rtdc.4029%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645</v>
      </c>
      <c r="B228" s="7">
        <v>4008</v>
      </c>
      <c r="C228" s="21" t="s">
        <v>194</v>
      </c>
      <c r="D228" s="21" t="s">
        <v>504</v>
      </c>
      <c r="E228" s="13">
        <v>43035.131296296298</v>
      </c>
      <c r="F228" s="13">
        <v>43035.136747685188</v>
      </c>
      <c r="G228" s="7">
        <v>276</v>
      </c>
      <c r="H228" s="21" t="s">
        <v>1004</v>
      </c>
      <c r="I228" s="13">
        <v>43035.138240740744</v>
      </c>
      <c r="J228" s="7">
        <v>0</v>
      </c>
      <c r="K228" s="89" t="str">
        <f>IF(ISEVEN(B228),(B228-1)&amp;"/"&amp;B228,B228&amp;"/"&amp;(B228+1))</f>
        <v>4007/4008</v>
      </c>
      <c r="L228" s="185" t="str">
        <f>VLOOKUP(A228,'Trips&amp;Operators'!$C$1:$G$99911,5,FALSE)</f>
        <v>STARKS ANGELINA</v>
      </c>
      <c r="M228" s="6">
        <f>I228-F228</f>
        <v>1.4930555553291924E-3</v>
      </c>
      <c r="N228" s="7">
        <f>24*60*SUM($M228:$M228)</f>
        <v>2.1499999996740371</v>
      </c>
      <c r="O228" s="7"/>
      <c r="P228" s="7"/>
      <c r="Q228" s="22"/>
      <c r="R228" s="174"/>
      <c r="S228" s="221">
        <f>1/IF(AG228="EC",12,1)*SUM(U228:U228)</f>
        <v>0</v>
      </c>
      <c r="T228" s="174" t="str">
        <f>IF(ISEVEN(LEFT(AD228,4)),"Southbound","NorthBound")</f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-27T02:09:04-0600',mode:absolute,to:'2017-10-27T04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-855</v>
      </c>
      <c r="Y228" s="204">
        <f>RIGHT(D228,LEN(D228)-4)/10000</f>
        <v>4.4400000000000002E-2</v>
      </c>
      <c r="Z228" s="204">
        <f>RIGHT(H228,LEN(H228)-4)/10000</f>
        <v>0.34110000000000001</v>
      </c>
      <c r="AA228" s="204">
        <f>ABS(Z228-Y228)</f>
        <v>0.29670000000000002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51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/stypes="app*4008*20171027*" /stext=" 09:.+((SYSTEM_STATE.+slice.+state.+changed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53"/>
        <v>"%USERPROFILE%\Documents\GitHub\eaglep3\Utilities\RefineRTDCRunTimes.py" --tripid 51-27 --locoid 4008 --swversion DE.1.0.9.0 --startMP 204:444 --initTime 2017-10-27T03:09:04 --startdatetime 2017-10-27T03:16:55 --delay 276 --endMP 204:3411 --enddatetime 2017-10-27T03:19:04 --enforcementcount 0 &gt;&gt;%USERPROFILE%\Documents\GitHub\eaglep3-reporting\EC\2017-10-27-refined-times.txt</v>
      </c>
      <c r="AI228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0.3411"},{"id":17,"name":"Train ID","value":"51-27"},{"id":16,"name":"Locomotive ID","value":"4008"},{"id":130,"name":"Impact","value":""},{"id":150,"name":"Time of Event (Mountain Time)","value":"03:19:04"},{"id":151,"name":"Denver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55"/>
        <v>start /low /b %USERPROFILE%\Documents\GitHub\eaglep3\Utilities\DownloadLogsFromS3.py --loco 4008 --day 2017-10-27</v>
      </c>
      <c r="AN228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09:19:04"},{"id":29,"name":"Sharepoint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57"/>
        <v>https://d0f6bd738d7f1b3e5a7ca70fe4ff75f0.us-east-1.aws.found.io/app/kibana#/discover/Steve-Slow-Train-Analysis-(2080s-and-2083s)?_g=(refreshInterval:(display:Off,pause:!f,section:0,value:0),time:(from:'2017-10-27T02:09:04-0600',mode:absolute,to:'2017-10-27T04:19:04-0600'))&amp;_a=(columns:!('Message%20ID',Summary),filters:!(),index:'emp_*',interval:auto,query:(query_string:(analyze_wildcard:!t,query:'%22rtdc.l.rtdc.4008%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645</v>
      </c>
      <c r="B229" s="7">
        <v>4045</v>
      </c>
      <c r="C229" s="21" t="s">
        <v>194</v>
      </c>
      <c r="D229" s="21" t="s">
        <v>1005</v>
      </c>
      <c r="E229" s="13">
        <v>43035.448194444441</v>
      </c>
      <c r="F229" s="13">
        <v>43035.477002314816</v>
      </c>
      <c r="G229" s="7">
        <v>73</v>
      </c>
      <c r="H229" s="21" t="s">
        <v>1006</v>
      </c>
      <c r="I229" s="13">
        <v>43035.484131944446</v>
      </c>
      <c r="J229" s="7">
        <v>0</v>
      </c>
      <c r="K229" s="89" t="str">
        <f>IF(ISEVEN(B229),(B229-1)&amp;"/"&amp;B229,B229&amp;"/"&amp;(B229+1))</f>
        <v>4045/4046</v>
      </c>
      <c r="L229" s="185" t="str">
        <f>VLOOKUP(A229,'Trips&amp;Operators'!$C$1:$G$99911,5,FALSE)</f>
        <v>STARKS ANGELINA</v>
      </c>
      <c r="M229" s="6">
        <f>I229-F229</f>
        <v>7.1296296300715767E-3</v>
      </c>
      <c r="N229" s="7">
        <f>24*60*SUM($M229:$M229)</f>
        <v>10.26666666730307</v>
      </c>
      <c r="O229" s="7"/>
      <c r="P229" s="7"/>
      <c r="Q229" s="22"/>
      <c r="R229" s="174"/>
      <c r="S229" s="221">
        <f>1/IF(AG229="EC",12,1)*SUM(U229:U229)</f>
        <v>0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-27T09:45:24-0600',mode:absolute,to:'2017-10-27T12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0</v>
      </c>
      <c r="Y229" s="204">
        <f>RIGHT(D229,LEN(D229)-4)/10000</f>
        <v>2.2610999999999999</v>
      </c>
      <c r="Z229" s="204">
        <f>RIGHT(H229,LEN(H229)-4)/10000</f>
        <v>1.17E-2</v>
      </c>
      <c r="AA229" s="204">
        <f>ABS(Z229-Y229)</f>
        <v>2.2494000000000001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51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s3://rtdc.mdm.uploadarchive.raw/RTDC4045/ "%USERPROFILE%\AppData\Local\Temp\OnboardLogs"\RTDC4045\2017-10-27 --exclude "*" --recursive --include "*20171027*" &amp; "%USERPROFILE%\Documents\GitHub\mrs-test-scripts\Headless Mode &amp; Sideloading\WalkAndUnGZ.bat" "%USERPROFILE%\AppData\Local\Temp\OnboardLogs"\RTDC4045\2017-10-27 &amp; aws s3 cp s3://rtdc.mdm.uploadarchive.raw/RTDC4045/ "%USERPROFILE%\AppData\Local\Temp\OnboardLogs"\RTDC4045\2017-10-28 --exclude "*" --recursive --include "*20171028*" &amp; "%USERPROFILE%\Documents\GitHub\mrs-test-scripts\Headless Mode &amp; Sideloading\WalkAndUnGZ.bat" "%USERPROFILE%\AppData\Local\Temp\OnboardLogs"\RTDC4045\2017-10-28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/stypes="app*4045*20171027*" /stext=" 17:.+((SYSTEM_STATE.+slice.+state.+changed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53"/>
        <v>"%USERPROFILE%\Documents\GitHub\eaglep3\Utilities\RefineRTDCRunTimes.py" --tripid 51-27 --locoid 4045 --swversion DE.1.0.9.0 --startMP 300:22611 --initTime 2017-10-27T10:45:24 --startdatetime 2017-10-27T11:26:53 --delay 73 --endMP 204:117 --enddatetime 2017-10-27T11:37:09 --enforcementcount 0 &gt;&gt;%USERPROFILE%\Documents\GitHub\eaglep3-reporting\EC\2017-10-27-refined-times.txt</v>
      </c>
      <c r="AI229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0.0117"},{"id":17,"name":"Train ID","value":"51-27"},{"id":16,"name":"Locomotive ID","value":"4045"},{"id":130,"name":"Impact","value":""},{"id":150,"name":"Time of Event (Mountain Time)","value":"11:37:09"},{"id":151,"name":"Denver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55"/>
        <v>start /low /b %USERPROFILE%\Documents\GitHub\eaglep3\Utilities\DownloadLogsFromS3.py --loco 4045 --day 2017-10-27</v>
      </c>
      <c r="AN229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57"/>
        <v>https://d0f6bd738d7f1b3e5a7ca70fe4ff75f0.us-east-1.aws.found.io/app/kibana#/discover/Steve-Slow-Train-Analysis-(2080s-and-2083s)?_g=(refreshInterval:(display:Off,pause:!f,section:0,value:0),time:(from:'2017-10-27T09:45:24-0600',mode:absolute,to:'2017-10-27T12:37:09-0600'))&amp;_a=(columns:!('Message%20ID',Summary),filters:!(),index:'emp_*',interval:auto,query:(query_string:(analyze_wildcard:!t,query:'%22rtdc.l.rtdc.4045%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645</v>
      </c>
      <c r="B230" s="7">
        <v>4046</v>
      </c>
      <c r="C230" s="21" t="s">
        <v>194</v>
      </c>
      <c r="D230" s="21" t="s">
        <v>1007</v>
      </c>
      <c r="E230" s="13">
        <v>43035.473009259258</v>
      </c>
      <c r="F230" s="13">
        <v>43035.477002314816</v>
      </c>
      <c r="G230" s="7">
        <v>253</v>
      </c>
      <c r="H230" s="21" t="s">
        <v>1008</v>
      </c>
      <c r="I230" s="13">
        <v>43035.484131944446</v>
      </c>
      <c r="J230" s="7">
        <v>0</v>
      </c>
      <c r="K230" s="89" t="str">
        <f>IF(ISEVEN(B230),(B230-1)&amp;"/"&amp;B230,B230&amp;"/"&amp;(B230+1))</f>
        <v>4045/4046</v>
      </c>
      <c r="L230" s="185" t="str">
        <f>VLOOKUP(A230,'Trips&amp;Operators'!$C$1:$G$99911,5,FALSE)</f>
        <v>STARKS ANGELINA</v>
      </c>
      <c r="M230" s="6">
        <f>I230-F230</f>
        <v>7.1296296300715767E-3</v>
      </c>
      <c r="N230" s="7">
        <f>24*60*SUM($M230:$M230)</f>
        <v>10.26666666730307</v>
      </c>
      <c r="O230" s="7"/>
      <c r="P230" s="7"/>
      <c r="Q230" s="22"/>
      <c r="R230" s="174"/>
      <c r="S230" s="221">
        <f>1/IF(AG230="EC",12,1)*SUM(U230:U230)</f>
        <v>1</v>
      </c>
      <c r="T230" s="174" t="str">
        <f>IF(ISEVEN(LEFT(AD230,4)),"Southbound","NorthBound")</f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-27T10:21:08-0600',mode:absolute,to:'2017-10-27T12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0</v>
      </c>
      <c r="Y230" s="204">
        <f>RIGHT(D230,LEN(D230)-4)/10000</f>
        <v>4.1700000000000001E-2</v>
      </c>
      <c r="Z230" s="204">
        <f>RIGHT(H230,LEN(H230)-4)/10000</f>
        <v>2.3919000000000001</v>
      </c>
      <c r="AA230" s="204">
        <f>ABS(Z230-Y230)</f>
        <v>2.3502000000000001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51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s3://rtdc.mdm.uploadarchive.raw/RTDC4046/ "%USERPROFILE%\AppData\Local\Temp\OnboardLogs"\RTDC4046\2017-10-27 --exclude "*" --recursive --include "*20171027*" &amp; "%USERPROFILE%\Documents\GitHub\mrs-test-scripts\Headless Mode &amp; Sideloading\WalkAndUnGZ.bat" "%USERPROFILE%\AppData\Local\Temp\OnboardLogs"\RTDC4046\2017-10-27 &amp; aws s3 cp s3://rtdc.mdm.uploadarchive.raw/RTDC4046/ "%USERPROFILE%\AppData\Local\Temp\OnboardLogs"\RTDC4046\2017-10-28 --exclude "*" --recursive --include "*20171028*" &amp; "%USERPROFILE%\Documents\GitHub\mrs-test-scripts\Headless Mode &amp; Sideloading\WalkAndUnGZ.bat" "%USERPROFILE%\AppData\Local\Temp\OnboardLogs"\RTDC4046\2017-10-28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/stypes="app*4046*20171027*" /stext=" 17:.+((SYSTEM_STATE.+slice.+state.+changed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53"/>
        <v>"%USERPROFILE%\Documents\GitHub\eaglep3\Utilities\RefineRTDCRunTimes.py" --tripid 51-27 --locoid 4046 --swversion DE.1.0.9.0 --startMP 204:417 --initTime 2017-10-27T11:21:08 --startdatetime 2017-10-27T11:26:53 --delay 253 --endMP 300:23919 --enddatetime 2017-10-27T11:37:09 --enforcementcount 0 &gt;&gt;%USERPROFILE%\Documents\GitHub\eaglep3-reporting\EC\2017-10-27-refined-times.txt</v>
      </c>
      <c r="AI230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2.3919"},{"id":17,"name":"Train ID","value":"51-27"},{"id":16,"name":"Locomotive ID","value":"4046"},{"id":130,"name":"Impact","value":""},{"id":150,"name":"Time of Event (Mountain Time)","value":"11:37:09"},{"id":151,"name":"Denver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55"/>
        <v>start /low /b %USERPROFILE%\Documents\GitHub\eaglep3\Utilities\DownloadLogsFromS3.py --loco 4046 --day 2017-10-27</v>
      </c>
      <c r="AN230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57"/>
        <v>https://d0f6bd738d7f1b3e5a7ca70fe4ff75f0.us-east-1.aws.found.io/app/kibana#/discover/Steve-Slow-Train-Analysis-(2080s-and-2083s)?_g=(refreshInterval:(display:Off,pause:!f,section:0,value:0),time:(from:'2017-10-27T10:21:08-0600',mode:absolute,to:'2017-10-27T12:37:09-0600'))&amp;_a=(columns:!('Message%20ID',Summary),filters:!(),index:'emp_*',interval:auto,query:(query_string:(analyze_wildcard:!t,query:'%22rtdc.l.rtdc.4046%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646</v>
      </c>
      <c r="B231" s="7">
        <v>4007</v>
      </c>
      <c r="C231" s="21" t="s">
        <v>194</v>
      </c>
      <c r="D231" s="21" t="s">
        <v>1009</v>
      </c>
      <c r="E231" s="13">
        <v>43035.139062499999</v>
      </c>
      <c r="F231" s="13">
        <v>43035.140451388892</v>
      </c>
      <c r="G231" s="7">
        <v>65</v>
      </c>
      <c r="H231" s="21" t="s">
        <v>1010</v>
      </c>
      <c r="I231" s="13">
        <v>43035.14162037037</v>
      </c>
      <c r="J231" s="7">
        <v>0</v>
      </c>
      <c r="K231" s="89" t="str">
        <f>IF(ISEVEN(B231),(B231-1)&amp;"/"&amp;B231,B231&amp;"/"&amp;(B231+1))</f>
        <v>4007/4008</v>
      </c>
      <c r="L231" s="185" t="str">
        <f>VLOOKUP(A231,'Trips&amp;Operators'!$C$1:$G$99911,5,FALSE)</f>
        <v>STARKS ANGELINA</v>
      </c>
      <c r="M231" s="6">
        <f>I231-F231</f>
        <v>1.1689814782585017E-3</v>
      </c>
      <c r="N231" s="7">
        <f>24*60*SUM($M231:$M231)</f>
        <v>1.6833333286922425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-27T02:20:15-0600',mode:absolute,to:'2017-10-27T04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1</v>
      </c>
      <c r="Y231" s="204">
        <f>RIGHT(D231,LEN(D231)-4)/10000</f>
        <v>0.30459999999999998</v>
      </c>
      <c r="Z231" s="204">
        <f>RIGHT(H231,LEN(H231)-4)/10000</f>
        <v>0.1152</v>
      </c>
      <c r="AA231" s="204">
        <f>ABS(Z231-Y231)</f>
        <v>0.18939999999999999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52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/stypes="app*4007*20171027*" /stext=" 09:.+((SYSTEM_STATE.+slice.+state.+changed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53"/>
        <v>"%USERPROFILE%\Documents\GitHub\eaglep3\Utilities\RefineRTDCRunTimes.py" --tripid 52-27 --locoid 4007 --swversion DE.1.0.9.0 --startMP 204:3046 --initTime 2017-10-27T03:20:15 --startdatetime 2017-10-27T03:22:15 --delay 65 --endMP 204:1152 --enddatetime 2017-10-27T03:23:56 --enforcementcount 0 &gt;&gt;%USERPROFILE%\Documents\GitHub\eaglep3-reporting\EC\2017-10-27-refined-times.txt</v>
      </c>
      <c r="AI231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0.1152"},{"id":17,"name":"Train ID","value":"52-27"},{"id":16,"name":"Locomotive ID","value":"4007"},{"id":130,"name":"Impact","value":""},{"id":150,"name":"Time of Event (Mountain Time)","value":"03:23:56"},{"id":151,"name":"Denver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55"/>
        <v>start /low /b %USERPROFILE%\Documents\GitHub\eaglep3\Utilities\DownloadLogsFromS3.py --loco 4007 --day 2017-10-27</v>
      </c>
      <c r="AN231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09:23:56"},{"id":29,"name":"Sharepoint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57"/>
        <v>https://d0f6bd738d7f1b3e5a7ca70fe4ff75f0.us-east-1.aws.found.io/app/kibana#/discover/Steve-Slow-Train-Analysis-(2080s-and-2083s)?_g=(refreshInterval:(display:Off,pause:!f,section:0,value:0),time:(from:'2017-10-27T02:20:15-0600',mode:absolute,to:'2017-10-27T04:23:56-0600'))&amp;_a=(columns:!('Message%20ID',Summary),filters:!(),index:'emp_*',interval:auto,query:(query_string:(analyze_wildcard:!t,query:'%22rtdc.l.rtdc.4007%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703</v>
      </c>
      <c r="B232" s="7">
        <v>4016</v>
      </c>
      <c r="C232" s="21" t="s">
        <v>194</v>
      </c>
      <c r="D232" s="21" t="s">
        <v>357</v>
      </c>
      <c r="E232" s="13">
        <v>43035.337222222224</v>
      </c>
      <c r="F232" s="13">
        <v>43035.339814814812</v>
      </c>
      <c r="G232" s="7">
        <v>125</v>
      </c>
      <c r="H232" s="21" t="s">
        <v>1011</v>
      </c>
      <c r="I232" s="13">
        <v>43035.341238425928</v>
      </c>
      <c r="J232" s="7">
        <v>0</v>
      </c>
      <c r="K232" s="89" t="str">
        <f>IF(ISEVEN(B232),(B232-1)&amp;"/"&amp;B232,B232&amp;"/"&amp;(B232+1))</f>
        <v>4015/4016</v>
      </c>
      <c r="L232" s="185" t="str">
        <f>VLOOKUP(A232,'Trips&amp;Operators'!$C$1:$G$99911,5,FALSE)</f>
        <v>BIRENBAUM THOMAS</v>
      </c>
      <c r="M232" s="6">
        <f>I232-F232</f>
        <v>1.423611116479151E-3</v>
      </c>
      <c r="N232" s="7">
        <f>24*60*SUM($M232:$M232)</f>
        <v>2.0500000077299774</v>
      </c>
      <c r="O232" s="7"/>
      <c r="P232" s="7"/>
      <c r="Q232" s="22"/>
      <c r="R232" s="174"/>
      <c r="S232" s="221">
        <f>1/IF(AG232="EC",12,1)*SUM(U232:U232)</f>
        <v>0</v>
      </c>
      <c r="T232" s="174" t="str">
        <f>IF(ISEVEN(LEFT(AD232,4)),"Southbound","NorthBound")</f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-27T07:05:36-0600',mode:absolute,to:'2017-10-27T09:11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1</v>
      </c>
      <c r="Y232" s="204">
        <f>RIGHT(D232,LEN(D232)-4)/10000</f>
        <v>4.7100000000000003E-2</v>
      </c>
      <c r="Z232" s="204">
        <f>RIGHT(H232,LEN(H232)-4)/10000</f>
        <v>0.5383</v>
      </c>
      <c r="AA232" s="204">
        <f>ABS(Z232-Y232)</f>
        <v>0.49119999999999997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53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 &amp; aws s3 cp s3://rtdc.mdm.uploadarchive.raw/RTDC4016/ "%USERPROFILE%\AppData\Local\Temp\OnboardLogs"\RTDC4016\2017-10-28 --exclude "*" --recursive --include "*20171028*" &amp; "%USERPROFILE%\Documents\GitHub\mrs-test-scripts\Headless Mode &amp; Sideloading\WalkAndUnGZ.bat" "%USERPROFILE%\AppData\Local\Temp\OnboardLogs"\RTDC4016\2017-10-28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/stypes="app*4016*20171027*" /stext=" 14:.+((SYSTEM_STATE.+slice.+state.+changed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53"/>
        <v>"%USERPROFILE%\Documents\GitHub\eaglep3\Utilities\RefineRTDCRunTimes.py" --tripid 53-27 --locoid 4016 --swversion DE.1.0.9.0 --startMP 204:471 --initTime 2017-10-27T08:05:36 --startdatetime 2017-10-27T08:09:20 --delay 125 --endMP 300:5383 --enddatetime 2017-10-27T08:11:23 --enforcementcount 0 &gt;&gt;%USERPROFILE%\Documents\GitHub\eaglep3-reporting\EC\2017-10-27-refined-times.txt</v>
      </c>
      <c r="AI232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0.5383"},{"id":17,"name":"Train ID","value":"53-27"},{"id":16,"name":"Locomotive ID","value":"4016"},{"id":130,"name":"Impact","value":""},{"id":150,"name":"Time of Event (Mountain Time)","value":"08:11:23"},{"id":151,"name":"Denver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55"/>
        <v>start /low /b %USERPROFILE%\Documents\GitHub\eaglep3\Utilities\DownloadLogsFromS3.py --loco 4016 --day 2017-10-27</v>
      </c>
      <c r="AN232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14:11:23"},{"id":29,"name":"Sharepoint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57"/>
        <v>https://d0f6bd738d7f1b3e5a7ca70fe4ff75f0.us-east-1.aws.found.io/app/kibana#/discover/Steve-Slow-Train-Analysis-(2080s-and-2083s)?_g=(refreshInterval:(display:Off,pause:!f,section:0,value:0),time:(from:'2017-10-27T07:05:36-0600',mode:absolute,to:'2017-10-27T09:11:23-0600'))&amp;_a=(columns:!('Message%20ID',Summary),filters:!(),index:'emp_*',interval:auto,query:(query_string:(analyze_wildcard:!t,query:'%22rtdc.l.rtdc.4016%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739</v>
      </c>
      <c r="B233" s="7">
        <v>4015</v>
      </c>
      <c r="C233" s="21" t="s">
        <v>194</v>
      </c>
      <c r="D233" s="21" t="s">
        <v>1012</v>
      </c>
      <c r="E233" s="13">
        <v>43035.487858796296</v>
      </c>
      <c r="F233" s="13">
        <v>43035.490289351852</v>
      </c>
      <c r="G233" s="7">
        <v>65</v>
      </c>
      <c r="H233" s="21" t="s">
        <v>1013</v>
      </c>
      <c r="I233" s="13">
        <v>43035.492245370369</v>
      </c>
      <c r="J233" s="7">
        <v>0</v>
      </c>
      <c r="K233" s="89" t="str">
        <f>IF(ISEVEN(B233),(B233-1)&amp;"/"&amp;B233,B233&amp;"/"&amp;(B233+1))</f>
        <v>4015/4016</v>
      </c>
      <c r="L233" s="185" t="str">
        <f>VLOOKUP(A233,'Trips&amp;Operators'!$C$1:$G$99911,5,FALSE)</f>
        <v>MOSES BRADLEY</v>
      </c>
      <c r="M233" s="6">
        <f>I233-F233</f>
        <v>1.9560185173759237E-3</v>
      </c>
      <c r="N233" s="7">
        <f>24*60*SUM($M233:$M233)</f>
        <v>2.8166666650213301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-27T10:42:31-0600',mode:absolute,to:'2017-10-27T12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2</v>
      </c>
      <c r="Y233" s="204">
        <f>RIGHT(D233,LEN(D233)-4)/10000</f>
        <v>0.50690000000000002</v>
      </c>
      <c r="Z233" s="204">
        <f>RIGHT(H233,LEN(H233)-4)/10000</f>
        <v>0.11650000000000001</v>
      </c>
      <c r="AA233" s="204">
        <f>ABS(Z233-Y233)</f>
        <v>0.39040000000000002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55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 &amp; aws s3 cp s3://rtdc.mdm.uploadarchive.raw/RTDC4015/ "%USERPROFILE%\AppData\Local\Temp\OnboardLogs"\RTDC4015\2017-10-28 --exclude "*" --recursive --include "*20171028*" &amp; "%USERPROFILE%\Documents\GitHub\mrs-test-scripts\Headless Mode &amp; Sideloading\WalkAndUnGZ.bat" "%USERPROFILE%\AppData\Local\Temp\OnboardLogs"\RTDC4015\2017-10-28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/stypes="app*4015*20171027*" /stext=" 17:.+((SYSTEM_STATE.+slice.+state.+changed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53"/>
        <v>"%USERPROFILE%\Documents\GitHub\eaglep3\Utilities\RefineRTDCRunTimes.py" --tripid 55-27 --locoid 4015 --swversion DE.1.0.9.0 --startMP 300:5069 --initTime 2017-10-27T11:42:31 --startdatetime 2017-10-27T11:46:01 --delay 65 --endMP 204:1165 --enddatetime 2017-10-27T11:48:50 --enforcementcount 0 &gt;&gt;%USERPROFILE%\Documents\GitHub\eaglep3-reporting\EC\2017-10-27-refined-times.txt</v>
      </c>
      <c r="AI233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0.1165"},{"id":17,"name":"Train ID","value":"55-27"},{"id":16,"name":"Locomotive ID","value":"4015"},{"id":130,"name":"Impact","value":""},{"id":150,"name":"Time of Event (Mountain Time)","value":"11:48:50"},{"id":151,"name":"Denver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55"/>
        <v>start /low /b %USERPROFILE%\Documents\GitHub\eaglep3\Utilities\DownloadLogsFromS3.py --loco 4015 --day 2017-10-27</v>
      </c>
      <c r="AN233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57"/>
        <v>https://d0f6bd738d7f1b3e5a7ca70fe4ff75f0.us-east-1.aws.found.io/app/kibana#/discover/Steve-Slow-Train-Analysis-(2080s-and-2083s)?_g=(refreshInterval:(display:Off,pause:!f,section:0,value:0),time:(from:'2017-10-27T10:42:31-0600',mode:absolute,to:'2017-10-27T12:48:50-0600'))&amp;_a=(columns:!('Message%20ID',Summary),filters:!(),index:'emp_*',interval:auto,query:(query_string:(analyze_wildcard:!t,query:'%22rtdc.l.rtdc.4015%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739</v>
      </c>
      <c r="B234" s="7">
        <v>4016</v>
      </c>
      <c r="C234" s="21" t="s">
        <v>194</v>
      </c>
      <c r="D234" s="21" t="s">
        <v>1014</v>
      </c>
      <c r="E234" s="13">
        <v>43035.483553240738</v>
      </c>
      <c r="F234" s="13">
        <v>43035.490289351852</v>
      </c>
      <c r="G234" s="7">
        <v>76</v>
      </c>
      <c r="H234" s="21" t="s">
        <v>1015</v>
      </c>
      <c r="I234" s="13">
        <v>43035.492245370369</v>
      </c>
      <c r="J234" s="7">
        <v>0</v>
      </c>
      <c r="K234" s="89" t="str">
        <f>IF(ISEVEN(B234),(B234-1)&amp;"/"&amp;B234,B234&amp;"/"&amp;(B234+1))</f>
        <v>4015/4016</v>
      </c>
      <c r="L234" s="185" t="str">
        <f>VLOOKUP(A234,'Trips&amp;Operators'!$C$1:$G$99911,5,FALSE)</f>
        <v>MOSES BRADLEY</v>
      </c>
      <c r="M234" s="6">
        <f>I234-F234</f>
        <v>1.9560185173759237E-3</v>
      </c>
      <c r="N234" s="7">
        <f>24*60*SUM($M234:$M234)</f>
        <v>2.8166666650213301</v>
      </c>
      <c r="O234" s="7"/>
      <c r="P234" s="7"/>
      <c r="Q234" s="22"/>
      <c r="R234" s="174"/>
      <c r="S234" s="221">
        <f>1/IF(AG234="EC",12,1)*SUM(U234:U234)</f>
        <v>0</v>
      </c>
      <c r="T234" s="174" t="str">
        <f>IF(ISEVEN(LEFT(AD234,4)),"Southbound","NorthBound")</f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-27T10:36:19-0600',mode:absolute,to:'2017-10-27T12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0</v>
      </c>
      <c r="Y234" s="204">
        <f>RIGHT(D234,LEN(D234)-4)/10000</f>
        <v>0.11550000000000001</v>
      </c>
      <c r="Z234" s="204">
        <f>RIGHT(H234,LEN(H234)-4)/10000</f>
        <v>0.55200000000000005</v>
      </c>
      <c r="AA234" s="204">
        <f>ABS(Z234-Y234)</f>
        <v>0.43650000000000005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55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 &amp; aws s3 cp s3://rtdc.mdm.uploadarchive.raw/RTDC4016/ "%USERPROFILE%\AppData\Local\Temp\OnboardLogs"\RTDC4016\2017-10-28 --exclude "*" --recursive --include "*20171028*" &amp; "%USERPROFILE%\Documents\GitHub\mrs-test-scripts\Headless Mode &amp; Sideloading\WalkAndUnGZ.bat" "%USERPROFILE%\AppData\Local\Temp\OnboardLogs"\RTDC4016\2017-10-28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/stypes="app*4016*20171027*" /stext=" 17:.+((SYSTEM_STATE.+slice.+state.+changed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53"/>
        <v>"%USERPROFILE%\Documents\GitHub\eaglep3\Utilities\RefineRTDCRunTimes.py" --tripid 55-27 --locoid 4016 --swversion DE.1.0.9.0 --startMP 204:1155 --initTime 2017-10-27T11:36:19 --startdatetime 2017-10-27T11:46:01 --delay 76 --endMP 300:5520 --enddatetime 2017-10-27T11:48:50 --enforcementcount 0 &gt;&gt;%USERPROFILE%\Documents\GitHub\eaglep3-reporting\EC\2017-10-27-refined-times.txt</v>
      </c>
      <c r="AI234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0.552"},{"id":17,"name":"Train ID","value":"55-27"},{"id":16,"name":"Locomotive ID","value":"4016"},{"id":130,"name":"Impact","value":""},{"id":150,"name":"Time of Event (Mountain Time)","value":"11:48:50"},{"id":151,"name":"Denver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55"/>
        <v>start /low /b %USERPROFILE%\Documents\GitHub\eaglep3\Utilities\DownloadLogsFromS3.py --loco 4016 --day 2017-10-27</v>
      </c>
      <c r="AN234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17:48:50"},{"id":29,"name":"Sharepoint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57"/>
        <v>https://d0f6bd738d7f1b3e5a7ca70fe4ff75f0.us-east-1.aws.found.io/app/kibana#/discover/Steve-Slow-Train-Analysis-(2080s-and-2083s)?_g=(refreshInterval:(display:Off,pause:!f,section:0,value:0),time:(from:'2017-10-27T10:36:19-0600',mode:absolute,to:'2017-10-27T12:48:50-0600'))&amp;_a=(columns:!('Message%20ID',Summary),filters:!(),index:'emp_*',interval:auto,query:(query_string:(analyze_wildcard:!t,query:'%22rtdc.l.rtdc.4016%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836</v>
      </c>
      <c r="B235" s="7">
        <v>4048</v>
      </c>
      <c r="C235" s="21" t="s">
        <v>194</v>
      </c>
      <c r="D235" s="21" t="s">
        <v>1016</v>
      </c>
      <c r="E235" s="13">
        <v>43035.822430555556</v>
      </c>
      <c r="F235" s="13">
        <v>43035.843900462962</v>
      </c>
      <c r="G235" s="7">
        <v>92</v>
      </c>
      <c r="H235" s="21" t="s">
        <v>1017</v>
      </c>
      <c r="I235" s="13">
        <v>43035.871574074074</v>
      </c>
      <c r="J235" s="7">
        <v>0</v>
      </c>
      <c r="K235" s="89" t="str">
        <f>IF(ISEVEN(B235),(B235-1)&amp;"/"&amp;B235,B235&amp;"/"&amp;(B235+1))</f>
        <v>4047/4048</v>
      </c>
      <c r="L235" s="185" t="str">
        <f>VLOOKUP(A235,'Trips&amp;Operators'!$C$1:$G$99911,5,FALSE)</f>
        <v>GUNTHIER ERIC</v>
      </c>
      <c r="M235" s="6">
        <f>I235-F235</f>
        <v>2.7673611111822538E-2</v>
      </c>
      <c r="N235" s="7">
        <f>24*60*SUM($M235:$M235)</f>
        <v>39.850000001024455</v>
      </c>
      <c r="O235" s="7"/>
      <c r="P235" s="7"/>
      <c r="Q235" s="22"/>
      <c r="R235" s="174"/>
      <c r="S235" s="221">
        <f>1/IF(AG235="EC",12,1)*SUM(U235:U235)</f>
        <v>1</v>
      </c>
      <c r="T235" s="174" t="str">
        <f>IF(ISEVEN(LEFT(AD235,4)),"Southbound","NorthBound")</f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-27T18:44:18-0600',mode:absolute,to:'2017-10-27T21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6</v>
      </c>
      <c r="Y235" s="204">
        <f>RIGHT(D235,LEN(D235)-4)/10000</f>
        <v>0.11840000000000001</v>
      </c>
      <c r="Z235" s="204">
        <f>RIGHT(H235,LEN(H235)-4)/10000</f>
        <v>23.324300000000001</v>
      </c>
      <c r="AA235" s="204">
        <f>ABS(Z235-Y235)</f>
        <v>23.2059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61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s3://rtdc.mdm.uploadarchive.raw/RTDC4048/ "%USERPROFILE%\AppData\Local\Temp\OnboardLogs"\RTDC4048\2017-10-27 --exclude "*" --recursive --include "*20171027*" &amp; "%USERPROFILE%\Documents\GitHub\mrs-test-scripts\Headless Mode &amp; Sideloading\WalkAndUnGZ.bat" "%USERPROFILE%\AppData\Local\Temp\OnboardLogs"\RTDC4048\2017-10-27 &amp; aws s3 cp s3://rtdc.mdm.uploadarchive.raw/RTDC4048/ "%USERPROFILE%\AppData\Local\Temp\OnboardLogs"\RTDC4048\2017-10-28 --exclude "*" --recursive --include "*20171028*" &amp; "%USERPROFILE%\Documents\GitHub\mrs-test-scripts\Headless Mode &amp; Sideloading\WalkAndUnGZ.bat" "%USERPROFILE%\AppData\Local\Temp\OnboardLogs"\RTDC4048\2017-10-28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/stypes="app*4048*20171028*" /stext=" 02:.+((SYSTEM_STATE.+slice.+state.+changed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53"/>
        <v>"%USERPROFILE%\Documents\GitHub\eaglep3\Utilities\RefineRTDCRunTimes.py" --tripid 61-27 --locoid 4048 --swversion DE.1.0.9.0 --startMP 204:1184 --initTime 2017-10-27T19:44:18 --startdatetime 2017-10-27T20:15:13 --delay 92 --endMP 204:233243 --enddatetime 2017-10-27T20:55:04 --enforcementcount 0 &gt;&gt;%USERPROFILE%\Documents\GitHub\eaglep3-reporting\EC\2017-10-27-refined-times.txt</v>
      </c>
      <c r="AI235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23.3243"},{"id":17,"name":"Train ID","value":"61-27"},{"id":16,"name":"Locomotive ID","value":"4048"},{"id":130,"name":"Impact","value":""},{"id":150,"name":"Time of Event (Mountain Time)","value":"20:55:04"},{"id":151,"name":"Denver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55"/>
        <v>start /low /b %USERPROFILE%\Documents\GitHub\eaglep3\Utilities\DownloadLogsFromS3.py --loco 4048 --day 2017-10-27</v>
      </c>
      <c r="AN235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57"/>
        <v>https://d0f6bd738d7f1b3e5a7ca70fe4ff75f0.us-east-1.aws.found.io/app/kibana#/discover/Steve-Slow-Train-Analysis-(2080s-and-2083s)?_g=(refreshInterval:(display:Off,pause:!f,section:0,value:0),time:(from:'2017-10-27T18:44:18-0600',mode:absolute,to:'2017-10-27T21:55:04-0600'))&amp;_a=(columns:!('Message%20ID',Summary),filters:!(),index:'emp_*',interval:auto,query:(query_string:(analyze_wildcard:!t,query:'%22rtdc.l.rtdc.4048%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793</v>
      </c>
      <c r="B236" s="7">
        <v>4016</v>
      </c>
      <c r="C236" s="21" t="s">
        <v>194</v>
      </c>
      <c r="D236" s="21" t="s">
        <v>1018</v>
      </c>
      <c r="E236" s="13">
        <v>43035.687268518515</v>
      </c>
      <c r="F236" s="13">
        <v>43035.690185185187</v>
      </c>
      <c r="G236" s="7">
        <v>183</v>
      </c>
      <c r="H236" s="21" t="s">
        <v>1019</v>
      </c>
      <c r="I236" s="13">
        <v>43035.696631944447</v>
      </c>
      <c r="J236" s="7">
        <v>0</v>
      </c>
      <c r="K236" s="89" t="str">
        <f>IF(ISEVEN(B236),(B236-1)&amp;"/"&amp;B236,B236&amp;"/"&amp;(B236+1))</f>
        <v>4015/4016</v>
      </c>
      <c r="L236" s="185" t="str">
        <f>VLOOKUP(A236,'Trips&amp;Operators'!$C$1:$G$99911,5,FALSE)</f>
        <v>NEWELL JAMES</v>
      </c>
      <c r="M236" s="6">
        <f>I236-F236</f>
        <v>6.4467592601431534E-3</v>
      </c>
      <c r="N236" s="7">
        <f>24*60*SUM($M236:$M236)</f>
        <v>9.2833333346061409</v>
      </c>
      <c r="O236" s="7"/>
      <c r="P236" s="7"/>
      <c r="Q236" s="22"/>
      <c r="R236" s="174"/>
      <c r="S236" s="221">
        <f>1/IF(AG236="EC",12,1)*SUM(U236:U236)</f>
        <v>0</v>
      </c>
      <c r="T236" s="174" t="str">
        <f>IF(ISEVEN(LEFT(AD236,4)),"Southbound","NorthBound")</f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-27T15:29:40-0600',mode:absolute,to:'2017-10-27T17:43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5</v>
      </c>
      <c r="Y236" s="204">
        <f>RIGHT(D236,LEN(D236)-4)/10000</f>
        <v>0.14660000000000001</v>
      </c>
      <c r="Z236" s="204">
        <f>RIGHT(H236,LEN(H236)-4)/10000</f>
        <v>2.4228999999999998</v>
      </c>
      <c r="AA236" s="204">
        <f>ABS(Z236-Y236)</f>
        <v>2.2763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66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 &amp; aws s3 cp s3://rtdc.mdm.uploadarchive.raw/RTDC4016/ "%USERPROFILE%\AppData\Local\Temp\OnboardLogs"\RTDC4016\2017-10-28 --exclude "*" --recursive --include "*20171028*" &amp; "%USERPROFILE%\Documents\GitHub\mrs-test-scripts\Headless Mode &amp; Sideloading\WalkAndUnGZ.bat" "%USERPROFILE%\AppData\Local\Temp\OnboardLogs"\RTDC4016\2017-10-28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/stypes="app*4016*20171027*" /stext=" 22:.+((SYSTEM_STATE.+slice.+state.+changed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53"/>
        <v>"%USERPROFILE%\Documents\GitHub\eaglep3\Utilities\RefineRTDCRunTimes.py" --tripid 66-27 --locoid 4016 --swversion DE.1.0.9.0 --startMP 204:1466 --initTime 2017-10-27T16:29:40 --startdatetime 2017-10-27T16:33:52 --delay 183 --endMP 300:24229 --enddatetime 2017-10-27T16:43:09 --enforcementcount 0 &gt;&gt;%USERPROFILE%\Documents\GitHub\eaglep3-reporting\EC\2017-10-27-refined-times.txt</v>
      </c>
      <c r="AI236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2.4229"},{"id":17,"name":"Train ID","value":"66-27"},{"id":16,"name":"Locomotive ID","value":"4016"},{"id":130,"name":"Impact","value":""},{"id":150,"name":"Time of Event (Mountain Time)","value":"16:43:09"},{"id":151,"name":"Denver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55"/>
        <v>start /low /b %USERPROFILE%\Documents\GitHub\eaglep3\Utilities\DownloadLogsFromS3.py --loco 4016 --day 2017-10-27</v>
      </c>
      <c r="AN236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22:43:09"},{"id":29,"name":"Sharepoint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57"/>
        <v>https://d0f6bd738d7f1b3e5a7ca70fe4ff75f0.us-east-1.aws.found.io/app/kibana#/discover/Steve-Slow-Train-Analysis-(2080s-and-2083s)?_g=(refreshInterval:(display:Off,pause:!f,section:0,value:0),time:(from:'2017-10-27T15:29:40-0600',mode:absolute,to:'2017-10-27T17:43:09-0600'))&amp;_a=(columns:!('Message%20ID',Summary),filters:!(),index:'emp_*',interval:auto,query:(query_string:(analyze_wildcard:!t,query:'%22rtdc.l.rtdc.4016%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802</v>
      </c>
      <c r="B237" s="7">
        <v>4050</v>
      </c>
      <c r="C237" s="21" t="s">
        <v>194</v>
      </c>
      <c r="D237" s="21" t="s">
        <v>1020</v>
      </c>
      <c r="E237" s="13">
        <v>43035.722800925927</v>
      </c>
      <c r="F237" s="13">
        <v>43035.723923611113</v>
      </c>
      <c r="G237" s="7">
        <v>45</v>
      </c>
      <c r="H237" s="21" t="s">
        <v>619</v>
      </c>
      <c r="I237" s="13">
        <v>43035.731354166666</v>
      </c>
      <c r="J237" s="7">
        <v>0</v>
      </c>
      <c r="K237" s="89" t="str">
        <f>IF(ISEVEN(B237),(B237-1)&amp;"/"&amp;B237,B237&amp;"/"&amp;(B237+1))</f>
        <v>4049/4050</v>
      </c>
      <c r="L237" s="185" t="str">
        <f>VLOOKUP(A237,'Trips&amp;Operators'!$C$1:$G$99911,5,FALSE)</f>
        <v>DELGADO DIANAH</v>
      </c>
      <c r="M237" s="6">
        <f>I237-F237</f>
        <v>7.4305555535829626E-3</v>
      </c>
      <c r="N237" s="7">
        <f>24*60*SUM($M237:$M237)</f>
        <v>10.699999997159466</v>
      </c>
      <c r="O237" s="7"/>
      <c r="P237" s="7"/>
      <c r="Q237" s="22"/>
      <c r="R237" s="174"/>
      <c r="S237" s="221">
        <f>1/IF(AG237="EC",12,1)*SUM(U237:U237)</f>
        <v>1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-27T16:20:50-0600',mode:absolute,to:'2017-10-27T18:33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3</v>
      </c>
      <c r="Y237" s="204">
        <f>RIGHT(D237,LEN(D237)-4)/10000</f>
        <v>0.11559999999999999</v>
      </c>
      <c r="Z237" s="204">
        <f>RIGHT(H237,LEN(H237)-4)/10000</f>
        <v>2.4224000000000001</v>
      </c>
      <c r="AA237" s="204">
        <f>ABS(Z237-Y237)</f>
        <v>2.3068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69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s3://rtdc.mdm.uploadarchive.raw/RTDC4050/ "%USERPROFILE%\AppData\Local\Temp\OnboardLogs"\RTDC4050\2017-10-27 --exclude "*" --recursive --include "*20171027*" &amp; "%USERPROFILE%\Documents\GitHub\mrs-test-scripts\Headless Mode &amp; Sideloading\WalkAndUnGZ.bat" "%USERPROFILE%\AppData\Local\Temp\OnboardLogs"\RTDC4050\2017-10-27 &amp; aws s3 cp s3://rtdc.mdm.uploadarchive.raw/RTDC4050/ "%USERPROFILE%\AppData\Local\Temp\OnboardLogs"\RTDC4050\2017-10-28 --exclude "*" --recursive --include "*20171028*" &amp; "%USERPROFILE%\Documents\GitHub\mrs-test-scripts\Headless Mode &amp; Sideloading\WalkAndUnGZ.bat" "%USERPROFILE%\AppData\Local\Temp\OnboardLogs"\RTDC4050\2017-10-28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/stypes="app*4050*20171027*" /stext=" 23:.+((SYSTEM_STATE.+slice.+state.+changed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53"/>
        <v>"%USERPROFILE%\Documents\GitHub\eaglep3\Utilities\RefineRTDCRunTimes.py" --tripid 69-27 --locoid 4050 --swversion DE.1.0.9.0 --startMP 204:1156 --initTime 2017-10-27T17:20:50 --startdatetime 2017-10-27T17:22:27 --delay 45 --endMP 300:24224 --enddatetime 2017-10-27T17:33:09 --enforcementcount 0 &gt;&gt;%USERPROFILE%\Documents\GitHub\eaglep3-reporting\EC\2017-10-27-refined-times.txt</v>
      </c>
      <c r="AI237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2.4224"},{"id":17,"name":"Train ID","value":"69-27"},{"id":16,"name":"Locomotive ID","value":"4050"},{"id":130,"name":"Impact","value":""},{"id":150,"name":"Time of Event (Mountain Time)","value":"17:33:09"},{"id":151,"name":"Denver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55"/>
        <v>start /low /b %USERPROFILE%\Documents\GitHub\eaglep3\Utilities\DownloadLogsFromS3.py --loco 4050 --day 2017-10-27</v>
      </c>
      <c r="AN237" s="151" t="str">
        <f t="shared" si="56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23:33:09"},{"id":29,"name":"Sharepoint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57"/>
        <v>https://d0f6bd738d7f1b3e5a7ca70fe4ff75f0.us-east-1.aws.found.io/app/kibana#/discover/Steve-Slow-Train-Analysis-(2080s-and-2083s)?_g=(refreshInterval:(display:Off,pause:!f,section:0,value:0),time:(from:'2017-10-27T16:20:50-0600',mode:absolute,to:'2017-10-27T18:33:09-0600'))&amp;_a=(columns:!('Message%20ID',Summary),filters:!(),index:'emp_*',interval:auto,query:(query_string:(analyze_wildcard:!t,query:'%22rtdc.l.rtdc.4050%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815</v>
      </c>
      <c r="B238" s="7">
        <v>4011</v>
      </c>
      <c r="C238" s="21" t="s">
        <v>194</v>
      </c>
      <c r="D238" s="21" t="s">
        <v>1021</v>
      </c>
      <c r="E238" s="13">
        <v>43035.764849537038</v>
      </c>
      <c r="F238" s="13">
        <v>43035.771041666667</v>
      </c>
      <c r="G238" s="7">
        <v>222</v>
      </c>
      <c r="H238" s="21" t="s">
        <v>1022</v>
      </c>
      <c r="I238" s="13">
        <v>43035.778287037036</v>
      </c>
      <c r="J238" s="7">
        <v>0</v>
      </c>
      <c r="K238" s="89" t="str">
        <f>IF(ISEVEN(B238),(B238-1)&amp;"/"&amp;B238,B238&amp;"/"&amp;(B238+1))</f>
        <v>4011/4012</v>
      </c>
      <c r="L238" s="185" t="str">
        <f>VLOOKUP(A238,'Trips&amp;Operators'!$C$1:$G$99911,5,FALSE)</f>
        <v>WEST BRYAN</v>
      </c>
      <c r="M238" s="6">
        <f>I238-F238</f>
        <v>7.2453703687642701E-3</v>
      </c>
      <c r="N238" s="7">
        <f>24*60*SUM($M238:$M238)</f>
        <v>10.433333331020549</v>
      </c>
      <c r="O238" s="7"/>
      <c r="P238" s="7"/>
      <c r="Q238" s="22"/>
      <c r="R238" s="174"/>
      <c r="S238" s="221">
        <f>1/IF(AG238="EC",12,1)*SUM(U238:U238)</f>
        <v>1</v>
      </c>
      <c r="T238" s="174" t="str">
        <f>IF(ISEVEN(LEFT(AD238,4)),"Southbound","NorthBound")</f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-27T17:21:23-0600',mode:absolute,to:'2017-10-27T19:40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1</v>
      </c>
      <c r="Y238" s="204">
        <f>RIGHT(D238,LEN(D238)-4)/10000</f>
        <v>2.2019000000000002</v>
      </c>
      <c r="Z238" s="204">
        <f>RIGHT(H238,LEN(H238)-4)/10000</f>
        <v>0.18490000000000001</v>
      </c>
      <c r="AA238" s="204">
        <f>ABS(Z238-Y238)</f>
        <v>2.0170000000000003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70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s3://rtdc.mdm.uploadarchive.raw/RTDC4011/ "%USERPROFILE%\AppData\Local\Temp\OnboardLogs"\RTDC4011\2017-10-27 --exclude "*" --recursive --include "*20171027*" &amp; "%USERPROFILE%\Documents\GitHub\mrs-test-scripts\Headless Mode &amp; Sideloading\WalkAndUnGZ.bat" "%USERPROFILE%\AppData\Local\Temp\OnboardLogs"\RTDC4011\2017-10-27 &amp; 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/stypes="app*4011*20171028*" /stext=" 00:.+((SYSTEM_STATE.+slice.+state.+changed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53"/>
        <v>"%USERPROFILE%\Documents\GitHub\eaglep3\Utilities\RefineRTDCRunTimes.py" --tripid 70-27 --locoid 4011 --swversion DE.1.0.9.0 --startMP 300:22019 --initTime 2017-10-27T18:21:23 --startdatetime 2017-10-27T18:30:18 --delay 222 --endMP 204:1849 --enddatetime 2017-10-27T18:40:44 --enforcementcount 0 &gt;&gt;%USERPROFILE%\Documents\GitHub\eaglep3-reporting\EC\2017-10-27-refined-times.txt</v>
      </c>
      <c r="AI238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0.1849"},{"id":17,"name":"Train ID","value":"70-27"},{"id":16,"name":"Locomotive ID","value":"4011"},{"id":130,"name":"Impact","value":""},{"id":150,"name":"Time of Event (Mountain Time)","value":"18:40:44"},{"id":151,"name":"Denver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55"/>
        <v>start /low /b %USERPROFILE%\Documents\GitHub\eaglep3\Utilities\DownloadLogsFromS3.py --loco 4011 --day 2017-10-27</v>
      </c>
      <c r="AN238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00:40:44"},{"id":29,"name":"Sharepoint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57"/>
        <v>https://d0f6bd738d7f1b3e5a7ca70fe4ff75f0.us-east-1.aws.found.io/app/kibana#/discover/Steve-Slow-Train-Analysis-(2080s-and-2083s)?_g=(refreshInterval:(display:Off,pause:!f,section:0,value:0),time:(from:'2017-10-27T17:21:23-0600',mode:absolute,to:'2017-10-27T19:40:44-0600'))&amp;_a=(columns:!('Message%20ID',Summary),filters:!(),index:'emp_*',interval:auto,query:(query_string:(analyze_wildcard:!t,query:'%22rtdc.l.rtdc.4011%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830</v>
      </c>
      <c r="B239" s="7">
        <v>4047</v>
      </c>
      <c r="C239" s="21" t="s">
        <v>194</v>
      </c>
      <c r="D239" s="21" t="s">
        <v>1023</v>
      </c>
      <c r="E239" s="13">
        <v>43035.806030092594</v>
      </c>
      <c r="F239" s="13">
        <v>43035.813206018516</v>
      </c>
      <c r="G239" s="7">
        <v>320</v>
      </c>
      <c r="H239" s="21" t="s">
        <v>1024</v>
      </c>
      <c r="I239" s="13">
        <v>43035.819363425922</v>
      </c>
      <c r="J239" s="7">
        <v>0</v>
      </c>
      <c r="K239" s="89" t="str">
        <f>IF(ISEVEN(B239),(B239-1)&amp;"/"&amp;B239,B239&amp;"/"&amp;(B239+1))</f>
        <v>4047/4048</v>
      </c>
      <c r="L239" s="185" t="str">
        <f>VLOOKUP(A239,'Trips&amp;Operators'!$C$1:$G$99911,5,FALSE)</f>
        <v>GUNTHIER ERIC</v>
      </c>
      <c r="M239" s="6">
        <f>I239-F239</f>
        <v>6.1574074061354622E-3</v>
      </c>
      <c r="N239" s="7">
        <f>24*60*SUM($M239:$M239)</f>
        <v>8.8666666648350656</v>
      </c>
      <c r="O239" s="7"/>
      <c r="P239" s="7"/>
      <c r="Q239" s="22"/>
      <c r="R239" s="174"/>
      <c r="S239" s="221">
        <f>1/IF(AG239="EC",12,1)*SUM(U239:U239)</f>
        <v>0</v>
      </c>
      <c r="T239" s="174" t="str">
        <f>IF(ISEVEN(LEFT(AD239,4)),"Southbound","NorthBound")</f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-27T18:20:41-0600',mode:absolute,to:'2017-10-27T20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5</v>
      </c>
      <c r="Y239" s="204">
        <f>RIGHT(D239,LEN(D239)-4)/10000</f>
        <v>2.2098</v>
      </c>
      <c r="Z239" s="204">
        <f>RIGHT(H239,LEN(H239)-4)/10000</f>
        <v>8.7099999999999997E-2</v>
      </c>
      <c r="AA239" s="204">
        <f>ABS(Z239-Y239)</f>
        <v>2.1227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75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s3://rtdc.mdm.uploadarchive.raw/RTDC4047/ "%USERPROFILE%\AppData\Local\Temp\OnboardLogs"\RTDC4047\2017-10-27 --exclude "*" --recursive --include "*20171027*" &amp; "%USERPROFILE%\Documents\GitHub\mrs-test-scripts\Headless Mode &amp; Sideloading\WalkAndUnGZ.bat" "%USERPROFILE%\AppData\Local\Temp\OnboardLogs"\RTDC4047\2017-10-27 &amp; aws s3 cp s3://rtdc.mdm.uploadarchive.raw/RTDC4047/ "%USERPROFILE%\AppData\Local\Temp\OnboardLogs"\RTDC4047\2017-10-28 --exclude "*" --recursive --include "*20171028*" &amp; "%USERPROFILE%\Documents\GitHub\mrs-test-scripts\Headless Mode &amp; Sideloading\WalkAndUnGZ.bat" "%USERPROFILE%\AppData\Local\Temp\OnboardLogs"\RTDC4047\2017-10-28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/stypes="app*4047*20171028*" /stext=" 01:.+((SYSTEM_STATE.+slice.+state.+changed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53"/>
        <v>"%USERPROFILE%\Documents\GitHub\eaglep3\Utilities\RefineRTDCRunTimes.py" --tripid 75-27 --locoid 4047 --swversion DE.1.0.9.0 --startMP 300:22098 --initTime 2017-10-27T19:20:41 --startdatetime 2017-10-27T19:31:01 --delay 320 --endMP 204:871 --enddatetime 2017-10-27T19:39:53 --enforcementcount 0 &gt;&gt;%USERPROFILE%\Documents\GitHub\eaglep3-reporting\EC\2017-10-27-refined-times.txt</v>
      </c>
      <c r="AI239" s="96" t="str">
        <f t="shared" si="54"/>
        <v>echo {"issue":{"subject":"","project_id":79,"tracker_id":40,"status_id":1,"priority_id":2,"assigned_to_id":338,"start_date":"2017-10-27","description":"","custom_fields":[{"id":1,"name":"Subdivision","value":"Shuttle/Test"},{"id":4,"name":"Milepost","value":"0.0871"},{"id":17,"name":"Train ID","value":"75-27"},{"id":16,"name":"Locomotive ID","value":"4047"},{"id":130,"name":"Impact","value":""},{"id":150,"name":"Time of Event (Mountain Time)","value":"19:39:53"},{"id":151,"name":"Denver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55"/>
        <v>start /low /b %USERPROFILE%\Documents\GitHub\eaglep3\Utilities\DownloadLogsFromS3.py --loco 4047 --day 2017-10-27</v>
      </c>
      <c r="AN239" s="151" t="str">
        <f t="shared" si="5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01:39:53"},{"id":29,"name":"Sharepoint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57"/>
        <v>https://d0f6bd738d7f1b3e5a7ca70fe4ff75f0.us-east-1.aws.found.io/app/kibana#/discover/Steve-Slow-Train-Analysis-(2080s-and-2083s)?_g=(refreshInterval:(display:Off,pause:!f,section:0,value:0),time:(from:'2017-10-27T18:20:41-0600',mode:absolute,to:'2017-10-27T20:39:53-0600'))&amp;_a=(columns:!('Message%20ID',Summary),filters:!(),index:'emp_*',interval:auto,query:(query_string:(analyze_wildcard:!t,query:'%22rtdc.l.rtdc.4047%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9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4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4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4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4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4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4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4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4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4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</sheetData>
  <autoFilter ref="A12:AG420">
    <sortState ref="A13:AG420">
      <sortCondition ref="AG13:AG239"/>
      <sortCondition ref="AD13:AD239"/>
    </sortState>
  </autoFilter>
  <sortState ref="A13:AN325">
    <sortCondition ref="AG13:AG325"/>
    <sortCondition ref="AD13:AD325"/>
  </sortState>
  <mergeCells count="1">
    <mergeCell ref="A11:P11"/>
  </mergeCells>
  <conditionalFormatting sqref="W11:W12 W426:X1048576 W13:X239">
    <cfRule type="cellIs" dxfId="10" priority="457" operator="equal">
      <formula>"Y"</formula>
    </cfRule>
  </conditionalFormatting>
  <conditionalFormatting sqref="X426:X1048576 X13:X239">
    <cfRule type="cellIs" dxfId="9" priority="440" operator="greaterThan">
      <formula>1</formula>
    </cfRule>
  </conditionalFormatting>
  <conditionalFormatting sqref="X426:X1048576 X12:X239">
    <cfRule type="cellIs" dxfId="8" priority="437" operator="equal">
      <formula>0</formula>
    </cfRule>
  </conditionalFormatting>
  <conditionalFormatting sqref="A13:S239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P22" sqref="P2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COUNTIF($O$7:$O$240,"=Y")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COUNTA($O$7:$O$240)-O2</f>
        <v>15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- 2017-10-27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348</v>
      </c>
      <c r="X6" s="181" t="s">
        <v>341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43035.359525462962</v>
      </c>
      <c r="B7" s="30" t="s">
        <v>396</v>
      </c>
      <c r="C7" s="30" t="s">
        <v>628</v>
      </c>
      <c r="D7" s="30" t="s">
        <v>49</v>
      </c>
      <c r="E7" s="30" t="s">
        <v>185</v>
      </c>
      <c r="F7" s="42">
        <v>0</v>
      </c>
      <c r="G7" s="42">
        <v>393</v>
      </c>
      <c r="H7" s="42">
        <v>32766</v>
      </c>
      <c r="I7" s="42">
        <v>33715</v>
      </c>
      <c r="J7" s="30" t="s">
        <v>186</v>
      </c>
      <c r="K7" s="42">
        <v>33137</v>
      </c>
      <c r="L7" s="131" t="s">
        <v>50</v>
      </c>
      <c r="M7" s="132">
        <f>CONVERT((I7-K7)/10000,"mi","ft")*IF(L7="Increasing Mileposts (1)",-1,1)</f>
        <v>-305.18400000000003</v>
      </c>
      <c r="N7" s="133" t="str">
        <f>VLOOKUP(C7,'Trips&amp;Operators'!$C$1:$G$99911,5,FALSE)</f>
        <v>ROCHA YAOTL</v>
      </c>
      <c r="O7" s="176" t="s">
        <v>178</v>
      </c>
      <c r="P7" s="134" t="s">
        <v>352</v>
      </c>
      <c r="Q7" s="30"/>
      <c r="R7" s="81" t="str">
        <f>VLOOKUP(C7,'Train Runs'!$A$13:$AE$10079,31,0)</f>
        <v>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 &amp; aws s3 cp s3://rtdc.mdm.uploadarchive.raw/RTDC4018/ "%USERPROFILE%\AppData\Local\Temp\OnboardLogs"\RTDC4018\2017-10-28 --exclude "*" --recursive --include "*20171028*" &amp; "%USERPROFILE%\Documents\GitHub\mrs-test-scripts\Headless Mode &amp; Sideloading\WalkAndUnGZ.bat" "%USERPROFILE%\AppData\Local\Temp\OnboardLogs"\RTDC4018\2017-10-28</v>
      </c>
      <c r="S7" s="84" t="str">
        <f>VLOOKUP(C7,'Train Runs'!$A$13:$AE$10079,22,0)</f>
        <v>https://d0f6bd738d7f1b3e5a7ca70fe4ff75f0.us-east-1.aws.found.io/app/kibana#/discover/Steve-Slow-Train-Analysis-(2080s-and-2083s)?_g=(refreshInterval:(display:Off,pause:!f,section:0,value:0),time:(from:'2017-10-27T07:27:25-0600',mode:absolute,to:'2017-10-27T10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/stypes="*4018*201710271*" /stext=" 14:.+((SYSTEM_STATE.+slice.+state.+changed )|(ment ac)|(multiple cpu faults)|(system.+state.+changed )|(\[timeout)|(PRM\|1\|D)|(kpr)|(kdp)|(train st.+moving)|(\|lc)|(penalty))"</v>
      </c>
      <c r="U7" s="9" t="str">
        <f>MID(B7,13,4)</f>
        <v>4018</v>
      </c>
      <c r="V7" s="31">
        <f>A7-utc_offset/24</f>
        <v>43035.609525462962</v>
      </c>
      <c r="W7" s="45" t="str">
        <f>DetSubdiv(C7)</f>
        <v>EC</v>
      </c>
      <c r="X7" s="22">
        <f>VALUE(LEFT(C7,LEN(C7)-3))</f>
        <v>139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Arrival","project_id":79,"tracker_id":40,"status_id":1,"priority_id":2,"assigned_to_id":338,"start_date":"2017-10-27","description":"","custom_fields":[{"id":1,"name":"Subdivision","value":"EC"},{"id":4,"name":"Milepost","value":"3.3137"},{"id":17,"name":"Train ID","value":"139-27"},{"id":16,"name":"Locomotive ID","value":"4018"},{"id":130,"name":"Impact","value":""},{"id":150,"name":"Time of Event (Mountain Time)","value":"08:37:43"},{"id":151,"name":"Denver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/c/Users/stu/AppData/Local/Temp/OnboardLogs/RTDC4018 --include="*4018*201710271*"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"%USERPROFILE%\AppData\Local\Temp\OnboardLogs"\RTDC4018\*4018*201710271* &gt;&gt; 2017-10-27-SliceDisagreementCheck.txt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4018 --day 2017-10-27</v>
      </c>
    </row>
    <row r="8" spans="1:32" s="1" customFormat="1" x14ac:dyDescent="0.3">
      <c r="A8" s="31">
        <v>43035.496921296297</v>
      </c>
      <c r="B8" s="30" t="s">
        <v>629</v>
      </c>
      <c r="C8" s="30" t="s">
        <v>630</v>
      </c>
      <c r="D8" s="30" t="s">
        <v>49</v>
      </c>
      <c r="E8" s="30" t="s">
        <v>185</v>
      </c>
      <c r="F8" s="42">
        <v>260</v>
      </c>
      <c r="G8" s="42">
        <v>348</v>
      </c>
      <c r="H8" s="42">
        <v>35825</v>
      </c>
      <c r="I8" s="42">
        <v>35031</v>
      </c>
      <c r="J8" s="30" t="s">
        <v>186</v>
      </c>
      <c r="K8" s="42">
        <v>33257</v>
      </c>
      <c r="L8" s="131" t="s">
        <v>51</v>
      </c>
      <c r="M8" s="132">
        <f>CONVERT((I8-K8)/10000,"mi","ft")*IF(L8="Increasing Mileposts (1)",-1,1)</f>
        <v>936.67200000000003</v>
      </c>
      <c r="N8" s="133" t="str">
        <f>VLOOKUP(C8,'Trips&amp;Operators'!$C$1:$G$99911,5,FALSE)</f>
        <v>MACDONALD THOMAS</v>
      </c>
      <c r="O8" s="176" t="s">
        <v>178</v>
      </c>
      <c r="P8" s="134" t="s">
        <v>352</v>
      </c>
      <c r="Q8" s="30"/>
      <c r="R8" s="81" t="str">
        <f>VLOOKUP(C8,'Train Runs'!$A$13:$AE$10079,31,0)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S8" s="84" t="str">
        <f>VLOOKUP(C8,'Train Runs'!$A$13:$AE$10079,22,0)</f>
        <v>https://d0f6bd738d7f1b3e5a7ca70fe4ff75f0.us-east-1.aws.found.io/app/kibana#/discover/Steve-Slow-Train-Analysis-(2080s-and-2083s)?_g=(refreshInterval:(display:Off,pause:!f,section:0,value:0),time:(from:'2017-10-27T10:22:16-0600',mode:absolute,to:'2017-10-27T13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/stypes="*4013*201710271*" /stext=" 17:.+((SYSTEM_STATE.+slice.+state.+changed )|(ment ac)|(multiple cpu faults)|(system.+state.+changed )|(\[timeout)|(PRM\|1\|D)|(kpr)|(kdp)|(train st.+moving)|(\|lc)|(penalty))"</v>
      </c>
      <c r="U8" s="9" t="str">
        <f>MID(B8,13,4)</f>
        <v>4013</v>
      </c>
      <c r="V8" s="31">
        <f>A8-utc_offset/24</f>
        <v>43035.746921296297</v>
      </c>
      <c r="W8" s="45" t="str">
        <f>DetSubdiv(C8)</f>
        <v>EC</v>
      </c>
      <c r="X8" s="22">
        <f>VALUE(LEFT(C8,LEN(C8)-3))</f>
        <v>156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Arrival","project_id":79,"tracker_id":40,"status_id":1,"priority_id":2,"assigned_to_id":338,"start_date":"2017-10-27","description":"","custom_fields":[{"id":1,"name":"Subdivision","value":"EC"},{"id":4,"name":"Milepost","value":"3.3257"},{"id":17,"name":"Train ID","value":"156-27"},{"id":16,"name":"Locomotive ID","value":"4013"},{"id":130,"name":"Impact","value":""},{"id":150,"name":"Time of Event (Mountain Time)","value":"11:55:34"},{"id":151,"name":"Denver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/c/Users/stu/AppData/Local/Temp/OnboardLogs/RTDC4013 --include="*4013*201710271*"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"%USERPROFILE%\AppData\Local\Temp\OnboardLogs"\RTDC4013\*4013*201710271* &gt;&gt; 2017-10-27-SliceDisagreementCheck.txt</v>
      </c>
      <c r="AE8" s="145" t="str">
        <f t="shared" ref="AE8:AE24" si="1">"start /low /b "&amp;dls3logs&amp;" --loco "&amp;U8&amp;" --day "&amp;TEXT(V8,"YYYY-MM-DD")</f>
        <v>start /low /b %USERPROFILE%\Documents\GitHub\eaglep3\Utilities\DownloadLogsFromS3.py --loco 4013 --day 2017-10-27</v>
      </c>
    </row>
    <row r="9" spans="1:32" s="1" customFormat="1" x14ac:dyDescent="0.3">
      <c r="A9" s="31">
        <v>43035.744004629632</v>
      </c>
      <c r="B9" s="30" t="s">
        <v>397</v>
      </c>
      <c r="C9" s="30" t="s">
        <v>635</v>
      </c>
      <c r="D9" s="30" t="s">
        <v>49</v>
      </c>
      <c r="E9" s="30" t="s">
        <v>185</v>
      </c>
      <c r="F9" s="42">
        <v>0</v>
      </c>
      <c r="G9" s="42">
        <v>278</v>
      </c>
      <c r="H9" s="42">
        <v>58492</v>
      </c>
      <c r="I9" s="42">
        <v>58095</v>
      </c>
      <c r="J9" s="30" t="s">
        <v>186</v>
      </c>
      <c r="K9" s="42">
        <v>58301</v>
      </c>
      <c r="L9" s="131" t="s">
        <v>51</v>
      </c>
      <c r="M9" s="132">
        <f>CONVERT((I9-K9)/10000,"mi","ft")*IF(L9="Increasing Mileposts (1)",-1,1)</f>
        <v>-108.768</v>
      </c>
      <c r="N9" s="133" t="str">
        <f>VLOOKUP(C9,'Trips&amp;Operators'!$C$1:$G$99911,5,FALSE)</f>
        <v>SAFIEF AEIMEN</v>
      </c>
      <c r="O9" s="176" t="s">
        <v>178</v>
      </c>
      <c r="P9" s="134" t="s">
        <v>352</v>
      </c>
      <c r="Q9" s="30"/>
      <c r="R9" s="81" t="str">
        <f>VLOOKUP(C9,'Train Runs'!$A$13:$AE$10079,31,0)</f>
        <v>aws s3 cp s3://rtdc.mdm.uploadarchive.raw/RTDC4005/ "%USERPROFILE%\AppData\Local\Temp\OnboardLogs"\RTDC4005\2017-10-27 --exclude "*" --recursive --include "*20171027*" &amp; "%USERPROFILE%\Documents\GitHub\mrs-test-scripts\Headless Mode &amp; Sideloading\WalkAndUnGZ.bat" "%USERPROFILE%\AppData\Local\Temp\OnboardLogs"\RTDC4005\2017-10-27 &amp; aws s3 cp s3://rtdc.mdm.uploadarchive.raw/RTDC4005/ "%USERPROFILE%\AppData\Local\Temp\OnboardLogs"\RTDC4005\2017-10-28 --exclude "*" --recursive --include "*20171028*" &amp; "%USERPROFILE%\Documents\GitHub\mrs-test-scripts\Headless Mode &amp; Sideloading\WalkAndUnGZ.bat" "%USERPROFILE%\AppData\Local\Temp\OnboardLogs"\RTDC4005\2017-10-28</v>
      </c>
      <c r="S9" s="84" t="str">
        <f>VLOOKUP(C9,'Train Runs'!$A$13:$AE$10079,22,0)</f>
        <v>https://d0f6bd738d7f1b3e5a7ca70fe4ff75f0.us-east-1.aws.found.io/app/kibana#/discover/Steve-Slow-Train-Analysis-(2080s-and-2083s)?_g=(refreshInterval:(display:Off,pause:!f,section:0,value:0),time:(from:'2017-10-27T16:09:33-0600',mode:absolute,to:'2017-10-27T19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/stypes="*4005*201710272*" /stext=" 23:.+((SYSTEM_STATE.+slice.+state.+changed )|(ment ac)|(multiple cpu faults)|(system.+state.+changed )|(\[timeout)|(PRM\|1\|D)|(kpr)|(kdp)|(train st.+moving)|(\|lc)|(penalty))"</v>
      </c>
      <c r="U9" s="9" t="str">
        <f>MID(B9,13,4)</f>
        <v>4005</v>
      </c>
      <c r="V9" s="31">
        <f>A9-utc_offset/24</f>
        <v>43035.994004629632</v>
      </c>
      <c r="W9" s="45" t="str">
        <f>DetSubdiv(C9)</f>
        <v>EC</v>
      </c>
      <c r="X9" s="22">
        <f>VALUE(LEFT(C9,LEN(C9)-3))</f>
        <v>204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Arrival","project_id":79,"tracker_id":40,"status_id":1,"priority_id":2,"assigned_to_id":338,"start_date":"2017-10-27","description":"","custom_fields":[{"id":1,"name":"Subdivision","value":"EC"},{"id":4,"name":"Milepost","value":"5.8301"},{"id":17,"name":"Train ID","value":"204-27"},{"id":16,"name":"Locomotive ID","value":"4005"},{"id":130,"name":"Impact","value":""},{"id":150,"name":"Time of Event (Mountain Time)","value":"17:51:22"},{"id":151,"name":"Denver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/c/Users/stu/AppData/Local/Temp/OnboardLogs/RTDC4005 --include="*4005*201710272*"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"%USERPROFILE%\AppData\Local\Temp\OnboardLogs"\RTDC4005\*4005*201710272* &gt;&gt; 2017-10-27-SliceDisagreementCheck.txt</v>
      </c>
      <c r="AE9" s="145" t="str">
        <f t="shared" si="1"/>
        <v>start /low /b %USERPROFILE%\Documents\GitHub\eaglep3\Utilities\DownloadLogsFromS3.py --loco 4005 --day 2017-10-27</v>
      </c>
    </row>
    <row r="10" spans="1:32" s="1" customFormat="1" x14ac:dyDescent="0.3">
      <c r="A10" s="31">
        <v>43035.357893518521</v>
      </c>
      <c r="B10" s="30" t="s">
        <v>626</v>
      </c>
      <c r="C10" s="30" t="s">
        <v>627</v>
      </c>
      <c r="D10" s="30" t="s">
        <v>49</v>
      </c>
      <c r="E10" s="30" t="s">
        <v>185</v>
      </c>
      <c r="F10" s="42">
        <v>710</v>
      </c>
      <c r="G10" s="42">
        <v>790</v>
      </c>
      <c r="H10" s="42">
        <v>106372</v>
      </c>
      <c r="I10" s="42">
        <v>110232</v>
      </c>
      <c r="J10" s="30" t="s">
        <v>186</v>
      </c>
      <c r="K10" s="42">
        <v>108954</v>
      </c>
      <c r="L10" s="131" t="s">
        <v>50</v>
      </c>
      <c r="M10" s="132">
        <f>CONVERT((I10-K10)/10000,"mi","ft")*IF(L10="Increasing Mileposts (1)",-1,1)</f>
        <v>-674.78399999999999</v>
      </c>
      <c r="N10" s="133" t="str">
        <f>VLOOKUP(C10,'Trips&amp;Operators'!$C$1:$G$99911,5,FALSE)</f>
        <v>DAVIS WENDY</v>
      </c>
      <c r="O10" s="176" t="s">
        <v>178</v>
      </c>
      <c r="P10" s="134" t="s">
        <v>352</v>
      </c>
      <c r="Q10" s="30"/>
      <c r="R10" s="81" t="str">
        <f>VLOOKUP(C10,'Train Runs'!$A$13:$AE$10079,31,0)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S10" s="84" t="str">
        <f>VLOOKUP(C10,'Train Runs'!$A$13:$AE$10079,22,0)</f>
        <v>https://d0f6bd738d7f1b3e5a7ca70fe4ff75f0.us-east-1.aws.found.io/app/kibana#/discover/Steve-Slow-Train-Analysis-(2080s-and-2083s)?_g=(refreshInterval:(display:Off,pause:!f,section:0,value:0),time:(from:'2017-10-27T07:07:56-0600',mode:absolute,to:'2017-10-27T09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/stypes="*4052*201710271*" /stext=" 14:.+((SYSTEM_STATE.+slice.+state.+changed )|(ment ac)|(multiple cpu faults)|(system.+state.+changed )|(\[timeout)|(PRM\|1\|D)|(kpr)|(kdp)|(train st.+moving)|(\|lc)|(penalty))"</v>
      </c>
      <c r="U10" s="9" t="str">
        <f>MID(B10,13,4)</f>
        <v>4052</v>
      </c>
      <c r="V10" s="31">
        <f>A10-utc_offset/24</f>
        <v>43035.607893518521</v>
      </c>
      <c r="W10" s="45" t="str">
        <f>DetSubdiv(C10)</f>
        <v>EC</v>
      </c>
      <c r="X10" s="22">
        <f>VALUE(LEFT(C10,LEN(C10)-3))</f>
        <v>137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Arrival","project_id":79,"tracker_id":40,"status_id":1,"priority_id":2,"assigned_to_id":338,"start_date":"2017-10-27","description":"","custom_fields":[{"id":1,"name":"Subdivision","value":"EC"},{"id":4,"name":"Milepost","value":"10.8954"},{"id":17,"name":"Train ID","value":"137-27"},{"id":16,"name":"Locomotive ID","value":"4052"},{"id":130,"name":"Impact","value":""},{"id":150,"name":"Time of Event (Mountain Time)","value":"08:35:22"},{"id":151,"name":"Denver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/c/Users/stu/AppData/Local/Temp/OnboardLogs/RTDC4052 --include="*4052*201710271*"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"%USERPROFILE%\AppData\Local\Temp\OnboardLogs"\RTDC4052\*4052*201710271* &gt;&gt; 2017-10-27-SliceDisagreementCheck.txt</v>
      </c>
      <c r="AE10" s="145" t="str">
        <f t="shared" si="1"/>
        <v>start /low /b %USERPROFILE%\Documents\GitHub\eaglep3\Utilities\DownloadLogsFromS3.py --loco 4052 --day 2017-10-27</v>
      </c>
    </row>
    <row r="11" spans="1:32" s="1" customFormat="1" x14ac:dyDescent="0.3">
      <c r="A11" s="31">
        <v>43035.497997685183</v>
      </c>
      <c r="B11" s="30" t="s">
        <v>629</v>
      </c>
      <c r="C11" s="30" t="s">
        <v>630</v>
      </c>
      <c r="D11" s="30" t="s">
        <v>49</v>
      </c>
      <c r="E11" s="30" t="s">
        <v>192</v>
      </c>
      <c r="F11" s="42">
        <v>200</v>
      </c>
      <c r="G11" s="42">
        <v>287</v>
      </c>
      <c r="H11" s="42">
        <v>31517</v>
      </c>
      <c r="I11" s="42">
        <v>30868</v>
      </c>
      <c r="J11" s="30" t="s">
        <v>193</v>
      </c>
      <c r="K11" s="42">
        <v>30562</v>
      </c>
      <c r="L11" s="131" t="s">
        <v>51</v>
      </c>
      <c r="M11" s="132">
        <f>CONVERT((I11-K11)/10000,"mi","ft")*IF(L11="Increasing Mileposts (1)",-1,1)</f>
        <v>161.56800000000001</v>
      </c>
      <c r="N11" s="133" t="str">
        <f>VLOOKUP(C11,'Trips&amp;Operators'!$C$1:$G$99911,5,FALSE)</f>
        <v>MACDONALD THOMAS</v>
      </c>
      <c r="O11" s="176" t="s">
        <v>178</v>
      </c>
      <c r="P11" s="134"/>
      <c r="Q11" s="30"/>
      <c r="R11" s="81" t="str">
        <f>VLOOKUP(C11,'Train Runs'!$A$13:$AE$10079,31,0)</f>
        <v>aws s3 cp s3://rtdc.mdm.uploadarchive.raw/RTDC4013/ "%USERPROFILE%\AppData\Local\Temp\OnboardLogs"\RTDC4013\2017-10-27 --exclude "*" --recursive --include "*20171027*" &amp; "%USERPROFILE%\Documents\GitHub\mrs-test-scripts\Headless Mode &amp; Sideloading\WalkAndUnGZ.bat" "%USERPROFILE%\AppData\Local\Temp\OnboardLogs"\RTDC4013\2017-10-27 &amp; aws s3 cp s3://rtdc.mdm.uploadarchive.raw/RTDC4013/ "%USERPROFILE%\AppData\Local\Temp\OnboardLogs"\RTDC4013\2017-10-28 --exclude "*" --recursive --include "*20171028*" &amp; "%USERPROFILE%\Documents\GitHub\mrs-test-scripts\Headless Mode &amp; Sideloading\WalkAndUnGZ.bat" "%USERPROFILE%\AppData\Local\Temp\OnboardLogs"\RTDC4013\2017-10-28</v>
      </c>
      <c r="S11" s="84" t="str">
        <f>VLOOKUP(C11,'Train Runs'!$A$13:$AE$10079,22,0)</f>
        <v>https://d0f6bd738d7f1b3e5a7ca70fe4ff75f0.us-east-1.aws.found.io/app/kibana#/discover/Steve-Slow-Train-Analysis-(2080s-and-2083s)?_g=(refreshInterval:(display:Off,pause:!f,section:0,value:0),time:(from:'2017-10-27T10:22:16-0600',mode:absolute,to:'2017-10-27T13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/stypes="*4013*201710271*" /stext=" 17:.+((SYSTEM_STATE.+slice.+state.+changed )|(ment ac)|(multiple cpu faults)|(system.+state.+changed )|(\[timeout)|(PRM\|1\|D)|(kpr)|(kdp)|(train st.+moving)|(\|lc)|(penalty))"</v>
      </c>
      <c r="U11" s="9" t="str">
        <f>MID(B11,13,4)</f>
        <v>4013</v>
      </c>
      <c r="V11" s="31">
        <f>A11-utc_offset/24</f>
        <v>43035.747997685183</v>
      </c>
      <c r="W11" s="45" t="str">
        <f>DetSubdiv(C11)</f>
        <v>EC</v>
      </c>
      <c r="X11" s="22">
        <f>VALUE(LEFT(C11,LEN(C11)-3))</f>
        <v>156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{"issue":{"subject":"","project_id":79,"tracker_id":40,"status_id":1,"priority_id":2,"assigned_to_id":338,"start_date":"2017-10-27","description":"","custom_fields":[{"id":1,"name":"Subdivision","value":"EC"},{"id":4,"name":"Milepost","value":"3.0562"},{"id":17,"name":"Train ID","value":"156-27"},{"id":16,"name":"Locomotive ID","value":"4013"},{"id":130,"name":"Impact","value":""},{"id":150,"name":"Time of Event (Mountain Time)","value":"11:57:07"},{"id":151,"name":"Denver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/c/Users/stu/AppData/Local/Temp/OnboardLogs/RTDC4013 --include="*4013*201710271*"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"%USERPROFILE%\AppData\Local\Temp\OnboardLogs"\RTDC4013\*4013*201710271* &gt;&gt; 2017-10-27-SliceDisagreementCheck.txt</v>
      </c>
      <c r="AE11" s="145" t="str">
        <f t="shared" si="1"/>
        <v>start /low /b %USERPROFILE%\Documents\GitHub\eaglep3\Utilities\DownloadLogsFromS3.py --loco 4013 --day 2017-10-27</v>
      </c>
    </row>
    <row r="12" spans="1:32" x14ac:dyDescent="0.3">
      <c r="A12" s="31">
        <v>43035.565289351849</v>
      </c>
      <c r="B12" s="30" t="s">
        <v>492</v>
      </c>
      <c r="C12" s="30" t="s">
        <v>632</v>
      </c>
      <c r="D12" s="30" t="s">
        <v>95</v>
      </c>
      <c r="E12" s="30" t="s">
        <v>192</v>
      </c>
      <c r="F12" s="42">
        <v>600</v>
      </c>
      <c r="G12" s="42">
        <v>650</v>
      </c>
      <c r="H12" s="42">
        <v>184371</v>
      </c>
      <c r="I12" s="42">
        <v>181546</v>
      </c>
      <c r="J12" s="30" t="s">
        <v>193</v>
      </c>
      <c r="K12" s="42">
        <v>190834</v>
      </c>
      <c r="L12" s="131" t="s">
        <v>51</v>
      </c>
      <c r="M12" s="132">
        <f>CONVERT((I12-K12)/10000,"mi","ft")*IF(L12="Increasing Mileposts (1)",-1,1)</f>
        <v>-4904.0640000000003</v>
      </c>
      <c r="N12" s="133" t="str">
        <f>VLOOKUP(C12,'Trips&amp;Operators'!$C$1:$G$99911,5,FALSE)</f>
        <v>BADERTSCHER DIANE</v>
      </c>
      <c r="O12" s="176" t="s">
        <v>178</v>
      </c>
      <c r="P12" s="134"/>
      <c r="Q12" s="30"/>
      <c r="R12" s="81" t="str">
        <f>VLOOKUP(C12,'Train Runs'!$A$13:$AE$10079,31,0)</f>
        <v>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 &amp; aws s3 cp s3://rtdc.mdm.uploadarchive.raw/RTDC4035/ "%USERPROFILE%\AppData\Local\Temp\OnboardLogs"\RTDC4035\2017-10-28 --exclude "*" --recursive --include "*20171028*" &amp; "%USERPROFILE%\Documents\GitHub\mrs-test-scripts\Headless Mode &amp; Sideloading\WalkAndUnGZ.bat" "%USERPROFILE%\AppData\Local\Temp\OnboardLogs"\RTDC4035\2017-10-28</v>
      </c>
      <c r="S12" s="84" t="str">
        <f>VLOOKUP(C12,'Train Runs'!$A$13:$AE$10079,22,0)</f>
        <v>https://d0f6bd738d7f1b3e5a7ca70fe4ff75f0.us-east-1.aws.found.io/app/kibana#/discover/Steve-Slow-Train-Analysis-(2080s-and-2083s)?_g=(refreshInterval:(display:Off,pause:!f,section:0,value:0),time:(from:'2017-10-27T12:20:13-0600',mode:absolute,to:'2017-10-27T15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/stypes="*4035*201710271*" /stext=" 19:.+((SYSTEM_STATE.+slice.+state.+changed )|(ment ac)|(multiple cpu faults)|(system.+state.+changed )|(\[timeout)|(PRM\|1\|D)|(kpr)|(kdp)|(train st.+moving)|(\|lc)|(penalty))"</v>
      </c>
      <c r="U12" s="9" t="str">
        <f>MID(B12,13,4)</f>
        <v>4035</v>
      </c>
      <c r="V12" s="31">
        <f>A12-utc_offset/24</f>
        <v>43035.815289351849</v>
      </c>
      <c r="W12" s="45" t="str">
        <f>DetSubdiv(C12)</f>
        <v>EC</v>
      </c>
      <c r="X12" s="22">
        <f>VALUE(LEFT(C12,LEN(C12)-3))</f>
        <v>172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{"issue":{"subject":"","project_id":79,"tracker_id":40,"status_id":1,"priority_id":2,"assigned_to_id":338,"start_date":"2017-10-27","description":"","custom_fields":[{"id":1,"name":"Subdivision","value":"EC"},{"id":4,"name":"Milepost","value":"19.0834"},{"id":17,"name":"Train ID","value":"172-27"},{"id":16,"name":"Locomotive ID","value":"4035"},{"id":130,"name":"Impact","value":""},{"id":150,"name":"Time of Event (Mountain Time)","value":"13:34:01"},{"id":151,"name":"Denver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/c/Users/stu/AppData/Local/Temp/OnboardLogs/RTDC4035 --include="*4035*201710271*"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"%USERPROFILE%\AppData\Local\Temp\OnboardLogs"\RTDC4035\*4035*201710271* &gt;&gt; 2017-10-27-SliceDisagreementCheck.txt</v>
      </c>
      <c r="AE12" s="145" t="str">
        <f t="shared" si="1"/>
        <v>start /low /b %USERPROFILE%\Documents\GitHub\eaglep3\Utilities\DownloadLogsFromS3.py --loco 4035 --day 2017-10-27</v>
      </c>
      <c r="AF12" s="1"/>
    </row>
    <row r="13" spans="1:32" x14ac:dyDescent="0.3">
      <c r="A13" s="31">
        <v>43035.812372685185</v>
      </c>
      <c r="B13" s="30" t="s">
        <v>398</v>
      </c>
      <c r="C13" s="30" t="s">
        <v>639</v>
      </c>
      <c r="D13" s="30" t="s">
        <v>95</v>
      </c>
      <c r="E13" s="30" t="s">
        <v>192</v>
      </c>
      <c r="F13" s="42">
        <v>350</v>
      </c>
      <c r="G13" s="42">
        <v>400</v>
      </c>
      <c r="H13" s="42">
        <v>224540</v>
      </c>
      <c r="I13" s="42">
        <v>223313</v>
      </c>
      <c r="J13" s="30" t="s">
        <v>193</v>
      </c>
      <c r="K13" s="42">
        <v>230436</v>
      </c>
      <c r="L13" s="131" t="s">
        <v>51</v>
      </c>
      <c r="M13" s="132">
        <f>CONVERT((I13-K13)/10000,"mi","ft")*IF(L13="Increasing Mileposts (1)",-1,1)</f>
        <v>-3760.944</v>
      </c>
      <c r="N13" s="133" t="str">
        <f>VLOOKUP(C13,'Trips&amp;Operators'!$C$1:$G$99911,5,FALSE)</f>
        <v>ELBAUM MIKE</v>
      </c>
      <c r="O13" s="176" t="s">
        <v>178</v>
      </c>
      <c r="P13" s="134"/>
      <c r="Q13" s="30"/>
      <c r="R13" s="81" t="str">
        <f>VLOOKUP(C13,'Train Runs'!$A$13:$AE$10079,31,0)</f>
        <v>aws s3 cp s3://rtdc.mdm.uploadarchive.raw/RTDC4007/ "%USERPROFILE%\AppData\Local\Temp\OnboardLogs"\RTDC4007\2017-10-27 --exclude "*" --recursive --include "*20171027*" &amp; "%USERPROFILE%\Documents\GitHub\mrs-test-scripts\Headless Mode &amp; Sideloading\WalkAndUnGZ.bat" "%USERPROFILE%\AppData\Local\Temp\OnboardLogs"\RTDC4007\2017-10-27 &amp; aws s3 cp s3://rtdc.mdm.uploadarchive.raw/RTDC4007/ "%USERPROFILE%\AppData\Local\Temp\OnboardLogs"\RTDC4007\2017-10-28 --exclude "*" --recursive --include "*20171028*" &amp; "%USERPROFILE%\Documents\GitHub\mrs-test-scripts\Headless Mode &amp; Sideloading\WalkAndUnGZ.bat" "%USERPROFILE%\AppData\Local\Temp\OnboardLogs"\RTDC4007\2017-10-28</v>
      </c>
      <c r="S13" s="84" t="str">
        <f>VLOOKUP(C13,'Train Runs'!$A$13:$AE$10079,22,0)</f>
        <v>https://d0f6bd738d7f1b3e5a7ca70fe4ff75f0.us-east-1.aws.found.io/app/kibana#/discover/Steve-Slow-Train-Analysis-(2080s-and-2083s)?_g=(refreshInterval:(display:Off,pause:!f,section:0,value:0),time:(from:'2017-10-27T18:14:18-0600',mode:absolute,to:'2017-10-27T21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/stypes="*4007*201710280*" /stext=" 01:.+((SYSTEM_STATE.+slice.+state.+changed )|(ment ac)|(multiple cpu faults)|(system.+state.+changed )|(\[timeout)|(PRM\|1\|D)|(kpr)|(kdp)|(train st.+moving)|(\|lc)|(penalty))"</v>
      </c>
      <c r="U13" s="9" t="str">
        <f>MID(B13,13,4)</f>
        <v>4007</v>
      </c>
      <c r="V13" s="31">
        <f>A13-utc_offset/24</f>
        <v>43036.062372685185</v>
      </c>
      <c r="W13" s="45" t="str">
        <f>DetSubdiv(C13)</f>
        <v>EC</v>
      </c>
      <c r="X13" s="22">
        <f>VALUE(LEFT(C13,LEN(C13)-3))</f>
        <v>220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{"issue":{"subject":"","project_id":79,"tracker_id":40,"status_id":1,"priority_id":2,"assigned_to_id":338,"start_date":"2017-10-27","description":"","custom_fields":[{"id":1,"name":"Subdivision","value":"EC"},{"id":4,"name":"Milepost","value":"23.0436"},{"id":17,"name":"Train ID","value":"220-27"},{"id":16,"name":"Locomotive ID","value":"4007"},{"id":130,"name":"Impact","value":""},{"id":150,"name":"Time of Event (Mountain Time)","value":"19:29:49"},{"id":151,"name":"Denver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/c/Users/stu/AppData/Local/Temp/OnboardLogs/RTDC4007 --include="*4007*201710280*"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"%USERPROFILE%\AppData\Local\Temp\OnboardLogs"\RTDC4007\*4007*201710280* &gt;&gt; 2017-10-27-SliceDisagreementCheck.txt</v>
      </c>
      <c r="AE13" s="145" t="str">
        <f t="shared" si="1"/>
        <v>start /low /b %USERPROFILE%\Documents\GitHub\eaglep3\Utilities\DownloadLogsFromS3.py --loco 4007 --day 2017-10-28</v>
      </c>
      <c r="AF13" s="1"/>
    </row>
    <row r="14" spans="1:32" x14ac:dyDescent="0.3">
      <c r="A14" s="31">
        <v>43035.50377314815</v>
      </c>
      <c r="B14" s="30" t="s">
        <v>626</v>
      </c>
      <c r="C14" s="30" t="s">
        <v>631</v>
      </c>
      <c r="D14" s="30" t="s">
        <v>49</v>
      </c>
      <c r="E14" s="30" t="s">
        <v>381</v>
      </c>
      <c r="F14" s="42">
        <v>0</v>
      </c>
      <c r="G14" s="42">
        <v>582</v>
      </c>
      <c r="H14" s="42">
        <v>95518</v>
      </c>
      <c r="I14" s="42">
        <v>97370</v>
      </c>
      <c r="J14" s="30" t="s">
        <v>382</v>
      </c>
      <c r="K14" s="42">
        <v>95978</v>
      </c>
      <c r="L14" s="131" t="s">
        <v>50</v>
      </c>
      <c r="M14" s="132">
        <f>CONVERT((I14-K14)/10000,"mi","ft")*IF(L14="Increasing Mileposts (1)",-1,1)</f>
        <v>-734.976</v>
      </c>
      <c r="N14" s="133" t="str">
        <f>VLOOKUP(C14,'Trips&amp;Operators'!$C$1:$G$99911,5,FALSE)</f>
        <v>LEVERE CRAIG</v>
      </c>
      <c r="O14" s="176" t="s">
        <v>362</v>
      </c>
      <c r="P14" s="134" t="s">
        <v>385</v>
      </c>
      <c r="Q14" s="30"/>
      <c r="R14" s="81" t="str">
        <f>VLOOKUP(C14,'Train Runs'!$A$13:$AE$10079,31,0)</f>
        <v>aws s3 cp s3://rtdc.mdm.uploadarchive.raw/RTDC4052/ "%USERPROFILE%\AppData\Local\Temp\OnboardLogs"\RTDC4052\2017-10-27 --exclude "*" --recursive --include "*20171027*" &amp; "%USERPROFILE%\Documents\GitHub\mrs-test-scripts\Headless Mode &amp; Sideloading\WalkAndUnGZ.bat" "%USERPROFILE%\AppData\Local\Temp\OnboardLogs"\RTDC4052\2017-10-27 &amp; aws s3 cp s3://rtdc.mdm.uploadarchive.raw/RTDC4052/ "%USERPROFILE%\AppData\Local\Temp\OnboardLogs"\RTDC4052\2017-10-28 --exclude "*" --recursive --include "*20171028*" &amp; "%USERPROFILE%\Documents\GitHub\mrs-test-scripts\Headless Mode &amp; Sideloading\WalkAndUnGZ.bat" "%USERPROFILE%\AppData\Local\Temp\OnboardLogs"\RTDC4052\2017-10-28</v>
      </c>
      <c r="S14" s="84" t="str">
        <f>VLOOKUP(C14,'Train Runs'!$A$13:$AE$10079,22,0)</f>
        <v>https://d0f6bd738d7f1b3e5a7ca70fe4ff75f0.us-east-1.aws.found.io/app/kibana#/discover/Steve-Slow-Train-Analysis-(2080s-and-2083s)?_g=(refreshInterval:(display:Off,pause:!f,section:0,value:0),time:(from:'2017-10-27T10:42:34-0600',mode:absolute,to:'2017-10-27T13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/stypes="*4052*201710271*" /stext=" 18:.+((SYSTEM_STATE.+slice.+state.+changed )|(ment ac)|(multiple cpu faults)|(system.+state.+changed )|(\[timeout)|(PRM\|1\|D)|(kpr)|(kdp)|(train st.+moving)|(\|lc)|(penalty))"</v>
      </c>
      <c r="U14" s="9" t="str">
        <f>MID(B14,13,4)</f>
        <v>4052</v>
      </c>
      <c r="V14" s="31">
        <f>A14-utc_offset/24</f>
        <v>43035.75377314815</v>
      </c>
      <c r="W14" s="45" t="str">
        <f>DetSubdiv(C14)</f>
        <v>EC</v>
      </c>
      <c r="X14" s="22">
        <f>VALUE(LEFT(C14,LEN(C14)-3))</f>
        <v>165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drop","project_id":79,"tracker_id":40,"status_id":1,"priority_id":2,"assigned_to_id":338,"start_date":"2017-10-27","description":"","custom_fields":[{"id":1,"name":"Subdivision","value":"EC"},{"id":4,"name":"Milepost","value":"9.5978"},{"id":17,"name":"Train ID","value":"165-27"},{"id":16,"name":"Locomotive ID","value":"4052"},{"id":130,"name":"Impact","value":""},{"id":150,"name":"Time of Event (Mountain Time)","value":"12:05:26"},{"id":151,"name":"Denver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/c/Users/stu/AppData/Local/Temp/OnboardLogs/RTDC4052 --include="*4052*201710271*"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"%USERPROFILE%\AppData\Local\Temp\OnboardLogs"\RTDC4052\*4052*201710271* &gt;&gt; 2017-10-27-SliceDisagreementCheck.txt</v>
      </c>
      <c r="AE14" s="145" t="str">
        <f t="shared" si="1"/>
        <v>start /low /b %USERPROFILE%\Documents\GitHub\eaglep3\Utilities\DownloadLogsFromS3.py --loco 4052 --day 2017-10-27</v>
      </c>
      <c r="AF14" s="1"/>
    </row>
    <row r="15" spans="1:32" x14ac:dyDescent="0.3">
      <c r="A15" s="31">
        <v>43035.244120370371</v>
      </c>
      <c r="B15" s="30" t="s">
        <v>418</v>
      </c>
      <c r="C15" s="30" t="s">
        <v>621</v>
      </c>
      <c r="D15" s="30" t="s">
        <v>49</v>
      </c>
      <c r="E15" s="30" t="s">
        <v>179</v>
      </c>
      <c r="F15" s="42">
        <v>0</v>
      </c>
      <c r="G15" s="42">
        <v>166</v>
      </c>
      <c r="H15" s="42">
        <v>232731</v>
      </c>
      <c r="I15" s="42">
        <v>232973</v>
      </c>
      <c r="J15" s="30" t="s">
        <v>180</v>
      </c>
      <c r="K15" s="42">
        <v>233491</v>
      </c>
      <c r="L15" s="131" t="s">
        <v>50</v>
      </c>
      <c r="M15" s="132">
        <f>CONVERT((I15-K15)/10000,"mi","ft")*IF(L15="Increasing Mileposts (1)",-1,1)</f>
        <v>273.50400000000002</v>
      </c>
      <c r="N15" s="133" t="str">
        <f>VLOOKUP(C15,'Trips&amp;Operators'!$C$1:$G$99911,5,FALSE)</f>
        <v>MACDONALD THOMAS</v>
      </c>
      <c r="O15" s="176" t="s">
        <v>178</v>
      </c>
      <c r="P15" s="134"/>
      <c r="Q15" s="30"/>
      <c r="R15" s="81" t="str">
        <f>VLOOKUP(C15,'Train Runs'!$A$13:$AE$10079,31,0)</f>
        <v>aws s3 cp s3://rtdc.mdm.uploadarchive.raw/RTDC4014/ "%USERPROFILE%\AppData\Local\Temp\OnboardLogs"\RTDC4014\2017-10-27 --exclude "*" --recursive --include "*20171027*" &amp; "%USERPROFILE%\Documents\GitHub\mrs-test-scripts\Headless Mode &amp; Sideloading\WalkAndUnGZ.bat" "%USERPROFILE%\AppData\Local\Temp\OnboardLogs"\RTDC4014\2017-10-27 &amp; aws s3 cp s3://rtdc.mdm.uploadarchive.raw/RTDC4014/ "%USERPROFILE%\AppData\Local\Temp\OnboardLogs"\RTDC4014\2017-10-28 --exclude "*" --recursive --include "*20171028*" &amp; "%USERPROFILE%\Documents\GitHub\mrs-test-scripts\Headless Mode &amp; Sideloading\WalkAndUnGZ.bat" "%USERPROFILE%\AppData\Local\Temp\OnboardLogs"\RTDC4014\2017-10-28</v>
      </c>
      <c r="S15" s="84" t="str">
        <f>VLOOKUP(C15,'Train Runs'!$A$13:$AE$10079,22,0)</f>
        <v>https://d0f6bd738d7f1b3e5a7ca70fe4ff75f0.us-east-1.aws.found.io/app/kibana#/discover/Steve-Slow-Train-Analysis-(2080s-and-2083s)?_g=(refreshInterval:(display:Off,pause:!f,section:0,value:0),time:(from:'2017-10-27T04:09:11-0600',mode:absolute,to:'2017-10-27T06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/stypes="*4014*201710271*" /stext=" 11:.+((SYSTEM_STATE.+slice.+state.+changed )|(ment ac)|(multiple cpu faults)|(system.+state.+changed )|(\[timeout)|(PRM\|1\|D)|(kpr)|(kdp)|(train st.+moving)|(\|lc)|(penalty))"</v>
      </c>
      <c r="U15" s="9" t="str">
        <f>MID(B15,13,4)</f>
        <v>4014</v>
      </c>
      <c r="V15" s="31">
        <f>A15-utc_offset/24</f>
        <v>43035.494120370371</v>
      </c>
      <c r="W15" s="45" t="str">
        <f>DetSubdiv(C15)</f>
        <v>EC</v>
      </c>
      <c r="X15" s="22">
        <f>VALUE(LEFT(C15,LEN(C15)-3))</f>
        <v>113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{"issue":{"subject":"","project_id":79,"tracker_id":40,"status_id":1,"priority_id":2,"assigned_to_id":338,"start_date":"2017-10-27","description":"","custom_fields":[{"id":1,"name":"Subdivision","value":"EC"},{"id":4,"name":"Milepost","value":"23.3491"},{"id":17,"name":"Train ID","value":"113-27"},{"id":16,"name":"Locomotive ID","value":"4014"},{"id":130,"name":"Impact","value":""},{"id":150,"name":"Time of Event (Mountain Time)","value":"05:51:32"},{"id":151,"name":"Denver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/c/Users/stu/AppData/Local/Temp/OnboardLogs/RTDC4014 --include="*4014*201710271*"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"%USERPROFILE%\AppData\Local\Temp\OnboardLogs"\RTDC4014\*4014*201710271* &gt;&gt; 2017-10-27-SliceDisagreementCheck.txt</v>
      </c>
      <c r="AE15" s="145" t="str">
        <f t="shared" si="1"/>
        <v>start /low /b %USERPROFILE%\Documents\GitHub\eaglep3\Utilities\DownloadLogsFromS3.py --loco 4014 --day 2017-10-27</v>
      </c>
      <c r="AF15" s="1"/>
    </row>
    <row r="16" spans="1:32" x14ac:dyDescent="0.3">
      <c r="A16" s="31">
        <v>43035.879108796296</v>
      </c>
      <c r="B16" s="30" t="s">
        <v>386</v>
      </c>
      <c r="C16" s="30" t="s">
        <v>640</v>
      </c>
      <c r="D16" s="30" t="s">
        <v>49</v>
      </c>
      <c r="E16" s="30" t="s">
        <v>179</v>
      </c>
      <c r="F16" s="42">
        <v>0</v>
      </c>
      <c r="G16" s="42">
        <v>59</v>
      </c>
      <c r="H16" s="42">
        <v>233261</v>
      </c>
      <c r="I16" s="42">
        <v>233314</v>
      </c>
      <c r="J16" s="30" t="s">
        <v>180</v>
      </c>
      <c r="K16" s="42">
        <v>233491</v>
      </c>
      <c r="L16" s="131" t="s">
        <v>50</v>
      </c>
      <c r="M16" s="132">
        <f>CONVERT((I16-K16)/10000,"mi","ft")*IF(L16="Increasing Mileposts (1)",-1,1)</f>
        <v>93.456000000000003</v>
      </c>
      <c r="N16" s="133" t="str">
        <f>VLOOKUP(C16,'Trips&amp;Operators'!$C$1:$G$99911,5,FALSE)</f>
        <v>ELBAUM MIKE</v>
      </c>
      <c r="O16" s="176" t="s">
        <v>178</v>
      </c>
      <c r="P16" s="134"/>
      <c r="Q16" s="30"/>
      <c r="R16" s="81" t="str">
        <f>VLOOKUP(C16,'Train Runs'!$A$13:$AE$10079,31,0)</f>
        <v>aws s3 cp s3://rtdc.mdm.uploadarchive.raw/RTDC4008/ "%USERPROFILE%\AppData\Local\Temp\OnboardLogs"\RTDC4008\2017-10-27 --exclude "*" --recursive --include "*20171027*" &amp; "%USERPROFILE%\Documents\GitHub\mrs-test-scripts\Headless Mode &amp; Sideloading\WalkAndUnGZ.bat" "%USERPROFILE%\AppData\Local\Temp\OnboardLogs"\RTDC4008\2017-10-27 &amp; aws s3 cp s3://rtdc.mdm.uploadarchive.raw/RTDC4008/ "%USERPROFILE%\AppData\Local\Temp\OnboardLogs"\RTDC4008\2017-10-28 --exclude "*" --recursive --include "*20171028*" &amp; "%USERPROFILE%\Documents\GitHub\mrs-test-scripts\Headless Mode &amp; Sideloading\WalkAndUnGZ.bat" "%USERPROFILE%\AppData\Local\Temp\OnboardLogs"\RTDC4008\2017-10-28</v>
      </c>
      <c r="S16" s="84" t="str">
        <f>VLOOKUP(C16,'Train Runs'!$A$13:$AE$10079,22,0)</f>
        <v>https://d0f6bd738d7f1b3e5a7ca70fe4ff75f0.us-east-1.aws.found.io/app/kibana#/discover/Steve-Slow-Train-Analysis-(2080s-and-2083s)?_g=(refreshInterval:(display:Off,pause:!f,section:0,value:0),time:(from:'2017-10-27T19:17:14-0600',mode:absolute,to:'2017-10-27T22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/stypes="*4008*201710280*" /stext=" 03:.+((SYSTEM_STATE.+slice.+state.+changed )|(ment ac)|(multiple cpu faults)|(system.+state.+changed )|(\[timeout)|(PRM\|1\|D)|(kpr)|(kdp)|(train st.+moving)|(\|lc)|(penalty))"</v>
      </c>
      <c r="U16" s="9" t="str">
        <f>MID(B16,13,4)</f>
        <v>4008</v>
      </c>
      <c r="V16" s="31">
        <f>A16-utc_offset/24</f>
        <v>43036.129108796296</v>
      </c>
      <c r="W16" s="45" t="str">
        <f>DetSubdiv(C16)</f>
        <v>EC</v>
      </c>
      <c r="X16" s="22">
        <f>VALUE(LEFT(C16,LEN(C16)-3))</f>
        <v>227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{"issue":{"subject":"","project_id":79,"tracker_id":40,"status_id":1,"priority_id":2,"assigned_to_id":338,"start_date":"2017-10-27","description":"","custom_fields":[{"id":1,"name":"Subdivision","value":"EC"},{"id":4,"name":"Milepost","value":"23.3491"},{"id":17,"name":"Train ID","value":"227-27"},{"id":16,"name":"Locomotive ID","value":"4008"},{"id":130,"name":"Impact","value":""},{"id":150,"name":"Time of Event (Mountain Time)","value":"21:05:55"},{"id":151,"name":"Denver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/c/Users/stu/AppData/Local/Temp/OnboardLogs/RTDC4008 --include="*4008*201710280*"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"%USERPROFILE%\AppData\Local\Temp\OnboardLogs"\RTDC4008\*4008*201710280* &gt;&gt; 2017-10-27-SliceDisagreementCheck.txt</v>
      </c>
      <c r="AE16" s="145" t="str">
        <f t="shared" si="1"/>
        <v>start /low /b %USERPROFILE%\Documents\GitHub\eaglep3\Utilities\DownloadLogsFromS3.py --loco 4008 --day 2017-10-28</v>
      </c>
      <c r="AF16" s="1"/>
    </row>
    <row r="17" spans="1:32" x14ac:dyDescent="0.3">
      <c r="A17" s="31">
        <v>43035.345289351855</v>
      </c>
      <c r="B17" s="30" t="s">
        <v>510</v>
      </c>
      <c r="C17" s="30" t="s">
        <v>625</v>
      </c>
      <c r="D17" s="30" t="s">
        <v>95</v>
      </c>
      <c r="E17" s="30" t="s">
        <v>192</v>
      </c>
      <c r="F17" s="42">
        <v>400</v>
      </c>
      <c r="G17" s="42">
        <v>461</v>
      </c>
      <c r="H17" s="42">
        <v>38702</v>
      </c>
      <c r="I17" s="42">
        <v>37307</v>
      </c>
      <c r="J17" s="30" t="s">
        <v>193</v>
      </c>
      <c r="K17" s="42">
        <v>40977</v>
      </c>
      <c r="L17" s="131" t="s">
        <v>51</v>
      </c>
      <c r="M17" s="132">
        <f>CONVERT((I17-K17)/10000,"mi","ft")*IF(L17="Increasing Mileposts (1)",-1,1)</f>
        <v>-1937.76</v>
      </c>
      <c r="N17" s="133" t="str">
        <f>VLOOKUP(C17,'Trips&amp;Operators'!$C$1:$G$99911,5,FALSE)</f>
        <v>WILLIAMS DONTE</v>
      </c>
      <c r="O17" s="176" t="s">
        <v>178</v>
      </c>
      <c r="P17" s="134"/>
      <c r="Q17" s="30"/>
      <c r="R17" s="81" t="str">
        <f>VLOOKUP(C17,'Train Runs'!$A$13:$AE$10079,31,0)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S17" s="84" t="str">
        <f>VLOOKUP(C17,'Train Runs'!$A$13:$AE$10079,22,0)</f>
        <v>https://d0f6bd738d7f1b3e5a7ca70fe4ff75f0.us-east-1.aws.found.io/app/kibana#/discover/Steve-Slow-Train-Analysis-(2080s-and-2083s)?_g=(refreshInterval:(display:Off,pause:!f,section:0,value:0),time:(from:'2017-10-27T06:58:12-0600',mode:absolute,to:'2017-10-27T09:27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/stypes="*4029*201710271*" /stext=" 14:.+((SYSTEM_STATE.+slice.+state.+changed )|(ment ac)|(multiple cpu faults)|(system.+state.+changed )|(\[timeout)|(PRM\|1\|D)|(kpr)|(kdp)|(train st.+moving)|(\|lc)|(penalty))"</v>
      </c>
      <c r="U17" s="9" t="str">
        <f>MID(B17,13,4)</f>
        <v>4029</v>
      </c>
      <c r="V17" s="31">
        <f>A17-utc_offset/24</f>
        <v>43035.595289351855</v>
      </c>
      <c r="W17" s="45" t="str">
        <f>DetSubdiv(C17)</f>
        <v>NW</v>
      </c>
      <c r="X17" s="22">
        <f>VALUE(LEFT(C17,LEN(C17)-3))</f>
        <v>810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{"issue":{"subject":"","project_id":79,"tracker_id":40,"status_id":1,"priority_id":2,"assigned_to_id":338,"start_date":"2017-10-27","description":"","custom_fields":[{"id":1,"name":"Subdivision","value":"NW"},{"id":4,"name":"Milepost","value":"4.0977"},{"id":17,"name":"Train ID","value":"810-27"},{"id":16,"name":"Locomotive ID","value":"4029"},{"id":130,"name":"Impact","value":""},{"id":150,"name":"Time of Event (Mountain Time)","value":"08:17:13"},{"id":151,"name":"Denver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/c/Users/stu/AppData/Local/Temp/OnboardLogs/RTDC4029 --include="*4029*201710271*"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"%USERPROFILE%\AppData\Local\Temp\OnboardLogs"\RTDC4029\*4029*201710271* &gt;&gt; 2017-10-27-SliceDisagreementCheck.txt</v>
      </c>
      <c r="AE17" s="145" t="str">
        <f t="shared" si="1"/>
        <v>start /low /b %USERPROFILE%\Documents\GitHub\eaglep3\Utilities\DownloadLogsFromS3.py --loco 4029 --day 2017-10-27</v>
      </c>
      <c r="AF17" s="1"/>
    </row>
    <row r="18" spans="1:32" x14ac:dyDescent="0.3">
      <c r="A18" s="31">
        <v>43035.766527777778</v>
      </c>
      <c r="B18" s="30" t="s">
        <v>510</v>
      </c>
      <c r="C18" s="30" t="s">
        <v>636</v>
      </c>
      <c r="D18" s="30" t="s">
        <v>49</v>
      </c>
      <c r="E18" s="30" t="s">
        <v>381</v>
      </c>
      <c r="F18" s="42">
        <v>0</v>
      </c>
      <c r="G18" s="42">
        <v>75</v>
      </c>
      <c r="H18" s="42">
        <v>4800</v>
      </c>
      <c r="I18" s="42">
        <v>4688</v>
      </c>
      <c r="J18" s="30" t="s">
        <v>382</v>
      </c>
      <c r="K18" s="42">
        <v>4798</v>
      </c>
      <c r="L18" s="131" t="s">
        <v>51</v>
      </c>
      <c r="M18" s="132">
        <f>CONVERT((I18-K18)/10000,"mi","ft")*IF(L18="Increasing Mileposts (1)",-1,1)</f>
        <v>-58.08</v>
      </c>
      <c r="N18" s="133" t="str">
        <f>VLOOKUP(C18,'Trips&amp;Operators'!$C$1:$G$99911,5,FALSE)</f>
        <v>SMITH MICHAEL</v>
      </c>
      <c r="O18" s="176" t="s">
        <v>362</v>
      </c>
      <c r="P18" s="134" t="s">
        <v>1119</v>
      </c>
      <c r="Q18" s="30"/>
      <c r="R18" s="81" t="str">
        <f>VLOOKUP(C18,'Train Runs'!$A$13:$AE$10079,31,0)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S18" s="84" t="str">
        <f>VLOOKUP(C18,'Train Runs'!$A$13:$AE$10079,22,0)</f>
        <v>https://d0f6bd738d7f1b3e5a7ca70fe4ff75f0.us-east-1.aws.found.io/app/kibana#/discover/Steve-Slow-Train-Analysis-(2080s-and-2083s)?_g=(refreshInterval:(display:Off,pause:!f,section:0,value:0),time:(from:'2017-10-27T16:57:44-0600',mode:absolute,to:'2017-10-27T19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/stypes="*4029*201710280*" /stext=" 00:.+((SYSTEM_STATE.+slice.+state.+changed )|(ment ac)|(multiple cpu faults)|(system.+state.+changed )|(\[timeout)|(PRM\|1\|D)|(kpr)|(kdp)|(train st.+moving)|(\|lc)|(penalty))"</v>
      </c>
      <c r="U18" s="9" t="str">
        <f>MID(B18,13,4)</f>
        <v>4029</v>
      </c>
      <c r="V18" s="31">
        <f>A18-utc_offset/24</f>
        <v>43036.016527777778</v>
      </c>
      <c r="W18" s="45" t="str">
        <f>DetSubdiv(C18)</f>
        <v>NW</v>
      </c>
      <c r="X18" s="22">
        <f>VALUE(LEFT(C18,LEN(C18)-3))</f>
        <v>836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{"issue":{"subject":"Poor GPS under Wewatta St overpass","project_id":79,"tracker_id":40,"status_id":1,"priority_id":2,"assigned_to_id":338,"start_date":"2017-10-27","description":"","custom_fields":[{"id":1,"name":"Subdivision","value":"NW"},{"id":4,"name":"Milepost","value":"0.4798"},{"id":17,"name":"Train ID","value":"836-27"},{"id":16,"name":"Locomotive ID","value":"4029"},{"id":130,"name":"Impact","value":""},{"id":150,"name":"Time of Event (Mountain Time)","value":"18:23:48"},{"id":151,"name":"Denver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/c/Users/stu/AppData/Local/Temp/OnboardLogs/RTDC4029 --include="*4029*201710280*"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"%USERPROFILE%\AppData\Local\Temp\OnboardLogs"\RTDC4029\*4029*201710280* &gt;&gt; 2017-10-27-SliceDisagreementCheck.txt</v>
      </c>
      <c r="AE18" s="145" t="str">
        <f t="shared" si="1"/>
        <v>start /low /b %USERPROFILE%\Documents\GitHub\eaglep3\Utilities\DownloadLogsFromS3.py --loco 4029 --day 2017-10-28</v>
      </c>
      <c r="AF18" s="1"/>
    </row>
    <row r="19" spans="1:32" x14ac:dyDescent="0.3">
      <c r="A19" s="31">
        <v>43035.701481481483</v>
      </c>
      <c r="B19" s="30" t="s">
        <v>633</v>
      </c>
      <c r="C19" s="30" t="s">
        <v>634</v>
      </c>
      <c r="D19" s="30" t="s">
        <v>49</v>
      </c>
      <c r="E19" s="30" t="s">
        <v>381</v>
      </c>
      <c r="F19" s="42">
        <v>0</v>
      </c>
      <c r="G19" s="42">
        <v>314</v>
      </c>
      <c r="H19" s="42">
        <v>18532</v>
      </c>
      <c r="I19" s="42">
        <v>17604</v>
      </c>
      <c r="J19" s="30" t="s">
        <v>382</v>
      </c>
      <c r="K19" s="42">
        <v>16590</v>
      </c>
      <c r="L19" s="131" t="s">
        <v>51</v>
      </c>
      <c r="M19" s="132">
        <f>CONVERT((I19-K19)/10000,"mi","ft")*IF(L19="Increasing Mileposts (1)",-1,1)</f>
        <v>535.39200000000005</v>
      </c>
      <c r="N19" s="133" t="str">
        <f>VLOOKUP(C19,'Trips&amp;Operators'!$C$1:$G$99911,5,FALSE)</f>
        <v>BERLING GARY</v>
      </c>
      <c r="O19" s="176" t="s">
        <v>362</v>
      </c>
      <c r="P19" s="134" t="s">
        <v>385</v>
      </c>
      <c r="Q19" s="30"/>
      <c r="R19" s="81" t="str">
        <f>VLOOKUP(C19,'Train Runs'!$A$13:$AE$10079,31,0)</f>
        <v>aws s3 cp s3://rtdc.mdm.uploadarchive.raw/RTDC4003/ "%USERPROFILE%\AppData\Local\Temp\OnboardLogs"\RTDC4003\2017-10-27 --exclude "*" --recursive --include "*20171027*" &amp; "%USERPROFILE%\Documents\GitHub\mrs-test-scripts\Headless Mode &amp; Sideloading\WalkAndUnGZ.bat" "%USERPROFILE%\AppData\Local\Temp\OnboardLogs"\RTDC4003\2017-10-27 &amp; 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</v>
      </c>
      <c r="S19" s="84" t="str">
        <f>VLOOKUP(C19,'Train Runs'!$A$13:$AE$10079,22,0)</f>
        <v>https://d0f6bd738d7f1b3e5a7ca70fe4ff75f0.us-east-1.aws.found.io/app/kibana#/discover/Steve-Slow-Train-Analysis-(2080s-and-2083s)?_g=(refreshInterval:(display:Off,pause:!f,section:0,value:0),time:(from:'2017-10-27T15:27:52-0600',mode:absolute,to:'2017-10-27T17:57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/stypes="*4003*201710272*" /stext=" 22:.+((SYSTEM_STATE.+slice.+state.+changed )|(ment ac)|(multiple cpu faults)|(system.+state.+changed )|(\[timeout)|(PRM\|1\|D)|(kpr)|(kdp)|(train st.+moving)|(\|lc)|(penalty))"</v>
      </c>
      <c r="U19" s="9" t="str">
        <f>MID(B19,13,4)</f>
        <v>4003</v>
      </c>
      <c r="V19" s="31">
        <f>A19-utc_offset/24</f>
        <v>43035.951481481483</v>
      </c>
      <c r="W19" s="45" t="str">
        <f>DetSubdiv(C19)</f>
        <v>NW</v>
      </c>
      <c r="X19" s="22">
        <f>VALUE(LEFT(C19,LEN(C19)-3))</f>
        <v>830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drop","project_id":79,"tracker_id":40,"status_id":1,"priority_id":2,"assigned_to_id":338,"start_date":"2017-10-27","description":"","custom_fields":[{"id":1,"name":"Subdivision","value":"NW"},{"id":4,"name":"Milepost","value":"1.659"},{"id":17,"name":"Train ID","value":"830-27"},{"id":16,"name":"Locomotive ID","value":"4003"},{"id":130,"name":"Impact","value":""},{"id":150,"name":"Time of Event (Mountain Time)","value":"16:50:08"},{"id":151,"name":"Denver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/c/Users/stu/AppData/Local/Temp/OnboardLogs/RTDC4003 --include="*4003*201710272*"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"%USERPROFILE%\AppData\Local\Temp\OnboardLogs"\RTDC4003\*4003*201710272* &gt;&gt; 2017-10-27-SliceDisagreementCheck.txt</v>
      </c>
      <c r="AE19" s="145" t="str">
        <f t="shared" si="1"/>
        <v>start /low /b %USERPROFILE%\Documents\GitHub\eaglep3\Utilities\DownloadLogsFromS3.py --loco 4003 --day 2017-10-27</v>
      </c>
      <c r="AF19" s="1"/>
    </row>
    <row r="20" spans="1:32" x14ac:dyDescent="0.3">
      <c r="A20" s="31">
        <v>43035.76703703704</v>
      </c>
      <c r="B20" s="30" t="s">
        <v>637</v>
      </c>
      <c r="C20" s="30" t="s">
        <v>638</v>
      </c>
      <c r="D20" s="30" t="s">
        <v>49</v>
      </c>
      <c r="E20" s="30" t="s">
        <v>179</v>
      </c>
      <c r="F20" s="42">
        <v>0</v>
      </c>
      <c r="G20" s="42">
        <v>24</v>
      </c>
      <c r="H20" s="42">
        <v>58988</v>
      </c>
      <c r="I20" s="42">
        <v>58995</v>
      </c>
      <c r="J20" s="30" t="s">
        <v>180</v>
      </c>
      <c r="K20" s="42">
        <v>59048</v>
      </c>
      <c r="L20" s="131" t="s">
        <v>50</v>
      </c>
      <c r="M20" s="132">
        <f>CONVERT((I20-K20)/10000,"mi","ft")*IF(L20="Increasing Mileposts (1)",-1,1)</f>
        <v>27.984000000000002</v>
      </c>
      <c r="N20" s="133" t="str">
        <f>VLOOKUP(C20,'Trips&amp;Operators'!$C$1:$G$99911,5,FALSE)</f>
        <v>BERLING GARY</v>
      </c>
      <c r="O20" s="176" t="s">
        <v>178</v>
      </c>
      <c r="P20" s="134"/>
      <c r="Q20" s="30"/>
      <c r="R20" s="81" t="str">
        <f>VLOOKUP(C20,'Train Runs'!$A$13:$AE$10079,31,0)</f>
        <v>aws s3 cp s3://rtdc.mdm.uploadarchive.raw/RTDC4004/ "%USERPROFILE%\AppData\Local\Temp\OnboardLogs"\RTDC4004\2017-10-27 --exclude "*" --recursive --include "*20171027*" &amp; "%USERPROFILE%\Documents\GitHub\mrs-test-scripts\Headless Mode &amp; Sideloading\WalkAndUnGZ.bat" "%USERPROFILE%\AppData\Local\Temp\OnboardLogs"\RTDC4004\2017-10-27 &amp; 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</v>
      </c>
      <c r="S20" s="84" t="str">
        <f>VLOOKUP(C20,'Train Runs'!$A$13:$AE$10079,22,0)</f>
        <v>https://d0f6bd738d7f1b3e5a7ca70fe4ff75f0.us-east-1.aws.found.io/app/kibana#/discover/Steve-Slow-Train-Analysis-(2080s-and-2083s)?_g=(refreshInterval:(display:Off,pause:!f,section:0,value:0),time:(from:'2017-10-27T17:01:33-0600',mode:absolute,to:'2017-10-27T19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/stypes="*4004*201710280*" /stext=" 00:.+((SYSTEM_STATE.+slice.+state.+changed )|(ment ac)|(multiple cpu faults)|(system.+state.+changed )|(\[timeout)|(PRM\|1\|D)|(kpr)|(kdp)|(train st.+moving)|(\|lc)|(penalty))"</v>
      </c>
      <c r="U20" s="9" t="str">
        <f>MID(B20,13,4)</f>
        <v>4004</v>
      </c>
      <c r="V20" s="31">
        <f>A20-utc_offset/24</f>
        <v>43036.01703703704</v>
      </c>
      <c r="W20" s="45" t="str">
        <f>DetSubdiv(C20)</f>
        <v>NW</v>
      </c>
      <c r="X20" s="22">
        <f>VALUE(LEFT(C20,LEN(C20)-3))</f>
        <v>837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{"issue":{"subject":"","project_id":79,"tracker_id":40,"status_id":1,"priority_id":2,"assigned_to_id":338,"start_date":"2017-10-27","description":"","custom_fields":[{"id":1,"name":"Subdivision","value":"NW"},{"id":4,"name":"Milepost","value":"5.9048"},{"id":17,"name":"Train ID","value":"837-27"},{"id":16,"name":"Locomotive ID","value":"4004"},{"id":130,"name":"Impact","value":""},{"id":150,"name":"Time of Event (Mountain Time)","value":"18:24:32"},{"id":151,"name":"Denver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/c/Users/stu/AppData/Local/Temp/OnboardLogs/RTDC4004 --include="*4004*201710280*"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"%USERPROFILE%\AppData\Local\Temp\OnboardLogs"\RTDC4004\*4004*201710280* &gt;&gt; 2017-10-27-SliceDisagreementCheck.txt</v>
      </c>
      <c r="AE20" s="145" t="str">
        <f t="shared" si="1"/>
        <v>start /low /b %USERPROFILE%\Documents\GitHub\eaglep3\Utilities\DownloadLogsFromS3.py --loco 4004 --day 2017-10-28</v>
      </c>
      <c r="AF20" s="1"/>
    </row>
    <row r="21" spans="1:32" x14ac:dyDescent="0.3">
      <c r="A21" s="31">
        <v>43035.311620370368</v>
      </c>
      <c r="B21" s="30" t="s">
        <v>510</v>
      </c>
      <c r="C21" s="30" t="s">
        <v>622</v>
      </c>
      <c r="D21" s="30" t="s">
        <v>95</v>
      </c>
      <c r="E21" s="30" t="s">
        <v>623</v>
      </c>
      <c r="F21" s="42">
        <v>0</v>
      </c>
      <c r="G21" s="42">
        <v>3</v>
      </c>
      <c r="H21" s="42">
        <v>663</v>
      </c>
      <c r="I21" s="42">
        <v>663</v>
      </c>
      <c r="J21" s="30" t="s">
        <v>624</v>
      </c>
      <c r="K21" s="42">
        <v>41043</v>
      </c>
      <c r="L21" s="131" t="s">
        <v>51</v>
      </c>
      <c r="M21" s="132">
        <f>CONVERT((I21-K21)/10000,"mi","ft")*IF(L21="Increasing Mileposts (1)",-1,1)</f>
        <v>-21320.640000000003</v>
      </c>
      <c r="N21" s="133" t="str">
        <f>VLOOKUP(C21,'Trips&amp;Operators'!$C$1:$G$99911,5,FALSE)</f>
        <v>WILLIAMS DONTE</v>
      </c>
      <c r="O21" s="176" t="s">
        <v>178</v>
      </c>
      <c r="P21" s="134"/>
      <c r="Q21" s="30"/>
      <c r="R21" s="81" t="str">
        <f>VLOOKUP(C21,'Train Runs'!$A$13:$AE$10079,31,0)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S21" s="84" t="str">
        <f>VLOOKUP(C21,'Train Runs'!$A$13:$AE$10079,22,0)</f>
        <v>https://d0f6bd738d7f1b3e5a7ca70fe4ff75f0.us-east-1.aws.found.io/app/kibana#/discover/Steve-Slow-Train-Analysis-(2080s-and-2083s)?_g=(refreshInterval:(display:Off,pause:!f,section:0,value:0),time:(from:'2017-10-27T05:36:11-0600',mode:absolute,to:'2017-10-27T08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/stypes="*4029*201710271*" /stext=" 13:.+((SYSTEM_STATE.+slice.+state.+changed )|(ment ac)|(multiple cpu faults)|(system.+state.+changed )|(\[timeout)|(PRM\|1\|D)|(kpr)|(kdp)|(train st.+moving)|(\|lc)|(penalty))"</v>
      </c>
      <c r="U21" s="9" t="str">
        <f>MID(B21,13,4)</f>
        <v>4029</v>
      </c>
      <c r="V21" s="31">
        <f>A21-utc_offset/24</f>
        <v>43035.561620370368</v>
      </c>
      <c r="W21" s="45" t="str">
        <f>DetSubdiv(C21)</f>
        <v>NW</v>
      </c>
      <c r="X21" s="22">
        <f>VALUE(LEFT(C21,LEN(C21)-3))</f>
        <v>806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{"issue":{"subject":"","project_id":79,"tracker_id":40,"status_id":1,"priority_id":2,"assigned_to_id":338,"start_date":"2017-10-27","description":"","custom_fields":[{"id":1,"name":"Subdivision","value":"NW"},{"id":4,"name":"Milepost","value":"4.1043"},{"id":17,"name":"Train ID","value":"806-27"},{"id":16,"name":"Locomotive ID","value":"4029"},{"id":130,"name":"Impact","value":""},{"id":150,"name":"Time of Event (Mountain Time)","value":"07:28:44"},{"id":151,"name":"Denver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/c/Users/stu/AppData/Local/Temp/OnboardLogs/RTDC4029 --include="*4029*201710271*"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"%USERPROFILE%\AppData\Local\Temp\OnboardLogs"\RTDC4029\*4029*201710271* &gt;&gt; 2017-10-27-SliceDisagreementCheck.txt</v>
      </c>
      <c r="AE21" s="145" t="str">
        <f t="shared" si="1"/>
        <v>start /low /b %USERPROFILE%\Documents\GitHub\eaglep3\Utilities\DownloadLogsFromS3.py --loco 4029 --day 2017-10-27</v>
      </c>
      <c r="AF21" s="1"/>
    </row>
    <row r="22" spans="1:32" x14ac:dyDescent="0.3">
      <c r="A22" s="31">
        <v>43035.311666666668</v>
      </c>
      <c r="B22" s="30" t="s">
        <v>510</v>
      </c>
      <c r="C22" s="30" t="s">
        <v>622</v>
      </c>
      <c r="D22" s="30" t="s">
        <v>95</v>
      </c>
      <c r="E22" s="30" t="s">
        <v>623</v>
      </c>
      <c r="F22" s="42">
        <v>0</v>
      </c>
      <c r="G22" s="42">
        <v>2</v>
      </c>
      <c r="H22" s="42">
        <v>663</v>
      </c>
      <c r="I22" s="42">
        <v>663</v>
      </c>
      <c r="J22" s="30" t="s">
        <v>624</v>
      </c>
      <c r="K22" s="42">
        <v>41043</v>
      </c>
      <c r="L22" s="131" t="s">
        <v>51</v>
      </c>
      <c r="M22" s="132">
        <f>CONVERT((I22-K22)/10000,"mi","ft")*IF(L22="Increasing Mileposts (1)",-1,1)</f>
        <v>-21320.640000000003</v>
      </c>
      <c r="N22" s="133" t="str">
        <f>VLOOKUP(C22,'Trips&amp;Operators'!$C$1:$G$99911,5,FALSE)</f>
        <v>WILLIAMS DONTE</v>
      </c>
      <c r="O22" s="176" t="s">
        <v>178</v>
      </c>
      <c r="P22" s="134"/>
      <c r="Q22" s="30"/>
      <c r="R22" s="81" t="str">
        <f>VLOOKUP(C22,'Train Runs'!$A$13:$AE$10079,31,0)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S22" s="84" t="str">
        <f>VLOOKUP(C22,'Train Runs'!$A$13:$AE$10079,22,0)</f>
        <v>https://d0f6bd738d7f1b3e5a7ca70fe4ff75f0.us-east-1.aws.found.io/app/kibana#/discover/Steve-Slow-Train-Analysis-(2080s-and-2083s)?_g=(refreshInterval:(display:Off,pause:!f,section:0,value:0),time:(from:'2017-10-27T05:36:11-0600',mode:absolute,to:'2017-10-27T08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/stypes="*4029*201710271*" /stext=" 13:.+((SYSTEM_STATE.+slice.+state.+changed )|(ment ac)|(multiple cpu faults)|(system.+state.+changed )|(\[timeout)|(PRM\|1\|D)|(kpr)|(kdp)|(train st.+moving)|(\|lc)|(penalty))"</v>
      </c>
      <c r="U22" s="9" t="str">
        <f>MID(B22,13,4)</f>
        <v>4029</v>
      </c>
      <c r="V22" s="31">
        <f>A22-utc_offset/24</f>
        <v>43035.561666666668</v>
      </c>
      <c r="W22" s="45" t="str">
        <f>DetSubdiv(C22)</f>
        <v>NW</v>
      </c>
      <c r="X22" s="22">
        <f>VALUE(LEFT(C22,LEN(C22)-3))</f>
        <v>806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{"issue":{"subject":"","project_id":79,"tracker_id":40,"status_id":1,"priority_id":2,"assigned_to_id":338,"start_date":"2017-10-27","description":"","custom_fields":[{"id":1,"name":"Subdivision","value":"NW"},{"id":4,"name":"Milepost","value":"4.1043"},{"id":17,"name":"Train ID","value":"806-27"},{"id":16,"name":"Locomotive ID","value":"4029"},{"id":130,"name":"Impact","value":""},{"id":150,"name":"Time of Event (Mountain Time)","value":"07:28:48"},{"id":151,"name":"Denver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/c/Users/stu/AppData/Local/Temp/OnboardLogs/RTDC4029 --include="*4029*201710271*"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"%USERPROFILE%\AppData\Local\Temp\OnboardLogs"\RTDC4029\*4029*201710271* &gt;&gt; 2017-10-27-SliceDisagreementCheck.txt</v>
      </c>
      <c r="AE22" s="145" t="str">
        <f t="shared" si="1"/>
        <v>start /low /b %USERPROFILE%\Documents\GitHub\eaglep3\Utilities\DownloadLogsFromS3.py --loco 4029 --day 2017-10-27</v>
      </c>
      <c r="AF22" s="1"/>
    </row>
    <row r="23" spans="1:32" x14ac:dyDescent="0.3">
      <c r="A23" s="31">
        <v>43035.312002314815</v>
      </c>
      <c r="B23" s="30" t="s">
        <v>510</v>
      </c>
      <c r="C23" s="30" t="s">
        <v>622</v>
      </c>
      <c r="D23" s="30" t="s">
        <v>95</v>
      </c>
      <c r="E23" s="30" t="s">
        <v>623</v>
      </c>
      <c r="F23" s="42">
        <v>0</v>
      </c>
      <c r="G23" s="42">
        <v>3</v>
      </c>
      <c r="H23" s="42">
        <v>663</v>
      </c>
      <c r="I23" s="42">
        <v>663</v>
      </c>
      <c r="J23" s="30" t="s">
        <v>624</v>
      </c>
      <c r="K23" s="42">
        <v>41043</v>
      </c>
      <c r="L23" s="131" t="s">
        <v>51</v>
      </c>
      <c r="M23" s="132">
        <f>CONVERT((I23-K23)/10000,"mi","ft")*IF(L23="Increasing Mileposts (1)",-1,1)</f>
        <v>-21320.640000000003</v>
      </c>
      <c r="N23" s="133" t="str">
        <f>VLOOKUP(C23,'Trips&amp;Operators'!$C$1:$G$99911,5,FALSE)</f>
        <v>WILLIAMS DONTE</v>
      </c>
      <c r="O23" s="176" t="s">
        <v>178</v>
      </c>
      <c r="P23" s="134"/>
      <c r="Q23" s="30"/>
      <c r="R23" s="81" t="str">
        <f>VLOOKUP(C23,'Train Runs'!$A$13:$AE$10079,31,0)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S23" s="84" t="str">
        <f>VLOOKUP(C23,'Train Runs'!$A$13:$AE$10079,22,0)</f>
        <v>https://d0f6bd738d7f1b3e5a7ca70fe4ff75f0.us-east-1.aws.found.io/app/kibana#/discover/Steve-Slow-Train-Analysis-(2080s-and-2083s)?_g=(refreshInterval:(display:Off,pause:!f,section:0,value:0),time:(from:'2017-10-27T05:36:11-0600',mode:absolute,to:'2017-10-27T08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/stypes="*4029*201710271*" /stext=" 13:.+((SYSTEM_STATE.+slice.+state.+changed )|(ment ac)|(multiple cpu faults)|(system.+state.+changed )|(\[timeout)|(PRM\|1\|D)|(kpr)|(kdp)|(train st.+moving)|(\|lc)|(penalty))"</v>
      </c>
      <c r="U23" s="9" t="str">
        <f>MID(B23,13,4)</f>
        <v>4029</v>
      </c>
      <c r="V23" s="31">
        <f>A23-utc_offset/24</f>
        <v>43035.562002314815</v>
      </c>
      <c r="W23" s="45" t="str">
        <f>DetSubdiv(C23)</f>
        <v>NW</v>
      </c>
      <c r="X23" s="22">
        <f>VALUE(LEFT(C23,LEN(C23)-3))</f>
        <v>806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{"issue":{"subject":"","project_id":79,"tracker_id":40,"status_id":1,"priority_id":2,"assigned_to_id":338,"start_date":"2017-10-27","description":"","custom_fields":[{"id":1,"name":"Subdivision","value":"NW"},{"id":4,"name":"Milepost","value":"4.1043"},{"id":17,"name":"Train ID","value":"806-27"},{"id":16,"name":"Locomotive ID","value":"4029"},{"id":130,"name":"Impact","value":""},{"id":150,"name":"Time of Event (Mountain Time)","value":"07:29:17"},{"id":151,"name":"Denver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/c/Users/stu/AppData/Local/Temp/OnboardLogs/RTDC4029 --include="*4029*201710271*"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"%USERPROFILE%\AppData\Local\Temp\OnboardLogs"\RTDC4029\*4029*201710271* &gt;&gt; 2017-10-27-SliceDisagreementCheck.txt</v>
      </c>
      <c r="AE23" s="145" t="str">
        <f t="shared" si="1"/>
        <v>start /low /b %USERPROFILE%\Documents\GitHub\eaglep3\Utilities\DownloadLogsFromS3.py --loco 4029 --day 2017-10-27</v>
      </c>
      <c r="AF23" s="1"/>
    </row>
    <row r="24" spans="1:32" x14ac:dyDescent="0.3">
      <c r="A24" s="31">
        <v>43035.313009259262</v>
      </c>
      <c r="B24" s="30" t="s">
        <v>510</v>
      </c>
      <c r="C24" s="30" t="s">
        <v>622</v>
      </c>
      <c r="D24" s="30" t="s">
        <v>95</v>
      </c>
      <c r="E24" s="30" t="s">
        <v>623</v>
      </c>
      <c r="F24" s="42">
        <v>0</v>
      </c>
      <c r="G24" s="42">
        <v>6</v>
      </c>
      <c r="H24" s="42">
        <v>661</v>
      </c>
      <c r="I24" s="42">
        <v>661</v>
      </c>
      <c r="J24" s="30" t="s">
        <v>624</v>
      </c>
      <c r="K24" s="42">
        <v>41043</v>
      </c>
      <c r="L24" s="131" t="s">
        <v>51</v>
      </c>
      <c r="M24" s="132">
        <f>CONVERT((I24-K24)/10000,"mi","ft")*IF(L24="Increasing Mileposts (1)",-1,1)</f>
        <v>-21321.696</v>
      </c>
      <c r="N24" s="133" t="str">
        <f>VLOOKUP(C24,'Trips&amp;Operators'!$C$1:$G$99911,5,FALSE)</f>
        <v>WILLIAMS DONTE</v>
      </c>
      <c r="O24" s="176" t="s">
        <v>178</v>
      </c>
      <c r="P24" s="134"/>
      <c r="Q24" s="30"/>
      <c r="R24" s="81" t="str">
        <f>VLOOKUP(C24,'Train Runs'!$A$13:$AE$10079,31,0)</f>
        <v>aws s3 cp s3://rtdc.mdm.uploadarchive.raw/RTDC4029/ "%USERPROFILE%\AppData\Local\Temp\OnboardLogs"\RTDC4029\2017-10-27 --exclude "*" --recursive --include "*20171027*" &amp; "%USERPROFILE%\Documents\GitHub\mrs-test-scripts\Headless Mode &amp; Sideloading\WalkAndUnGZ.bat" "%USERPROFILE%\AppData\Local\Temp\OnboardLogs"\RTDC4029\2017-10-27 &amp; aws s3 cp s3://rtdc.mdm.uploadarchive.raw/RTDC4029/ "%USERPROFILE%\AppData\Local\Temp\OnboardLogs"\RTDC4029\2017-10-28 --exclude "*" --recursive --include "*20171028*" &amp; "%USERPROFILE%\Documents\GitHub\mrs-test-scripts\Headless Mode &amp; Sideloading\WalkAndUnGZ.bat" "%USERPROFILE%\AppData\Local\Temp\OnboardLogs"\RTDC4029\2017-10-28</v>
      </c>
      <c r="S24" s="84" t="str">
        <f>VLOOKUP(C24,'Train Runs'!$A$13:$AE$10079,22,0)</f>
        <v>https://d0f6bd738d7f1b3e5a7ca70fe4ff75f0.us-east-1.aws.found.io/app/kibana#/discover/Steve-Slow-Train-Analysis-(2080s-and-2083s)?_g=(refreshInterval:(display:Off,pause:!f,section:0,value:0),time:(from:'2017-10-27T05:36:11-0600',mode:absolute,to:'2017-10-27T08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/stypes="*4029*201710271*" /stext=" 13:.+((SYSTEM_STATE.+slice.+state.+changed )|(ment ac)|(multiple cpu faults)|(system.+state.+changed )|(\[timeout)|(PRM\|1\|D)|(kpr)|(kdp)|(train st.+moving)|(\|lc)|(penalty))"</v>
      </c>
      <c r="U24" s="9" t="str">
        <f>MID(B24,13,4)</f>
        <v>4029</v>
      </c>
      <c r="V24" s="31">
        <f>A24-utc_offset/24</f>
        <v>43035.563009259262</v>
      </c>
      <c r="W24" s="45" t="str">
        <f>DetSubdiv(C24)</f>
        <v>NW</v>
      </c>
      <c r="X24" s="22">
        <f>VALUE(LEFT(C24,LEN(C24)-3))</f>
        <v>806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{"issue":{"subject":"","project_id":79,"tracker_id":40,"status_id":1,"priority_id":2,"assigned_to_id":338,"start_date":"2017-10-27","description":"","custom_fields":[{"id":1,"name":"Subdivision","value":"NW"},{"id":4,"name":"Milepost","value":"4.1043"},{"id":17,"name":"Train ID","value":"806-27"},{"id":16,"name":"Locomotive ID","value":"4029"},{"id":130,"name":"Impact","value":""},{"id":150,"name":"Time of Event (Mountain Time)","value":"07:30:44"},{"id":151,"name":"Denver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/c/Users/stu/AppData/Local/Temp/OnboardLogs/RTDC4029 --include="*4029*201710271*"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"%USERPROFILE%\AppData\Local\Temp\OnboardLogs"\RTDC4029\*4029*201710271* &gt;&gt; 2017-10-27-SliceDisagreementCheck.txt</v>
      </c>
      <c r="AE24" s="145" t="str">
        <f t="shared" si="1"/>
        <v>start /low /b %USERPROFILE%\Documents\GitHub\eaglep3\Utilities\DownloadLogsFromS3.py --loco 4029 --day 2017-10-27</v>
      </c>
      <c r="AF24" s="1"/>
    </row>
    <row r="25" spans="1:32" x14ac:dyDescent="0.3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3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3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3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39">
    <sortState ref="A7:AC39">
      <sortCondition ref="W7:W24"/>
      <sortCondition ref="E7:E24"/>
      <sortCondition ref="K7:K24"/>
      <sortCondition ref="F7:F24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7:O1048576 O7:O24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4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AA7:AA24</xm:sqref>
        </x14:dataValidation>
        <x14:dataValidation type="list" allowBlank="1" showInputMessage="1" showErrorMessage="1">
          <x14:formula1>
            <xm:f>'Redmine List Values'!$C$2:$C$15</xm:f>
          </x14:formula1>
          <xm:sqref>AB7:AB24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2017-10-27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-27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" s="30" t="e">
        <f>VLOOKUP(B3,'Train Runs'!$A$13:$A$100076,1,FALSE)</f>
        <v>#N/A</v>
      </c>
    </row>
    <row r="4" spans="1:10" x14ac:dyDescent="0.3">
      <c r="A4" s="198"/>
      <c r="B4" s="42" t="str">
        <f>A4&amp;"-"&amp;IF(DAY(Variables!$A$2)&lt;10,0,"")&amp;DAY(Variables!$A$2)</f>
        <v>-27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" s="30" t="e">
        <f>VLOOKUP(B4,'Train Runs'!$A$13:$A$100076,1,FALSE)</f>
        <v>#N/A</v>
      </c>
    </row>
    <row r="5" spans="1:10" x14ac:dyDescent="0.3">
      <c r="A5" s="198"/>
      <c r="B5" s="42" t="str">
        <f>A5&amp;"-"&amp;IF(DAY(Variables!$A$2)&lt;10,0,"")&amp;DAY(Variables!$A$2)</f>
        <v>-27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Runs'!$A$13:$A$100076,1,FALSE)</f>
        <v>#N/A</v>
      </c>
    </row>
    <row r="6" spans="1:10" x14ac:dyDescent="0.3">
      <c r="A6" s="198"/>
      <c r="B6" s="42" t="str">
        <f>A6&amp;"-"&amp;IF(DAY(Variables!$A$2)&lt;10,0,"")&amp;DAY(Variables!$A$2)</f>
        <v>-27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Runs'!$A$13:$A$100076,1,FALSE)</f>
        <v>#N/A</v>
      </c>
    </row>
    <row r="7" spans="1:10" x14ac:dyDescent="0.3">
      <c r="A7" s="198"/>
      <c r="B7" s="42" t="str">
        <f>A7&amp;"-"&amp;IF(DAY(Variables!$A$2)&lt;10,0,"")&amp;DAY(Variables!$A$2)</f>
        <v>-27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Runs'!$A$13:$A$100076,1,FALSE)</f>
        <v>#N/A</v>
      </c>
    </row>
    <row r="8" spans="1:10" x14ac:dyDescent="0.3">
      <c r="A8" s="198"/>
      <c r="B8" s="42" t="str">
        <f>A8&amp;"-"&amp;IF(DAY(Variables!$A$2)&lt;10,0,"")&amp;DAY(Variables!$A$2)</f>
        <v>-27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Runs'!$A$13:$A$100076,1,FALSE)</f>
        <v>#N/A</v>
      </c>
    </row>
    <row r="9" spans="1:10" x14ac:dyDescent="0.3">
      <c r="A9" s="198"/>
      <c r="B9" s="42" t="str">
        <f>A9&amp;"-"&amp;IF(DAY(Variables!$A$2)&lt;10,0,"")&amp;DAY(Variables!$A$2)</f>
        <v>-27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Runs'!$A$13:$A$100076,1,FALSE)</f>
        <v>#N/A</v>
      </c>
    </row>
    <row r="10" spans="1:10" x14ac:dyDescent="0.3">
      <c r="A10" s="198"/>
      <c r="B10" s="42" t="str">
        <f>A10&amp;"-"&amp;IF(DAY(Variables!$A$2)&lt;10,0,"")&amp;DAY(Variables!$A$2)</f>
        <v>-27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Runs'!$A$13:$A$100076,1,FALSE)</f>
        <v>#N/A</v>
      </c>
    </row>
    <row r="11" spans="1:10" x14ac:dyDescent="0.3">
      <c r="A11" s="198"/>
      <c r="B11" s="42" t="str">
        <f>A11&amp;"-"&amp;IF(DAY(Variables!$A$2)&lt;10,0,"")&amp;DAY(Variables!$A$2)</f>
        <v>-27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Runs'!$A$13:$A$100076,1,FALSE)</f>
        <v>#N/A</v>
      </c>
    </row>
    <row r="12" spans="1:10" x14ac:dyDescent="0.3">
      <c r="A12" s="198"/>
      <c r="B12" s="42" t="str">
        <f>A12&amp;"-"&amp;IF(DAY(Variables!$A$2)&lt;10,0,"")&amp;DAY(Variables!$A$2)</f>
        <v>-27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Runs'!$A$13:$A$100076,1,FALSE)</f>
        <v>#N/A</v>
      </c>
    </row>
    <row r="13" spans="1:10" x14ac:dyDescent="0.3">
      <c r="A13" s="198"/>
      <c r="B13" s="42" t="str">
        <f>A13&amp;"-"&amp;IF(DAY(Variables!$A$2)&lt;10,0,"")&amp;DAY(Variables!$A$2)</f>
        <v>-27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0" t="e">
        <f>VLOOKUP(B13,'Train Runs'!$A$13:$A$100076,1,FALSE)</f>
        <v>#N/A</v>
      </c>
    </row>
    <row r="14" spans="1:10" x14ac:dyDescent="0.3">
      <c r="A14" s="198"/>
      <c r="B14" s="42" t="str">
        <f>A14&amp;"-"&amp;IF(DAY(Variables!$A$2)&lt;10,0,"")&amp;DAY(Variables!$A$2)</f>
        <v>-27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0" t="e">
        <f>VLOOKUP(B14,'Train Runs'!$A$13:$A$100076,1,FALSE)</f>
        <v>#N/A</v>
      </c>
    </row>
    <row r="15" spans="1:10" x14ac:dyDescent="0.3">
      <c r="A15" s="198"/>
      <c r="B15" s="42" t="str">
        <f>A15&amp;"-"&amp;IF(DAY(Variables!$A$2)&lt;10,0,"")&amp;DAY(Variables!$A$2)</f>
        <v>-27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0" t="e">
        <f>VLOOKUP(B15,'Train Runs'!$A$13:$A$100076,1,FALSE)</f>
        <v>#N/A</v>
      </c>
    </row>
    <row r="16" spans="1:10" x14ac:dyDescent="0.3">
      <c r="A16" s="198"/>
      <c r="B16" s="42" t="str">
        <f>A16&amp;"-"&amp;IF(DAY(Variables!$A$2)&lt;10,0,"")&amp;DAY(Variables!$A$2)</f>
        <v>-27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0" t="e">
        <f>VLOOKUP(B16,'Train Runs'!$A$13:$A$100076,1,FALSE)</f>
        <v>#N/A</v>
      </c>
    </row>
    <row r="17" spans="1:10" x14ac:dyDescent="0.3">
      <c r="A17" s="198"/>
      <c r="B17" s="42" t="str">
        <f>A17&amp;"-"&amp;IF(DAY(Variables!$A$2)&lt;10,0,"")&amp;DAY(Variables!$A$2)</f>
        <v>-27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0" t="e">
        <f>VLOOKUP(B17,'Train Runs'!$A$13:$A$100076,1,FALSE)</f>
        <v>#N/A</v>
      </c>
    </row>
    <row r="18" spans="1:10" x14ac:dyDescent="0.3">
      <c r="A18" s="198"/>
      <c r="B18" s="42" t="str">
        <f>A18&amp;"-"&amp;IF(DAY(Variables!$A$2)&lt;10,0,"")&amp;DAY(Variables!$A$2)</f>
        <v>-27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0" t="e">
        <f>VLOOKUP(B18,'Train Runs'!$A$13:$A$100076,1,FALSE)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activeCell="J249" sqref="J249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43035.033564814818</v>
      </c>
      <c r="B2" s="20" t="s">
        <v>479</v>
      </c>
      <c r="C2" s="20" t="s">
        <v>551</v>
      </c>
      <c r="D2" s="138">
        <v>3310000</v>
      </c>
      <c r="E2" s="20" t="s">
        <v>365</v>
      </c>
      <c r="F2" s="20" t="s">
        <v>366</v>
      </c>
      <c r="G2" s="8" t="str">
        <f>E2&amp;" "&amp;F2</f>
        <v>ANDERS STEVEN</v>
      </c>
      <c r="H2" t="str">
        <f>MID(B2,13,4)</f>
        <v>4026</v>
      </c>
    </row>
    <row r="3" spans="1:8" x14ac:dyDescent="0.3">
      <c r="A3" s="8">
        <v>43035.047013888892</v>
      </c>
      <c r="B3" s="20" t="s">
        <v>387</v>
      </c>
      <c r="C3" s="20" t="s">
        <v>552</v>
      </c>
      <c r="D3" s="138">
        <v>890000</v>
      </c>
      <c r="E3" s="20" t="s">
        <v>353</v>
      </c>
      <c r="F3" s="20" t="s">
        <v>354</v>
      </c>
      <c r="G3" s="8" t="str">
        <f t="shared" ref="G3:G66" si="0">E3&amp;" "&amp;F3</f>
        <v>LOZA FIDEL</v>
      </c>
      <c r="H3" s="20" t="str">
        <f t="shared" ref="H3:H66" si="1">MID(B3,13,4)</f>
        <v>4060</v>
      </c>
    </row>
    <row r="4" spans="1:8" x14ac:dyDescent="0.3">
      <c r="A4" s="8">
        <v>43035.057060185187</v>
      </c>
      <c r="B4" s="20" t="s">
        <v>400</v>
      </c>
      <c r="C4" s="20" t="s">
        <v>553</v>
      </c>
      <c r="D4" s="138">
        <v>2540000</v>
      </c>
      <c r="E4" s="20" t="s">
        <v>374</v>
      </c>
      <c r="F4" s="20" t="s">
        <v>375</v>
      </c>
      <c r="G4" s="8" t="str">
        <f t="shared" si="0"/>
        <v>MCREYNOLDS KYLE</v>
      </c>
      <c r="H4" s="20" t="str">
        <f t="shared" si="1"/>
        <v>4043</v>
      </c>
    </row>
    <row r="5" spans="1:8" x14ac:dyDescent="0.3">
      <c r="A5" s="8">
        <v>43035.066562499997</v>
      </c>
      <c r="B5" s="20" t="s">
        <v>412</v>
      </c>
      <c r="C5" s="20" t="s">
        <v>554</v>
      </c>
      <c r="D5" s="138">
        <v>3340000</v>
      </c>
      <c r="E5" s="20" t="s">
        <v>423</v>
      </c>
      <c r="F5" s="20" t="s">
        <v>424</v>
      </c>
      <c r="G5" s="8" t="str">
        <f t="shared" si="0"/>
        <v>ELBAUM MIKE</v>
      </c>
      <c r="H5" s="20" t="str">
        <f t="shared" si="1"/>
        <v>4024</v>
      </c>
    </row>
    <row r="6" spans="1:8" x14ac:dyDescent="0.3">
      <c r="A6" s="8">
        <v>43035.089930555558</v>
      </c>
      <c r="B6" s="20" t="s">
        <v>401</v>
      </c>
      <c r="C6" s="20" t="s">
        <v>555</v>
      </c>
      <c r="D6" s="138">
        <v>2540000</v>
      </c>
      <c r="E6" s="20" t="s">
        <v>374</v>
      </c>
      <c r="F6" s="20" t="s">
        <v>375</v>
      </c>
      <c r="G6" s="8" t="str">
        <f t="shared" si="0"/>
        <v>MCREYNOLDS KYLE</v>
      </c>
      <c r="H6" s="20" t="str">
        <f t="shared" si="1"/>
        <v>4044</v>
      </c>
    </row>
    <row r="7" spans="1:8" x14ac:dyDescent="0.3">
      <c r="A7" s="8">
        <v>43035.121712962966</v>
      </c>
      <c r="B7" s="20" t="s">
        <v>398</v>
      </c>
      <c r="C7" s="20" t="s">
        <v>641</v>
      </c>
      <c r="D7" s="138">
        <v>900000</v>
      </c>
      <c r="E7" s="20" t="s">
        <v>642</v>
      </c>
      <c r="F7" s="20" t="s">
        <v>643</v>
      </c>
      <c r="G7" s="8" t="str">
        <f t="shared" si="0"/>
        <v>ROCHA YAOTL</v>
      </c>
      <c r="H7" s="20" t="str">
        <f t="shared" si="1"/>
        <v>4007</v>
      </c>
    </row>
    <row r="8" spans="1:8" x14ac:dyDescent="0.3">
      <c r="A8" s="8">
        <v>43035.133657407408</v>
      </c>
      <c r="B8" s="20" t="s">
        <v>396</v>
      </c>
      <c r="C8" s="20" t="s">
        <v>644</v>
      </c>
      <c r="D8" s="138">
        <v>900000</v>
      </c>
      <c r="E8" s="20" t="s">
        <v>642</v>
      </c>
      <c r="F8" s="20" t="s">
        <v>643</v>
      </c>
      <c r="G8" s="8" t="str">
        <f t="shared" si="0"/>
        <v>ROCHA YAOTL</v>
      </c>
      <c r="H8" s="20" t="str">
        <f t="shared" si="1"/>
        <v>4018</v>
      </c>
    </row>
    <row r="9" spans="1:8" ht="15" thickBot="1" x14ac:dyDescent="0.35">
      <c r="A9" s="24">
        <v>43035.134270833332</v>
      </c>
      <c r="B9" s="20" t="s">
        <v>386</v>
      </c>
      <c r="C9" s="20" t="s">
        <v>645</v>
      </c>
      <c r="D9" s="138">
        <v>1110000</v>
      </c>
      <c r="E9" s="20" t="s">
        <v>481</v>
      </c>
      <c r="F9" s="20" t="s">
        <v>482</v>
      </c>
      <c r="G9" s="8" t="str">
        <f t="shared" si="0"/>
        <v>STARKS ANGELINA</v>
      </c>
      <c r="H9" s="20" t="str">
        <f t="shared" si="1"/>
        <v>4008</v>
      </c>
    </row>
    <row r="10" spans="1:8" x14ac:dyDescent="0.3">
      <c r="A10" s="8">
        <v>43035.139606481483</v>
      </c>
      <c r="B10" s="20" t="s">
        <v>398</v>
      </c>
      <c r="C10" s="20" t="s">
        <v>646</v>
      </c>
      <c r="D10" s="138">
        <v>1110000</v>
      </c>
      <c r="E10" s="20" t="s">
        <v>481</v>
      </c>
      <c r="F10" s="20" t="s">
        <v>482</v>
      </c>
      <c r="G10" s="8" t="str">
        <f t="shared" si="0"/>
        <v>STARKS ANGELINA</v>
      </c>
      <c r="H10" s="20" t="str">
        <f t="shared" si="1"/>
        <v>4007</v>
      </c>
    </row>
    <row r="11" spans="1:8" x14ac:dyDescent="0.3">
      <c r="A11" s="8">
        <v>43035.139976851853</v>
      </c>
      <c r="B11" s="20" t="s">
        <v>492</v>
      </c>
      <c r="C11" s="20" t="s">
        <v>647</v>
      </c>
      <c r="D11" s="138">
        <v>2010000</v>
      </c>
      <c r="E11" s="20" t="s">
        <v>545</v>
      </c>
      <c r="F11" s="20" t="s">
        <v>546</v>
      </c>
      <c r="G11" s="8" t="str">
        <f t="shared" si="0"/>
        <v>MAELZER KURT</v>
      </c>
      <c r="H11" s="20" t="str">
        <f t="shared" si="1"/>
        <v>4035</v>
      </c>
    </row>
    <row r="12" spans="1:8" x14ac:dyDescent="0.3">
      <c r="A12" s="8">
        <v>43035.151446759257</v>
      </c>
      <c r="B12" s="20" t="s">
        <v>489</v>
      </c>
      <c r="C12" s="20" t="s">
        <v>648</v>
      </c>
      <c r="D12" s="138">
        <v>2010000</v>
      </c>
      <c r="E12" s="20" t="s">
        <v>545</v>
      </c>
      <c r="F12" s="20" t="s">
        <v>546</v>
      </c>
      <c r="G12" s="8" t="str">
        <f t="shared" si="0"/>
        <v>MAELZER KURT</v>
      </c>
      <c r="H12" s="20" t="str">
        <f t="shared" si="1"/>
        <v>4036</v>
      </c>
    </row>
    <row r="13" spans="1:8" x14ac:dyDescent="0.3">
      <c r="A13" s="8">
        <v>43035.165497685186</v>
      </c>
      <c r="B13" s="20" t="s">
        <v>397</v>
      </c>
      <c r="C13" s="20" t="s">
        <v>649</v>
      </c>
      <c r="D13" s="138">
        <v>1780000</v>
      </c>
      <c r="E13" s="20" t="s">
        <v>650</v>
      </c>
      <c r="F13" s="20" t="s">
        <v>651</v>
      </c>
      <c r="G13" s="8" t="str">
        <f t="shared" si="0"/>
        <v>DE LA ROSA ALEX</v>
      </c>
      <c r="H13" s="20" t="str">
        <f t="shared" si="1"/>
        <v>4005</v>
      </c>
    </row>
    <row r="14" spans="1:8" x14ac:dyDescent="0.3">
      <c r="A14" s="8">
        <v>43035.17328703704</v>
      </c>
      <c r="B14" s="20" t="s">
        <v>544</v>
      </c>
      <c r="C14" s="20" t="s">
        <v>652</v>
      </c>
      <c r="D14" s="138">
        <v>1100000</v>
      </c>
      <c r="E14" s="20" t="s">
        <v>515</v>
      </c>
      <c r="F14" s="20" t="s">
        <v>516</v>
      </c>
      <c r="G14" s="8" t="str">
        <f t="shared" si="0"/>
        <v>GEBRETEKLE DAGNEW</v>
      </c>
      <c r="H14" s="20" t="str">
        <f t="shared" si="1"/>
        <v>4015</v>
      </c>
    </row>
    <row r="15" spans="1:8" x14ac:dyDescent="0.3">
      <c r="A15" s="8">
        <v>43035.173715277779</v>
      </c>
      <c r="B15" s="20" t="s">
        <v>399</v>
      </c>
      <c r="C15" s="20" t="s">
        <v>653</v>
      </c>
      <c r="D15" s="138">
        <v>900000</v>
      </c>
      <c r="E15" s="20" t="s">
        <v>642</v>
      </c>
      <c r="F15" s="20" t="s">
        <v>643</v>
      </c>
      <c r="G15" s="8" t="str">
        <f t="shared" si="0"/>
        <v>ROCHA YAOTL</v>
      </c>
      <c r="H15" s="20" t="str">
        <f t="shared" si="1"/>
        <v>4017</v>
      </c>
    </row>
    <row r="16" spans="1:8" x14ac:dyDescent="0.3">
      <c r="A16" s="8">
        <v>43035.174930555557</v>
      </c>
      <c r="B16" s="20" t="s">
        <v>403</v>
      </c>
      <c r="C16" s="20" t="s">
        <v>654</v>
      </c>
      <c r="D16" s="138">
        <v>1780000</v>
      </c>
      <c r="E16" s="20" t="s">
        <v>650</v>
      </c>
      <c r="F16" s="20" t="s">
        <v>651</v>
      </c>
      <c r="G16" s="8" t="str">
        <f t="shared" si="0"/>
        <v>DE LA ROSA ALEX</v>
      </c>
      <c r="H16" s="20" t="str">
        <f t="shared" si="1"/>
        <v>4006</v>
      </c>
    </row>
    <row r="17" spans="1:8" x14ac:dyDescent="0.3">
      <c r="A17" s="8">
        <v>43035.183298611111</v>
      </c>
      <c r="B17" s="20" t="s">
        <v>513</v>
      </c>
      <c r="C17" s="20" t="s">
        <v>655</v>
      </c>
      <c r="D17" s="138">
        <v>1990000</v>
      </c>
      <c r="E17" s="20" t="s">
        <v>402</v>
      </c>
      <c r="F17" s="20" t="s">
        <v>514</v>
      </c>
      <c r="G17" s="8" t="str">
        <f t="shared" si="0"/>
        <v>DAVIS WENDY</v>
      </c>
      <c r="H17" s="20" t="str">
        <f t="shared" si="1"/>
        <v>4051</v>
      </c>
    </row>
    <row r="18" spans="1:8" x14ac:dyDescent="0.3">
      <c r="A18" s="8">
        <v>43035.184189814812</v>
      </c>
      <c r="B18" s="20" t="s">
        <v>417</v>
      </c>
      <c r="C18" s="20" t="s">
        <v>656</v>
      </c>
      <c r="D18" s="138">
        <v>1100000</v>
      </c>
      <c r="E18" s="20" t="s">
        <v>515</v>
      </c>
      <c r="F18" s="20" t="s">
        <v>516</v>
      </c>
      <c r="G18" s="8" t="str">
        <f t="shared" si="0"/>
        <v>GEBRETEKLE DAGNEW</v>
      </c>
      <c r="H18" s="20" t="str">
        <f t="shared" si="1"/>
        <v>4016</v>
      </c>
    </row>
    <row r="19" spans="1:8" x14ac:dyDescent="0.3">
      <c r="A19" s="8">
        <v>43035.190266203703</v>
      </c>
      <c r="B19" s="20" t="s">
        <v>492</v>
      </c>
      <c r="C19" s="20" t="s">
        <v>657</v>
      </c>
      <c r="D19" s="138">
        <v>2010000</v>
      </c>
      <c r="E19" s="20" t="s">
        <v>545</v>
      </c>
      <c r="F19" s="20" t="s">
        <v>546</v>
      </c>
      <c r="G19" s="8" t="str">
        <f t="shared" si="0"/>
        <v>MAELZER KURT</v>
      </c>
      <c r="H19" s="20" t="str">
        <f t="shared" si="1"/>
        <v>4035</v>
      </c>
    </row>
    <row r="20" spans="1:8" x14ac:dyDescent="0.3">
      <c r="A20" s="8">
        <v>43035.196956018517</v>
      </c>
      <c r="B20" s="20" t="s">
        <v>626</v>
      </c>
      <c r="C20" s="20" t="s">
        <v>658</v>
      </c>
      <c r="D20" s="138">
        <v>1990000</v>
      </c>
      <c r="E20" s="20" t="s">
        <v>402</v>
      </c>
      <c r="F20" s="20" t="s">
        <v>514</v>
      </c>
      <c r="G20" s="8" t="str">
        <f t="shared" si="0"/>
        <v>DAVIS WENDY</v>
      </c>
      <c r="H20" s="20" t="str">
        <f t="shared" si="1"/>
        <v>4052</v>
      </c>
    </row>
    <row r="21" spans="1:8" x14ac:dyDescent="0.3">
      <c r="A21" s="8">
        <v>43035.200023148151</v>
      </c>
      <c r="B21" s="20" t="s">
        <v>512</v>
      </c>
      <c r="C21" s="20" t="s">
        <v>659</v>
      </c>
      <c r="D21" s="138">
        <v>3040000</v>
      </c>
      <c r="E21" s="20" t="s">
        <v>547</v>
      </c>
      <c r="F21" s="20" t="s">
        <v>548</v>
      </c>
      <c r="G21" s="8" t="str">
        <f t="shared" si="0"/>
        <v>WILLIAMS DONTE</v>
      </c>
      <c r="H21" s="20" t="str">
        <f t="shared" si="1"/>
        <v>4030</v>
      </c>
    </row>
    <row r="22" spans="1:8" x14ac:dyDescent="0.3">
      <c r="A22" s="26">
        <v>43035.201817129629</v>
      </c>
      <c r="B22" s="20" t="s">
        <v>629</v>
      </c>
      <c r="C22" s="20" t="s">
        <v>660</v>
      </c>
      <c r="D22" s="138">
        <v>2560000</v>
      </c>
      <c r="E22" s="20" t="s">
        <v>661</v>
      </c>
      <c r="F22" s="20" t="s">
        <v>662</v>
      </c>
      <c r="G22" s="8" t="str">
        <f t="shared" si="0"/>
        <v>MACDONALD THOMAS</v>
      </c>
      <c r="H22" s="20" t="str">
        <f t="shared" si="1"/>
        <v>4013</v>
      </c>
    </row>
    <row r="23" spans="1:8" x14ac:dyDescent="0.3">
      <c r="A23" s="8">
        <v>43035.20275462963</v>
      </c>
      <c r="B23" s="20" t="s">
        <v>396</v>
      </c>
      <c r="C23" s="20" t="s">
        <v>663</v>
      </c>
      <c r="D23" s="138">
        <v>900000</v>
      </c>
      <c r="E23" s="20" t="s">
        <v>642</v>
      </c>
      <c r="F23" s="20" t="s">
        <v>643</v>
      </c>
      <c r="G23" s="8" t="str">
        <f t="shared" si="0"/>
        <v>ROCHA YAOTL</v>
      </c>
      <c r="H23" s="20" t="str">
        <f t="shared" si="1"/>
        <v>4018</v>
      </c>
    </row>
    <row r="24" spans="1:8" x14ac:dyDescent="0.3">
      <c r="A24" s="8">
        <v>43035.211180555554</v>
      </c>
      <c r="B24" s="20" t="s">
        <v>397</v>
      </c>
      <c r="C24" s="20" t="s">
        <v>664</v>
      </c>
      <c r="D24" s="138">
        <v>1780000</v>
      </c>
      <c r="E24" s="20" t="s">
        <v>650</v>
      </c>
      <c r="F24" s="20" t="s">
        <v>651</v>
      </c>
      <c r="G24" s="8" t="str">
        <f t="shared" si="0"/>
        <v>DE LA ROSA ALEX</v>
      </c>
      <c r="H24" s="20" t="str">
        <f t="shared" si="1"/>
        <v>4005</v>
      </c>
    </row>
    <row r="25" spans="1:8" x14ac:dyDescent="0.3">
      <c r="A25" s="8">
        <v>43035.212708333333</v>
      </c>
      <c r="B25" s="20" t="s">
        <v>510</v>
      </c>
      <c r="C25" s="20" t="s">
        <v>665</v>
      </c>
      <c r="D25" s="138">
        <v>3040000</v>
      </c>
      <c r="E25" s="20" t="s">
        <v>547</v>
      </c>
      <c r="F25" s="20" t="s">
        <v>548</v>
      </c>
      <c r="G25" s="8" t="str">
        <f t="shared" si="0"/>
        <v>WILLIAMS DONTE</v>
      </c>
      <c r="H25" s="20" t="str">
        <f t="shared" si="1"/>
        <v>4029</v>
      </c>
    </row>
    <row r="26" spans="1:8" x14ac:dyDescent="0.3">
      <c r="A26" s="8">
        <v>43035.214247685188</v>
      </c>
      <c r="B26" s="20" t="s">
        <v>544</v>
      </c>
      <c r="C26" s="20" t="s">
        <v>666</v>
      </c>
      <c r="D26" s="138">
        <v>1100000</v>
      </c>
      <c r="E26" s="20" t="s">
        <v>515</v>
      </c>
      <c r="F26" s="20" t="s">
        <v>516</v>
      </c>
      <c r="G26" s="8" t="str">
        <f t="shared" si="0"/>
        <v>GEBRETEKLE DAGNEW</v>
      </c>
      <c r="H26" s="20" t="str">
        <f t="shared" si="1"/>
        <v>4015</v>
      </c>
    </row>
    <row r="27" spans="1:8" x14ac:dyDescent="0.3">
      <c r="A27" s="8">
        <v>43035.215231481481</v>
      </c>
      <c r="B27" s="20" t="s">
        <v>418</v>
      </c>
      <c r="C27" s="20" t="s">
        <v>621</v>
      </c>
      <c r="D27" s="138">
        <v>2560000</v>
      </c>
      <c r="E27" s="20" t="s">
        <v>661</v>
      </c>
      <c r="F27" s="20" t="s">
        <v>662</v>
      </c>
      <c r="G27" s="8" t="str">
        <f t="shared" si="0"/>
        <v>MACDONALD THOMAS</v>
      </c>
      <c r="H27" s="20" t="str">
        <f t="shared" si="1"/>
        <v>4014</v>
      </c>
    </row>
    <row r="28" spans="1:8" x14ac:dyDescent="0.3">
      <c r="A28" s="8">
        <v>43035.217199074075</v>
      </c>
      <c r="B28" s="20" t="s">
        <v>368</v>
      </c>
      <c r="C28" s="20" t="s">
        <v>667</v>
      </c>
      <c r="D28" s="138">
        <v>1230000</v>
      </c>
      <c r="E28" s="20" t="s">
        <v>484</v>
      </c>
      <c r="F28" s="20" t="s">
        <v>485</v>
      </c>
      <c r="G28" s="8" t="str">
        <f t="shared" si="0"/>
        <v>YANAI IAN</v>
      </c>
      <c r="H28" s="20" t="str">
        <f t="shared" si="1"/>
        <v>4055</v>
      </c>
    </row>
    <row r="29" spans="1:8" x14ac:dyDescent="0.3">
      <c r="A29" s="8">
        <v>43035.226574074077</v>
      </c>
      <c r="B29" s="20" t="s">
        <v>489</v>
      </c>
      <c r="C29" s="20" t="s">
        <v>668</v>
      </c>
      <c r="D29" s="138">
        <v>2010000</v>
      </c>
      <c r="E29" s="20" t="s">
        <v>545</v>
      </c>
      <c r="F29" s="20" t="s">
        <v>546</v>
      </c>
      <c r="G29" s="8" t="str">
        <f t="shared" si="0"/>
        <v>MAELZER KURT</v>
      </c>
      <c r="H29" s="20" t="str">
        <f t="shared" si="1"/>
        <v>4036</v>
      </c>
    </row>
    <row r="30" spans="1:8" x14ac:dyDescent="0.3">
      <c r="A30" s="8">
        <v>43035.226655092592</v>
      </c>
      <c r="B30" s="20" t="s">
        <v>513</v>
      </c>
      <c r="C30" s="20" t="s">
        <v>669</v>
      </c>
      <c r="D30" s="138">
        <v>1990000</v>
      </c>
      <c r="E30" s="20" t="s">
        <v>402</v>
      </c>
      <c r="F30" s="20" t="s">
        <v>514</v>
      </c>
      <c r="G30" s="8" t="str">
        <f t="shared" si="0"/>
        <v>DAVIS WENDY</v>
      </c>
      <c r="H30" s="20" t="str">
        <f t="shared" si="1"/>
        <v>4051</v>
      </c>
    </row>
    <row r="31" spans="1:8" x14ac:dyDescent="0.3">
      <c r="A31" s="8">
        <v>43035.226666666669</v>
      </c>
      <c r="B31" s="20" t="s">
        <v>670</v>
      </c>
      <c r="C31" s="20" t="s">
        <v>671</v>
      </c>
      <c r="D31" s="138">
        <v>1230000</v>
      </c>
      <c r="E31" s="20" t="s">
        <v>484</v>
      </c>
      <c r="F31" s="20" t="s">
        <v>485</v>
      </c>
      <c r="G31" s="8" t="str">
        <f t="shared" si="0"/>
        <v>YANAI IAN</v>
      </c>
      <c r="H31" s="20" t="str">
        <f t="shared" si="1"/>
        <v>4056</v>
      </c>
    </row>
    <row r="32" spans="1:8" x14ac:dyDescent="0.3">
      <c r="A32" s="8">
        <v>43035.232916666668</v>
      </c>
      <c r="B32" s="20" t="s">
        <v>512</v>
      </c>
      <c r="C32" s="20" t="s">
        <v>672</v>
      </c>
      <c r="D32" s="138">
        <v>3040000</v>
      </c>
      <c r="E32" s="20" t="s">
        <v>547</v>
      </c>
      <c r="F32" s="20" t="s">
        <v>548</v>
      </c>
      <c r="G32" s="8" t="str">
        <f t="shared" si="0"/>
        <v>WILLIAMS DONTE</v>
      </c>
      <c r="H32" s="20" t="str">
        <f t="shared" si="1"/>
        <v>4030</v>
      </c>
    </row>
    <row r="33" spans="1:8" x14ac:dyDescent="0.3">
      <c r="A33" s="8">
        <v>43035.236909722225</v>
      </c>
      <c r="B33" s="20" t="s">
        <v>633</v>
      </c>
      <c r="C33" s="20" t="s">
        <v>673</v>
      </c>
      <c r="D33" s="138">
        <v>3510000</v>
      </c>
      <c r="E33" s="20" t="s">
        <v>674</v>
      </c>
      <c r="F33" s="20" t="s">
        <v>675</v>
      </c>
      <c r="G33" s="8" t="str">
        <f t="shared" si="0"/>
        <v>BARRON PERLA</v>
      </c>
      <c r="H33" s="20" t="str">
        <f t="shared" si="1"/>
        <v>4003</v>
      </c>
    </row>
    <row r="34" spans="1:8" x14ac:dyDescent="0.3">
      <c r="A34" s="8">
        <v>43035.246238425927</v>
      </c>
      <c r="B34" s="20" t="s">
        <v>399</v>
      </c>
      <c r="C34" s="20" t="s">
        <v>676</v>
      </c>
      <c r="D34" s="138">
        <v>900000</v>
      </c>
      <c r="E34" s="20" t="s">
        <v>642</v>
      </c>
      <c r="F34" s="20" t="s">
        <v>643</v>
      </c>
      <c r="G34" s="8" t="str">
        <f t="shared" si="0"/>
        <v>ROCHA YAOTL</v>
      </c>
      <c r="H34" s="20" t="str">
        <f t="shared" si="1"/>
        <v>4017</v>
      </c>
    </row>
    <row r="35" spans="1:8" x14ac:dyDescent="0.3">
      <c r="A35" s="8">
        <v>43035.24628472222</v>
      </c>
      <c r="B35" s="20" t="s">
        <v>403</v>
      </c>
      <c r="C35" s="20" t="s">
        <v>677</v>
      </c>
      <c r="D35" s="138">
        <v>1780000</v>
      </c>
      <c r="E35" s="20" t="s">
        <v>650</v>
      </c>
      <c r="F35" s="20" t="s">
        <v>651</v>
      </c>
      <c r="G35" s="8" t="str">
        <f t="shared" si="0"/>
        <v>DE LA ROSA ALEX</v>
      </c>
      <c r="H35" s="20" t="str">
        <f t="shared" si="1"/>
        <v>4006</v>
      </c>
    </row>
    <row r="36" spans="1:8" x14ac:dyDescent="0.3">
      <c r="A36" s="8">
        <v>43035.247303240743</v>
      </c>
      <c r="B36" s="20" t="s">
        <v>629</v>
      </c>
      <c r="C36" s="20" t="s">
        <v>678</v>
      </c>
      <c r="D36" s="138">
        <v>2560000</v>
      </c>
      <c r="E36" s="20" t="s">
        <v>661</v>
      </c>
      <c r="F36" s="20" t="s">
        <v>662</v>
      </c>
      <c r="G36" s="8" t="str">
        <f t="shared" si="0"/>
        <v>MACDONALD THOMAS</v>
      </c>
      <c r="H36" s="20" t="str">
        <f t="shared" si="1"/>
        <v>4013</v>
      </c>
    </row>
    <row r="37" spans="1:8" x14ac:dyDescent="0.3">
      <c r="A37" s="8">
        <v>43035.24795138889</v>
      </c>
      <c r="B37" s="20" t="s">
        <v>510</v>
      </c>
      <c r="C37" s="20" t="s">
        <v>679</v>
      </c>
      <c r="D37" s="138">
        <v>3040000</v>
      </c>
      <c r="E37" s="20" t="s">
        <v>547</v>
      </c>
      <c r="F37" s="20" t="s">
        <v>548</v>
      </c>
      <c r="G37" s="8" t="str">
        <f t="shared" si="0"/>
        <v>WILLIAMS DONTE</v>
      </c>
      <c r="H37" s="20" t="str">
        <f t="shared" si="1"/>
        <v>4029</v>
      </c>
    </row>
    <row r="38" spans="1:8" x14ac:dyDescent="0.3">
      <c r="A38" s="8">
        <v>43035.25372685185</v>
      </c>
      <c r="B38" s="20" t="s">
        <v>637</v>
      </c>
      <c r="C38" s="20" t="s">
        <v>680</v>
      </c>
      <c r="D38" s="138">
        <v>3510000</v>
      </c>
      <c r="E38" s="20" t="s">
        <v>674</v>
      </c>
      <c r="F38" s="20" t="s">
        <v>675</v>
      </c>
      <c r="G38" s="8" t="str">
        <f t="shared" si="0"/>
        <v>BARRON PERLA</v>
      </c>
      <c r="H38" s="20" t="str">
        <f t="shared" si="1"/>
        <v>4004</v>
      </c>
    </row>
    <row r="39" spans="1:8" x14ac:dyDescent="0.3">
      <c r="A39" s="8">
        <v>43035.256249999999</v>
      </c>
      <c r="B39" s="20" t="s">
        <v>417</v>
      </c>
      <c r="C39" s="20" t="s">
        <v>681</v>
      </c>
      <c r="D39" s="138">
        <v>3030000</v>
      </c>
      <c r="E39" s="20" t="s">
        <v>682</v>
      </c>
      <c r="F39" s="20" t="s">
        <v>662</v>
      </c>
      <c r="G39" s="8" t="str">
        <f t="shared" si="0"/>
        <v>BIRENBAUM THOMAS</v>
      </c>
      <c r="H39" s="20" t="str">
        <f t="shared" si="1"/>
        <v>4016</v>
      </c>
    </row>
    <row r="40" spans="1:8" x14ac:dyDescent="0.3">
      <c r="A40" s="8">
        <v>43035.265023148146</v>
      </c>
      <c r="B40" s="25" t="s">
        <v>492</v>
      </c>
      <c r="C40" s="20" t="s">
        <v>683</v>
      </c>
      <c r="D40" s="138">
        <v>2010000</v>
      </c>
      <c r="E40" s="20" t="s">
        <v>545</v>
      </c>
      <c r="F40" s="20" t="s">
        <v>546</v>
      </c>
      <c r="G40" s="8" t="str">
        <f t="shared" si="0"/>
        <v>MAELZER KURT</v>
      </c>
      <c r="H40" s="20" t="str">
        <f t="shared" si="1"/>
        <v>4035</v>
      </c>
    </row>
    <row r="41" spans="1:8" x14ac:dyDescent="0.3">
      <c r="A41" s="8">
        <v>43035.2653587963</v>
      </c>
      <c r="B41" s="20" t="s">
        <v>368</v>
      </c>
      <c r="C41" s="20" t="s">
        <v>684</v>
      </c>
      <c r="D41" s="138">
        <v>1230000</v>
      </c>
      <c r="E41" s="20" t="s">
        <v>484</v>
      </c>
      <c r="F41" s="20" t="s">
        <v>485</v>
      </c>
      <c r="G41" s="8" t="str">
        <f t="shared" si="0"/>
        <v>YANAI IAN</v>
      </c>
      <c r="H41" s="20" t="str">
        <f t="shared" si="1"/>
        <v>4055</v>
      </c>
    </row>
    <row r="42" spans="1:8" x14ac:dyDescent="0.3">
      <c r="A42" s="8">
        <v>43035.266932870371</v>
      </c>
      <c r="B42" s="20" t="s">
        <v>626</v>
      </c>
      <c r="C42" s="20" t="s">
        <v>685</v>
      </c>
      <c r="D42" s="138">
        <v>1990000</v>
      </c>
      <c r="E42" s="20" t="s">
        <v>402</v>
      </c>
      <c r="F42" s="20" t="s">
        <v>514</v>
      </c>
      <c r="G42" s="8" t="str">
        <f t="shared" si="0"/>
        <v>DAVIS WENDY</v>
      </c>
      <c r="H42" s="20" t="str">
        <f t="shared" si="1"/>
        <v>4052</v>
      </c>
    </row>
    <row r="43" spans="1:8" x14ac:dyDescent="0.3">
      <c r="A43" s="8">
        <v>43035.269363425927</v>
      </c>
      <c r="B43" s="20" t="s">
        <v>633</v>
      </c>
      <c r="C43" s="20" t="s">
        <v>686</v>
      </c>
      <c r="D43" s="138">
        <v>3510000</v>
      </c>
      <c r="E43" s="20" t="s">
        <v>674</v>
      </c>
      <c r="F43" s="20" t="s">
        <v>675</v>
      </c>
      <c r="G43" s="8" t="str">
        <f t="shared" si="0"/>
        <v>BARRON PERLA</v>
      </c>
      <c r="H43" s="20" t="str">
        <f t="shared" si="1"/>
        <v>4003</v>
      </c>
    </row>
    <row r="44" spans="1:8" x14ac:dyDescent="0.3">
      <c r="A44" s="8">
        <v>43035.275324074071</v>
      </c>
      <c r="B44" s="20" t="s">
        <v>396</v>
      </c>
      <c r="C44" s="20" t="s">
        <v>687</v>
      </c>
      <c r="D44" s="138">
        <v>900000</v>
      </c>
      <c r="E44" s="20" t="s">
        <v>642</v>
      </c>
      <c r="F44" s="20" t="s">
        <v>643</v>
      </c>
      <c r="G44" s="8" t="str">
        <f t="shared" si="0"/>
        <v>ROCHA YAOTL</v>
      </c>
      <c r="H44" s="20" t="str">
        <f t="shared" si="1"/>
        <v>4018</v>
      </c>
    </row>
    <row r="45" spans="1:8" x14ac:dyDescent="0.3">
      <c r="A45" s="8">
        <v>43035.275520833333</v>
      </c>
      <c r="B45" s="20" t="s">
        <v>512</v>
      </c>
      <c r="C45" s="20" t="s">
        <v>688</v>
      </c>
      <c r="D45" s="138">
        <v>3040000</v>
      </c>
      <c r="E45" s="20" t="s">
        <v>547</v>
      </c>
      <c r="F45" s="20" t="s">
        <v>548</v>
      </c>
      <c r="G45" s="8" t="str">
        <f t="shared" si="0"/>
        <v>WILLIAMS DONTE</v>
      </c>
      <c r="H45" s="20" t="str">
        <f t="shared" si="1"/>
        <v>4030</v>
      </c>
    </row>
    <row r="46" spans="1:8" x14ac:dyDescent="0.3">
      <c r="A46" s="8">
        <v>43035.28707175926</v>
      </c>
      <c r="B46" s="20" t="s">
        <v>544</v>
      </c>
      <c r="C46" s="20" t="s">
        <v>689</v>
      </c>
      <c r="D46" s="138">
        <v>3030000</v>
      </c>
      <c r="E46" s="20" t="s">
        <v>682</v>
      </c>
      <c r="F46" s="20" t="s">
        <v>662</v>
      </c>
      <c r="G46" s="8" t="str">
        <f t="shared" si="0"/>
        <v>BIRENBAUM THOMAS</v>
      </c>
      <c r="H46" s="20" t="str">
        <f t="shared" si="1"/>
        <v>4015</v>
      </c>
    </row>
    <row r="47" spans="1:8" x14ac:dyDescent="0.3">
      <c r="A47" s="8">
        <v>43035.287731481483</v>
      </c>
      <c r="B47" s="20" t="s">
        <v>396</v>
      </c>
      <c r="C47" s="20" t="s">
        <v>687</v>
      </c>
      <c r="D47" s="138">
        <v>900000</v>
      </c>
      <c r="E47" s="20" t="s">
        <v>642</v>
      </c>
      <c r="F47" s="20" t="s">
        <v>643</v>
      </c>
      <c r="G47" s="8" t="str">
        <f t="shared" si="0"/>
        <v>ROCHA YAOTL</v>
      </c>
      <c r="H47" s="20" t="str">
        <f t="shared" si="1"/>
        <v>4018</v>
      </c>
    </row>
    <row r="48" spans="1:8" x14ac:dyDescent="0.3">
      <c r="A48" s="8">
        <v>43035.287766203706</v>
      </c>
      <c r="B48" s="20" t="s">
        <v>397</v>
      </c>
      <c r="C48" s="20" t="s">
        <v>690</v>
      </c>
      <c r="D48" s="138">
        <v>1780000</v>
      </c>
      <c r="E48" s="20" t="s">
        <v>650</v>
      </c>
      <c r="F48" s="20" t="s">
        <v>651</v>
      </c>
      <c r="G48" s="8" t="str">
        <f t="shared" si="0"/>
        <v>DE LA ROSA ALEX</v>
      </c>
      <c r="H48" s="20" t="str">
        <f t="shared" si="1"/>
        <v>4005</v>
      </c>
    </row>
    <row r="49" spans="1:8" x14ac:dyDescent="0.3">
      <c r="A49" s="8">
        <v>43035.289895833332</v>
      </c>
      <c r="B49" s="20" t="s">
        <v>510</v>
      </c>
      <c r="C49" s="20" t="s">
        <v>622</v>
      </c>
      <c r="D49" s="138">
        <v>3040000</v>
      </c>
      <c r="E49" s="20" t="s">
        <v>547</v>
      </c>
      <c r="F49" s="20" t="s">
        <v>548</v>
      </c>
      <c r="G49" s="8" t="str">
        <f t="shared" si="0"/>
        <v>WILLIAMS DONTE</v>
      </c>
      <c r="H49" s="20" t="str">
        <f t="shared" si="1"/>
        <v>4029</v>
      </c>
    </row>
    <row r="50" spans="1:8" x14ac:dyDescent="0.3">
      <c r="A50" s="8">
        <v>43035.290081018517</v>
      </c>
      <c r="B50" s="20" t="s">
        <v>418</v>
      </c>
      <c r="C50" s="20" t="s">
        <v>691</v>
      </c>
      <c r="D50" s="138">
        <v>2560000</v>
      </c>
      <c r="E50" s="20" t="s">
        <v>661</v>
      </c>
      <c r="F50" s="20" t="s">
        <v>662</v>
      </c>
      <c r="G50" s="8" t="str">
        <f t="shared" si="0"/>
        <v>MACDONALD THOMAS</v>
      </c>
      <c r="H50" s="20" t="str">
        <f t="shared" si="1"/>
        <v>4014</v>
      </c>
    </row>
    <row r="51" spans="1:8" x14ac:dyDescent="0.3">
      <c r="A51" s="8">
        <v>43035.290543981479</v>
      </c>
      <c r="B51" s="20" t="s">
        <v>637</v>
      </c>
      <c r="C51" s="20" t="s">
        <v>692</v>
      </c>
      <c r="D51" s="138">
        <v>3510000</v>
      </c>
      <c r="E51" s="20" t="s">
        <v>674</v>
      </c>
      <c r="F51" s="20" t="s">
        <v>675</v>
      </c>
      <c r="G51" s="8" t="str">
        <f t="shared" si="0"/>
        <v>BARRON PERLA</v>
      </c>
      <c r="H51" s="20" t="str">
        <f t="shared" si="1"/>
        <v>4004</v>
      </c>
    </row>
    <row r="52" spans="1:8" x14ac:dyDescent="0.3">
      <c r="A52" s="8">
        <v>43035.291828703703</v>
      </c>
      <c r="B52" s="20" t="s">
        <v>637</v>
      </c>
      <c r="C52" s="20" t="s">
        <v>692</v>
      </c>
      <c r="D52" s="138">
        <v>3510000</v>
      </c>
      <c r="E52" s="20" t="s">
        <v>674</v>
      </c>
      <c r="F52" s="20" t="s">
        <v>675</v>
      </c>
      <c r="G52" s="8" t="str">
        <f t="shared" si="0"/>
        <v>BARRON PERLA</v>
      </c>
      <c r="H52" s="20" t="str">
        <f t="shared" si="1"/>
        <v>4004</v>
      </c>
    </row>
    <row r="53" spans="1:8" x14ac:dyDescent="0.3">
      <c r="A53" s="8">
        <v>43035.29614583333</v>
      </c>
      <c r="B53" s="20" t="s">
        <v>637</v>
      </c>
      <c r="C53" s="20" t="s">
        <v>692</v>
      </c>
      <c r="D53" s="138">
        <v>3510000</v>
      </c>
      <c r="E53" s="20" t="s">
        <v>674</v>
      </c>
      <c r="F53" s="20" t="s">
        <v>675</v>
      </c>
      <c r="G53" s="8" t="str">
        <f t="shared" si="0"/>
        <v>BARRON PERLA</v>
      </c>
      <c r="H53" s="20" t="str">
        <f t="shared" si="1"/>
        <v>4004</v>
      </c>
    </row>
    <row r="54" spans="1:8" x14ac:dyDescent="0.3">
      <c r="A54" s="8">
        <v>43035.298263888886</v>
      </c>
      <c r="B54" s="20" t="s">
        <v>637</v>
      </c>
      <c r="C54" s="20" t="s">
        <v>692</v>
      </c>
      <c r="D54" s="138">
        <v>3510000</v>
      </c>
      <c r="E54" s="20" t="s">
        <v>674</v>
      </c>
      <c r="F54" s="20" t="s">
        <v>675</v>
      </c>
      <c r="G54" s="8" t="str">
        <f t="shared" si="0"/>
        <v>BARRON PERLA</v>
      </c>
      <c r="H54" s="20" t="str">
        <f t="shared" si="1"/>
        <v>4004</v>
      </c>
    </row>
    <row r="55" spans="1:8" x14ac:dyDescent="0.3">
      <c r="A55" s="8">
        <v>43035.299004629633</v>
      </c>
      <c r="B55" s="20" t="s">
        <v>489</v>
      </c>
      <c r="C55" s="20" t="s">
        <v>693</v>
      </c>
      <c r="D55" s="138">
        <v>2010000</v>
      </c>
      <c r="E55" s="20" t="s">
        <v>545</v>
      </c>
      <c r="F55" s="20" t="s">
        <v>546</v>
      </c>
      <c r="G55" s="8" t="str">
        <f t="shared" si="0"/>
        <v>MAELZER KURT</v>
      </c>
      <c r="H55" s="20" t="str">
        <f t="shared" si="1"/>
        <v>4036</v>
      </c>
    </row>
    <row r="56" spans="1:8" x14ac:dyDescent="0.3">
      <c r="A56" s="8">
        <v>43035.302337962959</v>
      </c>
      <c r="B56" s="20" t="s">
        <v>513</v>
      </c>
      <c r="C56" s="20" t="s">
        <v>694</v>
      </c>
      <c r="D56" s="138">
        <v>1990000</v>
      </c>
      <c r="E56" s="20" t="s">
        <v>402</v>
      </c>
      <c r="F56" s="20" t="s">
        <v>514</v>
      </c>
      <c r="G56" s="8" t="str">
        <f t="shared" si="0"/>
        <v>DAVIS WENDY</v>
      </c>
      <c r="H56" s="20" t="str">
        <f t="shared" si="1"/>
        <v>4051</v>
      </c>
    </row>
    <row r="57" spans="1:8" x14ac:dyDescent="0.3">
      <c r="A57" s="8">
        <v>43035.309027777781</v>
      </c>
      <c r="B57" s="20" t="s">
        <v>670</v>
      </c>
      <c r="C57" s="20" t="s">
        <v>695</v>
      </c>
      <c r="D57" s="138">
        <v>1230000</v>
      </c>
      <c r="E57" s="20" t="s">
        <v>484</v>
      </c>
      <c r="F57" s="20" t="s">
        <v>485</v>
      </c>
      <c r="G57" s="8" t="str">
        <f t="shared" si="0"/>
        <v>YANAI IAN</v>
      </c>
      <c r="H57" s="20" t="str">
        <f t="shared" si="1"/>
        <v>4056</v>
      </c>
    </row>
    <row r="58" spans="1:8" x14ac:dyDescent="0.3">
      <c r="A58" s="8">
        <v>43035.311331018522</v>
      </c>
      <c r="B58" s="20" t="s">
        <v>633</v>
      </c>
      <c r="C58" s="20" t="s">
        <v>696</v>
      </c>
      <c r="D58" s="138">
        <v>3510000</v>
      </c>
      <c r="E58" s="20" t="s">
        <v>674</v>
      </c>
      <c r="F58" s="20" t="s">
        <v>675</v>
      </c>
      <c r="G58" s="8" t="str">
        <f t="shared" si="0"/>
        <v>BARRON PERLA</v>
      </c>
      <c r="H58" s="20" t="str">
        <f t="shared" si="1"/>
        <v>4003</v>
      </c>
    </row>
    <row r="59" spans="1:8" x14ac:dyDescent="0.3">
      <c r="A59" s="8">
        <v>43035.315451388888</v>
      </c>
      <c r="B59" s="20" t="s">
        <v>512</v>
      </c>
      <c r="C59" s="20" t="s">
        <v>697</v>
      </c>
      <c r="D59" s="138">
        <v>3040000</v>
      </c>
      <c r="E59" s="20" t="s">
        <v>547</v>
      </c>
      <c r="F59" s="20" t="s">
        <v>548</v>
      </c>
      <c r="G59" s="8" t="str">
        <f t="shared" si="0"/>
        <v>WILLIAMS DONTE</v>
      </c>
      <c r="H59" s="20" t="str">
        <f t="shared" si="1"/>
        <v>4030</v>
      </c>
    </row>
    <row r="60" spans="1:8" x14ac:dyDescent="0.3">
      <c r="A60" s="8">
        <v>43035.318310185183</v>
      </c>
      <c r="B60" s="20" t="s">
        <v>403</v>
      </c>
      <c r="C60" s="20" t="s">
        <v>698</v>
      </c>
      <c r="D60" s="138">
        <v>1780000</v>
      </c>
      <c r="E60" s="20" t="s">
        <v>650</v>
      </c>
      <c r="F60" s="20" t="s">
        <v>651</v>
      </c>
      <c r="G60" s="8" t="str">
        <f t="shared" si="0"/>
        <v>DE LA ROSA ALEX</v>
      </c>
      <c r="H60" s="20" t="str">
        <f t="shared" si="1"/>
        <v>4006</v>
      </c>
    </row>
    <row r="61" spans="1:8" x14ac:dyDescent="0.3">
      <c r="A61" s="8">
        <v>43035.319537037038</v>
      </c>
      <c r="B61" s="20" t="s">
        <v>399</v>
      </c>
      <c r="C61" s="20" t="s">
        <v>699</v>
      </c>
      <c r="D61" s="138">
        <v>900000</v>
      </c>
      <c r="E61" s="20" t="s">
        <v>642</v>
      </c>
      <c r="F61" s="20" t="s">
        <v>643</v>
      </c>
      <c r="G61" s="8" t="str">
        <f t="shared" si="0"/>
        <v>ROCHA YAOTL</v>
      </c>
      <c r="H61" s="20" t="str">
        <f t="shared" si="1"/>
        <v>4017</v>
      </c>
    </row>
    <row r="62" spans="1:8" x14ac:dyDescent="0.3">
      <c r="A62" s="8">
        <v>43035.332037037035</v>
      </c>
      <c r="B62" s="20" t="s">
        <v>386</v>
      </c>
      <c r="C62" s="20" t="s">
        <v>700</v>
      </c>
      <c r="D62" s="138">
        <v>1100000</v>
      </c>
      <c r="E62" s="20" t="s">
        <v>515</v>
      </c>
      <c r="F62" s="20" t="s">
        <v>516</v>
      </c>
      <c r="G62" s="8" t="str">
        <f t="shared" si="0"/>
        <v>GEBRETEKLE DAGNEW</v>
      </c>
      <c r="H62" s="20" t="str">
        <f t="shared" si="1"/>
        <v>4008</v>
      </c>
    </row>
    <row r="63" spans="1:8" x14ac:dyDescent="0.3">
      <c r="A63" s="8">
        <v>43035.332511574074</v>
      </c>
      <c r="B63" s="20" t="s">
        <v>510</v>
      </c>
      <c r="C63" s="20" t="s">
        <v>625</v>
      </c>
      <c r="D63" s="138">
        <v>3040000</v>
      </c>
      <c r="E63" s="20" t="s">
        <v>547</v>
      </c>
      <c r="F63" s="20" t="s">
        <v>548</v>
      </c>
      <c r="G63" s="8" t="str">
        <f t="shared" si="0"/>
        <v>WILLIAMS DONTE</v>
      </c>
      <c r="H63" s="20" t="str">
        <f t="shared" si="1"/>
        <v>4029</v>
      </c>
    </row>
    <row r="64" spans="1:8" x14ac:dyDescent="0.3">
      <c r="A64" s="26">
        <v>43035.332881944443</v>
      </c>
      <c r="B64" s="20" t="s">
        <v>492</v>
      </c>
      <c r="C64" s="20" t="s">
        <v>701</v>
      </c>
      <c r="D64" s="138">
        <v>2010000</v>
      </c>
      <c r="E64" s="20" t="s">
        <v>545</v>
      </c>
      <c r="F64" s="20" t="s">
        <v>546</v>
      </c>
      <c r="G64" s="8" t="str">
        <f t="shared" si="0"/>
        <v>MAELZER KURT</v>
      </c>
      <c r="H64" s="20" t="str">
        <f t="shared" si="1"/>
        <v>4035</v>
      </c>
    </row>
    <row r="65" spans="1:8" x14ac:dyDescent="0.3">
      <c r="A65" s="8">
        <v>43035.333564814813</v>
      </c>
      <c r="B65" s="20" t="s">
        <v>637</v>
      </c>
      <c r="C65" s="20" t="s">
        <v>702</v>
      </c>
      <c r="D65" s="138">
        <v>3510000</v>
      </c>
      <c r="E65" s="20" t="s">
        <v>674</v>
      </c>
      <c r="F65" s="20" t="s">
        <v>675</v>
      </c>
      <c r="G65" s="8" t="str">
        <f t="shared" si="0"/>
        <v>BARRON PERLA</v>
      </c>
      <c r="H65" s="20" t="str">
        <f t="shared" si="1"/>
        <v>4004</v>
      </c>
    </row>
    <row r="66" spans="1:8" x14ac:dyDescent="0.3">
      <c r="A66" s="8">
        <v>43035.338460648149</v>
      </c>
      <c r="B66" s="20" t="s">
        <v>417</v>
      </c>
      <c r="C66" s="20" t="s">
        <v>703</v>
      </c>
      <c r="D66" s="138">
        <v>3030000</v>
      </c>
      <c r="E66" s="20" t="s">
        <v>682</v>
      </c>
      <c r="F66" s="20" t="s">
        <v>662</v>
      </c>
      <c r="G66" s="8" t="str">
        <f t="shared" si="0"/>
        <v>BIRENBAUM THOMAS</v>
      </c>
      <c r="H66" s="20" t="str">
        <f t="shared" si="1"/>
        <v>4016</v>
      </c>
    </row>
    <row r="67" spans="1:8" x14ac:dyDescent="0.3">
      <c r="A67" s="8">
        <v>43035.339224537034</v>
      </c>
      <c r="B67" s="20" t="s">
        <v>626</v>
      </c>
      <c r="C67" s="20" t="s">
        <v>627</v>
      </c>
      <c r="D67" s="138">
        <v>1990000</v>
      </c>
      <c r="E67" s="20" t="s">
        <v>402</v>
      </c>
      <c r="F67" s="20" t="s">
        <v>514</v>
      </c>
      <c r="G67" s="8" t="str">
        <f t="shared" ref="G67:G130" si="2">E67&amp;" "&amp;F67</f>
        <v>DAVIS WENDY</v>
      </c>
      <c r="H67" s="20" t="str">
        <f t="shared" ref="H67:H130" si="3">MID(B67,13,4)</f>
        <v>4052</v>
      </c>
    </row>
    <row r="68" spans="1:8" x14ac:dyDescent="0.3">
      <c r="A68" s="8">
        <v>43035.347962962966</v>
      </c>
      <c r="B68" s="20" t="s">
        <v>368</v>
      </c>
      <c r="C68" s="20" t="s">
        <v>704</v>
      </c>
      <c r="D68" s="138">
        <v>1230000</v>
      </c>
      <c r="E68" s="20" t="s">
        <v>484</v>
      </c>
      <c r="F68" s="20" t="s">
        <v>485</v>
      </c>
      <c r="G68" s="8" t="str">
        <f t="shared" si="2"/>
        <v>YANAI IAN</v>
      </c>
      <c r="H68" s="20" t="str">
        <f t="shared" si="3"/>
        <v>4055</v>
      </c>
    </row>
    <row r="69" spans="1:8" x14ac:dyDescent="0.3">
      <c r="A69" s="8">
        <v>43035.352106481485</v>
      </c>
      <c r="B69" s="20" t="s">
        <v>633</v>
      </c>
      <c r="C69" s="20" t="s">
        <v>705</v>
      </c>
      <c r="D69" s="138">
        <v>3510000</v>
      </c>
      <c r="E69" s="20" t="s">
        <v>674</v>
      </c>
      <c r="F69" s="20" t="s">
        <v>675</v>
      </c>
      <c r="G69" s="8" t="str">
        <f t="shared" si="2"/>
        <v>BARRON PERLA</v>
      </c>
      <c r="H69" s="20" t="str">
        <f t="shared" si="3"/>
        <v>4003</v>
      </c>
    </row>
    <row r="70" spans="1:8" x14ac:dyDescent="0.3">
      <c r="A70" s="8">
        <v>43035.352731481478</v>
      </c>
      <c r="B70" s="20" t="s">
        <v>396</v>
      </c>
      <c r="C70" s="20" t="s">
        <v>628</v>
      </c>
      <c r="D70" s="138">
        <v>900000</v>
      </c>
      <c r="E70" s="20" t="s">
        <v>642</v>
      </c>
      <c r="F70" s="20" t="s">
        <v>643</v>
      </c>
      <c r="G70" s="8" t="str">
        <f t="shared" si="2"/>
        <v>ROCHA YAOTL</v>
      </c>
      <c r="H70" s="20" t="str">
        <f t="shared" si="3"/>
        <v>4018</v>
      </c>
    </row>
    <row r="71" spans="1:8" x14ac:dyDescent="0.3">
      <c r="A71" s="8">
        <v>43035.355185185188</v>
      </c>
      <c r="B71" s="20" t="s">
        <v>512</v>
      </c>
      <c r="C71" s="20" t="s">
        <v>706</v>
      </c>
      <c r="D71" s="138">
        <v>3040000</v>
      </c>
      <c r="E71" s="20" t="s">
        <v>547</v>
      </c>
      <c r="F71" s="20" t="s">
        <v>548</v>
      </c>
      <c r="G71" s="8" t="str">
        <f t="shared" si="2"/>
        <v>WILLIAMS DONTE</v>
      </c>
      <c r="H71" s="20" t="str">
        <f t="shared" si="3"/>
        <v>4030</v>
      </c>
    </row>
    <row r="72" spans="1:8" x14ac:dyDescent="0.3">
      <c r="A72" s="8">
        <v>43035.357928240737</v>
      </c>
      <c r="B72" s="20" t="s">
        <v>397</v>
      </c>
      <c r="C72" s="20" t="s">
        <v>707</v>
      </c>
      <c r="D72" s="138">
        <v>1780000</v>
      </c>
      <c r="E72" s="20" t="s">
        <v>650</v>
      </c>
      <c r="F72" s="20" t="s">
        <v>651</v>
      </c>
      <c r="G72" s="8" t="str">
        <f t="shared" si="2"/>
        <v>DE LA ROSA ALEX</v>
      </c>
      <c r="H72" s="20" t="str">
        <f t="shared" si="3"/>
        <v>4005</v>
      </c>
    </row>
    <row r="73" spans="1:8" x14ac:dyDescent="0.3">
      <c r="A73" s="8">
        <v>43035.363194444442</v>
      </c>
      <c r="B73" s="20" t="s">
        <v>398</v>
      </c>
      <c r="C73" s="20" t="s">
        <v>708</v>
      </c>
      <c r="D73" s="138">
        <v>1100000</v>
      </c>
      <c r="E73" s="20" t="s">
        <v>515</v>
      </c>
      <c r="F73" s="20" t="s">
        <v>516</v>
      </c>
      <c r="G73" s="8" t="str">
        <f t="shared" si="2"/>
        <v>GEBRETEKLE DAGNEW</v>
      </c>
      <c r="H73" s="20" t="str">
        <f t="shared" si="3"/>
        <v>4007</v>
      </c>
    </row>
    <row r="74" spans="1:8" x14ac:dyDescent="0.3">
      <c r="A74" s="8">
        <v>43035.363263888888</v>
      </c>
      <c r="B74" s="20" t="s">
        <v>418</v>
      </c>
      <c r="C74" s="20" t="s">
        <v>709</v>
      </c>
      <c r="D74" s="138">
        <v>2560000</v>
      </c>
      <c r="E74" s="20" t="s">
        <v>661</v>
      </c>
      <c r="F74" s="20" t="s">
        <v>662</v>
      </c>
      <c r="G74" s="8" t="str">
        <f t="shared" si="2"/>
        <v>MACDONALD THOMAS</v>
      </c>
      <c r="H74" s="20" t="str">
        <f t="shared" si="3"/>
        <v>4014</v>
      </c>
    </row>
    <row r="75" spans="1:8" x14ac:dyDescent="0.3">
      <c r="A75" s="8">
        <v>43035.370891203704</v>
      </c>
      <c r="B75" s="20" t="s">
        <v>489</v>
      </c>
      <c r="C75" s="20" t="s">
        <v>710</v>
      </c>
      <c r="D75" s="138">
        <v>2010000</v>
      </c>
      <c r="E75" s="20" t="s">
        <v>545</v>
      </c>
      <c r="F75" s="20" t="s">
        <v>546</v>
      </c>
      <c r="G75" s="8" t="str">
        <f t="shared" si="2"/>
        <v>MAELZER KURT</v>
      </c>
      <c r="H75" s="20" t="str">
        <f t="shared" si="3"/>
        <v>4036</v>
      </c>
    </row>
    <row r="76" spans="1:8" x14ac:dyDescent="0.3">
      <c r="A76" s="8">
        <v>43035.374108796299</v>
      </c>
      <c r="B76" s="20" t="s">
        <v>637</v>
      </c>
      <c r="C76" s="20" t="s">
        <v>711</v>
      </c>
      <c r="D76" s="138">
        <v>3510000</v>
      </c>
      <c r="E76" s="20" t="s">
        <v>674</v>
      </c>
      <c r="F76" s="20" t="s">
        <v>675</v>
      </c>
      <c r="G76" s="8" t="str">
        <f t="shared" si="2"/>
        <v>BARRON PERLA</v>
      </c>
      <c r="H76" s="20" t="str">
        <f t="shared" si="3"/>
        <v>4004</v>
      </c>
    </row>
    <row r="77" spans="1:8" x14ac:dyDescent="0.3">
      <c r="A77" s="8">
        <v>43035.375509259262</v>
      </c>
      <c r="B77" s="20" t="s">
        <v>513</v>
      </c>
      <c r="C77" s="20" t="s">
        <v>712</v>
      </c>
      <c r="D77" s="138">
        <v>1990000</v>
      </c>
      <c r="E77" s="20" t="s">
        <v>402</v>
      </c>
      <c r="F77" s="20" t="s">
        <v>514</v>
      </c>
      <c r="G77" s="8" t="str">
        <f t="shared" si="2"/>
        <v>DAVIS WENDY</v>
      </c>
      <c r="H77" s="20" t="str">
        <f t="shared" si="3"/>
        <v>4051</v>
      </c>
    </row>
    <row r="78" spans="1:8" x14ac:dyDescent="0.3">
      <c r="A78" s="8">
        <v>43035.380868055552</v>
      </c>
      <c r="B78" s="20" t="s">
        <v>637</v>
      </c>
      <c r="C78" s="20" t="s">
        <v>711</v>
      </c>
      <c r="D78" s="138">
        <v>3510000</v>
      </c>
      <c r="E78" s="20" t="s">
        <v>674</v>
      </c>
      <c r="F78" s="20" t="s">
        <v>675</v>
      </c>
      <c r="G78" s="8" t="str">
        <f t="shared" si="2"/>
        <v>BARRON PERLA</v>
      </c>
      <c r="H78" s="20" t="str">
        <f t="shared" si="3"/>
        <v>4004</v>
      </c>
    </row>
    <row r="79" spans="1:8" x14ac:dyDescent="0.3">
      <c r="A79" s="8">
        <v>43035.38181712963</v>
      </c>
      <c r="B79" s="20" t="s">
        <v>637</v>
      </c>
      <c r="C79" s="20" t="s">
        <v>711</v>
      </c>
      <c r="D79" s="138">
        <v>3510000</v>
      </c>
      <c r="E79" s="20" t="s">
        <v>674</v>
      </c>
      <c r="F79" s="20" t="s">
        <v>675</v>
      </c>
      <c r="G79" s="8" t="str">
        <f t="shared" si="2"/>
        <v>BARRON PERLA</v>
      </c>
      <c r="H79" s="20" t="str">
        <f t="shared" si="3"/>
        <v>4004</v>
      </c>
    </row>
    <row r="80" spans="1:8" x14ac:dyDescent="0.3">
      <c r="A80" s="8">
        <v>43035.382094907407</v>
      </c>
      <c r="B80" s="20" t="s">
        <v>670</v>
      </c>
      <c r="C80" s="20" t="s">
        <v>713</v>
      </c>
      <c r="D80" s="138">
        <v>1230000</v>
      </c>
      <c r="E80" s="20" t="s">
        <v>484</v>
      </c>
      <c r="F80" s="20" t="s">
        <v>485</v>
      </c>
      <c r="G80" s="8" t="str">
        <f t="shared" si="2"/>
        <v>YANAI IAN</v>
      </c>
      <c r="H80" s="20" t="str">
        <f t="shared" si="3"/>
        <v>4056</v>
      </c>
    </row>
    <row r="81" spans="1:8" x14ac:dyDescent="0.3">
      <c r="A81" s="8">
        <v>43035.392604166664</v>
      </c>
      <c r="B81" s="20" t="s">
        <v>399</v>
      </c>
      <c r="C81" s="20" t="s">
        <v>714</v>
      </c>
      <c r="D81" s="138">
        <v>900000</v>
      </c>
      <c r="E81" s="20" t="s">
        <v>642</v>
      </c>
      <c r="F81" s="20" t="s">
        <v>643</v>
      </c>
      <c r="G81" s="8" t="str">
        <f t="shared" si="2"/>
        <v>ROCHA YAOTL</v>
      </c>
      <c r="H81" s="20" t="str">
        <f t="shared" si="3"/>
        <v>4017</v>
      </c>
    </row>
    <row r="82" spans="1:8" x14ac:dyDescent="0.3">
      <c r="A82" s="8">
        <v>43035.394421296296</v>
      </c>
      <c r="B82" s="20" t="s">
        <v>403</v>
      </c>
      <c r="C82" s="20" t="s">
        <v>715</v>
      </c>
      <c r="D82" s="138">
        <v>1780000</v>
      </c>
      <c r="E82" s="20" t="s">
        <v>650</v>
      </c>
      <c r="F82" s="20" t="s">
        <v>651</v>
      </c>
      <c r="G82" s="8" t="str">
        <f t="shared" si="2"/>
        <v>DE LA ROSA ALEX</v>
      </c>
      <c r="H82" s="20" t="str">
        <f t="shared" si="3"/>
        <v>4006</v>
      </c>
    </row>
    <row r="83" spans="1:8" x14ac:dyDescent="0.3">
      <c r="A83" s="8">
        <v>43035.394618055558</v>
      </c>
      <c r="B83" s="20" t="s">
        <v>633</v>
      </c>
      <c r="C83" s="20" t="s">
        <v>716</v>
      </c>
      <c r="D83" s="138">
        <v>3510000</v>
      </c>
      <c r="E83" s="20" t="s">
        <v>674</v>
      </c>
      <c r="F83" s="20" t="s">
        <v>675</v>
      </c>
      <c r="G83" s="8" t="str">
        <f t="shared" si="2"/>
        <v>BARRON PERLA</v>
      </c>
      <c r="H83" s="20" t="str">
        <f t="shared" si="3"/>
        <v>4003</v>
      </c>
    </row>
    <row r="84" spans="1:8" x14ac:dyDescent="0.3">
      <c r="A84" s="8">
        <v>43035.40152777778</v>
      </c>
      <c r="B84" s="20" t="s">
        <v>386</v>
      </c>
      <c r="C84" s="20" t="s">
        <v>717</v>
      </c>
      <c r="D84" s="138">
        <v>1100000</v>
      </c>
      <c r="E84" s="20" t="s">
        <v>515</v>
      </c>
      <c r="F84" s="20" t="s">
        <v>516</v>
      </c>
      <c r="G84" s="8" t="str">
        <f t="shared" si="2"/>
        <v>GEBRETEKLE DAGNEW</v>
      </c>
      <c r="H84" s="20" t="str">
        <f t="shared" si="3"/>
        <v>4008</v>
      </c>
    </row>
    <row r="85" spans="1:8" x14ac:dyDescent="0.3">
      <c r="A85" s="8">
        <v>43035.403391203705</v>
      </c>
      <c r="B85" s="20" t="s">
        <v>629</v>
      </c>
      <c r="C85" s="20" t="s">
        <v>718</v>
      </c>
      <c r="D85" s="138">
        <v>2560000</v>
      </c>
      <c r="E85" s="20" t="s">
        <v>661</v>
      </c>
      <c r="F85" s="20" t="s">
        <v>662</v>
      </c>
      <c r="G85" s="8" t="str">
        <f t="shared" si="2"/>
        <v>MACDONALD THOMAS</v>
      </c>
      <c r="H85" s="20" t="str">
        <f t="shared" si="3"/>
        <v>4013</v>
      </c>
    </row>
    <row r="86" spans="1:8" x14ac:dyDescent="0.3">
      <c r="A86" s="8">
        <v>43035.40552083333</v>
      </c>
      <c r="B86" s="20" t="s">
        <v>492</v>
      </c>
      <c r="C86" s="20" t="s">
        <v>719</v>
      </c>
      <c r="D86" s="138">
        <v>2010000</v>
      </c>
      <c r="E86" s="20" t="s">
        <v>545</v>
      </c>
      <c r="F86" s="20" t="s">
        <v>546</v>
      </c>
      <c r="G86" s="8" t="str">
        <f t="shared" si="2"/>
        <v>MAELZER KURT</v>
      </c>
      <c r="H86" s="20" t="str">
        <f t="shared" si="3"/>
        <v>4035</v>
      </c>
    </row>
    <row r="87" spans="1:8" x14ac:dyDescent="0.3">
      <c r="A87" s="8">
        <v>43035.41065972222</v>
      </c>
      <c r="B87" s="20" t="s">
        <v>368</v>
      </c>
      <c r="C87" s="20" t="s">
        <v>720</v>
      </c>
      <c r="D87" s="138">
        <v>1230000</v>
      </c>
      <c r="E87" s="20" t="s">
        <v>484</v>
      </c>
      <c r="F87" s="20" t="s">
        <v>485</v>
      </c>
      <c r="G87" s="8" t="str">
        <f t="shared" si="2"/>
        <v>YANAI IAN</v>
      </c>
      <c r="H87" s="20" t="str">
        <f t="shared" si="3"/>
        <v>4055</v>
      </c>
    </row>
    <row r="88" spans="1:8" x14ac:dyDescent="0.3">
      <c r="A88" s="8">
        <v>43035.41265046296</v>
      </c>
      <c r="B88" s="20" t="s">
        <v>626</v>
      </c>
      <c r="C88" s="20" t="s">
        <v>721</v>
      </c>
      <c r="D88" s="138">
        <v>1990000</v>
      </c>
      <c r="E88" s="20" t="s">
        <v>402</v>
      </c>
      <c r="F88" s="20" t="s">
        <v>514</v>
      </c>
      <c r="G88" s="8" t="str">
        <f t="shared" si="2"/>
        <v>DAVIS WENDY</v>
      </c>
      <c r="H88" s="20" t="str">
        <f t="shared" si="3"/>
        <v>4052</v>
      </c>
    </row>
    <row r="89" spans="1:8" x14ac:dyDescent="0.3">
      <c r="A89" s="8">
        <v>43035.419641203705</v>
      </c>
      <c r="B89" s="20" t="s">
        <v>637</v>
      </c>
      <c r="C89" s="20" t="s">
        <v>722</v>
      </c>
      <c r="D89" s="138">
        <v>3510000</v>
      </c>
      <c r="E89" s="20" t="s">
        <v>674</v>
      </c>
      <c r="F89" s="20" t="s">
        <v>675</v>
      </c>
      <c r="G89" s="8" t="str">
        <f t="shared" si="2"/>
        <v>BARRON PERLA</v>
      </c>
      <c r="H89" s="20" t="str">
        <f t="shared" si="3"/>
        <v>4004</v>
      </c>
    </row>
    <row r="90" spans="1:8" x14ac:dyDescent="0.3">
      <c r="A90" s="8">
        <v>43035.423368055555</v>
      </c>
      <c r="B90" s="20" t="s">
        <v>396</v>
      </c>
      <c r="C90" s="20" t="s">
        <v>723</v>
      </c>
      <c r="D90" s="138">
        <v>3040000</v>
      </c>
      <c r="E90" s="20" t="s">
        <v>547</v>
      </c>
      <c r="F90" s="20" t="s">
        <v>548</v>
      </c>
      <c r="G90" s="8" t="str">
        <f t="shared" si="2"/>
        <v>WILLIAMS DONTE</v>
      </c>
      <c r="H90" s="20" t="str">
        <f t="shared" si="3"/>
        <v>4018</v>
      </c>
    </row>
    <row r="91" spans="1:8" x14ac:dyDescent="0.3">
      <c r="A91" s="8">
        <v>43035.432268518518</v>
      </c>
      <c r="B91" s="20" t="s">
        <v>398</v>
      </c>
      <c r="C91" s="20" t="s">
        <v>724</v>
      </c>
      <c r="D91" s="138">
        <v>1100000</v>
      </c>
      <c r="E91" s="20" t="s">
        <v>515</v>
      </c>
      <c r="F91" s="20" t="s">
        <v>516</v>
      </c>
      <c r="G91" s="8" t="str">
        <f t="shared" si="2"/>
        <v>GEBRETEKLE DAGNEW</v>
      </c>
      <c r="H91" s="20" t="str">
        <f t="shared" si="3"/>
        <v>4007</v>
      </c>
    </row>
    <row r="92" spans="1:8" x14ac:dyDescent="0.3">
      <c r="A92" s="8">
        <v>43035.432928240742</v>
      </c>
      <c r="B92" s="20" t="s">
        <v>397</v>
      </c>
      <c r="C92" s="20" t="s">
        <v>725</v>
      </c>
      <c r="D92" s="138">
        <v>1780000</v>
      </c>
      <c r="E92" s="20" t="s">
        <v>650</v>
      </c>
      <c r="F92" s="20" t="s">
        <v>651</v>
      </c>
      <c r="G92" s="8" t="str">
        <f t="shared" si="2"/>
        <v>DE LA ROSA ALEX</v>
      </c>
      <c r="H92" s="20" t="str">
        <f t="shared" si="3"/>
        <v>4005</v>
      </c>
    </row>
    <row r="93" spans="1:8" x14ac:dyDescent="0.3">
      <c r="A93" s="8">
        <v>43035.435196759259</v>
      </c>
      <c r="B93" s="20" t="s">
        <v>418</v>
      </c>
      <c r="C93" s="20" t="s">
        <v>726</v>
      </c>
      <c r="D93" s="138">
        <v>2560000</v>
      </c>
      <c r="E93" s="20" t="s">
        <v>661</v>
      </c>
      <c r="F93" s="20" t="s">
        <v>662</v>
      </c>
      <c r="G93" s="8" t="str">
        <f t="shared" si="2"/>
        <v>MACDONALD THOMAS</v>
      </c>
      <c r="H93" s="20" t="str">
        <f t="shared" si="3"/>
        <v>4014</v>
      </c>
    </row>
    <row r="94" spans="1:8" x14ac:dyDescent="0.3">
      <c r="A94" s="8">
        <v>43035.435486111113</v>
      </c>
      <c r="B94" s="20" t="s">
        <v>633</v>
      </c>
      <c r="C94" s="20" t="s">
        <v>727</v>
      </c>
      <c r="D94" s="138">
        <v>3510000</v>
      </c>
      <c r="E94" s="20" t="s">
        <v>674</v>
      </c>
      <c r="F94" s="20" t="s">
        <v>675</v>
      </c>
      <c r="G94" s="8" t="str">
        <f t="shared" si="2"/>
        <v>BARRON PERLA</v>
      </c>
      <c r="H94" s="20" t="str">
        <f t="shared" si="3"/>
        <v>4003</v>
      </c>
    </row>
    <row r="95" spans="1:8" x14ac:dyDescent="0.3">
      <c r="A95" s="8">
        <v>43035.443692129629</v>
      </c>
      <c r="B95" s="20" t="s">
        <v>489</v>
      </c>
      <c r="C95" s="20" t="s">
        <v>728</v>
      </c>
      <c r="D95" s="138">
        <v>2550000</v>
      </c>
      <c r="E95" s="20" t="s">
        <v>549</v>
      </c>
      <c r="F95" s="20" t="s">
        <v>550</v>
      </c>
      <c r="G95" s="8" t="str">
        <f t="shared" si="2"/>
        <v>BADERTSCHER DIANE</v>
      </c>
      <c r="H95" s="20" t="str">
        <f t="shared" si="3"/>
        <v>4036</v>
      </c>
    </row>
    <row r="96" spans="1:8" x14ac:dyDescent="0.3">
      <c r="A96" s="8">
        <v>43035.448819444442</v>
      </c>
      <c r="B96" s="20" t="s">
        <v>511</v>
      </c>
      <c r="C96" s="20" t="s">
        <v>645</v>
      </c>
      <c r="D96" s="138">
        <v>2370000</v>
      </c>
      <c r="E96" s="20" t="s">
        <v>517</v>
      </c>
      <c r="F96" s="20" t="s">
        <v>518</v>
      </c>
      <c r="G96" s="8" t="str">
        <f t="shared" si="2"/>
        <v>DELGADO DIANAH</v>
      </c>
      <c r="H96" s="20" t="str">
        <f t="shared" si="3"/>
        <v>4045</v>
      </c>
    </row>
    <row r="97" spans="1:8" x14ac:dyDescent="0.3">
      <c r="A97" s="8">
        <v>43035.451284722221</v>
      </c>
      <c r="B97" s="20" t="s">
        <v>513</v>
      </c>
      <c r="C97" s="20" t="s">
        <v>729</v>
      </c>
      <c r="D97" s="138">
        <v>1990000</v>
      </c>
      <c r="E97" s="20" t="s">
        <v>402</v>
      </c>
      <c r="F97" s="20" t="s">
        <v>514</v>
      </c>
      <c r="G97" s="8" t="str">
        <f t="shared" si="2"/>
        <v>DAVIS WENDY</v>
      </c>
      <c r="H97" s="20" t="str">
        <f t="shared" si="3"/>
        <v>4051</v>
      </c>
    </row>
    <row r="98" spans="1:8" x14ac:dyDescent="0.3">
      <c r="A98" s="8">
        <v>43035.454247685186</v>
      </c>
      <c r="B98" s="20" t="s">
        <v>670</v>
      </c>
      <c r="C98" s="20" t="s">
        <v>730</v>
      </c>
      <c r="D98" s="138">
        <v>1230000</v>
      </c>
      <c r="E98" s="20" t="s">
        <v>484</v>
      </c>
      <c r="F98" s="20" t="s">
        <v>485</v>
      </c>
      <c r="G98" s="8" t="str">
        <f t="shared" si="2"/>
        <v>YANAI IAN</v>
      </c>
      <c r="H98" s="20" t="str">
        <f t="shared" si="3"/>
        <v>4056</v>
      </c>
    </row>
    <row r="99" spans="1:8" x14ac:dyDescent="0.3">
      <c r="A99" s="8">
        <v>43035.458634259259</v>
      </c>
      <c r="B99" s="20" t="s">
        <v>637</v>
      </c>
      <c r="C99" s="20" t="s">
        <v>731</v>
      </c>
      <c r="D99" s="138">
        <v>3510000</v>
      </c>
      <c r="E99" s="20" t="s">
        <v>674</v>
      </c>
      <c r="F99" s="20" t="s">
        <v>675</v>
      </c>
      <c r="G99" s="8" t="str">
        <f t="shared" si="2"/>
        <v>BARRON PERLA</v>
      </c>
      <c r="H99" s="20" t="str">
        <f t="shared" si="3"/>
        <v>4004</v>
      </c>
    </row>
    <row r="100" spans="1:8" x14ac:dyDescent="0.3">
      <c r="A100" s="8">
        <v>43035.462361111109</v>
      </c>
      <c r="B100" s="20" t="s">
        <v>399</v>
      </c>
      <c r="C100" s="20" t="s">
        <v>732</v>
      </c>
      <c r="D100" s="138">
        <v>3040000</v>
      </c>
      <c r="E100" s="20" t="s">
        <v>547</v>
      </c>
      <c r="F100" s="20" t="s">
        <v>548</v>
      </c>
      <c r="G100" s="8" t="str">
        <f t="shared" si="2"/>
        <v>WILLIAMS DONTE</v>
      </c>
      <c r="H100" s="20" t="str">
        <f t="shared" si="3"/>
        <v>4017</v>
      </c>
    </row>
    <row r="101" spans="1:8" x14ac:dyDescent="0.3">
      <c r="A101" s="8">
        <v>43035.464826388888</v>
      </c>
      <c r="B101" s="20" t="s">
        <v>403</v>
      </c>
      <c r="C101" s="20" t="s">
        <v>733</v>
      </c>
      <c r="D101" s="138">
        <v>2630000</v>
      </c>
      <c r="E101" s="20" t="s">
        <v>734</v>
      </c>
      <c r="F101" s="20" t="s">
        <v>735</v>
      </c>
      <c r="G101" s="8" t="str">
        <f t="shared" si="2"/>
        <v>SAFIEF AEIMEN</v>
      </c>
      <c r="H101" s="20" t="str">
        <f t="shared" si="3"/>
        <v>4006</v>
      </c>
    </row>
    <row r="102" spans="1:8" x14ac:dyDescent="0.3">
      <c r="A102" s="8">
        <v>43035.474097222221</v>
      </c>
      <c r="B102" s="20" t="s">
        <v>629</v>
      </c>
      <c r="C102" s="20" t="s">
        <v>630</v>
      </c>
      <c r="D102" s="138">
        <v>2560000</v>
      </c>
      <c r="E102" s="20" t="s">
        <v>661</v>
      </c>
      <c r="F102" s="20" t="s">
        <v>662</v>
      </c>
      <c r="G102" s="8" t="str">
        <f t="shared" si="2"/>
        <v>MACDONALD THOMAS</v>
      </c>
      <c r="H102" s="20" t="str">
        <f t="shared" si="3"/>
        <v>4013</v>
      </c>
    </row>
    <row r="103" spans="1:8" x14ac:dyDescent="0.3">
      <c r="A103" s="8">
        <v>43035.474293981482</v>
      </c>
      <c r="B103" s="20" t="s">
        <v>483</v>
      </c>
      <c r="C103" s="20" t="s">
        <v>645</v>
      </c>
      <c r="D103" s="138">
        <v>1780000</v>
      </c>
      <c r="E103" s="20" t="s">
        <v>650</v>
      </c>
      <c r="F103" s="20" t="s">
        <v>651</v>
      </c>
      <c r="G103" s="8" t="str">
        <f t="shared" si="2"/>
        <v>DE LA ROSA ALEX</v>
      </c>
      <c r="H103" s="20" t="str">
        <f t="shared" si="3"/>
        <v>4046</v>
      </c>
    </row>
    <row r="104" spans="1:8" x14ac:dyDescent="0.3">
      <c r="A104" s="8">
        <v>43035.4765625</v>
      </c>
      <c r="B104" s="20" t="s">
        <v>386</v>
      </c>
      <c r="C104" s="20" t="s">
        <v>736</v>
      </c>
      <c r="D104" s="138">
        <v>1770000</v>
      </c>
      <c r="E104" s="20" t="s">
        <v>497</v>
      </c>
      <c r="F104" s="20" t="s">
        <v>498</v>
      </c>
      <c r="G104" s="8" t="str">
        <f t="shared" si="2"/>
        <v>BRUDER RICHARD</v>
      </c>
      <c r="H104" s="20" t="str">
        <f t="shared" si="3"/>
        <v>4008</v>
      </c>
    </row>
    <row r="105" spans="1:8" x14ac:dyDescent="0.3">
      <c r="A105" s="8">
        <v>43035.477071759262</v>
      </c>
      <c r="B105" s="20" t="s">
        <v>633</v>
      </c>
      <c r="C105" s="20" t="s">
        <v>737</v>
      </c>
      <c r="D105" s="138">
        <v>3510000</v>
      </c>
      <c r="E105" s="20" t="s">
        <v>674</v>
      </c>
      <c r="F105" s="20" t="s">
        <v>675</v>
      </c>
      <c r="G105" s="8" t="str">
        <f t="shared" si="2"/>
        <v>BARRON PERLA</v>
      </c>
      <c r="H105" s="20" t="str">
        <f t="shared" si="3"/>
        <v>4003</v>
      </c>
    </row>
    <row r="106" spans="1:8" x14ac:dyDescent="0.3">
      <c r="A106" s="8">
        <v>43035.482129629629</v>
      </c>
      <c r="B106" s="20" t="s">
        <v>492</v>
      </c>
      <c r="C106" s="20" t="s">
        <v>738</v>
      </c>
      <c r="D106" s="138">
        <v>2550000</v>
      </c>
      <c r="E106" s="20" t="s">
        <v>549</v>
      </c>
      <c r="F106" s="20" t="s">
        <v>550</v>
      </c>
      <c r="G106" s="8" t="str">
        <f t="shared" si="2"/>
        <v>BADERTSCHER DIANE</v>
      </c>
      <c r="H106" s="20" t="str">
        <f t="shared" si="3"/>
        <v>4035</v>
      </c>
    </row>
    <row r="107" spans="1:8" x14ac:dyDescent="0.3">
      <c r="A107" s="8">
        <v>43035.483020833337</v>
      </c>
      <c r="B107" s="20" t="s">
        <v>417</v>
      </c>
      <c r="C107" s="20" t="s">
        <v>739</v>
      </c>
      <c r="D107" s="138">
        <v>2040000</v>
      </c>
      <c r="E107" s="20" t="s">
        <v>495</v>
      </c>
      <c r="F107" s="20" t="s">
        <v>496</v>
      </c>
      <c r="G107" s="8" t="str">
        <f t="shared" si="2"/>
        <v>MOSES BRADLEY</v>
      </c>
      <c r="H107" s="20" t="str">
        <f t="shared" si="3"/>
        <v>4016</v>
      </c>
    </row>
    <row r="108" spans="1:8" x14ac:dyDescent="0.3">
      <c r="A108" s="8">
        <v>43035.483900462961</v>
      </c>
      <c r="B108" s="20" t="s">
        <v>417</v>
      </c>
      <c r="C108" s="20" t="s">
        <v>739</v>
      </c>
      <c r="D108" s="138">
        <v>2040000</v>
      </c>
      <c r="E108" s="20" t="s">
        <v>495</v>
      </c>
      <c r="F108" s="20" t="s">
        <v>496</v>
      </c>
      <c r="G108" s="8" t="str">
        <f t="shared" si="2"/>
        <v>MOSES BRADLEY</v>
      </c>
      <c r="H108" s="20" t="str">
        <f t="shared" si="3"/>
        <v>4016</v>
      </c>
    </row>
    <row r="109" spans="1:8" x14ac:dyDescent="0.3">
      <c r="A109" s="8">
        <v>43035.485462962963</v>
      </c>
      <c r="B109" s="20" t="s">
        <v>368</v>
      </c>
      <c r="C109" s="20" t="s">
        <v>740</v>
      </c>
      <c r="D109" s="138">
        <v>1230000</v>
      </c>
      <c r="E109" s="20" t="s">
        <v>484</v>
      </c>
      <c r="F109" s="20" t="s">
        <v>485</v>
      </c>
      <c r="G109" s="8" t="str">
        <f t="shared" si="2"/>
        <v>YANAI IAN</v>
      </c>
      <c r="H109" s="20" t="str">
        <f t="shared" si="3"/>
        <v>4055</v>
      </c>
    </row>
    <row r="110" spans="1:8" x14ac:dyDescent="0.3">
      <c r="A110" s="8">
        <v>43035.488333333335</v>
      </c>
      <c r="B110" s="20" t="s">
        <v>544</v>
      </c>
      <c r="C110" s="20" t="s">
        <v>739</v>
      </c>
      <c r="D110" s="138">
        <v>2040000</v>
      </c>
      <c r="E110" s="20" t="s">
        <v>495</v>
      </c>
      <c r="F110" s="20" t="s">
        <v>496</v>
      </c>
      <c r="G110" s="8" t="str">
        <f t="shared" si="2"/>
        <v>MOSES BRADLEY</v>
      </c>
      <c r="H110" s="20" t="str">
        <f t="shared" si="3"/>
        <v>4015</v>
      </c>
    </row>
    <row r="111" spans="1:8" x14ac:dyDescent="0.3">
      <c r="A111" s="8">
        <v>43035.489293981482</v>
      </c>
      <c r="B111" s="20" t="s">
        <v>626</v>
      </c>
      <c r="C111" s="20" t="s">
        <v>631</v>
      </c>
      <c r="D111" s="138">
        <v>1180000</v>
      </c>
      <c r="E111" s="20" t="s">
        <v>390</v>
      </c>
      <c r="F111" s="20" t="s">
        <v>391</v>
      </c>
      <c r="G111" s="8" t="str">
        <f t="shared" si="2"/>
        <v>LEVERE CRAIG</v>
      </c>
      <c r="H111" s="20" t="str">
        <f t="shared" si="3"/>
        <v>4052</v>
      </c>
    </row>
    <row r="112" spans="1:8" x14ac:dyDescent="0.3">
      <c r="A112" s="8">
        <v>43035.497407407405</v>
      </c>
      <c r="B112" s="20" t="s">
        <v>397</v>
      </c>
      <c r="C112" s="20" t="s">
        <v>741</v>
      </c>
      <c r="D112" s="138">
        <v>2630000</v>
      </c>
      <c r="E112" s="20" t="s">
        <v>734</v>
      </c>
      <c r="F112" s="20" t="s">
        <v>735</v>
      </c>
      <c r="G112" s="8" t="str">
        <f t="shared" si="2"/>
        <v>SAFIEF AEIMEN</v>
      </c>
      <c r="H112" s="20" t="str">
        <f t="shared" si="3"/>
        <v>4005</v>
      </c>
    </row>
    <row r="113" spans="1:8" x14ac:dyDescent="0.3">
      <c r="A113" s="8">
        <v>43035.498043981483</v>
      </c>
      <c r="B113" s="20" t="s">
        <v>396</v>
      </c>
      <c r="C113" s="20" t="s">
        <v>742</v>
      </c>
      <c r="D113" s="138">
        <v>3000000</v>
      </c>
      <c r="E113" s="20" t="s">
        <v>493</v>
      </c>
      <c r="F113" s="20" t="s">
        <v>494</v>
      </c>
      <c r="G113" s="8" t="str">
        <f t="shared" si="2"/>
        <v>FORTUNATO FRANK</v>
      </c>
      <c r="H113" s="20" t="str">
        <f t="shared" si="3"/>
        <v>4018</v>
      </c>
    </row>
    <row r="114" spans="1:8" x14ac:dyDescent="0.3">
      <c r="A114" s="8">
        <v>43035.499756944446</v>
      </c>
      <c r="B114" s="20" t="s">
        <v>637</v>
      </c>
      <c r="C114" s="20" t="s">
        <v>743</v>
      </c>
      <c r="D114" s="138">
        <v>3510000</v>
      </c>
      <c r="E114" s="20" t="s">
        <v>674</v>
      </c>
      <c r="F114" s="20" t="s">
        <v>675</v>
      </c>
      <c r="G114" s="8" t="str">
        <f t="shared" si="2"/>
        <v>BARRON PERLA</v>
      </c>
      <c r="H114" s="20" t="str">
        <f t="shared" si="3"/>
        <v>4004</v>
      </c>
    </row>
    <row r="115" spans="1:8" x14ac:dyDescent="0.3">
      <c r="A115" s="8">
        <v>43035.506168981483</v>
      </c>
      <c r="B115" s="20" t="s">
        <v>637</v>
      </c>
      <c r="C115" s="20" t="s">
        <v>743</v>
      </c>
      <c r="D115" s="138">
        <v>3510000</v>
      </c>
      <c r="E115" s="20" t="s">
        <v>674</v>
      </c>
      <c r="F115" s="20" t="s">
        <v>675</v>
      </c>
      <c r="G115" s="8" t="str">
        <f t="shared" si="2"/>
        <v>BARRON PERLA</v>
      </c>
      <c r="H115" s="20" t="str">
        <f t="shared" si="3"/>
        <v>4004</v>
      </c>
    </row>
    <row r="116" spans="1:8" x14ac:dyDescent="0.3">
      <c r="A116" s="8">
        <v>43035.507627314815</v>
      </c>
      <c r="B116" s="20" t="s">
        <v>418</v>
      </c>
      <c r="C116" s="20" t="s">
        <v>744</v>
      </c>
      <c r="D116" s="138">
        <v>1300000</v>
      </c>
      <c r="E116" s="20" t="s">
        <v>392</v>
      </c>
      <c r="F116" s="20" t="s">
        <v>393</v>
      </c>
      <c r="G116" s="8" t="str">
        <f t="shared" si="2"/>
        <v>LEVIN SCOTT</v>
      </c>
      <c r="H116" s="20" t="str">
        <f t="shared" si="3"/>
        <v>4014</v>
      </c>
    </row>
    <row r="117" spans="1:8" x14ac:dyDescent="0.3">
      <c r="A117" s="8">
        <v>43035.516574074078</v>
      </c>
      <c r="B117" s="20" t="s">
        <v>398</v>
      </c>
      <c r="C117" s="20" t="s">
        <v>745</v>
      </c>
      <c r="D117" s="138">
        <v>1770000</v>
      </c>
      <c r="E117" s="20" t="s">
        <v>497</v>
      </c>
      <c r="F117" s="20" t="s">
        <v>498</v>
      </c>
      <c r="G117" s="8" t="str">
        <f t="shared" si="2"/>
        <v>BRUDER RICHARD</v>
      </c>
      <c r="H117" s="20" t="str">
        <f t="shared" si="3"/>
        <v>4007</v>
      </c>
    </row>
    <row r="118" spans="1:8" x14ac:dyDescent="0.3">
      <c r="A118" s="8">
        <v>43035.517604166664</v>
      </c>
      <c r="B118" s="20" t="s">
        <v>489</v>
      </c>
      <c r="C118" s="20" t="s">
        <v>746</v>
      </c>
      <c r="D118" s="138">
        <v>2550000</v>
      </c>
      <c r="E118" s="20" t="s">
        <v>549</v>
      </c>
      <c r="F118" s="20" t="s">
        <v>550</v>
      </c>
      <c r="G118" s="8" t="str">
        <f t="shared" si="2"/>
        <v>BADERTSCHER DIANE</v>
      </c>
      <c r="H118" s="20" t="str">
        <f t="shared" si="3"/>
        <v>4036</v>
      </c>
    </row>
    <row r="119" spans="1:8" x14ac:dyDescent="0.3">
      <c r="A119" s="8">
        <v>43035.519178240742</v>
      </c>
      <c r="B119" s="20" t="s">
        <v>633</v>
      </c>
      <c r="C119" s="20" t="s">
        <v>747</v>
      </c>
      <c r="D119" s="138">
        <v>3510000</v>
      </c>
      <c r="E119" s="20" t="s">
        <v>674</v>
      </c>
      <c r="F119" s="20" t="s">
        <v>675</v>
      </c>
      <c r="G119" s="8" t="str">
        <f t="shared" si="2"/>
        <v>BARRON PERLA</v>
      </c>
      <c r="H119" s="20" t="str">
        <f t="shared" si="3"/>
        <v>4003</v>
      </c>
    </row>
    <row r="120" spans="1:8" x14ac:dyDescent="0.3">
      <c r="A120" s="8">
        <v>43035.52579861111</v>
      </c>
      <c r="B120" s="20" t="s">
        <v>513</v>
      </c>
      <c r="C120" s="20" t="s">
        <v>748</v>
      </c>
      <c r="D120" s="138">
        <v>1180000</v>
      </c>
      <c r="E120" s="20" t="s">
        <v>390</v>
      </c>
      <c r="F120" s="20" t="s">
        <v>391</v>
      </c>
      <c r="G120" s="8" t="str">
        <f t="shared" si="2"/>
        <v>LEVERE CRAIG</v>
      </c>
      <c r="H120" s="20" t="str">
        <f t="shared" si="3"/>
        <v>4051</v>
      </c>
    </row>
    <row r="121" spans="1:8" x14ac:dyDescent="0.3">
      <c r="A121" s="8">
        <v>43035.527754629627</v>
      </c>
      <c r="B121" s="20" t="s">
        <v>399</v>
      </c>
      <c r="C121" s="20" t="s">
        <v>749</v>
      </c>
      <c r="D121" s="138">
        <v>3000000</v>
      </c>
      <c r="E121" s="20" t="s">
        <v>493</v>
      </c>
      <c r="F121" s="20" t="s">
        <v>494</v>
      </c>
      <c r="G121" s="8" t="str">
        <f t="shared" si="2"/>
        <v>FORTUNATO FRANK</v>
      </c>
      <c r="H121" s="20" t="str">
        <f t="shared" si="3"/>
        <v>4017</v>
      </c>
    </row>
    <row r="122" spans="1:8" x14ac:dyDescent="0.3">
      <c r="A122" s="8">
        <v>43035.528749999998</v>
      </c>
      <c r="B122" s="25" t="s">
        <v>670</v>
      </c>
      <c r="C122" s="20" t="s">
        <v>750</v>
      </c>
      <c r="D122" s="138">
        <v>2420000</v>
      </c>
      <c r="E122" s="20" t="s">
        <v>406</v>
      </c>
      <c r="F122" s="20" t="s">
        <v>407</v>
      </c>
      <c r="G122" s="8" t="str">
        <f t="shared" si="2"/>
        <v>HOLCOMB KAMDEN</v>
      </c>
      <c r="H122" s="20" t="str">
        <f t="shared" si="3"/>
        <v>4056</v>
      </c>
    </row>
    <row r="123" spans="1:8" x14ac:dyDescent="0.3">
      <c r="A123" s="8">
        <v>43035.540277777778</v>
      </c>
      <c r="B123" s="20" t="s">
        <v>403</v>
      </c>
      <c r="C123" s="20" t="s">
        <v>751</v>
      </c>
      <c r="D123" s="138">
        <v>3330000</v>
      </c>
      <c r="E123" s="20" t="s">
        <v>752</v>
      </c>
      <c r="F123" s="20" t="s">
        <v>753</v>
      </c>
      <c r="G123" s="8" t="str">
        <f t="shared" si="2"/>
        <v>GONZALEZ ARMANDO</v>
      </c>
      <c r="H123" s="20" t="str">
        <f t="shared" si="3"/>
        <v>4006</v>
      </c>
    </row>
    <row r="124" spans="1:8" x14ac:dyDescent="0.3">
      <c r="A124" s="8">
        <v>43035.541608796295</v>
      </c>
      <c r="B124" s="20" t="s">
        <v>637</v>
      </c>
      <c r="C124" s="20" t="s">
        <v>754</v>
      </c>
      <c r="D124" s="138">
        <v>2350000</v>
      </c>
      <c r="E124" s="20" t="s">
        <v>404</v>
      </c>
      <c r="F124" s="20" t="s">
        <v>405</v>
      </c>
      <c r="G124" s="8" t="str">
        <f t="shared" si="2"/>
        <v>BERLING GARY</v>
      </c>
      <c r="H124" s="20" t="str">
        <f t="shared" si="3"/>
        <v>4004</v>
      </c>
    </row>
    <row r="125" spans="1:8" x14ac:dyDescent="0.3">
      <c r="A125" s="8">
        <v>43035.547395833331</v>
      </c>
      <c r="B125" s="20" t="s">
        <v>386</v>
      </c>
      <c r="C125" s="20" t="s">
        <v>755</v>
      </c>
      <c r="D125" s="138">
        <v>1770000</v>
      </c>
      <c r="E125" s="20" t="s">
        <v>497</v>
      </c>
      <c r="F125" s="20" t="s">
        <v>498</v>
      </c>
      <c r="G125" s="8" t="str">
        <f t="shared" si="2"/>
        <v>BRUDER RICHARD</v>
      </c>
      <c r="H125" s="20" t="str">
        <f t="shared" si="3"/>
        <v>4008</v>
      </c>
    </row>
    <row r="126" spans="1:8" x14ac:dyDescent="0.3">
      <c r="A126" s="8">
        <v>43035.547638888886</v>
      </c>
      <c r="B126" s="20" t="s">
        <v>629</v>
      </c>
      <c r="C126" s="20" t="s">
        <v>756</v>
      </c>
      <c r="D126" s="138">
        <v>1300000</v>
      </c>
      <c r="E126" s="20" t="s">
        <v>392</v>
      </c>
      <c r="F126" s="20" t="s">
        <v>393</v>
      </c>
      <c r="G126" s="8" t="str">
        <f t="shared" si="2"/>
        <v>LEVIN SCOTT</v>
      </c>
      <c r="H126" s="20" t="str">
        <f t="shared" si="3"/>
        <v>4013</v>
      </c>
    </row>
    <row r="127" spans="1:8" x14ac:dyDescent="0.3">
      <c r="A127" s="8">
        <v>43035.556122685186</v>
      </c>
      <c r="B127" s="20" t="s">
        <v>492</v>
      </c>
      <c r="C127" s="20" t="s">
        <v>632</v>
      </c>
      <c r="D127" s="138">
        <v>2550000</v>
      </c>
      <c r="E127" s="20" t="s">
        <v>549</v>
      </c>
      <c r="F127" s="20" t="s">
        <v>550</v>
      </c>
      <c r="G127" s="8" t="str">
        <f t="shared" si="2"/>
        <v>BADERTSCHER DIANE</v>
      </c>
      <c r="H127" s="20" t="str">
        <f t="shared" si="3"/>
        <v>4035</v>
      </c>
    </row>
    <row r="128" spans="1:8" x14ac:dyDescent="0.3">
      <c r="A128" s="8">
        <v>43035.559872685182</v>
      </c>
      <c r="B128" s="20" t="s">
        <v>626</v>
      </c>
      <c r="C128" s="20" t="s">
        <v>757</v>
      </c>
      <c r="D128" s="138">
        <v>1180000</v>
      </c>
      <c r="E128" s="20" t="s">
        <v>390</v>
      </c>
      <c r="F128" s="20" t="s">
        <v>391</v>
      </c>
      <c r="G128" s="8" t="str">
        <f t="shared" si="2"/>
        <v>LEVERE CRAIG</v>
      </c>
      <c r="H128" s="20" t="str">
        <f t="shared" si="3"/>
        <v>4052</v>
      </c>
    </row>
    <row r="129" spans="1:8" x14ac:dyDescent="0.3">
      <c r="A129" s="8">
        <v>43035.561840277776</v>
      </c>
      <c r="B129" s="20" t="s">
        <v>633</v>
      </c>
      <c r="C129" s="20" t="s">
        <v>758</v>
      </c>
      <c r="D129" s="138">
        <v>2350000</v>
      </c>
      <c r="E129" s="20" t="s">
        <v>404</v>
      </c>
      <c r="F129" s="20" t="s">
        <v>405</v>
      </c>
      <c r="G129" s="8" t="str">
        <f t="shared" si="2"/>
        <v>BERLING GARY</v>
      </c>
      <c r="H129" s="20" t="str">
        <f t="shared" si="3"/>
        <v>4003</v>
      </c>
    </row>
    <row r="130" spans="1:8" x14ac:dyDescent="0.3">
      <c r="A130" s="8">
        <v>43035.568483796298</v>
      </c>
      <c r="B130" s="20" t="s">
        <v>396</v>
      </c>
      <c r="C130" s="20" t="s">
        <v>759</v>
      </c>
      <c r="D130" s="138">
        <v>1760000</v>
      </c>
      <c r="E130" s="20" t="s">
        <v>490</v>
      </c>
      <c r="F130" s="20" t="s">
        <v>491</v>
      </c>
      <c r="G130" s="8" t="str">
        <f t="shared" si="2"/>
        <v>STRICKLAND EVAN</v>
      </c>
      <c r="H130" s="20" t="str">
        <f t="shared" si="3"/>
        <v>4018</v>
      </c>
    </row>
    <row r="131" spans="1:8" x14ac:dyDescent="0.3">
      <c r="A131" s="8">
        <v>43035.568958333337</v>
      </c>
      <c r="B131" s="20" t="s">
        <v>368</v>
      </c>
      <c r="C131" s="20" t="s">
        <v>760</v>
      </c>
      <c r="D131" s="138">
        <v>2420000</v>
      </c>
      <c r="E131" s="20" t="s">
        <v>406</v>
      </c>
      <c r="F131" s="20" t="s">
        <v>407</v>
      </c>
      <c r="G131" s="8" t="str">
        <f t="shared" ref="G131:G194" si="4">E131&amp;" "&amp;F131</f>
        <v>HOLCOMB KAMDEN</v>
      </c>
      <c r="H131" s="20" t="str">
        <f t="shared" ref="H131:H194" si="5">MID(B131,13,4)</f>
        <v>4055</v>
      </c>
    </row>
    <row r="132" spans="1:8" x14ac:dyDescent="0.3">
      <c r="A132" s="8">
        <v>43035.576504629629</v>
      </c>
      <c r="B132" s="20" t="s">
        <v>397</v>
      </c>
      <c r="C132" s="20" t="s">
        <v>761</v>
      </c>
      <c r="D132" s="138">
        <v>3330000</v>
      </c>
      <c r="E132" s="20" t="s">
        <v>752</v>
      </c>
      <c r="F132" s="20" t="s">
        <v>753</v>
      </c>
      <c r="G132" s="8" t="str">
        <f t="shared" si="4"/>
        <v>GONZALEZ ARMANDO</v>
      </c>
      <c r="H132" s="20" t="str">
        <f t="shared" si="5"/>
        <v>4005</v>
      </c>
    </row>
    <row r="133" spans="1:8" x14ac:dyDescent="0.3">
      <c r="A133" s="8">
        <v>43035.581041666665</v>
      </c>
      <c r="B133" s="20" t="s">
        <v>418</v>
      </c>
      <c r="C133" s="20" t="s">
        <v>762</v>
      </c>
      <c r="D133" s="138">
        <v>1300000</v>
      </c>
      <c r="E133" s="20" t="s">
        <v>392</v>
      </c>
      <c r="F133" s="20" t="s">
        <v>393</v>
      </c>
      <c r="G133" s="8" t="str">
        <f t="shared" si="4"/>
        <v>LEVIN SCOTT</v>
      </c>
      <c r="H133" s="20" t="str">
        <f t="shared" si="5"/>
        <v>4014</v>
      </c>
    </row>
    <row r="134" spans="1:8" x14ac:dyDescent="0.3">
      <c r="A134" s="8">
        <v>43035.588854166665</v>
      </c>
      <c r="B134" s="20" t="s">
        <v>398</v>
      </c>
      <c r="C134" s="20" t="s">
        <v>763</v>
      </c>
      <c r="D134" s="138">
        <v>1770000</v>
      </c>
      <c r="E134" s="20" t="s">
        <v>497</v>
      </c>
      <c r="F134" s="20" t="s">
        <v>498</v>
      </c>
      <c r="G134" s="8" t="str">
        <f t="shared" si="4"/>
        <v>BRUDER RICHARD</v>
      </c>
      <c r="H134" s="20" t="str">
        <f t="shared" si="5"/>
        <v>4007</v>
      </c>
    </row>
    <row r="135" spans="1:8" x14ac:dyDescent="0.3">
      <c r="A135" s="8">
        <v>43035.589166666665</v>
      </c>
      <c r="B135" s="20" t="s">
        <v>637</v>
      </c>
      <c r="C135" s="20" t="s">
        <v>764</v>
      </c>
      <c r="D135" s="138">
        <v>2350000</v>
      </c>
      <c r="E135" s="20" t="s">
        <v>404</v>
      </c>
      <c r="F135" s="20" t="s">
        <v>405</v>
      </c>
      <c r="G135" s="8" t="str">
        <f t="shared" si="4"/>
        <v>BERLING GARY</v>
      </c>
      <c r="H135" s="20" t="str">
        <f t="shared" si="5"/>
        <v>4004</v>
      </c>
    </row>
    <row r="136" spans="1:8" x14ac:dyDescent="0.3">
      <c r="A136" s="8">
        <v>43035.591608796298</v>
      </c>
      <c r="B136" s="20" t="s">
        <v>489</v>
      </c>
      <c r="C136" s="20" t="s">
        <v>765</v>
      </c>
      <c r="D136" s="138">
        <v>2550000</v>
      </c>
      <c r="E136" s="20" t="s">
        <v>549</v>
      </c>
      <c r="F136" s="20" t="s">
        <v>550</v>
      </c>
      <c r="G136" s="8" t="str">
        <f t="shared" si="4"/>
        <v>BADERTSCHER DIANE</v>
      </c>
      <c r="H136" s="20" t="str">
        <f t="shared" si="5"/>
        <v>4036</v>
      </c>
    </row>
    <row r="137" spans="1:8" x14ac:dyDescent="0.3">
      <c r="A137" s="8">
        <v>43035.597407407404</v>
      </c>
      <c r="B137" s="20" t="s">
        <v>513</v>
      </c>
      <c r="C137" s="20" t="s">
        <v>766</v>
      </c>
      <c r="D137" s="138">
        <v>1180000</v>
      </c>
      <c r="E137" s="20" t="s">
        <v>390</v>
      </c>
      <c r="F137" s="20" t="s">
        <v>391</v>
      </c>
      <c r="G137" s="8" t="str">
        <f t="shared" si="4"/>
        <v>LEVERE CRAIG</v>
      </c>
      <c r="H137" s="20" t="str">
        <f t="shared" si="5"/>
        <v>4051</v>
      </c>
    </row>
    <row r="138" spans="1:8" x14ac:dyDescent="0.3">
      <c r="A138" s="8">
        <v>43035.600138888891</v>
      </c>
      <c r="B138" s="20" t="s">
        <v>670</v>
      </c>
      <c r="C138" s="20" t="s">
        <v>767</v>
      </c>
      <c r="D138" s="138">
        <v>2420000</v>
      </c>
      <c r="E138" s="20" t="s">
        <v>406</v>
      </c>
      <c r="F138" s="20" t="s">
        <v>407</v>
      </c>
      <c r="G138" s="8" t="str">
        <f t="shared" si="4"/>
        <v>HOLCOMB KAMDEN</v>
      </c>
      <c r="H138" s="20" t="str">
        <f t="shared" si="5"/>
        <v>4056</v>
      </c>
    </row>
    <row r="139" spans="1:8" x14ac:dyDescent="0.3">
      <c r="A139" s="8">
        <v>43035.601412037038</v>
      </c>
      <c r="B139" s="20" t="s">
        <v>399</v>
      </c>
      <c r="C139" s="20" t="s">
        <v>768</v>
      </c>
      <c r="D139" s="138">
        <v>1760000</v>
      </c>
      <c r="E139" s="20" t="s">
        <v>490</v>
      </c>
      <c r="F139" s="20" t="s">
        <v>491</v>
      </c>
      <c r="G139" s="8" t="str">
        <f t="shared" si="4"/>
        <v>STRICKLAND EVAN</v>
      </c>
      <c r="H139" s="20" t="str">
        <f t="shared" si="5"/>
        <v>4017</v>
      </c>
    </row>
    <row r="140" spans="1:8" x14ac:dyDescent="0.3">
      <c r="A140" s="8">
        <v>43035.601770833331</v>
      </c>
      <c r="B140" s="20" t="s">
        <v>633</v>
      </c>
      <c r="C140" s="20" t="s">
        <v>769</v>
      </c>
      <c r="D140" s="138">
        <v>2350000</v>
      </c>
      <c r="E140" s="20" t="s">
        <v>404</v>
      </c>
      <c r="F140" s="20" t="s">
        <v>405</v>
      </c>
      <c r="G140" s="8" t="str">
        <f t="shared" si="4"/>
        <v>BERLING GARY</v>
      </c>
      <c r="H140" s="20" t="str">
        <f t="shared" si="5"/>
        <v>4003</v>
      </c>
    </row>
    <row r="141" spans="1:8" x14ac:dyDescent="0.3">
      <c r="A141" s="8">
        <v>43035.610451388886</v>
      </c>
      <c r="B141" s="20" t="s">
        <v>403</v>
      </c>
      <c r="C141" s="20" t="s">
        <v>770</v>
      </c>
      <c r="D141" s="138">
        <v>2630000</v>
      </c>
      <c r="E141" s="20" t="s">
        <v>734</v>
      </c>
      <c r="F141" s="20" t="s">
        <v>735</v>
      </c>
      <c r="G141" s="8" t="str">
        <f t="shared" si="4"/>
        <v>SAFIEF AEIMEN</v>
      </c>
      <c r="H141" s="20" t="str">
        <f t="shared" si="5"/>
        <v>4006</v>
      </c>
    </row>
    <row r="142" spans="1:8" x14ac:dyDescent="0.3">
      <c r="A142" s="8">
        <v>43035.615810185183</v>
      </c>
      <c r="B142" s="20" t="s">
        <v>629</v>
      </c>
      <c r="C142" s="20" t="s">
        <v>771</v>
      </c>
      <c r="D142" s="138">
        <v>1300000</v>
      </c>
      <c r="E142" s="20" t="s">
        <v>392</v>
      </c>
      <c r="F142" s="20" t="s">
        <v>393</v>
      </c>
      <c r="G142" s="8" t="str">
        <f t="shared" si="4"/>
        <v>LEVIN SCOTT</v>
      </c>
      <c r="H142" s="20" t="str">
        <f t="shared" si="5"/>
        <v>4013</v>
      </c>
    </row>
    <row r="143" spans="1:8" x14ac:dyDescent="0.3">
      <c r="A143" s="8">
        <v>43035.62027777778</v>
      </c>
      <c r="B143" s="20" t="s">
        <v>386</v>
      </c>
      <c r="C143" s="20" t="s">
        <v>772</v>
      </c>
      <c r="D143" s="138">
        <v>1770000</v>
      </c>
      <c r="E143" s="20" t="s">
        <v>497</v>
      </c>
      <c r="F143" s="20" t="s">
        <v>498</v>
      </c>
      <c r="G143" s="8" t="str">
        <f t="shared" si="4"/>
        <v>BRUDER RICHARD</v>
      </c>
      <c r="H143" s="20" t="str">
        <f t="shared" si="5"/>
        <v>4008</v>
      </c>
    </row>
    <row r="144" spans="1:8" x14ac:dyDescent="0.3">
      <c r="A144" s="8">
        <v>43035.623101851852</v>
      </c>
      <c r="B144" s="20" t="s">
        <v>399</v>
      </c>
      <c r="C144" s="20" t="s">
        <v>768</v>
      </c>
      <c r="D144" s="138">
        <v>1760000</v>
      </c>
      <c r="E144" s="20" t="s">
        <v>490</v>
      </c>
      <c r="F144" s="20" t="s">
        <v>491</v>
      </c>
      <c r="G144" s="8" t="str">
        <f t="shared" si="4"/>
        <v>STRICKLAND EVAN</v>
      </c>
      <c r="H144" s="20" t="str">
        <f t="shared" si="5"/>
        <v>4017</v>
      </c>
    </row>
    <row r="145" spans="1:8" x14ac:dyDescent="0.3">
      <c r="A145" s="8">
        <v>43035.626840277779</v>
      </c>
      <c r="B145" s="20" t="s">
        <v>637</v>
      </c>
      <c r="C145" s="20" t="s">
        <v>773</v>
      </c>
      <c r="D145" s="138">
        <v>2350000</v>
      </c>
      <c r="E145" s="20" t="s">
        <v>404</v>
      </c>
      <c r="F145" s="20" t="s">
        <v>405</v>
      </c>
      <c r="G145" s="8" t="str">
        <f t="shared" si="4"/>
        <v>BERLING GARY</v>
      </c>
      <c r="H145" s="20" t="str">
        <f t="shared" si="5"/>
        <v>4004</v>
      </c>
    </row>
    <row r="146" spans="1:8" x14ac:dyDescent="0.3">
      <c r="A146" s="8">
        <v>43035.631874999999</v>
      </c>
      <c r="B146" s="20" t="s">
        <v>492</v>
      </c>
      <c r="C146" s="20" t="s">
        <v>774</v>
      </c>
      <c r="D146" s="138">
        <v>2550000</v>
      </c>
      <c r="E146" s="20" t="s">
        <v>549</v>
      </c>
      <c r="F146" s="20" t="s">
        <v>550</v>
      </c>
      <c r="G146" s="8" t="str">
        <f t="shared" si="4"/>
        <v>BADERTSCHER DIANE</v>
      </c>
      <c r="H146" s="20" t="str">
        <f t="shared" si="5"/>
        <v>4035</v>
      </c>
    </row>
    <row r="147" spans="1:8" x14ac:dyDescent="0.3">
      <c r="A147" s="8">
        <v>43035.6328587963</v>
      </c>
      <c r="B147" s="20" t="s">
        <v>510</v>
      </c>
      <c r="C147" s="20" t="s">
        <v>775</v>
      </c>
      <c r="D147" s="138">
        <v>2230000</v>
      </c>
      <c r="E147" s="20" t="s">
        <v>776</v>
      </c>
      <c r="F147" s="20" t="s">
        <v>369</v>
      </c>
      <c r="G147" s="8" t="str">
        <f t="shared" si="4"/>
        <v>SMITH MICHAEL</v>
      </c>
      <c r="H147" s="20" t="str">
        <f t="shared" si="5"/>
        <v>4029</v>
      </c>
    </row>
    <row r="148" spans="1:8" x14ac:dyDescent="0.3">
      <c r="A148" s="8">
        <v>43035.633090277777</v>
      </c>
      <c r="B148" s="20" t="s">
        <v>626</v>
      </c>
      <c r="C148" s="20" t="s">
        <v>777</v>
      </c>
      <c r="D148" s="138">
        <v>1180000</v>
      </c>
      <c r="E148" s="20" t="s">
        <v>390</v>
      </c>
      <c r="F148" s="20" t="s">
        <v>391</v>
      </c>
      <c r="G148" s="8" t="str">
        <f t="shared" si="4"/>
        <v>LEVERE CRAIG</v>
      </c>
      <c r="H148" s="20" t="str">
        <f t="shared" si="5"/>
        <v>4052</v>
      </c>
    </row>
    <row r="149" spans="1:8" x14ac:dyDescent="0.3">
      <c r="A149" s="8">
        <v>43035.637615740743</v>
      </c>
      <c r="B149" s="20" t="s">
        <v>368</v>
      </c>
      <c r="C149" s="20" t="s">
        <v>778</v>
      </c>
      <c r="D149" s="138">
        <v>2420000</v>
      </c>
      <c r="E149" s="20" t="s">
        <v>406</v>
      </c>
      <c r="F149" s="20" t="s">
        <v>407</v>
      </c>
      <c r="G149" s="8" t="str">
        <f t="shared" si="4"/>
        <v>HOLCOMB KAMDEN</v>
      </c>
      <c r="H149" s="20" t="str">
        <f t="shared" si="5"/>
        <v>4055</v>
      </c>
    </row>
    <row r="150" spans="1:8" x14ac:dyDescent="0.3">
      <c r="A150" s="8">
        <v>43035.642974537041</v>
      </c>
      <c r="B150" s="20" t="s">
        <v>397</v>
      </c>
      <c r="C150" s="20" t="s">
        <v>779</v>
      </c>
      <c r="D150" s="138">
        <v>2630000</v>
      </c>
      <c r="E150" s="20" t="s">
        <v>734</v>
      </c>
      <c r="F150" s="20" t="s">
        <v>735</v>
      </c>
      <c r="G150" s="8" t="str">
        <f t="shared" si="4"/>
        <v>SAFIEF AEIMEN</v>
      </c>
      <c r="H150" s="20" t="str">
        <f t="shared" si="5"/>
        <v>4005</v>
      </c>
    </row>
    <row r="151" spans="1:8" x14ac:dyDescent="0.3">
      <c r="A151" s="8">
        <v>43035.643136574072</v>
      </c>
      <c r="B151" s="20" t="s">
        <v>396</v>
      </c>
      <c r="C151" s="20" t="s">
        <v>780</v>
      </c>
      <c r="D151" s="138">
        <v>1760000</v>
      </c>
      <c r="E151" s="20" t="s">
        <v>490</v>
      </c>
      <c r="F151" s="20" t="s">
        <v>491</v>
      </c>
      <c r="G151" s="8" t="str">
        <f t="shared" si="4"/>
        <v>STRICKLAND EVAN</v>
      </c>
      <c r="H151" s="20" t="str">
        <f t="shared" si="5"/>
        <v>4018</v>
      </c>
    </row>
    <row r="152" spans="1:8" x14ac:dyDescent="0.3">
      <c r="A152" s="8">
        <v>43035.643148148149</v>
      </c>
      <c r="B152" s="20" t="s">
        <v>512</v>
      </c>
      <c r="C152" s="20" t="s">
        <v>781</v>
      </c>
      <c r="D152" s="138">
        <v>2230000</v>
      </c>
      <c r="E152" s="20" t="s">
        <v>776</v>
      </c>
      <c r="F152" s="20" t="s">
        <v>369</v>
      </c>
      <c r="G152" s="8" t="str">
        <f t="shared" si="4"/>
        <v>SMITH MICHAEL</v>
      </c>
      <c r="H152" s="20" t="str">
        <f t="shared" si="5"/>
        <v>4030</v>
      </c>
    </row>
    <row r="153" spans="1:8" x14ac:dyDescent="0.3">
      <c r="A153" s="8">
        <v>43035.643263888887</v>
      </c>
      <c r="B153" s="20" t="s">
        <v>633</v>
      </c>
      <c r="C153" s="20" t="s">
        <v>782</v>
      </c>
      <c r="D153" s="138">
        <v>2350000</v>
      </c>
      <c r="E153" s="20" t="s">
        <v>404</v>
      </c>
      <c r="F153" s="20" t="s">
        <v>405</v>
      </c>
      <c r="G153" s="8" t="str">
        <f t="shared" si="4"/>
        <v>BERLING GARY</v>
      </c>
      <c r="H153" s="20" t="str">
        <f t="shared" si="5"/>
        <v>4003</v>
      </c>
    </row>
    <row r="154" spans="1:8" x14ac:dyDescent="0.3">
      <c r="A154" s="8">
        <v>43035.654479166667</v>
      </c>
      <c r="B154" s="20" t="s">
        <v>418</v>
      </c>
      <c r="C154" s="20" t="s">
        <v>783</v>
      </c>
      <c r="D154" s="138">
        <v>1300000</v>
      </c>
      <c r="E154" s="20" t="s">
        <v>392</v>
      </c>
      <c r="F154" s="20" t="s">
        <v>393</v>
      </c>
      <c r="G154" s="8" t="str">
        <f t="shared" si="4"/>
        <v>LEVIN SCOTT</v>
      </c>
      <c r="H154" s="20" t="str">
        <f t="shared" si="5"/>
        <v>4014</v>
      </c>
    </row>
    <row r="155" spans="1:8" x14ac:dyDescent="0.3">
      <c r="A155" s="8">
        <v>43035.662083333336</v>
      </c>
      <c r="B155" s="20" t="s">
        <v>398</v>
      </c>
      <c r="C155" s="20" t="s">
        <v>784</v>
      </c>
      <c r="D155" s="138">
        <v>1770000</v>
      </c>
      <c r="E155" s="20" t="s">
        <v>497</v>
      </c>
      <c r="F155" s="20" t="s">
        <v>498</v>
      </c>
      <c r="G155" s="8" t="str">
        <f t="shared" si="4"/>
        <v>BRUDER RICHARD</v>
      </c>
      <c r="H155" s="20" t="str">
        <f t="shared" si="5"/>
        <v>4007</v>
      </c>
    </row>
    <row r="156" spans="1:8" x14ac:dyDescent="0.3">
      <c r="A156" s="8">
        <v>43035.662997685184</v>
      </c>
      <c r="B156" s="20" t="s">
        <v>489</v>
      </c>
      <c r="C156" s="20" t="s">
        <v>785</v>
      </c>
      <c r="D156" s="138">
        <v>2550000</v>
      </c>
      <c r="E156" s="20" t="s">
        <v>549</v>
      </c>
      <c r="F156" s="20" t="s">
        <v>550</v>
      </c>
      <c r="G156" s="8" t="str">
        <f t="shared" si="4"/>
        <v>BADERTSCHER DIANE</v>
      </c>
      <c r="H156" s="20" t="str">
        <f t="shared" si="5"/>
        <v>4036</v>
      </c>
    </row>
    <row r="157" spans="1:8" x14ac:dyDescent="0.3">
      <c r="A157" s="8">
        <v>43035.665555555555</v>
      </c>
      <c r="B157" s="20" t="s">
        <v>510</v>
      </c>
      <c r="C157" s="20" t="s">
        <v>786</v>
      </c>
      <c r="D157" s="138">
        <v>2230000</v>
      </c>
      <c r="E157" s="20" t="s">
        <v>776</v>
      </c>
      <c r="F157" s="20" t="s">
        <v>369</v>
      </c>
      <c r="G157" s="8" t="str">
        <f t="shared" si="4"/>
        <v>SMITH MICHAEL</v>
      </c>
      <c r="H157" s="20" t="str">
        <f t="shared" si="5"/>
        <v>4029</v>
      </c>
    </row>
    <row r="158" spans="1:8" x14ac:dyDescent="0.3">
      <c r="A158" s="8">
        <v>43035.670787037037</v>
      </c>
      <c r="B158" s="20" t="s">
        <v>513</v>
      </c>
      <c r="C158" s="20" t="s">
        <v>787</v>
      </c>
      <c r="D158" s="138">
        <v>1180000</v>
      </c>
      <c r="E158" s="20" t="s">
        <v>390</v>
      </c>
      <c r="F158" s="20" t="s">
        <v>391</v>
      </c>
      <c r="G158" s="8" t="str">
        <f t="shared" si="4"/>
        <v>LEVERE CRAIG</v>
      </c>
      <c r="H158" s="20" t="str">
        <f t="shared" si="5"/>
        <v>4051</v>
      </c>
    </row>
    <row r="159" spans="1:8" x14ac:dyDescent="0.3">
      <c r="A159" s="8">
        <v>43035.67114583333</v>
      </c>
      <c r="B159" s="20" t="s">
        <v>637</v>
      </c>
      <c r="C159" s="20" t="s">
        <v>788</v>
      </c>
      <c r="D159" s="138">
        <v>2350000</v>
      </c>
      <c r="E159" s="20" t="s">
        <v>404</v>
      </c>
      <c r="F159" s="20" t="s">
        <v>405</v>
      </c>
      <c r="G159" s="8" t="str">
        <f t="shared" si="4"/>
        <v>BERLING GARY</v>
      </c>
      <c r="H159" s="20" t="str">
        <f t="shared" si="5"/>
        <v>4004</v>
      </c>
    </row>
    <row r="160" spans="1:8" x14ac:dyDescent="0.3">
      <c r="A160" s="8">
        <v>43035.67255787037</v>
      </c>
      <c r="B160" s="20" t="s">
        <v>670</v>
      </c>
      <c r="C160" s="20" t="s">
        <v>789</v>
      </c>
      <c r="D160" s="138">
        <v>2420000</v>
      </c>
      <c r="E160" s="20" t="s">
        <v>406</v>
      </c>
      <c r="F160" s="20" t="s">
        <v>407</v>
      </c>
      <c r="G160" s="8" t="str">
        <f t="shared" si="4"/>
        <v>HOLCOMB KAMDEN</v>
      </c>
      <c r="H160" s="20" t="str">
        <f t="shared" si="5"/>
        <v>4056</v>
      </c>
    </row>
    <row r="161" spans="1:8" x14ac:dyDescent="0.3">
      <c r="A161" s="8">
        <v>43035.681493055556</v>
      </c>
      <c r="B161" s="20" t="s">
        <v>399</v>
      </c>
      <c r="C161" s="20" t="s">
        <v>790</v>
      </c>
      <c r="D161" s="138">
        <v>1760000</v>
      </c>
      <c r="E161" s="20" t="s">
        <v>490</v>
      </c>
      <c r="F161" s="20" t="s">
        <v>491</v>
      </c>
      <c r="G161" s="8" t="str">
        <f t="shared" si="4"/>
        <v>STRICKLAND EVAN</v>
      </c>
      <c r="H161" s="20" t="str">
        <f t="shared" si="5"/>
        <v>4017</v>
      </c>
    </row>
    <row r="162" spans="1:8" x14ac:dyDescent="0.3">
      <c r="A162" s="8">
        <v>43035.68476851852</v>
      </c>
      <c r="B162" s="20" t="s">
        <v>403</v>
      </c>
      <c r="C162" s="20" t="s">
        <v>791</v>
      </c>
      <c r="D162" s="138">
        <v>2630000</v>
      </c>
      <c r="E162" s="20" t="s">
        <v>734</v>
      </c>
      <c r="F162" s="20" t="s">
        <v>735</v>
      </c>
      <c r="G162" s="8" t="str">
        <f t="shared" si="4"/>
        <v>SAFIEF AEIMEN</v>
      </c>
      <c r="H162" s="20" t="str">
        <f t="shared" si="5"/>
        <v>4006</v>
      </c>
    </row>
    <row r="163" spans="1:8" x14ac:dyDescent="0.3">
      <c r="A163" s="8">
        <v>43035.68645833333</v>
      </c>
      <c r="B163" s="20" t="s">
        <v>633</v>
      </c>
      <c r="C163" s="20" t="s">
        <v>634</v>
      </c>
      <c r="D163" s="138">
        <v>2350000</v>
      </c>
      <c r="E163" s="20" t="s">
        <v>404</v>
      </c>
      <c r="F163" s="20" t="s">
        <v>405</v>
      </c>
      <c r="G163" s="8" t="str">
        <f t="shared" si="4"/>
        <v>BERLING GARY</v>
      </c>
      <c r="H163" s="20" t="str">
        <f t="shared" si="5"/>
        <v>4003</v>
      </c>
    </row>
    <row r="164" spans="1:8" x14ac:dyDescent="0.3">
      <c r="A164" s="8">
        <v>43035.687430555554</v>
      </c>
      <c r="B164" s="20" t="s">
        <v>512</v>
      </c>
      <c r="C164" s="20" t="s">
        <v>792</v>
      </c>
      <c r="D164" s="138">
        <v>2230000</v>
      </c>
      <c r="E164" s="20" t="s">
        <v>776</v>
      </c>
      <c r="F164" s="20" t="s">
        <v>369</v>
      </c>
      <c r="G164" s="8" t="str">
        <f t="shared" si="4"/>
        <v>SMITH MICHAEL</v>
      </c>
      <c r="H164" s="20" t="str">
        <f t="shared" si="5"/>
        <v>4030</v>
      </c>
    </row>
    <row r="165" spans="1:8" x14ac:dyDescent="0.3">
      <c r="A165" s="8">
        <v>43035.689097222225</v>
      </c>
      <c r="B165" s="20" t="s">
        <v>417</v>
      </c>
      <c r="C165" s="20" t="s">
        <v>793</v>
      </c>
      <c r="D165" s="138">
        <v>1810000</v>
      </c>
      <c r="E165" s="20" t="s">
        <v>499</v>
      </c>
      <c r="F165" s="20" t="s">
        <v>355</v>
      </c>
      <c r="G165" s="8" t="str">
        <f t="shared" si="4"/>
        <v>NEWELL JAMES</v>
      </c>
      <c r="H165" s="20" t="str">
        <f t="shared" si="5"/>
        <v>4016</v>
      </c>
    </row>
    <row r="166" spans="1:8" x14ac:dyDescent="0.3">
      <c r="A166" s="8">
        <v>43035.69327546296</v>
      </c>
      <c r="B166" s="20" t="s">
        <v>386</v>
      </c>
      <c r="C166" s="20" t="s">
        <v>794</v>
      </c>
      <c r="D166" s="138">
        <v>1770000</v>
      </c>
      <c r="E166" s="20" t="s">
        <v>497</v>
      </c>
      <c r="F166" s="20" t="s">
        <v>498</v>
      </c>
      <c r="G166" s="8" t="str">
        <f t="shared" si="4"/>
        <v>BRUDER RICHARD</v>
      </c>
      <c r="H166" s="20" t="str">
        <f t="shared" si="5"/>
        <v>4008</v>
      </c>
    </row>
    <row r="167" spans="1:8" x14ac:dyDescent="0.3">
      <c r="A167" s="8">
        <v>43035.693761574075</v>
      </c>
      <c r="B167" s="20" t="s">
        <v>629</v>
      </c>
      <c r="C167" s="20" t="s">
        <v>795</v>
      </c>
      <c r="D167" s="138">
        <v>1300000</v>
      </c>
      <c r="E167" s="20" t="s">
        <v>392</v>
      </c>
      <c r="F167" s="20" t="s">
        <v>393</v>
      </c>
      <c r="G167" s="8" t="str">
        <f t="shared" si="4"/>
        <v>LEVIN SCOTT</v>
      </c>
      <c r="H167" s="20" t="str">
        <f t="shared" si="5"/>
        <v>4013</v>
      </c>
    </row>
    <row r="168" spans="1:8" x14ac:dyDescent="0.3">
      <c r="A168" s="8">
        <v>43035.701666666668</v>
      </c>
      <c r="B168" s="20" t="s">
        <v>492</v>
      </c>
      <c r="C168" s="20" t="s">
        <v>796</v>
      </c>
      <c r="D168" s="138">
        <v>2550000</v>
      </c>
      <c r="E168" s="20" t="s">
        <v>549</v>
      </c>
      <c r="F168" s="20" t="s">
        <v>550</v>
      </c>
      <c r="G168" s="8" t="str">
        <f t="shared" si="4"/>
        <v>BADERTSCHER DIANE</v>
      </c>
      <c r="H168" s="20" t="str">
        <f t="shared" si="5"/>
        <v>4035</v>
      </c>
    </row>
    <row r="169" spans="1:8" x14ac:dyDescent="0.3">
      <c r="A169" s="8">
        <v>43035.70417824074</v>
      </c>
      <c r="B169" s="20" t="s">
        <v>626</v>
      </c>
      <c r="C169" s="20" t="s">
        <v>797</v>
      </c>
      <c r="D169" s="138">
        <v>1180000</v>
      </c>
      <c r="E169" s="20" t="s">
        <v>390</v>
      </c>
      <c r="F169" s="20" t="s">
        <v>391</v>
      </c>
      <c r="G169" s="8" t="str">
        <f t="shared" si="4"/>
        <v>LEVERE CRAIG</v>
      </c>
      <c r="H169" s="20" t="str">
        <f t="shared" si="5"/>
        <v>4052</v>
      </c>
    </row>
    <row r="170" spans="1:8" x14ac:dyDescent="0.3">
      <c r="A170" s="8">
        <v>43035.707465277781</v>
      </c>
      <c r="B170" s="20" t="s">
        <v>510</v>
      </c>
      <c r="C170" s="20" t="s">
        <v>798</v>
      </c>
      <c r="D170" s="138">
        <v>2230000</v>
      </c>
      <c r="E170" s="20" t="s">
        <v>776</v>
      </c>
      <c r="F170" s="20" t="s">
        <v>369</v>
      </c>
      <c r="G170" s="8" t="str">
        <f t="shared" si="4"/>
        <v>SMITH MICHAEL</v>
      </c>
      <c r="H170" s="20" t="str">
        <f t="shared" si="5"/>
        <v>4029</v>
      </c>
    </row>
    <row r="171" spans="1:8" x14ac:dyDescent="0.3">
      <c r="A171" s="8">
        <v>43035.710057870368</v>
      </c>
      <c r="B171" s="20" t="s">
        <v>637</v>
      </c>
      <c r="C171" s="20" t="s">
        <v>799</v>
      </c>
      <c r="D171" s="138">
        <v>2350000</v>
      </c>
      <c r="E171" s="20" t="s">
        <v>404</v>
      </c>
      <c r="F171" s="20" t="s">
        <v>405</v>
      </c>
      <c r="G171" s="8" t="str">
        <f t="shared" si="4"/>
        <v>BERLING GARY</v>
      </c>
      <c r="H171" s="20" t="str">
        <f t="shared" si="5"/>
        <v>4004</v>
      </c>
    </row>
    <row r="172" spans="1:8" x14ac:dyDescent="0.3">
      <c r="A172" s="8">
        <v>43035.71503472222</v>
      </c>
      <c r="B172" s="20" t="s">
        <v>368</v>
      </c>
      <c r="C172" s="20" t="s">
        <v>800</v>
      </c>
      <c r="D172" s="138">
        <v>2420000</v>
      </c>
      <c r="E172" s="20" t="s">
        <v>406</v>
      </c>
      <c r="F172" s="20" t="s">
        <v>407</v>
      </c>
      <c r="G172" s="8" t="str">
        <f t="shared" si="4"/>
        <v>HOLCOMB KAMDEN</v>
      </c>
      <c r="H172" s="20" t="str">
        <f t="shared" si="5"/>
        <v>4055</v>
      </c>
    </row>
    <row r="173" spans="1:8" x14ac:dyDescent="0.3">
      <c r="A173" s="8">
        <v>43035.715416666666</v>
      </c>
      <c r="B173" s="20" t="s">
        <v>397</v>
      </c>
      <c r="C173" s="20" t="s">
        <v>635</v>
      </c>
      <c r="D173" s="138">
        <v>2630000</v>
      </c>
      <c r="E173" s="20" t="s">
        <v>734</v>
      </c>
      <c r="F173" s="20" t="s">
        <v>735</v>
      </c>
      <c r="G173" s="8" t="str">
        <f t="shared" si="4"/>
        <v>SAFIEF AEIMEN</v>
      </c>
      <c r="H173" s="20" t="str">
        <f t="shared" si="5"/>
        <v>4005</v>
      </c>
    </row>
    <row r="174" spans="1:8" x14ac:dyDescent="0.3">
      <c r="A174" s="8">
        <v>43035.71638888889</v>
      </c>
      <c r="B174" s="20" t="s">
        <v>396</v>
      </c>
      <c r="C174" s="20" t="s">
        <v>801</v>
      </c>
      <c r="D174" s="138">
        <v>1760000</v>
      </c>
      <c r="E174" s="20" t="s">
        <v>490</v>
      </c>
      <c r="F174" s="20" t="s">
        <v>491</v>
      </c>
      <c r="G174" s="8" t="str">
        <f t="shared" si="4"/>
        <v>STRICKLAND EVAN</v>
      </c>
      <c r="H174" s="20" t="str">
        <f t="shared" si="5"/>
        <v>4018</v>
      </c>
    </row>
    <row r="175" spans="1:8" x14ac:dyDescent="0.3">
      <c r="A175" s="8">
        <v>43035.718645833331</v>
      </c>
      <c r="B175" s="20" t="s">
        <v>478</v>
      </c>
      <c r="C175" s="20" t="s">
        <v>802</v>
      </c>
      <c r="D175" s="138">
        <v>2370000</v>
      </c>
      <c r="E175" s="20" t="s">
        <v>517</v>
      </c>
      <c r="F175" s="20" t="s">
        <v>518</v>
      </c>
      <c r="G175" s="8" t="str">
        <f t="shared" si="4"/>
        <v>DELGADO DIANAH</v>
      </c>
      <c r="H175" s="20" t="str">
        <f t="shared" si="5"/>
        <v>4050</v>
      </c>
    </row>
    <row r="176" spans="1:8" x14ac:dyDescent="0.3">
      <c r="A176" s="8">
        <v>43035.719189814816</v>
      </c>
      <c r="B176" s="20" t="s">
        <v>478</v>
      </c>
      <c r="C176" s="20" t="s">
        <v>802</v>
      </c>
      <c r="D176" s="138">
        <v>2370000</v>
      </c>
      <c r="E176" s="20" t="s">
        <v>517</v>
      </c>
      <c r="F176" s="20" t="s">
        <v>518</v>
      </c>
      <c r="G176" s="8" t="str">
        <f t="shared" si="4"/>
        <v>DELGADO DIANAH</v>
      </c>
      <c r="H176" s="20" t="str">
        <f t="shared" si="5"/>
        <v>4050</v>
      </c>
    </row>
    <row r="177" spans="1:8" x14ac:dyDescent="0.3">
      <c r="A177" s="8">
        <v>43035.719930555555</v>
      </c>
      <c r="B177" s="20" t="s">
        <v>478</v>
      </c>
      <c r="C177" s="20" t="s">
        <v>802</v>
      </c>
      <c r="D177" s="138">
        <v>2370000</v>
      </c>
      <c r="E177" s="20" t="s">
        <v>517</v>
      </c>
      <c r="F177" s="20" t="s">
        <v>518</v>
      </c>
      <c r="G177" s="8" t="str">
        <f t="shared" si="4"/>
        <v>DELGADO DIANAH</v>
      </c>
      <c r="H177" s="20" t="str">
        <f t="shared" si="5"/>
        <v>4050</v>
      </c>
    </row>
    <row r="178" spans="1:8" x14ac:dyDescent="0.3">
      <c r="A178" s="8">
        <v>43035.720810185187</v>
      </c>
      <c r="B178" s="20" t="s">
        <v>478</v>
      </c>
      <c r="C178" s="20" t="s">
        <v>802</v>
      </c>
      <c r="D178" s="138">
        <v>2370000</v>
      </c>
      <c r="E178" s="20" t="s">
        <v>517</v>
      </c>
      <c r="F178" s="20" t="s">
        <v>518</v>
      </c>
      <c r="G178" s="8" t="str">
        <f t="shared" si="4"/>
        <v>DELGADO DIANAH</v>
      </c>
      <c r="H178" s="20" t="str">
        <f t="shared" si="5"/>
        <v>4050</v>
      </c>
    </row>
    <row r="179" spans="1:8" x14ac:dyDescent="0.3">
      <c r="A179" s="8">
        <v>43035.721504629626</v>
      </c>
      <c r="B179" s="20" t="s">
        <v>478</v>
      </c>
      <c r="C179" s="20" t="s">
        <v>802</v>
      </c>
      <c r="D179" s="138">
        <v>2370000</v>
      </c>
      <c r="E179" s="20" t="s">
        <v>517</v>
      </c>
      <c r="F179" s="20" t="s">
        <v>518</v>
      </c>
      <c r="G179" s="8" t="str">
        <f t="shared" si="4"/>
        <v>DELGADO DIANAH</v>
      </c>
      <c r="H179" s="20" t="str">
        <f t="shared" si="5"/>
        <v>4050</v>
      </c>
    </row>
    <row r="180" spans="1:8" x14ac:dyDescent="0.3">
      <c r="A180" s="8">
        <v>43035.723101851851</v>
      </c>
      <c r="B180" s="20" t="s">
        <v>478</v>
      </c>
      <c r="C180" s="20" t="s">
        <v>802</v>
      </c>
      <c r="D180" s="138">
        <v>2370000</v>
      </c>
      <c r="E180" s="20" t="s">
        <v>517</v>
      </c>
      <c r="F180" s="20" t="s">
        <v>518</v>
      </c>
      <c r="G180" s="8" t="str">
        <f t="shared" si="4"/>
        <v>DELGADO DIANAH</v>
      </c>
      <c r="H180" s="20" t="str">
        <f t="shared" si="5"/>
        <v>4050</v>
      </c>
    </row>
    <row r="181" spans="1:8" x14ac:dyDescent="0.3">
      <c r="A181" s="8">
        <v>43035.727500000001</v>
      </c>
      <c r="B181" s="20" t="s">
        <v>418</v>
      </c>
      <c r="C181" s="20" t="s">
        <v>803</v>
      </c>
      <c r="D181" s="138">
        <v>1300000</v>
      </c>
      <c r="E181" s="20" t="s">
        <v>392</v>
      </c>
      <c r="F181" s="20" t="s">
        <v>393</v>
      </c>
      <c r="G181" s="8" t="str">
        <f t="shared" si="4"/>
        <v>LEVIN SCOTT</v>
      </c>
      <c r="H181" s="20" t="str">
        <f t="shared" si="5"/>
        <v>4014</v>
      </c>
    </row>
    <row r="182" spans="1:8" x14ac:dyDescent="0.3">
      <c r="A182" s="8">
        <v>43035.728136574071</v>
      </c>
      <c r="B182" s="20" t="s">
        <v>633</v>
      </c>
      <c r="C182" s="20" t="s">
        <v>804</v>
      </c>
      <c r="D182" s="138">
        <v>2350000</v>
      </c>
      <c r="E182" s="20" t="s">
        <v>404</v>
      </c>
      <c r="F182" s="20" t="s">
        <v>405</v>
      </c>
      <c r="G182" s="8" t="str">
        <f t="shared" si="4"/>
        <v>BERLING GARY</v>
      </c>
      <c r="H182" s="20" t="str">
        <f t="shared" si="5"/>
        <v>4003</v>
      </c>
    </row>
    <row r="183" spans="1:8" x14ac:dyDescent="0.3">
      <c r="A183" s="8">
        <v>43035.729826388888</v>
      </c>
      <c r="B183" s="20" t="s">
        <v>512</v>
      </c>
      <c r="C183" s="20" t="s">
        <v>805</v>
      </c>
      <c r="D183" s="138">
        <v>2230000</v>
      </c>
      <c r="E183" s="20" t="s">
        <v>776</v>
      </c>
      <c r="F183" s="20" t="s">
        <v>369</v>
      </c>
      <c r="G183" s="8" t="str">
        <f t="shared" si="4"/>
        <v>SMITH MICHAEL</v>
      </c>
      <c r="H183" s="20" t="str">
        <f t="shared" si="5"/>
        <v>4030</v>
      </c>
    </row>
    <row r="184" spans="1:8" x14ac:dyDescent="0.3">
      <c r="A184" s="8">
        <v>43035.734722222223</v>
      </c>
      <c r="B184" s="20" t="s">
        <v>398</v>
      </c>
      <c r="C184" s="20" t="s">
        <v>806</v>
      </c>
      <c r="D184" s="138">
        <v>1770000</v>
      </c>
      <c r="E184" s="20" t="s">
        <v>497</v>
      </c>
      <c r="F184" s="20" t="s">
        <v>498</v>
      </c>
      <c r="G184" s="8" t="str">
        <f t="shared" si="4"/>
        <v>BRUDER RICHARD</v>
      </c>
      <c r="H184" s="20" t="str">
        <f t="shared" si="5"/>
        <v>4007</v>
      </c>
    </row>
    <row r="185" spans="1:8" x14ac:dyDescent="0.3">
      <c r="A185" s="8">
        <v>43035.73715277778</v>
      </c>
      <c r="B185" s="20" t="s">
        <v>489</v>
      </c>
      <c r="C185" s="20" t="s">
        <v>807</v>
      </c>
      <c r="D185" s="138">
        <v>2540000</v>
      </c>
      <c r="E185" s="20" t="s">
        <v>374</v>
      </c>
      <c r="F185" s="20" t="s">
        <v>375</v>
      </c>
      <c r="G185" s="8" t="str">
        <f t="shared" si="4"/>
        <v>MCREYNOLDS KYLE</v>
      </c>
      <c r="H185" s="20" t="str">
        <f t="shared" si="5"/>
        <v>4036</v>
      </c>
    </row>
    <row r="186" spans="1:8" x14ac:dyDescent="0.3">
      <c r="A186" s="8">
        <v>43035.74355324074</v>
      </c>
      <c r="B186" s="20" t="s">
        <v>513</v>
      </c>
      <c r="C186" s="20" t="s">
        <v>808</v>
      </c>
      <c r="D186" s="138">
        <v>1180000</v>
      </c>
      <c r="E186" s="20" t="s">
        <v>390</v>
      </c>
      <c r="F186" s="20" t="s">
        <v>391</v>
      </c>
      <c r="G186" s="8" t="str">
        <f t="shared" si="4"/>
        <v>LEVERE CRAIG</v>
      </c>
      <c r="H186" s="20" t="str">
        <f t="shared" si="5"/>
        <v>4051</v>
      </c>
    </row>
    <row r="187" spans="1:8" x14ac:dyDescent="0.3">
      <c r="A187" s="8">
        <v>43035.746979166666</v>
      </c>
      <c r="B187" s="20" t="s">
        <v>670</v>
      </c>
      <c r="C187" s="20" t="s">
        <v>809</v>
      </c>
      <c r="D187" s="138">
        <v>2420000</v>
      </c>
      <c r="E187" s="20" t="s">
        <v>406</v>
      </c>
      <c r="F187" s="20" t="s">
        <v>407</v>
      </c>
      <c r="G187" s="8" t="str">
        <f t="shared" si="4"/>
        <v>HOLCOMB KAMDEN</v>
      </c>
      <c r="H187" s="20" t="str">
        <f t="shared" si="5"/>
        <v>4056</v>
      </c>
    </row>
    <row r="188" spans="1:8" x14ac:dyDescent="0.3">
      <c r="A188" s="8">
        <v>43035.747291666667</v>
      </c>
      <c r="B188" s="20" t="s">
        <v>399</v>
      </c>
      <c r="C188" s="20" t="s">
        <v>810</v>
      </c>
      <c r="D188" s="138">
        <v>1760000</v>
      </c>
      <c r="E188" s="20" t="s">
        <v>490</v>
      </c>
      <c r="F188" s="20" t="s">
        <v>491</v>
      </c>
      <c r="G188" s="8" t="str">
        <f t="shared" si="4"/>
        <v>STRICKLAND EVAN</v>
      </c>
      <c r="H188" s="20" t="str">
        <f t="shared" si="5"/>
        <v>4017</v>
      </c>
    </row>
    <row r="189" spans="1:8" x14ac:dyDescent="0.3">
      <c r="A189" s="8">
        <v>43035.748923611114</v>
      </c>
      <c r="B189" s="20" t="s">
        <v>510</v>
      </c>
      <c r="C189" s="20" t="s">
        <v>636</v>
      </c>
      <c r="D189" s="138">
        <v>2230000</v>
      </c>
      <c r="E189" s="20" t="s">
        <v>776</v>
      </c>
      <c r="F189" s="20" t="s">
        <v>369</v>
      </c>
      <c r="G189" s="8" t="str">
        <f t="shared" si="4"/>
        <v>SMITH MICHAEL</v>
      </c>
      <c r="H189" s="20" t="str">
        <f t="shared" si="5"/>
        <v>4029</v>
      </c>
    </row>
    <row r="190" spans="1:8" x14ac:dyDescent="0.3">
      <c r="A190" s="8">
        <v>43035.751655092594</v>
      </c>
      <c r="B190" s="20" t="s">
        <v>637</v>
      </c>
      <c r="C190" s="20" t="s">
        <v>638</v>
      </c>
      <c r="D190" s="138">
        <v>2350000</v>
      </c>
      <c r="E190" s="20" t="s">
        <v>404</v>
      </c>
      <c r="F190" s="20" t="s">
        <v>405</v>
      </c>
      <c r="G190" s="8" t="str">
        <f t="shared" si="4"/>
        <v>BERLING GARY</v>
      </c>
      <c r="H190" s="20" t="str">
        <f t="shared" si="5"/>
        <v>4004</v>
      </c>
    </row>
    <row r="191" spans="1:8" x14ac:dyDescent="0.3">
      <c r="A191" s="8">
        <v>43035.758449074077</v>
      </c>
      <c r="B191" s="20" t="s">
        <v>513</v>
      </c>
      <c r="C191" s="20" t="s">
        <v>808</v>
      </c>
      <c r="D191" s="138">
        <v>1180000</v>
      </c>
      <c r="E191" s="20" t="s">
        <v>390</v>
      </c>
      <c r="F191" s="20" t="s">
        <v>391</v>
      </c>
      <c r="G191" s="8" t="str">
        <f t="shared" si="4"/>
        <v>LEVERE CRAIG</v>
      </c>
      <c r="H191" s="20" t="str">
        <f t="shared" si="5"/>
        <v>4051</v>
      </c>
    </row>
    <row r="192" spans="1:8" x14ac:dyDescent="0.3">
      <c r="A192" s="8">
        <v>43035.758460648147</v>
      </c>
      <c r="B192" s="20" t="s">
        <v>403</v>
      </c>
      <c r="C192" s="20" t="s">
        <v>811</v>
      </c>
      <c r="D192" s="138">
        <v>3320000</v>
      </c>
      <c r="E192" s="20" t="s">
        <v>421</v>
      </c>
      <c r="F192" s="20" t="s">
        <v>422</v>
      </c>
      <c r="G192" s="8" t="str">
        <f t="shared" si="4"/>
        <v>NICHOLSON WESLEY</v>
      </c>
      <c r="H192" s="20" t="str">
        <f t="shared" si="5"/>
        <v>4006</v>
      </c>
    </row>
    <row r="193" spans="1:8" x14ac:dyDescent="0.3">
      <c r="A193" s="8">
        <v>43035.759872685187</v>
      </c>
      <c r="B193" s="20" t="s">
        <v>629</v>
      </c>
      <c r="C193" s="20" t="s">
        <v>812</v>
      </c>
      <c r="D193" s="138">
        <v>1300000</v>
      </c>
      <c r="E193" s="20" t="s">
        <v>392</v>
      </c>
      <c r="F193" s="20" t="s">
        <v>393</v>
      </c>
      <c r="G193" s="8" t="str">
        <f t="shared" si="4"/>
        <v>LEVIN SCOTT</v>
      </c>
      <c r="H193" s="20" t="str">
        <f t="shared" si="5"/>
        <v>4013</v>
      </c>
    </row>
    <row r="194" spans="1:8" x14ac:dyDescent="0.3">
      <c r="A194" s="8">
        <v>43035.766597222224</v>
      </c>
      <c r="B194" s="20" t="s">
        <v>386</v>
      </c>
      <c r="C194" s="20" t="s">
        <v>813</v>
      </c>
      <c r="D194" s="138">
        <v>3340000</v>
      </c>
      <c r="E194" s="20" t="s">
        <v>423</v>
      </c>
      <c r="F194" s="20" t="s">
        <v>424</v>
      </c>
      <c r="G194" s="8" t="str">
        <f t="shared" si="4"/>
        <v>ELBAUM MIKE</v>
      </c>
      <c r="H194" s="20" t="str">
        <f t="shared" si="5"/>
        <v>4008</v>
      </c>
    </row>
    <row r="195" spans="1:8" x14ac:dyDescent="0.3">
      <c r="A195" s="8">
        <v>43035.766967592594</v>
      </c>
      <c r="B195" s="20" t="s">
        <v>814</v>
      </c>
      <c r="C195" s="20" t="s">
        <v>815</v>
      </c>
      <c r="D195" s="138">
        <v>3490000</v>
      </c>
      <c r="E195" s="20" t="s">
        <v>816</v>
      </c>
      <c r="F195" s="20" t="s">
        <v>817</v>
      </c>
      <c r="G195" s="8" t="str">
        <f t="shared" ref="G195:G258" si="6">E195&amp;" "&amp;F195</f>
        <v>WEST BRYAN</v>
      </c>
      <c r="H195" s="20" t="str">
        <f t="shared" ref="H195:H258" si="7">MID(B195,13,4)</f>
        <v>4011</v>
      </c>
    </row>
    <row r="196" spans="1:8" x14ac:dyDescent="0.3">
      <c r="A196" s="8">
        <v>43035.769629629627</v>
      </c>
      <c r="B196" s="20" t="s">
        <v>633</v>
      </c>
      <c r="C196" s="20" t="s">
        <v>818</v>
      </c>
      <c r="D196" s="138">
        <v>2350000</v>
      </c>
      <c r="E196" s="20" t="s">
        <v>404</v>
      </c>
      <c r="F196" s="20" t="s">
        <v>405</v>
      </c>
      <c r="G196" s="8" t="str">
        <f t="shared" si="6"/>
        <v>BERLING GARY</v>
      </c>
      <c r="H196" s="20" t="str">
        <f t="shared" si="7"/>
        <v>4003</v>
      </c>
    </row>
    <row r="197" spans="1:8" x14ac:dyDescent="0.3">
      <c r="A197" s="8">
        <v>43035.773159722223</v>
      </c>
      <c r="B197" s="20" t="s">
        <v>492</v>
      </c>
      <c r="C197" s="20" t="s">
        <v>819</v>
      </c>
      <c r="D197" s="138">
        <v>2540000</v>
      </c>
      <c r="E197" s="20" t="s">
        <v>374</v>
      </c>
      <c r="F197" s="20" t="s">
        <v>375</v>
      </c>
      <c r="G197" s="8" t="str">
        <f t="shared" si="6"/>
        <v>MCREYNOLDS KYLE</v>
      </c>
      <c r="H197" s="20" t="str">
        <f t="shared" si="7"/>
        <v>4035</v>
      </c>
    </row>
    <row r="198" spans="1:8" x14ac:dyDescent="0.3">
      <c r="A198" s="8">
        <v>43035.77449074074</v>
      </c>
      <c r="B198" s="20" t="s">
        <v>512</v>
      </c>
      <c r="C198" s="20" t="s">
        <v>820</v>
      </c>
      <c r="D198" s="138">
        <v>2230000</v>
      </c>
      <c r="E198" s="20" t="s">
        <v>776</v>
      </c>
      <c r="F198" s="20" t="s">
        <v>369</v>
      </c>
      <c r="G198" s="8" t="str">
        <f t="shared" si="6"/>
        <v>SMITH MICHAEL</v>
      </c>
      <c r="H198" s="20" t="str">
        <f t="shared" si="7"/>
        <v>4030</v>
      </c>
    </row>
    <row r="199" spans="1:8" x14ac:dyDescent="0.3">
      <c r="A199" s="8">
        <v>43035.783194444448</v>
      </c>
      <c r="B199" s="20" t="s">
        <v>626</v>
      </c>
      <c r="C199" s="20" t="s">
        <v>821</v>
      </c>
      <c r="D199" s="138">
        <v>1180000</v>
      </c>
      <c r="E199" s="20" t="s">
        <v>390</v>
      </c>
      <c r="F199" s="20" t="s">
        <v>391</v>
      </c>
      <c r="G199" s="8" t="str">
        <f t="shared" si="6"/>
        <v>LEVERE CRAIG</v>
      </c>
      <c r="H199" s="20" t="str">
        <f t="shared" si="7"/>
        <v>4052</v>
      </c>
    </row>
    <row r="200" spans="1:8" x14ac:dyDescent="0.3">
      <c r="A200" s="8">
        <v>43035.786550925928</v>
      </c>
      <c r="B200" s="20" t="s">
        <v>368</v>
      </c>
      <c r="C200" s="20" t="s">
        <v>822</v>
      </c>
      <c r="D200" s="138">
        <v>2420000</v>
      </c>
      <c r="E200" s="20" t="s">
        <v>406</v>
      </c>
      <c r="F200" s="20" t="s">
        <v>407</v>
      </c>
      <c r="G200" s="8" t="str">
        <f t="shared" si="6"/>
        <v>HOLCOMB KAMDEN</v>
      </c>
      <c r="H200" s="20" t="str">
        <f t="shared" si="7"/>
        <v>4055</v>
      </c>
    </row>
    <row r="201" spans="1:8" x14ac:dyDescent="0.3">
      <c r="A201" s="8">
        <v>43035.788807870369</v>
      </c>
      <c r="B201" s="20" t="s">
        <v>396</v>
      </c>
      <c r="C201" s="20" t="s">
        <v>823</v>
      </c>
      <c r="D201" s="138">
        <v>3310000</v>
      </c>
      <c r="E201" s="20" t="s">
        <v>365</v>
      </c>
      <c r="F201" s="20" t="s">
        <v>366</v>
      </c>
      <c r="G201" s="8" t="str">
        <f t="shared" si="6"/>
        <v>ANDERS STEVEN</v>
      </c>
      <c r="H201" s="20" t="str">
        <f t="shared" si="7"/>
        <v>4018</v>
      </c>
    </row>
    <row r="202" spans="1:8" x14ac:dyDescent="0.3">
      <c r="A202" s="26">
        <v>43035.789837962962</v>
      </c>
      <c r="B202" s="20" t="s">
        <v>510</v>
      </c>
      <c r="C202" s="20" t="s">
        <v>824</v>
      </c>
      <c r="D202" s="138">
        <v>2230000</v>
      </c>
      <c r="E202" s="20" t="s">
        <v>776</v>
      </c>
      <c r="F202" s="20" t="s">
        <v>369</v>
      </c>
      <c r="G202" s="8" t="str">
        <f t="shared" si="6"/>
        <v>SMITH MICHAEL</v>
      </c>
      <c r="H202" s="20" t="str">
        <f t="shared" si="7"/>
        <v>4029</v>
      </c>
    </row>
    <row r="203" spans="1:8" x14ac:dyDescent="0.3">
      <c r="A203" s="8">
        <v>43035.791562500002</v>
      </c>
      <c r="B203" s="20" t="s">
        <v>397</v>
      </c>
      <c r="C203" s="20" t="s">
        <v>825</v>
      </c>
      <c r="D203" s="138">
        <v>3320000</v>
      </c>
      <c r="E203" s="20" t="s">
        <v>421</v>
      </c>
      <c r="F203" s="20" t="s">
        <v>422</v>
      </c>
      <c r="G203" s="8" t="str">
        <f t="shared" si="6"/>
        <v>NICHOLSON WESLEY</v>
      </c>
      <c r="H203" s="20" t="str">
        <f t="shared" si="7"/>
        <v>4005</v>
      </c>
    </row>
    <row r="204" spans="1:8" x14ac:dyDescent="0.3">
      <c r="A204" s="8">
        <v>43035.79409722222</v>
      </c>
      <c r="B204" s="20" t="s">
        <v>637</v>
      </c>
      <c r="C204" s="20" t="s">
        <v>826</v>
      </c>
      <c r="D204" s="138">
        <v>2350000</v>
      </c>
      <c r="E204" s="20" t="s">
        <v>404</v>
      </c>
      <c r="F204" s="20" t="s">
        <v>405</v>
      </c>
      <c r="G204" s="8" t="str">
        <f t="shared" si="6"/>
        <v>BERLING GARY</v>
      </c>
      <c r="H204" s="20" t="str">
        <f t="shared" si="7"/>
        <v>4004</v>
      </c>
    </row>
    <row r="205" spans="1:8" x14ac:dyDescent="0.3">
      <c r="A205" s="8">
        <v>43035.796851851854</v>
      </c>
      <c r="B205" s="20" t="s">
        <v>418</v>
      </c>
      <c r="C205" s="20" t="s">
        <v>827</v>
      </c>
      <c r="D205" s="138">
        <v>1300000</v>
      </c>
      <c r="E205" s="20" t="s">
        <v>392</v>
      </c>
      <c r="F205" s="20" t="s">
        <v>393</v>
      </c>
      <c r="G205" s="8" t="str">
        <f t="shared" si="6"/>
        <v>LEVIN SCOTT</v>
      </c>
      <c r="H205" s="20" t="str">
        <f t="shared" si="7"/>
        <v>4014</v>
      </c>
    </row>
    <row r="206" spans="1:8" x14ac:dyDescent="0.3">
      <c r="A206" s="8">
        <v>43035.802106481482</v>
      </c>
      <c r="B206" s="20" t="s">
        <v>398</v>
      </c>
      <c r="C206" s="20" t="s">
        <v>639</v>
      </c>
      <c r="D206" s="138">
        <v>3340000</v>
      </c>
      <c r="E206" s="20" t="s">
        <v>423</v>
      </c>
      <c r="F206" s="20" t="s">
        <v>424</v>
      </c>
      <c r="G206" s="8" t="str">
        <f t="shared" si="6"/>
        <v>ELBAUM MIKE</v>
      </c>
      <c r="H206" s="20" t="str">
        <f t="shared" si="7"/>
        <v>4007</v>
      </c>
    </row>
    <row r="207" spans="1:8" x14ac:dyDescent="0.3">
      <c r="A207" s="8">
        <v>43035.808819444443</v>
      </c>
      <c r="B207" s="20" t="s">
        <v>489</v>
      </c>
      <c r="C207" s="20" t="s">
        <v>828</v>
      </c>
      <c r="D207" s="138">
        <v>2540000</v>
      </c>
      <c r="E207" s="20" t="s">
        <v>374</v>
      </c>
      <c r="F207" s="20" t="s">
        <v>375</v>
      </c>
      <c r="G207" s="8" t="str">
        <f t="shared" si="6"/>
        <v>MCREYNOLDS KYLE</v>
      </c>
      <c r="H207" s="20" t="str">
        <f t="shared" si="7"/>
        <v>4036</v>
      </c>
    </row>
    <row r="208" spans="1:8" x14ac:dyDescent="0.3">
      <c r="A208" s="8">
        <v>43035.809386574074</v>
      </c>
      <c r="B208" s="20" t="s">
        <v>829</v>
      </c>
      <c r="C208" s="20" t="s">
        <v>830</v>
      </c>
      <c r="D208" s="138">
        <v>3500000</v>
      </c>
      <c r="E208" s="20" t="s">
        <v>831</v>
      </c>
      <c r="F208" s="20" t="s">
        <v>832</v>
      </c>
      <c r="G208" s="8" t="str">
        <f t="shared" si="6"/>
        <v>GUNTHIER ERIC</v>
      </c>
      <c r="H208" s="20" t="str">
        <f t="shared" si="7"/>
        <v>4047</v>
      </c>
    </row>
    <row r="209" spans="1:8" x14ac:dyDescent="0.3">
      <c r="A209" s="8">
        <v>43035.812962962962</v>
      </c>
      <c r="B209" s="20" t="s">
        <v>633</v>
      </c>
      <c r="C209" s="20" t="s">
        <v>833</v>
      </c>
      <c r="D209" s="138">
        <v>2350000</v>
      </c>
      <c r="E209" s="20" t="s">
        <v>404</v>
      </c>
      <c r="F209" s="20" t="s">
        <v>405</v>
      </c>
      <c r="G209" s="8" t="str">
        <f t="shared" si="6"/>
        <v>BERLING GARY</v>
      </c>
      <c r="H209" s="20" t="str">
        <f t="shared" si="7"/>
        <v>4003</v>
      </c>
    </row>
    <row r="210" spans="1:8" x14ac:dyDescent="0.3">
      <c r="A210" s="8">
        <v>43035.820439814815</v>
      </c>
      <c r="B210" s="20" t="s">
        <v>399</v>
      </c>
      <c r="C210" s="20" t="s">
        <v>834</v>
      </c>
      <c r="D210" s="138">
        <v>3310000</v>
      </c>
      <c r="E210" s="20" t="s">
        <v>365</v>
      </c>
      <c r="F210" s="20" t="s">
        <v>366</v>
      </c>
      <c r="G210" s="8" t="str">
        <f t="shared" si="6"/>
        <v>ANDERS STEVEN</v>
      </c>
      <c r="H210" s="20" t="str">
        <f t="shared" si="7"/>
        <v>4017</v>
      </c>
    </row>
    <row r="211" spans="1:8" x14ac:dyDescent="0.3">
      <c r="A211" s="8">
        <v>43035.823194444441</v>
      </c>
      <c r="B211" s="20" t="s">
        <v>835</v>
      </c>
      <c r="C211" s="20" t="s">
        <v>836</v>
      </c>
      <c r="D211" s="138">
        <v>3500000</v>
      </c>
      <c r="E211" s="20" t="s">
        <v>831</v>
      </c>
      <c r="F211" s="20" t="s">
        <v>832</v>
      </c>
      <c r="G211" s="8" t="str">
        <f t="shared" si="6"/>
        <v>GUNTHIER ERIC</v>
      </c>
      <c r="H211" s="20" t="str">
        <f t="shared" si="7"/>
        <v>4048</v>
      </c>
    </row>
    <row r="212" spans="1:8" x14ac:dyDescent="0.3">
      <c r="A212" s="8">
        <v>43035.830138888887</v>
      </c>
      <c r="B212" s="20" t="s">
        <v>670</v>
      </c>
      <c r="C212" s="20" t="s">
        <v>837</v>
      </c>
      <c r="D212" s="138">
        <v>2420000</v>
      </c>
      <c r="E212" s="20" t="s">
        <v>406</v>
      </c>
      <c r="F212" s="20" t="s">
        <v>407</v>
      </c>
      <c r="G212" s="8" t="str">
        <f t="shared" si="6"/>
        <v>HOLCOMB KAMDEN</v>
      </c>
      <c r="H212" s="20" t="str">
        <f t="shared" si="7"/>
        <v>4056</v>
      </c>
    </row>
    <row r="213" spans="1:8" x14ac:dyDescent="0.3">
      <c r="A213" s="8">
        <v>43035.831909722219</v>
      </c>
      <c r="B213" s="20" t="s">
        <v>403</v>
      </c>
      <c r="C213" s="20" t="s">
        <v>838</v>
      </c>
      <c r="D213" s="138">
        <v>3320000</v>
      </c>
      <c r="E213" s="20" t="s">
        <v>421</v>
      </c>
      <c r="F213" s="20" t="s">
        <v>422</v>
      </c>
      <c r="G213" s="8" t="str">
        <f t="shared" si="6"/>
        <v>NICHOLSON WESLEY</v>
      </c>
      <c r="H213" s="20" t="str">
        <f t="shared" si="7"/>
        <v>4006</v>
      </c>
    </row>
    <row r="214" spans="1:8" x14ac:dyDescent="0.3">
      <c r="A214" s="8">
        <v>43035.835659722223</v>
      </c>
      <c r="B214" s="20" t="s">
        <v>637</v>
      </c>
      <c r="C214" s="20" t="s">
        <v>839</v>
      </c>
      <c r="D214" s="138">
        <v>2350000</v>
      </c>
      <c r="E214" s="20" t="s">
        <v>404</v>
      </c>
      <c r="F214" s="20" t="s">
        <v>405</v>
      </c>
      <c r="G214" s="8" t="str">
        <f t="shared" si="6"/>
        <v>BERLING GARY</v>
      </c>
      <c r="H214" s="20" t="str">
        <f t="shared" si="7"/>
        <v>4004</v>
      </c>
    </row>
    <row r="215" spans="1:8" x14ac:dyDescent="0.3">
      <c r="A215" s="8">
        <v>43035.840266203704</v>
      </c>
      <c r="B215" s="20" t="s">
        <v>386</v>
      </c>
      <c r="C215" s="20" t="s">
        <v>640</v>
      </c>
      <c r="D215" s="138">
        <v>3340000</v>
      </c>
      <c r="E215" s="20" t="s">
        <v>423</v>
      </c>
      <c r="F215" s="20" t="s">
        <v>424</v>
      </c>
      <c r="G215" s="8" t="str">
        <f t="shared" si="6"/>
        <v>ELBAUM MIKE</v>
      </c>
      <c r="H215" s="20" t="str">
        <f t="shared" si="7"/>
        <v>4008</v>
      </c>
    </row>
    <row r="216" spans="1:8" x14ac:dyDescent="0.3">
      <c r="A216" s="8">
        <v>43035.840428240743</v>
      </c>
      <c r="B216" s="20" t="s">
        <v>637</v>
      </c>
      <c r="C216" s="20" t="s">
        <v>839</v>
      </c>
      <c r="D216" s="138">
        <v>2350000</v>
      </c>
      <c r="E216" s="20" t="s">
        <v>404</v>
      </c>
      <c r="F216" s="20" t="s">
        <v>405</v>
      </c>
      <c r="G216" s="8" t="str">
        <f t="shared" si="6"/>
        <v>BERLING GARY</v>
      </c>
      <c r="H216" s="20" t="str">
        <f t="shared" si="7"/>
        <v>4004</v>
      </c>
    </row>
    <row r="217" spans="1:8" x14ac:dyDescent="0.3">
      <c r="A217" s="8">
        <v>43035.846006944441</v>
      </c>
      <c r="B217" s="20" t="s">
        <v>386</v>
      </c>
      <c r="C217" s="20" t="s">
        <v>640</v>
      </c>
      <c r="D217" s="138">
        <v>3130000</v>
      </c>
      <c r="E217" s="20" t="s">
        <v>408</v>
      </c>
      <c r="F217" s="20" t="s">
        <v>409</v>
      </c>
      <c r="G217" s="8" t="str">
        <f t="shared" si="6"/>
        <v>ZEWDU DEREJE</v>
      </c>
      <c r="H217" s="20" t="str">
        <f t="shared" si="7"/>
        <v>4008</v>
      </c>
    </row>
    <row r="218" spans="1:8" x14ac:dyDescent="0.3">
      <c r="A218" s="8">
        <v>43035.847604166665</v>
      </c>
      <c r="B218" s="20" t="s">
        <v>492</v>
      </c>
      <c r="C218" s="20" t="s">
        <v>840</v>
      </c>
      <c r="D218" s="138">
        <v>2540000</v>
      </c>
      <c r="E218" s="20" t="s">
        <v>374</v>
      </c>
      <c r="F218" s="20" t="s">
        <v>375</v>
      </c>
      <c r="G218" s="8" t="str">
        <f t="shared" si="6"/>
        <v>MCREYNOLDS KYLE</v>
      </c>
      <c r="H218" s="20" t="str">
        <f t="shared" si="7"/>
        <v>4035</v>
      </c>
    </row>
    <row r="219" spans="1:8" x14ac:dyDescent="0.3">
      <c r="A219" s="8">
        <v>43035.853379629632</v>
      </c>
      <c r="B219" s="20" t="s">
        <v>633</v>
      </c>
      <c r="C219" s="20" t="s">
        <v>841</v>
      </c>
      <c r="D219" s="138">
        <v>2350000</v>
      </c>
      <c r="E219" s="20" t="s">
        <v>404</v>
      </c>
      <c r="F219" s="20" t="s">
        <v>405</v>
      </c>
      <c r="G219" s="8" t="str">
        <f t="shared" si="6"/>
        <v>BERLING GARY</v>
      </c>
      <c r="H219" s="20" t="str">
        <f t="shared" si="7"/>
        <v>4003</v>
      </c>
    </row>
    <row r="220" spans="1:8" x14ac:dyDescent="0.3">
      <c r="A220" s="8">
        <v>43035.860613425924</v>
      </c>
      <c r="B220" s="20" t="s">
        <v>396</v>
      </c>
      <c r="C220" s="20" t="s">
        <v>842</v>
      </c>
      <c r="D220" s="138">
        <v>3310000</v>
      </c>
      <c r="E220" s="20" t="s">
        <v>365</v>
      </c>
      <c r="F220" s="20" t="s">
        <v>366</v>
      </c>
      <c r="G220" s="8" t="str">
        <f t="shared" si="6"/>
        <v>ANDERS STEVEN</v>
      </c>
      <c r="H220" s="20" t="str">
        <f t="shared" si="7"/>
        <v>4018</v>
      </c>
    </row>
    <row r="221" spans="1:8" x14ac:dyDescent="0.3">
      <c r="A221" s="8">
        <v>43035.866099537037</v>
      </c>
      <c r="B221" s="20" t="s">
        <v>397</v>
      </c>
      <c r="C221" s="20" t="s">
        <v>843</v>
      </c>
      <c r="D221" s="138">
        <v>3320000</v>
      </c>
      <c r="E221" s="20" t="s">
        <v>421</v>
      </c>
      <c r="F221" s="20" t="s">
        <v>422</v>
      </c>
      <c r="G221" s="8" t="str">
        <f t="shared" si="6"/>
        <v>NICHOLSON WESLEY</v>
      </c>
      <c r="H221" s="20" t="str">
        <f t="shared" si="7"/>
        <v>4005</v>
      </c>
    </row>
    <row r="222" spans="1:8" x14ac:dyDescent="0.3">
      <c r="A222" s="8">
        <v>43035.876180555555</v>
      </c>
      <c r="B222" s="20" t="s">
        <v>829</v>
      </c>
      <c r="C222" s="20" t="s">
        <v>844</v>
      </c>
      <c r="D222" s="138">
        <v>3500000</v>
      </c>
      <c r="E222" s="20" t="s">
        <v>831</v>
      </c>
      <c r="F222" s="20" t="s">
        <v>832</v>
      </c>
      <c r="G222" s="8" t="str">
        <f t="shared" si="6"/>
        <v>GUNTHIER ERIC</v>
      </c>
      <c r="H222" s="20" t="str">
        <f t="shared" si="7"/>
        <v>4047</v>
      </c>
    </row>
    <row r="223" spans="1:8" x14ac:dyDescent="0.3">
      <c r="A223" s="8">
        <v>43035.876423611109</v>
      </c>
      <c r="B223" s="20" t="s">
        <v>637</v>
      </c>
      <c r="C223" s="20" t="s">
        <v>845</v>
      </c>
      <c r="D223" s="138">
        <v>2230000</v>
      </c>
      <c r="E223" s="20" t="s">
        <v>776</v>
      </c>
      <c r="F223" s="20" t="s">
        <v>369</v>
      </c>
      <c r="G223" s="8" t="str">
        <f t="shared" si="6"/>
        <v>SMITH MICHAEL</v>
      </c>
      <c r="H223" s="20" t="str">
        <f t="shared" si="7"/>
        <v>4004</v>
      </c>
    </row>
    <row r="224" spans="1:8" x14ac:dyDescent="0.3">
      <c r="A224" s="8">
        <v>43035.881863425922</v>
      </c>
      <c r="B224" t="s">
        <v>489</v>
      </c>
      <c r="C224" t="s">
        <v>846</v>
      </c>
      <c r="D224" s="138">
        <v>2540000</v>
      </c>
      <c r="E224" t="s">
        <v>374</v>
      </c>
      <c r="F224" s="20" t="s">
        <v>375</v>
      </c>
      <c r="G224" s="8" t="str">
        <f t="shared" si="6"/>
        <v>MCREYNOLDS KYLE</v>
      </c>
      <c r="H224" s="20" t="str">
        <f t="shared" si="7"/>
        <v>4036</v>
      </c>
    </row>
    <row r="225" spans="1:8" x14ac:dyDescent="0.3">
      <c r="A225" s="8">
        <v>43035.889664351853</v>
      </c>
      <c r="B225" t="s">
        <v>398</v>
      </c>
      <c r="C225" t="s">
        <v>847</v>
      </c>
      <c r="D225" s="138">
        <v>3130000</v>
      </c>
      <c r="E225" t="s">
        <v>408</v>
      </c>
      <c r="F225" s="20" t="s">
        <v>409</v>
      </c>
      <c r="G225" s="8" t="str">
        <f t="shared" si="6"/>
        <v>ZEWDU DEREJE</v>
      </c>
      <c r="H225" s="20" t="str">
        <f t="shared" si="7"/>
        <v>4007</v>
      </c>
    </row>
    <row r="226" spans="1:8" x14ac:dyDescent="0.3">
      <c r="A226" s="8">
        <v>43035.894999999997</v>
      </c>
      <c r="B226" t="s">
        <v>633</v>
      </c>
      <c r="C226" t="s">
        <v>848</v>
      </c>
      <c r="D226" s="138">
        <v>2230000</v>
      </c>
      <c r="E226" t="s">
        <v>776</v>
      </c>
      <c r="F226" s="20" t="s">
        <v>369</v>
      </c>
      <c r="G226" s="8" t="str">
        <f t="shared" si="6"/>
        <v>SMITH MICHAEL</v>
      </c>
      <c r="H226" s="20" t="str">
        <f t="shared" si="7"/>
        <v>4003</v>
      </c>
    </row>
    <row r="227" spans="1:8" x14ac:dyDescent="0.3">
      <c r="A227" s="8">
        <v>43035.910300925927</v>
      </c>
      <c r="B227" t="s">
        <v>403</v>
      </c>
      <c r="C227" t="s">
        <v>849</v>
      </c>
      <c r="D227" s="138">
        <v>3320000</v>
      </c>
      <c r="E227" t="s">
        <v>421</v>
      </c>
      <c r="F227" s="20" t="s">
        <v>422</v>
      </c>
      <c r="G227" s="8" t="str">
        <f t="shared" si="6"/>
        <v>NICHOLSON WESLEY</v>
      </c>
      <c r="H227" s="20" t="str">
        <f t="shared" si="7"/>
        <v>4006</v>
      </c>
    </row>
    <row r="228" spans="1:8" x14ac:dyDescent="0.3">
      <c r="A228" s="8">
        <v>43035.911574074074</v>
      </c>
      <c r="B228" t="s">
        <v>835</v>
      </c>
      <c r="C228" t="s">
        <v>836</v>
      </c>
      <c r="D228" s="138">
        <v>3500000</v>
      </c>
      <c r="E228" t="s">
        <v>831</v>
      </c>
      <c r="F228" s="20" t="s">
        <v>832</v>
      </c>
      <c r="G228" s="8" t="str">
        <f t="shared" si="6"/>
        <v>GUNTHIER ERIC</v>
      </c>
      <c r="H228" s="20" t="str">
        <f t="shared" si="7"/>
        <v>4048</v>
      </c>
    </row>
    <row r="229" spans="1:8" x14ac:dyDescent="0.3">
      <c r="A229" s="8">
        <v>43035.912280092591</v>
      </c>
      <c r="B229" t="s">
        <v>399</v>
      </c>
      <c r="C229" t="s">
        <v>850</v>
      </c>
      <c r="D229" s="138">
        <v>3310000</v>
      </c>
      <c r="E229" t="s">
        <v>365</v>
      </c>
      <c r="F229" s="20" t="s">
        <v>366</v>
      </c>
      <c r="G229" s="8" t="str">
        <f t="shared" si="6"/>
        <v>ANDERS STEVEN</v>
      </c>
      <c r="H229" s="20" t="str">
        <f t="shared" si="7"/>
        <v>4017</v>
      </c>
    </row>
    <row r="230" spans="1:8" x14ac:dyDescent="0.3">
      <c r="A230" s="8">
        <v>43035.915520833332</v>
      </c>
      <c r="B230" t="s">
        <v>637</v>
      </c>
      <c r="C230" t="s">
        <v>851</v>
      </c>
      <c r="D230" s="138">
        <v>2230000</v>
      </c>
      <c r="E230" t="s">
        <v>776</v>
      </c>
      <c r="F230" s="20" t="s">
        <v>369</v>
      </c>
      <c r="G230" s="8" t="str">
        <f t="shared" si="6"/>
        <v>SMITH MICHAEL</v>
      </c>
      <c r="H230" s="20" t="str">
        <f t="shared" si="7"/>
        <v>4004</v>
      </c>
    </row>
    <row r="231" spans="1:8" x14ac:dyDescent="0.3">
      <c r="A231" s="8">
        <v>43035.922673611109</v>
      </c>
      <c r="B231" t="s">
        <v>386</v>
      </c>
      <c r="C231" t="s">
        <v>852</v>
      </c>
      <c r="D231" s="138">
        <v>3340000</v>
      </c>
      <c r="E231" t="s">
        <v>423</v>
      </c>
      <c r="F231" s="20" t="s">
        <v>424</v>
      </c>
      <c r="G231" s="8" t="str">
        <f t="shared" si="6"/>
        <v>ELBAUM MIKE</v>
      </c>
      <c r="H231" s="20" t="str">
        <f t="shared" si="7"/>
        <v>4008</v>
      </c>
    </row>
    <row r="232" spans="1:8" x14ac:dyDescent="0.3">
      <c r="A232" s="8">
        <v>43035.928252314814</v>
      </c>
      <c r="B232" t="s">
        <v>492</v>
      </c>
      <c r="C232" t="s">
        <v>853</v>
      </c>
      <c r="D232" s="138">
        <v>2540000</v>
      </c>
      <c r="E232" t="s">
        <v>374</v>
      </c>
      <c r="F232" s="20" t="s">
        <v>375</v>
      </c>
      <c r="G232" s="8" t="str">
        <f t="shared" si="6"/>
        <v>MCREYNOLDS KYLE</v>
      </c>
      <c r="H232" s="20" t="str">
        <f t="shared" si="7"/>
        <v>4035</v>
      </c>
    </row>
    <row r="233" spans="1:8" x14ac:dyDescent="0.3">
      <c r="A233" s="8">
        <v>43035.935601851852</v>
      </c>
      <c r="B233" t="s">
        <v>633</v>
      </c>
      <c r="C233" t="s">
        <v>854</v>
      </c>
      <c r="D233" s="138">
        <v>2230000</v>
      </c>
      <c r="E233" t="s">
        <v>776</v>
      </c>
      <c r="F233" s="20" t="s">
        <v>369</v>
      </c>
      <c r="G233" s="8" t="str">
        <f t="shared" si="6"/>
        <v>SMITH MICHAEL</v>
      </c>
      <c r="H233" s="20" t="str">
        <f t="shared" si="7"/>
        <v>4003</v>
      </c>
    </row>
    <row r="234" spans="1:8" x14ac:dyDescent="0.3">
      <c r="A234" s="8">
        <v>43035.936284722222</v>
      </c>
      <c r="B234" t="s">
        <v>633</v>
      </c>
      <c r="C234" t="s">
        <v>855</v>
      </c>
      <c r="D234" s="138">
        <v>2230000</v>
      </c>
      <c r="E234" t="s">
        <v>776</v>
      </c>
      <c r="F234" s="20" t="s">
        <v>369</v>
      </c>
      <c r="G234" s="8" t="str">
        <f t="shared" si="6"/>
        <v>SMITH MICHAEL</v>
      </c>
      <c r="H234" s="20" t="str">
        <f t="shared" si="7"/>
        <v>4003</v>
      </c>
    </row>
    <row r="235" spans="1:8" x14ac:dyDescent="0.3">
      <c r="A235" s="8">
        <v>43035.946770833332</v>
      </c>
      <c r="B235" t="s">
        <v>396</v>
      </c>
      <c r="C235" t="s">
        <v>856</v>
      </c>
      <c r="D235" s="138">
        <v>3310000</v>
      </c>
      <c r="E235" t="s">
        <v>365</v>
      </c>
      <c r="F235" s="20" t="s">
        <v>366</v>
      </c>
      <c r="G235" s="8" t="str">
        <f t="shared" si="6"/>
        <v>ANDERS STEVEN</v>
      </c>
      <c r="H235" s="20" t="str">
        <f t="shared" si="7"/>
        <v>4018</v>
      </c>
    </row>
    <row r="236" spans="1:8" x14ac:dyDescent="0.3">
      <c r="A236" s="8">
        <v>43035.953240740739</v>
      </c>
      <c r="B236" t="s">
        <v>397</v>
      </c>
      <c r="C236" t="s">
        <v>857</v>
      </c>
      <c r="D236" s="138">
        <v>3320000</v>
      </c>
      <c r="E236" t="s">
        <v>421</v>
      </c>
      <c r="F236" s="20" t="s">
        <v>422</v>
      </c>
      <c r="G236" s="8" t="str">
        <f t="shared" si="6"/>
        <v>NICHOLSON WESLEY</v>
      </c>
      <c r="H236" s="20" t="str">
        <f t="shared" si="7"/>
        <v>4005</v>
      </c>
    </row>
    <row r="237" spans="1:8" x14ac:dyDescent="0.3">
      <c r="A237" s="8">
        <v>43035.960173611114</v>
      </c>
      <c r="B237" t="s">
        <v>637</v>
      </c>
      <c r="C237" t="s">
        <v>854</v>
      </c>
      <c r="D237" s="138">
        <v>2230000</v>
      </c>
      <c r="E237" t="s">
        <v>776</v>
      </c>
      <c r="F237" s="20" t="s">
        <v>369</v>
      </c>
      <c r="G237" s="8" t="str">
        <f t="shared" si="6"/>
        <v>SMITH MICHAEL</v>
      </c>
      <c r="H237" s="20" t="str">
        <f t="shared" si="7"/>
        <v>4004</v>
      </c>
    </row>
    <row r="238" spans="1:8" x14ac:dyDescent="0.3">
      <c r="A238" s="8">
        <v>43035.963391203702</v>
      </c>
      <c r="B238" t="s">
        <v>398</v>
      </c>
      <c r="C238" t="s">
        <v>858</v>
      </c>
      <c r="D238" s="138">
        <v>3340000</v>
      </c>
      <c r="E238" t="s">
        <v>423</v>
      </c>
      <c r="F238" s="20" t="s">
        <v>424</v>
      </c>
      <c r="G238" s="8" t="str">
        <f t="shared" si="6"/>
        <v>ELBAUM MIKE</v>
      </c>
      <c r="H238" s="20" t="str">
        <f t="shared" si="7"/>
        <v>4007</v>
      </c>
    </row>
    <row r="239" spans="1:8" x14ac:dyDescent="0.3">
      <c r="A239" s="8">
        <v>43035.966284722221</v>
      </c>
      <c r="B239" t="s">
        <v>489</v>
      </c>
      <c r="C239" t="s">
        <v>859</v>
      </c>
      <c r="D239" s="138">
        <v>2540000</v>
      </c>
      <c r="E239" t="s">
        <v>374</v>
      </c>
      <c r="F239" s="20" t="s">
        <v>375</v>
      </c>
      <c r="G239" s="8" t="str">
        <f t="shared" si="6"/>
        <v>MCREYNOLDS KYLE</v>
      </c>
      <c r="H239" s="20" t="str">
        <f t="shared" si="7"/>
        <v>4036</v>
      </c>
    </row>
    <row r="240" spans="1:8" x14ac:dyDescent="0.3">
      <c r="A240" s="8">
        <v>43035.976620370369</v>
      </c>
      <c r="B240" t="s">
        <v>633</v>
      </c>
      <c r="C240" t="s">
        <v>860</v>
      </c>
      <c r="D240" s="138">
        <v>2230000</v>
      </c>
      <c r="E240" t="s">
        <v>776</v>
      </c>
      <c r="F240" s="20" t="s">
        <v>369</v>
      </c>
      <c r="G240" s="8" t="str">
        <f t="shared" si="6"/>
        <v>SMITH MICHAEL</v>
      </c>
      <c r="H240" s="20" t="str">
        <f t="shared" si="7"/>
        <v>4003</v>
      </c>
    </row>
    <row r="241" spans="1:8" x14ac:dyDescent="0.3">
      <c r="A241" s="8">
        <v>43035.987847222219</v>
      </c>
      <c r="B241" t="s">
        <v>399</v>
      </c>
      <c r="C241" t="s">
        <v>861</v>
      </c>
      <c r="D241" s="138">
        <v>3310000</v>
      </c>
      <c r="E241" t="s">
        <v>365</v>
      </c>
      <c r="F241" s="20" t="s">
        <v>366</v>
      </c>
      <c r="G241" s="8" t="str">
        <f t="shared" si="6"/>
        <v>ANDERS STEVEN</v>
      </c>
      <c r="H241" s="20" t="str">
        <f t="shared" si="7"/>
        <v>4017</v>
      </c>
    </row>
    <row r="242" spans="1:8" x14ac:dyDescent="0.3">
      <c r="A242" s="8">
        <v>43035.988437499997</v>
      </c>
      <c r="B242" t="s">
        <v>403</v>
      </c>
      <c r="C242" t="s">
        <v>862</v>
      </c>
      <c r="D242" s="138">
        <v>3320000</v>
      </c>
      <c r="E242" t="s">
        <v>421</v>
      </c>
      <c r="F242" s="20" t="s">
        <v>422</v>
      </c>
      <c r="G242" s="8" t="str">
        <f t="shared" si="6"/>
        <v>NICHOLSON WESLEY</v>
      </c>
      <c r="H242" s="20" t="str">
        <f t="shared" si="7"/>
        <v>4006</v>
      </c>
    </row>
    <row r="243" spans="1:8" x14ac:dyDescent="0.3">
      <c r="A243" s="8">
        <v>43036.004513888889</v>
      </c>
      <c r="B243" t="s">
        <v>386</v>
      </c>
      <c r="C243" t="s">
        <v>863</v>
      </c>
      <c r="D243" s="138">
        <v>3340000</v>
      </c>
      <c r="E243" t="s">
        <v>423</v>
      </c>
      <c r="F243" s="20" t="s">
        <v>424</v>
      </c>
      <c r="G243" s="8" t="str">
        <f t="shared" si="6"/>
        <v>ELBAUM MIKE</v>
      </c>
      <c r="H243" s="20" t="str">
        <f t="shared" si="7"/>
        <v>4008</v>
      </c>
    </row>
    <row r="244" spans="1:8" x14ac:dyDescent="0.3">
      <c r="A244" s="8">
        <v>43036.013831018521</v>
      </c>
      <c r="B244" t="s">
        <v>492</v>
      </c>
      <c r="C244" t="s">
        <v>864</v>
      </c>
      <c r="D244" s="138">
        <v>2540000</v>
      </c>
      <c r="E244" t="s">
        <v>374</v>
      </c>
      <c r="F244" s="20" t="s">
        <v>375</v>
      </c>
      <c r="G244" s="8" t="str">
        <f t="shared" si="6"/>
        <v>MCREYNOLDS KYLE</v>
      </c>
      <c r="H244" s="20" t="str">
        <f t="shared" si="7"/>
        <v>4035</v>
      </c>
    </row>
    <row r="245" spans="1:8" x14ac:dyDescent="0.3">
      <c r="A245" s="8">
        <v>43036.027407407404</v>
      </c>
      <c r="B245" t="s">
        <v>396</v>
      </c>
      <c r="C245" t="s">
        <v>865</v>
      </c>
      <c r="D245" s="138">
        <v>3310000</v>
      </c>
      <c r="E245" t="s">
        <v>365</v>
      </c>
      <c r="F245" s="20" t="s">
        <v>366</v>
      </c>
      <c r="G245" s="8" t="str">
        <f t="shared" si="6"/>
        <v>ANDERS STEVEN</v>
      </c>
      <c r="H245" s="20" t="str">
        <f t="shared" si="7"/>
        <v>4018</v>
      </c>
    </row>
    <row r="246" spans="1:8" x14ac:dyDescent="0.3">
      <c r="A246" s="8">
        <v>43036.037106481483</v>
      </c>
      <c r="B246" t="s">
        <v>397</v>
      </c>
      <c r="C246" t="s">
        <v>866</v>
      </c>
      <c r="D246" s="138">
        <v>3320000</v>
      </c>
      <c r="E246" t="s">
        <v>421</v>
      </c>
      <c r="F246" s="20" t="s">
        <v>422</v>
      </c>
      <c r="G246" s="8" t="str">
        <f t="shared" si="6"/>
        <v>NICHOLSON WESLEY</v>
      </c>
      <c r="H246" s="20" t="str">
        <f t="shared" si="7"/>
        <v>4005</v>
      </c>
    </row>
    <row r="247" spans="1:8" x14ac:dyDescent="0.3">
      <c r="A247" s="8">
        <v>43036.046701388892</v>
      </c>
      <c r="B247" t="s">
        <v>398</v>
      </c>
      <c r="C247" t="s">
        <v>867</v>
      </c>
      <c r="D247" s="138">
        <v>3340000</v>
      </c>
      <c r="E247" t="s">
        <v>423</v>
      </c>
      <c r="F247" s="20" t="s">
        <v>424</v>
      </c>
      <c r="G247" s="8" t="str">
        <f t="shared" si="6"/>
        <v>ELBAUM MIKE</v>
      </c>
      <c r="H247" s="20" t="str">
        <f t="shared" si="7"/>
        <v>4007</v>
      </c>
    </row>
    <row r="248" spans="1:8" x14ac:dyDescent="0.3">
      <c r="A248" s="8">
        <v>43036.048333333332</v>
      </c>
      <c r="B248" t="s">
        <v>489</v>
      </c>
      <c r="C248" t="s">
        <v>868</v>
      </c>
      <c r="D248" s="138">
        <v>2540000</v>
      </c>
      <c r="E248" t="s">
        <v>374</v>
      </c>
      <c r="F248" s="20" t="s">
        <v>375</v>
      </c>
      <c r="G248" s="8" t="str">
        <f t="shared" si="6"/>
        <v>MCREYNOLDS KYLE</v>
      </c>
      <c r="H248" s="20" t="str">
        <f t="shared" si="7"/>
        <v>4036</v>
      </c>
    </row>
    <row r="249" spans="1:8" x14ac:dyDescent="0.3">
      <c r="A249" s="8">
        <v>43036.069849537038</v>
      </c>
      <c r="B249" t="s">
        <v>399</v>
      </c>
      <c r="C249" t="s">
        <v>869</v>
      </c>
      <c r="D249" s="138">
        <v>3310000</v>
      </c>
      <c r="E249" t="s">
        <v>365</v>
      </c>
      <c r="F249" s="20" t="s">
        <v>366</v>
      </c>
      <c r="G249" s="8" t="str">
        <f t="shared" si="6"/>
        <v>ANDERS STEVEN</v>
      </c>
      <c r="H249" s="20" t="str">
        <f t="shared" si="7"/>
        <v>4017</v>
      </c>
    </row>
    <row r="250" spans="1:8" x14ac:dyDescent="0.3">
      <c r="A250" s="8">
        <v>43036.070138888892</v>
      </c>
      <c r="B250" t="s">
        <v>403</v>
      </c>
      <c r="C250" t="s">
        <v>870</v>
      </c>
      <c r="D250" s="138">
        <v>3320000</v>
      </c>
      <c r="E250" t="s">
        <v>421</v>
      </c>
      <c r="F250" s="20" t="s">
        <v>422</v>
      </c>
      <c r="G250" s="8" t="str">
        <f t="shared" si="6"/>
        <v>NICHOLSON WESLEY</v>
      </c>
      <c r="H250" s="20" t="str">
        <f t="shared" si="7"/>
        <v>4006</v>
      </c>
    </row>
    <row r="251" spans="1:8" x14ac:dyDescent="0.3">
      <c r="A251" s="8">
        <v>43036.087268518517</v>
      </c>
      <c r="B251" t="s">
        <v>386</v>
      </c>
      <c r="C251" t="s">
        <v>871</v>
      </c>
      <c r="D251" s="138">
        <v>3340000</v>
      </c>
      <c r="E251" t="s">
        <v>423</v>
      </c>
      <c r="F251" s="20" t="s">
        <v>424</v>
      </c>
      <c r="G251" s="8" t="str">
        <f t="shared" si="6"/>
        <v>ELBAUM MIKE</v>
      </c>
      <c r="H251" s="20" t="str">
        <f t="shared" si="7"/>
        <v>4008</v>
      </c>
    </row>
    <row r="252" spans="1:8" x14ac:dyDescent="0.3">
      <c r="A252" s="8">
        <v>43036.109155092592</v>
      </c>
      <c r="B252" t="s">
        <v>396</v>
      </c>
      <c r="C252" t="s">
        <v>872</v>
      </c>
      <c r="D252" s="138">
        <v>3310000</v>
      </c>
      <c r="E252" t="s">
        <v>365</v>
      </c>
      <c r="F252" s="20" t="s">
        <v>366</v>
      </c>
      <c r="G252" s="8" t="str">
        <f t="shared" si="6"/>
        <v>ANDERS STEVEN</v>
      </c>
      <c r="H252" s="20" t="str">
        <f t="shared" si="7"/>
        <v>4018</v>
      </c>
    </row>
    <row r="253" spans="1:8" x14ac:dyDescent="0.3">
      <c r="A253" s="8">
        <v>43036.114421296297</v>
      </c>
      <c r="B253" t="s">
        <v>873</v>
      </c>
      <c r="C253" t="s">
        <v>874</v>
      </c>
      <c r="D253" s="138">
        <v>3120000</v>
      </c>
      <c r="E253" t="s">
        <v>875</v>
      </c>
      <c r="F253" s="20" t="s">
        <v>876</v>
      </c>
      <c r="G253" s="8" t="str">
        <f t="shared" si="6"/>
        <v>THOMPSON LESTER</v>
      </c>
      <c r="H253" s="20" t="str">
        <f t="shared" si="7"/>
        <v>4063</v>
      </c>
    </row>
    <row r="254" spans="1:8" x14ac:dyDescent="0.3">
      <c r="A254" s="8">
        <v>43034.048090277778</v>
      </c>
      <c r="B254" t="s">
        <v>492</v>
      </c>
      <c r="C254" t="s">
        <v>519</v>
      </c>
      <c r="D254" s="138">
        <v>3310000</v>
      </c>
      <c r="E254" t="s">
        <v>365</v>
      </c>
      <c r="F254" s="20" t="s">
        <v>366</v>
      </c>
      <c r="G254" s="8" t="str">
        <f t="shared" si="6"/>
        <v>ANDERS STEVEN</v>
      </c>
      <c r="H254" s="20" t="str">
        <f t="shared" si="7"/>
        <v>4035</v>
      </c>
    </row>
    <row r="255" spans="1:8" x14ac:dyDescent="0.3">
      <c r="A255" s="8">
        <v>43034.048842592594</v>
      </c>
      <c r="B255" t="s">
        <v>478</v>
      </c>
      <c r="C255" t="s">
        <v>520</v>
      </c>
      <c r="D255" s="138">
        <v>2440000</v>
      </c>
      <c r="E255" t="s">
        <v>448</v>
      </c>
      <c r="F255" s="20" t="s">
        <v>449</v>
      </c>
      <c r="G255" s="8" t="str">
        <f t="shared" si="6"/>
        <v>LOPES KIMBERLY</v>
      </c>
      <c r="H255" s="20" t="str">
        <f t="shared" si="7"/>
        <v>4050</v>
      </c>
    </row>
    <row r="256" spans="1:8" x14ac:dyDescent="0.3">
      <c r="A256" s="8">
        <v>43034.069826388892</v>
      </c>
      <c r="B256" t="s">
        <v>396</v>
      </c>
      <c r="C256" t="s">
        <v>521</v>
      </c>
      <c r="D256" s="138">
        <v>890000</v>
      </c>
      <c r="E256" t="s">
        <v>353</v>
      </c>
      <c r="F256" s="20" t="s">
        <v>354</v>
      </c>
      <c r="G256" s="8" t="str">
        <f t="shared" si="6"/>
        <v>LOZA FIDEL</v>
      </c>
      <c r="H256" s="20" t="str">
        <f t="shared" si="7"/>
        <v>4018</v>
      </c>
    </row>
    <row r="257" spans="1:8" x14ac:dyDescent="0.3">
      <c r="A257" s="8">
        <v>43034.089629629627</v>
      </c>
      <c r="B257" t="s">
        <v>489</v>
      </c>
      <c r="C257" t="s">
        <v>522</v>
      </c>
      <c r="D257" s="138">
        <v>3310000</v>
      </c>
      <c r="E257" t="s">
        <v>365</v>
      </c>
      <c r="F257" s="20" t="s">
        <v>366</v>
      </c>
      <c r="G257" s="8" t="str">
        <f t="shared" si="6"/>
        <v>ANDERS STEVEN</v>
      </c>
      <c r="H257" s="20" t="str">
        <f t="shared" si="7"/>
        <v>4036</v>
      </c>
    </row>
    <row r="258" spans="1:8" x14ac:dyDescent="0.3">
      <c r="A258" s="8">
        <v>43034.113923611112</v>
      </c>
      <c r="B258" t="s">
        <v>413</v>
      </c>
      <c r="C258" t="s">
        <v>523</v>
      </c>
      <c r="D258" s="138">
        <v>1830000</v>
      </c>
      <c r="E258" t="s">
        <v>360</v>
      </c>
      <c r="F258" s="20" t="s">
        <v>361</v>
      </c>
      <c r="G258" s="8" t="str">
        <f t="shared" si="6"/>
        <v>YORK EDGAR</v>
      </c>
      <c r="H258" s="20" t="str">
        <f t="shared" si="7"/>
        <v>4023</v>
      </c>
    </row>
    <row r="259" spans="1:8" x14ac:dyDescent="0.3">
      <c r="A259" s="8">
        <v>43027.773113425923</v>
      </c>
      <c r="B259" t="s">
        <v>412</v>
      </c>
      <c r="C259" t="s">
        <v>425</v>
      </c>
      <c r="D259" s="138">
        <v>3280000</v>
      </c>
      <c r="E259" t="s">
        <v>394</v>
      </c>
      <c r="F259" s="20" t="s">
        <v>395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3">
      <c r="A260" s="8">
        <v>43027.773506944446</v>
      </c>
      <c r="B260" t="s">
        <v>397</v>
      </c>
      <c r="C260" t="s">
        <v>426</v>
      </c>
      <c r="D260" s="138">
        <v>890000</v>
      </c>
      <c r="E260" t="s">
        <v>353</v>
      </c>
      <c r="F260" s="20" t="s">
        <v>354</v>
      </c>
      <c r="G260" s="8" t="str">
        <f t="shared" si="8"/>
        <v>LOZA FIDEL</v>
      </c>
      <c r="H260" s="20" t="str">
        <f t="shared" si="9"/>
        <v>4005</v>
      </c>
    </row>
    <row r="261" spans="1:8" x14ac:dyDescent="0.3">
      <c r="A261" s="8">
        <v>43027.776759259257</v>
      </c>
      <c r="B261" t="s">
        <v>417</v>
      </c>
      <c r="C261" t="s">
        <v>427</v>
      </c>
      <c r="D261" s="138">
        <v>1300000</v>
      </c>
      <c r="E261" t="s">
        <v>392</v>
      </c>
      <c r="F261" s="20" t="s">
        <v>393</v>
      </c>
      <c r="G261" s="8" t="str">
        <f t="shared" si="8"/>
        <v>LEVIN SCOTT</v>
      </c>
      <c r="H261" s="20" t="str">
        <f t="shared" si="9"/>
        <v>4016</v>
      </c>
    </row>
    <row r="262" spans="1:8" x14ac:dyDescent="0.3">
      <c r="A262" s="8">
        <v>43027.785277777781</v>
      </c>
      <c r="B262" t="s">
        <v>373</v>
      </c>
      <c r="C262" t="s">
        <v>415</v>
      </c>
      <c r="D262" s="138">
        <v>2420000</v>
      </c>
      <c r="E262" t="s">
        <v>406</v>
      </c>
      <c r="F262" s="20" t="s">
        <v>407</v>
      </c>
      <c r="G262" s="8" t="str">
        <f t="shared" si="8"/>
        <v>HOLCOMB KAMDEN</v>
      </c>
      <c r="H262" s="20" t="str">
        <f t="shared" si="9"/>
        <v>4065</v>
      </c>
    </row>
    <row r="263" spans="1:8" x14ac:dyDescent="0.3">
      <c r="A263" s="8">
        <v>43027.787210648145</v>
      </c>
      <c r="B263" t="s">
        <v>414</v>
      </c>
      <c r="C263" t="s">
        <v>428</v>
      </c>
      <c r="D263" s="138">
        <v>3340000</v>
      </c>
      <c r="E263" t="s">
        <v>423</v>
      </c>
      <c r="F263" s="20" t="s">
        <v>424</v>
      </c>
      <c r="G263" s="8" t="str">
        <f t="shared" si="8"/>
        <v>ELBAUM MIKE</v>
      </c>
      <c r="H263" s="20" t="str">
        <f t="shared" si="9"/>
        <v>4057</v>
      </c>
    </row>
    <row r="264" spans="1:8" x14ac:dyDescent="0.3">
      <c r="A264" s="8">
        <v>43027.787766203706</v>
      </c>
      <c r="B264" t="s">
        <v>386</v>
      </c>
      <c r="C264" t="s">
        <v>429</v>
      </c>
      <c r="D264" s="138">
        <v>1360000</v>
      </c>
      <c r="E264" t="s">
        <v>430</v>
      </c>
      <c r="F264" s="20" t="s">
        <v>431</v>
      </c>
      <c r="G264" s="8" t="str">
        <f t="shared" si="8"/>
        <v>SANTIZO D. EDY</v>
      </c>
      <c r="H264" s="20" t="str">
        <f t="shared" si="9"/>
        <v>4008</v>
      </c>
    </row>
    <row r="265" spans="1:8" x14ac:dyDescent="0.3">
      <c r="A265" s="8">
        <v>43027.789629629631</v>
      </c>
      <c r="B265" t="s">
        <v>413</v>
      </c>
      <c r="C265" t="s">
        <v>432</v>
      </c>
      <c r="D265" s="138">
        <v>3280000</v>
      </c>
      <c r="E265" t="s">
        <v>394</v>
      </c>
      <c r="F265" s="20" t="s">
        <v>395</v>
      </c>
      <c r="G265" s="8" t="str">
        <f t="shared" si="8"/>
        <v>BIRKHOLZ NADINE</v>
      </c>
      <c r="H265" s="20" t="str">
        <f t="shared" si="9"/>
        <v>4023</v>
      </c>
    </row>
    <row r="266" spans="1:8" x14ac:dyDescent="0.3">
      <c r="A266" s="8">
        <v>43027.793182870373</v>
      </c>
      <c r="B266" t="s">
        <v>401</v>
      </c>
      <c r="C266" t="s">
        <v>433</v>
      </c>
      <c r="D266" s="138">
        <v>2600000</v>
      </c>
      <c r="E266" t="s">
        <v>434</v>
      </c>
      <c r="F266" s="20" t="s">
        <v>419</v>
      </c>
      <c r="G266" s="8" t="str">
        <f t="shared" si="8"/>
        <v>DAVIDSON DAVID</v>
      </c>
      <c r="H266" s="20" t="str">
        <f t="shared" si="9"/>
        <v>4044</v>
      </c>
    </row>
    <row r="267" spans="1:8" x14ac:dyDescent="0.3">
      <c r="A267" s="8">
        <v>43027.794131944444</v>
      </c>
      <c r="B267" t="s">
        <v>401</v>
      </c>
      <c r="C267" t="s">
        <v>433</v>
      </c>
      <c r="D267" s="138">
        <v>2600000</v>
      </c>
      <c r="E267" t="s">
        <v>434</v>
      </c>
      <c r="F267" s="20" t="s">
        <v>419</v>
      </c>
      <c r="G267" s="8" t="str">
        <f t="shared" si="8"/>
        <v>DAVIDSON DAVID</v>
      </c>
      <c r="H267" s="20" t="str">
        <f t="shared" si="9"/>
        <v>4044</v>
      </c>
    </row>
    <row r="268" spans="1:8" x14ac:dyDescent="0.3">
      <c r="A268" s="8">
        <v>43027.795173611114</v>
      </c>
      <c r="B268" t="s">
        <v>401</v>
      </c>
      <c r="C268" t="s">
        <v>435</v>
      </c>
      <c r="D268" s="138">
        <v>2600000</v>
      </c>
      <c r="E268" t="s">
        <v>434</v>
      </c>
      <c r="F268" s="20" t="s">
        <v>419</v>
      </c>
      <c r="G268" s="8" t="str">
        <f t="shared" si="8"/>
        <v>DAVIDSON DAVID</v>
      </c>
      <c r="H268" s="20" t="str">
        <f t="shared" si="9"/>
        <v>4044</v>
      </c>
    </row>
    <row r="269" spans="1:8" x14ac:dyDescent="0.3">
      <c r="A269" s="8">
        <v>43027.799062500002</v>
      </c>
      <c r="B269" t="s">
        <v>418</v>
      </c>
      <c r="C269" t="s">
        <v>436</v>
      </c>
      <c r="D269" s="138">
        <v>1180000</v>
      </c>
      <c r="E269" t="s">
        <v>390</v>
      </c>
      <c r="F269" s="20" t="s">
        <v>391</v>
      </c>
      <c r="G269" s="8" t="str">
        <f t="shared" si="8"/>
        <v>LEVERE CRAIG</v>
      </c>
      <c r="H269" s="20" t="str">
        <f t="shared" si="9"/>
        <v>4014</v>
      </c>
    </row>
    <row r="270" spans="1:8" x14ac:dyDescent="0.3">
      <c r="A270" s="8">
        <v>43027.800520833334</v>
      </c>
      <c r="B270" t="s">
        <v>373</v>
      </c>
      <c r="C270" t="s">
        <v>415</v>
      </c>
      <c r="D270" s="138">
        <v>2420000</v>
      </c>
      <c r="E270" t="s">
        <v>406</v>
      </c>
      <c r="F270" s="20" t="s">
        <v>407</v>
      </c>
      <c r="G270" s="8" t="str">
        <f t="shared" si="8"/>
        <v>HOLCOMB KAMDEN</v>
      </c>
      <c r="H270" s="20" t="str">
        <f t="shared" si="9"/>
        <v>4065</v>
      </c>
    </row>
    <row r="271" spans="1:8" x14ac:dyDescent="0.3">
      <c r="A271" s="8">
        <v>43027.804224537038</v>
      </c>
      <c r="B271" t="s">
        <v>399</v>
      </c>
      <c r="C271" t="s">
        <v>437</v>
      </c>
      <c r="D271" s="138">
        <v>2540000</v>
      </c>
      <c r="E271" t="s">
        <v>374</v>
      </c>
      <c r="F271" s="20" t="s">
        <v>375</v>
      </c>
      <c r="G271" s="8" t="str">
        <f t="shared" si="8"/>
        <v>MCREYNOLDS KYLE</v>
      </c>
      <c r="H271" s="20" t="str">
        <f t="shared" si="9"/>
        <v>4017</v>
      </c>
    </row>
    <row r="272" spans="1:8" x14ac:dyDescent="0.3">
      <c r="A272" s="8">
        <v>43027.810300925928</v>
      </c>
      <c r="B272" t="s">
        <v>400</v>
      </c>
      <c r="C272" t="s">
        <v>433</v>
      </c>
      <c r="D272" s="138">
        <v>2600000</v>
      </c>
      <c r="E272" t="s">
        <v>434</v>
      </c>
      <c r="F272" s="20" t="s">
        <v>419</v>
      </c>
      <c r="G272" s="8" t="str">
        <f t="shared" si="8"/>
        <v>DAVIDSON DAVID</v>
      </c>
      <c r="H272" s="20" t="str">
        <f t="shared" si="9"/>
        <v>4043</v>
      </c>
    </row>
    <row r="273" spans="1:8" x14ac:dyDescent="0.3">
      <c r="A273" s="8">
        <v>43027.810370370367</v>
      </c>
      <c r="B273" t="s">
        <v>403</v>
      </c>
      <c r="C273" t="s">
        <v>438</v>
      </c>
      <c r="D273" s="138">
        <v>890000</v>
      </c>
      <c r="E273" t="s">
        <v>353</v>
      </c>
      <c r="F273" s="20" t="s">
        <v>354</v>
      </c>
      <c r="G273" s="8" t="str">
        <f t="shared" si="8"/>
        <v>LOZA FIDEL</v>
      </c>
      <c r="H273" s="20" t="str">
        <f t="shared" si="9"/>
        <v>4006</v>
      </c>
    </row>
    <row r="274" spans="1:8" x14ac:dyDescent="0.3">
      <c r="A274" s="8">
        <v>43027.819351851853</v>
      </c>
      <c r="B274" t="s">
        <v>398</v>
      </c>
      <c r="C274" t="s">
        <v>439</v>
      </c>
      <c r="D274" s="138">
        <v>1360000</v>
      </c>
      <c r="E274" t="s">
        <v>430</v>
      </c>
      <c r="F274" s="20" t="s">
        <v>431</v>
      </c>
      <c r="G274" s="8" t="str">
        <f t="shared" si="8"/>
        <v>SANTIZO D. EDY</v>
      </c>
      <c r="H274" s="20" t="str">
        <f t="shared" si="9"/>
        <v>4007</v>
      </c>
    </row>
    <row r="275" spans="1:8" x14ac:dyDescent="0.3">
      <c r="A275" s="8">
        <v>43027.82068287037</v>
      </c>
      <c r="B275" t="s">
        <v>372</v>
      </c>
      <c r="C275" t="s">
        <v>440</v>
      </c>
      <c r="D275" s="138">
        <v>2420000</v>
      </c>
      <c r="E275" t="s">
        <v>406</v>
      </c>
      <c r="F275" s="20" t="s">
        <v>407</v>
      </c>
      <c r="G275" s="8" t="str">
        <f t="shared" si="8"/>
        <v>HOLCOMB KAMDEN</v>
      </c>
      <c r="H275" s="20" t="str">
        <f t="shared" si="9"/>
        <v>4066</v>
      </c>
    </row>
    <row r="276" spans="1:8" x14ac:dyDescent="0.3">
      <c r="A276" s="8">
        <v>43027.825115740743</v>
      </c>
      <c r="B276" t="s">
        <v>389</v>
      </c>
      <c r="C276" t="s">
        <v>420</v>
      </c>
      <c r="D276" s="138">
        <v>3320000</v>
      </c>
      <c r="E276" t="s">
        <v>421</v>
      </c>
      <c r="F276" s="20" t="s">
        <v>422</v>
      </c>
      <c r="G276" s="8" t="str">
        <f t="shared" si="8"/>
        <v>NICHOLSON WESLEY</v>
      </c>
      <c r="H276" s="20" t="str">
        <f t="shared" si="9"/>
        <v>4010</v>
      </c>
    </row>
    <row r="277" spans="1:8" x14ac:dyDescent="0.3">
      <c r="A277" s="8">
        <v>43027.827708333331</v>
      </c>
      <c r="B277" t="s">
        <v>411</v>
      </c>
      <c r="C277" t="s">
        <v>441</v>
      </c>
      <c r="D277" s="138">
        <v>3340000</v>
      </c>
      <c r="E277" t="s">
        <v>423</v>
      </c>
      <c r="F277" s="20" t="s">
        <v>424</v>
      </c>
      <c r="G277" s="8" t="str">
        <f t="shared" si="8"/>
        <v>ELBAUM MIKE</v>
      </c>
      <c r="H277" s="20" t="str">
        <f t="shared" si="9"/>
        <v>4058</v>
      </c>
    </row>
    <row r="278" spans="1:8" x14ac:dyDescent="0.3">
      <c r="A278" s="8">
        <v>43027.830347222225</v>
      </c>
      <c r="B278" t="s">
        <v>388</v>
      </c>
      <c r="C278" t="s">
        <v>420</v>
      </c>
      <c r="D278" s="138">
        <v>3320000</v>
      </c>
      <c r="E278" t="s">
        <v>421</v>
      </c>
      <c r="F278" s="20" t="s">
        <v>422</v>
      </c>
      <c r="G278" s="8" t="str">
        <f t="shared" si="8"/>
        <v>NICHOLSON WESLEY</v>
      </c>
      <c r="H278" s="20" t="str">
        <f t="shared" si="9"/>
        <v>4009</v>
      </c>
    </row>
    <row r="279" spans="1:8" x14ac:dyDescent="0.3">
      <c r="A279" s="8">
        <v>43027.836145833331</v>
      </c>
      <c r="B279" t="s">
        <v>401</v>
      </c>
      <c r="C279" t="s">
        <v>442</v>
      </c>
      <c r="D279" s="138">
        <v>3130000</v>
      </c>
      <c r="E279" t="s">
        <v>408</v>
      </c>
      <c r="F279" s="20" t="s">
        <v>409</v>
      </c>
      <c r="G279" s="8" t="str">
        <f t="shared" si="8"/>
        <v>ZEWDU DEREJE</v>
      </c>
      <c r="H279" s="20" t="str">
        <f t="shared" si="9"/>
        <v>4044</v>
      </c>
    </row>
    <row r="280" spans="1:8" x14ac:dyDescent="0.3">
      <c r="A280" s="8">
        <v>43027.849907407406</v>
      </c>
      <c r="B280" t="s">
        <v>397</v>
      </c>
      <c r="C280" t="s">
        <v>443</v>
      </c>
      <c r="D280" s="138">
        <v>890000</v>
      </c>
      <c r="E280" t="s">
        <v>353</v>
      </c>
      <c r="F280" s="20" t="s">
        <v>354</v>
      </c>
      <c r="G280" s="8" t="str">
        <f t="shared" si="8"/>
        <v>LOZA FIDEL</v>
      </c>
      <c r="H280" s="20" t="str">
        <f t="shared" si="9"/>
        <v>4005</v>
      </c>
    </row>
    <row r="281" spans="1:8" x14ac:dyDescent="0.3">
      <c r="A281" s="8">
        <v>43027.850057870368</v>
      </c>
      <c r="B281" t="s">
        <v>389</v>
      </c>
      <c r="C281" t="s">
        <v>444</v>
      </c>
      <c r="D281" s="138">
        <v>2540000</v>
      </c>
      <c r="E281" t="s">
        <v>374</v>
      </c>
      <c r="F281" s="20" t="s">
        <v>375</v>
      </c>
      <c r="G281" s="8" t="str">
        <f t="shared" si="8"/>
        <v>MCREYNOLDS KYLE</v>
      </c>
      <c r="H281" s="20" t="str">
        <f t="shared" si="9"/>
        <v>4010</v>
      </c>
    </row>
    <row r="282" spans="1:8" x14ac:dyDescent="0.3">
      <c r="A282" s="8">
        <v>43027.851134259261</v>
      </c>
      <c r="B282" t="s">
        <v>400</v>
      </c>
      <c r="C282" t="s">
        <v>445</v>
      </c>
      <c r="D282" s="138">
        <v>3130000</v>
      </c>
      <c r="E282" t="s">
        <v>408</v>
      </c>
      <c r="F282" s="20" t="s">
        <v>409</v>
      </c>
      <c r="G282" s="8" t="str">
        <f t="shared" si="8"/>
        <v>ZEWDU DEREJE</v>
      </c>
      <c r="H282" s="20" t="str">
        <f t="shared" si="9"/>
        <v>4043</v>
      </c>
    </row>
    <row r="283" spans="1:8" x14ac:dyDescent="0.3">
      <c r="A283" s="8">
        <v>43027.859826388885</v>
      </c>
      <c r="B283" t="s">
        <v>414</v>
      </c>
      <c r="C283" t="s">
        <v>416</v>
      </c>
      <c r="D283" s="138">
        <v>3340000</v>
      </c>
      <c r="E283" t="s">
        <v>423</v>
      </c>
      <c r="F283" s="20" t="s">
        <v>424</v>
      </c>
      <c r="G283" s="8" t="str">
        <f t="shared" si="8"/>
        <v>ELBAUM MIKE</v>
      </c>
      <c r="H283" s="20" t="str">
        <f t="shared" si="9"/>
        <v>4057</v>
      </c>
    </row>
    <row r="284" spans="1:8" x14ac:dyDescent="0.3">
      <c r="A284" s="8">
        <v>43027.871770833335</v>
      </c>
      <c r="B284" t="s">
        <v>386</v>
      </c>
      <c r="C284" t="s">
        <v>446</v>
      </c>
      <c r="D284" s="138">
        <v>3310000</v>
      </c>
      <c r="E284" t="s">
        <v>365</v>
      </c>
      <c r="F284" s="20" t="s">
        <v>366</v>
      </c>
      <c r="G284" s="8" t="str">
        <f t="shared" si="8"/>
        <v>ANDERS STEVEN</v>
      </c>
      <c r="H284" s="20" t="str">
        <f t="shared" si="9"/>
        <v>4008</v>
      </c>
    </row>
    <row r="285" spans="1:8" x14ac:dyDescent="0.3">
      <c r="A285" s="8">
        <v>43027.874143518522</v>
      </c>
      <c r="B285" t="s">
        <v>401</v>
      </c>
      <c r="C285" t="s">
        <v>447</v>
      </c>
      <c r="D285" s="138">
        <v>2440000</v>
      </c>
      <c r="E285" t="s">
        <v>448</v>
      </c>
      <c r="F285" s="20" t="s">
        <v>449</v>
      </c>
      <c r="G285" s="8" t="str">
        <f t="shared" si="8"/>
        <v>LOPES KIMBERLY</v>
      </c>
      <c r="H285" s="20" t="str">
        <f t="shared" si="9"/>
        <v>4044</v>
      </c>
    </row>
    <row r="286" spans="1:8" x14ac:dyDescent="0.3">
      <c r="A286" s="8">
        <v>43027.888333333336</v>
      </c>
      <c r="B286" t="s">
        <v>403</v>
      </c>
      <c r="C286" t="s">
        <v>450</v>
      </c>
      <c r="D286" s="138">
        <v>3320000</v>
      </c>
      <c r="E286" t="s">
        <v>421</v>
      </c>
      <c r="F286" s="20" t="s">
        <v>422</v>
      </c>
      <c r="G286" s="8" t="str">
        <f t="shared" si="8"/>
        <v>NICHOLSON WESLEY</v>
      </c>
      <c r="H286" s="20" t="str">
        <f t="shared" si="9"/>
        <v>4006</v>
      </c>
    </row>
    <row r="287" spans="1:8" x14ac:dyDescent="0.3">
      <c r="A287" s="8">
        <v>43027.888518518521</v>
      </c>
      <c r="B287" t="s">
        <v>388</v>
      </c>
      <c r="C287" t="s">
        <v>451</v>
      </c>
      <c r="D287" s="138">
        <v>2540000</v>
      </c>
      <c r="E287" t="s">
        <v>374</v>
      </c>
      <c r="F287" s="20" t="s">
        <v>375</v>
      </c>
      <c r="G287" s="8" t="str">
        <f t="shared" si="8"/>
        <v>MCREYNOLDS KYLE</v>
      </c>
      <c r="H287" s="20" t="str">
        <f t="shared" si="9"/>
        <v>4009</v>
      </c>
    </row>
    <row r="288" spans="1:8" x14ac:dyDescent="0.3">
      <c r="A288" s="8">
        <v>43027.893078703702</v>
      </c>
      <c r="B288" t="s">
        <v>400</v>
      </c>
      <c r="C288" t="s">
        <v>452</v>
      </c>
      <c r="D288" s="138">
        <v>2440000</v>
      </c>
      <c r="E288" t="s">
        <v>448</v>
      </c>
      <c r="F288" s="20" t="s">
        <v>449</v>
      </c>
      <c r="G288" s="8" t="str">
        <f t="shared" si="8"/>
        <v>LOPES KIMBERLY</v>
      </c>
      <c r="H288" s="20" t="str">
        <f t="shared" si="9"/>
        <v>4043</v>
      </c>
    </row>
    <row r="289" spans="1:8" x14ac:dyDescent="0.3">
      <c r="A289" s="8">
        <v>43027.900636574072</v>
      </c>
      <c r="B289" t="s">
        <v>411</v>
      </c>
      <c r="C289" t="s">
        <v>453</v>
      </c>
      <c r="D289" s="138">
        <v>3340000</v>
      </c>
      <c r="E289" t="s">
        <v>423</v>
      </c>
      <c r="F289" s="20" t="s">
        <v>424</v>
      </c>
      <c r="G289" s="8" t="str">
        <f t="shared" si="8"/>
        <v>ELBAUM MIKE</v>
      </c>
      <c r="H289" s="20" t="str">
        <f t="shared" si="9"/>
        <v>4058</v>
      </c>
    </row>
    <row r="290" spans="1:8" x14ac:dyDescent="0.3">
      <c r="A290" s="8">
        <v>43027.90148148148</v>
      </c>
      <c r="B290" t="s">
        <v>396</v>
      </c>
      <c r="C290" t="s">
        <v>420</v>
      </c>
      <c r="D290" s="138">
        <v>2600000</v>
      </c>
      <c r="E290" t="s">
        <v>434</v>
      </c>
      <c r="F290" s="20" t="s">
        <v>419</v>
      </c>
      <c r="G290" s="8" t="str">
        <f t="shared" si="8"/>
        <v>DAVIDSON DAVID</v>
      </c>
      <c r="H290" s="20" t="str">
        <f t="shared" si="9"/>
        <v>4018</v>
      </c>
    </row>
    <row r="291" spans="1:8" x14ac:dyDescent="0.3">
      <c r="A291" s="8">
        <v>43027.905092592591</v>
      </c>
      <c r="B291" t="s">
        <v>399</v>
      </c>
      <c r="C291" t="s">
        <v>420</v>
      </c>
      <c r="D291" s="138">
        <v>2600000</v>
      </c>
      <c r="E291" t="s">
        <v>434</v>
      </c>
      <c r="F291" s="20" t="s">
        <v>419</v>
      </c>
      <c r="G291" s="8" t="str">
        <f t="shared" si="8"/>
        <v>DAVIDSON DAVID</v>
      </c>
      <c r="H291" s="20" t="str">
        <f t="shared" si="9"/>
        <v>4017</v>
      </c>
    </row>
    <row r="292" spans="1:8" x14ac:dyDescent="0.3">
      <c r="A292" s="8">
        <v>43027.912083333336</v>
      </c>
      <c r="B292" t="s">
        <v>398</v>
      </c>
      <c r="C292" t="s">
        <v>454</v>
      </c>
      <c r="D292" s="138">
        <v>3310000</v>
      </c>
      <c r="E292" t="s">
        <v>365</v>
      </c>
      <c r="F292" s="20" t="s">
        <v>366</v>
      </c>
      <c r="G292" s="8" t="str">
        <f t="shared" si="8"/>
        <v>ANDERS STEVEN</v>
      </c>
      <c r="H292" s="20" t="str">
        <f t="shared" si="9"/>
        <v>4007</v>
      </c>
    </row>
    <row r="293" spans="1:8" x14ac:dyDescent="0.3">
      <c r="A293" s="8">
        <v>43027.919351851851</v>
      </c>
      <c r="B293" t="s">
        <v>401</v>
      </c>
      <c r="C293" t="s">
        <v>455</v>
      </c>
      <c r="D293" s="138">
        <v>3280000</v>
      </c>
      <c r="E293" t="s">
        <v>394</v>
      </c>
      <c r="F293" s="20" t="s">
        <v>395</v>
      </c>
      <c r="G293" s="8" t="str">
        <f t="shared" si="8"/>
        <v>BIRKHOLZ NADINE</v>
      </c>
      <c r="H293" s="20" t="str">
        <f t="shared" si="9"/>
        <v>4044</v>
      </c>
    </row>
    <row r="294" spans="1:8" x14ac:dyDescent="0.3">
      <c r="A294" s="8">
        <v>43027.926724537036</v>
      </c>
      <c r="B294" t="s">
        <v>397</v>
      </c>
      <c r="C294" t="s">
        <v>456</v>
      </c>
      <c r="D294" s="138">
        <v>3320000</v>
      </c>
      <c r="E294" t="s">
        <v>421</v>
      </c>
      <c r="F294" s="20" t="s">
        <v>422</v>
      </c>
      <c r="G294" s="8" t="str">
        <f t="shared" si="8"/>
        <v>NICHOLSON WESLEY</v>
      </c>
      <c r="H294" s="20" t="str">
        <f t="shared" si="9"/>
        <v>4005</v>
      </c>
    </row>
    <row r="295" spans="1:8" x14ac:dyDescent="0.3">
      <c r="A295" s="8">
        <v>43027.933495370373</v>
      </c>
      <c r="B295" t="s">
        <v>396</v>
      </c>
      <c r="C295" t="s">
        <v>457</v>
      </c>
      <c r="D295" s="138">
        <v>2540000</v>
      </c>
      <c r="E295" t="s">
        <v>374</v>
      </c>
      <c r="F295" s="20" t="s">
        <v>375</v>
      </c>
      <c r="G295" s="8" t="str">
        <f t="shared" si="8"/>
        <v>MCREYNOLDS KYLE</v>
      </c>
      <c r="H295" s="20" t="str">
        <f t="shared" si="9"/>
        <v>4018</v>
      </c>
    </row>
    <row r="296" spans="1:8" x14ac:dyDescent="0.3">
      <c r="A296" s="8">
        <v>43027.935891203706</v>
      </c>
      <c r="B296" t="s">
        <v>400</v>
      </c>
      <c r="C296" t="s">
        <v>458</v>
      </c>
      <c r="D296" s="138">
        <v>3280000</v>
      </c>
      <c r="E296" t="s">
        <v>394</v>
      </c>
      <c r="F296" s="20" t="s">
        <v>395</v>
      </c>
      <c r="G296" s="8" t="str">
        <f t="shared" si="8"/>
        <v>BIRKHOLZ NADINE</v>
      </c>
      <c r="H296" s="20" t="str">
        <f t="shared" si="9"/>
        <v>4043</v>
      </c>
    </row>
    <row r="297" spans="1:8" x14ac:dyDescent="0.3">
      <c r="A297" s="8">
        <v>43027.94259259259</v>
      </c>
      <c r="B297" t="s">
        <v>414</v>
      </c>
      <c r="C297" t="s">
        <v>459</v>
      </c>
      <c r="D297" s="138">
        <v>3340000</v>
      </c>
      <c r="E297" t="s">
        <v>423</v>
      </c>
      <c r="F297" s="20" t="s">
        <v>424</v>
      </c>
      <c r="G297" s="8" t="str">
        <f t="shared" si="8"/>
        <v>ELBAUM MIKE</v>
      </c>
      <c r="H297" s="20" t="str">
        <f t="shared" si="9"/>
        <v>4057</v>
      </c>
    </row>
    <row r="298" spans="1:8" x14ac:dyDescent="0.3">
      <c r="A298" s="8">
        <v>43027.956400462965</v>
      </c>
      <c r="B298" t="s">
        <v>386</v>
      </c>
      <c r="C298" t="s">
        <v>460</v>
      </c>
      <c r="D298" s="138">
        <v>3310000</v>
      </c>
      <c r="E298" t="s">
        <v>365</v>
      </c>
      <c r="F298" s="20" t="s">
        <v>366</v>
      </c>
      <c r="G298" s="8" t="str">
        <f t="shared" si="8"/>
        <v>ANDERS STEVEN</v>
      </c>
      <c r="H298" s="20" t="str">
        <f t="shared" si="9"/>
        <v>4008</v>
      </c>
    </row>
    <row r="299" spans="1:8" x14ac:dyDescent="0.3">
      <c r="A299" s="8">
        <v>43027.960833333331</v>
      </c>
      <c r="B299" t="s">
        <v>401</v>
      </c>
      <c r="C299" t="s">
        <v>461</v>
      </c>
      <c r="D299" s="138">
        <v>3280000</v>
      </c>
      <c r="E299" t="s">
        <v>394</v>
      </c>
      <c r="F299" s="20" t="s">
        <v>395</v>
      </c>
      <c r="G299" s="8" t="str">
        <f t="shared" si="8"/>
        <v>BIRKHOLZ NADINE</v>
      </c>
      <c r="H299" s="20" t="str">
        <f t="shared" si="9"/>
        <v>4044</v>
      </c>
    </row>
    <row r="300" spans="1:8" x14ac:dyDescent="0.3">
      <c r="A300" s="8">
        <v>43027.97184027778</v>
      </c>
      <c r="B300" t="s">
        <v>399</v>
      </c>
      <c r="C300" t="s">
        <v>462</v>
      </c>
      <c r="D300" s="138">
        <v>2540000</v>
      </c>
      <c r="E300" t="s">
        <v>374</v>
      </c>
      <c r="F300" s="20" t="s">
        <v>375</v>
      </c>
      <c r="G300" s="8" t="str">
        <f t="shared" si="8"/>
        <v>MCREYNOLDS KYLE</v>
      </c>
      <c r="H300" s="20" t="str">
        <f t="shared" si="9"/>
        <v>4017</v>
      </c>
    </row>
    <row r="301" spans="1:8" x14ac:dyDescent="0.3">
      <c r="A301" s="8">
        <v>43027.976574074077</v>
      </c>
      <c r="B301" t="s">
        <v>400</v>
      </c>
      <c r="C301" t="s">
        <v>463</v>
      </c>
      <c r="D301" s="138">
        <v>3280000</v>
      </c>
      <c r="E301" t="s">
        <v>394</v>
      </c>
      <c r="F301" s="20" t="s">
        <v>395</v>
      </c>
      <c r="G301" s="8" t="str">
        <f t="shared" si="8"/>
        <v>BIRKHOLZ NADINE</v>
      </c>
      <c r="H301" s="20" t="str">
        <f t="shared" si="9"/>
        <v>4043</v>
      </c>
    </row>
    <row r="302" spans="1:8" x14ac:dyDescent="0.3">
      <c r="A302" s="8">
        <v>43027.978032407409</v>
      </c>
      <c r="B302" t="s">
        <v>403</v>
      </c>
      <c r="C302" t="s">
        <v>464</v>
      </c>
      <c r="D302" s="138">
        <v>890000</v>
      </c>
      <c r="E302" t="s">
        <v>353</v>
      </c>
      <c r="F302" s="20" t="s">
        <v>354</v>
      </c>
      <c r="G302" s="8" t="str">
        <f t="shared" si="8"/>
        <v>LOZA FIDEL</v>
      </c>
      <c r="H302" s="20" t="str">
        <f t="shared" si="9"/>
        <v>4006</v>
      </c>
    </row>
    <row r="303" spans="1:8" x14ac:dyDescent="0.3">
      <c r="A303" s="8">
        <v>43027.984525462962</v>
      </c>
      <c r="B303" t="s">
        <v>411</v>
      </c>
      <c r="C303" t="s">
        <v>465</v>
      </c>
      <c r="D303" s="138">
        <v>3340000</v>
      </c>
      <c r="E303" t="s">
        <v>423</v>
      </c>
      <c r="F303" s="20" t="s">
        <v>424</v>
      </c>
      <c r="G303" s="8" t="str">
        <f t="shared" si="8"/>
        <v>ELBAUM MIKE</v>
      </c>
      <c r="H303" s="20" t="str">
        <f t="shared" si="9"/>
        <v>4058</v>
      </c>
    </row>
    <row r="304" spans="1:8" x14ac:dyDescent="0.3">
      <c r="A304" s="8">
        <v>43027.994988425926</v>
      </c>
      <c r="B304" t="s">
        <v>398</v>
      </c>
      <c r="C304" t="s">
        <v>466</v>
      </c>
      <c r="D304" s="138">
        <v>3310000</v>
      </c>
      <c r="E304" t="s">
        <v>365</v>
      </c>
      <c r="F304" s="20" t="s">
        <v>366</v>
      </c>
      <c r="G304" s="8" t="str">
        <f t="shared" si="8"/>
        <v>ANDERS STEVEN</v>
      </c>
      <c r="H304" s="20" t="str">
        <f t="shared" si="9"/>
        <v>4007</v>
      </c>
    </row>
    <row r="305" spans="1:8" x14ac:dyDescent="0.3">
      <c r="A305" s="8">
        <v>43028.010069444441</v>
      </c>
      <c r="B305" t="s">
        <v>396</v>
      </c>
      <c r="C305" t="s">
        <v>467</v>
      </c>
      <c r="D305" s="138">
        <v>2540000</v>
      </c>
      <c r="E305" t="s">
        <v>374</v>
      </c>
      <c r="F305" s="20" t="s">
        <v>375</v>
      </c>
      <c r="G305" s="8" t="str">
        <f t="shared" si="8"/>
        <v>MCREYNOLDS KYLE</v>
      </c>
      <c r="H305" s="20" t="str">
        <f t="shared" si="9"/>
        <v>4018</v>
      </c>
    </row>
    <row r="306" spans="1:8" x14ac:dyDescent="0.3">
      <c r="A306" s="8">
        <v>43028.014560185184</v>
      </c>
      <c r="B306" t="s">
        <v>397</v>
      </c>
      <c r="C306" t="s">
        <v>468</v>
      </c>
      <c r="D306" s="138">
        <v>890000</v>
      </c>
      <c r="E306" t="s">
        <v>353</v>
      </c>
      <c r="F306" s="20" t="s">
        <v>354</v>
      </c>
      <c r="G306" s="8" t="str">
        <f t="shared" si="8"/>
        <v>LOZA FIDEL</v>
      </c>
      <c r="H306" s="20" t="str">
        <f t="shared" si="9"/>
        <v>4005</v>
      </c>
    </row>
    <row r="307" spans="1:8" x14ac:dyDescent="0.3">
      <c r="A307" s="8">
        <v>43028.031365740739</v>
      </c>
      <c r="B307" t="s">
        <v>386</v>
      </c>
      <c r="C307" t="s">
        <v>469</v>
      </c>
      <c r="D307" s="138">
        <v>3310000</v>
      </c>
      <c r="E307" t="s">
        <v>365</v>
      </c>
      <c r="F307" s="20" t="s">
        <v>366</v>
      </c>
      <c r="G307" s="8" t="str">
        <f t="shared" si="8"/>
        <v>ANDERS STEVEN</v>
      </c>
      <c r="H307" s="20" t="str">
        <f t="shared" si="9"/>
        <v>4008</v>
      </c>
    </row>
    <row r="308" spans="1:8" x14ac:dyDescent="0.3">
      <c r="A308" s="8">
        <v>43028.038553240738</v>
      </c>
      <c r="B308" t="s">
        <v>414</v>
      </c>
      <c r="C308" t="s">
        <v>470</v>
      </c>
      <c r="D308" s="138">
        <v>3340000</v>
      </c>
      <c r="E308" t="s">
        <v>423</v>
      </c>
      <c r="F308" s="20" t="s">
        <v>424</v>
      </c>
      <c r="G308" s="8" t="str">
        <f t="shared" si="8"/>
        <v>ELBAUM MIKE</v>
      </c>
      <c r="H308" s="20" t="str">
        <f t="shared" si="9"/>
        <v>4057</v>
      </c>
    </row>
    <row r="309" spans="1:8" x14ac:dyDescent="0.3">
      <c r="A309" s="8">
        <v>43028.047349537039</v>
      </c>
      <c r="B309" t="s">
        <v>403</v>
      </c>
      <c r="C309" t="s">
        <v>471</v>
      </c>
      <c r="D309" s="138">
        <v>890000</v>
      </c>
      <c r="E309" t="s">
        <v>353</v>
      </c>
      <c r="F309" s="20" t="s">
        <v>354</v>
      </c>
      <c r="G309" s="8" t="str">
        <f t="shared" si="8"/>
        <v>LOZA FIDEL</v>
      </c>
      <c r="H309" s="20" t="str">
        <f t="shared" si="9"/>
        <v>4006</v>
      </c>
    </row>
    <row r="310" spans="1:8" x14ac:dyDescent="0.3">
      <c r="A310" s="8">
        <v>43028.053391203706</v>
      </c>
      <c r="B310" t="s">
        <v>399</v>
      </c>
      <c r="C310" t="s">
        <v>472</v>
      </c>
      <c r="D310" s="138">
        <v>2540000</v>
      </c>
      <c r="E310" t="s">
        <v>374</v>
      </c>
      <c r="F310" s="20" t="s">
        <v>375</v>
      </c>
      <c r="G310" s="8" t="str">
        <f t="shared" si="8"/>
        <v>MCREYNOLDS KYLE</v>
      </c>
      <c r="H310" s="20" t="str">
        <f t="shared" si="9"/>
        <v>4017</v>
      </c>
    </row>
    <row r="311" spans="1:8" x14ac:dyDescent="0.3">
      <c r="A311" s="8">
        <v>43028.068229166667</v>
      </c>
      <c r="B311" t="s">
        <v>411</v>
      </c>
      <c r="C311" t="s">
        <v>473</v>
      </c>
      <c r="D311" s="138">
        <v>3340000</v>
      </c>
      <c r="E311" t="s">
        <v>423</v>
      </c>
      <c r="F311" s="20" t="s">
        <v>424</v>
      </c>
      <c r="G311" s="8" t="str">
        <f t="shared" si="8"/>
        <v>ELBAUM MIKE</v>
      </c>
      <c r="H311" s="20" t="str">
        <f t="shared" si="9"/>
        <v>4058</v>
      </c>
    </row>
    <row r="312" spans="1:8" x14ac:dyDescent="0.3">
      <c r="A312" s="8">
        <v>43028.089571759258</v>
      </c>
      <c r="B312" t="s">
        <v>396</v>
      </c>
      <c r="C312" t="s">
        <v>474</v>
      </c>
      <c r="D312" s="138">
        <v>2540000</v>
      </c>
      <c r="E312" t="s">
        <v>374</v>
      </c>
      <c r="F312" s="20" t="s">
        <v>375</v>
      </c>
      <c r="G312" s="8" t="str">
        <f t="shared" si="8"/>
        <v>MCREYNOLDS KYLE</v>
      </c>
      <c r="H312" s="20" t="str">
        <f t="shared" si="9"/>
        <v>4018</v>
      </c>
    </row>
    <row r="313" spans="1:8" x14ac:dyDescent="0.3">
      <c r="A313" s="8">
        <v>43028.111273148148</v>
      </c>
      <c r="B313" t="s">
        <v>368</v>
      </c>
      <c r="C313" t="s">
        <v>475</v>
      </c>
      <c r="D313" s="138">
        <v>1830000</v>
      </c>
      <c r="E313" t="s">
        <v>360</v>
      </c>
      <c r="F313" s="20" t="s">
        <v>361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2" workbookViewId="0">
      <selection sqref="A1:T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556</v>
      </c>
      <c r="I1" s="218" t="s">
        <v>162</v>
      </c>
      <c r="J1" s="218" t="s">
        <v>163</v>
      </c>
      <c r="K1" s="218" t="s">
        <v>524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339</v>
      </c>
      <c r="Q1" s="218" t="s">
        <v>154</v>
      </c>
      <c r="R1" s="218" t="s">
        <v>161</v>
      </c>
      <c r="S1" s="218" t="s">
        <v>340</v>
      </c>
      <c r="T1" s="218" t="s">
        <v>158</v>
      </c>
    </row>
    <row r="2" spans="1:20" x14ac:dyDescent="0.3">
      <c r="A2" s="196">
        <v>31.07</v>
      </c>
      <c r="B2" s="196">
        <v>0.93</v>
      </c>
      <c r="C2" s="196">
        <v>23.63</v>
      </c>
      <c r="D2" s="8">
        <v>43035</v>
      </c>
      <c r="E2" s="196">
        <v>0.74</v>
      </c>
      <c r="F2" s="196" t="s">
        <v>562</v>
      </c>
      <c r="G2" s="196">
        <v>271.44</v>
      </c>
      <c r="H2" s="196"/>
      <c r="I2" s="196">
        <v>0</v>
      </c>
      <c r="J2" s="196">
        <v>0</v>
      </c>
      <c r="K2" s="196"/>
      <c r="L2" s="196">
        <v>1028.33</v>
      </c>
      <c r="M2" s="196" t="s">
        <v>558</v>
      </c>
      <c r="N2" s="196">
        <v>31.07</v>
      </c>
      <c r="O2" s="196">
        <v>1509084000</v>
      </c>
      <c r="P2" s="196">
        <v>0</v>
      </c>
      <c r="Q2" s="196">
        <v>3.42</v>
      </c>
      <c r="R2" s="196">
        <v>85</v>
      </c>
      <c r="S2" s="196">
        <v>2.59</v>
      </c>
      <c r="T2" s="196">
        <v>0.54</v>
      </c>
    </row>
    <row r="3" spans="1:20" x14ac:dyDescent="0.3">
      <c r="A3" s="196">
        <v>30.14</v>
      </c>
      <c r="B3" s="196">
        <v>0.76</v>
      </c>
      <c r="C3" s="196">
        <v>22.83</v>
      </c>
      <c r="D3" s="8">
        <v>43035.041666666664</v>
      </c>
      <c r="E3" s="196">
        <v>0.74</v>
      </c>
      <c r="F3" s="196" t="s">
        <v>562</v>
      </c>
      <c r="G3" s="196">
        <v>272.52999999999997</v>
      </c>
      <c r="H3" s="196"/>
      <c r="I3" s="196">
        <v>0</v>
      </c>
      <c r="J3" s="196">
        <v>0</v>
      </c>
      <c r="K3" s="196"/>
      <c r="L3" s="196">
        <v>1028.8699999999999</v>
      </c>
      <c r="M3" s="196" t="s">
        <v>558</v>
      </c>
      <c r="N3" s="196">
        <v>30.14</v>
      </c>
      <c r="O3" s="196">
        <v>1509087600</v>
      </c>
      <c r="P3" s="196">
        <v>0</v>
      </c>
      <c r="Q3" s="196">
        <v>3.31</v>
      </c>
      <c r="R3" s="196">
        <v>111</v>
      </c>
      <c r="S3" s="196">
        <v>2.78</v>
      </c>
      <c r="T3" s="196">
        <v>0.73</v>
      </c>
    </row>
    <row r="4" spans="1:20" x14ac:dyDescent="0.3">
      <c r="A4" s="196">
        <v>24.91</v>
      </c>
      <c r="B4" s="196">
        <v>0.43</v>
      </c>
      <c r="C4" s="196">
        <v>19.36</v>
      </c>
      <c r="D4" s="8">
        <v>43035.083333333336</v>
      </c>
      <c r="E4" s="196">
        <v>0.66</v>
      </c>
      <c r="F4" s="196" t="s">
        <v>562</v>
      </c>
      <c r="G4" s="196">
        <v>273.75</v>
      </c>
      <c r="H4" s="196">
        <v>1E-3</v>
      </c>
      <c r="I4" s="196">
        <v>1E-4</v>
      </c>
      <c r="J4" s="196">
        <v>0.02</v>
      </c>
      <c r="K4" s="196" t="s">
        <v>561</v>
      </c>
      <c r="L4" s="196">
        <v>1030.57</v>
      </c>
      <c r="M4" s="196" t="s">
        <v>565</v>
      </c>
      <c r="N4" s="196">
        <v>29.33</v>
      </c>
      <c r="O4" s="196">
        <v>1509091200</v>
      </c>
      <c r="P4" s="196">
        <v>0</v>
      </c>
      <c r="Q4" s="196">
        <v>10</v>
      </c>
      <c r="R4" s="196">
        <v>129</v>
      </c>
      <c r="S4" s="196">
        <v>5</v>
      </c>
      <c r="T4" s="196">
        <v>4.07</v>
      </c>
    </row>
    <row r="5" spans="1:20" x14ac:dyDescent="0.3">
      <c r="A5" s="196">
        <v>27.19</v>
      </c>
      <c r="B5" s="196">
        <v>0.09</v>
      </c>
      <c r="C5" s="196">
        <v>20.440000000000001</v>
      </c>
      <c r="D5" s="8">
        <v>43035.125</v>
      </c>
      <c r="E5" s="196">
        <v>0.75</v>
      </c>
      <c r="F5" s="196" t="s">
        <v>370</v>
      </c>
      <c r="G5" s="196">
        <v>274.95999999999998</v>
      </c>
      <c r="H5" s="196"/>
      <c r="I5" s="196">
        <v>0</v>
      </c>
      <c r="J5" s="196">
        <v>0</v>
      </c>
      <c r="K5" s="196"/>
      <c r="L5" s="196">
        <v>1028.6199999999999</v>
      </c>
      <c r="M5" s="196" t="s">
        <v>371</v>
      </c>
      <c r="N5" s="196">
        <v>27.19</v>
      </c>
      <c r="O5" s="196">
        <v>1509094800</v>
      </c>
      <c r="P5" s="196">
        <v>0</v>
      </c>
      <c r="Q5" s="196">
        <v>2.0499999999999998</v>
      </c>
      <c r="R5" s="196">
        <v>124</v>
      </c>
      <c r="S5" s="196">
        <v>2.99</v>
      </c>
      <c r="T5" s="196">
        <v>1.19</v>
      </c>
    </row>
    <row r="6" spans="1:20" x14ac:dyDescent="0.3">
      <c r="A6" s="196">
        <v>25.94</v>
      </c>
      <c r="B6" s="196">
        <v>0.05</v>
      </c>
      <c r="C6" s="196">
        <v>19.91</v>
      </c>
      <c r="D6" s="8">
        <v>43035.166666666664</v>
      </c>
      <c r="E6" s="196">
        <v>0.78</v>
      </c>
      <c r="F6" s="196" t="s">
        <v>559</v>
      </c>
      <c r="G6" s="196">
        <v>275.56</v>
      </c>
      <c r="H6" s="196"/>
      <c r="I6" s="196">
        <v>0</v>
      </c>
      <c r="J6" s="196">
        <v>0</v>
      </c>
      <c r="K6" s="196"/>
      <c r="L6" s="196">
        <v>1029.67</v>
      </c>
      <c r="M6" s="196" t="s">
        <v>560</v>
      </c>
      <c r="N6" s="196">
        <v>25.94</v>
      </c>
      <c r="O6" s="196">
        <v>1509098400</v>
      </c>
      <c r="P6" s="196">
        <v>0</v>
      </c>
      <c r="Q6" s="196">
        <v>1.67</v>
      </c>
      <c r="R6" s="196">
        <v>129</v>
      </c>
      <c r="S6" s="196">
        <v>2.68</v>
      </c>
      <c r="T6" s="196">
        <v>1.29</v>
      </c>
    </row>
    <row r="7" spans="1:20" x14ac:dyDescent="0.3">
      <c r="A7" s="196">
        <v>24.93</v>
      </c>
      <c r="B7" s="196">
        <v>0.02</v>
      </c>
      <c r="C7" s="196">
        <v>19.29</v>
      </c>
      <c r="D7" s="8">
        <v>43035.208333333336</v>
      </c>
      <c r="E7" s="196">
        <v>0.79</v>
      </c>
      <c r="F7" s="196" t="s">
        <v>559</v>
      </c>
      <c r="G7" s="196">
        <v>276.16000000000003</v>
      </c>
      <c r="H7" s="196"/>
      <c r="I7" s="196">
        <v>0</v>
      </c>
      <c r="J7" s="196">
        <v>0</v>
      </c>
      <c r="K7" s="196"/>
      <c r="L7" s="196">
        <v>1028.98</v>
      </c>
      <c r="M7" s="196" t="s">
        <v>560</v>
      </c>
      <c r="N7" s="196">
        <v>24.93</v>
      </c>
      <c r="O7" s="196">
        <v>1509102000</v>
      </c>
      <c r="P7" s="196">
        <v>0</v>
      </c>
      <c r="Q7" s="196">
        <v>1.99</v>
      </c>
      <c r="R7" s="196">
        <v>126</v>
      </c>
      <c r="S7" s="196">
        <v>2.4300000000000002</v>
      </c>
      <c r="T7" s="196">
        <v>1.02</v>
      </c>
    </row>
    <row r="8" spans="1:20" x14ac:dyDescent="0.3">
      <c r="A8" s="196">
        <v>23.39</v>
      </c>
      <c r="B8" s="196">
        <v>0.06</v>
      </c>
      <c r="C8" s="196">
        <v>18.59</v>
      </c>
      <c r="D8" s="8">
        <v>43035.25</v>
      </c>
      <c r="E8" s="196">
        <v>0.82</v>
      </c>
      <c r="F8" s="196" t="s">
        <v>370</v>
      </c>
      <c r="G8" s="196">
        <v>279.25</v>
      </c>
      <c r="H8" s="196"/>
      <c r="I8" s="196">
        <v>0</v>
      </c>
      <c r="J8" s="196">
        <v>0</v>
      </c>
      <c r="K8" s="196"/>
      <c r="L8" s="196">
        <v>1029.5999999999999</v>
      </c>
      <c r="M8" s="196" t="s">
        <v>371</v>
      </c>
      <c r="N8" s="196">
        <v>23.39</v>
      </c>
      <c r="O8" s="196">
        <v>1509105600</v>
      </c>
      <c r="P8" s="196">
        <v>0</v>
      </c>
      <c r="Q8" s="196">
        <v>3.7</v>
      </c>
      <c r="R8" s="196">
        <v>104</v>
      </c>
      <c r="S8" s="196">
        <v>2.96</v>
      </c>
      <c r="T8" s="196">
        <v>0.78</v>
      </c>
    </row>
    <row r="9" spans="1:20" x14ac:dyDescent="0.3">
      <c r="A9" s="196">
        <v>22.89</v>
      </c>
      <c r="B9" s="196">
        <v>0.08</v>
      </c>
      <c r="C9" s="196">
        <v>17.760000000000002</v>
      </c>
      <c r="D9" s="8">
        <v>43035.291666666664</v>
      </c>
      <c r="E9" s="196">
        <v>0.8</v>
      </c>
      <c r="F9" s="196" t="s">
        <v>370</v>
      </c>
      <c r="G9" s="196">
        <v>278.07</v>
      </c>
      <c r="H9" s="196"/>
      <c r="I9" s="196">
        <v>0</v>
      </c>
      <c r="J9" s="196">
        <v>0</v>
      </c>
      <c r="K9" s="196"/>
      <c r="L9" s="196">
        <v>1029.0899999999999</v>
      </c>
      <c r="M9" s="196" t="s">
        <v>371</v>
      </c>
      <c r="N9" s="196">
        <v>22.89</v>
      </c>
      <c r="O9" s="196">
        <v>1509109200</v>
      </c>
      <c r="P9" s="196">
        <v>0</v>
      </c>
      <c r="Q9" s="196">
        <v>3.07</v>
      </c>
      <c r="R9" s="196">
        <v>99</v>
      </c>
      <c r="S9" s="196">
        <v>2.71</v>
      </c>
      <c r="T9" s="196">
        <v>0.94</v>
      </c>
    </row>
    <row r="10" spans="1:20" x14ac:dyDescent="0.3">
      <c r="A10" s="196">
        <v>22.76</v>
      </c>
      <c r="B10" s="196">
        <v>0.16</v>
      </c>
      <c r="C10" s="196">
        <v>17.78</v>
      </c>
      <c r="D10" s="8">
        <v>43035.333333333336</v>
      </c>
      <c r="E10" s="196">
        <v>0.81</v>
      </c>
      <c r="F10" s="196" t="s">
        <v>378</v>
      </c>
      <c r="G10" s="196">
        <v>275.8</v>
      </c>
      <c r="H10" s="196"/>
      <c r="I10" s="196">
        <v>0</v>
      </c>
      <c r="J10" s="196">
        <v>0</v>
      </c>
      <c r="K10" s="196"/>
      <c r="L10" s="196">
        <v>1028.29</v>
      </c>
      <c r="M10" s="196" t="s">
        <v>371</v>
      </c>
      <c r="N10" s="196">
        <v>22.76</v>
      </c>
      <c r="O10" s="196">
        <v>1509112800</v>
      </c>
      <c r="P10" s="196">
        <v>0</v>
      </c>
      <c r="Q10" s="196">
        <v>3.03</v>
      </c>
      <c r="R10" s="196">
        <v>112</v>
      </c>
      <c r="S10" s="196">
        <v>2.62</v>
      </c>
      <c r="T10" s="196">
        <v>0.74</v>
      </c>
    </row>
    <row r="11" spans="1:20" x14ac:dyDescent="0.3">
      <c r="A11" s="196">
        <v>25.9</v>
      </c>
      <c r="B11" s="196">
        <v>0.33</v>
      </c>
      <c r="C11" s="196">
        <v>20.170000000000002</v>
      </c>
      <c r="D11" s="8">
        <v>43035.375</v>
      </c>
      <c r="E11" s="196">
        <v>0.79</v>
      </c>
      <c r="F11" s="196" t="s">
        <v>557</v>
      </c>
      <c r="G11" s="196">
        <v>274.11</v>
      </c>
      <c r="H11" s="196"/>
      <c r="I11" s="196">
        <v>0</v>
      </c>
      <c r="J11" s="196">
        <v>0</v>
      </c>
      <c r="K11" s="196"/>
      <c r="L11" s="196">
        <v>1027.53</v>
      </c>
      <c r="M11" s="196" t="s">
        <v>565</v>
      </c>
      <c r="N11" s="196">
        <v>25.9</v>
      </c>
      <c r="O11" s="196">
        <v>1509116400</v>
      </c>
      <c r="P11" s="196">
        <v>1</v>
      </c>
      <c r="Q11" s="196">
        <v>3.19</v>
      </c>
      <c r="R11" s="196">
        <v>129</v>
      </c>
      <c r="S11" s="196">
        <v>2.66</v>
      </c>
      <c r="T11" s="196">
        <v>0.7</v>
      </c>
    </row>
    <row r="12" spans="1:20" x14ac:dyDescent="0.3">
      <c r="A12" s="196">
        <v>30.52</v>
      </c>
      <c r="B12" s="196">
        <v>0.5</v>
      </c>
      <c r="C12" s="196">
        <v>22.21</v>
      </c>
      <c r="D12" s="8">
        <v>43035.416666666664</v>
      </c>
      <c r="E12" s="196">
        <v>0.71</v>
      </c>
      <c r="F12" s="196" t="s">
        <v>557</v>
      </c>
      <c r="G12" s="196">
        <v>273.63</v>
      </c>
      <c r="H12" s="196">
        <v>6.0000000000000001E-3</v>
      </c>
      <c r="I12" s="196">
        <v>6.9999999999999999E-4</v>
      </c>
      <c r="J12" s="196">
        <v>0.11</v>
      </c>
      <c r="K12" s="196" t="s">
        <v>561</v>
      </c>
      <c r="L12" s="196">
        <v>1026.98</v>
      </c>
      <c r="M12" s="196" t="s">
        <v>565</v>
      </c>
      <c r="N12" s="196">
        <v>30.52</v>
      </c>
      <c r="O12" s="196">
        <v>1509120000</v>
      </c>
      <c r="P12" s="196">
        <v>1</v>
      </c>
      <c r="Q12" s="196">
        <v>3.19</v>
      </c>
      <c r="R12" s="196">
        <v>25</v>
      </c>
      <c r="S12" s="196">
        <v>4.18</v>
      </c>
      <c r="T12" s="196">
        <v>0.76</v>
      </c>
    </row>
    <row r="13" spans="1:20" x14ac:dyDescent="0.3">
      <c r="A13" s="196">
        <v>33.659999999999997</v>
      </c>
      <c r="B13" s="196">
        <v>0.55000000000000004</v>
      </c>
      <c r="C13" s="196">
        <v>22.9</v>
      </c>
      <c r="D13" s="8">
        <v>43035.458333333336</v>
      </c>
      <c r="E13" s="196">
        <v>0.64</v>
      </c>
      <c r="F13" s="196" t="s">
        <v>557</v>
      </c>
      <c r="G13" s="196">
        <v>273.63</v>
      </c>
      <c r="H13" s="196">
        <v>2.1999999999999999E-2</v>
      </c>
      <c r="I13" s="196">
        <v>3.0000000000000001E-3</v>
      </c>
      <c r="J13" s="196">
        <v>0.28999999999999998</v>
      </c>
      <c r="K13" s="196" t="s">
        <v>561</v>
      </c>
      <c r="L13" s="196">
        <v>1025.8499999999999</v>
      </c>
      <c r="M13" s="196" t="s">
        <v>565</v>
      </c>
      <c r="N13" s="196">
        <v>33.659999999999997</v>
      </c>
      <c r="O13" s="196">
        <v>1509123600</v>
      </c>
      <c r="P13" s="196">
        <v>2</v>
      </c>
      <c r="Q13" s="196">
        <v>3.01</v>
      </c>
      <c r="R13" s="196">
        <v>5</v>
      </c>
      <c r="S13" s="196">
        <v>3.87</v>
      </c>
      <c r="T13" s="196">
        <v>0.64</v>
      </c>
    </row>
    <row r="14" spans="1:20" x14ac:dyDescent="0.3">
      <c r="A14" s="196">
        <v>38.14</v>
      </c>
      <c r="B14" s="196">
        <v>0.45</v>
      </c>
      <c r="C14" s="196">
        <v>20.74</v>
      </c>
      <c r="D14" s="8">
        <v>43035.5</v>
      </c>
      <c r="E14" s="196">
        <v>0.49</v>
      </c>
      <c r="F14" s="196" t="s">
        <v>557</v>
      </c>
      <c r="G14" s="196">
        <v>269.95999999999998</v>
      </c>
      <c r="H14" s="196"/>
      <c r="I14" s="196">
        <v>4.4000000000000003E-3</v>
      </c>
      <c r="J14" s="196">
        <v>0.43</v>
      </c>
      <c r="K14" s="196" t="s">
        <v>525</v>
      </c>
      <c r="L14" s="196">
        <v>1025.21</v>
      </c>
      <c r="M14" s="196" t="s">
        <v>565</v>
      </c>
      <c r="N14" s="196">
        <v>38.14</v>
      </c>
      <c r="O14" s="196">
        <v>1509127200</v>
      </c>
      <c r="P14" s="196">
        <v>3</v>
      </c>
      <c r="Q14" s="196">
        <v>2.66</v>
      </c>
      <c r="R14" s="196">
        <v>342</v>
      </c>
      <c r="S14" s="196">
        <v>4.38</v>
      </c>
      <c r="T14" s="196">
        <v>0.34</v>
      </c>
    </row>
    <row r="15" spans="1:20" x14ac:dyDescent="0.3">
      <c r="A15" s="196">
        <v>40.380000000000003</v>
      </c>
      <c r="B15" s="196">
        <v>0.63</v>
      </c>
      <c r="C15" s="196">
        <v>16.91</v>
      </c>
      <c r="D15" s="8">
        <v>43035.541666666664</v>
      </c>
      <c r="E15" s="196">
        <v>0.38</v>
      </c>
      <c r="F15" s="196" t="s">
        <v>557</v>
      </c>
      <c r="G15" s="196">
        <v>269.33999999999997</v>
      </c>
      <c r="H15" s="196"/>
      <c r="I15" s="196">
        <v>5.8999999999999999E-3</v>
      </c>
      <c r="J15" s="196">
        <v>0.28999999999999998</v>
      </c>
      <c r="K15" s="196" t="s">
        <v>525</v>
      </c>
      <c r="L15" s="196">
        <v>1024.28</v>
      </c>
      <c r="M15" s="196" t="s">
        <v>558</v>
      </c>
      <c r="N15" s="196">
        <v>40.380000000000003</v>
      </c>
      <c r="O15" s="196">
        <v>1509130800</v>
      </c>
      <c r="P15" s="196">
        <v>3</v>
      </c>
      <c r="Q15" s="196">
        <v>3.12</v>
      </c>
      <c r="R15" s="196">
        <v>30</v>
      </c>
      <c r="S15" s="196">
        <v>6.12</v>
      </c>
      <c r="T15" s="196">
        <v>1.19</v>
      </c>
    </row>
    <row r="16" spans="1:20" x14ac:dyDescent="0.3">
      <c r="A16" s="196">
        <v>40.630000000000003</v>
      </c>
      <c r="B16" s="196">
        <v>0.43</v>
      </c>
      <c r="C16" s="196">
        <v>16.059999999999999</v>
      </c>
      <c r="D16" s="8">
        <v>43035.583333333336</v>
      </c>
      <c r="E16" s="196">
        <v>0.36</v>
      </c>
      <c r="F16" s="196" t="s">
        <v>557</v>
      </c>
      <c r="G16" s="196">
        <v>268.97000000000003</v>
      </c>
      <c r="H16" s="196"/>
      <c r="I16" s="196">
        <v>2E-3</v>
      </c>
      <c r="J16" s="196">
        <v>0.13</v>
      </c>
      <c r="K16" s="196" t="s">
        <v>525</v>
      </c>
      <c r="L16" s="196">
        <v>1023.57</v>
      </c>
      <c r="M16" s="196" t="s">
        <v>565</v>
      </c>
      <c r="N16" s="196">
        <v>40.630000000000003</v>
      </c>
      <c r="O16" s="196">
        <v>1509134400</v>
      </c>
      <c r="P16" s="196">
        <v>3</v>
      </c>
      <c r="Q16" s="196">
        <v>3.68</v>
      </c>
      <c r="R16" s="196">
        <v>52</v>
      </c>
      <c r="S16" s="196">
        <v>6.23</v>
      </c>
      <c r="T16" s="196">
        <v>1.71</v>
      </c>
    </row>
    <row r="17" spans="1:20" x14ac:dyDescent="0.3">
      <c r="A17" s="196">
        <v>41.86</v>
      </c>
      <c r="B17" s="196">
        <v>0.24</v>
      </c>
      <c r="C17" s="196">
        <v>16.809999999999999</v>
      </c>
      <c r="D17" s="8">
        <v>43035.625</v>
      </c>
      <c r="E17" s="196">
        <v>0.36</v>
      </c>
      <c r="F17" s="196" t="s">
        <v>378</v>
      </c>
      <c r="G17" s="196">
        <v>268.73</v>
      </c>
      <c r="H17" s="196"/>
      <c r="I17" s="196">
        <v>1.2999999999999999E-3</v>
      </c>
      <c r="J17" s="196">
        <v>0.08</v>
      </c>
      <c r="K17" s="196" t="s">
        <v>525</v>
      </c>
      <c r="L17" s="196">
        <v>1023.29</v>
      </c>
      <c r="M17" s="196" t="s">
        <v>371</v>
      </c>
      <c r="N17" s="196">
        <v>41.86</v>
      </c>
      <c r="O17" s="196">
        <v>1509138000</v>
      </c>
      <c r="P17" s="196">
        <v>2</v>
      </c>
      <c r="Q17" s="196">
        <v>3.95</v>
      </c>
      <c r="R17" s="196">
        <v>40</v>
      </c>
      <c r="S17" s="196">
        <v>6.34</v>
      </c>
      <c r="T17" s="196">
        <v>1.79</v>
      </c>
    </row>
    <row r="18" spans="1:20" x14ac:dyDescent="0.3">
      <c r="A18" s="196">
        <v>42.26</v>
      </c>
      <c r="B18" s="196">
        <v>0.54</v>
      </c>
      <c r="C18" s="196">
        <v>16.399999999999999</v>
      </c>
      <c r="D18" s="8">
        <v>43035.666666666664</v>
      </c>
      <c r="E18" s="196">
        <v>0.35</v>
      </c>
      <c r="F18" s="196" t="s">
        <v>557</v>
      </c>
      <c r="G18" s="196">
        <v>268.60000000000002</v>
      </c>
      <c r="H18" s="196"/>
      <c r="I18" s="196">
        <v>6.9999999999999999E-4</v>
      </c>
      <c r="J18" s="196">
        <v>0.06</v>
      </c>
      <c r="K18" s="196" t="s">
        <v>525</v>
      </c>
      <c r="L18" s="196">
        <v>1023.7</v>
      </c>
      <c r="M18" s="196" t="s">
        <v>565</v>
      </c>
      <c r="N18" s="196">
        <v>42.26</v>
      </c>
      <c r="O18" s="196">
        <v>1509141600</v>
      </c>
      <c r="P18" s="196">
        <v>1</v>
      </c>
      <c r="Q18" s="196">
        <v>4.16</v>
      </c>
      <c r="R18" s="196">
        <v>59</v>
      </c>
      <c r="S18" s="196">
        <v>5.44</v>
      </c>
      <c r="T18" s="196">
        <v>1.66</v>
      </c>
    </row>
    <row r="19" spans="1:20" x14ac:dyDescent="0.3">
      <c r="A19" s="196">
        <v>41.48</v>
      </c>
      <c r="B19" s="196">
        <v>0.75</v>
      </c>
      <c r="C19" s="196">
        <v>16.59</v>
      </c>
      <c r="D19" s="8">
        <v>43035.708333333336</v>
      </c>
      <c r="E19" s="196">
        <v>0.36</v>
      </c>
      <c r="F19" s="196" t="s">
        <v>557</v>
      </c>
      <c r="G19" s="196">
        <v>268.48</v>
      </c>
      <c r="H19" s="196"/>
      <c r="I19" s="196">
        <v>4.0000000000000002E-4</v>
      </c>
      <c r="J19" s="196">
        <v>0.03</v>
      </c>
      <c r="K19" s="196" t="s">
        <v>525</v>
      </c>
      <c r="L19" s="196">
        <v>1024.04</v>
      </c>
      <c r="M19" s="196" t="s">
        <v>558</v>
      </c>
      <c r="N19" s="196">
        <v>41.48</v>
      </c>
      <c r="O19" s="196">
        <v>1509145200</v>
      </c>
      <c r="P19" s="196">
        <v>0</v>
      </c>
      <c r="Q19" s="196">
        <v>4.16</v>
      </c>
      <c r="R19" s="196">
        <v>64</v>
      </c>
      <c r="S19" s="196">
        <v>4.51</v>
      </c>
      <c r="T19" s="196">
        <v>1.49</v>
      </c>
    </row>
    <row r="20" spans="1:20" x14ac:dyDescent="0.3">
      <c r="A20" s="196">
        <v>40</v>
      </c>
      <c r="B20" s="196">
        <v>0.78</v>
      </c>
      <c r="C20" s="196">
        <v>16.920000000000002</v>
      </c>
      <c r="D20" s="8">
        <v>43035.75</v>
      </c>
      <c r="E20" s="196">
        <v>0.39</v>
      </c>
      <c r="F20" s="196" t="s">
        <v>557</v>
      </c>
      <c r="G20" s="196">
        <v>268.99</v>
      </c>
      <c r="H20" s="196"/>
      <c r="I20" s="196">
        <v>4.0000000000000002E-4</v>
      </c>
      <c r="J20" s="196">
        <v>0.05</v>
      </c>
      <c r="K20" s="196" t="s">
        <v>525</v>
      </c>
      <c r="L20" s="196">
        <v>1024.56</v>
      </c>
      <c r="M20" s="196" t="s">
        <v>558</v>
      </c>
      <c r="N20" s="196">
        <v>40</v>
      </c>
      <c r="O20" s="196">
        <v>1509148800</v>
      </c>
      <c r="P20" s="196">
        <v>0</v>
      </c>
      <c r="Q20" s="196">
        <v>4.05</v>
      </c>
      <c r="R20" s="196">
        <v>62</v>
      </c>
      <c r="S20" s="196">
        <v>3.36</v>
      </c>
      <c r="T20" s="196">
        <v>1.2</v>
      </c>
    </row>
    <row r="21" spans="1:20" x14ac:dyDescent="0.3">
      <c r="A21" s="196">
        <v>38.53</v>
      </c>
      <c r="B21" s="196">
        <v>0.71</v>
      </c>
      <c r="C21" s="196">
        <v>17.309999999999999</v>
      </c>
      <c r="D21" s="8">
        <v>43035.791666666664</v>
      </c>
      <c r="E21" s="196">
        <v>0.42</v>
      </c>
      <c r="F21" s="196" t="s">
        <v>562</v>
      </c>
      <c r="G21" s="196">
        <v>269.97000000000003</v>
      </c>
      <c r="H21" s="196"/>
      <c r="I21" s="196">
        <v>1E-4</v>
      </c>
      <c r="J21" s="196">
        <v>0.03</v>
      </c>
      <c r="K21" s="196" t="s">
        <v>525</v>
      </c>
      <c r="L21" s="196">
        <v>1025.18</v>
      </c>
      <c r="M21" s="196" t="s">
        <v>558</v>
      </c>
      <c r="N21" s="196">
        <v>38.53</v>
      </c>
      <c r="O21" s="196">
        <v>1509152400</v>
      </c>
      <c r="P21" s="196">
        <v>0</v>
      </c>
      <c r="Q21" s="196">
        <v>4.16</v>
      </c>
      <c r="R21" s="196">
        <v>80</v>
      </c>
      <c r="S21" s="196">
        <v>2.73</v>
      </c>
      <c r="T21" s="196">
        <v>1.1499999999999999</v>
      </c>
    </row>
    <row r="22" spans="1:20" x14ac:dyDescent="0.3">
      <c r="A22" s="196">
        <v>36.79</v>
      </c>
      <c r="B22" s="196">
        <v>0.7</v>
      </c>
      <c r="C22" s="196">
        <v>17.95</v>
      </c>
      <c r="D22" s="8">
        <v>43035.833333333336</v>
      </c>
      <c r="E22" s="196">
        <v>0.46</v>
      </c>
      <c r="F22" s="196" t="s">
        <v>562</v>
      </c>
      <c r="G22" s="196">
        <v>271.2</v>
      </c>
      <c r="H22" s="196"/>
      <c r="I22" s="196">
        <v>1E-4</v>
      </c>
      <c r="J22" s="196">
        <v>0.01</v>
      </c>
      <c r="K22" s="196" t="s">
        <v>525</v>
      </c>
      <c r="L22" s="196">
        <v>1025.03</v>
      </c>
      <c r="M22" s="196" t="s">
        <v>558</v>
      </c>
      <c r="N22" s="196">
        <v>36.79</v>
      </c>
      <c r="O22" s="196">
        <v>1509156000</v>
      </c>
      <c r="P22" s="196">
        <v>0</v>
      </c>
      <c r="Q22" s="196">
        <v>4.16</v>
      </c>
      <c r="R22" s="196">
        <v>109</v>
      </c>
      <c r="S22" s="196">
        <v>1.96</v>
      </c>
      <c r="T22" s="196">
        <v>0.95</v>
      </c>
    </row>
    <row r="23" spans="1:20" x14ac:dyDescent="0.3">
      <c r="A23" s="196">
        <v>35.89</v>
      </c>
      <c r="B23" s="196">
        <v>0.61</v>
      </c>
      <c r="C23" s="196">
        <v>18.8</v>
      </c>
      <c r="D23" s="8">
        <v>43035.875</v>
      </c>
      <c r="E23" s="196">
        <v>0.49</v>
      </c>
      <c r="F23" s="196" t="s">
        <v>562</v>
      </c>
      <c r="G23" s="196">
        <v>272.54000000000002</v>
      </c>
      <c r="H23" s="196"/>
      <c r="I23" s="196">
        <v>1E-4</v>
      </c>
      <c r="J23" s="196">
        <v>0.01</v>
      </c>
      <c r="K23" s="196" t="s">
        <v>525</v>
      </c>
      <c r="L23" s="196">
        <v>1024.45</v>
      </c>
      <c r="M23" s="196" t="s">
        <v>558</v>
      </c>
      <c r="N23" s="196">
        <v>35.89</v>
      </c>
      <c r="O23" s="196">
        <v>1509159600</v>
      </c>
      <c r="P23" s="196">
        <v>0</v>
      </c>
      <c r="Q23" s="196">
        <v>3.89</v>
      </c>
      <c r="R23" s="196">
        <v>148</v>
      </c>
      <c r="S23" s="196">
        <v>1.96</v>
      </c>
      <c r="T23" s="196">
        <v>0.89</v>
      </c>
    </row>
    <row r="24" spans="1:20" x14ac:dyDescent="0.3">
      <c r="A24" s="196">
        <v>35.99</v>
      </c>
      <c r="B24" s="196">
        <v>0.92</v>
      </c>
      <c r="C24" s="196">
        <v>19.7</v>
      </c>
      <c r="D24" s="8">
        <v>43035.916666666664</v>
      </c>
      <c r="E24" s="196">
        <v>0.51</v>
      </c>
      <c r="F24" s="196" t="s">
        <v>562</v>
      </c>
      <c r="G24" s="196">
        <v>273.76</v>
      </c>
      <c r="H24" s="196"/>
      <c r="I24" s="196">
        <v>0</v>
      </c>
      <c r="J24" s="196">
        <v>0</v>
      </c>
      <c r="K24" s="196"/>
      <c r="L24" s="196">
        <v>1023.77</v>
      </c>
      <c r="M24" s="196" t="s">
        <v>558</v>
      </c>
      <c r="N24" s="196">
        <v>35.99</v>
      </c>
      <c r="O24" s="196">
        <v>1509163200</v>
      </c>
      <c r="P24" s="196">
        <v>0</v>
      </c>
      <c r="Q24" s="196">
        <v>4.16</v>
      </c>
      <c r="R24" s="196">
        <v>180</v>
      </c>
      <c r="S24" s="196">
        <v>3.49</v>
      </c>
      <c r="T24" s="196">
        <v>1.07</v>
      </c>
    </row>
    <row r="25" spans="1:20" x14ac:dyDescent="0.3">
      <c r="A25" s="196">
        <v>37.26</v>
      </c>
      <c r="B25" s="196">
        <v>0.95</v>
      </c>
      <c r="C25" s="196">
        <v>19.95</v>
      </c>
      <c r="D25" s="8">
        <v>43035.958333333336</v>
      </c>
      <c r="E25" s="196">
        <v>0.49</v>
      </c>
      <c r="F25" s="196" t="s">
        <v>563</v>
      </c>
      <c r="G25" s="196">
        <v>274.95999999999998</v>
      </c>
      <c r="H25" s="196"/>
      <c r="I25" s="196">
        <v>0</v>
      </c>
      <c r="J25" s="196">
        <v>0</v>
      </c>
      <c r="K25" s="196"/>
      <c r="L25" s="196">
        <v>1022.76</v>
      </c>
      <c r="M25" s="196" t="s">
        <v>564</v>
      </c>
      <c r="N25" s="196">
        <v>37.26</v>
      </c>
      <c r="O25" s="196">
        <v>1509166800</v>
      </c>
      <c r="P25" s="196">
        <v>0</v>
      </c>
      <c r="Q25" s="196">
        <v>3.52</v>
      </c>
      <c r="R25" s="196">
        <v>187</v>
      </c>
      <c r="S25" s="196">
        <v>3.9</v>
      </c>
      <c r="T25" s="196">
        <v>1.21</v>
      </c>
    </row>
    <row r="26" spans="1:20" x14ac:dyDescent="0.3">
      <c r="A26" s="196">
        <v>37.58</v>
      </c>
      <c r="B26" s="196">
        <v>0.94</v>
      </c>
      <c r="C26" s="196">
        <v>20.72</v>
      </c>
      <c r="D26" s="8">
        <v>43036</v>
      </c>
      <c r="E26" s="196">
        <v>0.5</v>
      </c>
      <c r="F26" s="196" t="s">
        <v>563</v>
      </c>
      <c r="G26" s="196">
        <v>275.68</v>
      </c>
      <c r="H26" s="196"/>
      <c r="I26" s="196">
        <v>0</v>
      </c>
      <c r="J26" s="196">
        <v>0</v>
      </c>
      <c r="K26" s="196"/>
      <c r="L26" s="196">
        <v>1022.2</v>
      </c>
      <c r="M26" s="196" t="s">
        <v>564</v>
      </c>
      <c r="N26" s="196">
        <v>37.58</v>
      </c>
      <c r="O26" s="196">
        <v>1509170400</v>
      </c>
      <c r="P26" s="196">
        <v>0</v>
      </c>
      <c r="Q26" s="196">
        <v>3.52</v>
      </c>
      <c r="R26" s="196">
        <v>193</v>
      </c>
      <c r="S26" s="196">
        <v>2.86</v>
      </c>
      <c r="T26" s="196">
        <v>0.95</v>
      </c>
    </row>
    <row r="27" spans="1:20" x14ac:dyDescent="0.3">
      <c r="A27" s="196">
        <v>37.630000000000003</v>
      </c>
      <c r="B27" s="196">
        <v>0.9</v>
      </c>
      <c r="C27" s="196">
        <v>21.33</v>
      </c>
      <c r="D27" s="8">
        <v>43036.041666666664</v>
      </c>
      <c r="E27" s="196">
        <v>0.51</v>
      </c>
      <c r="F27" s="196" t="s">
        <v>562</v>
      </c>
      <c r="G27" s="196">
        <v>275.92</v>
      </c>
      <c r="H27" s="196"/>
      <c r="I27" s="196">
        <v>0</v>
      </c>
      <c r="J27" s="196">
        <v>0</v>
      </c>
      <c r="K27" s="196"/>
      <c r="L27" s="196">
        <v>1021.88</v>
      </c>
      <c r="M27" s="196" t="s">
        <v>558</v>
      </c>
      <c r="N27" s="196">
        <v>37.630000000000003</v>
      </c>
      <c r="O27" s="196">
        <v>1509174000</v>
      </c>
      <c r="P27" s="196">
        <v>0</v>
      </c>
      <c r="Q27" s="196">
        <v>3.52</v>
      </c>
      <c r="R27" s="196">
        <v>169</v>
      </c>
      <c r="S27" s="196">
        <v>2.4700000000000002</v>
      </c>
      <c r="T27" s="196">
        <v>0.73</v>
      </c>
    </row>
    <row r="28" spans="1:20" x14ac:dyDescent="0.3">
      <c r="A28" s="196">
        <v>37.76</v>
      </c>
      <c r="B28" s="196">
        <v>0.97</v>
      </c>
      <c r="C28" s="196">
        <v>22.06</v>
      </c>
      <c r="D28" s="8">
        <v>43036.083333333336</v>
      </c>
      <c r="E28" s="196">
        <v>0.53</v>
      </c>
      <c r="F28" s="196" t="s">
        <v>563</v>
      </c>
      <c r="G28" s="196">
        <v>275.56</v>
      </c>
      <c r="H28" s="196"/>
      <c r="I28" s="196">
        <v>0</v>
      </c>
      <c r="J28" s="196">
        <v>0</v>
      </c>
      <c r="K28" s="196"/>
      <c r="L28" s="196">
        <v>1021.43</v>
      </c>
      <c r="M28" s="196" t="s">
        <v>564</v>
      </c>
      <c r="N28" s="196">
        <v>37.76</v>
      </c>
      <c r="O28" s="196">
        <v>1509177600</v>
      </c>
      <c r="P28" s="196">
        <v>0</v>
      </c>
      <c r="Q28" s="196">
        <v>3.52</v>
      </c>
      <c r="R28" s="196">
        <v>188</v>
      </c>
      <c r="S28" s="196">
        <v>2.34</v>
      </c>
      <c r="T28" s="196">
        <v>0.84</v>
      </c>
    </row>
    <row r="29" spans="1:20" x14ac:dyDescent="0.3">
      <c r="A29" s="196">
        <v>38.1</v>
      </c>
      <c r="B29" s="196">
        <v>1</v>
      </c>
      <c r="C29" s="196">
        <v>22.57</v>
      </c>
      <c r="D29" s="8">
        <v>43036.125</v>
      </c>
      <c r="E29" s="196">
        <v>0.53</v>
      </c>
      <c r="F29" s="196" t="s">
        <v>563</v>
      </c>
      <c r="G29" s="196">
        <v>275.08</v>
      </c>
      <c r="H29" s="196"/>
      <c r="I29" s="196">
        <v>1E-4</v>
      </c>
      <c r="J29" s="196">
        <v>0.01</v>
      </c>
      <c r="K29" s="196" t="s">
        <v>525</v>
      </c>
      <c r="L29" s="196">
        <v>1021.59</v>
      </c>
      <c r="M29" s="196" t="s">
        <v>564</v>
      </c>
      <c r="N29" s="196">
        <v>38.1</v>
      </c>
      <c r="O29" s="196">
        <v>1509181200</v>
      </c>
      <c r="P29" s="196">
        <v>0</v>
      </c>
      <c r="Q29" s="196">
        <v>3.52</v>
      </c>
      <c r="R29" s="196">
        <v>188</v>
      </c>
      <c r="S29" s="196">
        <v>2.17</v>
      </c>
      <c r="T29" s="196">
        <v>1.25</v>
      </c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5" sqref="A5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43035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342</v>
      </c>
      <c r="AE2" s="56" t="s">
        <v>345</v>
      </c>
      <c r="AF2" s="56" t="s">
        <v>346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343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338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344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363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347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1099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1100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1101</v>
      </c>
      <c r="J20" s="140" t="s">
        <v>87</v>
      </c>
      <c r="M20" s="154" t="s">
        <v>337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1102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1103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1104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1105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1106</v>
      </c>
      <c r="J25" s="140" t="s">
        <v>144</v>
      </c>
      <c r="M25" s="154" t="b">
        <v>1</v>
      </c>
    </row>
    <row r="26" spans="3:24" x14ac:dyDescent="0.3">
      <c r="C26" t="s">
        <v>1107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%USERPROFILE%\Documents\GitHub\eaglep3-reporting\EC\2017-10-27-refined-times.txt</v>
      </c>
    </row>
    <row r="27" spans="3:24" x14ac:dyDescent="0.3">
      <c r="C27" t="s">
        <v>1108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%USERPROFILE%\Documents\GitHub\eaglep3-reporting\EC\2017-10-27-Enforcements.txt</v>
      </c>
    </row>
    <row r="28" spans="3:24" x14ac:dyDescent="0.3">
      <c r="C28" t="s">
        <v>1109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%USERPROFILE%\Documents\GitHub\eaglep3-reporting\EC\2017-10-27-Runs-refined.txt</v>
      </c>
    </row>
    <row r="29" spans="3:24" x14ac:dyDescent="0.3">
      <c r="C29" t="s">
        <v>1110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%USERPROFILE%\Documents\GitHub\eaglep3-reporting\EC\2017-10-27-Trips.txt</v>
      </c>
    </row>
    <row r="30" spans="3:24" x14ac:dyDescent="0.3">
      <c r="C30" t="s">
        <v>1111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%USERPROFILE%\Documents\GitHub\eaglep3-reporting\EC\2017-10-27-Weather.txt</v>
      </c>
    </row>
    <row r="31" spans="3:24" x14ac:dyDescent="0.3">
      <c r="C31" t="s">
        <v>1112</v>
      </c>
      <c r="J31" s="140" t="s">
        <v>190</v>
      </c>
      <c r="M31" s="154" t="s">
        <v>191</v>
      </c>
    </row>
    <row r="32" spans="3:24" x14ac:dyDescent="0.3">
      <c r="C32" t="s">
        <v>1113</v>
      </c>
    </row>
    <row r="33" spans="3:3" x14ac:dyDescent="0.3">
      <c r="C33" t="s">
        <v>1114</v>
      </c>
    </row>
    <row r="34" spans="3:3" x14ac:dyDescent="0.3">
      <c r="C34" t="s">
        <v>1115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376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2017-10-30T15:26:36Z</dcterms:modified>
</cp:coreProperties>
</file>