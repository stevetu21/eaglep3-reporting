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Trips'!$A$2:$J$114</definedName>
    <definedName name="_xlnm._FilterDatabase" localSheetId="0" hidden="1">'Train Runs'!$A$12:$AG$248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M14" i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AG15" i="1" s="1"/>
  <c r="AE15" i="1"/>
  <c r="AM15" i="1"/>
  <c r="K16" i="1"/>
  <c r="M16" i="1"/>
  <c r="N16" i="1" s="1"/>
  <c r="Y16" i="1"/>
  <c r="Z16" i="1"/>
  <c r="AB16" i="1"/>
  <c r="AC16" i="1"/>
  <c r="AD16" i="1"/>
  <c r="AE16" i="1"/>
  <c r="AM16" i="1"/>
  <c r="K17" i="1"/>
  <c r="M17" i="1"/>
  <c r="N17" i="1" s="1"/>
  <c r="Y17" i="1"/>
  <c r="Z17" i="1"/>
  <c r="AB17" i="1"/>
  <c r="AC17" i="1"/>
  <c r="AD17" i="1"/>
  <c r="AG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AG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G24" i="1" s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T26" i="1" s="1"/>
  <c r="AE26" i="1"/>
  <c r="AM26" i="1"/>
  <c r="K27" i="1"/>
  <c r="M27" i="1"/>
  <c r="N27" i="1" s="1"/>
  <c r="Y27" i="1"/>
  <c r="Z27" i="1"/>
  <c r="AB27" i="1"/>
  <c r="AC27" i="1"/>
  <c r="AD27" i="1"/>
  <c r="T27" i="1" s="1"/>
  <c r="AE27" i="1"/>
  <c r="AM27" i="1"/>
  <c r="K28" i="1"/>
  <c r="M28" i="1"/>
  <c r="N28" i="1" s="1"/>
  <c r="Y28" i="1"/>
  <c r="Z28" i="1"/>
  <c r="AB28" i="1"/>
  <c r="AC28" i="1"/>
  <c r="AD28" i="1"/>
  <c r="AG28" i="1" s="1"/>
  <c r="AE28" i="1"/>
  <c r="AM28" i="1"/>
  <c r="K29" i="1"/>
  <c r="M29" i="1"/>
  <c r="N29" i="1" s="1"/>
  <c r="Y29" i="1"/>
  <c r="Z29" i="1"/>
  <c r="AB29" i="1"/>
  <c r="AC29" i="1"/>
  <c r="AD29" i="1"/>
  <c r="AE29" i="1"/>
  <c r="R8" i="3" s="1"/>
  <c r="AM29" i="1"/>
  <c r="K30" i="1"/>
  <c r="M30" i="1"/>
  <c r="N30" i="1" s="1"/>
  <c r="Y30" i="1"/>
  <c r="Z30" i="1"/>
  <c r="AB30" i="1"/>
  <c r="AC30" i="1"/>
  <c r="AD30" i="1"/>
  <c r="AG30" i="1" s="1"/>
  <c r="AE30" i="1"/>
  <c r="AM30" i="1"/>
  <c r="K31" i="1"/>
  <c r="M31" i="1"/>
  <c r="N31" i="1" s="1"/>
  <c r="Y31" i="1"/>
  <c r="Z31" i="1"/>
  <c r="AB31" i="1"/>
  <c r="AC31" i="1"/>
  <c r="AD31" i="1"/>
  <c r="T31" i="1" s="1"/>
  <c r="AE31" i="1"/>
  <c r="AM31" i="1"/>
  <c r="K32" i="1"/>
  <c r="M32" i="1"/>
  <c r="N32" i="1" s="1"/>
  <c r="Y32" i="1"/>
  <c r="Z32" i="1"/>
  <c r="AB32" i="1"/>
  <c r="AC32" i="1"/>
  <c r="AD32" i="1"/>
  <c r="AG32" i="1" s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G34" i="1" s="1"/>
  <c r="AE34" i="1"/>
  <c r="AM34" i="1"/>
  <c r="K35" i="1"/>
  <c r="M35" i="1"/>
  <c r="N35" i="1" s="1"/>
  <c r="Y35" i="1"/>
  <c r="Z35" i="1"/>
  <c r="AB35" i="1"/>
  <c r="AC35" i="1"/>
  <c r="AD35" i="1"/>
  <c r="T35" i="1" s="1"/>
  <c r="AE35" i="1"/>
  <c r="AM35" i="1"/>
  <c r="K36" i="1"/>
  <c r="M36" i="1"/>
  <c r="N36" i="1" s="1"/>
  <c r="Y36" i="1"/>
  <c r="Z36" i="1"/>
  <c r="AB36" i="1"/>
  <c r="AC36" i="1"/>
  <c r="AD36" i="1"/>
  <c r="AG36" i="1" s="1"/>
  <c r="AE36" i="1"/>
  <c r="AM36" i="1"/>
  <c r="K37" i="1"/>
  <c r="M37" i="1"/>
  <c r="N37" i="1" s="1"/>
  <c r="Y37" i="1"/>
  <c r="Z37" i="1"/>
  <c r="AB37" i="1"/>
  <c r="AC37" i="1"/>
  <c r="AD37" i="1"/>
  <c r="T37" i="1" s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T39" i="1" s="1"/>
  <c r="AE39" i="1"/>
  <c r="AM39" i="1"/>
  <c r="K40" i="1"/>
  <c r="M40" i="1"/>
  <c r="N40" i="1" s="1"/>
  <c r="Y40" i="1"/>
  <c r="Z40" i="1"/>
  <c r="AB40" i="1"/>
  <c r="AC40" i="1"/>
  <c r="AD40" i="1"/>
  <c r="AG40" i="1" s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T43" i="1" s="1"/>
  <c r="AE43" i="1"/>
  <c r="AM43" i="1"/>
  <c r="K44" i="1"/>
  <c r="M44" i="1"/>
  <c r="N44" i="1" s="1"/>
  <c r="Y44" i="1"/>
  <c r="Z44" i="1"/>
  <c r="AB44" i="1"/>
  <c r="AC44" i="1"/>
  <c r="AD44" i="1"/>
  <c r="AG44" i="1" s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T46" i="1" s="1"/>
  <c r="AE46" i="1"/>
  <c r="AM46" i="1"/>
  <c r="K47" i="1"/>
  <c r="M47" i="1"/>
  <c r="N47" i="1" s="1"/>
  <c r="Y47" i="1"/>
  <c r="Z47" i="1"/>
  <c r="AB47" i="1"/>
  <c r="AC47" i="1"/>
  <c r="AD47" i="1"/>
  <c r="T47" i="1" s="1"/>
  <c r="AE47" i="1"/>
  <c r="AM47" i="1"/>
  <c r="K48" i="1"/>
  <c r="M48" i="1"/>
  <c r="N48" i="1" s="1"/>
  <c r="Y48" i="1"/>
  <c r="Z48" i="1"/>
  <c r="AB48" i="1"/>
  <c r="AC48" i="1"/>
  <c r="AD48" i="1"/>
  <c r="AG48" i="1" s="1"/>
  <c r="AE48" i="1"/>
  <c r="AM48" i="1"/>
  <c r="K49" i="1"/>
  <c r="M49" i="1"/>
  <c r="N49" i="1" s="1"/>
  <c r="Y49" i="1"/>
  <c r="Z49" i="1"/>
  <c r="AB49" i="1"/>
  <c r="AC49" i="1"/>
  <c r="AD49" i="1"/>
  <c r="AG49" i="1" s="1"/>
  <c r="AE49" i="1"/>
  <c r="AM49" i="1"/>
  <c r="K50" i="1"/>
  <c r="M50" i="1"/>
  <c r="N50" i="1" s="1"/>
  <c r="Y50" i="1"/>
  <c r="Z50" i="1"/>
  <c r="AB50" i="1"/>
  <c r="AC50" i="1"/>
  <c r="AD50" i="1"/>
  <c r="T50" i="1" s="1"/>
  <c r="AE50" i="1"/>
  <c r="AM50" i="1"/>
  <c r="K51" i="1"/>
  <c r="M51" i="1"/>
  <c r="N51" i="1" s="1"/>
  <c r="Y51" i="1"/>
  <c r="Z51" i="1"/>
  <c r="AB51" i="1"/>
  <c r="AC51" i="1"/>
  <c r="AD51" i="1"/>
  <c r="AG51" i="1" s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G53" i="1" s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AG57" i="1" s="1"/>
  <c r="AE57" i="1"/>
  <c r="AM57" i="1"/>
  <c r="K58" i="1"/>
  <c r="M58" i="1"/>
  <c r="N58" i="1" s="1"/>
  <c r="Y58" i="1"/>
  <c r="Z58" i="1"/>
  <c r="AB58" i="1"/>
  <c r="AC58" i="1"/>
  <c r="AD58" i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AG61" i="1" s="1"/>
  <c r="AE61" i="1"/>
  <c r="R21" i="3" s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B65" i="1"/>
  <c r="AC65" i="1"/>
  <c r="AD65" i="1"/>
  <c r="AG65" i="1" s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R7" i="3" s="1"/>
  <c r="AM72" i="1"/>
  <c r="K73" i="1"/>
  <c r="M73" i="1"/>
  <c r="N73" i="1" s="1"/>
  <c r="Y73" i="1"/>
  <c r="Z73" i="1"/>
  <c r="AB73" i="1"/>
  <c r="AC73" i="1"/>
  <c r="AD73" i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AG77" i="1" s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R17" i="3" s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AG84" i="1" s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P91" i="1" s="1"/>
  <c r="Y91" i="1"/>
  <c r="Z91" i="1"/>
  <c r="AB91" i="1"/>
  <c r="AC91" i="1"/>
  <c r="AD91" i="1"/>
  <c r="T91" i="1" s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159" i="1"/>
  <c r="M159" i="1"/>
  <c r="N159" i="1" s="1"/>
  <c r="Y159" i="1"/>
  <c r="Z159" i="1"/>
  <c r="AB159" i="1"/>
  <c r="AC159" i="1"/>
  <c r="AD159" i="1"/>
  <c r="AE159" i="1"/>
  <c r="AM94" i="1"/>
  <c r="K160" i="1"/>
  <c r="M160" i="1"/>
  <c r="N160" i="1" s="1"/>
  <c r="Y160" i="1"/>
  <c r="Z160" i="1"/>
  <c r="AB160" i="1"/>
  <c r="AC160" i="1"/>
  <c r="AD160" i="1"/>
  <c r="AE160" i="1"/>
  <c r="AM95" i="1"/>
  <c r="K161" i="1"/>
  <c r="M161" i="1"/>
  <c r="N161" i="1" s="1"/>
  <c r="Y161" i="1"/>
  <c r="Z161" i="1"/>
  <c r="AB161" i="1"/>
  <c r="AC161" i="1"/>
  <c r="AD161" i="1"/>
  <c r="X161" i="1" s="1"/>
  <c r="AE161" i="1"/>
  <c r="AM96" i="1"/>
  <c r="K162" i="1"/>
  <c r="M162" i="1"/>
  <c r="N162" i="1" s="1"/>
  <c r="Y162" i="1"/>
  <c r="Z162" i="1"/>
  <c r="AB162" i="1"/>
  <c r="AC162" i="1"/>
  <c r="AD162" i="1"/>
  <c r="AE162" i="1"/>
  <c r="AM97" i="1"/>
  <c r="K163" i="1"/>
  <c r="M163" i="1"/>
  <c r="N163" i="1" s="1"/>
  <c r="Y163" i="1"/>
  <c r="Z163" i="1"/>
  <c r="AB163" i="1"/>
  <c r="AC163" i="1"/>
  <c r="AD163" i="1"/>
  <c r="AE163" i="1"/>
  <c r="AM98" i="1"/>
  <c r="K164" i="1"/>
  <c r="M164" i="1"/>
  <c r="N164" i="1" s="1"/>
  <c r="Y164" i="1"/>
  <c r="Z164" i="1"/>
  <c r="AB164" i="1"/>
  <c r="AC164" i="1"/>
  <c r="AD164" i="1"/>
  <c r="T164" i="1" s="1"/>
  <c r="AE164" i="1"/>
  <c r="AM99" i="1"/>
  <c r="K165" i="1"/>
  <c r="M165" i="1"/>
  <c r="N165" i="1" s="1"/>
  <c r="Y165" i="1"/>
  <c r="Z165" i="1"/>
  <c r="AB165" i="1"/>
  <c r="AC165" i="1"/>
  <c r="AD165" i="1"/>
  <c r="AE165" i="1"/>
  <c r="AM100" i="1"/>
  <c r="K166" i="1"/>
  <c r="M166" i="1"/>
  <c r="N166" i="1" s="1"/>
  <c r="Y166" i="1"/>
  <c r="Z166" i="1"/>
  <c r="AB166" i="1"/>
  <c r="AC166" i="1"/>
  <c r="AD166" i="1"/>
  <c r="AE166" i="1"/>
  <c r="AM101" i="1"/>
  <c r="K167" i="1"/>
  <c r="M167" i="1"/>
  <c r="N167" i="1" s="1"/>
  <c r="Y167" i="1"/>
  <c r="Z167" i="1"/>
  <c r="AB167" i="1"/>
  <c r="AC167" i="1"/>
  <c r="AD167" i="1"/>
  <c r="AE167" i="1"/>
  <c r="AM102" i="1"/>
  <c r="K168" i="1"/>
  <c r="M168" i="1"/>
  <c r="N168" i="1" s="1"/>
  <c r="Y168" i="1"/>
  <c r="Z168" i="1"/>
  <c r="AB168" i="1"/>
  <c r="AC168" i="1"/>
  <c r="AD168" i="1"/>
  <c r="T168" i="1" s="1"/>
  <c r="AE168" i="1"/>
  <c r="AM103" i="1"/>
  <c r="K94" i="1"/>
  <c r="M94" i="1"/>
  <c r="N94" i="1" s="1"/>
  <c r="Y94" i="1"/>
  <c r="Z94" i="1"/>
  <c r="AB94" i="1"/>
  <c r="AC94" i="1"/>
  <c r="AD94" i="1"/>
  <c r="AG94" i="1" s="1"/>
  <c r="AE94" i="1"/>
  <c r="R26" i="3" s="1"/>
  <c r="AM104" i="1"/>
  <c r="K169" i="1"/>
  <c r="M169" i="1"/>
  <c r="N169" i="1" s="1"/>
  <c r="Y169" i="1"/>
  <c r="Z169" i="1"/>
  <c r="AB169" i="1"/>
  <c r="AC169" i="1"/>
  <c r="AD169" i="1"/>
  <c r="T169" i="1" s="1"/>
  <c r="AE169" i="1"/>
  <c r="AM105" i="1"/>
  <c r="K170" i="1"/>
  <c r="M170" i="1"/>
  <c r="N170" i="1" s="1"/>
  <c r="Y170" i="1"/>
  <c r="Z170" i="1"/>
  <c r="AB170" i="1"/>
  <c r="AC170" i="1"/>
  <c r="AD170" i="1"/>
  <c r="AE170" i="1"/>
  <c r="AM106" i="1"/>
  <c r="K171" i="1"/>
  <c r="M171" i="1"/>
  <c r="N171" i="1" s="1"/>
  <c r="Y171" i="1"/>
  <c r="Z171" i="1"/>
  <c r="AB171" i="1"/>
  <c r="AC171" i="1"/>
  <c r="AD171" i="1"/>
  <c r="T171" i="1" s="1"/>
  <c r="AE171" i="1"/>
  <c r="AM107" i="1"/>
  <c r="K172" i="1"/>
  <c r="M172" i="1"/>
  <c r="N172" i="1" s="1"/>
  <c r="Y172" i="1"/>
  <c r="Z172" i="1"/>
  <c r="AB172" i="1"/>
  <c r="AC172" i="1"/>
  <c r="AD172" i="1"/>
  <c r="T172" i="1" s="1"/>
  <c r="AE172" i="1"/>
  <c r="AM108" i="1"/>
  <c r="K173" i="1"/>
  <c r="M173" i="1"/>
  <c r="N173" i="1" s="1"/>
  <c r="Y173" i="1"/>
  <c r="Z173" i="1"/>
  <c r="AB173" i="1"/>
  <c r="AC173" i="1"/>
  <c r="AD173" i="1"/>
  <c r="AE173" i="1"/>
  <c r="R29" i="3" s="1"/>
  <c r="AM109" i="1"/>
  <c r="K174" i="1"/>
  <c r="M174" i="1"/>
  <c r="N174" i="1" s="1"/>
  <c r="Y174" i="1"/>
  <c r="Z174" i="1"/>
  <c r="AB174" i="1"/>
  <c r="AC174" i="1"/>
  <c r="AD174" i="1"/>
  <c r="AE174" i="1"/>
  <c r="AM110" i="1"/>
  <c r="K175" i="1"/>
  <c r="M175" i="1"/>
  <c r="N175" i="1" s="1"/>
  <c r="Y175" i="1"/>
  <c r="Z175" i="1"/>
  <c r="AB175" i="1"/>
  <c r="AC175" i="1"/>
  <c r="AD175" i="1"/>
  <c r="T175" i="1" s="1"/>
  <c r="AE175" i="1"/>
  <c r="R28" i="3" s="1"/>
  <c r="AM111" i="1"/>
  <c r="K176" i="1"/>
  <c r="M176" i="1"/>
  <c r="N176" i="1" s="1"/>
  <c r="Y176" i="1"/>
  <c r="Z176" i="1"/>
  <c r="AB176" i="1"/>
  <c r="AC176" i="1"/>
  <c r="AD176" i="1"/>
  <c r="T176" i="1" s="1"/>
  <c r="AE176" i="1"/>
  <c r="AM112" i="1"/>
  <c r="K177" i="1"/>
  <c r="M177" i="1"/>
  <c r="N177" i="1" s="1"/>
  <c r="Y177" i="1"/>
  <c r="Z177" i="1"/>
  <c r="AB177" i="1"/>
  <c r="AC177" i="1"/>
  <c r="AD177" i="1"/>
  <c r="T177" i="1" s="1"/>
  <c r="AE177" i="1"/>
  <c r="AM113" i="1"/>
  <c r="K178" i="1"/>
  <c r="M178" i="1"/>
  <c r="N178" i="1" s="1"/>
  <c r="Y178" i="1"/>
  <c r="Z178" i="1"/>
  <c r="AB178" i="1"/>
  <c r="AC178" i="1"/>
  <c r="AD178" i="1"/>
  <c r="AE178" i="1"/>
  <c r="R35" i="3" s="1"/>
  <c r="AM114" i="1"/>
  <c r="K95" i="1"/>
  <c r="M95" i="1"/>
  <c r="N95" i="1" s="1"/>
  <c r="Y95" i="1"/>
  <c r="Z95" i="1"/>
  <c r="AB95" i="1"/>
  <c r="AC95" i="1"/>
  <c r="AD95" i="1"/>
  <c r="T95" i="1" s="1"/>
  <c r="AE95" i="1"/>
  <c r="AM115" i="1"/>
  <c r="K179" i="1"/>
  <c r="M179" i="1"/>
  <c r="N179" i="1" s="1"/>
  <c r="Y179" i="1"/>
  <c r="Z179" i="1"/>
  <c r="AB179" i="1"/>
  <c r="AC179" i="1"/>
  <c r="AD179" i="1"/>
  <c r="AE179" i="1"/>
  <c r="R32" i="3" s="1"/>
  <c r="AM116" i="1"/>
  <c r="K180" i="1"/>
  <c r="M180" i="1"/>
  <c r="N180" i="1" s="1"/>
  <c r="Y180" i="1"/>
  <c r="Z180" i="1"/>
  <c r="AB180" i="1"/>
  <c r="AC180" i="1"/>
  <c r="AD180" i="1"/>
  <c r="AE180" i="1"/>
  <c r="AM117" i="1"/>
  <c r="K181" i="1"/>
  <c r="M181" i="1"/>
  <c r="P181" i="1" s="1"/>
  <c r="Y181" i="1"/>
  <c r="Z181" i="1"/>
  <c r="AB181" i="1"/>
  <c r="AC181" i="1"/>
  <c r="AD181" i="1"/>
  <c r="AE181" i="1"/>
  <c r="AM118" i="1"/>
  <c r="K182" i="1"/>
  <c r="M182" i="1"/>
  <c r="N182" i="1" s="1"/>
  <c r="Y182" i="1"/>
  <c r="Z182" i="1"/>
  <c r="AB182" i="1"/>
  <c r="AC182" i="1"/>
  <c r="AD182" i="1"/>
  <c r="T182" i="1" s="1"/>
  <c r="AE182" i="1"/>
  <c r="AM119" i="1"/>
  <c r="K183" i="1"/>
  <c r="M183" i="1"/>
  <c r="N183" i="1" s="1"/>
  <c r="Y183" i="1"/>
  <c r="Z183" i="1"/>
  <c r="AB183" i="1"/>
  <c r="AC183" i="1"/>
  <c r="AD183" i="1"/>
  <c r="AE183" i="1"/>
  <c r="AM120" i="1"/>
  <c r="K184" i="1"/>
  <c r="M184" i="1"/>
  <c r="N184" i="1" s="1"/>
  <c r="Y184" i="1"/>
  <c r="Z184" i="1"/>
  <c r="AB184" i="1"/>
  <c r="AC184" i="1"/>
  <c r="AD184" i="1"/>
  <c r="AG184" i="1" s="1"/>
  <c r="AE184" i="1"/>
  <c r="AM121" i="1"/>
  <c r="K185" i="1"/>
  <c r="M185" i="1"/>
  <c r="N185" i="1" s="1"/>
  <c r="Y185" i="1"/>
  <c r="Z185" i="1"/>
  <c r="AB185" i="1"/>
  <c r="AC185" i="1"/>
  <c r="AD185" i="1"/>
  <c r="AE185" i="1"/>
  <c r="AM122" i="1"/>
  <c r="K186" i="1"/>
  <c r="M186" i="1"/>
  <c r="N186" i="1" s="1"/>
  <c r="Y186" i="1"/>
  <c r="Z186" i="1"/>
  <c r="AB186" i="1"/>
  <c r="AC186" i="1"/>
  <c r="AD186" i="1"/>
  <c r="T186" i="1" s="1"/>
  <c r="AE186" i="1"/>
  <c r="AM123" i="1"/>
  <c r="K187" i="1"/>
  <c r="M187" i="1"/>
  <c r="N187" i="1" s="1"/>
  <c r="Y187" i="1"/>
  <c r="Z187" i="1"/>
  <c r="AB187" i="1"/>
  <c r="AC187" i="1"/>
  <c r="AD187" i="1"/>
  <c r="AG187" i="1" s="1"/>
  <c r="AE187" i="1"/>
  <c r="AM124" i="1"/>
  <c r="K188" i="1"/>
  <c r="M188" i="1"/>
  <c r="N188" i="1" s="1"/>
  <c r="Y188" i="1"/>
  <c r="Z188" i="1"/>
  <c r="AB188" i="1"/>
  <c r="AC188" i="1"/>
  <c r="AD188" i="1"/>
  <c r="AE188" i="1"/>
  <c r="AM125" i="1"/>
  <c r="K96" i="1"/>
  <c r="M96" i="1"/>
  <c r="N96" i="1" s="1"/>
  <c r="Y96" i="1"/>
  <c r="Z96" i="1"/>
  <c r="AB96" i="1"/>
  <c r="AC96" i="1"/>
  <c r="AD96" i="1"/>
  <c r="AE96" i="1"/>
  <c r="AM126" i="1"/>
  <c r="K189" i="1"/>
  <c r="M189" i="1"/>
  <c r="N189" i="1" s="1"/>
  <c r="Y189" i="1"/>
  <c r="Z189" i="1"/>
  <c r="AB189" i="1"/>
  <c r="AC189" i="1"/>
  <c r="AD189" i="1"/>
  <c r="T189" i="1" s="1"/>
  <c r="AE189" i="1"/>
  <c r="AM127" i="1"/>
  <c r="K190" i="1"/>
  <c r="M190" i="1"/>
  <c r="N190" i="1" s="1"/>
  <c r="Y190" i="1"/>
  <c r="Z190" i="1"/>
  <c r="AB190" i="1"/>
  <c r="AC190" i="1"/>
  <c r="AD190" i="1"/>
  <c r="AG190" i="1" s="1"/>
  <c r="AE190" i="1"/>
  <c r="AM128" i="1"/>
  <c r="K191" i="1"/>
  <c r="M191" i="1"/>
  <c r="N191" i="1" s="1"/>
  <c r="Y191" i="1"/>
  <c r="Z191" i="1"/>
  <c r="AB191" i="1"/>
  <c r="AC191" i="1"/>
  <c r="AD191" i="1"/>
  <c r="AE191" i="1"/>
  <c r="AM129" i="1"/>
  <c r="K192" i="1"/>
  <c r="M192" i="1"/>
  <c r="N192" i="1" s="1"/>
  <c r="Y192" i="1"/>
  <c r="Z192" i="1"/>
  <c r="AB192" i="1"/>
  <c r="AC192" i="1"/>
  <c r="AD192" i="1"/>
  <c r="AE192" i="1"/>
  <c r="AM130" i="1"/>
  <c r="K97" i="1"/>
  <c r="M97" i="1"/>
  <c r="N97" i="1" s="1"/>
  <c r="Y97" i="1"/>
  <c r="Z97" i="1"/>
  <c r="AB97" i="1"/>
  <c r="AC97" i="1"/>
  <c r="AD97" i="1"/>
  <c r="AE97" i="1"/>
  <c r="AM131" i="1"/>
  <c r="K98" i="1"/>
  <c r="M98" i="1"/>
  <c r="P98" i="1" s="1"/>
  <c r="Y98" i="1"/>
  <c r="Z98" i="1"/>
  <c r="AB98" i="1"/>
  <c r="AC98" i="1"/>
  <c r="AD98" i="1"/>
  <c r="T98" i="1" s="1"/>
  <c r="AE98" i="1"/>
  <c r="AM132" i="1"/>
  <c r="K99" i="1"/>
  <c r="M99" i="1"/>
  <c r="N99" i="1" s="1"/>
  <c r="Y99" i="1"/>
  <c r="Z99" i="1"/>
  <c r="AB99" i="1"/>
  <c r="AC99" i="1"/>
  <c r="AD99" i="1"/>
  <c r="AE99" i="1"/>
  <c r="AM133" i="1"/>
  <c r="K100" i="1"/>
  <c r="M100" i="1"/>
  <c r="N100" i="1" s="1"/>
  <c r="Y100" i="1"/>
  <c r="Z100" i="1"/>
  <c r="AB100" i="1"/>
  <c r="AC100" i="1"/>
  <c r="AD100" i="1"/>
  <c r="AG100" i="1" s="1"/>
  <c r="AE100" i="1"/>
  <c r="AM134" i="1"/>
  <c r="K101" i="1"/>
  <c r="M101" i="1"/>
  <c r="N101" i="1" s="1"/>
  <c r="Y101" i="1"/>
  <c r="Z101" i="1"/>
  <c r="AB101" i="1"/>
  <c r="AC101" i="1"/>
  <c r="AD101" i="1"/>
  <c r="AE101" i="1"/>
  <c r="AM135" i="1"/>
  <c r="K102" i="1"/>
  <c r="M102" i="1"/>
  <c r="N102" i="1" s="1"/>
  <c r="Y102" i="1"/>
  <c r="Z102" i="1"/>
  <c r="AB102" i="1"/>
  <c r="AC102" i="1"/>
  <c r="AD102" i="1"/>
  <c r="AG102" i="1" s="1"/>
  <c r="AE102" i="1"/>
  <c r="AM136" i="1"/>
  <c r="K103" i="1"/>
  <c r="M103" i="1"/>
  <c r="N103" i="1" s="1"/>
  <c r="Y103" i="1"/>
  <c r="Z103" i="1"/>
  <c r="AB103" i="1"/>
  <c r="AC103" i="1"/>
  <c r="AD103" i="1"/>
  <c r="T103" i="1" s="1"/>
  <c r="AE103" i="1"/>
  <c r="AM137" i="1"/>
  <c r="K206" i="1"/>
  <c r="M206" i="1"/>
  <c r="N206" i="1" s="1"/>
  <c r="Y206" i="1"/>
  <c r="Z206" i="1"/>
  <c r="AB206" i="1"/>
  <c r="AC206" i="1"/>
  <c r="AD206" i="1"/>
  <c r="AG206" i="1" s="1"/>
  <c r="AE206" i="1"/>
  <c r="AM138" i="1"/>
  <c r="K207" i="1"/>
  <c r="M207" i="1"/>
  <c r="N207" i="1" s="1"/>
  <c r="Y207" i="1"/>
  <c r="Z207" i="1"/>
  <c r="AB207" i="1"/>
  <c r="AC207" i="1"/>
  <c r="AD207" i="1"/>
  <c r="AG207" i="1" s="1"/>
  <c r="AE207" i="1"/>
  <c r="AM139" i="1"/>
  <c r="K104" i="1"/>
  <c r="M104" i="1"/>
  <c r="N104" i="1" s="1"/>
  <c r="Y104" i="1"/>
  <c r="Z104" i="1"/>
  <c r="AB104" i="1"/>
  <c r="AC104" i="1"/>
  <c r="AD104" i="1"/>
  <c r="T104" i="1" s="1"/>
  <c r="AE104" i="1"/>
  <c r="AM140" i="1"/>
  <c r="K105" i="1"/>
  <c r="M105" i="1"/>
  <c r="N105" i="1" s="1"/>
  <c r="Y105" i="1"/>
  <c r="Z105" i="1"/>
  <c r="AB105" i="1"/>
  <c r="AC105" i="1"/>
  <c r="AD105" i="1"/>
  <c r="T105" i="1" s="1"/>
  <c r="AE105" i="1"/>
  <c r="AM141" i="1"/>
  <c r="K106" i="1"/>
  <c r="M106" i="1"/>
  <c r="N106" i="1" s="1"/>
  <c r="Y106" i="1"/>
  <c r="Z106" i="1"/>
  <c r="AB106" i="1"/>
  <c r="AC106" i="1"/>
  <c r="AD106" i="1"/>
  <c r="AE106" i="1"/>
  <c r="AM142" i="1"/>
  <c r="K107" i="1"/>
  <c r="M107" i="1"/>
  <c r="N107" i="1" s="1"/>
  <c r="Y107" i="1"/>
  <c r="Z107" i="1"/>
  <c r="AB107" i="1"/>
  <c r="AC107" i="1"/>
  <c r="AD107" i="1"/>
  <c r="AG107" i="1" s="1"/>
  <c r="AE107" i="1"/>
  <c r="AM143" i="1"/>
  <c r="K108" i="1"/>
  <c r="M108" i="1"/>
  <c r="N108" i="1" s="1"/>
  <c r="Y108" i="1"/>
  <c r="Z108" i="1"/>
  <c r="AB108" i="1"/>
  <c r="AC108" i="1"/>
  <c r="AD108" i="1"/>
  <c r="T108" i="1" s="1"/>
  <c r="AE108" i="1"/>
  <c r="AM144" i="1"/>
  <c r="K109" i="1"/>
  <c r="M109" i="1"/>
  <c r="N109" i="1" s="1"/>
  <c r="Y109" i="1"/>
  <c r="Z109" i="1"/>
  <c r="AB109" i="1"/>
  <c r="AC109" i="1"/>
  <c r="AD109" i="1"/>
  <c r="T109" i="1" s="1"/>
  <c r="AE109" i="1"/>
  <c r="R20" i="3" s="1"/>
  <c r="AM145" i="1"/>
  <c r="K110" i="1"/>
  <c r="M110" i="1"/>
  <c r="N110" i="1" s="1"/>
  <c r="Y110" i="1"/>
  <c r="Z110" i="1"/>
  <c r="AB110" i="1"/>
  <c r="AC110" i="1"/>
  <c r="AD110" i="1"/>
  <c r="AG110" i="1" s="1"/>
  <c r="AE110" i="1"/>
  <c r="AM146" i="1"/>
  <c r="K111" i="1"/>
  <c r="M111" i="1"/>
  <c r="N111" i="1" s="1"/>
  <c r="Y111" i="1"/>
  <c r="Z111" i="1"/>
  <c r="AB111" i="1"/>
  <c r="AC111" i="1"/>
  <c r="AD111" i="1"/>
  <c r="AG111" i="1" s="1"/>
  <c r="AE111" i="1"/>
  <c r="AM147" i="1"/>
  <c r="K112" i="1"/>
  <c r="M112" i="1"/>
  <c r="N112" i="1" s="1"/>
  <c r="Y112" i="1"/>
  <c r="Z112" i="1"/>
  <c r="AB112" i="1"/>
  <c r="AC112" i="1"/>
  <c r="AD112" i="1"/>
  <c r="AE112" i="1"/>
  <c r="AM148" i="1"/>
  <c r="K113" i="1"/>
  <c r="M113" i="1"/>
  <c r="N113" i="1" s="1"/>
  <c r="Y113" i="1"/>
  <c r="Z113" i="1"/>
  <c r="AB113" i="1"/>
  <c r="AC113" i="1"/>
  <c r="AD113" i="1"/>
  <c r="T113" i="1" s="1"/>
  <c r="AE113" i="1"/>
  <c r="AM149" i="1"/>
  <c r="K114" i="1"/>
  <c r="M114" i="1"/>
  <c r="N114" i="1" s="1"/>
  <c r="Y114" i="1"/>
  <c r="Z114" i="1"/>
  <c r="AB114" i="1"/>
  <c r="AC114" i="1"/>
  <c r="AD114" i="1"/>
  <c r="AG114" i="1" s="1"/>
  <c r="AE114" i="1"/>
  <c r="AM150" i="1"/>
  <c r="K115" i="1"/>
  <c r="M115" i="1"/>
  <c r="N115" i="1" s="1"/>
  <c r="Y115" i="1"/>
  <c r="Z115" i="1"/>
  <c r="AB115" i="1"/>
  <c r="AC115" i="1"/>
  <c r="AD115" i="1"/>
  <c r="AE115" i="1"/>
  <c r="AM151" i="1"/>
  <c r="K116" i="1"/>
  <c r="M116" i="1"/>
  <c r="N116" i="1" s="1"/>
  <c r="Y116" i="1"/>
  <c r="Z116" i="1"/>
  <c r="AB116" i="1"/>
  <c r="AC116" i="1"/>
  <c r="AD116" i="1"/>
  <c r="T116" i="1" s="1"/>
  <c r="AE116" i="1"/>
  <c r="AM152" i="1"/>
  <c r="K117" i="1"/>
  <c r="M117" i="1"/>
  <c r="N117" i="1" s="1"/>
  <c r="Y117" i="1"/>
  <c r="Z117" i="1"/>
  <c r="AB117" i="1"/>
  <c r="AC117" i="1"/>
  <c r="AD117" i="1"/>
  <c r="T117" i="1" s="1"/>
  <c r="AE117" i="1"/>
  <c r="AM153" i="1"/>
  <c r="K118" i="1"/>
  <c r="M118" i="1"/>
  <c r="N118" i="1" s="1"/>
  <c r="Y118" i="1"/>
  <c r="Z118" i="1"/>
  <c r="AB118" i="1"/>
  <c r="AC118" i="1"/>
  <c r="AD118" i="1"/>
  <c r="AE118" i="1"/>
  <c r="AM154" i="1"/>
  <c r="K119" i="1"/>
  <c r="M119" i="1"/>
  <c r="N119" i="1" s="1"/>
  <c r="Y119" i="1"/>
  <c r="Z119" i="1"/>
  <c r="AB119" i="1"/>
  <c r="AC119" i="1"/>
  <c r="AD119" i="1"/>
  <c r="AG119" i="1" s="1"/>
  <c r="AE119" i="1"/>
  <c r="R11" i="3" s="1"/>
  <c r="AM155" i="1"/>
  <c r="K120" i="1"/>
  <c r="M120" i="1"/>
  <c r="N120" i="1" s="1"/>
  <c r="Y120" i="1"/>
  <c r="Z120" i="1"/>
  <c r="AB120" i="1"/>
  <c r="AC120" i="1"/>
  <c r="AD120" i="1"/>
  <c r="T120" i="1" s="1"/>
  <c r="AE120" i="1"/>
  <c r="AM156" i="1"/>
  <c r="K121" i="1"/>
  <c r="M121" i="1"/>
  <c r="N121" i="1" s="1"/>
  <c r="Y121" i="1"/>
  <c r="Z121" i="1"/>
  <c r="AB121" i="1"/>
  <c r="AC121" i="1"/>
  <c r="AD121" i="1"/>
  <c r="T121" i="1" s="1"/>
  <c r="AE121" i="1"/>
  <c r="AM157" i="1"/>
  <c r="K122" i="1"/>
  <c r="M122" i="1"/>
  <c r="N122" i="1" s="1"/>
  <c r="Y122" i="1"/>
  <c r="Z122" i="1"/>
  <c r="AB122" i="1"/>
  <c r="AC122" i="1"/>
  <c r="AD122" i="1"/>
  <c r="AE122" i="1"/>
  <c r="AM158" i="1"/>
  <c r="K123" i="1"/>
  <c r="M123" i="1"/>
  <c r="N123" i="1" s="1"/>
  <c r="Y123" i="1"/>
  <c r="Z123" i="1"/>
  <c r="AB123" i="1"/>
  <c r="AC123" i="1"/>
  <c r="AD123" i="1"/>
  <c r="AG123" i="1" s="1"/>
  <c r="AE123" i="1"/>
  <c r="K124" i="1"/>
  <c r="M124" i="1"/>
  <c r="N124" i="1" s="1"/>
  <c r="Y124" i="1"/>
  <c r="Z124" i="1"/>
  <c r="AB124" i="1"/>
  <c r="AC124" i="1"/>
  <c r="AD124" i="1"/>
  <c r="T124" i="1" s="1"/>
  <c r="AE124" i="1"/>
  <c r="AM159" i="1"/>
  <c r="K125" i="1"/>
  <c r="M125" i="1"/>
  <c r="N125" i="1" s="1"/>
  <c r="Y125" i="1"/>
  <c r="Z125" i="1"/>
  <c r="AB125" i="1"/>
  <c r="AC125" i="1"/>
  <c r="AD125" i="1"/>
  <c r="T125" i="1" s="1"/>
  <c r="AE125" i="1"/>
  <c r="AM160" i="1"/>
  <c r="K126" i="1"/>
  <c r="M126" i="1"/>
  <c r="N126" i="1" s="1"/>
  <c r="Y126" i="1"/>
  <c r="Z126" i="1"/>
  <c r="AB126" i="1"/>
  <c r="AC126" i="1"/>
  <c r="AD126" i="1"/>
  <c r="AE126" i="1"/>
  <c r="AM161" i="1"/>
  <c r="K127" i="1"/>
  <c r="M127" i="1"/>
  <c r="N127" i="1" s="1"/>
  <c r="Y127" i="1"/>
  <c r="Z127" i="1"/>
  <c r="AB127" i="1"/>
  <c r="AC127" i="1"/>
  <c r="AD127" i="1"/>
  <c r="AG127" i="1" s="1"/>
  <c r="AE127" i="1"/>
  <c r="AM162" i="1"/>
  <c r="K128" i="1"/>
  <c r="M128" i="1"/>
  <c r="N128" i="1" s="1"/>
  <c r="Y128" i="1"/>
  <c r="Z128" i="1"/>
  <c r="AB128" i="1"/>
  <c r="AC128" i="1"/>
  <c r="AD128" i="1"/>
  <c r="T128" i="1" s="1"/>
  <c r="AE128" i="1"/>
  <c r="AM163" i="1"/>
  <c r="K129" i="1"/>
  <c r="M129" i="1"/>
  <c r="N129" i="1" s="1"/>
  <c r="Y129" i="1"/>
  <c r="Z129" i="1"/>
  <c r="AB129" i="1"/>
  <c r="AC129" i="1"/>
  <c r="AD129" i="1"/>
  <c r="AE129" i="1"/>
  <c r="AM164" i="1"/>
  <c r="K130" i="1"/>
  <c r="M130" i="1"/>
  <c r="N130" i="1" s="1"/>
  <c r="Y130" i="1"/>
  <c r="Z130" i="1"/>
  <c r="AB130" i="1"/>
  <c r="AC130" i="1"/>
  <c r="AD130" i="1"/>
  <c r="AE130" i="1"/>
  <c r="AM165" i="1"/>
  <c r="K131" i="1"/>
  <c r="M131" i="1"/>
  <c r="N131" i="1" s="1"/>
  <c r="Y131" i="1"/>
  <c r="Z131" i="1"/>
  <c r="AB131" i="1"/>
  <c r="AC131" i="1"/>
  <c r="AD131" i="1"/>
  <c r="AG131" i="1" s="1"/>
  <c r="AE131" i="1"/>
  <c r="AM166" i="1"/>
  <c r="K132" i="1"/>
  <c r="M132" i="1"/>
  <c r="N132" i="1" s="1"/>
  <c r="Y132" i="1"/>
  <c r="Z132" i="1"/>
  <c r="AB132" i="1"/>
  <c r="AC132" i="1"/>
  <c r="AD132" i="1"/>
  <c r="T132" i="1" s="1"/>
  <c r="AE132" i="1"/>
  <c r="AM167" i="1"/>
  <c r="K133" i="1"/>
  <c r="M133" i="1"/>
  <c r="N133" i="1" s="1"/>
  <c r="Y133" i="1"/>
  <c r="Z133" i="1"/>
  <c r="AB133" i="1"/>
  <c r="AC133" i="1"/>
  <c r="AD133" i="1"/>
  <c r="AG133" i="1" s="1"/>
  <c r="AE133" i="1"/>
  <c r="AM168" i="1"/>
  <c r="K134" i="1"/>
  <c r="M134" i="1"/>
  <c r="N134" i="1" s="1"/>
  <c r="Y134" i="1"/>
  <c r="Z134" i="1"/>
  <c r="AB134" i="1"/>
  <c r="AC134" i="1"/>
  <c r="AD134" i="1"/>
  <c r="AE134" i="1"/>
  <c r="AM169" i="1"/>
  <c r="K135" i="1"/>
  <c r="M135" i="1"/>
  <c r="N135" i="1" s="1"/>
  <c r="Y135" i="1"/>
  <c r="Z135" i="1"/>
  <c r="AB135" i="1"/>
  <c r="AC135" i="1"/>
  <c r="AD135" i="1"/>
  <c r="T135" i="1" s="1"/>
  <c r="AE135" i="1"/>
  <c r="AM170" i="1"/>
  <c r="K136" i="1"/>
  <c r="M136" i="1"/>
  <c r="N136" i="1" s="1"/>
  <c r="Y136" i="1"/>
  <c r="Z136" i="1"/>
  <c r="AB136" i="1"/>
  <c r="AC136" i="1"/>
  <c r="AD136" i="1"/>
  <c r="T136" i="1" s="1"/>
  <c r="AE136" i="1"/>
  <c r="AM171" i="1"/>
  <c r="K137" i="1"/>
  <c r="M137" i="1"/>
  <c r="N137" i="1" s="1"/>
  <c r="Y137" i="1"/>
  <c r="Z137" i="1"/>
  <c r="AB137" i="1"/>
  <c r="AC137" i="1"/>
  <c r="AD137" i="1"/>
  <c r="AG137" i="1" s="1"/>
  <c r="AE137" i="1"/>
  <c r="AM172" i="1"/>
  <c r="K138" i="1"/>
  <c r="M138" i="1"/>
  <c r="N138" i="1" s="1"/>
  <c r="Y138" i="1"/>
  <c r="Z138" i="1"/>
  <c r="AB138" i="1"/>
  <c r="AC138" i="1"/>
  <c r="AD138" i="1"/>
  <c r="AG138" i="1" s="1"/>
  <c r="AE138" i="1"/>
  <c r="AM173" i="1"/>
  <c r="K139" i="1"/>
  <c r="M139" i="1"/>
  <c r="N139" i="1" s="1"/>
  <c r="Y139" i="1"/>
  <c r="Z139" i="1"/>
  <c r="AB139" i="1"/>
  <c r="AC139" i="1"/>
  <c r="AD139" i="1"/>
  <c r="T139" i="1" s="1"/>
  <c r="AE139" i="1"/>
  <c r="R23" i="3" s="1"/>
  <c r="AM174" i="1"/>
  <c r="K140" i="1"/>
  <c r="M140" i="1"/>
  <c r="N140" i="1" s="1"/>
  <c r="Y140" i="1"/>
  <c r="Z140" i="1"/>
  <c r="AB140" i="1"/>
  <c r="AC140" i="1"/>
  <c r="AD140" i="1"/>
  <c r="T140" i="1" s="1"/>
  <c r="AE140" i="1"/>
  <c r="AM175" i="1"/>
  <c r="K141" i="1"/>
  <c r="M141" i="1"/>
  <c r="N141" i="1" s="1"/>
  <c r="Y141" i="1"/>
  <c r="Z141" i="1"/>
  <c r="AB141" i="1"/>
  <c r="AC141" i="1"/>
  <c r="AD141" i="1"/>
  <c r="AG141" i="1" s="1"/>
  <c r="AE141" i="1"/>
  <c r="AM176" i="1"/>
  <c r="K142" i="1"/>
  <c r="M142" i="1"/>
  <c r="N142" i="1" s="1"/>
  <c r="Y142" i="1"/>
  <c r="Z142" i="1"/>
  <c r="AB142" i="1"/>
  <c r="AC142" i="1"/>
  <c r="AD142" i="1"/>
  <c r="T142" i="1" s="1"/>
  <c r="AE142" i="1"/>
  <c r="AM177" i="1"/>
  <c r="K143" i="1"/>
  <c r="M143" i="1"/>
  <c r="N143" i="1" s="1"/>
  <c r="Y143" i="1"/>
  <c r="Z143" i="1"/>
  <c r="AB143" i="1"/>
  <c r="AC143" i="1"/>
  <c r="AD143" i="1"/>
  <c r="T143" i="1" s="1"/>
  <c r="AE143" i="1"/>
  <c r="AM178" i="1"/>
  <c r="K144" i="1"/>
  <c r="M144" i="1"/>
  <c r="N144" i="1" s="1"/>
  <c r="Y144" i="1"/>
  <c r="Z144" i="1"/>
  <c r="AB144" i="1"/>
  <c r="AC144" i="1"/>
  <c r="AD144" i="1"/>
  <c r="T144" i="1" s="1"/>
  <c r="AE144" i="1"/>
  <c r="AM179" i="1"/>
  <c r="K145" i="1"/>
  <c r="M145" i="1"/>
  <c r="N145" i="1" s="1"/>
  <c r="Y145" i="1"/>
  <c r="Z145" i="1"/>
  <c r="AB145" i="1"/>
  <c r="AC145" i="1"/>
  <c r="AD145" i="1"/>
  <c r="AG145" i="1" s="1"/>
  <c r="AE145" i="1"/>
  <c r="AM180" i="1"/>
  <c r="K146" i="1"/>
  <c r="M146" i="1"/>
  <c r="N146" i="1" s="1"/>
  <c r="Y146" i="1"/>
  <c r="Z146" i="1"/>
  <c r="AB146" i="1"/>
  <c r="AC146" i="1"/>
  <c r="AD146" i="1"/>
  <c r="AG146" i="1" s="1"/>
  <c r="AE146" i="1"/>
  <c r="AM181" i="1"/>
  <c r="K147" i="1"/>
  <c r="M147" i="1"/>
  <c r="N147" i="1" s="1"/>
  <c r="Y147" i="1"/>
  <c r="Z147" i="1"/>
  <c r="AB147" i="1"/>
  <c r="AC147" i="1"/>
  <c r="AD147" i="1"/>
  <c r="T147" i="1" s="1"/>
  <c r="AE147" i="1"/>
  <c r="AM182" i="1"/>
  <c r="K148" i="1"/>
  <c r="M148" i="1"/>
  <c r="N148" i="1" s="1"/>
  <c r="Y148" i="1"/>
  <c r="Z148" i="1"/>
  <c r="AB148" i="1"/>
  <c r="AC148" i="1"/>
  <c r="AD148" i="1"/>
  <c r="T148" i="1" s="1"/>
  <c r="AE148" i="1"/>
  <c r="AM183" i="1"/>
  <c r="K149" i="1"/>
  <c r="M149" i="1"/>
  <c r="N149" i="1" s="1"/>
  <c r="Y149" i="1"/>
  <c r="Z149" i="1"/>
  <c r="AB149" i="1"/>
  <c r="AC149" i="1"/>
  <c r="AD149" i="1"/>
  <c r="AG149" i="1" s="1"/>
  <c r="AE149" i="1"/>
  <c r="AM184" i="1"/>
  <c r="K150" i="1"/>
  <c r="M150" i="1"/>
  <c r="N150" i="1" s="1"/>
  <c r="Y150" i="1"/>
  <c r="Z150" i="1"/>
  <c r="AB150" i="1"/>
  <c r="AC150" i="1"/>
  <c r="AD150" i="1"/>
  <c r="AG150" i="1" s="1"/>
  <c r="AE150" i="1"/>
  <c r="AM185" i="1"/>
  <c r="K151" i="1"/>
  <c r="M151" i="1"/>
  <c r="N151" i="1" s="1"/>
  <c r="Y151" i="1"/>
  <c r="Z151" i="1"/>
  <c r="AB151" i="1"/>
  <c r="AC151" i="1"/>
  <c r="AD151" i="1"/>
  <c r="T151" i="1" s="1"/>
  <c r="AE151" i="1"/>
  <c r="AM186" i="1"/>
  <c r="K152" i="1"/>
  <c r="M152" i="1"/>
  <c r="N152" i="1" s="1"/>
  <c r="Y152" i="1"/>
  <c r="Z152" i="1"/>
  <c r="AB152" i="1"/>
  <c r="AC152" i="1"/>
  <c r="AD152" i="1"/>
  <c r="T152" i="1" s="1"/>
  <c r="AE152" i="1"/>
  <c r="AM187" i="1"/>
  <c r="K153" i="1"/>
  <c r="M153" i="1"/>
  <c r="N153" i="1" s="1"/>
  <c r="Y153" i="1"/>
  <c r="Z153" i="1"/>
  <c r="AB153" i="1"/>
  <c r="AC153" i="1"/>
  <c r="AD153" i="1"/>
  <c r="AG153" i="1" s="1"/>
  <c r="AE153" i="1"/>
  <c r="AM188" i="1"/>
  <c r="K154" i="1"/>
  <c r="M154" i="1"/>
  <c r="N154" i="1" s="1"/>
  <c r="Y154" i="1"/>
  <c r="Z154" i="1"/>
  <c r="AB154" i="1"/>
  <c r="AC154" i="1"/>
  <c r="AD154" i="1"/>
  <c r="AG154" i="1" s="1"/>
  <c r="AE154" i="1"/>
  <c r="AM189" i="1"/>
  <c r="K155" i="1"/>
  <c r="M155" i="1"/>
  <c r="N155" i="1" s="1"/>
  <c r="Y155" i="1"/>
  <c r="Z155" i="1"/>
  <c r="AB155" i="1"/>
  <c r="AC155" i="1"/>
  <c r="AD155" i="1"/>
  <c r="T155" i="1" s="1"/>
  <c r="AE155" i="1"/>
  <c r="AM190" i="1"/>
  <c r="K156" i="1"/>
  <c r="M156" i="1"/>
  <c r="Y156" i="1"/>
  <c r="Z156" i="1"/>
  <c r="AB156" i="1"/>
  <c r="AC156" i="1"/>
  <c r="AD156" i="1"/>
  <c r="T156" i="1" s="1"/>
  <c r="AE156" i="1"/>
  <c r="R18" i="3" s="1"/>
  <c r="AM191" i="1"/>
  <c r="K157" i="1"/>
  <c r="M157" i="1"/>
  <c r="Y157" i="1"/>
  <c r="Z157" i="1"/>
  <c r="AB157" i="1"/>
  <c r="AC157" i="1"/>
  <c r="AD157" i="1"/>
  <c r="AG157" i="1" s="1"/>
  <c r="AE157" i="1"/>
  <c r="AM192" i="1"/>
  <c r="K158" i="1"/>
  <c r="M158" i="1"/>
  <c r="N158" i="1" s="1"/>
  <c r="Y158" i="1"/>
  <c r="Z158" i="1"/>
  <c r="AB158" i="1"/>
  <c r="AC158" i="1"/>
  <c r="AD158" i="1"/>
  <c r="AE158" i="1"/>
  <c r="AM193" i="1"/>
  <c r="AM194" i="1"/>
  <c r="K193" i="1"/>
  <c r="M193" i="1"/>
  <c r="N193" i="1" s="1"/>
  <c r="Y193" i="1"/>
  <c r="Z193" i="1"/>
  <c r="AB193" i="1"/>
  <c r="AC193" i="1"/>
  <c r="AD193" i="1"/>
  <c r="T193" i="1" s="1"/>
  <c r="AE193" i="1"/>
  <c r="AM195" i="1"/>
  <c r="K194" i="1"/>
  <c r="M194" i="1"/>
  <c r="N194" i="1" s="1"/>
  <c r="Y194" i="1"/>
  <c r="Z194" i="1"/>
  <c r="AB194" i="1"/>
  <c r="AC194" i="1"/>
  <c r="AD194" i="1"/>
  <c r="AE194" i="1"/>
  <c r="AM196" i="1"/>
  <c r="K195" i="1"/>
  <c r="M195" i="1"/>
  <c r="N195" i="1" s="1"/>
  <c r="Y195" i="1"/>
  <c r="Z195" i="1"/>
  <c r="AB195" i="1"/>
  <c r="AC195" i="1"/>
  <c r="AD195" i="1"/>
  <c r="AG195" i="1" s="1"/>
  <c r="AE195" i="1"/>
  <c r="AM197" i="1"/>
  <c r="K196" i="1"/>
  <c r="M196" i="1"/>
  <c r="N196" i="1" s="1"/>
  <c r="Y196" i="1"/>
  <c r="Z196" i="1"/>
  <c r="AB196" i="1"/>
  <c r="AC196" i="1"/>
  <c r="AD196" i="1"/>
  <c r="T196" i="1" s="1"/>
  <c r="AE196" i="1"/>
  <c r="AM198" i="1"/>
  <c r="K197" i="1"/>
  <c r="M197" i="1"/>
  <c r="N197" i="1" s="1"/>
  <c r="Y197" i="1"/>
  <c r="Z197" i="1"/>
  <c r="AB197" i="1"/>
  <c r="AC197" i="1"/>
  <c r="AD197" i="1"/>
  <c r="T197" i="1" s="1"/>
  <c r="AE197" i="1"/>
  <c r="AM199" i="1"/>
  <c r="K198" i="1"/>
  <c r="M198" i="1"/>
  <c r="N198" i="1" s="1"/>
  <c r="Y198" i="1"/>
  <c r="Z198" i="1"/>
  <c r="AB198" i="1"/>
  <c r="AC198" i="1"/>
  <c r="AD198" i="1"/>
  <c r="AG198" i="1" s="1"/>
  <c r="AE198" i="1"/>
  <c r="AM200" i="1"/>
  <c r="K199" i="1"/>
  <c r="M199" i="1"/>
  <c r="N199" i="1" s="1"/>
  <c r="Y199" i="1"/>
  <c r="Z199" i="1"/>
  <c r="AB199" i="1"/>
  <c r="AC199" i="1"/>
  <c r="AD199" i="1"/>
  <c r="T199" i="1" s="1"/>
  <c r="AE199" i="1"/>
  <c r="R36" i="3" s="1"/>
  <c r="AM201" i="1"/>
  <c r="K200" i="1"/>
  <c r="M200" i="1"/>
  <c r="N200" i="1" s="1"/>
  <c r="Y200" i="1"/>
  <c r="Z200" i="1"/>
  <c r="AB200" i="1"/>
  <c r="AC200" i="1"/>
  <c r="AD200" i="1"/>
  <c r="T200" i="1" s="1"/>
  <c r="AE200" i="1"/>
  <c r="AM202" i="1"/>
  <c r="K201" i="1"/>
  <c r="M201" i="1"/>
  <c r="N201" i="1" s="1"/>
  <c r="Y201" i="1"/>
  <c r="Z201" i="1"/>
  <c r="AB201" i="1"/>
  <c r="AC201" i="1"/>
  <c r="AD201" i="1"/>
  <c r="T201" i="1" s="1"/>
  <c r="AE201" i="1"/>
  <c r="AM203" i="1"/>
  <c r="K202" i="1"/>
  <c r="M202" i="1"/>
  <c r="N202" i="1" s="1"/>
  <c r="Y202" i="1"/>
  <c r="Z202" i="1"/>
  <c r="AB202" i="1"/>
  <c r="AC202" i="1"/>
  <c r="AD202" i="1"/>
  <c r="AG202" i="1" s="1"/>
  <c r="AE202" i="1"/>
  <c r="AM204" i="1"/>
  <c r="K203" i="1"/>
  <c r="M203" i="1"/>
  <c r="N203" i="1" s="1"/>
  <c r="Y203" i="1"/>
  <c r="Z203" i="1"/>
  <c r="AB203" i="1"/>
  <c r="AC203" i="1"/>
  <c r="AD203" i="1"/>
  <c r="AG203" i="1" s="1"/>
  <c r="AE203" i="1"/>
  <c r="AM205" i="1"/>
  <c r="K204" i="1"/>
  <c r="M204" i="1"/>
  <c r="N204" i="1" s="1"/>
  <c r="Y204" i="1"/>
  <c r="Z204" i="1"/>
  <c r="AB204" i="1"/>
  <c r="AC204" i="1"/>
  <c r="AD204" i="1"/>
  <c r="T204" i="1" s="1"/>
  <c r="AE204" i="1"/>
  <c r="AM206" i="1"/>
  <c r="K205" i="1"/>
  <c r="M205" i="1"/>
  <c r="N205" i="1" s="1"/>
  <c r="Y205" i="1"/>
  <c r="Z205" i="1"/>
  <c r="AB205" i="1"/>
  <c r="AC205" i="1"/>
  <c r="AD205" i="1"/>
  <c r="T205" i="1" s="1"/>
  <c r="AE205" i="1"/>
  <c r="AM207" i="1"/>
  <c r="K208" i="1"/>
  <c r="M208" i="1"/>
  <c r="N208" i="1" s="1"/>
  <c r="Y208" i="1"/>
  <c r="Z208" i="1"/>
  <c r="AB208" i="1"/>
  <c r="AC208" i="1"/>
  <c r="AD208" i="1"/>
  <c r="AG208" i="1" s="1"/>
  <c r="AE208" i="1"/>
  <c r="AM208" i="1"/>
  <c r="K209" i="1"/>
  <c r="M209" i="1"/>
  <c r="N209" i="1" s="1"/>
  <c r="Y209" i="1"/>
  <c r="Z209" i="1"/>
  <c r="AB209" i="1"/>
  <c r="AC209" i="1"/>
  <c r="AD209" i="1"/>
  <c r="T209" i="1" s="1"/>
  <c r="AE209" i="1"/>
  <c r="AM209" i="1"/>
  <c r="K210" i="1"/>
  <c r="M210" i="1"/>
  <c r="N210" i="1" s="1"/>
  <c r="Y210" i="1"/>
  <c r="Z210" i="1"/>
  <c r="AB210" i="1"/>
  <c r="AC210" i="1"/>
  <c r="AD210" i="1"/>
  <c r="T210" i="1" s="1"/>
  <c r="AE210" i="1"/>
  <c r="AM210" i="1"/>
  <c r="K211" i="1"/>
  <c r="M211" i="1"/>
  <c r="N211" i="1" s="1"/>
  <c r="Y211" i="1"/>
  <c r="Z211" i="1"/>
  <c r="AB211" i="1"/>
  <c r="AC211" i="1"/>
  <c r="AD211" i="1"/>
  <c r="T211" i="1" s="1"/>
  <c r="AE211" i="1"/>
  <c r="AM211" i="1"/>
  <c r="K212" i="1"/>
  <c r="M212" i="1"/>
  <c r="N212" i="1" s="1"/>
  <c r="Y212" i="1"/>
  <c r="Z212" i="1"/>
  <c r="AB212" i="1"/>
  <c r="AC212" i="1"/>
  <c r="AD212" i="1"/>
  <c r="AG212" i="1" s="1"/>
  <c r="AE212" i="1"/>
  <c r="R37" i="3" s="1"/>
  <c r="AM212" i="1"/>
  <c r="K213" i="1"/>
  <c r="M213" i="1"/>
  <c r="N213" i="1" s="1"/>
  <c r="Y213" i="1"/>
  <c r="Z213" i="1"/>
  <c r="AB213" i="1"/>
  <c r="AC213" i="1"/>
  <c r="AD213" i="1"/>
  <c r="AG213" i="1" s="1"/>
  <c r="AE213" i="1"/>
  <c r="AM213" i="1"/>
  <c r="K214" i="1"/>
  <c r="M214" i="1"/>
  <c r="N214" i="1" s="1"/>
  <c r="Y214" i="1"/>
  <c r="Z214" i="1"/>
  <c r="AB214" i="1"/>
  <c r="AC214" i="1"/>
  <c r="AD214" i="1"/>
  <c r="T214" i="1" s="1"/>
  <c r="AE214" i="1"/>
  <c r="AM214" i="1"/>
  <c r="K215" i="1"/>
  <c r="M215" i="1"/>
  <c r="N215" i="1" s="1"/>
  <c r="Y215" i="1"/>
  <c r="Z215" i="1"/>
  <c r="AA215" i="1" s="1"/>
  <c r="AB215" i="1"/>
  <c r="AC215" i="1"/>
  <c r="AD215" i="1"/>
  <c r="AE215" i="1"/>
  <c r="AM215" i="1"/>
  <c r="K216" i="1"/>
  <c r="M216" i="1"/>
  <c r="N216" i="1" s="1"/>
  <c r="Y216" i="1"/>
  <c r="Z216" i="1"/>
  <c r="AB216" i="1"/>
  <c r="AC216" i="1"/>
  <c r="AD216" i="1"/>
  <c r="AG216" i="1" s="1"/>
  <c r="AE216" i="1"/>
  <c r="AM216" i="1"/>
  <c r="K217" i="1"/>
  <c r="M217" i="1"/>
  <c r="N217" i="1" s="1"/>
  <c r="Y217" i="1"/>
  <c r="Z217" i="1"/>
  <c r="AB217" i="1"/>
  <c r="AC217" i="1"/>
  <c r="AD217" i="1"/>
  <c r="AE217" i="1"/>
  <c r="AM217" i="1"/>
  <c r="K218" i="1"/>
  <c r="M218" i="1"/>
  <c r="N218" i="1" s="1"/>
  <c r="Y218" i="1"/>
  <c r="Z218" i="1"/>
  <c r="AB218" i="1"/>
  <c r="AC218" i="1"/>
  <c r="AD218" i="1"/>
  <c r="T218" i="1" s="1"/>
  <c r="AE218" i="1"/>
  <c r="AM218" i="1"/>
  <c r="K219" i="1"/>
  <c r="M219" i="1"/>
  <c r="N219" i="1" s="1"/>
  <c r="Y219" i="1"/>
  <c r="Z219" i="1"/>
  <c r="AB219" i="1"/>
  <c r="AC219" i="1"/>
  <c r="AD219" i="1"/>
  <c r="T219" i="1" s="1"/>
  <c r="AE219" i="1"/>
  <c r="AM219" i="1"/>
  <c r="K220" i="1"/>
  <c r="M220" i="1"/>
  <c r="N220" i="1" s="1"/>
  <c r="Y220" i="1"/>
  <c r="Z220" i="1"/>
  <c r="AB220" i="1"/>
  <c r="AC220" i="1"/>
  <c r="AD220" i="1"/>
  <c r="AG220" i="1" s="1"/>
  <c r="AE220" i="1"/>
  <c r="AM220" i="1"/>
  <c r="K221" i="1"/>
  <c r="M221" i="1"/>
  <c r="N221" i="1" s="1"/>
  <c r="T221" i="1"/>
  <c r="Y221" i="1"/>
  <c r="Z221" i="1"/>
  <c r="AB221" i="1"/>
  <c r="AC221" i="1"/>
  <c r="AD221" i="1"/>
  <c r="AE221" i="1"/>
  <c r="AM221" i="1"/>
  <c r="K222" i="1"/>
  <c r="M222" i="1"/>
  <c r="N222" i="1" s="1"/>
  <c r="Y222" i="1"/>
  <c r="Z222" i="1"/>
  <c r="AB222" i="1"/>
  <c r="AC222" i="1"/>
  <c r="AD222" i="1"/>
  <c r="T222" i="1" s="1"/>
  <c r="AE222" i="1"/>
  <c r="AM222" i="1"/>
  <c r="K223" i="1"/>
  <c r="M223" i="1"/>
  <c r="N223" i="1" s="1"/>
  <c r="Y223" i="1"/>
  <c r="Z223" i="1"/>
  <c r="AB223" i="1"/>
  <c r="AC223" i="1"/>
  <c r="AD223" i="1"/>
  <c r="T223" i="1" s="1"/>
  <c r="AE223" i="1"/>
  <c r="AM223" i="1"/>
  <c r="M36" i="3"/>
  <c r="U36" i="3"/>
  <c r="W36" i="3"/>
  <c r="X36" i="3"/>
  <c r="M19" i="3"/>
  <c r="R19" i="3"/>
  <c r="U19" i="3"/>
  <c r="W19" i="3"/>
  <c r="X19" i="3"/>
  <c r="M14" i="3"/>
  <c r="R14" i="3"/>
  <c r="U14" i="3"/>
  <c r="W14" i="3"/>
  <c r="X14" i="3"/>
  <c r="M30" i="3"/>
  <c r="R30" i="3"/>
  <c r="U30" i="3"/>
  <c r="W30" i="3"/>
  <c r="X30" i="3"/>
  <c r="M8" i="3"/>
  <c r="U8" i="3"/>
  <c r="W8" i="3"/>
  <c r="X8" i="3"/>
  <c r="M15" i="3"/>
  <c r="R15" i="3"/>
  <c r="U15" i="3"/>
  <c r="W15" i="3"/>
  <c r="Y15" i="3" s="1"/>
  <c r="X15" i="3"/>
  <c r="M31" i="3"/>
  <c r="R31" i="3"/>
  <c r="U31" i="3"/>
  <c r="W31" i="3"/>
  <c r="X31" i="3"/>
  <c r="M9" i="3"/>
  <c r="R9" i="3"/>
  <c r="U9" i="3"/>
  <c r="W9" i="3"/>
  <c r="X9" i="3"/>
  <c r="M33" i="3"/>
  <c r="R33" i="3"/>
  <c r="U33" i="3"/>
  <c r="W33" i="3"/>
  <c r="Y33" i="3" s="1"/>
  <c r="X33" i="3"/>
  <c r="M16" i="3"/>
  <c r="R16" i="3"/>
  <c r="U16" i="3"/>
  <c r="W16" i="3"/>
  <c r="X16" i="3"/>
  <c r="M7" i="3"/>
  <c r="U7" i="3"/>
  <c r="W7" i="3"/>
  <c r="X7" i="3"/>
  <c r="M21" i="3"/>
  <c r="U21" i="3"/>
  <c r="W21" i="3"/>
  <c r="X21" i="3"/>
  <c r="M29" i="3"/>
  <c r="U29" i="3"/>
  <c r="W29" i="3"/>
  <c r="X29" i="3"/>
  <c r="M12" i="3"/>
  <c r="R12" i="3"/>
  <c r="U12" i="3"/>
  <c r="W12" i="3"/>
  <c r="Y12" i="3" s="1"/>
  <c r="X12" i="3"/>
  <c r="M17" i="3"/>
  <c r="U17" i="3"/>
  <c r="W17" i="3"/>
  <c r="Y17" i="3" s="1"/>
  <c r="X17" i="3"/>
  <c r="M28" i="3"/>
  <c r="U28" i="3"/>
  <c r="W28" i="3"/>
  <c r="X28" i="3"/>
  <c r="M25" i="3"/>
  <c r="U25" i="3"/>
  <c r="W25" i="3"/>
  <c r="X25" i="3"/>
  <c r="M26" i="3"/>
  <c r="U26" i="3"/>
  <c r="W26" i="3"/>
  <c r="Y26" i="3" s="1"/>
  <c r="X26" i="3"/>
  <c r="M34" i="3"/>
  <c r="R34" i="3"/>
  <c r="U34" i="3"/>
  <c r="W34" i="3"/>
  <c r="Y34" i="3" s="1"/>
  <c r="X34" i="3"/>
  <c r="M35" i="3"/>
  <c r="U35" i="3"/>
  <c r="W35" i="3"/>
  <c r="X35" i="3"/>
  <c r="M32" i="3"/>
  <c r="U32" i="3"/>
  <c r="W32" i="3"/>
  <c r="X32" i="3"/>
  <c r="M13" i="3"/>
  <c r="R13" i="3"/>
  <c r="U13" i="3"/>
  <c r="W13" i="3"/>
  <c r="X13" i="3"/>
  <c r="M20" i="3"/>
  <c r="U20" i="3"/>
  <c r="W20" i="3"/>
  <c r="X20" i="3"/>
  <c r="M10" i="3"/>
  <c r="U10" i="3"/>
  <c r="W10" i="3"/>
  <c r="X10" i="3"/>
  <c r="M22" i="3"/>
  <c r="R22" i="3"/>
  <c r="U22" i="3"/>
  <c r="W22" i="3"/>
  <c r="X22" i="3"/>
  <c r="M37" i="3"/>
  <c r="U37" i="3"/>
  <c r="W37" i="3"/>
  <c r="X37" i="3"/>
  <c r="M11" i="3"/>
  <c r="U11" i="3"/>
  <c r="W11" i="3"/>
  <c r="Y11" i="3" s="1"/>
  <c r="X11" i="3"/>
  <c r="M23" i="3"/>
  <c r="U23" i="3"/>
  <c r="W23" i="3"/>
  <c r="X23" i="3"/>
  <c r="M18" i="3"/>
  <c r="U18" i="3"/>
  <c r="W18" i="3"/>
  <c r="X18" i="3"/>
  <c r="M27" i="3"/>
  <c r="U27" i="3"/>
  <c r="W27" i="3"/>
  <c r="X27" i="3"/>
  <c r="T17" i="1" l="1"/>
  <c r="AA49" i="1"/>
  <c r="AA41" i="1"/>
  <c r="AA202" i="1"/>
  <c r="W202" i="1" s="1"/>
  <c r="AA77" i="1"/>
  <c r="X17" i="1"/>
  <c r="AA16" i="1"/>
  <c r="AA148" i="1"/>
  <c r="AA119" i="1"/>
  <c r="R10" i="3"/>
  <c r="AA145" i="1"/>
  <c r="W145" i="1" s="1"/>
  <c r="AA121" i="1"/>
  <c r="AA118" i="1"/>
  <c r="AA114" i="1"/>
  <c r="AA110" i="1"/>
  <c r="W110" i="1" s="1"/>
  <c r="AA132" i="1"/>
  <c r="AA123" i="1"/>
  <c r="W123" i="1" s="1"/>
  <c r="AA102" i="1"/>
  <c r="W102" i="1" s="1"/>
  <c r="AA190" i="1"/>
  <c r="W190" i="1" s="1"/>
  <c r="AA183" i="1"/>
  <c r="AA179" i="1"/>
  <c r="AA92" i="1"/>
  <c r="AA59" i="1"/>
  <c r="AA17" i="1"/>
  <c r="AA156" i="1"/>
  <c r="AI187" i="1"/>
  <c r="AA165" i="1"/>
  <c r="R27" i="3"/>
  <c r="AA154" i="1"/>
  <c r="T145" i="1"/>
  <c r="AA144" i="1"/>
  <c r="AA133" i="1"/>
  <c r="AA159" i="1"/>
  <c r="X65" i="1"/>
  <c r="AA35" i="1"/>
  <c r="AA31" i="1"/>
  <c r="AA23" i="1"/>
  <c r="T146" i="1"/>
  <c r="AI203" i="1"/>
  <c r="AA203" i="1"/>
  <c r="AA160" i="1"/>
  <c r="Y16" i="3"/>
  <c r="AA219" i="1"/>
  <c r="P156" i="1"/>
  <c r="Y37" i="3"/>
  <c r="Y13" i="3"/>
  <c r="Y35" i="3"/>
  <c r="AG205" i="1"/>
  <c r="T202" i="1"/>
  <c r="T188" i="1"/>
  <c r="AG188" i="1"/>
  <c r="T158" i="1"/>
  <c r="X158" i="1"/>
  <c r="T153" i="1"/>
  <c r="AG134" i="1"/>
  <c r="T134" i="1"/>
  <c r="AI146" i="1"/>
  <c r="AA146" i="1"/>
  <c r="X145" i="1"/>
  <c r="AA142" i="1"/>
  <c r="Y7" i="3"/>
  <c r="AA223" i="1"/>
  <c r="AA210" i="1"/>
  <c r="AG142" i="1"/>
  <c r="T119" i="1"/>
  <c r="AA104" i="1"/>
  <c r="AI207" i="1"/>
  <c r="AA207" i="1"/>
  <c r="X99" i="1"/>
  <c r="X183" i="1"/>
  <c r="X166" i="1"/>
  <c r="X159" i="1"/>
  <c r="AI77" i="1"/>
  <c r="AA95" i="1"/>
  <c r="AA175" i="1"/>
  <c r="AA167" i="1"/>
  <c r="X162" i="1"/>
  <c r="T160" i="1"/>
  <c r="X160" i="1"/>
  <c r="AA91" i="1"/>
  <c r="AA87" i="1"/>
  <c r="AA85" i="1"/>
  <c r="X70" i="1"/>
  <c r="T70" i="1"/>
  <c r="X82" i="1"/>
  <c r="AA46" i="1"/>
  <c r="T42" i="1"/>
  <c r="X42" i="1"/>
  <c r="AG42" i="1"/>
  <c r="AA36" i="1"/>
  <c r="W36" i="1" s="1"/>
  <c r="T41" i="1"/>
  <c r="X41" i="1"/>
  <c r="AG41" i="1"/>
  <c r="AI41" i="1" s="1"/>
  <c r="AI84" i="1"/>
  <c r="AA63" i="1"/>
  <c r="AA56" i="1"/>
  <c r="AA53" i="1"/>
  <c r="W53" i="1" s="1"/>
  <c r="AA44" i="1"/>
  <c r="W44" i="1" s="1"/>
  <c r="AA76" i="1"/>
  <c r="AA72" i="1"/>
  <c r="X46" i="1"/>
  <c r="X29" i="1"/>
  <c r="X25" i="1"/>
  <c r="AA32" i="1"/>
  <c r="W32" i="1" s="1"/>
  <c r="AA28" i="1"/>
  <c r="W28" i="1" s="1"/>
  <c r="AA24" i="1"/>
  <c r="W24" i="1" s="1"/>
  <c r="X16" i="1"/>
  <c r="X157" i="1"/>
  <c r="X156" i="1"/>
  <c r="Y20" i="3"/>
  <c r="Y25" i="3"/>
  <c r="R25" i="3"/>
  <c r="Y36" i="3"/>
  <c r="X217" i="1"/>
  <c r="X212" i="1"/>
  <c r="T198" i="1"/>
  <c r="AG197" i="1"/>
  <c r="AI197" i="1" s="1"/>
  <c r="AG156" i="1"/>
  <c r="AI156" i="1" s="1"/>
  <c r="AG116" i="1"/>
  <c r="AI116" i="1" s="1"/>
  <c r="X112" i="1"/>
  <c r="AG177" i="1"/>
  <c r="X177" i="1"/>
  <c r="X173" i="1"/>
  <c r="AG172" i="1"/>
  <c r="T19" i="1"/>
  <c r="X20" i="1"/>
  <c r="Y28" i="3"/>
  <c r="Y19" i="3"/>
  <c r="Y22" i="3"/>
  <c r="Y31" i="3"/>
  <c r="Y8" i="3"/>
  <c r="Y30" i="3"/>
  <c r="AA222" i="1"/>
  <c r="AA218" i="1"/>
  <c r="AA213" i="1"/>
  <c r="W213" i="1" s="1"/>
  <c r="AA198" i="1"/>
  <c r="T138" i="1"/>
  <c r="AA137" i="1"/>
  <c r="W137" i="1" s="1"/>
  <c r="AA135" i="1"/>
  <c r="AA128" i="1"/>
  <c r="AA126" i="1"/>
  <c r="AA115" i="1"/>
  <c r="X188" i="1"/>
  <c r="X94" i="1"/>
  <c r="X78" i="1"/>
  <c r="T60" i="1"/>
  <c r="X61" i="1"/>
  <c r="AA212" i="1"/>
  <c r="W212" i="1" s="1"/>
  <c r="T212" i="1"/>
  <c r="AA211" i="1"/>
  <c r="AA201" i="1"/>
  <c r="AA151" i="1"/>
  <c r="T112" i="1"/>
  <c r="AA109" i="1"/>
  <c r="AA187" i="1"/>
  <c r="W187" i="1" s="1"/>
  <c r="T184" i="1"/>
  <c r="X184" i="1"/>
  <c r="W77" i="1"/>
  <c r="AA88" i="1"/>
  <c r="AI61" i="1"/>
  <c r="X58" i="1"/>
  <c r="AA54" i="1"/>
  <c r="AA51" i="1"/>
  <c r="X33" i="1"/>
  <c r="AA26" i="1"/>
  <c r="T25" i="1"/>
  <c r="AA20" i="1"/>
  <c r="AG81" i="1"/>
  <c r="AI81" i="1" s="1"/>
  <c r="X73" i="1"/>
  <c r="AG46" i="1"/>
  <c r="AG35" i="1"/>
  <c r="AI35" i="1" s="1"/>
  <c r="AI17" i="1"/>
  <c r="X180" i="1"/>
  <c r="AA176" i="1"/>
  <c r="AG89" i="1"/>
  <c r="AI89" i="1" s="1"/>
  <c r="X89" i="1"/>
  <c r="AA83" i="1"/>
  <c r="AA71" i="1"/>
  <c r="AG69" i="1"/>
  <c r="AI69" i="1" s="1"/>
  <c r="T58" i="1"/>
  <c r="AA48" i="1"/>
  <c r="W48" i="1" s="1"/>
  <c r="AA45" i="1"/>
  <c r="X40" i="1"/>
  <c r="X38" i="1"/>
  <c r="AG37" i="1"/>
  <c r="X37" i="1"/>
  <c r="T33" i="1"/>
  <c r="AG25" i="1"/>
  <c r="AI25" i="1" s="1"/>
  <c r="AG21" i="1"/>
  <c r="AI21" i="1" s="1"/>
  <c r="X21" i="1"/>
  <c r="AA19" i="1"/>
  <c r="X221" i="1"/>
  <c r="AG221" i="1"/>
  <c r="T217" i="1"/>
  <c r="T215" i="1"/>
  <c r="AG215" i="1"/>
  <c r="W215" i="1" s="1"/>
  <c r="AG199" i="1"/>
  <c r="AI199" i="1" s="1"/>
  <c r="AA220" i="1"/>
  <c r="W220" i="1" s="1"/>
  <c r="AG217" i="1"/>
  <c r="AI217" i="1" s="1"/>
  <c r="AG209" i="1"/>
  <c r="AI209" i="1" s="1"/>
  <c r="T203" i="1"/>
  <c r="AA197" i="1"/>
  <c r="AG194" i="1"/>
  <c r="X194" i="1"/>
  <c r="T194" i="1"/>
  <c r="T213" i="1"/>
  <c r="T195" i="1"/>
  <c r="AA194" i="1"/>
  <c r="AA193" i="1"/>
  <c r="T150" i="1"/>
  <c r="AA149" i="1"/>
  <c r="W149" i="1" s="1"/>
  <c r="T137" i="1"/>
  <c r="AA136" i="1"/>
  <c r="T133" i="1"/>
  <c r="T123" i="1"/>
  <c r="AA122" i="1"/>
  <c r="T102" i="1"/>
  <c r="AA101" i="1"/>
  <c r="T99" i="1"/>
  <c r="X190" i="1"/>
  <c r="AA96" i="1"/>
  <c r="X187" i="1"/>
  <c r="AA185" i="1"/>
  <c r="AA178" i="1"/>
  <c r="AA171" i="1"/>
  <c r="T166" i="1"/>
  <c r="AA164" i="1"/>
  <c r="AA93" i="1"/>
  <c r="AA90" i="1"/>
  <c r="AA73" i="1"/>
  <c r="AA68" i="1"/>
  <c r="AA62" i="1"/>
  <c r="X54" i="1"/>
  <c r="X49" i="1"/>
  <c r="X32" i="1"/>
  <c r="T29" i="1"/>
  <c r="AA27" i="1"/>
  <c r="W20" i="1"/>
  <c r="AA18" i="1"/>
  <c r="X15" i="1"/>
  <c r="W119" i="1"/>
  <c r="W114" i="1"/>
  <c r="W207" i="1"/>
  <c r="AI195" i="1"/>
  <c r="AA195" i="1"/>
  <c r="AA158" i="1"/>
  <c r="AA140" i="1"/>
  <c r="AG128" i="1"/>
  <c r="AI128" i="1" s="1"/>
  <c r="X128" i="1"/>
  <c r="AA108" i="1"/>
  <c r="X207" i="1"/>
  <c r="X103" i="1"/>
  <c r="AA98" i="1"/>
  <c r="AA189" i="1"/>
  <c r="AA186" i="1"/>
  <c r="AG183" i="1"/>
  <c r="AI183" i="1" s="1"/>
  <c r="AG176" i="1"/>
  <c r="W176" i="1" s="1"/>
  <c r="AG166" i="1"/>
  <c r="AI166" i="1" s="1"/>
  <c r="X165" i="1"/>
  <c r="AG93" i="1"/>
  <c r="AG88" i="1"/>
  <c r="AA80" i="1"/>
  <c r="AG62" i="1"/>
  <c r="AI62" i="1" s="1"/>
  <c r="X62" i="1"/>
  <c r="AA57" i="1"/>
  <c r="W57" i="1" s="1"/>
  <c r="AA52" i="1"/>
  <c r="X34" i="1"/>
  <c r="AG29" i="1"/>
  <c r="AI29" i="1" s="1"/>
  <c r="AA15" i="1"/>
  <c r="W15" i="1" s="1"/>
  <c r="AA205" i="1"/>
  <c r="W205" i="1" s="1"/>
  <c r="AA200" i="1"/>
  <c r="AG158" i="1"/>
  <c r="T154" i="1"/>
  <c r="AA153" i="1"/>
  <c r="W153" i="1" s="1"/>
  <c r="AA152" i="1"/>
  <c r="T149" i="1"/>
  <c r="AG140" i="1"/>
  <c r="AI140" i="1" s="1"/>
  <c r="AA138" i="1"/>
  <c r="W138" i="1" s="1"/>
  <c r="AA130" i="1"/>
  <c r="AA127" i="1"/>
  <c r="W127" i="1" s="1"/>
  <c r="AA124" i="1"/>
  <c r="AG120" i="1"/>
  <c r="AI120" i="1" s="1"/>
  <c r="X120" i="1"/>
  <c r="AG117" i="1"/>
  <c r="AI117" i="1" s="1"/>
  <c r="X117" i="1"/>
  <c r="AA116" i="1"/>
  <c r="W116" i="1" s="1"/>
  <c r="AG113" i="1"/>
  <c r="AI113" i="1" s="1"/>
  <c r="X113" i="1"/>
  <c r="AG112" i="1"/>
  <c r="AI112" i="1" s="1"/>
  <c r="AG108" i="1"/>
  <c r="X108" i="1"/>
  <c r="AA206" i="1"/>
  <c r="W206" i="1" s="1"/>
  <c r="AG98" i="1"/>
  <c r="AA97" i="1"/>
  <c r="AA188" i="1"/>
  <c r="AA182" i="1"/>
  <c r="X179" i="1"/>
  <c r="AA172" i="1"/>
  <c r="W172" i="1" s="1"/>
  <c r="AA94" i="1"/>
  <c r="W94" i="1" s="1"/>
  <c r="AA168" i="1"/>
  <c r="AG165" i="1"/>
  <c r="AA161" i="1"/>
  <c r="X92" i="1"/>
  <c r="X85" i="1"/>
  <c r="AA81" i="1"/>
  <c r="W81" i="1" s="1"/>
  <c r="X77" i="1"/>
  <c r="X74" i="1"/>
  <c r="AG70" i="1"/>
  <c r="AA69" i="1"/>
  <c r="AA65" i="1"/>
  <c r="W65" i="1" s="1"/>
  <c r="AA64" i="1"/>
  <c r="AA61" i="1"/>
  <c r="W61" i="1" s="1"/>
  <c r="AA60" i="1"/>
  <c r="AG58" i="1"/>
  <c r="AI58" i="1" s="1"/>
  <c r="X57" i="1"/>
  <c r="AA40" i="1"/>
  <c r="W40" i="1" s="1"/>
  <c r="AA37" i="1"/>
  <c r="W37" i="1" s="1"/>
  <c r="AG33" i="1"/>
  <c r="AI33" i="1" s="1"/>
  <c r="X28" i="1"/>
  <c r="AA22" i="1"/>
  <c r="X220" i="1"/>
  <c r="AA217" i="1"/>
  <c r="W203" i="1"/>
  <c r="X202" i="1"/>
  <c r="W154" i="1"/>
  <c r="X153" i="1"/>
  <c r="AG148" i="1"/>
  <c r="W148" i="1" s="1"/>
  <c r="X137" i="1"/>
  <c r="AG132" i="1"/>
  <c r="W132" i="1" s="1"/>
  <c r="X131" i="1"/>
  <c r="AG124" i="1"/>
  <c r="X124" i="1"/>
  <c r="T111" i="1"/>
  <c r="X107" i="1"/>
  <c r="AG104" i="1"/>
  <c r="AI100" i="1"/>
  <c r="AG99" i="1"/>
  <c r="T97" i="1"/>
  <c r="X98" i="1"/>
  <c r="AI65" i="1"/>
  <c r="X216" i="1"/>
  <c r="AA214" i="1"/>
  <c r="AG211" i="1"/>
  <c r="AI211" i="1" s="1"/>
  <c r="AA208" i="1"/>
  <c r="W208" i="1" s="1"/>
  <c r="T208" i="1"/>
  <c r="AA199" i="1"/>
  <c r="W199" i="1" s="1"/>
  <c r="X198" i="1"/>
  <c r="AA196" i="1"/>
  <c r="AG193" i="1"/>
  <c r="W193" i="1" s="1"/>
  <c r="AA157" i="1"/>
  <c r="W157" i="1" s="1"/>
  <c r="T157" i="1"/>
  <c r="AA150" i="1"/>
  <c r="W150" i="1" s="1"/>
  <c r="X149" i="1"/>
  <c r="AA147" i="1"/>
  <c r="AG144" i="1"/>
  <c r="AI144" i="1" s="1"/>
  <c r="AA141" i="1"/>
  <c r="W141" i="1" s="1"/>
  <c r="T141" i="1"/>
  <c r="AA134" i="1"/>
  <c r="W134" i="1" s="1"/>
  <c r="X133" i="1"/>
  <c r="AG125" i="1"/>
  <c r="AG121" i="1"/>
  <c r="W121" i="1" s="1"/>
  <c r="AA112" i="1"/>
  <c r="AA111" i="1"/>
  <c r="W111" i="1" s="1"/>
  <c r="AG109" i="1"/>
  <c r="X109" i="1"/>
  <c r="X104" i="1"/>
  <c r="T207" i="1"/>
  <c r="AG103" i="1"/>
  <c r="X102" i="1"/>
  <c r="T191" i="1"/>
  <c r="X191" i="1"/>
  <c r="AG191" i="1"/>
  <c r="AI191" i="1" s="1"/>
  <c r="AA221" i="1"/>
  <c r="W221" i="1" s="1"/>
  <c r="T220" i="1"/>
  <c r="W195" i="1"/>
  <c r="W146" i="1"/>
  <c r="AA143" i="1"/>
  <c r="AA131" i="1"/>
  <c r="W131" i="1" s="1"/>
  <c r="T127" i="1"/>
  <c r="AA120" i="1"/>
  <c r="AA107" i="1"/>
  <c r="W107" i="1" s="1"/>
  <c r="AA106" i="1"/>
  <c r="AI49" i="1"/>
  <c r="AA216" i="1"/>
  <c r="W216" i="1" s="1"/>
  <c r="T216" i="1"/>
  <c r="AA209" i="1"/>
  <c r="X208" i="1"/>
  <c r="AA204" i="1"/>
  <c r="AG201" i="1"/>
  <c r="AA155" i="1"/>
  <c r="AG152" i="1"/>
  <c r="AI152" i="1" s="1"/>
  <c r="W142" i="1"/>
  <c r="X141" i="1"/>
  <c r="AA139" i="1"/>
  <c r="AG136" i="1"/>
  <c r="AI136" i="1" s="1"/>
  <c r="W124" i="1"/>
  <c r="T179" i="1"/>
  <c r="T173" i="1"/>
  <c r="T161" i="1"/>
  <c r="T92" i="1"/>
  <c r="T85" i="1"/>
  <c r="T73" i="1"/>
  <c r="T54" i="1"/>
  <c r="T45" i="1"/>
  <c r="AA43" i="1"/>
  <c r="AA39" i="1"/>
  <c r="AA38" i="1"/>
  <c r="T38" i="1"/>
  <c r="T36" i="1"/>
  <c r="X24" i="1"/>
  <c r="T16" i="1"/>
  <c r="T183" i="1"/>
  <c r="AA181" i="1"/>
  <c r="T180" i="1"/>
  <c r="AG179" i="1"/>
  <c r="X176" i="1"/>
  <c r="AG173" i="1"/>
  <c r="X172" i="1"/>
  <c r="AG169" i="1"/>
  <c r="X169" i="1"/>
  <c r="T165" i="1"/>
  <c r="AA163" i="1"/>
  <c r="T162" i="1"/>
  <c r="AG161" i="1"/>
  <c r="AG92" i="1"/>
  <c r="X88" i="1"/>
  <c r="AG85" i="1"/>
  <c r="AA84" i="1"/>
  <c r="W84" i="1" s="1"/>
  <c r="T84" i="1"/>
  <c r="AA82" i="1"/>
  <c r="AA78" i="1"/>
  <c r="T77" i="1"/>
  <c r="AA75" i="1"/>
  <c r="T74" i="1"/>
  <c r="AG73" i="1"/>
  <c r="X69" i="1"/>
  <c r="AG66" i="1"/>
  <c r="X66" i="1"/>
  <c r="AG54" i="1"/>
  <c r="AI54" i="1" s="1"/>
  <c r="T53" i="1"/>
  <c r="AG50" i="1"/>
  <c r="X50" i="1"/>
  <c r="W49" i="1"/>
  <c r="AG45" i="1"/>
  <c r="X30" i="1"/>
  <c r="W17" i="1"/>
  <c r="AG16" i="1"/>
  <c r="W16" i="1" s="1"/>
  <c r="T15" i="1"/>
  <c r="AA14" i="1"/>
  <c r="T190" i="1"/>
  <c r="T187" i="1"/>
  <c r="T94" i="1"/>
  <c r="X93" i="1"/>
  <c r="AI88" i="1"/>
  <c r="T78" i="1"/>
  <c r="T65" i="1"/>
  <c r="T61" i="1"/>
  <c r="T49" i="1"/>
  <c r="AA47" i="1"/>
  <c r="X45" i="1"/>
  <c r="AG38" i="1"/>
  <c r="AI37" i="1"/>
  <c r="X36" i="1"/>
  <c r="AA34" i="1"/>
  <c r="W34" i="1" s="1"/>
  <c r="T34" i="1"/>
  <c r="AA33" i="1"/>
  <c r="W33" i="1" s="1"/>
  <c r="T32" i="1"/>
  <c r="AG31" i="1"/>
  <c r="AI31" i="1" s="1"/>
  <c r="AA29" i="1"/>
  <c r="T28" i="1"/>
  <c r="AA25" i="1"/>
  <c r="T24" i="1"/>
  <c r="AA21" i="1"/>
  <c r="W21" i="1" s="1"/>
  <c r="T20" i="1"/>
  <c r="AA192" i="1"/>
  <c r="AG180" i="1"/>
  <c r="AI180" i="1" s="1"/>
  <c r="AA174" i="1"/>
  <c r="AA173" i="1"/>
  <c r="AA170" i="1"/>
  <c r="AG162" i="1"/>
  <c r="AI162" i="1" s="1"/>
  <c r="AA86" i="1"/>
  <c r="X84" i="1"/>
  <c r="AG78" i="1"/>
  <c r="AG74" i="1"/>
  <c r="AA67" i="1"/>
  <c r="T57" i="1"/>
  <c r="AA55" i="1"/>
  <c r="X53" i="1"/>
  <c r="X52" i="1"/>
  <c r="AA42" i="1"/>
  <c r="T40" i="1"/>
  <c r="AA30" i="1"/>
  <c r="W30" i="1" s="1"/>
  <c r="T30" i="1"/>
  <c r="AI216" i="1"/>
  <c r="AI212" i="1"/>
  <c r="AI208" i="1"/>
  <c r="AI184" i="1"/>
  <c r="AI220" i="1"/>
  <c r="AI176" i="1"/>
  <c r="W198" i="1"/>
  <c r="AI188" i="1"/>
  <c r="AI172" i="1"/>
  <c r="W133" i="1"/>
  <c r="X127" i="1"/>
  <c r="T126" i="1"/>
  <c r="X126" i="1"/>
  <c r="AG126" i="1"/>
  <c r="AI157" i="1"/>
  <c r="AI153" i="1"/>
  <c r="T106" i="1"/>
  <c r="X106" i="1"/>
  <c r="AG106" i="1"/>
  <c r="X105" i="1"/>
  <c r="AG105" i="1"/>
  <c r="AI105" i="1" s="1"/>
  <c r="AI138" i="1"/>
  <c r="AI36" i="1"/>
  <c r="AI30" i="1"/>
  <c r="AG222" i="1"/>
  <c r="AG218" i="1"/>
  <c r="AG214" i="1"/>
  <c r="X213" i="1"/>
  <c r="AG210" i="1"/>
  <c r="X209" i="1"/>
  <c r="AG204" i="1"/>
  <c r="X203" i="1"/>
  <c r="AG200" i="1"/>
  <c r="AI200" i="1" s="1"/>
  <c r="X199" i="1"/>
  <c r="AG196" i="1"/>
  <c r="X195" i="1"/>
  <c r="AG155" i="1"/>
  <c r="AI155" i="1" s="1"/>
  <c r="X154" i="1"/>
  <c r="AG151" i="1"/>
  <c r="X150" i="1"/>
  <c r="AG147" i="1"/>
  <c r="AI147" i="1" s="1"/>
  <c r="X146" i="1"/>
  <c r="AG143" i="1"/>
  <c r="AI143" i="1" s="1"/>
  <c r="X142" i="1"/>
  <c r="AG139" i="1"/>
  <c r="X138" i="1"/>
  <c r="AG135" i="1"/>
  <c r="X134" i="1"/>
  <c r="AA129" i="1"/>
  <c r="AG115" i="1"/>
  <c r="X115" i="1"/>
  <c r="T115" i="1"/>
  <c r="X116" i="1"/>
  <c r="AG223" i="1"/>
  <c r="X222" i="1"/>
  <c r="AI221" i="1"/>
  <c r="AG219" i="1"/>
  <c r="X218" i="1"/>
  <c r="X214" i="1"/>
  <c r="AI213" i="1"/>
  <c r="X204" i="1"/>
  <c r="AI205" i="1"/>
  <c r="X200" i="1"/>
  <c r="AI201" i="1"/>
  <c r="X196" i="1"/>
  <c r="X155" i="1"/>
  <c r="X151" i="1"/>
  <c r="X147" i="1"/>
  <c r="X143" i="1"/>
  <c r="AI177" i="1"/>
  <c r="X139" i="1"/>
  <c r="X135" i="1"/>
  <c r="T129" i="1"/>
  <c r="X129" i="1"/>
  <c r="AI133" i="1"/>
  <c r="T185" i="1"/>
  <c r="X185" i="1"/>
  <c r="AG185" i="1"/>
  <c r="AI185" i="1" s="1"/>
  <c r="T170" i="1"/>
  <c r="X170" i="1"/>
  <c r="AG170" i="1"/>
  <c r="T90" i="1"/>
  <c r="X90" i="1"/>
  <c r="AG90" i="1"/>
  <c r="W90" i="1" s="1"/>
  <c r="X210" i="1"/>
  <c r="X223" i="1"/>
  <c r="X219" i="1"/>
  <c r="X215" i="1"/>
  <c r="X211" i="1"/>
  <c r="X205" i="1"/>
  <c r="X201" i="1"/>
  <c r="X197" i="1"/>
  <c r="X193" i="1"/>
  <c r="X152" i="1"/>
  <c r="X148" i="1"/>
  <c r="X144" i="1"/>
  <c r="X140" i="1"/>
  <c r="X136" i="1"/>
  <c r="X132" i="1"/>
  <c r="T131" i="1"/>
  <c r="T130" i="1"/>
  <c r="X130" i="1"/>
  <c r="AG130" i="1"/>
  <c r="AG129" i="1"/>
  <c r="AI129" i="1" s="1"/>
  <c r="AA125" i="1"/>
  <c r="X123" i="1"/>
  <c r="T122" i="1"/>
  <c r="X122" i="1"/>
  <c r="AG122" i="1"/>
  <c r="X119" i="1"/>
  <c r="T118" i="1"/>
  <c r="X118" i="1"/>
  <c r="AG118" i="1"/>
  <c r="X125" i="1"/>
  <c r="X121" i="1"/>
  <c r="AI150" i="1"/>
  <c r="AA113" i="1"/>
  <c r="AI148" i="1"/>
  <c r="X111" i="1"/>
  <c r="T110" i="1"/>
  <c r="X110" i="1"/>
  <c r="AI137" i="1"/>
  <c r="AA100" i="1"/>
  <c r="W100" i="1" s="1"/>
  <c r="AA191" i="1"/>
  <c r="W191" i="1" s="1"/>
  <c r="T96" i="1"/>
  <c r="X96" i="1"/>
  <c r="AG96" i="1"/>
  <c r="AI96" i="1" s="1"/>
  <c r="AI121" i="1"/>
  <c r="AA177" i="1"/>
  <c r="T174" i="1"/>
  <c r="X174" i="1"/>
  <c r="AG174" i="1"/>
  <c r="AA162" i="1"/>
  <c r="T159" i="1"/>
  <c r="AG159" i="1"/>
  <c r="AI159" i="1" s="1"/>
  <c r="T79" i="1"/>
  <c r="X79" i="1"/>
  <c r="AG79" i="1"/>
  <c r="T75" i="1"/>
  <c r="X75" i="1"/>
  <c r="AG75" i="1"/>
  <c r="AI70" i="1"/>
  <c r="T59" i="1"/>
  <c r="X59" i="1"/>
  <c r="AG59" i="1"/>
  <c r="AA58" i="1"/>
  <c r="AI51" i="1"/>
  <c r="AA117" i="1"/>
  <c r="T114" i="1"/>
  <c r="X114" i="1"/>
  <c r="AI145" i="1"/>
  <c r="T100" i="1"/>
  <c r="X100" i="1"/>
  <c r="AA99" i="1"/>
  <c r="T192" i="1"/>
  <c r="X192" i="1"/>
  <c r="AG192" i="1"/>
  <c r="W192" i="1" s="1"/>
  <c r="AA180" i="1"/>
  <c r="T178" i="1"/>
  <c r="X178" i="1"/>
  <c r="AG178" i="1"/>
  <c r="AA166" i="1"/>
  <c r="T163" i="1"/>
  <c r="X163" i="1"/>
  <c r="AG163" i="1"/>
  <c r="AI163" i="1" s="1"/>
  <c r="AI93" i="1"/>
  <c r="AI149" i="1"/>
  <c r="T107" i="1"/>
  <c r="AA105" i="1"/>
  <c r="T206" i="1"/>
  <c r="X206" i="1"/>
  <c r="AA103" i="1"/>
  <c r="T101" i="1"/>
  <c r="X101" i="1"/>
  <c r="AG101" i="1"/>
  <c r="AI134" i="1"/>
  <c r="AA184" i="1"/>
  <c r="W184" i="1" s="1"/>
  <c r="T181" i="1"/>
  <c r="X181" i="1"/>
  <c r="AG181" i="1"/>
  <c r="AA169" i="1"/>
  <c r="T167" i="1"/>
  <c r="X167" i="1"/>
  <c r="AG167" i="1"/>
  <c r="AI167" i="1" s="1"/>
  <c r="AA89" i="1"/>
  <c r="T86" i="1"/>
  <c r="X86" i="1"/>
  <c r="AG86" i="1"/>
  <c r="T83" i="1"/>
  <c r="X83" i="1"/>
  <c r="T82" i="1"/>
  <c r="T80" i="1"/>
  <c r="X80" i="1"/>
  <c r="AG80" i="1"/>
  <c r="AI74" i="1"/>
  <c r="AA66" i="1"/>
  <c r="T63" i="1"/>
  <c r="X63" i="1"/>
  <c r="AG63" i="1"/>
  <c r="W63" i="1" s="1"/>
  <c r="AI57" i="1"/>
  <c r="T55" i="1"/>
  <c r="X55" i="1"/>
  <c r="AG55" i="1"/>
  <c r="AG97" i="1"/>
  <c r="AI97" i="1" s="1"/>
  <c r="AG189" i="1"/>
  <c r="AI189" i="1" s="1"/>
  <c r="AG186" i="1"/>
  <c r="AG182" i="1"/>
  <c r="AG95" i="1"/>
  <c r="AG175" i="1"/>
  <c r="AI175" i="1" s="1"/>
  <c r="AG171" i="1"/>
  <c r="AI171" i="1" s="1"/>
  <c r="AG168" i="1"/>
  <c r="AI168" i="1" s="1"/>
  <c r="AG164" i="1"/>
  <c r="AG160" i="1"/>
  <c r="AI160" i="1" s="1"/>
  <c r="AG91" i="1"/>
  <c r="AG87" i="1"/>
  <c r="AG83" i="1"/>
  <c r="AG82" i="1"/>
  <c r="AI78" i="1"/>
  <c r="AA70" i="1"/>
  <c r="T67" i="1"/>
  <c r="X67" i="1"/>
  <c r="AG67" i="1"/>
  <c r="AI53" i="1"/>
  <c r="X97" i="1"/>
  <c r="X189" i="1"/>
  <c r="X186" i="1"/>
  <c r="X182" i="1"/>
  <c r="X95" i="1"/>
  <c r="X175" i="1"/>
  <c r="X171" i="1"/>
  <c r="X168" i="1"/>
  <c r="X164" i="1"/>
  <c r="X91" i="1"/>
  <c r="X87" i="1"/>
  <c r="X81" i="1"/>
  <c r="AA79" i="1"/>
  <c r="AA74" i="1"/>
  <c r="W74" i="1" s="1"/>
  <c r="T71" i="1"/>
  <c r="X71" i="1"/>
  <c r="AG71" i="1"/>
  <c r="W51" i="1"/>
  <c r="AI44" i="1"/>
  <c r="AI15" i="1"/>
  <c r="AG76" i="1"/>
  <c r="AG72" i="1"/>
  <c r="W72" i="1" s="1"/>
  <c r="AG68" i="1"/>
  <c r="AG64" i="1"/>
  <c r="AG60" i="1"/>
  <c r="AG56" i="1"/>
  <c r="AG52" i="1"/>
  <c r="T52" i="1"/>
  <c r="AA50" i="1"/>
  <c r="AI32" i="1"/>
  <c r="AI28" i="1"/>
  <c r="AI24" i="1"/>
  <c r="AI20" i="1"/>
  <c r="X76" i="1"/>
  <c r="X72" i="1"/>
  <c r="X68" i="1"/>
  <c r="X64" i="1"/>
  <c r="X60" i="1"/>
  <c r="X56" i="1"/>
  <c r="T51" i="1"/>
  <c r="X51" i="1"/>
  <c r="AI48" i="1"/>
  <c r="AI40" i="1"/>
  <c r="AI34" i="1"/>
  <c r="X48" i="1"/>
  <c r="T48" i="1"/>
  <c r="X44" i="1"/>
  <c r="T44" i="1"/>
  <c r="AG26" i="1"/>
  <c r="AG22" i="1"/>
  <c r="AG18" i="1"/>
  <c r="AG14" i="1"/>
  <c r="AG47" i="1"/>
  <c r="AG43" i="1"/>
  <c r="AG39" i="1"/>
  <c r="AG27" i="1"/>
  <c r="W27" i="1" s="1"/>
  <c r="X26" i="1"/>
  <c r="AG23" i="1"/>
  <c r="X22" i="1"/>
  <c r="AG19" i="1"/>
  <c r="X18" i="1"/>
  <c r="X47" i="1"/>
  <c r="AI46" i="1"/>
  <c r="X43" i="1"/>
  <c r="AI42" i="1"/>
  <c r="X39" i="1"/>
  <c r="AI38" i="1"/>
  <c r="X35" i="1"/>
  <c r="X31" i="1"/>
  <c r="X27" i="1"/>
  <c r="X23" i="1"/>
  <c r="X19" i="1"/>
  <c r="Y23" i="3"/>
  <c r="Y27" i="3"/>
  <c r="Y32" i="3"/>
  <c r="Y14" i="3"/>
  <c r="Y21" i="3"/>
  <c r="Y29" i="3"/>
  <c r="Y18" i="3"/>
  <c r="Y10" i="3"/>
  <c r="Y9" i="3"/>
  <c r="W158" i="1" l="1"/>
  <c r="W120" i="1"/>
  <c r="W58" i="1"/>
  <c r="W59" i="1"/>
  <c r="W219" i="1"/>
  <c r="W201" i="1"/>
  <c r="W188" i="1"/>
  <c r="W185" i="1"/>
  <c r="W214" i="1"/>
  <c r="W165" i="1"/>
  <c r="W88" i="1"/>
  <c r="W46" i="1"/>
  <c r="W89" i="1"/>
  <c r="W117" i="1"/>
  <c r="W162" i="1"/>
  <c r="W223" i="1"/>
  <c r="W115" i="1"/>
  <c r="W204" i="1"/>
  <c r="W42" i="1"/>
  <c r="W197" i="1"/>
  <c r="W41" i="1"/>
  <c r="AI193" i="1"/>
  <c r="W39" i="1"/>
  <c r="W18" i="1"/>
  <c r="W23" i="1"/>
  <c r="W43" i="1"/>
  <c r="W22" i="1"/>
  <c r="W52" i="1"/>
  <c r="W70" i="1"/>
  <c r="W87" i="1"/>
  <c r="W182" i="1"/>
  <c r="W55" i="1"/>
  <c r="W181" i="1"/>
  <c r="W166" i="1"/>
  <c r="W180" i="1"/>
  <c r="W99" i="1"/>
  <c r="W177" i="1"/>
  <c r="W170" i="1"/>
  <c r="W126" i="1"/>
  <c r="W29" i="1"/>
  <c r="W209" i="1"/>
  <c r="W112" i="1"/>
  <c r="W217" i="1"/>
  <c r="W35" i="1"/>
  <c r="W109" i="1"/>
  <c r="AI109" i="1"/>
  <c r="AI125" i="1"/>
  <c r="AI50" i="1"/>
  <c r="AI66" i="1"/>
  <c r="AI92" i="1"/>
  <c r="AI173" i="1"/>
  <c r="AI108" i="1"/>
  <c r="W66" i="1"/>
  <c r="W125" i="1"/>
  <c r="W101" i="1"/>
  <c r="W75" i="1"/>
  <c r="W196" i="1"/>
  <c r="W62" i="1"/>
  <c r="W50" i="1"/>
  <c r="W103" i="1"/>
  <c r="W25" i="1"/>
  <c r="W106" i="1"/>
  <c r="W194" i="1"/>
  <c r="W156" i="1"/>
  <c r="W26" i="1"/>
  <c r="W82" i="1"/>
  <c r="W86" i="1"/>
  <c r="W169" i="1"/>
  <c r="W113" i="1"/>
  <c r="AI169" i="1"/>
  <c r="W19" i="1"/>
  <c r="W178" i="1"/>
  <c r="W128" i="1"/>
  <c r="W152" i="1"/>
  <c r="W69" i="1"/>
  <c r="W54" i="1"/>
  <c r="W161" i="1"/>
  <c r="W98" i="1"/>
  <c r="W183" i="1"/>
  <c r="AI181" i="1"/>
  <c r="W167" i="1"/>
  <c r="W140" i="1"/>
  <c r="W93" i="1"/>
  <c r="W108" i="1"/>
  <c r="AI215" i="1"/>
  <c r="W92" i="1"/>
  <c r="AI124" i="1"/>
  <c r="W211" i="1"/>
  <c r="AI101" i="1"/>
  <c r="AI204" i="1"/>
  <c r="AI179" i="1"/>
  <c r="W179" i="1"/>
  <c r="AI104" i="1"/>
  <c r="W139" i="1"/>
  <c r="AI139" i="1"/>
  <c r="W155" i="1"/>
  <c r="AI192" i="1"/>
  <c r="AI196" i="1"/>
  <c r="AI45" i="1"/>
  <c r="W45" i="1"/>
  <c r="W104" i="1"/>
  <c r="W136" i="1"/>
  <c r="W173" i="1"/>
  <c r="AI16" i="1"/>
  <c r="AI73" i="1"/>
  <c r="W78" i="1"/>
  <c r="AI85" i="1"/>
  <c r="W31" i="1"/>
  <c r="W38" i="1"/>
  <c r="W85" i="1"/>
  <c r="W73" i="1"/>
  <c r="AI132" i="1"/>
  <c r="W144" i="1"/>
  <c r="W68" i="1"/>
  <c r="AI68" i="1"/>
  <c r="AI91" i="1"/>
  <c r="W91" i="1"/>
  <c r="AI123" i="1"/>
  <c r="W186" i="1"/>
  <c r="AI79" i="1"/>
  <c r="AI110" i="1"/>
  <c r="AI126" i="1"/>
  <c r="AI154" i="1"/>
  <c r="AI158" i="1"/>
  <c r="AI165" i="1"/>
  <c r="W122" i="1"/>
  <c r="AI141" i="1"/>
  <c r="W130" i="1"/>
  <c r="AI107" i="1"/>
  <c r="W171" i="1"/>
  <c r="AI98" i="1"/>
  <c r="AI114" i="1"/>
  <c r="AI130" i="1"/>
  <c r="AI94" i="1"/>
  <c r="W163" i="1"/>
  <c r="AI218" i="1"/>
  <c r="AI19" i="1"/>
  <c r="W56" i="1"/>
  <c r="AI56" i="1"/>
  <c r="AI82" i="1"/>
  <c r="AI95" i="1"/>
  <c r="AI111" i="1"/>
  <c r="AI127" i="1"/>
  <c r="W189" i="1"/>
  <c r="W105" i="1"/>
  <c r="AI106" i="1"/>
  <c r="AI170" i="1"/>
  <c r="AI178" i="1"/>
  <c r="AI186" i="1"/>
  <c r="AI194" i="1"/>
  <c r="AI202" i="1"/>
  <c r="AI210" i="1"/>
  <c r="AI222" i="1"/>
  <c r="W135" i="1"/>
  <c r="W200" i="1"/>
  <c r="AI39" i="1"/>
  <c r="AI18" i="1"/>
  <c r="AI60" i="1"/>
  <c r="W60" i="1"/>
  <c r="AI76" i="1"/>
  <c r="W76" i="1"/>
  <c r="AI71" i="1"/>
  <c r="AI67" i="1"/>
  <c r="W71" i="1"/>
  <c r="AI83" i="1"/>
  <c r="W164" i="1"/>
  <c r="AI99" i="1"/>
  <c r="W95" i="1"/>
  <c r="AI115" i="1"/>
  <c r="W97" i="1"/>
  <c r="AI131" i="1"/>
  <c r="AI55" i="1"/>
  <c r="W118" i="1"/>
  <c r="AI219" i="1"/>
  <c r="W160" i="1"/>
  <c r="AI142" i="1"/>
  <c r="W143" i="1"/>
  <c r="AI47" i="1"/>
  <c r="AI26" i="1"/>
  <c r="AI52" i="1"/>
  <c r="W174" i="1"/>
  <c r="AI161" i="1"/>
  <c r="AI27" i="1"/>
  <c r="AI14" i="1"/>
  <c r="W47" i="1"/>
  <c r="AI72" i="1"/>
  <c r="AI86" i="1"/>
  <c r="AI102" i="1"/>
  <c r="AI118" i="1"/>
  <c r="AI75" i="1"/>
  <c r="AI223" i="1"/>
  <c r="AI151" i="1"/>
  <c r="W159" i="1"/>
  <c r="W175" i="1"/>
  <c r="AI23" i="1"/>
  <c r="AI43" i="1"/>
  <c r="AI22" i="1"/>
  <c r="AI64" i="1"/>
  <c r="W14" i="1"/>
  <c r="W79" i="1"/>
  <c r="AI87" i="1"/>
  <c r="AI103" i="1"/>
  <c r="AI119" i="1"/>
  <c r="AI63" i="1"/>
  <c r="W67" i="1"/>
  <c r="AI80" i="1"/>
  <c r="W64" i="1"/>
  <c r="AI135" i="1"/>
  <c r="W83" i="1"/>
  <c r="AI59" i="1"/>
  <c r="AI164" i="1"/>
  <c r="AI90" i="1"/>
  <c r="AI122" i="1"/>
  <c r="W129" i="1"/>
  <c r="AI174" i="1"/>
  <c r="AI182" i="1"/>
  <c r="AI190" i="1"/>
  <c r="AI198" i="1"/>
  <c r="AI206" i="1"/>
  <c r="AI214" i="1"/>
  <c r="W80" i="1"/>
  <c r="W168" i="1"/>
  <c r="W96" i="1"/>
  <c r="W218" i="1"/>
  <c r="W210" i="1"/>
  <c r="W222" i="1"/>
  <c r="W151" i="1"/>
  <c r="W147" i="1"/>
  <c r="M24" i="3"/>
  <c r="R24" i="3"/>
  <c r="U24" i="3"/>
  <c r="W24" i="3"/>
  <c r="X24" i="3"/>
  <c r="Y24" i="3" l="1"/>
  <c r="B93" i="9"/>
  <c r="B94" i="9"/>
  <c r="C94" i="9" s="1"/>
  <c r="B95" i="9"/>
  <c r="B96" i="9"/>
  <c r="C96" i="9" s="1"/>
  <c r="B97" i="9"/>
  <c r="B98" i="9"/>
  <c r="C98" i="9"/>
  <c r="B99" i="9"/>
  <c r="B100" i="9"/>
  <c r="B101" i="9"/>
  <c r="B102" i="9"/>
  <c r="C102" i="9" s="1"/>
  <c r="B103" i="9"/>
  <c r="B104" i="9"/>
  <c r="C104" i="9" s="1"/>
  <c r="B105" i="9"/>
  <c r="C106" i="9" s="1"/>
  <c r="B106" i="9"/>
  <c r="B107" i="9"/>
  <c r="B108" i="9"/>
  <c r="B109" i="9"/>
  <c r="B110" i="9"/>
  <c r="B111" i="9"/>
  <c r="B112" i="9"/>
  <c r="C112" i="9" s="1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C125" i="9" s="1"/>
  <c r="B126" i="9"/>
  <c r="B127" i="9"/>
  <c r="B128" i="9"/>
  <c r="C128" i="9"/>
  <c r="B129" i="9"/>
  <c r="B130" i="9"/>
  <c r="C130" i="9" s="1"/>
  <c r="C109" i="9" l="1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P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5" i="6"/>
  <c r="G5" i="6" s="1"/>
  <c r="F5" i="6" l="1"/>
  <c r="J5" i="6"/>
  <c r="I5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4" i="1" l="1"/>
  <c r="AN18" i="1"/>
  <c r="V19" i="1"/>
  <c r="AN20" i="1"/>
  <c r="V21" i="1"/>
  <c r="AN22" i="1"/>
  <c r="V23" i="1"/>
  <c r="AN24" i="1"/>
  <c r="V25" i="1"/>
  <c r="AN26" i="1"/>
  <c r="V27" i="1"/>
  <c r="AN28" i="1"/>
  <c r="V29" i="1"/>
  <c r="S8" i="3" s="1"/>
  <c r="AN30" i="1"/>
  <c r="V31" i="1"/>
  <c r="AN32" i="1"/>
  <c r="V33" i="1"/>
  <c r="AN34" i="1"/>
  <c r="V35" i="1"/>
  <c r="AN14" i="1"/>
  <c r="V15" i="1"/>
  <c r="S19" i="3" s="1"/>
  <c r="AN16" i="1"/>
  <c r="AN50" i="1"/>
  <c r="V51" i="1"/>
  <c r="AN52" i="1"/>
  <c r="AN55" i="1"/>
  <c r="V56" i="1"/>
  <c r="AN60" i="1"/>
  <c r="V61" i="1"/>
  <c r="AN62" i="1"/>
  <c r="V63" i="1"/>
  <c r="AN65" i="1"/>
  <c r="V66" i="1"/>
  <c r="AN70" i="1"/>
  <c r="V71" i="1"/>
  <c r="AN72" i="1"/>
  <c r="V73" i="1"/>
  <c r="AN74" i="1"/>
  <c r="V75" i="1"/>
  <c r="AN76" i="1"/>
  <c r="V77" i="1"/>
  <c r="AN78" i="1"/>
  <c r="V79" i="1"/>
  <c r="AN80" i="1"/>
  <c r="V81" i="1"/>
  <c r="S17" i="3" s="1"/>
  <c r="AN82" i="1"/>
  <c r="V83" i="1"/>
  <c r="V20" i="1"/>
  <c r="AN21" i="1"/>
  <c r="V28" i="1"/>
  <c r="AN29" i="1"/>
  <c r="AN37" i="1"/>
  <c r="V38" i="1"/>
  <c r="AN40" i="1"/>
  <c r="V41" i="1"/>
  <c r="AN42" i="1"/>
  <c r="V43" i="1"/>
  <c r="S15" i="3" s="1"/>
  <c r="AN47" i="1"/>
  <c r="V48" i="1"/>
  <c r="AN53" i="1"/>
  <c r="V54" i="1"/>
  <c r="AN56" i="1"/>
  <c r="V57" i="1"/>
  <c r="AN69" i="1"/>
  <c r="AN84" i="1"/>
  <c r="V85" i="1"/>
  <c r="AN86" i="1"/>
  <c r="V87" i="1"/>
  <c r="AN88" i="1"/>
  <c r="V89" i="1"/>
  <c r="AN90" i="1"/>
  <c r="V91" i="1"/>
  <c r="V16" i="1"/>
  <c r="V18" i="1"/>
  <c r="AN19" i="1"/>
  <c r="V26" i="1"/>
  <c r="AN27" i="1"/>
  <c r="V34" i="1"/>
  <c r="AN35" i="1"/>
  <c r="V36" i="1"/>
  <c r="AN38" i="1"/>
  <c r="V39" i="1"/>
  <c r="AN45" i="1"/>
  <c r="V46" i="1"/>
  <c r="AN48" i="1"/>
  <c r="V49" i="1"/>
  <c r="V17" i="1"/>
  <c r="S14" i="3" s="1"/>
  <c r="V22" i="1"/>
  <c r="AN23" i="1"/>
  <c r="V30" i="1"/>
  <c r="AN31" i="1"/>
  <c r="AN39" i="1"/>
  <c r="V40" i="1"/>
  <c r="AN44" i="1"/>
  <c r="V45" i="1"/>
  <c r="AN49" i="1"/>
  <c r="AN51" i="1"/>
  <c r="V53" i="1"/>
  <c r="V55" i="1"/>
  <c r="S9" i="3" s="1"/>
  <c r="AN58" i="1"/>
  <c r="V59" i="1"/>
  <c r="AN61" i="1"/>
  <c r="AN63" i="1"/>
  <c r="V64" i="1"/>
  <c r="AN66" i="1"/>
  <c r="V67" i="1"/>
  <c r="AN43" i="1"/>
  <c r="AN54" i="1"/>
  <c r="AN57" i="1"/>
  <c r="V69" i="1"/>
  <c r="AN73" i="1"/>
  <c r="V76" i="1"/>
  <c r="AN81" i="1"/>
  <c r="V84" i="1"/>
  <c r="S12" i="3" s="1"/>
  <c r="V86" i="1"/>
  <c r="V88" i="1"/>
  <c r="V90" i="1"/>
  <c r="AN25" i="1"/>
  <c r="V32" i="1"/>
  <c r="V37" i="1"/>
  <c r="AN41" i="1"/>
  <c r="AN46" i="1"/>
  <c r="V62" i="1"/>
  <c r="AN64" i="1"/>
  <c r="AN67" i="1"/>
  <c r="V72" i="1"/>
  <c r="S7" i="3" s="1"/>
  <c r="AN77" i="1"/>
  <c r="V80" i="1"/>
  <c r="AN91" i="1"/>
  <c r="V92" i="1"/>
  <c r="AN93" i="1"/>
  <c r="V159" i="1"/>
  <c r="S30" i="3" s="1"/>
  <c r="AN98" i="1"/>
  <c r="V164" i="1"/>
  <c r="AN100" i="1"/>
  <c r="V166" i="1"/>
  <c r="AN102" i="1"/>
  <c r="V170" i="1"/>
  <c r="AN107" i="1"/>
  <c r="V172" i="1"/>
  <c r="AN109" i="1"/>
  <c r="V174" i="1"/>
  <c r="AN111" i="1"/>
  <c r="V176" i="1"/>
  <c r="AN113" i="1"/>
  <c r="V178" i="1"/>
  <c r="AN115" i="1"/>
  <c r="V179" i="1"/>
  <c r="S32" i="3" s="1"/>
  <c r="AN117" i="1"/>
  <c r="V181" i="1"/>
  <c r="AN119" i="1"/>
  <c r="V183" i="1"/>
  <c r="AN15" i="1"/>
  <c r="AN33" i="1"/>
  <c r="AN36" i="1"/>
  <c r="V44" i="1"/>
  <c r="V50" i="1"/>
  <c r="V52" i="1"/>
  <c r="V58" i="1"/>
  <c r="AN59" i="1"/>
  <c r="V60" i="1"/>
  <c r="AN71" i="1"/>
  <c r="V74" i="1"/>
  <c r="AN79" i="1"/>
  <c r="V82" i="1"/>
  <c r="AN95" i="1"/>
  <c r="V161" i="1"/>
  <c r="AN97" i="1"/>
  <c r="V168" i="1"/>
  <c r="S33" i="3" s="1"/>
  <c r="AN104" i="1"/>
  <c r="V169" i="1"/>
  <c r="AN121" i="1"/>
  <c r="V185" i="1"/>
  <c r="AN123" i="1"/>
  <c r="V187" i="1"/>
  <c r="V119" i="1"/>
  <c r="S11" i="3" s="1"/>
  <c r="V124" i="1"/>
  <c r="V24" i="1"/>
  <c r="V47" i="1"/>
  <c r="AN75" i="1"/>
  <c r="AN89" i="1"/>
  <c r="V93" i="1"/>
  <c r="AN94" i="1"/>
  <c r="V160" i="1"/>
  <c r="AN96" i="1"/>
  <c r="V163" i="1"/>
  <c r="AN99" i="1"/>
  <c r="V94" i="1"/>
  <c r="AN105" i="1"/>
  <c r="AN106" i="1"/>
  <c r="V177" i="1"/>
  <c r="AN114" i="1"/>
  <c r="V184" i="1"/>
  <c r="V186" i="1"/>
  <c r="V188" i="1"/>
  <c r="AN126" i="1"/>
  <c r="V189" i="1"/>
  <c r="AN131" i="1"/>
  <c r="V98" i="1"/>
  <c r="AN134" i="1"/>
  <c r="V101" i="1"/>
  <c r="AN139" i="1"/>
  <c r="V104" i="1"/>
  <c r="AN142" i="1"/>
  <c r="V107" i="1"/>
  <c r="AN147" i="1"/>
  <c r="V112" i="1"/>
  <c r="AN150" i="1"/>
  <c r="V115" i="1"/>
  <c r="AN155" i="1"/>
  <c r="V120" i="1"/>
  <c r="AN167" i="1"/>
  <c r="V134" i="1"/>
  <c r="V135" i="1"/>
  <c r="AN171" i="1"/>
  <c r="V137" i="1"/>
  <c r="AN173" i="1"/>
  <c r="V139" i="1"/>
  <c r="S23" i="3" s="1"/>
  <c r="AN175" i="1"/>
  <c r="V141" i="1"/>
  <c r="AN181" i="1"/>
  <c r="V147" i="1"/>
  <c r="V42" i="1"/>
  <c r="V68" i="1"/>
  <c r="AN68" i="1"/>
  <c r="V70" i="1"/>
  <c r="AN85" i="1"/>
  <c r="V167" i="1"/>
  <c r="S31" i="3" s="1"/>
  <c r="V173" i="1"/>
  <c r="S29" i="3" s="1"/>
  <c r="AN110" i="1"/>
  <c r="V180" i="1"/>
  <c r="AN118" i="1"/>
  <c r="AN127" i="1"/>
  <c r="V190" i="1"/>
  <c r="AN130" i="1"/>
  <c r="V97" i="1"/>
  <c r="AN135" i="1"/>
  <c r="V102" i="1"/>
  <c r="AN138" i="1"/>
  <c r="V207" i="1"/>
  <c r="AN143" i="1"/>
  <c r="V108" i="1"/>
  <c r="AN146" i="1"/>
  <c r="V111" i="1"/>
  <c r="AN151" i="1"/>
  <c r="V116" i="1"/>
  <c r="AN154" i="1"/>
  <c r="AN156" i="1"/>
  <c r="V121" i="1"/>
  <c r="AN170" i="1"/>
  <c r="V136" i="1"/>
  <c r="AN172" i="1"/>
  <c r="V138" i="1"/>
  <c r="AN174" i="1"/>
  <c r="V140" i="1"/>
  <c r="AN176" i="1"/>
  <c r="V142" i="1"/>
  <c r="V145" i="1"/>
  <c r="V146" i="1"/>
  <c r="AN182" i="1"/>
  <c r="V148" i="1"/>
  <c r="V153" i="1"/>
  <c r="AN189" i="1"/>
  <c r="V155" i="1"/>
  <c r="AN191" i="1"/>
  <c r="V157" i="1"/>
  <c r="AN193" i="1"/>
  <c r="AN198" i="1"/>
  <c r="V197" i="1"/>
  <c r="AN200" i="1"/>
  <c r="V199" i="1"/>
  <c r="S36" i="3" s="1"/>
  <c r="V202" i="1"/>
  <c r="AN205" i="1"/>
  <c r="V204" i="1"/>
  <c r="AN208" i="1"/>
  <c r="V209" i="1"/>
  <c r="AN210" i="1"/>
  <c r="V211" i="1"/>
  <c r="AN212" i="1"/>
  <c r="V213" i="1"/>
  <c r="AN214" i="1"/>
  <c r="V215" i="1"/>
  <c r="AN221" i="1"/>
  <c r="V222" i="1"/>
  <c r="AN223" i="1"/>
  <c r="V36" i="3"/>
  <c r="AE36" i="3" s="1"/>
  <c r="V19" i="3"/>
  <c r="AE19" i="3" s="1"/>
  <c r="V9" i="3"/>
  <c r="AE9" i="3" s="1"/>
  <c r="V33" i="3"/>
  <c r="AE33" i="3" s="1"/>
  <c r="V16" i="3"/>
  <c r="AE16" i="3" s="1"/>
  <c r="AC29" i="3"/>
  <c r="V17" i="3"/>
  <c r="AE17" i="3" s="1"/>
  <c r="AC25" i="3"/>
  <c r="V26" i="3"/>
  <c r="AE26" i="3" s="1"/>
  <c r="V34" i="3"/>
  <c r="AE34" i="3" s="1"/>
  <c r="AN17" i="1"/>
  <c r="AN83" i="1"/>
  <c r="V162" i="1"/>
  <c r="V165" i="1"/>
  <c r="AN101" i="1"/>
  <c r="V171" i="1"/>
  <c r="AN108" i="1"/>
  <c r="V95" i="1"/>
  <c r="AN116" i="1"/>
  <c r="AN125" i="1"/>
  <c r="V96" i="1"/>
  <c r="AN128" i="1"/>
  <c r="V191" i="1"/>
  <c r="AN133" i="1"/>
  <c r="V100" i="1"/>
  <c r="AN136" i="1"/>
  <c r="V103" i="1"/>
  <c r="AN141" i="1"/>
  <c r="V106" i="1"/>
  <c r="AN144" i="1"/>
  <c r="V109" i="1"/>
  <c r="AN149" i="1"/>
  <c r="V114" i="1"/>
  <c r="AN152" i="1"/>
  <c r="V117" i="1"/>
  <c r="AN157" i="1"/>
  <c r="V122" i="1"/>
  <c r="AN159" i="1"/>
  <c r="V125" i="1"/>
  <c r="AN161" i="1"/>
  <c r="V127" i="1"/>
  <c r="AN163" i="1"/>
  <c r="V129" i="1"/>
  <c r="AN165" i="1"/>
  <c r="V131" i="1"/>
  <c r="AN168" i="1"/>
  <c r="AN169" i="1"/>
  <c r="AN178" i="1"/>
  <c r="V144" i="1"/>
  <c r="AN120" i="1"/>
  <c r="AN129" i="1"/>
  <c r="V206" i="1"/>
  <c r="AN148" i="1"/>
  <c r="V123" i="1"/>
  <c r="AN160" i="1"/>
  <c r="AN164" i="1"/>
  <c r="V133" i="1"/>
  <c r="AN179" i="1"/>
  <c r="AN184" i="1"/>
  <c r="V150" i="1"/>
  <c r="AN187" i="1"/>
  <c r="V154" i="1"/>
  <c r="V156" i="1"/>
  <c r="V158" i="1"/>
  <c r="AN194" i="1"/>
  <c r="V193" i="1"/>
  <c r="AN215" i="1"/>
  <c r="V216" i="1"/>
  <c r="AC35" i="3"/>
  <c r="AC32" i="3"/>
  <c r="V20" i="3"/>
  <c r="AE20" i="3" s="1"/>
  <c r="V110" i="1"/>
  <c r="S13" i="3" s="1"/>
  <c r="AN185" i="1"/>
  <c r="V151" i="1"/>
  <c r="AN192" i="1"/>
  <c r="V223" i="1"/>
  <c r="V65" i="1"/>
  <c r="AN92" i="1"/>
  <c r="AN103" i="1"/>
  <c r="AN202" i="1"/>
  <c r="V201" i="1"/>
  <c r="AN207" i="1"/>
  <c r="V30" i="3"/>
  <c r="AE30" i="3" s="1"/>
  <c r="V12" i="3"/>
  <c r="AE12" i="3" s="1"/>
  <c r="V35" i="3"/>
  <c r="V32" i="3"/>
  <c r="AE32" i="3" s="1"/>
  <c r="V13" i="3"/>
  <c r="AE13" i="3" s="1"/>
  <c r="V78" i="1"/>
  <c r="V175" i="1"/>
  <c r="S28" i="3" s="1"/>
  <c r="AN124" i="1"/>
  <c r="AN132" i="1"/>
  <c r="V105" i="1"/>
  <c r="AN145" i="1"/>
  <c r="V118" i="1"/>
  <c r="AN162" i="1"/>
  <c r="AN166" i="1"/>
  <c r="AN177" i="1"/>
  <c r="V149" i="1"/>
  <c r="AN195" i="1"/>
  <c r="V194" i="1"/>
  <c r="V196" i="1"/>
  <c r="V198" i="1"/>
  <c r="AN203" i="1"/>
  <c r="V203" i="1"/>
  <c r="V205" i="1"/>
  <c r="V208" i="1"/>
  <c r="V210" i="1"/>
  <c r="V212" i="1"/>
  <c r="S37" i="3" s="1"/>
  <c r="V214" i="1"/>
  <c r="AN216" i="1"/>
  <c r="V217" i="1"/>
  <c r="AN219" i="1"/>
  <c r="V220" i="1"/>
  <c r="AN222" i="1"/>
  <c r="V31" i="3"/>
  <c r="AE31" i="3" s="1"/>
  <c r="AC33" i="3"/>
  <c r="AC21" i="3"/>
  <c r="V29" i="3"/>
  <c r="AE29" i="3" s="1"/>
  <c r="AC10" i="3"/>
  <c r="V22" i="3"/>
  <c r="AE22" i="3" s="1"/>
  <c r="V23" i="3"/>
  <c r="AC18" i="3"/>
  <c r="AN220" i="1"/>
  <c r="AC30" i="3"/>
  <c r="V8" i="3"/>
  <c r="AE8" i="3" s="1"/>
  <c r="AN137" i="1"/>
  <c r="V128" i="1"/>
  <c r="AN190" i="1"/>
  <c r="V7" i="3"/>
  <c r="V37" i="3"/>
  <c r="AE37" i="3" s="1"/>
  <c r="AC23" i="3"/>
  <c r="AN87" i="1"/>
  <c r="AN112" i="1"/>
  <c r="V182" i="1"/>
  <c r="AN122" i="1"/>
  <c r="V192" i="1"/>
  <c r="AN140" i="1"/>
  <c r="V113" i="1"/>
  <c r="S22" i="3" s="1"/>
  <c r="AN153" i="1"/>
  <c r="V126" i="1"/>
  <c r="V130" i="1"/>
  <c r="AN180" i="1"/>
  <c r="AN183" i="1"/>
  <c r="AN186" i="1"/>
  <c r="V152" i="1"/>
  <c r="AN196" i="1"/>
  <c r="V195" i="1"/>
  <c r="AN199" i="1"/>
  <c r="AN201" i="1"/>
  <c r="V200" i="1"/>
  <c r="AN204" i="1"/>
  <c r="AN206" i="1"/>
  <c r="AN209" i="1"/>
  <c r="AN211" i="1"/>
  <c r="AN213" i="1"/>
  <c r="AN217" i="1"/>
  <c r="V218" i="1"/>
  <c r="V14" i="3"/>
  <c r="AE14" i="3" s="1"/>
  <c r="AC8" i="3"/>
  <c r="V15" i="3"/>
  <c r="AE15" i="3" s="1"/>
  <c r="V21" i="3"/>
  <c r="AE21" i="3" s="1"/>
  <c r="AC28" i="3"/>
  <c r="V25" i="3"/>
  <c r="AE25" i="3" s="1"/>
  <c r="V10" i="3"/>
  <c r="AE10" i="3" s="1"/>
  <c r="V11" i="3"/>
  <c r="AE11" i="3" s="1"/>
  <c r="V18" i="3"/>
  <c r="AE18" i="3" s="1"/>
  <c r="V27" i="3"/>
  <c r="AE27" i="3" s="1"/>
  <c r="V28" i="3"/>
  <c r="AE28" i="3" s="1"/>
  <c r="V99" i="1"/>
  <c r="AN158" i="1"/>
  <c r="V132" i="1"/>
  <c r="V143" i="1"/>
  <c r="AN188" i="1"/>
  <c r="AN197" i="1"/>
  <c r="AN218" i="1"/>
  <c r="V219" i="1"/>
  <c r="V221" i="1"/>
  <c r="AD35" i="3"/>
  <c r="AC11" i="3"/>
  <c r="AC31" i="3"/>
  <c r="AC36" i="3"/>
  <c r="AD33" i="3"/>
  <c r="AC17" i="3"/>
  <c r="AC19" i="3"/>
  <c r="AD25" i="3"/>
  <c r="AD19" i="3"/>
  <c r="AD29" i="3"/>
  <c r="AD27" i="3"/>
  <c r="AC37" i="3"/>
  <c r="AD15" i="3"/>
  <c r="AC27" i="3"/>
  <c r="AC12" i="3"/>
  <c r="AC15" i="3"/>
  <c r="AD14" i="3"/>
  <c r="AD30" i="3"/>
  <c r="AD16" i="3"/>
  <c r="AD17" i="3"/>
  <c r="AD12" i="3"/>
  <c r="AC13" i="3"/>
  <c r="AD22" i="3"/>
  <c r="AD32" i="3"/>
  <c r="AC20" i="3"/>
  <c r="AD37" i="3"/>
  <c r="AD31" i="3"/>
  <c r="AC16" i="3"/>
  <c r="AC22" i="3"/>
  <c r="AC26" i="3"/>
  <c r="AD8" i="3"/>
  <c r="AD36" i="3"/>
  <c r="AD34" i="3"/>
  <c r="AD18" i="3"/>
  <c r="AD21" i="3"/>
  <c r="AD9" i="3"/>
  <c r="AD28" i="3"/>
  <c r="AC9" i="3"/>
  <c r="AC34" i="3"/>
  <c r="AC7" i="3"/>
  <c r="AC14" i="3"/>
  <c r="AD20" i="3"/>
  <c r="AD26" i="3"/>
  <c r="AD10" i="3"/>
  <c r="AD13" i="3"/>
  <c r="AD11" i="3"/>
  <c r="AD23" i="3"/>
  <c r="AD24" i="3"/>
  <c r="S24" i="3"/>
  <c r="V24" i="3"/>
  <c r="AC24" i="3"/>
  <c r="AD7" i="3"/>
  <c r="AN13" i="1"/>
  <c r="V13" i="1"/>
  <c r="B31" i="9"/>
  <c r="B32" i="9"/>
  <c r="C33" i="9" s="1"/>
  <c r="S27" i="3" l="1"/>
  <c r="S18" i="3"/>
  <c r="S20" i="3"/>
  <c r="S10" i="3"/>
  <c r="S25" i="3"/>
  <c r="S26" i="3"/>
  <c r="AE35" i="3"/>
  <c r="AE23" i="3"/>
  <c r="S35" i="3"/>
  <c r="S34" i="3"/>
  <c r="S21" i="3"/>
  <c r="S16" i="3"/>
  <c r="AE7" i="3"/>
  <c r="AE24" i="3"/>
  <c r="C32" i="9"/>
  <c r="G3" i="4" l="1"/>
  <c r="G4" i="4"/>
  <c r="G5" i="4"/>
  <c r="G6" i="4"/>
  <c r="G7" i="4"/>
  <c r="G8" i="4"/>
  <c r="G9" i="4"/>
  <c r="G10" i="4"/>
  <c r="L216" i="1" s="1"/>
  <c r="G11" i="4"/>
  <c r="L203" i="1" s="1"/>
  <c r="G12" i="4"/>
  <c r="L193" i="1" s="1"/>
  <c r="G13" i="4"/>
  <c r="L204" i="1" s="1"/>
  <c r="G14" i="4"/>
  <c r="L14" i="1" s="1"/>
  <c r="G15" i="4"/>
  <c r="L195" i="1" s="1"/>
  <c r="G16" i="4"/>
  <c r="G17" i="4"/>
  <c r="L16" i="1" s="1"/>
  <c r="G18" i="4"/>
  <c r="L197" i="1" s="1"/>
  <c r="G19" i="4"/>
  <c r="G20" i="4"/>
  <c r="L18" i="1" s="1"/>
  <c r="G21" i="4"/>
  <c r="L199" i="1" s="1"/>
  <c r="G22" i="4"/>
  <c r="L201" i="1" s="1"/>
  <c r="G23" i="4"/>
  <c r="L20" i="1" s="1"/>
  <c r="G24" i="4"/>
  <c r="L22" i="1" s="1"/>
  <c r="G25" i="4"/>
  <c r="L17" i="1" s="1"/>
  <c r="G26" i="4"/>
  <c r="L24" i="1" s="1"/>
  <c r="G27" i="4"/>
  <c r="L26" i="1" s="1"/>
  <c r="G28" i="4"/>
  <c r="L19" i="1" s="1"/>
  <c r="G29" i="4"/>
  <c r="L206" i="1" s="1"/>
  <c r="G30" i="4"/>
  <c r="G31" i="4"/>
  <c r="L21" i="1" s="1"/>
  <c r="G32" i="4"/>
  <c r="L28" i="1" s="1"/>
  <c r="G33" i="4"/>
  <c r="L159" i="1" s="1"/>
  <c r="G34" i="4"/>
  <c r="G35" i="4"/>
  <c r="L23" i="1" s="1"/>
  <c r="G36" i="4"/>
  <c r="L30" i="1" s="1"/>
  <c r="G37" i="4"/>
  <c r="L25" i="1" s="1"/>
  <c r="G38" i="4"/>
  <c r="L27" i="1" s="1"/>
  <c r="G39" i="4"/>
  <c r="L32" i="1" s="1"/>
  <c r="G40" i="4"/>
  <c r="L160" i="1" s="1"/>
  <c r="G41" i="4"/>
  <c r="L34" i="1" s="1"/>
  <c r="G42" i="4"/>
  <c r="L29" i="1" s="1"/>
  <c r="G43" i="4"/>
  <c r="L36" i="1" s="1"/>
  <c r="G44" i="4"/>
  <c r="L31" i="1" s="1"/>
  <c r="G45" i="4"/>
  <c r="L161" i="1" s="1"/>
  <c r="G46" i="4"/>
  <c r="L38" i="1" s="1"/>
  <c r="G47" i="4"/>
  <c r="L33" i="1" s="1"/>
  <c r="G48" i="4"/>
  <c r="L40" i="1" s="1"/>
  <c r="G49" i="4"/>
  <c r="L35" i="1" s="1"/>
  <c r="G50" i="4"/>
  <c r="L42" i="1" s="1"/>
  <c r="G51" i="4"/>
  <c r="L162" i="1" s="1"/>
  <c r="G52" i="4"/>
  <c r="L37" i="1" s="1"/>
  <c r="G53" i="4"/>
  <c r="L44" i="1" s="1"/>
  <c r="G54" i="4"/>
  <c r="L39" i="1" s="1"/>
  <c r="G55" i="4"/>
  <c r="L163" i="1" s="1"/>
  <c r="G56" i="4"/>
  <c r="L41" i="1" s="1"/>
  <c r="G57" i="4"/>
  <c r="L46" i="1" s="1"/>
  <c r="G58" i="4"/>
  <c r="L48" i="1" s="1"/>
  <c r="G59" i="4"/>
  <c r="L43" i="1" s="1"/>
  <c r="G60" i="4"/>
  <c r="L164" i="1" s="1"/>
  <c r="G61" i="4"/>
  <c r="L50" i="1" s="1"/>
  <c r="G62" i="4"/>
  <c r="L45" i="1" s="1"/>
  <c r="G63" i="4"/>
  <c r="L52" i="1" s="1"/>
  <c r="G64" i="4"/>
  <c r="L47" i="1" s="1"/>
  <c r="G65" i="4"/>
  <c r="L165" i="1" s="1"/>
  <c r="G66" i="4"/>
  <c r="L54" i="1" s="1"/>
  <c r="G67" i="4"/>
  <c r="L49" i="1" s="1"/>
  <c r="G68" i="4"/>
  <c r="L56" i="1" s="1"/>
  <c r="G69" i="4"/>
  <c r="L51" i="1" s="1"/>
  <c r="G70" i="4"/>
  <c r="L58" i="1" s="1"/>
  <c r="G71" i="4"/>
  <c r="L166" i="1" s="1"/>
  <c r="G72" i="4"/>
  <c r="L53" i="1" s="1"/>
  <c r="G73" i="4"/>
  <c r="L60" i="1" s="1"/>
  <c r="G74" i="4"/>
  <c r="L55" i="1" s="1"/>
  <c r="G75" i="4"/>
  <c r="L167" i="1" s="1"/>
  <c r="G76" i="4"/>
  <c r="L62" i="1" s="1"/>
  <c r="G77" i="4"/>
  <c r="L57" i="1" s="1"/>
  <c r="G78" i="4"/>
  <c r="L64" i="1" s="1"/>
  <c r="G79" i="4"/>
  <c r="L59" i="1" s="1"/>
  <c r="G80" i="4"/>
  <c r="L66" i="1" s="1"/>
  <c r="G81" i="4"/>
  <c r="G82" i="4"/>
  <c r="L61" i="1" s="1"/>
  <c r="G83" i="4"/>
  <c r="L208" i="1" s="1"/>
  <c r="G84" i="4"/>
  <c r="G85" i="4"/>
  <c r="L68" i="1" s="1"/>
  <c r="G86" i="4"/>
  <c r="L169" i="1" s="1"/>
  <c r="G87" i="4"/>
  <c r="L63" i="1" s="1"/>
  <c r="G88" i="4"/>
  <c r="L70" i="1" s="1"/>
  <c r="G89" i="4"/>
  <c r="L65" i="1" s="1"/>
  <c r="G90" i="4"/>
  <c r="L72" i="1" s="1"/>
  <c r="G91" i="4"/>
  <c r="L209" i="1" s="1"/>
  <c r="G92" i="4"/>
  <c r="L67" i="1" s="1"/>
  <c r="G93" i="4"/>
  <c r="L69" i="1" s="1"/>
  <c r="G94" i="4"/>
  <c r="L74" i="1" s="1"/>
  <c r="G95" i="4"/>
  <c r="L170" i="1" s="1"/>
  <c r="G96" i="4"/>
  <c r="L71" i="1" s="1"/>
  <c r="G97" i="4"/>
  <c r="L76" i="1" s="1"/>
  <c r="G98" i="4"/>
  <c r="L171" i="1" s="1"/>
  <c r="G99" i="4"/>
  <c r="L78" i="1" s="1"/>
  <c r="G100" i="4"/>
  <c r="L73" i="1" s="1"/>
  <c r="G101" i="4"/>
  <c r="L210" i="1" s="1"/>
  <c r="G102" i="4"/>
  <c r="L80" i="1" s="1"/>
  <c r="G103" i="4"/>
  <c r="G104" i="4"/>
  <c r="G105" i="4"/>
  <c r="L75" i="1" s="1"/>
  <c r="G106" i="4"/>
  <c r="L82" i="1" s="1"/>
  <c r="G107" i="4"/>
  <c r="L172" i="1" s="1"/>
  <c r="G108" i="4"/>
  <c r="L77" i="1" s="1"/>
  <c r="G109" i="4"/>
  <c r="L84" i="1" s="1"/>
  <c r="G110" i="4"/>
  <c r="L211" i="1" s="1"/>
  <c r="G111" i="4"/>
  <c r="L79" i="1" s="1"/>
  <c r="G112" i="4"/>
  <c r="L173" i="1" s="1"/>
  <c r="G113" i="4"/>
  <c r="L86" i="1" s="1"/>
  <c r="G114" i="4"/>
  <c r="L81" i="1" s="1"/>
  <c r="G115" i="4"/>
  <c r="L83" i="1" s="1"/>
  <c r="G116" i="4"/>
  <c r="L88" i="1" s="1"/>
  <c r="G117" i="4"/>
  <c r="L90" i="1" s="1"/>
  <c r="G118" i="4"/>
  <c r="L85" i="1" s="1"/>
  <c r="G119" i="4"/>
  <c r="L174" i="1" s="1"/>
  <c r="G120" i="4"/>
  <c r="L92" i="1" s="1"/>
  <c r="G121" i="4"/>
  <c r="L175" i="1" s="1"/>
  <c r="G122" i="4"/>
  <c r="L87" i="1" s="1"/>
  <c r="G123" i="4"/>
  <c r="L94" i="1" s="1"/>
  <c r="G124" i="4"/>
  <c r="L96" i="1" s="1"/>
  <c r="G125" i="4"/>
  <c r="L89" i="1" s="1"/>
  <c r="G126" i="4"/>
  <c r="L91" i="1" s="1"/>
  <c r="G127" i="4"/>
  <c r="G128" i="4"/>
  <c r="L176" i="1" s="1"/>
  <c r="G129" i="4"/>
  <c r="L98" i="1" s="1"/>
  <c r="G130" i="4"/>
  <c r="L93" i="1" s="1"/>
  <c r="G131" i="4"/>
  <c r="L100" i="1" s="1"/>
  <c r="G132" i="4"/>
  <c r="G133" i="4"/>
  <c r="L95" i="1" s="1"/>
  <c r="G134" i="4"/>
  <c r="L177" i="1" s="1"/>
  <c r="G135" i="4"/>
  <c r="L97" i="1" s="1"/>
  <c r="G136" i="4"/>
  <c r="L104" i="1" s="1"/>
  <c r="G137" i="4"/>
  <c r="L102" i="1" s="1"/>
  <c r="G138" i="4"/>
  <c r="L99" i="1" s="1"/>
  <c r="G139" i="4"/>
  <c r="L106" i="1" s="1"/>
  <c r="G140" i="4"/>
  <c r="L178" i="1" s="1"/>
  <c r="G141" i="4"/>
  <c r="L101" i="1" s="1"/>
  <c r="G142" i="4"/>
  <c r="L108" i="1" s="1"/>
  <c r="G143" i="4"/>
  <c r="L110" i="1" s="1"/>
  <c r="G144" i="4"/>
  <c r="L105" i="1" s="1"/>
  <c r="G145" i="4"/>
  <c r="L103" i="1" s="1"/>
  <c r="G146" i="4"/>
  <c r="L179" i="1" s="1"/>
  <c r="G147" i="4"/>
  <c r="L112" i="1" s="1"/>
  <c r="G148" i="4"/>
  <c r="L107" i="1" s="1"/>
  <c r="G149" i="4"/>
  <c r="L114" i="1" s="1"/>
  <c r="G150" i="4"/>
  <c r="L180" i="1" s="1"/>
  <c r="G151" i="4"/>
  <c r="L109" i="1" s="1"/>
  <c r="G152" i="4"/>
  <c r="L116" i="1" s="1"/>
  <c r="G153" i="4"/>
  <c r="L111" i="1" s="1"/>
  <c r="G154" i="4"/>
  <c r="L118" i="1" s="1"/>
  <c r="G155" i="4"/>
  <c r="L181" i="1" s="1"/>
  <c r="G156" i="4"/>
  <c r="G157" i="4"/>
  <c r="L120" i="1" s="1"/>
  <c r="G158" i="4"/>
  <c r="L215" i="1" s="1"/>
  <c r="G159" i="4"/>
  <c r="L115" i="1" s="1"/>
  <c r="G160" i="4"/>
  <c r="L122" i="1" s="1"/>
  <c r="G161" i="4"/>
  <c r="L182" i="1" s="1"/>
  <c r="G162" i="4"/>
  <c r="L124" i="1" s="1"/>
  <c r="G163" i="4"/>
  <c r="L117" i="1" s="1"/>
  <c r="G164" i="4"/>
  <c r="L212" i="1" s="1"/>
  <c r="G165" i="4"/>
  <c r="L119" i="1" s="1"/>
  <c r="G166" i="4"/>
  <c r="L183" i="1" s="1"/>
  <c r="G167" i="4"/>
  <c r="L126" i="1" s="1"/>
  <c r="G168" i="4"/>
  <c r="L121" i="1" s="1"/>
  <c r="G169" i="4"/>
  <c r="L128" i="1" s="1"/>
  <c r="G170" i="4"/>
  <c r="L214" i="1" s="1"/>
  <c r="G171" i="4"/>
  <c r="L123" i="1" s="1"/>
  <c r="G172" i="4"/>
  <c r="L130" i="1" s="1"/>
  <c r="G173" i="4"/>
  <c r="L184" i="1" s="1"/>
  <c r="G174" i="4"/>
  <c r="L125" i="1" s="1"/>
  <c r="G175" i="4"/>
  <c r="L213" i="1" s="1"/>
  <c r="G176" i="4"/>
  <c r="L132" i="1" s="1"/>
  <c r="G177" i="4"/>
  <c r="L127" i="1" s="1"/>
  <c r="G178" i="4"/>
  <c r="L194" i="1" s="1"/>
  <c r="G179" i="4"/>
  <c r="L185" i="1" s="1"/>
  <c r="G180" i="4"/>
  <c r="L129" i="1" s="1"/>
  <c r="G181" i="4"/>
  <c r="L134" i="1" s="1"/>
  <c r="G182" i="4"/>
  <c r="L131" i="1" s="1"/>
  <c r="G183" i="4"/>
  <c r="L196" i="1" s="1"/>
  <c r="G184" i="4"/>
  <c r="L133" i="1" s="1"/>
  <c r="G185" i="4"/>
  <c r="L186" i="1" s="1"/>
  <c r="G186" i="4"/>
  <c r="L136" i="1" s="1"/>
  <c r="G187" i="4"/>
  <c r="L187" i="1" s="1"/>
  <c r="G188" i="4"/>
  <c r="L198" i="1" s="1"/>
  <c r="G189" i="4"/>
  <c r="L135" i="1" s="1"/>
  <c r="G190" i="4"/>
  <c r="L138" i="1" s="1"/>
  <c r="G191" i="4"/>
  <c r="L140" i="1" s="1"/>
  <c r="G192" i="4"/>
  <c r="L137" i="1" s="1"/>
  <c r="G193" i="4"/>
  <c r="L188" i="1" s="1"/>
  <c r="G194" i="4"/>
  <c r="G195" i="4"/>
  <c r="G196" i="4"/>
  <c r="L189" i="1" s="1"/>
  <c r="G197" i="4"/>
  <c r="G198" i="4"/>
  <c r="L142" i="1" s="1"/>
  <c r="G199" i="4"/>
  <c r="L144" i="1" s="1"/>
  <c r="G200" i="4"/>
  <c r="G201" i="4"/>
  <c r="L141" i="1" s="1"/>
  <c r="G202" i="4"/>
  <c r="L190" i="1" s="1"/>
  <c r="G203" i="4"/>
  <c r="L191" i="1" s="1"/>
  <c r="G204" i="4"/>
  <c r="L146" i="1" s="1"/>
  <c r="G205" i="4"/>
  <c r="L143" i="1" s="1"/>
  <c r="G206" i="4"/>
  <c r="G207" i="4"/>
  <c r="L148" i="1" s="1"/>
  <c r="G208" i="4"/>
  <c r="L192" i="1" s="1"/>
  <c r="G209" i="4"/>
  <c r="L145" i="1" s="1"/>
  <c r="G210" i="4"/>
  <c r="L207" i="1" s="1"/>
  <c r="G211" i="4"/>
  <c r="G212" i="4"/>
  <c r="L147" i="1" s="1"/>
  <c r="G213" i="4"/>
  <c r="L150" i="1" s="1"/>
  <c r="G214" i="4"/>
  <c r="L152" i="1" s="1"/>
  <c r="G215" i="4"/>
  <c r="L149" i="1" s="1"/>
  <c r="G216" i="4"/>
  <c r="G217" i="4"/>
  <c r="L154" i="1" s="1"/>
  <c r="G218" i="4"/>
  <c r="L151" i="1" s="1"/>
  <c r="G219" i="4"/>
  <c r="G220" i="4"/>
  <c r="G221" i="4"/>
  <c r="L153" i="1" s="1"/>
  <c r="G222" i="4"/>
  <c r="L155" i="1" s="1"/>
  <c r="G223" i="4"/>
  <c r="L205" i="1" s="1"/>
  <c r="G224" i="4"/>
  <c r="G225" i="4"/>
  <c r="G226" i="4"/>
  <c r="L200" i="1" s="1"/>
  <c r="G227" i="4"/>
  <c r="L158" i="1" s="1"/>
  <c r="G228" i="4"/>
  <c r="L202" i="1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L217" i="1" l="1"/>
  <c r="L218" i="1"/>
  <c r="L219" i="1"/>
  <c r="L223" i="1"/>
  <c r="L220" i="1"/>
  <c r="L221" i="1"/>
  <c r="L222" i="1"/>
  <c r="N23" i="3"/>
  <c r="L139" i="1"/>
  <c r="N33" i="3"/>
  <c r="L168" i="1"/>
  <c r="N22" i="3"/>
  <c r="L113" i="1"/>
  <c r="L156" i="1"/>
  <c r="L157" i="1"/>
  <c r="N19" i="3"/>
  <c r="L15" i="1"/>
  <c r="N37" i="3"/>
  <c r="N34" i="3"/>
  <c r="N35" i="3"/>
  <c r="N29" i="3"/>
  <c r="N32" i="3"/>
  <c r="N17" i="3"/>
  <c r="N7" i="3"/>
  <c r="N16" i="3"/>
  <c r="N21" i="3"/>
  <c r="N9" i="3"/>
  <c r="N8" i="3"/>
  <c r="N11" i="3"/>
  <c r="N28" i="3"/>
  <c r="N12" i="3"/>
  <c r="N30" i="3"/>
  <c r="N14" i="3"/>
  <c r="N36" i="3"/>
  <c r="N18" i="3"/>
  <c r="N27" i="3"/>
  <c r="N20" i="3"/>
  <c r="N10" i="3"/>
  <c r="N13" i="3"/>
  <c r="N25" i="3"/>
  <c r="N26" i="3"/>
  <c r="N31" i="3"/>
  <c r="N15" i="3"/>
  <c r="N24" i="3"/>
  <c r="L13" i="1"/>
  <c r="H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4" i="1" l="1"/>
  <c r="AH17" i="1"/>
  <c r="AH19" i="1"/>
  <c r="AH21" i="1"/>
  <c r="AH23" i="1"/>
  <c r="AH25" i="1"/>
  <c r="AH27" i="1"/>
  <c r="AH29" i="1"/>
  <c r="AH31" i="1"/>
  <c r="AH33" i="1"/>
  <c r="AH35" i="1"/>
  <c r="AH15" i="1"/>
  <c r="AH49" i="1"/>
  <c r="AH51" i="1"/>
  <c r="AH56" i="1"/>
  <c r="AH61" i="1"/>
  <c r="AH63" i="1"/>
  <c r="AH66" i="1"/>
  <c r="AH71" i="1"/>
  <c r="AH73" i="1"/>
  <c r="AH75" i="1"/>
  <c r="AH77" i="1"/>
  <c r="AH79" i="1"/>
  <c r="AH81" i="1"/>
  <c r="AH83" i="1"/>
  <c r="AH18" i="1"/>
  <c r="AH26" i="1"/>
  <c r="AH34" i="1"/>
  <c r="AH36" i="1"/>
  <c r="AH41" i="1"/>
  <c r="AH43" i="1"/>
  <c r="AH46" i="1"/>
  <c r="AH54" i="1"/>
  <c r="AH57" i="1"/>
  <c r="AH68" i="1"/>
  <c r="AH85" i="1"/>
  <c r="AH87" i="1"/>
  <c r="AH89" i="1"/>
  <c r="AH16" i="1"/>
  <c r="AH24" i="1"/>
  <c r="AH32" i="1"/>
  <c r="AH39" i="1"/>
  <c r="AH44" i="1"/>
  <c r="AH20" i="1"/>
  <c r="AH28" i="1"/>
  <c r="AH38" i="1"/>
  <c r="AH45" i="1"/>
  <c r="AH48" i="1"/>
  <c r="AH55" i="1"/>
  <c r="AH59" i="1"/>
  <c r="AH64" i="1"/>
  <c r="AH67" i="1"/>
  <c r="AH22" i="1"/>
  <c r="AH42" i="1"/>
  <c r="AH47" i="1"/>
  <c r="AH53" i="1"/>
  <c r="AH69" i="1"/>
  <c r="AH70" i="1"/>
  <c r="AH78" i="1"/>
  <c r="AH84" i="1"/>
  <c r="AH86" i="1"/>
  <c r="AH88" i="1"/>
  <c r="AH90" i="1"/>
  <c r="AH91" i="1"/>
  <c r="AH40" i="1"/>
  <c r="AH50" i="1"/>
  <c r="AH52" i="1"/>
  <c r="AH58" i="1"/>
  <c r="AH62" i="1"/>
  <c r="AH65" i="1"/>
  <c r="AH74" i="1"/>
  <c r="AH82" i="1"/>
  <c r="AH92" i="1"/>
  <c r="AH94" i="1"/>
  <c r="AH99" i="1"/>
  <c r="AH101" i="1"/>
  <c r="AH106" i="1"/>
  <c r="AH108" i="1"/>
  <c r="AH110" i="1"/>
  <c r="AH112" i="1"/>
  <c r="AH114" i="1"/>
  <c r="AH116" i="1"/>
  <c r="AH118" i="1"/>
  <c r="AH120" i="1"/>
  <c r="AH60" i="1"/>
  <c r="AH76" i="1"/>
  <c r="AH96" i="1"/>
  <c r="AH103" i="1"/>
  <c r="AH105" i="1"/>
  <c r="AH122" i="1"/>
  <c r="AH124" i="1"/>
  <c r="AH159" i="1"/>
  <c r="AH95" i="1"/>
  <c r="AH104" i="1"/>
  <c r="AH111" i="1"/>
  <c r="AH119" i="1"/>
  <c r="AH121" i="1"/>
  <c r="AH123" i="1"/>
  <c r="AH127" i="1"/>
  <c r="AH130" i="1"/>
  <c r="AH135" i="1"/>
  <c r="AH138" i="1"/>
  <c r="AH143" i="1"/>
  <c r="AH146" i="1"/>
  <c r="AH151" i="1"/>
  <c r="AH154" i="1"/>
  <c r="AH156" i="1"/>
  <c r="AH170" i="1"/>
  <c r="AH172" i="1"/>
  <c r="AH174" i="1"/>
  <c r="AH176" i="1"/>
  <c r="AH182" i="1"/>
  <c r="AH80" i="1"/>
  <c r="AH100" i="1"/>
  <c r="AH107" i="1"/>
  <c r="AH115" i="1"/>
  <c r="AH126" i="1"/>
  <c r="AH131" i="1"/>
  <c r="AH134" i="1"/>
  <c r="AH139" i="1"/>
  <c r="AH142" i="1"/>
  <c r="AH147" i="1"/>
  <c r="AH150" i="1"/>
  <c r="AH155" i="1"/>
  <c r="AH167" i="1"/>
  <c r="AH171" i="1"/>
  <c r="AH173" i="1"/>
  <c r="AH175" i="1"/>
  <c r="AH181" i="1"/>
  <c r="AH188" i="1"/>
  <c r="AH190" i="1"/>
  <c r="AH192" i="1"/>
  <c r="AH199" i="1"/>
  <c r="AH201" i="1"/>
  <c r="AH204" i="1"/>
  <c r="AH206" i="1"/>
  <c r="AH209" i="1"/>
  <c r="AH211" i="1"/>
  <c r="AH213" i="1"/>
  <c r="AH222" i="1"/>
  <c r="AH72" i="1"/>
  <c r="AH93" i="1"/>
  <c r="AH97" i="1"/>
  <c r="AH98" i="1"/>
  <c r="AH113" i="1"/>
  <c r="AH129" i="1"/>
  <c r="AH132" i="1"/>
  <c r="AH137" i="1"/>
  <c r="AH140" i="1"/>
  <c r="AH145" i="1"/>
  <c r="AH148" i="1"/>
  <c r="AH153" i="1"/>
  <c r="AH158" i="1"/>
  <c r="AH160" i="1"/>
  <c r="AH162" i="1"/>
  <c r="AH164" i="1"/>
  <c r="AH166" i="1"/>
  <c r="AH177" i="1"/>
  <c r="AH179" i="1"/>
  <c r="AH180" i="1"/>
  <c r="AH183" i="1"/>
  <c r="AH128" i="1"/>
  <c r="AH133" i="1"/>
  <c r="AH163" i="1"/>
  <c r="AH178" i="1"/>
  <c r="AH189" i="1"/>
  <c r="AH191" i="1"/>
  <c r="AH193" i="1"/>
  <c r="AH195" i="1"/>
  <c r="AH203" i="1"/>
  <c r="AH216" i="1"/>
  <c r="AH186" i="1"/>
  <c r="AH196" i="1"/>
  <c r="AH217" i="1"/>
  <c r="AH223" i="1"/>
  <c r="AH109" i="1"/>
  <c r="AH157" i="1"/>
  <c r="AH102" i="1"/>
  <c r="AH117" i="1"/>
  <c r="AH144" i="1"/>
  <c r="AH149" i="1"/>
  <c r="AH161" i="1"/>
  <c r="AH165" i="1"/>
  <c r="AH169" i="1"/>
  <c r="AH184" i="1"/>
  <c r="AH187" i="1"/>
  <c r="AH194" i="1"/>
  <c r="AH198" i="1"/>
  <c r="AH200" i="1"/>
  <c r="AH205" i="1"/>
  <c r="AH208" i="1"/>
  <c r="AH210" i="1"/>
  <c r="AH212" i="1"/>
  <c r="AH214" i="1"/>
  <c r="AH215" i="1"/>
  <c r="AH220" i="1"/>
  <c r="AH219" i="1"/>
  <c r="AH141" i="1"/>
  <c r="AH30" i="1"/>
  <c r="AH37" i="1"/>
  <c r="AH125" i="1"/>
  <c r="AH152" i="1"/>
  <c r="AH168" i="1"/>
  <c r="AH185" i="1"/>
  <c r="AH197" i="1"/>
  <c r="AH202" i="1"/>
  <c r="AH207" i="1"/>
  <c r="AH218" i="1"/>
  <c r="AH136" i="1"/>
  <c r="AH221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88" i="1" l="1"/>
  <c r="S188" i="1" s="1"/>
  <c r="U197" i="1"/>
  <c r="S197" i="1" s="1"/>
  <c r="U176" i="1"/>
  <c r="S176" i="1" s="1"/>
  <c r="U193" i="1"/>
  <c r="S193" i="1" s="1"/>
  <c r="U201" i="1"/>
  <c r="S201" i="1" s="1"/>
  <c r="U199" i="1"/>
  <c r="S199" i="1" s="1"/>
  <c r="U221" i="1"/>
  <c r="S221" i="1" s="1"/>
  <c r="U207" i="1"/>
  <c r="S207" i="1" s="1"/>
  <c r="U177" i="1"/>
  <c r="S177" i="1" s="1"/>
  <c r="U184" i="1"/>
  <c r="S184" i="1" s="1"/>
  <c r="U208" i="1"/>
  <c r="S208" i="1" s="1"/>
  <c r="U213" i="1"/>
  <c r="S213" i="1" s="1"/>
  <c r="U172" i="1"/>
  <c r="S172" i="1" s="1"/>
  <c r="U205" i="1"/>
  <c r="S205" i="1" s="1"/>
  <c r="U209" i="1"/>
  <c r="S209" i="1" s="1"/>
  <c r="U198" i="1"/>
  <c r="S198" i="1" s="1"/>
  <c r="U194" i="1"/>
  <c r="S194" i="1" s="1"/>
  <c r="U203" i="1"/>
  <c r="S203" i="1" s="1"/>
  <c r="U202" i="1"/>
  <c r="S202" i="1" s="1"/>
  <c r="U187" i="1"/>
  <c r="S187" i="1" s="1"/>
  <c r="U195" i="1"/>
  <c r="S195" i="1" s="1"/>
  <c r="U186" i="1"/>
  <c r="S186" i="1" s="1"/>
  <c r="U189" i="1"/>
  <c r="S189" i="1" s="1"/>
  <c r="U223" i="1"/>
  <c r="S223" i="1" s="1"/>
  <c r="U217" i="1"/>
  <c r="S217" i="1" s="1"/>
  <c r="U220" i="1"/>
  <c r="S220" i="1" s="1"/>
  <c r="U183" i="1"/>
  <c r="S183" i="1" s="1"/>
  <c r="U162" i="1"/>
  <c r="S162" i="1" s="1"/>
  <c r="U191" i="1"/>
  <c r="S191" i="1" s="1"/>
  <c r="U178" i="1"/>
  <c r="S178" i="1" s="1"/>
  <c r="U159" i="1"/>
  <c r="S159" i="1" s="1"/>
  <c r="U170" i="1"/>
  <c r="S170" i="1" s="1"/>
  <c r="U181" i="1"/>
  <c r="S181" i="1" s="1"/>
  <c r="U204" i="1"/>
  <c r="S204" i="1" s="1"/>
  <c r="U218" i="1"/>
  <c r="S218" i="1" s="1"/>
  <c r="U160" i="1"/>
  <c r="S160" i="1" s="1"/>
  <c r="U210" i="1"/>
  <c r="S210" i="1" s="1"/>
  <c r="U182" i="1"/>
  <c r="S182" i="1" s="1"/>
  <c r="U166" i="1"/>
  <c r="S166" i="1" s="1"/>
  <c r="U180" i="1"/>
  <c r="S180" i="1" s="1"/>
  <c r="U190" i="1"/>
  <c r="S190" i="1" s="1"/>
  <c r="U161" i="1"/>
  <c r="S161" i="1" s="1"/>
  <c r="U174" i="1"/>
  <c r="S174" i="1" s="1"/>
  <c r="U175" i="1"/>
  <c r="S175" i="1" s="1"/>
  <c r="U200" i="1"/>
  <c r="S200" i="1" s="1"/>
  <c r="U222" i="1"/>
  <c r="S222" i="1" s="1"/>
  <c r="U164" i="1"/>
  <c r="S164" i="1" s="1"/>
  <c r="U168" i="1"/>
  <c r="S168" i="1" s="1"/>
  <c r="U185" i="1"/>
  <c r="S185" i="1" s="1"/>
  <c r="U212" i="1"/>
  <c r="S212" i="1" s="1"/>
  <c r="U211" i="1"/>
  <c r="S211" i="1" s="1"/>
  <c r="U165" i="1"/>
  <c r="S165" i="1" s="1"/>
  <c r="U216" i="1"/>
  <c r="S216" i="1" s="1"/>
  <c r="U206" i="1"/>
  <c r="S206" i="1" s="1"/>
  <c r="U215" i="1"/>
  <c r="S215" i="1" s="1"/>
  <c r="U179" i="1"/>
  <c r="S179" i="1" s="1"/>
  <c r="U171" i="1"/>
  <c r="S171" i="1" s="1"/>
  <c r="U163" i="1"/>
  <c r="S163" i="1" s="1"/>
  <c r="U192" i="1"/>
  <c r="S192" i="1" s="1"/>
  <c r="U219" i="1"/>
  <c r="S219" i="1" s="1"/>
  <c r="U167" i="1"/>
  <c r="S167" i="1" s="1"/>
  <c r="U196" i="1"/>
  <c r="S196" i="1" s="1"/>
  <c r="U214" i="1"/>
  <c r="S214" i="1" s="1"/>
  <c r="U173" i="1"/>
  <c r="S173" i="1" s="1"/>
  <c r="U169" i="1"/>
  <c r="S169" i="1" s="1"/>
  <c r="M18" i="5"/>
  <c r="AF15" i="1" l="1"/>
  <c r="AF18" i="1"/>
  <c r="AF20" i="1"/>
  <c r="AF22" i="1"/>
  <c r="AF24" i="1"/>
  <c r="AF26" i="1"/>
  <c r="AF28" i="1"/>
  <c r="AF30" i="1"/>
  <c r="AF32" i="1"/>
  <c r="AF34" i="1"/>
  <c r="AF36" i="1"/>
  <c r="AF38" i="1"/>
  <c r="AF40" i="1"/>
  <c r="AF44" i="1"/>
  <c r="AF46" i="1"/>
  <c r="AF48" i="1"/>
  <c r="AF53" i="1"/>
  <c r="AF58" i="1"/>
  <c r="AF68" i="1"/>
  <c r="AF16" i="1"/>
  <c r="AF25" i="1"/>
  <c r="AF33" i="1"/>
  <c r="AF3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23" i="1"/>
  <c r="AF31" i="1"/>
  <c r="AF37" i="1"/>
  <c r="AF42" i="1"/>
  <c r="AF47" i="1"/>
  <c r="AF49" i="1"/>
  <c r="AF50" i="1"/>
  <c r="AF51" i="1"/>
  <c r="AF52" i="1"/>
  <c r="AF17" i="1"/>
  <c r="AF19" i="1"/>
  <c r="AF27" i="1"/>
  <c r="AF35" i="1"/>
  <c r="AF41" i="1"/>
  <c r="AF43" i="1"/>
  <c r="AF54" i="1"/>
  <c r="AF57" i="1"/>
  <c r="AF14" i="1"/>
  <c r="AF64" i="1"/>
  <c r="AF67" i="1"/>
  <c r="AF21" i="1"/>
  <c r="AF55" i="1"/>
  <c r="AF60" i="1"/>
  <c r="AF61" i="1"/>
  <c r="AF161" i="1"/>
  <c r="AF168" i="1"/>
  <c r="AF169" i="1"/>
  <c r="AF29" i="1"/>
  <c r="AF45" i="1"/>
  <c r="AF69" i="1"/>
  <c r="AF84" i="1"/>
  <c r="AF85" i="1"/>
  <c r="AF86" i="1"/>
  <c r="AF87" i="1"/>
  <c r="AF88" i="1"/>
  <c r="AF89" i="1"/>
  <c r="AF90" i="1"/>
  <c r="AF91" i="1"/>
  <c r="AF93" i="1"/>
  <c r="AF163" i="1"/>
  <c r="AF165" i="1"/>
  <c r="AF167" i="1"/>
  <c r="AF171" i="1"/>
  <c r="AF173" i="1"/>
  <c r="AF175" i="1"/>
  <c r="AF177" i="1"/>
  <c r="AF95" i="1"/>
  <c r="AF180" i="1"/>
  <c r="AF182" i="1"/>
  <c r="AF184" i="1"/>
  <c r="AF96" i="1"/>
  <c r="AF190" i="1"/>
  <c r="AF192" i="1"/>
  <c r="AF98" i="1"/>
  <c r="AF100" i="1"/>
  <c r="AF102" i="1"/>
  <c r="AF206" i="1"/>
  <c r="AF104" i="1"/>
  <c r="AF106" i="1"/>
  <c r="AF108" i="1"/>
  <c r="AF110" i="1"/>
  <c r="AF112" i="1"/>
  <c r="AF114" i="1"/>
  <c r="AF116" i="1"/>
  <c r="AF118" i="1"/>
  <c r="AF119" i="1"/>
  <c r="AF121" i="1"/>
  <c r="AF123" i="1"/>
  <c r="AF62" i="1"/>
  <c r="AF66" i="1"/>
  <c r="AF174" i="1"/>
  <c r="AF181" i="1"/>
  <c r="AF99" i="1"/>
  <c r="AF105" i="1"/>
  <c r="AF113" i="1"/>
  <c r="AF126" i="1"/>
  <c r="AF128" i="1"/>
  <c r="AF130" i="1"/>
  <c r="AF133" i="1"/>
  <c r="AF143" i="1"/>
  <c r="AF56" i="1"/>
  <c r="AF159" i="1"/>
  <c r="AF162" i="1"/>
  <c r="AF164" i="1"/>
  <c r="AF170" i="1"/>
  <c r="AF178" i="1"/>
  <c r="AF191" i="1"/>
  <c r="AF103" i="1"/>
  <c r="AF109" i="1"/>
  <c r="AF117" i="1"/>
  <c r="AF122" i="1"/>
  <c r="AF125" i="1"/>
  <c r="AF127" i="1"/>
  <c r="AF129" i="1"/>
  <c r="AF131" i="1"/>
  <c r="AF144" i="1"/>
  <c r="AF145" i="1"/>
  <c r="AF148" i="1"/>
  <c r="AF150" i="1"/>
  <c r="AF152" i="1"/>
  <c r="AF194" i="1"/>
  <c r="AF201" i="1"/>
  <c r="AF215" i="1"/>
  <c r="AF217" i="1"/>
  <c r="AF219" i="1"/>
  <c r="AF59" i="1"/>
  <c r="AF63" i="1"/>
  <c r="AF92" i="1"/>
  <c r="AF160" i="1"/>
  <c r="AF94" i="1"/>
  <c r="AF176" i="1"/>
  <c r="AF183" i="1"/>
  <c r="AF185" i="1"/>
  <c r="AF186" i="1"/>
  <c r="AF187" i="1"/>
  <c r="AF188" i="1"/>
  <c r="AF189" i="1"/>
  <c r="AF101" i="1"/>
  <c r="AF107" i="1"/>
  <c r="AF115" i="1"/>
  <c r="AF120" i="1"/>
  <c r="AF134" i="1"/>
  <c r="AF135" i="1"/>
  <c r="AF137" i="1"/>
  <c r="AF139" i="1"/>
  <c r="AF141" i="1"/>
  <c r="AF147" i="1"/>
  <c r="AF166" i="1"/>
  <c r="AF179" i="1"/>
  <c r="AF207" i="1"/>
  <c r="AF124" i="1"/>
  <c r="AF132" i="1"/>
  <c r="AF142" i="1"/>
  <c r="AF151" i="1"/>
  <c r="AF111" i="1"/>
  <c r="AF146" i="1"/>
  <c r="AF149" i="1"/>
  <c r="AF213" i="1"/>
  <c r="AF214" i="1"/>
  <c r="AF65" i="1"/>
  <c r="AF202" i="1"/>
  <c r="AF203" i="1"/>
  <c r="AF204" i="1"/>
  <c r="AF205" i="1"/>
  <c r="AF208" i="1"/>
  <c r="AF209" i="1"/>
  <c r="AF210" i="1"/>
  <c r="AF211" i="1"/>
  <c r="AF212" i="1"/>
  <c r="AF138" i="1"/>
  <c r="AF195" i="1"/>
  <c r="AF200" i="1"/>
  <c r="AF218" i="1"/>
  <c r="AF221" i="1"/>
  <c r="AF172" i="1"/>
  <c r="AF97" i="1"/>
  <c r="AF136" i="1"/>
  <c r="AF153" i="1"/>
  <c r="AF154" i="1"/>
  <c r="AF155" i="1"/>
  <c r="AF156" i="1"/>
  <c r="AF157" i="1"/>
  <c r="AF158" i="1"/>
  <c r="AF193" i="1"/>
  <c r="AF216" i="1"/>
  <c r="T35" i="3"/>
  <c r="AF222" i="1"/>
  <c r="AF223" i="1"/>
  <c r="AF140" i="1"/>
  <c r="AF196" i="1"/>
  <c r="AF197" i="1"/>
  <c r="AF198" i="1"/>
  <c r="AF199" i="1"/>
  <c r="AF220" i="1"/>
  <c r="T22" i="3"/>
  <c r="T28" i="3"/>
  <c r="T8" i="3"/>
  <c r="T30" i="3"/>
  <c r="T32" i="3"/>
  <c r="T21" i="3"/>
  <c r="T25" i="3"/>
  <c r="T7" i="3"/>
  <c r="T14" i="3"/>
  <c r="T27" i="3"/>
  <c r="T12" i="3"/>
  <c r="T17" i="3"/>
  <c r="T31" i="3"/>
  <c r="T20" i="3"/>
  <c r="T13" i="3"/>
  <c r="T29" i="3"/>
  <c r="T10" i="3"/>
  <c r="T9" i="3"/>
  <c r="T26" i="3"/>
  <c r="T19" i="3"/>
  <c r="T34" i="3"/>
  <c r="T33" i="3"/>
  <c r="T18" i="3"/>
  <c r="T36" i="3"/>
  <c r="T23" i="3"/>
  <c r="T37" i="3"/>
  <c r="T16" i="3"/>
  <c r="T11" i="3"/>
  <c r="T15" i="3"/>
  <c r="T24" i="3"/>
  <c r="AF13" i="1"/>
  <c r="B4" i="6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81" i="1" l="1"/>
  <c r="S81" i="1" s="1"/>
  <c r="U102" i="1"/>
  <c r="S102" i="1" s="1"/>
  <c r="U119" i="1"/>
  <c r="S119" i="1" s="1"/>
  <c r="U88" i="1"/>
  <c r="S88" i="1" s="1"/>
  <c r="U149" i="1"/>
  <c r="S149" i="1" s="1"/>
  <c r="U145" i="1"/>
  <c r="S145" i="1" s="1"/>
  <c r="U152" i="1"/>
  <c r="S152" i="1" s="1"/>
  <c r="U136" i="1"/>
  <c r="S136" i="1" s="1"/>
  <c r="U150" i="1"/>
  <c r="S150" i="1" s="1"/>
  <c r="U134" i="1"/>
  <c r="S134" i="1" s="1"/>
  <c r="U121" i="1"/>
  <c r="S121" i="1" s="1"/>
  <c r="U77" i="1"/>
  <c r="S77" i="1" s="1"/>
  <c r="U57" i="1"/>
  <c r="S57" i="1" s="1"/>
  <c r="U53" i="1"/>
  <c r="S53" i="1" s="1"/>
  <c r="U15" i="1"/>
  <c r="S15" i="1" s="1"/>
  <c r="U29" i="1"/>
  <c r="S29" i="1" s="1"/>
  <c r="U46" i="1"/>
  <c r="S46" i="1" s="1"/>
  <c r="U37" i="1"/>
  <c r="S37" i="1" s="1"/>
  <c r="U41" i="1"/>
  <c r="S41" i="1" s="1"/>
  <c r="U140" i="1"/>
  <c r="S140" i="1" s="1"/>
  <c r="U146" i="1"/>
  <c r="S146" i="1" s="1"/>
  <c r="U116" i="1"/>
  <c r="S116" i="1" s="1"/>
  <c r="U111" i="1"/>
  <c r="S111" i="1" s="1"/>
  <c r="U31" i="1"/>
  <c r="S31" i="1" s="1"/>
  <c r="U42" i="1"/>
  <c r="S42" i="1" s="1"/>
  <c r="U61" i="1"/>
  <c r="S61" i="1" s="1"/>
  <c r="U21" i="1"/>
  <c r="S21" i="1" s="1"/>
  <c r="U38" i="1"/>
  <c r="S38" i="1" s="1"/>
  <c r="U133" i="1"/>
  <c r="S133" i="1" s="1"/>
  <c r="U153" i="1"/>
  <c r="S153" i="1" s="1"/>
  <c r="U137" i="1"/>
  <c r="S137" i="1" s="1"/>
  <c r="U158" i="1"/>
  <c r="S158" i="1" s="1"/>
  <c r="U142" i="1"/>
  <c r="S142" i="1" s="1"/>
  <c r="U117" i="1"/>
  <c r="S117" i="1" s="1"/>
  <c r="U30" i="1"/>
  <c r="S30" i="1" s="1"/>
  <c r="U154" i="1"/>
  <c r="S154" i="1" s="1"/>
  <c r="U99" i="1"/>
  <c r="S99" i="1" s="1"/>
  <c r="U113" i="1"/>
  <c r="S113" i="1" s="1"/>
  <c r="U35" i="1"/>
  <c r="S35" i="1" s="1"/>
  <c r="U138" i="1"/>
  <c r="S138" i="1" s="1"/>
  <c r="U70" i="1"/>
  <c r="S70" i="1" s="1"/>
  <c r="U24" i="1"/>
  <c r="S24" i="1" s="1"/>
  <c r="U40" i="1"/>
  <c r="S40" i="1" s="1"/>
  <c r="U34" i="1"/>
  <c r="S34" i="1" s="1"/>
  <c r="U62" i="1"/>
  <c r="S62" i="1" s="1"/>
  <c r="U36" i="1"/>
  <c r="S36" i="1" s="1"/>
  <c r="U32" i="1"/>
  <c r="S32" i="1" s="1"/>
  <c r="U17" i="1"/>
  <c r="S17" i="1" s="1"/>
  <c r="U120" i="1"/>
  <c r="S120" i="1" s="1"/>
  <c r="U141" i="1"/>
  <c r="S141" i="1" s="1"/>
  <c r="U103" i="1"/>
  <c r="S103" i="1" s="1"/>
  <c r="U125" i="1"/>
  <c r="S125" i="1" s="1"/>
  <c r="U96" i="1"/>
  <c r="S96" i="1" s="1"/>
  <c r="U76" i="1"/>
  <c r="S76" i="1" s="1"/>
  <c r="U43" i="1"/>
  <c r="S43" i="1" s="1"/>
  <c r="U87" i="1"/>
  <c r="S87" i="1" s="1"/>
  <c r="U59" i="1"/>
  <c r="S59" i="1" s="1"/>
  <c r="U44" i="1"/>
  <c r="S44" i="1" s="1"/>
  <c r="U49" i="1"/>
  <c r="S49" i="1" s="1"/>
  <c r="U69" i="1"/>
  <c r="S69" i="1" s="1"/>
  <c r="U25" i="1"/>
  <c r="S25" i="1" s="1"/>
  <c r="U131" i="1"/>
  <c r="S131" i="1" s="1"/>
  <c r="U110" i="1"/>
  <c r="S110" i="1" s="1"/>
  <c r="U65" i="1"/>
  <c r="S65" i="1" s="1"/>
  <c r="U93" i="1"/>
  <c r="S93" i="1" s="1"/>
  <c r="U74" i="1"/>
  <c r="S74" i="1" s="1"/>
  <c r="U128" i="1"/>
  <c r="S128" i="1" s="1"/>
  <c r="U144" i="1"/>
  <c r="S144" i="1" s="1"/>
  <c r="U45" i="1"/>
  <c r="S45" i="1" s="1"/>
  <c r="U73" i="1"/>
  <c r="S73" i="1" s="1"/>
  <c r="U91" i="1"/>
  <c r="S91" i="1" s="1"/>
  <c r="U130" i="1"/>
  <c r="S130" i="1" s="1"/>
  <c r="U105" i="1"/>
  <c r="S105" i="1" s="1"/>
  <c r="U19" i="1"/>
  <c r="S19" i="1" s="1"/>
  <c r="U143" i="1"/>
  <c r="S143" i="1" s="1"/>
  <c r="U39" i="1"/>
  <c r="S39" i="1" s="1"/>
  <c r="U60" i="1"/>
  <c r="S60" i="1" s="1"/>
  <c r="U95" i="1"/>
  <c r="S95" i="1" s="1"/>
  <c r="U27" i="1"/>
  <c r="S27" i="1" s="1"/>
  <c r="U86" i="1"/>
  <c r="S86" i="1" s="1"/>
  <c r="U80" i="1"/>
  <c r="S80" i="1" s="1"/>
  <c r="U139" i="1"/>
  <c r="S139" i="1" s="1"/>
  <c r="U155" i="1"/>
  <c r="S155" i="1" s="1"/>
  <c r="U85" i="1"/>
  <c r="S85" i="1" s="1"/>
  <c r="U79" i="1"/>
  <c r="S79" i="1" s="1"/>
  <c r="U18" i="1"/>
  <c r="S18" i="1" s="1"/>
  <c r="U71" i="1"/>
  <c r="S71" i="1" s="1"/>
  <c r="U83" i="1"/>
  <c r="S83" i="1" s="1"/>
  <c r="U97" i="1"/>
  <c r="S97" i="1" s="1"/>
  <c r="U55" i="1"/>
  <c r="S55" i="1" s="1"/>
  <c r="U47" i="1"/>
  <c r="S47" i="1" s="1"/>
  <c r="U64" i="1"/>
  <c r="S64" i="1" s="1"/>
  <c r="U109" i="1"/>
  <c r="S109" i="1" s="1"/>
  <c r="U100" i="1"/>
  <c r="S100" i="1" s="1"/>
  <c r="U66" i="1"/>
  <c r="S66" i="1" s="1"/>
  <c r="U92" i="1"/>
  <c r="S92" i="1" s="1"/>
  <c r="U58" i="1"/>
  <c r="S58" i="1" s="1"/>
  <c r="U94" i="1"/>
  <c r="S94" i="1" s="1"/>
  <c r="U157" i="1"/>
  <c r="U89" i="1"/>
  <c r="S89" i="1" s="1"/>
  <c r="U48" i="1"/>
  <c r="S48" i="1" s="1"/>
  <c r="U51" i="1"/>
  <c r="S51" i="1" s="1"/>
  <c r="U156" i="1"/>
  <c r="U124" i="1"/>
  <c r="S124" i="1" s="1"/>
  <c r="U104" i="1"/>
  <c r="S104" i="1" s="1"/>
  <c r="U68" i="1"/>
  <c r="S68" i="1" s="1"/>
  <c r="U118" i="1"/>
  <c r="S118" i="1" s="1"/>
  <c r="U67" i="1"/>
  <c r="S67" i="1" s="1"/>
  <c r="U106" i="1"/>
  <c r="S106" i="1" s="1"/>
  <c r="U72" i="1"/>
  <c r="S72" i="1" s="1"/>
  <c r="U115" i="1"/>
  <c r="S115" i="1" s="1"/>
  <c r="U23" i="1"/>
  <c r="S23" i="1" s="1"/>
  <c r="U129" i="1"/>
  <c r="S129" i="1" s="1"/>
  <c r="U122" i="1"/>
  <c r="S122" i="1" s="1"/>
  <c r="U126" i="1"/>
  <c r="S126" i="1" s="1"/>
  <c r="U90" i="1"/>
  <c r="S90" i="1" s="1"/>
  <c r="U123" i="1"/>
  <c r="S123" i="1" s="1"/>
  <c r="U20" i="1"/>
  <c r="S20" i="1" s="1"/>
  <c r="U114" i="1"/>
  <c r="S114" i="1" s="1"/>
  <c r="U108" i="1"/>
  <c r="S108" i="1" s="1"/>
  <c r="U98" i="1"/>
  <c r="S98" i="1" s="1"/>
  <c r="U112" i="1"/>
  <c r="S112" i="1" s="1"/>
  <c r="U54" i="1"/>
  <c r="S54" i="1" s="1"/>
  <c r="U78" i="1"/>
  <c r="S78" i="1" s="1"/>
  <c r="U16" i="1"/>
  <c r="S16" i="1" s="1"/>
  <c r="U132" i="1"/>
  <c r="S132" i="1" s="1"/>
  <c r="U56" i="1"/>
  <c r="S56" i="1" s="1"/>
  <c r="U82" i="1"/>
  <c r="S82" i="1" s="1"/>
  <c r="U135" i="1"/>
  <c r="S135" i="1" s="1"/>
  <c r="U151" i="1"/>
  <c r="S151" i="1" s="1"/>
  <c r="U26" i="1"/>
  <c r="S26" i="1" s="1"/>
  <c r="U75" i="1"/>
  <c r="S75" i="1" s="1"/>
  <c r="U22" i="1"/>
  <c r="S22" i="1" s="1"/>
  <c r="U63" i="1"/>
  <c r="S63" i="1" s="1"/>
  <c r="U147" i="1"/>
  <c r="S147" i="1" s="1"/>
  <c r="U28" i="1"/>
  <c r="S28" i="1" s="1"/>
  <c r="U50" i="1"/>
  <c r="S50" i="1" s="1"/>
  <c r="U84" i="1"/>
  <c r="S84" i="1" s="1"/>
  <c r="U127" i="1"/>
  <c r="S127" i="1" s="1"/>
  <c r="U33" i="1"/>
  <c r="S33" i="1" s="1"/>
  <c r="U107" i="1"/>
  <c r="S107" i="1" s="1"/>
  <c r="U148" i="1"/>
  <c r="S148" i="1" s="1"/>
  <c r="U52" i="1"/>
  <c r="S52" i="1" s="1"/>
  <c r="U14" i="1"/>
  <c r="U101" i="1"/>
  <c r="S101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S9" i="1"/>
  <c r="J9" i="1"/>
  <c r="B6" i="6" l="1"/>
  <c r="I6" i="6" s="1"/>
  <c r="S11" i="1"/>
  <c r="A11" i="1"/>
  <c r="B7" i="6" l="1"/>
  <c r="I7" i="6" s="1"/>
  <c r="G6" i="6"/>
  <c r="H6" i="6"/>
  <c r="J6" i="6"/>
  <c r="F6" i="6"/>
  <c r="B1" i="6"/>
  <c r="A5" i="3"/>
  <c r="G7" i="6" l="1"/>
  <c r="F7" i="6"/>
  <c r="J7" i="6"/>
  <c r="H7" i="6"/>
  <c r="B8" i="6"/>
  <c r="I8" i="6" s="1"/>
  <c r="F8" i="6" l="1"/>
  <c r="J8" i="6"/>
  <c r="G8" i="6"/>
  <c r="H8" i="6"/>
  <c r="B9" i="6"/>
  <c r="I9" i="6" s="1"/>
  <c r="B10" i="6" l="1"/>
  <c r="I10" i="6" s="1"/>
  <c r="J9" i="6"/>
  <c r="G9" i="6"/>
  <c r="F9" i="6"/>
  <c r="H9" i="6"/>
  <c r="F10" i="6" l="1"/>
  <c r="G10" i="6"/>
  <c r="H10" i="6"/>
  <c r="J10" i="6"/>
  <c r="B11" i="6"/>
  <c r="I11" i="6" s="1"/>
  <c r="J11" i="6" l="1"/>
  <c r="H11" i="6"/>
  <c r="F11" i="6"/>
  <c r="G11" i="6"/>
  <c r="B12" i="6"/>
  <c r="I12" i="6" s="1"/>
  <c r="B13" i="6" l="1"/>
  <c r="I13" i="6" s="1"/>
  <c r="J12" i="6"/>
  <c r="F12" i="6"/>
  <c r="H12" i="6"/>
  <c r="G12" i="6"/>
  <c r="F13" i="6" l="1"/>
  <c r="G13" i="6"/>
  <c r="H13" i="6"/>
  <c r="J13" i="6"/>
  <c r="B14" i="6"/>
  <c r="I14" i="6" s="1"/>
  <c r="G14" i="6" l="1"/>
  <c r="H14" i="6"/>
  <c r="J14" i="6"/>
  <c r="F14" i="6"/>
  <c r="B15" i="6"/>
  <c r="I15" i="6" s="1"/>
  <c r="F15" i="6" l="1"/>
  <c r="H15" i="6"/>
  <c r="J15" i="6"/>
  <c r="G15" i="6"/>
  <c r="B16" i="6"/>
  <c r="I16" i="6" s="1"/>
  <c r="F16" i="6" l="1"/>
  <c r="J16" i="6"/>
  <c r="G16" i="6"/>
  <c r="H16" i="6"/>
  <c r="B17" i="6"/>
  <c r="I17" i="6" s="1"/>
  <c r="B18" i="6" l="1"/>
  <c r="I18" i="6" s="1"/>
  <c r="F17" i="6"/>
  <c r="H17" i="6"/>
  <c r="J17" i="6"/>
  <c r="G17" i="6"/>
  <c r="F18" i="6" l="1"/>
  <c r="H18" i="6"/>
  <c r="J18" i="6"/>
  <c r="G18" i="6"/>
  <c r="B19" i="6"/>
  <c r="I19" i="6" s="1"/>
  <c r="J19" i="6" l="1"/>
  <c r="H19" i="6"/>
  <c r="F19" i="6"/>
  <c r="G19" i="6"/>
  <c r="B20" i="6"/>
  <c r="I20" i="6" s="1"/>
  <c r="B21" i="6" l="1"/>
  <c r="I21" i="6" s="1"/>
  <c r="F20" i="6"/>
  <c r="G20" i="6"/>
  <c r="H20" i="6"/>
  <c r="J20" i="6"/>
  <c r="B22" i="6" l="1"/>
  <c r="I22" i="6" s="1"/>
  <c r="H21" i="6"/>
  <c r="F21" i="6"/>
  <c r="J21" i="6"/>
  <c r="G21" i="6"/>
  <c r="B23" i="6" l="1"/>
  <c r="I23" i="6" s="1"/>
  <c r="F22" i="6"/>
  <c r="H22" i="6"/>
  <c r="J22" i="6"/>
  <c r="G22" i="6"/>
  <c r="F23" i="6" l="1"/>
  <c r="G23" i="6"/>
  <c r="J23" i="6"/>
  <c r="H23" i="6"/>
  <c r="B24" i="6"/>
  <c r="I24" i="6" s="1"/>
  <c r="F24" i="6" l="1"/>
  <c r="J24" i="6"/>
  <c r="H24" i="6"/>
  <c r="G24" i="6"/>
  <c r="B25" i="6"/>
  <c r="I25" i="6" s="1"/>
  <c r="F25" i="6" l="1"/>
  <c r="H25" i="6"/>
  <c r="G25" i="6"/>
  <c r="J25" i="6"/>
  <c r="B26" i="6"/>
  <c r="I26" i="6" s="1"/>
  <c r="B27" i="6" l="1"/>
  <c r="I27" i="6" s="1"/>
  <c r="G26" i="6"/>
  <c r="F26" i="6"/>
  <c r="H26" i="6"/>
  <c r="J26" i="6"/>
  <c r="J27" i="6" l="1"/>
  <c r="H27" i="6"/>
  <c r="F27" i="6"/>
  <c r="G27" i="6"/>
  <c r="B28" i="6"/>
  <c r="I28" i="6" s="1"/>
  <c r="H28" i="6" l="1"/>
  <c r="J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G31" i="6" l="1"/>
  <c r="F31" i="6"/>
  <c r="H31" i="6"/>
  <c r="J31" i="6"/>
  <c r="B32" i="6"/>
  <c r="I32" i="6" s="1"/>
  <c r="B33" i="6" l="1"/>
  <c r="I33" i="6" s="1"/>
  <c r="J32" i="6"/>
  <c r="G32" i="6"/>
  <c r="F32" i="6"/>
  <c r="H32" i="6"/>
  <c r="B34" i="6" l="1"/>
  <c r="I34" i="6" s="1"/>
  <c r="J33" i="6"/>
  <c r="G33" i="6"/>
  <c r="F33" i="6"/>
  <c r="H33" i="6"/>
  <c r="F34" i="6" l="1"/>
  <c r="H34" i="6"/>
  <c r="J34" i="6"/>
  <c r="G34" i="6"/>
  <c r="B35" i="6"/>
  <c r="I35" i="6" s="1"/>
  <c r="B36" i="6" l="1"/>
  <c r="I36" i="6" s="1"/>
  <c r="F35" i="6"/>
  <c r="G35" i="6"/>
  <c r="J35" i="6"/>
  <c r="H35" i="6"/>
  <c r="G36" i="6" l="1"/>
  <c r="F36" i="6"/>
  <c r="H36" i="6"/>
  <c r="J36" i="6"/>
  <c r="B37" i="6"/>
  <c r="I37" i="6" s="1"/>
  <c r="F37" i="6" l="1"/>
  <c r="J37" i="6"/>
  <c r="G37" i="6"/>
  <c r="H37" i="6"/>
  <c r="B38" i="6"/>
  <c r="I38" i="6" s="1"/>
  <c r="G38" i="6" l="1"/>
  <c r="H38" i="6"/>
  <c r="J38" i="6"/>
  <c r="F38" i="6"/>
  <c r="B39" i="6"/>
  <c r="I39" i="6" s="1"/>
  <c r="B40" i="6" l="1"/>
  <c r="I40" i="6" s="1"/>
  <c r="J39" i="6"/>
  <c r="H39" i="6"/>
  <c r="F39" i="6"/>
  <c r="G39" i="6"/>
  <c r="J40" i="6" l="1"/>
  <c r="G40" i="6"/>
  <c r="F40" i="6"/>
  <c r="H40" i="6"/>
  <c r="B41" i="6"/>
  <c r="I41" i="6" s="1"/>
  <c r="B42" i="6" l="1"/>
  <c r="I42" i="6" s="1"/>
  <c r="G41" i="6"/>
  <c r="J41" i="6"/>
  <c r="F41" i="6"/>
  <c r="H41" i="6"/>
  <c r="F42" i="6" l="1"/>
  <c r="G42" i="6"/>
  <c r="J42" i="6"/>
  <c r="H42" i="6"/>
  <c r="B43" i="6"/>
  <c r="I43" i="6" s="1"/>
  <c r="B44" i="6" l="1"/>
  <c r="I44" i="6" s="1"/>
  <c r="F43" i="6"/>
  <c r="G43" i="6"/>
  <c r="J43" i="6"/>
  <c r="H43" i="6"/>
  <c r="G44" i="6" l="1"/>
  <c r="H44" i="6"/>
  <c r="J44" i="6"/>
  <c r="F44" i="6"/>
  <c r="B45" i="6"/>
  <c r="I45" i="6" s="1"/>
  <c r="B46" i="6" l="1"/>
  <c r="I46" i="6" s="1"/>
  <c r="G45" i="6"/>
  <c r="H45" i="6"/>
  <c r="J45" i="6"/>
  <c r="F45" i="6"/>
  <c r="F46" i="6" l="1"/>
  <c r="G46" i="6"/>
  <c r="H46" i="6"/>
  <c r="J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H50" i="6" l="1"/>
  <c r="F50" i="6"/>
  <c r="G50" i="6"/>
  <c r="J50" i="6"/>
  <c r="B51" i="6"/>
  <c r="I51" i="6" s="1"/>
  <c r="B52" i="6" l="1"/>
  <c r="I52" i="6" s="1"/>
  <c r="F51" i="6"/>
  <c r="G51" i="6"/>
  <c r="J51" i="6"/>
  <c r="H51" i="6"/>
  <c r="B53" i="6" l="1"/>
  <c r="I53" i="6" s="1"/>
  <c r="J52" i="6"/>
  <c r="F52" i="6"/>
  <c r="G52" i="6"/>
  <c r="H52" i="6"/>
  <c r="F53" i="6" l="1"/>
  <c r="J53" i="6"/>
  <c r="G53" i="6"/>
  <c r="H53" i="6"/>
  <c r="B54" i="6"/>
  <c r="I54" i="6" s="1"/>
  <c r="H54" i="6" l="1"/>
  <c r="J54" i="6"/>
  <c r="G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G57" i="6" l="1"/>
  <c r="H57" i="6"/>
  <c r="J57" i="6"/>
  <c r="F57" i="6"/>
  <c r="B58" i="6"/>
  <c r="I58" i="6" s="1"/>
  <c r="G58" i="6" l="1"/>
  <c r="F58" i="6"/>
  <c r="H58" i="6"/>
  <c r="J58" i="6"/>
  <c r="B59" i="6"/>
  <c r="I59" i="6" s="1"/>
  <c r="B60" i="6" l="1"/>
  <c r="I60" i="6" s="1"/>
  <c r="J59" i="6"/>
  <c r="F59" i="6"/>
  <c r="H59" i="6"/>
  <c r="G59" i="6"/>
  <c r="B61" i="6" l="1"/>
  <c r="I61" i="6" s="1"/>
  <c r="J60" i="6"/>
  <c r="F60" i="6"/>
  <c r="G60" i="6"/>
  <c r="H60" i="6"/>
  <c r="H61" i="6" l="1"/>
  <c r="G61" i="6"/>
  <c r="F61" i="6"/>
  <c r="J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B66" i="6" l="1"/>
  <c r="I66" i="6" s="1"/>
  <c r="J65" i="6"/>
  <c r="F65" i="6"/>
  <c r="G65" i="6"/>
  <c r="H65" i="6"/>
  <c r="J66" i="6" l="1"/>
  <c r="F66" i="6"/>
  <c r="H66" i="6"/>
  <c r="G66" i="6"/>
  <c r="B67" i="6"/>
  <c r="I67" i="6" s="1"/>
  <c r="F67" i="6" l="1"/>
  <c r="J67" i="6"/>
  <c r="H67" i="6"/>
  <c r="G67" i="6"/>
  <c r="B68" i="6"/>
  <c r="I68" i="6" s="1"/>
  <c r="J68" i="6" l="1"/>
  <c r="G68" i="6"/>
  <c r="F68" i="6"/>
  <c r="H68" i="6"/>
  <c r="B69" i="6"/>
  <c r="I69" i="6" s="1"/>
  <c r="B70" i="6" l="1"/>
  <c r="I70" i="6" s="1"/>
  <c r="F69" i="6"/>
  <c r="G69" i="6"/>
  <c r="H69" i="6"/>
  <c r="J69" i="6"/>
  <c r="F70" i="6" l="1"/>
  <c r="G70" i="6"/>
  <c r="H70" i="6"/>
  <c r="J70" i="6"/>
  <c r="B71" i="6"/>
  <c r="I71" i="6" s="1"/>
  <c r="B72" i="6" l="1"/>
  <c r="I72" i="6" s="1"/>
  <c r="J71" i="6"/>
  <c r="F71" i="6"/>
  <c r="G71" i="6"/>
  <c r="H71" i="6"/>
  <c r="F72" i="6" l="1"/>
  <c r="H72" i="6"/>
  <c r="G72" i="6"/>
  <c r="J72" i="6"/>
  <c r="B73" i="6"/>
  <c r="I73" i="6" s="1"/>
  <c r="B74" i="6" l="1"/>
  <c r="I74" i="6" s="1"/>
  <c r="H73" i="6"/>
  <c r="G73" i="6"/>
  <c r="F73" i="6"/>
  <c r="J73" i="6"/>
  <c r="B75" i="6" l="1"/>
  <c r="I75" i="6" s="1"/>
  <c r="J74" i="6"/>
  <c r="H74" i="6"/>
  <c r="F74" i="6"/>
  <c r="G74" i="6"/>
  <c r="J75" i="6" l="1"/>
  <c r="H75" i="6"/>
  <c r="F75" i="6"/>
  <c r="G75" i="6"/>
  <c r="B76" i="6"/>
  <c r="I76" i="6" s="1"/>
  <c r="J76" i="6" l="1"/>
  <c r="F76" i="6"/>
  <c r="H76" i="6"/>
  <c r="G76" i="6"/>
  <c r="B77" i="6"/>
  <c r="I77" i="6" s="1"/>
  <c r="B78" i="6" l="1"/>
  <c r="I78" i="6" s="1"/>
  <c r="F77" i="6"/>
  <c r="J77" i="6"/>
  <c r="G77" i="6"/>
  <c r="H77" i="6"/>
  <c r="B79" i="6" l="1"/>
  <c r="I79" i="6" s="1"/>
  <c r="F78" i="6"/>
  <c r="G78" i="6"/>
  <c r="H78" i="6"/>
  <c r="J78" i="6"/>
  <c r="B80" i="6" l="1"/>
  <c r="I80" i="6" s="1"/>
  <c r="J79" i="6"/>
  <c r="H79" i="6"/>
  <c r="G79" i="6"/>
  <c r="F79" i="6"/>
  <c r="B81" i="6" l="1"/>
  <c r="I81" i="6" s="1"/>
  <c r="H80" i="6"/>
  <c r="J80" i="6"/>
  <c r="F80" i="6"/>
  <c r="G80" i="6"/>
  <c r="G81" i="6" l="1"/>
  <c r="H81" i="6"/>
  <c r="J81" i="6"/>
  <c r="F81" i="6"/>
  <c r="B82" i="6"/>
  <c r="I82" i="6" s="1"/>
  <c r="B83" i="6" l="1"/>
  <c r="I83" i="6" s="1"/>
  <c r="G82" i="6"/>
  <c r="J82" i="6"/>
  <c r="H82" i="6"/>
  <c r="F82" i="6"/>
  <c r="F83" i="6" l="1"/>
  <c r="H83" i="6"/>
  <c r="J83" i="6"/>
  <c r="G83" i="6"/>
  <c r="B84" i="6"/>
  <c r="I84" i="6" s="1"/>
  <c r="H84" i="6" l="1"/>
  <c r="F84" i="6"/>
  <c r="G84" i="6"/>
  <c r="J84" i="6"/>
  <c r="B85" i="6"/>
  <c r="I85" i="6" s="1"/>
  <c r="H85" i="6" l="1"/>
  <c r="G85" i="6"/>
  <c r="F85" i="6"/>
  <c r="J85" i="6"/>
  <c r="B86" i="6"/>
  <c r="I86" i="6" s="1"/>
  <c r="H86" i="6" l="1"/>
  <c r="J86" i="6"/>
  <c r="G86" i="6"/>
  <c r="F86" i="6"/>
  <c r="B87" i="6"/>
  <c r="I87" i="6" s="1"/>
  <c r="J87" i="6" l="1"/>
  <c r="G87" i="6"/>
  <c r="F87" i="6"/>
  <c r="H87" i="6"/>
  <c r="B88" i="6"/>
  <c r="I88" i="6" s="1"/>
  <c r="J88" i="6" l="1"/>
  <c r="F88" i="6"/>
  <c r="H88" i="6"/>
  <c r="G88" i="6"/>
  <c r="B89" i="6"/>
  <c r="I89" i="6" s="1"/>
  <c r="G89" i="6" l="1"/>
  <c r="H89" i="6"/>
  <c r="F89" i="6"/>
  <c r="J89" i="6"/>
  <c r="B90" i="6"/>
  <c r="I90" i="6" s="1"/>
  <c r="B91" i="6" l="1"/>
  <c r="I91" i="6" s="1"/>
  <c r="J90" i="6"/>
  <c r="G90" i="6"/>
  <c r="H90" i="6"/>
  <c r="F90" i="6"/>
  <c r="J91" i="6" l="1"/>
  <c r="F91" i="6"/>
  <c r="H91" i="6"/>
  <c r="G91" i="6"/>
  <c r="B92" i="6"/>
  <c r="I92" i="6" s="1"/>
  <c r="B93" i="6" l="1"/>
  <c r="I93" i="6" s="1"/>
  <c r="J92" i="6"/>
  <c r="G92" i="6"/>
  <c r="H92" i="6"/>
  <c r="F92" i="6"/>
  <c r="B94" i="6" l="1"/>
  <c r="I94" i="6" s="1"/>
  <c r="F93" i="6"/>
  <c r="H93" i="6"/>
  <c r="G93" i="6"/>
  <c r="J93" i="6"/>
  <c r="B95" i="6" l="1"/>
  <c r="I95" i="6" s="1"/>
  <c r="J94" i="6"/>
  <c r="F94" i="6"/>
  <c r="G94" i="6"/>
  <c r="H94" i="6"/>
  <c r="B96" i="6" l="1"/>
  <c r="I96" i="6" s="1"/>
  <c r="J95" i="6"/>
  <c r="H95" i="6"/>
  <c r="G95" i="6"/>
  <c r="F95" i="6"/>
  <c r="G96" i="6" l="1"/>
  <c r="H96" i="6"/>
  <c r="J96" i="6"/>
  <c r="F96" i="6"/>
  <c r="B97" i="6"/>
  <c r="I97" i="6" s="1"/>
  <c r="B98" i="6" l="1"/>
  <c r="I98" i="6" s="1"/>
  <c r="J97" i="6"/>
  <c r="F97" i="6"/>
  <c r="G97" i="6"/>
  <c r="H97" i="6"/>
  <c r="F98" i="6" l="1"/>
  <c r="G98" i="6"/>
  <c r="H98" i="6"/>
  <c r="J98" i="6"/>
  <c r="B99" i="6"/>
  <c r="I99" i="6" s="1"/>
  <c r="F99" i="6" l="1"/>
  <c r="H99" i="6"/>
  <c r="G99" i="6"/>
  <c r="J99" i="6"/>
  <c r="B100" i="6"/>
  <c r="I100" i="6" s="1"/>
  <c r="J100" i="6" l="1"/>
  <c r="H100" i="6"/>
  <c r="F100" i="6"/>
  <c r="G100" i="6"/>
  <c r="B101" i="6"/>
  <c r="I101" i="6" s="1"/>
  <c r="F101" i="6" l="1"/>
  <c r="H101" i="6"/>
  <c r="G101" i="6"/>
  <c r="J101" i="6"/>
  <c r="B102" i="6"/>
  <c r="I102" i="6" s="1"/>
  <c r="F102" i="6" l="1"/>
  <c r="H102" i="6"/>
  <c r="G102" i="6"/>
  <c r="J102" i="6"/>
  <c r="B103" i="6"/>
  <c r="I103" i="6" s="1"/>
  <c r="J103" i="6" l="1"/>
  <c r="F103" i="6"/>
  <c r="G103" i="6"/>
  <c r="H103" i="6"/>
  <c r="B104" i="6"/>
  <c r="I104" i="6" s="1"/>
  <c r="G104" i="6" l="1"/>
  <c r="H104" i="6"/>
  <c r="J104" i="6"/>
  <c r="F104" i="6"/>
  <c r="B105" i="6"/>
  <c r="I105" i="6" s="1"/>
  <c r="B106" i="6" l="1"/>
  <c r="I106" i="6" s="1"/>
  <c r="H105" i="6"/>
  <c r="G105" i="6"/>
  <c r="J105" i="6"/>
  <c r="F105" i="6"/>
  <c r="B107" i="6" l="1"/>
  <c r="I107" i="6" s="1"/>
  <c r="J106" i="6"/>
  <c r="G106" i="6"/>
  <c r="H106" i="6"/>
  <c r="F106" i="6"/>
  <c r="H107" i="6" l="1"/>
  <c r="F107" i="6"/>
  <c r="G107" i="6"/>
  <c r="J107" i="6"/>
  <c r="B108" i="6"/>
  <c r="I108" i="6" s="1"/>
  <c r="F108" i="6" l="1"/>
  <c r="H108" i="6"/>
  <c r="J108" i="6"/>
  <c r="G108" i="6"/>
  <c r="B109" i="6"/>
  <c r="I109" i="6" s="1"/>
  <c r="F109" i="6" l="1"/>
  <c r="G109" i="6"/>
  <c r="J109" i="6"/>
  <c r="H109" i="6"/>
  <c r="B110" i="6"/>
  <c r="I110" i="6" s="1"/>
  <c r="B111" i="6" l="1"/>
  <c r="I111" i="6" s="1"/>
  <c r="H110" i="6"/>
  <c r="J110" i="6"/>
  <c r="F110" i="6"/>
  <c r="G110" i="6"/>
  <c r="B112" i="6" l="1"/>
  <c r="I112" i="6" s="1"/>
  <c r="J111" i="6"/>
  <c r="H111" i="6"/>
  <c r="G111" i="6"/>
  <c r="F111" i="6"/>
  <c r="B114" i="6" l="1"/>
  <c r="I114" i="6" s="1"/>
  <c r="B113" i="6"/>
  <c r="I113" i="6" s="1"/>
  <c r="F112" i="6"/>
  <c r="G112" i="6"/>
  <c r="H112" i="6"/>
  <c r="J112" i="6"/>
  <c r="G113" i="6" l="1"/>
  <c r="H113" i="6"/>
  <c r="J113" i="6"/>
  <c r="F113" i="6"/>
  <c r="J114" i="6"/>
  <c r="F114" i="6"/>
  <c r="G114" i="6"/>
  <c r="H11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<sst xmlns="http://schemas.openxmlformats.org/spreadsheetml/2006/main" count="2599" uniqueCount="939">
  <si>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</si>
  <si>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</si>
  <si>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</si>
  <si>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</si>
  <si>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</si>
  <si>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</si>
  <si>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</si>
  <si>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</si>
  <si>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</si>
  <si>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</si>
  <si>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</si>
  <si>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</si>
  <si>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</si>
  <si>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</si>
  <si>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</si>
  <si>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</si>
  <si>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</si>
  <si>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</si>
  <si>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</si>
  <si>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</si>
  <si>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</si>
  <si>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</si>
  <si>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</si>
  <si>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</si>
  <si>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</si>
  <si>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</si>
  <si>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</si>
  <si>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</si>
  <si>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</si>
  <si>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</si>
  <si>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</si>
  <si>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</si>
  <si>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</si>
  <si>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</si>
  <si>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</si>
  <si>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</si>
  <si>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</si>
  <si>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</si>
  <si>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</si>
  <si>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</si>
  <si>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</si>
  <si>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</si>
  <si>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</si>
  <si>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</si>
  <si>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</si>
  <si>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</si>
  <si>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</si>
  <si>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</si>
  <si>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</si>
  <si>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</si>
  <si>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</si>
  <si>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</si>
  <si>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</si>
  <si>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</si>
  <si>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</si>
  <si>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</si>
  <si>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</si>
  <si>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</si>
  <si>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</si>
  <si>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</si>
  <si>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</si>
  <si>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</si>
  <si>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</si>
  <si>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</si>
  <si>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</si>
  <si>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</si>
  <si>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</si>
  <si>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</si>
  <si>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</si>
  <si>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</si>
  <si>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</si>
  <si>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</si>
  <si>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</si>
  <si>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</si>
  <si>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</si>
  <si>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</si>
  <si>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</si>
  <si>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</si>
  <si>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</si>
  <si>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</si>
  <si>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</si>
  <si>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</si>
  <si>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</si>
  <si>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</si>
  <si>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</si>
  <si>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</si>
  <si>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</si>
  <si>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</si>
  <si>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</si>
  <si>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</si>
  <si>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</si>
  <si>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</si>
  <si>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</si>
  <si>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</si>
  <si>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</si>
  <si>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</si>
  <si>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</si>
  <si>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</si>
  <si>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</si>
  <si>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</si>
  <si>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</si>
  <si>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</si>
  <si>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</si>
  <si>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</si>
  <si>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</si>
  <si>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</si>
  <si>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</si>
  <si>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</si>
  <si>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</si>
  <si>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</si>
  <si>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</si>
  <si>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</si>
  <si>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</si>
  <si>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</si>
  <si>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</si>
  <si>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</si>
  <si>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</si>
  <si>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</si>
  <si>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</si>
  <si>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</si>
  <si>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</si>
  <si>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</si>
  <si>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</si>
  <si>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</si>
  <si>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</si>
  <si>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</si>
  <si>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</si>
  <si>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</si>
  <si>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</si>
  <si>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</si>
  <si>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</si>
  <si>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</si>
  <si>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</si>
  <si>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</si>
  <si>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</si>
  <si>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</si>
  <si>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</si>
  <si>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</si>
  <si>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</si>
  <si>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</si>
  <si>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</si>
  <si>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</si>
  <si>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</si>
  <si>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</si>
  <si>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</si>
  <si>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</si>
  <si>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</si>
  <si>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</si>
  <si>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</si>
  <si>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</si>
  <si>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</si>
  <si>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</si>
  <si>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</si>
  <si>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</si>
  <si>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</si>
  <si>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</si>
  <si>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</si>
  <si>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</si>
  <si>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</si>
  <si>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</si>
  <si>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</si>
  <si>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</si>
  <si>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</si>
  <si>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</si>
  <si>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</si>
  <si>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</si>
  <si>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</si>
  <si>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</si>
  <si>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</si>
  <si>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</si>
  <si>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</si>
  <si>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</si>
  <si>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</si>
  <si>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</si>
  <si>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</si>
  <si>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</si>
  <si>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</si>
  <si>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</si>
  <si>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</si>
  <si>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</si>
  <si>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</si>
  <si>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</si>
  <si>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</si>
  <si>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</si>
  <si>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</si>
  <si>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</si>
  <si>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</si>
  <si>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</si>
  <si>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</si>
  <si>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</si>
  <si>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</si>
  <si>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</si>
  <si>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</si>
  <si>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</si>
  <si>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</si>
  <si>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</si>
  <si>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</si>
  <si>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</si>
  <si>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</si>
  <si>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</si>
  <si>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</si>
  <si>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</si>
  <si>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</si>
  <si>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</si>
  <si>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</si>
  <si>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</si>
  <si>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</si>
  <si>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</si>
  <si>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</si>
  <si>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</si>
  <si>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</si>
  <si>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</si>
  <si>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</si>
  <si>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</si>
  <si>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</si>
  <si>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</si>
  <si>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rtdc.l.rtdc.4027:itc</t>
  </si>
  <si>
    <t>MCREYNOLDS</t>
  </si>
  <si>
    <t>KYLE</t>
  </si>
  <si>
    <t>204:451</t>
  </si>
  <si>
    <t>204:457</t>
  </si>
  <si>
    <t>204:460</t>
  </si>
  <si>
    <t>BROWN</t>
  </si>
  <si>
    <t>JACOB</t>
  </si>
  <si>
    <t>rtdc.l.rtdc.4025:itc</t>
  </si>
  <si>
    <t>COMELLA</t>
  </si>
  <si>
    <t>JUSTIN</t>
  </si>
  <si>
    <t>rtdc.l.rtdc.4043:itc</t>
  </si>
  <si>
    <t>204:453</t>
  </si>
  <si>
    <t>CHANDLER</t>
  </si>
  <si>
    <t>KELVIN</t>
  </si>
  <si>
    <t>204:446</t>
  </si>
  <si>
    <t>204:455</t>
  </si>
  <si>
    <t>204:139</t>
  </si>
  <si>
    <t>204:233293</t>
  </si>
  <si>
    <t>204:464</t>
  </si>
  <si>
    <t>rtdc.l.rtdc.4044:itc</t>
  </si>
  <si>
    <t>204:141</t>
  </si>
  <si>
    <t>204:232996</t>
  </si>
  <si>
    <t>204:440</t>
  </si>
  <si>
    <t>rtdc.l.rtdc.4012:itc</t>
  </si>
  <si>
    <t>204:156</t>
  </si>
  <si>
    <t>204:233310</t>
  </si>
  <si>
    <t>204:444</t>
  </si>
  <si>
    <t>204:147</t>
  </si>
  <si>
    <t>204:233317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</si>
  <si>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</si>
  <si>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</si>
  <si>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</si>
  <si>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</si>
  <si>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</si>
  <si>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</si>
  <si>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</si>
  <si>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</si>
  <si>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</si>
  <si>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</si>
  <si>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</si>
  <si>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</si>
  <si>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204:233284</t>
  </si>
  <si>
    <t>204:233314</t>
  </si>
  <si>
    <t>204:233297</t>
  </si>
  <si>
    <t>204:233289</t>
  </si>
  <si>
    <t>204:165</t>
  </si>
  <si>
    <t>204:233304</t>
  </si>
  <si>
    <t>204:233299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</si>
  <si>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</si>
  <si>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</si>
  <si>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</si>
  <si>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rtdc.l.rtdc.4014:itc</t>
  </si>
  <si>
    <t>60-23</t>
  </si>
  <si>
    <t>81-23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</si>
  <si>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</si>
  <si>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</si>
  <si>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</si>
  <si>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</si>
  <si>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</si>
  <si>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</si>
  <si>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</si>
  <si>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</si>
  <si>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</si>
  <si>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204:467</t>
  </si>
  <si>
    <t>204:473</t>
  </si>
  <si>
    <t>rtdc.l.rtdc.4007:itc</t>
  </si>
  <si>
    <t>204:233000</t>
  </si>
  <si>
    <t>204:232998</t>
  </si>
  <si>
    <t>204:233315</t>
  </si>
  <si>
    <t>204:232975</t>
  </si>
  <si>
    <t>300:58933</t>
  </si>
  <si>
    <t>300:58623</t>
  </si>
  <si>
    <t>Early arrival</t>
  </si>
  <si>
    <t>LOCKLEAR</t>
  </si>
  <si>
    <t>TRAVIS</t>
  </si>
  <si>
    <t>204:134</t>
  </si>
  <si>
    <t>204:232979</t>
  </si>
  <si>
    <t>204:233004</t>
  </si>
  <si>
    <t>204:442</t>
  </si>
  <si>
    <t>204:161</t>
  </si>
  <si>
    <t>204:233323</t>
  </si>
  <si>
    <t>204:232990</t>
  </si>
  <si>
    <t>204:486</t>
  </si>
  <si>
    <t>204:233008</t>
  </si>
  <si>
    <t>204:167</t>
  </si>
  <si>
    <t>300:58636</t>
  </si>
  <si>
    <t>rtdc.l.rtdc.4016:itc</t>
  </si>
  <si>
    <t>rtdc.l.rtdc.4015:itc</t>
  </si>
  <si>
    <t>clear-night</t>
  </si>
  <si>
    <t>Clear</t>
  </si>
  <si>
    <t>204:233295</t>
  </si>
  <si>
    <t>204:232986</t>
  </si>
  <si>
    <t>204:233011</t>
  </si>
  <si>
    <t>204:232991</t>
  </si>
  <si>
    <t>204:449</t>
  </si>
  <si>
    <t>204:232971</t>
  </si>
  <si>
    <t>204:477</t>
  </si>
  <si>
    <t>204:752</t>
  </si>
  <si>
    <t>rtdc.l.rtdc.4002:itc</t>
  </si>
  <si>
    <t>rtdc.l.rtdc.4021:itc</t>
  </si>
  <si>
    <t>BADERTSCHER</t>
  </si>
  <si>
    <t>DIANE</t>
  </si>
  <si>
    <t>rtdc.l.rtdc.4020:itc</t>
  </si>
  <si>
    <t>rtdc.l.rtdc.4022:itc</t>
  </si>
  <si>
    <t>rtdc.l.rtdc.4032:itc</t>
  </si>
  <si>
    <t>HELVIE</t>
  </si>
  <si>
    <t>ADAM</t>
  </si>
  <si>
    <t>BRUDER</t>
  </si>
  <si>
    <t>RICHARD</t>
  </si>
  <si>
    <t>MOSES</t>
  </si>
  <si>
    <t>BRADLEY</t>
  </si>
  <si>
    <t>rtdc.l.rtdc.4065:itc</t>
  </si>
  <si>
    <t>rtdc.l.rtdc.4066:itc</t>
  </si>
  <si>
    <t>204:478</t>
  </si>
  <si>
    <t>204:232992</t>
  </si>
  <si>
    <t>204:232988</t>
  </si>
  <si>
    <t>204:232978</t>
  </si>
  <si>
    <t>204:169</t>
  </si>
  <si>
    <t>204:232984</t>
  </si>
  <si>
    <t>204:469</t>
  </si>
  <si>
    <t>204:233338</t>
  </si>
  <si>
    <t>204:233303</t>
  </si>
  <si>
    <t>204:233025</t>
  </si>
  <si>
    <t>204:233291</t>
  </si>
  <si>
    <t>204:232985</t>
  </si>
  <si>
    <t>204:232967</t>
  </si>
  <si>
    <t>204:233006</t>
  </si>
  <si>
    <t>204:233329</t>
  </si>
  <si>
    <t>300:23306</t>
  </si>
  <si>
    <t>300:58952</t>
  </si>
  <si>
    <t>300:58632</t>
  </si>
  <si>
    <t>204:978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</si>
  <si>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</si>
  <si>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</si>
  <si>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</si>
  <si>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</si>
  <si>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</si>
  <si>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</si>
  <si>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</si>
  <si>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</si>
  <si>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</si>
  <si>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</si>
  <si>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</si>
  <si>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</si>
  <si>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</si>
  <si>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</si>
  <si>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</si>
  <si>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</si>
  <si>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</si>
  <si>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</si>
  <si>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</si>
  <si>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</si>
  <si>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</si>
  <si>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</si>
  <si>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</si>
  <si>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</si>
  <si>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</si>
  <si>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</si>
  <si>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</si>
  <si>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</si>
  <si>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</si>
  <si>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</si>
  <si>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</si>
  <si>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</si>
  <si>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</si>
  <si>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</si>
  <si>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</si>
  <si>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</si>
  <si>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</si>
  <si>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</si>
  <si>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</si>
  <si>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</si>
  <si>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</si>
  <si>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</si>
  <si>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</si>
  <si>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</si>
  <si>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</si>
  <si>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</si>
  <si>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</si>
  <si>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</si>
  <si>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</si>
  <si>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</si>
  <si>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</si>
  <si>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</si>
  <si>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</si>
  <si>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</si>
  <si>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</si>
  <si>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</si>
  <si>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</si>
  <si>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</si>
  <si>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</si>
  <si>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</si>
  <si>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</si>
  <si>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</si>
  <si>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</si>
  <si>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</si>
  <si>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</si>
  <si>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</si>
  <si>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</si>
  <si>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</si>
  <si>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</si>
  <si>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</si>
  <si>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</si>
  <si>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</si>
  <si>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</si>
  <si>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</si>
  <si>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</si>
  <si>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</si>
  <si>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</si>
  <si>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</si>
  <si>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</si>
  <si>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</si>
  <si>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</si>
  <si>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</si>
  <si>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</si>
  <si>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</si>
  <si>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</si>
  <si>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</si>
  <si>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</si>
  <si>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</si>
  <si>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</si>
  <si>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</si>
  <si>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</si>
  <si>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</si>
  <si>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</si>
  <si>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</si>
  <si>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</si>
  <si>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</si>
  <si>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</si>
  <si>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</si>
  <si>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</si>
  <si>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</si>
  <si>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</si>
  <si>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</si>
  <si>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</si>
  <si>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</si>
  <si>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</si>
  <si>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</si>
  <si>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</si>
  <si>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</si>
  <si>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</si>
  <si>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</si>
  <si>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</si>
  <si>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</si>
  <si>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</si>
  <si>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</si>
  <si>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</si>
  <si>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</si>
  <si>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</si>
  <si>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</si>
  <si>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</si>
  <si>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</si>
  <si>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</si>
  <si>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</si>
  <si>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</si>
  <si>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</si>
  <si>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</si>
  <si>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</si>
  <si>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</si>
  <si>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</si>
  <si>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</si>
  <si>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</si>
  <si>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</si>
  <si>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rtdc.l.rtdc.4019:itc</t>
  </si>
  <si>
    <t>TEMPORARY SPEED RESTRICTION</t>
  </si>
  <si>
    <t>rtdc.l.rtdc.4004:itc</t>
  </si>
  <si>
    <t>rtdc.l.rtdc.4003:itc</t>
  </si>
  <si>
    <t>242-02</t>
  </si>
  <si>
    <t>rtdc.l.rtdc.4053:itc</t>
  </si>
  <si>
    <t>SHOOK</t>
  </si>
  <si>
    <t>JOHN</t>
  </si>
  <si>
    <t>DAVID</t>
  </si>
  <si>
    <t>SMITH</t>
  </si>
  <si>
    <t>PERKINS</t>
  </si>
  <si>
    <t>DARREN</t>
  </si>
  <si>
    <t>81-02</t>
  </si>
  <si>
    <t>MACDONALD</t>
  </si>
  <si>
    <t>THOMAS</t>
  </si>
  <si>
    <t>239-02</t>
  </si>
  <si>
    <t>88-02</t>
  </si>
  <si>
    <t>238-02</t>
  </si>
  <si>
    <t>241-02</t>
  </si>
  <si>
    <t>243-02</t>
  </si>
  <si>
    <t>240-02</t>
  </si>
  <si>
    <t>315-02</t>
  </si>
  <si>
    <t>309-02</t>
  </si>
  <si>
    <t>244-02</t>
  </si>
  <si>
    <t>311-02</t>
  </si>
  <si>
    <t>313-02</t>
  </si>
  <si>
    <t>204:232982</t>
  </si>
  <si>
    <t>204:431</t>
  </si>
  <si>
    <t>204:233002</t>
  </si>
  <si>
    <t>204:233288</t>
  </si>
  <si>
    <t>204:232961</t>
  </si>
  <si>
    <t>204:233282</t>
  </si>
  <si>
    <t>204:201</t>
  </si>
  <si>
    <t>204:435</t>
  </si>
  <si>
    <t>204:232983</t>
  </si>
  <si>
    <t>204:138</t>
  </si>
  <si>
    <t>204:143</t>
  </si>
  <si>
    <t>204:484</t>
  </si>
  <si>
    <t>204:495</t>
  </si>
  <si>
    <t>204:233270</t>
  </si>
  <si>
    <t>204:233357</t>
  </si>
  <si>
    <t>204:233321</t>
  </si>
  <si>
    <t>300:23589</t>
  </si>
  <si>
    <t>300:23308</t>
  </si>
  <si>
    <t>300:23325</t>
  </si>
  <si>
    <t>204:1218</t>
  </si>
  <si>
    <t>300:58621</t>
  </si>
  <si>
    <t>204:422</t>
  </si>
  <si>
    <t>300:58624</t>
  </si>
  <si>
    <t>300:58943</t>
  </si>
  <si>
    <t>204:1034</t>
  </si>
  <si>
    <t>300:58944</t>
  </si>
  <si>
    <t>300:58956</t>
  </si>
  <si>
    <t>Cancelled due to delays on trips 101 and 102</t>
  </si>
  <si>
    <t>rtdc.l.rtdc.4029:itc</t>
  </si>
  <si>
    <t>103-05</t>
  </si>
  <si>
    <t>308-05</t>
  </si>
  <si>
    <t>rtdc.l.rtdc.4017:itc</t>
  </si>
  <si>
    <t>102-05</t>
  </si>
  <si>
    <t>104-05</t>
  </si>
  <si>
    <t>1800-05</t>
  </si>
  <si>
    <t>116-05</t>
  </si>
  <si>
    <t>130-05</t>
  </si>
  <si>
    <t>1808-05</t>
  </si>
  <si>
    <t>142-05</t>
  </si>
  <si>
    <t>rtdc.l.rtdc.4031:itc</t>
  </si>
  <si>
    <t>1809-05</t>
  </si>
  <si>
    <t>148-05</t>
  </si>
  <si>
    <t>159-05</t>
  </si>
  <si>
    <t>1814-05</t>
  </si>
  <si>
    <t>171-05</t>
  </si>
  <si>
    <t>rtdc.l.rtdc.4028:itc</t>
  </si>
  <si>
    <t>168-05</t>
  </si>
  <si>
    <t>1816-05</t>
  </si>
  <si>
    <t>181-05</t>
  </si>
  <si>
    <t>1819-05</t>
  </si>
  <si>
    <t>1820-05</t>
  </si>
  <si>
    <t>rtdc.l.rtdc.4018:itc</t>
  </si>
  <si>
    <t>197-05</t>
  </si>
  <si>
    <t>196-05</t>
  </si>
  <si>
    <t>200-05</t>
  </si>
  <si>
    <t>54-05</t>
  </si>
  <si>
    <t>206-05</t>
  </si>
  <si>
    <t>226-05</t>
  </si>
  <si>
    <t>243-05</t>
  </si>
  <si>
    <t>82-04</t>
  </si>
  <si>
    <t>DUNCAN</t>
  </si>
  <si>
    <t>SHEILA</t>
  </si>
  <si>
    <t>245-04</t>
  </si>
  <si>
    <t>309-04</t>
  </si>
  <si>
    <t>244-04</t>
  </si>
  <si>
    <t>MAGEE</t>
  </si>
  <si>
    <t>KENYA</t>
  </si>
  <si>
    <t>311-04</t>
  </si>
  <si>
    <t>STAMBAUGH</t>
  </si>
  <si>
    <t>246-04</t>
  </si>
  <si>
    <t>80-04</t>
  </si>
  <si>
    <t>SIMMONS</t>
  </si>
  <si>
    <t>SHYHESHA</t>
  </si>
  <si>
    <t>313-04</t>
  </si>
  <si>
    <t>302-05</t>
  </si>
  <si>
    <t>SANTIZO</t>
  </si>
  <si>
    <t>D. EDY</t>
  </si>
  <si>
    <t>315-04</t>
  </si>
  <si>
    <t>101-05</t>
  </si>
  <si>
    <t>304-05</t>
  </si>
  <si>
    <t>MAELZER</t>
  </si>
  <si>
    <t>KURT</t>
  </si>
  <si>
    <t>306-05</t>
  </si>
  <si>
    <t>105-05</t>
  </si>
  <si>
    <t>DAVIS</t>
  </si>
  <si>
    <t>WENDY</t>
  </si>
  <si>
    <t>rtdc.l.rtdc.4010:itc</t>
  </si>
  <si>
    <t>310-05</t>
  </si>
  <si>
    <t>ROBINSON</t>
  </si>
  <si>
    <t>KADDIBA</t>
  </si>
  <si>
    <t>107-05</t>
  </si>
  <si>
    <t>rtdc.l.rtdc.4009:itc</t>
  </si>
  <si>
    <t>109-05</t>
  </si>
  <si>
    <t>111-05</t>
  </si>
  <si>
    <t>GEBRETEKLE</t>
  </si>
  <si>
    <t>DAGNEW</t>
  </si>
  <si>
    <t>113-05</t>
  </si>
  <si>
    <t>106-05</t>
  </si>
  <si>
    <t>1901-05</t>
  </si>
  <si>
    <t>HOLCOMB</t>
  </si>
  <si>
    <t>KAMDEN</t>
  </si>
  <si>
    <t>108-05</t>
  </si>
  <si>
    <t>115-05</t>
  </si>
  <si>
    <t>110-05</t>
  </si>
  <si>
    <t>117-05</t>
  </si>
  <si>
    <t>112-05</t>
  </si>
  <si>
    <t>114-05</t>
  </si>
  <si>
    <t>119-05</t>
  </si>
  <si>
    <t>1801-05</t>
  </si>
  <si>
    <t>121-05</t>
  </si>
  <si>
    <t>123-05</t>
  </si>
  <si>
    <t>118-05</t>
  </si>
  <si>
    <t>1802-05</t>
  </si>
  <si>
    <t>125-05</t>
  </si>
  <si>
    <t>120-05</t>
  </si>
  <si>
    <t>127-05</t>
  </si>
  <si>
    <t>122-05</t>
  </si>
  <si>
    <t>129-05</t>
  </si>
  <si>
    <t>1803-05</t>
  </si>
  <si>
    <t>124-05</t>
  </si>
  <si>
    <t>131-05</t>
  </si>
  <si>
    <t>126-05</t>
  </si>
  <si>
    <t>1804-05</t>
  </si>
  <si>
    <t>128-05</t>
  </si>
  <si>
    <t>133-05</t>
  </si>
  <si>
    <t>135-05</t>
  </si>
  <si>
    <t>DELGADO</t>
  </si>
  <si>
    <t>DIANAH</t>
  </si>
  <si>
    <t>1805-05</t>
  </si>
  <si>
    <t>137-05</t>
  </si>
  <si>
    <t>132-05</t>
  </si>
  <si>
    <t>139-05</t>
  </si>
  <si>
    <t>134-05</t>
  </si>
  <si>
    <t>1806-05</t>
  </si>
  <si>
    <t>141-05</t>
  </si>
  <si>
    <t>136-05</t>
  </si>
  <si>
    <t>143-05</t>
  </si>
  <si>
    <t>138-05</t>
  </si>
  <si>
    <t>145-05</t>
  </si>
  <si>
    <t>1807-05</t>
  </si>
  <si>
    <t>140-05</t>
  </si>
  <si>
    <t>147-05</t>
  </si>
  <si>
    <t>149-05</t>
  </si>
  <si>
    <t>144-05</t>
  </si>
  <si>
    <t>151-05</t>
  </si>
  <si>
    <t>146-05</t>
  </si>
  <si>
    <t>153-05</t>
  </si>
  <si>
    <t>rtdc.l.rtdc.4001:itc</t>
  </si>
  <si>
    <t>50-05</t>
  </si>
  <si>
    <t>LALONDE</t>
  </si>
  <si>
    <t>GREGORY</t>
  </si>
  <si>
    <t>155-05</t>
  </si>
  <si>
    <t>ROMERO</t>
  </si>
  <si>
    <t>CHAD</t>
  </si>
  <si>
    <t>1810-05</t>
  </si>
  <si>
    <t>150-05</t>
  </si>
  <si>
    <t>157-05</t>
  </si>
  <si>
    <t>152-05</t>
  </si>
  <si>
    <t>STEWART</t>
  </si>
  <si>
    <t>51-05</t>
  </si>
  <si>
    <t>154-05</t>
  </si>
  <si>
    <t>156-05</t>
  </si>
  <si>
    <t>161-05</t>
  </si>
  <si>
    <t>1811-05</t>
  </si>
  <si>
    <t>158-05</t>
  </si>
  <si>
    <t>163-05</t>
  </si>
  <si>
    <t>LEVIN</t>
  </si>
  <si>
    <t>SCOTT</t>
  </si>
  <si>
    <t>1812-05</t>
  </si>
  <si>
    <t>165-05</t>
  </si>
  <si>
    <t>160-05</t>
  </si>
  <si>
    <t>52-05</t>
  </si>
  <si>
    <t>DAVIDSON</t>
  </si>
  <si>
    <t>167-05</t>
  </si>
  <si>
    <t>162-05</t>
  </si>
  <si>
    <t>169-05</t>
  </si>
  <si>
    <t>1813-05</t>
  </si>
  <si>
    <t>164-05</t>
  </si>
  <si>
    <t>53-05</t>
  </si>
  <si>
    <t>166-05</t>
  </si>
  <si>
    <t>173-05</t>
  </si>
  <si>
    <t>170-05</t>
  </si>
  <si>
    <t>175-05</t>
  </si>
  <si>
    <t>177-05</t>
  </si>
  <si>
    <t>172-05</t>
  </si>
  <si>
    <t>1815-05</t>
  </si>
  <si>
    <t>179-05</t>
  </si>
  <si>
    <t>174-05</t>
  </si>
  <si>
    <t>183-05</t>
  </si>
  <si>
    <t>176-05</t>
  </si>
  <si>
    <t>178-05</t>
  </si>
  <si>
    <t>1817-05</t>
  </si>
  <si>
    <t>185-05</t>
  </si>
  <si>
    <t>180-05</t>
  </si>
  <si>
    <t>187-05</t>
  </si>
  <si>
    <t>182-05</t>
  </si>
  <si>
    <t>1818-05</t>
  </si>
  <si>
    <t>184-05</t>
  </si>
  <si>
    <t>191-05</t>
  </si>
  <si>
    <t>189-05</t>
  </si>
  <si>
    <t>186-05</t>
  </si>
  <si>
    <t>193-05</t>
  </si>
  <si>
    <t>NELSON</t>
  </si>
  <si>
    <t>ARIANE</t>
  </si>
  <si>
    <t>188-05</t>
  </si>
  <si>
    <t>195-05</t>
  </si>
  <si>
    <t>192-05</t>
  </si>
  <si>
    <t>190-05</t>
  </si>
  <si>
    <t>199-05</t>
  </si>
  <si>
    <t>194-05</t>
  </si>
  <si>
    <t>201-05</t>
  </si>
  <si>
    <t>1821-05</t>
  </si>
  <si>
    <t>203-05</t>
  </si>
  <si>
    <t>198-05</t>
  </si>
  <si>
    <t>205-05</t>
  </si>
  <si>
    <t>1822-05</t>
  </si>
  <si>
    <t>207-05</t>
  </si>
  <si>
    <t>65-05</t>
  </si>
  <si>
    <t>202-05</t>
  </si>
  <si>
    <t>209-05</t>
  </si>
  <si>
    <t>1823-05</t>
  </si>
  <si>
    <t>211-05</t>
  </si>
  <si>
    <t>204-05</t>
  </si>
  <si>
    <t>1824-05</t>
  </si>
  <si>
    <t>213-05</t>
  </si>
  <si>
    <t>SAFIEF</t>
  </si>
  <si>
    <t>AEIMEN</t>
  </si>
  <si>
    <t>208-05</t>
  </si>
  <si>
    <t>215-05</t>
  </si>
  <si>
    <t>56-05</t>
  </si>
  <si>
    <t>210-05</t>
  </si>
  <si>
    <t>217-05</t>
  </si>
  <si>
    <t>1825-05</t>
  </si>
  <si>
    <t>212-05</t>
  </si>
  <si>
    <t>55-05</t>
  </si>
  <si>
    <t>219-05</t>
  </si>
  <si>
    <t>214-05</t>
  </si>
  <si>
    <t>303-05</t>
  </si>
  <si>
    <t>1826-05</t>
  </si>
  <si>
    <t>216-05</t>
  </si>
  <si>
    <t>221-05</t>
  </si>
  <si>
    <t>218-05</t>
  </si>
  <si>
    <t>305-05</t>
  </si>
  <si>
    <t>220-05</t>
  </si>
  <si>
    <t>1827-05</t>
  </si>
  <si>
    <t>223-05</t>
  </si>
  <si>
    <t>1828-05</t>
  </si>
  <si>
    <t>307-05</t>
  </si>
  <si>
    <t>222-05</t>
  </si>
  <si>
    <t>225-05</t>
  </si>
  <si>
    <t>227-05</t>
  </si>
  <si>
    <t>224-05</t>
  </si>
  <si>
    <t>1829-05</t>
  </si>
  <si>
    <t>87-05</t>
  </si>
  <si>
    <t>1830-05</t>
  </si>
  <si>
    <t>229-05</t>
  </si>
  <si>
    <t>231-05</t>
  </si>
  <si>
    <t>228-05</t>
  </si>
  <si>
    <t>1831-05</t>
  </si>
  <si>
    <t>1832-05</t>
  </si>
  <si>
    <t>233-05</t>
  </si>
  <si>
    <t>230-05</t>
  </si>
  <si>
    <t>86-05</t>
  </si>
  <si>
    <t>235-05</t>
  </si>
  <si>
    <t>1833-05</t>
  </si>
  <si>
    <t>232-05</t>
  </si>
  <si>
    <t>1902-05</t>
  </si>
  <si>
    <t>234-05</t>
  </si>
  <si>
    <t>237-05</t>
  </si>
  <si>
    <t>239-05</t>
  </si>
  <si>
    <t>236-05</t>
  </si>
  <si>
    <t>241-05</t>
  </si>
  <si>
    <t>238-05</t>
  </si>
  <si>
    <t>240-05</t>
  </si>
  <si>
    <t>242-05</t>
  </si>
  <si>
    <t>315-05</t>
  </si>
  <si>
    <t>309-05</t>
  </si>
  <si>
    <t>244-05</t>
  </si>
  <si>
    <t>311-05</t>
  </si>
  <si>
    <t>313-05</t>
  </si>
  <si>
    <t>partly-cloudy-night</t>
  </si>
  <si>
    <t>Partly Cloudy</t>
  </si>
  <si>
    <t>Mostly Cloudy</t>
  </si>
  <si>
    <t>partly-cloudy-day</t>
  </si>
  <si>
    <t>204:64785</t>
  </si>
  <si>
    <t>204:233340</t>
  </si>
  <si>
    <t>204:232698</t>
  </si>
  <si>
    <t>204:741</t>
  </si>
  <si>
    <t>204:232707</t>
  </si>
  <si>
    <t>204:196</t>
  </si>
  <si>
    <t>204:730</t>
  </si>
  <si>
    <t>204:232679</t>
  </si>
  <si>
    <t>204:515</t>
  </si>
  <si>
    <t>204:233280</t>
  </si>
  <si>
    <t>204:174</t>
  </si>
  <si>
    <t>204:777</t>
  </si>
  <si>
    <t>204:823</t>
  </si>
  <si>
    <t>204:233339</t>
  </si>
  <si>
    <t>204:734</t>
  </si>
  <si>
    <t>204:233316</t>
  </si>
  <si>
    <t>204:233311</t>
  </si>
  <si>
    <t>204:160</t>
  </si>
  <si>
    <t>204:233324</t>
  </si>
  <si>
    <t>204:132</t>
  </si>
  <si>
    <t>204:232993</t>
  </si>
  <si>
    <t>204:233013</t>
  </si>
  <si>
    <t>204:426</t>
  </si>
  <si>
    <t>204:489</t>
  </si>
  <si>
    <t>204:438</t>
  </si>
  <si>
    <t>204:233300</t>
  </si>
  <si>
    <t>204:233380</t>
  </si>
  <si>
    <t>204:233049</t>
  </si>
  <si>
    <t>204:437</t>
  </si>
  <si>
    <t>204:233015</t>
  </si>
  <si>
    <t>204:87</t>
  </si>
  <si>
    <t>204:232980</t>
  </si>
  <si>
    <t>204:232972</t>
  </si>
  <si>
    <t>204:233309</t>
  </si>
  <si>
    <t>204:178</t>
  </si>
  <si>
    <t>204:232989</t>
  </si>
  <si>
    <t>300:58613</t>
  </si>
  <si>
    <t>204:869</t>
  </si>
  <si>
    <t>204:1123</t>
  </si>
  <si>
    <t>300:58948</t>
  </si>
  <si>
    <t>300:58628</t>
  </si>
  <si>
    <t>204:726</t>
  </si>
  <si>
    <t>204:1009</t>
  </si>
  <si>
    <t>300:58619</t>
  </si>
  <si>
    <t>204:1039</t>
  </si>
  <si>
    <t>204:722</t>
  </si>
  <si>
    <t>204:1013</t>
  </si>
  <si>
    <t>204:768</t>
  </si>
  <si>
    <t>204:1023</t>
  </si>
  <si>
    <t>300:58609</t>
  </si>
  <si>
    <t>204:733</t>
  </si>
  <si>
    <t>204:1018</t>
  </si>
  <si>
    <t>300:58954</t>
  </si>
  <si>
    <t>204:706</t>
  </si>
  <si>
    <t>204:1002</t>
  </si>
  <si>
    <t>204:698</t>
  </si>
  <si>
    <t>204:997</t>
  </si>
  <si>
    <t>300:58937</t>
  </si>
  <si>
    <t>204:1007</t>
  </si>
  <si>
    <t>300:58406</t>
  </si>
  <si>
    <t>204:232957</t>
  </si>
  <si>
    <t>300:58653</t>
  </si>
  <si>
    <t>204:852</t>
  </si>
  <si>
    <t>300:58939</t>
  </si>
  <si>
    <t>300:58630</t>
  </si>
  <si>
    <t>204:955</t>
  </si>
  <si>
    <t>300:58946</t>
  </si>
  <si>
    <t>204:743</t>
  </si>
  <si>
    <t>204:729</t>
  </si>
  <si>
    <t>204:404</t>
  </si>
  <si>
    <t>204:233378</t>
  </si>
  <si>
    <t>204:717</t>
  </si>
  <si>
    <t>300:58941</t>
  </si>
  <si>
    <t>204:1060</t>
  </si>
  <si>
    <t>204:123</t>
  </si>
  <si>
    <t>204:19881</t>
  </si>
  <si>
    <t>204:232969</t>
  </si>
  <si>
    <t>300:30517</t>
  </si>
  <si>
    <t>300:21771</t>
  </si>
  <si>
    <t>204:233017</t>
  </si>
  <si>
    <t>204:233320</t>
  </si>
  <si>
    <t>204:233028</t>
  </si>
  <si>
    <t>204:233283</t>
  </si>
  <si>
    <t>204:233376</t>
  </si>
  <si>
    <t>204:233084</t>
  </si>
  <si>
    <t>204:232976</t>
  </si>
  <si>
    <t>204:233319</t>
  </si>
  <si>
    <t>204:233395</t>
  </si>
  <si>
    <t>204:233098</t>
  </si>
  <si>
    <t>204:233383</t>
  </si>
  <si>
    <t>204:233104</t>
  </si>
  <si>
    <t>204:233281</t>
  </si>
  <si>
    <t>204:232970</t>
  </si>
  <si>
    <t>204:233274</t>
  </si>
  <si>
    <t>204:86375</t>
  </si>
  <si>
    <t>204:67973</t>
  </si>
  <si>
    <t>204:233387</t>
  </si>
  <si>
    <t>204:233096</t>
  </si>
  <si>
    <t>204:238</t>
  </si>
  <si>
    <t>300:19679</t>
  </si>
  <si>
    <t>300:23293</t>
  </si>
  <si>
    <t>300:19897</t>
  </si>
  <si>
    <t>300:22985</t>
  </si>
  <si>
    <t>300:22758</t>
  </si>
  <si>
    <t>204:471</t>
  </si>
  <si>
    <t>300:23314</t>
  </si>
  <si>
    <t>300:23230</t>
  </si>
  <si>
    <t>204:539</t>
  </si>
  <si>
    <t>300:22846</t>
  </si>
  <si>
    <t>300:22075</t>
  </si>
  <si>
    <t>204:148</t>
  </si>
  <si>
    <t>300:24191</t>
  </si>
  <si>
    <t>300:21863</t>
  </si>
  <si>
    <t>204:142</t>
  </si>
  <si>
    <t>204:450</t>
  </si>
  <si>
    <t>300:24218</t>
  </si>
  <si>
    <t>300:23535</t>
  </si>
  <si>
    <t>204:99</t>
  </si>
  <si>
    <t>204:379</t>
  </si>
  <si>
    <t>300:23312</t>
  </si>
  <si>
    <t>300:21786</t>
  </si>
  <si>
    <t>204:2283</t>
  </si>
  <si>
    <t>204:1486</t>
  </si>
  <si>
    <t>300:23289</t>
  </si>
  <si>
    <t>300:23301</t>
  </si>
  <si>
    <t>204:269</t>
  </si>
  <si>
    <t>204:233038</t>
  </si>
  <si>
    <t>204:233347</t>
  </si>
  <si>
    <t>204:233328</t>
  </si>
  <si>
    <t>start /low /b %USERPROFILE%\Documents\GitHub\eaglep3\Utilities\DownloadLogsFromS3.py --loco 4027 --day 2017-03-05</t>
  </si>
  <si>
    <t>start /low /b %USERPROFILE%\Documents\GitHub\eaglep3\Utilities\DownloadLogsFromS3.py --loco 4013 --day 1969-12-31</t>
  </si>
  <si>
    <t>start /low /b %USERPROFILE%\Documents\GitHub\eaglep3\Utilities\DownloadLogsFromS3.py --loco 4029 --day 2017-03-05</t>
  </si>
  <si>
    <t>start /low /b %USERPROFILE%\Documents\GitHub\eaglep3\Utilities\DownloadLogsFromS3.py --loco 4016 --day 2017-03-06</t>
  </si>
  <si>
    <t>start /low /b %USERPROFILE%\Documents\GitHub\eaglep3\Utilities\DownloadLogsFromS3.py --loco 4025 --day 2017-03-05</t>
  </si>
  <si>
    <t>start /low /b %USERPROFILE%\Documents\GitHub\eaglep3\Utilities\DownloadLogsFromS3.py --loco 4030 --day 2017-03-05</t>
  </si>
  <si>
    <t>start /low /b %USERPROFILE%\Documents\GitHub\eaglep3\Utilities\DownloadLogsFromS3.py --loco 4017 --day 2017-03-05</t>
  </si>
  <si>
    <t>start /low /b %USERPROFILE%\Documents\GitHub\eaglep3\Utilities\DownloadLogsFromS3.py --loco 4028 --day 2017-03-05</t>
  </si>
  <si>
    <t>start /low /b %USERPROFILE%\Documents\GitHub\eaglep3\Utilities\DownloadLogsFromS3.py --loco 4015 --day 2017-03-06</t>
  </si>
  <si>
    <t>start /low /b %USERPROFILE%\Documents\GitHub\eaglep3\Utilities\DownloadLogsFromS3.py --loco 4018 --day 2017-03-05</t>
  </si>
  <si>
    <t>start /low /b %USERPROFILE%\Documents\GitHub\eaglep3\Utilities\DownloadLogsFromS3.py --loco 4026 --day 2017-03-05</t>
  </si>
  <si>
    <t>start /low /b %USERPROFILE%\Documents\GitHub\eaglep3\Utilities\DownloadLogsFromS3.py --loco 4043 --day 2017-03-05</t>
  </si>
  <si>
    <t>start /low /b %USERPROFILE%\Documents\GitHub\eaglep3\Utilities\DownloadLogsFromS3.py --loco 4030 --day 2017-03-06</t>
  </si>
  <si>
    <t>start /low /b %USERPROFILE%\Documents\GitHub\eaglep3\Utilities\DownloadLogsFromS3.py --loco 4043 --day 2017-03-06</t>
  </si>
  <si>
    <t>start /low /b %USERPROFILE%\Documents\GitHub\eaglep3\Utilities\DownloadLogsFromS3.py --loco 4032 --day 2017-03-05</t>
  </si>
  <si>
    <t>start /low /b %USERPROFILE%\Documents\GitHub\eaglep3\Utilities\DownloadLogsFromS3.py --loco 4031 --day 2017-03-05</t>
  </si>
  <si>
    <t>Onboard in-route failure</t>
  </si>
  <si>
    <t>Turned back to get around Sable XING issues</t>
  </si>
  <si>
    <t>Onboard in-route failure (hard cutout)</t>
  </si>
  <si>
    <t>:.+((SYSTEM_STATE.+slice.+state.+changed )|(ment ac)|(multiple cpu faults)|(system.+state.+changed )|(\[timeout)|(PRM\|1\|D)|(kpr)|(kdp)|(\|loc)|(crossing.((167)|(168)|(199)|(200))))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</si>
</sst>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COUNTIFS($N$13:$N$9325,"&gt;0",$AG$13:$AG$9325,I1)</f>
        <v>140</v>
      </c>
      <c r="K5" s="40"/>
      <c r="L5" s="40"/>
      <c r="M5" s="41">
        <f>AVERAGEIFS($N$13:$N$9325,$AG$13:$AG$9325,I1)</f>
        <v>38.967380953037981</v>
      </c>
      <c r="N5" s="39">
        <f t="array" ref="N5">MIN(IF($AG$13:$AG$9325=I1,IF(ISNUMBER($N$13:$N$9325),IF($N$13:$N$9325&gt;0,$N$13:$N$9325))))</f>
        <v>34.966666668187827</v>
      </c>
      <c r="O5" s="3">
        <f t="array" ref="O5">MAX(IF($AG$13:$AG$9325=I1,IF(ISNUMBER($N$13:$N$9325),IF($N$13:$N$9325&gt;0,$N$13:$N$9325))))</f>
        <v>59.149999996880069</v>
      </c>
      <c r="P5" s="2"/>
      <c r="R5" s="74" t="s">
        <v>17</v>
      </c>
      <c r="S5" s="50">
        <f>COUNTIFS($N$13:$N$9325,"&gt;0",$AG$13:$AG$9325,R1)</f>
        <v>33</v>
      </c>
      <c r="T5" s="40"/>
      <c r="U5" s="177"/>
      <c r="V5" s="174">
        <f>AVERAGEIFS($N$13:$N$9325,$AG$13:$AG$9325,R1)</f>
        <v>15.040404040641574</v>
      </c>
      <c r="W5" s="175">
        <f t="array" ref="W5">MIN(IF($AG$13:$AG$9325=R1,IF(ISNUMBER($N$13:$N$9325),IF($N$13:$N$9325&gt;0,$N$13:$N$9325))))</f>
        <v>13.050000001676381</v>
      </c>
      <c r="X5" s="176">
        <f t="array" ref="X5">MAX(IF($AG$13:$AG$9325=R1,IF(ISNUMBER($N$13:$N$9325),IF($N$13:$N$9325&gt;0,$N$13:$N$9325))))</f>
        <v>25.25000000372529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77"/>
      <c r="V6" s="174">
        <f>IFERROR(AVERAGE($O$13:$O$103),0)</f>
        <v>0</v>
      </c>
      <c r="W6" s="175">
        <f>MIN($O$13:$O$103)</f>
        <v>0</v>
      </c>
      <c r="X6" s="176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COUNTIFS($P$13:$P$9325,"&gt;0",$AG$13:$AG$9325,I1)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COUNTIFS($P$13:$P$9325,"&gt;0",$AG$13:$AG$9325,R1)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38.967380953037981</v>
      </c>
      <c r="N8" s="39">
        <f>N5</f>
        <v>34.966666668187827</v>
      </c>
      <c r="O8" s="3">
        <f>O5</f>
        <v>59.149999996880069</v>
      </c>
      <c r="P8" s="2"/>
      <c r="R8" s="74" t="s">
        <v>16</v>
      </c>
      <c r="S8" s="50">
        <f>S5</f>
        <v>33</v>
      </c>
      <c r="T8" s="40"/>
      <c r="U8" s="177"/>
      <c r="V8" s="174">
        <f>V5</f>
        <v>15.040404040641574</v>
      </c>
      <c r="W8" s="175">
        <f>W5</f>
        <v>13.050000001676381</v>
      </c>
      <c r="X8" s="176">
        <f>X5</f>
        <v>25.25000000372529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0.97222222222222221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0.97058823529411764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- 2017-03-05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AVERAGE(S13:S73)</f>
        <v>0.98750000000000004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206</v>
      </c>
      <c r="AN12" s="47" t="s">
        <v>215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584</v>
      </c>
      <c r="B13" s="7">
        <v>4027</v>
      </c>
      <c r="C13" s="21" t="s">
        <v>252</v>
      </c>
      <c r="D13" s="21" t="s">
        <v>790</v>
      </c>
      <c r="E13" s="13">
        <v>42799.132974537039</v>
      </c>
      <c r="F13" s="13">
        <v>42799.146087962959</v>
      </c>
      <c r="G13" s="7">
        <v>18</v>
      </c>
      <c r="H13" s="21" t="s">
        <v>791</v>
      </c>
      <c r="I13" s="13">
        <v>42799.162256944444</v>
      </c>
      <c r="J13" s="7">
        <v>0</v>
      </c>
      <c r="K13" s="98" t="str">
        <f t="shared" ref="K13:K76" si="0">IF(ISEVEN(B13),(B13-1)&amp;"/"&amp;B13,B13&amp;"/"&amp;(B13+1))</f>
        <v>4027/4028</v>
      </c>
      <c r="L13" s="21" t="str">
        <f>VLOOKUP(A13,'Trips&amp;Operators'!$C$1:$G$99999,5,FALSE)</f>
        <v>SANTIZO D. EDY</v>
      </c>
      <c r="M13" s="6">
        <f t="shared" ref="M13:M76" si="1">I13-F13</f>
        <v>1.6168981484952383E-2</v>
      </c>
      <c r="N13" s="7"/>
      <c r="O13" s="7"/>
      <c r="P13" s="7">
        <f>24*60*SUM($M13:$M13)</f>
        <v>23.283333338331431</v>
      </c>
      <c r="Q13" s="22"/>
      <c r="R13" s="22" t="s">
        <v>935</v>
      </c>
      <c r="S13" s="31">
        <f>SUM(U13:U13)/IF(AG13="EC",12,1)</f>
        <v>0.25</v>
      </c>
      <c r="T13" s="46" t="str">
        <f t="shared" ref="T13:T76" si="2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18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-05T02:11:29-0700',mode:absolute,to:'2017-03-05T04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" s="187" t="str">
        <f t="shared" ref="W13:W76" si="4">IF(AA13&lt;IF(AG13="EC",23,5.65),"Y","N")</f>
        <v>Y</v>
      </c>
      <c r="X13" s="187" t="e">
        <f t="shared" ref="X13:X44" si="5">VALUE(LEFT(AD13,4))-VALUE(LEFT(AD12,4))</f>
        <v>#VALUE!</v>
      </c>
      <c r="Y13" s="62">
        <f t="shared" ref="Y13:Y76" si="6">RIGHT(D13,LEN(D13)-4)/10000</f>
        <v>6.4785000000000004</v>
      </c>
      <c r="Z13" s="62">
        <f t="shared" ref="Z13:Z76" si="7">RIGHT(H13,LEN(H13)-4)/10000</f>
        <v>23.334</v>
      </c>
      <c r="AA13" s="62">
        <f t="shared" ref="AA13:AA76" si="8">ABS(Z13-Y13)</f>
        <v>16.855499999999999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0101-05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3" s="82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/stypes="app*4027*20170305*" /stext=" 10:.+((SYSTEM_STATE.+slice.+state.+changed )|(ment ac)|(multiple cpu faults)|(system.+state.+changed )|(\[timeout)|(PRM\|1\|D)|(kpr)|(kdp)|(\|loc)|(crossing.((167)|(168)|(199)|(200))))" /e /r /s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4027 --swversion DE.1.0.9.0 --startMP 204:64785 --initTime 2017-03-05T03:11:29 --startdatetime 2017-03-05T03:30:22 --delay 18 --endMP 204:233340 --enddatetime 2017-03-05T03:53:39 --enforcementcount 0 &gt;&gt;C:\Users\stu\Documents\GitHub\eaglep3-reporting\EC\2017-03-05-refined-times.txt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failure","project_id":79,"tracker_id":40,"status_id":1,"priority_id":2,"assigned_to_id":23,"start_date":"2017-03-05","description":"","custom_fields":[{"id":1,"name":"Subdivision","value":"EC"},{"id":4,"name":"Milepost","value":"23.334"},{"id":17,"name":"Train ID","value":"101-05"},{"id":16,"name":"Locomotive ID","value":"4027"},{"id":130,"name":"Impact","value":""},{"id":150,"name":"Time of Event (Mountain Time)","value":"03:53:39"},{"id":151,"name":"Denver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4027 --day 2017-03-05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584</v>
      </c>
      <c r="B14" s="7">
        <v>4027</v>
      </c>
      <c r="C14" s="21" t="s">
        <v>252</v>
      </c>
      <c r="D14" s="21" t="s">
        <v>790</v>
      </c>
      <c r="E14" s="13">
        <v>42799.144826388889</v>
      </c>
      <c r="F14" s="13">
        <v>42799.146087962959</v>
      </c>
      <c r="G14" s="7">
        <v>1</v>
      </c>
      <c r="H14" s="21" t="s">
        <v>791</v>
      </c>
      <c r="I14" s="13">
        <v>42799.162256944444</v>
      </c>
      <c r="J14" s="7">
        <v>0</v>
      </c>
      <c r="K14" s="98" t="str">
        <f t="shared" si="0"/>
        <v>4027/4028</v>
      </c>
      <c r="L14" s="21" t="str">
        <f>VLOOKUP(A14,'Trips&amp;Operators'!$C$1:$G$99999,5,FALSE)</f>
        <v>SANTIZO D. EDY</v>
      </c>
      <c r="M14" s="6">
        <f t="shared" si="1"/>
        <v>1.6168981484952383E-2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186" t="str">
        <f t="shared" si="3"/>
        <v>https://d0f6bd738d7f1b3e5a7ca70fe4ff75f0.us-east-1.aws.found.io/app/kibana#/discover/Steve-Slow-Train-Analysis-(2080s-and-2083s)?_g=(refreshInterval:(display:Off,pause:!f,section:0,value:0),time:(from:'2017-03-05T02:28:33-0700',mode:absolute,to:'2017-03-05T04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187" t="str">
        <f t="shared" si="4"/>
        <v>Y</v>
      </c>
      <c r="X14" s="187">
        <f t="shared" si="5"/>
        <v>0</v>
      </c>
      <c r="Y14" s="62">
        <f t="shared" si="6"/>
        <v>6.4785000000000004</v>
      </c>
      <c r="Z14" s="62">
        <f t="shared" si="7"/>
        <v>23.334</v>
      </c>
      <c r="AA14" s="62">
        <f t="shared" si="8"/>
        <v>16.855499999999999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0101-05</v>
      </c>
      <c r="AE14" s="85" t="str">
        <f t="shared" si="10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4" s="82" t="str">
        <f t="shared" si="11"/>
        <v>"C:\Program Files (x86)\AstroGrep\AstroGrep.exe" /spath="%USERPROFILE%\AppData\Local\Temp\OnboardLogs" /stypes="app*4027*20170305*" /stext=" 10:.+((SYSTEM_STATE.+slice.+state.+changed )|(ment ac)|(multiple cpu faults)|(system.+state.+changed )|(\[timeout)|(PRM\|1\|D)|(kpr)|(kdp)|(\|loc)|(crossing.((167)|(168)|(199)|(200))))" /e /r /s</v>
      </c>
      <c r="AG14" s="1" t="str">
        <f t="shared" si="12"/>
        <v>EC</v>
      </c>
      <c r="AH14" s="86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101-05 --locoid 4027 --swversion DE.1.0.9.0 --startMP 204:64785 --initTime 2017-03-05T03:28:33 --startdatetime 2017-03-05T03:30:22 --delay 1 --endMP 204:233340 --enddatetime 2017-03-05T03:53:39 --enforcementcount 0 &gt;&gt;C:\Users\stu\Documents\GitHub\eaglep3-reporting\EC\2017-03-05-refined-times.txt</v>
      </c>
      <c r="AI14" s="108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{"issue":{"subject":"","project_id":79,"tracker_id":40,"status_id":1,"priority_id":2,"assigned_to_id":23,"start_date":"2017-03-05","description":"","custom_fields":[{"id":1,"name":"Subdivision","value":"EC"},{"id":4,"name":"Milepost","value":"23.334"},{"id":17,"name":"Train ID","value":"101-05"},{"id":16,"name":"Locomotive ID","value":"4027"},{"id":130,"name":"Impact","value":""},{"id":150,"name":"Time of Event (Mountain Time)","value":"03:53:39"},{"id":151,"name":"Denver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8">"start /low /b "&amp;dls3logs&amp;" --loco "&amp;B14&amp;" --day "&amp;TEXT(F14,"YYYY-MM-DD")</f>
        <v>start /low /b %USERPROFILE%\Documents\GitHub\eaglep3\Utilities\DownloadLogsFromS3.py --loco 4027 --day 2017-03-05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538</v>
      </c>
      <c r="B15" s="7">
        <v>4017</v>
      </c>
      <c r="C15" s="21" t="s">
        <v>252</v>
      </c>
      <c r="D15" s="21" t="s">
        <v>792</v>
      </c>
      <c r="E15" s="13">
        <v>42799.166678240741</v>
      </c>
      <c r="F15" s="13">
        <v>42799.174467592595</v>
      </c>
      <c r="G15" s="7">
        <v>1</v>
      </c>
      <c r="H15" s="21" t="s">
        <v>241</v>
      </c>
      <c r="I15" s="13">
        <v>42799.202488425923</v>
      </c>
      <c r="J15" s="7">
        <v>0</v>
      </c>
      <c r="K15" s="98" t="str">
        <f t="shared" si="0"/>
        <v>4017/4018</v>
      </c>
      <c r="L15" s="21" t="str">
        <f>VLOOKUP(A15,'Trips&amp;Operators'!$C$1:$G$99999,5,FALSE)</f>
        <v>SANTIZO D. EDY</v>
      </c>
      <c r="M15" s="6">
        <f t="shared" si="1"/>
        <v>2.8020833327900618E-2</v>
      </c>
      <c r="N15" s="7">
        <f t="shared" ref="N15:N46" si="19">24*60*SUM($M15:$M15)</f>
        <v>40.34999999217689</v>
      </c>
      <c r="O15" s="7"/>
      <c r="P15" s="7"/>
      <c r="Q15" s="22"/>
      <c r="R15" s="22"/>
      <c r="S15" s="31">
        <f t="shared" ref="S15:S77" si="20">SUM(U15:U15)/IF(AG15="EC",12,1)</f>
        <v>1</v>
      </c>
      <c r="T15" s="46" t="str">
        <f t="shared" si="2"/>
        <v>Southbound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3"/>
        <v>https://d0f6bd738d7f1b3e5a7ca70fe4ff75f0.us-east-1.aws.found.io/app/kibana#/discover/Steve-Slow-Train-Analysis-(2080s-and-2083s)?_g=(refreshInterval:(display:Off,pause:!f,section:0,value:0),time:(from:'2017-03-05T03:00:01-0700',mode:absolute,to:'2017-03-05T05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" s="187" t="str">
        <f t="shared" si="4"/>
        <v>N</v>
      </c>
      <c r="X15" s="187">
        <f t="shared" si="5"/>
        <v>1</v>
      </c>
      <c r="Y15" s="62">
        <f t="shared" si="6"/>
        <v>23.2698</v>
      </c>
      <c r="Z15" s="62">
        <f t="shared" si="7"/>
        <v>1.5599999999999999E-2</v>
      </c>
      <c r="AA15" s="62">
        <f t="shared" si="8"/>
        <v>23.254200000000001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0102-05</v>
      </c>
      <c r="AE15" s="85" t="str">
        <f t="shared" si="10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15" s="82" t="str">
        <f t="shared" si="11"/>
        <v>"C:\Program Files (x86)\AstroGrep\AstroGrep.exe" /spath="%USERPROFILE%\AppData\Local\Temp\OnboardLogs" /stypes="app*4017*20170305*" /stext=" 11:.+((SYSTEM_STATE.+slice.+state.+changed )|(ment ac)|(multiple cpu faults)|(system.+state.+changed )|(\[timeout)|(PRM\|1\|D)|(kpr)|(kdp)|(\|loc)|(crossing.((167)|(168)|(199)|(200))))" /e /r /s</v>
      </c>
      <c r="AG15" s="1" t="str">
        <f t="shared" si="12"/>
        <v>EC</v>
      </c>
      <c r="AH15" s="86" t="str">
        <f t="shared" si="16"/>
        <v>"%USERPROFILE%\Documents\GitHub\eaglep3\Utilities\RefineRTDCRunTimes.py" --tripid 102-05 --locoid 4017 --swversion DE.1.0.9.0 --startMP 204:232698 --initTime 2017-03-05T04:00:01 --startdatetime 2017-03-05T04:11:14 --delay 1 --endMP 204:156 --enddatetime 2017-03-05T04:51:35 --enforcementcount 0 &gt;&gt;C:\Users\stu\Documents\GitHub\eaglep3-reporting\EC\2017-03-05-refined-times.txt</v>
      </c>
      <c r="AI1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{"issue":{"subject":"","project_id":79,"tracker_id":40,"status_id":1,"priority_id":2,"assigned_to_id":23,"start_date":"2017-03-05","description":"","custom_fields":[{"id":1,"name":"Subdivision","value":"EC"},{"id":4,"name":"Milepost","value":"0.0156"},{"id":17,"name":"Train ID","value":"102-05"},{"id":16,"name":"Locomotive ID","value":"4017"},{"id":130,"name":"Impact","value":""},{"id":150,"name":"Time of Event (Mountain Time)","value":"04:51:35"},{"id":151,"name":"Denver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4017 --day 2017-03-05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535</v>
      </c>
      <c r="B16" s="7">
        <v>4029</v>
      </c>
      <c r="C16" s="21" t="s">
        <v>252</v>
      </c>
      <c r="D16" s="21" t="s">
        <v>793</v>
      </c>
      <c r="E16" s="13">
        <v>42799.147951388892</v>
      </c>
      <c r="F16" s="13">
        <v>42799.156481481485</v>
      </c>
      <c r="G16" s="7">
        <v>1</v>
      </c>
      <c r="H16" s="21" t="s">
        <v>791</v>
      </c>
      <c r="I16" s="13">
        <v>42799.181631944448</v>
      </c>
      <c r="J16" s="7">
        <v>0</v>
      </c>
      <c r="K16" s="98" t="str">
        <f t="shared" si="0"/>
        <v>4029/4030</v>
      </c>
      <c r="L16" s="21" t="str">
        <f>VLOOKUP(A16,'Trips&amp;Operators'!$C$1:$G$99999,5,FALSE)</f>
        <v>MAELZER KURT</v>
      </c>
      <c r="M16" s="6">
        <f t="shared" si="1"/>
        <v>2.5150462963210884E-2</v>
      </c>
      <c r="N16" s="7">
        <f t="shared" si="19"/>
        <v>36.216666667023674</v>
      </c>
      <c r="O16" s="7"/>
      <c r="P16" s="7"/>
      <c r="Q16" s="22"/>
      <c r="R16" s="22"/>
      <c r="S16" s="31">
        <f t="shared" si="20"/>
        <v>1</v>
      </c>
      <c r="T16" s="46" t="str">
        <f t="shared" si="2"/>
        <v>NorthBound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3"/>
        <v>https://d0f6bd738d7f1b3e5a7ca70fe4ff75f0.us-east-1.aws.found.io/app/kibana#/discover/Steve-Slow-Train-Analysis-(2080s-and-2083s)?_g=(refreshInterval:(display:Off,pause:!f,section:0,value:0),time:(from:'2017-03-05T02:33:03-0700',mode:absolute,to:'2017-03-05T05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187" t="str">
        <f t="shared" si="4"/>
        <v>N</v>
      </c>
      <c r="X16" s="187">
        <f t="shared" si="5"/>
        <v>1</v>
      </c>
      <c r="Y16" s="62">
        <f t="shared" si="6"/>
        <v>7.4099999999999999E-2</v>
      </c>
      <c r="Z16" s="62">
        <f t="shared" si="7"/>
        <v>23.334</v>
      </c>
      <c r="AA16" s="62">
        <f t="shared" si="8"/>
        <v>23.259899999999998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0103-05</v>
      </c>
      <c r="AE16" s="85" t="str">
        <f t="shared" si="10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16" s="82" t="str">
        <f t="shared" si="11"/>
        <v>"C:\Program Files (x86)\AstroGrep\AstroGrep.exe" /spath="%USERPROFILE%\AppData\Local\Temp\OnboardLogs" /stypes="app*4029*20170305*" /stext=" 11:.+((SYSTEM_STATE.+slice.+state.+changed )|(ment ac)|(multiple cpu faults)|(system.+state.+changed )|(\[timeout)|(PRM\|1\|D)|(kpr)|(kdp)|(\|loc)|(crossing.((167)|(168)|(199)|(200))))" /e /r /s</v>
      </c>
      <c r="AG16" s="1" t="str">
        <f t="shared" si="12"/>
        <v>EC</v>
      </c>
      <c r="AH16" s="86" t="str">
        <f t="shared" si="16"/>
        <v>"%USERPROFILE%\Documents\GitHub\eaglep3\Utilities\RefineRTDCRunTimes.py" --tripid 103-05 --locoid 4029 --swversion DE.1.0.9.0 --startMP 204:741 --initTime 2017-03-05T03:33:03 --startdatetime 2017-03-05T03:45:20 --delay 1 --endMP 204:233340 --enddatetime 2017-03-05T04:21:33 --enforcementcount 0 &gt;&gt;C:\Users\stu\Documents\GitHub\eaglep3-reporting\EC\2017-03-05-refined-times.txt</v>
      </c>
      <c r="AI1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{"issue":{"subject":"","project_id":79,"tracker_id":40,"status_id":1,"priority_id":2,"assigned_to_id":23,"start_date":"2017-03-05","description":"","custom_fields":[{"id":1,"name":"Subdivision","value":"EC"},{"id":4,"name":"Milepost","value":"23.334"},{"id":17,"name":"Train ID","value":"103-05"},{"id":16,"name":"Locomotive ID","value":"4029"},{"id":130,"name":"Impact","value":""},{"id":150,"name":"Time of Event (Mountain Time)","value":"04:21:33"},{"id":151,"name":"Denver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4029 --day 2017-03-05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539</v>
      </c>
      <c r="B17" s="7">
        <v>4026</v>
      </c>
      <c r="C17" s="21" t="s">
        <v>252</v>
      </c>
      <c r="D17" s="21" t="s">
        <v>794</v>
      </c>
      <c r="E17" s="13">
        <v>42799.193113425928</v>
      </c>
      <c r="F17" s="13">
        <v>42799.195671296293</v>
      </c>
      <c r="G17" s="7">
        <v>2</v>
      </c>
      <c r="H17" s="21" t="s">
        <v>795</v>
      </c>
      <c r="I17" s="13">
        <v>42799.224340277775</v>
      </c>
      <c r="J17" s="7">
        <v>0</v>
      </c>
      <c r="K17" s="98" t="str">
        <f t="shared" si="0"/>
        <v>4025/4026</v>
      </c>
      <c r="L17" s="21" t="str">
        <f>VLOOKUP(A17,'Trips&amp;Operators'!$C$1:$G$99999,5,FALSE)</f>
        <v>MAELZER KURT</v>
      </c>
      <c r="M17" s="6">
        <f t="shared" si="1"/>
        <v>2.8668981482042E-2</v>
      </c>
      <c r="N17" s="7">
        <f t="shared" si="19"/>
        <v>41.28333333414048</v>
      </c>
      <c r="O17" s="7"/>
      <c r="P17" s="7"/>
      <c r="Q17" s="22"/>
      <c r="R17" s="22"/>
      <c r="S17" s="31">
        <f t="shared" si="20"/>
        <v>1</v>
      </c>
      <c r="T17" s="46" t="str">
        <f t="shared" si="2"/>
        <v>Southbound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3"/>
        <v>https://d0f6bd738d7f1b3e5a7ca70fe4ff75f0.us-east-1.aws.found.io/app/kibana#/discover/Steve-Slow-Train-Analysis-(2080s-and-2083s)?_g=(refreshInterval:(display:Off,pause:!f,section:0,value:0),time:(from:'2017-03-05T03:38:05-0700',mode:absolute,to:'2017-03-05T06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87" t="str">
        <f t="shared" si="4"/>
        <v>N</v>
      </c>
      <c r="X17" s="187">
        <f t="shared" si="5"/>
        <v>1</v>
      </c>
      <c r="Y17" s="62">
        <f t="shared" si="6"/>
        <v>23.270700000000001</v>
      </c>
      <c r="Z17" s="62">
        <f t="shared" si="7"/>
        <v>1.9599999999999999E-2</v>
      </c>
      <c r="AA17" s="62">
        <f t="shared" si="8"/>
        <v>23.251100000000001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0104-05</v>
      </c>
      <c r="AE17" s="85" t="str">
        <f t="shared" si="10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17" s="82" t="str">
        <f t="shared" si="11"/>
        <v>"C:\Program Files (x86)\AstroGrep\AstroGrep.exe" /spath="%USERPROFILE%\AppData\Local\Temp\OnboardLogs" /stypes="app*4026*20170305*" /stext=" 12:.+((SYSTEM_STATE.+slice.+state.+changed )|(ment ac)|(multiple cpu faults)|(system.+state.+changed )|(\[timeout)|(PRM\|1\|D)|(kpr)|(kdp)|(\|loc)|(crossing.((167)|(168)|(199)|(200))))" /e /r /s</v>
      </c>
      <c r="AG17" s="1" t="str">
        <f t="shared" si="12"/>
        <v>EC</v>
      </c>
      <c r="AH17" s="86" t="str">
        <f t="shared" si="16"/>
        <v>"%USERPROFILE%\Documents\GitHub\eaglep3\Utilities\RefineRTDCRunTimes.py" --tripid 104-05 --locoid 4026 --swversion DE.1.0.9.0 --startMP 204:232707 --initTime 2017-03-05T04:38:05 --startdatetime 2017-03-05T04:41:46 --delay 2 --endMP 204:196 --enddatetime 2017-03-05T05:23:03 --enforcementcount 0 &gt;&gt;C:\Users\stu\Documents\GitHub\eaglep3-reporting\EC\2017-03-05-refined-times.txt</v>
      </c>
      <c r="AI1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{"issue":{"subject":"","project_id":79,"tracker_id":40,"status_id":1,"priority_id":2,"assigned_to_id":23,"start_date":"2017-03-05","description":"","custom_fields":[{"id":1,"name":"Subdivision","value":"EC"},{"id":4,"name":"Milepost","value":"0.0196"},{"id":17,"name":"Train ID","value":"104-05"},{"id":16,"name":"Locomotive ID","value":"4026"},{"id":130,"name":"Impact","value":""},{"id":150,"name":"Time of Event (Mountain Time)","value":"05:23:03"},{"id":151,"name":"Denver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4026 --day 2017-03-05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589</v>
      </c>
      <c r="B18" s="7">
        <v>4044</v>
      </c>
      <c r="C18" s="21" t="s">
        <v>252</v>
      </c>
      <c r="D18" s="21" t="s">
        <v>796</v>
      </c>
      <c r="E18" s="13">
        <v>42799.169062499997</v>
      </c>
      <c r="F18" s="13">
        <v>42799.17728009259</v>
      </c>
      <c r="G18" s="7">
        <v>1</v>
      </c>
      <c r="H18" s="21" t="s">
        <v>263</v>
      </c>
      <c r="I18" s="13">
        <v>42799.204444444447</v>
      </c>
      <c r="J18" s="7">
        <v>0</v>
      </c>
      <c r="K18" s="98" t="str">
        <f t="shared" si="0"/>
        <v>4043/4044</v>
      </c>
      <c r="L18" s="21" t="str">
        <f>VLOOKUP(A18,'Trips&amp;Operators'!$C$1:$G$99999,5,FALSE)</f>
        <v>BADERTSCHER DIANE</v>
      </c>
      <c r="M18" s="6">
        <f t="shared" si="1"/>
        <v>2.7164351857209112E-2</v>
      </c>
      <c r="N18" s="7">
        <f t="shared" si="19"/>
        <v>39.116666674381122</v>
      </c>
      <c r="O18" s="7"/>
      <c r="P18" s="7"/>
      <c r="Q18" s="22"/>
      <c r="R18" s="22"/>
      <c r="S18" s="31">
        <f t="shared" si="20"/>
        <v>1</v>
      </c>
      <c r="T18" s="46" t="str">
        <f t="shared" si="2"/>
        <v>NorthBound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3"/>
        <v>https://d0f6bd738d7f1b3e5a7ca70fe4ff75f0.us-east-1.aws.found.io/app/kibana#/discover/Steve-Slow-Train-Analysis-(2080s-and-2083s)?_g=(refreshInterval:(display:Off,pause:!f,section:0,value:0),time:(from:'2017-03-05T03:03:27-0700',mode:absolute,to:'2017-03-05T05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" s="187" t="str">
        <f t="shared" si="4"/>
        <v>N</v>
      </c>
      <c r="X18" s="187">
        <f t="shared" si="5"/>
        <v>1</v>
      </c>
      <c r="Y18" s="62">
        <f t="shared" si="6"/>
        <v>7.2999999999999995E-2</v>
      </c>
      <c r="Z18" s="62">
        <f t="shared" si="7"/>
        <v>23.330400000000001</v>
      </c>
      <c r="AA18" s="62">
        <f t="shared" si="8"/>
        <v>23.257400000000001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0105-05</v>
      </c>
      <c r="AE18" s="85" t="str">
        <f t="shared" si="10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18" s="82" t="str">
        <f t="shared" si="11"/>
        <v>"C:\Program Files (x86)\AstroGrep\AstroGrep.exe" /spath="%USERPROFILE%\AppData\Local\Temp\OnboardLogs" /stypes="app*4044*20170305*" /stext=" 11:.+((SYSTEM_STATE.+slice.+state.+changed )|(ment ac)|(multiple cpu faults)|(system.+state.+changed )|(\[timeout)|(PRM\|1\|D)|(kpr)|(kdp)|(\|loc)|(crossing.((167)|(168)|(199)|(200))))" /e /r /s</v>
      </c>
      <c r="AG18" s="1" t="str">
        <f t="shared" si="12"/>
        <v>EC</v>
      </c>
      <c r="AH18" s="86" t="str">
        <f t="shared" si="16"/>
        <v>"%USERPROFILE%\Documents\GitHub\eaglep3\Utilities\RefineRTDCRunTimes.py" --tripid 105-05 --locoid 4044 --swversion DE.1.0.9.0 --startMP 204:730 --initTime 2017-03-05T04:03:27 --startdatetime 2017-03-05T04:15:17 --delay 1 --endMP 204:233304 --enddatetime 2017-03-05T04:54:24 --enforcementcount 0 &gt;&gt;C:\Users\stu\Documents\GitHub\eaglep3-reporting\EC\2017-03-05-refined-times.txt</v>
      </c>
      <c r="AI18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{"issue":{"subject":"","project_id":79,"tracker_id":40,"status_id":1,"priority_id":2,"assigned_to_id":23,"start_date":"2017-03-05","description":"","custom_fields":[{"id":1,"name":"Subdivision","value":"EC"},{"id":4,"name":"Milepost","value":"23.3304"},{"id":17,"name":"Train ID","value":"105-05"},{"id":16,"name":"Locomotive ID","value":"4044"},{"id":130,"name":"Impact","value":""},{"id":150,"name":"Time of Event (Mountain Time)","value":"04:54:24"},{"id":151,"name":"Denver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4044 --day 2017-03-05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603</v>
      </c>
      <c r="B19" s="7">
        <v>4015</v>
      </c>
      <c r="C19" s="21" t="s">
        <v>252</v>
      </c>
      <c r="D19" s="21" t="s">
        <v>797</v>
      </c>
      <c r="E19" s="13">
        <v>42799.212175925924</v>
      </c>
      <c r="F19" s="13">
        <v>42799.216168981482</v>
      </c>
      <c r="G19" s="7">
        <v>1</v>
      </c>
      <c r="H19" s="21" t="s">
        <v>184</v>
      </c>
      <c r="I19" s="13">
        <v>42799.244710648149</v>
      </c>
      <c r="J19" s="7">
        <v>0</v>
      </c>
      <c r="K19" s="98" t="str">
        <f t="shared" si="0"/>
        <v>4015/4016</v>
      </c>
      <c r="L19" s="21" t="str">
        <f>VLOOKUP(A19,'Trips&amp;Operators'!$C$1:$G$99999,5,FALSE)</f>
        <v>BADERTSCHER DIANE</v>
      </c>
      <c r="M19" s="6">
        <f t="shared" si="1"/>
        <v>2.8541666666569654E-2</v>
      </c>
      <c r="N19" s="7">
        <f t="shared" si="19"/>
        <v>41.099999999860302</v>
      </c>
      <c r="O19" s="7"/>
      <c r="P19" s="7"/>
      <c r="Q19" s="22"/>
      <c r="R19" s="22"/>
      <c r="S19" s="31">
        <f t="shared" si="20"/>
        <v>1</v>
      </c>
      <c r="T19" s="46" t="str">
        <f t="shared" si="2"/>
        <v>Southbound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3"/>
        <v>https://d0f6bd738d7f1b3e5a7ca70fe4ff75f0.us-east-1.aws.found.io/app/kibana#/discover/Steve-Slow-Train-Analysis-(2080s-and-2083s)?_g=(refreshInterval:(display:Off,pause:!f,section:0,value:0),time:(from:'2017-03-05T04:05:32-0700',mode:absolute,to:'2017-03-05T06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" s="187" t="str">
        <f t="shared" si="4"/>
        <v>N</v>
      </c>
      <c r="X19" s="187">
        <f t="shared" si="5"/>
        <v>1</v>
      </c>
      <c r="Y19" s="62">
        <f t="shared" si="6"/>
        <v>23.267900000000001</v>
      </c>
      <c r="Z19" s="62">
        <f t="shared" si="7"/>
        <v>1.49E-2</v>
      </c>
      <c r="AA19" s="62">
        <f t="shared" si="8"/>
        <v>23.253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0106-05</v>
      </c>
      <c r="AE19" s="85" t="str">
        <f t="shared" si="10"/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9" s="82" t="str">
        <f t="shared" si="11"/>
        <v>"C:\Program Files (x86)\AstroGrep\AstroGrep.exe" /spath="%USERPROFILE%\AppData\Local\Temp\OnboardLogs" /stypes="app*4015*20170305*" /stext=" 12:.+((SYSTEM_STATE.+slice.+state.+changed )|(ment ac)|(multiple cpu faults)|(system.+state.+changed )|(\[timeout)|(PRM\|1\|D)|(kpr)|(kdp)|(\|loc)|(crossing.((167)|(168)|(199)|(200))))" /e /r /s</v>
      </c>
      <c r="AG19" s="1" t="str">
        <f t="shared" si="12"/>
        <v>EC</v>
      </c>
      <c r="AH19" s="86" t="str">
        <f t="shared" si="16"/>
        <v>"%USERPROFILE%\Documents\GitHub\eaglep3\Utilities\RefineRTDCRunTimes.py" --tripid 106-05 --locoid 4015 --swversion DE.1.0.9.0 --startMP 204:232679 --initTime 2017-03-05T05:05:32 --startdatetime 2017-03-05T05:11:17 --delay 1 --endMP 204:149 --enddatetime 2017-03-05T05:52:23 --enforcementcount 0 &gt;&gt;C:\Users\stu\Documents\GitHub\eaglep3-reporting\EC\2017-03-05-refined-times.txt</v>
      </c>
      <c r="AI19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ID","value":"106-05"},{"id":16,"name":"Locomotive ID","value":"4015"},{"id":130,"name":"Impact","value":""},{"id":150,"name":"Time of Event (Mountain Time)","value":"05:52:23"},{"id":151,"name":"Denver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4015 --day 2017-03-05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"%USERPROFILE%\AppData\Local\Temp\OnboardLogs"\RTDC4015\*4015*20170305* | grep -SE "(Enforcement Action)|(\[TIMEOUT)|(CHR.+\|PRM\|1\|D.+(SWITCH|SIGNAL).+UNKNOWN)" - &gt;&gt; 2017-03-05-UncaughtWiMAX.txt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596</v>
      </c>
      <c r="B20" s="7">
        <v>4014</v>
      </c>
      <c r="C20" s="21" t="s">
        <v>252</v>
      </c>
      <c r="D20" s="21" t="s">
        <v>798</v>
      </c>
      <c r="E20" s="13">
        <v>42799.185150462959</v>
      </c>
      <c r="F20" s="13">
        <v>42799.188148148147</v>
      </c>
      <c r="G20" s="7">
        <v>1</v>
      </c>
      <c r="H20" s="21" t="s">
        <v>799</v>
      </c>
      <c r="I20" s="13">
        <v>42799.213761574072</v>
      </c>
      <c r="J20" s="7">
        <v>0</v>
      </c>
      <c r="K20" s="98" t="str">
        <f t="shared" si="0"/>
        <v>4013/4014</v>
      </c>
      <c r="L20" s="21" t="str">
        <f>VLOOKUP(A20,'Trips&amp;Operators'!$C$1:$G$99999,5,FALSE)</f>
        <v>DAVIS WENDY</v>
      </c>
      <c r="M20" s="6">
        <f t="shared" si="1"/>
        <v>2.5613425925257616E-2</v>
      </c>
      <c r="N20" s="7">
        <f t="shared" si="19"/>
        <v>36.883333332370967</v>
      </c>
      <c r="O20" s="7"/>
      <c r="P20" s="7"/>
      <c r="Q20" s="22"/>
      <c r="R20" s="22"/>
      <c r="S20" s="31">
        <f t="shared" si="20"/>
        <v>1</v>
      </c>
      <c r="T20" s="46" t="str">
        <f t="shared" si="2"/>
        <v>NorthBound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3"/>
        <v>https://d0f6bd738d7f1b3e5a7ca70fe4ff75f0.us-east-1.aws.found.io/app/kibana#/discover/Steve-Slow-Train-Analysis-(2080s-and-2083s)?_g=(refreshInterval:(display:Off,pause:!f,section:0,value:0),time:(from:'2017-03-05T03:26:37-0700',mode:absolute,to:'2017-03-05T06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" s="187" t="str">
        <f t="shared" si="4"/>
        <v>N</v>
      </c>
      <c r="X20" s="187">
        <f t="shared" si="5"/>
        <v>1</v>
      </c>
      <c r="Y20" s="62">
        <f t="shared" si="6"/>
        <v>5.1499999999999997E-2</v>
      </c>
      <c r="Z20" s="62">
        <f t="shared" si="7"/>
        <v>23.327999999999999</v>
      </c>
      <c r="AA20" s="62">
        <f t="shared" si="8"/>
        <v>23.276499999999999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0107-05</v>
      </c>
      <c r="AE20" s="85" t="str">
        <f t="shared" si="10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20" s="82" t="str">
        <f t="shared" si="11"/>
        <v>"C:\Program Files (x86)\AstroGrep\AstroGrep.exe" /spath="%USERPROFILE%\AppData\Local\Temp\OnboardLogs" /stypes="app*4014*20170305*" /stext=" 12:.+((SYSTEM_STATE.+slice.+state.+changed )|(ment ac)|(multiple cpu faults)|(system.+state.+changed )|(\[timeout)|(PRM\|1\|D)|(kpr)|(kdp)|(\|loc)|(crossing.((167)|(168)|(199)|(200))))" /e /r /s</v>
      </c>
      <c r="AG20" s="1" t="str">
        <f t="shared" si="12"/>
        <v>EC</v>
      </c>
      <c r="AH20" s="86" t="str">
        <f t="shared" si="16"/>
        <v>"%USERPROFILE%\Documents\GitHub\eaglep3\Utilities\RefineRTDCRunTimes.py" --tripid 107-05 --locoid 4014 --swversion DE.1.0.9.0 --startMP 204:515 --initTime 2017-03-05T04:26:37 --startdatetime 2017-03-05T04:30:56 --delay 1 --endMP 204:233280 --enddatetime 2017-03-05T05:07:49 --enforcementcount 0 &gt;&gt;C:\Users\stu\Documents\GitHub\eaglep3-reporting\EC\2017-03-05-refined-times.txt</v>
      </c>
      <c r="AI20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{"issue":{"subject":"","project_id":79,"tracker_id":40,"status_id":1,"priority_id":2,"assigned_to_id":23,"start_date":"2017-03-05","description":"","custom_fields":[{"id":1,"name":"Subdivision","value":"EC"},{"id":4,"name":"Milepost","value":"23.328"},{"id":17,"name":"Train ID","value":"107-05"},{"id":16,"name":"Locomotive ID","value":"4014"},{"id":130,"name":"Impact","value":""},{"id":150,"name":"Time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4014 --day 2017-03-05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607</v>
      </c>
      <c r="B21" s="7">
        <v>4013</v>
      </c>
      <c r="C21" s="21" t="s">
        <v>252</v>
      </c>
      <c r="D21" s="21" t="s">
        <v>298</v>
      </c>
      <c r="E21" s="13">
        <v>42799.223749999997</v>
      </c>
      <c r="F21" s="13">
        <v>42799.226539351854</v>
      </c>
      <c r="G21" s="7">
        <v>1</v>
      </c>
      <c r="H21" s="21" t="s">
        <v>800</v>
      </c>
      <c r="I21" s="13">
        <v>42799.255381944444</v>
      </c>
      <c r="J21" s="7">
        <v>0</v>
      </c>
      <c r="K21" s="98" t="str">
        <f t="shared" si="0"/>
        <v>4013/4014</v>
      </c>
      <c r="L21" s="21" t="str">
        <f>VLOOKUP(A21,'Trips&amp;Operators'!$C$1:$G$99999,5,FALSE)</f>
        <v>DAVIS WENDY</v>
      </c>
      <c r="M21" s="6">
        <f t="shared" si="1"/>
        <v>2.884259259008104E-2</v>
      </c>
      <c r="N21" s="7">
        <f t="shared" si="19"/>
        <v>41.533333329716697</v>
      </c>
      <c r="O21" s="7"/>
      <c r="P21" s="7"/>
      <c r="Q21" s="22"/>
      <c r="R21" s="22"/>
      <c r="S21" s="31">
        <f t="shared" si="20"/>
        <v>1</v>
      </c>
      <c r="T21" s="46" t="str">
        <f t="shared" si="2"/>
        <v>Southbound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3"/>
        <v>https://d0f6bd738d7f1b3e5a7ca70fe4ff75f0.us-east-1.aws.found.io/app/kibana#/discover/Steve-Slow-Train-Analysis-(2080s-and-2083s)?_g=(refreshInterval:(display:Off,pause:!f,section:0,value:0),time:(from:'2017-03-05T04:22:12-0700',mode:absolute,to:'2017-03-05T07:07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" s="187" t="str">
        <f t="shared" si="4"/>
        <v>N</v>
      </c>
      <c r="X21" s="187">
        <f t="shared" si="5"/>
        <v>1</v>
      </c>
      <c r="Y21" s="62">
        <f t="shared" si="6"/>
        <v>23.298999999999999</v>
      </c>
      <c r="Z21" s="62">
        <f t="shared" si="7"/>
        <v>1.7399999999999999E-2</v>
      </c>
      <c r="AA21" s="62">
        <f t="shared" si="8"/>
        <v>23.281600000000001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0108-05</v>
      </c>
      <c r="AE21" s="85" t="str">
        <f t="shared" si="10"/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21" s="82" t="str">
        <f t="shared" si="11"/>
        <v>"C:\Program Files (x86)\AstroGrep\AstroGrep.exe" /spath="%USERPROFILE%\AppData\Local\Temp\OnboardLogs" /stypes="app*4013*20170305*" /stext=" 13:.+((SYSTEM_STATE.+slice.+state.+changed )|(ment ac)|(multiple cpu faults)|(system.+state.+changed )|(\[timeout)|(PRM\|1\|D)|(kpr)|(kdp)|(\|loc)|(crossing.((167)|(168)|(199)|(200))))" /e /r /s</v>
      </c>
      <c r="AG21" s="1" t="str">
        <f t="shared" si="12"/>
        <v>EC</v>
      </c>
      <c r="AH21" s="86" t="str">
        <f t="shared" si="16"/>
        <v>"%USERPROFILE%\Documents\GitHub\eaglep3\Utilities\RefineRTDCRunTimes.py" --tripid 108-05 --locoid 4013 --swversion DE.1.0.9.0 --startMP 204:232990 --initTime 2017-03-05T05:22:12 --startdatetime 2017-03-05T05:26:13 --delay 1 --endMP 204:174 --enddatetime 2017-03-05T06:07:45 --enforcementcount 0 &gt;&gt;C:\Users\stu\Documents\GitHub\eaglep3-reporting\EC\2017-03-05-refined-times.txt</v>
      </c>
      <c r="AI21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{"issue":{"subject":"","project_id":79,"tracker_id":40,"status_id":1,"priority_id":2,"assigned_to_id":23,"start_date":"2017-03-05","description":"","custom_fields":[{"id":1,"name":"Subdivision","value":"EC"},{"id":4,"name":"Milepost","value":"0.0174"},{"id":17,"name":"Train ID","value":"108-05"},{"id":16,"name":"Locomotive ID","value":"4013"},{"id":130,"name":"Impact","value":""},{"id":150,"name":"Time of Event (Mountain Time)","value":"06:07:45"},{"id":151,"name":"Denver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4013 --day 2017-03-05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598</v>
      </c>
      <c r="B22" s="7">
        <v>4009</v>
      </c>
      <c r="C22" s="21" t="s">
        <v>252</v>
      </c>
      <c r="D22" s="21" t="s">
        <v>281</v>
      </c>
      <c r="E22" s="13">
        <v>42799.193113425928</v>
      </c>
      <c r="F22" s="13">
        <v>42799.19809027778</v>
      </c>
      <c r="G22" s="7">
        <v>1</v>
      </c>
      <c r="H22" s="21" t="s">
        <v>791</v>
      </c>
      <c r="I22" s="13">
        <v>42799.224652777775</v>
      </c>
      <c r="J22" s="7">
        <v>0</v>
      </c>
      <c r="K22" s="98" t="str">
        <f t="shared" si="0"/>
        <v>4009/4010</v>
      </c>
      <c r="L22" s="21" t="str">
        <f>VLOOKUP(A22,'Trips&amp;Operators'!$C$1:$G$99999,5,FALSE)</f>
        <v>ROBINSON KADDIBA</v>
      </c>
      <c r="M22" s="6">
        <f t="shared" si="1"/>
        <v>2.6562499995634425E-2</v>
      </c>
      <c r="N22" s="7">
        <f t="shared" si="19"/>
        <v>38.249999993713573</v>
      </c>
      <c r="O22" s="7"/>
      <c r="P22" s="7"/>
      <c r="Q22" s="22"/>
      <c r="R22" s="22"/>
      <c r="S22" s="31">
        <f t="shared" si="20"/>
        <v>1</v>
      </c>
      <c r="T22" s="46" t="str">
        <f t="shared" si="2"/>
        <v>NorthBound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3"/>
        <v>https://d0f6bd738d7f1b3e5a7ca70fe4ff75f0.us-east-1.aws.found.io/app/kibana#/discover/Steve-Slow-Train-Analysis-(2080s-and-2083s)?_g=(refreshInterval:(display:Off,pause:!f,section:0,value:0),time:(from:'2017-03-05T03:38:05-0700',mode:absolute,to:'2017-03-05T06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187" t="str">
        <f t="shared" si="4"/>
        <v>N</v>
      </c>
      <c r="X22" s="187">
        <f t="shared" si="5"/>
        <v>1</v>
      </c>
      <c r="Y22" s="62">
        <f t="shared" si="6"/>
        <v>4.7300000000000002E-2</v>
      </c>
      <c r="Z22" s="62">
        <f t="shared" si="7"/>
        <v>23.334</v>
      </c>
      <c r="AA22" s="62">
        <f t="shared" si="8"/>
        <v>23.2867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0109-05</v>
      </c>
      <c r="AE22" s="85" t="str">
        <f t="shared" si="10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22" s="82" t="str">
        <f t="shared" si="11"/>
        <v>"C:\Program Files (x86)\AstroGrep\AstroGrep.exe" /spath="%USERPROFILE%\AppData\Local\Temp\OnboardLogs" /stypes="app*4009*20170305*" /stext=" 12:.+((SYSTEM_STATE.+slice.+state.+changed )|(ment ac)|(multiple cpu faults)|(system.+state.+changed )|(\[timeout)|(PRM\|1\|D)|(kpr)|(kdp)|(\|loc)|(crossing.((167)|(168)|(199)|(200))))" /e /r /s</v>
      </c>
      <c r="AG22" s="1" t="str">
        <f t="shared" si="12"/>
        <v>EC</v>
      </c>
      <c r="AH22" s="86" t="str">
        <f t="shared" si="16"/>
        <v>"%USERPROFILE%\Documents\GitHub\eaglep3\Utilities\RefineRTDCRunTimes.py" --tripid 109-05 --locoid 4009 --swversion DE.1.0.9.0 --startMP 204:473 --initTime 2017-03-05T04:38:05 --startdatetime 2017-03-05T04:45:15 --delay 1 --endMP 204:233340 --enddatetime 2017-03-05T05:23:30 --enforcementcount 0 &gt;&gt;C:\Users\stu\Documents\GitHub\eaglep3-reporting\EC\2017-03-05-refined-times.txt</v>
      </c>
      <c r="AI22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{"issue":{"subject":"","project_id":79,"tracker_id":40,"status_id":1,"priority_id":2,"assigned_to_id":23,"start_date":"2017-03-05","description":"","custom_fields":[{"id":1,"name":"Subdivision","value":"EC"},{"id":4,"name":"Milepost","value":"23.334"},{"id":17,"name":"Train ID","value":"109-05"},{"id":16,"name":"Locomotive ID","value":"4009"},{"id":130,"name":"Impact","value":""},{"id":150,"name":"Time of Event (Mountain Time)","value":"05:23:30"},{"id":151,"name":"Denver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4009 --day 2017-03-05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609</v>
      </c>
      <c r="B23" s="7">
        <v>4010</v>
      </c>
      <c r="C23" s="21" t="s">
        <v>252</v>
      </c>
      <c r="D23" s="21" t="s">
        <v>343</v>
      </c>
      <c r="E23" s="13">
        <v>42799.23265046296</v>
      </c>
      <c r="F23" s="13">
        <v>42799.236956018518</v>
      </c>
      <c r="G23" s="7">
        <v>1</v>
      </c>
      <c r="H23" s="21" t="s">
        <v>296</v>
      </c>
      <c r="I23" s="13">
        <v>42799.264432870368</v>
      </c>
      <c r="J23" s="7">
        <v>0</v>
      </c>
      <c r="K23" s="98" t="str">
        <f t="shared" si="0"/>
        <v>4009/4010</v>
      </c>
      <c r="L23" s="21" t="str">
        <f>VLOOKUP(A23,'Trips&amp;Operators'!$C$1:$G$99999,5,FALSE)</f>
        <v>ROBINSON KADDIBA</v>
      </c>
      <c r="M23" s="6">
        <f t="shared" si="1"/>
        <v>2.7476851850224193E-2</v>
      </c>
      <c r="N23" s="7">
        <f t="shared" si="19"/>
        <v>39.566666664322838</v>
      </c>
      <c r="O23" s="7"/>
      <c r="P23" s="7"/>
      <c r="Q23" s="22"/>
      <c r="R23" s="22"/>
      <c r="S23" s="31">
        <f t="shared" si="20"/>
        <v>1</v>
      </c>
      <c r="T23" s="46" t="str">
        <f t="shared" si="2"/>
        <v>Southbound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3"/>
        <v>https://d0f6bd738d7f1b3e5a7ca70fe4ff75f0.us-east-1.aws.found.io/app/kibana#/discover/Steve-Slow-Train-Analysis-(2080s-and-2083s)?_g=(refreshInterval:(display:Off,pause:!f,section:0,value:0),time:(from:'2017-03-05T04:35:01-0700',mode:absolute,to:'2017-03-05T07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87" t="str">
        <f t="shared" si="4"/>
        <v>N</v>
      </c>
      <c r="X23" s="187">
        <f t="shared" si="5"/>
        <v>1</v>
      </c>
      <c r="Y23" s="62">
        <f t="shared" si="6"/>
        <v>23.300599999999999</v>
      </c>
      <c r="Z23" s="62">
        <f t="shared" si="7"/>
        <v>1.61E-2</v>
      </c>
      <c r="AA23" s="62">
        <f t="shared" si="8"/>
        <v>23.284499999999998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0110-05</v>
      </c>
      <c r="AE23" s="85" t="str">
        <f t="shared" si="10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23" s="82" t="str">
        <f t="shared" si="11"/>
        <v>"C:\Program Files (x86)\AstroGrep\AstroGrep.exe" /spath="%USERPROFILE%\AppData\Local\Temp\OnboardLogs" /stypes="app*4010*20170305*" /stext=" 13:.+((SYSTEM_STATE.+slice.+state.+changed )|(ment ac)|(multiple cpu faults)|(system.+state.+changed )|(\[timeout)|(PRM\|1\|D)|(kpr)|(kdp)|(\|loc)|(crossing.((167)|(168)|(199)|(200))))" /e /r /s</v>
      </c>
      <c r="AG23" s="1" t="str">
        <f t="shared" si="12"/>
        <v>EC</v>
      </c>
      <c r="AH23" s="86" t="str">
        <f t="shared" si="16"/>
        <v>"%USERPROFILE%\Documents\GitHub\eaglep3\Utilities\RefineRTDCRunTimes.py" --tripid 110-05 --locoid 4010 --swversion DE.1.0.9.0 --startMP 204:233006 --initTime 2017-03-05T05:35:01 --startdatetime 2017-03-05T05:41:13 --delay 1 --endMP 204:161 --enddatetime 2017-03-05T06:20:47 --enforcementcount 0 &gt;&gt;C:\Users\stu\Documents\GitHub\eaglep3-reporting\EC\2017-03-05-refined-times.txt</v>
      </c>
      <c r="AI23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{"issue":{"subject":"","project_id":79,"tracker_id":40,"status_id":1,"priority_id":2,"assigned_to_id":23,"start_date":"2017-03-05","description":"","custom_fields":[{"id":1,"name":"Subdivision","value":"EC"},{"id":4,"name":"Milepost","value":"0.0161"},{"id":17,"name":"Train ID","value":"110-05"},{"id":16,"name":"Locomotive ID","value":"4010"},{"id":130,"name":"Impact","value":""},{"id":150,"name":"Time of Event (Mountain Time)","value":"06:20:47"},{"id":151,"name":"Denver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4010 --day 2017-03-05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599</v>
      </c>
      <c r="B24" s="7">
        <v>4027</v>
      </c>
      <c r="C24" s="21" t="s">
        <v>252</v>
      </c>
      <c r="D24" s="21" t="s">
        <v>801</v>
      </c>
      <c r="E24" s="13">
        <v>42799.204884259256</v>
      </c>
      <c r="F24" s="13">
        <v>42799.208761574075</v>
      </c>
      <c r="G24" s="7">
        <v>2</v>
      </c>
      <c r="H24" s="21" t="s">
        <v>338</v>
      </c>
      <c r="I24" s="13">
        <v>42799.233113425929</v>
      </c>
      <c r="J24" s="7">
        <v>0</v>
      </c>
      <c r="K24" s="98" t="str">
        <f t="shared" si="0"/>
        <v>4027/4028</v>
      </c>
      <c r="L24" s="21" t="str">
        <f>VLOOKUP(A24,'Trips&amp;Operators'!$C$1:$G$99999,5,FALSE)</f>
        <v>GEBRETEKLE DAGNEW</v>
      </c>
      <c r="M24" s="6">
        <f t="shared" si="1"/>
        <v>2.4351851854589768E-2</v>
      </c>
      <c r="N24" s="7">
        <f t="shared" si="19"/>
        <v>35.066666670609266</v>
      </c>
      <c r="O24" s="7"/>
      <c r="P24" s="7"/>
      <c r="Q24" s="22"/>
      <c r="R24" s="22"/>
      <c r="S24" s="31">
        <f t="shared" si="20"/>
        <v>1</v>
      </c>
      <c r="T24" s="46" t="str">
        <f t="shared" si="2"/>
        <v>NorthBound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3"/>
        <v>https://d0f6bd738d7f1b3e5a7ca70fe4ff75f0.us-east-1.aws.found.io/app/kibana#/discover/Steve-Slow-Train-Analysis-(2080s-and-2083s)?_g=(refreshInterval:(display:Off,pause:!f,section:0,value:0),time:(from:'2017-03-05T03:55:02-0700',mode:absolute,to:'2017-03-05T06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87" t="str">
        <f t="shared" si="4"/>
        <v>N</v>
      </c>
      <c r="X24" s="187">
        <f t="shared" si="5"/>
        <v>1</v>
      </c>
      <c r="Y24" s="62">
        <f t="shared" si="6"/>
        <v>7.7700000000000005E-2</v>
      </c>
      <c r="Z24" s="62">
        <f t="shared" si="7"/>
        <v>23.330300000000001</v>
      </c>
      <c r="AA24" s="62">
        <f t="shared" si="8"/>
        <v>23.252600000000001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0111-05</v>
      </c>
      <c r="AE24" s="85" t="str">
        <f t="shared" si="10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24" s="82" t="str">
        <f t="shared" si="11"/>
        <v>"C:\Program Files (x86)\AstroGrep\AstroGrep.exe" /spath="%USERPROFILE%\AppData\Local\Temp\OnboardLogs" /stypes="app*4027*20170305*" /stext=" 12:.+((SYSTEM_STATE.+slice.+state.+changed )|(ment ac)|(multiple cpu faults)|(system.+state.+changed )|(\[timeout)|(PRM\|1\|D)|(kpr)|(kdp)|(\|loc)|(crossing.((167)|(168)|(199)|(200))))" /e /r /s</v>
      </c>
      <c r="AG24" s="1" t="str">
        <f t="shared" si="12"/>
        <v>EC</v>
      </c>
      <c r="AH24" s="86" t="str">
        <f t="shared" si="16"/>
        <v>"%USERPROFILE%\Documents\GitHub\eaglep3\Utilities\RefineRTDCRunTimes.py" --tripid 111-05 --locoid 4027 --swversion DE.1.0.9.0 --startMP 204:777 --initTime 2017-03-05T04:55:02 --startdatetime 2017-03-05T05:00:37 --delay 2 --endMP 204:233303 --enddatetime 2017-03-05T05:35:41 --enforcementcount 0 &gt;&gt;C:\Users\stu\Documents\GitHub\eaglep3-reporting\EC\2017-03-05-refined-times.txt</v>
      </c>
      <c r="AI24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{"issue":{"subject":"","project_id":79,"tracker_id":40,"status_id":1,"priority_id":2,"assigned_to_id":23,"start_date":"2017-03-05","description":"","custom_fields":[{"id":1,"name":"Subdivision","value":"EC"},{"id":4,"name":"Milepost","value":"23.3303"},{"id":17,"name":"Train ID","value":"111-05"},{"id":16,"name":"Locomotive ID","value":"4027"},{"id":130,"name":"Impact","value":""},{"id":150,"name":"Time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4027 --day 2017-03-05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611</v>
      </c>
      <c r="B25" s="7">
        <v>4028</v>
      </c>
      <c r="C25" s="21" t="s">
        <v>252</v>
      </c>
      <c r="D25" s="21" t="s">
        <v>331</v>
      </c>
      <c r="E25" s="13">
        <v>42799.244155092594</v>
      </c>
      <c r="F25" s="13">
        <v>42799.247407407405</v>
      </c>
      <c r="G25" s="7">
        <v>1</v>
      </c>
      <c r="H25" s="21" t="s">
        <v>241</v>
      </c>
      <c r="I25" s="13">
        <v>42799.274525462963</v>
      </c>
      <c r="J25" s="7">
        <v>0</v>
      </c>
      <c r="K25" s="98" t="str">
        <f t="shared" si="0"/>
        <v>4027/4028</v>
      </c>
      <c r="L25" s="21" t="str">
        <f>VLOOKUP(A25,'Trips&amp;Operators'!$C$1:$G$99999,5,FALSE)</f>
        <v>GEBRETEKLE DAGNEW</v>
      </c>
      <c r="M25" s="6">
        <f t="shared" si="1"/>
        <v>2.7118055557366461E-2</v>
      </c>
      <c r="N25" s="7">
        <f t="shared" si="19"/>
        <v>39.050000002607703</v>
      </c>
      <c r="O25" s="7"/>
      <c r="P25" s="7"/>
      <c r="Q25" s="22"/>
      <c r="R25" s="22"/>
      <c r="S25" s="31">
        <f t="shared" si="20"/>
        <v>1</v>
      </c>
      <c r="T25" s="46" t="str">
        <f t="shared" si="2"/>
        <v>Southbound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3"/>
        <v>https://d0f6bd738d7f1b3e5a7ca70fe4ff75f0.us-east-1.aws.found.io/app/kibana#/discover/Steve-Slow-Train-Analysis-(2080s-and-2083s)?_g=(refreshInterval:(display:Off,pause:!f,section:0,value:0),time:(from:'2017-03-05T04:51:35-0700',mode:absolute,to:'2017-03-05T07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187" t="str">
        <f t="shared" si="4"/>
        <v>N</v>
      </c>
      <c r="X25" s="187">
        <f t="shared" si="5"/>
        <v>1</v>
      </c>
      <c r="Y25" s="62">
        <f t="shared" si="6"/>
        <v>23.299199999999999</v>
      </c>
      <c r="Z25" s="62">
        <f t="shared" si="7"/>
        <v>1.5599999999999999E-2</v>
      </c>
      <c r="AA25" s="62">
        <f t="shared" si="8"/>
        <v>23.2836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0112-05</v>
      </c>
      <c r="AE25" s="85" t="str">
        <f t="shared" si="10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25" s="82" t="str">
        <f t="shared" si="11"/>
        <v>"C:\Program Files (x86)\AstroGrep\AstroGrep.exe" /spath="%USERPROFILE%\AppData\Local\Temp\OnboardLogs" /stypes="app*4028*20170305*" /stext=" 13:.+((SYSTEM_STATE.+slice.+state.+changed )|(ment ac)|(multiple cpu faults)|(system.+state.+changed )|(\[timeout)|(PRM\|1\|D)|(kpr)|(kdp)|(\|loc)|(crossing.((167)|(168)|(199)|(200))))" /e /r /s</v>
      </c>
      <c r="AG25" s="1" t="str">
        <f t="shared" si="12"/>
        <v>EC</v>
      </c>
      <c r="AH25" s="86" t="str">
        <f t="shared" si="16"/>
        <v>"%USERPROFILE%\Documents\GitHub\eaglep3\Utilities\RefineRTDCRunTimes.py" --tripid 112-05 --locoid 4028 --swversion DE.1.0.9.0 --startMP 204:232992 --initTime 2017-03-05T05:51:35 --startdatetime 2017-03-05T05:56:16 --delay 1 --endMP 204:156 --enddatetime 2017-03-05T06:35:19 --enforcementcount 0 &gt;&gt;C:\Users\stu\Documents\GitHub\eaglep3-reporting\EC\2017-03-05-refined-times.txt</v>
      </c>
      <c r="AI2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{"issue":{"subject":"","project_id":79,"tracker_id":40,"status_id":1,"priority_id":2,"assigned_to_id":23,"start_date":"2017-03-05","description":"","custom_fields":[{"id":1,"name":"Subdivision","value":"EC"},{"id":4,"name":"Milepost","value":"0.0156"},{"id":17,"name":"Train ID","value":"112-05"},{"id":16,"name":"Locomotive ID","value":"4028"},{"id":130,"name":"Impact","value":""},{"id":150,"name":"Time of Event (Mountain Time)","value":"06:35:19"},{"id":151,"name":"Denver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4028 --day 2017-03-05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602</v>
      </c>
      <c r="B26" s="7">
        <v>4018</v>
      </c>
      <c r="C26" s="21" t="s">
        <v>252</v>
      </c>
      <c r="D26" s="21" t="s">
        <v>517</v>
      </c>
      <c r="E26" s="13">
        <v>42799.207777777781</v>
      </c>
      <c r="F26" s="13">
        <v>42799.2190162037</v>
      </c>
      <c r="G26" s="7">
        <v>1</v>
      </c>
      <c r="H26" s="21" t="s">
        <v>245</v>
      </c>
      <c r="I26" s="13">
        <v>42799.244606481479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SANTIZO D. EDY</v>
      </c>
      <c r="M26" s="6">
        <f t="shared" si="1"/>
        <v>2.5590277778974269E-2</v>
      </c>
      <c r="N26" s="7">
        <f t="shared" si="19"/>
        <v>36.850000001722947</v>
      </c>
      <c r="O26" s="7"/>
      <c r="P26" s="7"/>
      <c r="Q26" s="22"/>
      <c r="R26" s="22"/>
      <c r="S26" s="31">
        <f t="shared" si="20"/>
        <v>1</v>
      </c>
      <c r="T26" s="46" t="str">
        <f t="shared" si="2"/>
        <v>NorthBound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3"/>
        <v>https://d0f6bd738d7f1b3e5a7ca70fe4ff75f0.us-east-1.aws.found.io/app/kibana#/discover/Steve-Slow-Train-Analysis-(2080s-and-2083s)?_g=(refreshInterval:(display:Off,pause:!f,section:0,value:0),time:(from:'2017-03-05T03:59:12-0700',mode:absolute,to:'2017-03-05T06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6" s="187" t="str">
        <f t="shared" si="4"/>
        <v>N</v>
      </c>
      <c r="X26" s="187">
        <f t="shared" si="5"/>
        <v>1</v>
      </c>
      <c r="Y26" s="62">
        <f t="shared" si="6"/>
        <v>4.8399999999999999E-2</v>
      </c>
      <c r="Z26" s="62">
        <f t="shared" si="7"/>
        <v>23.331700000000001</v>
      </c>
      <c r="AA26" s="62">
        <f t="shared" si="8"/>
        <v>23.283300000000001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0113-05</v>
      </c>
      <c r="AE26" s="85" t="str">
        <f t="shared" si="10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26" s="82" t="str">
        <f t="shared" si="11"/>
        <v>"C:\Program Files (x86)\AstroGrep\AstroGrep.exe" /spath="%USERPROFILE%\AppData\Local\Temp\OnboardLogs" /stypes="app*4018*20170305*" /stext=" 12:.+((SYSTEM_STATE.+slice.+state.+changed )|(ment ac)|(multiple cpu faults)|(system.+state.+changed )|(\[timeout)|(PRM\|1\|D)|(kpr)|(kdp)|(\|loc)|(crossing.((167)|(168)|(199)|(200))))" /e /r /s</v>
      </c>
      <c r="AG26" s="1" t="str">
        <f t="shared" si="12"/>
        <v>EC</v>
      </c>
      <c r="AH26" s="86" t="str">
        <f t="shared" si="16"/>
        <v>"%USERPROFILE%\Documents\GitHub\eaglep3\Utilities\RefineRTDCRunTimes.py" --tripid 113-05 --locoid 4018 --swversion DE.1.0.9.0 --startMP 204:484 --initTime 2017-03-05T04:59:12 --startdatetime 2017-03-05T05:15:23 --delay 1 --endMP 204:233317 --enddatetime 2017-03-05T05:52:14 --enforcementcount 0 &gt;&gt;C:\Users\stu\Documents\GitHub\eaglep3-reporting\EC\2017-03-05-refined-times.txt</v>
      </c>
      <c r="AI2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{"issue":{"subject":"","project_id":79,"tracker_id":40,"status_id":1,"priority_id":2,"assigned_to_id":23,"start_date":"2017-03-05","description":"","custom_fields":[{"id":1,"name":"Subdivision","value":"EC"},{"id":4,"name":"Milepost","value":"23.3317"},{"id":17,"name":"Train ID","value":"113-05"},{"id":16,"name":"Locomotive ID","value":"4018"},{"id":130,"name":"Impact","value":""},{"id":150,"name":"Time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4018 --day 2017-03-05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612</v>
      </c>
      <c r="B27" s="7">
        <v>4017</v>
      </c>
      <c r="C27" s="21" t="s">
        <v>252</v>
      </c>
      <c r="D27" s="21" t="s">
        <v>508</v>
      </c>
      <c r="E27" s="13">
        <v>42799.245775462965</v>
      </c>
      <c r="F27" s="13">
        <v>42799.257835648146</v>
      </c>
      <c r="G27" s="7">
        <v>1</v>
      </c>
      <c r="H27" s="21" t="s">
        <v>244</v>
      </c>
      <c r="I27" s="13">
        <v>42799.284791666665</v>
      </c>
      <c r="J27" s="7">
        <v>0</v>
      </c>
      <c r="K27" s="98" t="str">
        <f t="shared" si="0"/>
        <v>4017/4018</v>
      </c>
      <c r="L27" s="21" t="str">
        <f>VLOOKUP(A27,'Trips&amp;Operators'!$C$1:$G$99999,5,FALSE)</f>
        <v>SANTIZO D. EDY</v>
      </c>
      <c r="M27" s="6">
        <f t="shared" si="1"/>
        <v>2.6956018518831115E-2</v>
      </c>
      <c r="N27" s="7">
        <f t="shared" si="19"/>
        <v>38.816666667116806</v>
      </c>
      <c r="O27" s="7"/>
      <c r="P27" s="7"/>
      <c r="Q27" s="22"/>
      <c r="R27" s="22"/>
      <c r="S27" s="31">
        <f t="shared" si="20"/>
        <v>1</v>
      </c>
      <c r="T27" s="46" t="str">
        <f t="shared" si="2"/>
        <v>Southbound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3"/>
        <v>https://d0f6bd738d7f1b3e5a7ca70fe4ff75f0.us-east-1.aws.found.io/app/kibana#/discover/Steve-Slow-Train-Analysis-(2080s-and-2083s)?_g=(refreshInterval:(display:Off,pause:!f,section:0,value:0),time:(from:'2017-03-05T04:53:55-0700',mode:absolute,to:'2017-03-05T07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7" s="187" t="str">
        <f t="shared" si="4"/>
        <v>N</v>
      </c>
      <c r="X27" s="187">
        <f t="shared" si="5"/>
        <v>1</v>
      </c>
      <c r="Y27" s="62">
        <f t="shared" si="6"/>
        <v>23.3002</v>
      </c>
      <c r="Z27" s="62">
        <f t="shared" si="7"/>
        <v>1.47E-2</v>
      </c>
      <c r="AA27" s="62">
        <f t="shared" si="8"/>
        <v>23.285499999999999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0114-05</v>
      </c>
      <c r="AE27" s="85" t="str">
        <f t="shared" si="10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27" s="82" t="str">
        <f t="shared" si="11"/>
        <v>"C:\Program Files (x86)\AstroGrep\AstroGrep.exe" /spath="%USERPROFILE%\AppData\Local\Temp\OnboardLogs" /stypes="app*4017*20170305*" /stext=" 13:.+((SYSTEM_STATE.+slice.+state.+changed )|(ment ac)|(multiple cpu faults)|(system.+state.+changed )|(\[timeout)|(PRM\|1\|D)|(kpr)|(kdp)|(\|loc)|(crossing.((167)|(168)|(199)|(200))))" /e /r /s</v>
      </c>
      <c r="AG27" s="1" t="str">
        <f t="shared" si="12"/>
        <v>EC</v>
      </c>
      <c r="AH27" s="86" t="str">
        <f t="shared" si="16"/>
        <v>"%USERPROFILE%\Documents\GitHub\eaglep3\Utilities\RefineRTDCRunTimes.py" --tripid 114-05 --locoid 4017 --swversion DE.1.0.9.0 --startMP 204:233002 --initTime 2017-03-05T05:53:55 --startdatetime 2017-03-05T06:11:17 --delay 1 --endMP 204:147 --enddatetime 2017-03-05T06:50:06 --enforcementcount 0 &gt;&gt;C:\Users\stu\Documents\GitHub\eaglep3-reporting\EC\2017-03-05-refined-times.txt</v>
      </c>
      <c r="AI2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{"issue":{"subject":"","project_id":79,"tracker_id":40,"status_id":1,"priority_id":2,"assigned_to_id":23,"start_date":"2017-03-05","description":"","custom_fields":[{"id":1,"name":"Subdivision","value":"EC"},{"id":4,"name":"Milepost","value":"0.0147"},{"id":17,"name":"Train ID","value":"114-05"},{"id":16,"name":"Locomotive ID","value":"4017"},{"id":130,"name":"Impact","value":""},{"id":150,"name":"Time of Event (Mountain Time)","value":"06:50:06"},{"id":151,"name":"Denver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4017 --day 2017-03-05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608</v>
      </c>
      <c r="B28" s="7">
        <v>4029</v>
      </c>
      <c r="C28" s="21" t="s">
        <v>252</v>
      </c>
      <c r="D28" s="21" t="s">
        <v>802</v>
      </c>
      <c r="E28" s="13">
        <v>42799.228495370371</v>
      </c>
      <c r="F28" s="13">
        <v>42799.229803240742</v>
      </c>
      <c r="G28" s="7">
        <v>1</v>
      </c>
      <c r="H28" s="21" t="s">
        <v>803</v>
      </c>
      <c r="I28" s="13">
        <v>42799.256180555552</v>
      </c>
      <c r="J28" s="7">
        <v>0</v>
      </c>
      <c r="K28" s="98" t="str">
        <f t="shared" si="0"/>
        <v>4029/4030</v>
      </c>
      <c r="L28" s="21" t="str">
        <f>VLOOKUP(A28,'Trips&amp;Operators'!$C$1:$G$99999,5,FALSE)</f>
        <v>SHOOK JOHN</v>
      </c>
      <c r="M28" s="6">
        <f t="shared" si="1"/>
        <v>2.6377314810815733E-2</v>
      </c>
      <c r="N28" s="7">
        <f t="shared" si="19"/>
        <v>37.983333327574655</v>
      </c>
      <c r="O28" s="7"/>
      <c r="P28" s="7"/>
      <c r="Q28" s="22"/>
      <c r="R28" s="22"/>
      <c r="S28" s="31">
        <f t="shared" si="20"/>
        <v>1</v>
      </c>
      <c r="T28" s="46" t="str">
        <f t="shared" si="2"/>
        <v>NorthBound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3"/>
        <v>https://d0f6bd738d7f1b3e5a7ca70fe4ff75f0.us-east-1.aws.found.io/app/kibana#/discover/Steve-Slow-Train-Analysis-(2080s-and-2083s)?_g=(refreshInterval:(display:Off,pause:!f,section:0,value:0),time:(from:'2017-03-05T04:29:02-0700',mode:absolute,to:'2017-03-05T07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187" t="str">
        <f t="shared" si="4"/>
        <v>N</v>
      </c>
      <c r="X28" s="187">
        <f t="shared" si="5"/>
        <v>1</v>
      </c>
      <c r="Y28" s="62">
        <f t="shared" si="6"/>
        <v>8.2299999999999998E-2</v>
      </c>
      <c r="Z28" s="62">
        <f t="shared" si="7"/>
        <v>23.3339</v>
      </c>
      <c r="AA28" s="62">
        <f t="shared" si="8"/>
        <v>23.2516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0115-05</v>
      </c>
      <c r="AE28" s="85" t="str">
        <f t="shared" si="10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28" s="82" t="str">
        <f t="shared" si="11"/>
        <v>"C:\Program Files (x86)\AstroGrep\AstroGrep.exe" /spath="%USERPROFILE%\AppData\Local\Temp\OnboardLogs" /stypes="app*4029*20170305*" /stext=" 13:.+((SYSTEM_STATE.+slice.+state.+changed )|(ment ac)|(multiple cpu faults)|(system.+state.+changed )|(\[timeout)|(PRM\|1\|D)|(kpr)|(kdp)|(\|loc)|(crossing.((167)|(168)|(199)|(200))))" /e /r /s</v>
      </c>
      <c r="AG28" s="1" t="str">
        <f t="shared" si="12"/>
        <v>EC</v>
      </c>
      <c r="AH28" s="86" t="str">
        <f t="shared" si="16"/>
        <v>"%USERPROFILE%\Documents\GitHub\eaglep3\Utilities\RefineRTDCRunTimes.py" --tripid 115-05 --locoid 4029 --swversion DE.1.0.9.0 --startMP 204:823 --initTime 2017-03-05T05:29:02 --startdatetime 2017-03-05T05:30:55 --delay 1 --endMP 204:233339 --enddatetime 2017-03-05T06:08:54 --enforcementcount 0 &gt;&gt;C:\Users\stu\Documents\GitHub\eaglep3-reporting\EC\2017-03-05-refined-times.txt</v>
      </c>
      <c r="AI28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{"issue":{"subject":"","project_id":79,"tracker_id":40,"status_id":1,"priority_id":2,"assigned_to_id":23,"start_date":"2017-03-05","description":"","custom_fields":[{"id":1,"name":"Subdivision","value":"EC"},{"id":4,"name":"Milepost","value":"23.3339"},{"id":17,"name":"Train ID","value":"115-05"},{"id":16,"name":"Locomotive ID","value":"4029"},{"id":130,"name":"Impact","value":""},{"id":150,"name":"Time of Event (Mountain Time)","value":"06:08:54"},{"id":151,"name":"Denver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4029 --day 2017-03-05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541</v>
      </c>
      <c r="B29" s="7">
        <v>4030</v>
      </c>
      <c r="C29" s="21" t="s">
        <v>252</v>
      </c>
      <c r="D29" s="21" t="s">
        <v>506</v>
      </c>
      <c r="E29" s="13">
        <v>42799.258379629631</v>
      </c>
      <c r="F29" s="13">
        <v>42799.268263888887</v>
      </c>
      <c r="G29" s="7">
        <v>1</v>
      </c>
      <c r="H29" s="21" t="s">
        <v>204</v>
      </c>
      <c r="I29" s="13">
        <v>42799.297465277778</v>
      </c>
      <c r="J29" s="7">
        <v>0</v>
      </c>
      <c r="K29" s="98" t="str">
        <f t="shared" si="0"/>
        <v>4029/4030</v>
      </c>
      <c r="L29" s="21" t="str">
        <f>VLOOKUP(A29,'Trips&amp;Operators'!$C$1:$G$99999,5,FALSE)</f>
        <v>SHOOK JOHN</v>
      </c>
      <c r="M29" s="6">
        <f t="shared" si="1"/>
        <v>2.920138889021473E-2</v>
      </c>
      <c r="N29" s="7">
        <f t="shared" si="19"/>
        <v>42.050000001909211</v>
      </c>
      <c r="O29" s="7"/>
      <c r="P29" s="7"/>
      <c r="Q29" s="22"/>
      <c r="R29" s="22"/>
      <c r="S29" s="31">
        <f t="shared" si="20"/>
        <v>1</v>
      </c>
      <c r="T29" s="46" t="str">
        <f t="shared" si="2"/>
        <v>Southbound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3"/>
        <v>https://d0f6bd738d7f1b3e5a7ca70fe4ff75f0.us-east-1.aws.found.io/app/kibana#/discover/Steve-Slow-Train-Analysis-(2080s-and-2083s)?_g=(refreshInterval:(display:Off,pause:!f,section:0,value:0),time:(from:'2017-03-05T05:12:04-0700',mode:absolute,to:'2017-03-05T08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87" t="str">
        <f t="shared" si="4"/>
        <v>N</v>
      </c>
      <c r="X29" s="187">
        <f t="shared" si="5"/>
        <v>1</v>
      </c>
      <c r="Y29" s="62">
        <f t="shared" si="6"/>
        <v>23.298200000000001</v>
      </c>
      <c r="Z29" s="62">
        <f t="shared" si="7"/>
        <v>1.5800000000000002E-2</v>
      </c>
      <c r="AA29" s="62">
        <f t="shared" si="8"/>
        <v>23.282400000000003</v>
      </c>
      <c r="AB29" s="59" t="str">
        <f>VLOOKUP(A29,Enforcements!$C$7:$K$13,8,0)</f>
        <v>Bulletin (2)</v>
      </c>
      <c r="AC29" s="55" t="str">
        <f>VLOOKUP(A29,Enforcements!$C$7:$E$13,3,0)</f>
        <v>GRADE CROSSING</v>
      </c>
      <c r="AD29" s="56" t="str">
        <f t="shared" si="9"/>
        <v>0116-05</v>
      </c>
      <c r="AE29" s="85" t="str">
        <f t="shared" si="10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29" s="82" t="str">
        <f t="shared" si="11"/>
        <v>"C:\Program Files (x86)\AstroGrep\AstroGrep.exe" /spath="%USERPROFILE%\AppData\Local\Temp\OnboardLogs" /stypes="app*4030*20170305*" /stext=" 14:.+((SYSTEM_STATE.+slice.+state.+changed )|(ment ac)|(multiple cpu faults)|(system.+state.+changed )|(\[timeout)|(PRM\|1\|D)|(kpr)|(kdp)|(\|loc)|(crossing.((167)|(168)|(199)|(200))))" /e /r /s</v>
      </c>
      <c r="AG29" s="1" t="str">
        <f t="shared" si="12"/>
        <v>EC</v>
      </c>
      <c r="AH29" s="86" t="str">
        <f t="shared" si="16"/>
        <v>"%USERPROFILE%\Documents\GitHub\eaglep3\Utilities\RefineRTDCRunTimes.py" --tripid 116-05 --locoid 4030 --swversion DE.1.0.9.0 --startMP 204:232982 --initTime 2017-03-05T06:12:04 --startdatetime 2017-03-05T06:26:18 --delay 1 --endMP 204:158 --enddatetime 2017-03-05T07:08:21 --enforcementcount 0 &gt;&gt;C:\Users\stu\Documents\GitHub\eaglep3-reporting\EC\2017-03-05-refined-times.txt</v>
      </c>
      <c r="AI29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{"issue":{"subject":"","project_id":79,"tracker_id":40,"status_id":1,"priority_id":2,"assigned_to_id":23,"start_date":"2017-03-05","description":"","custom_fields":[{"id":1,"name":"Subdivision","value":"EC"},{"id":4,"name":"Milepost","value":"0.0158"},{"id":17,"name":"Train ID","value":"116-05"},{"id":16,"name":"Locomotive ID","value":"4030"},{"id":130,"name":"Impact","value":""},{"id":150,"name":"Time of Event (Mountain Time)","value":"07:08:21"},{"id":151,"name":"Denver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4030 --day 2017-03-05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"%USERPROFILE%\AppData\Local\Temp\OnboardLogs"\RTDC4030\*4030*20170305* | grep -SE "(Enforcement Action)|(\[TIMEOUT)|(CHR.+\|PRM\|1\|D.+(SWITCH|SIGNAL).+UNKNOWN)" - &gt;&gt; 2017-03-05-UncaughtWiMAX.txt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610</v>
      </c>
      <c r="B30" s="7">
        <v>4025</v>
      </c>
      <c r="C30" s="21" t="s">
        <v>252</v>
      </c>
      <c r="D30" s="21" t="s">
        <v>798</v>
      </c>
      <c r="E30" s="13">
        <v>42799.232789351852</v>
      </c>
      <c r="F30" s="13">
        <v>42799.23982638889</v>
      </c>
      <c r="G30" s="7">
        <v>1</v>
      </c>
      <c r="H30" s="21" t="s">
        <v>245</v>
      </c>
      <c r="I30" s="13">
        <v>42799.265104166669</v>
      </c>
      <c r="J30" s="7">
        <v>0</v>
      </c>
      <c r="K30" s="98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2.527777777868323E-2</v>
      </c>
      <c r="N30" s="7">
        <f t="shared" si="19"/>
        <v>36.400000001303852</v>
      </c>
      <c r="O30" s="7"/>
      <c r="P30" s="7"/>
      <c r="Q30" s="22"/>
      <c r="R30" s="22"/>
      <c r="S30" s="31">
        <f t="shared" si="20"/>
        <v>1</v>
      </c>
      <c r="T30" s="46" t="str">
        <f t="shared" si="2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3"/>
        <v>https://d0f6bd738d7f1b3e5a7ca70fe4ff75f0.us-east-1.aws.found.io/app/kibana#/discover/Steve-Slow-Train-Analysis-(2080s-and-2083s)?_g=(refreshInterval:(display:Off,pause:!f,section:0,value:0),time:(from:'2017-03-05T04:35:13-0700',mode:absolute,to:'2017-03-05T07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87" t="str">
        <f t="shared" si="4"/>
        <v>N</v>
      </c>
      <c r="X30" s="187">
        <f t="shared" si="5"/>
        <v>1</v>
      </c>
      <c r="Y30" s="62">
        <f t="shared" si="6"/>
        <v>5.1499999999999997E-2</v>
      </c>
      <c r="Z30" s="62">
        <f t="shared" si="7"/>
        <v>23.331700000000001</v>
      </c>
      <c r="AA30" s="62">
        <f t="shared" si="8"/>
        <v>23.280200000000001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0117-05</v>
      </c>
      <c r="AE30" s="85" t="str">
        <f t="shared" si="10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30" s="82" t="str">
        <f t="shared" si="11"/>
        <v>"C:\Program Files (x86)\AstroGrep\AstroGrep.exe" /spath="%USERPROFILE%\AppData\Local\Temp\OnboardLogs" /stypes="app*4025*20170305*" /stext=" 13:.+((SYSTEM_STATE.+slice.+state.+changed )|(ment ac)|(multiple cpu faults)|(system.+state.+changed )|(\[timeout)|(PRM\|1\|D)|(kpr)|(kdp)|(\|loc)|(crossing.((167)|(168)|(199)|(200))))" /e /r /s</v>
      </c>
      <c r="AG30" s="1" t="str">
        <f t="shared" si="12"/>
        <v>EC</v>
      </c>
      <c r="AH30" s="86" t="str">
        <f t="shared" si="16"/>
        <v>"%USERPROFILE%\Documents\GitHub\eaglep3\Utilities\RefineRTDCRunTimes.py" --tripid 117-05 --locoid 4025 --swversion DE.1.0.9.0 --startMP 204:515 --initTime 2017-03-05T05:35:13 --startdatetime 2017-03-05T05:45:21 --delay 1 --endMP 204:233317 --enddatetime 2017-03-05T06:21:45 --enforcementcount 0 &gt;&gt;C:\Users\stu\Documents\GitHub\eaglep3-reporting\EC\2017-03-05-refined-times.txt</v>
      </c>
      <c r="AI30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{"issue":{"subject":"","project_id":79,"tracker_id":40,"status_id":1,"priority_id":2,"assigned_to_id":23,"start_date":"2017-03-05","description":"","custom_fields":[{"id":1,"name":"Subdivision","value":"EC"},{"id":4,"name":"Milepost","value":"23.3317"},{"id":17,"name":"Train ID","value":"117-05"},{"id":16,"name":"Locomotive ID","value":"4025"},{"id":130,"name":"Impact","value":""},{"id":150,"name":"Time of Event (Mountain Time)","value":"06:21:45"},{"id":151,"name":"Denver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4025 --day 2017-03-05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617</v>
      </c>
      <c r="B31" s="7">
        <v>4026</v>
      </c>
      <c r="C31" s="21" t="s">
        <v>252</v>
      </c>
      <c r="D31" s="21" t="s">
        <v>343</v>
      </c>
      <c r="E31" s="13">
        <v>42799.272719907407</v>
      </c>
      <c r="F31" s="13">
        <v>42799.278784722221</v>
      </c>
      <c r="G31" s="7">
        <v>0</v>
      </c>
      <c r="H31" s="21" t="s">
        <v>244</v>
      </c>
      <c r="I31" s="13">
        <v>42799.305995370371</v>
      </c>
      <c r="J31" s="7">
        <v>0</v>
      </c>
      <c r="K31" s="98" t="str">
        <f t="shared" si="0"/>
        <v>4025/4026</v>
      </c>
      <c r="L31" s="21" t="str">
        <f>VLOOKUP(A31,'Trips&amp;Operators'!$C$1:$G$99999,5,FALSE)</f>
        <v>MAELZER KURT</v>
      </c>
      <c r="M31" s="6">
        <f t="shared" si="1"/>
        <v>2.7210648149775807E-2</v>
      </c>
      <c r="N31" s="7">
        <f t="shared" si="19"/>
        <v>39.183333335677162</v>
      </c>
      <c r="O31" s="7"/>
      <c r="P31" s="7"/>
      <c r="Q31" s="22"/>
      <c r="R31" s="22"/>
      <c r="S31" s="31">
        <f t="shared" si="20"/>
        <v>1</v>
      </c>
      <c r="T31" s="46" t="str">
        <f t="shared" si="2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3"/>
        <v>https://d0f6bd738d7f1b3e5a7ca70fe4ff75f0.us-east-1.aws.found.io/app/kibana#/discover/Steve-Slow-Train-Analysis-(2080s-and-2083s)?_g=(refreshInterval:(display:Off,pause:!f,section:0,value:0),time:(from:'2017-03-05T05:32:43-0700',mode:absolute,to:'2017-03-05T08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87" t="str">
        <f t="shared" si="4"/>
        <v>N</v>
      </c>
      <c r="X31" s="187">
        <f t="shared" si="5"/>
        <v>1</v>
      </c>
      <c r="Y31" s="62">
        <f t="shared" si="6"/>
        <v>23.300599999999999</v>
      </c>
      <c r="Z31" s="62">
        <f t="shared" si="7"/>
        <v>1.47E-2</v>
      </c>
      <c r="AA31" s="62">
        <f t="shared" si="8"/>
        <v>23.285899999999998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0118-05</v>
      </c>
      <c r="AE31" s="85" t="str">
        <f t="shared" si="10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31" s="82" t="str">
        <f t="shared" si="11"/>
        <v>"C:\Program Files (x86)\AstroGrep\AstroGrep.exe" /spath="%USERPROFILE%\AppData\Local\Temp\OnboardLogs" /stypes="app*4026*20170305*" /stext=" 14:.+((SYSTEM_STATE.+slice.+state.+changed )|(ment ac)|(multiple cpu faults)|(system.+state.+changed )|(\[timeout)|(PRM\|1\|D)|(kpr)|(kdp)|(\|loc)|(crossing.((167)|(168)|(199)|(200))))" /e /r /s</v>
      </c>
      <c r="AG31" s="1" t="str">
        <f t="shared" si="12"/>
        <v>EC</v>
      </c>
      <c r="AH31" s="86" t="str">
        <f t="shared" si="16"/>
        <v>"%USERPROFILE%\Documents\GitHub\eaglep3\Utilities\RefineRTDCRunTimes.py" --tripid 118-05 --locoid 4026 --swversion DE.1.0.9.0 --startMP 204:233006 --initTime 2017-03-05T06:32:43 --startdatetime 2017-03-05T06:41:27 --delay 0 --endMP 204:147 --enddatetime 2017-03-05T07:20:38 --enforcementcount 0 &gt;&gt;C:\Users\stu\Documents\GitHub\eaglep3-reporting\EC\2017-03-05-refined-times.txt</v>
      </c>
      <c r="AI31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{"issue":{"subject":"","project_id":79,"tracker_id":40,"status_id":1,"priority_id":2,"assigned_to_id":23,"start_date":"2017-03-05","description":"","custom_fields":[{"id":1,"name":"Subdivision","value":"EC"},{"id":4,"name":"Milepost","value":"0.0147"},{"id":17,"name":"Train ID","value":"118-05"},{"id":16,"name":"Locomotive ID","value":"4026"},{"id":130,"name":"Impact","value":""},{"id":150,"name":"Time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4026 --day 2017-03-05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613</v>
      </c>
      <c r="B32" s="7">
        <v>4044</v>
      </c>
      <c r="C32" s="21" t="s">
        <v>252</v>
      </c>
      <c r="D32" s="21" t="s">
        <v>804</v>
      </c>
      <c r="E32" s="13">
        <v>42799.248449074075</v>
      </c>
      <c r="F32" s="13">
        <v>42799.2502662037</v>
      </c>
      <c r="G32" s="7">
        <v>1</v>
      </c>
      <c r="H32" s="21" t="s">
        <v>805</v>
      </c>
      <c r="I32" s="13">
        <v>42799.276678240742</v>
      </c>
      <c r="J32" s="7">
        <v>0</v>
      </c>
      <c r="K32" s="98" t="str">
        <f t="shared" si="0"/>
        <v>4043/4044</v>
      </c>
      <c r="L32" s="21" t="str">
        <f>VLOOKUP(A32,'Trips&amp;Operators'!$C$1:$G$99999,5,FALSE)</f>
        <v>BADERTSCHER DIANE</v>
      </c>
      <c r="M32" s="6">
        <f t="shared" si="1"/>
        <v>2.641203704115469E-2</v>
      </c>
      <c r="N32" s="7">
        <f t="shared" si="19"/>
        <v>38.033333339262754</v>
      </c>
      <c r="O32" s="7"/>
      <c r="P32" s="7"/>
      <c r="Q32" s="22"/>
      <c r="R32" s="22"/>
      <c r="S32" s="31">
        <f t="shared" si="20"/>
        <v>1</v>
      </c>
      <c r="T32" s="46" t="str">
        <f t="shared" si="2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3"/>
        <v>https://d0f6bd738d7f1b3e5a7ca70fe4ff75f0.us-east-1.aws.found.io/app/kibana#/discover/Steve-Slow-Train-Analysis-(2080s-and-2083s)?_g=(refreshInterval:(display:Off,pause:!f,section:0,value:0),time:(from:'2017-03-05T04:57:46-0700',mode:absolute,to:'2017-03-05T07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2" s="187" t="str">
        <f t="shared" si="4"/>
        <v>N</v>
      </c>
      <c r="X32" s="187">
        <f t="shared" si="5"/>
        <v>1</v>
      </c>
      <c r="Y32" s="62">
        <f t="shared" si="6"/>
        <v>7.3400000000000007E-2</v>
      </c>
      <c r="Z32" s="62">
        <f t="shared" si="7"/>
        <v>23.331600000000002</v>
      </c>
      <c r="AA32" s="62">
        <f t="shared" si="8"/>
        <v>23.258200000000002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0119-05</v>
      </c>
      <c r="AE32" s="85" t="str">
        <f t="shared" si="10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32" s="82" t="str">
        <f t="shared" si="11"/>
        <v>"C:\Program Files (x86)\AstroGrep\AstroGrep.exe" /spath="%USERPROFILE%\AppData\Local\Temp\OnboardLogs" /stypes="app*4044*20170305*" /stext=" 13:.+((SYSTEM_STATE.+slice.+state.+changed )|(ment ac)|(multiple cpu faults)|(system.+state.+changed )|(\[timeout)|(PRM\|1\|D)|(kpr)|(kdp)|(\|loc)|(crossing.((167)|(168)|(199)|(200))))" /e /r /s</v>
      </c>
      <c r="AG32" s="1" t="str">
        <f t="shared" si="12"/>
        <v>EC</v>
      </c>
      <c r="AH32" s="86" t="str">
        <f t="shared" si="16"/>
        <v>"%USERPROFILE%\Documents\GitHub\eaglep3\Utilities\RefineRTDCRunTimes.py" --tripid 119-05 --locoid 4044 --swversion DE.1.0.9.0 --startMP 204:734 --initTime 2017-03-05T05:57:46 --startdatetime 2017-03-05T06:00:23 --delay 1 --endMP 204:233316 --enddatetime 2017-03-05T06:38:25 --enforcementcount 0 &gt;&gt;C:\Users\stu\Documents\GitHub\eaglep3-reporting\EC\2017-03-05-refined-times.txt</v>
      </c>
      <c r="AI32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{"issue":{"subject":"","project_id":79,"tracker_id":40,"status_id":1,"priority_id":2,"assigned_to_id":23,"start_date":"2017-03-05","description":"","custom_fields":[{"id":1,"name":"Subdivision","value":"EC"},{"id":4,"name":"Milepost","value":"23.3316"},{"id":17,"name":"Train ID","value":"119-05"},{"id":16,"name":"Locomotive ID","value":"4044"},{"id":130,"name":"Impact","value":""},{"id":150,"name":"Time of Event (Mountain Time)","value":"06:38:25"},{"id":151,"name":"Denver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4044 --day 2017-03-05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620</v>
      </c>
      <c r="B33" s="7">
        <v>4043</v>
      </c>
      <c r="C33" s="21" t="s">
        <v>252</v>
      </c>
      <c r="D33" s="21" t="s">
        <v>506</v>
      </c>
      <c r="E33" s="13">
        <v>42799.279583333337</v>
      </c>
      <c r="F33" s="13">
        <v>42799.289351851854</v>
      </c>
      <c r="G33" s="7">
        <v>1</v>
      </c>
      <c r="H33" s="21" t="s">
        <v>194</v>
      </c>
      <c r="I33" s="13">
        <v>42799.317372685182</v>
      </c>
      <c r="J33" s="7">
        <v>0</v>
      </c>
      <c r="K33" s="98" t="str">
        <f t="shared" si="0"/>
        <v>4043/4044</v>
      </c>
      <c r="L33" s="21" t="str">
        <f>VLOOKUP(A33,'Trips&amp;Operators'!$C$1:$G$99999,5,FALSE)</f>
        <v>BADERTSCHER DIANE</v>
      </c>
      <c r="M33" s="6">
        <f t="shared" si="1"/>
        <v>2.8020833327900618E-2</v>
      </c>
      <c r="N33" s="7">
        <f t="shared" si="19"/>
        <v>40.34999999217689</v>
      </c>
      <c r="O33" s="7"/>
      <c r="P33" s="7"/>
      <c r="Q33" s="22"/>
      <c r="R33" s="22"/>
      <c r="S33" s="31">
        <f t="shared" si="20"/>
        <v>1</v>
      </c>
      <c r="T33" s="46" t="str">
        <f t="shared" si="2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3"/>
        <v>https://d0f6bd738d7f1b3e5a7ca70fe4ff75f0.us-east-1.aws.found.io/app/kibana#/discover/Steve-Slow-Train-Analysis-(2080s-and-2083s)?_g=(refreshInterval:(display:Off,pause:!f,section:0,value:0),time:(from:'2017-03-05T05:42:36-0700',mode:absolute,to:'2017-03-05T08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3" s="187" t="str">
        <f t="shared" si="4"/>
        <v>N</v>
      </c>
      <c r="X33" s="187">
        <f t="shared" si="5"/>
        <v>1</v>
      </c>
      <c r="Y33" s="62">
        <f t="shared" si="6"/>
        <v>23.298200000000001</v>
      </c>
      <c r="Z33" s="62">
        <f t="shared" si="7"/>
        <v>1.4500000000000001E-2</v>
      </c>
      <c r="AA33" s="62">
        <f t="shared" si="8"/>
        <v>23.2837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0120-05</v>
      </c>
      <c r="AE33" s="85" t="str">
        <f t="shared" si="10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33" s="82" t="str">
        <f t="shared" si="11"/>
        <v>"C:\Program Files (x86)\AstroGrep\AstroGrep.exe" /spath="%USERPROFILE%\AppData\Local\Temp\OnboardLogs" /stypes="app*4043*20170305*" /stext=" 14:.+((SYSTEM_STATE.+slice.+state.+changed )|(ment ac)|(multiple cpu faults)|(system.+state.+changed )|(\[timeout)|(PRM\|1\|D)|(kpr)|(kdp)|(\|loc)|(crossing.((167)|(168)|(199)|(200))))" /e /r /s</v>
      </c>
      <c r="AG33" s="1" t="str">
        <f t="shared" si="12"/>
        <v>EC</v>
      </c>
      <c r="AH33" s="86" t="str">
        <f t="shared" si="16"/>
        <v>"%USERPROFILE%\Documents\GitHub\eaglep3\Utilities\RefineRTDCRunTimes.py" --tripid 120-05 --locoid 4043 --swversion DE.1.0.9.0 --startMP 204:232982 --initTime 2017-03-05T06:42:36 --startdatetime 2017-03-05T06:56:40 --delay 1 --endMP 204:145 --enddatetime 2017-03-05T07:37:01 --enforcementcount 0 &gt;&gt;C:\Users\stu\Documents\GitHub\eaglep3-reporting\EC\2017-03-05-refined-times.txt</v>
      </c>
      <c r="AI33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{"issue":{"subject":"","project_id":79,"tracker_id":40,"status_id":1,"priority_id":2,"assigned_to_id":23,"start_date":"2017-03-05","description":"","custom_fields":[{"id":1,"name":"Subdivision","value":"EC"},{"id":4,"name":"Milepost","value":"0.0145"},{"id":17,"name":"Train ID","value":"120-05"},{"id":16,"name":"Locomotive ID","value":"4043"},{"id":130,"name":"Impact","value":""},{"id":150,"name":"Time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4043 --day 2017-03-05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"%USERPROFILE%\AppData\Local\Temp\OnboardLogs"\RTDC4043\*4043*20170305* | grep -SE "(Enforcement Action)|(\[TIMEOUT)|(CHR.+\|PRM\|1\|D.+(SWITCH|SIGNAL).+UNKNOWN)" - &gt;&gt; 2017-03-05-UncaughtWiMAX.txt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615</v>
      </c>
      <c r="B34" s="7">
        <v>4014</v>
      </c>
      <c r="C34" s="21" t="s">
        <v>252</v>
      </c>
      <c r="D34" s="21" t="s">
        <v>253</v>
      </c>
      <c r="E34" s="13">
        <v>42799.256990740738</v>
      </c>
      <c r="F34" s="13">
        <v>42799.26059027778</v>
      </c>
      <c r="G34" s="7">
        <v>1</v>
      </c>
      <c r="H34" s="21" t="s">
        <v>263</v>
      </c>
      <c r="I34" s="13">
        <v>42799.286111111112</v>
      </c>
      <c r="J34" s="7">
        <v>0</v>
      </c>
      <c r="K34" s="98" t="str">
        <f t="shared" si="0"/>
        <v>4013/4014</v>
      </c>
      <c r="L34" s="21" t="str">
        <f>VLOOKUP(A34,'Trips&amp;Operators'!$C$1:$G$99999,5,FALSE)</f>
        <v>DAVIS WENDY</v>
      </c>
      <c r="M34" s="6">
        <f t="shared" si="1"/>
        <v>2.5520833332848269E-2</v>
      </c>
      <c r="N34" s="7">
        <f t="shared" si="19"/>
        <v>36.749999999301508</v>
      </c>
      <c r="O34" s="7"/>
      <c r="P34" s="7"/>
      <c r="Q34" s="22"/>
      <c r="R34" s="22"/>
      <c r="S34" s="31">
        <f t="shared" si="20"/>
        <v>1</v>
      </c>
      <c r="T34" s="46" t="str">
        <f t="shared" si="2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3"/>
        <v>https://d0f6bd738d7f1b3e5a7ca70fe4ff75f0.us-east-1.aws.found.io/app/kibana#/discover/Steve-Slow-Train-Analysis-(2080s-and-2083s)?_g=(refreshInterval:(display:Off,pause:!f,section:0,value:0),time:(from:'2017-03-05T05:10:04-0700',mode:absolute,to:'2017-03-05T07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4" s="187" t="str">
        <f t="shared" si="4"/>
        <v>N</v>
      </c>
      <c r="X34" s="187">
        <f t="shared" si="5"/>
        <v>1</v>
      </c>
      <c r="Y34" s="62">
        <f t="shared" si="6"/>
        <v>4.58E-2</v>
      </c>
      <c r="Z34" s="62">
        <f t="shared" si="7"/>
        <v>23.330400000000001</v>
      </c>
      <c r="AA34" s="62">
        <f t="shared" si="8"/>
        <v>23.284600000000001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0121-05</v>
      </c>
      <c r="AE34" s="85" t="str">
        <f t="shared" si="10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34" s="82" t="str">
        <f t="shared" si="11"/>
        <v>"C:\Program Files (x86)\AstroGrep\AstroGrep.exe" /spath="%USERPROFILE%\AppData\Local\Temp\OnboardLogs" /stypes="app*4014*20170305*" /stext=" 13:.+((SYSTEM_STATE.+slice.+state.+changed )|(ment ac)|(multiple cpu faults)|(system.+state.+changed )|(\[timeout)|(PRM\|1\|D)|(kpr)|(kdp)|(\|loc)|(crossing.((167)|(168)|(199)|(200))))" /e /r /s</v>
      </c>
      <c r="AG34" s="1" t="str">
        <f t="shared" si="12"/>
        <v>EC</v>
      </c>
      <c r="AH34" s="86" t="str">
        <f t="shared" si="16"/>
        <v>"%USERPROFILE%\Documents\GitHub\eaglep3\Utilities\RefineRTDCRunTimes.py" --tripid 121-05 --locoid 4014 --swversion DE.1.0.9.0 --startMP 204:458 --initTime 2017-03-05T06:10:04 --startdatetime 2017-03-05T06:15:15 --delay 1 --endMP 204:233304 --enddatetime 2017-03-05T06:52:00 --enforcementcount 0 &gt;&gt;C:\Users\stu\Documents\GitHub\eaglep3-reporting\EC\2017-03-05-refined-times.txt</v>
      </c>
      <c r="AI34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{"issue":{"subject":"","project_id":79,"tracker_id":40,"status_id":1,"priority_id":2,"assigned_to_id":23,"start_date":"2017-03-05","description":"","custom_fields":[{"id":1,"name":"Subdivision","value":"EC"},{"id":4,"name":"Milepost","value":"23.3304"},{"id":17,"name":"Train ID","value":"121-05"},{"id":16,"name":"Locomotive ID","value":"4014"},{"id":130,"name":"Impact","value":""},{"id":150,"name":"Time of Event (Mountain Time)","value":"06:52:00"},{"id":151,"name":"Denver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4014 --day 2017-03-05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622</v>
      </c>
      <c r="B35" s="7">
        <v>4013</v>
      </c>
      <c r="C35" s="21" t="s">
        <v>252</v>
      </c>
      <c r="D35" s="21" t="s">
        <v>238</v>
      </c>
      <c r="E35" s="13">
        <v>42799.297314814816</v>
      </c>
      <c r="F35" s="13">
        <v>42799.299733796295</v>
      </c>
      <c r="G35" s="7">
        <v>2</v>
      </c>
      <c r="H35" s="21" t="s">
        <v>516</v>
      </c>
      <c r="I35" s="13">
        <v>42799.327256944445</v>
      </c>
      <c r="J35" s="7">
        <v>0</v>
      </c>
      <c r="K35" s="98" t="str">
        <f t="shared" si="0"/>
        <v>4013/4014</v>
      </c>
      <c r="L35" s="21" t="str">
        <f>VLOOKUP(A35,'Trips&amp;Operators'!$C$1:$G$99999,5,FALSE)</f>
        <v>DAVIS WENDY</v>
      </c>
      <c r="M35" s="6">
        <f t="shared" si="1"/>
        <v>2.7523148150066845E-2</v>
      </c>
      <c r="N35" s="7">
        <f t="shared" si="19"/>
        <v>39.633333336096257</v>
      </c>
      <c r="O35" s="7"/>
      <c r="P35" s="7"/>
      <c r="Q35" s="22"/>
      <c r="R35" s="22"/>
      <c r="S35" s="31">
        <f t="shared" si="20"/>
        <v>1</v>
      </c>
      <c r="T35" s="46" t="str">
        <f t="shared" si="2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3"/>
        <v>https://d0f6bd738d7f1b3e5a7ca70fe4ff75f0.us-east-1.aws.found.io/app/kibana#/discover/Steve-Slow-Train-Analysis-(2080s-and-2083s)?_g=(refreshInterval:(display:Off,pause:!f,section:0,value:0),time:(from:'2017-03-05T06:08:08-0700',mode:absolute,to:'2017-03-05T08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5" s="187" t="str">
        <f t="shared" si="4"/>
        <v>N</v>
      </c>
      <c r="X35" s="187">
        <f t="shared" si="5"/>
        <v>1</v>
      </c>
      <c r="Y35" s="62">
        <f t="shared" si="6"/>
        <v>23.299600000000002</v>
      </c>
      <c r="Z35" s="62">
        <f t="shared" si="7"/>
        <v>1.43E-2</v>
      </c>
      <c r="AA35" s="62">
        <f t="shared" si="8"/>
        <v>23.285300000000003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0122-05</v>
      </c>
      <c r="AE35" s="85" t="str">
        <f t="shared" si="10"/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35" s="82" t="str">
        <f t="shared" si="11"/>
        <v>"C:\Program Files (x86)\AstroGrep\AstroGrep.exe" /spath="%USERPROFILE%\AppData\Local\Temp\OnboardLogs" /stypes="app*4013*20170305*" /stext=" 14:.+((SYSTEM_STATE.+slice.+state.+changed )|(ment ac)|(multiple cpu faults)|(system.+state.+changed )|(\[timeout)|(PRM\|1\|D)|(kpr)|(kdp)|(\|loc)|(crossing.((167)|(168)|(199)|(200))))" /e /r /s</v>
      </c>
      <c r="AG35" s="1" t="str">
        <f t="shared" si="12"/>
        <v>EC</v>
      </c>
      <c r="AH35" s="86" t="str">
        <f t="shared" si="16"/>
        <v>"%USERPROFILE%\Documents\GitHub\eaglep3\Utilities\RefineRTDCRunTimes.py" --tripid 122-05 --locoid 4013 --swversion DE.1.0.9.0 --startMP 204:232996 --initTime 2017-03-05T07:08:08 --startdatetime 2017-03-05T07:11:37 --delay 2 --endMP 204:143 --enddatetime 2017-03-05T07:51:15 --enforcementcount 0 &gt;&gt;C:\Users\stu\Documents\GitHub\eaglep3-reporting\EC\2017-03-05-refined-times.txt</v>
      </c>
      <c r="AI3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{"issue":{"subject":"","project_id":79,"tracker_id":40,"status_id":1,"priority_id":2,"assigned_to_id":23,"start_date":"2017-03-05","description":"","custom_fields":[{"id":1,"name":"Subdivision","value":"EC"},{"id":4,"name":"Milepost","value":"0.0143"},{"id":17,"name":"Train ID","value":"122-05"},{"id":16,"name":"Locomotive ID","value":"4013"},{"id":130,"name":"Impact","value":""},{"id":150,"name":"Time of Event (Mountain Time)","value":"07:51:15"},{"id":151,"name":"Denver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4013 --day 2017-03-05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616</v>
      </c>
      <c r="B36" s="7">
        <v>4009</v>
      </c>
      <c r="C36" s="21" t="s">
        <v>252</v>
      </c>
      <c r="D36" s="21" t="s">
        <v>201</v>
      </c>
      <c r="E36" s="13">
        <v>42799.267557870371</v>
      </c>
      <c r="F36" s="13">
        <v>42799.271041666667</v>
      </c>
      <c r="G36" s="7">
        <v>3</v>
      </c>
      <c r="H36" s="21" t="s">
        <v>307</v>
      </c>
      <c r="I36" s="13">
        <v>42799.296435185184</v>
      </c>
      <c r="J36" s="7">
        <v>0</v>
      </c>
      <c r="K36" s="98" t="str">
        <f t="shared" si="0"/>
        <v>4009/4010</v>
      </c>
      <c r="L36" s="21" t="str">
        <f>VLOOKUP(A36,'Trips&amp;Operators'!$C$1:$G$99999,5,FALSE)</f>
        <v>ROBINSON KADDIBA</v>
      </c>
      <c r="M36" s="6">
        <f t="shared" si="1"/>
        <v>2.5393518517375924E-2</v>
      </c>
      <c r="N36" s="7">
        <f t="shared" si="19"/>
        <v>36.56666666502133</v>
      </c>
      <c r="O36" s="7"/>
      <c r="P36" s="7"/>
      <c r="Q36" s="22"/>
      <c r="R36" s="22"/>
      <c r="S36" s="31">
        <f t="shared" si="20"/>
        <v>1</v>
      </c>
      <c r="T36" s="46" t="str">
        <f t="shared" si="2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3"/>
        <v>https://d0f6bd738d7f1b3e5a7ca70fe4ff75f0.us-east-1.aws.found.io/app/kibana#/discover/Steve-Slow-Train-Analysis-(2080s-and-2083s)?_g=(refreshInterval:(display:Off,pause:!f,section:0,value:0),time:(from:'2017-03-05T05:25:17-0700',mode:absolute,to:'2017-03-05T08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187" t="str">
        <f t="shared" si="4"/>
        <v>N</v>
      </c>
      <c r="X36" s="187">
        <f t="shared" si="5"/>
        <v>1</v>
      </c>
      <c r="Y36" s="62">
        <f t="shared" si="6"/>
        <v>4.6199999999999998E-2</v>
      </c>
      <c r="Z36" s="62">
        <f t="shared" si="7"/>
        <v>23.329499999999999</v>
      </c>
      <c r="AA36" s="62">
        <f t="shared" si="8"/>
        <v>23.283300000000001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0123-05</v>
      </c>
      <c r="AE36" s="85" t="str">
        <f t="shared" si="10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36" s="82" t="str">
        <f t="shared" si="11"/>
        <v>"C:\Program Files (x86)\AstroGrep\AstroGrep.exe" /spath="%USERPROFILE%\AppData\Local\Temp\OnboardLogs" /stypes="app*4009*20170305*" /stext=" 14:.+((SYSTEM_STATE.+slice.+state.+changed )|(ment ac)|(multiple cpu faults)|(system.+state.+changed )|(\[timeout)|(PRM\|1\|D)|(kpr)|(kdp)|(\|loc)|(crossing.((167)|(168)|(199)|(200))))" /e /r /s</v>
      </c>
      <c r="AG36" s="1" t="str">
        <f t="shared" si="12"/>
        <v>EC</v>
      </c>
      <c r="AH36" s="86" t="str">
        <f t="shared" si="16"/>
        <v>"%USERPROFILE%\Documents\GitHub\eaglep3\Utilities\RefineRTDCRunTimes.py" --tripid 123-05 --locoid 4009 --swversion DE.1.0.9.0 --startMP 204:462 --initTime 2017-03-05T06:25:17 --startdatetime 2017-03-05T06:30:18 --delay 3 --endMP 204:233295 --enddatetime 2017-03-05T07:06:52 --enforcementcount 0 &gt;&gt;C:\Users\stu\Documents\GitHub\eaglep3-reporting\EC\2017-03-05-refined-times.txt</v>
      </c>
      <c r="AI3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{"issue":{"subject":"","project_id":79,"tracker_id":40,"status_id":1,"priority_id":2,"assigned_to_id":23,"start_date":"2017-03-05","description":"","custom_fields":[{"id":1,"name":"Subdivision","value":"EC"},{"id":4,"name":"Milepost","value":"23.3295"},{"id":17,"name":"Train ID","value":"123-05"},{"id":16,"name":"Locomotive ID","value":"4009"},{"id":130,"name":"Impact","value":""},{"id":150,"name":"Time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4009 --day 2017-03-05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625</v>
      </c>
      <c r="B37" s="7">
        <v>4010</v>
      </c>
      <c r="C37" s="21" t="s">
        <v>252</v>
      </c>
      <c r="D37" s="21" t="s">
        <v>332</v>
      </c>
      <c r="E37" s="13">
        <v>42799.302407407406</v>
      </c>
      <c r="F37" s="13">
        <v>42799.309872685182</v>
      </c>
      <c r="G37" s="7">
        <v>1</v>
      </c>
      <c r="H37" s="21" t="s">
        <v>241</v>
      </c>
      <c r="I37" s="13">
        <v>42799.336921296293</v>
      </c>
      <c r="J37" s="7">
        <v>0</v>
      </c>
      <c r="K37" s="98" t="str">
        <f t="shared" si="0"/>
        <v>4009/4010</v>
      </c>
      <c r="L37" s="21" t="str">
        <f>VLOOKUP(A37,'Trips&amp;Operators'!$C$1:$G$99999,5,FALSE)</f>
        <v>ROBINSON KADDIBA</v>
      </c>
      <c r="M37" s="6">
        <f t="shared" si="1"/>
        <v>2.7048611111240461E-2</v>
      </c>
      <c r="N37" s="7">
        <f t="shared" si="19"/>
        <v>38.950000000186265</v>
      </c>
      <c r="O37" s="7"/>
      <c r="P37" s="7"/>
      <c r="Q37" s="22"/>
      <c r="R37" s="22"/>
      <c r="S37" s="31">
        <f t="shared" si="20"/>
        <v>1</v>
      </c>
      <c r="T37" s="46" t="str">
        <f t="shared" si="2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3"/>
        <v>https://d0f6bd738d7f1b3e5a7ca70fe4ff75f0.us-east-1.aws.found.io/app/kibana#/discover/Steve-Slow-Train-Analysis-(2080s-and-2083s)?_g=(refreshInterval:(display:Off,pause:!f,section:0,value:0),time:(from:'2017-03-05T06:15:28-0700',mode:absolute,to:'2017-03-05T09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187" t="str">
        <f t="shared" si="4"/>
        <v>N</v>
      </c>
      <c r="X37" s="187">
        <f t="shared" si="5"/>
        <v>1</v>
      </c>
      <c r="Y37" s="62">
        <f t="shared" si="6"/>
        <v>23.2988</v>
      </c>
      <c r="Z37" s="62">
        <f t="shared" si="7"/>
        <v>1.5599999999999999E-2</v>
      </c>
      <c r="AA37" s="62">
        <f t="shared" si="8"/>
        <v>23.283200000000001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0124-05</v>
      </c>
      <c r="AE37" s="85" t="str">
        <f t="shared" si="10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37" s="82" t="str">
        <f t="shared" si="11"/>
        <v>"C:\Program Files (x86)\AstroGrep\AstroGrep.exe" /spath="%USERPROFILE%\AppData\Local\Temp\OnboardLogs" /stypes="app*4010*20170305*" /stext=" 15:.+((SYSTEM_STATE.+slice.+state.+changed )|(ment ac)|(multiple cpu faults)|(system.+state.+changed )|(\[timeout)|(PRM\|1\|D)|(kpr)|(kdp)|(\|loc)|(crossing.((167)|(168)|(199)|(200))))" /e /r /s</v>
      </c>
      <c r="AG37" s="1" t="str">
        <f t="shared" si="12"/>
        <v>EC</v>
      </c>
      <c r="AH37" s="86" t="str">
        <f t="shared" si="16"/>
        <v>"%USERPROFILE%\Documents\GitHub\eaglep3\Utilities\RefineRTDCRunTimes.py" --tripid 124-05 --locoid 4010 --swversion DE.1.0.9.0 --startMP 204:232988 --initTime 2017-03-05T07:15:28 --startdatetime 2017-03-05T07:26:13 --delay 1 --endMP 204:156 --enddatetime 2017-03-05T08:05:10 --enforcementcount 0 &gt;&gt;C:\Users\stu\Documents\GitHub\eaglep3-reporting\EC\2017-03-05-refined-times.txt</v>
      </c>
      <c r="AI3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{"issue":{"subject":"","project_id":79,"tracker_id":40,"status_id":1,"priority_id":2,"assigned_to_id":23,"start_date":"2017-03-05","description":"","custom_fields":[{"id":1,"name":"Subdivision","value":"EC"},{"id":4,"name":"Milepost","value":"0.0156"},{"id":17,"name":"Train ID","value":"124-05"},{"id":16,"name":"Locomotive ID","value":"4010"},{"id":130,"name":"Impact","value":""},{"id":150,"name":"Time of Event (Mountain Time)","value":"08:05:10"},{"id":151,"name":"Denver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4010 --day 2017-03-05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619</v>
      </c>
      <c r="B38" s="7">
        <v>4027</v>
      </c>
      <c r="C38" s="21" t="s">
        <v>252</v>
      </c>
      <c r="D38" s="21" t="s">
        <v>201</v>
      </c>
      <c r="E38" s="13">
        <v>42799.275659722225</v>
      </c>
      <c r="F38" s="13">
        <v>42799.281423611108</v>
      </c>
      <c r="G38" s="7">
        <v>1</v>
      </c>
      <c r="H38" s="21" t="s">
        <v>263</v>
      </c>
      <c r="I38" s="13">
        <v>42799.306192129632</v>
      </c>
      <c r="J38" s="7">
        <v>0</v>
      </c>
      <c r="K38" s="98" t="str">
        <f t="shared" si="0"/>
        <v>4027/4028</v>
      </c>
      <c r="L38" s="21" t="str">
        <f>VLOOKUP(A38,'Trips&amp;Operators'!$C$1:$G$99999,5,FALSE)</f>
        <v>GEBRETEKLE DAGNEW</v>
      </c>
      <c r="M38" s="6">
        <f t="shared" si="1"/>
        <v>2.4768518524069805E-2</v>
      </c>
      <c r="N38" s="7">
        <f t="shared" si="19"/>
        <v>35.666666674660519</v>
      </c>
      <c r="O38" s="7"/>
      <c r="P38" s="7"/>
      <c r="Q38" s="22"/>
      <c r="R38" s="22"/>
      <c r="S38" s="31">
        <f t="shared" si="20"/>
        <v>1</v>
      </c>
      <c r="T38" s="46" t="str">
        <f t="shared" si="2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3"/>
        <v>https://d0f6bd738d7f1b3e5a7ca70fe4ff75f0.us-east-1.aws.found.io/app/kibana#/discover/Steve-Slow-Train-Analysis-(2080s-and-2083s)?_g=(refreshInterval:(display:Off,pause:!f,section:0,value:0),time:(from:'2017-03-05T05:36:57-0700',mode:absolute,to:'2017-03-05T08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87" t="str">
        <f t="shared" si="4"/>
        <v>N</v>
      </c>
      <c r="X38" s="187">
        <f t="shared" si="5"/>
        <v>1</v>
      </c>
      <c r="Y38" s="62">
        <f t="shared" si="6"/>
        <v>4.6199999999999998E-2</v>
      </c>
      <c r="Z38" s="62">
        <f t="shared" si="7"/>
        <v>23.330400000000001</v>
      </c>
      <c r="AA38" s="62">
        <f t="shared" si="8"/>
        <v>23.284200000000002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0125-05</v>
      </c>
      <c r="AE38" s="85" t="str">
        <f t="shared" si="10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38" s="82" t="str">
        <f t="shared" si="11"/>
        <v>"C:\Program Files (x86)\AstroGrep\AstroGrep.exe" /spath="%USERPROFILE%\AppData\Local\Temp\OnboardLogs" /stypes="app*4027*20170305*" /stext=" 14:.+((SYSTEM_STATE.+slice.+state.+changed )|(ment ac)|(multiple cpu faults)|(system.+state.+changed )|(\[timeout)|(PRM\|1\|D)|(kpr)|(kdp)|(\|loc)|(crossing.((167)|(168)|(199)|(200))))" /e /r /s</v>
      </c>
      <c r="AG38" s="1" t="str">
        <f t="shared" si="12"/>
        <v>EC</v>
      </c>
      <c r="AH38" s="86" t="str">
        <f t="shared" si="16"/>
        <v>"%USERPROFILE%\Documents\GitHub\eaglep3\Utilities\RefineRTDCRunTimes.py" --tripid 125-05 --locoid 4027 --swversion DE.1.0.9.0 --startMP 204:462 --initTime 2017-03-05T06:36:57 --startdatetime 2017-03-05T06:45:15 --delay 1 --endMP 204:233304 --enddatetime 2017-03-05T07:20:55 --enforcementcount 0 &gt;&gt;C:\Users\stu\Documents\GitHub\eaglep3-reporting\EC\2017-03-05-refined-times.txt</v>
      </c>
      <c r="AI38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{"issue":{"subject":"","project_id":79,"tracker_id":40,"status_id":1,"priority_id":2,"assigned_to_id":23,"start_date":"2017-03-05","description":"","custom_fields":[{"id":1,"name":"Subdivision","value":"EC"},{"id":4,"name":"Milepost","value":"23.3304"},{"id":17,"name":"Train ID","value":"125-05"},{"id":16,"name":"Locomotive ID","value":"4027"},{"id":130,"name":"Impact","value":""},{"id":150,"name":"Time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4027 --day 2017-03-05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627</v>
      </c>
      <c r="B39" s="7">
        <v>4028</v>
      </c>
      <c r="C39" s="21" t="s">
        <v>252</v>
      </c>
      <c r="D39" s="21" t="s">
        <v>283</v>
      </c>
      <c r="E39" s="13">
        <v>42799.315104166664</v>
      </c>
      <c r="F39" s="13">
        <v>42799.3203125</v>
      </c>
      <c r="G39" s="7">
        <v>1</v>
      </c>
      <c r="H39" s="21" t="s">
        <v>204</v>
      </c>
      <c r="I39" s="13">
        <v>42799.347175925926</v>
      </c>
      <c r="J39" s="7">
        <v>0</v>
      </c>
      <c r="K39" s="98" t="str">
        <f t="shared" si="0"/>
        <v>4027/4028</v>
      </c>
      <c r="L39" s="21" t="str">
        <f>VLOOKUP(A39,'Trips&amp;Operators'!$C$1:$G$99999,5,FALSE)</f>
        <v>GEBRETEKLE DAGNEW</v>
      </c>
      <c r="M39" s="6">
        <f t="shared" si="1"/>
        <v>2.6863425926421769E-2</v>
      </c>
      <c r="N39" s="7">
        <f t="shared" si="19"/>
        <v>38.683333334047347</v>
      </c>
      <c r="O39" s="7"/>
      <c r="P39" s="7"/>
      <c r="Q39" s="22"/>
      <c r="R39" s="22"/>
      <c r="S39" s="31">
        <f t="shared" si="20"/>
        <v>1</v>
      </c>
      <c r="T39" s="46" t="str">
        <f t="shared" si="2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3"/>
        <v>https://d0f6bd738d7f1b3e5a7ca70fe4ff75f0.us-east-1.aws.found.io/app/kibana#/discover/Steve-Slow-Train-Analysis-(2080s-and-2083s)?_g=(refreshInterval:(display:Off,pause:!f,section:0,value:0),time:(from:'2017-03-05T06:33:45-0700',mode:absolute,to:'2017-03-05T09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187" t="str">
        <f t="shared" si="4"/>
        <v>N</v>
      </c>
      <c r="X39" s="187">
        <f t="shared" si="5"/>
        <v>1</v>
      </c>
      <c r="Y39" s="62">
        <f t="shared" si="6"/>
        <v>23.3</v>
      </c>
      <c r="Z39" s="62">
        <f t="shared" si="7"/>
        <v>1.5800000000000002E-2</v>
      </c>
      <c r="AA39" s="62">
        <f t="shared" si="8"/>
        <v>23.284200000000002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0126-05</v>
      </c>
      <c r="AE39" s="85" t="str">
        <f t="shared" si="10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39" s="82" t="str">
        <f t="shared" si="11"/>
        <v>"C:\Program Files (x86)\AstroGrep\AstroGrep.exe" /spath="%USERPROFILE%\AppData\Local\Temp\OnboardLogs" /stypes="app*4028*20170305*" /stext=" 15:.+((SYSTEM_STATE.+slice.+state.+changed )|(ment ac)|(multiple cpu faults)|(system.+state.+changed )|(\[timeout)|(PRM\|1\|D)|(kpr)|(kdp)|(\|loc)|(crossing.((167)|(168)|(199)|(200))))" /e /r /s</v>
      </c>
      <c r="AG39" s="1" t="str">
        <f t="shared" si="12"/>
        <v>EC</v>
      </c>
      <c r="AH39" s="86" t="str">
        <f t="shared" si="16"/>
        <v>"%USERPROFILE%\Documents\GitHub\eaglep3\Utilities\RefineRTDCRunTimes.py" --tripid 126-05 --locoid 4028 --swversion DE.1.0.9.0 --startMP 204:233000 --initTime 2017-03-05T07:33:45 --startdatetime 2017-03-05T07:41:15 --delay 1 --endMP 204:158 --enddatetime 2017-03-05T08:19:56 --enforcementcount 0 &gt;&gt;C:\Users\stu\Documents\GitHub\eaglep3-reporting\EC\2017-03-05-refined-times.txt</v>
      </c>
      <c r="AI39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{"issue":{"subject":"","project_id":79,"tracker_id":40,"status_id":1,"priority_id":2,"assigned_to_id":23,"start_date":"2017-03-05","description":"","custom_fields":[{"id":1,"name":"Subdivision","value":"EC"},{"id":4,"name":"Milepost","value":"0.0158"},{"id":17,"name":"Train ID","value":"126-05"},{"id":16,"name":"Locomotive ID","value":"4028"},{"id":130,"name":"Impact","value":""},{"id":150,"name":"Time of Event (Mountain Time)","value":"08:19:56"},{"id":151,"name":"Denver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4028 --day 2017-03-05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621</v>
      </c>
      <c r="B40" s="7">
        <v>4018</v>
      </c>
      <c r="C40" s="21" t="s">
        <v>252</v>
      </c>
      <c r="D40" s="21" t="s">
        <v>246</v>
      </c>
      <c r="E40" s="13">
        <v>42799.285624999997</v>
      </c>
      <c r="F40" s="13">
        <v>42799.292025462964</v>
      </c>
      <c r="G40" s="7">
        <v>1</v>
      </c>
      <c r="H40" s="21" t="s">
        <v>806</v>
      </c>
      <c r="I40" s="13">
        <v>42799.316828703704</v>
      </c>
      <c r="J40" s="7">
        <v>0</v>
      </c>
      <c r="K40" s="98" t="str">
        <f t="shared" si="0"/>
        <v>4017/4018</v>
      </c>
      <c r="L40" s="21" t="str">
        <f>VLOOKUP(A40,'Trips&amp;Operators'!$C$1:$G$99999,5,FALSE)</f>
        <v>SANTIZO D. EDY</v>
      </c>
      <c r="M40" s="6">
        <f t="shared" si="1"/>
        <v>2.4803240739856847E-2</v>
      </c>
      <c r="N40" s="7">
        <f t="shared" si="19"/>
        <v>35.716666665393859</v>
      </c>
      <c r="O40" s="7"/>
      <c r="P40" s="7"/>
      <c r="Q40" s="22"/>
      <c r="R40" s="22"/>
      <c r="S40" s="31">
        <f t="shared" si="20"/>
        <v>1</v>
      </c>
      <c r="T40" s="46" t="str">
        <f t="shared" si="2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3"/>
        <v>https://d0f6bd738d7f1b3e5a7ca70fe4ff75f0.us-east-1.aws.found.io/app/kibana#/discover/Steve-Slow-Train-Analysis-(2080s-and-2083s)?_g=(refreshInterval:(display:Off,pause:!f,section:0,value:0),time:(from:'2017-03-05T05:51:18-0700',mode:absolute,to:'2017-03-05T08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0" s="187" t="str">
        <f t="shared" si="4"/>
        <v>N</v>
      </c>
      <c r="X40" s="187">
        <f t="shared" si="5"/>
        <v>1</v>
      </c>
      <c r="Y40" s="62">
        <f t="shared" si="6"/>
        <v>4.4699999999999997E-2</v>
      </c>
      <c r="Z40" s="62">
        <f t="shared" si="7"/>
        <v>23.331099999999999</v>
      </c>
      <c r="AA40" s="62">
        <f t="shared" si="8"/>
        <v>23.2864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0127-05</v>
      </c>
      <c r="AE40" s="85" t="str">
        <f t="shared" si="10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40" s="82" t="str">
        <f t="shared" si="11"/>
        <v>"C:\Program Files (x86)\AstroGrep\AstroGrep.exe" /spath="%USERPROFILE%\AppData\Local\Temp\OnboardLogs" /stypes="app*4018*20170305*" /stext=" 14:.+((SYSTEM_STATE.+slice.+state.+changed )|(ment ac)|(multiple cpu faults)|(system.+state.+changed )|(\[timeout)|(PRM\|1\|D)|(kpr)|(kdp)|(\|loc)|(crossing.((167)|(168)|(199)|(200))))" /e /r /s</v>
      </c>
      <c r="AG40" s="1" t="str">
        <f t="shared" si="12"/>
        <v>EC</v>
      </c>
      <c r="AH40" s="86" t="str">
        <f t="shared" si="16"/>
        <v>"%USERPROFILE%\Documents\GitHub\eaglep3\Utilities\RefineRTDCRunTimes.py" --tripid 127-05 --locoid 4018 --swversion DE.1.0.9.0 --startMP 204:447 --initTime 2017-03-05T06:51:18 --startdatetime 2017-03-05T07:00:31 --delay 1 --endMP 204:233311 --enddatetime 2017-03-05T07:36:14 --enforcementcount 0 &gt;&gt;C:\Users\stu\Documents\GitHub\eaglep3-reporting\EC\2017-03-05-refined-times.txt</v>
      </c>
      <c r="AI40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{"issue":{"subject":"","project_id":79,"tracker_id":40,"status_id":1,"priority_id":2,"assigned_to_id":23,"start_date":"2017-03-05","description":"","custom_fields":[{"id":1,"name":"Subdivision","value":"EC"},{"id":4,"name":"Milepost","value":"23.3311"},{"id":17,"name":"Train ID","value":"127-05"},{"id":16,"name":"Locomotive ID","value":"4018"},{"id":130,"name":"Impact","value":""},{"id":150,"name":"Time of Event (Mountain Time)","value":"07:36:14"},{"id":151,"name":"Denver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4018 --day 2017-03-05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629</v>
      </c>
      <c r="B41" s="7">
        <v>4017</v>
      </c>
      <c r="C41" s="21" t="s">
        <v>252</v>
      </c>
      <c r="D41" s="21" t="s">
        <v>238</v>
      </c>
      <c r="E41" s="13">
        <v>42799.317800925928</v>
      </c>
      <c r="F41" s="13">
        <v>42799.330775462964</v>
      </c>
      <c r="G41" s="7">
        <v>1</v>
      </c>
      <c r="H41" s="21" t="s">
        <v>807</v>
      </c>
      <c r="I41" s="13">
        <v>42799.357916666668</v>
      </c>
      <c r="J41" s="7">
        <v>0</v>
      </c>
      <c r="K41" s="98" t="str">
        <f t="shared" si="0"/>
        <v>4017/4018</v>
      </c>
      <c r="L41" s="21" t="str">
        <f>VLOOKUP(A41,'Trips&amp;Operators'!$C$1:$G$99999,5,FALSE)</f>
        <v>SANTIZO D. EDY</v>
      </c>
      <c r="M41" s="6">
        <f t="shared" si="1"/>
        <v>2.7141203703649808E-2</v>
      </c>
      <c r="N41" s="7">
        <f t="shared" si="19"/>
        <v>39.083333333255723</v>
      </c>
      <c r="O41" s="7"/>
      <c r="P41" s="7"/>
      <c r="Q41" s="22"/>
      <c r="R41" s="22"/>
      <c r="S41" s="31">
        <f t="shared" si="20"/>
        <v>1</v>
      </c>
      <c r="T41" s="46" t="str">
        <f t="shared" si="2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3"/>
        <v>https://d0f6bd738d7f1b3e5a7ca70fe4ff75f0.us-east-1.aws.found.io/app/kibana#/discover/Steve-Slow-Train-Analysis-(2080s-and-2083s)?_g=(refreshInterval:(display:Off,pause:!f,section:0,value:0),time:(from:'2017-03-05T06:37:38-0700',mode:absolute,to:'2017-03-05T09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1" s="187" t="str">
        <f t="shared" si="4"/>
        <v>N</v>
      </c>
      <c r="X41" s="187">
        <f t="shared" si="5"/>
        <v>1</v>
      </c>
      <c r="Y41" s="62">
        <f t="shared" si="6"/>
        <v>23.299600000000002</v>
      </c>
      <c r="Z41" s="62">
        <f t="shared" si="7"/>
        <v>1.6E-2</v>
      </c>
      <c r="AA41" s="62">
        <f t="shared" si="8"/>
        <v>23.283600000000003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0128-05</v>
      </c>
      <c r="AE41" s="85" t="str">
        <f t="shared" si="10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41" s="82" t="str">
        <f t="shared" si="11"/>
        <v>"C:\Program Files (x86)\AstroGrep\AstroGrep.exe" /spath="%USERPROFILE%\AppData\Local\Temp\OnboardLogs" /stypes="app*4017*20170305*" /stext=" 15:.+((SYSTEM_STATE.+slice.+state.+changed )|(ment ac)|(multiple cpu faults)|(system.+state.+changed )|(\[timeout)|(PRM\|1\|D)|(kpr)|(kdp)|(\|loc)|(crossing.((167)|(168)|(199)|(200))))" /e /r /s</v>
      </c>
      <c r="AG41" s="1" t="str">
        <f t="shared" si="12"/>
        <v>EC</v>
      </c>
      <c r="AH41" s="86" t="str">
        <f t="shared" si="16"/>
        <v>"%USERPROFILE%\Documents\GitHub\eaglep3\Utilities\RefineRTDCRunTimes.py" --tripid 128-05 --locoid 4017 --swversion DE.1.0.9.0 --startMP 204:232996 --initTime 2017-03-05T07:37:38 --startdatetime 2017-03-05T07:56:19 --delay 1 --endMP 204:160 --enddatetime 2017-03-05T08:35:24 --enforcementcount 0 &gt;&gt;C:\Users\stu\Documents\GitHub\eaglep3-reporting\EC\2017-03-05-refined-times.txt</v>
      </c>
      <c r="AI41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{"issue":{"subject":"","project_id":79,"tracker_id":40,"status_id":1,"priority_id":2,"assigned_to_id":23,"start_date":"2017-03-05","description":"","custom_fields":[{"id":1,"name":"Subdivision","value":"EC"},{"id":4,"name":"Milepost","value":"0.016"},{"id":17,"name":"Train ID","value":"128-05"},{"id":16,"name":"Locomotive ID","value":"4017"},{"id":130,"name":"Impact","value":""},{"id":150,"name":"Time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4017 --day 2017-03-05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623</v>
      </c>
      <c r="B42" s="7">
        <v>4029</v>
      </c>
      <c r="C42" s="21" t="s">
        <v>252</v>
      </c>
      <c r="D42" s="21" t="s">
        <v>281</v>
      </c>
      <c r="E42" s="13">
        <v>42799.298807870371</v>
      </c>
      <c r="F42" s="13">
        <v>42799.302233796298</v>
      </c>
      <c r="G42" s="7">
        <v>1</v>
      </c>
      <c r="H42" s="21" t="s">
        <v>261</v>
      </c>
      <c r="I42" s="13">
        <v>42799.328379629631</v>
      </c>
      <c r="J42" s="7">
        <v>0</v>
      </c>
      <c r="K42" s="98" t="str">
        <f t="shared" si="0"/>
        <v>4029/4030</v>
      </c>
      <c r="L42" s="21" t="str">
        <f>VLOOKUP(A42,'Trips&amp;Operators'!$C$1:$G$99999,5,FALSE)</f>
        <v>SHOOK JOHN</v>
      </c>
      <c r="M42" s="6">
        <f t="shared" si="1"/>
        <v>2.6145833333430346E-2</v>
      </c>
      <c r="N42" s="7">
        <f t="shared" si="19"/>
        <v>37.650000000139698</v>
      </c>
      <c r="O42" s="7"/>
      <c r="P42" s="7"/>
      <c r="Q42" s="22"/>
      <c r="R42" s="22"/>
      <c r="S42" s="31">
        <f t="shared" si="20"/>
        <v>1</v>
      </c>
      <c r="T42" s="46" t="str">
        <f t="shared" si="2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3"/>
        <v>https://d0f6bd738d7f1b3e5a7ca70fe4ff75f0.us-east-1.aws.found.io/app/kibana#/discover/Steve-Slow-Train-Analysis-(2080s-and-2083s)?_g=(refreshInterval:(display:Off,pause:!f,section:0,value:0),time:(from:'2017-03-05T06:10:17-0700',mode:absolute,to:'2017-03-05T08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87" t="str">
        <f t="shared" si="4"/>
        <v>N</v>
      </c>
      <c r="X42" s="187">
        <f t="shared" si="5"/>
        <v>1</v>
      </c>
      <c r="Y42" s="62">
        <f t="shared" si="6"/>
        <v>4.7300000000000002E-2</v>
      </c>
      <c r="Z42" s="62">
        <f t="shared" si="7"/>
        <v>23.328900000000001</v>
      </c>
      <c r="AA42" s="62">
        <f t="shared" si="8"/>
        <v>23.281600000000001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0129-05</v>
      </c>
      <c r="AE42" s="85" t="str">
        <f t="shared" si="10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42" s="82" t="str">
        <f t="shared" si="11"/>
        <v>"C:\Program Files (x86)\AstroGrep\AstroGrep.exe" /spath="%USERPROFILE%\AppData\Local\Temp\OnboardLogs" /stypes="app*4029*20170305*" /stext=" 14:.+((SYSTEM_STATE.+slice.+state.+changed )|(ment ac)|(multiple cpu faults)|(system.+state.+changed )|(\[timeout)|(PRM\|1\|D)|(kpr)|(kdp)|(\|loc)|(crossing.((167)|(168)|(199)|(200))))" /e /r /s</v>
      </c>
      <c r="AG42" s="1" t="str">
        <f t="shared" si="12"/>
        <v>EC</v>
      </c>
      <c r="AH42" s="86" t="str">
        <f t="shared" si="16"/>
        <v>"%USERPROFILE%\Documents\GitHub\eaglep3\Utilities\RefineRTDCRunTimes.py" --tripid 129-05 --locoid 4029 --swversion DE.1.0.9.0 --startMP 204:473 --initTime 2017-03-05T07:10:17 --startdatetime 2017-03-05T07:15:13 --delay 1 --endMP 204:233289 --enddatetime 2017-03-05T07:52:52 --enforcementcount 0 &gt;&gt;C:\Users\stu\Documents\GitHub\eaglep3-reporting\EC\2017-03-05-refined-times.txt</v>
      </c>
      <c r="AI42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{"issue":{"subject":"","project_id":79,"tracker_id":40,"status_id":1,"priority_id":2,"assigned_to_id":23,"start_date":"2017-03-05","description":"","custom_fields":[{"id":1,"name":"Subdivision","value":"EC"},{"id":4,"name":"Milepost","value":"23.3289"},{"id":17,"name":"Train ID","value":"129-05"},{"id":16,"name":"Locomotive ID","value":"4029"},{"id":130,"name":"Impact","value":""},{"id":150,"name":"Time of Event (Mountain Time)","value":"07:52:52"},{"id":151,"name":"Denver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4029 --day 2017-03-05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542</v>
      </c>
      <c r="B43" s="7">
        <v>4030</v>
      </c>
      <c r="C43" s="21" t="s">
        <v>252</v>
      </c>
      <c r="D43" s="21" t="s">
        <v>300</v>
      </c>
      <c r="E43" s="13">
        <v>42799.33085648148</v>
      </c>
      <c r="F43" s="13">
        <v>42799.341157407405</v>
      </c>
      <c r="G43" s="7">
        <v>1</v>
      </c>
      <c r="H43" s="21" t="s">
        <v>192</v>
      </c>
      <c r="I43" s="13">
        <v>42799.368981481479</v>
      </c>
      <c r="J43" s="7">
        <v>0</v>
      </c>
      <c r="K43" s="98" t="str">
        <f t="shared" si="0"/>
        <v>4029/4030</v>
      </c>
      <c r="L43" s="21" t="str">
        <f>VLOOKUP(A43,'Trips&amp;Operators'!$C$1:$G$99999,5,FALSE)</f>
        <v>SHOOK JOHN</v>
      </c>
      <c r="M43" s="6">
        <f t="shared" si="1"/>
        <v>2.7824074073578231E-2</v>
      </c>
      <c r="N43" s="7">
        <f t="shared" si="19"/>
        <v>40.066666665952653</v>
      </c>
      <c r="O43" s="7"/>
      <c r="P43" s="7"/>
      <c r="Q43" s="22"/>
      <c r="R43" s="22"/>
      <c r="S43" s="31">
        <f t="shared" si="20"/>
        <v>1</v>
      </c>
      <c r="T43" s="46" t="str">
        <f t="shared" si="2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3"/>
        <v>https://d0f6bd738d7f1b3e5a7ca70fe4ff75f0.us-east-1.aws.found.io/app/kibana#/discover/Steve-Slow-Train-Analysis-(2080s-and-2083s)?_g=(refreshInterval:(display:Off,pause:!f,section:0,value:0),time:(from:'2017-03-05T06:56:26-0700',mode:absolute,to:'2017-03-05T09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7" t="str">
        <f t="shared" si="4"/>
        <v>N</v>
      </c>
      <c r="X43" s="187">
        <f t="shared" si="5"/>
        <v>1</v>
      </c>
      <c r="Y43" s="62">
        <f t="shared" si="6"/>
        <v>23.300799999999999</v>
      </c>
      <c r="Z43" s="62">
        <f t="shared" si="7"/>
        <v>1.4999999999999999E-2</v>
      </c>
      <c r="AA43" s="62">
        <f t="shared" si="8"/>
        <v>23.285799999999998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0130-05</v>
      </c>
      <c r="AE43" s="85" t="str">
        <f t="shared" si="10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43" s="82" t="str">
        <f t="shared" si="11"/>
        <v>"C:\Program Files (x86)\AstroGrep\AstroGrep.exe" /spath="%USERPROFILE%\AppData\Local\Temp\OnboardLogs" /stypes="app*4030*20170305*" /stext=" 15:.+((SYSTEM_STATE.+slice.+state.+changed )|(ment ac)|(multiple cpu faults)|(system.+state.+changed )|(\[timeout)|(PRM\|1\|D)|(kpr)|(kdp)|(\|loc)|(crossing.((167)|(168)|(199)|(200))))" /e /r /s</v>
      </c>
      <c r="AG43" s="1" t="str">
        <f t="shared" si="12"/>
        <v>EC</v>
      </c>
      <c r="AH43" s="86" t="str">
        <f t="shared" si="16"/>
        <v>"%USERPROFILE%\Documents\GitHub\eaglep3\Utilities\RefineRTDCRunTimes.py" --tripid 130-05 --locoid 4030 --swversion DE.1.0.9.0 --startMP 204:233008 --initTime 2017-03-05T07:56:26 --startdatetime 2017-03-05T08:11:16 --delay 1 --endMP 204:150 --enddatetime 2017-03-05T08:51:20 --enforcementcount 0 &gt;&gt;C:\Users\stu\Documents\GitHub\eaglep3-reporting\EC\2017-03-05-refined-times.txt</v>
      </c>
      <c r="AI43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{"issue":{"subject":"","project_id":79,"tracker_id":40,"status_id":1,"priority_id":2,"assigned_to_id":23,"start_date":"2017-03-05","description":"","custom_fields":[{"id":1,"name":"Subdivision","value":"EC"},{"id":4,"name":"Milepost","value":"0.015"},{"id":17,"name":"Train ID","value":"130-05"},{"id":16,"name":"Locomotive ID","value":"4030"},{"id":130,"name":"Impact","value":""},{"id":150,"name":"Time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4030 --day 2017-03-05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"%USERPROFILE%\AppData\Local\Temp\OnboardLogs"\RTDC4030\*4030*20170305* | grep -SE "(Enforcement Action)|(\[TIMEOUT)|(CHR.+\|PRM\|1\|D.+(SWITCH|SIGNAL).+UNKNOWN)" - &gt;&gt; 2017-03-05-UncaughtWiMAX.txt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626</v>
      </c>
      <c r="B44" s="7">
        <v>4025</v>
      </c>
      <c r="C44" s="21" t="s">
        <v>252</v>
      </c>
      <c r="D44" s="21" t="s">
        <v>253</v>
      </c>
      <c r="E44" s="13">
        <v>42799.308472222219</v>
      </c>
      <c r="F44" s="13">
        <v>42799.312777777777</v>
      </c>
      <c r="G44" s="7">
        <v>1</v>
      </c>
      <c r="H44" s="21" t="s">
        <v>808</v>
      </c>
      <c r="I44" s="13">
        <v>42799.337708333333</v>
      </c>
      <c r="J44" s="7">
        <v>0</v>
      </c>
      <c r="K44" s="98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2.4930555555329192E-2</v>
      </c>
      <c r="N44" s="7">
        <f t="shared" si="19"/>
        <v>35.899999999674037</v>
      </c>
      <c r="O44" s="7"/>
      <c r="P44" s="7"/>
      <c r="Q44" s="22"/>
      <c r="R44" s="22"/>
      <c r="S44" s="31">
        <f t="shared" si="20"/>
        <v>1</v>
      </c>
      <c r="T44" s="46" t="str">
        <f t="shared" si="2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3"/>
        <v>https://d0f6bd738d7f1b3e5a7ca70fe4ff75f0.us-east-1.aws.found.io/app/kibana#/discover/Steve-Slow-Train-Analysis-(2080s-and-2083s)?_g=(refreshInterval:(display:Off,pause:!f,section:0,value:0),time:(from:'2017-03-05T06:24:12-0700',mode:absolute,to:'2017-03-05T09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87" t="str">
        <f t="shared" si="4"/>
        <v>N</v>
      </c>
      <c r="X44" s="187">
        <f t="shared" si="5"/>
        <v>1</v>
      </c>
      <c r="Y44" s="62">
        <f t="shared" si="6"/>
        <v>4.58E-2</v>
      </c>
      <c r="Z44" s="62">
        <f t="shared" si="7"/>
        <v>23.3324</v>
      </c>
      <c r="AA44" s="62">
        <f t="shared" si="8"/>
        <v>23.2866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0131-05</v>
      </c>
      <c r="AE44" s="85" t="str">
        <f t="shared" si="10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44" s="82" t="str">
        <f t="shared" si="11"/>
        <v>"C:\Program Files (x86)\AstroGrep\AstroGrep.exe" /spath="%USERPROFILE%\AppData\Local\Temp\OnboardLogs" /stypes="app*4025*20170305*" /stext=" 15:.+((SYSTEM_STATE.+slice.+state.+changed )|(ment ac)|(multiple cpu faults)|(system.+state.+changed )|(\[timeout)|(PRM\|1\|D)|(kpr)|(kdp)|(\|loc)|(crossing.((167)|(168)|(199)|(200))))" /e /r /s</v>
      </c>
      <c r="AG44" s="1" t="str">
        <f t="shared" si="12"/>
        <v>EC</v>
      </c>
      <c r="AH44" s="86" t="str">
        <f t="shared" si="16"/>
        <v>"%USERPROFILE%\Documents\GitHub\eaglep3\Utilities\RefineRTDCRunTimes.py" --tripid 131-05 --locoid 4025 --swversion DE.1.0.9.0 --startMP 204:458 --initTime 2017-03-05T07:24:12 --startdatetime 2017-03-05T07:30:24 --delay 1 --endMP 204:233324 --enddatetime 2017-03-05T08:06:18 --enforcementcount 0 &gt;&gt;C:\Users\stu\Documents\GitHub\eaglep3-reporting\EC\2017-03-05-refined-times.txt</v>
      </c>
      <c r="AI44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{"issue":{"subject":"","project_id":79,"tracker_id":40,"status_id":1,"priority_id":2,"assigned_to_id":23,"start_date":"2017-03-05","description":"","custom_fields":[{"id":1,"name":"Subdivision","value":"EC"},{"id":4,"name":"Milepost","value":"23.3324"},{"id":17,"name":"Train ID","value":"131-05"},{"id":16,"name":"Locomotive ID","value":"4025"},{"id":130,"name":"Impact","value":""},{"id":150,"name":"Time of Event (Mountain Time)","value":"08:06:18"},{"id":151,"name":"Denver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4025 --day 2017-03-05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636</v>
      </c>
      <c r="B45" s="7">
        <v>4026</v>
      </c>
      <c r="C45" s="21" t="s">
        <v>252</v>
      </c>
      <c r="D45" s="21" t="s">
        <v>255</v>
      </c>
      <c r="E45" s="13">
        <v>42799.344872685186</v>
      </c>
      <c r="F45" s="13">
        <v>42799.351678240739</v>
      </c>
      <c r="G45" s="7">
        <v>0</v>
      </c>
      <c r="H45" s="21" t="s">
        <v>809</v>
      </c>
      <c r="I45" s="13">
        <v>42799.378912037035</v>
      </c>
      <c r="J45" s="7">
        <v>0</v>
      </c>
      <c r="K45" s="98" t="str">
        <f t="shared" si="0"/>
        <v>4025/4026</v>
      </c>
      <c r="L45" s="21" t="str">
        <f>VLOOKUP(A45,'Trips&amp;Operators'!$C$1:$G$99999,5,FALSE)</f>
        <v>MAELZER KURT</v>
      </c>
      <c r="M45" s="6">
        <f t="shared" si="1"/>
        <v>2.7233796296059154E-2</v>
      </c>
      <c r="N45" s="7">
        <f t="shared" si="19"/>
        <v>39.216666666325182</v>
      </c>
      <c r="O45" s="7"/>
      <c r="P45" s="7"/>
      <c r="Q45" s="22"/>
      <c r="R45" s="22"/>
      <c r="S45" s="31">
        <f t="shared" si="20"/>
        <v>1</v>
      </c>
      <c r="T45" s="46" t="str">
        <f t="shared" si="2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3"/>
        <v>https://d0f6bd738d7f1b3e5a7ca70fe4ff75f0.us-east-1.aws.found.io/app/kibana#/discover/Steve-Slow-Train-Analysis-(2080s-and-2083s)?_g=(refreshInterval:(display:Off,pause:!f,section:0,value:0),time:(from:'2017-03-05T07:16:37-0700',mode:absolute,to:'2017-03-05T10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187" t="str">
        <f t="shared" si="4"/>
        <v>N</v>
      </c>
      <c r="X45" s="187">
        <f t="shared" ref="X45:X76" si="21">VALUE(LEFT(AD45,4))-VALUE(LEFT(AD44,4))</f>
        <v>1</v>
      </c>
      <c r="Y45" s="62">
        <f t="shared" si="6"/>
        <v>23.299399999999999</v>
      </c>
      <c r="Z45" s="62">
        <f t="shared" si="7"/>
        <v>1.32E-2</v>
      </c>
      <c r="AA45" s="62">
        <f t="shared" si="8"/>
        <v>23.286199999999997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0132-05</v>
      </c>
      <c r="AE45" s="85" t="str">
        <f t="shared" si="10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45" s="82" t="str">
        <f t="shared" si="11"/>
        <v>"C:\Program Files (x86)\AstroGrep\AstroGrep.exe" /spath="%USERPROFILE%\AppData\Local\Temp\OnboardLogs" /stypes="app*4026*20170305*" /stext=" 16:.+((SYSTEM_STATE.+slice.+state.+changed )|(ment ac)|(multiple cpu faults)|(system.+state.+changed )|(\[timeout)|(PRM\|1\|D)|(kpr)|(kdp)|(\|loc)|(crossing.((167)|(168)|(199)|(200))))" /e /r /s</v>
      </c>
      <c r="AG45" s="1" t="str">
        <f t="shared" si="12"/>
        <v>EC</v>
      </c>
      <c r="AH45" s="86" t="str">
        <f t="shared" si="16"/>
        <v>"%USERPROFILE%\Documents\GitHub\eaglep3\Utilities\RefineRTDCRunTimes.py" --tripid 132-05 --locoid 4026 --swversion DE.1.0.9.0 --startMP 204:232994 --initTime 2017-03-05T08:16:37 --startdatetime 2017-03-05T08:26:25 --delay 0 --endMP 204:132 --enddatetime 2017-03-05T09:05:38 --enforcementcount 0 &gt;&gt;C:\Users\stu\Documents\GitHub\eaglep3-reporting\EC\2017-03-05-refined-times.txt</v>
      </c>
      <c r="AI4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{"issue":{"subject":"","project_id":79,"tracker_id":40,"status_id":1,"priority_id":2,"assigned_to_id":23,"start_date":"2017-03-05","description":"","custom_fields":[{"id":1,"name":"Subdivision","value":"EC"},{"id":4,"name":"Milepost","value":"0.0132"},{"id":17,"name":"Train ID","value":"132-05"},{"id":16,"name":"Locomotive ID","value":"4026"},{"id":130,"name":"Impact","value":""},{"id":150,"name":"Time of Event (Mountain Time)","value":"09:05:38"},{"id":151,"name":"Denver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4026 --day 2017-03-05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630</v>
      </c>
      <c r="B46" s="7">
        <v>4044</v>
      </c>
      <c r="C46" s="21" t="s">
        <v>252</v>
      </c>
      <c r="D46" s="21" t="s">
        <v>228</v>
      </c>
      <c r="E46" s="13">
        <v>42799.319502314815</v>
      </c>
      <c r="F46" s="13">
        <v>42799.323067129626</v>
      </c>
      <c r="G46" s="7">
        <v>1</v>
      </c>
      <c r="H46" s="21" t="s">
        <v>242</v>
      </c>
      <c r="I46" s="13">
        <v>42799.34847222222</v>
      </c>
      <c r="J46" s="7">
        <v>0</v>
      </c>
      <c r="K46" s="98" t="str">
        <f t="shared" si="0"/>
        <v>4043/4044</v>
      </c>
      <c r="L46" s="21" t="str">
        <f>VLOOKUP(A46,'Trips&amp;Operators'!$C$1:$G$99999,5,FALSE)</f>
        <v>BADERTSCHER DIANE</v>
      </c>
      <c r="M46" s="6">
        <f t="shared" si="1"/>
        <v>2.5405092594155576E-2</v>
      </c>
      <c r="N46" s="7">
        <f t="shared" si="19"/>
        <v>36.58333333558403</v>
      </c>
      <c r="O46" s="7"/>
      <c r="P46" s="7"/>
      <c r="Q46" s="22"/>
      <c r="R46" s="22"/>
      <c r="S46" s="31">
        <f t="shared" si="20"/>
        <v>1</v>
      </c>
      <c r="T46" s="46" t="str">
        <f t="shared" si="2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3"/>
        <v>https://d0f6bd738d7f1b3e5a7ca70fe4ff75f0.us-east-1.aws.found.io/app/kibana#/discover/Steve-Slow-Train-Analysis-(2080s-and-2083s)?_g=(refreshInterval:(display:Off,pause:!f,section:0,value:0),time:(from:'2017-03-05T06:40:05-0700',mode:absolute,to:'2017-03-05T09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6" s="187" t="str">
        <f t="shared" si="4"/>
        <v>N</v>
      </c>
      <c r="X46" s="187">
        <f t="shared" si="21"/>
        <v>1</v>
      </c>
      <c r="Y46" s="62">
        <f t="shared" si="6"/>
        <v>4.53E-2</v>
      </c>
      <c r="Z46" s="62">
        <f t="shared" si="7"/>
        <v>23.331</v>
      </c>
      <c r="AA46" s="62">
        <f t="shared" si="8"/>
        <v>23.285699999999999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0133-05</v>
      </c>
      <c r="AE46" s="85" t="str">
        <f t="shared" si="10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46" s="82" t="str">
        <f t="shared" si="11"/>
        <v>"C:\Program Files (x86)\AstroGrep\AstroGrep.exe" /spath="%USERPROFILE%\AppData\Local\Temp\OnboardLogs" /stypes="app*4044*20170305*" /stext=" 15:.+((SYSTEM_STATE.+slice.+state.+changed )|(ment ac)|(multiple cpu faults)|(system.+state.+changed )|(\[timeout)|(PRM\|1\|D)|(kpr)|(kdp)|(\|loc)|(crossing.((167)|(168)|(199)|(200))))" /e /r /s</v>
      </c>
      <c r="AG46" s="1" t="str">
        <f t="shared" si="12"/>
        <v>EC</v>
      </c>
      <c r="AH46" s="86" t="str">
        <f t="shared" si="16"/>
        <v>"%USERPROFILE%\Documents\GitHub\eaglep3\Utilities\RefineRTDCRunTimes.py" --tripid 133-05 --locoid 4044 --swversion DE.1.0.9.0 --startMP 204:453 --initTime 2017-03-05T07:40:05 --startdatetime 2017-03-05T07:45:13 --delay 1 --endMP 204:233310 --enddatetime 2017-03-05T08:21:48 --enforcementcount 0 &gt;&gt;C:\Users\stu\Documents\GitHub\eaglep3-reporting\EC\2017-03-05-refined-times.txt</v>
      </c>
      <c r="AI4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{"issue":{"subject":"","project_id":79,"tracker_id":40,"status_id":1,"priority_id":2,"assigned_to_id":23,"start_date":"2017-03-05","description":"","custom_fields":[{"id":1,"name":"Subdivision","value":"EC"},{"id":4,"name":"Milepost","value":"23.331"},{"id":17,"name":"Train ID","value":"133-05"},{"id":16,"name":"Locomotive ID","value":"4044"},{"id":130,"name":"Impact","value":""},{"id":150,"name":"Time of Event (Mountain Time)","value":"08:21:48"},{"id":151,"name":"Denver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4044 --day 2017-03-05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638</v>
      </c>
      <c r="B47" s="7">
        <v>4043</v>
      </c>
      <c r="C47" s="21" t="s">
        <v>252</v>
      </c>
      <c r="D47" s="21" t="s">
        <v>310</v>
      </c>
      <c r="E47" s="13">
        <v>42799.35732638889</v>
      </c>
      <c r="F47" s="13">
        <v>42799.363518518519</v>
      </c>
      <c r="G47" s="7">
        <v>2</v>
      </c>
      <c r="H47" s="21" t="s">
        <v>515</v>
      </c>
      <c r="I47" s="13">
        <v>42799.390208333331</v>
      </c>
      <c r="J47" s="7">
        <v>0</v>
      </c>
      <c r="K47" s="98" t="str">
        <f t="shared" si="0"/>
        <v>4043/4044</v>
      </c>
      <c r="L47" s="21" t="str">
        <f>VLOOKUP(A47,'Trips&amp;Operators'!$C$1:$G$99999,5,FALSE)</f>
        <v>BADERTSCHER DIANE</v>
      </c>
      <c r="M47" s="6">
        <f t="shared" si="1"/>
        <v>2.6689814811106771E-2</v>
      </c>
      <c r="N47" s="7">
        <f t="shared" ref="N47:N78" si="22">24*60*SUM($M47:$M47)</f>
        <v>38.433333327993751</v>
      </c>
      <c r="O47" s="7"/>
      <c r="P47" s="7"/>
      <c r="Q47" s="22"/>
      <c r="R47" s="22"/>
      <c r="S47" s="31">
        <f t="shared" si="20"/>
        <v>1</v>
      </c>
      <c r="T47" s="46" t="str">
        <f t="shared" si="2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3"/>
        <v>https://d0f6bd738d7f1b3e5a7ca70fe4ff75f0.us-east-1.aws.found.io/app/kibana#/discover/Steve-Slow-Train-Analysis-(2080s-and-2083s)?_g=(refreshInterval:(display:Off,pause:!f,section:0,value:0),time:(from:'2017-03-05T07:34:33-0700',mode:absolute,to:'2017-03-05T10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7" s="187" t="str">
        <f t="shared" si="4"/>
        <v>N</v>
      </c>
      <c r="X47" s="187">
        <f t="shared" si="21"/>
        <v>1</v>
      </c>
      <c r="Y47" s="62">
        <f t="shared" si="6"/>
        <v>23.299099999999999</v>
      </c>
      <c r="Z47" s="62">
        <f t="shared" si="7"/>
        <v>1.38E-2</v>
      </c>
      <c r="AA47" s="62">
        <f t="shared" si="8"/>
        <v>23.285299999999999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0134-05</v>
      </c>
      <c r="AE47" s="85" t="str">
        <f t="shared" si="10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47" s="82" t="str">
        <f t="shared" si="11"/>
        <v>"C:\Program Files (x86)\AstroGrep\AstroGrep.exe" /spath="%USERPROFILE%\AppData\Local\Temp\OnboardLogs" /stypes="app*4043*20170305*" /stext=" 16:.+((SYSTEM_STATE.+slice.+state.+changed )|(ment ac)|(multiple cpu faults)|(system.+state.+changed )|(\[timeout)|(PRM\|1\|D)|(kpr)|(kdp)|(\|loc)|(crossing.((167)|(168)|(199)|(200))))" /e /r /s</v>
      </c>
      <c r="AG47" s="1" t="str">
        <f t="shared" si="12"/>
        <v>EC</v>
      </c>
      <c r="AH47" s="86" t="str">
        <f t="shared" si="16"/>
        <v>"%USERPROFILE%\Documents\GitHub\eaglep3\Utilities\RefineRTDCRunTimes.py" --tripid 134-05 --locoid 4043 --swversion DE.1.0.9.0 --startMP 204:232991 --initTime 2017-03-05T08:34:33 --startdatetime 2017-03-05T08:43:28 --delay 2 --endMP 204:138 --enddatetime 2017-03-05T09:21:54 --enforcementcount 0 &gt;&gt;C:\Users\stu\Documents\GitHub\eaglep3-reporting\EC\2017-03-05-refined-times.txt</v>
      </c>
      <c r="AI4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{"issue":{"subject":"","project_id":79,"tracker_id":40,"status_id":1,"priority_id":2,"assigned_to_id":23,"start_date":"2017-03-05","description":"","custom_fields":[{"id":1,"name":"Subdivision","value":"EC"},{"id":4,"name":"Milepost","value":"0.0138"},{"id":17,"name":"Train ID","value":"134-05"},{"id":16,"name":"Locomotive ID","value":"4043"},{"id":130,"name":"Impact","value":""},{"id":150,"name":"Time of Event (Mountain Time)","value":"09:21:54"},{"id":151,"name":"Denver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4043 --day 2017-03-05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"%USERPROFILE%\AppData\Local\Temp\OnboardLogs"\RTDC4043\*4043*20170305* | grep -SE "(Enforcement Action)|(\[TIMEOUT)|(CHR.+\|PRM\|1\|D.+(SWITCH|SIGNAL).+UNKNOWN)" - &gt;&gt; 2017-03-05-UncaughtWiMAX.txt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631</v>
      </c>
      <c r="B48" s="7">
        <v>4014</v>
      </c>
      <c r="C48" s="21" t="s">
        <v>252</v>
      </c>
      <c r="D48" s="21" t="s">
        <v>220</v>
      </c>
      <c r="E48" s="13">
        <v>42799.329710648148</v>
      </c>
      <c r="F48" s="13">
        <v>42799.333506944444</v>
      </c>
      <c r="G48" s="7">
        <v>1</v>
      </c>
      <c r="H48" s="21" t="s">
        <v>805</v>
      </c>
      <c r="I48" s="13">
        <v>42799.358206018522</v>
      </c>
      <c r="J48" s="7">
        <v>0</v>
      </c>
      <c r="K48" s="98" t="str">
        <f t="shared" si="0"/>
        <v>4013/4014</v>
      </c>
      <c r="L48" s="21" t="str">
        <f>VLOOKUP(A48,'Trips&amp;Operators'!$C$1:$G$99999,5,FALSE)</f>
        <v>DELGADO DIANAH</v>
      </c>
      <c r="M48" s="6">
        <f t="shared" si="1"/>
        <v>2.4699074077943806E-2</v>
      </c>
      <c r="N48" s="7">
        <f t="shared" si="22"/>
        <v>35.56666667223908</v>
      </c>
      <c r="O48" s="7"/>
      <c r="P48" s="7"/>
      <c r="Q48" s="22"/>
      <c r="R48" s="22"/>
      <c r="S48" s="31">
        <f t="shared" si="20"/>
        <v>1</v>
      </c>
      <c r="T48" s="46" t="str">
        <f t="shared" si="2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3"/>
        <v>https://d0f6bd738d7f1b3e5a7ca70fe4ff75f0.us-east-1.aws.found.io/app/kibana#/discover/Steve-Slow-Train-Analysis-(2080s-and-2083s)?_g=(refreshInterval:(display:Off,pause:!f,section:0,value:0),time:(from:'2017-03-05T06:54:47-0700',mode:absolute,to:'2017-03-05T09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187" t="str">
        <f t="shared" si="4"/>
        <v>N</v>
      </c>
      <c r="X48" s="187">
        <f t="shared" si="21"/>
        <v>1</v>
      </c>
      <c r="Y48" s="62">
        <f t="shared" si="6"/>
        <v>4.5699999999999998E-2</v>
      </c>
      <c r="Z48" s="62">
        <f t="shared" si="7"/>
        <v>23.331600000000002</v>
      </c>
      <c r="AA48" s="62">
        <f t="shared" si="8"/>
        <v>23.285900000000002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0135-05</v>
      </c>
      <c r="AE48" s="85" t="str">
        <f t="shared" si="10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48" s="82" t="str">
        <f t="shared" si="11"/>
        <v>"C:\Program Files (x86)\AstroGrep\AstroGrep.exe" /spath="%USERPROFILE%\AppData\Local\Temp\OnboardLogs" /stypes="app*4014*20170305*" /stext=" 15:.+((SYSTEM_STATE.+slice.+state.+changed )|(ment ac)|(multiple cpu faults)|(system.+state.+changed )|(\[timeout)|(PRM\|1\|D)|(kpr)|(kdp)|(\|loc)|(crossing.((167)|(168)|(199)|(200))))" /e /r /s</v>
      </c>
      <c r="AG48" s="1" t="str">
        <f t="shared" si="12"/>
        <v>EC</v>
      </c>
      <c r="AH48" s="86" t="str">
        <f t="shared" si="16"/>
        <v>"%USERPROFILE%\Documents\GitHub\eaglep3\Utilities\RefineRTDCRunTimes.py" --tripid 135-05 --locoid 4014 --swversion DE.1.0.9.0 --startMP 204:457 --initTime 2017-03-05T07:54:47 --startdatetime 2017-03-05T08:00:15 --delay 1 --endMP 204:233316 --enddatetime 2017-03-05T08:35:49 --enforcementcount 0 &gt;&gt;C:\Users\stu\Documents\GitHub\eaglep3-reporting\EC\2017-03-05-refined-times.txt</v>
      </c>
      <c r="AI48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{"issue":{"subject":"","project_id":79,"tracker_id":40,"status_id":1,"priority_id":2,"assigned_to_id":23,"start_date":"2017-03-05","description":"","custom_fields":[{"id":1,"name":"Subdivision","value":"EC"},{"id":4,"name":"Milepost","value":"23.3316"},{"id":17,"name":"Train ID","value":"135-05"},{"id":16,"name":"Locomotive ID","value":"4014"},{"id":130,"name":"Impact","value":""},{"id":150,"name":"Time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4014 --day 2017-03-05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641</v>
      </c>
      <c r="B49" s="7">
        <v>4013</v>
      </c>
      <c r="C49" s="21" t="s">
        <v>252</v>
      </c>
      <c r="D49" s="21" t="s">
        <v>286</v>
      </c>
      <c r="E49" s="13">
        <v>42799.364895833336</v>
      </c>
      <c r="F49" s="13">
        <v>42799.372442129628</v>
      </c>
      <c r="G49" s="7">
        <v>1</v>
      </c>
      <c r="H49" s="21" t="s">
        <v>184</v>
      </c>
      <c r="I49" s="13">
        <v>42799.399317129632</v>
      </c>
      <c r="J49" s="7">
        <v>0</v>
      </c>
      <c r="K49" s="98" t="str">
        <f t="shared" si="0"/>
        <v>4013/4014</v>
      </c>
      <c r="L49" s="21" t="str">
        <f>VLOOKUP(A49,'Trips&amp;Operators'!$C$1:$G$99999,5,FALSE)</f>
        <v>DELGADO DIANAH</v>
      </c>
      <c r="M49" s="6">
        <f t="shared" si="1"/>
        <v>2.6875000003201421E-2</v>
      </c>
      <c r="N49" s="7">
        <f t="shared" si="22"/>
        <v>38.700000004610047</v>
      </c>
      <c r="O49" s="7"/>
      <c r="P49" s="7"/>
      <c r="Q49" s="22"/>
      <c r="R49" s="22"/>
      <c r="S49" s="31">
        <f t="shared" si="20"/>
        <v>1</v>
      </c>
      <c r="T49" s="46" t="str">
        <f t="shared" si="2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3"/>
        <v>https://d0f6bd738d7f1b3e5a7ca70fe4ff75f0.us-east-1.aws.found.io/app/kibana#/discover/Steve-Slow-Train-Analysis-(2080s-and-2083s)?_g=(refreshInterval:(display:Off,pause:!f,section:0,value:0),time:(from:'2017-03-05T07:45:27-0700',mode:absolute,to:'2017-03-05T10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187" t="str">
        <f t="shared" si="4"/>
        <v>N</v>
      </c>
      <c r="X49" s="187">
        <f t="shared" si="21"/>
        <v>1</v>
      </c>
      <c r="Y49" s="62">
        <f t="shared" si="6"/>
        <v>23.297499999999999</v>
      </c>
      <c r="Z49" s="62">
        <f t="shared" si="7"/>
        <v>1.49E-2</v>
      </c>
      <c r="AA49" s="62">
        <f t="shared" si="8"/>
        <v>23.282599999999999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0136-05</v>
      </c>
      <c r="AE49" s="85" t="str">
        <f t="shared" si="10"/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49" s="82" t="str">
        <f t="shared" si="11"/>
        <v>"C:\Program Files (x86)\AstroGrep\AstroGrep.exe" /spath="%USERPROFILE%\AppData\Local\Temp\OnboardLogs" /stypes="app*4013*20170305*" /stext=" 16:.+((SYSTEM_STATE.+slice.+state.+changed )|(ment ac)|(multiple cpu faults)|(system.+state.+changed )|(\[timeout)|(PRM\|1\|D)|(kpr)|(kdp)|(\|loc)|(crossing.((167)|(168)|(199)|(200))))" /e /r /s</v>
      </c>
      <c r="AG49" s="1" t="str">
        <f t="shared" si="12"/>
        <v>EC</v>
      </c>
      <c r="AH49" s="86" t="str">
        <f t="shared" si="16"/>
        <v>"%USERPROFILE%\Documents\GitHub\eaglep3\Utilities\RefineRTDCRunTimes.py" --tripid 136-05 --locoid 4013 --swversion DE.1.0.9.0 --startMP 204:232975 --initTime 2017-03-05T08:45:27 --startdatetime 2017-03-05T08:56:19 --delay 1 --endMP 204:149 --enddatetime 2017-03-05T09:35:01 --enforcementcount 0 &gt;&gt;C:\Users\stu\Documents\GitHub\eaglep3-reporting\EC\2017-03-05-refined-times.txt</v>
      </c>
      <c r="AI49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ID","value":"136-05"},{"id":16,"name":"Locomotive ID","value":"4013"},{"id":130,"name":"Impact","value":""},{"id":150,"name":"Time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4013 --day 2017-03-05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635</v>
      </c>
      <c r="B50" s="7">
        <v>4009</v>
      </c>
      <c r="C50" s="21" t="s">
        <v>252</v>
      </c>
      <c r="D50" s="21" t="s">
        <v>228</v>
      </c>
      <c r="E50" s="13">
        <v>42799.340995370374</v>
      </c>
      <c r="F50" s="13">
        <v>42799.343900462962</v>
      </c>
      <c r="G50" s="7">
        <v>1</v>
      </c>
      <c r="H50" s="21" t="s">
        <v>242</v>
      </c>
      <c r="I50" s="13">
        <v>42799.369814814818</v>
      </c>
      <c r="J50" s="7">
        <v>0</v>
      </c>
      <c r="K50" s="98" t="str">
        <f t="shared" si="0"/>
        <v>4009/4010</v>
      </c>
      <c r="L50" s="21" t="str">
        <f>VLOOKUP(A50,'Trips&amp;Operators'!$C$1:$G$99999,5,FALSE)</f>
        <v>ROBINSON KADDIBA</v>
      </c>
      <c r="M50" s="6">
        <f t="shared" si="1"/>
        <v>2.5914351856044959E-2</v>
      </c>
      <c r="N50" s="7">
        <f t="shared" si="22"/>
        <v>37.316666672704741</v>
      </c>
      <c r="O50" s="7"/>
      <c r="P50" s="7"/>
      <c r="Q50" s="22"/>
      <c r="R50" s="22"/>
      <c r="S50" s="31">
        <f t="shared" si="20"/>
        <v>1</v>
      </c>
      <c r="T50" s="46" t="str">
        <f t="shared" si="2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3"/>
        <v>https://d0f6bd738d7f1b3e5a7ca70fe4ff75f0.us-east-1.aws.found.io/app/kibana#/discover/Steve-Slow-Train-Analysis-(2080s-and-2083s)?_g=(refreshInterval:(display:Off,pause:!f,section:0,value:0),time:(from:'2017-03-05T07:11:02-0700',mode:absolute,to:'2017-03-05T09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187" t="str">
        <f t="shared" si="4"/>
        <v>N</v>
      </c>
      <c r="X50" s="187">
        <f t="shared" si="21"/>
        <v>1</v>
      </c>
      <c r="Y50" s="62">
        <f t="shared" si="6"/>
        <v>4.53E-2</v>
      </c>
      <c r="Z50" s="62">
        <f t="shared" si="7"/>
        <v>23.331</v>
      </c>
      <c r="AA50" s="62">
        <f t="shared" si="8"/>
        <v>23.285699999999999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0137-05</v>
      </c>
      <c r="AE50" s="85" t="str">
        <f t="shared" si="10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50" s="82" t="str">
        <f t="shared" si="11"/>
        <v>"C:\Program Files (x86)\AstroGrep\AstroGrep.exe" /spath="%USERPROFILE%\AppData\Local\Temp\OnboardLogs" /stypes="app*4009*20170305*" /stext=" 15:.+((SYSTEM_STATE.+slice.+state.+changed )|(ment ac)|(multiple cpu faults)|(system.+state.+changed )|(\[timeout)|(PRM\|1\|D)|(kpr)|(kdp)|(\|loc)|(crossing.((167)|(168)|(199)|(200))))" /e /r /s</v>
      </c>
      <c r="AG50" s="1" t="str">
        <f t="shared" si="12"/>
        <v>EC</v>
      </c>
      <c r="AH50" s="86" t="str">
        <f t="shared" si="16"/>
        <v>"%USERPROFILE%\Documents\GitHub\eaglep3\Utilities\RefineRTDCRunTimes.py" --tripid 137-05 --locoid 4009 --swversion DE.1.0.9.0 --startMP 204:453 --initTime 2017-03-05T08:11:02 --startdatetime 2017-03-05T08:15:13 --delay 1 --endMP 204:233310 --enddatetime 2017-03-05T08:52:32 --enforcementcount 0 &gt;&gt;C:\Users\stu\Documents\GitHub\eaglep3-reporting\EC\2017-03-05-refined-times.txt</v>
      </c>
      <c r="AI50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{"issue":{"subject":"","project_id":79,"tracker_id":40,"status_id":1,"priority_id":2,"assigned_to_id":23,"start_date":"2017-03-05","description":"","custom_fields":[{"id":1,"name":"Subdivision","value":"EC"},{"id":4,"name":"Milepost","value":"23.331"},{"id":17,"name":"Train ID","value":"137-05"},{"id":16,"name":"Locomotive ID","value":"4009"},{"id":130,"name":"Impact","value":""},{"id":150,"name":"Time of Event (Mountain Time)","value":"08:52:32"},{"id":151,"name":"Denver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4009 --day 2017-03-05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643</v>
      </c>
      <c r="B51" s="7">
        <v>4010</v>
      </c>
      <c r="C51" s="21" t="s">
        <v>252</v>
      </c>
      <c r="D51" s="21" t="s">
        <v>810</v>
      </c>
      <c r="E51" s="13">
        <v>42799.379178240742</v>
      </c>
      <c r="F51" s="13">
        <v>42799.382835648146</v>
      </c>
      <c r="G51" s="7">
        <v>2</v>
      </c>
      <c r="H51" s="21" t="s">
        <v>301</v>
      </c>
      <c r="I51" s="13">
        <v>42799.410115740742</v>
      </c>
      <c r="J51" s="7">
        <v>0</v>
      </c>
      <c r="K51" s="98" t="str">
        <f t="shared" si="0"/>
        <v>4009/4010</v>
      </c>
      <c r="L51" s="21" t="str">
        <f>VLOOKUP(A51,'Trips&amp;Operators'!$C$1:$G$99999,5,FALSE)</f>
        <v>ROBINSON KADDIBA</v>
      </c>
      <c r="M51" s="6">
        <f t="shared" si="1"/>
        <v>2.7280092595901806E-2</v>
      </c>
      <c r="N51" s="7">
        <f t="shared" si="22"/>
        <v>39.283333338098601</v>
      </c>
      <c r="O51" s="7"/>
      <c r="P51" s="7"/>
      <c r="Q51" s="22"/>
      <c r="R51" s="22"/>
      <c r="S51" s="31">
        <f t="shared" si="20"/>
        <v>1</v>
      </c>
      <c r="T51" s="46" t="str">
        <f t="shared" si="2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3"/>
        <v>https://d0f6bd738d7f1b3e5a7ca70fe4ff75f0.us-east-1.aws.found.io/app/kibana#/discover/Steve-Slow-Train-Analysis-(2080s-and-2083s)?_g=(refreshInterval:(display:Off,pause:!f,section:0,value:0),time:(from:'2017-03-05T08:06:01-0700',mode:absolute,to:'2017-03-05T10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187" t="str">
        <f t="shared" si="4"/>
        <v>N</v>
      </c>
      <c r="X51" s="187">
        <f t="shared" si="21"/>
        <v>1</v>
      </c>
      <c r="Y51" s="62">
        <f t="shared" si="6"/>
        <v>23.299299999999999</v>
      </c>
      <c r="Z51" s="62">
        <f t="shared" si="7"/>
        <v>1.67E-2</v>
      </c>
      <c r="AA51" s="62">
        <f t="shared" si="8"/>
        <v>23.282599999999999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0138-05</v>
      </c>
      <c r="AE51" s="85" t="str">
        <f t="shared" si="10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51" s="82" t="str">
        <f t="shared" si="11"/>
        <v>"C:\Program Files (x86)\AstroGrep\AstroGrep.exe" /spath="%USERPROFILE%\AppData\Local\Temp\OnboardLogs" /stypes="app*4010*20170305*" /stext=" 16:.+((SYSTEM_STATE.+slice.+state.+changed )|(ment ac)|(multiple cpu faults)|(system.+state.+changed )|(\[timeout)|(PRM\|1\|D)|(kpr)|(kdp)|(\|loc)|(crossing.((167)|(168)|(199)|(200))))" /e /r /s</v>
      </c>
      <c r="AG51" s="1" t="str">
        <f t="shared" si="12"/>
        <v>EC</v>
      </c>
      <c r="AH51" s="86" t="str">
        <f t="shared" si="16"/>
        <v>"%USERPROFILE%\Documents\GitHub\eaglep3\Utilities\RefineRTDCRunTimes.py" --tripid 138-05 --locoid 4010 --swversion DE.1.0.9.0 --startMP 204:232993 --initTime 2017-03-05T09:06:01 --startdatetime 2017-03-05T09:11:17 --delay 2 --endMP 204:167 --enddatetime 2017-03-05T09:50:34 --enforcementcount 0 &gt;&gt;C:\Users\stu\Documents\GitHub\eaglep3-reporting\EC\2017-03-05-refined-times.txt</v>
      </c>
      <c r="AI51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{"issue":{"subject":"","project_id":79,"tracker_id":40,"status_id":1,"priority_id":2,"assigned_to_id":23,"start_date":"2017-03-05","description":"","custom_fields":[{"id":1,"name":"Subdivision","value":"EC"},{"id":4,"name":"Milepost","value":"0.0167"},{"id":17,"name":"Train ID","value":"138-05"},{"id":16,"name":"Locomotive ID","value":"4010"},{"id":130,"name":"Impact","value":""},{"id":150,"name":"Time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4010 --day 2017-03-05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637</v>
      </c>
      <c r="B52" s="7">
        <v>4027</v>
      </c>
      <c r="C52" s="21" t="s">
        <v>252</v>
      </c>
      <c r="D52" s="21" t="s">
        <v>295</v>
      </c>
      <c r="E52" s="13">
        <v>42799.349374999998</v>
      </c>
      <c r="F52" s="13">
        <v>42799.354351851849</v>
      </c>
      <c r="G52" s="7">
        <v>1</v>
      </c>
      <c r="H52" s="21" t="s">
        <v>307</v>
      </c>
      <c r="I52" s="13">
        <v>42799.378807870373</v>
      </c>
      <c r="J52" s="7">
        <v>0</v>
      </c>
      <c r="K52" s="98" t="str">
        <f t="shared" si="0"/>
        <v>4027/4028</v>
      </c>
      <c r="L52" s="21" t="str">
        <f>VLOOKUP(A52,'Trips&amp;Operators'!$C$1:$G$99999,5,FALSE)</f>
        <v>GEBRETEKLE DAGNEW</v>
      </c>
      <c r="M52" s="6">
        <f t="shared" si="1"/>
        <v>2.4456018523778766E-2</v>
      </c>
      <c r="N52" s="7">
        <f t="shared" si="22"/>
        <v>35.216666674241424</v>
      </c>
      <c r="O52" s="7"/>
      <c r="P52" s="7"/>
      <c r="Q52" s="22"/>
      <c r="R52" s="22"/>
      <c r="S52" s="31">
        <f t="shared" si="20"/>
        <v>1</v>
      </c>
      <c r="T52" s="46" t="str">
        <f t="shared" si="2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3"/>
        <v>https://d0f6bd738d7f1b3e5a7ca70fe4ff75f0.us-east-1.aws.found.io/app/kibana#/discover/Steve-Slow-Train-Analysis-(2080s-and-2083s)?_g=(refreshInterval:(display:Off,pause:!f,section:0,value:0),time:(from:'2017-03-05T07:23:06-0700',mode:absolute,to:'2017-03-05T10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87" t="str">
        <f t="shared" si="4"/>
        <v>N</v>
      </c>
      <c r="X52" s="187">
        <f t="shared" si="21"/>
        <v>1</v>
      </c>
      <c r="Y52" s="62">
        <f t="shared" si="6"/>
        <v>4.4200000000000003E-2</v>
      </c>
      <c r="Z52" s="62">
        <f t="shared" si="7"/>
        <v>23.329499999999999</v>
      </c>
      <c r="AA52" s="62">
        <f t="shared" si="8"/>
        <v>23.285299999999999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0139-05</v>
      </c>
      <c r="AE52" s="85" t="str">
        <f t="shared" si="10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52" s="82" t="str">
        <f t="shared" si="11"/>
        <v>"C:\Program Files (x86)\AstroGrep\AstroGrep.exe" /spath="%USERPROFILE%\AppData\Local\Temp\OnboardLogs" /stypes="app*4027*20170305*" /stext=" 16:.+((SYSTEM_STATE.+slice.+state.+changed )|(ment ac)|(multiple cpu faults)|(system.+state.+changed )|(\[timeout)|(PRM\|1\|D)|(kpr)|(kdp)|(\|loc)|(crossing.((167)|(168)|(199)|(200))))" /e /r /s</v>
      </c>
      <c r="AG52" s="1" t="str">
        <f t="shared" si="12"/>
        <v>EC</v>
      </c>
      <c r="AH52" s="86" t="str">
        <f t="shared" si="16"/>
        <v>"%USERPROFILE%\Documents\GitHub\eaglep3\Utilities\RefineRTDCRunTimes.py" --tripid 139-05 --locoid 4027 --swversion DE.1.0.9.0 --startMP 204:442 --initTime 2017-03-05T08:23:06 --startdatetime 2017-03-05T08:30:16 --delay 1 --endMP 204:233295 --enddatetime 2017-03-05T09:05:29 --enforcementcount 0 &gt;&gt;C:\Users\stu\Documents\GitHub\eaglep3-reporting\EC\2017-03-05-refined-times.txt</v>
      </c>
      <c r="AI52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{"issue":{"subject":"","project_id":79,"tracker_id":40,"status_id":1,"priority_id":2,"assigned_to_id":23,"start_date":"2017-03-05","description":"","custom_fields":[{"id":1,"name":"Subdivision","value":"EC"},{"id":4,"name":"Milepost","value":"23.3295"},{"id":17,"name":"Train ID","value":"139-05"},{"id":16,"name":"Locomotive ID","value":"4027"},{"id":130,"name":"Impact","value":""},{"id":150,"name":"Time of Event (Mountain Time)","value":"09:05:29"},{"id":151,"name":"Denver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4027 --day 2017-03-05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646</v>
      </c>
      <c r="B53" s="7">
        <v>4028</v>
      </c>
      <c r="C53" s="21" t="s">
        <v>252</v>
      </c>
      <c r="D53" s="21" t="s">
        <v>312</v>
      </c>
      <c r="E53" s="13">
        <v>42799.390034722222</v>
      </c>
      <c r="F53" s="13">
        <v>42799.393275462964</v>
      </c>
      <c r="G53" s="7">
        <v>1</v>
      </c>
      <c r="H53" s="21" t="s">
        <v>184</v>
      </c>
      <c r="I53" s="13">
        <v>42799.419907407406</v>
      </c>
      <c r="J53" s="7">
        <v>0</v>
      </c>
      <c r="K53" s="98" t="str">
        <f t="shared" si="0"/>
        <v>4027/4028</v>
      </c>
      <c r="L53" s="21" t="str">
        <f>VLOOKUP(A53,'Trips&amp;Operators'!$C$1:$G$99999,5,FALSE)</f>
        <v>GEBRETEKLE DAGNEW</v>
      </c>
      <c r="M53" s="6">
        <f t="shared" si="1"/>
        <v>2.6631944441760425E-2</v>
      </c>
      <c r="N53" s="7">
        <f t="shared" si="22"/>
        <v>38.349999996135011</v>
      </c>
      <c r="O53" s="7"/>
      <c r="P53" s="7"/>
      <c r="Q53" s="22"/>
      <c r="R53" s="22"/>
      <c r="S53" s="31">
        <f t="shared" si="20"/>
        <v>1</v>
      </c>
      <c r="T53" s="46" t="str">
        <f t="shared" si="2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3"/>
        <v>https://d0f6bd738d7f1b3e5a7ca70fe4ff75f0.us-east-1.aws.found.io/app/kibana#/discover/Steve-Slow-Train-Analysis-(2080s-and-2083s)?_g=(refreshInterval:(display:Off,pause:!f,section:0,value:0),time:(from:'2017-03-05T08:21:39-0700',mode:absolute,to:'2017-03-05T11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187" t="str">
        <f t="shared" si="4"/>
        <v>N</v>
      </c>
      <c r="X53" s="187">
        <f t="shared" si="21"/>
        <v>1</v>
      </c>
      <c r="Y53" s="62">
        <f t="shared" si="6"/>
        <v>23.2971</v>
      </c>
      <c r="Z53" s="62">
        <f t="shared" si="7"/>
        <v>1.49E-2</v>
      </c>
      <c r="AA53" s="62">
        <f t="shared" si="8"/>
        <v>23.2822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0140-05</v>
      </c>
      <c r="AE53" s="85" t="str">
        <f t="shared" si="10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53" s="82" t="str">
        <f t="shared" si="11"/>
        <v>"C:\Program Files (x86)\AstroGrep\AstroGrep.exe" /spath="%USERPROFILE%\AppData\Local\Temp\OnboardLogs" /stypes="app*4028*20170305*" /stext=" 17:.+((SYSTEM_STATE.+slice.+state.+changed )|(ment ac)|(multiple cpu faults)|(system.+state.+changed )|(\[timeout)|(PRM\|1\|D)|(kpr)|(kdp)|(\|loc)|(crossing.((167)|(168)|(199)|(200))))" /e /r /s</v>
      </c>
      <c r="AG53" s="1" t="str">
        <f t="shared" si="12"/>
        <v>EC</v>
      </c>
      <c r="AH53" s="86" t="str">
        <f t="shared" si="16"/>
        <v>"%USERPROFILE%\Documents\GitHub\eaglep3\Utilities\RefineRTDCRunTimes.py" --tripid 140-05 --locoid 4028 --swversion DE.1.0.9.0 --startMP 204:232971 --initTime 2017-03-05T09:21:39 --startdatetime 2017-03-05T09:26:19 --delay 1 --endMP 204:149 --enddatetime 2017-03-05T10:04:40 --enforcementcount 0 &gt;&gt;C:\Users\stu\Documents\GitHub\eaglep3-reporting\EC\2017-03-05-refined-times.txt</v>
      </c>
      <c r="AI53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ID","value":"140-05"},{"id":16,"name":"Locomotive ID","value":"4028"},{"id":130,"name":"Impact","value":""},{"id":150,"name":"Time of Event (Mountain Time)","value":"10:04:40"},{"id":151,"name":"Denver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4028 --day 2017-03-05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640</v>
      </c>
      <c r="B54" s="7">
        <v>4018</v>
      </c>
      <c r="C54" s="21" t="s">
        <v>252</v>
      </c>
      <c r="D54" s="21" t="s">
        <v>311</v>
      </c>
      <c r="E54" s="13">
        <v>42799.359583333331</v>
      </c>
      <c r="F54" s="13">
        <v>42799.364814814813</v>
      </c>
      <c r="G54" s="7">
        <v>1</v>
      </c>
      <c r="H54" s="21" t="s">
        <v>521</v>
      </c>
      <c r="I54" s="13">
        <v>42799.389652777776</v>
      </c>
      <c r="J54" s="7">
        <v>0</v>
      </c>
      <c r="K54" s="98" t="str">
        <f t="shared" si="0"/>
        <v>4017/4018</v>
      </c>
      <c r="L54" s="21" t="str">
        <f>VLOOKUP(A54,'Trips&amp;Operators'!$C$1:$G$99999,5,FALSE)</f>
        <v>MOSES BRADLEY</v>
      </c>
      <c r="M54" s="6">
        <f t="shared" si="1"/>
        <v>2.4837962962919846E-2</v>
      </c>
      <c r="N54" s="7">
        <f t="shared" si="22"/>
        <v>35.766666666604578</v>
      </c>
      <c r="O54" s="7"/>
      <c r="P54" s="7"/>
      <c r="Q54" s="22"/>
      <c r="R54" s="22"/>
      <c r="S54" s="31">
        <f t="shared" si="20"/>
        <v>1</v>
      </c>
      <c r="T54" s="46" t="str">
        <f t="shared" si="2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3"/>
        <v>https://d0f6bd738d7f1b3e5a7ca70fe4ff75f0.us-east-1.aws.found.io/app/kibana#/discover/Steve-Slow-Train-Analysis-(2080s-and-2083s)?_g=(refreshInterval:(display:Off,pause:!f,section:0,value:0),time:(from:'2017-03-05T07:37:48-0700',mode:absolute,to:'2017-03-05T10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4" s="187" t="str">
        <f t="shared" si="4"/>
        <v>N</v>
      </c>
      <c r="X54" s="187">
        <f t="shared" si="21"/>
        <v>1</v>
      </c>
      <c r="Y54" s="62">
        <f t="shared" si="6"/>
        <v>4.4900000000000002E-2</v>
      </c>
      <c r="Z54" s="62">
        <f t="shared" si="7"/>
        <v>23.332100000000001</v>
      </c>
      <c r="AA54" s="62">
        <f t="shared" si="8"/>
        <v>23.287200000000002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0141-05</v>
      </c>
      <c r="AE54" s="85" t="str">
        <f t="shared" si="10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54" s="82" t="str">
        <f t="shared" si="11"/>
        <v>"C:\Program Files (x86)\AstroGrep\AstroGrep.exe" /spath="%USERPROFILE%\AppData\Local\Temp\OnboardLogs" /stypes="app*4018*20170305*" /stext=" 16:.+((SYSTEM_STATE.+slice.+state.+changed )|(ment ac)|(multiple cpu faults)|(system.+state.+changed )|(\[timeout)|(PRM\|1\|D)|(kpr)|(kdp)|(\|loc)|(crossing.((167)|(168)|(199)|(200))))" /e /r /s</v>
      </c>
      <c r="AG54" s="1" t="str">
        <f t="shared" si="12"/>
        <v>EC</v>
      </c>
      <c r="AH54" s="86" t="str">
        <f t="shared" si="16"/>
        <v>"%USERPROFILE%\Documents\GitHub\eaglep3\Utilities\RefineRTDCRunTimes.py" --tripid 141-05 --locoid 4018 --swversion DE.1.0.9.0 --startMP 204:449 --initTime 2017-03-05T08:37:48 --startdatetime 2017-03-05T08:45:20 --delay 1 --endMP 204:233321 --enddatetime 2017-03-05T09:21:06 --enforcementcount 0 &gt;&gt;C:\Users\stu\Documents\GitHub\eaglep3-reporting\EC\2017-03-05-refined-times.txt</v>
      </c>
      <c r="AI54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{"issue":{"subject":"","project_id":79,"tracker_id":40,"status_id":1,"priority_id":2,"assigned_to_id":23,"start_date":"2017-03-05","description":"","custom_fields":[{"id":1,"name":"Subdivision","value":"EC"},{"id":4,"name":"Milepost","value":"23.3321"},{"id":17,"name":"Train ID","value":"141-05"},{"id":16,"name":"Locomotive ID","value":"4018"},{"id":130,"name":"Impact","value":""},{"id":150,"name":"Time of Event (Mountain Time)","value":"09:21:06"},{"id":151,"name":"Denver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4018 --day 2017-03-05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544</v>
      </c>
      <c r="B55" s="7">
        <v>4017</v>
      </c>
      <c r="C55" s="21" t="s">
        <v>252</v>
      </c>
      <c r="D55" s="21" t="s">
        <v>283</v>
      </c>
      <c r="E55" s="13">
        <v>42799.397592592592</v>
      </c>
      <c r="F55" s="13">
        <v>42799.403657407405</v>
      </c>
      <c r="G55" s="7">
        <v>1</v>
      </c>
      <c r="H55" s="21" t="s">
        <v>241</v>
      </c>
      <c r="I55" s="13">
        <v>42799.434270833335</v>
      </c>
      <c r="J55" s="7">
        <v>0</v>
      </c>
      <c r="K55" s="98" t="str">
        <f t="shared" si="0"/>
        <v>4017/4018</v>
      </c>
      <c r="L55" s="21" t="str">
        <f>VLOOKUP(A55,'Trips&amp;Operators'!$C$1:$G$99999,5,FALSE)</f>
        <v>MOSES BRADLEY</v>
      </c>
      <c r="M55" s="6">
        <f t="shared" si="1"/>
        <v>3.0613425929914229E-2</v>
      </c>
      <c r="N55" s="7">
        <f t="shared" si="22"/>
        <v>44.083333339076489</v>
      </c>
      <c r="O55" s="7"/>
      <c r="P55" s="7"/>
      <c r="Q55" s="22"/>
      <c r="R55" s="22"/>
      <c r="S55" s="31">
        <f t="shared" si="20"/>
        <v>1</v>
      </c>
      <c r="T55" s="46" t="str">
        <f t="shared" si="2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3"/>
        <v>https://d0f6bd738d7f1b3e5a7ca70fe4ff75f0.us-east-1.aws.found.io/app/kibana#/discover/Steve-Slow-Train-Analysis-(2080s-and-2083s)?_g=(refreshInterval:(display:Off,pause:!f,section:0,value:0),time:(from:'2017-03-05T08:32:32-0700',mode:absolute,to:'2017-03-05T11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5" s="187" t="str">
        <f t="shared" si="4"/>
        <v>N</v>
      </c>
      <c r="X55" s="187">
        <f t="shared" si="21"/>
        <v>1</v>
      </c>
      <c r="Y55" s="62">
        <f t="shared" si="6"/>
        <v>23.3</v>
      </c>
      <c r="Z55" s="62">
        <f t="shared" si="7"/>
        <v>1.5599999999999999E-2</v>
      </c>
      <c r="AA55" s="62">
        <f t="shared" si="8"/>
        <v>23.284400000000002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9"/>
        <v>0142-05</v>
      </c>
      <c r="AE55" s="85" t="str">
        <f t="shared" si="10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55" s="82" t="str">
        <f t="shared" si="11"/>
        <v>"C:\Program Files (x86)\AstroGrep\AstroGrep.exe" /spath="%USERPROFILE%\AppData\Local\Temp\OnboardLogs" /stypes="app*4017*20170305*" /stext=" 17:.+((SYSTEM_STATE.+slice.+state.+changed )|(ment ac)|(multiple cpu faults)|(system.+state.+changed )|(\[timeout)|(PRM\|1\|D)|(kpr)|(kdp)|(\|loc)|(crossing.((167)|(168)|(199)|(200))))" /e /r /s</v>
      </c>
      <c r="AG55" s="1" t="str">
        <f t="shared" si="12"/>
        <v>EC</v>
      </c>
      <c r="AH55" s="86" t="str">
        <f t="shared" si="16"/>
        <v>"%USERPROFILE%\Documents\GitHub\eaglep3\Utilities\RefineRTDCRunTimes.py" --tripid 142-05 --locoid 4017 --swversion DE.1.0.9.0 --startMP 204:233000 --initTime 2017-03-05T09:32:32 --startdatetime 2017-03-05T09:41:16 --delay 1 --endMP 204:156 --enddatetime 2017-03-05T10:25:21 --enforcementcount 0 &gt;&gt;C:\Users\stu\Documents\GitHub\eaglep3-reporting\EC\2017-03-05-refined-times.txt</v>
      </c>
      <c r="AI5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{"issue":{"subject":"","project_id":79,"tracker_id":40,"status_id":1,"priority_id":2,"assigned_to_id":23,"start_date":"2017-03-05","description":"","custom_fields":[{"id":1,"name":"Subdivision","value":"EC"},{"id":4,"name":"Milepost","value":"0.0156"},{"id":17,"name":"Train ID","value":"142-05"},{"id":16,"name":"Locomotive ID","value":"4017"},{"id":130,"name":"Impact","value":""},{"id":150,"name":"Time of Event (Mountain Time)","value":"10:25:21"},{"id":151,"name":"Denver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4017 --day 2017-03-05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642</v>
      </c>
      <c r="B56" s="7">
        <v>4029</v>
      </c>
      <c r="C56" s="21" t="s">
        <v>252</v>
      </c>
      <c r="D56" s="21" t="s">
        <v>246</v>
      </c>
      <c r="E56" s="13">
        <v>42799.370520833334</v>
      </c>
      <c r="F56" s="13">
        <v>42799.375150462962</v>
      </c>
      <c r="G56" s="7">
        <v>1</v>
      </c>
      <c r="H56" s="21" t="s">
        <v>806</v>
      </c>
      <c r="I56" s="13">
        <v>42799.40116898148</v>
      </c>
      <c r="J56" s="7">
        <v>0</v>
      </c>
      <c r="K56" s="98" t="str">
        <f t="shared" si="0"/>
        <v>4029/4030</v>
      </c>
      <c r="L56" s="21" t="str">
        <f>VLOOKUP(A56,'Trips&amp;Operators'!$C$1:$G$99999,5,FALSE)</f>
        <v>SHOOK JOHN</v>
      </c>
      <c r="M56" s="6">
        <f t="shared" si="1"/>
        <v>2.6018518517958E-2</v>
      </c>
      <c r="N56" s="7">
        <f t="shared" si="22"/>
        <v>37.46666666585952</v>
      </c>
      <c r="O56" s="7"/>
      <c r="P56" s="7"/>
      <c r="Q56" s="22"/>
      <c r="R56" s="22"/>
      <c r="S56" s="31">
        <f t="shared" si="20"/>
        <v>1</v>
      </c>
      <c r="T56" s="46" t="str">
        <f t="shared" si="2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3"/>
        <v>https://d0f6bd738d7f1b3e5a7ca70fe4ff75f0.us-east-1.aws.found.io/app/kibana#/discover/Steve-Slow-Train-Analysis-(2080s-and-2083s)?_g=(refreshInterval:(display:Off,pause:!f,section:0,value:0),time:(from:'2017-03-05T07:53:33-0700',mode:absolute,to:'2017-03-05T10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7" t="str">
        <f t="shared" si="4"/>
        <v>N</v>
      </c>
      <c r="X56" s="187">
        <f t="shared" si="21"/>
        <v>1</v>
      </c>
      <c r="Y56" s="62">
        <f t="shared" si="6"/>
        <v>4.4699999999999997E-2</v>
      </c>
      <c r="Z56" s="62">
        <f t="shared" si="7"/>
        <v>23.331099999999999</v>
      </c>
      <c r="AA56" s="62">
        <f t="shared" si="8"/>
        <v>23.2864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0143-05</v>
      </c>
      <c r="AE56" s="85" t="str">
        <f t="shared" si="10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56" s="82" t="str">
        <f t="shared" si="11"/>
        <v>"C:\Program Files (x86)\AstroGrep\AstroGrep.exe" /spath="%USERPROFILE%\AppData\Local\Temp\OnboardLogs" /stypes="app*4029*20170305*" /stext=" 16:.+((SYSTEM_STATE.+slice.+state.+changed )|(ment ac)|(multiple cpu faults)|(system.+state.+changed )|(\[timeout)|(PRM\|1\|D)|(kpr)|(kdp)|(\|loc)|(crossing.((167)|(168)|(199)|(200))))" /e /r /s</v>
      </c>
      <c r="AG56" s="1" t="str">
        <f t="shared" si="12"/>
        <v>EC</v>
      </c>
      <c r="AH56" s="86" t="str">
        <f t="shared" si="16"/>
        <v>"%USERPROFILE%\Documents\GitHub\eaglep3\Utilities\RefineRTDCRunTimes.py" --tripid 143-05 --locoid 4029 --swversion DE.1.0.9.0 --startMP 204:447 --initTime 2017-03-05T08:53:33 --startdatetime 2017-03-05T09:00:13 --delay 1 --endMP 204:233311 --enddatetime 2017-03-05T09:37:41 --enforcementcount 0 &gt;&gt;C:\Users\stu\Documents\GitHub\eaglep3-reporting\EC\2017-03-05-refined-times.txt</v>
      </c>
      <c r="AI5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{"issue":{"subject":"","project_id":79,"tracker_id":40,"status_id":1,"priority_id":2,"assigned_to_id":23,"start_date":"2017-03-05","description":"","custom_fields":[{"id":1,"name":"Subdivision","value":"EC"},{"id":4,"name":"Milepost","value":"23.3311"},{"id":17,"name":"Train ID","value":"143-05"},{"id":16,"name":"Locomotive ID","value":"4029"},{"id":130,"name":"Impact","value":""},{"id":150,"name":"Time of Event (Mountain Time)","value":"09:37:41"},{"id":151,"name":"Denver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4029 --day 2017-03-05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649</v>
      </c>
      <c r="B57" s="7">
        <v>4030</v>
      </c>
      <c r="C57" s="21" t="s">
        <v>252</v>
      </c>
      <c r="D57" s="21" t="s">
        <v>238</v>
      </c>
      <c r="E57" s="13">
        <v>42799.403993055559</v>
      </c>
      <c r="F57" s="13">
        <v>42799.4140625</v>
      </c>
      <c r="G57" s="7">
        <v>0</v>
      </c>
      <c r="H57" s="21" t="s">
        <v>516</v>
      </c>
      <c r="I57" s="13">
        <v>42799.44253472222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SHOOK JOHN</v>
      </c>
      <c r="M57" s="6">
        <f t="shared" si="1"/>
        <v>2.8472222220443655E-2</v>
      </c>
      <c r="N57" s="7">
        <f t="shared" si="22"/>
        <v>40.999999997438863</v>
      </c>
      <c r="O57" s="7"/>
      <c r="P57" s="7"/>
      <c r="Q57" s="22"/>
      <c r="R57" s="22"/>
      <c r="S57" s="31">
        <f t="shared" si="20"/>
        <v>1</v>
      </c>
      <c r="T57" s="46" t="str">
        <f t="shared" si="2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3"/>
        <v>https://d0f6bd738d7f1b3e5a7ca70fe4ff75f0.us-east-1.aws.found.io/app/kibana#/discover/Steve-Slow-Train-Analysis-(2080s-and-2083s)?_g=(refreshInterval:(display:Off,pause:!f,section:0,value:0),time:(from:'2017-03-05T08:41:45-0700',mode:absolute,to:'2017-03-05T11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7" t="str">
        <f t="shared" si="4"/>
        <v>N</v>
      </c>
      <c r="X57" s="187">
        <f t="shared" si="21"/>
        <v>1</v>
      </c>
      <c r="Y57" s="62">
        <f t="shared" si="6"/>
        <v>23.299600000000002</v>
      </c>
      <c r="Z57" s="62">
        <f t="shared" si="7"/>
        <v>1.43E-2</v>
      </c>
      <c r="AA57" s="62">
        <f t="shared" si="8"/>
        <v>23.285300000000003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0144-05</v>
      </c>
      <c r="AE57" s="85" t="str">
        <f t="shared" si="10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57" s="82" t="str">
        <f t="shared" si="11"/>
        <v>"C:\Program Files (x86)\AstroGrep\AstroGrep.exe" /spath="%USERPROFILE%\AppData\Local\Temp\OnboardLogs" /stypes="app*4030*20170305*" /stext=" 17:.+((SYSTEM_STATE.+slice.+state.+changed )|(ment ac)|(multiple cpu faults)|(system.+state.+changed )|(\[timeout)|(PRM\|1\|D)|(kpr)|(kdp)|(\|loc)|(crossing.((167)|(168)|(199)|(200))))" /e /r /s</v>
      </c>
      <c r="AG57" s="1" t="str">
        <f t="shared" si="12"/>
        <v>EC</v>
      </c>
      <c r="AH57" s="86" t="str">
        <f t="shared" si="16"/>
        <v>"%USERPROFILE%\Documents\GitHub\eaglep3\Utilities\RefineRTDCRunTimes.py" --tripid 144-05 --locoid 4030 --swversion DE.1.0.9.0 --startMP 204:232996 --initTime 2017-03-05T09:41:45 --startdatetime 2017-03-05T09:56:15 --delay 0 --endMP 204:143 --enddatetime 2017-03-05T10:37:15 --enforcementcount 0 &gt;&gt;C:\Users\stu\Documents\GitHub\eaglep3-reporting\EC\2017-03-05-refined-times.txt</v>
      </c>
      <c r="AI5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{"issue":{"subject":"","project_id":79,"tracker_id":40,"status_id":1,"priority_id":2,"assigned_to_id":23,"start_date":"2017-03-05","description":"","custom_fields":[{"id":1,"name":"Subdivision","value":"EC"},{"id":4,"name":"Milepost","value":"0.0143"},{"id":17,"name":"Train ID","value":"144-05"},{"id":16,"name":"Locomotive ID","value":"4030"},{"id":130,"name":"Impact","value":""},{"id":150,"name":"Time of Event (Mountain Time)","value":"10:37:15"},{"id":151,"name":"Denver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4030 --day 2017-03-05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"%USERPROFILE%\AppData\Local\Temp\OnboardLogs"\RTDC4030\*4030*20170305* | grep -SE "(Enforcement Action)|(\[TIMEOUT)|(CHR.+\|PRM\|1\|D.+(SWITCH|SIGNAL).+UNKNOWN)" - &gt;&gt; 2017-03-05-UncaughtWiMAX.txt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644</v>
      </c>
      <c r="B58" s="7">
        <v>4025</v>
      </c>
      <c r="C58" s="21" t="s">
        <v>252</v>
      </c>
      <c r="D58" s="21" t="s">
        <v>235</v>
      </c>
      <c r="E58" s="13">
        <v>42799.38076388889</v>
      </c>
      <c r="F58" s="13">
        <v>42799.385706018518</v>
      </c>
      <c r="G58" s="7">
        <v>1</v>
      </c>
      <c r="H58" s="21" t="s">
        <v>791</v>
      </c>
      <c r="I58" s="13">
        <v>42799.410891203705</v>
      </c>
      <c r="J58" s="7">
        <v>0</v>
      </c>
      <c r="K58" s="98" t="str">
        <f t="shared" si="0"/>
        <v>4025/4026</v>
      </c>
      <c r="L58" s="21" t="str">
        <f>VLOOKUP(A58,'Trips&amp;Operators'!$C$1:$G$99999,5,FALSE)</f>
        <v>MAELZER KURT</v>
      </c>
      <c r="M58" s="6">
        <f t="shared" si="1"/>
        <v>2.5185185186273884E-2</v>
      </c>
      <c r="N58" s="7">
        <f t="shared" si="22"/>
        <v>36.266666668234393</v>
      </c>
      <c r="O58" s="7"/>
      <c r="P58" s="7"/>
      <c r="Q58" s="22"/>
      <c r="R58" s="22"/>
      <c r="S58" s="31">
        <f t="shared" si="20"/>
        <v>1</v>
      </c>
      <c r="T58" s="46" t="str">
        <f t="shared" si="2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3"/>
        <v>https://d0f6bd738d7f1b3e5a7ca70fe4ff75f0.us-east-1.aws.found.io/app/kibana#/discover/Steve-Slow-Train-Analysis-(2080s-and-2083s)?_g=(refreshInterval:(display:Off,pause:!f,section:0,value:0),time:(from:'2017-03-05T08:08:18-0700',mode:absolute,to:'2017-03-05T10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87" t="str">
        <f t="shared" si="4"/>
        <v>N</v>
      </c>
      <c r="X58" s="187">
        <f t="shared" si="21"/>
        <v>1</v>
      </c>
      <c r="Y58" s="62">
        <f t="shared" si="6"/>
        <v>4.6399999999999997E-2</v>
      </c>
      <c r="Z58" s="62">
        <f t="shared" si="7"/>
        <v>23.334</v>
      </c>
      <c r="AA58" s="62">
        <f t="shared" si="8"/>
        <v>23.287600000000001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0145-05</v>
      </c>
      <c r="AE58" s="85" t="str">
        <f t="shared" si="10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58" s="82" t="str">
        <f t="shared" si="11"/>
        <v>"C:\Program Files (x86)\AstroGrep\AstroGrep.exe" /spath="%USERPROFILE%\AppData\Local\Temp\OnboardLogs" /stypes="app*4025*20170305*" /stext=" 16:.+((SYSTEM_STATE.+slice.+state.+changed )|(ment ac)|(multiple cpu faults)|(system.+state.+changed )|(\[timeout)|(PRM\|1\|D)|(kpr)|(kdp)|(\|loc)|(crossing.((167)|(168)|(199)|(200))))" /e /r /s</v>
      </c>
      <c r="AG58" s="1" t="str">
        <f t="shared" si="12"/>
        <v>EC</v>
      </c>
      <c r="AH58" s="86" t="str">
        <f t="shared" si="16"/>
        <v>"%USERPROFILE%\Documents\GitHub\eaglep3\Utilities\RefineRTDCRunTimes.py" --tripid 145-05 --locoid 4025 --swversion DE.1.0.9.0 --startMP 204:464 --initTime 2017-03-05T09:08:18 --startdatetime 2017-03-05T09:15:25 --delay 1 --endMP 204:233340 --enddatetime 2017-03-05T09:51:41 --enforcementcount 0 &gt;&gt;C:\Users\stu\Documents\GitHub\eaglep3-reporting\EC\2017-03-05-refined-times.txt</v>
      </c>
      <c r="AI58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{"issue":{"subject":"","project_id":79,"tracker_id":40,"status_id":1,"priority_id":2,"assigned_to_id":23,"start_date":"2017-03-05","description":"","custom_fields":[{"id":1,"name":"Subdivision","value":"EC"},{"id":4,"name":"Milepost","value":"23.334"},{"id":17,"name":"Train ID","value":"145-05"},{"id":16,"name":"Locomotive ID","value":"4025"},{"id":130,"name":"Impact","value":""},{"id":150,"name":"Time of Event (Mountain Time)","value":"09:51:41"},{"id":151,"name":"Denver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4025 --day 2017-03-05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651</v>
      </c>
      <c r="B59" s="7">
        <v>4026</v>
      </c>
      <c r="C59" s="21" t="s">
        <v>252</v>
      </c>
      <c r="D59" s="21" t="s">
        <v>811</v>
      </c>
      <c r="E59" s="13">
        <v>42799.419108796297</v>
      </c>
      <c r="F59" s="13">
        <v>42799.424699074072</v>
      </c>
      <c r="G59" s="7">
        <v>2</v>
      </c>
      <c r="H59" s="21" t="s">
        <v>244</v>
      </c>
      <c r="I59" s="13">
        <v>42799.4528587963</v>
      </c>
      <c r="J59" s="7">
        <v>0</v>
      </c>
      <c r="K59" s="98" t="str">
        <f t="shared" si="0"/>
        <v>4025/4026</v>
      </c>
      <c r="L59" s="21" t="str">
        <f>VLOOKUP(A59,'Trips&amp;Operators'!$C$1:$G$99999,5,FALSE)</f>
        <v>MAELZER KURT</v>
      </c>
      <c r="M59" s="6">
        <f t="shared" si="1"/>
        <v>2.8159722227428574E-2</v>
      </c>
      <c r="N59" s="7">
        <f t="shared" si="22"/>
        <v>40.550000007497147</v>
      </c>
      <c r="O59" s="7"/>
      <c r="P59" s="7"/>
      <c r="Q59" s="22"/>
      <c r="R59" s="22"/>
      <c r="S59" s="31">
        <f t="shared" si="20"/>
        <v>1</v>
      </c>
      <c r="T59" s="46" t="str">
        <f t="shared" si="2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3"/>
        <v>https://d0f6bd738d7f1b3e5a7ca70fe4ff75f0.us-east-1.aws.found.io/app/kibana#/discover/Steve-Slow-Train-Analysis-(2080s-and-2083s)?_g=(refreshInterval:(display:Off,pause:!f,section:0,value:0),time:(from:'2017-03-05T09:03:31-0700',mode:absolute,to:'2017-03-05T11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187" t="str">
        <f t="shared" si="4"/>
        <v>N</v>
      </c>
      <c r="X59" s="187">
        <f t="shared" si="21"/>
        <v>1</v>
      </c>
      <c r="Y59" s="62">
        <f t="shared" si="6"/>
        <v>23.301300000000001</v>
      </c>
      <c r="Z59" s="62">
        <f t="shared" si="7"/>
        <v>1.47E-2</v>
      </c>
      <c r="AA59" s="62">
        <f t="shared" si="8"/>
        <v>23.2866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0146-05</v>
      </c>
      <c r="AE59" s="85" t="str">
        <f t="shared" si="10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59" s="82" t="str">
        <f t="shared" si="11"/>
        <v>"C:\Program Files (x86)\AstroGrep\AstroGrep.exe" /spath="%USERPROFILE%\AppData\Local\Temp\OnboardLogs" /stypes="app*4026*20170305*" /stext=" 17:.+((SYSTEM_STATE.+slice.+state.+changed )|(ment ac)|(multiple cpu faults)|(system.+state.+changed )|(\[timeout)|(PRM\|1\|D)|(kpr)|(kdp)|(\|loc)|(crossing.((167)|(168)|(199)|(200))))" /e /r /s</v>
      </c>
      <c r="AG59" s="1" t="str">
        <f t="shared" si="12"/>
        <v>EC</v>
      </c>
      <c r="AH59" s="86" t="str">
        <f t="shared" si="16"/>
        <v>"%USERPROFILE%\Documents\GitHub\eaglep3\Utilities\RefineRTDCRunTimes.py" --tripid 146-05 --locoid 4026 --swversion DE.1.0.9.0 --startMP 204:233013 --initTime 2017-03-05T10:03:31 --startdatetime 2017-03-05T10:11:34 --delay 2 --endMP 204:147 --enddatetime 2017-03-05T10:52:07 --enforcementcount 0 &gt;&gt;C:\Users\stu\Documents\GitHub\eaglep3-reporting\EC\2017-03-05-refined-times.txt</v>
      </c>
      <c r="AI59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{"issue":{"subject":"","project_id":79,"tracker_id":40,"status_id":1,"priority_id":2,"assigned_to_id":23,"start_date":"2017-03-05","description":"","custom_fields":[{"id":1,"name":"Subdivision","value":"EC"},{"id":4,"name":"Milepost","value":"0.0147"},{"id":17,"name":"Train ID","value":"146-05"},{"id":16,"name":"Locomotive ID","value":"4026"},{"id":130,"name":"Impact","value":""},{"id":150,"name":"Time of Event (Mountain Time)","value":"10:52:07"},{"id":151,"name":"Denver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4026 --day 2017-03-05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647</v>
      </c>
      <c r="B60" s="7">
        <v>4044</v>
      </c>
      <c r="C60" s="21" t="s">
        <v>252</v>
      </c>
      <c r="D60" s="21" t="s">
        <v>513</v>
      </c>
      <c r="E60" s="13">
        <v>42799.392222222225</v>
      </c>
      <c r="F60" s="13">
        <v>42799.395995370367</v>
      </c>
      <c r="G60" s="7">
        <v>1</v>
      </c>
      <c r="H60" s="21" t="s">
        <v>261</v>
      </c>
      <c r="I60" s="13">
        <v>42799.42150462963</v>
      </c>
      <c r="J60" s="7">
        <v>0</v>
      </c>
      <c r="K60" s="98" t="str">
        <f t="shared" si="0"/>
        <v>4043/4044</v>
      </c>
      <c r="L60" s="21" t="str">
        <f>VLOOKUP(A60,'Trips&amp;Operators'!$C$1:$G$99999,5,FALSE)</f>
        <v>BADERTSCHER DIANE</v>
      </c>
      <c r="M60" s="6">
        <f t="shared" si="1"/>
        <v>2.5509259263344575E-2</v>
      </c>
      <c r="N60" s="7">
        <f t="shared" si="22"/>
        <v>36.733333339216188</v>
      </c>
      <c r="O60" s="7"/>
      <c r="P60" s="7"/>
      <c r="Q60" s="22"/>
      <c r="R60" s="22"/>
      <c r="S60" s="31">
        <f t="shared" si="20"/>
        <v>1</v>
      </c>
      <c r="T60" s="46" t="str">
        <f t="shared" si="2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3"/>
        <v>https://d0f6bd738d7f1b3e5a7ca70fe4ff75f0.us-east-1.aws.found.io/app/kibana#/discover/Steve-Slow-Train-Analysis-(2080s-and-2083s)?_g=(refreshInterval:(display:Off,pause:!f,section:0,value:0),time:(from:'2017-03-05T08:24:48-0700',mode:absolute,to:'2017-03-05T11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0" s="187" t="str">
        <f t="shared" si="4"/>
        <v>N</v>
      </c>
      <c r="X60" s="187">
        <f t="shared" si="21"/>
        <v>1</v>
      </c>
      <c r="Y60" s="62">
        <f t="shared" si="6"/>
        <v>4.3499999999999997E-2</v>
      </c>
      <c r="Z60" s="62">
        <f t="shared" si="7"/>
        <v>23.328900000000001</v>
      </c>
      <c r="AA60" s="62">
        <f t="shared" si="8"/>
        <v>23.285399999999999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0147-05</v>
      </c>
      <c r="AE60" s="85" t="str">
        <f t="shared" si="10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60" s="82" t="str">
        <f t="shared" si="11"/>
        <v>"C:\Program Files (x86)\AstroGrep\AstroGrep.exe" /spath="%USERPROFILE%\AppData\Local\Temp\OnboardLogs" /stypes="app*4044*20170305*" /stext=" 17:.+((SYSTEM_STATE.+slice.+state.+changed )|(ment ac)|(multiple cpu faults)|(system.+state.+changed )|(\[timeout)|(PRM\|1\|D)|(kpr)|(kdp)|(\|loc)|(crossing.((167)|(168)|(199)|(200))))" /e /r /s</v>
      </c>
      <c r="AG60" s="1" t="str">
        <f t="shared" si="12"/>
        <v>EC</v>
      </c>
      <c r="AH60" s="86" t="str">
        <f t="shared" si="16"/>
        <v>"%USERPROFILE%\Documents\GitHub\eaglep3\Utilities\RefineRTDCRunTimes.py" --tripid 147-05 --locoid 4044 --swversion DE.1.0.9.0 --startMP 204:435 --initTime 2017-03-05T09:24:48 --startdatetime 2017-03-05T09:30:14 --delay 1 --endMP 204:233289 --enddatetime 2017-03-05T10:06:58 --enforcementcount 0 &gt;&gt;C:\Users\stu\Documents\GitHub\eaglep3-reporting\EC\2017-03-05-refined-times.txt</v>
      </c>
      <c r="AI60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{"issue":{"subject":"","project_id":79,"tracker_id":40,"status_id":1,"priority_id":2,"assigned_to_id":23,"start_date":"2017-03-05","description":"","custom_fields":[{"id":1,"name":"Subdivision","value":"EC"},{"id":4,"name":"Milepost","value":"23.3289"},{"id":17,"name":"Train ID","value":"147-05"},{"id":16,"name":"Locomotive ID","value":"4044"},{"id":130,"name":"Impact","value":""},{"id":150,"name":"Time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4044 --day 2017-03-05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547</v>
      </c>
      <c r="B61" s="7">
        <v>4043</v>
      </c>
      <c r="C61" s="21" t="s">
        <v>252</v>
      </c>
      <c r="D61" s="21" t="s">
        <v>506</v>
      </c>
      <c r="E61" s="13">
        <v>42799.42863425926</v>
      </c>
      <c r="F61" s="13">
        <v>42799.434988425928</v>
      </c>
      <c r="G61" s="7">
        <v>2</v>
      </c>
      <c r="H61" s="21" t="s">
        <v>203</v>
      </c>
      <c r="I61" s="13">
        <v>42799.46534722222</v>
      </c>
      <c r="J61" s="7">
        <v>0</v>
      </c>
      <c r="K61" s="98" t="str">
        <f t="shared" si="0"/>
        <v>4043/4044</v>
      </c>
      <c r="L61" s="21" t="str">
        <f>VLOOKUP(A61,'Trips&amp;Operators'!$C$1:$G$99999,5,FALSE)</f>
        <v>BADERTSCHER DIANE</v>
      </c>
      <c r="M61" s="6">
        <f t="shared" si="1"/>
        <v>3.0358796291693579E-2</v>
      </c>
      <c r="N61" s="7">
        <f t="shared" si="22"/>
        <v>43.716666660038754</v>
      </c>
      <c r="O61" s="7"/>
      <c r="P61" s="7"/>
      <c r="Q61" s="22"/>
      <c r="R61" s="22"/>
      <c r="S61" s="31">
        <f t="shared" si="20"/>
        <v>1</v>
      </c>
      <c r="T61" s="46" t="str">
        <f t="shared" si="2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3"/>
        <v>https://d0f6bd738d7f1b3e5a7ca70fe4ff75f0.us-east-1.aws.found.io/app/kibana#/discover/Steve-Slow-Train-Analysis-(2080s-and-2083s)?_g=(refreshInterval:(display:Off,pause:!f,section:0,value:0),time:(from:'2017-03-05T09:17:14-0700',mode:absolute,to:'2017-03-05T12:10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1" s="187" t="str">
        <f t="shared" si="4"/>
        <v>N</v>
      </c>
      <c r="X61" s="187">
        <f t="shared" si="21"/>
        <v>1</v>
      </c>
      <c r="Y61" s="62">
        <f t="shared" si="6"/>
        <v>23.298200000000001</v>
      </c>
      <c r="Z61" s="62">
        <f t="shared" si="7"/>
        <v>1.52E-2</v>
      </c>
      <c r="AA61" s="62">
        <f t="shared" si="8"/>
        <v>23.283000000000001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0148-05</v>
      </c>
      <c r="AE61" s="85" t="str">
        <f t="shared" si="10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61" s="82" t="str">
        <f t="shared" si="11"/>
        <v>"C:\Program Files (x86)\AstroGrep\AstroGrep.exe" /spath="%USERPROFILE%\AppData\Local\Temp\OnboardLogs" /stypes="app*4043*20170305*" /stext=" 18:.+((SYSTEM_STATE.+slice.+state.+changed )|(ment ac)|(multiple cpu faults)|(system.+state.+changed )|(\[timeout)|(PRM\|1\|D)|(kpr)|(kdp)|(\|loc)|(crossing.((167)|(168)|(199)|(200))))" /e /r /s</v>
      </c>
      <c r="AG61" s="1" t="str">
        <f t="shared" si="12"/>
        <v>EC</v>
      </c>
      <c r="AH61" s="86" t="str">
        <f t="shared" si="16"/>
        <v>"%USERPROFILE%\Documents\GitHub\eaglep3\Utilities\RefineRTDCRunTimes.py" --tripid 148-05 --locoid 4043 --swversion DE.1.0.9.0 --startMP 204:232982 --initTime 2017-03-05T10:17:14 --startdatetime 2017-03-05T10:26:23 --delay 2 --endMP 204:152 --enddatetime 2017-03-05T11:10:06 --enforcementcount 0 &gt;&gt;C:\Users\stu\Documents\GitHub\eaglep3-reporting\EC\2017-03-05-refined-times.txt</v>
      </c>
      <c r="AI61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ID","value":"148-05"},{"id":16,"name":"Locomotive ID","value":"4043"},{"id":130,"name":"Impact","value":""},{"id":150,"name":"Time of Event (Mountain Time)","value":"11:10:06"},{"id":151,"name":"Denver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4043 --day 2017-03-05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"%USERPROFILE%\AppData\Local\Temp\OnboardLogs"\RTDC4043\*4043*20170305* | grep -SE "(Enforcement Action)|(\[TIMEOUT)|(CHR.+\|PRM\|1\|D.+(SWITCH|SIGNAL).+UNKNOWN)" - &gt;&gt; 2017-03-05-UncaughtWiMAX.txt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648</v>
      </c>
      <c r="B62" s="7">
        <v>4014</v>
      </c>
      <c r="C62" s="21" t="s">
        <v>252</v>
      </c>
      <c r="D62" s="21" t="s">
        <v>812</v>
      </c>
      <c r="E62" s="13">
        <v>42799.401666666665</v>
      </c>
      <c r="F62" s="13">
        <v>42799.406689814816</v>
      </c>
      <c r="G62" s="7">
        <v>1</v>
      </c>
      <c r="H62" s="21" t="s">
        <v>260</v>
      </c>
      <c r="I62" s="13">
        <v>42799.43246527778</v>
      </c>
      <c r="J62" s="7">
        <v>0</v>
      </c>
      <c r="K62" s="98" t="str">
        <f t="shared" si="0"/>
        <v>4013/4014</v>
      </c>
      <c r="L62" s="21" t="str">
        <f>VLOOKUP(A62,'Trips&amp;Operators'!$C$1:$G$99999,5,FALSE)</f>
        <v>DAVIS WENDY</v>
      </c>
      <c r="M62" s="6">
        <f t="shared" si="1"/>
        <v>2.5775462963792961E-2</v>
      </c>
      <c r="N62" s="7">
        <f t="shared" si="22"/>
        <v>37.116666667861864</v>
      </c>
      <c r="O62" s="7"/>
      <c r="P62" s="7"/>
      <c r="Q62" s="22"/>
      <c r="R62" s="22"/>
      <c r="S62" s="31">
        <f t="shared" si="20"/>
        <v>1</v>
      </c>
      <c r="T62" s="46" t="str">
        <f t="shared" si="2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3"/>
        <v>https://d0f6bd738d7f1b3e5a7ca70fe4ff75f0.us-east-1.aws.found.io/app/kibana#/discover/Steve-Slow-Train-Analysis-(2080s-and-2083s)?_g=(refreshInterval:(display:Off,pause:!f,section:0,value:0),time:(from:'2017-03-05T08:38:24-0700',mode:absolute,to:'2017-03-05T11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187" t="str">
        <f t="shared" si="4"/>
        <v>N</v>
      </c>
      <c r="X62" s="187">
        <f t="shared" si="21"/>
        <v>1</v>
      </c>
      <c r="Y62" s="62">
        <f t="shared" si="6"/>
        <v>4.2599999999999999E-2</v>
      </c>
      <c r="Z62" s="62">
        <f t="shared" si="7"/>
        <v>23.329699999999999</v>
      </c>
      <c r="AA62" s="62">
        <f t="shared" si="8"/>
        <v>23.287099999999999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0149-05</v>
      </c>
      <c r="AE62" s="85" t="str">
        <f t="shared" si="10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62" s="82" t="str">
        <f t="shared" si="11"/>
        <v>"C:\Program Files (x86)\AstroGrep\AstroGrep.exe" /spath="%USERPROFILE%\AppData\Local\Temp\OnboardLogs" /stypes="app*4014*20170305*" /stext=" 17:.+((SYSTEM_STATE.+slice.+state.+changed )|(ment ac)|(multiple cpu faults)|(system.+state.+changed )|(\[timeout)|(PRM\|1\|D)|(kpr)|(kdp)|(\|loc)|(crossing.((167)|(168)|(199)|(200))))" /e /r /s</v>
      </c>
      <c r="AG62" s="1" t="str">
        <f t="shared" si="12"/>
        <v>EC</v>
      </c>
      <c r="AH62" s="86" t="str">
        <f t="shared" si="16"/>
        <v>"%USERPROFILE%\Documents\GitHub\eaglep3\Utilities\RefineRTDCRunTimes.py" --tripid 149-05 --locoid 4014 --swversion DE.1.0.9.0 --startMP 204:426 --initTime 2017-03-05T09:38:24 --startdatetime 2017-03-05T09:45:38 --delay 1 --endMP 204:233297 --enddatetime 2017-03-05T10:22:45 --enforcementcount 0 &gt;&gt;C:\Users\stu\Documents\GitHub\eaglep3-reporting\EC\2017-03-05-refined-times.txt</v>
      </c>
      <c r="AI62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{"issue":{"subject":"","project_id":79,"tracker_id":40,"status_id":1,"priority_id":2,"assigned_to_id":23,"start_date":"2017-03-05","description":"","custom_fields":[{"id":1,"name":"Subdivision","value":"EC"},{"id":4,"name":"Milepost","value":"23.3297"},{"id":17,"name":"Train ID","value":"149-05"},{"id":16,"name":"Locomotive ID","value":"4014"},{"id":130,"name":"Impact","value":""},{"id":150,"name":"Time of Event (Mountain Time)","value":"10:22:45"},{"id":151,"name":"Denver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4014 --day 2017-03-05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661</v>
      </c>
      <c r="B63" s="7">
        <v>4013</v>
      </c>
      <c r="C63" s="21" t="s">
        <v>252</v>
      </c>
      <c r="D63" s="21" t="s">
        <v>279</v>
      </c>
      <c r="E63" s="13">
        <v>42799.442754629628</v>
      </c>
      <c r="F63" s="13">
        <v>42799.4453587963</v>
      </c>
      <c r="G63" s="7">
        <v>1</v>
      </c>
      <c r="H63" s="21" t="s">
        <v>515</v>
      </c>
      <c r="I63" s="13">
        <v>42799.474178240744</v>
      </c>
      <c r="J63" s="7">
        <v>0</v>
      </c>
      <c r="K63" s="98" t="str">
        <f t="shared" si="0"/>
        <v>4013/4014</v>
      </c>
      <c r="L63" s="21" t="str">
        <f>VLOOKUP(A63,'Trips&amp;Operators'!$C$1:$G$99999,5,FALSE)</f>
        <v>DAVIS WENDY</v>
      </c>
      <c r="M63" s="6">
        <f t="shared" si="1"/>
        <v>2.8819444443797693E-2</v>
      </c>
      <c r="N63" s="7">
        <f t="shared" si="22"/>
        <v>41.499999999068677</v>
      </c>
      <c r="O63" s="7"/>
      <c r="P63" s="7"/>
      <c r="Q63" s="22"/>
      <c r="R63" s="22"/>
      <c r="S63" s="31">
        <f t="shared" si="20"/>
        <v>1</v>
      </c>
      <c r="T63" s="46" t="str">
        <f t="shared" si="2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3"/>
        <v>https://d0f6bd738d7f1b3e5a7ca70fe4ff75f0.us-east-1.aws.found.io/app/kibana#/discover/Steve-Slow-Train-Analysis-(2080s-and-2083s)?_g=(refreshInterval:(display:Off,pause:!f,section:0,value:0),time:(from:'2017-03-05T09:37:34-0700',mode:absolute,to:'2017-03-05T12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187" t="str">
        <f t="shared" si="4"/>
        <v>N</v>
      </c>
      <c r="X63" s="187">
        <f t="shared" si="21"/>
        <v>1</v>
      </c>
      <c r="Y63" s="62">
        <f t="shared" si="6"/>
        <v>23.297699999999999</v>
      </c>
      <c r="Z63" s="62">
        <f t="shared" si="7"/>
        <v>1.38E-2</v>
      </c>
      <c r="AA63" s="62">
        <f t="shared" si="8"/>
        <v>23.283899999999999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0150-05</v>
      </c>
      <c r="AE63" s="85" t="str">
        <f t="shared" si="10"/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63" s="82" t="str">
        <f t="shared" si="11"/>
        <v>"C:\Program Files (x86)\AstroGrep\AstroGrep.exe" /spath="%USERPROFILE%\AppData\Local\Temp\OnboardLogs" /stypes="app*4013*20170305*" /stext=" 18:.+((SYSTEM_STATE.+slice.+state.+changed )|(ment ac)|(multiple cpu faults)|(system.+state.+changed )|(\[timeout)|(PRM\|1\|D)|(kpr)|(kdp)|(\|loc)|(crossing.((167)|(168)|(199)|(200))))" /e /r /s</v>
      </c>
      <c r="AG63" s="1" t="str">
        <f t="shared" si="12"/>
        <v>EC</v>
      </c>
      <c r="AH63" s="86" t="str">
        <f t="shared" si="16"/>
        <v>"%USERPROFILE%\Documents\GitHub\eaglep3\Utilities\RefineRTDCRunTimes.py" --tripid 150-05 --locoid 4013 --swversion DE.1.0.9.0 --startMP 204:232977 --initTime 2017-03-05T10:37:34 --startdatetime 2017-03-05T10:41:19 --delay 1 --endMP 204:138 --enddatetime 2017-03-05T11:22:49 --enforcementcount 0 &gt;&gt;C:\Users\stu\Documents\GitHub\eaglep3-reporting\EC\2017-03-05-refined-times.txt</v>
      </c>
      <c r="AI63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{"issue":{"subject":"","project_id":79,"tracker_id":40,"status_id":1,"priority_id":2,"assigned_to_id":23,"start_date":"2017-03-05","description":"","custom_fields":[{"id":1,"name":"Subdivision","value":"EC"},{"id":4,"name":"Milepost","value":"0.0138"},{"id":17,"name":"Train ID","value":"150-05"},{"id":16,"name":"Locomotive ID","value":"4013"},{"id":130,"name":"Impact","value":""},{"id":150,"name":"Time of Event (Mountain Time)","value":"11:22:49"},{"id":151,"name":"Denver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4013 --day 2017-03-05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650</v>
      </c>
      <c r="B64" s="7">
        <v>4009</v>
      </c>
      <c r="C64" s="21" t="s">
        <v>252</v>
      </c>
      <c r="D64" s="21" t="s">
        <v>813</v>
      </c>
      <c r="E64" s="13">
        <v>42799.413368055553</v>
      </c>
      <c r="F64" s="13">
        <v>42799.416863425926</v>
      </c>
      <c r="G64" s="7">
        <v>1</v>
      </c>
      <c r="H64" s="21" t="s">
        <v>511</v>
      </c>
      <c r="I64" s="13">
        <v>42799.444432870368</v>
      </c>
      <c r="J64" s="7">
        <v>0</v>
      </c>
      <c r="K64" s="98" t="str">
        <f t="shared" si="0"/>
        <v>4009/4010</v>
      </c>
      <c r="L64" s="21" t="str">
        <f>VLOOKUP(A64,'Trips&amp;Operators'!$C$1:$G$99999,5,FALSE)</f>
        <v>ROBINSON KADDIBA</v>
      </c>
      <c r="M64" s="6">
        <f t="shared" si="1"/>
        <v>2.7569444442633539E-2</v>
      </c>
      <c r="N64" s="7">
        <f t="shared" si="22"/>
        <v>39.699999997392297</v>
      </c>
      <c r="O64" s="7"/>
      <c r="P64" s="7"/>
      <c r="Q64" s="22"/>
      <c r="R64" s="22"/>
      <c r="S64" s="31">
        <f t="shared" si="20"/>
        <v>1</v>
      </c>
      <c r="T64" s="46" t="str">
        <f t="shared" si="2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3"/>
        <v>https://d0f6bd738d7f1b3e5a7ca70fe4ff75f0.us-east-1.aws.found.io/app/kibana#/discover/Steve-Slow-Train-Analysis-(2080s-and-2083s)?_g=(refreshInterval:(display:Off,pause:!f,section:0,value:0),time:(from:'2017-03-05T08:55:15-0700',mode:absolute,to:'2017-03-05T11:39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187" t="str">
        <f t="shared" si="4"/>
        <v>N</v>
      </c>
      <c r="X64" s="187">
        <f t="shared" si="21"/>
        <v>1</v>
      </c>
      <c r="Y64" s="62">
        <f t="shared" si="6"/>
        <v>4.8899999999999999E-2</v>
      </c>
      <c r="Z64" s="62">
        <f t="shared" si="7"/>
        <v>23.328199999999999</v>
      </c>
      <c r="AA64" s="62">
        <f t="shared" si="8"/>
        <v>23.279299999999999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0151-05</v>
      </c>
      <c r="AE64" s="85" t="str">
        <f t="shared" si="10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64" s="82" t="str">
        <f t="shared" si="11"/>
        <v>"C:\Program Files (x86)\AstroGrep\AstroGrep.exe" /spath="%USERPROFILE%\AppData\Local\Temp\OnboardLogs" /stypes="app*4009*20170305*" /stext=" 17:.+((SYSTEM_STATE.+slice.+state.+changed )|(ment ac)|(multiple cpu faults)|(system.+state.+changed )|(\[timeout)|(PRM\|1\|D)|(kpr)|(kdp)|(\|loc)|(crossing.((167)|(168)|(199)|(200))))" /e /r /s</v>
      </c>
      <c r="AG64" s="1" t="str">
        <f t="shared" si="12"/>
        <v>EC</v>
      </c>
      <c r="AH64" s="86" t="str">
        <f t="shared" si="16"/>
        <v>"%USERPROFILE%\Documents\GitHub\eaglep3\Utilities\RefineRTDCRunTimes.py" --tripid 151-05 --locoid 4009 --swversion DE.1.0.9.0 --startMP 204:489 --initTime 2017-03-05T09:55:15 --startdatetime 2017-03-05T10:00:17 --delay 1 --endMP 204:233282 --enddatetime 2017-03-05T10:39:59 --enforcementcount 0 &gt;&gt;C:\Users\stu\Documents\GitHub\eaglep3-reporting\EC\2017-03-05-refined-times.txt</v>
      </c>
      <c r="AI64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{"issue":{"subject":"","project_id":79,"tracker_id":40,"status_id":1,"priority_id":2,"assigned_to_id":23,"start_date":"2017-03-05","description":"","custom_fields":[{"id":1,"name":"Subdivision","value":"EC"},{"id":4,"name":"Milepost","value":"23.3282"},{"id":17,"name":"Train ID","value":"151-05"},{"id":16,"name":"Locomotive ID","value":"4009"},{"id":130,"name":"Impact","value":""},{"id":150,"name":"Time of Event (Mountain Time)","value":"10:39:59"},{"id":151,"name":"Denver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4009 --day 2017-03-05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663</v>
      </c>
      <c r="B65" s="7">
        <v>4010</v>
      </c>
      <c r="C65" s="21" t="s">
        <v>252</v>
      </c>
      <c r="D65" s="21" t="s">
        <v>510</v>
      </c>
      <c r="E65" s="13">
        <v>42799.449652777781</v>
      </c>
      <c r="F65" s="13">
        <v>42799.455706018518</v>
      </c>
      <c r="G65" s="7">
        <v>1</v>
      </c>
      <c r="H65" s="21" t="s">
        <v>244</v>
      </c>
      <c r="I65" s="13">
        <v>42799.483819444446</v>
      </c>
      <c r="J65" s="7">
        <v>0</v>
      </c>
      <c r="K65" s="98" t="str">
        <f t="shared" si="0"/>
        <v>4009/4010</v>
      </c>
      <c r="L65" s="21" t="str">
        <f>VLOOKUP(A65,'Trips&amp;Operators'!$C$1:$G$99999,5,FALSE)</f>
        <v>ROBINSON KADDIBA</v>
      </c>
      <c r="M65" s="6">
        <f t="shared" si="1"/>
        <v>2.8113425927585922E-2</v>
      </c>
      <c r="N65" s="7">
        <f t="shared" si="22"/>
        <v>40.483333335723728</v>
      </c>
      <c r="O65" s="7"/>
      <c r="P65" s="7"/>
      <c r="Q65" s="22"/>
      <c r="R65" s="22"/>
      <c r="S65" s="31">
        <f t="shared" si="20"/>
        <v>1</v>
      </c>
      <c r="T65" s="46" t="str">
        <f t="shared" si="2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3"/>
        <v>https://d0f6bd738d7f1b3e5a7ca70fe4ff75f0.us-east-1.aws.found.io/app/kibana#/discover/Steve-Slow-Train-Analysis-(2080s-and-2083s)?_g=(refreshInterval:(display:Off,pause:!f,section:0,value:0),time:(from:'2017-03-05T09:47:30-0700',mode:absolute,to:'2017-03-05T12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5" s="187" t="str">
        <f t="shared" si="4"/>
        <v>N</v>
      </c>
      <c r="X65" s="187">
        <f t="shared" si="21"/>
        <v>1</v>
      </c>
      <c r="Y65" s="62">
        <f t="shared" si="6"/>
        <v>23.296099999999999</v>
      </c>
      <c r="Z65" s="62">
        <f t="shared" si="7"/>
        <v>1.47E-2</v>
      </c>
      <c r="AA65" s="62">
        <f t="shared" si="8"/>
        <v>23.281399999999998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0152-05</v>
      </c>
      <c r="AE65" s="85" t="str">
        <f t="shared" si="10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65" s="82" t="str">
        <f t="shared" si="11"/>
        <v>"C:\Program Files (x86)\AstroGrep\AstroGrep.exe" /spath="%USERPROFILE%\AppData\Local\Temp\OnboardLogs" /stypes="app*4010*20170305*" /stext=" 18:.+((SYSTEM_STATE.+slice.+state.+changed )|(ment ac)|(multiple cpu faults)|(system.+state.+changed )|(\[timeout)|(PRM\|1\|D)|(kpr)|(kdp)|(\|loc)|(crossing.((167)|(168)|(199)|(200))))" /e /r /s</v>
      </c>
      <c r="AG65" s="1" t="str">
        <f t="shared" si="12"/>
        <v>EC</v>
      </c>
      <c r="AH65" s="86" t="str">
        <f t="shared" si="16"/>
        <v>"%USERPROFILE%\Documents\GitHub\eaglep3\Utilities\RefineRTDCRunTimes.py" --tripid 152-05 --locoid 4010 --swversion DE.1.0.9.0 --startMP 204:232961 --initTime 2017-03-05T10:47:30 --startdatetime 2017-03-05T10:56:13 --delay 1 --endMP 204:147 --enddatetime 2017-03-05T11:36:42 --enforcementcount 0 &gt;&gt;C:\Users\stu\Documents\GitHub\eaglep3-reporting\EC\2017-03-05-refined-times.txt</v>
      </c>
      <c r="AI6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{"issue":{"subject":"","project_id":79,"tracker_id":40,"status_id":1,"priority_id":2,"assigned_to_id":23,"start_date":"2017-03-05","description":"","custom_fields":[{"id":1,"name":"Subdivision","value":"EC"},{"id":4,"name":"Milepost","value":"0.0147"},{"id":17,"name":"Train ID","value":"152-05"},{"id":16,"name":"Locomotive ID","value":"4010"},{"id":130,"name":"Impact","value":""},{"id":150,"name":"Time of Event (Mountain Time)","value":"11:36:42"},{"id":151,"name":"Denver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4010 --day 2017-03-05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652</v>
      </c>
      <c r="B66" s="7">
        <v>4027</v>
      </c>
      <c r="C66" s="21" t="s">
        <v>252</v>
      </c>
      <c r="D66" s="21" t="s">
        <v>246</v>
      </c>
      <c r="E66" s="13">
        <v>42799.422210648147</v>
      </c>
      <c r="F66" s="13">
        <v>42799.427256944444</v>
      </c>
      <c r="G66" s="7">
        <v>3</v>
      </c>
      <c r="H66" s="21" t="s">
        <v>259</v>
      </c>
      <c r="I66" s="13">
        <v>42799.452384259261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GEBRETEKLE DAGNEW</v>
      </c>
      <c r="M66" s="6">
        <f t="shared" si="1"/>
        <v>2.5127314816927537E-2</v>
      </c>
      <c r="N66" s="7">
        <f t="shared" si="22"/>
        <v>36.183333336375654</v>
      </c>
      <c r="O66" s="7"/>
      <c r="P66" s="7"/>
      <c r="Q66" s="22"/>
      <c r="R66" s="22"/>
      <c r="S66" s="31">
        <f t="shared" si="20"/>
        <v>1</v>
      </c>
      <c r="T66" s="46" t="str">
        <f t="shared" si="2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3"/>
        <v>https://d0f6bd738d7f1b3e5a7ca70fe4ff75f0.us-east-1.aws.found.io/app/kibana#/discover/Steve-Slow-Train-Analysis-(2080s-and-2083s)?_g=(refreshInterval:(display:Off,pause:!f,section:0,value:0),time:(from:'2017-03-05T09:07:59-0700',mode:absolute,to:'2017-03-05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87" t="str">
        <f t="shared" si="4"/>
        <v>N</v>
      </c>
      <c r="X66" s="187">
        <f t="shared" si="21"/>
        <v>1</v>
      </c>
      <c r="Y66" s="62">
        <f t="shared" si="6"/>
        <v>4.4699999999999997E-2</v>
      </c>
      <c r="Z66" s="62">
        <f t="shared" si="7"/>
        <v>23.331399999999999</v>
      </c>
      <c r="AA66" s="62">
        <f t="shared" si="8"/>
        <v>23.2867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0153-05</v>
      </c>
      <c r="AE66" s="85" t="str">
        <f t="shared" si="10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66" s="82" t="str">
        <f t="shared" si="11"/>
        <v>"C:\Program Files (x86)\AstroGrep\AstroGrep.exe" /spath="%USERPROFILE%\AppData\Local\Temp\OnboardLogs" /stypes="app*4027*20170305*" /stext=" 17:.+((SYSTEM_STATE.+slice.+state.+changed )|(ment ac)|(multiple cpu faults)|(system.+state.+changed )|(\[timeout)|(PRM\|1\|D)|(kpr)|(kdp)|(\|loc)|(crossing.((167)|(168)|(199)|(200))))" /e /r /s</v>
      </c>
      <c r="AG66" s="1" t="str">
        <f t="shared" si="12"/>
        <v>EC</v>
      </c>
      <c r="AH66" s="86" t="str">
        <f t="shared" si="16"/>
        <v>"%USERPROFILE%\Documents\GitHub\eaglep3\Utilities\RefineRTDCRunTimes.py" --tripid 153-05 --locoid 4027 --swversion DE.1.0.9.0 --startMP 204:447 --initTime 2017-03-05T10:07:59 --startdatetime 2017-03-05T10:15:15 --delay 3 --endMP 204:233314 --enddatetime 2017-03-05T10:51:26 --enforcementcount 0 &gt;&gt;C:\Users\stu\Documents\GitHub\eaglep3-reporting\EC\2017-03-05-refined-times.txt</v>
      </c>
      <c r="AI6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{"issue":{"subject":"","project_id":79,"tracker_id":40,"status_id":1,"priority_id":2,"assigned_to_id":23,"start_date":"2017-03-05","description":"","custom_fields":[{"id":1,"name":"Subdivision","value":"EC"},{"id":4,"name":"Milepost","value":"23.3314"},{"id":17,"name":"Train ID","value":"153-05"},{"id":16,"name":"Locomotive ID","value":"4027"},{"id":130,"name":"Impact","value":""},{"id":150,"name":"Time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4027 --day 2017-03-05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666</v>
      </c>
      <c r="B67" s="7">
        <v>4028</v>
      </c>
      <c r="C67" s="21" t="s">
        <v>252</v>
      </c>
      <c r="D67" s="21" t="s">
        <v>294</v>
      </c>
      <c r="E67" s="13">
        <v>42799.461527777778</v>
      </c>
      <c r="F67" s="13">
        <v>42799.466192129628</v>
      </c>
      <c r="G67" s="7">
        <v>1</v>
      </c>
      <c r="H67" s="21" t="s">
        <v>233</v>
      </c>
      <c r="I67" s="13">
        <v>42799.492731481485</v>
      </c>
      <c r="J67" s="7">
        <v>0</v>
      </c>
      <c r="K67" s="98" t="str">
        <f t="shared" si="0"/>
        <v>4027/4028</v>
      </c>
      <c r="L67" s="21" t="str">
        <f>VLOOKUP(A67,'Trips&amp;Operators'!$C$1:$G$99999,5,FALSE)</f>
        <v>GEBRETEKLE DAGNEW</v>
      </c>
      <c r="M67" s="6">
        <f t="shared" si="1"/>
        <v>2.6539351856627036E-2</v>
      </c>
      <c r="N67" s="7">
        <f t="shared" si="22"/>
        <v>38.216666673542932</v>
      </c>
      <c r="O67" s="7"/>
      <c r="P67" s="7"/>
      <c r="Q67" s="22"/>
      <c r="R67" s="22"/>
      <c r="S67" s="31">
        <f t="shared" si="20"/>
        <v>1</v>
      </c>
      <c r="T67" s="46" t="str">
        <f t="shared" si="2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3"/>
        <v>https://d0f6bd738d7f1b3e5a7ca70fe4ff75f0.us-east-1.aws.found.io/app/kibana#/discover/Steve-Slow-Train-Analysis-(2080s-and-2083s)?_g=(refreshInterval:(display:Off,pause:!f,section:0,value:0),time:(from:'2017-03-05T10:04:36-0700',mode:absolute,to:'2017-03-05T12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87" t="str">
        <f t="shared" si="4"/>
        <v>N</v>
      </c>
      <c r="X67" s="187">
        <f t="shared" si="21"/>
        <v>1</v>
      </c>
      <c r="Y67" s="62">
        <f t="shared" si="6"/>
        <v>23.3004</v>
      </c>
      <c r="Z67" s="62">
        <f t="shared" si="7"/>
        <v>1.3899999999999999E-2</v>
      </c>
      <c r="AA67" s="62">
        <f t="shared" si="8"/>
        <v>23.2865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0154-05</v>
      </c>
      <c r="AE67" s="85" t="str">
        <f t="shared" si="10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67" s="82" t="str">
        <f t="shared" si="11"/>
        <v>"C:\Program Files (x86)\AstroGrep\AstroGrep.exe" /spath="%USERPROFILE%\AppData\Local\Temp\OnboardLogs" /stypes="app*4028*20170305*" /stext=" 18:.+((SYSTEM_STATE.+slice.+state.+changed )|(ment ac)|(multiple cpu faults)|(system.+state.+changed )|(\[timeout)|(PRM\|1\|D)|(kpr)|(kdp)|(\|loc)|(crossing.((167)|(168)|(199)|(200))))" /e /r /s</v>
      </c>
      <c r="AG67" s="1" t="str">
        <f t="shared" si="12"/>
        <v>EC</v>
      </c>
      <c r="AH67" s="86" t="str">
        <f t="shared" si="16"/>
        <v>"%USERPROFILE%\Documents\GitHub\eaglep3\Utilities\RefineRTDCRunTimes.py" --tripid 154-05 --locoid 4028 --swversion DE.1.0.9.0 --startMP 204:233004 --initTime 2017-03-05T11:04:36 --startdatetime 2017-03-05T11:11:19 --delay 1 --endMP 204:139 --enddatetime 2017-03-05T11:49:32 --enforcementcount 0 &gt;&gt;C:\Users\stu\Documents\GitHub\eaglep3-reporting\EC\2017-03-05-refined-times.txt</v>
      </c>
      <c r="AI6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{"issue":{"subject":"","project_id":79,"tracker_id":40,"status_id":1,"priority_id":2,"assigned_to_id":23,"start_date":"2017-03-05","description":"","custom_fields":[{"id":1,"name":"Subdivision","value":"EC"},{"id":4,"name":"Milepost","value":"0.0139"},{"id":17,"name":"Train ID","value":"154-05"},{"id":16,"name":"Locomotive ID","value":"4028"},{"id":130,"name":"Impact","value":""},{"id":150,"name":"Time of Event (Mountain Time)","value":"11:49:32"},{"id":151,"name":"Denver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4028 --day 2017-03-05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657</v>
      </c>
      <c r="B68" s="7">
        <v>4018</v>
      </c>
      <c r="C68" s="21" t="s">
        <v>252</v>
      </c>
      <c r="D68" s="21" t="s">
        <v>232</v>
      </c>
      <c r="E68" s="13">
        <v>42799.436122685183</v>
      </c>
      <c r="F68" s="13">
        <v>42799.437939814816</v>
      </c>
      <c r="G68" s="7">
        <v>1</v>
      </c>
      <c r="H68" s="21" t="s">
        <v>254</v>
      </c>
      <c r="I68" s="13">
        <v>42799.462905092594</v>
      </c>
      <c r="J68" s="7">
        <v>0</v>
      </c>
      <c r="K68" s="98" t="str">
        <f t="shared" si="0"/>
        <v>4017/4018</v>
      </c>
      <c r="L68" s="21" t="str">
        <f>VLOOKUP(A68,'Trips&amp;Operators'!$C$1:$G$99999,5,FALSE)</f>
        <v>ROMERO CHAD</v>
      </c>
      <c r="M68" s="6">
        <f t="shared" si="1"/>
        <v>2.4965277778392192E-2</v>
      </c>
      <c r="N68" s="7">
        <f t="shared" si="22"/>
        <v>35.950000000884756</v>
      </c>
      <c r="O68" s="7"/>
      <c r="P68" s="7"/>
      <c r="Q68" s="22"/>
      <c r="R68" s="22"/>
      <c r="S68" s="31">
        <f t="shared" si="20"/>
        <v>1</v>
      </c>
      <c r="T68" s="46" t="str">
        <f t="shared" si="2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3"/>
        <v>https://d0f6bd738d7f1b3e5a7ca70fe4ff75f0.us-east-1.aws.found.io/app/kibana#/discover/Steve-Slow-Train-Analysis-(2080s-and-2083s)?_g=(refreshInterval:(display:Off,pause:!f,section:0,value:0),time:(from:'2017-03-05T09:28:01-0700',mode:absolute,to:'2017-03-05T12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8" s="187" t="str">
        <f t="shared" si="4"/>
        <v>N</v>
      </c>
      <c r="X68" s="187">
        <f t="shared" si="21"/>
        <v>1</v>
      </c>
      <c r="Y68" s="62">
        <f t="shared" si="6"/>
        <v>4.5499999999999999E-2</v>
      </c>
      <c r="Z68" s="62">
        <f t="shared" si="7"/>
        <v>23.333200000000001</v>
      </c>
      <c r="AA68" s="62">
        <f t="shared" si="8"/>
        <v>23.287700000000001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0155-05</v>
      </c>
      <c r="AE68" s="85" t="str">
        <f t="shared" si="10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68" s="82" t="str">
        <f t="shared" si="11"/>
        <v>"C:\Program Files (x86)\AstroGrep\AstroGrep.exe" /spath="%USERPROFILE%\AppData\Local\Temp\OnboardLogs" /stypes="app*4018*20170305*" /stext=" 18:.+((SYSTEM_STATE.+slice.+state.+changed )|(ment ac)|(multiple cpu faults)|(system.+state.+changed )|(\[timeout)|(PRM\|1\|D)|(kpr)|(kdp)|(\|loc)|(crossing.((167)|(168)|(199)|(200))))" /e /r /s</v>
      </c>
      <c r="AG68" s="1" t="str">
        <f t="shared" si="12"/>
        <v>EC</v>
      </c>
      <c r="AH68" s="86" t="str">
        <f t="shared" si="16"/>
        <v>"%USERPROFILE%\Documents\GitHub\eaglep3\Utilities\RefineRTDCRunTimes.py" --tripid 155-05 --locoid 4018 --swversion DE.1.0.9.0 --startMP 204:455 --initTime 2017-03-05T10:28:01 --startdatetime 2017-03-05T10:30:38 --delay 1 --endMP 204:233332 --enddatetime 2017-03-05T11:06:35 --enforcementcount 0 &gt;&gt;C:\Users\stu\Documents\GitHub\eaglep3-reporting\EC\2017-03-05-refined-times.txt</v>
      </c>
      <c r="AI68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{"issue":{"subject":"","project_id":79,"tracker_id":40,"status_id":1,"priority_id":2,"assigned_to_id":23,"start_date":"2017-03-05","description":"","custom_fields":[{"id":1,"name":"Subdivision","value":"EC"},{"id":4,"name":"Milepost","value":"23.3332"},{"id":17,"name":"Train ID","value":"155-05"},{"id":16,"name":"Locomotive ID","value":"4018"},{"id":130,"name":"Impact","value":""},{"id":150,"name":"Time of Event (Mountain Time)","value":"11:06:35"},{"id":151,"name":"Denver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4018 --day 2017-03-05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20" customFormat="1" x14ac:dyDescent="0.25">
      <c r="A69" s="33" t="s">
        <v>667</v>
      </c>
      <c r="B69" s="7">
        <v>4017</v>
      </c>
      <c r="C69" s="21" t="s">
        <v>252</v>
      </c>
      <c r="D69" s="21" t="s">
        <v>255</v>
      </c>
      <c r="E69" s="13">
        <v>42799.464317129627</v>
      </c>
      <c r="F69" s="13">
        <v>42799.476539351854</v>
      </c>
      <c r="G69" s="7">
        <v>1</v>
      </c>
      <c r="H69" s="21" t="s">
        <v>194</v>
      </c>
      <c r="I69" s="13">
        <v>42799.505011574074</v>
      </c>
      <c r="J69" s="7">
        <v>0</v>
      </c>
      <c r="K69" s="98" t="str">
        <f t="shared" si="0"/>
        <v>4017/4018</v>
      </c>
      <c r="L69" s="21" t="str">
        <f>VLOOKUP(A69,'Trips&amp;Operators'!$C$1:$G$99999,5,FALSE)</f>
        <v>ROMERO CHAD</v>
      </c>
      <c r="M69" s="6">
        <f t="shared" si="1"/>
        <v>2.8472222220443655E-2</v>
      </c>
      <c r="N69" s="7">
        <f t="shared" si="22"/>
        <v>40.999999997438863</v>
      </c>
      <c r="O69" s="7"/>
      <c r="P69" s="7"/>
      <c r="Q69" s="22"/>
      <c r="R69" s="22"/>
      <c r="S69" s="31">
        <f t="shared" si="20"/>
        <v>1</v>
      </c>
      <c r="T69" s="46" t="str">
        <f t="shared" si="2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3"/>
        <v>https://d0f6bd738d7f1b3e5a7ca70fe4ff75f0.us-east-1.aws.found.io/app/kibana#/discover/Steve-Slow-Train-Analysis-(2080s-and-2083s)?_g=(refreshInterval:(display:Off,pause:!f,section:0,value:0),time:(from:'2017-03-05T10:08:37-0700',mode:absolute,to:'2017-03-05T13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9" s="187" t="str">
        <f t="shared" si="4"/>
        <v>N</v>
      </c>
      <c r="X69" s="187">
        <f t="shared" si="21"/>
        <v>1</v>
      </c>
      <c r="Y69" s="62">
        <f t="shared" si="6"/>
        <v>23.299399999999999</v>
      </c>
      <c r="Z69" s="62">
        <f t="shared" si="7"/>
        <v>1.4500000000000001E-2</v>
      </c>
      <c r="AA69" s="62">
        <f t="shared" si="8"/>
        <v>23.284899999999997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0156-05</v>
      </c>
      <c r="AE69" s="85" t="str">
        <f t="shared" si="10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69" s="82" t="str">
        <f t="shared" si="11"/>
        <v>"C:\Program Files (x86)\AstroGrep\AstroGrep.exe" /spath="%USERPROFILE%\AppData\Local\Temp\OnboardLogs" /stypes="app*4017*20170305*" /stext=" 19:.+((SYSTEM_STATE.+slice.+state.+changed )|(ment ac)|(multiple cpu faults)|(system.+state.+changed )|(\[timeout)|(PRM\|1\|D)|(kpr)|(kdp)|(\|loc)|(crossing.((167)|(168)|(199)|(200))))" /e /r /s</v>
      </c>
      <c r="AG69" s="1" t="str">
        <f t="shared" si="12"/>
        <v>EC</v>
      </c>
      <c r="AH69" s="86" t="str">
        <f t="shared" si="16"/>
        <v>"%USERPROFILE%\Documents\GitHub\eaglep3\Utilities\RefineRTDCRunTimes.py" --tripid 156-05 --locoid 4017 --swversion DE.1.0.9.0 --startMP 204:232994 --initTime 2017-03-05T11:08:37 --startdatetime 2017-03-05T11:26:13 --delay 1 --endMP 204:145 --enddatetime 2017-03-05T12:07:13 --enforcementcount 0 &gt;&gt;C:\Users\stu\Documents\GitHub\eaglep3-reporting\EC\2017-03-05-refined-times.txt</v>
      </c>
      <c r="AI69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{"issue":{"subject":"","project_id":79,"tracker_id":40,"status_id":1,"priority_id":2,"assigned_to_id":23,"start_date":"2017-03-05","description":"","custom_fields":[{"id":1,"name":"Subdivision","value":"EC"},{"id":4,"name":"Milepost","value":"0.0145"},{"id":17,"name":"Train ID","value":"156-05"},{"id":16,"name":"Locomotive ID","value":"4017"},{"id":130,"name":"Impact","value":""},{"id":150,"name":"Time of Event (Mountain Time)","value":"12:07:13"},{"id":151,"name":"Denver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4017 --day 2017-03-05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662</v>
      </c>
      <c r="B70" s="7">
        <v>4029</v>
      </c>
      <c r="C70" s="21" t="s">
        <v>252</v>
      </c>
      <c r="D70" s="21" t="s">
        <v>220</v>
      </c>
      <c r="E70" s="13">
        <v>42799.444675925923</v>
      </c>
      <c r="F70" s="13">
        <v>42799.448078703703</v>
      </c>
      <c r="G70" s="7">
        <v>1</v>
      </c>
      <c r="H70" s="21" t="s">
        <v>278</v>
      </c>
      <c r="I70" s="13">
        <v>42799.473912037036</v>
      </c>
      <c r="J70" s="7">
        <v>0</v>
      </c>
      <c r="K70" s="98" t="str">
        <f t="shared" si="0"/>
        <v>4029/4030</v>
      </c>
      <c r="L70" s="21" t="str">
        <f>VLOOKUP(A70,'Trips&amp;Operators'!$C$1:$G$99999,5,FALSE)</f>
        <v>SHOOK JOHN</v>
      </c>
      <c r="M70" s="6">
        <f t="shared" si="1"/>
        <v>2.5833333333139308E-2</v>
      </c>
      <c r="N70" s="7">
        <f t="shared" si="22"/>
        <v>37.199999999720603</v>
      </c>
      <c r="O70" s="7"/>
      <c r="P70" s="7"/>
      <c r="Q70" s="22"/>
      <c r="R70" s="22"/>
      <c r="S70" s="31">
        <f t="shared" si="20"/>
        <v>1</v>
      </c>
      <c r="T70" s="46" t="str">
        <f t="shared" si="2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3"/>
        <v>https://d0f6bd738d7f1b3e5a7ca70fe4ff75f0.us-east-1.aws.found.io/app/kibana#/discover/Steve-Slow-Train-Analysis-(2080s-and-2083s)?_g=(refreshInterval:(display:Off,pause:!f,section:0,value:0),time:(from:'2017-03-05T09:40:20-0700',mode:absolute,to:'2017-03-05T12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87" t="str">
        <f t="shared" si="4"/>
        <v>N</v>
      </c>
      <c r="X70" s="187">
        <f t="shared" si="21"/>
        <v>1</v>
      </c>
      <c r="Y70" s="62">
        <f t="shared" si="6"/>
        <v>4.5699999999999998E-2</v>
      </c>
      <c r="Z70" s="62">
        <f t="shared" si="7"/>
        <v>23.331199999999999</v>
      </c>
      <c r="AA70" s="62">
        <f t="shared" si="8"/>
        <v>23.285499999999999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0157-05</v>
      </c>
      <c r="AE70" s="85" t="str">
        <f t="shared" si="10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70" s="82" t="str">
        <f t="shared" si="11"/>
        <v>"C:\Program Files (x86)\AstroGrep\AstroGrep.exe" /spath="%USERPROFILE%\AppData\Local\Temp\OnboardLogs" /stypes="app*4029*20170305*" /stext=" 18:.+((SYSTEM_STATE.+slice.+state.+changed )|(ment ac)|(multiple cpu faults)|(system.+state.+changed )|(\[timeout)|(PRM\|1\|D)|(kpr)|(kdp)|(\|loc)|(crossing.((167)|(168)|(199)|(200))))" /e /r /s</v>
      </c>
      <c r="AG70" s="1" t="str">
        <f t="shared" si="12"/>
        <v>EC</v>
      </c>
      <c r="AH70" s="86" t="str">
        <f t="shared" si="16"/>
        <v>"%USERPROFILE%\Documents\GitHub\eaglep3\Utilities\RefineRTDCRunTimes.py" --tripid 157-05 --locoid 4029 --swversion DE.1.0.9.0 --startMP 204:457 --initTime 2017-03-05T10:40:20 --startdatetime 2017-03-05T10:45:14 --delay 1 --endMP 204:233312 --enddatetime 2017-03-05T11:22:26 --enforcementcount 0 &gt;&gt;C:\Users\stu\Documents\GitHub\eaglep3-reporting\EC\2017-03-05-refined-times.txt</v>
      </c>
      <c r="AI70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{"issue":{"subject":"","project_id":79,"tracker_id":40,"status_id":1,"priority_id":2,"assigned_to_id":23,"start_date":"2017-03-05","description":"","custom_fields":[{"id":1,"name":"Subdivision","value":"EC"},{"id":4,"name":"Milepost","value":"23.3312"},{"id":17,"name":"Train ID","value":"157-05"},{"id":16,"name":"Locomotive ID","value":"4029"},{"id":130,"name":"Impact","value":""},{"id":150,"name":"Time of Event (Mountain Time)","value":"11:22:26"},{"id":151,"name":"Denver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4029 --day 2017-03-05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x14ac:dyDescent="0.25">
      <c r="A71" s="33" t="s">
        <v>670</v>
      </c>
      <c r="B71" s="7">
        <v>4030</v>
      </c>
      <c r="C71" s="21" t="s">
        <v>252</v>
      </c>
      <c r="D71" s="21" t="s">
        <v>339</v>
      </c>
      <c r="E71" s="13">
        <v>42799.475324074076</v>
      </c>
      <c r="F71" s="13">
        <v>42799.486967592595</v>
      </c>
      <c r="G71" s="7">
        <v>1</v>
      </c>
      <c r="H71" s="21" t="s">
        <v>210</v>
      </c>
      <c r="I71" s="13">
        <v>42799.518368055556</v>
      </c>
      <c r="J71" s="7">
        <v>0</v>
      </c>
      <c r="K71" s="98" t="str">
        <f t="shared" si="0"/>
        <v>4029/4030</v>
      </c>
      <c r="L71" s="21" t="str">
        <f>VLOOKUP(A71,'Trips&amp;Operators'!$C$1:$G$99999,5,FALSE)</f>
        <v>SHOOK JOHN</v>
      </c>
      <c r="M71" s="6">
        <f t="shared" si="1"/>
        <v>3.1400462961755693E-2</v>
      </c>
      <c r="N71" s="7">
        <f t="shared" si="22"/>
        <v>45.216666664928198</v>
      </c>
      <c r="O71" s="7"/>
      <c r="P71" s="7"/>
      <c r="Q71" s="22"/>
      <c r="R71" s="22"/>
      <c r="S71" s="31">
        <f t="shared" si="20"/>
        <v>1</v>
      </c>
      <c r="T71" s="46" t="str">
        <f t="shared" si="2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3"/>
        <v>https://d0f6bd738d7f1b3e5a7ca70fe4ff75f0.us-east-1.aws.found.io/app/kibana#/discover/Steve-Slow-Train-Analysis-(2080s-and-2083s)?_g=(refreshInterval:(display:Off,pause:!f,section:0,value:0),time:(from:'2017-03-05T10:24:28-0700',mode:absolute,to:'2017-03-05T13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87" t="str">
        <f t="shared" si="4"/>
        <v>N</v>
      </c>
      <c r="X71" s="187">
        <f t="shared" si="21"/>
        <v>1</v>
      </c>
      <c r="Y71" s="62">
        <f t="shared" si="6"/>
        <v>23.302499999999998</v>
      </c>
      <c r="Z71" s="62">
        <f t="shared" si="7"/>
        <v>1.54E-2</v>
      </c>
      <c r="AA71" s="62">
        <f t="shared" si="8"/>
        <v>23.287099999999999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0158-05</v>
      </c>
      <c r="AE71" s="85" t="str">
        <f t="shared" si="10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71" s="82" t="str">
        <f t="shared" si="11"/>
        <v>"C:\Program Files (x86)\AstroGrep\AstroGrep.exe" /spath="%USERPROFILE%\AppData\Local\Temp\OnboardLogs" /stypes="app*4030*20170305*" /stext=" 19:.+((SYSTEM_STATE.+slice.+state.+changed )|(ment ac)|(multiple cpu faults)|(system.+state.+changed )|(\[timeout)|(PRM\|1\|D)|(kpr)|(kdp)|(\|loc)|(crossing.((167)|(168)|(199)|(200))))" /e /r /s</v>
      </c>
      <c r="AG71" s="1" t="str">
        <f t="shared" si="12"/>
        <v>EC</v>
      </c>
      <c r="AH71" s="86" t="str">
        <f t="shared" si="16"/>
        <v>"%USERPROFILE%\Documents\GitHub\eaglep3\Utilities\RefineRTDCRunTimes.py" --tripid 158-05 --locoid 4030 --swversion DE.1.0.9.0 --startMP 204:233025 --initTime 2017-03-05T11:24:28 --startdatetime 2017-03-05T11:41:14 --delay 1 --endMP 204:154 --enddatetime 2017-03-05T12:26:27 --enforcementcount 0 &gt;&gt;C:\Users\stu\Documents\GitHub\eaglep3-reporting\EC\2017-03-05-refined-times.txt</v>
      </c>
      <c r="AI71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{"issue":{"subject":"","project_id":79,"tracker_id":40,"status_id":1,"priority_id":2,"assigned_to_id":23,"start_date":"2017-03-05","description":"","custom_fields":[{"id":1,"name":"Subdivision","value":"EC"},{"id":4,"name":"Milepost","value":"0.0154"},{"id":17,"name":"Train ID","value":"158-05"},{"id":16,"name":"Locomotive ID","value":"4030"},{"id":130,"name":"Impact","value":""},{"id":150,"name":"Time of Event (Mountain Time)","value":"12:26:27"},{"id":151,"name":"Denver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4030 --day 2017-03-05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"%USERPROFILE%\AppData\Local\Temp\OnboardLogs"\RTDC4030\*4030*20170305* | grep -SE "(Enforcement Action)|(\[TIMEOUT)|(CHR.+\|PRM\|1\|D.+(SWITCH|SIGNAL).+UNKNOWN)" - &gt;&gt; 2017-03-05-UncaughtWiMAX.txt</v>
      </c>
    </row>
    <row r="72" spans="1:91" s="20" customFormat="1" x14ac:dyDescent="0.25">
      <c r="A72" s="33" t="s">
        <v>548</v>
      </c>
      <c r="B72" s="7">
        <v>4025</v>
      </c>
      <c r="C72" s="21" t="s">
        <v>252</v>
      </c>
      <c r="D72" s="21" t="s">
        <v>231</v>
      </c>
      <c r="E72" s="13">
        <v>42799.45584490741</v>
      </c>
      <c r="F72" s="13">
        <v>42799.458587962959</v>
      </c>
      <c r="G72" s="7">
        <v>1</v>
      </c>
      <c r="H72" s="21" t="s">
        <v>340</v>
      </c>
      <c r="I72" s="13">
        <v>42799.483368055553</v>
      </c>
      <c r="J72" s="7">
        <v>0</v>
      </c>
      <c r="K72" s="98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2.4780092593573499E-2</v>
      </c>
      <c r="N72" s="7">
        <f t="shared" si="22"/>
        <v>35.683333334745839</v>
      </c>
      <c r="O72" s="7"/>
      <c r="P72" s="7"/>
      <c r="Q72" s="22"/>
      <c r="R72" s="22"/>
      <c r="S72" s="31">
        <f t="shared" si="20"/>
        <v>1</v>
      </c>
      <c r="T72" s="46" t="str">
        <f t="shared" si="2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3"/>
        <v>https://d0f6bd738d7f1b3e5a7ca70fe4ff75f0.us-east-1.aws.found.io/app/kibana#/discover/Steve-Slow-Train-Analysis-(2080s-and-2083s)?_g=(refreshInterval:(display:Off,pause:!f,section:0,value:0),time:(from:'2017-03-05T09:56:25-0700',mode:absolute,to:'2017-03-05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87" t="str">
        <f t="shared" si="4"/>
        <v>N</v>
      </c>
      <c r="X72" s="187">
        <f t="shared" si="21"/>
        <v>1</v>
      </c>
      <c r="Y72" s="62">
        <f t="shared" si="6"/>
        <v>4.4600000000000001E-2</v>
      </c>
      <c r="Z72" s="62">
        <f t="shared" si="7"/>
        <v>23.3291</v>
      </c>
      <c r="AA72" s="62">
        <f t="shared" si="8"/>
        <v>23.284500000000001</v>
      </c>
      <c r="AB72" s="59" t="str">
        <f>VLOOKUP(A72,Enforcements!$C$7:$K$13,8,0)</f>
        <v>Bulletin (2)</v>
      </c>
      <c r="AC72" s="55" t="str">
        <f>VLOOKUP(A72,Enforcements!$C$7:$E$13,3,0)</f>
        <v>GRADE CROSSING</v>
      </c>
      <c r="AD72" s="56" t="str">
        <f t="shared" si="9"/>
        <v>0159-05</v>
      </c>
      <c r="AE72" s="85" t="str">
        <f t="shared" si="10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72" s="82" t="str">
        <f t="shared" si="11"/>
        <v>"C:\Program Files (x86)\AstroGrep\AstroGrep.exe" /spath="%USERPROFILE%\AppData\Local\Temp\OnboardLogs" /stypes="app*4025*20170305*" /stext=" 18:.+((SYSTEM_STATE.+slice.+state.+changed )|(ment ac)|(multiple cpu faults)|(system.+state.+changed )|(\[timeout)|(PRM\|1\|D)|(kpr)|(kdp)|(\|loc)|(crossing.((167)|(168)|(199)|(200))))" /e /r /s</v>
      </c>
      <c r="AG72" s="1" t="str">
        <f t="shared" si="12"/>
        <v>EC</v>
      </c>
      <c r="AH72" s="86" t="str">
        <f t="shared" si="16"/>
        <v>"%USERPROFILE%\Documents\GitHub\eaglep3\Utilities\RefineRTDCRunTimes.py" --tripid 159-05 --locoid 4025 --swversion DE.1.0.9.0 --startMP 204:446 --initTime 2017-03-05T10:56:25 --startdatetime 2017-03-05T11:00:22 --delay 1 --endMP 204:233291 --enddatetime 2017-03-05T11:36:03 --enforcementcount 0 &gt;&gt;C:\Users\stu\Documents\GitHub\eaglep3-reporting\EC\2017-03-05-refined-times.txt</v>
      </c>
      <c r="AI72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{"issue":{"subject":"","project_id":79,"tracker_id":40,"status_id":1,"priority_id":2,"assigned_to_id":23,"start_date":"2017-03-05","description":"","custom_fields":[{"id":1,"name":"Subdivision","value":"EC"},{"id":4,"name":"Milepost","value":"23.3291"},{"id":17,"name":"Train ID","value":"159-05"},{"id":16,"name":"Locomotive ID","value":"4025"},{"id":130,"name":"Impact","value":""},{"id":150,"name":"Time of Event (Mountain Time)","value":"11:36:03"},{"id":151,"name":"Denver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4025 --day 2017-03-05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676</v>
      </c>
      <c r="B73" s="7">
        <v>4026</v>
      </c>
      <c r="C73" s="21" t="s">
        <v>252</v>
      </c>
      <c r="D73" s="21" t="s">
        <v>506</v>
      </c>
      <c r="E73" s="13">
        <v>42799.496979166666</v>
      </c>
      <c r="F73" s="13">
        <v>42799.498784722222</v>
      </c>
      <c r="G73" s="7">
        <v>0</v>
      </c>
      <c r="H73" s="21" t="s">
        <v>184</v>
      </c>
      <c r="I73" s="13">
        <v>42799.525972222225</v>
      </c>
      <c r="J73" s="7">
        <v>0</v>
      </c>
      <c r="K73" s="98" t="str">
        <f t="shared" si="0"/>
        <v>4025/4026</v>
      </c>
      <c r="L73" s="21" t="str">
        <f>VLOOKUP(A73,'Trips&amp;Operators'!$C$1:$G$99999,5,FALSE)</f>
        <v>STEWART MICHAEL</v>
      </c>
      <c r="M73" s="6">
        <f t="shared" si="1"/>
        <v>2.718750000349246E-2</v>
      </c>
      <c r="N73" s="7">
        <f t="shared" si="22"/>
        <v>39.150000005029142</v>
      </c>
      <c r="O73" s="7"/>
      <c r="P73" s="7"/>
      <c r="Q73" s="22"/>
      <c r="R73" s="22"/>
      <c r="S73" s="31">
        <f t="shared" si="20"/>
        <v>1</v>
      </c>
      <c r="T73" s="46" t="str">
        <f t="shared" si="2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3"/>
        <v>https://d0f6bd738d7f1b3e5a7ca70fe4ff75f0.us-east-1.aws.found.io/app/kibana#/discover/Steve-Slow-Train-Analysis-(2080s-and-2083s)?_g=(refreshInterval:(display:Off,pause:!f,section:0,value:0),time:(from:'2017-03-05T10:55:39-0700',mode:absolute,to:'2017-03-05T13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187" t="str">
        <f t="shared" si="4"/>
        <v>N</v>
      </c>
      <c r="X73" s="187">
        <f t="shared" si="21"/>
        <v>1</v>
      </c>
      <c r="Y73" s="62">
        <f t="shared" si="6"/>
        <v>23.298200000000001</v>
      </c>
      <c r="Z73" s="62">
        <f t="shared" si="7"/>
        <v>1.49E-2</v>
      </c>
      <c r="AA73" s="62">
        <f t="shared" si="8"/>
        <v>23.283300000000001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0160-05</v>
      </c>
      <c r="AE73" s="85" t="str">
        <f t="shared" si="10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73" s="82" t="str">
        <f t="shared" si="11"/>
        <v>"C:\Program Files (x86)\AstroGrep\AstroGrep.exe" /spath="%USERPROFILE%\AppData\Local\Temp\OnboardLogs" /stypes="app*4026*20170305*" /stext=" 19:.+((SYSTEM_STATE.+slice.+state.+changed )|(ment ac)|(multiple cpu faults)|(system.+state.+changed )|(\[timeout)|(PRM\|1\|D)|(kpr)|(kdp)|(\|loc)|(crossing.((167)|(168)|(199)|(200))))" /e /r /s</v>
      </c>
      <c r="AG73" s="1" t="str">
        <f t="shared" si="12"/>
        <v>EC</v>
      </c>
      <c r="AH73" s="86" t="str">
        <f t="shared" si="16"/>
        <v>"%USERPROFILE%\Documents\GitHub\eaglep3\Utilities\RefineRTDCRunTimes.py" --tripid 160-05 --locoid 4026 --swversion DE.1.0.9.0 --startMP 204:232982 --initTime 2017-03-05T11:55:39 --startdatetime 2017-03-05T11:58:15 --delay 0 --endMP 204:149 --enddatetime 2017-03-05T12:37:24 --enforcementcount 0 &gt;&gt;C:\Users\stu\Documents\GitHub\eaglep3-reporting\EC\2017-03-05-refined-times.txt</v>
      </c>
      <c r="AI73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ID","value":"160-05"},{"id":16,"name":"Locomotive ID","value":"4026"},{"id":130,"name":"Impact","value":""},{"id":150,"name":"Time of Event (Mountain Time)","value":"12:37:24"},{"id":151,"name":"Denver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4026 --day 2017-03-05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668</v>
      </c>
      <c r="B74" s="7">
        <v>4044</v>
      </c>
      <c r="C74" s="21" t="s">
        <v>252</v>
      </c>
      <c r="D74" s="21" t="s">
        <v>814</v>
      </c>
      <c r="E74" s="13">
        <v>42799.467858796299</v>
      </c>
      <c r="F74" s="13">
        <v>42799.471435185187</v>
      </c>
      <c r="G74" s="7">
        <v>2</v>
      </c>
      <c r="H74" s="21" t="s">
        <v>815</v>
      </c>
      <c r="I74" s="13">
        <v>42799.498333333337</v>
      </c>
      <c r="J74" s="7">
        <v>0</v>
      </c>
      <c r="K74" s="98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2.6898148149484769E-2</v>
      </c>
      <c r="N74" s="7">
        <f t="shared" si="22"/>
        <v>38.733333335258067</v>
      </c>
      <c r="O74" s="7"/>
      <c r="P74" s="7"/>
      <c r="Q74" s="22"/>
      <c r="R74" s="22"/>
      <c r="S74" s="31">
        <f t="shared" si="20"/>
        <v>1</v>
      </c>
      <c r="T74" s="46" t="str">
        <f t="shared" si="2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3"/>
        <v>https://d0f6bd738d7f1b3e5a7ca70fe4ff75f0.us-east-1.aws.found.io/app/kibana#/discover/Steve-Slow-Train-Analysis-(2080s-and-2083s)?_g=(refreshInterval:(display:Off,pause:!f,section:0,value:0),time:(from:'2017-03-05T10:13:43-0700',mode:absolute,to:'2017-03-05T12:57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87" t="str">
        <f t="shared" si="4"/>
        <v>N</v>
      </c>
      <c r="X74" s="187">
        <f t="shared" si="21"/>
        <v>1</v>
      </c>
      <c r="Y74" s="62">
        <f t="shared" si="6"/>
        <v>4.3799999999999999E-2</v>
      </c>
      <c r="Z74" s="62">
        <f t="shared" si="7"/>
        <v>23.33</v>
      </c>
      <c r="AA74" s="62">
        <f t="shared" si="8"/>
        <v>23.286199999999997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0161-05</v>
      </c>
      <c r="AE74" s="85" t="str">
        <f t="shared" si="10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74" s="82" t="str">
        <f t="shared" si="11"/>
        <v>"C:\Program Files (x86)\AstroGrep\AstroGrep.exe" /spath="%USERPROFILE%\AppData\Local\Temp\OnboardLogs" /stypes="app*4044*20170305*" /stext=" 18:.+((SYSTEM_STATE.+slice.+state.+changed )|(ment ac)|(multiple cpu faults)|(system.+state.+changed )|(\[timeout)|(PRM\|1\|D)|(kpr)|(kdp)|(\|loc)|(crossing.((167)|(168)|(199)|(200))))" /e /r /s</v>
      </c>
      <c r="AG74" s="1" t="str">
        <f t="shared" si="12"/>
        <v>EC</v>
      </c>
      <c r="AH74" s="86" t="str">
        <f t="shared" si="16"/>
        <v>"%USERPROFILE%\Documents\GitHub\eaglep3\Utilities\RefineRTDCRunTimes.py" --tripid 161-05 --locoid 4044 --swversion DE.1.0.9.0 --startMP 204:438 --initTime 2017-03-05T11:13:43 --startdatetime 2017-03-05T11:18:52 --delay 2 --endMP 204:233300 --enddatetime 2017-03-05T11:57:36 --enforcementcount 0 &gt;&gt;C:\Users\stu\Documents\GitHub\eaglep3-reporting\EC\2017-03-05-refined-times.txt</v>
      </c>
      <c r="AI74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{"issue":{"subject":"","project_id":79,"tracker_id":40,"status_id":1,"priority_id":2,"assigned_to_id":23,"start_date":"2017-03-05","description":"","custom_fields":[{"id":1,"name":"Subdivision","value":"EC"},{"id":4,"name":"Milepost","value":"23.33"},{"id":17,"name":"Train ID","value":"161-05"},{"id":16,"name":"Locomotive ID","value":"4044"},{"id":130,"name":"Impact","value":""},{"id":150,"name":"Time of Event (Mountain Time)","value":"11:57:36"},{"id":151,"name":"Denver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4044 --day 2017-03-05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680</v>
      </c>
      <c r="B75" s="7">
        <v>4043</v>
      </c>
      <c r="C75" s="21" t="s">
        <v>252</v>
      </c>
      <c r="D75" s="21" t="s">
        <v>284</v>
      </c>
      <c r="E75" s="13">
        <v>42799.504988425928</v>
      </c>
      <c r="F75" s="13">
        <v>42799.508310185185</v>
      </c>
      <c r="G75" s="7">
        <v>2</v>
      </c>
      <c r="H75" s="21" t="s">
        <v>262</v>
      </c>
      <c r="I75" s="13">
        <v>42799.538634259261</v>
      </c>
      <c r="J75" s="7">
        <v>0</v>
      </c>
      <c r="K75" s="98" t="str">
        <f t="shared" si="0"/>
        <v>4043/4044</v>
      </c>
      <c r="L75" s="21" t="str">
        <f>VLOOKUP(A75,'Trips&amp;Operators'!$C$1:$G$99999,5,FALSE)</f>
        <v>DAVIS MICHAEL</v>
      </c>
      <c r="M75" s="6">
        <f t="shared" si="1"/>
        <v>3.0324074075906537E-2</v>
      </c>
      <c r="N75" s="7">
        <f t="shared" si="22"/>
        <v>43.666666669305414</v>
      </c>
      <c r="O75" s="7"/>
      <c r="P75" s="7"/>
      <c r="Q75" s="22"/>
      <c r="R75" s="22"/>
      <c r="S75" s="31">
        <f t="shared" si="20"/>
        <v>1</v>
      </c>
      <c r="T75" s="46" t="str">
        <f t="shared" si="2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3"/>
        <v>https://d0f6bd738d7f1b3e5a7ca70fe4ff75f0.us-east-1.aws.found.io/app/kibana#/discover/Steve-Slow-Train-Analysis-(2080s-and-2083s)?_g=(refreshInterval:(display:Off,pause:!f,section:0,value:0),time:(from:'2017-03-05T11:07:11-0700',mode:absolute,to:'2017-03-05T13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87" t="str">
        <f t="shared" si="4"/>
        <v>N</v>
      </c>
      <c r="X75" s="187">
        <f t="shared" si="21"/>
        <v>1</v>
      </c>
      <c r="Y75" s="62">
        <f t="shared" si="6"/>
        <v>23.299800000000001</v>
      </c>
      <c r="Z75" s="62">
        <f t="shared" si="7"/>
        <v>1.6500000000000001E-2</v>
      </c>
      <c r="AA75" s="62">
        <f t="shared" si="8"/>
        <v>23.283300000000001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0162-05</v>
      </c>
      <c r="AE75" s="85" t="str">
        <f t="shared" si="10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75" s="82" t="str">
        <f t="shared" si="11"/>
        <v>"C:\Program Files (x86)\AstroGrep\AstroGrep.exe" /spath="%USERPROFILE%\AppData\Local\Temp\OnboardLogs" /stypes="app*4043*20170305*" /stext=" 19:.+((SYSTEM_STATE.+slice.+state.+changed )|(ment ac)|(multiple cpu faults)|(system.+state.+changed )|(\[timeout)|(PRM\|1\|D)|(kpr)|(kdp)|(\|loc)|(crossing.((167)|(168)|(199)|(200))))" /e /r /s</v>
      </c>
      <c r="AG75" s="1" t="str">
        <f t="shared" si="12"/>
        <v>EC</v>
      </c>
      <c r="AH75" s="86" t="str">
        <f t="shared" si="16"/>
        <v>"%USERPROFILE%\Documents\GitHub\eaglep3\Utilities\RefineRTDCRunTimes.py" --tripid 162-05 --locoid 4043 --swversion DE.1.0.9.0 --startMP 204:232998 --initTime 2017-03-05T12:07:11 --startdatetime 2017-03-05T12:11:58 --delay 2 --endMP 204:165 --enddatetime 2017-03-05T12:55:38 --enforcementcount 0 &gt;&gt;C:\Users\stu\Documents\GitHub\eaglep3-reporting\EC\2017-03-05-refined-times.txt</v>
      </c>
      <c r="AI75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{"issue":{"subject":"","project_id":79,"tracker_id":40,"status_id":1,"priority_id":2,"assigned_to_id":23,"start_date":"2017-03-05","description":"","custom_fields":[{"id":1,"name":"Subdivision","value":"EC"},{"id":4,"name":"Milepost","value":"0.0165"},{"id":17,"name":"Train ID","value":"162-05"},{"id":16,"name":"Locomotive ID","value":"4043"},{"id":130,"name":"Impact","value":""},{"id":150,"name":"Time of Event (Mountain Time)","value":"12:55:38"},{"id":151,"name":"Denver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4043 --day 2017-03-05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"%USERPROFILE%\AppData\Local\Temp\OnboardLogs"\RTDC4043\*4043*20170305* | grep -SE "(Enforcement Action)|(\[TIMEOUT)|(CHR.+\|PRM\|1\|D.+(SWITCH|SIGNAL).+UNKNOWN)" - &gt;&gt; 2017-03-05-UncaughtWiMAX.txt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671</v>
      </c>
      <c r="B76" s="7">
        <v>4014</v>
      </c>
      <c r="C76" s="21" t="s">
        <v>252</v>
      </c>
      <c r="D76" s="21" t="s">
        <v>311</v>
      </c>
      <c r="E76" s="13">
        <v>42799.475694444445</v>
      </c>
      <c r="F76" s="13">
        <v>42799.47934027778</v>
      </c>
      <c r="G76" s="7">
        <v>2</v>
      </c>
      <c r="H76" s="21" t="s">
        <v>816</v>
      </c>
      <c r="I76" s="13">
        <v>42799.505057870374</v>
      </c>
      <c r="J76" s="7">
        <v>0</v>
      </c>
      <c r="K76" s="98" t="str">
        <f t="shared" si="0"/>
        <v>4013/4014</v>
      </c>
      <c r="L76" s="21" t="str">
        <f>VLOOKUP(A76,'Trips&amp;Operators'!$C$1:$G$99999,5,FALSE)</f>
        <v>LEVIN SCOTT</v>
      </c>
      <c r="M76" s="6">
        <f t="shared" si="1"/>
        <v>2.5717592594446614E-2</v>
      </c>
      <c r="N76" s="7">
        <f t="shared" si="22"/>
        <v>37.033333336003125</v>
      </c>
      <c r="O76" s="7"/>
      <c r="P76" s="7"/>
      <c r="Q76" s="22"/>
      <c r="R76" s="22"/>
      <c r="S76" s="31">
        <f t="shared" si="20"/>
        <v>1</v>
      </c>
      <c r="T76" s="46" t="str">
        <f t="shared" si="2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3"/>
        <v>https://d0f6bd738d7f1b3e5a7ca70fe4ff75f0.us-east-1.aws.found.io/app/kibana#/discover/Steve-Slow-Train-Analysis-(2080s-and-2083s)?_g=(refreshInterval:(display:Off,pause:!f,section:0,value:0),time:(from:'2017-03-05T10:25:00-0700',mode:absolute,to:'2017-03-05T13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6" s="187" t="str">
        <f t="shared" si="4"/>
        <v>N</v>
      </c>
      <c r="X76" s="187">
        <f t="shared" si="21"/>
        <v>1</v>
      </c>
      <c r="Y76" s="62">
        <f t="shared" si="6"/>
        <v>4.4900000000000002E-2</v>
      </c>
      <c r="Z76" s="62">
        <f t="shared" si="7"/>
        <v>23.338000000000001</v>
      </c>
      <c r="AA76" s="62">
        <f t="shared" si="8"/>
        <v>23.293100000000003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0163-05</v>
      </c>
      <c r="AE76" s="85" t="str">
        <f t="shared" si="10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76" s="82" t="str">
        <f t="shared" si="11"/>
        <v>"C:\Program Files (x86)\AstroGrep\AstroGrep.exe" /spath="%USERPROFILE%\AppData\Local\Temp\OnboardLogs" /stypes="app*4014*20170305*" /stext=" 19:.+((SYSTEM_STATE.+slice.+state.+changed )|(ment ac)|(multiple cpu faults)|(system.+state.+changed )|(\[timeout)|(PRM\|1\|D)|(kpr)|(kdp)|(\|loc)|(crossing.((167)|(168)|(199)|(200))))" /e /r /s</v>
      </c>
      <c r="AG76" s="1" t="str">
        <f t="shared" si="12"/>
        <v>EC</v>
      </c>
      <c r="AH76" s="86" t="str">
        <f t="shared" si="16"/>
        <v>"%USERPROFILE%\Documents\GitHub\eaglep3\Utilities\RefineRTDCRunTimes.py" --tripid 163-05 --locoid 4014 --swversion DE.1.0.9.0 --startMP 204:449 --initTime 2017-03-05T11:25:00 --startdatetime 2017-03-05T11:30:15 --delay 2 --endMP 204:233380 --enddatetime 2017-03-05T12:07:17 --enforcementcount 0 &gt;&gt;C:\Users\stu\Documents\GitHub\eaglep3-reporting\EC\2017-03-05-refined-times.txt</v>
      </c>
      <c r="AI76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{"issue":{"subject":"","project_id":79,"tracker_id":40,"status_id":1,"priority_id":2,"assigned_to_id":23,"start_date":"2017-03-05","description":"","custom_fields":[{"id":1,"name":"Subdivision","value":"EC"},{"id":4,"name":"Milepost","value":"23.338"},{"id":17,"name":"Train ID","value":"163-05"},{"id":16,"name":"Locomotive ID","value":"4014"},{"id":130,"name":"Impact","value":""},{"id":150,"name":"Time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4014 --day 2017-03-05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2017-03-05-UncaughtWiMAX.txt</v>
      </c>
    </row>
    <row r="77" spans="1:91" s="20" customFormat="1" x14ac:dyDescent="0.25">
      <c r="A77" s="33" t="s">
        <v>683</v>
      </c>
      <c r="B77" s="7">
        <v>4013</v>
      </c>
      <c r="C77" s="21" t="s">
        <v>252</v>
      </c>
      <c r="D77" s="21" t="s">
        <v>817</v>
      </c>
      <c r="E77" s="13">
        <v>42799.514409722222</v>
      </c>
      <c r="F77" s="13">
        <v>42799.518252314818</v>
      </c>
      <c r="G77" s="7">
        <v>1</v>
      </c>
      <c r="H77" s="21" t="s">
        <v>292</v>
      </c>
      <c r="I77" s="13">
        <v>42799.545289351852</v>
      </c>
      <c r="J77" s="7">
        <v>0</v>
      </c>
      <c r="K77" s="98" t="str">
        <f t="shared" ref="K77:K140" si="23">IF(ISEVEN(B77),(B77-1)&amp;"/"&amp;B77,B77&amp;"/"&amp;(B77+1))</f>
        <v>4013/4014</v>
      </c>
      <c r="L77" s="21" t="str">
        <f>VLOOKUP(A77,'Trips&amp;Operators'!$C$1:$G$99999,5,FALSE)</f>
        <v>LEVIN SCOTT</v>
      </c>
      <c r="M77" s="6">
        <f t="shared" ref="M77:M140" si="24">I77-F77</f>
        <v>2.7037037034460809E-2</v>
      </c>
      <c r="N77" s="7">
        <f t="shared" si="22"/>
        <v>38.933333329623565</v>
      </c>
      <c r="O77" s="7"/>
      <c r="P77" s="7"/>
      <c r="Q77" s="22"/>
      <c r="R77" s="22"/>
      <c r="S77" s="31">
        <f t="shared" si="20"/>
        <v>1</v>
      </c>
      <c r="T77" s="46" t="str">
        <f t="shared" ref="T77:T140" si="25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-05T11:20:45-0700',mode:absolute,to:'2017-03-05T14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7" s="187" t="str">
        <f t="shared" ref="W77:W140" si="27">IF(AA77&lt;IF(AG77="EC",23,5.65),"Y","N")</f>
        <v>N</v>
      </c>
      <c r="X77" s="187">
        <f t="shared" ref="X77:X108" si="28">VALUE(LEFT(AD77,4))-VALUE(LEFT(AD76,4))</f>
        <v>1</v>
      </c>
      <c r="Y77" s="62">
        <f t="shared" ref="Y77:Y140" si="29">RIGHT(D77,LEN(D77)-4)/10000</f>
        <v>23.3049</v>
      </c>
      <c r="Z77" s="62">
        <f t="shared" ref="Z77:Z140" si="30">RIGHT(H77,LEN(H77)-4)/10000</f>
        <v>1.34E-2</v>
      </c>
      <c r="AA77" s="62">
        <f t="shared" ref="AA77:AA140" si="31">ABS(Z77-Y77)</f>
        <v>23.291499999999999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0164-05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/stypes="app*4013*20170305*" /stext=" 20:.+((SYSTEM_STATE.+slice.+state.+changed )|(ment ac)|(multiple cpu faults)|(system.+state.+changed )|(\[timeout)|(PRM\|1\|D)|(kpr)|(kdp)|(\|loc)|(crossing.((167)|(168)|(199)|(200))))"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6"/>
        <v>"%USERPROFILE%\Documents\GitHub\eaglep3\Utilities\RefineRTDCRunTimes.py" --tripid 164-05 --locoid 4013 --swversion DE.1.0.9.0 --startMP 204:233049 --initTime 2017-03-05T12:20:45 --startdatetime 2017-03-05T12:26:17 --delay 1 --endMP 204:134 --enddatetime 2017-03-05T13:05:13 --enforcementcount 0 &gt;&gt;C:\Users\stu\Documents\GitHub\eaglep3-reporting\EC\2017-03-05-refined-times.txt</v>
      </c>
      <c r="AI77" s="108" t="str">
        <f t="shared" si="17"/>
        <v>echo {"issue":{"subject":"","project_id":79,"tracker_id":40,"status_id":1,"priority_id":2,"assigned_to_id":23,"start_date":"2017-03-05","description":"","custom_fields":[{"id":1,"name":"Subdivision","value":"EC"},{"id":4,"name":"Milepost","value":"0.0134"},{"id":17,"name":"Train ID","value":"164-05"},{"id":16,"name":"Locomotive ID","value":"4013"},{"id":130,"name":"Impact","value":""},{"id":150,"name":"Time of Event (Mountain Time)","value":"13:05:13"},{"id":151,"name":"Denver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8"/>
        <v>start /low /b %USERPROFILE%\Documents\GitHub\eaglep3\Utilities\DownloadLogsFromS3.py --loco 4013 --day 2017-03-05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675</v>
      </c>
      <c r="B78" s="7">
        <v>4009</v>
      </c>
      <c r="C78" s="21" t="s">
        <v>252</v>
      </c>
      <c r="D78" s="21" t="s">
        <v>219</v>
      </c>
      <c r="E78" s="13">
        <v>42799.486875000002</v>
      </c>
      <c r="F78" s="13">
        <v>42799.489756944444</v>
      </c>
      <c r="G78" s="7">
        <v>1</v>
      </c>
      <c r="H78" s="21" t="s">
        <v>285</v>
      </c>
      <c r="I78" s="13">
        <v>42799.515509259261</v>
      </c>
      <c r="J78" s="7">
        <v>0</v>
      </c>
      <c r="K78" s="98" t="str">
        <f t="shared" si="23"/>
        <v>4009/4010</v>
      </c>
      <c r="L78" s="21" t="str">
        <f>VLOOKUP(A78,'Trips&amp;Operators'!$C$1:$G$99999,5,FALSE)</f>
        <v>BRUDER RICHARD</v>
      </c>
      <c r="M78" s="6">
        <f t="shared" si="24"/>
        <v>2.5752314817509614E-2</v>
      </c>
      <c r="N78" s="7">
        <f t="shared" si="22"/>
        <v>37.083333337213844</v>
      </c>
      <c r="O78" s="7"/>
      <c r="P78" s="7"/>
      <c r="Q78" s="22"/>
      <c r="R78" s="22"/>
      <c r="S78" s="31">
        <f t="shared" ref="S78:S141" si="36">SUM(U78:U78)/IF(AG78="EC",12,1)</f>
        <v>1</v>
      </c>
      <c r="T78" s="46" t="str">
        <f t="shared" si="25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-03-05T10:41:06-0700',mode:absolute,to:'2017-03-05T13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4.5100000000000001E-2</v>
      </c>
      <c r="Z78" s="62">
        <f t="shared" si="30"/>
        <v>23.331499999999998</v>
      </c>
      <c r="AA78" s="62">
        <f t="shared" si="31"/>
        <v>23.286399999999997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0165-05</v>
      </c>
      <c r="AE78" s="85" t="str">
        <f t="shared" si="33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78" s="82" t="str">
        <f t="shared" si="34"/>
        <v>"C:\Program Files (x86)\AstroGrep\AstroGrep.exe" /spath="%USERPROFILE%\AppData\Local\Temp\OnboardLogs" /stypes="app*4009*20170305*" /stext=" 19:.+((SYSTEM_STATE.+slice.+state.+changed )|(ment ac)|(multiple cpu faults)|(system.+state.+changed )|(\[timeout)|(PRM\|1\|D)|(kpr)|(kdp)|(\|loc)|(crossing.((167)|(168)|(199)|(200))))" /e /r /s</v>
      </c>
      <c r="AG78" s="1" t="str">
        <f t="shared" si="35"/>
        <v>EC</v>
      </c>
      <c r="AH78" s="86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165-05 --locoid 4009 --swversion DE.1.0.9.0 --startMP 204:451 --initTime 2017-03-05T11:41:06 --startdatetime 2017-03-05T11:45:15 --delay 1 --endMP 204:233315 --enddatetime 2017-03-05T12:22:20 --enforcementcount 0 &gt;&gt;C:\Users\stu\Documents\GitHub\eaglep3-reporting\EC\2017-03-05-refined-times.txt</v>
      </c>
      <c r="AI78" s="108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{"issue":{"subject":"","project_id":79,"tracker_id":40,"status_id":1,"priority_id":2,"assigned_to_id":23,"start_date":"2017-03-05","description":"","custom_fields":[{"id":1,"name":"Subdivision","value":"EC"},{"id":4,"name":"Milepost","value":"23.3315"},{"id":17,"name":"Train ID","value":"165-05"},{"id":16,"name":"Locomotive ID","value":"4009"},{"id":130,"name":"Impact","value":""},{"id":150,"name":"Time of Event (Mountain Time)","value":"12:22:20"},{"id":151,"name":"Denver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9">"start /low /b "&amp;dls3logs&amp;" --loco "&amp;B78&amp;" --day "&amp;TEXT(F78,"YYYY-MM-DD")</f>
        <v>start /low /b %USERPROFILE%\Documents\GitHub\eaglep3\Utilities\DownloadLogsFromS3.py --loco 4009 --day 2017-03-05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685</v>
      </c>
      <c r="B79" s="7">
        <v>4010</v>
      </c>
      <c r="C79" s="21" t="s">
        <v>252</v>
      </c>
      <c r="D79" s="21" t="s">
        <v>238</v>
      </c>
      <c r="E79" s="13">
        <v>42799.524733796294</v>
      </c>
      <c r="F79" s="13">
        <v>42799.528645833336</v>
      </c>
      <c r="G79" s="7">
        <v>1</v>
      </c>
      <c r="H79" s="21" t="s">
        <v>192</v>
      </c>
      <c r="I79" s="13">
        <v>42799.556932870371</v>
      </c>
      <c r="J79" s="7">
        <v>0</v>
      </c>
      <c r="K79" s="98" t="str">
        <f t="shared" si="23"/>
        <v>4009/4010</v>
      </c>
      <c r="L79" s="21" t="str">
        <f>VLOOKUP(A79,'Trips&amp;Operators'!$C$1:$G$99999,5,FALSE)</f>
        <v>BRUDER RICHARD</v>
      </c>
      <c r="M79" s="6">
        <f t="shared" si="24"/>
        <v>2.8287037035624962E-2</v>
      </c>
      <c r="N79" s="7">
        <f t="shared" ref="N79:N90" si="40">24*60*SUM($M79:$M79)</f>
        <v>40.733333331299946</v>
      </c>
      <c r="O79" s="7"/>
      <c r="P79" s="7"/>
      <c r="Q79" s="22"/>
      <c r="R79" s="22"/>
      <c r="S79" s="31">
        <f t="shared" si="36"/>
        <v>1</v>
      </c>
      <c r="T79" s="46" t="str">
        <f t="shared" si="25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-03-05T11:35:37-0700',mode:absolute,to:'2017-03-05T14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23.299600000000002</v>
      </c>
      <c r="Z79" s="62">
        <f t="shared" si="30"/>
        <v>1.4999999999999999E-2</v>
      </c>
      <c r="AA79" s="62">
        <f t="shared" si="31"/>
        <v>23.284600000000001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0166-05</v>
      </c>
      <c r="AE79" s="85" t="str">
        <f t="shared" si="33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79" s="82" t="str">
        <f t="shared" si="34"/>
        <v>"C:\Program Files (x86)\AstroGrep\AstroGrep.exe" /spath="%USERPROFILE%\AppData\Local\Temp\OnboardLogs" /stypes="app*4010*20170305*" /stext=" 20:.+((SYSTEM_STATE.+slice.+state.+changed )|(ment ac)|(multiple cpu faults)|(system.+state.+changed )|(\[timeout)|(PRM\|1\|D)|(kpr)|(kdp)|(\|loc)|(crossing.((167)|(168)|(199)|(200))))" /e /r /s</v>
      </c>
      <c r="AG79" s="1" t="str">
        <f t="shared" si="35"/>
        <v>EC</v>
      </c>
      <c r="AH79" s="86" t="str">
        <f t="shared" si="37"/>
        <v>"%USERPROFILE%\Documents\GitHub\eaglep3\Utilities\RefineRTDCRunTimes.py" --tripid 166-05 --locoid 4010 --swversion DE.1.0.9.0 --startMP 204:232996 --initTime 2017-03-05T12:35:37 --startdatetime 2017-03-05T12:41:15 --delay 1 --endMP 204:150 --enddatetime 2017-03-05T13:21:59 --enforcementcount 0 &gt;&gt;C:\Users\stu\Documents\GitHub\eaglep3-reporting\EC\2017-03-05-refined-times.txt</v>
      </c>
      <c r="AI7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{"issue":{"subject":"","project_id":79,"tracker_id":40,"status_id":1,"priority_id":2,"assigned_to_id":23,"start_date":"2017-03-05","description":"","custom_fields":[{"id":1,"name":"Subdivision","value":"EC"},{"id":4,"name":"Milepost","value":"0.015"},{"id":17,"name":"Train ID","value":"166-05"},{"id":16,"name":"Locomotive ID","value":"4010"},{"id":130,"name":"Impact","value":""},{"id":150,"name":"Time of Event (Mountain Time)","value":"13:21:59"},{"id":151,"name":"Denver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4010 --day 2017-03-05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679</v>
      </c>
      <c r="B80" s="7">
        <v>4027</v>
      </c>
      <c r="C80" s="21" t="s">
        <v>252</v>
      </c>
      <c r="D80" s="21" t="s">
        <v>246</v>
      </c>
      <c r="E80" s="13">
        <v>42799.495567129627</v>
      </c>
      <c r="F80" s="13">
        <v>42799.500347222223</v>
      </c>
      <c r="G80" s="7">
        <v>1</v>
      </c>
      <c r="H80" s="21" t="s">
        <v>307</v>
      </c>
      <c r="I80" s="13">
        <v>42799.525370370371</v>
      </c>
      <c r="J80" s="7">
        <v>0</v>
      </c>
      <c r="K80" s="98" t="str">
        <f t="shared" si="23"/>
        <v>4027/4028</v>
      </c>
      <c r="L80" s="21" t="str">
        <f>VLOOKUP(A80,'Trips&amp;Operators'!$C$1:$G$99999,5,FALSE)</f>
        <v>LOCKLEAR TRAVIS</v>
      </c>
      <c r="M80" s="6">
        <f t="shared" si="24"/>
        <v>2.5023148147738539E-2</v>
      </c>
      <c r="N80" s="7">
        <f t="shared" si="40"/>
        <v>36.033333332743496</v>
      </c>
      <c r="O80" s="7"/>
      <c r="P80" s="7"/>
      <c r="Q80" s="22"/>
      <c r="R80" s="22"/>
      <c r="S80" s="31">
        <f t="shared" si="36"/>
        <v>1</v>
      </c>
      <c r="T80" s="46" t="str">
        <f t="shared" si="25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-03-05T10:53:37-0700',mode:absolute,to:'2017-03-05T13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4.4699999999999997E-2</v>
      </c>
      <c r="Z80" s="62">
        <f t="shared" si="30"/>
        <v>23.329499999999999</v>
      </c>
      <c r="AA80" s="62">
        <f t="shared" si="31"/>
        <v>23.284800000000001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0167-05</v>
      </c>
      <c r="AE80" s="85" t="str">
        <f t="shared" si="33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80" s="82" t="str">
        <f t="shared" si="34"/>
        <v>"C:\Program Files (x86)\AstroGrep\AstroGrep.exe" /spath="%USERPROFILE%\AppData\Local\Temp\OnboardLogs" /stypes="app*4027*20170305*" /stext=" 19:.+((SYSTEM_STATE.+slice.+state.+changed )|(ment ac)|(multiple cpu faults)|(system.+state.+changed )|(\[timeout)|(PRM\|1\|D)|(kpr)|(kdp)|(\|loc)|(crossing.((167)|(168)|(199)|(200))))" /e /r /s</v>
      </c>
      <c r="AG80" s="1" t="str">
        <f t="shared" si="35"/>
        <v>EC</v>
      </c>
      <c r="AH80" s="86" t="str">
        <f t="shared" si="37"/>
        <v>"%USERPROFILE%\Documents\GitHub\eaglep3\Utilities\RefineRTDCRunTimes.py" --tripid 167-05 --locoid 4027 --swversion DE.1.0.9.0 --startMP 204:447 --initTime 2017-03-05T11:53:37 --startdatetime 2017-03-05T12:00:30 --delay 1 --endMP 204:233295 --enddatetime 2017-03-05T12:36:32 --enforcementcount 0 &gt;&gt;C:\Users\stu\Documents\GitHub\eaglep3-reporting\EC\2017-03-05-refined-times.txt</v>
      </c>
      <c r="AI8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{"issue":{"subject":"","project_id":79,"tracker_id":40,"status_id":1,"priority_id":2,"assigned_to_id":23,"start_date":"2017-03-05","description":"","custom_fields":[{"id":1,"name":"Subdivision","value":"EC"},{"id":4,"name":"Milepost","value":"23.3295"},{"id":17,"name":"Train ID","value":"167-05"},{"id":16,"name":"Locomotive ID","value":"4027"},{"id":130,"name":"Impact","value":""},{"id":150,"name":"Time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4027 --day 2017-03-05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552</v>
      </c>
      <c r="B81" s="7">
        <v>4028</v>
      </c>
      <c r="C81" s="21" t="s">
        <v>252</v>
      </c>
      <c r="D81" s="21" t="s">
        <v>335</v>
      </c>
      <c r="E81" s="13">
        <v>42799.535694444443</v>
      </c>
      <c r="F81" s="13">
        <v>42799.539143518516</v>
      </c>
      <c r="G81" s="7">
        <v>1</v>
      </c>
      <c r="H81" s="21" t="s">
        <v>210</v>
      </c>
      <c r="I81" s="13">
        <v>42799.569444444445</v>
      </c>
      <c r="J81" s="7">
        <v>0</v>
      </c>
      <c r="K81" s="98" t="str">
        <f t="shared" si="23"/>
        <v>4027/4028</v>
      </c>
      <c r="L81" s="21" t="str">
        <f>VLOOKUP(A81,'Trips&amp;Operators'!$C$1:$G$99999,5,FALSE)</f>
        <v>LOCKLEAR TRAVIS</v>
      </c>
      <c r="M81" s="6">
        <f t="shared" si="24"/>
        <v>3.030092592962319E-2</v>
      </c>
      <c r="N81" s="7">
        <f t="shared" si="40"/>
        <v>43.633333338657394</v>
      </c>
      <c r="O81" s="7"/>
      <c r="P81" s="7"/>
      <c r="Q81" s="22"/>
      <c r="R81" s="22"/>
      <c r="S81" s="31">
        <f t="shared" si="36"/>
        <v>1</v>
      </c>
      <c r="T81" s="46" t="str">
        <f t="shared" si="25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-03-05T11:51:24-0700',mode:absolute,to:'2017-03-05T14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23.298400000000001</v>
      </c>
      <c r="Z81" s="62">
        <f t="shared" si="30"/>
        <v>1.54E-2</v>
      </c>
      <c r="AA81" s="62">
        <f t="shared" si="31"/>
        <v>23.283000000000001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0168-05</v>
      </c>
      <c r="AE81" s="85" t="str">
        <f t="shared" si="33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81" s="82" t="str">
        <f t="shared" si="34"/>
        <v>"C:\Program Files (x86)\AstroGrep\AstroGrep.exe" /spath="%USERPROFILE%\AppData\Local\Temp\OnboardLogs" /stypes="app*4028*20170305*" /stext=" 20:.+((SYSTEM_STATE.+slice.+state.+changed )|(ment ac)|(multiple cpu faults)|(system.+state.+changed )|(\[timeout)|(PRM\|1\|D)|(kpr)|(kdp)|(\|loc)|(crossing.((167)|(168)|(199)|(200))))" /e /r /s</v>
      </c>
      <c r="AG81" s="1" t="str">
        <f t="shared" si="35"/>
        <v>EC</v>
      </c>
      <c r="AH81" s="86" t="str">
        <f t="shared" si="37"/>
        <v>"%USERPROFILE%\Documents\GitHub\eaglep3\Utilities\RefineRTDCRunTimes.py" --tripid 168-05 --locoid 4028 --swversion DE.1.0.9.0 --startMP 204:232984 --initTime 2017-03-05T12:51:24 --startdatetime 2017-03-05T12:56:22 --delay 1 --endMP 204:154 --enddatetime 2017-03-05T13:40:00 --enforcementcount 0 &gt;&gt;C:\Users\stu\Documents\GitHub\eaglep3-reporting\EC\2017-03-05-refined-times.txt</v>
      </c>
      <c r="AI81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{"issue":{"subject":"","project_id":79,"tracker_id":40,"status_id":1,"priority_id":2,"assigned_to_id":23,"start_date":"2017-03-05","description":"","custom_fields":[{"id":1,"name":"Subdivision","value":"EC"},{"id":4,"name":"Milepost","value":"0.0154"},{"id":17,"name":"Train ID","value":"168-05"},{"id":16,"name":"Locomotive ID","value":"4028"},{"id":130,"name":"Impact","value":""},{"id":150,"name":"Time of Event (Mountain Time)","value":"13:40:00"},{"id":151,"name":"Denver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4028 --day 2017-03-05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681</v>
      </c>
      <c r="B82" s="7">
        <v>4018</v>
      </c>
      <c r="C82" s="21" t="s">
        <v>252</v>
      </c>
      <c r="D82" s="21" t="s">
        <v>818</v>
      </c>
      <c r="E82" s="13">
        <v>42799.506620370368</v>
      </c>
      <c r="F82" s="13">
        <v>42799.510567129626</v>
      </c>
      <c r="G82" s="7">
        <v>1</v>
      </c>
      <c r="H82" s="21" t="s">
        <v>245</v>
      </c>
      <c r="I82" s="13">
        <v>42799.534849537034</v>
      </c>
      <c r="J82" s="7">
        <v>0</v>
      </c>
      <c r="K82" s="98" t="str">
        <f t="shared" si="23"/>
        <v>4017/4018</v>
      </c>
      <c r="L82" s="21" t="str">
        <f>VLOOKUP(A82,'Trips&amp;Operators'!$C$1:$G$99999,5,FALSE)</f>
        <v>ROMERO CHAD</v>
      </c>
      <c r="M82" s="6">
        <f t="shared" si="24"/>
        <v>2.4282407408463769E-2</v>
      </c>
      <c r="N82" s="7">
        <f t="shared" si="40"/>
        <v>34.966666668187827</v>
      </c>
      <c r="O82" s="7"/>
      <c r="P82" s="7"/>
      <c r="Q82" s="22"/>
      <c r="R82" s="22"/>
      <c r="S82" s="31">
        <f t="shared" si="36"/>
        <v>1</v>
      </c>
      <c r="T82" s="46" t="str">
        <f t="shared" si="25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-03-05T11:09:32-0700',mode:absolute,to:'2017-03-05T13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4.3700000000000003E-2</v>
      </c>
      <c r="Z82" s="62">
        <f t="shared" si="30"/>
        <v>23.331700000000001</v>
      </c>
      <c r="AA82" s="62">
        <f t="shared" si="31"/>
        <v>23.288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0169-05</v>
      </c>
      <c r="AE82" s="85" t="str">
        <f t="shared" si="33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82" s="82" t="str">
        <f t="shared" si="34"/>
        <v>"C:\Program Files (x86)\AstroGrep\AstroGrep.exe" /spath="%USERPROFILE%\AppData\Local\Temp\OnboardLogs" /stypes="app*4018*20170305*" /stext=" 19:.+((SYSTEM_STATE.+slice.+state.+changed )|(ment ac)|(multiple cpu faults)|(system.+state.+changed )|(\[timeout)|(PRM\|1\|D)|(kpr)|(kdp)|(\|loc)|(crossing.((167)|(168)|(199)|(200))))" /e /r /s</v>
      </c>
      <c r="AG82" s="1" t="str">
        <f t="shared" si="35"/>
        <v>EC</v>
      </c>
      <c r="AH82" s="86" t="str">
        <f t="shared" si="37"/>
        <v>"%USERPROFILE%\Documents\GitHub\eaglep3\Utilities\RefineRTDCRunTimes.py" --tripid 169-05 --locoid 4018 --swversion DE.1.0.9.0 --startMP 204:437 --initTime 2017-03-05T12:09:32 --startdatetime 2017-03-05T12:15:13 --delay 1 --endMP 204:233317 --enddatetime 2017-03-05T12:50:11 --enforcementcount 0 &gt;&gt;C:\Users\stu\Documents\GitHub\eaglep3-reporting\EC\2017-03-05-refined-times.txt</v>
      </c>
      <c r="AI82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{"issue":{"subject":"","project_id":79,"tracker_id":40,"status_id":1,"priority_id":2,"assigned_to_id":23,"start_date":"2017-03-05","description":"","custom_fields":[{"id":1,"name":"Subdivision","value":"EC"},{"id":4,"name":"Milepost","value":"23.3317"},{"id":17,"name":"Train ID","value":"169-05"},{"id":16,"name":"Locomotive ID","value":"4018"},{"id":130,"name":"Impact","value":""},{"id":150,"name":"Time of Event (Mountain Time)","value":"12:50:11"},{"id":151,"name":"Denver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4018 --day 2017-03-05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687</v>
      </c>
      <c r="B83" s="7">
        <v>4017</v>
      </c>
      <c r="C83" s="21" t="s">
        <v>252</v>
      </c>
      <c r="D83" s="21" t="s">
        <v>819</v>
      </c>
      <c r="E83" s="13">
        <v>42799.537638888891</v>
      </c>
      <c r="F83" s="13">
        <v>42799.549502314818</v>
      </c>
      <c r="G83" s="7">
        <v>2</v>
      </c>
      <c r="H83" s="21" t="s">
        <v>820</v>
      </c>
      <c r="I83" s="13">
        <v>42799.576307870368</v>
      </c>
      <c r="J83" s="7">
        <v>0</v>
      </c>
      <c r="K83" s="98" t="str">
        <f t="shared" si="23"/>
        <v>4017/4018</v>
      </c>
      <c r="L83" s="21" t="str">
        <f>VLOOKUP(A83,'Trips&amp;Operators'!$C$1:$G$99999,5,FALSE)</f>
        <v>ROMERO CHAD</v>
      </c>
      <c r="M83" s="6">
        <f t="shared" si="24"/>
        <v>2.6805555549799465E-2</v>
      </c>
      <c r="N83" s="7">
        <f t="shared" si="40"/>
        <v>38.599999991711229</v>
      </c>
      <c r="O83" s="7"/>
      <c r="P83" s="7"/>
      <c r="Q83" s="22"/>
      <c r="R83" s="22"/>
      <c r="S83" s="31">
        <f t="shared" si="36"/>
        <v>1</v>
      </c>
      <c r="T83" s="46" t="str">
        <f t="shared" si="25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-03-05T11:54:12-0700',mode:absolute,to:'2017-03-05T14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23.301500000000001</v>
      </c>
      <c r="Z83" s="62">
        <f t="shared" si="30"/>
        <v>8.6999999999999994E-3</v>
      </c>
      <c r="AA83" s="62">
        <f t="shared" si="31"/>
        <v>23.2928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0170-05</v>
      </c>
      <c r="AE83" s="85" t="str">
        <f t="shared" si="33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83" s="82" t="str">
        <f t="shared" si="34"/>
        <v>"C:\Program Files (x86)\AstroGrep\AstroGrep.exe" /spath="%USERPROFILE%\AppData\Local\Temp\OnboardLogs" /stypes="app*4017*20170305*" /stext=" 20:.+((SYSTEM_STATE.+slice.+state.+changed )|(ment ac)|(multiple cpu faults)|(system.+state.+changed )|(\[timeout)|(PRM\|1\|D)|(kpr)|(kdp)|(\|loc)|(crossing.((167)|(168)|(199)|(200))))" /e /r /s</v>
      </c>
      <c r="AG83" s="1" t="str">
        <f t="shared" si="35"/>
        <v>EC</v>
      </c>
      <c r="AH83" s="86" t="str">
        <f t="shared" si="37"/>
        <v>"%USERPROFILE%\Documents\GitHub\eaglep3\Utilities\RefineRTDCRunTimes.py" --tripid 170-05 --locoid 4017 --swversion DE.1.0.9.0 --startMP 204:233015 --initTime 2017-03-05T12:54:12 --startdatetime 2017-03-05T13:11:17 --delay 2 --endMP 204:87 --enddatetime 2017-03-05T13:49:53 --enforcementcount 0 &gt;&gt;C:\Users\stu\Documents\GitHub\eaglep3-reporting\EC\2017-03-05-refined-times.txt</v>
      </c>
      <c r="AI83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{"issue":{"subject":"","project_id":79,"tracker_id":40,"status_id":1,"priority_id":2,"assigned_to_id":23,"start_date":"2017-03-05","description":"","custom_fields":[{"id":1,"name":"Subdivision","value":"EC"},{"id":4,"name":"Milepost","value":"0.0087"},{"id":17,"name":"Train ID","value":"170-05"},{"id":16,"name":"Locomotive ID","value":"4017"},{"id":130,"name":"Impact","value":""},{"id":150,"name":"Time of Event (Mountain Time)","value":"13:49:53"},{"id":151,"name":"Denver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4017 --day 2017-03-05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550</v>
      </c>
      <c r="B84" s="7">
        <v>4029</v>
      </c>
      <c r="C84" s="21" t="s">
        <v>252</v>
      </c>
      <c r="D84" s="21" t="s">
        <v>814</v>
      </c>
      <c r="E84" s="13">
        <v>42799.519965277781</v>
      </c>
      <c r="F84" s="13">
        <v>42799.522094907406</v>
      </c>
      <c r="G84" s="7">
        <v>2</v>
      </c>
      <c r="H84" s="21" t="s">
        <v>511</v>
      </c>
      <c r="I84" s="13">
        <v>42799.549814814818</v>
      </c>
      <c r="J84" s="7">
        <v>0</v>
      </c>
      <c r="K84" s="98" t="str">
        <f t="shared" si="23"/>
        <v>4029/4030</v>
      </c>
      <c r="L84" s="21" t="str">
        <f>VLOOKUP(A84,'Trips&amp;Operators'!$C$1:$G$99999,5,FALSE)</f>
        <v>DAVIDSON DAVID</v>
      </c>
      <c r="M84" s="6">
        <f t="shared" si="24"/>
        <v>2.771990741166519E-2</v>
      </c>
      <c r="N84" s="7">
        <f t="shared" si="40"/>
        <v>39.916666672797874</v>
      </c>
      <c r="O84" s="7"/>
      <c r="P84" s="7"/>
      <c r="Q84" s="22"/>
      <c r="R84" s="22"/>
      <c r="S84" s="31">
        <f t="shared" si="36"/>
        <v>1</v>
      </c>
      <c r="T84" s="46" t="str">
        <f t="shared" si="25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-03-05T11:28:45-0700',mode:absolute,to:'2017-03-05T14:11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4.3799999999999999E-2</v>
      </c>
      <c r="Z84" s="62">
        <f t="shared" si="30"/>
        <v>23.328199999999999</v>
      </c>
      <c r="AA84" s="62">
        <f t="shared" si="31"/>
        <v>23.284399999999998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 t="shared" si="32"/>
        <v>0171-05</v>
      </c>
      <c r="AE84" s="85" t="str">
        <f t="shared" si="33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84" s="82" t="str">
        <f t="shared" si="34"/>
        <v>"C:\Program Files (x86)\AstroGrep\AstroGrep.exe" /spath="%USERPROFILE%\AppData\Local\Temp\OnboardLogs" /stypes="app*4029*20170305*" /stext=" 20:.+((SYSTEM_STATE.+slice.+state.+changed )|(ment ac)|(multiple cpu faults)|(system.+state.+changed )|(\[timeout)|(PRM\|1\|D)|(kpr)|(kdp)|(\|loc)|(crossing.((167)|(168)|(199)|(200))))" /e /r /s</v>
      </c>
      <c r="AG84" s="1" t="str">
        <f t="shared" si="35"/>
        <v>EC</v>
      </c>
      <c r="AH84" s="86" t="str">
        <f t="shared" si="37"/>
        <v>"%USERPROFILE%\Documents\GitHub\eaglep3\Utilities\RefineRTDCRunTimes.py" --tripid 171-05 --locoid 4029 --swversion DE.1.0.9.0 --startMP 204:438 --initTime 2017-03-05T12:28:45 --startdatetime 2017-03-05T12:31:49 --delay 2 --endMP 204:233282 --enddatetime 2017-03-05T13:11:44 --enforcementcount 0 &gt;&gt;C:\Users\stu\Documents\GitHub\eaglep3-reporting\EC\2017-03-05-refined-times.txt</v>
      </c>
      <c r="AI84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{"issue":{"subject":"","project_id":79,"tracker_id":40,"status_id":1,"priority_id":2,"assigned_to_id":23,"start_date":"2017-03-05","description":"","custom_fields":[{"id":1,"name":"Subdivision","value":"EC"},{"id":4,"name":"Milepost","value":"23.3282"},{"id":17,"name":"Train ID","value":"171-05"},{"id":16,"name":"Locomotive ID","value":"4029"},{"id":130,"name":"Impact","value":""},{"id":150,"name":"Time of Event (Mountain Time)","value":"13:11:44"},{"id":151,"name":"Denver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4029 --day 2017-03-05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</row>
    <row r="85" spans="1:91" s="20" customFormat="1" x14ac:dyDescent="0.25">
      <c r="A85" s="33" t="s">
        <v>690</v>
      </c>
      <c r="B85" s="7">
        <v>4030</v>
      </c>
      <c r="C85" s="21" t="s">
        <v>252</v>
      </c>
      <c r="D85" s="21" t="s">
        <v>821</v>
      </c>
      <c r="E85" s="13">
        <v>42799.551412037035</v>
      </c>
      <c r="F85" s="13">
        <v>42799.559976851851</v>
      </c>
      <c r="G85" s="7">
        <v>1</v>
      </c>
      <c r="H85" s="21" t="s">
        <v>192</v>
      </c>
      <c r="I85" s="13">
        <v>42799.594641203701</v>
      </c>
      <c r="J85" s="7">
        <v>0</v>
      </c>
      <c r="K85" s="98" t="str">
        <f t="shared" si="23"/>
        <v>4029/4030</v>
      </c>
      <c r="L85" s="21" t="str">
        <f>VLOOKUP(A85,'Trips&amp;Operators'!$C$1:$G$99999,5,FALSE)</f>
        <v>DAVIDSON DAVID</v>
      </c>
      <c r="M85" s="6">
        <f t="shared" si="24"/>
        <v>3.4664351849642117E-2</v>
      </c>
      <c r="N85" s="7">
        <f t="shared" si="40"/>
        <v>49.916666663484648</v>
      </c>
      <c r="O85" s="7"/>
      <c r="P85" s="7"/>
      <c r="Q85" s="22"/>
      <c r="R85" s="22"/>
      <c r="S85" s="31">
        <f t="shared" si="36"/>
        <v>1</v>
      </c>
      <c r="T85" s="46" t="str">
        <f t="shared" si="25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-03-05T12:14:02-0700',mode:absolute,to:'2017-03-05T15:16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23.297999999999998</v>
      </c>
      <c r="Z85" s="62">
        <f t="shared" si="30"/>
        <v>1.4999999999999999E-2</v>
      </c>
      <c r="AA85" s="62">
        <f t="shared" si="31"/>
        <v>23.282999999999998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0172-05</v>
      </c>
      <c r="AE85" s="85" t="str">
        <f t="shared" si="33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85" s="82" t="str">
        <f t="shared" si="34"/>
        <v>"C:\Program Files (x86)\AstroGrep\AstroGrep.exe" /spath="%USERPROFILE%\AppData\Local\Temp\OnboardLogs" /stypes="app*4030*20170305*" /stext=" 21:.+((SYSTEM_STATE.+slice.+state.+changed )|(ment ac)|(multiple cpu faults)|(system.+state.+changed )|(\[timeout)|(PRM\|1\|D)|(kpr)|(kdp)|(\|loc)|(crossing.((167)|(168)|(199)|(200))))" /e /r /s</v>
      </c>
      <c r="AG85" s="1" t="str">
        <f t="shared" si="35"/>
        <v>EC</v>
      </c>
      <c r="AH85" s="86" t="str">
        <f t="shared" si="37"/>
        <v>"%USERPROFILE%\Documents\GitHub\eaglep3\Utilities\RefineRTDCRunTimes.py" --tripid 172-05 --locoid 4030 --swversion DE.1.0.9.0 --startMP 204:232980 --initTime 2017-03-05T13:14:02 --startdatetime 2017-03-05T13:26:22 --delay 1 --endMP 204:150 --enddatetime 2017-03-05T14:16:17 --enforcementcount 0 &gt;&gt;C:\Users\stu\Documents\GitHub\eaglep3-reporting\EC\2017-03-05-refined-times.txt</v>
      </c>
      <c r="AI85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{"issue":{"subject":"","project_id":79,"tracker_id":40,"status_id":1,"priority_id":2,"assigned_to_id":23,"start_date":"2017-03-05","description":"","custom_fields":[{"id":1,"name":"Subdivision","value":"EC"},{"id":4,"name":"Milepost","value":"0.015"},{"id":17,"name":"Train ID","value":"172-05"},{"id":16,"name":"Locomotive ID","value":"4030"},{"id":130,"name":"Impact","value":""},{"id":150,"name":"Time of Event (Mountain Time)","value":"14:16:17"},{"id":151,"name":"Denver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4030 --day 2017-03-05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"%USERPROFILE%\AppData\Local\Temp\OnboardLogs"\RTDC4030\*4030*20170305* | grep -SE "(Enforcement Action)|(\[TIMEOUT)|(CHR.+\|PRM\|1\|D.+(SWITCH|SIGNAL).+UNKNOWN)" - &gt;&gt; 2017-03-05-UncaughtWiMAX.txt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686</v>
      </c>
      <c r="B86" s="7">
        <v>4025</v>
      </c>
      <c r="C86" s="21" t="s">
        <v>252</v>
      </c>
      <c r="D86" s="21" t="s">
        <v>253</v>
      </c>
      <c r="E86" s="13">
        <v>42799.527997685182</v>
      </c>
      <c r="F86" s="13">
        <v>42799.531469907408</v>
      </c>
      <c r="G86" s="7">
        <v>1</v>
      </c>
      <c r="H86" s="21" t="s">
        <v>234</v>
      </c>
      <c r="I86" s="13">
        <v>42799.556805555556</v>
      </c>
      <c r="J86" s="7">
        <v>0</v>
      </c>
      <c r="K86" s="98" t="str">
        <f t="shared" si="23"/>
        <v>4025/4026</v>
      </c>
      <c r="L86" s="21" t="str">
        <f>VLOOKUP(A86,'Trips&amp;Operators'!$C$1:$G$99999,5,FALSE)</f>
        <v>STEWART MICHAEL</v>
      </c>
      <c r="M86" s="6">
        <f t="shared" si="24"/>
        <v>2.5335648148029577E-2</v>
      </c>
      <c r="N86" s="7">
        <f t="shared" si="40"/>
        <v>36.483333333162591</v>
      </c>
      <c r="O86" s="7"/>
      <c r="P86" s="7"/>
      <c r="Q86" s="22"/>
      <c r="R86" s="22"/>
      <c r="S86" s="31">
        <f t="shared" si="36"/>
        <v>1</v>
      </c>
      <c r="T86" s="46" t="str">
        <f t="shared" si="25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-03-05T11:40:19-0700',mode:absolute,to:'2017-03-05T14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4.58E-2</v>
      </c>
      <c r="Z86" s="62">
        <f t="shared" si="30"/>
        <v>23.3293</v>
      </c>
      <c r="AA86" s="62">
        <f t="shared" si="31"/>
        <v>23.2835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0173-05</v>
      </c>
      <c r="AE86" s="85" t="str">
        <f t="shared" si="33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86" s="82" t="str">
        <f t="shared" si="34"/>
        <v>"C:\Program Files (x86)\AstroGrep\AstroGrep.exe" /spath="%USERPROFILE%\AppData\Local\Temp\OnboardLogs" /stypes="app*4025*20170305*" /stext=" 20:.+((SYSTEM_STATE.+slice.+state.+changed )|(ment ac)|(multiple cpu faults)|(system.+state.+changed )|(\[timeout)|(PRM\|1\|D)|(kpr)|(kdp)|(\|loc)|(crossing.((167)|(168)|(199)|(200))))" /e /r /s</v>
      </c>
      <c r="AG86" s="1" t="str">
        <f t="shared" si="35"/>
        <v>EC</v>
      </c>
      <c r="AH86" s="86" t="str">
        <f t="shared" si="37"/>
        <v>"%USERPROFILE%\Documents\GitHub\eaglep3\Utilities\RefineRTDCRunTimes.py" --tripid 173-05 --locoid 4025 --swversion DE.1.0.9.0 --startMP 204:458 --initTime 2017-03-05T12:40:19 --startdatetime 2017-03-05T12:45:19 --delay 1 --endMP 204:233293 --enddatetime 2017-03-05T13:21:48 --enforcementcount 0 &gt;&gt;C:\Users\stu\Documents\GitHub\eaglep3-reporting\EC\2017-03-05-refined-times.txt</v>
      </c>
      <c r="AI86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{"issue":{"subject":"","project_id":79,"tracker_id":40,"status_id":1,"priority_id":2,"assigned_to_id":23,"start_date":"2017-03-05","description":"","custom_fields":[{"id":1,"name":"Subdivision","value":"EC"},{"id":4,"name":"Milepost","value":"23.3293"},{"id":17,"name":"Train ID","value":"173-05"},{"id":16,"name":"Locomotive ID","value":"4025"},{"id":130,"name":"Impact","value":""},{"id":150,"name":"Time of Event (Mountain Time)","value":"13:21:48"},{"id":151,"name":"Denver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4025 --day 2017-03-05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693</v>
      </c>
      <c r="B87" s="7">
        <v>4026</v>
      </c>
      <c r="C87" s="21" t="s">
        <v>252</v>
      </c>
      <c r="D87" s="21" t="s">
        <v>822</v>
      </c>
      <c r="E87" s="13">
        <v>42799.567233796297</v>
      </c>
      <c r="F87" s="13">
        <v>42799.570439814815</v>
      </c>
      <c r="G87" s="7">
        <v>1</v>
      </c>
      <c r="H87" s="21" t="s">
        <v>296</v>
      </c>
      <c r="I87" s="13">
        <v>42799.599143518521</v>
      </c>
      <c r="J87" s="7">
        <v>0</v>
      </c>
      <c r="K87" s="98" t="str">
        <f t="shared" si="23"/>
        <v>4025/4026</v>
      </c>
      <c r="L87" s="21" t="str">
        <f>VLOOKUP(A87,'Trips&amp;Operators'!$C$1:$G$99999,5,FALSE)</f>
        <v>STEWART MICHAEL</v>
      </c>
      <c r="M87" s="6">
        <f t="shared" si="24"/>
        <v>2.8703703705104999E-2</v>
      </c>
      <c r="N87" s="7">
        <f t="shared" si="40"/>
        <v>41.333333335351199</v>
      </c>
      <c r="O87" s="7"/>
      <c r="P87" s="7"/>
      <c r="Q87" s="22"/>
      <c r="R87" s="22"/>
      <c r="S87" s="31">
        <f t="shared" si="36"/>
        <v>1</v>
      </c>
      <c r="T87" s="46" t="str">
        <f t="shared" si="25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-03-05T12:36:49-0700',mode:absolute,to:'2017-03-05T15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23.2972</v>
      </c>
      <c r="Z87" s="62">
        <f t="shared" si="30"/>
        <v>1.61E-2</v>
      </c>
      <c r="AA87" s="62">
        <f t="shared" si="31"/>
        <v>23.281099999999999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0174-05</v>
      </c>
      <c r="AE87" s="85" t="str">
        <f t="shared" si="33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87" s="82" t="str">
        <f t="shared" si="34"/>
        <v>"C:\Program Files (x86)\AstroGrep\AstroGrep.exe" /spath="%USERPROFILE%\AppData\Local\Temp\OnboardLogs" /stypes="app*4026*20170305*" /stext=" 21:.+((SYSTEM_STATE.+slice.+state.+changed )|(ment ac)|(multiple cpu faults)|(system.+state.+changed )|(\[timeout)|(PRM\|1\|D)|(kpr)|(kdp)|(\|loc)|(crossing.((167)|(168)|(199)|(200))))" /e /r /s</v>
      </c>
      <c r="AG87" s="1" t="str">
        <f t="shared" si="35"/>
        <v>EC</v>
      </c>
      <c r="AH87" s="86" t="str">
        <f t="shared" si="37"/>
        <v>"%USERPROFILE%\Documents\GitHub\eaglep3\Utilities\RefineRTDCRunTimes.py" --tripid 174-05 --locoid 4026 --swversion DE.1.0.9.0 --startMP 204:232972 --initTime 2017-03-05T13:36:49 --startdatetime 2017-03-05T13:41:26 --delay 1 --endMP 204:161 --enddatetime 2017-03-05T14:22:46 --enforcementcount 0 &gt;&gt;C:\Users\stu\Documents\GitHub\eaglep3-reporting\EC\2017-03-05-refined-times.txt</v>
      </c>
      <c r="AI87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{"issue":{"subject":"","project_id":79,"tracker_id":40,"status_id":1,"priority_id":2,"assigned_to_id":23,"start_date":"2017-03-05","description":"","custom_fields":[{"id":1,"name":"Subdivision","value":"EC"},{"id":4,"name":"Milepost","value":"0.0161"},{"id":17,"name":"Train ID","value":"174-05"},{"id":16,"name":"Locomotive ID","value":"4026"},{"id":130,"name":"Impact","value":""},{"id":150,"name":"Time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4026 --day 2017-03-05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688</v>
      </c>
      <c r="B88" s="7">
        <v>4044</v>
      </c>
      <c r="C88" s="21" t="s">
        <v>252</v>
      </c>
      <c r="D88" s="21" t="s">
        <v>311</v>
      </c>
      <c r="E88" s="13">
        <v>42799.540671296294</v>
      </c>
      <c r="F88" s="13">
        <v>42799.542361111111</v>
      </c>
      <c r="G88" s="7">
        <v>1</v>
      </c>
      <c r="H88" s="21" t="s">
        <v>823</v>
      </c>
      <c r="I88" s="13">
        <v>42799.569618055553</v>
      </c>
      <c r="J88" s="7">
        <v>0</v>
      </c>
      <c r="K88" s="98" t="str">
        <f t="shared" si="23"/>
        <v>4043/4044</v>
      </c>
      <c r="L88" s="21" t="str">
        <f>VLOOKUP(A88,'Trips&amp;Operators'!$C$1:$G$99999,5,FALSE)</f>
        <v>DAVIS MICHAEL</v>
      </c>
      <c r="M88" s="6">
        <f t="shared" si="24"/>
        <v>2.7256944442342501E-2</v>
      </c>
      <c r="N88" s="7">
        <f t="shared" si="40"/>
        <v>39.249999996973202</v>
      </c>
      <c r="O88" s="7"/>
      <c r="P88" s="7"/>
      <c r="Q88" s="22"/>
      <c r="R88" s="22"/>
      <c r="S88" s="31">
        <f t="shared" si="36"/>
        <v>1</v>
      </c>
      <c r="T88" s="46" t="str">
        <f t="shared" si="25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-03-05T11:58:34-0700',mode:absolute,to:'2017-03-05T14:40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4.4900000000000002E-2</v>
      </c>
      <c r="Z88" s="62">
        <f t="shared" si="30"/>
        <v>23.3309</v>
      </c>
      <c r="AA88" s="62">
        <f t="shared" si="31"/>
        <v>23.286000000000001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0175-05</v>
      </c>
      <c r="AE88" s="85" t="str">
        <f t="shared" si="33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88" s="82" t="str">
        <f t="shared" si="34"/>
        <v>"C:\Program Files (x86)\AstroGrep\AstroGrep.exe" /spath="%USERPROFILE%\AppData\Local\Temp\OnboardLogs" /stypes="app*4044*20170305*" /stext=" 20:.+((SYSTEM_STATE.+slice.+state.+changed )|(ment ac)|(multiple cpu faults)|(system.+state.+changed )|(\[timeout)|(PRM\|1\|D)|(kpr)|(kdp)|(\|loc)|(crossing.((167)|(168)|(199)|(200))))" /e /r /s</v>
      </c>
      <c r="AG88" s="1" t="str">
        <f t="shared" si="35"/>
        <v>EC</v>
      </c>
      <c r="AH88" s="86" t="str">
        <f t="shared" si="37"/>
        <v>"%USERPROFILE%\Documents\GitHub\eaglep3\Utilities\RefineRTDCRunTimes.py" --tripid 175-05 --locoid 4044 --swversion DE.1.0.9.0 --startMP 204:449 --initTime 2017-03-05T12:58:34 --startdatetime 2017-03-05T13:01:00 --delay 1 --endMP 204:233309 --enddatetime 2017-03-05T13:40:15 --enforcementcount 0 &gt;&gt;C:\Users\stu\Documents\GitHub\eaglep3-reporting\EC\2017-03-05-refined-times.txt</v>
      </c>
      <c r="AI88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{"issue":{"subject":"","project_id":79,"tracker_id":40,"status_id":1,"priority_id":2,"assigned_to_id":23,"start_date":"2017-03-05","description":"","custom_fields":[{"id":1,"name":"Subdivision","value":"EC"},{"id":4,"name":"Milepost","value":"23.3309"},{"id":17,"name":"Train ID","value":"175-05"},{"id":16,"name":"Locomotive ID","value":"4044"},{"id":130,"name":"Impact","value":""},{"id":150,"name":"Time of Event (Mountain Time)","value":"13:40:15"},{"id":151,"name":"Denver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4044 --day 2017-03-05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695</v>
      </c>
      <c r="B89" s="7">
        <v>4043</v>
      </c>
      <c r="C89" s="21" t="s">
        <v>252</v>
      </c>
      <c r="D89" s="21" t="s">
        <v>335</v>
      </c>
      <c r="E89" s="13">
        <v>42799.579143518517</v>
      </c>
      <c r="F89" s="13">
        <v>42799.581030092595</v>
      </c>
      <c r="G89" s="7">
        <v>1</v>
      </c>
      <c r="H89" s="21" t="s">
        <v>824</v>
      </c>
      <c r="I89" s="13">
        <v>42799.614872685182</v>
      </c>
      <c r="J89" s="7">
        <v>0</v>
      </c>
      <c r="K89" s="98" t="str">
        <f t="shared" si="23"/>
        <v>4043/4044</v>
      </c>
      <c r="L89" s="21" t="str">
        <f>VLOOKUP(A89,'Trips&amp;Operators'!$C$1:$G$99999,5,FALSE)</f>
        <v>DAVIS MICHAEL</v>
      </c>
      <c r="M89" s="6">
        <f t="shared" si="24"/>
        <v>3.3842592587461695E-2</v>
      </c>
      <c r="N89" s="7">
        <f t="shared" si="40"/>
        <v>48.733333325944841</v>
      </c>
      <c r="O89" s="7"/>
      <c r="P89" s="7"/>
      <c r="Q89" s="22"/>
      <c r="R89" s="22"/>
      <c r="S89" s="31">
        <f t="shared" si="36"/>
        <v>1</v>
      </c>
      <c r="T89" s="46" t="str">
        <f t="shared" si="25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-03-05T12:53:58-0700',mode:absolute,to:'2017-03-05T15:45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23.298400000000001</v>
      </c>
      <c r="Z89" s="62">
        <f t="shared" si="30"/>
        <v>1.78E-2</v>
      </c>
      <c r="AA89" s="62">
        <f t="shared" si="31"/>
        <v>23.2806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0176-05</v>
      </c>
      <c r="AE89" s="85" t="str">
        <f t="shared" si="33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89" s="82" t="str">
        <f t="shared" si="34"/>
        <v>"C:\Program Files (x86)\AstroGrep\AstroGrep.exe" /spath="%USERPROFILE%\AppData\Local\Temp\OnboardLogs" /stypes="app*4043*20170305*" /stext=" 21:.+((SYSTEM_STATE.+slice.+state.+changed )|(ment ac)|(multiple cpu faults)|(system.+state.+changed )|(\[timeout)|(PRM\|1\|D)|(kpr)|(kdp)|(\|loc)|(crossing.((167)|(168)|(199)|(200))))" /e /r /s</v>
      </c>
      <c r="AG89" s="1" t="str">
        <f t="shared" si="35"/>
        <v>EC</v>
      </c>
      <c r="AH89" s="86" t="str">
        <f t="shared" si="37"/>
        <v>"%USERPROFILE%\Documents\GitHub\eaglep3\Utilities\RefineRTDCRunTimes.py" --tripid 176-05 --locoid 4043 --swversion DE.1.0.9.0 --startMP 204:232984 --initTime 2017-03-05T13:53:58 --startdatetime 2017-03-05T13:56:41 --delay 1 --endMP 204:178 --enddatetime 2017-03-05T14:45:25 --enforcementcount 0 &gt;&gt;C:\Users\stu\Documents\GitHub\eaglep3-reporting\EC\2017-03-05-refined-times.txt</v>
      </c>
      <c r="AI8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{"issue":{"subject":"","project_id":79,"tracker_id":40,"status_id":1,"priority_id":2,"assigned_to_id":23,"start_date":"2017-03-05","description":"","custom_fields":[{"id":1,"name":"Subdivision","value":"EC"},{"id":4,"name":"Milepost","value":"0.0178"},{"id":17,"name":"Train ID","value":"176-05"},{"id":16,"name":"Locomotive ID","value":"4043"},{"id":130,"name":"Impact","value":""},{"id":150,"name":"Time of Event (Mountain Time)","value":"14:45:25"},{"id":151,"name":"Denver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4043 --day 2017-03-05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"%USERPROFILE%\AppData\Local\Temp\OnboardLogs"\RTDC4043\*4043*20170305* | grep -SE "(Enforcement Action)|(\[TIMEOUT)|(CHR.+\|PRM\|1\|D.+(SWITCH|SIGNAL).+UNKNOWN)" - &gt;&gt; 2017-03-05-UncaughtWiMAX.txt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689</v>
      </c>
      <c r="B90" s="7">
        <v>4014</v>
      </c>
      <c r="C90" s="21" t="s">
        <v>252</v>
      </c>
      <c r="D90" s="21" t="s">
        <v>527</v>
      </c>
      <c r="E90" s="13">
        <v>42799.548541666663</v>
      </c>
      <c r="F90" s="13">
        <v>42799.552349537036</v>
      </c>
      <c r="G90" s="7">
        <v>1</v>
      </c>
      <c r="H90" s="21" t="s">
        <v>245</v>
      </c>
      <c r="I90" s="13">
        <v>42799.577199074076</v>
      </c>
      <c r="J90" s="7">
        <v>0</v>
      </c>
      <c r="K90" s="98" t="str">
        <f t="shared" si="23"/>
        <v>4013/4014</v>
      </c>
      <c r="L90" s="21" t="str">
        <f>VLOOKUP(A90,'Trips&amp;Operators'!$C$1:$G$99999,5,FALSE)</f>
        <v>LEVIN SCOTT</v>
      </c>
      <c r="M90" s="6">
        <f t="shared" si="24"/>
        <v>2.4849537039699499E-2</v>
      </c>
      <c r="N90" s="7">
        <f t="shared" si="40"/>
        <v>35.783333337167278</v>
      </c>
      <c r="O90" s="7"/>
      <c r="P90" s="7"/>
      <c r="Q90" s="22"/>
      <c r="R90" s="22"/>
      <c r="S90" s="31">
        <f t="shared" si="36"/>
        <v>1</v>
      </c>
      <c r="T90" s="46" t="str">
        <f t="shared" si="25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-03-05T12:09:54-0700',mode:absolute,to:'2017-03-05T14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4.2200000000000001E-2</v>
      </c>
      <c r="Z90" s="62">
        <f t="shared" si="30"/>
        <v>23.331700000000001</v>
      </c>
      <c r="AA90" s="62">
        <f t="shared" si="31"/>
        <v>23.2895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0177-05</v>
      </c>
      <c r="AE90" s="85" t="str">
        <f t="shared" si="33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90" s="82" t="str">
        <f t="shared" si="34"/>
        <v>"C:\Program Files (x86)\AstroGrep\AstroGrep.exe" /spath="%USERPROFILE%\AppData\Local\Temp\OnboardLogs" /stypes="app*4014*20170305*" /stext=" 20:.+((SYSTEM_STATE.+slice.+state.+changed )|(ment ac)|(multiple cpu faults)|(system.+state.+changed )|(\[timeout)|(PRM\|1\|D)|(kpr)|(kdp)|(\|loc)|(crossing.((167)|(168)|(199)|(200))))" /e /r /s</v>
      </c>
      <c r="AG90" s="1" t="str">
        <f t="shared" si="35"/>
        <v>EC</v>
      </c>
      <c r="AH90" s="86" t="str">
        <f t="shared" si="37"/>
        <v>"%USERPROFILE%\Documents\GitHub\eaglep3\Utilities\RefineRTDCRunTimes.py" --tripid 177-05 --locoid 4014 --swversion DE.1.0.9.0 --startMP 204:422 --initTime 2017-03-05T13:09:54 --startdatetime 2017-03-05T13:15:23 --delay 1 --endMP 204:233317 --enddatetime 2017-03-05T13:51:10 --enforcementcount 0 &gt;&gt;C:\Users\stu\Documents\GitHub\eaglep3-reporting\EC\2017-03-05-refined-times.txt</v>
      </c>
      <c r="AI9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{"issue":{"subject":"","project_id":79,"tracker_id":40,"status_id":1,"priority_id":2,"assigned_to_id":23,"start_date":"2017-03-05","description":"","custom_fields":[{"id":1,"name":"Subdivision","value":"EC"},{"id":4,"name":"Milepost","value":"23.3317"},{"id":17,"name":"Train ID","value":"177-05"},{"id":16,"name":"Locomotive ID","value":"4014"},{"id":130,"name":"Impact","value":""},{"id":150,"name":"Time of Event (Mountain Time)","value":"13:51:10"},{"id":151,"name":"Denver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4014 --day 2017-03-05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"%USERPROFILE%\AppData\Local\Temp\OnboardLogs"\RTDC4014\*4014*20170305* | grep -SE "(Enforcement Action)|(\[TIMEOUT)|(CHR.+\|PRM\|1\|D.+(SWITCH|SIGNAL).+UNKNOWN)" - &gt;&gt; 2017-03-05-UncaughtWiMAX.txt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696</v>
      </c>
      <c r="B91" s="7">
        <v>4013</v>
      </c>
      <c r="C91" s="21" t="s">
        <v>252</v>
      </c>
      <c r="D91" s="21" t="s">
        <v>825</v>
      </c>
      <c r="E91" s="13">
        <v>42799.587465277778</v>
      </c>
      <c r="F91" s="13">
        <v>42799.589537037034</v>
      </c>
      <c r="G91" s="7">
        <v>2</v>
      </c>
      <c r="H91" s="21" t="s">
        <v>825</v>
      </c>
      <c r="I91" s="13">
        <v>42799.590231481481</v>
      </c>
      <c r="J91" s="7">
        <v>0</v>
      </c>
      <c r="K91" s="98" t="str">
        <f t="shared" si="23"/>
        <v>4013/4014</v>
      </c>
      <c r="L91" s="21" t="str">
        <f>VLOOKUP(A91,'Trips&amp;Operators'!$C$1:$G$99999,5,FALSE)</f>
        <v>LEVIN SCOTT</v>
      </c>
      <c r="M91" s="6">
        <f t="shared" si="24"/>
        <v>6.944444467080757E-4</v>
      </c>
      <c r="N91" s="7"/>
      <c r="O91" s="7"/>
      <c r="P91" s="7">
        <f>24*60*SUM($M91:$M91)</f>
        <v>1.000000003259629</v>
      </c>
      <c r="Q91" s="22"/>
      <c r="R91" s="22" t="s">
        <v>937</v>
      </c>
      <c r="S91" s="31">
        <f t="shared" si="36"/>
        <v>0</v>
      </c>
      <c r="T91" s="46" t="str">
        <f t="shared" si="25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-03-05T13:05:57-0700',mode:absolute,to:'2017-03-05T15:09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1" s="187" t="str">
        <f t="shared" si="27"/>
        <v>Y</v>
      </c>
      <c r="X91" s="187">
        <f t="shared" si="28"/>
        <v>1</v>
      </c>
      <c r="Y91" s="62">
        <f t="shared" si="29"/>
        <v>23.2989</v>
      </c>
      <c r="Z91" s="62">
        <f t="shared" si="30"/>
        <v>23.2989</v>
      </c>
      <c r="AA91" s="62">
        <f t="shared" si="31"/>
        <v>0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0178-05</v>
      </c>
      <c r="AE91" s="85" t="str">
        <f t="shared" si="33"/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91" s="82" t="str">
        <f t="shared" si="34"/>
        <v>"C:\Program Files (x86)\AstroGrep\AstroGrep.exe" /spath="%USERPROFILE%\AppData\Local\Temp\OnboardLogs" /stypes="app*4013*20170305*" /stext=" 21:.+((SYSTEM_STATE.+slice.+state.+changed )|(ment ac)|(multiple cpu faults)|(system.+state.+changed )|(\[timeout)|(PRM\|1\|D)|(kpr)|(kdp)|(\|loc)|(crossing.((167)|(168)|(199)|(200))))" /e /r /s</v>
      </c>
      <c r="AG91" s="1" t="str">
        <f t="shared" si="35"/>
        <v>EC</v>
      </c>
      <c r="AH91" s="86" t="str">
        <f t="shared" si="37"/>
        <v>"%USERPROFILE%\Documents\GitHub\eaglep3\Utilities\RefineRTDCRunTimes.py" --tripid 178-05 --locoid 4013 --swversion DE.1.0.9.0 --startMP 204:232989 --initTime 2017-03-05T14:05:57 --startdatetime 2017-03-05T14:08:56 --delay 2 --endMP 204:232989 --enddatetime 2017-03-05T14:09:56 --enforcementcount 0 &gt;&gt;C:\Users\stu\Documents\GitHub\eaglep3-reporting\EC\2017-03-05-refined-times.txt</v>
      </c>
      <c r="AI91" s="108" t="str">
        <f t="shared" si="38"/>
        <v>echo {"issue":{"subject":"Onboard in-route failure (hard cutout)","project_id":79,"tracker_id":40,"status_id":1,"priority_id":2,"assigned_to_id":23,"start_date":"2017-03-05","description":"","custom_fields":[{"id":1,"name":"Subdivision","value":"EC"},{"id":4,"name":"Milepost","value":"23.2989"},{"id":17,"name":"Train ID","value":"178-05"},{"id":16,"name":"Locomotive ID","value":"4013"},{"id":130,"name":"Impact","value":""},{"id":150,"name":"Time of Event (Mountain Time)","value":"14:09:56"},{"id":151,"name":"Denver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4013 --day 2017-03-05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692</v>
      </c>
      <c r="B92" s="7">
        <v>4009</v>
      </c>
      <c r="C92" s="21" t="s">
        <v>252</v>
      </c>
      <c r="D92" s="21" t="s">
        <v>201</v>
      </c>
      <c r="E92" s="13">
        <v>42799.558645833335</v>
      </c>
      <c r="F92" s="13">
        <v>42799.562731481485</v>
      </c>
      <c r="G92" s="7">
        <v>1</v>
      </c>
      <c r="H92" s="21" t="s">
        <v>509</v>
      </c>
      <c r="I92" s="13">
        <v>42799.587384259263</v>
      </c>
      <c r="J92" s="7">
        <v>0</v>
      </c>
      <c r="K92" s="98" t="str">
        <f t="shared" si="23"/>
        <v>4009/4010</v>
      </c>
      <c r="L92" s="21" t="str">
        <f>VLOOKUP(A92,'Trips&amp;Operators'!$C$1:$G$99999,5,FALSE)</f>
        <v>BRUDER RICHARD</v>
      </c>
      <c r="M92" s="6">
        <f t="shared" si="24"/>
        <v>2.4652777778101154E-2</v>
      </c>
      <c r="N92" s="7">
        <f t="shared" ref="N92:N97" si="41">24*60*SUM($M92:$M92)</f>
        <v>35.500000000465661</v>
      </c>
      <c r="O92" s="7"/>
      <c r="P92" s="7"/>
      <c r="Q92" s="22"/>
      <c r="R92" s="22"/>
      <c r="S92" s="31">
        <f t="shared" si="36"/>
        <v>1</v>
      </c>
      <c r="T92" s="46" t="str">
        <f t="shared" si="25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-03-05T12:24:27-0700',mode:absolute,to:'2017-03-05T15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4.6199999999999998E-2</v>
      </c>
      <c r="Z92" s="62">
        <f t="shared" si="30"/>
        <v>23.328800000000001</v>
      </c>
      <c r="AA92" s="62">
        <f t="shared" si="31"/>
        <v>23.282600000000002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0179-05</v>
      </c>
      <c r="AE92" s="85" t="str">
        <f t="shared" si="33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92" s="82" t="str">
        <f t="shared" si="34"/>
        <v>"C:\Program Files (x86)\AstroGrep\AstroGrep.exe" /spath="%USERPROFILE%\AppData\Local\Temp\OnboardLogs" /stypes="app*4009*20170305*" /stext=" 21:.+((SYSTEM_STATE.+slice.+state.+changed )|(ment ac)|(multiple cpu faults)|(system.+state.+changed )|(\[timeout)|(PRM\|1\|D)|(kpr)|(kdp)|(\|loc)|(crossing.((167)|(168)|(199)|(200))))" /e /r /s</v>
      </c>
      <c r="AG92" s="1" t="str">
        <f t="shared" si="35"/>
        <v>EC</v>
      </c>
      <c r="AH92" s="86" t="str">
        <f t="shared" si="37"/>
        <v>"%USERPROFILE%\Documents\GitHub\eaglep3\Utilities\RefineRTDCRunTimes.py" --tripid 179-05 --locoid 4009 --swversion DE.1.0.9.0 --startMP 204:462 --initTime 2017-03-05T13:24:27 --startdatetime 2017-03-05T13:30:20 --delay 1 --endMP 204:233288 --enddatetime 2017-03-05T14:05:50 --enforcementcount 0 &gt;&gt;C:\Users\stu\Documents\GitHub\eaglep3-reporting\EC\2017-03-05-refined-times.txt</v>
      </c>
      <c r="AI92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{"issue":{"subject":"","project_id":79,"tracker_id":40,"status_id":1,"priority_id":2,"assigned_to_id":23,"start_date":"2017-03-05","description":"","custom_fields":[{"id":1,"name":"Subdivision","value":"EC"},{"id":4,"name":"Milepost","value":"23.3288"},{"id":17,"name":"Train ID","value":"179-05"},{"id":16,"name":"Locomotive ID","value":"4009"},{"id":130,"name":"Impact","value":""},{"id":150,"name":"Time of Event (Mountain Time)","value":"14:05:50"},{"id":151,"name":"Denver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4009 --day 2017-03-05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699</v>
      </c>
      <c r="B93" s="7">
        <v>4010</v>
      </c>
      <c r="C93" s="21" t="s">
        <v>252</v>
      </c>
      <c r="D93" s="21" t="s">
        <v>342</v>
      </c>
      <c r="E93" s="13">
        <v>42799.596678240741</v>
      </c>
      <c r="F93" s="13">
        <v>42799.601631944446</v>
      </c>
      <c r="G93" s="7">
        <v>1</v>
      </c>
      <c r="H93" s="21" t="s">
        <v>244</v>
      </c>
      <c r="I93" s="13">
        <v>42799.633194444446</v>
      </c>
      <c r="J93" s="7">
        <v>0</v>
      </c>
      <c r="K93" s="98" t="str">
        <f t="shared" si="23"/>
        <v>4009/4010</v>
      </c>
      <c r="L93" s="21" t="str">
        <f>VLOOKUP(A93,'Trips&amp;Operators'!$C$1:$G$99999,5,FALSE)</f>
        <v>BRUDER RICHARD</v>
      </c>
      <c r="M93" s="6">
        <f t="shared" si="24"/>
        <v>3.1562500000291038E-2</v>
      </c>
      <c r="N93" s="7">
        <f t="shared" si="41"/>
        <v>45.450000000419095</v>
      </c>
      <c r="O93" s="7"/>
      <c r="P93" s="7"/>
      <c r="Q93" s="22"/>
      <c r="R93" s="22"/>
      <c r="S93" s="31">
        <f t="shared" si="36"/>
        <v>1</v>
      </c>
      <c r="T93" s="46" t="str">
        <f t="shared" si="25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-03-05T13:19:13-0700',mode:absolute,to:'2017-03-05T16:11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23.296700000000001</v>
      </c>
      <c r="Z93" s="62">
        <f t="shared" si="30"/>
        <v>1.47E-2</v>
      </c>
      <c r="AA93" s="62">
        <f t="shared" si="31"/>
        <v>23.282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0180-05</v>
      </c>
      <c r="AE93" s="85" t="str">
        <f t="shared" si="33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93" s="82" t="str">
        <f t="shared" si="34"/>
        <v>"C:\Program Files (x86)\AstroGrep\AstroGrep.exe" /spath="%USERPROFILE%\AppData\Local\Temp\OnboardLogs" /stypes="app*4010*20170305*" /stext=" 22:.+((SYSTEM_STATE.+slice.+state.+changed )|(ment ac)|(multiple cpu faults)|(system.+state.+changed )|(\[timeout)|(PRM\|1\|D)|(kpr)|(kdp)|(\|loc)|(crossing.((167)|(168)|(199)|(200))))" /e /r /s</v>
      </c>
      <c r="AG93" s="1" t="str">
        <f t="shared" si="35"/>
        <v>EC</v>
      </c>
      <c r="AH93" s="86" t="str">
        <f t="shared" si="37"/>
        <v>"%USERPROFILE%\Documents\GitHub\eaglep3\Utilities\RefineRTDCRunTimes.py" --tripid 180-05 --locoid 4010 --swversion DE.1.0.9.0 --startMP 204:232967 --initTime 2017-03-05T14:19:13 --startdatetime 2017-03-05T14:26:21 --delay 1 --endMP 204:147 --enddatetime 2017-03-05T15:11:48 --enforcementcount 0 &gt;&gt;C:\Users\stu\Documents\GitHub\eaglep3-reporting\EC\2017-03-05-refined-times.txt</v>
      </c>
      <c r="AI93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{"issue":{"subject":"","project_id":79,"tracker_id":40,"status_id":1,"priority_id":2,"assigned_to_id":23,"start_date":"2017-03-05","description":"","custom_fields":[{"id":1,"name":"Subdivision","value":"EC"},{"id":4,"name":"Milepost","value":"0.0147"},{"id":17,"name":"Train ID","value":"180-05"},{"id":16,"name":"Locomotive ID","value":"4010"},{"id":130,"name":"Impact","value":""},{"id":150,"name":"Time of Event (Mountain Time)","value":"15:11:48"},{"id":151,"name":"Denver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4010 --day 2017-03-05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554</v>
      </c>
      <c r="B94" s="7">
        <v>4027</v>
      </c>
      <c r="C94" s="21" t="s">
        <v>252</v>
      </c>
      <c r="D94" s="21" t="s">
        <v>336</v>
      </c>
      <c r="E94" s="13">
        <v>42799.571006944447</v>
      </c>
      <c r="F94" s="13">
        <v>42799.573368055557</v>
      </c>
      <c r="G94" s="7">
        <v>2</v>
      </c>
      <c r="H94" s="21" t="s">
        <v>519</v>
      </c>
      <c r="I94" s="13">
        <v>42799.601539351854</v>
      </c>
      <c r="J94" s="7">
        <v>0</v>
      </c>
      <c r="K94" s="98" t="str">
        <f t="shared" si="23"/>
        <v>4027/4028</v>
      </c>
      <c r="L94" s="21" t="str">
        <f>VLOOKUP(A94,'Trips&amp;Operators'!$C$1:$G$99999,5,FALSE)</f>
        <v>MACDONALD THOMAS</v>
      </c>
      <c r="M94" s="6">
        <f t="shared" si="24"/>
        <v>2.8171296296932269E-2</v>
      </c>
      <c r="N94" s="7">
        <f t="shared" si="41"/>
        <v>40.566666667582467</v>
      </c>
      <c r="O94" s="7"/>
      <c r="P94" s="7"/>
      <c r="Q94" s="22"/>
      <c r="R94" s="22"/>
      <c r="S94" s="31">
        <f t="shared" si="36"/>
        <v>1</v>
      </c>
      <c r="T94" s="46" t="str">
        <f t="shared" si="25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-03-05T12:42:15-0700',mode:absolute,to:'2017-03-05T15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4.6899999999999997E-2</v>
      </c>
      <c r="Z94" s="62">
        <f t="shared" si="30"/>
        <v>23.327000000000002</v>
      </c>
      <c r="AA94" s="62">
        <f t="shared" si="31"/>
        <v>23.280100000000001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0181-05</v>
      </c>
      <c r="AE94" s="85" t="str">
        <f t="shared" si="33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94" s="82" t="str">
        <f t="shared" si="34"/>
        <v>"C:\Program Files (x86)\AstroGrep\AstroGrep.exe" /spath="%USERPROFILE%\AppData\Local\Temp\OnboardLogs" /stypes="app*4027*20170305*" /stext=" 21:.+((SYSTEM_STATE.+slice.+state.+changed )|(ment ac)|(multiple cpu faults)|(system.+state.+changed )|(\[timeout)|(PRM\|1\|D)|(kpr)|(kdp)|(\|loc)|(crossing.((167)|(168)|(199)|(200))))" /e /r /s</v>
      </c>
      <c r="AG94" s="1" t="str">
        <f t="shared" si="35"/>
        <v>EC</v>
      </c>
      <c r="AH94" s="86" t="str">
        <f t="shared" si="37"/>
        <v>"%USERPROFILE%\Documents\GitHub\eaglep3\Utilities\RefineRTDCRunTimes.py" --tripid 181-05 --locoid 4027 --swversion DE.1.0.9.0 --startMP 204:469 --initTime 2017-03-05T13:42:15 --startdatetime 2017-03-05T13:45:39 --delay 2 --endMP 204:233270 --enddatetime 2017-03-05T14:26:13 --enforcementcount 0 &gt;&gt;C:\Users\stu\Documents\GitHub\eaglep3-reporting\EC\2017-03-05-refined-times.txt</v>
      </c>
      <c r="AI94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{"issue":{"subject":"","project_id":79,"tracker_id":40,"status_id":1,"priority_id":2,"assigned_to_id":23,"start_date":"2017-03-05","description":"","custom_fields":[{"id":1,"name":"Subdivision","value":"EC"},{"id":4,"name":"Milepost","value":"23.327"},{"id":17,"name":"Train ID","value":"181-05"},{"id":16,"name":"Locomotive ID","value":"4027"},{"id":130,"name":"Impact","value":""},{"id":150,"name":"Time of Event (Mountain Time)","value":"14:26:13"},{"id":151,"name":"Denver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4027 --day 2017-03-05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701</v>
      </c>
      <c r="B95" s="7">
        <v>4028</v>
      </c>
      <c r="C95" s="21" t="s">
        <v>252</v>
      </c>
      <c r="D95" s="21" t="s">
        <v>850</v>
      </c>
      <c r="E95" s="13">
        <v>42799.606990740744</v>
      </c>
      <c r="F95" s="13">
        <v>42799.612118055556</v>
      </c>
      <c r="G95" s="7">
        <v>2</v>
      </c>
      <c r="H95" s="21" t="s">
        <v>204</v>
      </c>
      <c r="I95" s="13">
        <v>42799.639814814815</v>
      </c>
      <c r="J95" s="7">
        <v>0</v>
      </c>
      <c r="K95" s="98" t="str">
        <f t="shared" si="23"/>
        <v>4027/4028</v>
      </c>
      <c r="L95" s="21" t="str">
        <f>VLOOKUP(A95,'Trips&amp;Operators'!$C$1:$G$99999,5,FALSE)</f>
        <v>MACDONALD THOMAS</v>
      </c>
      <c r="M95" s="6">
        <f t="shared" si="24"/>
        <v>2.7696759258105885E-2</v>
      </c>
      <c r="N95" s="7">
        <f t="shared" si="41"/>
        <v>39.883333331672475</v>
      </c>
      <c r="O95" s="7"/>
      <c r="P95" s="7"/>
      <c r="Q95" s="22"/>
      <c r="R95" s="22"/>
      <c r="S95" s="31">
        <f t="shared" si="36"/>
        <v>1</v>
      </c>
      <c r="T95" s="46" t="str">
        <f t="shared" si="25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-03-05T13:34:04-0700',mode:absolute,to:'2017-03-05T16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87" t="str">
        <f t="shared" si="27"/>
        <v>N</v>
      </c>
      <c r="X95" s="187">
        <f t="shared" si="28"/>
        <v>1</v>
      </c>
      <c r="Y95" s="62">
        <f t="shared" si="29"/>
        <v>23.2957</v>
      </c>
      <c r="Z95" s="62">
        <f t="shared" si="30"/>
        <v>1.5800000000000002E-2</v>
      </c>
      <c r="AA95" s="62">
        <f t="shared" si="31"/>
        <v>23.279900000000001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0182-05</v>
      </c>
      <c r="AE95" s="85" t="str">
        <f t="shared" si="33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95" s="82" t="str">
        <f t="shared" si="34"/>
        <v>"C:\Program Files (x86)\AstroGrep\AstroGrep.exe" /spath="%USERPROFILE%\AppData\Local\Temp\OnboardLogs" /stypes="app*4028*20170305*" /stext=" 22:.+((SYSTEM_STATE.+slice.+state.+changed )|(ment ac)|(multiple cpu faults)|(system.+state.+changed )|(\[timeout)|(PRM\|1\|D)|(kpr)|(kdp)|(\|loc)|(crossing.((167)|(168)|(199)|(200))))" /e /r /s</v>
      </c>
      <c r="AG95" s="1" t="str">
        <f t="shared" si="35"/>
        <v>EC</v>
      </c>
      <c r="AH95" s="86" t="str">
        <f t="shared" si="37"/>
        <v>"%USERPROFILE%\Documents\GitHub\eaglep3\Utilities\RefineRTDCRunTimes.py" --tripid 182-05 --locoid 4028 --swversion DE.1.0.9.0 --startMP 204:232957 --initTime 2017-03-05T14:34:04 --startdatetime 2017-03-05T14:41:27 --delay 2 --endMP 204:158 --enddatetime 2017-03-05T15:21:20 --enforcementcount 0 &gt;&gt;C:\Users\stu\Documents\GitHub\eaglep3-reporting\EC\2017-03-05-refined-times.txt</v>
      </c>
      <c r="AI95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{"issue":{"subject":"","project_id":79,"tracker_id":40,"status_id":1,"priority_id":2,"assigned_to_id":23,"start_date":"2017-03-05","description":"","custom_fields":[{"id":1,"name":"Subdivision","value":"EC"},{"id":4,"name":"Milepost","value":"0.0158"},{"id":17,"name":"Train ID","value":"182-05"},{"id":16,"name":"Locomotive ID","value":"4028"},{"id":130,"name":"Impact","value":""},{"id":150,"name":"Time of Event (Mountain Time)","value":"15:21:20"},{"id":151,"name":"Denver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4028 --day 2017-03-05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694</v>
      </c>
      <c r="B96" s="7">
        <v>4018</v>
      </c>
      <c r="C96" s="21" t="s">
        <v>252</v>
      </c>
      <c r="D96" s="21" t="s">
        <v>859</v>
      </c>
      <c r="E96" s="13">
        <v>42799.577534722222</v>
      </c>
      <c r="F96" s="13">
        <v>42799.583483796298</v>
      </c>
      <c r="G96" s="7">
        <v>1</v>
      </c>
      <c r="H96" s="21" t="s">
        <v>860</v>
      </c>
      <c r="I96" s="13">
        <v>42799.609444444446</v>
      </c>
      <c r="J96" s="7">
        <v>0</v>
      </c>
      <c r="K96" s="98" t="str">
        <f t="shared" si="23"/>
        <v>4017/4018</v>
      </c>
      <c r="L96" s="21" t="str">
        <f>VLOOKUP(A96,'Trips&amp;Operators'!$C$1:$G$99999,5,FALSE)</f>
        <v>ROMERO CHAD</v>
      </c>
      <c r="M96" s="6">
        <f t="shared" si="24"/>
        <v>2.5960648148611654E-2</v>
      </c>
      <c r="N96" s="7">
        <f t="shared" si="41"/>
        <v>37.383333334000781</v>
      </c>
      <c r="O96" s="7"/>
      <c r="P96" s="7"/>
      <c r="Q96" s="22"/>
      <c r="R96" s="22"/>
      <c r="S96" s="31">
        <f t="shared" si="36"/>
        <v>1</v>
      </c>
      <c r="T96" s="46" t="str">
        <f t="shared" si="25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-03-05T12:51:39-0700',mode:absolute,to:'2017-03-05T15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6" s="187" t="str">
        <f t="shared" si="27"/>
        <v>N</v>
      </c>
      <c r="X96" s="187">
        <f t="shared" si="28"/>
        <v>1</v>
      </c>
      <c r="Y96" s="62">
        <f t="shared" si="29"/>
        <v>4.0399999999999998E-2</v>
      </c>
      <c r="Z96" s="62">
        <f t="shared" si="30"/>
        <v>23.337800000000001</v>
      </c>
      <c r="AA96" s="62">
        <f t="shared" si="31"/>
        <v>23.2974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0183-05</v>
      </c>
      <c r="AE96" s="85" t="str">
        <f t="shared" si="33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96" s="82" t="str">
        <f t="shared" si="34"/>
        <v>"C:\Program Files (x86)\AstroGrep\AstroGrep.exe" /spath="%USERPROFILE%\AppData\Local\Temp\OnboardLogs" /stypes="app*4018*20170305*" /stext=" 21:.+((SYSTEM_STATE.+slice.+state.+changed )|(ment ac)|(multiple cpu faults)|(system.+state.+changed )|(\[timeout)|(PRM\|1\|D)|(kpr)|(kdp)|(\|loc)|(crossing.((167)|(168)|(199)|(200))))" /e /r /s</v>
      </c>
      <c r="AG96" s="1" t="str">
        <f t="shared" si="35"/>
        <v>EC</v>
      </c>
      <c r="AH96" s="86" t="str">
        <f t="shared" si="37"/>
        <v>"%USERPROFILE%\Documents\GitHub\eaglep3\Utilities\RefineRTDCRunTimes.py" --tripid 183-05 --locoid 4018 --swversion DE.1.0.9.0 --startMP 204:404 --initTime 2017-03-05T13:51:39 --startdatetime 2017-03-05T14:00:13 --delay 1 --endMP 204:233378 --enddatetime 2017-03-05T14:37:36 --enforcementcount 0 &gt;&gt;C:\Users\stu\Documents\GitHub\eaglep3-reporting\EC\2017-03-05-refined-times.txt</v>
      </c>
      <c r="AI96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{"issue":{"subject":"","project_id":79,"tracker_id":40,"status_id":1,"priority_id":2,"assigned_to_id":23,"start_date":"2017-03-05","description":"","custom_fields":[{"id":1,"name":"Subdivision","value":"EC"},{"id":4,"name":"Milepost","value":"23.3378"},{"id":17,"name":"Train ID","value":"183-05"},{"id":16,"name":"Locomotive ID","value":"4018"},{"id":130,"name":"Impact","value":""},{"id":150,"name":"Time of Event (Mountain Time)","value":"14:37:36"},{"id":151,"name":"Denver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4018 --day 2017-03-05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703</v>
      </c>
      <c r="B97" s="7">
        <v>4017</v>
      </c>
      <c r="C97" s="21" t="s">
        <v>252</v>
      </c>
      <c r="D97" s="21" t="s">
        <v>811</v>
      </c>
      <c r="E97" s="13">
        <v>42799.611180555556</v>
      </c>
      <c r="F97" s="13">
        <v>42799.622372685182</v>
      </c>
      <c r="G97" s="7">
        <v>1</v>
      </c>
      <c r="H97" s="21" t="s">
        <v>864</v>
      </c>
      <c r="I97" s="13">
        <v>42799.650011574071</v>
      </c>
      <c r="J97" s="7">
        <v>0</v>
      </c>
      <c r="K97" s="98" t="str">
        <f t="shared" si="23"/>
        <v>4017/4018</v>
      </c>
      <c r="L97" s="21" t="str">
        <f>VLOOKUP(A97,'Trips&amp;Operators'!$C$1:$G$99999,5,FALSE)</f>
        <v>ROMERO CHAD</v>
      </c>
      <c r="M97" s="6">
        <f t="shared" si="24"/>
        <v>2.7638888888759539E-2</v>
      </c>
      <c r="N97" s="7">
        <f t="shared" si="41"/>
        <v>39.799999999813735</v>
      </c>
      <c r="O97" s="7"/>
      <c r="P97" s="7"/>
      <c r="Q97" s="22"/>
      <c r="R97" s="22"/>
      <c r="S97" s="31">
        <f t="shared" si="36"/>
        <v>1</v>
      </c>
      <c r="T97" s="46" t="str">
        <f t="shared" si="25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-03-05T13:40:06-0700',mode:absolute,to:'2017-03-05T16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7" s="187" t="str">
        <f t="shared" si="27"/>
        <v>N</v>
      </c>
      <c r="X97" s="187">
        <f t="shared" si="28"/>
        <v>1</v>
      </c>
      <c r="Y97" s="62">
        <f t="shared" si="29"/>
        <v>23.301300000000001</v>
      </c>
      <c r="Z97" s="62">
        <f t="shared" si="30"/>
        <v>1.23E-2</v>
      </c>
      <c r="AA97" s="62">
        <f t="shared" si="31"/>
        <v>23.289000000000001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0184-05</v>
      </c>
      <c r="AE97" s="85" t="str">
        <f t="shared" si="33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97" s="82" t="str">
        <f t="shared" si="34"/>
        <v>"C:\Program Files (x86)\AstroGrep\AstroGrep.exe" /spath="%USERPROFILE%\AppData\Local\Temp\OnboardLogs" /stypes="app*4017*20170305*" /stext=" 22:.+((SYSTEM_STATE.+slice.+state.+changed )|(ment ac)|(multiple cpu faults)|(system.+state.+changed )|(\[timeout)|(PRM\|1\|D)|(kpr)|(kdp)|(\|loc)|(crossing.((167)|(168)|(199)|(200))))" /e /r /s</v>
      </c>
      <c r="AG97" s="1" t="str">
        <f t="shared" si="35"/>
        <v>EC</v>
      </c>
      <c r="AH97" s="86" t="str">
        <f t="shared" si="37"/>
        <v>"%USERPROFILE%\Documents\GitHub\eaglep3\Utilities\RefineRTDCRunTimes.py" --tripid 184-05 --locoid 4017 --swversion DE.1.0.9.0 --startMP 204:233013 --initTime 2017-03-05T14:40:06 --startdatetime 2017-03-05T14:56:13 --delay 1 --endMP 204:123 --enddatetime 2017-03-05T15:36:01 --enforcementcount 0 &gt;&gt;C:\Users\stu\Documents\GitHub\eaglep3-reporting\EC\2017-03-05-refined-times.txt</v>
      </c>
      <c r="AI97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{"issue":{"subject":"","project_id":79,"tracker_id":40,"status_id":1,"priority_id":2,"assigned_to_id":23,"start_date":"2017-03-05","description":"","custom_fields":[{"id":1,"name":"Subdivision","value":"EC"},{"id":4,"name":"Milepost","value":"0.0123"},{"id":17,"name":"Train ID","value":"184-05"},{"id":16,"name":"Locomotive ID","value":"4017"},{"id":130,"name":"Impact","value":""},{"id":150,"name":"Time of Event (Mountain Time)","value":"15:36:01"},{"id":151,"name":"Denver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4017 --day 2017-03-05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698</v>
      </c>
      <c r="B98" s="7">
        <v>4029</v>
      </c>
      <c r="C98" s="21" t="s">
        <v>252</v>
      </c>
      <c r="D98" s="21" t="s">
        <v>865</v>
      </c>
      <c r="E98" s="13">
        <v>42799.595763888887</v>
      </c>
      <c r="F98" s="13">
        <v>42799.602361111109</v>
      </c>
      <c r="G98" s="7">
        <v>9</v>
      </c>
      <c r="H98" s="21" t="s">
        <v>285</v>
      </c>
      <c r="I98" s="13">
        <v>42799.626493055555</v>
      </c>
      <c r="J98" s="7">
        <v>0</v>
      </c>
      <c r="K98" s="98" t="str">
        <f t="shared" si="23"/>
        <v>4029/4030</v>
      </c>
      <c r="L98" s="21" t="str">
        <f>VLOOKUP(A98,'Trips&amp;Operators'!$C$1:$G$99999,5,FALSE)</f>
        <v>DAVIDSON DAVID</v>
      </c>
      <c r="M98" s="6">
        <f t="shared" si="24"/>
        <v>2.4131944446708076E-2</v>
      </c>
      <c r="N98" s="7"/>
      <c r="O98" s="7"/>
      <c r="P98" s="7">
        <f>24*60*SUM($M98:$M98)</f>
        <v>34.750000003259629</v>
      </c>
      <c r="Q98" s="22"/>
      <c r="R98" s="22" t="s">
        <v>935</v>
      </c>
      <c r="S98" s="31">
        <f t="shared" si="36"/>
        <v>1</v>
      </c>
      <c r="T98" s="46" t="str">
        <f t="shared" si="25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-03-05T13:17:54-0700',mode:absolute,to:'2017-03-05T16:02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7" t="str">
        <f t="shared" si="27"/>
        <v>Y</v>
      </c>
      <c r="X98" s="187">
        <f t="shared" si="28"/>
        <v>1</v>
      </c>
      <c r="Y98" s="62">
        <f t="shared" si="29"/>
        <v>1.9881</v>
      </c>
      <c r="Z98" s="62">
        <f t="shared" si="30"/>
        <v>23.331499999999998</v>
      </c>
      <c r="AA98" s="62">
        <f t="shared" si="31"/>
        <v>21.343399999999999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0185-05</v>
      </c>
      <c r="AE98" s="85" t="str">
        <f t="shared" si="33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98" s="82" t="str">
        <f t="shared" si="34"/>
        <v>"C:\Program Files (x86)\AstroGrep\AstroGrep.exe" /spath="%USERPROFILE%\AppData\Local\Temp\OnboardLogs" /stypes="app*4029*20170305*" /stext=" 22:.+((SYSTEM_STATE.+slice.+state.+changed )|(ment ac)|(multiple cpu faults)|(system.+state.+changed )|(\[timeout)|(PRM\|1\|D)|(kpr)|(kdp)|(\|loc)|(crossing.((167)|(168)|(199)|(200))))" /e /r /s</v>
      </c>
      <c r="AG98" s="1" t="str">
        <f t="shared" si="35"/>
        <v>EC</v>
      </c>
      <c r="AH98" s="86" t="str">
        <f t="shared" si="37"/>
        <v>"%USERPROFILE%\Documents\GitHub\eaglep3\Utilities\RefineRTDCRunTimes.py" --tripid 185-05 --locoid 4029 --swversion DE.1.0.9.0 --startMP 204:19881 --initTime 2017-03-05T14:17:54 --startdatetime 2017-03-05T14:27:24 --delay 9 --endMP 204:233315 --enddatetime 2017-03-05T15:02:09 --enforcementcount 0 &gt;&gt;C:\Users\stu\Documents\GitHub\eaglep3-reporting\EC\2017-03-05-refined-times.txt</v>
      </c>
      <c r="AI98" s="108" t="str">
        <f t="shared" si="38"/>
        <v>echo {"issue":{"subject":"Onboard in-route failure","project_id":79,"tracker_id":40,"status_id":1,"priority_id":2,"assigned_to_id":23,"start_date":"2017-03-05","description":"","custom_fields":[{"id":1,"name":"Subdivision","value":"EC"},{"id":4,"name":"Milepost","value":"23.3315"},{"id":17,"name":"Train ID","value":"185-05"},{"id":16,"name":"Locomotive ID","value":"4029"},{"id":130,"name":"Impact","value":""},{"id":150,"name":"Time of Event (Mountain Time)","value":"15:02:09"},{"id":151,"name":"Denver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4029 --day 2017-03-05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706</v>
      </c>
      <c r="B99" s="7">
        <v>4030</v>
      </c>
      <c r="C99" s="21" t="s">
        <v>252</v>
      </c>
      <c r="D99" s="21" t="s">
        <v>284</v>
      </c>
      <c r="E99" s="13">
        <v>42799.628055555557</v>
      </c>
      <c r="F99" s="13">
        <v>42799.632928240739</v>
      </c>
      <c r="G99" s="7">
        <v>1</v>
      </c>
      <c r="H99" s="21" t="s">
        <v>194</v>
      </c>
      <c r="I99" s="13">
        <v>42799.66265046296</v>
      </c>
      <c r="J99" s="7">
        <v>0</v>
      </c>
      <c r="K99" s="98" t="str">
        <f t="shared" si="23"/>
        <v>4029/4030</v>
      </c>
      <c r="L99" s="21" t="str">
        <f>VLOOKUP(A99,'Trips&amp;Operators'!$C$1:$G$99999,5,FALSE)</f>
        <v>DAVIDSON DAVID</v>
      </c>
      <c r="M99" s="6">
        <f t="shared" si="24"/>
        <v>2.9722222221607808E-2</v>
      </c>
      <c r="N99" s="7">
        <f t="shared" ref="N99:N130" si="42">24*60*SUM($M99:$M99)</f>
        <v>42.799999999115244</v>
      </c>
      <c r="O99" s="7"/>
      <c r="P99" s="7"/>
      <c r="Q99" s="22"/>
      <c r="R99" s="22"/>
      <c r="S99" s="31">
        <f t="shared" si="36"/>
        <v>1</v>
      </c>
      <c r="T99" s="46" t="str">
        <f t="shared" si="25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-03-05T14:04:24-0700',mode:absolute,to:'2017-03-05T16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23.299800000000001</v>
      </c>
      <c r="Z99" s="62">
        <f t="shared" si="30"/>
        <v>1.4500000000000001E-2</v>
      </c>
      <c r="AA99" s="62">
        <f t="shared" si="31"/>
        <v>23.285299999999999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0186-05</v>
      </c>
      <c r="AE99" s="85" t="str">
        <f t="shared" si="33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99" s="82" t="str">
        <f t="shared" si="34"/>
        <v>"C:\Program Files (x86)\AstroGrep\AstroGrep.exe" /spath="%USERPROFILE%\AppData\Local\Temp\OnboardLogs" /stypes="app*4030*20170305*" /stext=" 22:.+((SYSTEM_STATE.+slice.+state.+changed )|(ment ac)|(multiple cpu faults)|(system.+state.+changed )|(\[timeout)|(PRM\|1\|D)|(kpr)|(kdp)|(\|loc)|(crossing.((167)|(168)|(199)|(200))))" /e /r /s</v>
      </c>
      <c r="AG99" s="1" t="str">
        <f t="shared" si="35"/>
        <v>EC</v>
      </c>
      <c r="AH99" s="86" t="str">
        <f t="shared" si="37"/>
        <v>"%USERPROFILE%\Documents\GitHub\eaglep3\Utilities\RefineRTDCRunTimes.py" --tripid 186-05 --locoid 4030 --swversion DE.1.0.9.0 --startMP 204:232998 --initTime 2017-03-05T15:04:24 --startdatetime 2017-03-05T15:11:25 --delay 1 --endMP 204:145 --enddatetime 2017-03-05T15:54:13 --enforcementcount 0 &gt;&gt;C:\Users\stu\Documents\GitHub\eaglep3-reporting\EC\2017-03-05-refined-times.txt</v>
      </c>
      <c r="AI9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{"issue":{"subject":"","project_id":79,"tracker_id":40,"status_id":1,"priority_id":2,"assigned_to_id":23,"start_date":"2017-03-05","description":"","custom_fields":[{"id":1,"name":"Subdivision","value":"EC"},{"id":4,"name":"Milepost","value":"0.0145"},{"id":17,"name":"Train ID","value":"186-05"},{"id":16,"name":"Locomotive ID","value":"4030"},{"id":130,"name":"Impact","value":""},{"id":150,"name":"Time of Event (Mountain Time)","value":"15:54:13"},{"id":151,"name":"Denver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4030 --day 2017-03-05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"%USERPROFILE%\AppData\Local\Temp\OnboardLogs"\RTDC4030\*4030*20170305* | grep -SE "(Enforcement Action)|(\[TIMEOUT)|(CHR.+\|PRM\|1\|D.+(SWITCH|SIGNAL).+UNKNOWN)" - &gt;&gt; 2017-03-05-UncaughtWiMAX.txt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700</v>
      </c>
      <c r="B100" s="7">
        <v>4025</v>
      </c>
      <c r="C100" s="21" t="s">
        <v>252</v>
      </c>
      <c r="D100" s="21" t="s">
        <v>330</v>
      </c>
      <c r="E100" s="13">
        <v>42799.600844907407</v>
      </c>
      <c r="F100" s="13">
        <v>42799.604502314818</v>
      </c>
      <c r="G100" s="7">
        <v>3</v>
      </c>
      <c r="H100" s="21" t="s">
        <v>307</v>
      </c>
      <c r="I100" s="13">
        <v>42799.63077546296</v>
      </c>
      <c r="J100" s="7">
        <v>0</v>
      </c>
      <c r="K100" s="98" t="str">
        <f t="shared" si="23"/>
        <v>4025/4026</v>
      </c>
      <c r="L100" s="21" t="str">
        <f>VLOOKUP(A100,'Trips&amp;Operators'!$C$1:$G$99999,5,FALSE)</f>
        <v>STEWART MICHAEL</v>
      </c>
      <c r="M100" s="6">
        <f t="shared" si="24"/>
        <v>2.6273148141626734E-2</v>
      </c>
      <c r="N100" s="7">
        <f t="shared" si="42"/>
        <v>37.833333323942497</v>
      </c>
      <c r="O100" s="7"/>
      <c r="P100" s="7"/>
      <c r="Q100" s="22"/>
      <c r="R100" s="22"/>
      <c r="S100" s="31">
        <f t="shared" si="36"/>
        <v>1</v>
      </c>
      <c r="T100" s="46" t="str">
        <f t="shared" si="25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-03-05T13:25:13-0700',mode:absolute,to:'2017-03-05T16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4.7800000000000002E-2</v>
      </c>
      <c r="Z100" s="62">
        <f t="shared" si="30"/>
        <v>23.329499999999999</v>
      </c>
      <c r="AA100" s="62">
        <f t="shared" si="31"/>
        <v>23.281700000000001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0187-05</v>
      </c>
      <c r="AE100" s="85" t="str">
        <f t="shared" si="33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100" s="82" t="str">
        <f t="shared" si="34"/>
        <v>"C:\Program Files (x86)\AstroGrep\AstroGrep.exe" /spath="%USERPROFILE%\AppData\Local\Temp\OnboardLogs" /stypes="app*4025*20170305*" /stext=" 22:.+((SYSTEM_STATE.+slice.+state.+changed )|(ment ac)|(multiple cpu faults)|(system.+state.+changed )|(\[timeout)|(PRM\|1\|D)|(kpr)|(kdp)|(\|loc)|(crossing.((167)|(168)|(199)|(200))))" /e /r /s</v>
      </c>
      <c r="AG100" s="1" t="str">
        <f t="shared" si="35"/>
        <v>EC</v>
      </c>
      <c r="AH100" s="86" t="str">
        <f t="shared" si="37"/>
        <v>"%USERPROFILE%\Documents\GitHub\eaglep3\Utilities\RefineRTDCRunTimes.py" --tripid 187-05 --locoid 4025 --swversion DE.1.0.9.0 --startMP 204:478 --initTime 2017-03-05T14:25:13 --startdatetime 2017-03-05T14:30:29 --delay 3 --endMP 204:233295 --enddatetime 2017-03-05T15:08:19 --enforcementcount 0 &gt;&gt;C:\Users\stu\Documents\GitHub\eaglep3-reporting\EC\2017-03-05-refined-times.txt</v>
      </c>
      <c r="AI10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{"issue":{"subject":"","project_id":79,"tracker_id":40,"status_id":1,"priority_id":2,"assigned_to_id":23,"start_date":"2017-03-05","description":"","custom_fields":[{"id":1,"name":"Subdivision","value":"EC"},{"id":4,"name":"Milepost","value":"23.3295"},{"id":17,"name":"Train ID","value":"187-05"},{"id":16,"name":"Locomotive ID","value":"4025"},{"id":130,"name":"Impact","value":""},{"id":150,"name":"Time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4025 --day 2017-03-05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</row>
    <row r="101" spans="1:91" s="20" customFormat="1" x14ac:dyDescent="0.25">
      <c r="A101" s="33" t="s">
        <v>710</v>
      </c>
      <c r="B101" s="7">
        <v>4026</v>
      </c>
      <c r="C101" s="21" t="s">
        <v>252</v>
      </c>
      <c r="D101" s="21" t="s">
        <v>866</v>
      </c>
      <c r="E101" s="13">
        <v>42799.640555555554</v>
      </c>
      <c r="F101" s="13">
        <v>42799.643240740741</v>
      </c>
      <c r="G101" s="7">
        <v>1</v>
      </c>
      <c r="H101" s="21" t="s">
        <v>203</v>
      </c>
      <c r="I101" s="13">
        <v>42799.670995370368</v>
      </c>
      <c r="J101" s="7">
        <v>0</v>
      </c>
      <c r="K101" s="98" t="str">
        <f t="shared" si="23"/>
        <v>4025/4026</v>
      </c>
      <c r="L101" s="21" t="str">
        <f>VLOOKUP(A101,'Trips&amp;Operators'!$C$1:$G$99999,5,FALSE)</f>
        <v>STEWART MICHAEL</v>
      </c>
      <c r="M101" s="6">
        <f t="shared" si="24"/>
        <v>2.7754629627452232E-2</v>
      </c>
      <c r="N101" s="7">
        <f t="shared" si="42"/>
        <v>39.966666663531214</v>
      </c>
      <c r="O101" s="7"/>
      <c r="P101" s="7"/>
      <c r="Q101" s="22"/>
      <c r="R101" s="22"/>
      <c r="S101" s="31">
        <f t="shared" si="36"/>
        <v>1</v>
      </c>
      <c r="T101" s="46" t="str">
        <f t="shared" si="25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-03-05T14:22:24-0700',mode:absolute,to:'2017-03-05T17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23.296900000000001</v>
      </c>
      <c r="Z101" s="62">
        <f t="shared" si="30"/>
        <v>1.52E-2</v>
      </c>
      <c r="AA101" s="62">
        <f t="shared" si="31"/>
        <v>23.281700000000001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0188-05</v>
      </c>
      <c r="AE101" s="85" t="str">
        <f t="shared" si="33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101" s="82" t="str">
        <f t="shared" si="34"/>
        <v>"C:\Program Files (x86)\AstroGrep\AstroGrep.exe" /spath="%USERPROFILE%\AppData\Local\Temp\OnboardLogs" /stypes="app*4026*20170305*" /stext=" 23:.+((SYSTEM_STATE.+slice.+state.+changed )|(ment ac)|(multiple cpu faults)|(system.+state.+changed )|(\[timeout)|(PRM\|1\|D)|(kpr)|(kdp)|(\|loc)|(crossing.((167)|(168)|(199)|(200))))" /e /r /s</v>
      </c>
      <c r="AG101" s="1" t="str">
        <f t="shared" si="35"/>
        <v>EC</v>
      </c>
      <c r="AH101" s="86" t="str">
        <f t="shared" si="37"/>
        <v>"%USERPROFILE%\Documents\GitHub\eaglep3\Utilities\RefineRTDCRunTimes.py" --tripid 188-05 --locoid 4026 --swversion DE.1.0.9.0 --startMP 204:232969 --initTime 2017-03-05T15:22:24 --startdatetime 2017-03-05T15:26:16 --delay 1 --endMP 204:152 --enddatetime 2017-03-05T16:06:14 --enforcementcount 0 &gt;&gt;C:\Users\stu\Documents\GitHub\eaglep3-reporting\EC\2017-03-05-refined-times.txt</v>
      </c>
      <c r="AI101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ID","value":"188-05"},{"id":16,"name":"Locomotive ID","value":"4026"},{"id":130,"name":"Impact","value":""},{"id":150,"name":"Time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4026 --day 2017-03-05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705</v>
      </c>
      <c r="B102" s="7">
        <v>4044</v>
      </c>
      <c r="C102" s="21" t="s">
        <v>252</v>
      </c>
      <c r="D102" s="21" t="s">
        <v>814</v>
      </c>
      <c r="E102" s="13">
        <v>42799.618078703701</v>
      </c>
      <c r="F102" s="13">
        <v>42799.619618055556</v>
      </c>
      <c r="G102" s="7">
        <v>1</v>
      </c>
      <c r="H102" s="21" t="s">
        <v>815</v>
      </c>
      <c r="I102" s="13">
        <v>42799.648425925923</v>
      </c>
      <c r="J102" s="7">
        <v>0</v>
      </c>
      <c r="K102" s="98" t="str">
        <f t="shared" si="23"/>
        <v>4043/4044</v>
      </c>
      <c r="L102" s="21" t="str">
        <f>VLOOKUP(A102,'Trips&amp;Operators'!$C$1:$G$99999,5,FALSE)</f>
        <v>DAVIS MICHAEL</v>
      </c>
      <c r="M102" s="6">
        <f t="shared" si="24"/>
        <v>2.880787036701804E-2</v>
      </c>
      <c r="N102" s="7">
        <f t="shared" si="42"/>
        <v>41.483333328505978</v>
      </c>
      <c r="O102" s="7"/>
      <c r="P102" s="7"/>
      <c r="Q102" s="22"/>
      <c r="R102" s="22"/>
      <c r="S102" s="31">
        <f t="shared" si="36"/>
        <v>1</v>
      </c>
      <c r="T102" s="46" t="str">
        <f t="shared" si="25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-03-05T13:50:02-0700',mode:absolute,to:'2017-03-05T16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4.3799999999999999E-2</v>
      </c>
      <c r="Z102" s="62">
        <f t="shared" si="30"/>
        <v>23.33</v>
      </c>
      <c r="AA102" s="62">
        <f t="shared" si="31"/>
        <v>23.286199999999997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0189-05</v>
      </c>
      <c r="AE102" s="85" t="str">
        <f t="shared" si="33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102" s="82" t="str">
        <f t="shared" si="34"/>
        <v>"C:\Program Files (x86)\AstroGrep\AstroGrep.exe" /spath="%USERPROFILE%\AppData\Local\Temp\OnboardLogs" /stypes="app*4044*20170305*" /stext=" 22:.+((SYSTEM_STATE.+slice.+state.+changed )|(ment ac)|(multiple cpu faults)|(system.+state.+changed )|(\[timeout)|(PRM\|1\|D)|(kpr)|(kdp)|(\|loc)|(crossing.((167)|(168)|(199)|(200))))" /e /r /s</v>
      </c>
      <c r="AG102" s="1" t="str">
        <f t="shared" si="35"/>
        <v>EC</v>
      </c>
      <c r="AH102" s="86" t="str">
        <f t="shared" si="37"/>
        <v>"%USERPROFILE%\Documents\GitHub\eaglep3\Utilities\RefineRTDCRunTimes.py" --tripid 189-05 --locoid 4044 --swversion DE.1.0.9.0 --startMP 204:438 --initTime 2017-03-05T14:50:02 --startdatetime 2017-03-05T14:52:15 --delay 1 --endMP 204:233300 --enddatetime 2017-03-05T15:33:44 --enforcementcount 0 &gt;&gt;C:\Users\stu\Documents\GitHub\eaglep3-reporting\EC\2017-03-05-refined-times.txt</v>
      </c>
      <c r="AI102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{"issue":{"subject":"","project_id":79,"tracker_id":40,"status_id":1,"priority_id":2,"assigned_to_id":23,"start_date":"2017-03-05","description":"","custom_fields":[{"id":1,"name":"Subdivision","value":"EC"},{"id":4,"name":"Milepost","value":"23.33"},{"id":17,"name":"Train ID","value":"189-05"},{"id":16,"name":"Locomotive ID","value":"4044"},{"id":130,"name":"Impact","value":""},{"id":150,"name":"Time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4044 --day 2017-03-05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</row>
    <row r="103" spans="1:91" s="20" customFormat="1" x14ac:dyDescent="0.25">
      <c r="A103" s="33" t="s">
        <v>713</v>
      </c>
      <c r="B103" s="7">
        <v>4043</v>
      </c>
      <c r="C103" s="21" t="s">
        <v>252</v>
      </c>
      <c r="D103" s="21" t="s">
        <v>810</v>
      </c>
      <c r="E103" s="13">
        <v>42799.652569444443</v>
      </c>
      <c r="F103" s="13">
        <v>42799.654328703706</v>
      </c>
      <c r="G103" s="7">
        <v>1</v>
      </c>
      <c r="H103" s="21" t="s">
        <v>210</v>
      </c>
      <c r="I103" s="13">
        <v>42799.68408564815</v>
      </c>
      <c r="J103" s="7">
        <v>0</v>
      </c>
      <c r="K103" s="98" t="str">
        <f t="shared" si="23"/>
        <v>4043/4044</v>
      </c>
      <c r="L103" s="21" t="str">
        <f>VLOOKUP(A103,'Trips&amp;Operators'!$C$1:$G$99999,5,FALSE)</f>
        <v>DAVIS MICHAEL</v>
      </c>
      <c r="M103" s="6">
        <f t="shared" si="24"/>
        <v>2.9756944444670808E-2</v>
      </c>
      <c r="N103" s="7">
        <f t="shared" si="42"/>
        <v>42.850000000325963</v>
      </c>
      <c r="O103" s="7"/>
      <c r="P103" s="7"/>
      <c r="Q103" s="22"/>
      <c r="R103" s="22"/>
      <c r="S103" s="31">
        <f t="shared" si="36"/>
        <v>1</v>
      </c>
      <c r="T103" s="46" t="str">
        <f t="shared" si="25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-03-05T14:39:42-0700',mode:absolute,to:'2017-03-05T17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23.299299999999999</v>
      </c>
      <c r="Z103" s="62">
        <f t="shared" si="30"/>
        <v>1.54E-2</v>
      </c>
      <c r="AA103" s="62">
        <f t="shared" si="31"/>
        <v>23.283899999999999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0190-05</v>
      </c>
      <c r="AE103" s="85" t="str">
        <f t="shared" si="33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103" s="82" t="str">
        <f t="shared" si="34"/>
        <v>"C:\Program Files (x86)\AstroGrep\AstroGrep.exe" /spath="%USERPROFILE%\AppData\Local\Temp\OnboardLogs" /stypes="app*4043*20170305*" /stext=" 23:.+((SYSTEM_STATE.+slice.+state.+changed )|(ment ac)|(multiple cpu faults)|(system.+state.+changed )|(\[timeout)|(PRM\|1\|D)|(kpr)|(kdp)|(\|loc)|(crossing.((167)|(168)|(199)|(200))))" /e /r /s</v>
      </c>
      <c r="AG103" s="1" t="str">
        <f t="shared" si="35"/>
        <v>EC</v>
      </c>
      <c r="AH103" s="86" t="str">
        <f t="shared" si="37"/>
        <v>"%USERPROFILE%\Documents\GitHub\eaglep3\Utilities\RefineRTDCRunTimes.py" --tripid 190-05 --locoid 4043 --swversion DE.1.0.9.0 --startMP 204:232993 --initTime 2017-03-05T15:39:42 --startdatetime 2017-03-05T15:42:14 --delay 1 --endMP 204:154 --enddatetime 2017-03-05T16:25:05 --enforcementcount 0 &gt;&gt;C:\Users\stu\Documents\GitHub\eaglep3-reporting\EC\2017-03-05-refined-times.txt</v>
      </c>
      <c r="AI103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{"issue":{"subject":"","project_id":79,"tracker_id":40,"status_id":1,"priority_id":2,"assigned_to_id":23,"start_date":"2017-03-05","description":"","custom_fields":[{"id":1,"name":"Subdivision","value":"EC"},{"id":4,"name":"Milepost","value":"0.0154"},{"id":17,"name":"Train ID","value":"190-05"},{"id":16,"name":"Locomotive ID","value":"4043"},{"id":130,"name":"Impact","value":""},{"id":150,"name":"Time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4043 --day 2017-03-05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"%USERPROFILE%\AppData\Local\Temp\OnboardLogs"\RTDC4043\*4043*20170305* | grep -SE "(Enforcement Action)|(\[TIMEOUT)|(CHR.+\|PRM\|1\|D.+(SWITCH|SIGNAL).+UNKNOWN)" - &gt;&gt; 2017-03-05-UncaughtWiMAX.txt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704</v>
      </c>
      <c r="B104" s="7">
        <v>4016</v>
      </c>
      <c r="C104" s="21" t="s">
        <v>252</v>
      </c>
      <c r="D104" s="21" t="s">
        <v>295</v>
      </c>
      <c r="E104" s="13">
        <v>42799.610613425924</v>
      </c>
      <c r="F104" s="13">
        <v>42799.625173611108</v>
      </c>
      <c r="G104" s="7">
        <v>1</v>
      </c>
      <c r="H104" s="21" t="s">
        <v>808</v>
      </c>
      <c r="I104" s="13">
        <v>42799.650949074072</v>
      </c>
      <c r="J104" s="7">
        <v>0</v>
      </c>
      <c r="K104" s="98" t="str">
        <f t="shared" si="23"/>
        <v>4015/4016</v>
      </c>
      <c r="L104" s="21" t="str">
        <f>VLOOKUP(A104,'Trips&amp;Operators'!$C$1:$G$99999,5,FALSE)</f>
        <v>LALONDE GREGORY</v>
      </c>
      <c r="M104" s="6">
        <f t="shared" si="24"/>
        <v>2.5775462963792961E-2</v>
      </c>
      <c r="N104" s="7">
        <f t="shared" si="42"/>
        <v>37.116666667861864</v>
      </c>
      <c r="O104" s="7"/>
      <c r="P104" s="7"/>
      <c r="Q104" s="22"/>
      <c r="R104" s="22"/>
      <c r="S104" s="31">
        <f t="shared" si="36"/>
        <v>1</v>
      </c>
      <c r="T104" s="46" t="str">
        <f t="shared" si="25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6"/>
        <v>https://d0f6bd738d7f1b3e5a7ca70fe4ff75f0.us-east-1.aws.found.io/app/kibana#/discover/Steve-Slow-Train-Analysis-(2080s-and-2083s)?_g=(refreshInterval:(display:Off,pause:!f,section:0,value:0),time:(from:'2017-03-05T13:39:17-0700',mode:absolute,to:'2017-03-05T16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4" s="187" t="str">
        <f t="shared" si="27"/>
        <v>N</v>
      </c>
      <c r="X104" s="187">
        <f t="shared" si="28"/>
        <v>1</v>
      </c>
      <c r="Y104" s="62">
        <f t="shared" si="29"/>
        <v>4.4200000000000003E-2</v>
      </c>
      <c r="Z104" s="62">
        <f t="shared" si="30"/>
        <v>23.3324</v>
      </c>
      <c r="AA104" s="62">
        <f t="shared" si="31"/>
        <v>23.2882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0191-05</v>
      </c>
      <c r="AE104" s="85" t="str">
        <f t="shared" si="33"/>
        <v>aws s3 cp s3://rtdc.mdm.uploadarchive.raw/RTDC4016/ "%USERPROFILE%\AppData\Local\Temp\OnboardLogs"\RTDC4016\2017-03-05 --exclude "*" --recursive --include "*20170305*" &amp; "%USERPROFILE%\Documents\GitHub\mrs-test-scripts\Headless Mode &amp; Sideloading\WalkAndUnGZ.bat" "%USERPROFILE%\AppData\Local\Temp\OnboardLogs"\RTDC4016\2017-03-05 &amp; 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</v>
      </c>
      <c r="AF104" s="82" t="str">
        <f t="shared" si="34"/>
        <v>"C:\Program Files (x86)\AstroGrep\AstroGrep.exe" /spath="%USERPROFILE%\AppData\Local\Temp\OnboardLogs" /stypes="app*4016*20170305*" /stext=" 22:.+((SYSTEM_STATE.+slice.+state.+changed )|(ment ac)|(multiple cpu faults)|(system.+state.+changed )|(\[timeout)|(PRM\|1\|D)|(kpr)|(kdp)|(\|loc)|(crossing.((167)|(168)|(199)|(200))))" /e /r /s</v>
      </c>
      <c r="AG104" s="1" t="str">
        <f t="shared" si="35"/>
        <v>EC</v>
      </c>
      <c r="AH104" s="86" t="str">
        <f t="shared" si="37"/>
        <v>"%USERPROFILE%\Documents\GitHub\eaglep3\Utilities\RefineRTDCRunTimes.py" --tripid 191-05 --locoid 4016 --swversion DE.1.0.9.0 --startMP 204:442 --initTime 2017-03-05T14:39:17 --startdatetime 2017-03-05T15:00:15 --delay 1 --endMP 204:233324 --enddatetime 2017-03-05T15:37:22 --enforcementcount 0 &gt;&gt;C:\Users\stu\Documents\GitHub\eaglep3-reporting\EC\2017-03-05-refined-times.txt</v>
      </c>
      <c r="AI104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{"issue":{"subject":"","project_id":79,"tracker_id":40,"status_id":1,"priority_id":2,"assigned_to_id":23,"start_date":"2017-03-05","description":"","custom_fields":[{"id":1,"name":"Subdivision","value":"EC"},{"id":4,"name":"Milepost","value":"23.3324"},{"id":17,"name":"Train ID","value":"191-05"},{"id":16,"name":"Locomotive ID","value":"4016"},{"id":130,"name":"Impact","value":""},{"id":150,"name":"Time of Event (Mountain Time)","value":"15:37:22"},{"id":151,"name":"Denver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4016 --day 2017-03-05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"%USERPROFILE%\AppData\Local\Temp\OnboardLogs"\RTDC4016\*4016*20170305* | grep -SE "(Enforcement Action)|(\[TIMEOUT)|(CHR.+\|PRM\|1\|D.+(SWITCH|SIGNAL).+UNKNOWN)" - &gt;&gt; 2017-03-05-UncaughtWiMAX.txt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712</v>
      </c>
      <c r="B105" s="7">
        <v>4015</v>
      </c>
      <c r="C105" s="21" t="s">
        <v>252</v>
      </c>
      <c r="D105" s="21" t="s">
        <v>811</v>
      </c>
      <c r="E105" s="13">
        <v>42799.652106481481</v>
      </c>
      <c r="F105" s="13">
        <v>42799.664039351854</v>
      </c>
      <c r="G105" s="7">
        <v>1</v>
      </c>
      <c r="H105" s="21" t="s">
        <v>203</v>
      </c>
      <c r="I105" s="13">
        <v>42799.690648148149</v>
      </c>
      <c r="J105" s="7">
        <v>0</v>
      </c>
      <c r="K105" s="98" t="str">
        <f t="shared" si="23"/>
        <v>4015/4016</v>
      </c>
      <c r="L105" s="21" t="str">
        <f>VLOOKUP(A105,'Trips&amp;Operators'!$C$1:$G$99999,5,FALSE)</f>
        <v>LALONDE GREGORY</v>
      </c>
      <c r="M105" s="6">
        <f t="shared" si="24"/>
        <v>2.6608796295477077E-2</v>
      </c>
      <c r="N105" s="7">
        <f t="shared" si="42"/>
        <v>38.316666665486991</v>
      </c>
      <c r="O105" s="7"/>
      <c r="P105" s="7"/>
      <c r="Q105" s="22"/>
      <c r="R105" s="22"/>
      <c r="S105" s="31">
        <f t="shared" si="36"/>
        <v>1</v>
      </c>
      <c r="T105" s="46" t="str">
        <f t="shared" si="25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-03-05T14:39:02-0700',mode:absolute,to:'2017-03-05T17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5" s="187" t="str">
        <f t="shared" si="27"/>
        <v>N</v>
      </c>
      <c r="X105" s="187">
        <f t="shared" si="28"/>
        <v>1</v>
      </c>
      <c r="Y105" s="62">
        <f t="shared" si="29"/>
        <v>23.301300000000001</v>
      </c>
      <c r="Z105" s="62">
        <f t="shared" si="30"/>
        <v>1.52E-2</v>
      </c>
      <c r="AA105" s="62">
        <f t="shared" si="31"/>
        <v>23.286100000000001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0192-05</v>
      </c>
      <c r="AE105" s="85" t="str">
        <f t="shared" si="33"/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05" s="82" t="str">
        <f t="shared" si="34"/>
        <v>"C:\Program Files (x86)\AstroGrep\AstroGrep.exe" /spath="%USERPROFILE%\AppData\Local\Temp\OnboardLogs" /stypes="app*4015*20170305*" /stext=" 23:.+((SYSTEM_STATE.+slice.+state.+changed )|(ment ac)|(multiple cpu faults)|(system.+state.+changed )|(\[timeout)|(PRM\|1\|D)|(kpr)|(kdp)|(\|loc)|(crossing.((167)|(168)|(199)|(200))))" /e /r /s</v>
      </c>
      <c r="AG105" s="1" t="str">
        <f t="shared" si="35"/>
        <v>EC</v>
      </c>
      <c r="AH105" s="86" t="str">
        <f t="shared" si="37"/>
        <v>"%USERPROFILE%\Documents\GitHub\eaglep3\Utilities\RefineRTDCRunTimes.py" --tripid 192-05 --locoid 4015 --swversion DE.1.0.9.0 --startMP 204:233013 --initTime 2017-03-05T15:39:02 --startdatetime 2017-03-05T15:56:13 --delay 1 --endMP 204:152 --enddatetime 2017-03-05T16:34:32 --enforcementcount 0 &gt;&gt;C:\Users\stu\Documents\GitHub\eaglep3-reporting\EC\2017-03-05-refined-times.txt</v>
      </c>
      <c r="AI105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ID","value":"192-05"},{"id":16,"name":"Locomotive ID","value":"4015"},{"id":130,"name":"Impact","value":""},{"id":150,"name":"Time of Event (Mountain Time)","value":"16:34:32"},{"id":151,"name":"Denver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4015 --day 2017-03-05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"%USERPROFILE%\AppData\Local\Temp\OnboardLogs"\RTDC4015\*4015*20170305* | grep -SE "(Enforcement Action)|(\[TIMEOUT)|(CHR.+\|PRM\|1\|D.+(SWITCH|SIGNAL).+UNKNOWN)" - &gt;&gt; 2017-03-05-UncaughtWiMAX.txt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707</v>
      </c>
      <c r="B106" s="7">
        <v>4009</v>
      </c>
      <c r="C106" s="21" t="s">
        <v>252</v>
      </c>
      <c r="D106" s="21" t="s">
        <v>253</v>
      </c>
      <c r="E106" s="13">
        <v>42799.634016203701</v>
      </c>
      <c r="F106" s="13">
        <v>42799.635613425926</v>
      </c>
      <c r="G106" s="7">
        <v>1</v>
      </c>
      <c r="H106" s="21" t="s">
        <v>278</v>
      </c>
      <c r="I106" s="13">
        <v>42799.660833333335</v>
      </c>
      <c r="J106" s="7">
        <v>0</v>
      </c>
      <c r="K106" s="98" t="str">
        <f t="shared" si="23"/>
        <v>4009/4010</v>
      </c>
      <c r="L106" s="21" t="str">
        <f>VLOOKUP(A106,'Trips&amp;Operators'!$C$1:$G$99999,5,FALSE)</f>
        <v>BRUDER RICHARD</v>
      </c>
      <c r="M106" s="6">
        <f t="shared" si="24"/>
        <v>2.5219907409336884E-2</v>
      </c>
      <c r="N106" s="7">
        <f t="shared" si="42"/>
        <v>36.316666669445112</v>
      </c>
      <c r="O106" s="7"/>
      <c r="P106" s="7"/>
      <c r="Q106" s="22"/>
      <c r="R106" s="22"/>
      <c r="S106" s="31">
        <f t="shared" si="36"/>
        <v>1</v>
      </c>
      <c r="T106" s="46" t="str">
        <f t="shared" si="25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-03-05T14:12:59-0700',mode:absolute,to:'2017-03-05T16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187" t="str">
        <f t="shared" si="27"/>
        <v>N</v>
      </c>
      <c r="X106" s="187">
        <f t="shared" si="28"/>
        <v>1</v>
      </c>
      <c r="Y106" s="62">
        <f t="shared" si="29"/>
        <v>4.58E-2</v>
      </c>
      <c r="Z106" s="62">
        <f t="shared" si="30"/>
        <v>23.331199999999999</v>
      </c>
      <c r="AA106" s="62">
        <f t="shared" si="31"/>
        <v>23.285399999999999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0193-05</v>
      </c>
      <c r="AE106" s="85" t="str">
        <f t="shared" si="33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106" s="82" t="str">
        <f t="shared" si="34"/>
        <v>"C:\Program Files (x86)\AstroGrep\AstroGrep.exe" /spath="%USERPROFILE%\AppData\Local\Temp\OnboardLogs" /stypes="app*4009*20170305*" /stext=" 22:.+((SYSTEM_STATE.+slice.+state.+changed )|(ment ac)|(multiple cpu faults)|(system.+state.+changed )|(\[timeout)|(PRM\|1\|D)|(kpr)|(kdp)|(\|loc)|(crossing.((167)|(168)|(199)|(200))))" /e /r /s</v>
      </c>
      <c r="AG106" s="1" t="str">
        <f t="shared" si="35"/>
        <v>EC</v>
      </c>
      <c r="AH106" s="86" t="str">
        <f t="shared" si="37"/>
        <v>"%USERPROFILE%\Documents\GitHub\eaglep3\Utilities\RefineRTDCRunTimes.py" --tripid 193-05 --locoid 4009 --swversion DE.1.0.9.0 --startMP 204:458 --initTime 2017-03-05T15:12:59 --startdatetime 2017-03-05T15:15:17 --delay 1 --endMP 204:233312 --enddatetime 2017-03-05T15:51:36 --enforcementcount 0 &gt;&gt;C:\Users\stu\Documents\GitHub\eaglep3-reporting\EC\2017-03-05-refined-times.txt</v>
      </c>
      <c r="AI106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{"issue":{"subject":"","project_id":79,"tracker_id":40,"status_id":1,"priority_id":2,"assigned_to_id":23,"start_date":"2017-03-05","description":"","custom_fields":[{"id":1,"name":"Subdivision","value":"EC"},{"id":4,"name":"Milepost","value":"23.3312"},{"id":17,"name":"Train ID","value":"193-05"},{"id":16,"name":"Locomotive ID","value":"4009"},{"id":130,"name":"Impact","value":""},{"id":150,"name":"Time of Event (Mountain Time)","value":"15:51:36"},{"id":151,"name":"Denver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4009 --day 2017-03-05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"%USERPROFILE%\AppData\Local\Temp\OnboardLogs"\RTDC4009\*4009*20170305* | grep -SE "(Enforcement Action)|(\[TIMEOUT)|(CHR.+\|PRM\|1\|D.+(SWITCH|SIGNAL).+UNKNOWN)" - &gt;&gt; 2017-03-05-UncaughtWiMAX.txt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715</v>
      </c>
      <c r="B107" s="7">
        <v>4010</v>
      </c>
      <c r="C107" s="21" t="s">
        <v>252</v>
      </c>
      <c r="D107" s="21" t="s">
        <v>341</v>
      </c>
      <c r="E107" s="13">
        <v>42799.664629629631</v>
      </c>
      <c r="F107" s="13">
        <v>42799.67460648148</v>
      </c>
      <c r="G107" s="7">
        <v>1</v>
      </c>
      <c r="H107" s="21" t="s">
        <v>184</v>
      </c>
      <c r="I107" s="13">
        <v>42799.701874999999</v>
      </c>
      <c r="J107" s="7">
        <v>0</v>
      </c>
      <c r="K107" s="98" t="str">
        <f t="shared" si="23"/>
        <v>4009/4010</v>
      </c>
      <c r="L107" s="21" t="str">
        <f>VLOOKUP(A107,'Trips&amp;Operators'!$C$1:$G$99999,5,FALSE)</f>
        <v>BRUDER RICHARD</v>
      </c>
      <c r="M107" s="6">
        <f t="shared" si="24"/>
        <v>2.7268518519122154E-2</v>
      </c>
      <c r="N107" s="7">
        <f t="shared" si="42"/>
        <v>39.266666667535901</v>
      </c>
      <c r="O107" s="7"/>
      <c r="P107" s="7"/>
      <c r="Q107" s="22"/>
      <c r="R107" s="22"/>
      <c r="S107" s="31">
        <f t="shared" si="36"/>
        <v>1</v>
      </c>
      <c r="T107" s="46" t="str">
        <f t="shared" si="25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-03-05T14:57:04-0700',mode:absolute,to:'2017-03-05T17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7" s="187" t="str">
        <f t="shared" si="27"/>
        <v>N</v>
      </c>
      <c r="X107" s="187">
        <f t="shared" si="28"/>
        <v>1</v>
      </c>
      <c r="Y107" s="62">
        <f t="shared" si="29"/>
        <v>23.298500000000001</v>
      </c>
      <c r="Z107" s="62">
        <f t="shared" si="30"/>
        <v>1.49E-2</v>
      </c>
      <c r="AA107" s="62">
        <f t="shared" si="31"/>
        <v>23.2836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0194-05</v>
      </c>
      <c r="AE107" s="85" t="str">
        <f t="shared" si="33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107" s="82" t="str">
        <f t="shared" si="34"/>
        <v>"C:\Program Files (x86)\AstroGrep\AstroGrep.exe" /spath="%USERPROFILE%\AppData\Local\Temp\OnboardLogs" /stypes="app*4010*20170305*" /stext=" 23:.+((SYSTEM_STATE.+slice.+state.+changed )|(ment ac)|(multiple cpu faults)|(system.+state.+changed )|(\[timeout)|(PRM\|1\|D)|(kpr)|(kdp)|(\|loc)|(crossing.((167)|(168)|(199)|(200))))" /e /r /s</v>
      </c>
      <c r="AG107" s="1" t="str">
        <f t="shared" si="35"/>
        <v>EC</v>
      </c>
      <c r="AH107" s="86" t="str">
        <f t="shared" si="37"/>
        <v>"%USERPROFILE%\Documents\GitHub\eaglep3\Utilities\RefineRTDCRunTimes.py" --tripid 194-05 --locoid 4010 --swversion DE.1.0.9.0 --startMP 204:232985 --initTime 2017-03-05T15:57:04 --startdatetime 2017-03-05T16:11:26 --delay 1 --endMP 204:149 --enddatetime 2017-03-05T16:50:42 --enforcementcount 0 &gt;&gt;C:\Users\stu\Documents\GitHub\eaglep3-reporting\EC\2017-03-05-refined-times.txt</v>
      </c>
      <c r="AI107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ID","value":"194-05"},{"id":16,"name":"Locomotive ID","value":"4010"},{"id":130,"name":"Impact","value":""},{"id":150,"name":"Time of Event (Mountain Time)","value":"16:50:42"},{"id":151,"name":"Denver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4010 --day 2017-03-05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711</v>
      </c>
      <c r="B108" s="7">
        <v>4027</v>
      </c>
      <c r="C108" s="21" t="s">
        <v>252</v>
      </c>
      <c r="D108" s="21" t="s">
        <v>336</v>
      </c>
      <c r="E108" s="13">
        <v>42799.641805555555</v>
      </c>
      <c r="F108" s="13">
        <v>42799.645995370367</v>
      </c>
      <c r="G108" s="7">
        <v>2</v>
      </c>
      <c r="H108" s="21" t="s">
        <v>264</v>
      </c>
      <c r="I108" s="13">
        <v>42799.672164351854</v>
      </c>
      <c r="J108" s="7">
        <v>0</v>
      </c>
      <c r="K108" s="98" t="str">
        <f t="shared" si="23"/>
        <v>4027/4028</v>
      </c>
      <c r="L108" s="21" t="str">
        <f>VLOOKUP(A108,'Trips&amp;Operators'!$C$1:$G$99999,5,FALSE)</f>
        <v>LOCKLEAR TRAVIS</v>
      </c>
      <c r="M108" s="6">
        <f t="shared" si="24"/>
        <v>2.6168981486989651E-2</v>
      </c>
      <c r="N108" s="7">
        <f t="shared" si="42"/>
        <v>37.683333341265097</v>
      </c>
      <c r="O108" s="7"/>
      <c r="P108" s="7"/>
      <c r="Q108" s="22"/>
      <c r="R108" s="22"/>
      <c r="S108" s="31">
        <f t="shared" si="36"/>
        <v>1</v>
      </c>
      <c r="T108" s="46" t="str">
        <f t="shared" si="25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-03-05T14:24:12-0700',mode:absolute,to:'2017-03-05T17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187" t="str">
        <f t="shared" si="27"/>
        <v>N</v>
      </c>
      <c r="X108" s="187">
        <f t="shared" si="28"/>
        <v>1</v>
      </c>
      <c r="Y108" s="62">
        <f t="shared" si="29"/>
        <v>4.6899999999999997E-2</v>
      </c>
      <c r="Z108" s="62">
        <f t="shared" si="30"/>
        <v>23.329899999999999</v>
      </c>
      <c r="AA108" s="62">
        <f t="shared" si="31"/>
        <v>23.282999999999998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0195-05</v>
      </c>
      <c r="AE108" s="85" t="str">
        <f t="shared" si="33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08" s="82" t="str">
        <f t="shared" si="34"/>
        <v>"C:\Program Files (x86)\AstroGrep\AstroGrep.exe" /spath="%USERPROFILE%\AppData\Local\Temp\OnboardLogs" /stypes="app*4027*20170305*" /stext=" 23:.+((SYSTEM_STATE.+slice.+state.+changed )|(ment ac)|(multiple cpu faults)|(system.+state.+changed )|(\[timeout)|(PRM\|1\|D)|(kpr)|(kdp)|(\|loc)|(crossing.((167)|(168)|(199)|(200))))" /e /r /s</v>
      </c>
      <c r="AG108" s="1" t="str">
        <f t="shared" si="35"/>
        <v>EC</v>
      </c>
      <c r="AH108" s="86" t="str">
        <f t="shared" si="37"/>
        <v>"%USERPROFILE%\Documents\GitHub\eaglep3\Utilities\RefineRTDCRunTimes.py" --tripid 195-05 --locoid 4027 --swversion DE.1.0.9.0 --startMP 204:469 --initTime 2017-03-05T15:24:12 --startdatetime 2017-03-05T15:30:14 --delay 2 --endMP 204:233299 --enddatetime 2017-03-05T16:07:55 --enforcementcount 0 &gt;&gt;C:\Users\stu\Documents\GitHub\eaglep3-reporting\EC\2017-03-05-refined-times.txt</v>
      </c>
      <c r="AI108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{"issue":{"subject":"","project_id":79,"tracker_id":40,"status_id":1,"priority_id":2,"assigned_to_id":23,"start_date":"2017-03-05","description":"","custom_fields":[{"id":1,"name":"Subdivision","value":"EC"},{"id":4,"name":"Milepost","value":"23.3299"},{"id":17,"name":"Train ID","value":"195-05"},{"id":16,"name":"Locomotive ID","value":"4027"},{"id":130,"name":"Impact","value":""},{"id":150,"name":"Time of Event (Mountain Time)","value":"16:07:55"},{"id":151,"name":"Denver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4027 --day 2017-03-05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"%USERPROFILE%\AppData\Local\Temp\OnboardLogs"\RTDC4027\*4027*20170305* | grep -SE "(Enforcement Action)|(\[TIMEOUT)|(CHR.+\|PRM\|1\|D.+(SWITCH|SIGNAL).+UNKNOWN)" - &gt;&gt; 2017-03-05-UncaughtWiMAX.txt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559</v>
      </c>
      <c r="B109" s="7">
        <v>4028</v>
      </c>
      <c r="C109" s="21" t="s">
        <v>252</v>
      </c>
      <c r="D109" s="21" t="s">
        <v>333</v>
      </c>
      <c r="E109" s="13">
        <v>42799.681840277779</v>
      </c>
      <c r="F109" s="13">
        <v>42799.684895833336</v>
      </c>
      <c r="G109" s="7">
        <v>1</v>
      </c>
      <c r="H109" s="21" t="s">
        <v>807</v>
      </c>
      <c r="I109" s="13">
        <v>42799.713634259257</v>
      </c>
      <c r="J109" s="7">
        <v>0</v>
      </c>
      <c r="K109" s="98" t="str">
        <f t="shared" si="23"/>
        <v>4027/4028</v>
      </c>
      <c r="L109" s="21" t="str">
        <f>VLOOKUP(A109,'Trips&amp;Operators'!$C$1:$G$99999,5,FALSE)</f>
        <v>LOCKLEAR TRAVIS</v>
      </c>
      <c r="M109" s="6">
        <f t="shared" si="24"/>
        <v>2.8738425920892041E-2</v>
      </c>
      <c r="N109" s="7">
        <f t="shared" si="42"/>
        <v>41.383333326084539</v>
      </c>
      <c r="O109" s="7"/>
      <c r="P109" s="7"/>
      <c r="Q109" s="22"/>
      <c r="R109" s="22"/>
      <c r="S109" s="31">
        <f t="shared" si="36"/>
        <v>1</v>
      </c>
      <c r="T109" s="46" t="str">
        <f t="shared" si="25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-03-05T15:21:51-0700',mode:absolute,to:'2017-03-05T18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87" t="str">
        <f t="shared" si="27"/>
        <v>N</v>
      </c>
      <c r="X109" s="187">
        <f t="shared" ref="X109:X140" si="43">VALUE(LEFT(AD109,4))-VALUE(LEFT(AD108,4))</f>
        <v>1</v>
      </c>
      <c r="Y109" s="62">
        <f t="shared" si="29"/>
        <v>23.297799999999999</v>
      </c>
      <c r="Z109" s="62">
        <f t="shared" si="30"/>
        <v>1.6E-2</v>
      </c>
      <c r="AA109" s="62">
        <f t="shared" si="31"/>
        <v>23.2818</v>
      </c>
      <c r="AB109" s="59" t="str">
        <f>VLOOKUP(A109,Enforcements!$C$7:$K$13,8,0)</f>
        <v>Bulletin (2)</v>
      </c>
      <c r="AC109" s="55" t="str">
        <f>VLOOKUP(A109,Enforcements!$C$7:$E$13,3,0)</f>
        <v>GRADE CROSSING</v>
      </c>
      <c r="AD109" s="56" t="str">
        <f t="shared" si="32"/>
        <v>0196-05</v>
      </c>
      <c r="AE109" s="85" t="str">
        <f t="shared" si="33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109" s="82" t="str">
        <f t="shared" si="34"/>
        <v>"C:\Program Files (x86)\AstroGrep\AstroGrep.exe" /spath="%USERPROFILE%\AppData\Local\Temp\OnboardLogs" /stypes="app*4028*20170306*" /stext=" 00:.+((SYSTEM_STATE.+slice.+state.+changed )|(ment ac)|(multiple cpu faults)|(system.+state.+changed )|(\[timeout)|(PRM\|1\|D)|(kpr)|(kdp)|(\|loc)|(crossing.((167)|(168)|(199)|(200))))" /e /r /s</v>
      </c>
      <c r="AG109" s="1" t="str">
        <f t="shared" si="35"/>
        <v>EC</v>
      </c>
      <c r="AH109" s="86" t="str">
        <f t="shared" si="37"/>
        <v>"%USERPROFILE%\Documents\GitHub\eaglep3\Utilities\RefineRTDCRunTimes.py" --tripid 196-05 --locoid 4028 --swversion DE.1.0.9.0 --startMP 204:232978 --initTime 2017-03-05T16:21:51 --startdatetime 2017-03-05T16:26:15 --delay 1 --endMP 204:160 --enddatetime 2017-03-05T17:07:38 --enforcementcount 0 &gt;&gt;C:\Users\stu\Documents\GitHub\eaglep3-reporting\EC\2017-03-05-refined-times.txt</v>
      </c>
      <c r="AI10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{"issue":{"subject":"","project_id":79,"tracker_id":40,"status_id":1,"priority_id":2,"assigned_to_id":23,"start_date":"2017-03-05","description":"","custom_fields":[{"id":1,"name":"Subdivision","value":"EC"},{"id":4,"name":"Milepost","value":"0.016"},{"id":17,"name":"Train ID","value":"196-05"},{"id":16,"name":"Locomotive ID","value":"4028"},{"id":130,"name":"Impact","value":""},{"id":150,"name":"Time of Event (Mountain Time)","value":"17:07:38"},{"id":151,"name":"Denver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4028 --day 2017-03-05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"%USERPROFILE%\AppData\Local\Temp\OnboardLogs"\RTDC4028\*4028*20170305* | grep -SE "(Enforcement Action)|(\[TIMEOUT)|(CHR.+\|PRM\|1\|D.+(SWITCH|SIGNAL).+UNKNOWN)" - &gt;&gt; 2017-03-05-UncaughtWiMAX.txt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558</v>
      </c>
      <c r="B110" s="7">
        <v>4018</v>
      </c>
      <c r="C110" s="21" t="s">
        <v>252</v>
      </c>
      <c r="D110" s="21" t="s">
        <v>812</v>
      </c>
      <c r="E110" s="13">
        <v>42799.651967592596</v>
      </c>
      <c r="F110" s="13">
        <v>42799.656400462962</v>
      </c>
      <c r="G110" s="7">
        <v>1</v>
      </c>
      <c r="H110" s="21" t="s">
        <v>520</v>
      </c>
      <c r="I110" s="13">
        <v>42799.681296296294</v>
      </c>
      <c r="J110" s="7">
        <v>0</v>
      </c>
      <c r="K110" s="98" t="str">
        <f t="shared" si="23"/>
        <v>4017/4018</v>
      </c>
      <c r="L110" s="21" t="str">
        <f>VLOOKUP(A110,'Trips&amp;Operators'!$C$1:$G$99999,5,FALSE)</f>
        <v>ROMERO CHAD</v>
      </c>
      <c r="M110" s="6">
        <f t="shared" si="24"/>
        <v>2.4895833332266193E-2</v>
      </c>
      <c r="N110" s="7">
        <f t="shared" si="42"/>
        <v>35.849999998463318</v>
      </c>
      <c r="O110" s="7"/>
      <c r="P110" s="7"/>
      <c r="Q110" s="22"/>
      <c r="R110" s="22"/>
      <c r="S110" s="31">
        <f t="shared" si="36"/>
        <v>1</v>
      </c>
      <c r="T110" s="46" t="str">
        <f t="shared" si="25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-03-05T14:38:50-0700',mode:absolute,to:'2017-03-05T17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0" s="187" t="str">
        <f t="shared" si="27"/>
        <v>N</v>
      </c>
      <c r="X110" s="187">
        <f t="shared" si="43"/>
        <v>1</v>
      </c>
      <c r="Y110" s="62">
        <f t="shared" si="29"/>
        <v>4.2599999999999999E-2</v>
      </c>
      <c r="Z110" s="62">
        <f t="shared" si="30"/>
        <v>23.335699999999999</v>
      </c>
      <c r="AA110" s="62">
        <f t="shared" si="31"/>
        <v>23.293099999999999</v>
      </c>
      <c r="AB110" s="59" t="str">
        <f>VLOOKUP(A110,Enforcements!$C$7:$K$13,8,0)</f>
        <v>Bulletin (2)</v>
      </c>
      <c r="AC110" s="55" t="str">
        <f>VLOOKUP(A110,Enforcements!$C$7:$E$13,3,0)</f>
        <v>GRADE CROSSING</v>
      </c>
      <c r="AD110" s="56" t="str">
        <f t="shared" si="32"/>
        <v>0197-05</v>
      </c>
      <c r="AE110" s="85" t="str">
        <f t="shared" si="33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110" s="82" t="str">
        <f t="shared" si="34"/>
        <v>"C:\Program Files (x86)\AstroGrep\AstroGrep.exe" /spath="%USERPROFILE%\AppData\Local\Temp\OnboardLogs" /stypes="app*4018*20170305*" /stext=" 23:.+((SYSTEM_STATE.+slice.+state.+changed )|(ment ac)|(multiple cpu faults)|(system.+state.+changed )|(\[timeout)|(PRM\|1\|D)|(kpr)|(kdp)|(\|loc)|(crossing.((167)|(168)|(199)|(200))))" /e /r /s</v>
      </c>
      <c r="AG110" s="1" t="str">
        <f t="shared" si="35"/>
        <v>EC</v>
      </c>
      <c r="AH110" s="86" t="str">
        <f t="shared" si="37"/>
        <v>"%USERPROFILE%\Documents\GitHub\eaglep3\Utilities\RefineRTDCRunTimes.py" --tripid 197-05 --locoid 4018 --swversion DE.1.0.9.0 --startMP 204:426 --initTime 2017-03-05T15:38:50 --startdatetime 2017-03-05T15:45:13 --delay 1 --endMP 204:233357 --enddatetime 2017-03-05T16:21:04 --enforcementcount 0 &gt;&gt;C:\Users\stu\Documents\GitHub\eaglep3-reporting\EC\2017-03-05-refined-times.txt</v>
      </c>
      <c r="AI11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{"issue":{"subject":"","project_id":79,"tracker_id":40,"status_id":1,"priority_id":2,"assigned_to_id":23,"start_date":"2017-03-05","description":"","custom_fields":[{"id":1,"name":"Subdivision","value":"EC"},{"id":4,"name":"Milepost","value":"23.3357"},{"id":17,"name":"Train ID","value":"197-05"},{"id":16,"name":"Locomotive ID","value":"4018"},{"id":130,"name":"Impact","value":""},{"id":150,"name":"Time of Event (Mountain Time)","value":"16:21:04"},{"id":151,"name":"Denver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4018 --day 2017-03-05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"%USERPROFILE%\AppData\Local\Temp\OnboardLogs"\RTDC4018\*4018*20170305* | grep -SE "(Enforcement Action)|(\[TIMEOUT)|(CHR.+\|PRM\|1\|D.+(SWITCH|SIGNAL).+UNKNOWN)" - &gt;&gt; 2017-03-05-UncaughtWiMAX.txt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719</v>
      </c>
      <c r="B111" s="7">
        <v>4017</v>
      </c>
      <c r="C111" s="21" t="s">
        <v>252</v>
      </c>
      <c r="D111" s="21" t="s">
        <v>869</v>
      </c>
      <c r="E111" s="13">
        <v>42799.686203703706</v>
      </c>
      <c r="F111" s="13">
        <v>42799.695300925923</v>
      </c>
      <c r="G111" s="7">
        <v>1</v>
      </c>
      <c r="H111" s="21" t="s">
        <v>809</v>
      </c>
      <c r="I111" s="13">
        <v>42799.722118055557</v>
      </c>
      <c r="J111" s="7">
        <v>0</v>
      </c>
      <c r="K111" s="98" t="str">
        <f t="shared" si="23"/>
        <v>4017/4018</v>
      </c>
      <c r="L111" s="21" t="str">
        <f>VLOOKUP(A111,'Trips&amp;Operators'!$C$1:$G$99999,5,FALSE)</f>
        <v>ROMERO CHAD</v>
      </c>
      <c r="M111" s="6">
        <f t="shared" si="24"/>
        <v>2.6817129633855075E-2</v>
      </c>
      <c r="N111" s="7">
        <f t="shared" si="42"/>
        <v>38.616666672751307</v>
      </c>
      <c r="O111" s="7"/>
      <c r="P111" s="7"/>
      <c r="Q111" s="22"/>
      <c r="R111" s="22"/>
      <c r="S111" s="31">
        <f t="shared" si="36"/>
        <v>1</v>
      </c>
      <c r="T111" s="46" t="str">
        <f t="shared" si="25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-03-05T15:28:08-0700',mode:absolute,to:'2017-03-05T18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1" s="187" t="str">
        <f t="shared" si="27"/>
        <v>N</v>
      </c>
      <c r="X111" s="187">
        <f t="shared" si="43"/>
        <v>1</v>
      </c>
      <c r="Y111" s="62">
        <f t="shared" si="29"/>
        <v>23.3017</v>
      </c>
      <c r="Z111" s="62">
        <f t="shared" si="30"/>
        <v>1.32E-2</v>
      </c>
      <c r="AA111" s="62">
        <f t="shared" si="31"/>
        <v>23.288499999999999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0198-05</v>
      </c>
      <c r="AE111" s="85" t="str">
        <f t="shared" si="33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111" s="82" t="str">
        <f t="shared" si="34"/>
        <v>"C:\Program Files (x86)\AstroGrep\AstroGrep.exe" /spath="%USERPROFILE%\AppData\Local\Temp\OnboardLogs" /stypes="app*4017*20170306*" /stext=" 00:.+((SYSTEM_STATE.+slice.+state.+changed )|(ment ac)|(multiple cpu faults)|(system.+state.+changed )|(\[timeout)|(PRM\|1\|D)|(kpr)|(kdp)|(\|loc)|(crossing.((167)|(168)|(199)|(200))))" /e /r /s</v>
      </c>
      <c r="AG111" s="1" t="str">
        <f t="shared" si="35"/>
        <v>EC</v>
      </c>
      <c r="AH111" s="86" t="str">
        <f t="shared" si="37"/>
        <v>"%USERPROFILE%\Documents\GitHub\eaglep3\Utilities\RefineRTDCRunTimes.py" --tripid 198-05 --locoid 4017 --swversion DE.1.0.9.0 --startMP 204:233017 --initTime 2017-03-05T16:28:08 --startdatetime 2017-03-05T16:41:14 --delay 1 --endMP 204:132 --enddatetime 2017-03-05T17:19:51 --enforcementcount 0 &gt;&gt;C:\Users\stu\Documents\GitHub\eaglep3-reporting\EC\2017-03-05-refined-times.txt</v>
      </c>
      <c r="AI111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{"issue":{"subject":"","project_id":79,"tracker_id":40,"status_id":1,"priority_id":2,"assigned_to_id":23,"start_date":"2017-03-05","description":"","custom_fields":[{"id":1,"name":"Subdivision","value":"EC"},{"id":4,"name":"Milepost","value":"0.0132"},{"id":17,"name":"Train ID","value":"198-05"},{"id":16,"name":"Locomotive ID","value":"4017"},{"id":130,"name":"Impact","value":""},{"id":150,"name":"Time of Event (Mountain Time)","value":"17:19:51"},{"id":151,"name":"Denver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4017 --day 2017-03-05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714</v>
      </c>
      <c r="B112" s="7">
        <v>4029</v>
      </c>
      <c r="C112" s="21" t="s">
        <v>252</v>
      </c>
      <c r="D112" s="21" t="s">
        <v>220</v>
      </c>
      <c r="E112" s="13">
        <v>42799.6641087963</v>
      </c>
      <c r="F112" s="13">
        <v>42799.666909722226</v>
      </c>
      <c r="G112" s="7">
        <v>1</v>
      </c>
      <c r="H112" s="21" t="s">
        <v>870</v>
      </c>
      <c r="I112" s="13">
        <v>42799.694074074076</v>
      </c>
      <c r="J112" s="7">
        <v>0</v>
      </c>
      <c r="K112" s="98" t="str">
        <f t="shared" si="23"/>
        <v>4029/4030</v>
      </c>
      <c r="L112" s="21" t="str">
        <f>VLOOKUP(A112,'Trips&amp;Operators'!$C$1:$G$99999,5,FALSE)</f>
        <v>DAVIDSON DAVID</v>
      </c>
      <c r="M112" s="6">
        <f t="shared" si="24"/>
        <v>2.7164351849933155E-2</v>
      </c>
      <c r="N112" s="7">
        <f t="shared" si="42"/>
        <v>39.116666663903743</v>
      </c>
      <c r="O112" s="7"/>
      <c r="P112" s="7"/>
      <c r="Q112" s="22"/>
      <c r="R112" s="22"/>
      <c r="S112" s="31">
        <f t="shared" si="36"/>
        <v>1</v>
      </c>
      <c r="T112" s="46" t="str">
        <f t="shared" si="25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-03-05T14:56:19-0700',mode:absolute,to:'2017-03-05T17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7" t="str">
        <f t="shared" si="27"/>
        <v>N</v>
      </c>
      <c r="X112" s="187">
        <f t="shared" si="43"/>
        <v>1</v>
      </c>
      <c r="Y112" s="62">
        <f t="shared" si="29"/>
        <v>4.5699999999999998E-2</v>
      </c>
      <c r="Z112" s="62">
        <f t="shared" si="30"/>
        <v>23.332000000000001</v>
      </c>
      <c r="AA112" s="62">
        <f t="shared" si="31"/>
        <v>23.286300000000001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0199-05</v>
      </c>
      <c r="AE112" s="85" t="str">
        <f t="shared" si="33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112" s="82" t="str">
        <f t="shared" si="34"/>
        <v>"C:\Program Files (x86)\AstroGrep\AstroGrep.exe" /spath="%USERPROFILE%\AppData\Local\Temp\OnboardLogs" /stypes="app*4029*20170305*" /stext=" 23:.+((SYSTEM_STATE.+slice.+state.+changed )|(ment ac)|(multiple cpu faults)|(system.+state.+changed )|(\[timeout)|(PRM\|1\|D)|(kpr)|(kdp)|(\|loc)|(crossing.((167)|(168)|(199)|(200))))" /e /r /s</v>
      </c>
      <c r="AG112" s="1" t="str">
        <f t="shared" si="35"/>
        <v>EC</v>
      </c>
      <c r="AH112" s="86" t="str">
        <f t="shared" si="37"/>
        <v>"%USERPROFILE%\Documents\GitHub\eaglep3\Utilities\RefineRTDCRunTimes.py" --tripid 199-05 --locoid 4029 --swversion DE.1.0.9.0 --startMP 204:457 --initTime 2017-03-05T15:56:19 --startdatetime 2017-03-05T16:00:21 --delay 1 --endMP 204:233320 --enddatetime 2017-03-05T16:39:28 --enforcementcount 0 &gt;&gt;C:\Users\stu\Documents\GitHub\eaglep3-reporting\EC\2017-03-05-refined-times.txt</v>
      </c>
      <c r="AI112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{"issue":{"subject":"","project_id":79,"tracker_id":40,"status_id":1,"priority_id":2,"assigned_to_id":23,"start_date":"2017-03-05","description":"","custom_fields":[{"id":1,"name":"Subdivision","value":"EC"},{"id":4,"name":"Milepost","value":"23.332"},{"id":17,"name":"Train ID","value":"199-05"},{"id":16,"name":"Locomotive ID","value":"4029"},{"id":130,"name":"Impact","value":""},{"id":150,"name":"Time of Event (Mountain Time)","value":"16:39:28"},{"id":151,"name":"Denver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4029 --day 2017-03-05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"%USERPROFILE%\AppData\Local\Temp\OnboardLogs"\RTDC4029\*4029*20170305* | grep -SE "(Enforcement Action)|(\[TIMEOUT)|(CHR.+\|PRM\|1\|D.+(SWITCH|SIGNAL).+UNKNOWN)" - &gt;&gt; 2017-03-05-UncaughtWiMAX.txt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560</v>
      </c>
      <c r="B113" s="7">
        <v>4030</v>
      </c>
      <c r="C113" s="21" t="s">
        <v>252</v>
      </c>
      <c r="D113" s="21" t="s">
        <v>308</v>
      </c>
      <c r="E113" s="13">
        <v>42799.701018518521</v>
      </c>
      <c r="F113" s="13">
        <v>42799.705763888887</v>
      </c>
      <c r="G113" s="7">
        <v>2</v>
      </c>
      <c r="H113" s="21" t="s">
        <v>203</v>
      </c>
      <c r="I113" s="13">
        <v>42799.735833333332</v>
      </c>
      <c r="J113" s="7">
        <v>0</v>
      </c>
      <c r="K113" s="98" t="str">
        <f t="shared" si="23"/>
        <v>4029/4030</v>
      </c>
      <c r="L113" s="21" t="str">
        <f>VLOOKUP(A113,'Trips&amp;Operators'!$C$1:$G$99999,5,FALSE)</f>
        <v>DAVIDSON DAVID</v>
      </c>
      <c r="M113" s="6">
        <f t="shared" si="24"/>
        <v>3.0069444444961846E-2</v>
      </c>
      <c r="N113" s="7">
        <f t="shared" si="42"/>
        <v>43.300000000745058</v>
      </c>
      <c r="O113" s="7"/>
      <c r="P113" s="7"/>
      <c r="Q113" s="22"/>
      <c r="R113" s="22"/>
      <c r="S113" s="31">
        <f t="shared" si="36"/>
        <v>1</v>
      </c>
      <c r="T113" s="46" t="str">
        <f t="shared" si="25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-03-05T15:49:28-0700',mode:absolute,to:'2017-03-05T18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7" t="str">
        <f t="shared" si="27"/>
        <v>N</v>
      </c>
      <c r="X113" s="187">
        <f t="shared" si="43"/>
        <v>1</v>
      </c>
      <c r="Y113" s="62">
        <f t="shared" si="29"/>
        <v>23.2986</v>
      </c>
      <c r="Z113" s="62">
        <f t="shared" si="30"/>
        <v>1.52E-2</v>
      </c>
      <c r="AA113" s="62">
        <f t="shared" si="31"/>
        <v>23.2834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0200-05</v>
      </c>
      <c r="AE113" s="85" t="str">
        <f t="shared" si="33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113" s="82" t="str">
        <f t="shared" si="34"/>
        <v>"C:\Program Files (x86)\AstroGrep\AstroGrep.exe" /spath="%USERPROFILE%\AppData\Local\Temp\OnboardLogs" /stypes="app*4030*20170306*" /stext=" 00:.+((SYSTEM_STATE.+slice.+state.+changed )|(ment ac)|(multiple cpu faults)|(system.+state.+changed )|(\[timeout)|(PRM\|1\|D)|(kpr)|(kdp)|(\|loc)|(crossing.((167)|(168)|(199)|(200))))" /e /r /s</v>
      </c>
      <c r="AG113" s="1" t="str">
        <f t="shared" si="35"/>
        <v>EC</v>
      </c>
      <c r="AH113" s="86" t="str">
        <f t="shared" si="37"/>
        <v>"%USERPROFILE%\Documents\GitHub\eaglep3\Utilities\RefineRTDCRunTimes.py" --tripid 200-05 --locoid 4030 --swversion DE.1.0.9.0 --startMP 204:232986 --initTime 2017-03-05T16:49:28 --startdatetime 2017-03-05T16:56:18 --delay 2 --endMP 204:152 --enddatetime 2017-03-05T17:39:36 --enforcementcount 0 &gt;&gt;C:\Users\stu\Documents\GitHub\eaglep3-reporting\EC\2017-03-05-refined-times.txt</v>
      </c>
      <c r="AI113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ID","value":"200-05"},{"id":16,"name":"Locomotive ID","value":"4030"},{"id":130,"name":"Impact","value":""},{"id":150,"name":"Time of Event (Mountain Time)","value":"17:39:36"},{"id":151,"name":"Denver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4030 --day 2017-03-05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716</v>
      </c>
      <c r="B114" s="7">
        <v>4025</v>
      </c>
      <c r="C114" s="21" t="s">
        <v>252</v>
      </c>
      <c r="D114" s="21" t="s">
        <v>281</v>
      </c>
      <c r="E114" s="13">
        <v>42799.673263888886</v>
      </c>
      <c r="F114" s="13">
        <v>42799.677303240744</v>
      </c>
      <c r="G114" s="7">
        <v>2</v>
      </c>
      <c r="H114" s="21" t="s">
        <v>260</v>
      </c>
      <c r="I114" s="13">
        <v>42799.702106481483</v>
      </c>
      <c r="J114" s="7">
        <v>0</v>
      </c>
      <c r="K114" s="98" t="str">
        <f t="shared" si="23"/>
        <v>4025/4026</v>
      </c>
      <c r="L114" s="21" t="str">
        <f>VLOOKUP(A114,'Trips&amp;Operators'!$C$1:$G$99999,5,FALSE)</f>
        <v>STEWART MICHAEL</v>
      </c>
      <c r="M114" s="6">
        <f t="shared" si="24"/>
        <v>2.4803240739856847E-2</v>
      </c>
      <c r="N114" s="7">
        <f t="shared" si="42"/>
        <v>35.716666665393859</v>
      </c>
      <c r="O114" s="7"/>
      <c r="P114" s="7"/>
      <c r="Q114" s="22"/>
      <c r="R114" s="22"/>
      <c r="S114" s="31">
        <f t="shared" si="36"/>
        <v>1</v>
      </c>
      <c r="T114" s="46" t="str">
        <f t="shared" si="25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-03-05T15:09:30-0700',mode:absolute,to:'2017-03-05T17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87" t="str">
        <f t="shared" si="27"/>
        <v>N</v>
      </c>
      <c r="X114" s="187">
        <f t="shared" si="43"/>
        <v>1</v>
      </c>
      <c r="Y114" s="62">
        <f t="shared" si="29"/>
        <v>4.7300000000000002E-2</v>
      </c>
      <c r="Z114" s="62">
        <f t="shared" si="30"/>
        <v>23.329699999999999</v>
      </c>
      <c r="AA114" s="62">
        <f t="shared" si="31"/>
        <v>23.282399999999999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0201-05</v>
      </c>
      <c r="AE114" s="85" t="str">
        <f t="shared" si="33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114" s="82" t="str">
        <f t="shared" si="34"/>
        <v>"C:\Program Files (x86)\AstroGrep\AstroGrep.exe" /spath="%USERPROFILE%\AppData\Local\Temp\OnboardLogs" /stypes="app*4025*20170305*" /stext=" 23:.+((SYSTEM_STATE.+slice.+state.+changed )|(ment ac)|(multiple cpu faults)|(system.+state.+changed )|(\[timeout)|(PRM\|1\|D)|(kpr)|(kdp)|(\|loc)|(crossing.((167)|(168)|(199)|(200))))" /e /r /s</v>
      </c>
      <c r="AG114" s="1" t="str">
        <f t="shared" si="35"/>
        <v>EC</v>
      </c>
      <c r="AH114" s="86" t="str">
        <f t="shared" si="37"/>
        <v>"%USERPROFILE%\Documents\GitHub\eaglep3\Utilities\RefineRTDCRunTimes.py" --tripid 201-05 --locoid 4025 --swversion DE.1.0.9.0 --startMP 204:473 --initTime 2017-03-05T16:09:30 --startdatetime 2017-03-05T16:15:19 --delay 2 --endMP 204:233297 --enddatetime 2017-03-05T16:51:02 --enforcementcount 0 &gt;&gt;C:\Users\stu\Documents\GitHub\eaglep3-reporting\EC\2017-03-05-refined-times.txt</v>
      </c>
      <c r="AI114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{"issue":{"subject":"","project_id":79,"tracker_id":40,"status_id":1,"priority_id":2,"assigned_to_id":23,"start_date":"2017-03-05","description":"","custom_fields":[{"id":1,"name":"Subdivision","value":"EC"},{"id":4,"name":"Milepost","value":"23.3297"},{"id":17,"name":"Train ID","value":"201-05"},{"id":16,"name":"Locomotive ID","value":"4025"},{"id":130,"name":"Impact","value":""},{"id":150,"name":"Time of Event (Mountain Time)","value":"16:51:02"},{"id":151,"name":"Denver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4025 --day 2017-03-05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"%USERPROFILE%\AppData\Local\Temp\OnboardLogs"\RTDC4025\*4025*20170305* | grep -SE "(Enforcement Action)|(\[TIMEOUT)|(CHR.+\|PRM\|1\|D.+(SWITCH|SIGNAL).+UNKNOWN)" - &gt;&gt; 2017-03-05-UncaughtWiMAX.txt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724</v>
      </c>
      <c r="B115" s="7">
        <v>4026</v>
      </c>
      <c r="C115" s="21" t="s">
        <v>252</v>
      </c>
      <c r="D115" s="21" t="s">
        <v>341</v>
      </c>
      <c r="E115" s="13">
        <v>42799.713472222225</v>
      </c>
      <c r="F115" s="13">
        <v>42799.716469907406</v>
      </c>
      <c r="G115" s="7">
        <v>2</v>
      </c>
      <c r="H115" s="21" t="s">
        <v>241</v>
      </c>
      <c r="I115" s="13">
        <v>42799.744247685187</v>
      </c>
      <c r="J115" s="7">
        <v>0</v>
      </c>
      <c r="K115" s="98" t="str">
        <f t="shared" si="23"/>
        <v>4025/4026</v>
      </c>
      <c r="L115" s="21" t="str">
        <f>VLOOKUP(A115,'Trips&amp;Operators'!$C$1:$G$99999,5,FALSE)</f>
        <v>STEWART MICHAEL</v>
      </c>
      <c r="M115" s="6">
        <f t="shared" si="24"/>
        <v>2.7777777781011537E-2</v>
      </c>
      <c r="N115" s="7">
        <f t="shared" si="42"/>
        <v>40.000000004656613</v>
      </c>
      <c r="O115" s="7"/>
      <c r="P115" s="7"/>
      <c r="Q115" s="22"/>
      <c r="R115" s="22"/>
      <c r="S115" s="31">
        <f t="shared" si="36"/>
        <v>1</v>
      </c>
      <c r="T115" s="46" t="str">
        <f t="shared" si="25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-03-05T16:07:24-0700',mode:absolute,to:'2017-03-05T18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187" t="str">
        <f t="shared" si="27"/>
        <v>N</v>
      </c>
      <c r="X115" s="187">
        <f t="shared" si="43"/>
        <v>1</v>
      </c>
      <c r="Y115" s="62">
        <f t="shared" si="29"/>
        <v>23.298500000000001</v>
      </c>
      <c r="Z115" s="62">
        <f t="shared" si="30"/>
        <v>1.5599999999999999E-2</v>
      </c>
      <c r="AA115" s="62">
        <f t="shared" si="31"/>
        <v>23.282900000000001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0202-05</v>
      </c>
      <c r="AE115" s="85" t="str">
        <f t="shared" si="33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115" s="82" t="str">
        <f t="shared" si="34"/>
        <v>"C:\Program Files (x86)\AstroGrep\AstroGrep.exe" /spath="%USERPROFILE%\AppData\Local\Temp\OnboardLogs" /stypes="app*4026*20170306*" /stext=" 00:.+((SYSTEM_STATE.+slice.+state.+changed )|(ment ac)|(multiple cpu faults)|(system.+state.+changed )|(\[timeout)|(PRM\|1\|D)|(kpr)|(kdp)|(\|loc)|(crossing.((167)|(168)|(199)|(200))))" /e /r /s</v>
      </c>
      <c r="AG115" s="1" t="str">
        <f t="shared" si="35"/>
        <v>EC</v>
      </c>
      <c r="AH115" s="86" t="str">
        <f t="shared" si="37"/>
        <v>"%USERPROFILE%\Documents\GitHub\eaglep3\Utilities\RefineRTDCRunTimes.py" --tripid 202-05 --locoid 4026 --swversion DE.1.0.9.0 --startMP 204:232985 --initTime 2017-03-05T17:07:24 --startdatetime 2017-03-05T17:11:43 --delay 2 --endMP 204:156 --enddatetime 2017-03-05T17:51:43 --enforcementcount 0 &gt;&gt;C:\Users\stu\Documents\GitHub\eaglep3-reporting\EC\2017-03-05-refined-times.txt</v>
      </c>
      <c r="AI115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{"issue":{"subject":"","project_id":79,"tracker_id":40,"status_id":1,"priority_id":2,"assigned_to_id":23,"start_date":"2017-03-05","description":"","custom_fields":[{"id":1,"name":"Subdivision","value":"EC"},{"id":4,"name":"Milepost","value":"0.0156"},{"id":17,"name":"Train ID","value":"202-05"},{"id":16,"name":"Locomotive ID","value":"4026"},{"id":130,"name":"Impact","value":""},{"id":150,"name":"Time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4026 --day 2017-03-05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"%USERPROFILE%\AppData\Local\Temp\OnboardLogs"\RTDC4026\*4026*20170306* | grep -SE "(Enforcement Action)|(\[TIMEOUT)|(CHR.+\|PRM\|1\|D.+(SWITCH|SIGNAL).+UNKNOWN)" - &gt;&gt; 2017-03-05-UncaughtWiMAX.txt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718</v>
      </c>
      <c r="B116" s="7">
        <v>4044</v>
      </c>
      <c r="C116" s="21" t="s">
        <v>252</v>
      </c>
      <c r="D116" s="21" t="s">
        <v>336</v>
      </c>
      <c r="E116" s="13">
        <v>42799.685671296298</v>
      </c>
      <c r="F116" s="13">
        <v>42799.687777777777</v>
      </c>
      <c r="G116" s="7">
        <v>1</v>
      </c>
      <c r="H116" s="21" t="s">
        <v>509</v>
      </c>
      <c r="I116" s="13">
        <v>42799.715208333335</v>
      </c>
      <c r="J116" s="7">
        <v>0</v>
      </c>
      <c r="K116" s="98" t="str">
        <f t="shared" si="23"/>
        <v>4043/4044</v>
      </c>
      <c r="L116" s="21" t="str">
        <f>VLOOKUP(A116,'Trips&amp;Operators'!$C$1:$G$99999,5,FALSE)</f>
        <v>DAVIS MICHAEL</v>
      </c>
      <c r="M116" s="6">
        <f t="shared" si="24"/>
        <v>2.7430555557657499E-2</v>
      </c>
      <c r="N116" s="7">
        <f t="shared" si="42"/>
        <v>39.500000003026798</v>
      </c>
      <c r="O116" s="7"/>
      <c r="P116" s="7"/>
      <c r="Q116" s="22"/>
      <c r="R116" s="22"/>
      <c r="S116" s="31">
        <f t="shared" si="36"/>
        <v>1</v>
      </c>
      <c r="T116" s="46" t="str">
        <f t="shared" si="25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-03-05T15:27:22-0700',mode:absolute,to:'2017-03-05T18:09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6" s="187" t="str">
        <f t="shared" si="27"/>
        <v>N</v>
      </c>
      <c r="X116" s="187">
        <f t="shared" si="43"/>
        <v>1</v>
      </c>
      <c r="Y116" s="62">
        <f t="shared" si="29"/>
        <v>4.6899999999999997E-2</v>
      </c>
      <c r="Z116" s="62">
        <f t="shared" si="30"/>
        <v>23.328800000000001</v>
      </c>
      <c r="AA116" s="62">
        <f t="shared" si="31"/>
        <v>23.2819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0203-05</v>
      </c>
      <c r="AE116" s="85" t="str">
        <f t="shared" si="33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116" s="82" t="str">
        <f t="shared" si="34"/>
        <v>"C:\Program Files (x86)\AstroGrep\AstroGrep.exe" /spath="%USERPROFILE%\AppData\Local\Temp\OnboardLogs" /stypes="app*4044*20170306*" /stext=" 00:.+((SYSTEM_STATE.+slice.+state.+changed )|(ment ac)|(multiple cpu faults)|(system.+state.+changed )|(\[timeout)|(PRM\|1\|D)|(kpr)|(kdp)|(\|loc)|(crossing.((167)|(168)|(199)|(200))))" /e /r /s</v>
      </c>
      <c r="AG116" s="1" t="str">
        <f t="shared" si="35"/>
        <v>EC</v>
      </c>
      <c r="AH116" s="86" t="str">
        <f t="shared" si="37"/>
        <v>"%USERPROFILE%\Documents\GitHub\eaglep3\Utilities\RefineRTDCRunTimes.py" --tripid 203-05 --locoid 4044 --swversion DE.1.0.9.0 --startMP 204:469 --initTime 2017-03-05T16:27:22 --startdatetime 2017-03-05T16:30:24 --delay 1 --endMP 204:233288 --enddatetime 2017-03-05T17:09:54 --enforcementcount 0 &gt;&gt;C:\Users\stu\Documents\GitHub\eaglep3-reporting\EC\2017-03-05-refined-times.txt</v>
      </c>
      <c r="AI116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{"issue":{"subject":"","project_id":79,"tracker_id":40,"status_id":1,"priority_id":2,"assigned_to_id":23,"start_date":"2017-03-05","description":"","custom_fields":[{"id":1,"name":"Subdivision","value":"EC"},{"id":4,"name":"Milepost","value":"23.3288"},{"id":17,"name":"Train ID","value":"203-05"},{"id":16,"name":"Locomotive ID","value":"4044"},{"id":130,"name":"Impact","value":""},{"id":150,"name":"Time of Event (Mountain Time)","value":"17:09:54"},{"id":151,"name":"Denver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4044 --day 2017-03-05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"%USERPROFILE%\AppData\Local\Temp\OnboardLogs"\RTDC4044\*4044*20170305* | grep -SE "(Enforcement Action)|(\[TIMEOUT)|(CHR.+\|PRM\|1\|D.+(SWITCH|SIGNAL).+UNKNOWN)" - &gt;&gt; 2017-03-05-UncaughtWiMAX.txt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728</v>
      </c>
      <c r="B117" s="7">
        <v>4043</v>
      </c>
      <c r="C117" s="21" t="s">
        <v>252</v>
      </c>
      <c r="D117" s="21" t="s">
        <v>332</v>
      </c>
      <c r="E117" s="13">
        <v>42799.724895833337</v>
      </c>
      <c r="F117" s="13">
        <v>42799.726759259262</v>
      </c>
      <c r="G117" s="7">
        <v>1</v>
      </c>
      <c r="H117" s="21" t="s">
        <v>184</v>
      </c>
      <c r="I117" s="13">
        <v>42799.755983796298</v>
      </c>
      <c r="J117" s="7">
        <v>0</v>
      </c>
      <c r="K117" s="98" t="str">
        <f t="shared" si="23"/>
        <v>4043/4044</v>
      </c>
      <c r="L117" s="21" t="str">
        <f>VLOOKUP(A117,'Trips&amp;Operators'!$C$1:$G$99999,5,FALSE)</f>
        <v>DAVIS MICHAEL</v>
      </c>
      <c r="M117" s="6">
        <f t="shared" si="24"/>
        <v>2.9224537036498077E-2</v>
      </c>
      <c r="N117" s="7">
        <f t="shared" si="42"/>
        <v>42.083333332557231</v>
      </c>
      <c r="O117" s="7"/>
      <c r="P117" s="7"/>
      <c r="Q117" s="22"/>
      <c r="R117" s="22"/>
      <c r="S117" s="31">
        <f t="shared" si="36"/>
        <v>1</v>
      </c>
      <c r="T117" s="46" t="str">
        <f t="shared" si="25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-03-05T16:23:51-0700',mode:absolute,to:'2017-03-05T19:08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7" s="187" t="str">
        <f t="shared" si="27"/>
        <v>N</v>
      </c>
      <c r="X117" s="187">
        <f t="shared" si="43"/>
        <v>1</v>
      </c>
      <c r="Y117" s="62">
        <f t="shared" si="29"/>
        <v>23.2988</v>
      </c>
      <c r="Z117" s="62">
        <f t="shared" si="30"/>
        <v>1.49E-2</v>
      </c>
      <c r="AA117" s="62">
        <f t="shared" si="31"/>
        <v>23.283899999999999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0204-05</v>
      </c>
      <c r="AE117" s="85" t="str">
        <f t="shared" si="33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117" s="82" t="str">
        <f t="shared" si="34"/>
        <v>"C:\Program Files (x86)\AstroGrep\AstroGrep.exe" /spath="%USERPROFILE%\AppData\Local\Temp\OnboardLogs" /stypes="app*4043*20170306*" /stext=" 01:.+((SYSTEM_STATE.+slice.+state.+changed )|(ment ac)|(multiple cpu faults)|(system.+state.+changed )|(\[timeout)|(PRM\|1\|D)|(kpr)|(kdp)|(\|loc)|(crossing.((167)|(168)|(199)|(200))))" /e /r /s</v>
      </c>
      <c r="AG117" s="1" t="str">
        <f t="shared" si="35"/>
        <v>EC</v>
      </c>
      <c r="AH117" s="86" t="str">
        <f t="shared" si="37"/>
        <v>"%USERPROFILE%\Documents\GitHub\eaglep3\Utilities\RefineRTDCRunTimes.py" --tripid 204-05 --locoid 4043 --swversion DE.1.0.9.0 --startMP 204:232988 --initTime 2017-03-05T17:23:51 --startdatetime 2017-03-05T17:26:32 --delay 1 --endMP 204:149 --enddatetime 2017-03-05T18:08:37 --enforcementcount 0 &gt;&gt;C:\Users\stu\Documents\GitHub\eaglep3-reporting\EC\2017-03-05-refined-times.txt</v>
      </c>
      <c r="AI117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ID","value":"204-05"},{"id":16,"name":"Locomotive ID","value":"4043"},{"id":130,"name":"Impact","value":""},{"id":150,"name":"Time of Event (Mountain Time)","value":"18:08:37"},{"id":151,"name":"Denver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4043 --day 2017-03-05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"%USERPROFILE%\AppData\Local\Temp\OnboardLogs"\RTDC4043\*4043*20170306* | grep -SE "(Enforcement Action)|(\[TIMEOUT)|(CHR.+\|PRM\|1\|D.+(SWITCH|SIGNAL).+UNKNOWN)" - &gt;&gt; 2017-03-05-UncaughtWiMAX.txt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720</v>
      </c>
      <c r="B118" s="7">
        <v>4016</v>
      </c>
      <c r="C118" s="21" t="s">
        <v>252</v>
      </c>
      <c r="D118" s="21" t="s">
        <v>228</v>
      </c>
      <c r="E118" s="13">
        <v>42799.693124999998</v>
      </c>
      <c r="F118" s="13">
        <v>42799.698229166665</v>
      </c>
      <c r="G118" s="7">
        <v>1</v>
      </c>
      <c r="H118" s="21" t="s">
        <v>337</v>
      </c>
      <c r="I118" s="13">
        <v>42799.723113425927</v>
      </c>
      <c r="J118" s="7">
        <v>0</v>
      </c>
      <c r="K118" s="98" t="str">
        <f t="shared" si="23"/>
        <v>4015/4016</v>
      </c>
      <c r="L118" s="21" t="str">
        <f>VLOOKUP(A118,'Trips&amp;Operators'!$C$1:$G$99999,5,FALSE)</f>
        <v>LEVIN SCOTT</v>
      </c>
      <c r="M118" s="6">
        <f t="shared" si="24"/>
        <v>2.4884259262762498E-2</v>
      </c>
      <c r="N118" s="7">
        <f t="shared" si="42"/>
        <v>35.833333338377997</v>
      </c>
      <c r="O118" s="7"/>
      <c r="P118" s="7"/>
      <c r="Q118" s="22"/>
      <c r="R118" s="22"/>
      <c r="S118" s="31">
        <f t="shared" si="36"/>
        <v>1</v>
      </c>
      <c r="T118" s="46" t="str">
        <f t="shared" si="25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-03-05T15:38:06-0700',mode:absolute,to:'2017-03-05T18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187" t="str">
        <f t="shared" si="27"/>
        <v>N</v>
      </c>
      <c r="X118" s="187">
        <f t="shared" si="43"/>
        <v>1</v>
      </c>
      <c r="Y118" s="62">
        <f t="shared" si="29"/>
        <v>4.53E-2</v>
      </c>
      <c r="Z118" s="62">
        <f t="shared" si="30"/>
        <v>23.3338</v>
      </c>
      <c r="AA118" s="62">
        <f t="shared" si="31"/>
        <v>23.288499999999999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0205-05</v>
      </c>
      <c r="AE118" s="85" t="str">
        <f t="shared" si="33"/>
        <v>aws s3 cp s3://rtdc.mdm.uploadarchive.raw/RTDC4016/ "%USERPROFILE%\AppData\Local\Temp\OnboardLogs"\RTDC4016\2017-03-05 --exclude "*" --recursive --include "*20170305*" &amp; "%USERPROFILE%\Documents\GitHub\mrs-test-scripts\Headless Mode &amp; Sideloading\WalkAndUnGZ.bat" "%USERPROFILE%\AppData\Local\Temp\OnboardLogs"\RTDC4016\2017-03-05 &amp; 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</v>
      </c>
      <c r="AF118" s="82" t="str">
        <f t="shared" si="34"/>
        <v>"C:\Program Files (x86)\AstroGrep\AstroGrep.exe" /spath="%USERPROFILE%\AppData\Local\Temp\OnboardLogs" /stypes="app*4016*20170306*" /stext=" 00:.+((SYSTEM_STATE.+slice.+state.+changed )|(ment ac)|(multiple cpu faults)|(system.+state.+changed )|(\[timeout)|(PRM\|1\|D)|(kpr)|(kdp)|(\|loc)|(crossing.((167)|(168)|(199)|(200))))" /e /r /s</v>
      </c>
      <c r="AG118" s="1" t="str">
        <f t="shared" si="35"/>
        <v>EC</v>
      </c>
      <c r="AH118" s="86" t="str">
        <f t="shared" si="37"/>
        <v>"%USERPROFILE%\Documents\GitHub\eaglep3\Utilities\RefineRTDCRunTimes.py" --tripid 205-05 --locoid 4016 --swversion DE.1.0.9.0 --startMP 204:453 --initTime 2017-03-05T16:38:06 --startdatetime 2017-03-05T16:45:27 --delay 1 --endMP 204:233338 --enddatetime 2017-03-05T17:21:17 --enforcementcount 0 &gt;&gt;C:\Users\stu\Documents\GitHub\eaglep3-reporting\EC\2017-03-05-refined-times.txt</v>
      </c>
      <c r="AI118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{"issue":{"subject":"","project_id":79,"tracker_id":40,"status_id":1,"priority_id":2,"assigned_to_id":23,"start_date":"2017-03-05","description":"","custom_fields":[{"id":1,"name":"Subdivision","value":"EC"},{"id":4,"name":"Milepost","value":"23.3338"},{"id":17,"name":"Train ID","value":"205-05"},{"id":16,"name":"Locomotive ID","value":"4016"},{"id":130,"name":"Impact","value":""},{"id":150,"name":"Time of Event (Mountain Time)","value":"17:21:17"},{"id":151,"name":"Denver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4016 --day 2017-03-05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"%USERPROFILE%\AppData\Local\Temp\OnboardLogs"\RTDC4016\*4016*20170306* | grep -SE "(Enforcement Action)|(\[TIMEOUT)|(CHR.+\|PRM\|1\|D.+(SWITCH|SIGNAL).+UNKNOWN)" - &gt;&gt; 2017-03-05-UncaughtWiMAX.txt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562</v>
      </c>
      <c r="B119" s="7">
        <v>4015</v>
      </c>
      <c r="C119" s="21" t="s">
        <v>252</v>
      </c>
      <c r="D119" s="21" t="s">
        <v>871</v>
      </c>
      <c r="E119" s="13">
        <v>42799.732557870368</v>
      </c>
      <c r="F119" s="13">
        <v>42799.737500000003</v>
      </c>
      <c r="G119" s="7">
        <v>2</v>
      </c>
      <c r="H119" s="21" t="s">
        <v>237</v>
      </c>
      <c r="I119" s="13">
        <v>42799.764502314814</v>
      </c>
      <c r="J119" s="7">
        <v>0</v>
      </c>
      <c r="K119" s="98" t="str">
        <f t="shared" si="23"/>
        <v>4015/4016</v>
      </c>
      <c r="L119" s="21" t="str">
        <f>VLOOKUP(A119,'Trips&amp;Operators'!$C$1:$G$99999,5,FALSE)</f>
        <v>LEVIN SCOTT</v>
      </c>
      <c r="M119" s="6">
        <f t="shared" si="24"/>
        <v>2.700231481139781E-2</v>
      </c>
      <c r="N119" s="7">
        <f t="shared" si="42"/>
        <v>38.883333328412846</v>
      </c>
      <c r="O119" s="7"/>
      <c r="P119" s="7"/>
      <c r="Q119" s="22"/>
      <c r="R119" s="22"/>
      <c r="S119" s="31">
        <f t="shared" si="36"/>
        <v>1</v>
      </c>
      <c r="T119" s="46" t="str">
        <f t="shared" si="25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-03-05T16:34:53-0700',mode:absolute,to:'2017-03-05T19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187" t="str">
        <f t="shared" si="27"/>
        <v>N</v>
      </c>
      <c r="X119" s="187">
        <f t="shared" si="43"/>
        <v>1</v>
      </c>
      <c r="Y119" s="62">
        <f t="shared" si="29"/>
        <v>23.302800000000001</v>
      </c>
      <c r="Z119" s="62">
        <f t="shared" si="30"/>
        <v>1.41E-2</v>
      </c>
      <c r="AA119" s="62">
        <f t="shared" si="31"/>
        <v>23.288700000000002</v>
      </c>
      <c r="AB119" s="59" t="str">
        <f>VLOOKUP(A119,Enforcements!$C$7:$K$13,8,0)</f>
        <v>Bulletin (2)</v>
      </c>
      <c r="AC119" s="55" t="str">
        <f>VLOOKUP(A119,Enforcements!$C$7:$E$13,3,0)</f>
        <v>GRADE CROSSING</v>
      </c>
      <c r="AD119" s="56" t="str">
        <f t="shared" si="32"/>
        <v>0206-05</v>
      </c>
      <c r="AE119" s="85" t="str">
        <f t="shared" si="33"/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19" s="82" t="str">
        <f t="shared" si="34"/>
        <v>"C:\Program Files (x86)\AstroGrep\AstroGrep.exe" /spath="%USERPROFILE%\AppData\Local\Temp\OnboardLogs" /stypes="app*4015*20170306*" /stext=" 01:.+((SYSTEM_STATE.+slice.+state.+changed )|(ment ac)|(multiple cpu faults)|(system.+state.+changed )|(\[timeout)|(PRM\|1\|D)|(kpr)|(kdp)|(\|loc)|(crossing.((167)|(168)|(199)|(200))))" /e /r /s</v>
      </c>
      <c r="AG119" s="1" t="str">
        <f t="shared" si="35"/>
        <v>EC</v>
      </c>
      <c r="AH119" s="86" t="str">
        <f t="shared" si="37"/>
        <v>"%USERPROFILE%\Documents\GitHub\eaglep3\Utilities\RefineRTDCRunTimes.py" --tripid 206-05 --locoid 4015 --swversion DE.1.0.9.0 --startMP 204:233028 --initTime 2017-03-05T17:34:53 --startdatetime 2017-03-05T17:42:00 --delay 2 --endMP 204:141 --enddatetime 2017-03-05T18:20:53 --enforcementcount 0 &gt;&gt;C:\Users\stu\Documents\GitHub\eaglep3-reporting\EC\2017-03-05-refined-times.txt</v>
      </c>
      <c r="AI11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{"issue":{"subject":"","project_id":79,"tracker_id":40,"status_id":1,"priority_id":2,"assigned_to_id":23,"start_date":"2017-03-05","description":"","custom_fields":[{"id":1,"name":"Subdivision","value":"EC"},{"id":4,"name":"Milepost","value":"0.0141"},{"id":17,"name":"Train ID","value":"206-05"},{"id":16,"name":"Locomotive ID","value":"4015"},{"id":130,"name":"Impact","value":""},{"id":150,"name":"Time of Event (Mountain Time)","value":"18:20:53"},{"id":151,"name":"Denver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4015 --day 2017-03-05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"%USERPROFILE%\AppData\Local\Temp\OnboardLogs"\RTDC4015\*4015*20170306* | grep -SE "(Enforcement Action)|(\[TIMEOUT)|(CHR.+\|PRM\|1\|D.+(SWITCH|SIGNAL).+UNKNOWN)" - &gt;&gt; 2017-03-05-UncaughtWiMAX.txt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722</v>
      </c>
      <c r="B120" s="7">
        <v>4009</v>
      </c>
      <c r="C120" s="21" t="s">
        <v>252</v>
      </c>
      <c r="D120" s="21" t="s">
        <v>336</v>
      </c>
      <c r="E120" s="13">
        <v>42799.704131944447</v>
      </c>
      <c r="F120" s="13">
        <v>42799.708506944444</v>
      </c>
      <c r="G120" s="7">
        <v>1</v>
      </c>
      <c r="H120" s="21" t="s">
        <v>264</v>
      </c>
      <c r="I120" s="13">
        <v>42799.733784722222</v>
      </c>
      <c r="J120" s="7">
        <v>0</v>
      </c>
      <c r="K120" s="98" t="str">
        <f t="shared" si="23"/>
        <v>4009/4010</v>
      </c>
      <c r="L120" s="21" t="str">
        <f>VLOOKUP(A120,'Trips&amp;Operators'!$C$1:$G$99999,5,FALSE)</f>
        <v>BRUDER RICHARD</v>
      </c>
      <c r="M120" s="6">
        <f t="shared" si="24"/>
        <v>2.527777777868323E-2</v>
      </c>
      <c r="N120" s="7">
        <f t="shared" si="42"/>
        <v>36.400000001303852</v>
      </c>
      <c r="O120" s="7"/>
      <c r="P120" s="7"/>
      <c r="Q120" s="22"/>
      <c r="R120" s="22"/>
      <c r="S120" s="31">
        <f t="shared" si="36"/>
        <v>1</v>
      </c>
      <c r="T120" s="46" t="str">
        <f t="shared" si="25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-03-05T15:53:57-0700',mode:absolute,to:'2017-03-05T18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187" t="str">
        <f t="shared" si="27"/>
        <v>N</v>
      </c>
      <c r="X120" s="187">
        <f t="shared" si="43"/>
        <v>1</v>
      </c>
      <c r="Y120" s="62">
        <f t="shared" si="29"/>
        <v>4.6899999999999997E-2</v>
      </c>
      <c r="Z120" s="62">
        <f t="shared" si="30"/>
        <v>23.329899999999999</v>
      </c>
      <c r="AA120" s="62">
        <f t="shared" si="31"/>
        <v>23.282999999999998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0207-05</v>
      </c>
      <c r="AE120" s="85" t="str">
        <f t="shared" si="33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120" s="82" t="str">
        <f t="shared" si="34"/>
        <v>"C:\Program Files (x86)\AstroGrep\AstroGrep.exe" /spath="%USERPROFILE%\AppData\Local\Temp\OnboardLogs" /stypes="app*4009*20170306*" /stext=" 00:.+((SYSTEM_STATE.+slice.+state.+changed )|(ment ac)|(multiple cpu faults)|(system.+state.+changed )|(\[timeout)|(PRM\|1\|D)|(kpr)|(kdp)|(\|loc)|(crossing.((167)|(168)|(199)|(200))))" /e /r /s</v>
      </c>
      <c r="AG120" s="1" t="str">
        <f t="shared" si="35"/>
        <v>EC</v>
      </c>
      <c r="AH120" s="86" t="str">
        <f t="shared" si="37"/>
        <v>"%USERPROFILE%\Documents\GitHub\eaglep3\Utilities\RefineRTDCRunTimes.py" --tripid 207-05 --locoid 4009 --swversion DE.1.0.9.0 --startMP 204:469 --initTime 2017-03-05T16:53:57 --startdatetime 2017-03-05T17:00:15 --delay 1 --endMP 204:233299 --enddatetime 2017-03-05T17:36:39 --enforcementcount 0 &gt;&gt;C:\Users\stu\Documents\GitHub\eaglep3-reporting\EC\2017-03-05-refined-times.txt</v>
      </c>
      <c r="AI12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{"issue":{"subject":"","project_id":79,"tracker_id":40,"status_id":1,"priority_id":2,"assigned_to_id":23,"start_date":"2017-03-05","description":"","custom_fields":[{"id":1,"name":"Subdivision","value":"EC"},{"id":4,"name":"Milepost","value":"23.3299"},{"id":17,"name":"Train ID","value":"207-05"},{"id":16,"name":"Locomotive ID","value":"4009"},{"id":130,"name":"Impact","value":""},{"id":150,"name":"Time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4009 --day 2017-03-05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733</v>
      </c>
      <c r="B121" s="7">
        <v>4010</v>
      </c>
      <c r="C121" s="21" t="s">
        <v>252</v>
      </c>
      <c r="D121" s="21" t="s">
        <v>335</v>
      </c>
      <c r="E121" s="13">
        <v>42799.743680555555</v>
      </c>
      <c r="F121" s="13">
        <v>42799.747430555559</v>
      </c>
      <c r="G121" s="7">
        <v>1</v>
      </c>
      <c r="H121" s="21" t="s">
        <v>204</v>
      </c>
      <c r="I121" s="13">
        <v>42799.774606481478</v>
      </c>
      <c r="J121" s="7">
        <v>0</v>
      </c>
      <c r="K121" s="98" t="str">
        <f t="shared" si="23"/>
        <v>4009/4010</v>
      </c>
      <c r="L121" s="21" t="str">
        <f>VLOOKUP(A121,'Trips&amp;Operators'!$C$1:$G$99999,5,FALSE)</f>
        <v>BRUDER RICHARD</v>
      </c>
      <c r="M121" s="6">
        <f t="shared" si="24"/>
        <v>2.717592591943685E-2</v>
      </c>
      <c r="N121" s="7">
        <f t="shared" si="42"/>
        <v>39.133333323989064</v>
      </c>
      <c r="O121" s="7"/>
      <c r="P121" s="7"/>
      <c r="Q121" s="22"/>
      <c r="R121" s="22"/>
      <c r="S121" s="31">
        <f t="shared" si="36"/>
        <v>1</v>
      </c>
      <c r="T121" s="46" t="str">
        <f t="shared" si="25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-03-05T16:50:54-0700',mode:absolute,to:'2017-03-05T19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1" s="187" t="str">
        <f t="shared" si="27"/>
        <v>N</v>
      </c>
      <c r="X121" s="187">
        <f t="shared" si="43"/>
        <v>1</v>
      </c>
      <c r="Y121" s="62">
        <f t="shared" si="29"/>
        <v>23.298400000000001</v>
      </c>
      <c r="Z121" s="62">
        <f t="shared" si="30"/>
        <v>1.5800000000000002E-2</v>
      </c>
      <c r="AA121" s="62">
        <f t="shared" si="31"/>
        <v>23.282600000000002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0208-05</v>
      </c>
      <c r="AE121" s="85" t="str">
        <f t="shared" si="33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121" s="82" t="str">
        <f t="shared" si="34"/>
        <v>"C:\Program Files (x86)\AstroGrep\AstroGrep.exe" /spath="%USERPROFILE%\AppData\Local\Temp\OnboardLogs" /stypes="app*4010*20170306*" /stext=" 01:.+((SYSTEM_STATE.+slice.+state.+changed )|(ment ac)|(multiple cpu faults)|(system.+state.+changed )|(\[timeout)|(PRM\|1\|D)|(kpr)|(kdp)|(\|loc)|(crossing.((167)|(168)|(199)|(200))))" /e /r /s</v>
      </c>
      <c r="AG121" s="1" t="str">
        <f t="shared" si="35"/>
        <v>EC</v>
      </c>
      <c r="AH121" s="86" t="str">
        <f t="shared" si="37"/>
        <v>"%USERPROFILE%\Documents\GitHub\eaglep3\Utilities\RefineRTDCRunTimes.py" --tripid 208-05 --locoid 4010 --swversion DE.1.0.9.0 --startMP 204:232984 --initTime 2017-03-05T17:50:54 --startdatetime 2017-03-05T17:56:18 --delay 1 --endMP 204:158 --enddatetime 2017-03-05T18:35:26 --enforcementcount 0 &gt;&gt;C:\Users\stu\Documents\GitHub\eaglep3-reporting\EC\2017-03-05-refined-times.txt</v>
      </c>
      <c r="AI121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{"issue":{"subject":"","project_id":79,"tracker_id":40,"status_id":1,"priority_id":2,"assigned_to_id":23,"start_date":"2017-03-05","description":"","custom_fields":[{"id":1,"name":"Subdivision","value":"EC"},{"id":4,"name":"Milepost","value":"0.0158"},{"id":17,"name":"Train ID","value":"208-05"},{"id":16,"name":"Locomotive ID","value":"4010"},{"id":130,"name":"Impact","value":""},{"id":150,"name":"Time of Event (Mountain Time)","value":"18:35:26"},{"id":151,"name":"Denver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4010 --day 2017-03-05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725</v>
      </c>
      <c r="B122" s="7">
        <v>4027</v>
      </c>
      <c r="C122" s="21" t="s">
        <v>252</v>
      </c>
      <c r="D122" s="21" t="s">
        <v>313</v>
      </c>
      <c r="E122" s="13">
        <v>42799.71775462963</v>
      </c>
      <c r="F122" s="13">
        <v>42799.719108796293</v>
      </c>
      <c r="G122" s="7">
        <v>1</v>
      </c>
      <c r="H122" s="21" t="s">
        <v>815</v>
      </c>
      <c r="I122" s="13">
        <v>42799.744131944448</v>
      </c>
      <c r="J122" s="7">
        <v>0</v>
      </c>
      <c r="K122" s="98" t="str">
        <f t="shared" si="23"/>
        <v>4027/4028</v>
      </c>
      <c r="L122" s="21" t="str">
        <f>VLOOKUP(A122,'Trips&amp;Operators'!$C$1:$G$99999,5,FALSE)</f>
        <v>CHANDLER KELVIN</v>
      </c>
      <c r="M122" s="6">
        <f t="shared" si="24"/>
        <v>2.5023148155014496E-2</v>
      </c>
      <c r="N122" s="7">
        <f t="shared" si="42"/>
        <v>36.033333343220875</v>
      </c>
      <c r="O122" s="7"/>
      <c r="P122" s="7"/>
      <c r="Q122" s="22"/>
      <c r="R122" s="22"/>
      <c r="S122" s="31">
        <f t="shared" si="36"/>
        <v>1</v>
      </c>
      <c r="T122" s="46" t="str">
        <f t="shared" si="25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-03-05T16:13:34-0700',mode:absolute,to:'2017-03-05T18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187" t="str">
        <f t="shared" si="27"/>
        <v>N</v>
      </c>
      <c r="X122" s="187">
        <f t="shared" si="43"/>
        <v>1</v>
      </c>
      <c r="Y122" s="62">
        <f t="shared" si="29"/>
        <v>4.7699999999999999E-2</v>
      </c>
      <c r="Z122" s="62">
        <f t="shared" si="30"/>
        <v>23.33</v>
      </c>
      <c r="AA122" s="62">
        <f t="shared" si="31"/>
        <v>23.282299999999999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0209-05</v>
      </c>
      <c r="AE122" s="85" t="str">
        <f t="shared" si="33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22" s="82" t="str">
        <f t="shared" si="34"/>
        <v>"C:\Program Files (x86)\AstroGrep\AstroGrep.exe" /spath="%USERPROFILE%\AppData\Local\Temp\OnboardLogs" /stypes="app*4027*20170306*" /stext=" 00:.+((SYSTEM_STATE.+slice.+state.+changed )|(ment ac)|(multiple cpu faults)|(system.+state.+changed )|(\[timeout)|(PRM\|1\|D)|(kpr)|(kdp)|(\|loc)|(crossing.((167)|(168)|(199)|(200))))" /e /r /s</v>
      </c>
      <c r="AG122" s="1" t="str">
        <f t="shared" si="35"/>
        <v>EC</v>
      </c>
      <c r="AH122" s="86" t="str">
        <f t="shared" si="37"/>
        <v>"%USERPROFILE%\Documents\GitHub\eaglep3\Utilities\RefineRTDCRunTimes.py" --tripid 209-05 --locoid 4027 --swversion DE.1.0.9.0 --startMP 204:477 --initTime 2017-03-05T17:13:34 --startdatetime 2017-03-05T17:15:31 --delay 1 --endMP 204:233300 --enddatetime 2017-03-05T17:51:33 --enforcementcount 0 &gt;&gt;C:\Users\stu\Documents\GitHub\eaglep3-reporting\EC\2017-03-05-refined-times.txt</v>
      </c>
      <c r="AI122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{"issue":{"subject":"","project_id":79,"tracker_id":40,"status_id":1,"priority_id":2,"assigned_to_id":23,"start_date":"2017-03-05","description":"","custom_fields":[{"id":1,"name":"Subdivision","value":"EC"},{"id":4,"name":"Milepost","value":"23.33"},{"id":17,"name":"Train ID","value":"209-05"},{"id":16,"name":"Locomotive ID","value":"4027"},{"id":130,"name":"Impact","value":""},{"id":150,"name":"Time of Event (Mountain Time)","value":"17:51:33"},{"id":151,"name":"Denver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4027 --day 2017-03-05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"%USERPROFILE%\AppData\Local\Temp\OnboardLogs"\RTDC4027\*4027*20170306* | grep -SE "(Enforcement Action)|(\[TIMEOUT)|(CHR.+\|PRM\|1\|D.+(SWITCH|SIGNAL).+UNKNOWN)" - &gt;&gt; 2017-03-05-UncaughtWiMAX.txt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736</v>
      </c>
      <c r="B123" s="7">
        <v>4028</v>
      </c>
      <c r="C123" s="21" t="s">
        <v>252</v>
      </c>
      <c r="D123" s="21" t="s">
        <v>825</v>
      </c>
      <c r="E123" s="13">
        <v>42799.752071759256</v>
      </c>
      <c r="F123" s="13">
        <v>42799.757951388892</v>
      </c>
      <c r="G123" s="7">
        <v>1</v>
      </c>
      <c r="H123" s="21" t="s">
        <v>807</v>
      </c>
      <c r="I123" s="13">
        <v>42799.785879629628</v>
      </c>
      <c r="J123" s="7">
        <v>0</v>
      </c>
      <c r="K123" s="98" t="str">
        <f t="shared" si="23"/>
        <v>4027/4028</v>
      </c>
      <c r="L123" s="21" t="str">
        <f>VLOOKUP(A123,'Trips&amp;Operators'!$C$1:$G$99999,5,FALSE)</f>
        <v>CHANDLER KELVIN</v>
      </c>
      <c r="M123" s="6">
        <f t="shared" si="24"/>
        <v>2.7928240735491272E-2</v>
      </c>
      <c r="N123" s="7">
        <f t="shared" si="42"/>
        <v>40.216666659107432</v>
      </c>
      <c r="O123" s="7"/>
      <c r="P123" s="7"/>
      <c r="Q123" s="22"/>
      <c r="R123" s="22"/>
      <c r="S123" s="31">
        <f t="shared" si="36"/>
        <v>1</v>
      </c>
      <c r="T123" s="46" t="str">
        <f t="shared" si="25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-03-05T17:02:59-0700',mode:absolute,to:'2017-03-05T19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87" t="str">
        <f t="shared" si="27"/>
        <v>N</v>
      </c>
      <c r="X123" s="187">
        <f t="shared" si="43"/>
        <v>1</v>
      </c>
      <c r="Y123" s="62">
        <f t="shared" si="29"/>
        <v>23.2989</v>
      </c>
      <c r="Z123" s="62">
        <f t="shared" si="30"/>
        <v>1.6E-2</v>
      </c>
      <c r="AA123" s="62">
        <f t="shared" si="31"/>
        <v>23.282900000000001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0210-05</v>
      </c>
      <c r="AE123" s="85" t="str">
        <f t="shared" si="33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123" s="82" t="str">
        <f t="shared" si="34"/>
        <v>"C:\Program Files (x86)\AstroGrep\AstroGrep.exe" /spath="%USERPROFILE%\AppData\Local\Temp\OnboardLogs" /stypes="app*4028*20170306*" /stext=" 01:.+((SYSTEM_STATE.+slice.+state.+changed )|(ment ac)|(multiple cpu faults)|(system.+state.+changed )|(\[timeout)|(PRM\|1\|D)|(kpr)|(kdp)|(\|loc)|(crossing.((167)|(168)|(199)|(200))))" /e /r /s</v>
      </c>
      <c r="AG123" s="1" t="str">
        <f t="shared" si="35"/>
        <v>EC</v>
      </c>
      <c r="AH123" s="86" t="str">
        <f t="shared" si="37"/>
        <v>"%USERPROFILE%\Documents\GitHub\eaglep3\Utilities\RefineRTDCRunTimes.py" --tripid 210-05 --locoid 4028 --swversion DE.1.0.9.0 --startMP 204:232989 --initTime 2017-03-05T18:02:59 --startdatetime 2017-03-05T18:11:27 --delay 1 --endMP 204:160 --enddatetime 2017-03-05T18:51:40 --enforcementcount 0 &gt;&gt;C:\Users\stu\Documents\GitHub\eaglep3-reporting\EC\2017-03-05-refined-times.txt</v>
      </c>
      <c r="AI123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{"issue":{"subject":"","project_id":79,"tracker_id":40,"status_id":1,"priority_id":2,"assigned_to_id":23,"start_date":"2017-03-05","description":"","custom_fields":[{"id":1,"name":"Subdivision","value":"EC"},{"id":4,"name":"Milepost","value":"0.016"},{"id":17,"name":"Train ID","value":"210-05"},{"id":16,"name":"Locomotive ID","value":"4028"},{"id":130,"name":"Impact","value":""},{"id":150,"name":"Time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4028 --day 2017-03-05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"%USERPROFILE%\AppData\Local\Temp\OnboardLogs"\RTDC4028\*4028*20170306* | grep -SE "(Enforcement Action)|(\[TIMEOUT)|(CHR.+\|PRM\|1\|D.+(SWITCH|SIGNAL).+UNKNOWN)" - &gt;&gt; 2017-03-05-UncaughtWiMAX.txt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727</v>
      </c>
      <c r="B124" s="7">
        <v>4018</v>
      </c>
      <c r="C124" s="21" t="s">
        <v>252</v>
      </c>
      <c r="D124" s="21" t="s">
        <v>239</v>
      </c>
      <c r="E124" s="13">
        <v>42799.723333333335</v>
      </c>
      <c r="F124" s="13">
        <v>42799.729305555556</v>
      </c>
      <c r="G124" s="7">
        <v>1</v>
      </c>
      <c r="H124" s="21" t="s">
        <v>258</v>
      </c>
      <c r="I124" s="13">
        <v>42799.754710648151</v>
      </c>
      <c r="J124" s="7">
        <v>0</v>
      </c>
      <c r="K124" s="98" t="str">
        <f t="shared" si="23"/>
        <v>4017/4018</v>
      </c>
      <c r="L124" s="21" t="str">
        <f>VLOOKUP(A124,'Trips&amp;Operators'!$C$1:$G$99999,5,FALSE)</f>
        <v>LOCKLEAR TRAVIS</v>
      </c>
      <c r="M124" s="6">
        <f t="shared" si="24"/>
        <v>2.5405092594155576E-2</v>
      </c>
      <c r="N124" s="7">
        <f t="shared" si="42"/>
        <v>36.58333333558403</v>
      </c>
      <c r="O124" s="7"/>
      <c r="P124" s="7"/>
      <c r="Q124" s="22"/>
      <c r="R124" s="22"/>
      <c r="S124" s="31">
        <f t="shared" si="36"/>
        <v>1</v>
      </c>
      <c r="T124" s="46" t="str">
        <f t="shared" si="25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-03-05T16:21:36-0700',mode:absolute,to:'2017-03-05T19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87" t="str">
        <f t="shared" si="27"/>
        <v>N</v>
      </c>
      <c r="X124" s="187">
        <f t="shared" si="43"/>
        <v>1</v>
      </c>
      <c r="Y124" s="62">
        <f t="shared" si="29"/>
        <v>4.3999999999999997E-2</v>
      </c>
      <c r="Z124" s="62">
        <f t="shared" si="30"/>
        <v>23.328399999999998</v>
      </c>
      <c r="AA124" s="62">
        <f t="shared" si="31"/>
        <v>23.284399999999998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0211-05</v>
      </c>
      <c r="AE124" s="85" t="str">
        <f t="shared" si="33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124" s="82" t="str">
        <f t="shared" si="34"/>
        <v>"C:\Program Files (x86)\AstroGrep\AstroGrep.exe" /spath="%USERPROFILE%\AppData\Local\Temp\OnboardLogs" /stypes="app*4018*20170306*" /stext=" 01:.+((SYSTEM_STATE.+slice.+state.+changed )|(ment ac)|(multiple cpu faults)|(system.+state.+changed )|(\[timeout)|(PRM\|1\|D)|(kpr)|(kdp)|(\|loc)|(crossing.((167)|(168)|(199)|(200))))" /e /r /s</v>
      </c>
      <c r="AG124" s="1" t="str">
        <f t="shared" si="35"/>
        <v>EC</v>
      </c>
      <c r="AH124" s="86" t="str">
        <f t="shared" si="37"/>
        <v>"%USERPROFILE%\Documents\GitHub\eaglep3\Utilities\RefineRTDCRunTimes.py" --tripid 211-05 --locoid 4018 --swversion DE.1.0.9.0 --startMP 204:440 --initTime 2017-03-05T17:21:36 --startdatetime 2017-03-05T17:30:12 --delay 1 --endMP 204:233284 --enddatetime 2017-03-05T18:06:47 --enforcementcount 0 &gt;&gt;C:\Users\stu\Documents\GitHub\eaglep3-reporting\EC\2017-03-05-refined-times.txt</v>
      </c>
      <c r="AI124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{"issue":{"subject":"","project_id":79,"tracker_id":40,"status_id":1,"priority_id":2,"assigned_to_id":23,"start_date":"2017-03-05","description":"","custom_fields":[{"id":1,"name":"Subdivision","value":"EC"},{"id":4,"name":"Milepost","value":"23.3284"},{"id":17,"name":"Train ID","value":"211-05"},{"id":16,"name":"Locomotive ID","value":"4018"},{"id":130,"name":"Impact","value":""},{"id":150,"name":"Time of Event (Mountain Time)","value":"18:06:47"},{"id":151,"name":"Denver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4018 --day 2017-03-05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739</v>
      </c>
      <c r="B125" s="7">
        <v>4017</v>
      </c>
      <c r="C125" s="21" t="s">
        <v>252</v>
      </c>
      <c r="D125" s="21" t="s">
        <v>342</v>
      </c>
      <c r="E125" s="13">
        <v>42799.764664351853</v>
      </c>
      <c r="F125" s="13">
        <v>42799.768194444441</v>
      </c>
      <c r="G125" s="7">
        <v>1</v>
      </c>
      <c r="H125" s="21" t="s">
        <v>296</v>
      </c>
      <c r="I125" s="13">
        <v>42799.797372685185</v>
      </c>
      <c r="J125" s="7">
        <v>0</v>
      </c>
      <c r="K125" s="98" t="str">
        <f t="shared" si="23"/>
        <v>4017/4018</v>
      </c>
      <c r="L125" s="21" t="str">
        <f>VLOOKUP(A125,'Trips&amp;Operators'!$C$1:$G$99999,5,FALSE)</f>
        <v>LOCKLEAR TRAVIS</v>
      </c>
      <c r="M125" s="6">
        <f t="shared" si="24"/>
        <v>2.9178240743931383E-2</v>
      </c>
      <c r="N125" s="7">
        <f t="shared" si="42"/>
        <v>42.016666671261191</v>
      </c>
      <c r="O125" s="7"/>
      <c r="P125" s="7"/>
      <c r="Q125" s="22"/>
      <c r="R125" s="22"/>
      <c r="S125" s="31">
        <f t="shared" si="36"/>
        <v>1</v>
      </c>
      <c r="T125" s="46" t="str">
        <f t="shared" si="25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-03-05T17:21:07-0700',mode:absolute,to:'2017-03-05T20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87" t="str">
        <f t="shared" si="27"/>
        <v>N</v>
      </c>
      <c r="X125" s="187">
        <f t="shared" si="43"/>
        <v>1</v>
      </c>
      <c r="Y125" s="62">
        <f t="shared" si="29"/>
        <v>23.296700000000001</v>
      </c>
      <c r="Z125" s="62">
        <f t="shared" si="30"/>
        <v>1.61E-2</v>
      </c>
      <c r="AA125" s="62">
        <f t="shared" si="31"/>
        <v>23.2806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0212-05</v>
      </c>
      <c r="AE125" s="85" t="str">
        <f t="shared" si="33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125" s="82" t="str">
        <f t="shared" si="34"/>
        <v>"C:\Program Files (x86)\AstroGrep\AstroGrep.exe" /spath="%USERPROFILE%\AppData\Local\Temp\OnboardLogs" /stypes="app*4017*20170306*" /stext=" 02:.+((SYSTEM_STATE.+slice.+state.+changed )|(ment ac)|(multiple cpu faults)|(system.+state.+changed )|(\[timeout)|(PRM\|1\|D)|(kpr)|(kdp)|(\|loc)|(crossing.((167)|(168)|(199)|(200))))" /e /r /s</v>
      </c>
      <c r="AG125" s="1" t="str">
        <f t="shared" si="35"/>
        <v>EC</v>
      </c>
      <c r="AH125" s="86" t="str">
        <f t="shared" si="37"/>
        <v>"%USERPROFILE%\Documents\GitHub\eaglep3\Utilities\RefineRTDCRunTimes.py" --tripid 212-05 --locoid 4017 --swversion DE.1.0.9.0 --startMP 204:232967 --initTime 2017-03-05T18:21:07 --startdatetime 2017-03-05T18:26:12 --delay 1 --endMP 204:161 --enddatetime 2017-03-05T19:08:13 --enforcementcount 0 &gt;&gt;C:\Users\stu\Documents\GitHub\eaglep3-reporting\EC\2017-03-05-refined-times.txt</v>
      </c>
      <c r="AI125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{"issue":{"subject":"","project_id":79,"tracker_id":40,"status_id":1,"priority_id":2,"assigned_to_id":23,"start_date":"2017-03-05","description":"","custom_fields":[{"id":1,"name":"Subdivision","value":"EC"},{"id":4,"name":"Milepost","value":"0.0161"},{"id":17,"name":"Train ID","value":"212-05"},{"id":16,"name":"Locomotive ID","value":"4017"},{"id":130,"name":"Impact","value":""},{"id":150,"name":"Time of Event (Mountain Time)","value":"19:08:13"},{"id":151,"name":"Denver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4017 --day 2017-03-05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730</v>
      </c>
      <c r="B126" s="7">
        <v>4029</v>
      </c>
      <c r="C126" s="21" t="s">
        <v>252</v>
      </c>
      <c r="D126" s="21" t="s">
        <v>247</v>
      </c>
      <c r="E126" s="13">
        <v>42799.737361111111</v>
      </c>
      <c r="F126" s="13">
        <v>42799.74009259259</v>
      </c>
      <c r="G126" s="7">
        <v>2</v>
      </c>
      <c r="H126" s="21" t="s">
        <v>872</v>
      </c>
      <c r="I126" s="13">
        <v>42799.765393518515</v>
      </c>
      <c r="J126" s="7">
        <v>0</v>
      </c>
      <c r="K126" s="98" t="str">
        <f t="shared" si="23"/>
        <v>4029/4030</v>
      </c>
      <c r="L126" s="21" t="str">
        <f>VLOOKUP(A126,'Trips&amp;Operators'!$C$1:$G$99999,5,FALSE)</f>
        <v>SAFIEF AEIMEN</v>
      </c>
      <c r="M126" s="6">
        <f t="shared" si="24"/>
        <v>2.5300925924966577E-2</v>
      </c>
      <c r="N126" s="7">
        <f t="shared" si="42"/>
        <v>36.433333331951872</v>
      </c>
      <c r="O126" s="7"/>
      <c r="P126" s="7"/>
      <c r="Q126" s="22"/>
      <c r="R126" s="22"/>
      <c r="S126" s="31">
        <f t="shared" si="36"/>
        <v>1</v>
      </c>
      <c r="T126" s="46" t="str">
        <f t="shared" si="25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-03-05T16:41:48-0700',mode:absolute,to:'2017-03-05T19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7" t="str">
        <f t="shared" si="27"/>
        <v>N</v>
      </c>
      <c r="X126" s="187">
        <f t="shared" si="43"/>
        <v>1</v>
      </c>
      <c r="Y126" s="62">
        <f t="shared" si="29"/>
        <v>4.6600000000000003E-2</v>
      </c>
      <c r="Z126" s="62">
        <f t="shared" si="30"/>
        <v>23.328299999999999</v>
      </c>
      <c r="AA126" s="62">
        <f t="shared" si="31"/>
        <v>23.281699999999997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0213-05</v>
      </c>
      <c r="AE126" s="85" t="str">
        <f t="shared" si="33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126" s="82" t="str">
        <f t="shared" si="34"/>
        <v>"C:\Program Files (x86)\AstroGrep\AstroGrep.exe" /spath="%USERPROFILE%\AppData\Local\Temp\OnboardLogs" /stypes="app*4029*20170306*" /stext=" 01:.+((SYSTEM_STATE.+slice.+state.+changed )|(ment ac)|(multiple cpu faults)|(system.+state.+changed )|(\[timeout)|(PRM\|1\|D)|(kpr)|(kdp)|(\|loc)|(crossing.((167)|(168)|(199)|(200))))" /e /r /s</v>
      </c>
      <c r="AG126" s="1" t="str">
        <f t="shared" si="35"/>
        <v>EC</v>
      </c>
      <c r="AH126" s="86" t="str">
        <f t="shared" si="37"/>
        <v>"%USERPROFILE%\Documents\GitHub\eaglep3\Utilities\RefineRTDCRunTimes.py" --tripid 213-05 --locoid 4029 --swversion DE.1.0.9.0 --startMP 204:466 --initTime 2017-03-05T17:41:48 --startdatetime 2017-03-05T17:45:44 --delay 2 --endMP 204:233283 --enddatetime 2017-03-05T18:22:10 --enforcementcount 0 &gt;&gt;C:\Users\stu\Documents\GitHub\eaglep3-reporting\EC\2017-03-05-refined-times.txt</v>
      </c>
      <c r="AI126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{"issue":{"subject":"","project_id":79,"tracker_id":40,"status_id":1,"priority_id":2,"assigned_to_id":23,"start_date":"2017-03-05","description":"","custom_fields":[{"id":1,"name":"Subdivision","value":"EC"},{"id":4,"name":"Milepost","value":"23.3283"},{"id":17,"name":"Train ID","value":"213-05"},{"id":16,"name":"Locomotive ID","value":"4029"},{"id":130,"name":"Impact","value":""},{"id":150,"name":"Time of Event (Mountain Time)","value":"18:22:10"},{"id":151,"name":"Denver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4029 --day 2017-03-05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"%USERPROFILE%\AppData\Local\Temp\OnboardLogs"\RTDC4029\*4029*20170306* | grep -SE "(Enforcement Action)|(\[TIMEOUT)|(CHR.+\|PRM\|1\|D.+(SWITCH|SIGNAL).+UNKNOWN)" - &gt;&gt; 2017-03-05-UncaughtWiMAX.txt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742</v>
      </c>
      <c r="B127" s="7">
        <v>4030</v>
      </c>
      <c r="C127" s="21" t="s">
        <v>252</v>
      </c>
      <c r="D127" s="21" t="s">
        <v>514</v>
      </c>
      <c r="E127" s="13">
        <v>42799.767187500001</v>
      </c>
      <c r="F127" s="13">
        <v>42799.778703703705</v>
      </c>
      <c r="G127" s="7">
        <v>1</v>
      </c>
      <c r="H127" s="21" t="s">
        <v>203</v>
      </c>
      <c r="I127" s="13">
        <v>42799.806562500002</v>
      </c>
      <c r="J127" s="7">
        <v>0</v>
      </c>
      <c r="K127" s="98" t="str">
        <f t="shared" si="23"/>
        <v>4029/4030</v>
      </c>
      <c r="L127" s="21" t="str">
        <f>VLOOKUP(A127,'Trips&amp;Operators'!$C$1:$G$99999,5,FALSE)</f>
        <v>SAFIEF AEIMEN</v>
      </c>
      <c r="M127" s="6">
        <f t="shared" si="24"/>
        <v>2.7858796296641231E-2</v>
      </c>
      <c r="N127" s="7">
        <f t="shared" si="42"/>
        <v>40.116666667163372</v>
      </c>
      <c r="O127" s="7"/>
      <c r="P127" s="7"/>
      <c r="Q127" s="22"/>
      <c r="R127" s="22"/>
      <c r="S127" s="31">
        <f t="shared" si="36"/>
        <v>1</v>
      </c>
      <c r="T127" s="46" t="str">
        <f t="shared" si="25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-03-05T17:24:45-0700',mode:absolute,to:'2017-03-05T20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7" t="str">
        <f t="shared" si="27"/>
        <v>N</v>
      </c>
      <c r="X127" s="187">
        <f t="shared" si="43"/>
        <v>1</v>
      </c>
      <c r="Y127" s="62">
        <f t="shared" si="29"/>
        <v>23.298300000000001</v>
      </c>
      <c r="Z127" s="62">
        <f t="shared" si="30"/>
        <v>1.52E-2</v>
      </c>
      <c r="AA127" s="62">
        <f t="shared" si="31"/>
        <v>23.283100000000001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0214-05</v>
      </c>
      <c r="AE127" s="85" t="str">
        <f t="shared" si="33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127" s="82" t="str">
        <f t="shared" si="34"/>
        <v>"C:\Program Files (x86)\AstroGrep\AstroGrep.exe" /spath="%USERPROFILE%\AppData\Local\Temp\OnboardLogs" /stypes="app*4030*20170306*" /stext=" 02:.+((SYSTEM_STATE.+slice.+state.+changed )|(ment ac)|(multiple cpu faults)|(system.+state.+changed )|(\[timeout)|(PRM\|1\|D)|(kpr)|(kdp)|(\|loc)|(crossing.((167)|(168)|(199)|(200))))" /e /r /s</v>
      </c>
      <c r="AG127" s="1" t="str">
        <f t="shared" si="35"/>
        <v>EC</v>
      </c>
      <c r="AH127" s="86" t="str">
        <f t="shared" si="37"/>
        <v>"%USERPROFILE%\Documents\GitHub\eaglep3\Utilities\RefineRTDCRunTimes.py" --tripid 214-05 --locoid 4030 --swversion DE.1.0.9.0 --startMP 204:232983 --initTime 2017-03-05T18:24:45 --startdatetime 2017-03-05T18:41:20 --delay 1 --endMP 204:152 --enddatetime 2017-03-05T19:21:27 --enforcementcount 0 &gt;&gt;C:\Users\stu\Documents\GitHub\eaglep3-reporting\EC\2017-03-05-refined-times.txt</v>
      </c>
      <c r="AI127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ID","value":"214-05"},{"id":16,"name":"Locomotive ID","value":"4030"},{"id":130,"name":"Impact","value":""},{"id":150,"name":"Time of Event (Mountain Time)","value":"19:21:27"},{"id":151,"name":"Denver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4030 --day 2017-03-05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734</v>
      </c>
      <c r="B128" s="7">
        <v>4025</v>
      </c>
      <c r="C128" s="21" t="s">
        <v>252</v>
      </c>
      <c r="D128" s="21" t="s">
        <v>243</v>
      </c>
      <c r="E128" s="13">
        <v>42799.746203703704</v>
      </c>
      <c r="F128" s="13">
        <v>42799.750335648147</v>
      </c>
      <c r="G128" s="7">
        <v>1</v>
      </c>
      <c r="H128" s="21" t="s">
        <v>261</v>
      </c>
      <c r="I128" s="13">
        <v>42799.778009259258</v>
      </c>
      <c r="J128" s="7">
        <v>0</v>
      </c>
      <c r="K128" s="98" t="str">
        <f t="shared" si="23"/>
        <v>4025/4026</v>
      </c>
      <c r="L128" s="21" t="str">
        <f>VLOOKUP(A128,'Trips&amp;Operators'!$C$1:$G$99999,5,FALSE)</f>
        <v>DAVIDSON DAVID</v>
      </c>
      <c r="M128" s="6">
        <f t="shared" si="24"/>
        <v>2.7673611111822538E-2</v>
      </c>
      <c r="N128" s="7">
        <f t="shared" si="42"/>
        <v>39.850000001024455</v>
      </c>
      <c r="O128" s="7"/>
      <c r="P128" s="7"/>
      <c r="Q128" s="22"/>
      <c r="R128" s="22"/>
      <c r="S128" s="31">
        <f t="shared" si="36"/>
        <v>1</v>
      </c>
      <c r="T128" s="46" t="str">
        <f t="shared" si="25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-03-05T16:54:32-0700',mode:absolute,to:'2017-03-05T19:40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7" t="str">
        <f t="shared" si="27"/>
        <v>N</v>
      </c>
      <c r="X128" s="187">
        <f t="shared" si="43"/>
        <v>1</v>
      </c>
      <c r="Y128" s="62">
        <f t="shared" si="29"/>
        <v>4.4400000000000002E-2</v>
      </c>
      <c r="Z128" s="62">
        <f t="shared" si="30"/>
        <v>23.328900000000001</v>
      </c>
      <c r="AA128" s="62">
        <f t="shared" si="31"/>
        <v>23.284500000000001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0215-05</v>
      </c>
      <c r="AE128" s="85" t="str">
        <f t="shared" si="33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128" s="82" t="str">
        <f t="shared" si="34"/>
        <v>"C:\Program Files (x86)\AstroGrep\AstroGrep.exe" /spath="%USERPROFILE%\AppData\Local\Temp\OnboardLogs" /stypes="app*4025*20170306*" /stext=" 01:.+((SYSTEM_STATE.+slice.+state.+changed )|(ment ac)|(multiple cpu faults)|(system.+state.+changed )|(\[timeout)|(PRM\|1\|D)|(kpr)|(kdp)|(\|loc)|(crossing.((167)|(168)|(199)|(200))))" /e /r /s</v>
      </c>
      <c r="AG128" s="1" t="str">
        <f t="shared" si="35"/>
        <v>EC</v>
      </c>
      <c r="AH128" s="86" t="str">
        <f t="shared" si="37"/>
        <v>"%USERPROFILE%\Documents\GitHub\eaglep3\Utilities\RefineRTDCRunTimes.py" --tripid 215-05 --locoid 4025 --swversion DE.1.0.9.0 --startMP 204:444 --initTime 2017-03-05T17:54:32 --startdatetime 2017-03-05T18:00:29 --delay 1 --endMP 204:233289 --enddatetime 2017-03-05T18:40:20 --enforcementcount 0 &gt;&gt;C:\Users\stu\Documents\GitHub\eaglep3-reporting\EC\2017-03-05-refined-times.txt</v>
      </c>
      <c r="AI128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{"issue":{"subject":"","project_id":79,"tracker_id":40,"status_id":1,"priority_id":2,"assigned_to_id":23,"start_date":"2017-03-05","description":"","custom_fields":[{"id":1,"name":"Subdivision","value":"EC"},{"id":4,"name":"Milepost","value":"23.3289"},{"id":17,"name":"Train ID","value":"215-05"},{"id":16,"name":"Locomotive ID","value":"4025"},{"id":130,"name":"Impact","value":""},{"id":150,"name":"Time of Event (Mountain Time)","value":"18:40:20"},{"id":151,"name":"Denver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4025 --day 2017-03-05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"%USERPROFILE%\AppData\Local\Temp\OnboardLogs"\RTDC4025\*4025*20170306* | grep -SE "(Enforcement Action)|(\[TIMEOUT)|(CHR.+\|PRM\|1\|D.+(SWITCH|SIGNAL).+UNKNOWN)" - &gt;&gt; 2017-03-05-UncaughtWiMAX.txt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745</v>
      </c>
      <c r="B129" s="7">
        <v>4026</v>
      </c>
      <c r="C129" s="21" t="s">
        <v>252</v>
      </c>
      <c r="D129" s="21" t="s">
        <v>312</v>
      </c>
      <c r="E129" s="13">
        <v>42799.783275462964</v>
      </c>
      <c r="F129" s="13">
        <v>42799.789120370369</v>
      </c>
      <c r="G129" s="7">
        <v>1</v>
      </c>
      <c r="H129" s="21" t="s">
        <v>210</v>
      </c>
      <c r="I129" s="13">
        <v>42799.819085648145</v>
      </c>
      <c r="J129" s="7">
        <v>0</v>
      </c>
      <c r="K129" s="98" t="str">
        <f t="shared" si="23"/>
        <v>4025/4026</v>
      </c>
      <c r="L129" s="21" t="str">
        <f>VLOOKUP(A129,'Trips&amp;Operators'!$C$1:$G$99999,5,FALSE)</f>
        <v>DAVIDSON DAVID</v>
      </c>
      <c r="M129" s="6">
        <f t="shared" si="24"/>
        <v>2.9965277775772847E-2</v>
      </c>
      <c r="N129" s="7">
        <f t="shared" si="42"/>
        <v>43.1499999971129</v>
      </c>
      <c r="O129" s="7"/>
      <c r="P129" s="7"/>
      <c r="Q129" s="22"/>
      <c r="R129" s="22"/>
      <c r="S129" s="31">
        <f t="shared" si="36"/>
        <v>1</v>
      </c>
      <c r="T129" s="46" t="str">
        <f t="shared" si="25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-03-05T17:47:55-0700',mode:absolute,to:'2017-03-05T20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87" t="str">
        <f t="shared" si="27"/>
        <v>N</v>
      </c>
      <c r="X129" s="187">
        <f t="shared" si="43"/>
        <v>1</v>
      </c>
      <c r="Y129" s="62">
        <f t="shared" si="29"/>
        <v>23.2971</v>
      </c>
      <c r="Z129" s="62">
        <f t="shared" si="30"/>
        <v>1.54E-2</v>
      </c>
      <c r="AA129" s="62">
        <f t="shared" si="31"/>
        <v>23.281700000000001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0216-05</v>
      </c>
      <c r="AE129" s="85" t="str">
        <f t="shared" si="33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129" s="82" t="str">
        <f t="shared" si="34"/>
        <v>"C:\Program Files (x86)\AstroGrep\AstroGrep.exe" /spath="%USERPROFILE%\AppData\Local\Temp\OnboardLogs" /stypes="app*4026*20170306*" /stext=" 02:.+((SYSTEM_STATE.+slice.+state.+changed )|(ment ac)|(multiple cpu faults)|(system.+state.+changed )|(\[timeout)|(PRM\|1\|D)|(kpr)|(kdp)|(\|loc)|(crossing.((167)|(168)|(199)|(200))))" /e /r /s</v>
      </c>
      <c r="AG129" s="1" t="str">
        <f t="shared" si="35"/>
        <v>EC</v>
      </c>
      <c r="AH129" s="86" t="str">
        <f t="shared" si="37"/>
        <v>"%USERPROFILE%\Documents\GitHub\eaglep3\Utilities\RefineRTDCRunTimes.py" --tripid 216-05 --locoid 4026 --swversion DE.1.0.9.0 --startMP 204:232971 --initTime 2017-03-05T18:47:55 --startdatetime 2017-03-05T18:56:20 --delay 1 --endMP 204:154 --enddatetime 2017-03-05T19:39:29 --enforcementcount 0 &gt;&gt;C:\Users\stu\Documents\GitHub\eaglep3-reporting\EC\2017-03-05-refined-times.txt</v>
      </c>
      <c r="AI12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{"issue":{"subject":"","project_id":79,"tracker_id":40,"status_id":1,"priority_id":2,"assigned_to_id":23,"start_date":"2017-03-05","description":"","custom_fields":[{"id":1,"name":"Subdivision","value":"EC"},{"id":4,"name":"Milepost","value":"0.0154"},{"id":17,"name":"Train ID","value":"216-05"},{"id":16,"name":"Locomotive ID","value":"4026"},{"id":130,"name":"Impact","value":""},{"id":150,"name":"Time of Event (Mountain Time)","value":"19:39:29"},{"id":151,"name":"Denver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4026 --day 2017-03-05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"%USERPROFILE%\AppData\Local\Temp\OnboardLogs"\RTDC4026\*4026*20170306* | grep -SE "(Enforcement Action)|(\[TIMEOUT)|(CHR.+\|PRM\|1\|D.+(SWITCH|SIGNAL).+UNKNOWN)" - &gt;&gt; 2017-03-05-UncaughtWiMAX.txt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737</v>
      </c>
      <c r="B130" s="7">
        <v>4044</v>
      </c>
      <c r="C130" s="21" t="s">
        <v>252</v>
      </c>
      <c r="D130" s="21" t="s">
        <v>280</v>
      </c>
      <c r="E130" s="13">
        <v>42799.757789351854</v>
      </c>
      <c r="F130" s="13">
        <v>42799.76059027778</v>
      </c>
      <c r="G130" s="7">
        <v>2</v>
      </c>
      <c r="H130" s="21" t="s">
        <v>297</v>
      </c>
      <c r="I130" s="13">
        <v>42799.785590277781</v>
      </c>
      <c r="J130" s="7">
        <v>0</v>
      </c>
      <c r="K130" s="98" t="str">
        <f t="shared" si="23"/>
        <v>4043/4044</v>
      </c>
      <c r="L130" s="21" t="str">
        <f>VLOOKUP(A130,'Trips&amp;Operators'!$C$1:$G$99999,5,FALSE)</f>
        <v>SMITH MICHAEL</v>
      </c>
      <c r="M130" s="6">
        <f t="shared" si="24"/>
        <v>2.5000000001455192E-2</v>
      </c>
      <c r="N130" s="7">
        <f t="shared" si="42"/>
        <v>36.000000002095476</v>
      </c>
      <c r="O130" s="7"/>
      <c r="P130" s="7"/>
      <c r="Q130" s="22"/>
      <c r="R130" s="22"/>
      <c r="S130" s="31">
        <f t="shared" si="36"/>
        <v>1</v>
      </c>
      <c r="T130" s="46" t="str">
        <f t="shared" si="25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-03-05T17:11:13-0700',mode:absolute,to:'2017-03-05T19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0" s="187" t="str">
        <f t="shared" si="27"/>
        <v>N</v>
      </c>
      <c r="X130" s="187">
        <f t="shared" si="43"/>
        <v>1</v>
      </c>
      <c r="Y130" s="62">
        <f t="shared" si="29"/>
        <v>4.6699999999999998E-2</v>
      </c>
      <c r="Z130" s="62">
        <f t="shared" si="30"/>
        <v>23.3323</v>
      </c>
      <c r="AA130" s="62">
        <f t="shared" si="31"/>
        <v>23.285599999999999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0217-05</v>
      </c>
      <c r="AE130" s="85" t="str">
        <f t="shared" si="33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130" s="82" t="str">
        <f t="shared" si="34"/>
        <v>"C:\Program Files (x86)\AstroGrep\AstroGrep.exe" /spath="%USERPROFILE%\AppData\Local\Temp\OnboardLogs" /stypes="app*4044*20170306*" /stext=" 01:.+((SYSTEM_STATE.+slice.+state.+changed )|(ment ac)|(multiple cpu faults)|(system.+state.+changed )|(\[timeout)|(PRM\|1\|D)|(kpr)|(kdp)|(\|loc)|(crossing.((167)|(168)|(199)|(200))))" /e /r /s</v>
      </c>
      <c r="AG130" s="1" t="str">
        <f t="shared" si="35"/>
        <v>EC</v>
      </c>
      <c r="AH130" s="86" t="str">
        <f t="shared" si="37"/>
        <v>"%USERPROFILE%\Documents\GitHub\eaglep3\Utilities\RefineRTDCRunTimes.py" --tripid 217-05 --locoid 4044 --swversion DE.1.0.9.0 --startMP 204:467 --initTime 2017-03-05T18:11:13 --startdatetime 2017-03-05T18:15:15 --delay 2 --endMP 204:233323 --enddatetime 2017-03-05T18:51:15 --enforcementcount 0 &gt;&gt;C:\Users\stu\Documents\GitHub\eaglep3-reporting\EC\2017-03-05-refined-times.txt</v>
      </c>
      <c r="AI13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{"issue":{"subject":"","project_id":79,"tracker_id":40,"status_id":1,"priority_id":2,"assigned_to_id":23,"start_date":"2017-03-05","description":"","custom_fields":[{"id":1,"name":"Subdivision","value":"EC"},{"id":4,"name":"Milepost","value":"23.3323"},{"id":17,"name":"Train ID","value":"217-05"},{"id":16,"name":"Locomotive ID","value":"4044"},{"id":130,"name":"Impact","value":""},{"id":150,"name":"Time of Event (Mountain Time)","value":"18:51:15"},{"id":151,"name":"Denver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4044 --day 2017-03-05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747</v>
      </c>
      <c r="B131" s="7">
        <v>4043</v>
      </c>
      <c r="C131" s="21" t="s">
        <v>252</v>
      </c>
      <c r="D131" s="21" t="s">
        <v>310</v>
      </c>
      <c r="E131" s="13">
        <v>42799.790821759256</v>
      </c>
      <c r="F131" s="13">
        <v>42799.799560185187</v>
      </c>
      <c r="G131" s="7">
        <v>1</v>
      </c>
      <c r="H131" s="21" t="s">
        <v>203</v>
      </c>
      <c r="I131" s="13">
        <v>42799.826944444445</v>
      </c>
      <c r="J131" s="7">
        <v>0</v>
      </c>
      <c r="K131" s="98" t="str">
        <f t="shared" si="23"/>
        <v>4043/4044</v>
      </c>
      <c r="L131" s="21" t="str">
        <f>VLOOKUP(A131,'Trips&amp;Operators'!$C$1:$G$99999,5,FALSE)</f>
        <v>SMITH MICHAEL</v>
      </c>
      <c r="M131" s="6">
        <f t="shared" si="24"/>
        <v>2.7384259257814847E-2</v>
      </c>
      <c r="N131" s="7">
        <f t="shared" ref="N131:N155" si="44">24*60*SUM($M131:$M131)</f>
        <v>39.43333333125338</v>
      </c>
      <c r="O131" s="7"/>
      <c r="P131" s="7"/>
      <c r="Q131" s="22"/>
      <c r="R131" s="22"/>
      <c r="S131" s="31">
        <f t="shared" si="36"/>
        <v>1</v>
      </c>
      <c r="T131" s="46" t="str">
        <f t="shared" si="25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-03-05T17:58:47-0700',mode:absolute,to:'2017-03-05T20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1" s="187" t="str">
        <f t="shared" si="27"/>
        <v>N</v>
      </c>
      <c r="X131" s="187">
        <f t="shared" si="43"/>
        <v>1</v>
      </c>
      <c r="Y131" s="62">
        <f t="shared" si="29"/>
        <v>23.299099999999999</v>
      </c>
      <c r="Z131" s="62">
        <f t="shared" si="30"/>
        <v>1.52E-2</v>
      </c>
      <c r="AA131" s="62">
        <f t="shared" si="31"/>
        <v>23.283899999999999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0218-05</v>
      </c>
      <c r="AE131" s="85" t="str">
        <f t="shared" si="33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131" s="82" t="str">
        <f t="shared" si="34"/>
        <v>"C:\Program Files (x86)\AstroGrep\AstroGrep.exe" /spath="%USERPROFILE%\AppData\Local\Temp\OnboardLogs" /stypes="app*4043*20170306*" /stext=" 02:.+((SYSTEM_STATE.+slice.+state.+changed )|(ment ac)|(multiple cpu faults)|(system.+state.+changed )|(\[timeout)|(PRM\|1\|D)|(kpr)|(kdp)|(\|loc)|(crossing.((167)|(168)|(199)|(200))))" /e /r /s</v>
      </c>
      <c r="AG131" s="1" t="str">
        <f t="shared" si="35"/>
        <v>EC</v>
      </c>
      <c r="AH131" s="86" t="str">
        <f t="shared" si="37"/>
        <v>"%USERPROFILE%\Documents\GitHub\eaglep3\Utilities\RefineRTDCRunTimes.py" --tripid 218-05 --locoid 4043 --swversion DE.1.0.9.0 --startMP 204:232991 --initTime 2017-03-05T18:58:47 --startdatetime 2017-03-05T19:11:22 --delay 1 --endMP 204:152 --enddatetime 2017-03-05T19:50:48 --enforcementcount 0 &gt;&gt;C:\Users\stu\Documents\GitHub\eaglep3-reporting\EC\2017-03-05-refined-times.txt</v>
      </c>
      <c r="AI131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ID","value":"218-05"},{"id":16,"name":"Locomotive ID","value":"4043"},{"id":130,"name":"Impact","value":""},{"id":150,"name":"Time of Event (Mountain Time)","value":"19:50:48"},{"id":151,"name":"Denver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4043 --day 2017-03-05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"%USERPROFILE%\AppData\Local\Temp\OnboardLogs"\RTDC4043\*4043*20170306* | grep -SE "(Enforcement Action)|(\[TIMEOUT)|(CHR.+\|PRM\|1\|D.+(SWITCH|SIGNAL).+UNKNOWN)" - &gt;&gt; 2017-03-05-UncaughtWiMAX.txt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741</v>
      </c>
      <c r="B132" s="7">
        <v>4016</v>
      </c>
      <c r="C132" s="21" t="s">
        <v>252</v>
      </c>
      <c r="D132" s="21" t="s">
        <v>507</v>
      </c>
      <c r="E132" s="13">
        <v>42799.766377314816</v>
      </c>
      <c r="F132" s="13">
        <v>42799.772488425922</v>
      </c>
      <c r="G132" s="7">
        <v>1</v>
      </c>
      <c r="H132" s="21" t="s">
        <v>873</v>
      </c>
      <c r="I132" s="13">
        <v>42799.797199074077</v>
      </c>
      <c r="J132" s="7">
        <v>0</v>
      </c>
      <c r="K132" s="98" t="str">
        <f t="shared" si="23"/>
        <v>4015/4016</v>
      </c>
      <c r="L132" s="21" t="str">
        <f>VLOOKUP(A132,'Trips&amp;Operators'!$C$1:$G$99999,5,FALSE)</f>
        <v>STAMBAUGH JAMES</v>
      </c>
      <c r="M132" s="6">
        <f t="shared" si="24"/>
        <v>2.4710648154723458E-2</v>
      </c>
      <c r="N132" s="7">
        <f t="shared" si="44"/>
        <v>35.58333334280178</v>
      </c>
      <c r="O132" s="7"/>
      <c r="P132" s="7"/>
      <c r="Q132" s="22"/>
      <c r="R132" s="22"/>
      <c r="S132" s="31">
        <f t="shared" si="36"/>
        <v>1</v>
      </c>
      <c r="T132" s="46" t="str">
        <f t="shared" si="25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-03-05T17:23:35-0700',mode:absolute,to:'2017-03-05T20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187" t="str">
        <f t="shared" si="27"/>
        <v>N</v>
      </c>
      <c r="X132" s="187">
        <f t="shared" si="43"/>
        <v>1</v>
      </c>
      <c r="Y132" s="62">
        <f t="shared" si="29"/>
        <v>4.3099999999999999E-2</v>
      </c>
      <c r="Z132" s="62">
        <f t="shared" si="30"/>
        <v>23.337599999999998</v>
      </c>
      <c r="AA132" s="62">
        <f t="shared" si="31"/>
        <v>23.294499999999999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0219-05</v>
      </c>
      <c r="AE132" s="85" t="str">
        <f t="shared" si="33"/>
        <v>aws s3 cp s3://rtdc.mdm.uploadarchive.raw/RTDC4016/ "%USERPROFILE%\AppData\Local\Temp\OnboardLogs"\RTDC4016\2017-03-05 --exclude "*" --recursive --include "*20170305*" &amp; "%USERPROFILE%\Documents\GitHub\mrs-test-scripts\Headless Mode &amp; Sideloading\WalkAndUnGZ.bat" "%USERPROFILE%\AppData\Local\Temp\OnboardLogs"\RTDC4016\2017-03-05 &amp; 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</v>
      </c>
      <c r="AF132" s="82" t="str">
        <f t="shared" si="34"/>
        <v>"C:\Program Files (x86)\AstroGrep\AstroGrep.exe" /spath="%USERPROFILE%\AppData\Local\Temp\OnboardLogs" /stypes="app*4016*20170306*" /stext=" 02:.+((SYSTEM_STATE.+slice.+state.+changed )|(ment ac)|(multiple cpu faults)|(system.+state.+changed )|(\[timeout)|(PRM\|1\|D)|(kpr)|(kdp)|(\|loc)|(crossing.((167)|(168)|(199)|(200))))" /e /r /s</v>
      </c>
      <c r="AG132" s="1" t="str">
        <f t="shared" si="35"/>
        <v>EC</v>
      </c>
      <c r="AH132" s="86" t="str">
        <f t="shared" si="37"/>
        <v>"%USERPROFILE%\Documents\GitHub\eaglep3\Utilities\RefineRTDCRunTimes.py" --tripid 219-05 --locoid 4016 --swversion DE.1.0.9.0 --startMP 204:431 --initTime 2017-03-05T18:23:35 --startdatetime 2017-03-05T18:32:23 --delay 1 --endMP 204:233376 --enddatetime 2017-03-05T19:07:58 --enforcementcount 0 &gt;&gt;C:\Users\stu\Documents\GitHub\eaglep3-reporting\EC\2017-03-05-refined-times.txt</v>
      </c>
      <c r="AI132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{"issue":{"subject":"","project_id":79,"tracker_id":40,"status_id":1,"priority_id":2,"assigned_to_id":23,"start_date":"2017-03-05","description":"","custom_fields":[{"id":1,"name":"Subdivision","value":"EC"},{"id":4,"name":"Milepost","value":"23.3376"},{"id":17,"name":"Train ID","value":"219-05"},{"id":16,"name":"Locomotive ID","value":"4016"},{"id":130,"name":"Impact","value":""},{"id":150,"name":"Time of Event (Mountain Time)","value":"19:07:58"},{"id":151,"name":"Denver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4016 --day 2017-03-05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"%USERPROFILE%\AppData\Local\Temp\OnboardLogs"\RTDC4016\*4016*20170306* | grep -SE "(Enforcement Action)|(\[TIMEOUT)|(CHR.+\|PRM\|1\|D.+(SWITCH|SIGNAL).+UNKNOWN)" - &gt;&gt; 2017-03-05-UncaughtWiMAX.txt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749</v>
      </c>
      <c r="B133" s="7">
        <v>4015</v>
      </c>
      <c r="C133" s="21" t="s">
        <v>252</v>
      </c>
      <c r="D133" s="21" t="s">
        <v>874</v>
      </c>
      <c r="E133" s="13">
        <v>42799.800613425927</v>
      </c>
      <c r="F133" s="13">
        <v>42799.810277777775</v>
      </c>
      <c r="G133" s="7">
        <v>1</v>
      </c>
      <c r="H133" s="21" t="s">
        <v>192</v>
      </c>
      <c r="I133" s="13">
        <v>42799.836099537039</v>
      </c>
      <c r="J133" s="7">
        <v>0</v>
      </c>
      <c r="K133" s="98" t="str">
        <f t="shared" si="23"/>
        <v>4015/4016</v>
      </c>
      <c r="L133" s="21" t="str">
        <f>VLOOKUP(A133,'Trips&amp;Operators'!$C$1:$G$99999,5,FALSE)</f>
        <v>STAMBAUGH JAMES</v>
      </c>
      <c r="M133" s="6">
        <f t="shared" si="24"/>
        <v>2.5821759263635613E-2</v>
      </c>
      <c r="N133" s="7">
        <f t="shared" si="44"/>
        <v>37.183333339635283</v>
      </c>
      <c r="O133" s="7"/>
      <c r="P133" s="7"/>
      <c r="Q133" s="22"/>
      <c r="R133" s="22"/>
      <c r="S133" s="31">
        <f t="shared" si="36"/>
        <v>1</v>
      </c>
      <c r="T133" s="46" t="str">
        <f t="shared" si="25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-03-05T18:12:53-0700',mode:absolute,to:'2017-03-05T21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187" t="str">
        <f t="shared" si="27"/>
        <v>N</v>
      </c>
      <c r="X133" s="187">
        <f t="shared" si="43"/>
        <v>1</v>
      </c>
      <c r="Y133" s="62">
        <f t="shared" si="29"/>
        <v>23.308399999999999</v>
      </c>
      <c r="Z133" s="62">
        <f t="shared" si="30"/>
        <v>1.4999999999999999E-2</v>
      </c>
      <c r="AA133" s="62">
        <f t="shared" si="31"/>
        <v>23.293399999999998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0220-05</v>
      </c>
      <c r="AE133" s="85" t="str">
        <f t="shared" si="33"/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33" s="82" t="str">
        <f t="shared" si="34"/>
        <v>"C:\Program Files (x86)\AstroGrep\AstroGrep.exe" /spath="%USERPROFILE%\AppData\Local\Temp\OnboardLogs" /stypes="app*4015*20170306*" /stext=" 03:.+((SYSTEM_STATE.+slice.+state.+changed )|(ment ac)|(multiple cpu faults)|(system.+state.+changed )|(\[timeout)|(PRM\|1\|D)|(kpr)|(kdp)|(\|loc)|(crossing.((167)|(168)|(199)|(200))))" /e /r /s</v>
      </c>
      <c r="AG133" s="1" t="str">
        <f t="shared" si="35"/>
        <v>EC</v>
      </c>
      <c r="AH133" s="86" t="str">
        <f t="shared" si="37"/>
        <v>"%USERPROFILE%\Documents\GitHub\eaglep3\Utilities\RefineRTDCRunTimes.py" --tripid 220-05 --locoid 4015 --swversion DE.1.0.9.0 --startMP 204:233084 --initTime 2017-03-05T19:12:53 --startdatetime 2017-03-05T19:26:48 --delay 1 --endMP 204:150 --enddatetime 2017-03-05T20:03:59 --enforcementcount 0 &gt;&gt;C:\Users\stu\Documents\GitHub\eaglep3-reporting\EC\2017-03-05-refined-times.txt</v>
      </c>
      <c r="AI133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{"issue":{"subject":"","project_id":79,"tracker_id":40,"status_id":1,"priority_id":2,"assigned_to_id":23,"start_date":"2017-03-05","description":"","custom_fields":[{"id":1,"name":"Subdivision","value":"EC"},{"id":4,"name":"Milepost","value":"0.015"},{"id":17,"name":"Train ID","value":"220-05"},{"id":16,"name":"Locomotive ID","value":"4015"},{"id":130,"name":"Impact","value":""},{"id":150,"name":"Time of Event (Mountain Time)","value":"20:03:59"},{"id":151,"name":"Denver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4015 --day 2017-03-05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"%USERPROFILE%\AppData\Local\Temp\OnboardLogs"\RTDC4015\*4015*20170306* | grep -SE "(Enforcement Action)|(\[TIMEOUT)|(CHR.+\|PRM\|1\|D.+(SWITCH|SIGNAL).+UNKNOWN)" - &gt;&gt; 2017-03-05-UncaughtWiMAX.txt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746</v>
      </c>
      <c r="B134" s="7">
        <v>4027</v>
      </c>
      <c r="C134" s="21" t="s">
        <v>252</v>
      </c>
      <c r="D134" s="21" t="s">
        <v>220</v>
      </c>
      <c r="E134" s="13">
        <v>42799.789953703701</v>
      </c>
      <c r="F134" s="13">
        <v>42799.791909722226</v>
      </c>
      <c r="G134" s="7">
        <v>1</v>
      </c>
      <c r="H134" s="21" t="s">
        <v>799</v>
      </c>
      <c r="I134" s="13">
        <v>42799.816805555558</v>
      </c>
      <c r="J134" s="7">
        <v>0</v>
      </c>
      <c r="K134" s="98" t="str">
        <f t="shared" si="23"/>
        <v>4027/4028</v>
      </c>
      <c r="L134" s="21" t="str">
        <f>VLOOKUP(A134,'Trips&amp;Operators'!$C$1:$G$99999,5,FALSE)</f>
        <v>CHANDLER KELVIN</v>
      </c>
      <c r="M134" s="6">
        <f t="shared" si="24"/>
        <v>2.4895833332266193E-2</v>
      </c>
      <c r="N134" s="7">
        <f t="shared" si="44"/>
        <v>35.849999998463318</v>
      </c>
      <c r="O134" s="7"/>
      <c r="P134" s="7"/>
      <c r="Q134" s="22"/>
      <c r="R134" s="22"/>
      <c r="S134" s="31">
        <f t="shared" si="36"/>
        <v>1</v>
      </c>
      <c r="T134" s="46" t="str">
        <f t="shared" si="25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-03-05T17:57:32-0700',mode:absolute,to:'2017-03-05T20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4" s="187" t="str">
        <f t="shared" si="27"/>
        <v>N</v>
      </c>
      <c r="X134" s="187">
        <f t="shared" si="43"/>
        <v>1</v>
      </c>
      <c r="Y134" s="62">
        <f t="shared" si="29"/>
        <v>4.5699999999999998E-2</v>
      </c>
      <c r="Z134" s="62">
        <f t="shared" si="30"/>
        <v>23.327999999999999</v>
      </c>
      <c r="AA134" s="62">
        <f t="shared" si="31"/>
        <v>23.282299999999999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0221-05</v>
      </c>
      <c r="AE134" s="85" t="str">
        <f t="shared" si="33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34" s="82" t="str">
        <f t="shared" si="34"/>
        <v>"C:\Program Files (x86)\AstroGrep\AstroGrep.exe" /spath="%USERPROFILE%\AppData\Local\Temp\OnboardLogs" /stypes="app*4027*20170306*" /stext=" 02:.+((SYSTEM_STATE.+slice.+state.+changed )|(ment ac)|(multiple cpu faults)|(system.+state.+changed )|(\[timeout)|(PRM\|1\|D)|(kpr)|(kdp)|(\|loc)|(crossing.((167)|(168)|(199)|(200))))" /e /r /s</v>
      </c>
      <c r="AG134" s="1" t="str">
        <f t="shared" si="35"/>
        <v>EC</v>
      </c>
      <c r="AH134" s="86" t="str">
        <f t="shared" si="37"/>
        <v>"%USERPROFILE%\Documents\GitHub\eaglep3\Utilities\RefineRTDCRunTimes.py" --tripid 221-05 --locoid 4027 --swversion DE.1.0.9.0 --startMP 204:457 --initTime 2017-03-05T18:57:32 --startdatetime 2017-03-05T19:00:21 --delay 1 --endMP 204:233280 --enddatetime 2017-03-05T19:36:12 --enforcementcount 0 &gt;&gt;C:\Users\stu\Documents\GitHub\eaglep3-reporting\EC\2017-03-05-refined-times.txt</v>
      </c>
      <c r="AI134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{"issue":{"subject":"","project_id":79,"tracker_id":40,"status_id":1,"priority_id":2,"assigned_to_id":23,"start_date":"2017-03-05","description":"","custom_fields":[{"id":1,"name":"Subdivision","value":"EC"},{"id":4,"name":"Milepost","value":"23.328"},{"id":17,"name":"Train ID","value":"221-05"},{"id":16,"name":"Locomotive ID","value":"4027"},{"id":130,"name":"Impact","value":""},{"id":150,"name":"Time of Event (Mountain Time)","value":"19:36:12"},{"id":151,"name":"Denver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4027 --day 2017-03-05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"%USERPROFILE%\AppData\Local\Temp\OnboardLogs"\RTDC4027\*4027*20170306* | grep -SE "(Enforcement Action)|(\[TIMEOUT)|(CHR.+\|PRM\|1\|D.+(SWITCH|SIGNAL).+UNKNOWN)" - &gt;&gt; 2017-03-05-UncaughtWiMAX.txt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3" t="s">
        <v>754</v>
      </c>
      <c r="B135" s="7">
        <v>4028</v>
      </c>
      <c r="C135" s="21" t="s">
        <v>252</v>
      </c>
      <c r="D135" s="21" t="s">
        <v>875</v>
      </c>
      <c r="E135" s="13">
        <v>42799.826307870368</v>
      </c>
      <c r="F135" s="13">
        <v>42799.831134259257</v>
      </c>
      <c r="G135" s="7">
        <v>1</v>
      </c>
      <c r="H135" s="21" t="s">
        <v>244</v>
      </c>
      <c r="I135" s="13">
        <v>42799.85864583333</v>
      </c>
      <c r="J135" s="7">
        <v>0</v>
      </c>
      <c r="K135" s="98" t="str">
        <f t="shared" si="23"/>
        <v>4027/4028</v>
      </c>
      <c r="L135" s="21" t="str">
        <f>VLOOKUP(A135,'Trips&amp;Operators'!$C$1:$G$99999,5,FALSE)</f>
        <v>CHANDLER KELVIN</v>
      </c>
      <c r="M135" s="6">
        <f t="shared" si="24"/>
        <v>2.7511574073287193E-2</v>
      </c>
      <c r="N135" s="7">
        <f t="shared" si="44"/>
        <v>39.616666665533558</v>
      </c>
      <c r="O135" s="7"/>
      <c r="P135" s="7"/>
      <c r="Q135" s="22"/>
      <c r="R135" s="22"/>
      <c r="S135" s="31">
        <f t="shared" si="36"/>
        <v>1</v>
      </c>
      <c r="T135" s="46" t="str">
        <f t="shared" si="25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-03-05T18:49:53-0700',mode:absolute,to:'2017-03-05T21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87" t="str">
        <f t="shared" si="27"/>
        <v>N</v>
      </c>
      <c r="X135" s="187">
        <f t="shared" si="43"/>
        <v>1</v>
      </c>
      <c r="Y135" s="62">
        <f t="shared" si="29"/>
        <v>23.297599999999999</v>
      </c>
      <c r="Z135" s="62">
        <f t="shared" si="30"/>
        <v>1.47E-2</v>
      </c>
      <c r="AA135" s="62">
        <f t="shared" si="31"/>
        <v>23.282899999999998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0222-05</v>
      </c>
      <c r="AE135" s="85" t="str">
        <f t="shared" si="33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135" s="82" t="str">
        <f t="shared" si="34"/>
        <v>"C:\Program Files (x86)\AstroGrep\AstroGrep.exe" /spath="%USERPROFILE%\AppData\Local\Temp\OnboardLogs" /stypes="app*4028*20170306*" /stext=" 03:.+((SYSTEM_STATE.+slice.+state.+changed )|(ment ac)|(multiple cpu faults)|(system.+state.+changed )|(\[timeout)|(PRM\|1\|D)|(kpr)|(kdp)|(\|loc)|(crossing.((167)|(168)|(199)|(200))))" /e /r /s</v>
      </c>
      <c r="AG135" s="1" t="str">
        <f t="shared" si="35"/>
        <v>EC</v>
      </c>
      <c r="AH135" s="86" t="str">
        <f t="shared" si="37"/>
        <v>"%USERPROFILE%\Documents\GitHub\eaglep3\Utilities\RefineRTDCRunTimes.py" --tripid 222-05 --locoid 4028 --swversion DE.1.0.9.0 --startMP 204:232976 --initTime 2017-03-05T19:49:53 --startdatetime 2017-03-05T19:56:50 --delay 1 --endMP 204:147 --enddatetime 2017-03-05T20:36:27 --enforcementcount 0 &gt;&gt;C:\Users\stu\Documents\GitHub\eaglep3-reporting\EC\2017-03-05-refined-times.txt</v>
      </c>
      <c r="AI135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{"issue":{"subject":"","project_id":79,"tracker_id":40,"status_id":1,"priority_id":2,"assigned_to_id":23,"start_date":"2017-03-05","description":"","custom_fields":[{"id":1,"name":"Subdivision","value":"EC"},{"id":4,"name":"Milepost","value":"0.0147"},{"id":17,"name":"Train ID","value":"222-05"},{"id":16,"name":"Locomotive ID","value":"4028"},{"id":130,"name":"Impact","value":""},{"id":150,"name":"Time of Event (Mountain Time)","value":"20:36:27"},{"id":151,"name":"Denver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4028 --day 2017-03-05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"%USERPROFILE%\AppData\Local\Temp\OnboardLogs"\RTDC4028\*4028*20170306* | grep -SE "(Enforcement Action)|(\[TIMEOUT)|(CHR.+\|PRM\|1\|D.+(SWITCH|SIGNAL).+UNKNOWN)" - &gt;&gt; 2017-03-05-UncaughtWiMAX.txt</v>
      </c>
    </row>
    <row r="136" spans="1:91" s="20" customFormat="1" x14ac:dyDescent="0.25">
      <c r="A136" s="33" t="s">
        <v>751</v>
      </c>
      <c r="B136" s="7">
        <v>4029</v>
      </c>
      <c r="C136" s="21" t="s">
        <v>252</v>
      </c>
      <c r="D136" s="21" t="s">
        <v>280</v>
      </c>
      <c r="E136" s="13">
        <v>42799.808078703703</v>
      </c>
      <c r="F136" s="13">
        <v>42799.8127662037</v>
      </c>
      <c r="G136" s="7">
        <v>1</v>
      </c>
      <c r="H136" s="21" t="s">
        <v>876</v>
      </c>
      <c r="I136" s="13">
        <v>42799.837314814817</v>
      </c>
      <c r="J136" s="7">
        <v>0</v>
      </c>
      <c r="K136" s="98" t="str">
        <f t="shared" si="23"/>
        <v>4029/4030</v>
      </c>
      <c r="L136" s="21" t="str">
        <f>VLOOKUP(A136,'Trips&amp;Operators'!$C$1:$G$99999,5,FALSE)</f>
        <v>NEWELL JAMES</v>
      </c>
      <c r="M136" s="6">
        <f t="shared" si="24"/>
        <v>2.4548611116188113E-2</v>
      </c>
      <c r="N136" s="7">
        <f t="shared" si="44"/>
        <v>35.350000007310882</v>
      </c>
      <c r="O136" s="7"/>
      <c r="P136" s="7"/>
      <c r="Q136" s="22"/>
      <c r="R136" s="22"/>
      <c r="S136" s="31">
        <f t="shared" si="36"/>
        <v>1</v>
      </c>
      <c r="T136" s="46" t="str">
        <f t="shared" si="25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-03-05T18:23:38-0700',mode:absolute,to:'2017-03-05T21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7" t="str">
        <f t="shared" si="27"/>
        <v>N</v>
      </c>
      <c r="X136" s="187">
        <f t="shared" si="43"/>
        <v>1</v>
      </c>
      <c r="Y136" s="62">
        <f t="shared" si="29"/>
        <v>4.6699999999999998E-2</v>
      </c>
      <c r="Z136" s="62">
        <f t="shared" si="30"/>
        <v>23.331900000000001</v>
      </c>
      <c r="AA136" s="62">
        <f t="shared" si="31"/>
        <v>23.2852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0223-05</v>
      </c>
      <c r="AE136" s="85" t="str">
        <f t="shared" si="33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136" s="82" t="str">
        <f t="shared" si="34"/>
        <v>"C:\Program Files (x86)\AstroGrep\AstroGrep.exe" /spath="%USERPROFILE%\AppData\Local\Temp\OnboardLogs" /stypes="app*4029*20170306*" /stext=" 03:.+((SYSTEM_STATE.+slice.+state.+changed )|(ment ac)|(multiple cpu faults)|(system.+state.+changed )|(\[timeout)|(PRM\|1\|D)|(kpr)|(kdp)|(\|loc)|(crossing.((167)|(168)|(199)|(200))))" /e /r /s</v>
      </c>
      <c r="AG136" s="1" t="str">
        <f t="shared" si="35"/>
        <v>EC</v>
      </c>
      <c r="AH136" s="86" t="str">
        <f t="shared" si="37"/>
        <v>"%USERPROFILE%\Documents\GitHub\eaglep3\Utilities\RefineRTDCRunTimes.py" --tripid 223-05 --locoid 4029 --swversion DE.1.0.9.0 --startMP 204:467 --initTime 2017-03-05T19:23:38 --startdatetime 2017-03-05T19:30:23 --delay 1 --endMP 204:233319 --enddatetime 2017-03-05T20:05:44 --enforcementcount 0 &gt;&gt;C:\Users\stu\Documents\GitHub\eaglep3-reporting\EC\2017-03-05-refined-times.txt</v>
      </c>
      <c r="AI136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{"issue":{"subject":"","project_id":79,"tracker_id":40,"status_id":1,"priority_id":2,"assigned_to_id":23,"start_date":"2017-03-05","description":"","custom_fields":[{"id":1,"name":"Subdivision","value":"EC"},{"id":4,"name":"Milepost","value":"23.3319"},{"id":17,"name":"Train ID","value":"223-05"},{"id":16,"name":"Locomotive ID","value":"4029"},{"id":130,"name":"Impact","value":""},{"id":150,"name":"Time of Event (Mountain Time)","value":"20:05:44"},{"id":151,"name":"Denver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4029 --day 2017-03-05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"%USERPROFILE%\AppData\Local\Temp\OnboardLogs"\RTDC4029\*4029*20170306* | grep -SE "(Enforcement Action)|(\[TIMEOUT)|(CHR.+\|PRM\|1\|D.+(SWITCH|SIGNAL).+UNKNOWN)" - &gt;&gt; 2017-03-05-UncaughtWiMAX.txt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757</v>
      </c>
      <c r="B137" s="7">
        <v>4030</v>
      </c>
      <c r="C137" s="21" t="s">
        <v>252</v>
      </c>
      <c r="D137" s="21" t="s">
        <v>341</v>
      </c>
      <c r="E137" s="13">
        <v>42799.842199074075</v>
      </c>
      <c r="F137" s="13">
        <v>42799.8518287037</v>
      </c>
      <c r="G137" s="7">
        <v>1</v>
      </c>
      <c r="H137" s="21" t="s">
        <v>184</v>
      </c>
      <c r="I137" s="13">
        <v>42799.878680555557</v>
      </c>
      <c r="J137" s="7">
        <v>0</v>
      </c>
      <c r="K137" s="98" t="str">
        <f t="shared" si="23"/>
        <v>4029/4030</v>
      </c>
      <c r="L137" s="21" t="str">
        <f>VLOOKUP(A137,'Trips&amp;Operators'!$C$1:$G$99999,5,FALSE)</f>
        <v>NEWELL JAMES</v>
      </c>
      <c r="M137" s="6">
        <f t="shared" si="24"/>
        <v>2.6851851856918074E-2</v>
      </c>
      <c r="N137" s="7">
        <f t="shared" si="44"/>
        <v>38.666666673962027</v>
      </c>
      <c r="O137" s="7"/>
      <c r="P137" s="7"/>
      <c r="Q137" s="22"/>
      <c r="R137" s="22"/>
      <c r="S137" s="31">
        <f t="shared" si="36"/>
        <v>1</v>
      </c>
      <c r="T137" s="46" t="str">
        <f t="shared" si="25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-03-05T19:12:46-0700',mode:absolute,to:'2017-03-05T22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87" t="str">
        <f t="shared" si="27"/>
        <v>N</v>
      </c>
      <c r="X137" s="187">
        <f t="shared" si="43"/>
        <v>1</v>
      </c>
      <c r="Y137" s="62">
        <f t="shared" si="29"/>
        <v>23.298500000000001</v>
      </c>
      <c r="Z137" s="62">
        <f t="shared" si="30"/>
        <v>1.49E-2</v>
      </c>
      <c r="AA137" s="62">
        <f t="shared" si="31"/>
        <v>23.2836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0224-05</v>
      </c>
      <c r="AE137" s="85" t="str">
        <f t="shared" si="33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137" s="82" t="str">
        <f t="shared" si="34"/>
        <v>"C:\Program Files (x86)\AstroGrep\AstroGrep.exe" /spath="%USERPROFILE%\AppData\Local\Temp\OnboardLogs" /stypes="app*4030*20170306*" /stext=" 04:.+((SYSTEM_STATE.+slice.+state.+changed )|(ment ac)|(multiple cpu faults)|(system.+state.+changed )|(\[timeout)|(PRM\|1\|D)|(kpr)|(kdp)|(\|loc)|(crossing.((167)|(168)|(199)|(200))))" /e /r /s</v>
      </c>
      <c r="AG137" s="1" t="str">
        <f t="shared" si="35"/>
        <v>EC</v>
      </c>
      <c r="AH137" s="86" t="str">
        <f t="shared" si="37"/>
        <v>"%USERPROFILE%\Documents\GitHub\eaglep3\Utilities\RefineRTDCRunTimes.py" --tripid 224-05 --locoid 4030 --swversion DE.1.0.9.0 --startMP 204:232985 --initTime 2017-03-05T20:12:46 --startdatetime 2017-03-05T20:26:38 --delay 1 --endMP 204:149 --enddatetime 2017-03-05T21:05:18 --enforcementcount 0 &gt;&gt;C:\Users\stu\Documents\GitHub\eaglep3-reporting\EC\2017-03-05-refined-times.txt</v>
      </c>
      <c r="AI137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{"issue":{"subject":"","project_id":79,"tracker_id":40,"status_id":1,"priority_id":2,"assigned_to_id":23,"start_date":"2017-03-05","description":"","custom_fields":[{"id":1,"name":"Subdivision","value":"EC"},{"id":4,"name":"Milepost","value":"0.0149"},{"id":17,"name":"Train ID","value":"224-05"},{"id":16,"name":"Locomotive ID","value":"4030"},{"id":130,"name":"Impact","value":""},{"id":150,"name":"Time of Event (Mountain Time)","value":"21:05:18"},{"id":151,"name":"Denver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4030 --day 2017-03-05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755</v>
      </c>
      <c r="B138" s="7">
        <v>4044</v>
      </c>
      <c r="C138" s="21" t="s">
        <v>252</v>
      </c>
      <c r="D138" s="21" t="s">
        <v>253</v>
      </c>
      <c r="E138" s="13">
        <v>42799.828645833331</v>
      </c>
      <c r="F138" s="13">
        <v>42799.833703703705</v>
      </c>
      <c r="G138" s="7">
        <v>2</v>
      </c>
      <c r="H138" s="21" t="s">
        <v>307</v>
      </c>
      <c r="I138" s="13">
        <v>42799.860393518517</v>
      </c>
      <c r="J138" s="7">
        <v>0</v>
      </c>
      <c r="K138" s="98" t="str">
        <f t="shared" si="23"/>
        <v>4043/4044</v>
      </c>
      <c r="L138" s="21" t="str">
        <f>VLOOKUP(A138,'Trips&amp;Operators'!$C$1:$G$99999,5,FALSE)</f>
        <v>DUNCAN SHEILA</v>
      </c>
      <c r="M138" s="6">
        <f t="shared" si="24"/>
        <v>2.6689814811106771E-2</v>
      </c>
      <c r="N138" s="7">
        <f t="shared" si="44"/>
        <v>38.433333327993751</v>
      </c>
      <c r="O138" s="7"/>
      <c r="P138" s="7"/>
      <c r="Q138" s="22"/>
      <c r="R138" s="22"/>
      <c r="S138" s="31">
        <f t="shared" si="36"/>
        <v>1</v>
      </c>
      <c r="T138" s="46" t="str">
        <f t="shared" si="25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-03-05T18:53:15-0700',mode:absolute,to:'2017-03-05T21:38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187" t="str">
        <f t="shared" si="27"/>
        <v>N</v>
      </c>
      <c r="X138" s="187">
        <f t="shared" si="43"/>
        <v>1</v>
      </c>
      <c r="Y138" s="62">
        <f t="shared" si="29"/>
        <v>4.58E-2</v>
      </c>
      <c r="Z138" s="62">
        <f t="shared" si="30"/>
        <v>23.329499999999999</v>
      </c>
      <c r="AA138" s="62">
        <f t="shared" si="31"/>
        <v>23.2837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0225-05</v>
      </c>
      <c r="AE138" s="85" t="str">
        <f t="shared" si="33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138" s="82" t="str">
        <f t="shared" si="34"/>
        <v>"C:\Program Files (x86)\AstroGrep\AstroGrep.exe" /spath="%USERPROFILE%\AppData\Local\Temp\OnboardLogs" /stypes="app*4044*20170306*" /stext=" 03:.+((SYSTEM_STATE.+slice.+state.+changed )|(ment ac)|(multiple cpu faults)|(system.+state.+changed )|(\[timeout)|(PRM\|1\|D)|(kpr)|(kdp)|(\|loc)|(crossing.((167)|(168)|(199)|(200))))" /e /r /s</v>
      </c>
      <c r="AG138" s="1" t="str">
        <f t="shared" si="35"/>
        <v>EC</v>
      </c>
      <c r="AH138" s="86" t="str">
        <f t="shared" si="37"/>
        <v>"%USERPROFILE%\Documents\GitHub\eaglep3\Utilities\RefineRTDCRunTimes.py" --tripid 225-05 --locoid 4044 --swversion DE.1.0.9.0 --startMP 204:458 --initTime 2017-03-05T19:53:15 --startdatetime 2017-03-05T20:00:32 --delay 2 --endMP 204:233295 --enddatetime 2017-03-05T20:38:58 --enforcementcount 0 &gt;&gt;C:\Users\stu\Documents\GitHub\eaglep3-reporting\EC\2017-03-05-refined-times.txt</v>
      </c>
      <c r="AI138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{"issue":{"subject":"","project_id":79,"tracker_id":40,"status_id":1,"priority_id":2,"assigned_to_id":23,"start_date":"2017-03-05","description":"","custom_fields":[{"id":1,"name":"Subdivision","value":"EC"},{"id":4,"name":"Milepost","value":"23.3295"},{"id":17,"name":"Train ID","value":"225-05"},{"id":16,"name":"Locomotive ID","value":"4044"},{"id":130,"name":"Impact","value":""},{"id":150,"name":"Time of Event (Mountain Time)","value":"20:38:58"},{"id":151,"name":"Denver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4044 --day 2017-03-05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563</v>
      </c>
      <c r="B139" s="7">
        <v>4043</v>
      </c>
      <c r="C139" s="21" t="s">
        <v>252</v>
      </c>
      <c r="D139" s="21" t="s">
        <v>822</v>
      </c>
      <c r="E139" s="13">
        <v>42799.864317129628</v>
      </c>
      <c r="F139" s="13">
        <v>42799.872384259259</v>
      </c>
      <c r="G139" s="7">
        <v>3</v>
      </c>
      <c r="H139" s="21" t="s">
        <v>334</v>
      </c>
      <c r="I139" s="13">
        <v>42799.901435185187</v>
      </c>
      <c r="J139" s="7">
        <v>0</v>
      </c>
      <c r="K139" s="98" t="str">
        <f t="shared" si="23"/>
        <v>4043/4044</v>
      </c>
      <c r="L139" s="21" t="str">
        <f>VLOOKUP(A139,'Trips&amp;Operators'!$C$1:$G$99999,5,FALSE)</f>
        <v>DUNCAN SHEILA</v>
      </c>
      <c r="M139" s="6">
        <f t="shared" si="24"/>
        <v>2.9050925928459037E-2</v>
      </c>
      <c r="N139" s="7">
        <f t="shared" si="44"/>
        <v>41.833333336981013</v>
      </c>
      <c r="O139" s="7"/>
      <c r="P139" s="7"/>
      <c r="Q139" s="22"/>
      <c r="R139" s="22"/>
      <c r="S139" s="31">
        <f t="shared" si="36"/>
        <v>1</v>
      </c>
      <c r="T139" s="46" t="str">
        <f t="shared" si="25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-03-05T19:44:37-0700',mode:absolute,to:'2017-03-05T22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187" t="str">
        <f t="shared" si="27"/>
        <v>N</v>
      </c>
      <c r="X139" s="187">
        <f t="shared" si="43"/>
        <v>1</v>
      </c>
      <c r="Y139" s="62">
        <f t="shared" si="29"/>
        <v>23.2972</v>
      </c>
      <c r="Z139" s="62">
        <f t="shared" si="30"/>
        <v>1.6899999999999998E-2</v>
      </c>
      <c r="AA139" s="62">
        <f t="shared" si="31"/>
        <v>23.2803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0226-05</v>
      </c>
      <c r="AE139" s="85" t="str">
        <f t="shared" si="33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139" s="82" t="str">
        <f t="shared" si="34"/>
        <v>"C:\Program Files (x86)\AstroGrep\AstroGrep.exe" /spath="%USERPROFILE%\AppData\Local\Temp\OnboardLogs" /stypes="app*4043*20170306*" /stext=" 04:.+((SYSTEM_STATE.+slice.+state.+changed )|(ment ac)|(multiple cpu faults)|(system.+state.+changed )|(\[timeout)|(PRM\|1\|D)|(kpr)|(kdp)|(\|loc)|(crossing.((167)|(168)|(199)|(200))))" /e /r /s</v>
      </c>
      <c r="AG139" s="1" t="str">
        <f t="shared" si="35"/>
        <v>EC</v>
      </c>
      <c r="AH139" s="86" t="str">
        <f t="shared" si="37"/>
        <v>"%USERPROFILE%\Documents\GitHub\eaglep3\Utilities\RefineRTDCRunTimes.py" --tripid 226-05 --locoid 4043 --swversion DE.1.0.9.0 --startMP 204:232972 --initTime 2017-03-05T20:44:37 --startdatetime 2017-03-05T20:56:14 --delay 3 --endMP 204:169 --enddatetime 2017-03-05T21:38:04 --enforcementcount 0 &gt;&gt;C:\Users\stu\Documents\GitHub\eaglep3-reporting\EC\2017-03-05-refined-times.txt</v>
      </c>
      <c r="AI139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{"issue":{"subject":"","project_id":79,"tracker_id":40,"status_id":1,"priority_id":2,"assigned_to_id":23,"start_date":"2017-03-05","description":"","custom_fields":[{"id":1,"name":"Subdivision","value":"EC"},{"id":4,"name":"Milepost","value":"0.0169"},{"id":17,"name":"Train ID","value":"226-05"},{"id":16,"name":"Locomotive ID","value":"4043"},{"id":130,"name":"Impact","value":""},{"id":150,"name":"Time of Event (Mountain Time)","value":"21:38:04"},{"id":151,"name":"Denver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4043 --day 2017-03-05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"%USERPROFILE%\AppData\Local\Temp\OnboardLogs"\RTDC4043\*4043*20170306* | grep -SE "(Enforcement Action)|(\[TIMEOUT)|(CHR.+\|PRM\|1\|D.+(SWITCH|SIGNAL).+UNKNOWN)" - &gt;&gt; 2017-03-05-UncaughtWiMAX.txt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756</v>
      </c>
      <c r="B140" s="7">
        <v>4016</v>
      </c>
      <c r="C140" s="21" t="s">
        <v>252</v>
      </c>
      <c r="D140" s="21" t="s">
        <v>247</v>
      </c>
      <c r="E140" s="13">
        <v>42799.839525462965</v>
      </c>
      <c r="F140" s="13">
        <v>42799.854583333334</v>
      </c>
      <c r="G140" s="7">
        <v>1</v>
      </c>
      <c r="H140" s="21" t="s">
        <v>877</v>
      </c>
      <c r="I140" s="13">
        <v>42799.879074074073</v>
      </c>
      <c r="J140" s="7">
        <v>0</v>
      </c>
      <c r="K140" s="98" t="str">
        <f t="shared" si="23"/>
        <v>4015/4016</v>
      </c>
      <c r="L140" s="21" t="str">
        <f>VLOOKUP(A140,'Trips&amp;Operators'!$C$1:$G$99999,5,FALSE)</f>
        <v>STAMBAUGH JAMES</v>
      </c>
      <c r="M140" s="6">
        <f t="shared" si="24"/>
        <v>2.4490740739565808E-2</v>
      </c>
      <c r="N140" s="7">
        <f t="shared" si="44"/>
        <v>35.266666664974764</v>
      </c>
      <c r="O140" s="7"/>
      <c r="P140" s="7"/>
      <c r="Q140" s="22"/>
      <c r="R140" s="22"/>
      <c r="S140" s="31">
        <f t="shared" si="36"/>
        <v>1</v>
      </c>
      <c r="T140" s="46" t="str">
        <f t="shared" si="25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-03-05T19:08:55-0700',mode:absolute,to:'2017-03-05T22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187" t="str">
        <f t="shared" si="27"/>
        <v>N</v>
      </c>
      <c r="X140" s="187">
        <f t="shared" si="43"/>
        <v>1</v>
      </c>
      <c r="Y140" s="62">
        <f t="shared" si="29"/>
        <v>4.6600000000000003E-2</v>
      </c>
      <c r="Z140" s="62">
        <f t="shared" si="30"/>
        <v>23.339500000000001</v>
      </c>
      <c r="AA140" s="62">
        <f t="shared" si="31"/>
        <v>23.292899999999999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0227-05</v>
      </c>
      <c r="AE140" s="85" t="str">
        <f t="shared" si="33"/>
        <v>aws s3 cp s3://rtdc.mdm.uploadarchive.raw/RTDC4016/ "%USERPROFILE%\AppData\Local\Temp\OnboardLogs"\RTDC4016\2017-03-05 --exclude "*" --recursive --include "*20170305*" &amp; "%USERPROFILE%\Documents\GitHub\mrs-test-scripts\Headless Mode &amp; Sideloading\WalkAndUnGZ.bat" "%USERPROFILE%\AppData\Local\Temp\OnboardLogs"\RTDC4016\2017-03-05 &amp; 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</v>
      </c>
      <c r="AF140" s="82" t="str">
        <f t="shared" si="34"/>
        <v>"C:\Program Files (x86)\AstroGrep\AstroGrep.exe" /spath="%USERPROFILE%\AppData\Local\Temp\OnboardLogs" /stypes="app*4016*20170306*" /stext=" 04:.+((SYSTEM_STATE.+slice.+state.+changed )|(ment ac)|(multiple cpu faults)|(system.+state.+changed )|(\[timeout)|(PRM\|1\|D)|(kpr)|(kdp)|(\|loc)|(crossing.((167)|(168)|(199)|(200))))" /e /r /s</v>
      </c>
      <c r="AG140" s="1" t="str">
        <f t="shared" si="35"/>
        <v>EC</v>
      </c>
      <c r="AH140" s="86" t="str">
        <f t="shared" si="37"/>
        <v>"%USERPROFILE%\Documents\GitHub\eaglep3\Utilities\RefineRTDCRunTimes.py" --tripid 227-05 --locoid 4016 --swversion DE.1.0.9.0 --startMP 204:466 --initTime 2017-03-05T20:08:55 --startdatetime 2017-03-05T20:30:36 --delay 1 --endMP 204:233395 --enddatetime 2017-03-05T21:05:52 --enforcementcount 0 &gt;&gt;C:\Users\stu\Documents\GitHub\eaglep3-reporting\EC\2017-03-05-refined-times.txt</v>
      </c>
      <c r="AI140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{"issue":{"subject":"","project_id":79,"tracker_id":40,"status_id":1,"priority_id":2,"assigned_to_id":23,"start_date":"2017-03-05","description":"","custom_fields":[{"id":1,"name":"Subdivision","value":"EC"},{"id":4,"name":"Milepost","value":"23.3395"},{"id":17,"name":"Train ID","value":"227-05"},{"id":16,"name":"Locomotive ID","value":"4016"},{"id":130,"name":"Impact","value":""},{"id":150,"name":"Time of Event (Mountain Time)","value":"21:05:52"},{"id":151,"name":"Denver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4016 --day 2017-03-05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"%USERPROFILE%\AppData\Local\Temp\OnboardLogs"\RTDC4016\*4016*20170306* | grep -SE "(Enforcement Action)|(\[TIMEOUT)|(CHR.+\|PRM\|1\|D.+(SWITCH|SIGNAL).+UNKNOWN)" - &gt;&gt; 2017-03-05-UncaughtWiMAX.txt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763</v>
      </c>
      <c r="B141" s="7">
        <v>4015</v>
      </c>
      <c r="C141" s="21" t="s">
        <v>252</v>
      </c>
      <c r="D141" s="21" t="s">
        <v>878</v>
      </c>
      <c r="E141" s="13">
        <v>42799.882118055553</v>
      </c>
      <c r="F141" s="13">
        <v>42799.893425925926</v>
      </c>
      <c r="G141" s="7">
        <v>2</v>
      </c>
      <c r="H141" s="21" t="s">
        <v>203</v>
      </c>
      <c r="I141" s="13">
        <v>42799.92019675926</v>
      </c>
      <c r="J141" s="7">
        <v>0</v>
      </c>
      <c r="K141" s="98" t="str">
        <f t="shared" ref="K141:K204" si="45">IF(ISEVEN(B141),(B141-1)&amp;"/"&amp;B141,B141&amp;"/"&amp;(B141+1))</f>
        <v>4015/4016</v>
      </c>
      <c r="L141" s="21" t="str">
        <f>VLOOKUP(A141,'Trips&amp;Operators'!$C$1:$G$99999,5,FALSE)</f>
        <v>STAMBAUGH JAMES</v>
      </c>
      <c r="M141" s="6">
        <f t="shared" ref="M141:M204" si="46">I141-F141</f>
        <v>2.6770833334012423E-2</v>
      </c>
      <c r="N141" s="7">
        <f t="shared" si="44"/>
        <v>38.550000000977889</v>
      </c>
      <c r="O141" s="7"/>
      <c r="P141" s="7"/>
      <c r="Q141" s="22"/>
      <c r="R141" s="22"/>
      <c r="S141" s="31">
        <f t="shared" si="36"/>
        <v>1</v>
      </c>
      <c r="T141" s="46" t="str">
        <f t="shared" ref="T141:T204" si="47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4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-05T20:10:15-0700',mode:absolute,to:'2017-03-05T23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1" s="187" t="str">
        <f t="shared" ref="W141:W204" si="49">IF(AA141&lt;IF(AG141="EC",23,5.65),"Y","N")</f>
        <v>N</v>
      </c>
      <c r="X141" s="187">
        <f t="shared" ref="X141:X155" si="50">VALUE(LEFT(AD141,4))-VALUE(LEFT(AD140,4))</f>
        <v>1</v>
      </c>
      <c r="Y141" s="62">
        <f t="shared" ref="Y141:Y204" si="51">RIGHT(D141,LEN(D141)-4)/10000</f>
        <v>23.309799999999999</v>
      </c>
      <c r="Z141" s="62">
        <f t="shared" ref="Z141:Z204" si="52">RIGHT(H141,LEN(H141)-4)/10000</f>
        <v>1.52E-2</v>
      </c>
      <c r="AA141" s="62">
        <f t="shared" ref="AA141:AA204" si="53">ABS(Z141-Y141)</f>
        <v>23.294599999999999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4">IF(LEN(A141)=6,"0"&amp;A141,A141)</f>
        <v>0228-05</v>
      </c>
      <c r="AE141" s="85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41" s="82" t="str">
        <f t="shared" ref="AF141:AF204" si="5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/stypes="app*4015*20170306*" /stext=" 05:.+((SYSTEM_STATE.+slice.+state.+changed )|(ment ac)|(multiple cpu faults)|(system.+state.+changed )|(\[timeout)|(PRM\|1\|D)|(kpr)|(kdp)|(\|loc)|(crossing.((167)|(168)|(199)|(200))))"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86" t="str">
        <f t="shared" si="37"/>
        <v>"%USERPROFILE%\Documents\GitHub\eaglep3\Utilities\RefineRTDCRunTimes.py" --tripid 228-05 --locoid 4015 --swversion DE.1.0.9.0 --startMP 204:233098 --initTime 2017-03-05T21:10:15 --startdatetime 2017-03-05T21:26:32 --delay 2 --endMP 204:152 --enddatetime 2017-03-05T22:05:05 --enforcementcount 0 &gt;&gt;C:\Users\stu\Documents\GitHub\eaglep3-reporting\EC\2017-03-05-refined-times.txt</v>
      </c>
      <c r="AI141" s="108" t="str">
        <f t="shared" si="38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ID","value":"228-05"},{"id":16,"name":"Locomotive ID","value":"4015"},{"id":130,"name":"Impact","value":""},{"id":150,"name":"Time of Event (Mountain Time)","value":"22:05:05"},{"id":151,"name":"Denver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9"/>
        <v>start /low /b %USERPROFILE%\Documents\GitHub\eaglep3\Utilities\DownloadLogsFromS3.py --loco 4015 --day 2017-03-05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"%USERPROFILE%\AppData\Local\Temp\OnboardLogs"\RTDC4015\*4015*20170306* | grep -SE "(Enforcement Action)|(\[TIMEOUT)|(CHR.+\|PRM\|1\|D.+(SWITCH|SIGNAL).+UNKNOWN)" - &gt;&gt; 2017-03-05-UncaughtWiMAX.txt</v>
      </c>
    </row>
    <row r="142" spans="1:91" s="20" customFormat="1" x14ac:dyDescent="0.25">
      <c r="A142" s="33" t="s">
        <v>761</v>
      </c>
      <c r="B142" s="7">
        <v>4027</v>
      </c>
      <c r="C142" s="21" t="s">
        <v>252</v>
      </c>
      <c r="D142" s="21" t="s">
        <v>228</v>
      </c>
      <c r="E142" s="13">
        <v>42799.872870370367</v>
      </c>
      <c r="F142" s="13">
        <v>42799.875300925924</v>
      </c>
      <c r="G142" s="7">
        <v>1</v>
      </c>
      <c r="H142" s="21" t="s">
        <v>261</v>
      </c>
      <c r="I142" s="13">
        <v>42799.900729166664</v>
      </c>
      <c r="J142" s="7">
        <v>0</v>
      </c>
      <c r="K142" s="98" t="str">
        <f t="shared" si="45"/>
        <v>4027/4028</v>
      </c>
      <c r="L142" s="21" t="str">
        <f>VLOOKUP(A142,'Trips&amp;Operators'!$C$1:$G$99999,5,FALSE)</f>
        <v>CHANDLER KELVIN</v>
      </c>
      <c r="M142" s="6">
        <f t="shared" si="46"/>
        <v>2.5428240740438923E-2</v>
      </c>
      <c r="N142" s="7">
        <f t="shared" si="44"/>
        <v>36.616666666232049</v>
      </c>
      <c r="O142" s="7"/>
      <c r="P142" s="7"/>
      <c r="Q142" s="22"/>
      <c r="R142" s="22"/>
      <c r="S142" s="31">
        <f t="shared" ref="S142:S204" si="58">SUM(U142:U142)/IF(AG142="EC",12,1)</f>
        <v>1</v>
      </c>
      <c r="T142" s="46" t="str">
        <f t="shared" si="47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8"/>
        <v>https://d0f6bd738d7f1b3e5a7ca70fe4ff75f0.us-east-1.aws.found.io/app/kibana#/discover/Steve-Slow-Train-Analysis-(2080s-and-2083s)?_g=(refreshInterval:(display:Off,pause:!f,section:0,value:0),time:(from:'2017-03-05T19:56:56-0700',mode:absolute,to:'2017-03-05T22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2" s="187" t="str">
        <f t="shared" si="49"/>
        <v>N</v>
      </c>
      <c r="X142" s="187">
        <f t="shared" si="50"/>
        <v>1</v>
      </c>
      <c r="Y142" s="62">
        <f t="shared" si="51"/>
        <v>4.53E-2</v>
      </c>
      <c r="Z142" s="62">
        <f t="shared" si="52"/>
        <v>23.328900000000001</v>
      </c>
      <c r="AA142" s="62">
        <f t="shared" si="53"/>
        <v>23.2836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4"/>
        <v>0229-05</v>
      </c>
      <c r="AE142" s="85" t="str">
        <f t="shared" si="55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42" s="82" t="str">
        <f t="shared" si="56"/>
        <v>"C:\Program Files (x86)\AstroGrep\AstroGrep.exe" /spath="%USERPROFILE%\AppData\Local\Temp\OnboardLogs" /stypes="app*4027*20170306*" /stext=" 04:.+((SYSTEM_STATE.+slice.+state.+changed )|(ment ac)|(multiple cpu faults)|(system.+state.+changed )|(\[timeout)|(PRM\|1\|D)|(kpr)|(kdp)|(\|loc)|(crossing.((167)|(168)|(199)|(200))))" /e /r /s</v>
      </c>
      <c r="AG142" s="1" t="str">
        <f t="shared" si="57"/>
        <v>EC</v>
      </c>
      <c r="AH142" s="86" t="str">
        <f t="shared" ref="AH142:AH204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229-05 --locoid 4027 --swversion DE.1.0.9.0 --startMP 204:453 --initTime 2017-03-05T20:56:56 --startdatetime 2017-03-05T21:00:26 --delay 1 --endMP 204:233289 --enddatetime 2017-03-05T21:37:03 --enforcementcount 0 &gt;&gt;C:\Users\stu\Documents\GitHub\eaglep3-reporting\EC\2017-03-05-refined-times.txt</v>
      </c>
      <c r="AI142" s="108" t="str">
        <f t="shared" ref="AI142:AI204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{"issue":{"subject":"","project_id":79,"tracker_id":40,"status_id":1,"priority_id":2,"assigned_to_id":23,"start_date":"2017-03-05","description":"","custom_fields":[{"id":1,"name":"Subdivision","value":"EC"},{"id":4,"name":"Milepost","value":"23.3289"},{"id":17,"name":"Train ID","value":"229-05"},{"id":16,"name":"Locomotive ID","value":"4027"},{"id":130,"name":"Impact","value":""},{"id":150,"name":"Time of Event (Mountain Time)","value":"21:37:03"},{"id":151,"name":"Denver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4" si="61">"start /low /b "&amp;dls3logs&amp;" --loco "&amp;B142&amp;" --day "&amp;TEXT(F142,"YYYY-MM-DD")</f>
        <v>start /low /b %USERPROFILE%\Documents\GitHub\eaglep3\Utilities\DownloadLogsFromS3.py --loco 4027 --day 2017-03-05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"%USERPROFILE%\AppData\Local\Temp\OnboardLogs"\RTDC4027\*4027*20170306* | grep -SE "(Enforcement Action)|(\[TIMEOUT)|(CHR.+\|PRM\|1\|D.+(SWITCH|SIGNAL).+UNKNOWN)" - &gt;&gt; 2017-03-05-UncaughtWiMAX.txt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767</v>
      </c>
      <c r="B143" s="7">
        <v>4028</v>
      </c>
      <c r="C143" s="21" t="s">
        <v>252</v>
      </c>
      <c r="D143" s="21" t="s">
        <v>875</v>
      </c>
      <c r="E143" s="13">
        <v>42799.912002314813</v>
      </c>
      <c r="F143" s="13">
        <v>42799.914456018516</v>
      </c>
      <c r="G143" s="7">
        <v>1</v>
      </c>
      <c r="H143" s="21" t="s">
        <v>807</v>
      </c>
      <c r="I143" s="13">
        <v>42799.942118055558</v>
      </c>
      <c r="J143" s="7">
        <v>0</v>
      </c>
      <c r="K143" s="98" t="str">
        <f t="shared" si="45"/>
        <v>4027/4028</v>
      </c>
      <c r="L143" s="21" t="str">
        <f>VLOOKUP(A143,'Trips&amp;Operators'!$C$1:$G$99999,5,FALSE)</f>
        <v>CHANDLER KELVIN</v>
      </c>
      <c r="M143" s="6">
        <f t="shared" si="46"/>
        <v>2.7662037042318843E-2</v>
      </c>
      <c r="N143" s="7">
        <f t="shared" si="44"/>
        <v>39.833333340939134</v>
      </c>
      <c r="O143" s="7"/>
      <c r="P143" s="7"/>
      <c r="Q143" s="22"/>
      <c r="R143" s="22"/>
      <c r="S143" s="31">
        <f t="shared" si="58"/>
        <v>1</v>
      </c>
      <c r="T143" s="46" t="str">
        <f t="shared" si="47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8"/>
        <v>https://d0f6bd738d7f1b3e5a7ca70fe4ff75f0.us-east-1.aws.found.io/app/kibana#/discover/Steve-Slow-Train-Analysis-(2080s-and-2083s)?_g=(refreshInterval:(display:Off,pause:!f,section:0,value:0),time:(from:'2017-03-05T20:53:17-0700',mode:absolute,to:'2017-03-05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87" t="str">
        <f t="shared" si="49"/>
        <v>N</v>
      </c>
      <c r="X143" s="187">
        <f t="shared" si="50"/>
        <v>1</v>
      </c>
      <c r="Y143" s="62">
        <f t="shared" si="51"/>
        <v>23.297599999999999</v>
      </c>
      <c r="Z143" s="62">
        <f t="shared" si="52"/>
        <v>1.6E-2</v>
      </c>
      <c r="AA143" s="62">
        <f t="shared" si="53"/>
        <v>23.281600000000001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4"/>
        <v>0230-05</v>
      </c>
      <c r="AE143" s="85" t="str">
        <f t="shared" si="55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143" s="82" t="str">
        <f t="shared" si="56"/>
        <v>"C:\Program Files (x86)\AstroGrep\AstroGrep.exe" /spath="%USERPROFILE%\AppData\Local\Temp\OnboardLogs" /stypes="app*4028*20170306*" /stext=" 05:.+((SYSTEM_STATE.+slice.+state.+changed )|(ment ac)|(multiple cpu faults)|(system.+state.+changed )|(\[timeout)|(PRM\|1\|D)|(kpr)|(kdp)|(\|loc)|(crossing.((167)|(168)|(199)|(200))))" /e /r /s</v>
      </c>
      <c r="AG143" s="1" t="str">
        <f t="shared" si="57"/>
        <v>EC</v>
      </c>
      <c r="AH143" s="86" t="str">
        <f t="shared" si="59"/>
        <v>"%USERPROFILE%\Documents\GitHub\eaglep3\Utilities\RefineRTDCRunTimes.py" --tripid 230-05 --locoid 4028 --swversion DE.1.0.9.0 --startMP 204:232976 --initTime 2017-03-05T21:53:17 --startdatetime 2017-03-05T21:56:49 --delay 1 --endMP 204:160 --enddatetime 2017-03-05T22:36:39 --enforcementcount 0 &gt;&gt;C:\Users\stu\Documents\GitHub\eaglep3-reporting\EC\2017-03-05-refined-times.txt</v>
      </c>
      <c r="AI143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{"issue":{"subject":"","project_id":79,"tracker_id":40,"status_id":1,"priority_id":2,"assigned_to_id":23,"start_date":"2017-03-05","description":"","custom_fields":[{"id":1,"name":"Subdivision","value":"EC"},{"id":4,"name":"Milepost","value":"0.016"},{"id":17,"name":"Train ID","value":"230-05"},{"id":16,"name":"Locomotive ID","value":"4028"},{"id":130,"name":"Impact","value":""},{"id":150,"name":"Time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1"/>
        <v>start /low /b %USERPROFILE%\Documents\GitHub\eaglep3\Utilities\DownloadLogsFromS3.py --loco 4028 --day 2017-03-05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"%USERPROFILE%\AppData\Local\Temp\OnboardLogs"\RTDC4028\*4028*20170306* | grep -SE "(Enforcement Action)|(\[TIMEOUT)|(CHR.+\|PRM\|1\|D.+(SWITCH|SIGNAL).+UNKNOWN)" - &gt;&gt; 2017-03-05-UncaughtWiMAX.txt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762</v>
      </c>
      <c r="B144" s="7">
        <v>4029</v>
      </c>
      <c r="C144" s="21" t="s">
        <v>252</v>
      </c>
      <c r="D144" s="21" t="s">
        <v>246</v>
      </c>
      <c r="E144" s="13">
        <v>42799.879826388889</v>
      </c>
      <c r="F144" s="13">
        <v>42799.896006944444</v>
      </c>
      <c r="G144" s="7">
        <v>1</v>
      </c>
      <c r="H144" s="21" t="s">
        <v>278</v>
      </c>
      <c r="I144" s="13">
        <v>42799.920543981483</v>
      </c>
      <c r="J144" s="7">
        <v>0</v>
      </c>
      <c r="K144" s="98" t="str">
        <f t="shared" si="45"/>
        <v>4029/4030</v>
      </c>
      <c r="L144" s="21" t="str">
        <f>VLOOKUP(A144,'Trips&amp;Operators'!$C$1:$G$99999,5,FALSE)</f>
        <v>NEWELL JAMES</v>
      </c>
      <c r="M144" s="6">
        <f t="shared" si="46"/>
        <v>2.453703703940846E-2</v>
      </c>
      <c r="N144" s="7">
        <f t="shared" si="44"/>
        <v>35.333333336748183</v>
      </c>
      <c r="O144" s="7"/>
      <c r="P144" s="7"/>
      <c r="Q144" s="22"/>
      <c r="R144" s="22"/>
      <c r="S144" s="31">
        <f t="shared" si="58"/>
        <v>1</v>
      </c>
      <c r="T144" s="46" t="str">
        <f t="shared" si="47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8"/>
        <v>https://d0f6bd738d7f1b3e5a7ca70fe4ff75f0.us-east-1.aws.found.io/app/kibana#/discover/Steve-Slow-Train-Analysis-(2080s-and-2083s)?_g=(refreshInterval:(display:Off,pause:!f,section:0,value:0),time:(from:'2017-03-05T20:06:57-0700',mode:absolute,to:'2017-03-05T23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87" t="str">
        <f t="shared" si="49"/>
        <v>N</v>
      </c>
      <c r="X144" s="187">
        <f t="shared" si="50"/>
        <v>1</v>
      </c>
      <c r="Y144" s="62">
        <f t="shared" si="51"/>
        <v>4.4699999999999997E-2</v>
      </c>
      <c r="Z144" s="62">
        <f t="shared" si="52"/>
        <v>23.331199999999999</v>
      </c>
      <c r="AA144" s="62">
        <f t="shared" si="53"/>
        <v>23.2865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4"/>
        <v>0231-05</v>
      </c>
      <c r="AE144" s="85" t="str">
        <f t="shared" si="55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144" s="82" t="str">
        <f t="shared" si="56"/>
        <v>"C:\Program Files (x86)\AstroGrep\AstroGrep.exe" /spath="%USERPROFILE%\AppData\Local\Temp\OnboardLogs" /stypes="app*4029*20170306*" /stext=" 05:.+((SYSTEM_STATE.+slice.+state.+changed )|(ment ac)|(multiple cpu faults)|(system.+state.+changed )|(\[timeout)|(PRM\|1\|D)|(kpr)|(kdp)|(\|loc)|(crossing.((167)|(168)|(199)|(200))))" /e /r /s</v>
      </c>
      <c r="AG144" s="1" t="str">
        <f t="shared" si="57"/>
        <v>EC</v>
      </c>
      <c r="AH144" s="86" t="str">
        <f t="shared" si="59"/>
        <v>"%USERPROFILE%\Documents\GitHub\eaglep3\Utilities\RefineRTDCRunTimes.py" --tripid 231-05 --locoid 4029 --swversion DE.1.0.9.0 --startMP 204:447 --initTime 2017-03-05T21:06:57 --startdatetime 2017-03-05T21:30:15 --delay 1 --endMP 204:233312 --enddatetime 2017-03-05T22:05:35 --enforcementcount 0 &gt;&gt;C:\Users\stu\Documents\GitHub\eaglep3-reporting\EC\2017-03-05-refined-times.txt</v>
      </c>
      <c r="AI144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{"issue":{"subject":"","project_id":79,"tracker_id":40,"status_id":1,"priority_id":2,"assigned_to_id":23,"start_date":"2017-03-05","description":"","custom_fields":[{"id":1,"name":"Subdivision","value":"EC"},{"id":4,"name":"Milepost","value":"23.3312"},{"id":17,"name":"Train ID","value":"231-05"},{"id":16,"name":"Locomotive ID","value":"4029"},{"id":130,"name":"Impact","value":""},{"id":150,"name":"Time of Event (Mountain Time)","value":"22:05:35"},{"id":151,"name":"Denver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1"/>
        <v>start /low /b %USERPROFILE%\Documents\GitHub\eaglep3\Utilities\DownloadLogsFromS3.py --loco 4029 --day 2017-03-05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"%USERPROFILE%\AppData\Local\Temp\OnboardLogs"\RTDC4029\*4029*20170306* | grep -SE "(Enforcement Action)|(\[TIMEOUT)|(CHR.+\|PRM\|1\|D.+(SWITCH|SIGNAL).+UNKNOWN)" - &gt;&gt; 2017-03-05-UncaughtWiMAX.txt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771</v>
      </c>
      <c r="B145" s="7">
        <v>4030</v>
      </c>
      <c r="C145" s="21" t="s">
        <v>252</v>
      </c>
      <c r="D145" s="21" t="s">
        <v>284</v>
      </c>
      <c r="E145" s="13">
        <v>42799.932372685187</v>
      </c>
      <c r="F145" s="13">
        <v>42799.934872685182</v>
      </c>
      <c r="G145" s="7">
        <v>0</v>
      </c>
      <c r="H145" s="21" t="s">
        <v>203</v>
      </c>
      <c r="I145" s="13">
        <v>42799.962222222224</v>
      </c>
      <c r="J145" s="7">
        <v>0</v>
      </c>
      <c r="K145" s="98" t="str">
        <f t="shared" si="45"/>
        <v>4029/4030</v>
      </c>
      <c r="L145" s="21" t="str">
        <f>VLOOKUP(A145,'Trips&amp;Operators'!$C$1:$G$99999,5,FALSE)</f>
        <v>NEWELL JAMES</v>
      </c>
      <c r="M145" s="6">
        <f t="shared" si="46"/>
        <v>2.7349537042027805E-2</v>
      </c>
      <c r="N145" s="7">
        <f t="shared" si="44"/>
        <v>39.383333340520039</v>
      </c>
      <c r="O145" s="7"/>
      <c r="P145" s="7"/>
      <c r="Q145" s="22"/>
      <c r="R145" s="22"/>
      <c r="S145" s="31">
        <f t="shared" si="58"/>
        <v>1</v>
      </c>
      <c r="T145" s="46" t="str">
        <f t="shared" si="47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8"/>
        <v>https://d0f6bd738d7f1b3e5a7ca70fe4ff75f0.us-east-1.aws.found.io/app/kibana#/discover/Steve-Slow-Train-Analysis-(2080s-and-2083s)?_g=(refreshInterval:(display:Off,pause:!f,section:0,value:0),time:(from:'2017-03-05T21:22:37-0700',mode:absolute,to:'2017-03-06T00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87" t="str">
        <f t="shared" si="49"/>
        <v>N</v>
      </c>
      <c r="X145" s="187">
        <f t="shared" si="50"/>
        <v>1</v>
      </c>
      <c r="Y145" s="62">
        <f t="shared" si="51"/>
        <v>23.299800000000001</v>
      </c>
      <c r="Z145" s="62">
        <f t="shared" si="52"/>
        <v>1.52E-2</v>
      </c>
      <c r="AA145" s="62">
        <f t="shared" si="53"/>
        <v>23.284600000000001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4"/>
        <v>0232-05</v>
      </c>
      <c r="AE145" s="85" t="str">
        <f t="shared" si="55"/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AF145" s="82" t="str">
        <f t="shared" si="56"/>
        <v>"C:\Program Files (x86)\AstroGrep\AstroGrep.exe" /spath="%USERPROFILE%\AppData\Local\Temp\OnboardLogs" /stypes="app*4030*20170306*" /stext=" 06:.+((SYSTEM_STATE.+slice.+state.+changed )|(ment ac)|(multiple cpu faults)|(system.+state.+changed )|(\[timeout)|(PRM\|1\|D)|(kpr)|(kdp)|(\|loc)|(crossing.((167)|(168)|(199)|(200))))" /e /r /s</v>
      </c>
      <c r="AG145" s="1" t="str">
        <f t="shared" si="57"/>
        <v>EC</v>
      </c>
      <c r="AH145" s="86" t="str">
        <f t="shared" si="59"/>
        <v>"%USERPROFILE%\Documents\GitHub\eaglep3\Utilities\RefineRTDCRunTimes.py" --tripid 232-05 --locoid 4030 --swversion DE.1.0.9.0 --startMP 204:232998 --initTime 2017-03-05T22:22:37 --startdatetime 2017-03-05T22:26:13 --delay 0 --endMP 204:152 --enddatetime 2017-03-05T23:05:36 --enforcementcount 0 &gt;&gt;C:\Users\stu\Documents\GitHub\eaglep3-reporting\EC\2017-03-05-refined-times.txt</v>
      </c>
      <c r="AI145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{"issue":{"subject":"","project_id":79,"tracker_id":40,"status_id":1,"priority_id":2,"assigned_to_id":23,"start_date":"2017-03-05","description":"","custom_fields":[{"id":1,"name":"Subdivision","value":"EC"},{"id":4,"name":"Milepost","value":"0.0152"},{"id":17,"name":"Train ID","value":"232-05"},{"id":16,"name":"Locomotive ID","value":"4030"},{"id":130,"name":"Impact","value":""},{"id":150,"name":"Time of Event (Mountain Time)","value":"23:05:36"},{"id":151,"name":"Denver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1"/>
        <v>start /low /b %USERPROFILE%\Documents\GitHub\eaglep3\Utilities\DownloadLogsFromS3.py --loco 4030 --day 2017-03-05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766</v>
      </c>
      <c r="B146" s="7">
        <v>4044</v>
      </c>
      <c r="C146" s="21" t="s">
        <v>252</v>
      </c>
      <c r="D146" s="21" t="s">
        <v>280</v>
      </c>
      <c r="E146" s="13">
        <v>42799.904652777775</v>
      </c>
      <c r="F146" s="13">
        <v>42799.91684027778</v>
      </c>
      <c r="G146" s="7">
        <v>1</v>
      </c>
      <c r="H146" s="21" t="s">
        <v>242</v>
      </c>
      <c r="I146" s="13">
        <v>42799.943483796298</v>
      </c>
      <c r="J146" s="7">
        <v>0</v>
      </c>
      <c r="K146" s="98" t="str">
        <f t="shared" si="45"/>
        <v>4043/4044</v>
      </c>
      <c r="L146" s="21" t="str">
        <f>VLOOKUP(A146,'Trips&amp;Operators'!$C$1:$G$99999,5,FALSE)</f>
        <v>SMITH MICHAEL</v>
      </c>
      <c r="M146" s="6">
        <f t="shared" si="46"/>
        <v>2.6643518518540077E-2</v>
      </c>
      <c r="N146" s="7">
        <f t="shared" si="44"/>
        <v>38.366666666697711</v>
      </c>
      <c r="O146" s="7"/>
      <c r="P146" s="7"/>
      <c r="Q146" s="22"/>
      <c r="R146" s="22"/>
      <c r="S146" s="31">
        <f t="shared" si="58"/>
        <v>1</v>
      </c>
      <c r="T146" s="46" t="str">
        <f t="shared" si="47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8"/>
        <v>https://d0f6bd738d7f1b3e5a7ca70fe4ff75f0.us-east-1.aws.found.io/app/kibana#/discover/Steve-Slow-Train-Analysis-(2080s-and-2083s)?_g=(refreshInterval:(display:Off,pause:!f,section:0,value:0),time:(from:'2017-03-05T20:42:42-0700',mode:absolute,to:'2017-03-05T23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87" t="str">
        <f t="shared" si="49"/>
        <v>N</v>
      </c>
      <c r="X146" s="187">
        <f t="shared" si="50"/>
        <v>1</v>
      </c>
      <c r="Y146" s="62">
        <f t="shared" si="51"/>
        <v>4.6699999999999998E-2</v>
      </c>
      <c r="Z146" s="62">
        <f t="shared" si="52"/>
        <v>23.331</v>
      </c>
      <c r="AA146" s="62">
        <f t="shared" si="53"/>
        <v>23.284299999999998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4"/>
        <v>0233-05</v>
      </c>
      <c r="AE146" s="85" t="str">
        <f t="shared" si="55"/>
        <v>aws s3 cp s3://rtdc.mdm.uploadarchive.raw/RTDC4044/ "%USERPROFILE%\AppData\Local\Temp\OnboardLogs"\RTDC4044\2017-03-05 --exclude "*" --recursive --include "*20170305*" &amp; "%USERPROFILE%\Documents\GitHub\mrs-test-scripts\Headless Mode &amp; Sideloading\WalkAndUnGZ.bat" "%USERPROFILE%\AppData\Local\Temp\OnboardLogs"\RTDC4044\2017-03-05 &amp; 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</v>
      </c>
      <c r="AF146" s="82" t="str">
        <f t="shared" si="56"/>
        <v>"C:\Program Files (x86)\AstroGrep\AstroGrep.exe" /spath="%USERPROFILE%\AppData\Local\Temp\OnboardLogs" /stypes="app*4044*20170306*" /stext=" 05:.+((SYSTEM_STATE.+slice.+state.+changed )|(ment ac)|(multiple cpu faults)|(system.+state.+changed )|(\[timeout)|(PRM\|1\|D)|(kpr)|(kdp)|(\|loc)|(crossing.((167)|(168)|(199)|(200))))" /e /r /s</v>
      </c>
      <c r="AG146" s="1" t="str">
        <f t="shared" si="57"/>
        <v>EC</v>
      </c>
      <c r="AH146" s="86" t="str">
        <f t="shared" si="59"/>
        <v>"%USERPROFILE%\Documents\GitHub\eaglep3\Utilities\RefineRTDCRunTimes.py" --tripid 233-05 --locoid 4044 --swversion DE.1.0.9.0 --startMP 204:467 --initTime 2017-03-05T21:42:42 --startdatetime 2017-03-05T22:00:15 --delay 1 --endMP 204:233310 --enddatetime 2017-03-05T22:38:37 --enforcementcount 0 &gt;&gt;C:\Users\stu\Documents\GitHub\eaglep3-reporting\EC\2017-03-05-refined-times.txt</v>
      </c>
      <c r="AI146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{"issue":{"subject":"","project_id":79,"tracker_id":40,"status_id":1,"priority_id":2,"assigned_to_id":23,"start_date":"2017-03-05","description":"","custom_fields":[{"id":1,"name":"Subdivision","value":"EC"},{"id":4,"name":"Milepost","value":"23.331"},{"id":17,"name":"Train ID","value":"233-05"},{"id":16,"name":"Locomotive ID","value":"4044"},{"id":130,"name":"Impact","value":""},{"id":150,"name":"Time of Event (Mountain Time)","value":"22:38:37"},{"id":151,"name":"Denver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1"/>
        <v>start /low /b %USERPROFILE%\Documents\GitHub\eaglep3\Utilities\DownloadLogsFromS3.py --loco 4044 --day 2017-03-05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773</v>
      </c>
      <c r="B147" s="7">
        <v>4043</v>
      </c>
      <c r="C147" s="21" t="s">
        <v>252</v>
      </c>
      <c r="D147" s="21" t="s">
        <v>293</v>
      </c>
      <c r="E147" s="13">
        <v>42799.948807870373</v>
      </c>
      <c r="F147" s="13">
        <v>42799.955972222226</v>
      </c>
      <c r="G147" s="7">
        <v>1</v>
      </c>
      <c r="H147" s="21" t="s">
        <v>512</v>
      </c>
      <c r="I147" s="13">
        <v>42799.983807870369</v>
      </c>
      <c r="J147" s="7">
        <v>0</v>
      </c>
      <c r="K147" s="98" t="str">
        <f t="shared" si="45"/>
        <v>4043/4044</v>
      </c>
      <c r="L147" s="21" t="str">
        <f>VLOOKUP(A147,'Trips&amp;Operators'!$C$1:$G$99999,5,FALSE)</f>
        <v>SMITH MICHAEL</v>
      </c>
      <c r="M147" s="6">
        <f t="shared" si="46"/>
        <v>2.7835648143081926E-2</v>
      </c>
      <c r="N147" s="7">
        <f t="shared" si="44"/>
        <v>40.083333326037973</v>
      </c>
      <c r="O147" s="7"/>
      <c r="P147" s="7"/>
      <c r="Q147" s="22"/>
      <c r="R147" s="22"/>
      <c r="S147" s="31">
        <f t="shared" si="58"/>
        <v>1</v>
      </c>
      <c r="T147" s="46" t="str">
        <f t="shared" si="47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8"/>
        <v>https://d0f6bd738d7f1b3e5a7ca70fe4ff75f0.us-east-1.aws.found.io/app/kibana#/discover/Steve-Slow-Train-Analysis-(2080s-and-2083s)?_g=(refreshInterval:(display:Off,pause:!f,section:0,value:0),time:(from:'2017-03-05T21:46:17-0700',mode:absolute,to:'2017-03-06T00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87" t="str">
        <f t="shared" si="49"/>
        <v>N</v>
      </c>
      <c r="X147" s="187">
        <f t="shared" si="50"/>
        <v>1</v>
      </c>
      <c r="Y147" s="62">
        <f t="shared" si="51"/>
        <v>23.297899999999998</v>
      </c>
      <c r="Z147" s="62">
        <f t="shared" si="52"/>
        <v>2.01E-2</v>
      </c>
      <c r="AA147" s="62">
        <f t="shared" si="53"/>
        <v>23.277799999999999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4"/>
        <v>0234-05</v>
      </c>
      <c r="AE147" s="85" t="str">
        <f t="shared" si="55"/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AF147" s="82" t="str">
        <f t="shared" si="56"/>
        <v>"C:\Program Files (x86)\AstroGrep\AstroGrep.exe" /spath="%USERPROFILE%\AppData\Local\Temp\OnboardLogs" /stypes="app*4043*20170306*" /stext=" 06:.+((SYSTEM_STATE.+slice.+state.+changed )|(ment ac)|(multiple cpu faults)|(system.+state.+changed )|(\[timeout)|(PRM\|1\|D)|(kpr)|(kdp)|(\|loc)|(crossing.((167)|(168)|(199)|(200))))" /e /r /s</v>
      </c>
      <c r="AG147" s="1" t="str">
        <f t="shared" si="57"/>
        <v>EC</v>
      </c>
      <c r="AH147" s="86" t="str">
        <f t="shared" si="59"/>
        <v>"%USERPROFILE%\Documents\GitHub\eaglep3\Utilities\RefineRTDCRunTimes.py" --tripid 234-05 --locoid 4043 --swversion DE.1.0.9.0 --startMP 204:232979 --initTime 2017-03-05T22:46:17 --startdatetime 2017-03-05T22:56:36 --delay 1 --endMP 204:201 --enddatetime 2017-03-05T23:36:41 --enforcementcount 0 &gt;&gt;C:\Users\stu\Documents\GitHub\eaglep3-reporting\EC\2017-03-05-refined-times.txt</v>
      </c>
      <c r="AI147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{"issue":{"subject":"","project_id":79,"tracker_id":40,"status_id":1,"priority_id":2,"assigned_to_id":23,"start_date":"2017-03-05","description":"","custom_fields":[{"id":1,"name":"Subdivision","value":"EC"},{"id":4,"name":"Milepost","value":"0.0201"},{"id":17,"name":"Train ID","value":"234-05"},{"id":16,"name":"Locomotive ID","value":"4043"},{"id":130,"name":"Impact","value":""},{"id":150,"name":"Time of Event (Mountain Time)","value":"23:36:41"},{"id":151,"name":"Denver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1"/>
        <v>start /low /b %USERPROFILE%\Documents\GitHub\eaglep3\Utilities\DownloadLogsFromS3.py --loco 4043 --day 2017-03-05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"%USERPROFILE%\AppData\Local\Temp\OnboardLogs"\RTDC4043\*4043*20170306* | grep -SE "(Enforcement Action)|(\[TIMEOUT)|(CHR.+\|PRM\|1\|D.+(SWITCH|SIGNAL).+UNKNOWN)" - &gt;&gt; 2017-03-05-UncaughtWiMAX.txt</v>
      </c>
    </row>
    <row r="148" spans="1:91" x14ac:dyDescent="0.25">
      <c r="A148" s="33" t="s">
        <v>769</v>
      </c>
      <c r="B148" s="7">
        <v>4016</v>
      </c>
      <c r="C148" s="21" t="s">
        <v>252</v>
      </c>
      <c r="D148" s="21" t="s">
        <v>221</v>
      </c>
      <c r="E148" s="13">
        <v>42799.922418981485</v>
      </c>
      <c r="F148" s="13">
        <v>42799.937743055554</v>
      </c>
      <c r="G148" s="7">
        <v>1</v>
      </c>
      <c r="H148" s="21" t="s">
        <v>879</v>
      </c>
      <c r="I148" s="13">
        <v>42799.962592592594</v>
      </c>
      <c r="J148" s="7">
        <v>0</v>
      </c>
      <c r="K148" s="98" t="str">
        <f t="shared" si="45"/>
        <v>4015/4016</v>
      </c>
      <c r="L148" s="21" t="str">
        <f>VLOOKUP(A148,'Trips&amp;Operators'!$C$1:$G$99999,5,FALSE)</f>
        <v>STAMBAUGH JAMES</v>
      </c>
      <c r="M148" s="6">
        <f t="shared" si="46"/>
        <v>2.4849537039699499E-2</v>
      </c>
      <c r="N148" s="7">
        <f t="shared" si="44"/>
        <v>35.783333337167278</v>
      </c>
      <c r="O148" s="7"/>
      <c r="P148" s="7"/>
      <c r="Q148" s="22"/>
      <c r="R148" s="22"/>
      <c r="S148" s="31">
        <f t="shared" si="58"/>
        <v>1</v>
      </c>
      <c r="T148" s="46" t="str">
        <f t="shared" si="47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8"/>
        <v>https://d0f6bd738d7f1b3e5a7ca70fe4ff75f0.us-east-1.aws.found.io/app/kibana#/discover/Steve-Slow-Train-Analysis-(2080s-and-2083s)?_g=(refreshInterval:(display:Off,pause:!f,section:0,value:0),time:(from:'2017-03-05T21:08:17-0700',mode:absolute,to:'2017-03-06T00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187" t="str">
        <f t="shared" si="49"/>
        <v>N</v>
      </c>
      <c r="X148" s="187">
        <f t="shared" si="50"/>
        <v>1</v>
      </c>
      <c r="Y148" s="62">
        <f t="shared" si="51"/>
        <v>4.5999999999999999E-2</v>
      </c>
      <c r="Z148" s="62">
        <f t="shared" si="52"/>
        <v>23.3383</v>
      </c>
      <c r="AA148" s="62">
        <f t="shared" si="53"/>
        <v>23.292300000000001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4"/>
        <v>0235-05</v>
      </c>
      <c r="AE148" s="85" t="str">
        <f t="shared" si="55"/>
        <v>aws s3 cp s3://rtdc.mdm.uploadarchive.raw/RTDC4016/ "%USERPROFILE%\AppData\Local\Temp\OnboardLogs"\RTDC4016\2017-03-05 --exclude "*" --recursive --include "*20170305*" &amp; "%USERPROFILE%\Documents\GitHub\mrs-test-scripts\Headless Mode &amp; Sideloading\WalkAndUnGZ.bat" "%USERPROFILE%\AppData\Local\Temp\OnboardLogs"\RTDC4016\2017-03-05 &amp; 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</v>
      </c>
      <c r="AF148" s="82" t="str">
        <f t="shared" si="56"/>
        <v>"C:\Program Files (x86)\AstroGrep\AstroGrep.exe" /spath="%USERPROFILE%\AppData\Local\Temp\OnboardLogs" /stypes="app*4016*20170306*" /stext=" 06:.+((SYSTEM_STATE.+slice.+state.+changed )|(ment ac)|(multiple cpu faults)|(system.+state.+changed )|(\[timeout)|(PRM\|1\|D)|(kpr)|(kdp)|(\|loc)|(crossing.((167)|(168)|(199)|(200))))" /e /r /s</v>
      </c>
      <c r="AG148" s="1" t="str">
        <f t="shared" si="57"/>
        <v>EC</v>
      </c>
      <c r="AH148" s="86" t="str">
        <f t="shared" si="59"/>
        <v>"%USERPROFILE%\Documents\GitHub\eaglep3\Utilities\RefineRTDCRunTimes.py" --tripid 235-05 --locoid 4016 --swversion DE.1.0.9.0 --startMP 204:460 --initTime 2017-03-05T22:08:17 --startdatetime 2017-03-05T22:30:21 --delay 1 --endMP 204:233383 --enddatetime 2017-03-05T23:06:08 --enforcementcount 0 &gt;&gt;C:\Users\stu\Documents\GitHub\eaglep3-reporting\EC\2017-03-05-refined-times.txt</v>
      </c>
      <c r="AI148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{"issue":{"subject":"","project_id":79,"tracker_id":40,"status_id":1,"priority_id":2,"assigned_to_id":23,"start_date":"2017-03-05","description":"","custom_fields":[{"id":1,"name":"Subdivision","value":"EC"},{"id":4,"name":"Milepost","value":"23.3383"},{"id":17,"name":"Train ID","value":"235-05"},{"id":16,"name":"Locomotive ID","value":"4016"},{"id":130,"name":"Impact","value":""},{"id":150,"name":"Time of Event (Mountain Time)","value":"23:06:08"},{"id":151,"name":"Denver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1"/>
        <v>start /low /b %USERPROFILE%\Documents\GitHub\eaglep3\Utilities\DownloadLogsFromS3.py --loco 4016 --day 2017-03-05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"%USERPROFILE%\AppData\Local\Temp\OnboardLogs"\RTDC4016\*4016*20170306* | grep -SE "(Enforcement Action)|(\[TIMEOUT)|(CHR.+\|PRM\|1\|D.+(SWITCH|SIGNAL).+UNKNOWN)" - &gt;&gt; 2017-03-05-UncaughtWiMAX.txt</v>
      </c>
    </row>
    <row r="149" spans="1:91" x14ac:dyDescent="0.25">
      <c r="A149" s="33" t="s">
        <v>776</v>
      </c>
      <c r="B149" s="7">
        <v>4015</v>
      </c>
      <c r="C149" s="21" t="s">
        <v>252</v>
      </c>
      <c r="D149" s="21" t="s">
        <v>880</v>
      </c>
      <c r="E149" s="13">
        <v>42799.974594907406</v>
      </c>
      <c r="F149" s="13">
        <v>42799.976643518516</v>
      </c>
      <c r="G149" s="7">
        <v>1</v>
      </c>
      <c r="H149" s="21" t="s">
        <v>210</v>
      </c>
      <c r="I149" s="13">
        <v>42800.003252314818</v>
      </c>
      <c r="J149" s="7">
        <v>0</v>
      </c>
      <c r="K149" s="98" t="str">
        <f t="shared" si="45"/>
        <v>4015/4016</v>
      </c>
      <c r="L149" s="21" t="str">
        <f>VLOOKUP(A149,'Trips&amp;Operators'!$C$1:$G$99999,5,FALSE)</f>
        <v>STAMBAUGH JAMES</v>
      </c>
      <c r="M149" s="6">
        <f t="shared" si="46"/>
        <v>2.6608796302753035E-2</v>
      </c>
      <c r="N149" s="7">
        <f t="shared" si="44"/>
        <v>38.31666667596437</v>
      </c>
      <c r="O149" s="7"/>
      <c r="P149" s="7"/>
      <c r="Q149" s="22"/>
      <c r="R149" s="22"/>
      <c r="S149" s="31">
        <f t="shared" si="58"/>
        <v>1</v>
      </c>
      <c r="T149" s="46" t="str">
        <f t="shared" si="47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8"/>
        <v>https://d0f6bd738d7f1b3e5a7ca70fe4ff75f0.us-east-1.aws.found.io/app/kibana#/discover/Steve-Slow-Train-Analysis-(2080s-and-2083s)?_g=(refreshInterval:(display:Off,pause:!f,section:0,value:0),time:(from:'2017-03-05T22:23:25-0700',mode:absolute,to:'2017-03-06T01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187" t="str">
        <f t="shared" si="49"/>
        <v>N</v>
      </c>
      <c r="X149" s="187">
        <f t="shared" si="50"/>
        <v>1</v>
      </c>
      <c r="Y149" s="62">
        <f t="shared" si="51"/>
        <v>23.310400000000001</v>
      </c>
      <c r="Z149" s="62">
        <f t="shared" si="52"/>
        <v>1.54E-2</v>
      </c>
      <c r="AA149" s="62">
        <f t="shared" si="53"/>
        <v>23.295000000000002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4"/>
        <v>0236-05</v>
      </c>
      <c r="AE149" s="85" t="str">
        <f t="shared" si="55"/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49" s="82" t="str">
        <f t="shared" si="56"/>
        <v>"C:\Program Files (x86)\AstroGrep\AstroGrep.exe" /spath="%USERPROFILE%\AppData\Local\Temp\OnboardLogs" /stypes="app*4015*20170306*" /stext=" 07:.+((SYSTEM_STATE.+slice.+state.+changed )|(ment ac)|(multiple cpu faults)|(system.+state.+changed )|(\[timeout)|(PRM\|1\|D)|(kpr)|(kdp)|(\|loc)|(crossing.((167)|(168)|(199)|(200))))" /e /r /s</v>
      </c>
      <c r="AG149" s="1" t="str">
        <f t="shared" si="57"/>
        <v>EC</v>
      </c>
      <c r="AH149" s="86" t="str">
        <f t="shared" si="59"/>
        <v>"%USERPROFILE%\Documents\GitHub\eaglep3\Utilities\RefineRTDCRunTimes.py" --tripid 236-05 --locoid 4015 --swversion DE.1.0.9.0 --startMP 204:233104 --initTime 2017-03-05T23:23:25 --startdatetime 2017-03-05T23:26:22 --delay 1 --endMP 204:154 --enddatetime 2017-03-06T00:04:41 --enforcementcount 0 &gt;&gt;C:\Users\stu\Documents\GitHub\eaglep3-reporting\EC\2017-03-05-refined-times.txt</v>
      </c>
      <c r="AI149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ID","value":"236-05"},{"id":16,"name":"Locomotive ID","value":"4015"},{"id":130,"name":"Impact","value":""},{"id":150,"name":"Time of Event (Mountain Time)","value":"00:04:41"},{"id":151,"name":"Denver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1"/>
        <v>start /low /b %USERPROFILE%\Documents\GitHub\eaglep3\Utilities\DownloadLogsFromS3.py --loco 4015 --day 2017-03-05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"%USERPROFILE%\AppData\Local\Temp\OnboardLogs"\RTDC4015\*4015*20170306* | grep -SE "(Enforcement Action)|(\[TIMEOUT)|(CHR.+\|PRM\|1\|D.+(SWITCH|SIGNAL).+UNKNOWN)" - &gt;&gt; 2017-03-05-UncaughtWiMAX.txt</v>
      </c>
    </row>
    <row r="150" spans="1:91" x14ac:dyDescent="0.25">
      <c r="A150" s="33" t="s">
        <v>774</v>
      </c>
      <c r="B150" s="7">
        <v>4027</v>
      </c>
      <c r="C150" s="21" t="s">
        <v>252</v>
      </c>
      <c r="D150" s="21" t="s">
        <v>330</v>
      </c>
      <c r="E150" s="13">
        <v>42799.952372685184</v>
      </c>
      <c r="F150" s="13">
        <v>42799.95857638889</v>
      </c>
      <c r="G150" s="7">
        <v>1</v>
      </c>
      <c r="H150" s="21" t="s">
        <v>881</v>
      </c>
      <c r="I150" s="13">
        <v>42799.983888888892</v>
      </c>
      <c r="J150" s="7">
        <v>0</v>
      </c>
      <c r="K150" s="98" t="str">
        <f t="shared" si="45"/>
        <v>4027/4028</v>
      </c>
      <c r="L150" s="21" t="str">
        <f>VLOOKUP(A150,'Trips&amp;Operators'!$C$1:$G$99999,5,FALSE)</f>
        <v>CHANDLER KELVIN</v>
      </c>
      <c r="M150" s="6">
        <f t="shared" si="46"/>
        <v>2.531250000174623E-2</v>
      </c>
      <c r="N150" s="7">
        <f t="shared" si="44"/>
        <v>36.450000002514571</v>
      </c>
      <c r="O150" s="7"/>
      <c r="P150" s="7"/>
      <c r="Q150" s="22"/>
      <c r="R150" s="22"/>
      <c r="S150" s="31">
        <f t="shared" si="58"/>
        <v>1</v>
      </c>
      <c r="T150" s="46" t="str">
        <f t="shared" si="47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8"/>
        <v>https://d0f6bd738d7f1b3e5a7ca70fe4ff75f0.us-east-1.aws.found.io/app/kibana#/discover/Steve-Slow-Train-Analysis-(2080s-and-2083s)?_g=(refreshInterval:(display:Off,pause:!f,section:0,value:0),time:(from:'2017-03-05T21:51:25-0700',mode:absolute,to:'2017-03-06T00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0" s="187" t="str">
        <f t="shared" si="49"/>
        <v>N</v>
      </c>
      <c r="X150" s="187">
        <f t="shared" si="50"/>
        <v>1</v>
      </c>
      <c r="Y150" s="62">
        <f t="shared" si="51"/>
        <v>4.7800000000000002E-2</v>
      </c>
      <c r="Z150" s="62">
        <f t="shared" si="52"/>
        <v>23.328099999999999</v>
      </c>
      <c r="AA150" s="62">
        <f t="shared" si="53"/>
        <v>23.2803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4"/>
        <v>0237-05</v>
      </c>
      <c r="AE150" s="85" t="str">
        <f t="shared" si="55"/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AF150" s="82" t="str">
        <f t="shared" si="56"/>
        <v>"C:\Program Files (x86)\AstroGrep\AstroGrep.exe" /spath="%USERPROFILE%\AppData\Local\Temp\OnboardLogs" /stypes="app*4027*20170306*" /stext=" 06:.+((SYSTEM_STATE.+slice.+state.+changed )|(ment ac)|(multiple cpu faults)|(system.+state.+changed )|(\[timeout)|(PRM\|1\|D)|(kpr)|(kdp)|(\|loc)|(crossing.((167)|(168)|(199)|(200))))" /e /r /s</v>
      </c>
      <c r="AG150" s="1" t="str">
        <f t="shared" si="57"/>
        <v>EC</v>
      </c>
      <c r="AH150" s="86" t="str">
        <f t="shared" si="59"/>
        <v>"%USERPROFILE%\Documents\GitHub\eaglep3\Utilities\RefineRTDCRunTimes.py" --tripid 237-05 --locoid 4027 --swversion DE.1.0.9.0 --startMP 204:478 --initTime 2017-03-05T22:51:25 --startdatetime 2017-03-05T23:00:21 --delay 1 --endMP 204:233281 --enddatetime 2017-03-05T23:36:48 --enforcementcount 0 &gt;&gt;C:\Users\stu\Documents\GitHub\eaglep3-reporting\EC\2017-03-05-refined-times.txt</v>
      </c>
      <c r="AI150" s="108" t="str">
        <f t="shared" si="60"/>
        <v>echo {"issue":{"subject":"","project_id":79,"tracker_id":40,"status_id":1,"priority_id":2,"assigned_to_id":23,"start_date":"2017-03-05","description":"","custom_fields":[{"id":1,"name":"Subdivision","value":"EC"},{"id":4,"name":"Milepost","value":"23.3281"},{"id":17,"name":"Train ID","value":"237-05"},{"id":16,"name":"Locomotive ID","value":"4027"},{"id":130,"name":"Impact","value":""},{"id":150,"name":"Time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1"/>
        <v>start /low /b %USERPROFILE%\Documents\GitHub\eaglep3\Utilities\DownloadLogsFromS3.py --loco 4027 --day 2017-03-05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"%USERPROFILE%\AppData\Local\Temp\OnboardLogs"\RTDC4027\*4027*20170306* | grep -SE "(Enforcement Action)|(\[TIMEOUT)|(CHR.+\|PRM\|1\|D.+(SWITCH|SIGNAL).+UNKNOWN)" - &gt;&gt; 2017-03-05-UncaughtWiMAX.txt</v>
      </c>
    </row>
    <row r="151" spans="1:91" x14ac:dyDescent="0.25">
      <c r="A151" s="33" t="s">
        <v>778</v>
      </c>
      <c r="B151" s="7">
        <v>4028</v>
      </c>
      <c r="C151" s="21" t="s">
        <v>252</v>
      </c>
      <c r="D151" s="21" t="s">
        <v>882</v>
      </c>
      <c r="E151" s="13">
        <v>42799.9921412037</v>
      </c>
      <c r="F151" s="13">
        <v>42799.997673611113</v>
      </c>
      <c r="G151" s="7">
        <v>1</v>
      </c>
      <c r="H151" s="21" t="s">
        <v>301</v>
      </c>
      <c r="I151" s="13">
        <v>42800.025833333333</v>
      </c>
      <c r="J151" s="7">
        <v>0</v>
      </c>
      <c r="K151" s="98" t="str">
        <f t="shared" si="45"/>
        <v>4027/4028</v>
      </c>
      <c r="L151" s="21" t="str">
        <f>VLOOKUP(A151,'Trips&amp;Operators'!$C$1:$G$99999,5,FALSE)</f>
        <v>CHANDLER KELVIN</v>
      </c>
      <c r="M151" s="6">
        <f t="shared" si="46"/>
        <v>2.8159722220152617E-2</v>
      </c>
      <c r="N151" s="7">
        <f t="shared" si="44"/>
        <v>40.549999997019768</v>
      </c>
      <c r="O151" s="7"/>
      <c r="P151" s="7"/>
      <c r="Q151" s="22"/>
      <c r="R151" s="22"/>
      <c r="S151" s="31">
        <f t="shared" si="58"/>
        <v>1</v>
      </c>
      <c r="T151" s="46" t="str">
        <f t="shared" si="47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8"/>
        <v>https://d0f6bd738d7f1b3e5a7ca70fe4ff75f0.us-east-1.aws.found.io/app/kibana#/discover/Steve-Slow-Train-Analysis-(2080s-and-2083s)?_g=(refreshInterval:(display:Off,pause:!f,section:0,value:0),time:(from:'2017-03-05T22:48:41-0700',mode:absolute,to:'2017-03-06T01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87" t="str">
        <f t="shared" si="49"/>
        <v>N</v>
      </c>
      <c r="X151" s="187">
        <f t="shared" si="50"/>
        <v>1</v>
      </c>
      <c r="Y151" s="62">
        <f t="shared" si="51"/>
        <v>23.297000000000001</v>
      </c>
      <c r="Z151" s="62">
        <f t="shared" si="52"/>
        <v>1.67E-2</v>
      </c>
      <c r="AA151" s="62">
        <f t="shared" si="53"/>
        <v>23.2803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4"/>
        <v>0238-05</v>
      </c>
      <c r="AE151" s="85" t="str">
        <f t="shared" si="55"/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AF151" s="82" t="str">
        <f t="shared" si="56"/>
        <v>"C:\Program Files (x86)\AstroGrep\AstroGrep.exe" /spath="%USERPROFILE%\AppData\Local\Temp\OnboardLogs" /stypes="app*4028*20170306*" /stext=" 07:.+((SYSTEM_STATE.+slice.+state.+changed )|(ment ac)|(multiple cpu faults)|(system.+state.+changed )|(\[timeout)|(PRM\|1\|D)|(kpr)|(kdp)|(\|loc)|(crossing.((167)|(168)|(199)|(200))))" /e /r /s</v>
      </c>
      <c r="AG151" s="1" t="str">
        <f t="shared" si="57"/>
        <v>EC</v>
      </c>
      <c r="AH151" s="86" t="str">
        <f t="shared" si="59"/>
        <v>"%USERPROFILE%\Documents\GitHub\eaglep3\Utilities\RefineRTDCRunTimes.py" --tripid 238-05 --locoid 4028 --swversion DE.1.0.9.0 --startMP 204:232970 --initTime 2017-03-05T23:48:41 --startdatetime 2017-03-05T23:56:39 --delay 1 --endMP 204:167 --enddatetime 2017-03-06T00:37:12 --enforcementcount 0 &gt;&gt;C:\Users\stu\Documents\GitHub\eaglep3-reporting\EC\2017-03-05-refined-times.txt</v>
      </c>
      <c r="AI151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{"issue":{"subject":"","project_id":79,"tracker_id":40,"status_id":1,"priority_id":2,"assigned_to_id":23,"start_date":"2017-03-06","description":"","custom_fields":[{"id":1,"name":"Subdivision","value":"EC"},{"id":4,"name":"Milepost","value":"0.0167"},{"id":17,"name":"Train ID","value":"238-05"},{"id":16,"name":"Locomotive ID","value":"4028"},{"id":130,"name":"Impact","value":""},{"id":150,"name":"Time of Event (Mountain Time)","value":"00:37:12"},{"id":151,"name":"Denver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1"/>
        <v>start /low /b %USERPROFILE%\Documents\GitHub\eaglep3\Utilities\DownloadLogsFromS3.py --loco 4028 --day 2017-03-05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"%USERPROFILE%\AppData\Local\Temp\OnboardLogs"\RTDC4028\*4028*20170306* | grep -SE "(Enforcement Action)|(\[TIMEOUT)|(CHR.+\|PRM\|1\|D.+(SWITCH|SIGNAL).+UNKNOWN)" - &gt;&gt; 2017-03-05-UncaughtWiMAX.txt</v>
      </c>
    </row>
    <row r="152" spans="1:91" x14ac:dyDescent="0.25">
      <c r="A152" s="33" t="s">
        <v>775</v>
      </c>
      <c r="B152" s="7">
        <v>4029</v>
      </c>
      <c r="C152" s="21" t="s">
        <v>252</v>
      </c>
      <c r="D152" s="21" t="s">
        <v>219</v>
      </c>
      <c r="E152" s="13">
        <v>42799.964699074073</v>
      </c>
      <c r="F152" s="13">
        <v>42799.979328703703</v>
      </c>
      <c r="G152" s="7">
        <v>1</v>
      </c>
      <c r="H152" s="21" t="s">
        <v>344</v>
      </c>
      <c r="I152" s="13">
        <v>42800.004328703704</v>
      </c>
      <c r="J152" s="7">
        <v>0</v>
      </c>
      <c r="K152" s="98" t="str">
        <f t="shared" si="45"/>
        <v>4029/4030</v>
      </c>
      <c r="L152" s="21" t="str">
        <f>VLOOKUP(A152,'Trips&amp;Operators'!$C$1:$G$99999,5,FALSE)</f>
        <v>NEWELL JAMES</v>
      </c>
      <c r="M152" s="6">
        <f t="shared" si="46"/>
        <v>2.5000000001455192E-2</v>
      </c>
      <c r="N152" s="7">
        <f t="shared" si="44"/>
        <v>36.000000002095476</v>
      </c>
      <c r="O152" s="7"/>
      <c r="P152" s="7"/>
      <c r="Q152" s="22"/>
      <c r="R152" s="22"/>
      <c r="S152" s="31">
        <f t="shared" si="58"/>
        <v>1</v>
      </c>
      <c r="T152" s="46" t="str">
        <f t="shared" si="47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8"/>
        <v>https://d0f6bd738d7f1b3e5a7ca70fe4ff75f0.us-east-1.aws.found.io/app/kibana#/discover/Steve-Slow-Train-Analysis-(2080s-and-2083s)?_g=(refreshInterval:(display:Off,pause:!f,section:0,value:0),time:(from:'2017-03-05T22:09:10-0700',mode:absolute,to:'2017-03-06T01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7" t="str">
        <f t="shared" si="49"/>
        <v>N</v>
      </c>
      <c r="X152" s="187">
        <f t="shared" si="50"/>
        <v>1</v>
      </c>
      <c r="Y152" s="62">
        <f t="shared" si="51"/>
        <v>4.5100000000000001E-2</v>
      </c>
      <c r="Z152" s="62">
        <f t="shared" si="52"/>
        <v>23.332899999999999</v>
      </c>
      <c r="AA152" s="62">
        <f t="shared" si="53"/>
        <v>23.287799999999997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4"/>
        <v>0239-05</v>
      </c>
      <c r="AE152" s="85" t="str">
        <f t="shared" si="55"/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AF152" s="82" t="str">
        <f t="shared" si="56"/>
        <v>"C:\Program Files (x86)\AstroGrep\AstroGrep.exe" /spath="%USERPROFILE%\AppData\Local\Temp\OnboardLogs" /stypes="app*4029*20170306*" /stext=" 07:.+((SYSTEM_STATE.+slice.+state.+changed )|(ment ac)|(multiple cpu faults)|(system.+state.+changed )|(\[timeout)|(PRM\|1\|D)|(kpr)|(kdp)|(\|loc)|(crossing.((167)|(168)|(199)|(200))))" /e /r /s</v>
      </c>
      <c r="AG152" s="1" t="str">
        <f t="shared" si="57"/>
        <v>EC</v>
      </c>
      <c r="AH152" s="86" t="str">
        <f t="shared" si="59"/>
        <v>"%USERPROFILE%\Documents\GitHub\eaglep3\Utilities\RefineRTDCRunTimes.py" --tripid 239-05 --locoid 4029 --swversion DE.1.0.9.0 --startMP 204:451 --initTime 2017-03-05T23:09:10 --startdatetime 2017-03-05T23:30:14 --delay 1 --endMP 204:233329 --enddatetime 2017-03-06T00:06:14 --enforcementcount 0 &gt;&gt;C:\Users\stu\Documents\GitHub\eaglep3-reporting\EC\2017-03-05-refined-times.txt</v>
      </c>
      <c r="AI152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{"issue":{"subject":"","project_id":79,"tracker_id":40,"status_id":1,"priority_id":2,"assigned_to_id":23,"start_date":"2017-03-06","description":"","custom_fields":[{"id":1,"name":"Subdivision","value":"EC"},{"id":4,"name":"Milepost","value":"23.3329"},{"id":17,"name":"Train ID","value":"239-05"},{"id":16,"name":"Locomotive ID","value":"4029"},{"id":130,"name":"Impact","value":""},{"id":150,"name":"Time of Event (Mountain Time)","value":"00:06:14"},{"id":151,"name":"Denver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1"/>
        <v>start /low /b %USERPROFILE%\Documents\GitHub\eaglep3\Utilities\DownloadLogsFromS3.py --loco 4029 --day 2017-03-05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"%USERPROFILE%\AppData\Local\Temp\OnboardLogs"\RTDC4029\*4029*20170306* | grep -SE "(Enforcement Action)|(\[TIMEOUT)|(CHR.+\|PRM\|1\|D.+(SWITCH|SIGNAL).+UNKNOWN)" - &gt;&gt; 2017-03-05-UncaughtWiMAX.txt</v>
      </c>
    </row>
    <row r="153" spans="1:91" x14ac:dyDescent="0.25">
      <c r="A153" s="33" t="s">
        <v>779</v>
      </c>
      <c r="B153" s="7">
        <v>4030</v>
      </c>
      <c r="C153" s="21" t="s">
        <v>252</v>
      </c>
      <c r="D153" s="21" t="s">
        <v>300</v>
      </c>
      <c r="E153" s="13">
        <v>42800.015243055554</v>
      </c>
      <c r="F153" s="13">
        <v>42800.018206018518</v>
      </c>
      <c r="G153" s="7">
        <v>2</v>
      </c>
      <c r="H153" s="21" t="s">
        <v>237</v>
      </c>
      <c r="I153" s="13">
        <v>42800.048425925925</v>
      </c>
      <c r="J153" s="7">
        <v>0</v>
      </c>
      <c r="K153" s="98" t="str">
        <f t="shared" si="45"/>
        <v>4029/4030</v>
      </c>
      <c r="L153" s="21" t="str">
        <f>VLOOKUP(A153,'Trips&amp;Operators'!$C$1:$G$99999,5,FALSE)</f>
        <v>NEWELL JAMES</v>
      </c>
      <c r="M153" s="6">
        <f t="shared" si="46"/>
        <v>3.0219907406717539E-2</v>
      </c>
      <c r="N153" s="7">
        <f t="shared" si="44"/>
        <v>43.516666665673256</v>
      </c>
      <c r="O153" s="7"/>
      <c r="P153" s="7"/>
      <c r="Q153" s="22"/>
      <c r="R153" s="22"/>
      <c r="S153" s="31">
        <f t="shared" si="58"/>
        <v>1</v>
      </c>
      <c r="T153" s="46" t="str">
        <f t="shared" si="47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8"/>
        <v>https://d0f6bd738d7f1b3e5a7ca70fe4ff75f0.us-east-1.aws.found.io/app/kibana#/discover/Steve-Slow-Train-Analysis-(2080s-and-2083s)?_g=(refreshInterval:(display:Off,pause:!f,section:0,value:0),time:(from:'2017-03-05T23:21:57-0700',mode:absolute,to:'2017-03-06T02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87" t="str">
        <f t="shared" si="49"/>
        <v>N</v>
      </c>
      <c r="X153" s="187">
        <f t="shared" si="50"/>
        <v>1</v>
      </c>
      <c r="Y153" s="62">
        <f t="shared" si="51"/>
        <v>23.300799999999999</v>
      </c>
      <c r="Z153" s="62">
        <f t="shared" si="52"/>
        <v>1.41E-2</v>
      </c>
      <c r="AA153" s="62">
        <f t="shared" si="53"/>
        <v>23.2867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4"/>
        <v>0240-05</v>
      </c>
      <c r="AE153" s="85" t="str">
        <f t="shared" si="55"/>
        <v>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 &amp; aws s3 cp s3://rtdc.mdm.uploadarchive.raw/RTDC4030/ "%USERPROFILE%\AppData\Local\Temp\OnboardLogs"\RTDC4030\2017-03-07 --exclude "*" --recursive --include "*20170307*" &amp; "%USERPROFILE%\Documents\GitHub\mrs-test-scripts\Headless Mode &amp; Sideloading\WalkAndUnGZ.bat" "%USERPROFILE%\AppData\Local\Temp\OnboardLogs"\RTDC4030\2017-03-07</v>
      </c>
      <c r="AF153" s="82" t="str">
        <f t="shared" si="56"/>
        <v>"C:\Program Files (x86)\AstroGrep\AstroGrep.exe" /spath="%USERPROFILE%\AppData\Local\Temp\OnboardLogs" /stypes="app*4030*20170306*" /stext=" 08:.+((SYSTEM_STATE.+slice.+state.+changed )|(ment ac)|(multiple cpu faults)|(system.+state.+changed )|(\[timeout)|(PRM\|1\|D)|(kpr)|(kdp)|(\|loc)|(crossing.((167)|(168)|(199)|(200))))" /e /r /s</v>
      </c>
      <c r="AG153" s="1" t="str">
        <f t="shared" si="57"/>
        <v>EC</v>
      </c>
      <c r="AH153" s="86" t="str">
        <f t="shared" si="59"/>
        <v>"%USERPROFILE%\Documents\GitHub\eaglep3\Utilities\RefineRTDCRunTimes.py" --tripid 240-05 --locoid 4030 --swversion DE.1.0.9.0 --startMP 204:233008 --initTime 2017-03-06T00:21:57 --startdatetime 2017-03-06T00:26:13 --delay 2 --endMP 204:141 --enddatetime 2017-03-06T01:09:44 --enforcementcount 0 &gt;&gt;C:\Users\stu\Documents\GitHub\eaglep3-reporting\EC\2017-03-05-refined-times.txt</v>
      </c>
      <c r="AI153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ID","value":"240-05"},{"id":16,"name":"Locomotive ID","value":"4030"},{"id":130,"name":"Impact","value":""},{"id":150,"name":"Time of Event (Mountain Time)","value":"01:09:44"},{"id":151,"name":"Denver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1"/>
        <v>start /low /b %USERPROFILE%\Documents\GitHub\eaglep3\Utilities\DownloadLogsFromS3.py --loco 4030 --day 2017-03-06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2017-03-05-UncaughtWiMAX.txt</v>
      </c>
    </row>
    <row r="154" spans="1:91" x14ac:dyDescent="0.25">
      <c r="A154" s="33" t="s">
        <v>777</v>
      </c>
      <c r="B154" s="7">
        <v>4044</v>
      </c>
      <c r="C154" s="21" t="s">
        <v>252</v>
      </c>
      <c r="D154" s="21" t="s">
        <v>235</v>
      </c>
      <c r="E154" s="13">
        <v>42799.988958333335</v>
      </c>
      <c r="F154" s="13">
        <v>42800.000185185185</v>
      </c>
      <c r="G154" s="7">
        <v>2</v>
      </c>
      <c r="H154" s="21" t="s">
        <v>883</v>
      </c>
      <c r="I154" s="13">
        <v>42800.02553240741</v>
      </c>
      <c r="J154" s="7">
        <v>0</v>
      </c>
      <c r="K154" s="98" t="str">
        <f t="shared" si="45"/>
        <v>4043/4044</v>
      </c>
      <c r="L154" s="21" t="str">
        <f>VLOOKUP(A154,'Trips&amp;Operators'!$C$1:$G$99999,5,FALSE)</f>
        <v>SMITH MICHAEL</v>
      </c>
      <c r="M154" s="6">
        <f t="shared" si="46"/>
        <v>2.5347222224809229E-2</v>
      </c>
      <c r="N154" s="7">
        <f t="shared" si="44"/>
        <v>36.50000000372529</v>
      </c>
      <c r="O154" s="7"/>
      <c r="P154" s="7"/>
      <c r="Q154" s="22"/>
      <c r="R154" s="22"/>
      <c r="S154" s="31">
        <f t="shared" si="58"/>
        <v>1</v>
      </c>
      <c r="T154" s="46" t="str">
        <f t="shared" si="47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8"/>
        <v>https://d0f6bd738d7f1b3e5a7ca70fe4ff75f0.us-east-1.aws.found.io/app/kibana#/discover/Steve-Slow-Train-Analysis-(2080s-and-2083s)?_g=(refreshInterval:(display:Off,pause:!f,section:0,value:0),time:(from:'2017-03-05T22:44:06-0700',mode:absolute,to:'2017-03-06T01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87" t="str">
        <f t="shared" si="49"/>
        <v>N</v>
      </c>
      <c r="X154" s="187">
        <f t="shared" si="50"/>
        <v>1</v>
      </c>
      <c r="Y154" s="62">
        <f t="shared" si="51"/>
        <v>4.6399999999999997E-2</v>
      </c>
      <c r="Z154" s="62">
        <f t="shared" si="52"/>
        <v>23.327400000000001</v>
      </c>
      <c r="AA154" s="62">
        <f t="shared" si="53"/>
        <v>23.281000000000002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4"/>
        <v>0241-05</v>
      </c>
      <c r="AE154" s="85" t="str">
        <f t="shared" si="55"/>
        <v>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 &amp; 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</v>
      </c>
      <c r="AF154" s="82" t="str">
        <f t="shared" si="56"/>
        <v>"C:\Program Files (x86)\AstroGrep\AstroGrep.exe" /spath="%USERPROFILE%\AppData\Local\Temp\OnboardLogs" /stypes="app*4044*20170306*" /stext=" 07:.+((SYSTEM_STATE.+slice.+state.+changed )|(ment ac)|(multiple cpu faults)|(system.+state.+changed )|(\[timeout)|(PRM\|1\|D)|(kpr)|(kdp)|(\|loc)|(crossing.((167)|(168)|(199)|(200))))" /e /r /s</v>
      </c>
      <c r="AG154" s="1" t="str">
        <f t="shared" si="57"/>
        <v>EC</v>
      </c>
      <c r="AH154" s="86" t="str">
        <f t="shared" si="59"/>
        <v>"%USERPROFILE%\Documents\GitHub\eaglep3\Utilities\RefineRTDCRunTimes.py" --tripid 241-05 --locoid 4044 --swversion DE.1.0.9.0 --startMP 204:464 --initTime 2017-03-05T23:44:06 --startdatetime 2017-03-06T00:00:16 --delay 2 --endMP 204:233274 --enddatetime 2017-03-06T00:36:46 --enforcementcount 0 &gt;&gt;C:\Users\stu\Documents\GitHub\eaglep3-reporting\EC\2017-03-05-refined-times.txt</v>
      </c>
      <c r="AI154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{"issue":{"subject":"","project_id":79,"tracker_id":40,"status_id":1,"priority_id":2,"assigned_to_id":23,"start_date":"2017-03-06","description":"","custom_fields":[{"id":1,"name":"Subdivision","value":"EC"},{"id":4,"name":"Milepost","value":"23.3274"},{"id":17,"name":"Train ID","value":"241-05"},{"id":16,"name":"Locomotive ID","value":"4044"},{"id":130,"name":"Impact","value":""},{"id":150,"name":"Time of Event (Mountain Time)","value":"00:36:46"},{"id":151,"name":"Denver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1"/>
        <v>start /low /b %USERPROFILE%\Documents\GitHub\eaglep3\Utilities\DownloadLogsFromS3.py --loco 4044 --day 2017-03-06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2017-03-05-UncaughtWiMAX.txt</v>
      </c>
    </row>
    <row r="155" spans="1:91" s="20" customFormat="1" x14ac:dyDescent="0.25">
      <c r="A155" s="33" t="s">
        <v>780</v>
      </c>
      <c r="B155" s="7">
        <v>4043</v>
      </c>
      <c r="C155" s="21" t="s">
        <v>252</v>
      </c>
      <c r="D155" s="21" t="s">
        <v>293</v>
      </c>
      <c r="E155" s="13">
        <v>42800.028287037036</v>
      </c>
      <c r="F155" s="13">
        <v>42800.039409722223</v>
      </c>
      <c r="G155" s="7">
        <v>1</v>
      </c>
      <c r="H155" s="21" t="s">
        <v>203</v>
      </c>
      <c r="I155" s="13">
        <v>42800.08048611111</v>
      </c>
      <c r="J155" s="7">
        <v>0</v>
      </c>
      <c r="K155" s="98" t="str">
        <f t="shared" si="45"/>
        <v>4043/4044</v>
      </c>
      <c r="L155" s="21" t="str">
        <f>VLOOKUP(A155,'Trips&amp;Operators'!$C$1:$G$99999,5,FALSE)</f>
        <v>SMITH MICHAEL</v>
      </c>
      <c r="M155" s="6">
        <f t="shared" si="46"/>
        <v>4.107638888672227E-2</v>
      </c>
      <c r="N155" s="7">
        <f t="shared" si="44"/>
        <v>59.149999996880069</v>
      </c>
      <c r="O155" s="7"/>
      <c r="P155" s="7"/>
      <c r="Q155" s="22"/>
      <c r="R155" s="22"/>
      <c r="S155" s="31">
        <f t="shared" si="58"/>
        <v>1</v>
      </c>
      <c r="T155" s="46" t="str">
        <f t="shared" si="47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8"/>
        <v>https://d0f6bd738d7f1b3e5a7ca70fe4ff75f0.us-east-1.aws.found.io/app/kibana#/discover/Steve-Slow-Train-Analysis-(2080s-and-2083s)?_g=(refreshInterval:(display:Off,pause:!f,section:0,value:0),time:(from:'2017-03-05T23:40:44-0700',mode:absolute,to:'2017-03-06T02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87" t="str">
        <f t="shared" si="49"/>
        <v>N</v>
      </c>
      <c r="X155" s="187">
        <f t="shared" si="50"/>
        <v>1</v>
      </c>
      <c r="Y155" s="62">
        <f t="shared" si="51"/>
        <v>23.297899999999998</v>
      </c>
      <c r="Z155" s="62">
        <f t="shared" si="52"/>
        <v>1.52E-2</v>
      </c>
      <c r="AA155" s="62">
        <f t="shared" si="53"/>
        <v>23.282699999999998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4"/>
        <v>0242-05</v>
      </c>
      <c r="AE155" s="85" t="str">
        <f t="shared" si="55"/>
        <v>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 &amp; aws s3 cp s3://rtdc.mdm.uploadarchive.raw/RTDC4043/ "%USERPROFILE%\AppData\Local\Temp\OnboardLogs"\RTDC4043\2017-03-07 --exclude "*" --recursive --include "*20170307*" &amp; "%USERPROFILE%\Documents\GitHub\mrs-test-scripts\Headless Mode &amp; Sideloading\WalkAndUnGZ.bat" "%USERPROFILE%\AppData\Local\Temp\OnboardLogs"\RTDC4043\2017-03-07</v>
      </c>
      <c r="AF155" s="82" t="str">
        <f t="shared" si="56"/>
        <v>"C:\Program Files (x86)\AstroGrep\AstroGrep.exe" /spath="%USERPROFILE%\AppData\Local\Temp\OnboardLogs" /stypes="app*4043*20170306*" /stext=" 08:.+((SYSTEM_STATE.+slice.+state.+changed )|(ment ac)|(multiple cpu faults)|(system.+state.+changed )|(\[timeout)|(PRM\|1\|D)|(kpr)|(kdp)|(\|loc)|(crossing.((167)|(168)|(199)|(200))))" /e /r /s</v>
      </c>
      <c r="AG155" s="1" t="str">
        <f t="shared" si="57"/>
        <v>EC</v>
      </c>
      <c r="AH155" s="86" t="str">
        <f t="shared" si="59"/>
        <v>"%USERPROFILE%\Documents\GitHub\eaglep3\Utilities\RefineRTDCRunTimes.py" --tripid 242-05 --locoid 4043 --swversion DE.1.0.9.0 --startMP 204:232979 --initTime 2017-03-06T00:40:44 --startdatetime 2017-03-06T00:56:45 --delay 1 --endMP 204:152 --enddatetime 2017-03-06T01:55:54 --enforcementcount 0 &gt;&gt;C:\Users\stu\Documents\GitHub\eaglep3-reporting\EC\2017-03-05-refined-times.txt</v>
      </c>
      <c r="AI155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ID","value":"242-05"},{"id":16,"name":"Locomotive ID","value":"4043"},{"id":130,"name":"Impact","value":""},{"id":150,"name":"Time of Event (Mountain Time)","value":"01:55:54"},{"id":151,"name":"Denver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1"/>
        <v>start /low /b %USERPROFILE%\Documents\GitHub\eaglep3\Utilities\DownloadLogsFromS3.py --loco 4043 --day 2017-03-06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"%USERPROFILE%\AppData\Local\Temp\OnboardLogs"\RTDC4043\*4043*20170306* | grep -SE "(Enforcement Action)|(\[TIMEOUT)|(CHR.+\|PRM\|1\|D.+(SWITCH|SIGNAL).+UNKNOWN)" - &gt;&gt; 2017-03-05-UncaughtWiMAX.txt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564</v>
      </c>
      <c r="B156" s="7">
        <v>4016</v>
      </c>
      <c r="C156" s="21" t="s">
        <v>252</v>
      </c>
      <c r="D156" s="21" t="s">
        <v>295</v>
      </c>
      <c r="E156" s="13">
        <v>42800.004976851851</v>
      </c>
      <c r="F156" s="13">
        <v>42800.006111111114</v>
      </c>
      <c r="G156" s="7">
        <v>1</v>
      </c>
      <c r="H156" s="21" t="s">
        <v>884</v>
      </c>
      <c r="I156" s="13">
        <v>42800.039606481485</v>
      </c>
      <c r="J156" s="7">
        <v>1</v>
      </c>
      <c r="K156" s="98" t="str">
        <f t="shared" si="45"/>
        <v>4015/4016</v>
      </c>
      <c r="L156" s="21" t="str">
        <f>VLOOKUP(A156,'Trips&amp;Operators'!$C$1:$G$99999,5,FALSE)</f>
        <v>STAMBAUGH JAMES</v>
      </c>
      <c r="M156" s="6">
        <f t="shared" si="46"/>
        <v>3.3495370371383615E-2</v>
      </c>
      <c r="N156" s="7"/>
      <c r="O156" s="7"/>
      <c r="P156" s="7">
        <f>24*60*SUM($M156:$M157)</f>
        <v>73.266666663112119</v>
      </c>
      <c r="Q156" s="22"/>
      <c r="R156" s="22" t="s">
        <v>936</v>
      </c>
      <c r="S156" s="31">
        <v>1</v>
      </c>
      <c r="T156" s="46" t="str">
        <f t="shared" si="47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10</v>
      </c>
      <c r="V156" s="186" t="str">
        <f t="shared" si="48"/>
        <v>https://d0f6bd738d7f1b3e5a7ca70fe4ff75f0.us-east-1.aws.found.io/app/kibana#/discover/Steve-Slow-Train-Analysis-(2080s-and-2083s)?_g=(refreshInterval:(display:Off,pause:!f,section:0,value:0),time:(from:'2017-03-05T23:07:10-0700',mode:absolute,to:'2017-03-06T01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187" t="str">
        <f t="shared" si="49"/>
        <v>Y</v>
      </c>
      <c r="X156" s="187">
        <f t="shared" ref="X156:X162" si="62">VALUE(LEFT(AD156,4))-VALUE(LEFT(AD155,4))</f>
        <v>1</v>
      </c>
      <c r="Y156" s="62">
        <f t="shared" si="51"/>
        <v>4.4200000000000003E-2</v>
      </c>
      <c r="Z156" s="62">
        <f t="shared" si="52"/>
        <v>8.6374999999999993</v>
      </c>
      <c r="AA156" s="62">
        <f t="shared" si="53"/>
        <v>8.5932999999999993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4"/>
        <v>0243-05</v>
      </c>
      <c r="AE156" s="85" t="str">
        <f t="shared" si="55"/>
        <v>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 &amp; 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</v>
      </c>
      <c r="AF156" s="82" t="str">
        <f t="shared" si="56"/>
        <v>"C:\Program Files (x86)\AstroGrep\AstroGrep.exe" /spath="%USERPROFILE%\AppData\Local\Temp\OnboardLogs" /stypes="app*4016*20170306*" /stext=" 07:.+((SYSTEM_STATE.+slice.+state.+changed )|(ment ac)|(multiple cpu faults)|(system.+state.+changed )|(\[timeout)|(PRM\|1\|D)|(kpr)|(kdp)|(\|loc)|(crossing.((167)|(168)|(199)|(200))))" /e /r /s</v>
      </c>
      <c r="AG156" s="1" t="str">
        <f t="shared" si="57"/>
        <v>EC</v>
      </c>
      <c r="AH156" s="86" t="str">
        <f t="shared" si="59"/>
        <v>"%USERPROFILE%\Documents\GitHub\eaglep3\Utilities\RefineRTDCRunTimes.py" --tripid 243-05 --locoid 4016 --swversion DE.1.0.9.0 --startMP 204:442 --initTime 2017-03-06T00:07:10 --startdatetime 2017-03-06T00:08:48 --delay 1 --endMP 204:86375 --enddatetime 2017-03-06T00:57:02 --enforcementcount 1 &gt;&gt;C:\Users\stu\Documents\GitHub\eaglep3-reporting\EC\2017-03-05-refined-times.txt</v>
      </c>
      <c r="AI156" s="108" t="str">
        <f t="shared" si="60"/>
        <v>echo {"issue":{"subject":"Turned back to get around Sable XING issues","project_id":79,"tracker_id":40,"status_id":1,"priority_id":2,"assigned_to_id":23,"start_date":"2017-03-06","description":"","custom_fields":[{"id":1,"name":"Subdivision","value":"EC"},{"id":4,"name":"Milepost","value":"8.6375"},{"id":17,"name":"Train ID","value":"243-05"},{"id":16,"name":"Locomotive ID","value":"4016"},{"id":130,"name":"Impact","value":""},{"id":150,"name":"Time of Event (Mountain Time)","value":"00:57:02"},{"id":151,"name":"Denver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1"/>
        <v>start /low /b %USERPROFILE%\Documents\GitHub\eaglep3\Utilities\DownloadLogsFromS3.py --loco 4016 --day 2017-03-06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"%USERPROFILE%\AppData\Local\Temp\OnboardLogs"\RTDC4016\*4016*20170306* | grep -SE "(Enforcement Action)|(\[TIMEOUT)|(CHR.+\|PRM\|1\|D.+(SWITCH|SIGNAL).+UNKNOWN)" - &gt;&gt; 2017-03-05-UncaughtWiMAX.txt</v>
      </c>
    </row>
    <row r="157" spans="1:91" x14ac:dyDescent="0.25">
      <c r="A157" s="33" t="s">
        <v>564</v>
      </c>
      <c r="B157" s="7">
        <v>4016</v>
      </c>
      <c r="C157" s="21" t="s">
        <v>252</v>
      </c>
      <c r="D157" s="21" t="s">
        <v>885</v>
      </c>
      <c r="E157" s="13">
        <v>42800.047696759262</v>
      </c>
      <c r="F157" s="13">
        <v>42800.048414351855</v>
      </c>
      <c r="G157" s="7">
        <v>1</v>
      </c>
      <c r="H157" s="21" t="s">
        <v>886</v>
      </c>
      <c r="I157" s="13">
        <v>42800.065798611111</v>
      </c>
      <c r="J157" s="7">
        <v>1</v>
      </c>
      <c r="K157" s="98" t="str">
        <f t="shared" si="45"/>
        <v>4015/4016</v>
      </c>
      <c r="L157" s="21" t="str">
        <f>VLOOKUP(A157,'Trips&amp;Operators'!$C$1:$G$99999,5,FALSE)</f>
        <v>STAMBAUGH JAMES</v>
      </c>
      <c r="M157" s="6">
        <f t="shared" si="46"/>
        <v>1.7384259255777579E-2</v>
      </c>
      <c r="N157" s="7"/>
      <c r="O157" s="7"/>
      <c r="P157" s="7"/>
      <c r="Q157" s="22"/>
      <c r="R157" s="22"/>
      <c r="S157" s="31"/>
      <c r="T157" s="46" t="str">
        <f t="shared" si="47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86" t="str">
        <f t="shared" si="48"/>
        <v>https://d0f6bd738d7f1b3e5a7ca70fe4ff75f0.us-east-1.aws.found.io/app/kibana#/discover/Steve-Slow-Train-Analysis-(2080s-and-2083s)?_g=(refreshInterval:(display:Off,pause:!f,section:0,value:0),time:(from:'2017-03-06T00:08:41-0700',mode:absolute,to:'2017-03-06T02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187" t="str">
        <f t="shared" si="49"/>
        <v>Y</v>
      </c>
      <c r="X157" s="187">
        <f t="shared" si="62"/>
        <v>0</v>
      </c>
      <c r="Y157" s="62">
        <f t="shared" si="51"/>
        <v>6.7972999999999999</v>
      </c>
      <c r="Z157" s="62">
        <f t="shared" si="52"/>
        <v>23.338699999999999</v>
      </c>
      <c r="AA157" s="62">
        <f t="shared" si="53"/>
        <v>16.541399999999999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4"/>
        <v>0243-05</v>
      </c>
      <c r="AE157" s="85" t="str">
        <f t="shared" si="55"/>
        <v>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 &amp; 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</v>
      </c>
      <c r="AF157" s="82" t="str">
        <f t="shared" si="56"/>
        <v>"C:\Program Files (x86)\AstroGrep\AstroGrep.exe" /spath="%USERPROFILE%\AppData\Local\Temp\OnboardLogs" /stypes="app*4016*20170306*" /stext=" 08:.+((SYSTEM_STATE.+slice.+state.+changed )|(ment ac)|(multiple cpu faults)|(system.+state.+changed )|(\[timeout)|(PRM\|1\|D)|(kpr)|(kdp)|(\|loc)|(crossing.((167)|(168)|(199)|(200))))" /e /r /s</v>
      </c>
      <c r="AG157" s="1" t="str">
        <f t="shared" si="57"/>
        <v>EC</v>
      </c>
      <c r="AH157" s="86" t="str">
        <f t="shared" si="59"/>
        <v>"%USERPROFILE%\Documents\GitHub\eaglep3\Utilities\RefineRTDCRunTimes.py" --tripid 243-05 --locoid 4016 --swversion DE.1.0.9.0 --startMP 204:67973 --initTime 2017-03-06T01:08:41 --startdatetime 2017-03-06T01:09:43 --delay 1 --endMP 204:233387 --enddatetime 2017-03-06T01:34:45 --enforcementcount 1 &gt;&gt;C:\Users\stu\Documents\GitHub\eaglep3-reporting\EC\2017-03-05-refined-times.txt</v>
      </c>
      <c r="AI157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{"issue":{"subject":"","project_id":79,"tracker_id":40,"status_id":1,"priority_id":2,"assigned_to_id":23,"start_date":"2017-03-06","description":"","custom_fields":[{"id":1,"name":"Subdivision","value":"EC"},{"id":4,"name":"Milepost","value":"23.3387"},{"id":17,"name":"Train ID","value":"243-05"},{"id":16,"name":"Locomotive ID","value":"4016"},{"id":130,"name":"Impact","value":""},{"id":150,"name":"Time of Event (Mountain Time)","value":"01:34:45"},{"id":151,"name":"Denver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1"/>
        <v>start /low /b %USERPROFILE%\Documents\GitHub\eaglep3\Utilities\DownloadLogsFromS3.py --loco 4016 --day 2017-03-06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"%USERPROFILE%\AppData\Local\Temp\OnboardLogs"\RTDC4016\*4016*20170306* | grep -SE "(Enforcement Action)|(\[TIMEOUT)|(CHR.+\|PRM\|1\|D.+(SWITCH|SIGNAL).+UNKNOWN)" - &gt;&gt; 2017-03-05-UncaughtWiMAX.txt</v>
      </c>
    </row>
    <row r="158" spans="1:91" x14ac:dyDescent="0.25">
      <c r="A158" s="33" t="s">
        <v>783</v>
      </c>
      <c r="B158" s="7">
        <v>4015</v>
      </c>
      <c r="C158" s="21" t="s">
        <v>252</v>
      </c>
      <c r="D158" s="21" t="s">
        <v>887</v>
      </c>
      <c r="E158" s="13">
        <v>42800.066932870373</v>
      </c>
      <c r="F158" s="13">
        <v>42800.068101851852</v>
      </c>
      <c r="G158" s="7">
        <v>1</v>
      </c>
      <c r="H158" s="21" t="s">
        <v>888</v>
      </c>
      <c r="I158" s="13">
        <v>42800.095960648148</v>
      </c>
      <c r="J158" s="7">
        <v>0</v>
      </c>
      <c r="K158" s="98" t="str">
        <f t="shared" si="45"/>
        <v>4015/4016</v>
      </c>
      <c r="L158" s="21" t="str">
        <f>VLOOKUP(A158,'Trips&amp;Operators'!$C$1:$G$99999,5,FALSE)</f>
        <v>STAMBAUGH JAMES</v>
      </c>
      <c r="M158" s="6">
        <f t="shared" si="46"/>
        <v>2.7858796296641231E-2</v>
      </c>
      <c r="N158" s="7">
        <f t="shared" ref="N158:P189" si="63">24*60*SUM($M158:$M158)</f>
        <v>40.116666667163372</v>
      </c>
      <c r="O158" s="7"/>
      <c r="P158" s="7"/>
      <c r="Q158" s="22"/>
      <c r="R158" s="22"/>
      <c r="S158" s="31">
        <f t="shared" si="58"/>
        <v>1</v>
      </c>
      <c r="T158" s="46" t="str">
        <f t="shared" si="47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48"/>
        <v>https://d0f6bd738d7f1b3e5a7ca70fe4ff75f0.us-east-1.aws.found.io/app/kibana#/discover/Steve-Slow-Train-Analysis-(2080s-and-2083s)?_g=(refreshInterval:(display:Off,pause:!f,section:0,value:0),time:(from:'2017-03-06T00:36:23-0700',mode:absolute,to:'2017-03-06T03:18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87" t="str">
        <f t="shared" si="49"/>
        <v>N</v>
      </c>
      <c r="X158" s="187">
        <f t="shared" si="62"/>
        <v>1</v>
      </c>
      <c r="Y158" s="62">
        <f t="shared" si="51"/>
        <v>23.3096</v>
      </c>
      <c r="Z158" s="62">
        <f t="shared" si="52"/>
        <v>2.3800000000000002E-2</v>
      </c>
      <c r="AA158" s="62">
        <f t="shared" si="53"/>
        <v>23.285799999999998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4"/>
        <v>0244-05</v>
      </c>
      <c r="AE158" s="85" t="str">
        <f t="shared" si="55"/>
        <v>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 &amp; aws s3 cp s3://rtdc.mdm.uploadarchive.raw/RTDC4015/ "%USERPROFILE%\AppData\Local\Temp\OnboardLogs"\RTDC4015\2017-03-07 --exclude "*" --recursive --include "*20170307*" &amp; "%USERPROFILE%\Documents\GitHub\mrs-test-scripts\Headless Mode &amp; Sideloading\WalkAndUnGZ.bat" "%USERPROFILE%\AppData\Local\Temp\OnboardLogs"\RTDC4015\2017-03-07</v>
      </c>
      <c r="AF158" s="82" t="str">
        <f t="shared" si="56"/>
        <v>"C:\Program Files (x86)\AstroGrep\AstroGrep.exe" /spath="%USERPROFILE%\AppData\Local\Temp\OnboardLogs" /stypes="app*4015*20170306*" /stext=" 09:.+((SYSTEM_STATE.+slice.+state.+changed )|(ment ac)|(multiple cpu faults)|(system.+state.+changed )|(\[timeout)|(PRM\|1\|D)|(kpr)|(kdp)|(\|loc)|(crossing.((167)|(168)|(199)|(200))))" /e /r /s</v>
      </c>
      <c r="AG158" s="1" t="str">
        <f t="shared" si="57"/>
        <v>EC</v>
      </c>
      <c r="AH158" s="86" t="str">
        <f t="shared" si="59"/>
        <v>"%USERPROFILE%\Documents\GitHub\eaglep3\Utilities\RefineRTDCRunTimes.py" --tripid 244-05 --locoid 4015 --swversion DE.1.0.9.0 --startMP 204:233096 --initTime 2017-03-06T01:36:23 --startdatetime 2017-03-06T01:38:04 --delay 1 --endMP 204:238 --enddatetime 2017-03-06T02:18:11 --enforcementcount 0 &gt;&gt;C:\Users\stu\Documents\GitHub\eaglep3-reporting\EC\2017-03-05-refined-times.txt</v>
      </c>
      <c r="AI158" s="108" t="str">
        <f t="shared" si="60"/>
        <v>echo {"issue":{"subject":"","project_id":79,"tracker_id":40,"status_id":1,"priority_id":2,"assigned_to_id":23,"start_date":"2017-03-06","description":"","custom_fields":[{"id":1,"name":"Subdivision","value":"EC"},{"id":4,"name":"Milepost","value":"0.0238"},{"id":17,"name":"Train ID","value":"244-05"},{"id":16,"name":"Locomotive ID","value":"4015"},{"id":130,"name":"Impact","value":""},{"id":150,"name":"Time of Event (Mountain Time)","value":"02:18:11"},{"id":151,"name":"Denver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1"/>
        <v>start /low /b %USERPROFILE%\Documents\GitHub\eaglep3\Utilities\DownloadLogsFromS3.py --loco 4015 --day 2017-03-06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"%USERPROFILE%\AppData\Local\Temp\OnboardLogs"\RTDC4015\*4015*20170306* | grep -SE "(Enforcement Action)|(\[TIMEOUT)|(CHR.+\|PRM\|1\|D.+(SWITCH|SIGNAL).+UNKNOWN)" - &gt;&gt; 2017-03-05-UncaughtWiMAX.txt</v>
      </c>
    </row>
    <row r="159" spans="1:91" x14ac:dyDescent="0.25">
      <c r="A159" s="33" t="s">
        <v>540</v>
      </c>
      <c r="B159" s="7">
        <v>4032</v>
      </c>
      <c r="C159" s="21" t="s">
        <v>252</v>
      </c>
      <c r="D159" s="21" t="s">
        <v>826</v>
      </c>
      <c r="E159" s="13">
        <v>42799.227766203701</v>
      </c>
      <c r="F159" s="13">
        <v>42799.229421296295</v>
      </c>
      <c r="G159" s="7">
        <v>1</v>
      </c>
      <c r="H159" s="21" t="s">
        <v>827</v>
      </c>
      <c r="I159" s="13">
        <v>42799.24695601852</v>
      </c>
      <c r="J159" s="7">
        <v>0</v>
      </c>
      <c r="K159" s="98" t="str">
        <f t="shared" si="45"/>
        <v>4031/4032</v>
      </c>
      <c r="L159" s="21" t="str">
        <f>VLOOKUP(A159,'Trips&amp;Operators'!$C$1:$G$99999,5,FALSE)</f>
        <v>HOLCOMB KAMDEN</v>
      </c>
      <c r="M159" s="6">
        <f t="shared" si="46"/>
        <v>1.7534722224809229E-2</v>
      </c>
      <c r="N159" s="7">
        <f t="shared" si="63"/>
        <v>25.25000000372529</v>
      </c>
      <c r="O159" s="7"/>
      <c r="P159" s="7"/>
      <c r="Q159" s="22"/>
      <c r="R159" s="22"/>
      <c r="S159" s="31">
        <f t="shared" si="58"/>
        <v>1</v>
      </c>
      <c r="T159" s="46" t="str">
        <f t="shared" si="47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48"/>
        <v>https://d0f6bd738d7f1b3e5a7ca70fe4ff75f0.us-east-1.aws.found.io/app/kibana#/discover/Steve-Slow-Train-Analysis-(2080s-and-2083s)?_g=(refreshInterval:(display:Off,pause:!f,section:0,value:0),time:(from:'2017-03-05T04:27:59-0700',mode:absolute,to:'2017-03-05T06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187" t="str">
        <f t="shared" si="49"/>
        <v>N</v>
      </c>
      <c r="X159" s="187">
        <f t="shared" si="62"/>
        <v>1556</v>
      </c>
      <c r="Y159" s="62">
        <f t="shared" si="51"/>
        <v>5.8613</v>
      </c>
      <c r="Z159" s="62">
        <f t="shared" si="52"/>
        <v>8.6900000000000005E-2</v>
      </c>
      <c r="AA159" s="62">
        <f t="shared" si="53"/>
        <v>5.7744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4"/>
        <v>1800-05</v>
      </c>
      <c r="AE159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59" s="82" t="str">
        <f t="shared" si="56"/>
        <v>"C:\Program Files (x86)\AstroGrep\AstroGrep.exe" /spath="%USERPROFILE%\AppData\Local\Temp\OnboardLogs" /stypes="app*4032*20170305*" /stext=" 12:.+((SYSTEM_STATE.+slice.+state.+changed )|(ment ac)|(multiple cpu faults)|(system.+state.+changed )|(\[timeout)|(PRM\|1\|D)|(kpr)|(kdp)|(\|loc)|(crossing.((167)|(168)|(199)|(200))))" /e /r /s</v>
      </c>
      <c r="AG159" s="1" t="str">
        <f t="shared" si="57"/>
        <v>NW</v>
      </c>
      <c r="AH159" s="86" t="str">
        <f t="shared" si="59"/>
        <v>"%USERPROFILE%\Documents\GitHub\eaglep3\Utilities\RefineRTDCRunTimes.py" --tripid 1800-05 --locoid 4032 --swversion DE.1.0.9.0 --startMP 300:58613 --initTime 2017-03-05T05:27:59 --startdatetime 2017-03-05T05:30:22 --delay 1 --endMP 204:869 --enddatetime 2017-03-05T05:55:37 --enforcementcount 0 &gt;&gt;C:\Users\stu\Documents\GitHub\eaglep3-reporting\EC\2017-03-05-refined-times.txt</v>
      </c>
      <c r="AI159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{"issue":{"subject":"","project_id":79,"tracker_id":40,"status_id":1,"priority_id":2,"assigned_to_id":23,"start_date":"2017-03-05","description":"","custom_fields":[{"id":1,"name":"Subdivision","value":"NW"},{"id":4,"name":"Milepost","value":"0.0869"},{"id":17,"name":"Train ID","value":"1800-05"},{"id":16,"name":"Locomotive ID","value":"4032"},{"id":130,"name":"Impact","value":""},{"id":150,"name":"Time of Event (Mountain Time)","value":"05:55:37"},{"id":151,"name":"Denver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1"/>
        <v>start /low /b %USERPROFILE%\Documents\GitHub\eaglep3\Utilities\DownloadLogsFromS3.py --loco 4032 --day 2017-03-05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</row>
    <row r="160" spans="1:91" x14ac:dyDescent="0.25">
      <c r="A160" s="33" t="s">
        <v>614</v>
      </c>
      <c r="B160" s="7">
        <v>4031</v>
      </c>
      <c r="C160" s="21" t="s">
        <v>252</v>
      </c>
      <c r="D160" s="21" t="s">
        <v>828</v>
      </c>
      <c r="E160" s="13">
        <v>42799.256643518522</v>
      </c>
      <c r="F160" s="13">
        <v>42799.264849537038</v>
      </c>
      <c r="G160" s="7">
        <v>1</v>
      </c>
      <c r="H160" s="21" t="s">
        <v>829</v>
      </c>
      <c r="I160" s="13">
        <v>42799.274386574078</v>
      </c>
      <c r="J160" s="7">
        <v>0</v>
      </c>
      <c r="K160" s="98" t="str">
        <f t="shared" si="45"/>
        <v>4031/4032</v>
      </c>
      <c r="L160" s="21" t="str">
        <f>VLOOKUP(A160,'Trips&amp;Operators'!$C$1:$G$99999,5,FALSE)</f>
        <v>HOLCOMB KAMDEN</v>
      </c>
      <c r="M160" s="6">
        <f t="shared" si="46"/>
        <v>9.5370370399905369E-3</v>
      </c>
      <c r="N160" s="7">
        <f t="shared" si="63"/>
        <v>13.733333337586373</v>
      </c>
      <c r="O160" s="7"/>
      <c r="P160" s="7"/>
      <c r="Q160" s="22"/>
      <c r="R160" s="22"/>
      <c r="S160" s="31">
        <f t="shared" si="58"/>
        <v>1</v>
      </c>
      <c r="T160" s="46" t="str">
        <f t="shared" si="47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8"/>
        <v>https://d0f6bd738d7f1b3e5a7ca70fe4ff75f0.us-east-1.aws.found.io/app/kibana#/discover/Steve-Slow-Train-Analysis-(2080s-and-2083s)?_g=(refreshInterval:(display:Off,pause:!f,section:0,value:0),time:(from:'2017-03-05T05:09:34-0700',mode:absolute,to:'2017-03-05T07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87" t="str">
        <f t="shared" si="49"/>
        <v>N</v>
      </c>
      <c r="X160" s="187">
        <f t="shared" si="62"/>
        <v>1</v>
      </c>
      <c r="Y160" s="62">
        <f t="shared" si="51"/>
        <v>0.1123</v>
      </c>
      <c r="Z160" s="62">
        <f t="shared" si="52"/>
        <v>5.8948</v>
      </c>
      <c r="AA160" s="62">
        <f t="shared" si="53"/>
        <v>5.7824999999999998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4"/>
        <v>1801-05</v>
      </c>
      <c r="AE160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60" s="82" t="str">
        <f t="shared" si="56"/>
        <v>"C:\Program Files (x86)\AstroGrep\AstroGrep.exe" /spath="%USERPROFILE%\AppData\Local\Temp\OnboardLogs" /stypes="app*4031*20170305*" /stext=" 13:.+((SYSTEM_STATE.+slice.+state.+changed )|(ment ac)|(multiple cpu faults)|(system.+state.+changed )|(\[timeout)|(PRM\|1\|D)|(kpr)|(kdp)|(\|loc)|(crossing.((167)|(168)|(199)|(200))))" /e /r /s</v>
      </c>
      <c r="AG160" s="1" t="str">
        <f t="shared" si="57"/>
        <v>NW</v>
      </c>
      <c r="AH160" s="86" t="str">
        <f t="shared" si="59"/>
        <v>"%USERPROFILE%\Documents\GitHub\eaglep3\Utilities\RefineRTDCRunTimes.py" --tripid 1801-05 --locoid 4031 --swversion DE.1.0.9.0 --startMP 204:1123 --initTime 2017-03-05T06:09:34 --startdatetime 2017-03-05T06:21:23 --delay 1 --endMP 300:58948 --enddatetime 2017-03-05T06:35:07 --enforcementcount 0 &gt;&gt;C:\Users\stu\Documents\GitHub\eaglep3-reporting\EC\2017-03-05-refined-times.txt</v>
      </c>
      <c r="AI160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{"issue":{"subject":"","project_id":79,"tracker_id":40,"status_id":1,"priority_id":2,"assigned_to_id":23,"start_date":"2017-03-05","description":"","custom_fields":[{"id":1,"name":"Subdivision","value":"NW"},{"id":4,"name":"Milepost","value":"5.8948"},{"id":17,"name":"Train ID","value":"1801-05"},{"id":16,"name":"Locomotive ID","value":"4031"},{"id":130,"name":"Impact","value":""},{"id":150,"name":"Time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1"/>
        <v>start /low /b %USERPROFILE%\Documents\GitHub\eaglep3\Utilities\DownloadLogsFromS3.py --loco 4031 --day 2017-03-05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61" spans="1:91" s="20" customFormat="1" x14ac:dyDescent="0.25">
      <c r="A161" s="33" t="s">
        <v>618</v>
      </c>
      <c r="B161" s="7">
        <v>4032</v>
      </c>
      <c r="C161" s="21" t="s">
        <v>252</v>
      </c>
      <c r="D161" s="21" t="s">
        <v>830</v>
      </c>
      <c r="E161" s="13">
        <v>42799.275347222225</v>
      </c>
      <c r="F161" s="13">
        <v>42799.277337962965</v>
      </c>
      <c r="G161" s="7">
        <v>1</v>
      </c>
      <c r="H161" s="21" t="s">
        <v>831</v>
      </c>
      <c r="I161" s="13">
        <v>42799.288530092592</v>
      </c>
      <c r="J161" s="7">
        <v>0</v>
      </c>
      <c r="K161" s="98" t="str">
        <f t="shared" si="45"/>
        <v>4031/4032</v>
      </c>
      <c r="L161" s="21" t="str">
        <f>VLOOKUP(A161,'Trips&amp;Operators'!$C$1:$G$99999,5,FALSE)</f>
        <v>HOLCOMB KAMDEN</v>
      </c>
      <c r="M161" s="6">
        <f t="shared" si="46"/>
        <v>1.1192129626579117E-2</v>
      </c>
      <c r="N161" s="7">
        <f t="shared" si="63"/>
        <v>16.116666662273929</v>
      </c>
      <c r="O161" s="7"/>
      <c r="P161" s="7"/>
      <c r="Q161" s="22"/>
      <c r="R161" s="22"/>
      <c r="S161" s="31">
        <f t="shared" si="58"/>
        <v>1</v>
      </c>
      <c r="T161" s="46" t="str">
        <f t="shared" si="47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8"/>
        <v>https://d0f6bd738d7f1b3e5a7ca70fe4ff75f0.us-east-1.aws.found.io/app/kibana#/discover/Steve-Slow-Train-Analysis-(2080s-and-2083s)?_g=(refreshInterval:(display:Off,pause:!f,section:0,value:0),time:(from:'2017-03-05T05:36:30-0700',mode:absolute,to:'2017-03-05T07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7" t="str">
        <f t="shared" si="49"/>
        <v>N</v>
      </c>
      <c r="X161" s="187">
        <f t="shared" si="62"/>
        <v>1</v>
      </c>
      <c r="Y161" s="62">
        <f t="shared" si="51"/>
        <v>5.8628</v>
      </c>
      <c r="Z161" s="62">
        <f t="shared" si="52"/>
        <v>7.2599999999999998E-2</v>
      </c>
      <c r="AA161" s="62">
        <f t="shared" si="53"/>
        <v>5.7902000000000005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4"/>
        <v>1802-05</v>
      </c>
      <c r="AE161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61" s="82" t="str">
        <f t="shared" si="56"/>
        <v>"C:\Program Files (x86)\AstroGrep\AstroGrep.exe" /spath="%USERPROFILE%\AppData\Local\Temp\OnboardLogs" /stypes="app*4032*20170305*" /stext=" 13:.+((SYSTEM_STATE.+slice.+state.+changed )|(ment ac)|(multiple cpu faults)|(system.+state.+changed )|(\[timeout)|(PRM\|1\|D)|(kpr)|(kdp)|(\|loc)|(crossing.((167)|(168)|(199)|(200))))" /e /r /s</v>
      </c>
      <c r="AG161" s="1" t="str">
        <f t="shared" si="57"/>
        <v>NW</v>
      </c>
      <c r="AH161" s="86" t="str">
        <f t="shared" si="59"/>
        <v>"%USERPROFILE%\Documents\GitHub\eaglep3\Utilities\RefineRTDCRunTimes.py" --tripid 1802-05 --locoid 4032 --swversion DE.1.0.9.0 --startMP 300:58628 --initTime 2017-03-05T06:36:30 --startdatetime 2017-03-05T06:39:22 --delay 1 --endMP 204:726 --enddatetime 2017-03-05T06:55:29 --enforcementcount 0 &gt;&gt;C:\Users\stu\Documents\GitHub\eaglep3-reporting\EC\2017-03-05-refined-times.txt</v>
      </c>
      <c r="AI161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{"issue":{"subject":"","project_id":79,"tracker_id":40,"status_id":1,"priority_id":2,"assigned_to_id":23,"start_date":"2017-03-05","description":"","custom_fields":[{"id":1,"name":"Subdivision","value":"NW"},{"id":4,"name":"Milepost","value":"0.0726"},{"id":17,"name":"Train ID","value":"1802-05"},{"id":16,"name":"Locomotive ID","value":"4032"},{"id":130,"name":"Impact","value":""},{"id":150,"name":"Time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1"/>
        <v>start /low /b %USERPROFILE%\Documents\GitHub\eaglep3\Utilities\DownloadLogsFromS3.py --loco 4032 --day 2017-03-05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624</v>
      </c>
      <c r="B162" s="7">
        <v>4031</v>
      </c>
      <c r="C162" s="21" t="s">
        <v>252</v>
      </c>
      <c r="D162" s="21" t="s">
        <v>832</v>
      </c>
      <c r="E162" s="13">
        <v>42799.299097222225</v>
      </c>
      <c r="F162" s="13">
        <v>42799.306516203702</v>
      </c>
      <c r="G162" s="7">
        <v>1</v>
      </c>
      <c r="H162" s="21" t="s">
        <v>529</v>
      </c>
      <c r="I162" s="13">
        <v>42799.316018518519</v>
      </c>
      <c r="J162" s="7">
        <v>0</v>
      </c>
      <c r="K162" s="98" t="str">
        <f t="shared" si="45"/>
        <v>4031/4032</v>
      </c>
      <c r="L162" s="21" t="str">
        <f>VLOOKUP(A162,'Trips&amp;Operators'!$C$1:$G$99999,5,FALSE)</f>
        <v>HOLCOMB KAMDEN</v>
      </c>
      <c r="M162" s="6">
        <f t="shared" si="46"/>
        <v>9.5023148169275373E-3</v>
      </c>
      <c r="N162" s="7">
        <f t="shared" si="63"/>
        <v>13.683333336375654</v>
      </c>
      <c r="O162" s="7"/>
      <c r="P162" s="7"/>
      <c r="Q162" s="22"/>
      <c r="R162" s="22"/>
      <c r="S162" s="31">
        <f t="shared" si="58"/>
        <v>1</v>
      </c>
      <c r="T162" s="46" t="str">
        <f t="shared" si="47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8"/>
        <v>https://d0f6bd738d7f1b3e5a7ca70fe4ff75f0.us-east-1.aws.found.io/app/kibana#/discover/Steve-Slow-Train-Analysis-(2080s-and-2083s)?_g=(refreshInterval:(display:Off,pause:!f,section:0,value:0),time:(from:'2017-03-05T06:10:42-0700',mode:absolute,to:'2017-03-05T08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7" t="str">
        <f t="shared" si="49"/>
        <v>N</v>
      </c>
      <c r="X162" s="187">
        <f t="shared" si="62"/>
        <v>1</v>
      </c>
      <c r="Y162" s="62">
        <f t="shared" si="51"/>
        <v>0.1009</v>
      </c>
      <c r="Z162" s="62">
        <f t="shared" si="52"/>
        <v>5.8943000000000003</v>
      </c>
      <c r="AA162" s="62">
        <f t="shared" si="53"/>
        <v>5.7934000000000001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4"/>
        <v>1803-05</v>
      </c>
      <c r="AE162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62" s="82" t="str">
        <f t="shared" si="56"/>
        <v>"C:\Program Files (x86)\AstroGrep\AstroGrep.exe" /spath="%USERPROFILE%\AppData\Local\Temp\OnboardLogs" /stypes="app*4031*20170305*" /stext=" 14:.+((SYSTEM_STATE.+slice.+state.+changed )|(ment ac)|(multiple cpu faults)|(system.+state.+changed )|(\[timeout)|(PRM\|1\|D)|(kpr)|(kdp)|(\|loc)|(crossing.((167)|(168)|(199)|(200))))" /e /r /s</v>
      </c>
      <c r="AG162" s="1" t="str">
        <f t="shared" si="57"/>
        <v>NW</v>
      </c>
      <c r="AH162" s="86" t="str">
        <f t="shared" si="59"/>
        <v>"%USERPROFILE%\Documents\GitHub\eaglep3\Utilities\RefineRTDCRunTimes.py" --tripid 1803-05 --locoid 4031 --swversion DE.1.0.9.0 --startMP 204:1009 --initTime 2017-03-05T07:10:42 --startdatetime 2017-03-05T07:21:23 --delay 1 --endMP 300:58943 --enddatetime 2017-03-05T07:35:04 --enforcementcount 0 &gt;&gt;C:\Users\stu\Documents\GitHub\eaglep3-reporting\EC\2017-03-05-refined-times.txt</v>
      </c>
      <c r="AI162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{"issue":{"subject":"","project_id":79,"tracker_id":40,"status_id":1,"priority_id":2,"assigned_to_id":23,"start_date":"2017-03-05","description":"","custom_fields":[{"id":1,"name":"Subdivision","value":"NW"},{"id":4,"name":"Milepost","value":"5.8943"},{"id":17,"name":"Train ID","value":"1803-05"},{"id":16,"name":"Locomotive ID","value":"4031"},{"id":130,"name":"Impact","value":""},{"id":150,"name":"Time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1"/>
        <v>start /low /b %USERPROFILE%\Documents\GitHub\eaglep3\Utilities\DownloadLogsFromS3.py --loco 4031 --day 2017-03-05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63" spans="1:91" s="20" customFormat="1" x14ac:dyDescent="0.25">
      <c r="A163" s="33" t="s">
        <v>628</v>
      </c>
      <c r="B163" s="7">
        <v>4032</v>
      </c>
      <c r="C163" s="21" t="s">
        <v>252</v>
      </c>
      <c r="D163" s="21" t="s">
        <v>833</v>
      </c>
      <c r="E163" s="13">
        <v>42799.31722222222</v>
      </c>
      <c r="F163" s="13">
        <v>42799.318831018521</v>
      </c>
      <c r="G163" s="7">
        <v>1</v>
      </c>
      <c r="H163" s="21" t="s">
        <v>314</v>
      </c>
      <c r="I163" s="13">
        <v>42799.330231481479</v>
      </c>
      <c r="J163" s="7">
        <v>0</v>
      </c>
      <c r="K163" s="98" t="str">
        <f t="shared" si="45"/>
        <v>4031/4032</v>
      </c>
      <c r="L163" s="21" t="str">
        <f>VLOOKUP(A163,'Trips&amp;Operators'!$C$1:$G$99999,5,FALSE)</f>
        <v>HOLCOMB KAMDEN</v>
      </c>
      <c r="M163" s="6">
        <f t="shared" si="46"/>
        <v>1.1400462957681157E-2</v>
      </c>
      <c r="N163" s="7">
        <f t="shared" si="63"/>
        <v>16.416666659060866</v>
      </c>
      <c r="O163" s="7"/>
      <c r="P163" s="7"/>
      <c r="Q163" s="22"/>
      <c r="R163" s="22"/>
      <c r="S163" s="31">
        <f t="shared" si="58"/>
        <v>1</v>
      </c>
      <c r="T163" s="46" t="str">
        <f t="shared" si="47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8"/>
        <v>https://d0f6bd738d7f1b3e5a7ca70fe4ff75f0.us-east-1.aws.found.io/app/kibana#/discover/Steve-Slow-Train-Analysis-(2080s-and-2083s)?_g=(refreshInterval:(display:Off,pause:!f,section:0,value:0),time:(from:'2017-03-05T06:36:48-0700',mode:absolute,to:'2017-03-05T08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7" t="str">
        <f t="shared" si="49"/>
        <v>N</v>
      </c>
      <c r="X163" s="187">
        <f t="shared" ref="X163:X194" si="64">VALUE(LEFT(AD163,4))-VALUE(LEFT(AD162,4))</f>
        <v>1</v>
      </c>
      <c r="Y163" s="62">
        <f t="shared" si="51"/>
        <v>5.8619000000000003</v>
      </c>
      <c r="Z163" s="62">
        <f t="shared" si="52"/>
        <v>7.5200000000000003E-2</v>
      </c>
      <c r="AA163" s="62">
        <f t="shared" si="53"/>
        <v>5.7867000000000006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4"/>
        <v>1804-05</v>
      </c>
      <c r="AE163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63" s="82" t="str">
        <f t="shared" si="56"/>
        <v>"C:\Program Files (x86)\AstroGrep\AstroGrep.exe" /spath="%USERPROFILE%\AppData\Local\Temp\OnboardLogs" /stypes="app*4032*20170305*" /stext=" 14:.+((SYSTEM_STATE.+slice.+state.+changed )|(ment ac)|(multiple cpu faults)|(system.+state.+changed )|(\[timeout)|(PRM\|1\|D)|(kpr)|(kdp)|(\|loc)|(crossing.((167)|(168)|(199)|(200))))" /e /r /s</v>
      </c>
      <c r="AG163" s="1" t="str">
        <f t="shared" si="57"/>
        <v>NW</v>
      </c>
      <c r="AH163" s="86" t="str">
        <f t="shared" si="59"/>
        <v>"%USERPROFILE%\Documents\GitHub\eaglep3\Utilities\RefineRTDCRunTimes.py" --tripid 1804-05 --locoid 4032 --swversion DE.1.0.9.0 --startMP 300:58619 --initTime 2017-03-05T07:36:48 --startdatetime 2017-03-05T07:39:07 --delay 1 --endMP 204:752 --enddatetime 2017-03-05T07:55:32 --enforcementcount 0 &gt;&gt;C:\Users\stu\Documents\GitHub\eaglep3-reporting\EC\2017-03-05-refined-times.txt</v>
      </c>
      <c r="AI163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{"issue":{"subject":"","project_id":79,"tracker_id":40,"status_id":1,"priority_id":2,"assigned_to_id":23,"start_date":"2017-03-05","description":"","custom_fields":[{"id":1,"name":"Subdivision","value":"NW"},{"id":4,"name":"Milepost","value":"0.0752"},{"id":17,"name":"Train ID","value":"1804-05"},{"id":16,"name":"Locomotive ID","value":"4032"},{"id":130,"name":"Impact","value":""},{"id":150,"name":"Time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1"/>
        <v>start /low /b %USERPROFILE%\Documents\GitHub\eaglep3\Utilities\DownloadLogsFromS3.py --loco 4032 --day 2017-03-05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634</v>
      </c>
      <c r="B164" s="7">
        <v>4031</v>
      </c>
      <c r="C164" s="21" t="s">
        <v>252</v>
      </c>
      <c r="D164" s="21" t="s">
        <v>834</v>
      </c>
      <c r="E164" s="13">
        <v>42799.340914351851</v>
      </c>
      <c r="F164" s="13">
        <v>42799.348310185182</v>
      </c>
      <c r="G164" s="7">
        <v>0</v>
      </c>
      <c r="H164" s="21" t="s">
        <v>531</v>
      </c>
      <c r="I164" s="13">
        <v>42799.357881944445</v>
      </c>
      <c r="J164" s="7">
        <v>0</v>
      </c>
      <c r="K164" s="98" t="str">
        <f t="shared" si="45"/>
        <v>4031/4032</v>
      </c>
      <c r="L164" s="21" t="str">
        <f>VLOOKUP(A164,'Trips&amp;Operators'!$C$1:$G$99999,5,FALSE)</f>
        <v>HOLCOMB KAMDEN</v>
      </c>
      <c r="M164" s="6">
        <f t="shared" si="46"/>
        <v>9.5717592630535364E-3</v>
      </c>
      <c r="N164" s="7">
        <f t="shared" si="63"/>
        <v>13.783333338797092</v>
      </c>
      <c r="O164" s="7"/>
      <c r="P164" s="7"/>
      <c r="Q164" s="22"/>
      <c r="R164" s="22"/>
      <c r="S164" s="31">
        <f t="shared" si="58"/>
        <v>1</v>
      </c>
      <c r="T164" s="46" t="str">
        <f t="shared" si="47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8"/>
        <v>https://d0f6bd738d7f1b3e5a7ca70fe4ff75f0.us-east-1.aws.found.io/app/kibana#/discover/Steve-Slow-Train-Analysis-(2080s-and-2083s)?_g=(refreshInterval:(display:Off,pause:!f,section:0,value:0),time:(from:'2017-03-05T07:10:55-0700',mode:absolute,to:'2017-03-05T09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7" t="str">
        <f t="shared" si="49"/>
        <v>N</v>
      </c>
      <c r="X164" s="187">
        <f t="shared" si="64"/>
        <v>1</v>
      </c>
      <c r="Y164" s="62">
        <f t="shared" si="51"/>
        <v>0.10390000000000001</v>
      </c>
      <c r="Z164" s="62">
        <f t="shared" si="52"/>
        <v>5.8944000000000001</v>
      </c>
      <c r="AA164" s="62">
        <f t="shared" si="53"/>
        <v>5.7904999999999998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4"/>
        <v>1805-05</v>
      </c>
      <c r="AE164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64" s="82" t="str">
        <f t="shared" si="56"/>
        <v>"C:\Program Files (x86)\AstroGrep\AstroGrep.exe" /spath="%USERPROFILE%\AppData\Local\Temp\OnboardLogs" /stypes="app*4031*20170305*" /stext=" 15:.+((SYSTEM_STATE.+slice.+state.+changed )|(ment ac)|(multiple cpu faults)|(system.+state.+changed )|(\[timeout)|(PRM\|1\|D)|(kpr)|(kdp)|(\|loc)|(crossing.((167)|(168)|(199)|(200))))" /e /r /s</v>
      </c>
      <c r="AG164" s="1" t="str">
        <f t="shared" si="57"/>
        <v>NW</v>
      </c>
      <c r="AH164" s="86" t="str">
        <f t="shared" si="59"/>
        <v>"%USERPROFILE%\Documents\GitHub\eaglep3\Utilities\RefineRTDCRunTimes.py" --tripid 1805-05 --locoid 4031 --swversion DE.1.0.9.0 --startMP 204:1039 --initTime 2017-03-05T08:10:55 --startdatetime 2017-03-05T08:21:34 --delay 0 --endMP 300:58944 --enddatetime 2017-03-05T08:35:21 --enforcementcount 0 &gt;&gt;C:\Users\stu\Documents\GitHub\eaglep3-reporting\EC\2017-03-05-refined-times.txt</v>
      </c>
      <c r="AI164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{"issue":{"subject":"","project_id":79,"tracker_id":40,"status_id":1,"priority_id":2,"assigned_to_id":23,"start_date":"2017-03-05","description":"","custom_fields":[{"id":1,"name":"Subdivision","value":"NW"},{"id":4,"name":"Milepost","value":"5.8944"},{"id":17,"name":"Train ID","value":"1805-05"},{"id":16,"name":"Locomotive ID","value":"4031"},{"id":130,"name":"Impact","value":""},{"id":150,"name":"Time of Event (Mountain Time)","value":"08:35:21"},{"id":151,"name":"Denver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1"/>
        <v>start /low /b %USERPROFILE%\Documents\GitHub\eaglep3\Utilities\DownloadLogsFromS3.py --loco 4031 --day 2017-03-05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65" spans="1:91" s="20" customFormat="1" x14ac:dyDescent="0.25">
      <c r="A165" s="33" t="s">
        <v>639</v>
      </c>
      <c r="B165" s="7">
        <v>4032</v>
      </c>
      <c r="C165" s="21" t="s">
        <v>252</v>
      </c>
      <c r="D165" s="21" t="s">
        <v>347</v>
      </c>
      <c r="E165" s="13">
        <v>42799.358715277776</v>
      </c>
      <c r="F165" s="13">
        <v>42799.36005787037</v>
      </c>
      <c r="G165" s="7">
        <v>0</v>
      </c>
      <c r="H165" s="21" t="s">
        <v>835</v>
      </c>
      <c r="I165" s="13">
        <v>42799.372129629628</v>
      </c>
      <c r="J165" s="7">
        <v>0</v>
      </c>
      <c r="K165" s="98" t="str">
        <f t="shared" si="45"/>
        <v>4031/4032</v>
      </c>
      <c r="L165" s="21" t="str">
        <f>VLOOKUP(A165,'Trips&amp;Operators'!$C$1:$G$99999,5,FALSE)</f>
        <v>HOLCOMB KAMDEN</v>
      </c>
      <c r="M165" s="6">
        <f t="shared" si="46"/>
        <v>1.2071759258105885E-2</v>
      </c>
      <c r="N165" s="7">
        <f t="shared" si="63"/>
        <v>17.383333331672475</v>
      </c>
      <c r="O165" s="7"/>
      <c r="P165" s="7"/>
      <c r="Q165" s="22"/>
      <c r="R165" s="22"/>
      <c r="S165" s="31">
        <f t="shared" si="58"/>
        <v>1</v>
      </c>
      <c r="T165" s="46" t="str">
        <f t="shared" si="47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8"/>
        <v>https://d0f6bd738d7f1b3e5a7ca70fe4ff75f0.us-east-1.aws.found.io/app/kibana#/discover/Steve-Slow-Train-Analysis-(2080s-and-2083s)?_g=(refreshInterval:(display:Off,pause:!f,section:0,value:0),time:(from:'2017-03-05T07:36:33-0700',mode:absolute,to:'2017-03-05T09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7" t="str">
        <f t="shared" si="49"/>
        <v>N</v>
      </c>
      <c r="X165" s="187">
        <f t="shared" si="64"/>
        <v>1</v>
      </c>
      <c r="Y165" s="62">
        <f t="shared" si="51"/>
        <v>5.8632</v>
      </c>
      <c r="Z165" s="62">
        <f t="shared" si="52"/>
        <v>7.22E-2</v>
      </c>
      <c r="AA165" s="62">
        <f t="shared" si="53"/>
        <v>5.7910000000000004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4"/>
        <v>1806-05</v>
      </c>
      <c r="AE165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65" s="82" t="str">
        <f t="shared" si="56"/>
        <v>"C:\Program Files (x86)\AstroGrep\AstroGrep.exe" /spath="%USERPROFILE%\AppData\Local\Temp\OnboardLogs" /stypes="app*4032*20170305*" /stext=" 15:.+((SYSTEM_STATE.+slice.+state.+changed )|(ment ac)|(multiple cpu faults)|(system.+state.+changed )|(\[timeout)|(PRM\|1\|D)|(kpr)|(kdp)|(\|loc)|(crossing.((167)|(168)|(199)|(200))))" /e /r /s</v>
      </c>
      <c r="AG165" s="1" t="str">
        <f t="shared" si="57"/>
        <v>NW</v>
      </c>
      <c r="AH165" s="86" t="str">
        <f t="shared" si="59"/>
        <v>"%USERPROFILE%\Documents\GitHub\eaglep3\Utilities\RefineRTDCRunTimes.py" --tripid 1806-05 --locoid 4032 --swversion DE.1.0.9.0 --startMP 300:58632 --initTime 2017-03-05T08:36:33 --startdatetime 2017-03-05T08:38:29 --delay 0 --endMP 204:722 --enddatetime 2017-03-05T08:55:52 --enforcementcount 0 &gt;&gt;C:\Users\stu\Documents\GitHub\eaglep3-reporting\EC\2017-03-05-refined-times.txt</v>
      </c>
      <c r="AI165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{"issue":{"subject":"","project_id":79,"tracker_id":40,"status_id":1,"priority_id":2,"assigned_to_id":23,"start_date":"2017-03-05","description":"","custom_fields":[{"id":1,"name":"Subdivision","value":"NW"},{"id":4,"name":"Milepost","value":"0.0722"},{"id":17,"name":"Train ID","value":"1806-05"},{"id":16,"name":"Locomotive ID","value":"4032"},{"id":130,"name":"Impact","value":""},{"id":150,"name":"Time of Event (Mountain Time)","value":"08:55:52"},{"id":151,"name":"Denver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1"/>
        <v>start /low /b %USERPROFILE%\Documents\GitHub\eaglep3\Utilities\DownloadLogsFromS3.py --loco 4032 --day 2017-03-05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645</v>
      </c>
      <c r="B166" s="7">
        <v>4031</v>
      </c>
      <c r="C166" s="21" t="s">
        <v>252</v>
      </c>
      <c r="D166" s="21" t="s">
        <v>836</v>
      </c>
      <c r="E166" s="13">
        <v>42799.386192129627</v>
      </c>
      <c r="F166" s="13">
        <v>42799.389814814815</v>
      </c>
      <c r="G166" s="7">
        <v>1</v>
      </c>
      <c r="H166" s="21" t="s">
        <v>531</v>
      </c>
      <c r="I166" s="13">
        <v>42799.399525462963</v>
      </c>
      <c r="J166" s="7">
        <v>0</v>
      </c>
      <c r="K166" s="98" t="str">
        <f t="shared" si="45"/>
        <v>4031/4032</v>
      </c>
      <c r="L166" s="21" t="str">
        <f>VLOOKUP(A166,'Trips&amp;Operators'!$C$1:$G$99999,5,FALSE)</f>
        <v>HOLCOMB KAMDEN</v>
      </c>
      <c r="M166" s="6">
        <f t="shared" si="46"/>
        <v>9.710648148029577E-3</v>
      </c>
      <c r="N166" s="7">
        <f t="shared" si="63"/>
        <v>13.983333333162591</v>
      </c>
      <c r="O166" s="7"/>
      <c r="P166" s="7"/>
      <c r="Q166" s="22"/>
      <c r="R166" s="22"/>
      <c r="S166" s="31">
        <f t="shared" si="58"/>
        <v>1</v>
      </c>
      <c r="T166" s="46" t="str">
        <f t="shared" si="47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8"/>
        <v>https://d0f6bd738d7f1b3e5a7ca70fe4ff75f0.us-east-1.aws.found.io/app/kibana#/discover/Steve-Slow-Train-Analysis-(2080s-and-2083s)?_g=(refreshInterval:(display:Off,pause:!f,section:0,value:0),time:(from:'2017-03-05T08:16:07-0700',mode:absolute,to:'2017-03-05T10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7" t="str">
        <f t="shared" si="49"/>
        <v>N</v>
      </c>
      <c r="X166" s="187">
        <f t="shared" si="64"/>
        <v>1</v>
      </c>
      <c r="Y166" s="62">
        <f t="shared" si="51"/>
        <v>0.1013</v>
      </c>
      <c r="Z166" s="62">
        <f t="shared" si="52"/>
        <v>5.8944000000000001</v>
      </c>
      <c r="AA166" s="62">
        <f t="shared" si="53"/>
        <v>5.7930999999999999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4"/>
        <v>1807-05</v>
      </c>
      <c r="AE166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66" s="82" t="str">
        <f t="shared" si="56"/>
        <v>"C:\Program Files (x86)\AstroGrep\AstroGrep.exe" /spath="%USERPROFILE%\AppData\Local\Temp\OnboardLogs" /stypes="app*4031*20170305*" /stext=" 16:.+((SYSTEM_STATE.+slice.+state.+changed )|(ment ac)|(multiple cpu faults)|(system.+state.+changed )|(\[timeout)|(PRM\|1\|D)|(kpr)|(kdp)|(\|loc)|(crossing.((167)|(168)|(199)|(200))))" /e /r /s</v>
      </c>
      <c r="AG166" s="1" t="str">
        <f t="shared" si="57"/>
        <v>NW</v>
      </c>
      <c r="AH166" s="86" t="str">
        <f t="shared" si="59"/>
        <v>"%USERPROFILE%\Documents\GitHub\eaglep3\Utilities\RefineRTDCRunTimes.py" --tripid 1807-05 --locoid 4031 --swversion DE.1.0.9.0 --startMP 204:1013 --initTime 2017-03-05T09:16:07 --startdatetime 2017-03-05T09:21:20 --delay 1 --endMP 300:58944 --enddatetime 2017-03-05T09:35:19 --enforcementcount 0 &gt;&gt;C:\Users\stu\Documents\GitHub\eaglep3-reporting\EC\2017-03-05-refined-times.txt</v>
      </c>
      <c r="AI166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{"issue":{"subject":"","project_id":79,"tracker_id":40,"status_id":1,"priority_id":2,"assigned_to_id":23,"start_date":"2017-03-05","description":"","custom_fields":[{"id":1,"name":"Subdivision","value":"NW"},{"id":4,"name":"Milepost","value":"5.8944"},{"id":17,"name":"Train ID","value":"1807-05"},{"id":16,"name":"Locomotive ID","value":"4031"},{"id":130,"name":"Impact","value":""},{"id":150,"name":"Time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1"/>
        <v>start /low /b %USERPROFILE%\Documents\GitHub\eaglep3\Utilities\DownloadLogsFromS3.py --loco 4031 --day 2017-03-05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67" spans="1:91" s="20" customFormat="1" x14ac:dyDescent="0.25">
      <c r="A167" s="33" t="s">
        <v>543</v>
      </c>
      <c r="B167" s="7">
        <v>4032</v>
      </c>
      <c r="C167" s="21" t="s">
        <v>252</v>
      </c>
      <c r="D167" s="21" t="s">
        <v>347</v>
      </c>
      <c r="E167" s="13">
        <v>42799.400613425925</v>
      </c>
      <c r="F167" s="13">
        <v>42799.401944444442</v>
      </c>
      <c r="G167" s="7">
        <v>0</v>
      </c>
      <c r="H167" s="21" t="s">
        <v>837</v>
      </c>
      <c r="I167" s="13">
        <v>42799.413321759261</v>
      </c>
      <c r="J167" s="7">
        <v>0</v>
      </c>
      <c r="K167" s="98" t="str">
        <f t="shared" si="45"/>
        <v>4031/4032</v>
      </c>
      <c r="L167" s="21" t="str">
        <f>VLOOKUP(A167,'Trips&amp;Operators'!$C$1:$G$99999,5,FALSE)</f>
        <v>HOLCOMB KAMDEN</v>
      </c>
      <c r="M167" s="6">
        <f t="shared" si="46"/>
        <v>1.1377314818673767E-2</v>
      </c>
      <c r="N167" s="7">
        <f t="shared" si="63"/>
        <v>16.383333338890225</v>
      </c>
      <c r="O167" s="7"/>
      <c r="P167" s="7"/>
      <c r="Q167" s="22"/>
      <c r="R167" s="22"/>
      <c r="S167" s="31">
        <f t="shared" si="58"/>
        <v>1</v>
      </c>
      <c r="T167" s="46" t="str">
        <f t="shared" si="47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8"/>
        <v>https://d0f6bd738d7f1b3e5a7ca70fe4ff75f0.us-east-1.aws.found.io/app/kibana#/discover/Steve-Slow-Train-Analysis-(2080s-and-2083s)?_g=(refreshInterval:(display:Off,pause:!f,section:0,value:0),time:(from:'2017-03-05T08:36:53-0700',mode:absolute,to:'2017-03-05T10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7" t="str">
        <f t="shared" si="49"/>
        <v>N</v>
      </c>
      <c r="X167" s="187">
        <f t="shared" si="64"/>
        <v>1</v>
      </c>
      <c r="Y167" s="62">
        <f t="shared" si="51"/>
        <v>5.8632</v>
      </c>
      <c r="Z167" s="62">
        <f t="shared" si="52"/>
        <v>7.6799999999999993E-2</v>
      </c>
      <c r="AA167" s="62">
        <f t="shared" si="53"/>
        <v>5.7863999999999995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4"/>
        <v>1808-05</v>
      </c>
      <c r="AE167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67" s="82" t="str">
        <f t="shared" si="56"/>
        <v>"C:\Program Files (x86)\AstroGrep\AstroGrep.exe" /spath="%USERPROFILE%\AppData\Local\Temp\OnboardLogs" /stypes="app*4032*20170305*" /stext=" 16:.+((SYSTEM_STATE.+slice.+state.+changed )|(ment ac)|(multiple cpu faults)|(system.+state.+changed )|(\[timeout)|(PRM\|1\|D)|(kpr)|(kdp)|(\|loc)|(crossing.((167)|(168)|(199)|(200))))" /e /r /s</v>
      </c>
      <c r="AG167" s="1" t="str">
        <f t="shared" si="57"/>
        <v>NW</v>
      </c>
      <c r="AH167" s="86" t="str">
        <f t="shared" si="59"/>
        <v>"%USERPROFILE%\Documents\GitHub\eaglep3\Utilities\RefineRTDCRunTimes.py" --tripid 1808-05 --locoid 4032 --swversion DE.1.0.9.0 --startMP 300:58632 --initTime 2017-03-05T09:36:53 --startdatetime 2017-03-05T09:38:48 --delay 0 --endMP 204:768 --enddatetime 2017-03-05T09:55:11 --enforcementcount 0 &gt;&gt;C:\Users\stu\Documents\GitHub\eaglep3-reporting\EC\2017-03-05-refined-times.txt</v>
      </c>
      <c r="AI167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{"issue":{"subject":"","project_id":79,"tracker_id":40,"status_id":1,"priority_id":2,"assigned_to_id":23,"start_date":"2017-03-05","description":"","custom_fields":[{"id":1,"name":"Subdivision","value":"NW"},{"id":4,"name":"Milepost","value":"0.0768"},{"id":17,"name":"Train ID","value":"1808-05"},{"id":16,"name":"Locomotive ID","value":"4032"},{"id":130,"name":"Impact","value":""},{"id":150,"name":"Time of Event (Mountain Time)","value":"09:55:11"},{"id":151,"name":"Denver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1"/>
        <v>start /low /b %USERPROFILE%\Documents\GitHub\eaglep3\Utilities\DownloadLogsFromS3.py --loco 4032 --day 2017-03-05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546</v>
      </c>
      <c r="B168" s="7">
        <v>4031</v>
      </c>
      <c r="C168" s="21" t="s">
        <v>252</v>
      </c>
      <c r="D168" s="21" t="s">
        <v>838</v>
      </c>
      <c r="E168" s="13">
        <v>42799.423981481479</v>
      </c>
      <c r="F168" s="13">
        <v>42799.43167824074</v>
      </c>
      <c r="G168" s="7">
        <v>1</v>
      </c>
      <c r="H168" s="21" t="s">
        <v>287</v>
      </c>
      <c r="I168" s="13">
        <v>42799.440995370373</v>
      </c>
      <c r="J168" s="7">
        <v>0</v>
      </c>
      <c r="K168" s="98" t="str">
        <f t="shared" si="45"/>
        <v>4031/4032</v>
      </c>
      <c r="L168" s="21" t="str">
        <f>VLOOKUP(A168,'Trips&amp;Operators'!$C$1:$G$99999,5,FALSE)</f>
        <v>HOLCOMB KAMDEN</v>
      </c>
      <c r="M168" s="6">
        <f t="shared" si="46"/>
        <v>9.3171296321088448E-3</v>
      </c>
      <c r="N168" s="7">
        <f t="shared" si="63"/>
        <v>13.416666670236737</v>
      </c>
      <c r="O168" s="7"/>
      <c r="P168" s="7"/>
      <c r="Q168" s="22"/>
      <c r="R168" s="22"/>
      <c r="S168" s="31">
        <f t="shared" si="58"/>
        <v>1</v>
      </c>
      <c r="T168" s="46" t="str">
        <f t="shared" si="47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8"/>
        <v>https://d0f6bd738d7f1b3e5a7ca70fe4ff75f0.us-east-1.aws.found.io/app/kibana#/discover/Steve-Slow-Train-Analysis-(2080s-and-2083s)?_g=(refreshInterval:(display:Off,pause:!f,section:0,value:0),time:(from:'2017-03-05T09:10:32-0700',mode:absolute,to:'2017-03-05T11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7" t="str">
        <f t="shared" si="49"/>
        <v>N</v>
      </c>
      <c r="X168" s="187">
        <f t="shared" si="64"/>
        <v>1</v>
      </c>
      <c r="Y168" s="62">
        <f t="shared" si="51"/>
        <v>0.1023</v>
      </c>
      <c r="Z168" s="62">
        <f t="shared" si="52"/>
        <v>5.8933</v>
      </c>
      <c r="AA168" s="62">
        <f t="shared" si="53"/>
        <v>5.7910000000000004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4"/>
        <v>1809-05</v>
      </c>
      <c r="AE168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68" s="82" t="str">
        <f t="shared" si="56"/>
        <v>"C:\Program Files (x86)\AstroGrep\AstroGrep.exe" /spath="%USERPROFILE%\AppData\Local\Temp\OnboardLogs" /stypes="app*4031*20170305*" /stext=" 17:.+((SYSTEM_STATE.+slice.+state.+changed )|(ment ac)|(multiple cpu faults)|(system.+state.+changed )|(\[timeout)|(PRM\|1\|D)|(kpr)|(kdp)|(\|loc)|(crossing.((167)|(168)|(199)|(200))))" /e /r /s</v>
      </c>
      <c r="AG168" s="1" t="str">
        <f t="shared" si="57"/>
        <v>NW</v>
      </c>
      <c r="AH168" s="86" t="str">
        <f t="shared" si="59"/>
        <v>"%USERPROFILE%\Documents\GitHub\eaglep3\Utilities\RefineRTDCRunTimes.py" --tripid 1809-05 --locoid 4031 --swversion DE.1.0.9.0 --startMP 204:1023 --initTime 2017-03-05T10:10:32 --startdatetime 2017-03-05T10:21:37 --delay 1 --endMP 300:58933 --enddatetime 2017-03-05T10:35:02 --enforcementcount 0 &gt;&gt;C:\Users\stu\Documents\GitHub\eaglep3-reporting\EC\2017-03-05-refined-times.txt</v>
      </c>
      <c r="AI168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{"issue":{"subject":"","project_id":79,"tracker_id":40,"status_id":1,"priority_id":2,"assigned_to_id":23,"start_date":"2017-03-05","description":"","custom_fields":[{"id":1,"name":"Subdivision","value":"NW"},{"id":4,"name":"Milepost","value":"5.8933"},{"id":17,"name":"Train ID","value":"1809-05"},{"id":16,"name":"Locomotive ID","value":"4031"},{"id":130,"name":"Impact","value":""},{"id":150,"name":"Time of Event (Mountain Time)","value":"10:35:02"},{"id":151,"name":"Denver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1"/>
        <v>start /low /b %USERPROFILE%\Documents\GitHub\eaglep3\Utilities\DownloadLogsFromS3.py --loco 4031 --day 2017-03-05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69" spans="1:91" x14ac:dyDescent="0.25">
      <c r="A169" s="33" t="s">
        <v>660</v>
      </c>
      <c r="B169" s="7">
        <v>4032</v>
      </c>
      <c r="C169" s="21" t="s">
        <v>252</v>
      </c>
      <c r="D169" s="21" t="s">
        <v>839</v>
      </c>
      <c r="E169" s="13">
        <v>42799.442395833335</v>
      </c>
      <c r="F169" s="13">
        <v>42799.443692129629</v>
      </c>
      <c r="G169" s="7">
        <v>1</v>
      </c>
      <c r="H169" s="21" t="s">
        <v>840</v>
      </c>
      <c r="I169" s="13">
        <v>42799.455104166664</v>
      </c>
      <c r="J169" s="7">
        <v>0</v>
      </c>
      <c r="K169" s="98" t="str">
        <f t="shared" si="45"/>
        <v>4031/4032</v>
      </c>
      <c r="L169" s="21" t="str">
        <f>VLOOKUP(A169,'Trips&amp;Operators'!$C$1:$G$99999,5,FALSE)</f>
        <v>HOLCOMB KAMDEN</v>
      </c>
      <c r="M169" s="6">
        <f t="shared" si="46"/>
        <v>1.1412037034460809E-2</v>
      </c>
      <c r="N169" s="7">
        <f t="shared" si="63"/>
        <v>16.433333329623565</v>
      </c>
      <c r="O169" s="7"/>
      <c r="P169" s="7"/>
      <c r="Q169" s="22"/>
      <c r="R169" s="22"/>
      <c r="S169" s="31">
        <f t="shared" si="58"/>
        <v>1</v>
      </c>
      <c r="T169" s="46" t="str">
        <f t="shared" si="47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8"/>
        <v>https://d0f6bd738d7f1b3e5a7ca70fe4ff75f0.us-east-1.aws.found.io/app/kibana#/discover/Steve-Slow-Train-Analysis-(2080s-and-2083s)?_g=(refreshInterval:(display:Off,pause:!f,section:0,value:0),time:(from:'2017-03-05T09:37:03-0700',mode:absolute,to:'2017-03-05T11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7" t="str">
        <f t="shared" si="49"/>
        <v>N</v>
      </c>
      <c r="X169" s="187">
        <f t="shared" si="64"/>
        <v>1</v>
      </c>
      <c r="Y169" s="62">
        <f t="shared" si="51"/>
        <v>5.8609</v>
      </c>
      <c r="Z169" s="62">
        <f t="shared" si="52"/>
        <v>7.3300000000000004E-2</v>
      </c>
      <c r="AA169" s="62">
        <f t="shared" si="53"/>
        <v>5.7876000000000003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4"/>
        <v>1810-05</v>
      </c>
      <c r="AE169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69" s="82" t="str">
        <f t="shared" si="56"/>
        <v>"C:\Program Files (x86)\AstroGrep\AstroGrep.exe" /spath="%USERPROFILE%\AppData\Local\Temp\OnboardLogs" /stypes="app*4032*20170305*" /stext=" 17:.+((SYSTEM_STATE.+slice.+state.+changed )|(ment ac)|(multiple cpu faults)|(system.+state.+changed )|(\[timeout)|(PRM\|1\|D)|(kpr)|(kdp)|(\|loc)|(crossing.((167)|(168)|(199)|(200))))" /e /r /s</v>
      </c>
      <c r="AG169" s="1" t="str">
        <f t="shared" si="57"/>
        <v>NW</v>
      </c>
      <c r="AH169" s="86" t="str">
        <f t="shared" si="59"/>
        <v>"%USERPROFILE%\Documents\GitHub\eaglep3\Utilities\RefineRTDCRunTimes.py" --tripid 1810-05 --locoid 4032 --swversion DE.1.0.9.0 --startMP 300:58609 --initTime 2017-03-05T10:37:03 --startdatetime 2017-03-05T10:38:55 --delay 1 --endMP 204:733 --enddatetime 2017-03-05T10:55:21 --enforcementcount 0 &gt;&gt;C:\Users\stu\Documents\GitHub\eaglep3-reporting\EC\2017-03-05-refined-times.txt</v>
      </c>
      <c r="AI169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{"issue":{"subject":"","project_id":79,"tracker_id":40,"status_id":1,"priority_id":2,"assigned_to_id":23,"start_date":"2017-03-05","description":"","custom_fields":[{"id":1,"name":"Subdivision","value":"NW"},{"id":4,"name":"Milepost","value":"0.0733"},{"id":17,"name":"Train ID","value":"1810-05"},{"id":16,"name":"Locomotive ID","value":"4032"},{"id":130,"name":"Impact","value":""},{"id":150,"name":"Time of Event (Mountain Time)","value":"10:55:21"},{"id":151,"name":"Denver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1"/>
        <v>start /low /b %USERPROFILE%\Documents\GitHub\eaglep3\Utilities\DownloadLogsFromS3.py --loco 4032 --day 2017-03-05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</row>
    <row r="170" spans="1:91" x14ac:dyDescent="0.25">
      <c r="A170" s="33" t="s">
        <v>669</v>
      </c>
      <c r="B170" s="7">
        <v>4031</v>
      </c>
      <c r="C170" s="21" t="s">
        <v>252</v>
      </c>
      <c r="D170" s="21" t="s">
        <v>841</v>
      </c>
      <c r="E170" s="13">
        <v>42799.468946759262</v>
      </c>
      <c r="F170" s="13">
        <v>42799.473379629628</v>
      </c>
      <c r="G170" s="7">
        <v>0</v>
      </c>
      <c r="H170" s="21" t="s">
        <v>842</v>
      </c>
      <c r="I170" s="13">
        <v>42799.482928240737</v>
      </c>
      <c r="J170" s="7">
        <v>0</v>
      </c>
      <c r="K170" s="98" t="str">
        <f t="shared" si="45"/>
        <v>4031/4032</v>
      </c>
      <c r="L170" s="21" t="str">
        <f>VLOOKUP(A170,'Trips&amp;Operators'!$C$1:$G$99999,5,FALSE)</f>
        <v>HOLCOMB KAMDEN</v>
      </c>
      <c r="M170" s="6">
        <f t="shared" si="46"/>
        <v>9.5486111094942316E-3</v>
      </c>
      <c r="N170" s="7">
        <f t="shared" si="63"/>
        <v>13.749999997671694</v>
      </c>
      <c r="O170" s="7"/>
      <c r="P170" s="7"/>
      <c r="Q170" s="22"/>
      <c r="R170" s="22"/>
      <c r="S170" s="31">
        <f t="shared" si="58"/>
        <v>1</v>
      </c>
      <c r="T170" s="46" t="str">
        <f t="shared" si="47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8"/>
        <v>https://d0f6bd738d7f1b3e5a7ca70fe4ff75f0.us-east-1.aws.found.io/app/kibana#/discover/Steve-Slow-Train-Analysis-(2080s-and-2083s)?_g=(refreshInterval:(display:Off,pause:!f,section:0,value:0),time:(from:'2017-03-05T10:15:17-0700',mode:absolute,to:'2017-03-05T12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7" t="str">
        <f t="shared" si="49"/>
        <v>N</v>
      </c>
      <c r="X170" s="187">
        <f t="shared" si="64"/>
        <v>1</v>
      </c>
      <c r="Y170" s="62">
        <f t="shared" si="51"/>
        <v>0.1018</v>
      </c>
      <c r="Z170" s="62">
        <f t="shared" si="52"/>
        <v>5.8954000000000004</v>
      </c>
      <c r="AA170" s="62">
        <f t="shared" si="53"/>
        <v>5.7936000000000005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4"/>
        <v>1811-05</v>
      </c>
      <c r="AE170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70" s="82" t="str">
        <f t="shared" si="56"/>
        <v>"C:\Program Files (x86)\AstroGrep\AstroGrep.exe" /spath="%USERPROFILE%\AppData\Local\Temp\OnboardLogs" /stypes="app*4031*20170305*" /stext=" 18:.+((SYSTEM_STATE.+slice.+state.+changed )|(ment ac)|(multiple cpu faults)|(system.+state.+changed )|(\[timeout)|(PRM\|1\|D)|(kpr)|(kdp)|(\|loc)|(crossing.((167)|(168)|(199)|(200))))" /e /r /s</v>
      </c>
      <c r="AG170" s="1" t="str">
        <f t="shared" si="57"/>
        <v>NW</v>
      </c>
      <c r="AH170" s="86" t="str">
        <f t="shared" si="59"/>
        <v>"%USERPROFILE%\Documents\GitHub\eaglep3\Utilities\RefineRTDCRunTimes.py" --tripid 1811-05 --locoid 4031 --swversion DE.1.0.9.0 --startMP 204:1018 --initTime 2017-03-05T11:15:17 --startdatetime 2017-03-05T11:21:40 --delay 0 --endMP 300:58954 --enddatetime 2017-03-05T11:35:25 --enforcementcount 0 &gt;&gt;C:\Users\stu\Documents\GitHub\eaglep3-reporting\EC\2017-03-05-refined-times.txt</v>
      </c>
      <c r="AI170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{"issue":{"subject":"","project_id":79,"tracker_id":40,"status_id":1,"priority_id":2,"assigned_to_id":23,"start_date":"2017-03-05","description":"","custom_fields":[{"id":1,"name":"Subdivision","value":"NW"},{"id":4,"name":"Milepost","value":"5.8954"},{"id":17,"name":"Train ID","value":"1811-05"},{"id":16,"name":"Locomotive ID","value":"4031"},{"id":130,"name":"Impact","value":""},{"id":150,"name":"Time of Event (Mountain Time)","value":"11:35:25"},{"id":151,"name":"Denver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1"/>
        <v>start /low /b %USERPROFILE%\Documents\GitHub\eaglep3\Utilities\DownloadLogsFromS3.py --loco 4031 --day 2017-03-05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71" spans="1:91" s="20" customFormat="1" x14ac:dyDescent="0.25">
      <c r="A171" s="33" t="s">
        <v>674</v>
      </c>
      <c r="B171" s="7">
        <v>4032</v>
      </c>
      <c r="C171" s="21" t="s">
        <v>252</v>
      </c>
      <c r="D171" s="21" t="s">
        <v>347</v>
      </c>
      <c r="E171" s="13">
        <v>42799.483912037038</v>
      </c>
      <c r="F171" s="13">
        <v>42799.485092592593</v>
      </c>
      <c r="G171" s="7">
        <v>0</v>
      </c>
      <c r="H171" s="21" t="s">
        <v>840</v>
      </c>
      <c r="I171" s="13">
        <v>42799.49658564815</v>
      </c>
      <c r="J171" s="7">
        <v>0</v>
      </c>
      <c r="K171" s="98" t="str">
        <f t="shared" si="45"/>
        <v>4031/4032</v>
      </c>
      <c r="L171" s="21" t="str">
        <f>VLOOKUP(A171,'Trips&amp;Operators'!$C$1:$G$99999,5,FALSE)</f>
        <v>HOLCOMB KAMDEN</v>
      </c>
      <c r="M171" s="6">
        <f t="shared" si="46"/>
        <v>1.1493055557366461E-2</v>
      </c>
      <c r="N171" s="7">
        <f t="shared" si="63"/>
        <v>16.550000002607703</v>
      </c>
      <c r="O171" s="7"/>
      <c r="P171" s="7"/>
      <c r="Q171" s="22"/>
      <c r="R171" s="22"/>
      <c r="S171" s="31">
        <f t="shared" si="58"/>
        <v>1</v>
      </c>
      <c r="T171" s="46" t="str">
        <f t="shared" si="47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8"/>
        <v>https://d0f6bd738d7f1b3e5a7ca70fe4ff75f0.us-east-1.aws.found.io/app/kibana#/discover/Steve-Slow-Train-Analysis-(2080s-and-2083s)?_g=(refreshInterval:(display:Off,pause:!f,section:0,value:0),time:(from:'2017-03-05T10:36:50-0700',mode:absolute,to:'2017-03-05T12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7" t="str">
        <f t="shared" si="49"/>
        <v>N</v>
      </c>
      <c r="X171" s="187">
        <f t="shared" si="64"/>
        <v>1</v>
      </c>
      <c r="Y171" s="62">
        <f t="shared" si="51"/>
        <v>5.8632</v>
      </c>
      <c r="Z171" s="62">
        <f t="shared" si="52"/>
        <v>7.3300000000000004E-2</v>
      </c>
      <c r="AA171" s="62">
        <f t="shared" si="53"/>
        <v>5.7899000000000003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4"/>
        <v>1812-05</v>
      </c>
      <c r="AE171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71" s="82" t="str">
        <f t="shared" si="56"/>
        <v>"C:\Program Files (x86)\AstroGrep\AstroGrep.exe" /spath="%USERPROFILE%\AppData\Local\Temp\OnboardLogs" /stypes="app*4032*20170305*" /stext=" 18:.+((SYSTEM_STATE.+slice.+state.+changed )|(ment ac)|(multiple cpu faults)|(system.+state.+changed )|(\[timeout)|(PRM\|1\|D)|(kpr)|(kdp)|(\|loc)|(crossing.((167)|(168)|(199)|(200))))" /e /r /s</v>
      </c>
      <c r="AG171" s="1" t="str">
        <f t="shared" si="57"/>
        <v>NW</v>
      </c>
      <c r="AH171" s="86" t="str">
        <f t="shared" si="59"/>
        <v>"%USERPROFILE%\Documents\GitHub\eaglep3\Utilities\RefineRTDCRunTimes.py" --tripid 1812-05 --locoid 4032 --swversion DE.1.0.9.0 --startMP 300:58632 --initTime 2017-03-05T11:36:50 --startdatetime 2017-03-05T11:38:32 --delay 0 --endMP 204:733 --enddatetime 2017-03-05T11:55:05 --enforcementcount 0 &gt;&gt;C:\Users\stu\Documents\GitHub\eaglep3-reporting\EC\2017-03-05-refined-times.txt</v>
      </c>
      <c r="AI171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{"issue":{"subject":"","project_id":79,"tracker_id":40,"status_id":1,"priority_id":2,"assigned_to_id":23,"start_date":"2017-03-05","description":"","custom_fields":[{"id":1,"name":"Subdivision","value":"NW"},{"id":4,"name":"Milepost","value":"0.0733"},{"id":17,"name":"Train ID","value":"1812-05"},{"id":16,"name":"Locomotive ID","value":"4032"},{"id":130,"name":"Impact","value":""},{"id":150,"name":"Time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1"/>
        <v>start /low /b %USERPROFILE%\Documents\GitHub\eaglep3\Utilities\DownloadLogsFromS3.py --loco 4032 --day 2017-03-05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682</v>
      </c>
      <c r="B172" s="7">
        <v>4031</v>
      </c>
      <c r="C172" s="21" t="s">
        <v>252</v>
      </c>
      <c r="D172" s="21" t="s">
        <v>832</v>
      </c>
      <c r="E172" s="13">
        <v>42799.508645833332</v>
      </c>
      <c r="F172" s="13">
        <v>42799.514918981484</v>
      </c>
      <c r="G172" s="7">
        <v>1</v>
      </c>
      <c r="H172" s="21" t="s">
        <v>829</v>
      </c>
      <c r="I172" s="13">
        <v>42799.525011574071</v>
      </c>
      <c r="J172" s="7">
        <v>0</v>
      </c>
      <c r="K172" s="98" t="str">
        <f t="shared" si="45"/>
        <v>4031/4032</v>
      </c>
      <c r="L172" s="21" t="str">
        <f>VLOOKUP(A172,'Trips&amp;Operators'!$C$1:$G$99999,5,FALSE)</f>
        <v>HOLCOMB KAMDEN</v>
      </c>
      <c r="M172" s="6">
        <f t="shared" si="46"/>
        <v>1.0092592587170657E-2</v>
      </c>
      <c r="N172" s="7">
        <f t="shared" si="63"/>
        <v>14.533333325525746</v>
      </c>
      <c r="O172" s="7"/>
      <c r="P172" s="7"/>
      <c r="Q172" s="22"/>
      <c r="R172" s="22"/>
      <c r="S172" s="31">
        <f t="shared" si="58"/>
        <v>1</v>
      </c>
      <c r="T172" s="46" t="str">
        <f t="shared" si="47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8"/>
        <v>https://d0f6bd738d7f1b3e5a7ca70fe4ff75f0.us-east-1.aws.found.io/app/kibana#/discover/Steve-Slow-Train-Analysis-(2080s-and-2083s)?_g=(refreshInterval:(display:Off,pause:!f,section:0,value:0),time:(from:'2017-03-05T11:12:27-0700',mode:absolute,to:'2017-03-05T13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7" t="str">
        <f t="shared" si="49"/>
        <v>N</v>
      </c>
      <c r="X172" s="187">
        <f t="shared" si="64"/>
        <v>1</v>
      </c>
      <c r="Y172" s="62">
        <f t="shared" si="51"/>
        <v>0.1009</v>
      </c>
      <c r="Z172" s="62">
        <f t="shared" si="52"/>
        <v>5.8948</v>
      </c>
      <c r="AA172" s="62">
        <f t="shared" si="53"/>
        <v>5.7938999999999998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4"/>
        <v>1813-05</v>
      </c>
      <c r="AE172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72" s="82" t="str">
        <f t="shared" si="56"/>
        <v>"C:\Program Files (x86)\AstroGrep\AstroGrep.exe" /spath="%USERPROFILE%\AppData\Local\Temp\OnboardLogs" /stypes="app*4031*20170305*" /stext=" 19:.+((SYSTEM_STATE.+slice.+state.+changed )|(ment ac)|(multiple cpu faults)|(system.+state.+changed )|(\[timeout)|(PRM\|1\|D)|(kpr)|(kdp)|(\|loc)|(crossing.((167)|(168)|(199)|(200))))" /e /r /s</v>
      </c>
      <c r="AG172" s="1" t="str">
        <f t="shared" si="57"/>
        <v>NW</v>
      </c>
      <c r="AH172" s="86" t="str">
        <f t="shared" si="59"/>
        <v>"%USERPROFILE%\Documents\GitHub\eaglep3\Utilities\RefineRTDCRunTimes.py" --tripid 1813-05 --locoid 4031 --swversion DE.1.0.9.0 --startMP 204:1009 --initTime 2017-03-05T12:12:27 --startdatetime 2017-03-05T12:21:29 --delay 1 --endMP 300:58948 --enddatetime 2017-03-05T12:36:01 --enforcementcount 0 &gt;&gt;C:\Users\stu\Documents\GitHub\eaglep3-reporting\EC\2017-03-05-refined-times.txt</v>
      </c>
      <c r="AI172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{"issue":{"subject":"","project_id":79,"tracker_id":40,"status_id":1,"priority_id":2,"assigned_to_id":23,"start_date":"2017-03-05","description":"","custom_fields":[{"id":1,"name":"Subdivision","value":"NW"},{"id":4,"name":"Milepost","value":"5.8948"},{"id":17,"name":"Train ID","value":"1813-05"},{"id":16,"name":"Locomotive ID","value":"4031"},{"id":130,"name":"Impact","value":""},{"id":150,"name":"Time of Event (Mountain Time)","value":"12:36:01"},{"id":151,"name":"Denver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1"/>
        <v>start /low /b %USERPROFILE%\Documents\GitHub\eaglep3\Utilities\DownloadLogsFromS3.py --loco 4031 --day 2017-03-05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73" spans="1:91" s="20" customFormat="1" x14ac:dyDescent="0.25">
      <c r="A173" s="33" t="s">
        <v>549</v>
      </c>
      <c r="B173" s="7">
        <v>4032</v>
      </c>
      <c r="C173" s="21" t="s">
        <v>252</v>
      </c>
      <c r="D173" s="21" t="s">
        <v>302</v>
      </c>
      <c r="E173" s="13">
        <v>42799.525949074072</v>
      </c>
      <c r="F173" s="13">
        <v>42799.527280092596</v>
      </c>
      <c r="G173" s="7">
        <v>1</v>
      </c>
      <c r="H173" s="21" t="s">
        <v>843</v>
      </c>
      <c r="I173" s="13">
        <v>42799.5390625</v>
      </c>
      <c r="J173" s="7">
        <v>0</v>
      </c>
      <c r="K173" s="98" t="str">
        <f t="shared" si="45"/>
        <v>4031/4032</v>
      </c>
      <c r="L173" s="21" t="str">
        <f>VLOOKUP(A173,'Trips&amp;Operators'!$C$1:$G$99999,5,FALSE)</f>
        <v>HOLCOMB KAMDEN</v>
      </c>
      <c r="M173" s="6">
        <f t="shared" si="46"/>
        <v>1.1782407404098194E-2</v>
      </c>
      <c r="N173" s="7">
        <f t="shared" si="63"/>
        <v>16.966666661901399</v>
      </c>
      <c r="O173" s="7"/>
      <c r="P173" s="7"/>
      <c r="Q173" s="22"/>
      <c r="R173" s="22"/>
      <c r="S173" s="31">
        <f t="shared" si="58"/>
        <v>1</v>
      </c>
      <c r="T173" s="46" t="str">
        <f t="shared" si="47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8"/>
        <v>https://d0f6bd738d7f1b3e5a7ca70fe4ff75f0.us-east-1.aws.found.io/app/kibana#/discover/Steve-Slow-Train-Analysis-(2080s-and-2083s)?_g=(refreshInterval:(display:Off,pause:!f,section:0,value:0),time:(from:'2017-03-05T11:37:22-0700',mode:absolute,to:'2017-03-05T13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7" t="str">
        <f t="shared" si="49"/>
        <v>N</v>
      </c>
      <c r="X173" s="187">
        <f t="shared" si="64"/>
        <v>1</v>
      </c>
      <c r="Y173" s="62">
        <f t="shared" si="51"/>
        <v>5.8635999999999999</v>
      </c>
      <c r="Z173" s="62">
        <f t="shared" si="52"/>
        <v>7.0599999999999996E-2</v>
      </c>
      <c r="AA173" s="62">
        <f t="shared" si="53"/>
        <v>5.7930000000000001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4"/>
        <v>1814-05</v>
      </c>
      <c r="AE173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73" s="82" t="str">
        <f t="shared" si="56"/>
        <v>"C:\Program Files (x86)\AstroGrep\AstroGrep.exe" /spath="%USERPROFILE%\AppData\Local\Temp\OnboardLogs" /stypes="app*4032*20170305*" /stext=" 19:.+((SYSTEM_STATE.+slice.+state.+changed )|(ment ac)|(multiple cpu faults)|(system.+state.+changed )|(\[timeout)|(PRM\|1\|D)|(kpr)|(kdp)|(\|loc)|(crossing.((167)|(168)|(199)|(200))))" /e /r /s</v>
      </c>
      <c r="AG173" s="1" t="str">
        <f t="shared" si="57"/>
        <v>NW</v>
      </c>
      <c r="AH173" s="86" t="str">
        <f t="shared" si="59"/>
        <v>"%USERPROFILE%\Documents\GitHub\eaglep3\Utilities\RefineRTDCRunTimes.py" --tripid 1814-05 --locoid 4032 --swversion DE.1.0.9.0 --startMP 300:58636 --initTime 2017-03-05T12:37:22 --startdatetime 2017-03-05T12:39:17 --delay 1 --endMP 204:706 --enddatetime 2017-03-05T12:56:15 --enforcementcount 0 &gt;&gt;C:\Users\stu\Documents\GitHub\eaglep3-reporting\EC\2017-03-05-refined-times.txt</v>
      </c>
      <c r="AI173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{"issue":{"subject":"","project_id":79,"tracker_id":40,"status_id":1,"priority_id":2,"assigned_to_id":23,"start_date":"2017-03-05","description":"","custom_fields":[{"id":1,"name":"Subdivision","value":"NW"},{"id":4,"name":"Milepost","value":"0.0706"},{"id":17,"name":"Train ID","value":"1814-05"},{"id":16,"name":"Locomotive ID","value":"4032"},{"id":130,"name":"Impact","value":""},{"id":150,"name":"Time of Event (Mountain Time)","value":"12:56:15"},{"id":151,"name":"Denver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1"/>
        <v>start /low /b %USERPROFILE%\Documents\GitHub\eaglep3\Utilities\DownloadLogsFromS3.py --loco 4032 --day 2017-03-05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691</v>
      </c>
      <c r="B174" s="7">
        <v>4031</v>
      </c>
      <c r="C174" s="21" t="s">
        <v>252</v>
      </c>
      <c r="D174" s="21" t="s">
        <v>844</v>
      </c>
      <c r="E174" s="13">
        <v>42799.552060185182</v>
      </c>
      <c r="F174" s="13">
        <v>42799.556666666664</v>
      </c>
      <c r="G174" s="7">
        <v>1</v>
      </c>
      <c r="H174" s="21" t="s">
        <v>346</v>
      </c>
      <c r="I174" s="13">
        <v>42799.566087962965</v>
      </c>
      <c r="J174" s="7">
        <v>0</v>
      </c>
      <c r="K174" s="98" t="str">
        <f t="shared" si="45"/>
        <v>4031/4032</v>
      </c>
      <c r="L174" s="21" t="str">
        <f>VLOOKUP(A174,'Trips&amp;Operators'!$C$1:$G$99999,5,FALSE)</f>
        <v>HOLCOMB KAMDEN</v>
      </c>
      <c r="M174" s="6">
        <f t="shared" si="46"/>
        <v>9.4212963012978435E-3</v>
      </c>
      <c r="N174" s="7">
        <f t="shared" si="63"/>
        <v>13.566666673868895</v>
      </c>
      <c r="O174" s="7"/>
      <c r="P174" s="7"/>
      <c r="Q174" s="22"/>
      <c r="R174" s="22"/>
      <c r="S174" s="31">
        <f t="shared" si="58"/>
        <v>1</v>
      </c>
      <c r="T174" s="46" t="str">
        <f t="shared" si="47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8"/>
        <v>https://d0f6bd738d7f1b3e5a7ca70fe4ff75f0.us-east-1.aws.found.io/app/kibana#/discover/Steve-Slow-Train-Analysis-(2080s-and-2083s)?_g=(refreshInterval:(display:Off,pause:!f,section:0,value:0),time:(from:'2017-03-05T12:14:58-0700',mode:absolute,to:'2017-03-05T14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7" t="str">
        <f t="shared" si="49"/>
        <v>N</v>
      </c>
      <c r="X174" s="187">
        <f t="shared" si="64"/>
        <v>1</v>
      </c>
      <c r="Y174" s="62">
        <f t="shared" si="51"/>
        <v>0.1002</v>
      </c>
      <c r="Z174" s="62">
        <f t="shared" si="52"/>
        <v>5.8952</v>
      </c>
      <c r="AA174" s="62">
        <f t="shared" si="53"/>
        <v>5.7949999999999999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4"/>
        <v>1815-05</v>
      </c>
      <c r="AE174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74" s="82" t="str">
        <f t="shared" si="56"/>
        <v>"C:\Program Files (x86)\AstroGrep\AstroGrep.exe" /spath="%USERPROFILE%\AppData\Local\Temp\OnboardLogs" /stypes="app*4031*20170305*" /stext=" 20:.+((SYSTEM_STATE.+slice.+state.+changed )|(ment ac)|(multiple cpu faults)|(system.+state.+changed )|(\[timeout)|(PRM\|1\|D)|(kpr)|(kdp)|(\|loc)|(crossing.((167)|(168)|(199)|(200))))" /e /r /s</v>
      </c>
      <c r="AG174" s="1" t="str">
        <f t="shared" si="57"/>
        <v>NW</v>
      </c>
      <c r="AH174" s="86" t="str">
        <f t="shared" si="59"/>
        <v>"%USERPROFILE%\Documents\GitHub\eaglep3\Utilities\RefineRTDCRunTimes.py" --tripid 1815-05 --locoid 4031 --swversion DE.1.0.9.0 --startMP 204:1002 --initTime 2017-03-05T13:14:58 --startdatetime 2017-03-05T13:21:36 --delay 1 --endMP 300:58952 --enddatetime 2017-03-05T13:35:10 --enforcementcount 0 &gt;&gt;C:\Users\stu\Documents\GitHub\eaglep3-reporting\EC\2017-03-05-refined-times.txt</v>
      </c>
      <c r="AI174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{"issue":{"subject":"","project_id":79,"tracker_id":40,"status_id":1,"priority_id":2,"assigned_to_id":23,"start_date":"2017-03-05","description":"","custom_fields":[{"id":1,"name":"Subdivision","value":"NW"},{"id":4,"name":"Milepost","value":"5.8952"},{"id":17,"name":"Train ID","value":"1815-05"},{"id":16,"name":"Locomotive ID","value":"4031"},{"id":130,"name":"Impact","value":""},{"id":150,"name":"Time of Event (Mountain Time)","value":"13:35:10"},{"id":151,"name":"Denver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1"/>
        <v>start /low /b %USERPROFILE%\Documents\GitHub\eaglep3\Utilities\DownloadLogsFromS3.py --loco 4031 --day 2017-03-05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75" spans="1:91" x14ac:dyDescent="0.25">
      <c r="A175" s="33" t="s">
        <v>553</v>
      </c>
      <c r="B175" s="7">
        <v>4032</v>
      </c>
      <c r="C175" s="21" t="s">
        <v>252</v>
      </c>
      <c r="D175" s="21" t="s">
        <v>347</v>
      </c>
      <c r="E175" s="13">
        <v>42799.566921296297</v>
      </c>
      <c r="F175" s="13">
        <v>42799.568182870367</v>
      </c>
      <c r="G175" s="7">
        <v>0</v>
      </c>
      <c r="H175" s="21" t="s">
        <v>845</v>
      </c>
      <c r="I175" s="13">
        <v>42799.580393518518</v>
      </c>
      <c r="J175" s="7">
        <v>0</v>
      </c>
      <c r="K175" s="98" t="str">
        <f t="shared" si="45"/>
        <v>4031/4032</v>
      </c>
      <c r="L175" s="21" t="str">
        <f>VLOOKUP(A175,'Trips&amp;Operators'!$C$1:$G$99999,5,FALSE)</f>
        <v>HOLCOMB KAMDEN</v>
      </c>
      <c r="M175" s="6">
        <f t="shared" si="46"/>
        <v>1.2210648150357883E-2</v>
      </c>
      <c r="N175" s="7">
        <f t="shared" si="63"/>
        <v>17.583333336515352</v>
      </c>
      <c r="O175" s="7"/>
      <c r="P175" s="7"/>
      <c r="Q175" s="22"/>
      <c r="R175" s="22"/>
      <c r="S175" s="31">
        <f t="shared" si="58"/>
        <v>1</v>
      </c>
      <c r="T175" s="46" t="str">
        <f t="shared" si="47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8"/>
        <v>https://d0f6bd738d7f1b3e5a7ca70fe4ff75f0.us-east-1.aws.found.io/app/kibana#/discover/Steve-Slow-Train-Analysis-(2080s-and-2083s)?_g=(refreshInterval:(display:Off,pause:!f,section:0,value:0),time:(from:'2017-03-05T12:36:22-0700',mode:absolute,to:'2017-03-05T14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7" t="str">
        <f t="shared" si="49"/>
        <v>N</v>
      </c>
      <c r="X175" s="187">
        <f t="shared" si="64"/>
        <v>1</v>
      </c>
      <c r="Y175" s="62">
        <f t="shared" si="51"/>
        <v>5.8632</v>
      </c>
      <c r="Z175" s="62">
        <f t="shared" si="52"/>
        <v>6.9800000000000001E-2</v>
      </c>
      <c r="AA175" s="62">
        <f t="shared" si="53"/>
        <v>5.7934000000000001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4"/>
        <v>1816-05</v>
      </c>
      <c r="AE175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75" s="82" t="str">
        <f t="shared" si="56"/>
        <v>"C:\Program Files (x86)\AstroGrep\AstroGrep.exe" /spath="%USERPROFILE%\AppData\Local\Temp\OnboardLogs" /stypes="app*4032*20170305*" /stext=" 20:.+((SYSTEM_STATE.+slice.+state.+changed )|(ment ac)|(multiple cpu faults)|(system.+state.+changed )|(\[timeout)|(PRM\|1\|D)|(kpr)|(kdp)|(\|loc)|(crossing.((167)|(168)|(199)|(200))))" /e /r /s</v>
      </c>
      <c r="AG175" s="1" t="str">
        <f t="shared" si="57"/>
        <v>NW</v>
      </c>
      <c r="AH175" s="86" t="str">
        <f t="shared" si="59"/>
        <v>"%USERPROFILE%\Documents\GitHub\eaglep3\Utilities\RefineRTDCRunTimes.py" --tripid 1816-05 --locoid 4032 --swversion DE.1.0.9.0 --startMP 300:58632 --initTime 2017-03-05T13:36:22 --startdatetime 2017-03-05T13:38:11 --delay 0 --endMP 204:698 --enddatetime 2017-03-05T13:55:46 --enforcementcount 0 &gt;&gt;C:\Users\stu\Documents\GitHub\eaglep3-reporting\EC\2017-03-05-refined-times.txt</v>
      </c>
      <c r="AI175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{"issue":{"subject":"","project_id":79,"tracker_id":40,"status_id":1,"priority_id":2,"assigned_to_id":23,"start_date":"2017-03-05","description":"","custom_fields":[{"id":1,"name":"Subdivision","value":"NW"},{"id":4,"name":"Milepost","value":"0.0698"},{"id":17,"name":"Train ID","value":"1816-05"},{"id":16,"name":"Locomotive ID","value":"4032"},{"id":130,"name":"Impact","value":""},{"id":150,"name":"Time of Event (Mountain Time)","value":"13:55:46"},{"id":151,"name":"Denver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1"/>
        <v>start /low /b %USERPROFILE%\Documents\GitHub\eaglep3\Utilities\DownloadLogsFromS3.py --loco 4032 --day 2017-03-05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</row>
    <row r="176" spans="1:91" x14ac:dyDescent="0.25">
      <c r="A176" s="33" t="s">
        <v>697</v>
      </c>
      <c r="B176" s="7">
        <v>4031</v>
      </c>
      <c r="C176" s="21" t="s">
        <v>252</v>
      </c>
      <c r="D176" s="21" t="s">
        <v>846</v>
      </c>
      <c r="E176" s="13">
        <v>42799.593854166669</v>
      </c>
      <c r="F176" s="13">
        <v>42799.598078703704</v>
      </c>
      <c r="G176" s="7">
        <v>2</v>
      </c>
      <c r="H176" s="21" t="s">
        <v>847</v>
      </c>
      <c r="I176" s="13">
        <v>42799.607476851852</v>
      </c>
      <c r="J176" s="7">
        <v>0</v>
      </c>
      <c r="K176" s="98" t="str">
        <f t="shared" si="45"/>
        <v>4031/4032</v>
      </c>
      <c r="L176" s="21" t="str">
        <f>VLOOKUP(A176,'Trips&amp;Operators'!$C$1:$G$99999,5,FALSE)</f>
        <v>HELVIE ADAM</v>
      </c>
      <c r="M176" s="6">
        <f t="shared" si="46"/>
        <v>9.3981481477385387E-3</v>
      </c>
      <c r="N176" s="7">
        <f t="shared" si="63"/>
        <v>13.533333332743496</v>
      </c>
      <c r="O176" s="7"/>
      <c r="P176" s="7"/>
      <c r="Q176" s="22"/>
      <c r="R176" s="22"/>
      <c r="S176" s="31">
        <f t="shared" si="58"/>
        <v>1</v>
      </c>
      <c r="T176" s="46" t="str">
        <f t="shared" si="47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8"/>
        <v>https://d0f6bd738d7f1b3e5a7ca70fe4ff75f0.us-east-1.aws.found.io/app/kibana#/discover/Steve-Slow-Train-Analysis-(2080s-and-2083s)?_g=(refreshInterval:(display:Off,pause:!f,section:0,value:0),time:(from:'2017-03-05T13:15:09-0700',mode:absolute,to:'2017-03-05T15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7" t="str">
        <f t="shared" si="49"/>
        <v>N</v>
      </c>
      <c r="X176" s="187">
        <f t="shared" si="64"/>
        <v>1</v>
      </c>
      <c r="Y176" s="62">
        <f t="shared" si="51"/>
        <v>9.9699999999999997E-2</v>
      </c>
      <c r="Z176" s="62">
        <f t="shared" si="52"/>
        <v>5.8936999999999999</v>
      </c>
      <c r="AA176" s="62">
        <f t="shared" si="53"/>
        <v>5.7939999999999996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4"/>
        <v>1817-05</v>
      </c>
      <c r="AE176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76" s="82" t="str">
        <f t="shared" si="56"/>
        <v>"C:\Program Files (x86)\AstroGrep\AstroGrep.exe" /spath="%USERPROFILE%\AppData\Local\Temp\OnboardLogs" /stypes="app*4031*20170305*" /stext=" 21:.+((SYSTEM_STATE.+slice.+state.+changed )|(ment ac)|(multiple cpu faults)|(system.+state.+changed )|(\[timeout)|(PRM\|1\|D)|(kpr)|(kdp)|(\|loc)|(crossing.((167)|(168)|(199)|(200))))" /e /r /s</v>
      </c>
      <c r="AG176" s="1" t="str">
        <f t="shared" si="57"/>
        <v>NW</v>
      </c>
      <c r="AH176" s="86" t="str">
        <f t="shared" si="59"/>
        <v>"%USERPROFILE%\Documents\GitHub\eaglep3\Utilities\RefineRTDCRunTimes.py" --tripid 1817-05 --locoid 4031 --swversion DE.1.0.9.0 --startMP 204:997 --initTime 2017-03-05T14:15:09 --startdatetime 2017-03-05T14:21:14 --delay 2 --endMP 300:58937 --enddatetime 2017-03-05T14:34:46 --enforcementcount 0 &gt;&gt;C:\Users\stu\Documents\GitHub\eaglep3-reporting\EC\2017-03-05-refined-times.txt</v>
      </c>
      <c r="AI176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{"issue":{"subject":"","project_id":79,"tracker_id":40,"status_id":1,"priority_id":2,"assigned_to_id":23,"start_date":"2017-03-05","description":"","custom_fields":[{"id":1,"name":"Subdivision","value":"NW"},{"id":4,"name":"Milepost","value":"5.8937"},{"id":17,"name":"Train ID","value":"1817-05"},{"id":16,"name":"Locomotive ID","value":"4031"},{"id":130,"name":"Impact","value":""},{"id":150,"name":"Time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1"/>
        <v>start /low /b %USERPROFILE%\Documents\GitHub\eaglep3\Utilities\DownloadLogsFromS3.py --loco 4031 --day 2017-03-05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77" spans="1:40" x14ac:dyDescent="0.25">
      <c r="A177" s="33" t="s">
        <v>702</v>
      </c>
      <c r="B177" s="7">
        <v>4032</v>
      </c>
      <c r="C177" s="21" t="s">
        <v>252</v>
      </c>
      <c r="D177" s="21" t="s">
        <v>830</v>
      </c>
      <c r="E177" s="13">
        <v>42799.608784722222</v>
      </c>
      <c r="F177" s="13">
        <v>42799.611678240741</v>
      </c>
      <c r="G177" s="7">
        <v>1</v>
      </c>
      <c r="H177" s="21" t="s">
        <v>831</v>
      </c>
      <c r="I177" s="13">
        <v>42799.621261574073</v>
      </c>
      <c r="J177" s="7">
        <v>0</v>
      </c>
      <c r="K177" s="98" t="str">
        <f t="shared" si="45"/>
        <v>4031/4032</v>
      </c>
      <c r="L177" s="21" t="str">
        <f>VLOOKUP(A177,'Trips&amp;Operators'!$C$1:$G$99999,5,FALSE)</f>
        <v>HELVIE ADAM</v>
      </c>
      <c r="M177" s="6">
        <f t="shared" si="46"/>
        <v>9.5833333325572312E-3</v>
      </c>
      <c r="N177" s="7">
        <f t="shared" si="63"/>
        <v>13.799999998882413</v>
      </c>
      <c r="O177" s="7"/>
      <c r="P177" s="7"/>
      <c r="Q177" s="22"/>
      <c r="R177" s="22"/>
      <c r="S177" s="31">
        <f t="shared" si="58"/>
        <v>1</v>
      </c>
      <c r="T177" s="46" t="str">
        <f t="shared" si="47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8"/>
        <v>https://d0f6bd738d7f1b3e5a7ca70fe4ff75f0.us-east-1.aws.found.io/app/kibana#/discover/Steve-Slow-Train-Analysis-(2080s-and-2083s)?_g=(refreshInterval:(display:Off,pause:!f,section:0,value:0),time:(from:'2017-03-05T13:36:39-0700',mode:absolute,to:'2017-03-05T15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7" t="str">
        <f t="shared" si="49"/>
        <v>N</v>
      </c>
      <c r="X177" s="187">
        <f t="shared" si="64"/>
        <v>1</v>
      </c>
      <c r="Y177" s="62">
        <f t="shared" si="51"/>
        <v>5.8628</v>
      </c>
      <c r="Z177" s="62">
        <f t="shared" si="52"/>
        <v>7.2599999999999998E-2</v>
      </c>
      <c r="AA177" s="62">
        <f t="shared" si="53"/>
        <v>5.7902000000000005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4"/>
        <v>1818-05</v>
      </c>
      <c r="AE177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77" s="82" t="str">
        <f t="shared" si="56"/>
        <v>"C:\Program Files (x86)\AstroGrep\AstroGrep.exe" /spath="%USERPROFILE%\AppData\Local\Temp\OnboardLogs" /stypes="app*4032*20170305*" /stext=" 21:.+((SYSTEM_STATE.+slice.+state.+changed )|(ment ac)|(multiple cpu faults)|(system.+state.+changed )|(\[timeout)|(PRM\|1\|D)|(kpr)|(kdp)|(\|loc)|(crossing.((167)|(168)|(199)|(200))))" /e /r /s</v>
      </c>
      <c r="AG177" s="1" t="str">
        <f t="shared" si="57"/>
        <v>NW</v>
      </c>
      <c r="AH177" s="86" t="str">
        <f t="shared" si="59"/>
        <v>"%USERPROFILE%\Documents\GitHub\eaglep3\Utilities\RefineRTDCRunTimes.py" --tripid 1818-05 --locoid 4032 --swversion DE.1.0.9.0 --startMP 300:58628 --initTime 2017-03-05T14:36:39 --startdatetime 2017-03-05T14:40:49 --delay 1 --endMP 204:726 --enddatetime 2017-03-05T14:54:37 --enforcementcount 0 &gt;&gt;C:\Users\stu\Documents\GitHub\eaglep3-reporting\EC\2017-03-05-refined-times.txt</v>
      </c>
      <c r="AI177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{"issue":{"subject":"","project_id":79,"tracker_id":40,"status_id":1,"priority_id":2,"assigned_to_id":23,"start_date":"2017-03-05","description":"","custom_fields":[{"id":1,"name":"Subdivision","value":"NW"},{"id":4,"name":"Milepost","value":"0.0726"},{"id":17,"name":"Train ID","value":"1818-05"},{"id":16,"name":"Locomotive ID","value":"4032"},{"id":130,"name":"Impact","value":""},{"id":150,"name":"Time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1"/>
        <v>start /low /b %USERPROFILE%\Documents\GitHub\eaglep3\Utilities\DownloadLogsFromS3.py --loco 4032 --day 2017-03-05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</row>
    <row r="178" spans="1:40" x14ac:dyDescent="0.25">
      <c r="A178" s="33" t="s">
        <v>555</v>
      </c>
      <c r="B178" s="7">
        <v>4031</v>
      </c>
      <c r="C178" s="21" t="s">
        <v>252</v>
      </c>
      <c r="D178" s="21" t="s">
        <v>848</v>
      </c>
      <c r="E178" s="13">
        <v>42799.636620370373</v>
      </c>
      <c r="F178" s="13">
        <v>42799.639872685184</v>
      </c>
      <c r="G178" s="7">
        <v>1</v>
      </c>
      <c r="H178" s="21" t="s">
        <v>849</v>
      </c>
      <c r="I178" s="13">
        <v>42799.649317129632</v>
      </c>
      <c r="J178" s="7">
        <v>0</v>
      </c>
      <c r="K178" s="98" t="str">
        <f t="shared" si="45"/>
        <v>4031/4032</v>
      </c>
      <c r="L178" s="21" t="str">
        <f>VLOOKUP(A178,'Trips&amp;Operators'!$C$1:$G$99999,5,FALSE)</f>
        <v>NELSON ARIANE</v>
      </c>
      <c r="M178" s="6">
        <f t="shared" si="46"/>
        <v>9.4444444475811906E-3</v>
      </c>
      <c r="N178" s="7">
        <f t="shared" si="63"/>
        <v>13.600000004516914</v>
      </c>
      <c r="O178" s="7"/>
      <c r="P178" s="7"/>
      <c r="Q178" s="22"/>
      <c r="R178" s="22"/>
      <c r="S178" s="31">
        <f t="shared" si="58"/>
        <v>1</v>
      </c>
      <c r="T178" s="46" t="str">
        <f t="shared" si="47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8"/>
        <v>https://d0f6bd738d7f1b3e5a7ca70fe4ff75f0.us-east-1.aws.found.io/app/kibana#/discover/Steve-Slow-Train-Analysis-(2080s-and-2083s)?_g=(refreshInterval:(display:Off,pause:!f,section:0,value:0),time:(from:'2017-03-05T14:16:44-0700',mode:absolute,to:'2017-03-05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7" t="str">
        <f t="shared" si="49"/>
        <v>N</v>
      </c>
      <c r="X178" s="187">
        <f t="shared" si="64"/>
        <v>1</v>
      </c>
      <c r="Y178" s="62">
        <f t="shared" si="51"/>
        <v>0.1007</v>
      </c>
      <c r="Z178" s="62">
        <f t="shared" si="52"/>
        <v>5.8406000000000002</v>
      </c>
      <c r="AA178" s="62">
        <f t="shared" si="53"/>
        <v>5.7399000000000004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4"/>
        <v>1819-05</v>
      </c>
      <c r="AE178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78" s="82" t="str">
        <f t="shared" si="56"/>
        <v>"C:\Program Files (x86)\AstroGrep\AstroGrep.exe" /spath="%USERPROFILE%\AppData\Local\Temp\OnboardLogs" /stypes="app*4031*20170305*" /stext=" 22:.+((SYSTEM_STATE.+slice.+state.+changed )|(ment ac)|(multiple cpu faults)|(system.+state.+changed )|(\[timeout)|(PRM\|1\|D)|(kpr)|(kdp)|(\|loc)|(crossing.((167)|(168)|(199)|(200))))" /e /r /s</v>
      </c>
      <c r="AG178" s="1" t="str">
        <f t="shared" si="57"/>
        <v>NW</v>
      </c>
      <c r="AH178" s="86" t="str">
        <f t="shared" si="59"/>
        <v>"%USERPROFILE%\Documents\GitHub\eaglep3\Utilities\RefineRTDCRunTimes.py" --tripid 1819-05 --locoid 4031 --swversion DE.1.0.9.0 --startMP 204:1007 --initTime 2017-03-05T15:16:44 --startdatetime 2017-03-05T15:21:25 --delay 1 --endMP 300:58406 --enddatetime 2017-03-05T15:35:01 --enforcementcount 0 &gt;&gt;C:\Users\stu\Documents\GitHub\eaglep3-reporting\EC\2017-03-05-refined-times.txt</v>
      </c>
      <c r="AI178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{"issue":{"subject":"","project_id":79,"tracker_id":40,"status_id":1,"priority_id":2,"assigned_to_id":23,"start_date":"2017-03-05","description":"","custom_fields":[{"id":1,"name":"Subdivision","value":"NW"},{"id":4,"name":"Milepost","value":"5.8406"},{"id":17,"name":"Train ID","value":"1819-05"},{"id":16,"name":"Locomotive ID","value":"4031"},{"id":130,"name":"Impact","value":""},{"id":150,"name":"Time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1"/>
        <v>start /low /b %USERPROFILE%\Documents\GitHub\eaglep3\Utilities\DownloadLogsFromS3.py --loco 4031 --day 2017-03-05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79" spans="1:40" x14ac:dyDescent="0.25">
      <c r="A179" s="33" t="s">
        <v>556</v>
      </c>
      <c r="B179" s="7">
        <v>4032</v>
      </c>
      <c r="C179" s="21" t="s">
        <v>252</v>
      </c>
      <c r="D179" s="21" t="s">
        <v>851</v>
      </c>
      <c r="E179" s="13">
        <v>42799.653773148151</v>
      </c>
      <c r="F179" s="13">
        <v>42799.654918981483</v>
      </c>
      <c r="G179" s="7">
        <v>1</v>
      </c>
      <c r="H179" s="21" t="s">
        <v>852</v>
      </c>
      <c r="I179" s="13">
        <v>42799.664733796293</v>
      </c>
      <c r="J179" s="7">
        <v>0</v>
      </c>
      <c r="K179" s="98" t="str">
        <f t="shared" si="45"/>
        <v>4031/4032</v>
      </c>
      <c r="L179" s="21" t="str">
        <f>VLOOKUP(A179,'Trips&amp;Operators'!$C$1:$G$99999,5,FALSE)</f>
        <v>NELSON ARIANE</v>
      </c>
      <c r="M179" s="6">
        <f t="shared" si="46"/>
        <v>9.814814809942618E-3</v>
      </c>
      <c r="N179" s="7">
        <f t="shared" si="63"/>
        <v>14.13333332631737</v>
      </c>
      <c r="O179" s="7"/>
      <c r="P179" s="7"/>
      <c r="Q179" s="22"/>
      <c r="R179" s="22"/>
      <c r="S179" s="31">
        <f t="shared" si="58"/>
        <v>1</v>
      </c>
      <c r="T179" s="46" t="str">
        <f t="shared" si="47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8"/>
        <v>https://d0f6bd738d7f1b3e5a7ca70fe4ff75f0.us-east-1.aws.found.io/app/kibana#/discover/Steve-Slow-Train-Analysis-(2080s-and-2083s)?_g=(refreshInterval:(display:Off,pause:!f,section:0,value:0),time:(from:'2017-03-05T14:41:26-0700',mode:absolute,to:'2017-03-05T16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7" t="str">
        <f t="shared" si="49"/>
        <v>N</v>
      </c>
      <c r="X179" s="187">
        <f t="shared" si="64"/>
        <v>1</v>
      </c>
      <c r="Y179" s="62">
        <f t="shared" si="51"/>
        <v>5.8653000000000004</v>
      </c>
      <c r="Z179" s="62">
        <f t="shared" si="52"/>
        <v>8.5199999999999998E-2</v>
      </c>
      <c r="AA179" s="62">
        <f t="shared" si="53"/>
        <v>5.7801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4"/>
        <v>1820-05</v>
      </c>
      <c r="AE179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79" s="82" t="str">
        <f t="shared" si="56"/>
        <v>"C:\Program Files (x86)\AstroGrep\AstroGrep.exe" /spath="%USERPROFILE%\AppData\Local\Temp\OnboardLogs" /stypes="app*4032*20170305*" /stext=" 22:.+((SYSTEM_STATE.+slice.+state.+changed )|(ment ac)|(multiple cpu faults)|(system.+state.+changed )|(\[timeout)|(PRM\|1\|D)|(kpr)|(kdp)|(\|loc)|(crossing.((167)|(168)|(199)|(200))))" /e /r /s</v>
      </c>
      <c r="AG179" s="1" t="str">
        <f t="shared" si="57"/>
        <v>NW</v>
      </c>
      <c r="AH179" s="86" t="str">
        <f t="shared" si="59"/>
        <v>"%USERPROFILE%\Documents\GitHub\eaglep3\Utilities\RefineRTDCRunTimes.py" --tripid 1820-05 --locoid 4032 --swversion DE.1.0.9.0 --startMP 300:58653 --initTime 2017-03-05T15:41:26 --startdatetime 2017-03-05T15:43:05 --delay 1 --endMP 204:852 --enddatetime 2017-03-05T15:57:13 --enforcementcount 0 &gt;&gt;C:\Users\stu\Documents\GitHub\eaglep3-reporting\EC\2017-03-05-refined-times.txt</v>
      </c>
      <c r="AI179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{"issue":{"subject":"","project_id":79,"tracker_id":40,"status_id":1,"priority_id":2,"assigned_to_id":23,"start_date":"2017-03-05","description":"","custom_fields":[{"id":1,"name":"Subdivision","value":"NW"},{"id":4,"name":"Milepost","value":"0.0852"},{"id":17,"name":"Train ID","value":"1820-05"},{"id":16,"name":"Locomotive ID","value":"4032"},{"id":130,"name":"Impact","value":""},{"id":150,"name":"Time of Event (Mountain Time)","value":"15:57:13"},{"id":151,"name":"Denver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1"/>
        <v>start /low /b %USERPROFILE%\Documents\GitHub\eaglep3\Utilities\DownloadLogsFromS3.py --loco 4032 --day 2017-03-05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</row>
    <row r="180" spans="1:40" x14ac:dyDescent="0.25">
      <c r="A180" s="33" t="s">
        <v>717</v>
      </c>
      <c r="B180" s="7">
        <v>4031</v>
      </c>
      <c r="C180" s="21" t="s">
        <v>252</v>
      </c>
      <c r="D180" s="21" t="s">
        <v>348</v>
      </c>
      <c r="E180" s="13">
        <v>42799.677407407406</v>
      </c>
      <c r="F180" s="13">
        <v>42799.681458333333</v>
      </c>
      <c r="G180" s="7">
        <v>2</v>
      </c>
      <c r="H180" s="21" t="s">
        <v>853</v>
      </c>
      <c r="I180" s="13">
        <v>42799.690601851849</v>
      </c>
      <c r="J180" s="7">
        <v>0</v>
      </c>
      <c r="K180" s="98" t="str">
        <f t="shared" si="45"/>
        <v>4031/4032</v>
      </c>
      <c r="L180" s="21" t="str">
        <f>VLOOKUP(A180,'Trips&amp;Operators'!$C$1:$G$99999,5,FALSE)</f>
        <v>HELVIE ADAM</v>
      </c>
      <c r="M180" s="6">
        <f t="shared" si="46"/>
        <v>9.1435185167938471E-3</v>
      </c>
      <c r="N180" s="7">
        <f t="shared" si="63"/>
        <v>13.16666666418314</v>
      </c>
      <c r="O180" s="7"/>
      <c r="P180" s="7"/>
      <c r="Q180" s="22"/>
      <c r="R180" s="22"/>
      <c r="S180" s="31">
        <f t="shared" si="58"/>
        <v>1</v>
      </c>
      <c r="T180" s="46" t="str">
        <f t="shared" si="47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8"/>
        <v>https://d0f6bd738d7f1b3e5a7ca70fe4ff75f0.us-east-1.aws.found.io/app/kibana#/discover/Steve-Slow-Train-Analysis-(2080s-and-2083s)?_g=(refreshInterval:(display:Off,pause:!f,section:0,value:0),time:(from:'2017-03-05T15:15:28-0700',mode:absolute,to:'2017-03-05T17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7" t="str">
        <f t="shared" si="49"/>
        <v>N</v>
      </c>
      <c r="X180" s="187">
        <f t="shared" si="64"/>
        <v>1</v>
      </c>
      <c r="Y180" s="62">
        <f t="shared" si="51"/>
        <v>9.7799999999999998E-2</v>
      </c>
      <c r="Z180" s="62">
        <f t="shared" si="52"/>
        <v>5.8939000000000004</v>
      </c>
      <c r="AA180" s="62">
        <f t="shared" si="53"/>
        <v>5.7961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4"/>
        <v>1821-05</v>
      </c>
      <c r="AE180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80" s="82" t="str">
        <f t="shared" si="56"/>
        <v>"C:\Program Files (x86)\AstroGrep\AstroGrep.exe" /spath="%USERPROFILE%\AppData\Local\Temp\OnboardLogs" /stypes="app*4031*20170305*" /stext=" 23:.+((SYSTEM_STATE.+slice.+state.+changed )|(ment ac)|(multiple cpu faults)|(system.+state.+changed )|(\[timeout)|(PRM\|1\|D)|(kpr)|(kdp)|(\|loc)|(crossing.((167)|(168)|(199)|(200))))" /e /r /s</v>
      </c>
      <c r="AG180" s="1" t="str">
        <f t="shared" si="57"/>
        <v>NW</v>
      </c>
      <c r="AH180" s="86" t="str">
        <f t="shared" si="59"/>
        <v>"%USERPROFILE%\Documents\GitHub\eaglep3\Utilities\RefineRTDCRunTimes.py" --tripid 1821-05 --locoid 4031 --swversion DE.1.0.9.0 --startMP 204:978 --initTime 2017-03-05T16:15:28 --startdatetime 2017-03-05T16:21:18 --delay 2 --endMP 300:58939 --enddatetime 2017-03-05T16:34:28 --enforcementcount 0 &gt;&gt;C:\Users\stu\Documents\GitHub\eaglep3-reporting\EC\2017-03-05-refined-times.txt</v>
      </c>
      <c r="AI180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{"issue":{"subject":"","project_id":79,"tracker_id":40,"status_id":1,"priority_id":2,"assigned_to_id":23,"start_date":"2017-03-05","description":"","custom_fields":[{"id":1,"name":"Subdivision","value":"NW"},{"id":4,"name":"Milepost","value":"5.8939"},{"id":17,"name":"Train ID","value":"1821-05"},{"id":16,"name":"Locomotive ID","value":"4031"},{"id":130,"name":"Impact","value":""},{"id":150,"name":"Time of Event (Mountain Time)","value":"16:34:28"},{"id":151,"name":"Denver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1"/>
        <v>start /low /b %USERPROFILE%\Documents\GitHub\eaglep3\Utilities\DownloadLogsFromS3.py --loco 4031 --day 2017-03-05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181" spans="1:40" x14ac:dyDescent="0.25">
      <c r="A181" s="33" t="s">
        <v>721</v>
      </c>
      <c r="B181" s="7">
        <v>4032</v>
      </c>
      <c r="C181" s="21" t="s">
        <v>252</v>
      </c>
      <c r="D181" s="21" t="s">
        <v>854</v>
      </c>
      <c r="E181" s="13">
        <v>42799.693576388891</v>
      </c>
      <c r="F181" s="13">
        <v>42799.693749999999</v>
      </c>
      <c r="G181" s="7">
        <v>1</v>
      </c>
      <c r="H181" s="21" t="s">
        <v>314</v>
      </c>
      <c r="I181" s="13">
        <v>42799.694444444445</v>
      </c>
      <c r="J181" s="7">
        <v>0</v>
      </c>
      <c r="K181" s="98" t="str">
        <f t="shared" si="45"/>
        <v>4031/4032</v>
      </c>
      <c r="L181" s="21" t="str">
        <f>VLOOKUP(A181,'Trips&amp;Operators'!$C$1:$G$99999,5,FALSE)</f>
        <v>HELVIE ADAM</v>
      </c>
      <c r="M181" s="6">
        <f t="shared" si="46"/>
        <v>6.944444467080757E-4</v>
      </c>
      <c r="N181" s="7"/>
      <c r="O181" s="7"/>
      <c r="P181" s="7">
        <f t="shared" si="63"/>
        <v>1.000000003259629</v>
      </c>
      <c r="Q181" s="22"/>
      <c r="R181" s="22" t="s">
        <v>935</v>
      </c>
      <c r="S181" s="31">
        <f t="shared" si="58"/>
        <v>1</v>
      </c>
      <c r="T181" s="46" t="str">
        <f t="shared" si="47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8"/>
        <v>https://d0f6bd738d7f1b3e5a7ca70fe4ff75f0.us-east-1.aws.found.io/app/kibana#/discover/Steve-Slow-Train-Analysis-(2080s-and-2083s)?_g=(refreshInterval:(display:Off,pause:!f,section:0,value:0),time:(from:'2017-03-05T15:38:45-0700',mode:absolute,to:'2017-03-05T17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7" t="str">
        <f t="shared" si="49"/>
        <v>N</v>
      </c>
      <c r="X181" s="187">
        <f t="shared" si="64"/>
        <v>1</v>
      </c>
      <c r="Y181" s="62">
        <f t="shared" si="51"/>
        <v>5.8630000000000004</v>
      </c>
      <c r="Z181" s="62">
        <f t="shared" si="52"/>
        <v>7.5200000000000003E-2</v>
      </c>
      <c r="AA181" s="62">
        <f t="shared" si="53"/>
        <v>5.7878000000000007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4"/>
        <v>1822-05</v>
      </c>
      <c r="AE181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81" s="82" t="str">
        <f t="shared" si="56"/>
        <v>"C:\Program Files (x86)\AstroGrep\AstroGrep.exe" /spath="%USERPROFILE%\AppData\Local\Temp\OnboardLogs" /stypes="app*4032*20170305*" /stext=" 23:.+((SYSTEM_STATE.+slice.+state.+changed )|(ment ac)|(multiple cpu faults)|(system.+state.+changed )|(\[timeout)|(PRM\|1\|D)|(kpr)|(kdp)|(\|loc)|(crossing.((167)|(168)|(199)|(200))))" /e /r /s</v>
      </c>
      <c r="AG181" s="1" t="str">
        <f t="shared" si="57"/>
        <v>NW</v>
      </c>
      <c r="AH181" s="86" t="str">
        <f t="shared" si="59"/>
        <v>"%USERPROFILE%\Documents\GitHub\eaglep3\Utilities\RefineRTDCRunTimes.py" --tripid 1822-05 --locoid 4032 --swversion DE.1.0.9.0 --startMP 300:58630 --initTime 2017-03-05T16:38:45 --startdatetime 2017-03-05T16:39:00 --delay 1 --endMP 204:752 --enddatetime 2017-03-05T16:40:00 --enforcementcount 0 &gt;&gt;C:\Users\stu\Documents\GitHub\eaglep3-reporting\EC\2017-03-05-refined-times.txt</v>
      </c>
      <c r="AI181" s="108" t="str">
        <f t="shared" si="60"/>
        <v>echo {"issue":{"subject":"Onboard in-route failure","project_id":79,"tracker_id":40,"status_id":1,"priority_id":2,"assigned_to_id":23,"start_date":"2017-03-05","description":"","custom_fields":[{"id":1,"name":"Subdivision","value":"NW"},{"id":4,"name":"Milepost","value":"0.0752"},{"id":17,"name":"Train ID","value":"1822-05"},{"id":16,"name":"Locomotive ID","value":"4032"},{"id":130,"name":"Impact","value":""},{"id":150,"name":"Time of Event (Mountain Time)","value":"16:40:00"},{"id":151,"name":"Denver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1"/>
        <v>start /low /b %USERPROFILE%\Documents\GitHub\eaglep3\Utilities\DownloadLogsFromS3.py --loco 4032 --day 2017-03-05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"%USERPROFILE%\AppData\Local\Temp\OnboardLogs"\RTDC4032\*4032*20170305* | grep -SE "(Enforcement Action)|(\[TIMEOUT)|(CHR.+\|PRM\|1\|D.+(SWITCH|SIGNAL).+UNKNOWN)" - &gt;&gt; 2017-03-05-UncaughtWiMAX.txt</v>
      </c>
    </row>
    <row r="182" spans="1:40" x14ac:dyDescent="0.25">
      <c r="A182" s="33" t="s">
        <v>726</v>
      </c>
      <c r="B182" s="7">
        <v>4031</v>
      </c>
      <c r="C182" s="21" t="s">
        <v>252</v>
      </c>
      <c r="D182" s="21" t="s">
        <v>855</v>
      </c>
      <c r="E182" s="13">
        <v>42799.719988425924</v>
      </c>
      <c r="F182" s="13">
        <v>42799.723090277781</v>
      </c>
      <c r="G182" s="7">
        <v>1</v>
      </c>
      <c r="H182" s="21" t="s">
        <v>856</v>
      </c>
      <c r="I182" s="13">
        <v>42799.732361111113</v>
      </c>
      <c r="J182" s="7">
        <v>0</v>
      </c>
      <c r="K182" s="98" t="str">
        <f t="shared" si="45"/>
        <v>4031/4032</v>
      </c>
      <c r="L182" s="21" t="str">
        <f>VLOOKUP(A182,'Trips&amp;Operators'!$C$1:$G$99999,5,FALSE)</f>
        <v>HELVIE ADAM</v>
      </c>
      <c r="M182" s="6">
        <f t="shared" si="46"/>
        <v>9.2708333322661929E-3</v>
      </c>
      <c r="N182" s="7">
        <f t="shared" si="63"/>
        <v>13.349999998463318</v>
      </c>
      <c r="O182" s="7"/>
      <c r="P182" s="7"/>
      <c r="Q182" s="22"/>
      <c r="R182" s="22"/>
      <c r="S182" s="31">
        <f t="shared" si="58"/>
        <v>1</v>
      </c>
      <c r="T182" s="46" t="str">
        <f t="shared" si="47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8"/>
        <v>https://d0f6bd738d7f1b3e5a7ca70fe4ff75f0.us-east-1.aws.found.io/app/kibana#/discover/Steve-Slow-Train-Analysis-(2080s-and-2083s)?_g=(refreshInterval:(display:Off,pause:!f,section:0,value:0),time:(from:'2017-03-05T16:16:47-0700',mode:absolute,to:'2017-03-05T18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7" t="str">
        <f t="shared" si="49"/>
        <v>N</v>
      </c>
      <c r="X182" s="187">
        <f t="shared" si="64"/>
        <v>1</v>
      </c>
      <c r="Y182" s="62">
        <f t="shared" si="51"/>
        <v>9.5500000000000002E-2</v>
      </c>
      <c r="Z182" s="62">
        <f t="shared" si="52"/>
        <v>5.8945999999999996</v>
      </c>
      <c r="AA182" s="62">
        <f t="shared" si="53"/>
        <v>5.7990999999999993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4"/>
        <v>1823-05</v>
      </c>
      <c r="AE182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82" s="82" t="str">
        <f t="shared" si="56"/>
        <v>"C:\Program Files (x86)\AstroGrep\AstroGrep.exe" /spath="%USERPROFILE%\AppData\Local\Temp\OnboardLogs" /stypes="app*4031*20170306*" /stext=" 00:.+((SYSTEM_STATE.+slice.+state.+changed )|(ment ac)|(multiple cpu faults)|(system.+state.+changed )|(\[timeout)|(PRM\|1\|D)|(kpr)|(kdp)|(\|loc)|(crossing.((167)|(168)|(199)|(200))))" /e /r /s</v>
      </c>
      <c r="AG182" s="1" t="str">
        <f t="shared" si="57"/>
        <v>NW</v>
      </c>
      <c r="AH182" s="86" t="str">
        <f t="shared" si="59"/>
        <v>"%USERPROFILE%\Documents\GitHub\eaglep3\Utilities\RefineRTDCRunTimes.py" --tripid 1823-05 --locoid 4031 --swversion DE.1.0.9.0 --startMP 204:955 --initTime 2017-03-05T17:16:47 --startdatetime 2017-03-05T17:21:15 --delay 1 --endMP 300:58946 --enddatetime 2017-03-05T17:34:36 --enforcementcount 0 &gt;&gt;C:\Users\stu\Documents\GitHub\eaglep3-reporting\EC\2017-03-05-refined-times.txt</v>
      </c>
      <c r="AI182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{"issue":{"subject":"","project_id":79,"tracker_id":40,"status_id":1,"priority_id":2,"assigned_to_id":23,"start_date":"2017-03-05","description":"","custom_fields":[{"id":1,"name":"Subdivision","value":"NW"},{"id":4,"name":"Milepost","value":"5.8946"},{"id":17,"name":"Train ID","value":"1823-05"},{"id":16,"name":"Locomotive ID","value":"4031"},{"id":130,"name":"Impact","value":""},{"id":150,"name":"Time of Event (Mountain Time)","value":"17:34:36"},{"id":151,"name":"Denver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1"/>
        <v>start /low /b %USERPROFILE%\Documents\GitHub\eaglep3\Utilities\DownloadLogsFromS3.py --loco 4031 --day 2017-03-05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"%USERPROFILE%\AppData\Local\Temp\OnboardLogs"\RTDC4031\*4031*20170306* | grep -SE "(Enforcement Action)|(\[TIMEOUT)|(CHR.+\|PRM\|1\|D.+(SWITCH|SIGNAL).+UNKNOWN)" - &gt;&gt; 2017-03-05-UncaughtWiMAX.txt</v>
      </c>
    </row>
    <row r="183" spans="1:40" x14ac:dyDescent="0.25">
      <c r="A183" s="33" t="s">
        <v>729</v>
      </c>
      <c r="B183" s="7">
        <v>4032</v>
      </c>
      <c r="C183" s="21" t="s">
        <v>252</v>
      </c>
      <c r="D183" s="21" t="s">
        <v>528</v>
      </c>
      <c r="E183" s="13">
        <v>42799.73364583333</v>
      </c>
      <c r="F183" s="13">
        <v>42799.735532407409</v>
      </c>
      <c r="G183" s="7">
        <v>1</v>
      </c>
      <c r="H183" s="21" t="s">
        <v>314</v>
      </c>
      <c r="I183" s="13">
        <v>42799.748043981483</v>
      </c>
      <c r="J183" s="7">
        <v>0</v>
      </c>
      <c r="K183" s="98" t="str">
        <f t="shared" si="45"/>
        <v>4031/4032</v>
      </c>
      <c r="L183" s="21" t="str">
        <f>VLOOKUP(A183,'Trips&amp;Operators'!$C$1:$G$99999,5,FALSE)</f>
        <v>HELVIE ADAM</v>
      </c>
      <c r="M183" s="6">
        <f t="shared" si="46"/>
        <v>1.2511574073869269E-2</v>
      </c>
      <c r="N183" s="7">
        <f t="shared" si="63"/>
        <v>18.016666666371748</v>
      </c>
      <c r="O183" s="7"/>
      <c r="P183" s="7"/>
      <c r="Q183" s="22"/>
      <c r="R183" s="22"/>
      <c r="S183" s="31">
        <f t="shared" si="58"/>
        <v>1</v>
      </c>
      <c r="T183" s="46" t="str">
        <f t="shared" si="47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8"/>
        <v>https://d0f6bd738d7f1b3e5a7ca70fe4ff75f0.us-east-1.aws.found.io/app/kibana#/discover/Steve-Slow-Train-Analysis-(2080s-and-2083s)?_g=(refreshInterval:(display:Off,pause:!f,section:0,value:0),time:(from:'2017-03-05T16:36:27-0700',mode:absolute,to:'2017-03-05T18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7" t="str">
        <f t="shared" si="49"/>
        <v>N</v>
      </c>
      <c r="X183" s="187">
        <f t="shared" si="64"/>
        <v>1</v>
      </c>
      <c r="Y183" s="62">
        <f t="shared" si="51"/>
        <v>5.8624000000000001</v>
      </c>
      <c r="Z183" s="62">
        <f t="shared" si="52"/>
        <v>7.5200000000000003E-2</v>
      </c>
      <c r="AA183" s="62">
        <f t="shared" si="53"/>
        <v>5.7872000000000003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4"/>
        <v>1824-05</v>
      </c>
      <c r="AE183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83" s="82" t="str">
        <f t="shared" si="56"/>
        <v>"C:\Program Files (x86)\AstroGrep\AstroGrep.exe" /spath="%USERPROFILE%\AppData\Local\Temp\OnboardLogs" /stypes="app*4032*20170306*" /stext=" 00:.+((SYSTEM_STATE.+slice.+state.+changed )|(ment ac)|(multiple cpu faults)|(system.+state.+changed )|(\[timeout)|(PRM\|1\|D)|(kpr)|(kdp)|(\|loc)|(crossing.((167)|(168)|(199)|(200))))" /e /r /s</v>
      </c>
      <c r="AG183" s="1" t="str">
        <f t="shared" si="57"/>
        <v>NW</v>
      </c>
      <c r="AH183" s="86" t="str">
        <f t="shared" si="59"/>
        <v>"%USERPROFILE%\Documents\GitHub\eaglep3\Utilities\RefineRTDCRunTimes.py" --tripid 1824-05 --locoid 4032 --swversion DE.1.0.9.0 --startMP 300:58624 --initTime 2017-03-05T17:36:27 --startdatetime 2017-03-05T17:39:10 --delay 1 --endMP 204:752 --enddatetime 2017-03-05T17:57:11 --enforcementcount 0 &gt;&gt;C:\Users\stu\Documents\GitHub\eaglep3-reporting\EC\2017-03-05-refined-times.txt</v>
      </c>
      <c r="AI183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{"issue":{"subject":"","project_id":79,"tracker_id":40,"status_id":1,"priority_id":2,"assigned_to_id":23,"start_date":"2017-03-05","description":"","custom_fields":[{"id":1,"name":"Subdivision","value":"NW"},{"id":4,"name":"Milepost","value":"0.0752"},{"id":17,"name":"Train ID","value":"1824-05"},{"id":16,"name":"Locomotive ID","value":"4032"},{"id":130,"name":"Impact","value":""},{"id":150,"name":"Time of Event (Mountain Time)","value":"17:57:11"},{"id":151,"name":"Denver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1"/>
        <v>start /low /b %USERPROFILE%\Documents\GitHub\eaglep3\Utilities\DownloadLogsFromS3.py --loco 4032 --day 2017-03-05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"%USERPROFILE%\AppData\Local\Temp\OnboardLogs"\RTDC4032\*4032*20170306* | grep -SE "(Enforcement Action)|(\[TIMEOUT)|(CHR.+\|PRM\|1\|D.+(SWITCH|SIGNAL).+UNKNOWN)" - &gt;&gt; 2017-03-05-UncaughtWiMAX.txt</v>
      </c>
    </row>
    <row r="184" spans="1:40" x14ac:dyDescent="0.25">
      <c r="A184" s="33" t="s">
        <v>738</v>
      </c>
      <c r="B184" s="7">
        <v>4031</v>
      </c>
      <c r="C184" s="21" t="s">
        <v>252</v>
      </c>
      <c r="D184" s="21" t="s">
        <v>530</v>
      </c>
      <c r="E184" s="13">
        <v>42799.761122685188</v>
      </c>
      <c r="F184" s="13">
        <v>42799.764745370368</v>
      </c>
      <c r="G184" s="7">
        <v>1</v>
      </c>
      <c r="H184" s="21" t="s">
        <v>853</v>
      </c>
      <c r="I184" s="13">
        <v>42799.774027777778</v>
      </c>
      <c r="J184" s="7">
        <v>0</v>
      </c>
      <c r="K184" s="98" t="str">
        <f t="shared" si="45"/>
        <v>4031/4032</v>
      </c>
      <c r="L184" s="21" t="str">
        <f>VLOOKUP(A184,'Trips&amp;Operators'!$C$1:$G$99999,5,FALSE)</f>
        <v>HELVIE ADAM</v>
      </c>
      <c r="M184" s="6">
        <f t="shared" si="46"/>
        <v>9.2824074090458453E-3</v>
      </c>
      <c r="N184" s="7">
        <f t="shared" si="63"/>
        <v>13.366666669026017</v>
      </c>
      <c r="O184" s="7"/>
      <c r="P184" s="7"/>
      <c r="Q184" s="22"/>
      <c r="R184" s="22"/>
      <c r="S184" s="31">
        <f t="shared" si="58"/>
        <v>1</v>
      </c>
      <c r="T184" s="46" t="str">
        <f t="shared" si="47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8"/>
        <v>https://d0f6bd738d7f1b3e5a7ca70fe4ff75f0.us-east-1.aws.found.io/app/kibana#/discover/Steve-Slow-Train-Analysis-(2080s-and-2083s)?_g=(refreshInterval:(display:Off,pause:!f,section:0,value:0),time:(from:'2017-03-05T17:16:01-0700',mode:absolute,to:'2017-03-05T19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7" t="str">
        <f t="shared" si="49"/>
        <v>N</v>
      </c>
      <c r="X184" s="187">
        <f t="shared" si="64"/>
        <v>1</v>
      </c>
      <c r="Y184" s="62">
        <f t="shared" si="51"/>
        <v>0.10340000000000001</v>
      </c>
      <c r="Z184" s="62">
        <f t="shared" si="52"/>
        <v>5.8939000000000004</v>
      </c>
      <c r="AA184" s="62">
        <f t="shared" si="53"/>
        <v>5.7905000000000006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4"/>
        <v>1825-05</v>
      </c>
      <c r="AE184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84" s="82" t="str">
        <f t="shared" si="56"/>
        <v>"C:\Program Files (x86)\AstroGrep\AstroGrep.exe" /spath="%USERPROFILE%\AppData\Local\Temp\OnboardLogs" /stypes="app*4031*20170306*" /stext=" 01:.+((SYSTEM_STATE.+slice.+state.+changed )|(ment ac)|(multiple cpu faults)|(system.+state.+changed )|(\[timeout)|(PRM\|1\|D)|(kpr)|(kdp)|(\|loc)|(crossing.((167)|(168)|(199)|(200))))" /e /r /s</v>
      </c>
      <c r="AG184" s="1" t="str">
        <f t="shared" si="57"/>
        <v>NW</v>
      </c>
      <c r="AH184" s="86" t="str">
        <f t="shared" si="59"/>
        <v>"%USERPROFILE%\Documents\GitHub\eaglep3\Utilities\RefineRTDCRunTimes.py" --tripid 1825-05 --locoid 4031 --swversion DE.1.0.9.0 --startMP 204:1034 --initTime 2017-03-05T18:16:01 --startdatetime 2017-03-05T18:21:14 --delay 1 --endMP 300:58939 --enddatetime 2017-03-05T18:34:36 --enforcementcount 0 &gt;&gt;C:\Users\stu\Documents\GitHub\eaglep3-reporting\EC\2017-03-05-refined-times.txt</v>
      </c>
      <c r="AI184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{"issue":{"subject":"","project_id":79,"tracker_id":40,"status_id":1,"priority_id":2,"assigned_to_id":23,"start_date":"2017-03-05","description":"","custom_fields":[{"id":1,"name":"Subdivision","value":"NW"},{"id":4,"name":"Milepost","value":"5.8939"},{"id":17,"name":"Train ID","value":"1825-05"},{"id":16,"name":"Locomotive ID","value":"4031"},{"id":130,"name":"Impact","value":""},{"id":150,"name":"Time of Event (Mountain Time)","value":"18:34:36"},{"id":151,"name":"Denver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1"/>
        <v>start /low /b %USERPROFILE%\Documents\GitHub\eaglep3\Utilities\DownloadLogsFromS3.py --loco 4031 --day 2017-03-05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"%USERPROFILE%\AppData\Local\Temp\OnboardLogs"\RTDC4031\*4031*20170306* | grep -SE "(Enforcement Action)|(\[TIMEOUT)|(CHR.+\|PRM\|1\|D.+(SWITCH|SIGNAL).+UNKNOWN)" - &gt;&gt; 2017-03-05-UncaughtWiMAX.txt</v>
      </c>
    </row>
    <row r="185" spans="1:40" x14ac:dyDescent="0.25">
      <c r="A185" s="33" t="s">
        <v>744</v>
      </c>
      <c r="B185" s="7">
        <v>4032</v>
      </c>
      <c r="C185" s="21" t="s">
        <v>252</v>
      </c>
      <c r="D185" s="21" t="s">
        <v>288</v>
      </c>
      <c r="E185" s="13">
        <v>42799.777187500003</v>
      </c>
      <c r="F185" s="13">
        <v>42799.778807870367</v>
      </c>
      <c r="G185" s="7">
        <v>1</v>
      </c>
      <c r="H185" s="21" t="s">
        <v>857</v>
      </c>
      <c r="I185" s="13">
        <v>42799.790196759262</v>
      </c>
      <c r="J185" s="7">
        <v>0</v>
      </c>
      <c r="K185" s="98" t="str">
        <f t="shared" si="45"/>
        <v>4031/4032</v>
      </c>
      <c r="L185" s="21" t="str">
        <f>VLOOKUP(A185,'Trips&amp;Operators'!$C$1:$G$99999,5,FALSE)</f>
        <v>HELVIE ADAM</v>
      </c>
      <c r="M185" s="6">
        <f t="shared" si="46"/>
        <v>1.138888889545342E-2</v>
      </c>
      <c r="N185" s="7">
        <f t="shared" si="63"/>
        <v>16.400000009452924</v>
      </c>
      <c r="O185" s="7"/>
      <c r="P185" s="7"/>
      <c r="Q185" s="22"/>
      <c r="R185" s="22"/>
      <c r="S185" s="31">
        <f t="shared" si="58"/>
        <v>1</v>
      </c>
      <c r="T185" s="46" t="str">
        <f t="shared" si="47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8"/>
        <v>https://d0f6bd738d7f1b3e5a7ca70fe4ff75f0.us-east-1.aws.found.io/app/kibana#/discover/Steve-Slow-Train-Analysis-(2080s-and-2083s)?_g=(refreshInterval:(display:Off,pause:!f,section:0,value:0),time:(from:'2017-03-05T17:39:09-0700',mode:absolute,to:'2017-03-05T19:57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7" t="str">
        <f t="shared" si="49"/>
        <v>N</v>
      </c>
      <c r="X185" s="187">
        <f t="shared" si="64"/>
        <v>1</v>
      </c>
      <c r="Y185" s="62">
        <f t="shared" si="51"/>
        <v>5.8623000000000003</v>
      </c>
      <c r="Z185" s="62">
        <f t="shared" si="52"/>
        <v>7.4300000000000005E-2</v>
      </c>
      <c r="AA185" s="62">
        <f t="shared" si="53"/>
        <v>5.7880000000000003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4"/>
        <v>1826-05</v>
      </c>
      <c r="AE185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85" s="82" t="str">
        <f t="shared" si="56"/>
        <v>"C:\Program Files (x86)\AstroGrep\AstroGrep.exe" /spath="%USERPROFILE%\AppData\Local\Temp\OnboardLogs" /stypes="app*4032*20170306*" /stext=" 01:.+((SYSTEM_STATE.+slice.+state.+changed )|(ment ac)|(multiple cpu faults)|(system.+state.+changed )|(\[timeout)|(PRM\|1\|D)|(kpr)|(kdp)|(\|loc)|(crossing.((167)|(168)|(199)|(200))))" /e /r /s</v>
      </c>
      <c r="AG185" s="1" t="str">
        <f t="shared" si="57"/>
        <v>NW</v>
      </c>
      <c r="AH185" s="86" t="str">
        <f t="shared" si="59"/>
        <v>"%USERPROFILE%\Documents\GitHub\eaglep3\Utilities\RefineRTDCRunTimes.py" --tripid 1826-05 --locoid 4032 --swversion DE.1.0.9.0 --startMP 300:58623 --initTime 2017-03-05T18:39:09 --startdatetime 2017-03-05T18:41:29 --delay 1 --endMP 204:743 --enddatetime 2017-03-05T18:57:53 --enforcementcount 0 &gt;&gt;C:\Users\stu\Documents\GitHub\eaglep3-reporting\EC\2017-03-05-refined-times.txt</v>
      </c>
      <c r="AI185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{"issue":{"subject":"","project_id":79,"tracker_id":40,"status_id":1,"priority_id":2,"assigned_to_id":23,"start_date":"2017-03-05","description":"","custom_fields":[{"id":1,"name":"Subdivision","value":"NW"},{"id":4,"name":"Milepost","value":"0.0743"},{"id":17,"name":"Train ID","value":"1826-05"},{"id":16,"name":"Locomotive ID","value":"4032"},{"id":130,"name":"Impact","value":""},{"id":150,"name":"Time of Event (Mountain Time)","value":"18:57:53"},{"id":151,"name":"Denver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1"/>
        <v>start /low /b %USERPROFILE%\Documents\GitHub\eaglep3\Utilities\DownloadLogsFromS3.py --loco 4032 --day 2017-03-05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"%USERPROFILE%\AppData\Local\Temp\OnboardLogs"\RTDC4032\*4032*20170306* | grep -SE "(Enforcement Action)|(\[TIMEOUT)|(CHR.+\|PRM\|1\|D.+(SWITCH|SIGNAL).+UNKNOWN)" - &gt;&gt; 2017-03-05-UncaughtWiMAX.txt</v>
      </c>
    </row>
    <row r="186" spans="1:40" x14ac:dyDescent="0.25">
      <c r="A186" s="33" t="s">
        <v>750</v>
      </c>
      <c r="B186" s="7">
        <v>4031</v>
      </c>
      <c r="C186" s="21" t="s">
        <v>252</v>
      </c>
      <c r="D186" s="21" t="s">
        <v>530</v>
      </c>
      <c r="E186" s="13">
        <v>42799.804050925923</v>
      </c>
      <c r="F186" s="13">
        <v>42799.806886574072</v>
      </c>
      <c r="G186" s="7">
        <v>1</v>
      </c>
      <c r="H186" s="21" t="s">
        <v>853</v>
      </c>
      <c r="I186" s="13">
        <v>42799.815949074073</v>
      </c>
      <c r="J186" s="7">
        <v>0</v>
      </c>
      <c r="K186" s="98" t="str">
        <f t="shared" si="45"/>
        <v>4031/4032</v>
      </c>
      <c r="L186" s="21" t="str">
        <f>VLOOKUP(A186,'Trips&amp;Operators'!$C$1:$G$99999,5,FALSE)</f>
        <v>HELVIE ADAM</v>
      </c>
      <c r="M186" s="6">
        <f t="shared" si="46"/>
        <v>9.0625000011641532E-3</v>
      </c>
      <c r="N186" s="7">
        <f t="shared" si="63"/>
        <v>13.050000001676381</v>
      </c>
      <c r="O186" s="7"/>
      <c r="P186" s="7"/>
      <c r="Q186" s="22"/>
      <c r="R186" s="22"/>
      <c r="S186" s="31">
        <f t="shared" si="58"/>
        <v>1</v>
      </c>
      <c r="T186" s="46" t="str">
        <f t="shared" si="47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8"/>
        <v>https://d0f6bd738d7f1b3e5a7ca70fe4ff75f0.us-east-1.aws.found.io/app/kibana#/discover/Steve-Slow-Train-Analysis-(2080s-and-2083s)?_g=(refreshInterval:(display:Off,pause:!f,section:0,value:0),time:(from:'2017-03-05T18:17:50-0700',mode:absolute,to:'2017-03-05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7" t="str">
        <f t="shared" si="49"/>
        <v>N</v>
      </c>
      <c r="X186" s="187">
        <f t="shared" si="64"/>
        <v>1</v>
      </c>
      <c r="Y186" s="62">
        <f t="shared" si="51"/>
        <v>0.10340000000000001</v>
      </c>
      <c r="Z186" s="62">
        <f t="shared" si="52"/>
        <v>5.8939000000000004</v>
      </c>
      <c r="AA186" s="62">
        <f t="shared" si="53"/>
        <v>5.7905000000000006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4"/>
        <v>1827-05</v>
      </c>
      <c r="AE186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86" s="82" t="str">
        <f t="shared" si="56"/>
        <v>"C:\Program Files (x86)\AstroGrep\AstroGrep.exe" /spath="%USERPROFILE%\AppData\Local\Temp\OnboardLogs" /stypes="app*4031*20170306*" /stext=" 02:.+((SYSTEM_STATE.+slice.+state.+changed )|(ment ac)|(multiple cpu faults)|(system.+state.+changed )|(\[timeout)|(PRM\|1\|D)|(kpr)|(kdp)|(\|loc)|(crossing.((167)|(168)|(199)|(200))))" /e /r /s</v>
      </c>
      <c r="AG186" s="1" t="str">
        <f t="shared" si="57"/>
        <v>NW</v>
      </c>
      <c r="AH186" s="86" t="str">
        <f t="shared" si="59"/>
        <v>"%USERPROFILE%\Documents\GitHub\eaglep3\Utilities\RefineRTDCRunTimes.py" --tripid 1827-05 --locoid 4031 --swversion DE.1.0.9.0 --startMP 204:1034 --initTime 2017-03-05T19:17:50 --startdatetime 2017-03-05T19:21:55 --delay 1 --endMP 300:58939 --enddatetime 2017-03-05T19:34:58 --enforcementcount 0 &gt;&gt;C:\Users\stu\Documents\GitHub\eaglep3-reporting\EC\2017-03-05-refined-times.txt</v>
      </c>
      <c r="AI186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{"issue":{"subject":"","project_id":79,"tracker_id":40,"status_id":1,"priority_id":2,"assigned_to_id":23,"start_date":"2017-03-05","description":"","custom_fields":[{"id":1,"name":"Subdivision","value":"NW"},{"id":4,"name":"Milepost","value":"5.8939"},{"id":17,"name":"Train ID","value":"1827-05"},{"id":16,"name":"Locomotive ID","value":"4031"},{"id":130,"name":"Impact","value":""},{"id":150,"name":"Time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1"/>
        <v>start /low /b %USERPROFILE%\Documents\GitHub\eaglep3\Utilities\DownloadLogsFromS3.py --loco 4031 --day 2017-03-05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"%USERPROFILE%\AppData\Local\Temp\OnboardLogs"\RTDC4031\*4031*20170306* | grep -SE "(Enforcement Action)|(\[TIMEOUT)|(CHR.+\|PRM\|1\|D.+(SWITCH|SIGNAL).+UNKNOWN)" - &gt;&gt; 2017-03-05-UncaughtWiMAX.txt</v>
      </c>
    </row>
    <row r="187" spans="1:40" x14ac:dyDescent="0.25">
      <c r="A187" s="33" t="s">
        <v>752</v>
      </c>
      <c r="B187" s="7">
        <v>4032</v>
      </c>
      <c r="C187" s="21" t="s">
        <v>252</v>
      </c>
      <c r="D187" s="21" t="s">
        <v>526</v>
      </c>
      <c r="E187" s="13">
        <v>42799.817129629628</v>
      </c>
      <c r="F187" s="13">
        <v>42799.820231481484</v>
      </c>
      <c r="G187" s="7">
        <v>1</v>
      </c>
      <c r="H187" s="21" t="s">
        <v>858</v>
      </c>
      <c r="I187" s="13">
        <v>42799.831365740742</v>
      </c>
      <c r="J187" s="7">
        <v>0</v>
      </c>
      <c r="K187" s="98" t="str">
        <f t="shared" si="45"/>
        <v>4031/4032</v>
      </c>
      <c r="L187" s="21" t="str">
        <f>VLOOKUP(A187,'Trips&amp;Operators'!$C$1:$G$99999,5,FALSE)</f>
        <v>HELVIE ADAM</v>
      </c>
      <c r="M187" s="6">
        <f t="shared" si="46"/>
        <v>1.113425925723277E-2</v>
      </c>
      <c r="N187" s="7">
        <f t="shared" si="63"/>
        <v>16.033333330415189</v>
      </c>
      <c r="O187" s="7"/>
      <c r="P187" s="7"/>
      <c r="Q187" s="22"/>
      <c r="R187" s="22"/>
      <c r="S187" s="31">
        <f t="shared" si="58"/>
        <v>1</v>
      </c>
      <c r="T187" s="46" t="str">
        <f t="shared" si="47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8"/>
        <v>https://d0f6bd738d7f1b3e5a7ca70fe4ff75f0.us-east-1.aws.found.io/app/kibana#/discover/Steve-Slow-Train-Analysis-(2080s-and-2083s)?_g=(refreshInterval:(display:Off,pause:!f,section:0,value:0),time:(from:'2017-03-05T18:36:40-0700',mode:absolute,to:'2017-03-05T20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7" t="str">
        <f t="shared" si="49"/>
        <v>N</v>
      </c>
      <c r="X187" s="187">
        <f t="shared" si="64"/>
        <v>1</v>
      </c>
      <c r="Y187" s="62">
        <f t="shared" si="51"/>
        <v>5.8620999999999999</v>
      </c>
      <c r="Z187" s="62">
        <f t="shared" si="52"/>
        <v>7.2900000000000006E-2</v>
      </c>
      <c r="AA187" s="62">
        <f t="shared" si="53"/>
        <v>5.7892000000000001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4"/>
        <v>1828-05</v>
      </c>
      <c r="AE187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87" s="82" t="str">
        <f t="shared" si="56"/>
        <v>"C:\Program Files (x86)\AstroGrep\AstroGrep.exe" /spath="%USERPROFILE%\AppData\Local\Temp\OnboardLogs" /stypes="app*4032*20170306*" /stext=" 02:.+((SYSTEM_STATE.+slice.+state.+changed )|(ment ac)|(multiple cpu faults)|(system.+state.+changed )|(\[timeout)|(PRM\|1\|D)|(kpr)|(kdp)|(\|loc)|(crossing.((167)|(168)|(199)|(200))))" /e /r /s</v>
      </c>
      <c r="AG187" s="1" t="str">
        <f t="shared" si="57"/>
        <v>NW</v>
      </c>
      <c r="AH187" s="86" t="str">
        <f t="shared" si="59"/>
        <v>"%USERPROFILE%\Documents\GitHub\eaglep3\Utilities\RefineRTDCRunTimes.py" --tripid 1828-05 --locoid 4032 --swversion DE.1.0.9.0 --startMP 300:58621 --initTime 2017-03-05T19:36:40 --startdatetime 2017-03-05T19:41:08 --delay 1 --endMP 204:729 --enddatetime 2017-03-05T19:57:10 --enforcementcount 0 &gt;&gt;C:\Users\stu\Documents\GitHub\eaglep3-reporting\EC\2017-03-05-refined-times.txt</v>
      </c>
      <c r="AI187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{"issue":{"subject":"","project_id":79,"tracker_id":40,"status_id":1,"priority_id":2,"assigned_to_id":23,"start_date":"2017-03-05","description":"","custom_fields":[{"id":1,"name":"Subdivision","value":"NW"},{"id":4,"name":"Milepost","value":"0.0729"},{"id":17,"name":"Train ID","value":"1828-05"},{"id":16,"name":"Locomotive ID","value":"4032"},{"id":130,"name":"Impact","value":""},{"id":150,"name":"Time of Event (Mountain Time)","value":"19:57:10"},{"id":151,"name":"Denver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1"/>
        <v>start /low /b %USERPROFILE%\Documents\GitHub\eaglep3\Utilities\DownloadLogsFromS3.py --loco 4032 --day 2017-03-05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"%USERPROFILE%\AppData\Local\Temp\OnboardLogs"\RTDC4032\*4032*20170306* | grep -SE "(Enforcement Action)|(\[TIMEOUT)|(CHR.+\|PRM\|1\|D.+(SWITCH|SIGNAL).+UNKNOWN)" - &gt;&gt; 2017-03-05-UncaughtWiMAX.txt</v>
      </c>
    </row>
    <row r="188" spans="1:40" x14ac:dyDescent="0.25">
      <c r="A188" s="33" t="s">
        <v>758</v>
      </c>
      <c r="B188" s="7">
        <v>4031</v>
      </c>
      <c r="C188" s="21" t="s">
        <v>252</v>
      </c>
      <c r="D188" s="21" t="s">
        <v>841</v>
      </c>
      <c r="E188" s="13">
        <v>42799.846539351849</v>
      </c>
      <c r="F188" s="13">
        <v>42799.848391203705</v>
      </c>
      <c r="G188" s="7">
        <v>2</v>
      </c>
      <c r="H188" s="21" t="s">
        <v>856</v>
      </c>
      <c r="I188" s="13">
        <v>42799.857499999998</v>
      </c>
      <c r="J188" s="7">
        <v>0</v>
      </c>
      <c r="K188" s="98" t="str">
        <f t="shared" si="45"/>
        <v>4031/4032</v>
      </c>
      <c r="L188" s="21" t="str">
        <f>VLOOKUP(A188,'Trips&amp;Operators'!$C$1:$G$99999,5,FALSE)</f>
        <v>HELVIE ADAM</v>
      </c>
      <c r="M188" s="6">
        <f t="shared" si="46"/>
        <v>9.1087962937308475E-3</v>
      </c>
      <c r="N188" s="7">
        <f t="shared" si="63"/>
        <v>13.11666666297242</v>
      </c>
      <c r="O188" s="7"/>
      <c r="P188" s="7"/>
      <c r="Q188" s="22"/>
      <c r="R188" s="22"/>
      <c r="S188" s="31">
        <f t="shared" si="58"/>
        <v>1</v>
      </c>
      <c r="T188" s="46" t="str">
        <f t="shared" si="47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8"/>
        <v>https://d0f6bd738d7f1b3e5a7ca70fe4ff75f0.us-east-1.aws.found.io/app/kibana#/discover/Steve-Slow-Train-Analysis-(2080s-and-2083s)?_g=(refreshInterval:(display:Off,pause:!f,section:0,value:0),time:(from:'2017-03-05T19:19:01-0700',mode:absolute,to:'2017-03-05T21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7" t="str">
        <f t="shared" si="49"/>
        <v>N</v>
      </c>
      <c r="X188" s="187">
        <f t="shared" si="64"/>
        <v>1</v>
      </c>
      <c r="Y188" s="62">
        <f t="shared" si="51"/>
        <v>0.1018</v>
      </c>
      <c r="Z188" s="62">
        <f t="shared" si="52"/>
        <v>5.8945999999999996</v>
      </c>
      <c r="AA188" s="62">
        <f t="shared" si="53"/>
        <v>5.7927999999999997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4"/>
        <v>1829-05</v>
      </c>
      <c r="AE188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88" s="82" t="str">
        <f t="shared" si="56"/>
        <v>"C:\Program Files (x86)\AstroGrep\AstroGrep.exe" /spath="%USERPROFILE%\AppData\Local\Temp\OnboardLogs" /stypes="app*4031*20170306*" /stext=" 03:.+((SYSTEM_STATE.+slice.+state.+changed )|(ment ac)|(multiple cpu faults)|(system.+state.+changed )|(\[timeout)|(PRM\|1\|D)|(kpr)|(kdp)|(\|loc)|(crossing.((167)|(168)|(199)|(200))))" /e /r /s</v>
      </c>
      <c r="AG188" s="1" t="str">
        <f t="shared" si="57"/>
        <v>NW</v>
      </c>
      <c r="AH188" s="86" t="str">
        <f t="shared" si="59"/>
        <v>"%USERPROFILE%\Documents\GitHub\eaglep3\Utilities\RefineRTDCRunTimes.py" --tripid 1829-05 --locoid 4031 --swversion DE.1.0.9.0 --startMP 204:1018 --initTime 2017-03-05T20:19:01 --startdatetime 2017-03-05T20:21:41 --delay 2 --endMP 300:58946 --enddatetime 2017-03-05T20:34:48 --enforcementcount 0 &gt;&gt;C:\Users\stu\Documents\GitHub\eaglep3-reporting\EC\2017-03-05-refined-times.txt</v>
      </c>
      <c r="AI188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{"issue":{"subject":"","project_id":79,"tracker_id":40,"status_id":1,"priority_id":2,"assigned_to_id":23,"start_date":"2017-03-05","description":"","custom_fields":[{"id":1,"name":"Subdivision","value":"NW"},{"id":4,"name":"Milepost","value":"5.8946"},{"id":17,"name":"Train ID","value":"1829-05"},{"id":16,"name":"Locomotive ID","value":"4031"},{"id":130,"name":"Impact","value":""},{"id":150,"name":"Time of Event (Mountain Time)","value":"20:34:48"},{"id":151,"name":"Denver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1"/>
        <v>start /low /b %USERPROFILE%\Documents\GitHub\eaglep3\Utilities\DownloadLogsFromS3.py --loco 4031 --day 2017-03-05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"%USERPROFILE%\AppData\Local\Temp\OnboardLogs"\RTDC4031\*4031*20170306* | grep -SE "(Enforcement Action)|(\[TIMEOUT)|(CHR.+\|PRM\|1\|D.+(SWITCH|SIGNAL).+UNKNOWN)" - &gt;&gt; 2017-03-05-UncaughtWiMAX.txt</v>
      </c>
    </row>
    <row r="189" spans="1:40" x14ac:dyDescent="0.25">
      <c r="A189" s="33" t="s">
        <v>760</v>
      </c>
      <c r="B189" s="7">
        <v>4032</v>
      </c>
      <c r="C189" s="21" t="s">
        <v>252</v>
      </c>
      <c r="D189" s="21" t="s">
        <v>347</v>
      </c>
      <c r="E189" s="13">
        <v>42799.858796296299</v>
      </c>
      <c r="F189" s="13">
        <v>42799.861979166664</v>
      </c>
      <c r="G189" s="7">
        <v>1</v>
      </c>
      <c r="H189" s="21" t="s">
        <v>861</v>
      </c>
      <c r="I189" s="13">
        <v>42799.871423611112</v>
      </c>
      <c r="J189" s="7">
        <v>0</v>
      </c>
      <c r="K189" s="98" t="str">
        <f t="shared" si="45"/>
        <v>4031/4032</v>
      </c>
      <c r="L189" s="21" t="str">
        <f>VLOOKUP(A189,'Trips&amp;Operators'!$C$1:$G$99999,5,FALSE)</f>
        <v>HELVIE ADAM</v>
      </c>
      <c r="M189" s="6">
        <f t="shared" si="46"/>
        <v>9.4444444475811906E-3</v>
      </c>
      <c r="N189" s="7">
        <f t="shared" si="63"/>
        <v>13.600000004516914</v>
      </c>
      <c r="O189" s="7"/>
      <c r="P189" s="7"/>
      <c r="Q189" s="22"/>
      <c r="R189" s="22"/>
      <c r="S189" s="31">
        <f t="shared" si="58"/>
        <v>1</v>
      </c>
      <c r="T189" s="46" t="str">
        <f t="shared" si="47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8"/>
        <v>https://d0f6bd738d7f1b3e5a7ca70fe4ff75f0.us-east-1.aws.found.io/app/kibana#/discover/Steve-Slow-Train-Analysis-(2080s-and-2083s)?_g=(refreshInterval:(display:Off,pause:!f,section:0,value:0),time:(from:'2017-03-05T19:36:40-0700',mode:absolute,to:'2017-03-05T21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7" t="str">
        <f t="shared" si="49"/>
        <v>N</v>
      </c>
      <c r="X189" s="187">
        <f t="shared" si="64"/>
        <v>1</v>
      </c>
      <c r="Y189" s="62">
        <f t="shared" si="51"/>
        <v>5.8632</v>
      </c>
      <c r="Z189" s="62">
        <f t="shared" si="52"/>
        <v>7.17E-2</v>
      </c>
      <c r="AA189" s="62">
        <f t="shared" si="53"/>
        <v>5.7915000000000001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4"/>
        <v>1830-05</v>
      </c>
      <c r="AE189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89" s="82" t="str">
        <f t="shared" si="56"/>
        <v>"C:\Program Files (x86)\AstroGrep\AstroGrep.exe" /spath="%USERPROFILE%\AppData\Local\Temp\OnboardLogs" /stypes="app*4032*20170306*" /stext=" 03:.+((SYSTEM_STATE.+slice.+state.+changed )|(ment ac)|(multiple cpu faults)|(system.+state.+changed )|(\[timeout)|(PRM\|1\|D)|(kpr)|(kdp)|(\|loc)|(crossing.((167)|(168)|(199)|(200))))" /e /r /s</v>
      </c>
      <c r="AG189" s="1" t="str">
        <f t="shared" si="57"/>
        <v>NW</v>
      </c>
      <c r="AH189" s="86" t="str">
        <f t="shared" si="59"/>
        <v>"%USERPROFILE%\Documents\GitHub\eaglep3\Utilities\RefineRTDCRunTimes.py" --tripid 1830-05 --locoid 4032 --swversion DE.1.0.9.0 --startMP 300:58632 --initTime 2017-03-05T20:36:40 --startdatetime 2017-03-05T20:41:15 --delay 1 --endMP 204:717 --enddatetime 2017-03-05T20:54:51 --enforcementcount 0 &gt;&gt;C:\Users\stu\Documents\GitHub\eaglep3-reporting\EC\2017-03-05-refined-times.txt</v>
      </c>
      <c r="AI189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{"issue":{"subject":"","project_id":79,"tracker_id":40,"status_id":1,"priority_id":2,"assigned_to_id":23,"start_date":"2017-03-05","description":"","custom_fields":[{"id":1,"name":"Subdivision","value":"NW"},{"id":4,"name":"Milepost","value":"0.0717"},{"id":17,"name":"Train ID","value":"1830-05"},{"id":16,"name":"Locomotive ID","value":"4032"},{"id":130,"name":"Impact","value":""},{"id":150,"name":"Time of Event (Mountain Time)","value":"20:54:51"},{"id":151,"name":"Denver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1"/>
        <v>start /low /b %USERPROFILE%\Documents\GitHub\eaglep3\Utilities\DownloadLogsFromS3.py --loco 4032 --day 2017-03-05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"%USERPROFILE%\AppData\Local\Temp\OnboardLogs"\RTDC4032\*4032*20170306* | grep -SE "(Enforcement Action)|(\[TIMEOUT)|(CHR.+\|PRM\|1\|D.+(SWITCH|SIGNAL).+UNKNOWN)" - &gt;&gt; 2017-03-05-UncaughtWiMAX.txt</v>
      </c>
    </row>
    <row r="190" spans="1:40" x14ac:dyDescent="0.25">
      <c r="A190" s="33" t="s">
        <v>764</v>
      </c>
      <c r="B190" s="7">
        <v>4031</v>
      </c>
      <c r="C190" s="21" t="s">
        <v>252</v>
      </c>
      <c r="D190" s="21" t="s">
        <v>844</v>
      </c>
      <c r="E190" s="13">
        <v>42799.88722222222</v>
      </c>
      <c r="F190" s="13">
        <v>42799.889803240738</v>
      </c>
      <c r="G190" s="7">
        <v>1</v>
      </c>
      <c r="H190" s="21" t="s">
        <v>862</v>
      </c>
      <c r="I190" s="13">
        <v>42799.899525462963</v>
      </c>
      <c r="J190" s="7">
        <v>0</v>
      </c>
      <c r="K190" s="98" t="str">
        <f t="shared" si="45"/>
        <v>4031/4032</v>
      </c>
      <c r="L190" s="21" t="str">
        <f>VLOOKUP(A190,'Trips&amp;Operators'!$C$1:$G$99999,5,FALSE)</f>
        <v>HELVIE ADAM</v>
      </c>
      <c r="M190" s="6">
        <f t="shared" si="46"/>
        <v>9.7222222248092294E-3</v>
      </c>
      <c r="N190" s="7">
        <f t="shared" ref="N190:N223" si="65">24*60*SUM($M190:$M190)</f>
        <v>14.00000000372529</v>
      </c>
      <c r="O190" s="7"/>
      <c r="P190" s="7"/>
      <c r="Q190" s="22"/>
      <c r="R190" s="22"/>
      <c r="S190" s="31">
        <f t="shared" si="58"/>
        <v>1</v>
      </c>
      <c r="T190" s="46" t="str">
        <f t="shared" si="47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8"/>
        <v>https://d0f6bd738d7f1b3e5a7ca70fe4ff75f0.us-east-1.aws.found.io/app/kibana#/discover/Steve-Slow-Train-Analysis-(2080s-and-2083s)?_g=(refreshInterval:(display:Off,pause:!f,section:0,value:0),time:(from:'2017-03-05T20:17:36-0700',mode:absolute,to:'2017-03-05T22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7" t="str">
        <f t="shared" si="49"/>
        <v>N</v>
      </c>
      <c r="X190" s="187">
        <f t="shared" si="64"/>
        <v>1</v>
      </c>
      <c r="Y190" s="62">
        <f t="shared" si="51"/>
        <v>0.1002</v>
      </c>
      <c r="Z190" s="62">
        <f t="shared" si="52"/>
        <v>5.8940999999999999</v>
      </c>
      <c r="AA190" s="62">
        <f t="shared" si="53"/>
        <v>5.7938999999999998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4"/>
        <v>1831-05</v>
      </c>
      <c r="AE190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90" s="82" t="str">
        <f t="shared" si="56"/>
        <v>"C:\Program Files (x86)\AstroGrep\AstroGrep.exe" /spath="%USERPROFILE%\AppData\Local\Temp\OnboardLogs" /stypes="app*4031*20170306*" /stext=" 04:.+((SYSTEM_STATE.+slice.+state.+changed )|(ment ac)|(multiple cpu faults)|(system.+state.+changed )|(\[timeout)|(PRM\|1\|D)|(kpr)|(kdp)|(\|loc)|(crossing.((167)|(168)|(199)|(200))))" /e /r /s</v>
      </c>
      <c r="AG190" s="1" t="str">
        <f t="shared" si="57"/>
        <v>NW</v>
      </c>
      <c r="AH190" s="86" t="str">
        <f t="shared" si="59"/>
        <v>"%USERPROFILE%\Documents\GitHub\eaglep3\Utilities\RefineRTDCRunTimes.py" --tripid 1831-05 --locoid 4031 --swversion DE.1.0.9.0 --startMP 204:1002 --initTime 2017-03-05T21:17:36 --startdatetime 2017-03-05T21:21:19 --delay 1 --endMP 300:58941 --enddatetime 2017-03-05T21:35:19 --enforcementcount 0 &gt;&gt;C:\Users\stu\Documents\GitHub\eaglep3-reporting\EC\2017-03-05-refined-times.txt</v>
      </c>
      <c r="AI190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{"issue":{"subject":"","project_id":79,"tracker_id":40,"status_id":1,"priority_id":2,"assigned_to_id":23,"start_date":"2017-03-05","description":"","custom_fields":[{"id":1,"name":"Subdivision","value":"NW"},{"id":4,"name":"Milepost","value":"5.8941"},{"id":17,"name":"Train ID","value":"1831-05"},{"id":16,"name":"Locomotive ID","value":"4031"},{"id":130,"name":"Impact","value":""},{"id":150,"name":"Time of Event (Mountain Time)","value":"21:35:19"},{"id":151,"name":"Denver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1"/>
        <v>start /low /b %USERPROFILE%\Documents\GitHub\eaglep3\Utilities\DownloadLogsFromS3.py --loco 4031 --day 2017-03-05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"%USERPROFILE%\AppData\Local\Temp\OnboardLogs"\RTDC4031\*4031*20170306* | grep -SE "(Enforcement Action)|(\[TIMEOUT)|(CHR.+\|PRM\|1\|D.+(SWITCH|SIGNAL).+UNKNOWN)" - &gt;&gt; 2017-03-05-UncaughtWiMAX.txt</v>
      </c>
    </row>
    <row r="191" spans="1:40" x14ac:dyDescent="0.25">
      <c r="A191" s="33" t="s">
        <v>765</v>
      </c>
      <c r="B191" s="7">
        <v>4032</v>
      </c>
      <c r="C191" s="21" t="s">
        <v>252</v>
      </c>
      <c r="D191" s="21" t="s">
        <v>288</v>
      </c>
      <c r="E191" s="13">
        <v>42799.900520833333</v>
      </c>
      <c r="F191" s="13">
        <v>42799.902743055558</v>
      </c>
      <c r="G191" s="7">
        <v>1</v>
      </c>
      <c r="H191" s="21" t="s">
        <v>837</v>
      </c>
      <c r="I191" s="13">
        <v>42799.912835648145</v>
      </c>
      <c r="J191" s="7">
        <v>0</v>
      </c>
      <c r="K191" s="98" t="str">
        <f t="shared" si="45"/>
        <v>4031/4032</v>
      </c>
      <c r="L191" s="21" t="str">
        <f>VLOOKUP(A191,'Trips&amp;Operators'!$C$1:$G$99999,5,FALSE)</f>
        <v>HELVIE ADAM</v>
      </c>
      <c r="M191" s="6">
        <f t="shared" si="46"/>
        <v>1.0092592587170657E-2</v>
      </c>
      <c r="N191" s="7">
        <f t="shared" si="65"/>
        <v>14.533333325525746</v>
      </c>
      <c r="O191" s="7"/>
      <c r="P191" s="7"/>
      <c r="Q191" s="22"/>
      <c r="R191" s="22"/>
      <c r="S191" s="31">
        <f t="shared" si="58"/>
        <v>1</v>
      </c>
      <c r="T191" s="46" t="str">
        <f t="shared" si="47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8"/>
        <v>https://d0f6bd738d7f1b3e5a7ca70fe4ff75f0.us-east-1.aws.found.io/app/kibana#/discover/Steve-Slow-Train-Analysis-(2080s-and-2083s)?_g=(refreshInterval:(display:Off,pause:!f,section:0,value:0),time:(from:'2017-03-05T20:36:45-0700',mode:absolute,to:'2017-03-05T22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7" t="str">
        <f t="shared" si="49"/>
        <v>N</v>
      </c>
      <c r="X191" s="187">
        <f t="shared" si="64"/>
        <v>1</v>
      </c>
      <c r="Y191" s="62">
        <f t="shared" si="51"/>
        <v>5.8623000000000003</v>
      </c>
      <c r="Z191" s="62">
        <f t="shared" si="52"/>
        <v>7.6799999999999993E-2</v>
      </c>
      <c r="AA191" s="62">
        <f t="shared" si="53"/>
        <v>5.7854999999999999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4"/>
        <v>1832-05</v>
      </c>
      <c r="AE191" s="85" t="str">
        <f t="shared" si="55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191" s="82" t="str">
        <f t="shared" si="56"/>
        <v>"C:\Program Files (x86)\AstroGrep\AstroGrep.exe" /spath="%USERPROFILE%\AppData\Local\Temp\OnboardLogs" /stypes="app*4032*20170306*" /stext=" 04:.+((SYSTEM_STATE.+slice.+state.+changed )|(ment ac)|(multiple cpu faults)|(system.+state.+changed )|(\[timeout)|(PRM\|1\|D)|(kpr)|(kdp)|(\|loc)|(crossing.((167)|(168)|(199)|(200))))" /e /r /s</v>
      </c>
      <c r="AG191" s="1" t="str">
        <f t="shared" si="57"/>
        <v>NW</v>
      </c>
      <c r="AH191" s="86" t="str">
        <f t="shared" si="59"/>
        <v>"%USERPROFILE%\Documents\GitHub\eaglep3\Utilities\RefineRTDCRunTimes.py" --tripid 1832-05 --locoid 4032 --swversion DE.1.0.9.0 --startMP 300:58623 --initTime 2017-03-05T21:36:45 --startdatetime 2017-03-05T21:39:57 --delay 1 --endMP 204:768 --enddatetime 2017-03-05T21:54:29 --enforcementcount 0 &gt;&gt;C:\Users\stu\Documents\GitHub\eaglep3-reporting\EC\2017-03-05-refined-times.txt</v>
      </c>
      <c r="AI191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{"issue":{"subject":"","project_id":79,"tracker_id":40,"status_id":1,"priority_id":2,"assigned_to_id":23,"start_date":"2017-03-05","description":"","custom_fields":[{"id":1,"name":"Subdivision","value":"NW"},{"id":4,"name":"Milepost","value":"0.0768"},{"id":17,"name":"Train ID","value":"1832-05"},{"id":16,"name":"Locomotive ID","value":"4032"},{"id":130,"name":"Impact","value":""},{"id":150,"name":"Time of Event (Mountain Time)","value":"21:54:29"},{"id":151,"name":"Denver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1"/>
        <v>start /low /b %USERPROFILE%\Documents\GitHub\eaglep3\Utilities\DownloadLogsFromS3.py --loco 4032 --day 2017-03-05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"%USERPROFILE%\AppData\Local\Temp\OnboardLogs"\RTDC4032\*4032*20170306* | grep -SE "(Enforcement Action)|(\[TIMEOUT)|(CHR.+\|PRM\|1\|D.+(SWITCH|SIGNAL).+UNKNOWN)" - &gt;&gt; 2017-03-05-UncaughtWiMAX.txt</v>
      </c>
    </row>
    <row r="192" spans="1:40" x14ac:dyDescent="0.25">
      <c r="A192" s="33" t="s">
        <v>770</v>
      </c>
      <c r="B192" s="7">
        <v>4031</v>
      </c>
      <c r="C192" s="21" t="s">
        <v>252</v>
      </c>
      <c r="D192" s="21" t="s">
        <v>863</v>
      </c>
      <c r="E192" s="13">
        <v>42799.929143518515</v>
      </c>
      <c r="F192" s="13">
        <v>42799.931423611109</v>
      </c>
      <c r="G192" s="7">
        <v>1</v>
      </c>
      <c r="H192" s="21" t="s">
        <v>532</v>
      </c>
      <c r="I192" s="13">
        <v>42799.940520833334</v>
      </c>
      <c r="J192" s="7">
        <v>0</v>
      </c>
      <c r="K192" s="98" t="str">
        <f t="shared" si="45"/>
        <v>4031/4032</v>
      </c>
      <c r="L192" s="21" t="str">
        <f>VLOOKUP(A192,'Trips&amp;Operators'!$C$1:$G$99999,5,FALSE)</f>
        <v>HELVIE ADAM</v>
      </c>
      <c r="M192" s="6">
        <f t="shared" si="46"/>
        <v>9.0972222242271528E-3</v>
      </c>
      <c r="N192" s="7">
        <f t="shared" si="65"/>
        <v>13.1000000028871</v>
      </c>
      <c r="O192" s="7"/>
      <c r="P192" s="7"/>
      <c r="Q192" s="22"/>
      <c r="R192" s="22"/>
      <c r="S192" s="31">
        <f t="shared" si="58"/>
        <v>1</v>
      </c>
      <c r="T192" s="46" t="str">
        <f t="shared" si="47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8"/>
        <v>https://d0f6bd738d7f1b3e5a7ca70fe4ff75f0.us-east-1.aws.found.io/app/kibana#/discover/Steve-Slow-Train-Analysis-(2080s-and-2083s)?_g=(refreshInterval:(display:Off,pause:!f,section:0,value:0),time:(from:'2017-03-05T21:17:58-0700',mode:absolute,to:'2017-03-05T23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 t="shared" si="49"/>
        <v>N</v>
      </c>
      <c r="X192" s="187">
        <f t="shared" si="64"/>
        <v>1</v>
      </c>
      <c r="Y192" s="62">
        <f t="shared" si="51"/>
        <v>0.106</v>
      </c>
      <c r="Z192" s="62">
        <f t="shared" si="52"/>
        <v>5.8956</v>
      </c>
      <c r="AA192" s="62">
        <f t="shared" si="53"/>
        <v>5.7896000000000001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4"/>
        <v>1833-05</v>
      </c>
      <c r="AE192" s="85" t="str">
        <f t="shared" si="55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192" s="82" t="str">
        <f t="shared" si="56"/>
        <v>"C:\Program Files (x86)\AstroGrep\AstroGrep.exe" /spath="%USERPROFILE%\AppData\Local\Temp\OnboardLogs" /stypes="app*4031*20170306*" /stext=" 05:.+((SYSTEM_STATE.+slice.+state.+changed )|(ment ac)|(multiple cpu faults)|(system.+state.+changed )|(\[timeout)|(PRM\|1\|D)|(kpr)|(kdp)|(\|loc)|(crossing.((167)|(168)|(199)|(200))))" /e /r /s</v>
      </c>
      <c r="AG192" s="1" t="str">
        <f t="shared" si="57"/>
        <v>NW</v>
      </c>
      <c r="AH192" s="86" t="str">
        <f t="shared" si="59"/>
        <v>"%USERPROFILE%\Documents\GitHub\eaglep3\Utilities\RefineRTDCRunTimes.py" --tripid 1833-05 --locoid 4031 --swversion DE.1.0.9.0 --startMP 204:1060 --initTime 2017-03-05T22:17:58 --startdatetime 2017-03-05T22:21:15 --delay 1 --endMP 300:58956 --enddatetime 2017-03-05T22:34:21 --enforcementcount 0 &gt;&gt;C:\Users\stu\Documents\GitHub\eaglep3-reporting\EC\2017-03-05-refined-times.txt</v>
      </c>
      <c r="AI192" s="108" t="str">
        <f t="shared" si="60"/>
        <v>echo {"issue":{"subject":"","project_id":79,"tracker_id":40,"status_id":1,"priority_id":2,"assigned_to_id":23,"start_date":"2017-03-05","description":"","custom_fields":[{"id":1,"name":"Subdivision","value":"NW"},{"id":4,"name":"Milepost","value":"5.8956"},{"id":17,"name":"Train ID","value":"1833-05"},{"id":16,"name":"Locomotive ID","value":"4031"},{"id":130,"name":"Impact","value":""},{"id":150,"name":"Time of Event (Mountain Time)","value":"22:34:21"},{"id":151,"name":"Denver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1"/>
        <v>start /low /b %USERPROFILE%\Documents\GitHub\eaglep3\Utilities\DownloadLogsFromS3.py --loco 4031 --day 2017-03-05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"%USERPROFILE%\AppData\Local\Temp\OnboardLogs"\RTDC4031\*4031*20170306* | grep -SE "(Enforcement Action)|(\[TIMEOUT)|(CHR.+\|PRM\|1\|D.+(SWITCH|SIGNAL).+UNKNOWN)" - &gt;&gt; 2017-03-05-UncaughtWiMAX.txt</v>
      </c>
    </row>
    <row r="193" spans="1:40" x14ac:dyDescent="0.25">
      <c r="A193" s="33" t="s">
        <v>580</v>
      </c>
      <c r="B193" s="7">
        <v>4017</v>
      </c>
      <c r="C193" s="21" t="s">
        <v>252</v>
      </c>
      <c r="D193" s="21" t="s">
        <v>889</v>
      </c>
      <c r="E193" s="13">
        <v>42799.117719907408</v>
      </c>
      <c r="F193" s="13">
        <v>42799.12704861111</v>
      </c>
      <c r="G193" s="7">
        <v>13</v>
      </c>
      <c r="H193" s="21" t="s">
        <v>244</v>
      </c>
      <c r="I193" s="13">
        <v>42799.131296296298</v>
      </c>
      <c r="J193" s="7">
        <v>0</v>
      </c>
      <c r="K193" s="98" t="str">
        <f t="shared" si="45"/>
        <v>4017/4018</v>
      </c>
      <c r="L193" s="21" t="str">
        <f>VLOOKUP(A193,'Trips&amp;Operators'!$C$1:$G$99999,5,FALSE)</f>
        <v>SANTIZO D. EDY</v>
      </c>
      <c r="M193" s="6">
        <f t="shared" si="46"/>
        <v>4.2476851886021905E-3</v>
      </c>
      <c r="N193" s="7">
        <f t="shared" si="65"/>
        <v>6.1166666715871543</v>
      </c>
      <c r="O193" s="7"/>
      <c r="P193" s="7"/>
      <c r="Q193" s="22"/>
      <c r="R193" s="22"/>
      <c r="S193" s="31">
        <f t="shared" si="58"/>
        <v>1</v>
      </c>
      <c r="T193" s="46" t="str">
        <f t="shared" si="47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8"/>
        <v>https://d0f6bd738d7f1b3e5a7ca70fe4ff75f0.us-east-1.aws.found.io/app/kibana#/discover/Steve-Slow-Train-Analysis-(2080s-and-2083s)?_g=(refreshInterval:(display:Off,pause:!f,section:0,value:0),time:(from:'2017-03-05T01:49:31-0700',mode:absolute,to:'2017-03-05T04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87" t="str">
        <f t="shared" si="49"/>
        <v>Y</v>
      </c>
      <c r="X193" s="187">
        <f t="shared" si="64"/>
        <v>-1531</v>
      </c>
      <c r="Y193" s="62">
        <f t="shared" si="51"/>
        <v>1.9679</v>
      </c>
      <c r="Z193" s="62">
        <f t="shared" si="52"/>
        <v>1.47E-2</v>
      </c>
      <c r="AA193" s="62">
        <f t="shared" si="53"/>
        <v>1.9532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4"/>
        <v>0302-05</v>
      </c>
      <c r="AE193" s="85" t="str">
        <f t="shared" si="55"/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AF193" s="82" t="str">
        <f t="shared" si="56"/>
        <v>"C:\Program Files (x86)\AstroGrep\AstroGrep.exe" /spath="%USERPROFILE%\AppData\Local\Temp\OnboardLogs" /stypes="app*4017*20170305*" /stext=" 10:.+((SYSTEM_STATE.+slice.+state.+changed )|(ment ac)|(multiple cpu faults)|(system.+state.+changed )|(\[timeout)|(PRM\|1\|D)|(kpr)|(kdp)|(\|loc)|(crossing.((167)|(168)|(199)|(200))))" /e /r /s</v>
      </c>
      <c r="AG193" s="1" t="str">
        <f t="shared" si="57"/>
        <v>Other</v>
      </c>
      <c r="AH193" s="86" t="str">
        <f t="shared" si="59"/>
        <v>"%USERPROFILE%\Documents\GitHub\eaglep3\Utilities\RefineRTDCRunTimes.py" --tripid 302-05 --locoid 4017 --swversion DE.1.0.9.0 --startMP 300:19679 --initTime 2017-03-05T02:49:31 --startdatetime 2017-03-05T03:02:57 --delay 13 --endMP 204:147 --enddatetime 2017-03-05T03:09:04 --enforcementcount 0 &gt;&gt;C:\Users\stu\Documents\GitHub\eaglep3-reporting\EC\2017-03-05-refined-times.txt</v>
      </c>
      <c r="AI193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{"issue":{"subject":"","project_id":79,"tracker_id":40,"status_id":1,"priority_id":2,"assigned_to_id":23,"start_date":"2017-03-05","description":"","custom_fields":[{"id":1,"name":"Subdivision","value":"Other"},{"id":4,"name":"Milepost","value":"0.0147"},{"id":17,"name":"Train ID","value":"302-05"},{"id":16,"name":"Locomotive ID","value":"4017"},{"id":130,"name":"Impact","value":""},{"id":150,"name":"Time of Event (Mountain Time)","value":"03:09:04"},{"id":151,"name":"Denver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1"/>
        <v>start /low /b %USERPROFILE%\Documents\GitHub\eaglep3\Utilities\DownloadLogsFromS3.py --loco 4017 --day 2017-03-05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"%USERPROFILE%\AppData\Local\Temp\OnboardLogs"\RTDC4017\*4017*20170305* | grep -SE "(Enforcement Action)|(\[TIMEOUT)|(CHR.+\|PRM\|1\|D.+(SWITCH|SIGNAL).+UNKNOWN)" - &gt;&gt; 2017-03-05-UncaughtWiMAX.txt</v>
      </c>
    </row>
    <row r="194" spans="1:40" x14ac:dyDescent="0.25">
      <c r="A194" s="33" t="s">
        <v>743</v>
      </c>
      <c r="B194" s="7">
        <v>4009</v>
      </c>
      <c r="C194" s="21" t="s">
        <v>252</v>
      </c>
      <c r="D194" s="21" t="s">
        <v>243</v>
      </c>
      <c r="E194" s="13">
        <v>42799.776516203703</v>
      </c>
      <c r="F194" s="13">
        <v>42799.778912037036</v>
      </c>
      <c r="G194" s="7">
        <v>1</v>
      </c>
      <c r="H194" s="21" t="s">
        <v>890</v>
      </c>
      <c r="I194" s="13">
        <v>42799.786365740743</v>
      </c>
      <c r="J194" s="7">
        <v>0</v>
      </c>
      <c r="K194" s="98" t="str">
        <f t="shared" si="45"/>
        <v>4009/4010</v>
      </c>
      <c r="L194" s="21" t="str">
        <f>VLOOKUP(A194,'Trips&amp;Operators'!$C$1:$G$99999,5,FALSE)</f>
        <v>BRUDER RICHARD</v>
      </c>
      <c r="M194" s="6">
        <f t="shared" si="46"/>
        <v>7.4537037071422674E-3</v>
      </c>
      <c r="N194" s="7">
        <f t="shared" si="65"/>
        <v>10.733333338284865</v>
      </c>
      <c r="O194" s="7"/>
      <c r="P194" s="7"/>
      <c r="Q194" s="22"/>
      <c r="R194" s="22"/>
      <c r="S194" s="31">
        <f t="shared" si="58"/>
        <v>1</v>
      </c>
      <c r="T194" s="46" t="str">
        <f t="shared" si="47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8"/>
        <v>https://d0f6bd738d7f1b3e5a7ca70fe4ff75f0.us-east-1.aws.found.io/app/kibana#/discover/Steve-Slow-Train-Analysis-(2080s-and-2083s)?_g=(refreshInterval:(display:Off,pause:!f,section:0,value:0),time:(from:'2017-03-05T17:38:11-0700',mode:absolute,to:'2017-03-05T19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4" s="187" t="str">
        <f t="shared" si="49"/>
        <v>Y</v>
      </c>
      <c r="X194" s="187">
        <f t="shared" si="64"/>
        <v>1</v>
      </c>
      <c r="Y194" s="62">
        <f t="shared" si="51"/>
        <v>4.4400000000000002E-2</v>
      </c>
      <c r="Z194" s="62">
        <f t="shared" si="52"/>
        <v>2.3292999999999999</v>
      </c>
      <c r="AA194" s="62">
        <f t="shared" si="53"/>
        <v>2.2848999999999999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4"/>
        <v>0303-05</v>
      </c>
      <c r="AE194" s="85" t="str">
        <f t="shared" si="55"/>
        <v>aws s3 cp s3://rtdc.mdm.uploadarchive.raw/RTDC4009/ "%USERPROFILE%\AppData\Local\Temp\OnboardLogs"\RTDC4009\2017-03-05 --exclude "*" --recursive --include "*20170305*" &amp; "%USERPROFILE%\Documents\GitHub\mrs-test-scripts\Headless Mode &amp; Sideloading\WalkAndUnGZ.bat" "%USERPROFILE%\AppData\Local\Temp\OnboardLogs"\RTDC4009\2017-03-05 &amp; 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</v>
      </c>
      <c r="AF194" s="82" t="str">
        <f t="shared" si="56"/>
        <v>"C:\Program Files (x86)\AstroGrep\AstroGrep.exe" /spath="%USERPROFILE%\AppData\Local\Temp\OnboardLogs" /stypes="app*4009*20170306*" /stext=" 01:.+((SYSTEM_STATE.+slice.+state.+changed )|(ment ac)|(multiple cpu faults)|(system.+state.+changed )|(\[timeout)|(PRM\|1\|D)|(kpr)|(kdp)|(\|loc)|(crossing.((167)|(168)|(199)|(200))))" /e /r /s</v>
      </c>
      <c r="AG194" s="1" t="str">
        <f t="shared" si="57"/>
        <v>Other</v>
      </c>
      <c r="AH194" s="86" t="str">
        <f t="shared" si="59"/>
        <v>"%USERPROFILE%\Documents\GitHub\eaglep3\Utilities\RefineRTDCRunTimes.py" --tripid 303-05 --locoid 4009 --swversion DE.1.0.9.0 --startMP 204:444 --initTime 2017-03-05T18:38:11 --startdatetime 2017-03-05T18:41:38 --delay 1 --endMP 300:23293 --enddatetime 2017-03-05T18:52:22 --enforcementcount 0 &gt;&gt;C:\Users\stu\Documents\GitHub\eaglep3-reporting\EC\2017-03-05-refined-times.txt</v>
      </c>
      <c r="AI194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{"issue":{"subject":"","project_id":79,"tracker_id":40,"status_id":1,"priority_id":2,"assigned_to_id":23,"start_date":"2017-03-05","description":"","custom_fields":[{"id":1,"name":"Subdivision","value":"Other"},{"id":4,"name":"Milepost","value":"2.3293"},{"id":17,"name":"Train ID","value":"303-05"},{"id":16,"name":"Locomotive ID","value":"4009"},{"id":130,"name":"Impact","value":""},{"id":150,"name":"Time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1"/>
        <v>start /low /b %USERPROFILE%\Documents\GitHub\eaglep3\Utilities\DownloadLogsFromS3.py --loco 4009 --day 2017-03-05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2017-03-05-UncaughtWiMAX.txt</v>
      </c>
    </row>
    <row r="195" spans="1:40" x14ac:dyDescent="0.25">
      <c r="A195" s="33" t="s">
        <v>585</v>
      </c>
      <c r="B195" s="7">
        <v>4026</v>
      </c>
      <c r="C195" s="21" t="s">
        <v>252</v>
      </c>
      <c r="D195" s="21" t="s">
        <v>891</v>
      </c>
      <c r="E195" s="13">
        <v>42799.13690972222</v>
      </c>
      <c r="F195" s="13">
        <v>42799.140462962961</v>
      </c>
      <c r="G195" s="7">
        <v>4</v>
      </c>
      <c r="H195" s="21" t="s">
        <v>210</v>
      </c>
      <c r="I195" s="13">
        <v>42799.145451388889</v>
      </c>
      <c r="J195" s="7">
        <v>0</v>
      </c>
      <c r="K195" s="98" t="str">
        <f t="shared" si="45"/>
        <v>4025/4026</v>
      </c>
      <c r="L195" s="21" t="str">
        <f>VLOOKUP(A195,'Trips&amp;Operators'!$C$1:$G$99999,5,FALSE)</f>
        <v>MAELZER KURT</v>
      </c>
      <c r="M195" s="6">
        <f t="shared" si="46"/>
        <v>4.9884259278769605E-3</v>
      </c>
      <c r="N195" s="7">
        <f t="shared" si="65"/>
        <v>7.1833333361428231</v>
      </c>
      <c r="O195" s="7"/>
      <c r="P195" s="7"/>
      <c r="Q195" s="22"/>
      <c r="R195" s="22"/>
      <c r="S195" s="31">
        <f t="shared" si="58"/>
        <v>1</v>
      </c>
      <c r="T195" s="46" t="str">
        <f t="shared" si="47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8"/>
        <v>https://d0f6bd738d7f1b3e5a7ca70fe4ff75f0.us-east-1.aws.found.io/app/kibana#/discover/Steve-Slow-Train-Analysis-(2080s-and-2083s)?_g=(refreshInterval:(display:Off,pause:!f,section:0,value:0),time:(from:'2017-03-05T02:17:09-0700',mode:absolute,to:'2017-03-05T04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87" t="str">
        <f t="shared" si="49"/>
        <v>Y</v>
      </c>
      <c r="X195" s="187">
        <f t="shared" ref="X195:X223" si="66">VALUE(LEFT(AD195,4))-VALUE(LEFT(AD194,4))</f>
        <v>1</v>
      </c>
      <c r="Y195" s="62">
        <f t="shared" si="51"/>
        <v>1.9897</v>
      </c>
      <c r="Z195" s="62">
        <f t="shared" si="52"/>
        <v>1.54E-2</v>
      </c>
      <c r="AA195" s="62">
        <f t="shared" si="53"/>
        <v>1.9742999999999999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4"/>
        <v>0304-05</v>
      </c>
      <c r="AE195" s="85" t="str">
        <f t="shared" si="55"/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AF195" s="82" t="str">
        <f t="shared" si="56"/>
        <v>"C:\Program Files (x86)\AstroGrep\AstroGrep.exe" /spath="%USERPROFILE%\AppData\Local\Temp\OnboardLogs" /stypes="app*4026*20170305*" /stext=" 10:.+((SYSTEM_STATE.+slice.+state.+changed )|(ment ac)|(multiple cpu faults)|(system.+state.+changed )|(\[timeout)|(PRM\|1\|D)|(kpr)|(kdp)|(\|loc)|(crossing.((167)|(168)|(199)|(200))))" /e /r /s</v>
      </c>
      <c r="AG195" s="1" t="str">
        <f t="shared" si="57"/>
        <v>Other</v>
      </c>
      <c r="AH195" s="86" t="str">
        <f t="shared" si="59"/>
        <v>"%USERPROFILE%\Documents\GitHub\eaglep3\Utilities\RefineRTDCRunTimes.py" --tripid 304-05 --locoid 4026 --swversion DE.1.0.9.0 --startMP 300:19897 --initTime 2017-03-05T03:17:09 --startdatetime 2017-03-05T03:22:16 --delay 4 --endMP 204:154 --enddatetime 2017-03-05T03:29:27 --enforcementcount 0 &gt;&gt;C:\Users\stu\Documents\GitHub\eaglep3-reporting\EC\2017-03-05-refined-times.txt</v>
      </c>
      <c r="AI195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{"issue":{"subject":"","project_id":79,"tracker_id":40,"status_id":1,"priority_id":2,"assigned_to_id":23,"start_date":"2017-03-05","description":"","custom_fields":[{"id":1,"name":"Subdivision","value":"Other"},{"id":4,"name":"Milepost","value":"0.0154"},{"id":17,"name":"Train ID","value":"304-05"},{"id":16,"name":"Locomotive ID","value":"4026"},{"id":130,"name":"Impact","value":""},{"id":150,"name":"Time of Event (Mountain Time)","value":"03:29:27"},{"id":151,"name":"Denver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1"/>
        <v>start /low /b %USERPROFILE%\Documents\GitHub\eaglep3\Utilities\DownloadLogsFromS3.py --loco 4026 --day 2017-03-05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"%USERPROFILE%\AppData\Local\Temp\OnboardLogs"\RTDC4026\*4026*20170305* | grep -SE "(Enforcement Action)|(\[TIMEOUT)|(CHR.+\|PRM\|1\|D.+(SWITCH|SIGNAL).+UNKNOWN)" - &gt;&gt; 2017-03-05-UncaughtWiMAX.txt</v>
      </c>
    </row>
    <row r="196" spans="1:40" x14ac:dyDescent="0.25">
      <c r="A196" s="33" t="s">
        <v>748</v>
      </c>
      <c r="B196" s="7">
        <v>4018</v>
      </c>
      <c r="C196" s="21" t="s">
        <v>252</v>
      </c>
      <c r="D196" s="21" t="s">
        <v>336</v>
      </c>
      <c r="E196" s="13">
        <v>42799.799490740741</v>
      </c>
      <c r="F196" s="13">
        <v>42799.800891203704</v>
      </c>
      <c r="G196" s="7">
        <v>1</v>
      </c>
      <c r="H196" s="21" t="s">
        <v>892</v>
      </c>
      <c r="I196" s="13">
        <v>42799.805995370371</v>
      </c>
      <c r="J196" s="7">
        <v>0</v>
      </c>
      <c r="K196" s="98" t="str">
        <f t="shared" si="45"/>
        <v>4017/4018</v>
      </c>
      <c r="L196" s="21" t="str">
        <f>VLOOKUP(A196,'Trips&amp;Operators'!$C$1:$G$99999,5,FALSE)</f>
        <v>LOCKLEAR TRAVIS</v>
      </c>
      <c r="M196" s="6">
        <f t="shared" si="46"/>
        <v>5.1041666665696539E-3</v>
      </c>
      <c r="N196" s="7">
        <f t="shared" si="65"/>
        <v>7.3499999998603016</v>
      </c>
      <c r="O196" s="7"/>
      <c r="P196" s="7"/>
      <c r="Q196" s="22"/>
      <c r="R196" s="22"/>
      <c r="S196" s="31">
        <f t="shared" si="58"/>
        <v>1</v>
      </c>
      <c r="T196" s="46" t="str">
        <f t="shared" si="47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8"/>
        <v>https://d0f6bd738d7f1b3e5a7ca70fe4ff75f0.us-east-1.aws.found.io/app/kibana#/discover/Steve-Slow-Train-Analysis-(2080s-and-2083s)?_g=(refreshInterval:(display:Off,pause:!f,section:0,value:0),time:(from:'2017-03-05T18:11:16-0700',mode:absolute,to:'2017-03-05T20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87" t="str">
        <f t="shared" si="49"/>
        <v>Y</v>
      </c>
      <c r="X196" s="187">
        <f t="shared" si="66"/>
        <v>1</v>
      </c>
      <c r="Y196" s="62">
        <f t="shared" si="51"/>
        <v>4.6899999999999997E-2</v>
      </c>
      <c r="Z196" s="62">
        <f t="shared" si="52"/>
        <v>2.2985000000000002</v>
      </c>
      <c r="AA196" s="62">
        <f t="shared" si="53"/>
        <v>2.2516000000000003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4"/>
        <v>0305-05</v>
      </c>
      <c r="AE196" s="85" t="str">
        <f t="shared" si="55"/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AF196" s="82" t="str">
        <f t="shared" si="56"/>
        <v>"C:\Program Files (x86)\AstroGrep\AstroGrep.exe" /spath="%USERPROFILE%\AppData\Local\Temp\OnboardLogs" /stypes="app*4018*20170306*" /stext=" 02:.+((SYSTEM_STATE.+slice.+state.+changed )|(ment ac)|(multiple cpu faults)|(system.+state.+changed )|(\[timeout)|(PRM\|1\|D)|(kpr)|(kdp)|(\|loc)|(crossing.((167)|(168)|(199)|(200))))" /e /r /s</v>
      </c>
      <c r="AG196" s="1" t="str">
        <f t="shared" si="57"/>
        <v>Other</v>
      </c>
      <c r="AH196" s="86" t="str">
        <f t="shared" si="59"/>
        <v>"%USERPROFILE%\Documents\GitHub\eaglep3\Utilities\RefineRTDCRunTimes.py" --tripid 305-05 --locoid 4018 --swversion DE.1.0.9.0 --startMP 204:469 --initTime 2017-03-05T19:11:16 --startdatetime 2017-03-05T19:13:17 --delay 1 --endMP 300:22985 --enddatetime 2017-03-05T19:20:38 --enforcementcount 0 &gt;&gt;C:\Users\stu\Documents\GitHub\eaglep3-reporting\EC\2017-03-05-refined-times.txt</v>
      </c>
      <c r="AI196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{"issue":{"subject":"","project_id":79,"tracker_id":40,"status_id":1,"priority_id":2,"assigned_to_id":23,"start_date":"2017-03-05","description":"","custom_fields":[{"id":1,"name":"Subdivision","value":"Other"},{"id":4,"name":"Milepost","value":"2.2985"},{"id":17,"name":"Train ID","value":"305-05"},{"id":16,"name":"Locomotive ID","value":"4018"},{"id":130,"name":"Impact","value":""},{"id":150,"name":"Time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1"/>
        <v>start /low /b %USERPROFILE%\Documents\GitHub\eaglep3\Utilities\DownloadLogsFromS3.py --loco 4018 --day 2017-03-05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2017-03-05-UncaughtWiMAX.txt</v>
      </c>
    </row>
    <row r="197" spans="1:40" x14ac:dyDescent="0.25">
      <c r="A197" s="33" t="s">
        <v>588</v>
      </c>
      <c r="B197" s="7">
        <v>4015</v>
      </c>
      <c r="C197" s="21" t="s">
        <v>252</v>
      </c>
      <c r="D197" s="21" t="s">
        <v>893</v>
      </c>
      <c r="E197" s="13">
        <v>42799.157777777778</v>
      </c>
      <c r="F197" s="13">
        <v>42799.161168981482</v>
      </c>
      <c r="G197" s="7">
        <v>4</v>
      </c>
      <c r="H197" s="21" t="s">
        <v>516</v>
      </c>
      <c r="I197" s="13">
        <v>42799.16679398148</v>
      </c>
      <c r="J197" s="7">
        <v>0</v>
      </c>
      <c r="K197" s="98" t="str">
        <f t="shared" si="45"/>
        <v>4015/4016</v>
      </c>
      <c r="L197" s="21" t="str">
        <f>VLOOKUP(A197,'Trips&amp;Operators'!$C$1:$G$99999,5,FALSE)</f>
        <v>BADERTSCHER DIANE</v>
      </c>
      <c r="M197" s="6">
        <f t="shared" si="46"/>
        <v>5.6249999979627319E-3</v>
      </c>
      <c r="N197" s="7">
        <f t="shared" si="65"/>
        <v>8.0999999970663339</v>
      </c>
      <c r="O197" s="7"/>
      <c r="P197" s="7"/>
      <c r="Q197" s="22"/>
      <c r="R197" s="22"/>
      <c r="S197" s="31">
        <f t="shared" si="58"/>
        <v>1</v>
      </c>
      <c r="T197" s="46" t="str">
        <f t="shared" si="47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8"/>
        <v>https://d0f6bd738d7f1b3e5a7ca70fe4ff75f0.us-east-1.aws.found.io/app/kibana#/discover/Steve-Slow-Train-Analysis-(2080s-and-2083s)?_g=(refreshInterval:(display:Off,pause:!f,section:0,value:0),time:(from:'2017-03-05T02:47:12-0700',mode:absolute,to:'2017-03-05T05:00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87" t="str">
        <f t="shared" si="49"/>
        <v>Y</v>
      </c>
      <c r="X197" s="187">
        <f t="shared" si="66"/>
        <v>1</v>
      </c>
      <c r="Y197" s="62">
        <f t="shared" si="51"/>
        <v>2.2757999999999998</v>
      </c>
      <c r="Z197" s="62">
        <f t="shared" si="52"/>
        <v>1.43E-2</v>
      </c>
      <c r="AA197" s="62">
        <f t="shared" si="53"/>
        <v>2.2614999999999998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4"/>
        <v>0306-05</v>
      </c>
      <c r="AE197" s="85" t="str">
        <f t="shared" si="55"/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AF197" s="82" t="str">
        <f t="shared" si="56"/>
        <v>"C:\Program Files (x86)\AstroGrep\AstroGrep.exe" /spath="%USERPROFILE%\AppData\Local\Temp\OnboardLogs" /stypes="app*4015*20170305*" /stext=" 11:.+((SYSTEM_STATE.+slice.+state.+changed )|(ment ac)|(multiple cpu faults)|(system.+state.+changed )|(\[timeout)|(PRM\|1\|D)|(kpr)|(kdp)|(\|loc)|(crossing.((167)|(168)|(199)|(200))))" /e /r /s</v>
      </c>
      <c r="AG197" s="1" t="str">
        <f t="shared" si="57"/>
        <v>Other</v>
      </c>
      <c r="AH197" s="86" t="str">
        <f t="shared" si="59"/>
        <v>"%USERPROFILE%\Documents\GitHub\eaglep3\Utilities\RefineRTDCRunTimes.py" --tripid 306-05 --locoid 4015 --swversion DE.1.0.9.0 --startMP 300:22758 --initTime 2017-03-05T03:47:12 --startdatetime 2017-03-05T03:52:05 --delay 4 --endMP 204:143 --enddatetime 2017-03-05T04:00:11 --enforcementcount 0 &gt;&gt;C:\Users\stu\Documents\GitHub\eaglep3-reporting\EC\2017-03-05-refined-times.txt</v>
      </c>
      <c r="AI197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{"issue":{"subject":"","project_id":79,"tracker_id":40,"status_id":1,"priority_id":2,"assigned_to_id":23,"start_date":"2017-03-05","description":"","custom_fields":[{"id":1,"name":"Subdivision","value":"Other"},{"id":4,"name":"Milepost","value":"0.0143"},{"id":17,"name":"Train ID","value":"306-05"},{"id":16,"name":"Locomotive ID","value":"4015"},{"id":130,"name":"Impact","value":""},{"id":150,"name":"Time of Event (Mountain Time)","value":"04:00:11"},{"id":151,"name":"Denver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1"/>
        <v>start /low /b %USERPROFILE%\Documents\GitHub\eaglep3\Utilities\DownloadLogsFromS3.py --loco 4015 --day 2017-03-05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"%USERPROFILE%\AppData\Local\Temp\OnboardLogs"\RTDC4015\*4015*20170305* | grep -SE "(Enforcement Action)|(\[TIMEOUT)|(CHR.+\|PRM\|1\|D.+(SWITCH|SIGNAL).+UNKNOWN)" - &gt;&gt; 2017-03-05-UncaughtWiMAX.txt</v>
      </c>
    </row>
    <row r="198" spans="1:40" x14ac:dyDescent="0.25">
      <c r="A198" s="33" t="s">
        <v>753</v>
      </c>
      <c r="B198" s="7">
        <v>4025</v>
      </c>
      <c r="C198" s="21" t="s">
        <v>252</v>
      </c>
      <c r="D198" s="21" t="s">
        <v>894</v>
      </c>
      <c r="E198" s="13">
        <v>42799.820821759262</v>
      </c>
      <c r="F198" s="13">
        <v>42799.822627314818</v>
      </c>
      <c r="G198" s="7">
        <v>2</v>
      </c>
      <c r="H198" s="21" t="s">
        <v>523</v>
      </c>
      <c r="I198" s="13">
        <v>42799.832083333335</v>
      </c>
      <c r="J198" s="7">
        <v>0</v>
      </c>
      <c r="K198" s="98" t="str">
        <f t="shared" si="45"/>
        <v>4025/4026</v>
      </c>
      <c r="L198" s="21" t="str">
        <f>VLOOKUP(A198,'Trips&amp;Operators'!$C$1:$G$99999,5,FALSE)</f>
        <v>DAVIDSON DAVID</v>
      </c>
      <c r="M198" s="6">
        <f t="shared" si="46"/>
        <v>9.4560185170848854E-3</v>
      </c>
      <c r="N198" s="7">
        <f t="shared" si="65"/>
        <v>13.616666664602235</v>
      </c>
      <c r="O198" s="7"/>
      <c r="P198" s="7"/>
      <c r="Q198" s="22"/>
      <c r="R198" s="22"/>
      <c r="S198" s="31">
        <f t="shared" si="58"/>
        <v>1</v>
      </c>
      <c r="T198" s="46" t="str">
        <f t="shared" si="47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8"/>
        <v>https://d0f6bd738d7f1b3e5a7ca70fe4ff75f0.us-east-1.aws.found.io/app/kibana#/discover/Steve-Slow-Train-Analysis-(2080s-and-2083s)?_g=(refreshInterval:(display:Off,pause:!f,section:0,value:0),time:(from:'2017-03-05T18:41:59-0700',mode:absolute,to:'2017-03-05T20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87" t="str">
        <f t="shared" si="49"/>
        <v>Y</v>
      </c>
      <c r="X198" s="187">
        <f t="shared" si="66"/>
        <v>1</v>
      </c>
      <c r="Y198" s="62">
        <f t="shared" si="51"/>
        <v>4.7100000000000003E-2</v>
      </c>
      <c r="Z198" s="62">
        <f t="shared" si="52"/>
        <v>2.3308</v>
      </c>
      <c r="AA198" s="62">
        <f t="shared" si="53"/>
        <v>2.2837000000000001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4"/>
        <v>0307-05</v>
      </c>
      <c r="AE198" s="85" t="str">
        <f t="shared" si="55"/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AF198" s="82" t="str">
        <f t="shared" si="56"/>
        <v>"C:\Program Files (x86)\AstroGrep\AstroGrep.exe" /spath="%USERPROFILE%\AppData\Local\Temp\OnboardLogs" /stypes="app*4025*20170306*" /stext=" 02:.+((SYSTEM_STATE.+slice.+state.+changed )|(ment ac)|(multiple cpu faults)|(system.+state.+changed )|(\[timeout)|(PRM\|1\|D)|(kpr)|(kdp)|(\|loc)|(crossing.((167)|(168)|(199)|(200))))" /e /r /s</v>
      </c>
      <c r="AG198" s="1" t="str">
        <f t="shared" si="57"/>
        <v>Other</v>
      </c>
      <c r="AH198" s="86" t="str">
        <f t="shared" si="59"/>
        <v>"%USERPROFILE%\Documents\GitHub\eaglep3\Utilities\RefineRTDCRunTimes.py" --tripid 307-05 --locoid 4025 --swversion DE.1.0.9.0 --startMP 204:471 --initTime 2017-03-05T19:41:59 --startdatetime 2017-03-05T19:44:35 --delay 2 --endMP 300:23308 --enddatetime 2017-03-05T19:58:12 --enforcementcount 0 &gt;&gt;C:\Users\stu\Documents\GitHub\eaglep3-reporting\EC\2017-03-05-refined-times.txt</v>
      </c>
      <c r="AI198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{"issue":{"subject":"","project_id":79,"tracker_id":40,"status_id":1,"priority_id":2,"assigned_to_id":23,"start_date":"2017-03-05","description":"","custom_fields":[{"id":1,"name":"Subdivision","value":"Other"},{"id":4,"name":"Milepost","value":"2.3308"},{"id":17,"name":"Train ID","value":"307-05"},{"id":16,"name":"Locomotive ID","value":"4025"},{"id":130,"name":"Impact","value":""},{"id":150,"name":"Time of Event (Mountain Time)","value":"19:58:12"},{"id":151,"name":"Denver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1"/>
        <v>start /low /b %USERPROFILE%\Documents\GitHub\eaglep3\Utilities\DownloadLogsFromS3.py --loco 4025 --day 2017-03-05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"%USERPROFILE%\AppData\Local\Temp\OnboardLogs"\RTDC4025\*4025*20170306* | grep -SE "(Enforcement Action)|(\[TIMEOUT)|(CHR.+\|PRM\|1\|D.+(SWITCH|SIGNAL).+UNKNOWN)" - &gt;&gt; 2017-03-05-UncaughtWiMAX.txt</v>
      </c>
    </row>
    <row r="199" spans="1:40" x14ac:dyDescent="0.25">
      <c r="A199" s="33" t="s">
        <v>536</v>
      </c>
      <c r="B199" s="7">
        <v>4013</v>
      </c>
      <c r="C199" s="21" t="s">
        <v>252</v>
      </c>
      <c r="D199" s="21" t="s">
        <v>522</v>
      </c>
      <c r="E199" s="13">
        <v>42799.174039351848</v>
      </c>
      <c r="F199" s="13">
        <v>42799.177858796298</v>
      </c>
      <c r="G199" s="7">
        <v>5</v>
      </c>
      <c r="H199" s="21" t="s">
        <v>824</v>
      </c>
      <c r="I199" s="13">
        <v>42799.183900462966</v>
      </c>
      <c r="J199" s="7">
        <v>0</v>
      </c>
      <c r="K199" s="98" t="str">
        <f t="shared" si="45"/>
        <v>4013/4014</v>
      </c>
      <c r="L199" s="21" t="str">
        <f>VLOOKUP(A199,'Trips&amp;Operators'!$C$1:$G$99999,5,FALSE)</f>
        <v>DAVIS WENDY</v>
      </c>
      <c r="M199" s="6">
        <f t="shared" si="46"/>
        <v>6.0416666674427688E-3</v>
      </c>
      <c r="N199" s="7">
        <f t="shared" si="65"/>
        <v>8.7000000011175871</v>
      </c>
      <c r="O199" s="7"/>
      <c r="P199" s="7"/>
      <c r="Q199" s="22"/>
      <c r="R199" s="22"/>
      <c r="S199" s="31">
        <f t="shared" si="58"/>
        <v>1</v>
      </c>
      <c r="T199" s="46" t="str">
        <f t="shared" si="47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8"/>
        <v>https://d0f6bd738d7f1b3e5a7ca70fe4ff75f0.us-east-1.aws.found.io/app/kibana#/discover/Steve-Slow-Train-Analysis-(2080s-and-2083s)?_g=(refreshInterval:(display:Off,pause:!f,section:0,value:0),time:(from:'2017-03-05T03:10:37-0700',mode:absolute,to:'2017-03-05T05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87" t="str">
        <f t="shared" si="49"/>
        <v>Y</v>
      </c>
      <c r="X199" s="187">
        <f t="shared" si="66"/>
        <v>1</v>
      </c>
      <c r="Y199" s="62">
        <f t="shared" si="51"/>
        <v>2.3589000000000002</v>
      </c>
      <c r="Z199" s="62">
        <f t="shared" si="52"/>
        <v>1.78E-2</v>
      </c>
      <c r="AA199" s="62">
        <f t="shared" si="53"/>
        <v>2.3411000000000004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4"/>
        <v>0308-05</v>
      </c>
      <c r="AE199" s="85" t="str">
        <f t="shared" si="55"/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AF199" s="82" t="str">
        <f t="shared" si="56"/>
        <v>"C:\Program Files (x86)\AstroGrep\AstroGrep.exe" /spath="%USERPROFILE%\AppData\Local\Temp\OnboardLogs" /stypes="app*4013*20170305*" /stext=" 11:.+((SYSTEM_STATE.+slice.+state.+changed )|(ment ac)|(multiple cpu faults)|(system.+state.+changed )|(\[timeout)|(PRM\|1\|D)|(kpr)|(kdp)|(\|loc)|(crossing.((167)|(168)|(199)|(200))))" /e /r /s</v>
      </c>
      <c r="AG199" s="1" t="str">
        <f t="shared" si="57"/>
        <v>Other</v>
      </c>
      <c r="AH199" s="86" t="str">
        <f t="shared" si="59"/>
        <v>"%USERPROFILE%\Documents\GitHub\eaglep3\Utilities\RefineRTDCRunTimes.py" --tripid 308-05 --locoid 4013 --swversion DE.1.0.9.0 --startMP 300:23589 --initTime 2017-03-05T04:10:37 --startdatetime 2017-03-05T04:16:07 --delay 5 --endMP 204:178 --enddatetime 2017-03-05T04:24:49 --enforcementcount 0 &gt;&gt;C:\Users\stu\Documents\GitHub\eaglep3-reporting\EC\2017-03-05-refined-times.txt</v>
      </c>
      <c r="AI199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{"issue":{"subject":"","project_id":79,"tracker_id":40,"status_id":1,"priority_id":2,"assigned_to_id":23,"start_date":"2017-03-05","description":"","custom_fields":[{"id":1,"name":"Subdivision","value":"Other"},{"id":4,"name":"Milepost","value":"0.0178"},{"id":17,"name":"Train ID","value":"308-05"},{"id":16,"name":"Locomotive ID","value":"4013"},{"id":130,"name":"Impact","value":""},{"id":150,"name":"Time of Event (Mountain Time)","value":"04:24:49"},{"id":151,"name":"Denver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1"/>
        <v>start /low /b %USERPROFILE%\Documents\GitHub\eaglep3\Utilities\DownloadLogsFromS3.py --loco 4013 --day 2017-03-05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"%USERPROFILE%\AppData\Local\Temp\OnboardLogs"\RTDC4013\*4013*20170305* | grep -SE "(Enforcement Action)|(\[TIMEOUT)|(CHR.+\|PRM\|1\|D.+(SWITCH|SIGNAL).+UNKNOWN)" - &gt;&gt; 2017-03-05-UncaughtWiMAX.txt</v>
      </c>
    </row>
    <row r="200" spans="1:40" x14ac:dyDescent="0.25">
      <c r="A200" s="33" t="s">
        <v>782</v>
      </c>
      <c r="B200" s="7">
        <v>4029</v>
      </c>
      <c r="C200" s="21" t="s">
        <v>252</v>
      </c>
      <c r="D200" s="21" t="s">
        <v>232</v>
      </c>
      <c r="E200" s="13">
        <v>42800.053587962961</v>
      </c>
      <c r="F200" s="13">
        <v>42800.055208333331</v>
      </c>
      <c r="G200" s="7">
        <v>1</v>
      </c>
      <c r="H200" s="21" t="s">
        <v>895</v>
      </c>
      <c r="I200" s="13">
        <v>42800.063043981485</v>
      </c>
      <c r="J200" s="7">
        <v>0</v>
      </c>
      <c r="K200" s="98" t="str">
        <f t="shared" si="45"/>
        <v>4029/4030</v>
      </c>
      <c r="L200" s="21" t="str">
        <f>VLOOKUP(A200,'Trips&amp;Operators'!$C$1:$G$99999,5,FALSE)</f>
        <v>NEWELL JAMES</v>
      </c>
      <c r="M200" s="6">
        <f t="shared" si="46"/>
        <v>7.8356481535593048E-3</v>
      </c>
      <c r="N200" s="7">
        <f t="shared" si="65"/>
        <v>11.283333341125399</v>
      </c>
      <c r="O200" s="7"/>
      <c r="P200" s="7"/>
      <c r="Q200" s="22"/>
      <c r="R200" s="22"/>
      <c r="S200" s="31">
        <f t="shared" si="58"/>
        <v>1</v>
      </c>
      <c r="T200" s="46" t="str">
        <f t="shared" si="47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8"/>
        <v>https://d0f6bd738d7f1b3e5a7ca70fe4ff75f0.us-east-1.aws.found.io/app/kibana#/discover/Steve-Slow-Train-Analysis-(2080s-and-2083s)?_g=(refreshInterval:(display:Off,pause:!f,section:0,value:0),time:(from:'2017-03-06T00:17:10-0700',mode:absolute,to:'2017-03-06T02:30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87" t="str">
        <f t="shared" si="49"/>
        <v>Y</v>
      </c>
      <c r="X200" s="187">
        <f t="shared" si="66"/>
        <v>1</v>
      </c>
      <c r="Y200" s="62">
        <f t="shared" si="51"/>
        <v>4.5499999999999999E-2</v>
      </c>
      <c r="Z200" s="62">
        <f t="shared" si="52"/>
        <v>2.3313999999999999</v>
      </c>
      <c r="AA200" s="62">
        <f t="shared" si="53"/>
        <v>2.2858999999999998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4"/>
        <v>0309-05</v>
      </c>
      <c r="AE200" s="85" t="str">
        <f t="shared" si="55"/>
        <v>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 &amp; aws s3 cp s3://rtdc.mdm.uploadarchive.raw/RTDC4029/ "%USERPROFILE%\AppData\Local\Temp\OnboardLogs"\RTDC4029\2017-03-07 --exclude "*" --recursive --include "*20170307*" &amp; "%USERPROFILE%\Documents\GitHub\mrs-test-scripts\Headless Mode &amp; Sideloading\WalkAndUnGZ.bat" "%USERPROFILE%\AppData\Local\Temp\OnboardLogs"\RTDC4029\2017-03-07</v>
      </c>
      <c r="AF200" s="82" t="str">
        <f t="shared" si="56"/>
        <v>"C:\Program Files (x86)\AstroGrep\AstroGrep.exe" /spath="%USERPROFILE%\AppData\Local\Temp\OnboardLogs" /stypes="app*4029*20170306*" /stext=" 08:.+((SYSTEM_STATE.+slice.+state.+changed )|(ment ac)|(multiple cpu faults)|(system.+state.+changed )|(\[timeout)|(PRM\|1\|D)|(kpr)|(kdp)|(\|loc)|(crossing.((167)|(168)|(199)|(200))))" /e /r /s</v>
      </c>
      <c r="AG200" s="1" t="str">
        <f t="shared" si="57"/>
        <v>Other</v>
      </c>
      <c r="AH200" s="86" t="str">
        <f t="shared" si="59"/>
        <v>"%USERPROFILE%\Documents\GitHub\eaglep3\Utilities\RefineRTDCRunTimes.py" --tripid 309-05 --locoid 4029 --swversion DE.1.0.9.0 --startMP 204:455 --initTime 2017-03-06T01:17:10 --startdatetime 2017-03-06T01:19:30 --delay 1 --endMP 300:23314 --enddatetime 2017-03-06T01:30:47 --enforcementcount 0 &gt;&gt;C:\Users\stu\Documents\GitHub\eaglep3-reporting\EC\2017-03-05-refined-times.txt</v>
      </c>
      <c r="AI200" s="108" t="str">
        <f t="shared" si="60"/>
        <v>echo {"issue":{"subject":"","project_id":79,"tracker_id":40,"status_id":1,"priority_id":2,"assigned_to_id":23,"start_date":"2017-03-06","description":"","custom_fields":[{"id":1,"name":"Subdivision","value":"Other"},{"id":4,"name":"Milepost","value":"2.3314"},{"id":17,"name":"Train ID","value":"309-05"},{"id":16,"name":"Locomotive ID","value":"4029"},{"id":130,"name":"Impact","value":""},{"id":150,"name":"Time of Event (Mountain Time)","value":"01:30:47"},{"id":151,"name":"Denver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1"/>
        <v>start /low /b %USERPROFILE%\Documents\GitHub\eaglep3\Utilities\DownloadLogsFromS3.py --loco 4029 --day 2017-03-06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"%USERPROFILE%\AppData\Local\Temp\OnboardLogs"\RTDC4029\*4029*20170306* | grep -SE "(Enforcement Action)|(\[TIMEOUT)|(CHR.+\|PRM\|1\|D.+(SWITCH|SIGNAL).+UNKNOWN)" - &gt;&gt; 2017-03-05-UncaughtWiMAX.txt</v>
      </c>
    </row>
    <row r="201" spans="1:40" x14ac:dyDescent="0.25">
      <c r="A201" s="33" t="s">
        <v>593</v>
      </c>
      <c r="B201" s="7">
        <v>4010</v>
      </c>
      <c r="C201" s="21" t="s">
        <v>252</v>
      </c>
      <c r="D201" s="21" t="s">
        <v>896</v>
      </c>
      <c r="E201" s="13">
        <v>42799.178182870368</v>
      </c>
      <c r="F201" s="13">
        <v>42799.182291666664</v>
      </c>
      <c r="G201" s="7">
        <v>5</v>
      </c>
      <c r="H201" s="21" t="s">
        <v>194</v>
      </c>
      <c r="I201" s="13">
        <v>42799.188206018516</v>
      </c>
      <c r="J201" s="7">
        <v>0</v>
      </c>
      <c r="K201" s="98" t="str">
        <f t="shared" si="45"/>
        <v>4009/4010</v>
      </c>
      <c r="L201" s="21" t="str">
        <f>VLOOKUP(A201,'Trips&amp;Operators'!$C$1:$G$99999,5,FALSE)</f>
        <v>ROBINSON KADDIBA</v>
      </c>
      <c r="M201" s="6">
        <f t="shared" si="46"/>
        <v>5.914351851970423E-3</v>
      </c>
      <c r="N201" s="7">
        <f t="shared" si="65"/>
        <v>8.5166666668374091</v>
      </c>
      <c r="O201" s="7"/>
      <c r="P201" s="7"/>
      <c r="Q201" s="22"/>
      <c r="R201" s="22"/>
      <c r="S201" s="31">
        <f t="shared" si="58"/>
        <v>1</v>
      </c>
      <c r="T201" s="46" t="str">
        <f t="shared" si="47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8"/>
        <v>https://d0f6bd738d7f1b3e5a7ca70fe4ff75f0.us-east-1.aws.found.io/app/kibana#/discover/Steve-Slow-Train-Analysis-(2080s-and-2083s)?_g=(refreshInterval:(display:Off,pause:!f,section:0,value:0),time:(from:'2017-03-05T03:16:35-0700',mode:absolute,to:'2017-03-05T05:31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1" s="187" t="str">
        <f t="shared" si="49"/>
        <v>Y</v>
      </c>
      <c r="X201" s="187">
        <f t="shared" si="66"/>
        <v>1</v>
      </c>
      <c r="Y201" s="62">
        <f t="shared" si="51"/>
        <v>2.323</v>
      </c>
      <c r="Z201" s="62">
        <f t="shared" si="52"/>
        <v>1.4500000000000001E-2</v>
      </c>
      <c r="AA201" s="62">
        <f t="shared" si="53"/>
        <v>2.3085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4"/>
        <v>0310-05</v>
      </c>
      <c r="AE201" s="85" t="str">
        <f t="shared" si="55"/>
        <v>aws s3 cp s3://rtdc.mdm.uploadarchive.raw/RTDC4010/ "%USERPROFILE%\AppData\Local\Temp\OnboardLogs"\RTDC4010\2017-03-05 --exclude "*" --recursive --include "*20170305*" &amp; "%USERPROFILE%\Documents\GitHub\mrs-test-scripts\Headless Mode &amp; Sideloading\WalkAndUnGZ.bat" "%USERPROFILE%\AppData\Local\Temp\OnboardLogs"\RTDC4010\2017-03-05 &amp; 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</v>
      </c>
      <c r="AF201" s="82" t="str">
        <f t="shared" si="56"/>
        <v>"C:\Program Files (x86)\AstroGrep\AstroGrep.exe" /spath="%USERPROFILE%\AppData\Local\Temp\OnboardLogs" /stypes="app*4010*20170305*" /stext=" 11:.+((SYSTEM_STATE.+slice.+state.+changed )|(ment ac)|(multiple cpu faults)|(system.+state.+changed )|(\[timeout)|(PRM\|1\|D)|(kpr)|(kdp)|(\|loc)|(crossing.((167)|(168)|(199)|(200))))" /e /r /s</v>
      </c>
      <c r="AG201" s="1" t="str">
        <f t="shared" si="57"/>
        <v>Other</v>
      </c>
      <c r="AH201" s="86" t="str">
        <f t="shared" si="59"/>
        <v>"%USERPROFILE%\Documents\GitHub\eaglep3\Utilities\RefineRTDCRunTimes.py" --tripid 310-05 --locoid 4010 --swversion DE.1.0.9.0 --startMP 300:23230 --initTime 2017-03-05T04:16:35 --startdatetime 2017-03-05T04:22:30 --delay 5 --endMP 204:145 --enddatetime 2017-03-05T04:31:01 --enforcementcount 0 &gt;&gt;C:\Users\stu\Documents\GitHub\eaglep3-reporting\EC\2017-03-05-refined-times.txt</v>
      </c>
      <c r="AI201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{"issue":{"subject":"","project_id":79,"tracker_id":40,"status_id":1,"priority_id":2,"assigned_to_id":23,"start_date":"2017-03-05","description":"","custom_fields":[{"id":1,"name":"Subdivision","value":"Other"},{"id":4,"name":"Milepost","value":"0.0145"},{"id":17,"name":"Train ID","value":"310-05"},{"id":16,"name":"Locomotive ID","value":"4010"},{"id":130,"name":"Impact","value":""},{"id":150,"name":"Time of Event (Mountain Time)","value":"04:31:01"},{"id":151,"name":"Denver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1"/>
        <v>start /low /b %USERPROFILE%\Documents\GitHub\eaglep3\Utilities\DownloadLogsFromS3.py --loco 4010 --day 2017-03-05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"%USERPROFILE%\AppData\Local\Temp\OnboardLogs"\RTDC4010\*4010*20170305* | grep -SE "(Enforcement Action)|(\[TIMEOUT)|(CHR.+\|PRM\|1\|D.+(SWITCH|SIGNAL).+UNKNOWN)" - &gt;&gt; 2017-03-05-UncaughtWiMAX.txt</v>
      </c>
    </row>
    <row r="202" spans="1:40" x14ac:dyDescent="0.25">
      <c r="A202" s="33" t="s">
        <v>784</v>
      </c>
      <c r="B202" s="7">
        <v>4044</v>
      </c>
      <c r="C202" s="21" t="s">
        <v>252</v>
      </c>
      <c r="D202" s="21" t="s">
        <v>201</v>
      </c>
      <c r="E202" s="13">
        <v>42800.083043981482</v>
      </c>
      <c r="F202" s="13">
        <v>42800.089456018519</v>
      </c>
      <c r="G202" s="7">
        <v>1</v>
      </c>
      <c r="H202" s="21" t="s">
        <v>523</v>
      </c>
      <c r="I202" s="13">
        <v>42800.096018518518</v>
      </c>
      <c r="J202" s="7">
        <v>0</v>
      </c>
      <c r="K202" s="98" t="str">
        <f t="shared" si="45"/>
        <v>4043/4044</v>
      </c>
      <c r="L202" s="21" t="str">
        <f>VLOOKUP(A202,'Trips&amp;Operators'!$C$1:$G$99999,5,FALSE)</f>
        <v>SMITH MICHAEL</v>
      </c>
      <c r="M202" s="6">
        <f t="shared" si="46"/>
        <v>6.5624999988358468E-3</v>
      </c>
      <c r="N202" s="7">
        <f t="shared" si="65"/>
        <v>9.4499999983236194</v>
      </c>
      <c r="O202" s="7"/>
      <c r="P202" s="7"/>
      <c r="Q202" s="22"/>
      <c r="R202" s="22"/>
      <c r="S202" s="31">
        <f t="shared" si="58"/>
        <v>1</v>
      </c>
      <c r="T202" s="46" t="str">
        <f t="shared" si="47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8"/>
        <v>https://d0f6bd738d7f1b3e5a7ca70fe4ff75f0.us-east-1.aws.found.io/app/kibana#/discover/Steve-Slow-Train-Analysis-(2080s-and-2083s)?_g=(refreshInterval:(display:Off,pause:!f,section:0,value:0),time:(from:'2017-03-06T00:59:35-0700',mode:absolute,to:'2017-03-06T03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187" t="str">
        <f t="shared" si="49"/>
        <v>Y</v>
      </c>
      <c r="X202" s="187">
        <f t="shared" si="66"/>
        <v>1</v>
      </c>
      <c r="Y202" s="62">
        <f t="shared" si="51"/>
        <v>4.6199999999999998E-2</v>
      </c>
      <c r="Z202" s="62">
        <f t="shared" si="52"/>
        <v>2.3308</v>
      </c>
      <c r="AA202" s="62">
        <f t="shared" si="53"/>
        <v>2.2846000000000002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4"/>
        <v>0311-05</v>
      </c>
      <c r="AE202" s="85" t="str">
        <f t="shared" si="55"/>
        <v>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 &amp; 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</v>
      </c>
      <c r="AF202" s="82" t="str">
        <f t="shared" si="56"/>
        <v>"C:\Program Files (x86)\AstroGrep\AstroGrep.exe" /spath="%USERPROFILE%\AppData\Local\Temp\OnboardLogs" /stypes="app*4044*20170306*" /stext=" 09:.+((SYSTEM_STATE.+slice.+state.+changed )|(ment ac)|(multiple cpu faults)|(system.+state.+changed )|(\[timeout)|(PRM\|1\|D)|(kpr)|(kdp)|(\|loc)|(crossing.((167)|(168)|(199)|(200))))" /e /r /s</v>
      </c>
      <c r="AG202" s="1" t="str">
        <f t="shared" si="57"/>
        <v>Other</v>
      </c>
      <c r="AH202" s="86" t="str">
        <f t="shared" si="59"/>
        <v>"%USERPROFILE%\Documents\GitHub\eaglep3\Utilities\RefineRTDCRunTimes.py" --tripid 311-05 --locoid 4044 --swversion DE.1.0.9.0 --startMP 204:462 --initTime 2017-03-06T01:59:35 --startdatetime 2017-03-06T02:08:49 --delay 1 --endMP 300:23308 --enddatetime 2017-03-06T02:18:16 --enforcementcount 0 &gt;&gt;C:\Users\stu\Documents\GitHub\eaglep3-reporting\EC\2017-03-05-refined-times.txt</v>
      </c>
      <c r="AI202" s="108" t="str">
        <f t="shared" si="60"/>
        <v>echo {"issue":{"subject":"","project_id":79,"tracker_id":40,"status_id":1,"priority_id":2,"assigned_to_id":23,"start_date":"2017-03-06","description":"","custom_fields":[{"id":1,"name":"Subdivision","value":"Other"},{"id":4,"name":"Milepost","value":"2.3308"},{"id":17,"name":"Train ID","value":"311-05"},{"id":16,"name":"Locomotive ID","value":"4044"},{"id":130,"name":"Impact","value":""},{"id":150,"name":"Time of Event (Mountain Time)","value":"02:18:16"},{"id":151,"name":"Denver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1"/>
        <v>start /low /b %USERPROFILE%\Documents\GitHub\eaglep3\Utilities\DownloadLogsFromS3.py --loco 4044 --day 2017-03-06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2017-03-05-UncaughtWiMAX.txt</v>
      </c>
    </row>
    <row r="203" spans="1:40" x14ac:dyDescent="0.25">
      <c r="A203" s="33" t="s">
        <v>579</v>
      </c>
      <c r="B203" s="7">
        <v>4020</v>
      </c>
      <c r="C203" s="21" t="s">
        <v>252</v>
      </c>
      <c r="D203" s="21" t="s">
        <v>235</v>
      </c>
      <c r="E203" s="13">
        <v>42799.091805555552</v>
      </c>
      <c r="F203" s="13">
        <v>42799.095937500002</v>
      </c>
      <c r="G203" s="7">
        <v>1</v>
      </c>
      <c r="H203" s="21" t="s">
        <v>345</v>
      </c>
      <c r="I203" s="13">
        <v>42799.101921296293</v>
      </c>
      <c r="J203" s="7">
        <v>0</v>
      </c>
      <c r="K203" s="98" t="str">
        <f t="shared" si="45"/>
        <v>4019/4020</v>
      </c>
      <c r="L203" s="21" t="str">
        <f>VLOOKUP(A203,'Trips&amp;Operators'!$C$1:$G$99999,5,FALSE)</f>
        <v>MAGEE KENYA</v>
      </c>
      <c r="M203" s="6">
        <f t="shared" si="46"/>
        <v>5.9837962908204645E-3</v>
      </c>
      <c r="N203" s="7">
        <f t="shared" si="65"/>
        <v>8.6166666587814689</v>
      </c>
      <c r="O203" s="7"/>
      <c r="P203" s="7"/>
      <c r="Q203" s="22"/>
      <c r="R203" s="22"/>
      <c r="S203" s="31">
        <f t="shared" si="58"/>
        <v>1</v>
      </c>
      <c r="T203" s="46" t="str">
        <f t="shared" si="47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48"/>
        <v>https://d0f6bd738d7f1b3e5a7ca70fe4ff75f0.us-east-1.aws.found.io/app/kibana#/discover/Steve-Slow-Train-Analysis-(2080s-and-2083s)?_g=(refreshInterval:(display:Off,pause:!f,section:0,value:0),time:(from:'2017-03-05T01:12:12-0700',mode:absolute,to:'2017-03-05T03:26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187" t="str">
        <f t="shared" si="49"/>
        <v>Y</v>
      </c>
      <c r="X203" s="187">
        <f t="shared" si="66"/>
        <v>2</v>
      </c>
      <c r="Y203" s="62">
        <f t="shared" si="51"/>
        <v>4.6399999999999997E-2</v>
      </c>
      <c r="Z203" s="62">
        <f t="shared" si="52"/>
        <v>2.3306</v>
      </c>
      <c r="AA203" s="62">
        <f t="shared" si="53"/>
        <v>2.2842000000000002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4"/>
        <v>0313-04</v>
      </c>
      <c r="AE203" s="85" t="str">
        <f t="shared" si="55"/>
        <v>aws s3 cp s3://rtdc.mdm.uploadarchive.raw/RTDC4020/ "%USERPROFILE%\AppData\Local\Temp\OnboardLogs"\RTDC4020\2017-03-05 --exclude "*" --recursive --include "*20170305*" &amp; "%USERPROFILE%\Documents\GitHub\mrs-test-scripts\Headless Mode &amp; Sideloading\WalkAndUnGZ.bat" "%USERPROFILE%\AppData\Local\Temp\OnboardLogs"\RTDC4020\2017-03-05 &amp; 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</v>
      </c>
      <c r="AF203" s="82" t="str">
        <f t="shared" si="56"/>
        <v>"C:\Program Files (x86)\AstroGrep\AstroGrep.exe" /spath="%USERPROFILE%\AppData\Local\Temp\OnboardLogs" /stypes="app*4020*20170305*" /stext=" 09:.+((SYSTEM_STATE.+slice.+state.+changed )|(ment ac)|(multiple cpu faults)|(system.+state.+changed )|(\[timeout)|(PRM\|1\|D)|(kpr)|(kdp)|(\|loc)|(crossing.((167)|(168)|(199)|(200))))" /e /r /s</v>
      </c>
      <c r="AG203" s="1" t="str">
        <f t="shared" si="57"/>
        <v>Other</v>
      </c>
      <c r="AH203" s="86" t="str">
        <f t="shared" si="59"/>
        <v>"%USERPROFILE%\Documents\GitHub\eaglep3\Utilities\RefineRTDCRunTimes.py" --tripid 313-04 --locoid 4020 --swversion DE.1.0.9.0 --startMP 204:464 --initTime 2017-03-05T02:12:12 --startdatetime 2017-03-05T02:18:09 --delay 1 --endMP 300:23306 --enddatetime 2017-03-05T02:26:46 --enforcementcount 0 &gt;&gt;C:\Users\stu\Documents\GitHub\eaglep3-reporting\EC\2017-03-05-refined-times.txt</v>
      </c>
      <c r="AI203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{"issue":{"subject":"","project_id":79,"tracker_id":40,"status_id":1,"priority_id":2,"assigned_to_id":23,"start_date":"2017-03-05","description":"","custom_fields":[{"id":1,"name":"Subdivision","value":"Other"},{"id":4,"name":"Milepost","value":"2.3306"},{"id":17,"name":"Train ID","value":"313-04"},{"id":16,"name":"Locomotive ID","value":"4020"},{"id":130,"name":"Impact","value":""},{"id":150,"name":"Time of Event (Mountain Time)","value":"02:26:46"},{"id":151,"name":"Denver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1"/>
        <v>start /low /b %USERPROFILE%\Documents\GitHub\eaglep3\Utilities\DownloadLogsFromS3.py --loco 4020 --day 2017-03-05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"%USERPROFILE%\AppData\Local\Temp\OnboardLogs"\RTDC4020\*4020*20170305* | grep -SE "(Enforcement Action)|(\[TIMEOUT)|(CHR.+\|PRM\|1\|D.+(SWITCH|SIGNAL).+UNKNOWN)" - &gt;&gt; 2017-03-05-UncaughtWiMAX.txt</v>
      </c>
    </row>
    <row r="204" spans="1:40" x14ac:dyDescent="0.25">
      <c r="A204" s="33" t="s">
        <v>583</v>
      </c>
      <c r="B204" s="7">
        <v>4003</v>
      </c>
      <c r="C204" s="21" t="s">
        <v>252</v>
      </c>
      <c r="D204" s="21" t="s">
        <v>897</v>
      </c>
      <c r="E204" s="13">
        <v>42799.118657407409</v>
      </c>
      <c r="F204" s="13">
        <v>42799.12</v>
      </c>
      <c r="G204" s="7">
        <v>1</v>
      </c>
      <c r="H204" s="21" t="s">
        <v>523</v>
      </c>
      <c r="I204" s="13">
        <v>42799.127650462964</v>
      </c>
      <c r="J204" s="7">
        <v>0</v>
      </c>
      <c r="K204" s="98" t="str">
        <f t="shared" si="45"/>
        <v>4003/4004</v>
      </c>
      <c r="L204" s="21" t="str">
        <f>VLOOKUP(A204,'Trips&amp;Operators'!$C$1:$G$99999,5,FALSE)</f>
        <v>BROWN JACOB</v>
      </c>
      <c r="M204" s="6">
        <f t="shared" si="46"/>
        <v>7.6504629614646547E-3</v>
      </c>
      <c r="N204" s="7">
        <f t="shared" si="65"/>
        <v>11.016666664509103</v>
      </c>
      <c r="O204" s="7"/>
      <c r="P204" s="7"/>
      <c r="Q204" s="22"/>
      <c r="R204" s="22"/>
      <c r="S204" s="31">
        <f t="shared" si="58"/>
        <v>1</v>
      </c>
      <c r="T204" s="46" t="str">
        <f t="shared" si="47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48"/>
        <v>https://d0f6bd738d7f1b3e5a7ca70fe4ff75f0.us-east-1.aws.found.io/app/kibana#/discover/Steve-Slow-Train-Analysis-(2080s-and-2083s)?_g=(refreshInterval:(display:Off,pause:!f,section:0,value:0),time:(from:'2017-03-05T01:50:52-0700',mode:absolute,to:'2017-03-05T04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4" s="187" t="str">
        <f t="shared" si="49"/>
        <v>Y</v>
      </c>
      <c r="X204" s="187">
        <f t="shared" si="66"/>
        <v>2</v>
      </c>
      <c r="Y204" s="62">
        <f t="shared" si="51"/>
        <v>5.3900000000000003E-2</v>
      </c>
      <c r="Z204" s="62">
        <f t="shared" si="52"/>
        <v>2.3308</v>
      </c>
      <c r="AA204" s="62">
        <f t="shared" si="53"/>
        <v>2.2768999999999999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4"/>
        <v>0315-04</v>
      </c>
      <c r="AE204" s="85" t="str">
        <f t="shared" si="55"/>
        <v>aws s3 cp s3://rtdc.mdm.uploadarchive.raw/RTDC4003/ "%USERPROFILE%\AppData\Local\Temp\OnboardLogs"\RTDC4003\2017-03-05 --exclude "*" --recursive --include "*20170305*" &amp; "%USERPROFILE%\Documents\GitHub\mrs-test-scripts\Headless Mode &amp; Sideloading\WalkAndUnGZ.bat" "%USERPROFILE%\AppData\Local\Temp\OnboardLogs"\RTDC4003\2017-03-05 &amp; 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</v>
      </c>
      <c r="AF204" s="82" t="str">
        <f t="shared" si="56"/>
        <v>"C:\Program Files (x86)\AstroGrep\AstroGrep.exe" /spath="%USERPROFILE%\AppData\Local\Temp\OnboardLogs" /stypes="app*4003*20170305*" /stext=" 10:.+((SYSTEM_STATE.+slice.+state.+changed )|(ment ac)|(multiple cpu faults)|(system.+state.+changed )|(\[timeout)|(PRM\|1\|D)|(kpr)|(kdp)|(\|loc)|(crossing.((167)|(168)|(199)|(200))))" /e /r /s</v>
      </c>
      <c r="AG204" s="1" t="str">
        <f t="shared" si="57"/>
        <v>Other</v>
      </c>
      <c r="AH204" s="86" t="str">
        <f t="shared" si="59"/>
        <v>"%USERPROFILE%\Documents\GitHub\eaglep3\Utilities\RefineRTDCRunTimes.py" --tripid 315-04 --locoid 4003 --swversion DE.1.0.9.0 --startMP 204:539 --initTime 2017-03-05T02:50:52 --startdatetime 2017-03-05T02:52:48 --delay 1 --endMP 300:23308 --enddatetime 2017-03-05T03:03:49 --enforcementcount 0 &gt;&gt;C:\Users\stu\Documents\GitHub\eaglep3-reporting\EC\2017-03-05-refined-times.txt</v>
      </c>
      <c r="AI204" s="108" t="str">
        <f t="shared" si="60"/>
        <v>echo {"issue":{"subject":"","project_id":79,"tracker_id":40,"status_id":1,"priority_id":2,"assigned_to_id":23,"start_date":"2017-03-05","description":"","custom_fields":[{"id":1,"name":"Subdivision","value":"Other"},{"id":4,"name":"Milepost","value":"2.3308"},{"id":17,"name":"Train ID","value":"315-04"},{"id":16,"name":"Locomotive ID","value":"4003"},{"id":130,"name":"Impact","value":""},{"id":150,"name":"Time of Event (Mountain Time)","value":"03:03:49"},{"id":151,"name":"Denver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1"/>
        <v>start /low /b %USERPROFILE%\Documents\GitHub\eaglep3\Utilities\DownloadLogsFromS3.py --loco 4003 --day 2017-03-05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"%USERPROFILE%\AppData\Local\Temp\OnboardLogs"\RTDC4003\*4003*20170305* | grep -SE "(Enforcement Action)|(\[TIMEOUT)|(CHR.+\|PRM\|1\|D.+(SWITCH|SIGNAL).+UNKNOWN)" - &gt;&gt; 2017-03-05-UncaughtWiMAX.txt</v>
      </c>
    </row>
    <row r="205" spans="1:40" x14ac:dyDescent="0.25">
      <c r="A205" s="33" t="s">
        <v>781</v>
      </c>
      <c r="B205" s="7">
        <v>4027</v>
      </c>
      <c r="C205" s="21" t="s">
        <v>252</v>
      </c>
      <c r="D205" s="21" t="s">
        <v>201</v>
      </c>
      <c r="E205" s="13">
        <v>42800.028634259259</v>
      </c>
      <c r="F205" s="13">
        <v>42800.030856481484</v>
      </c>
      <c r="G205" s="7">
        <v>1</v>
      </c>
      <c r="H205" s="21" t="s">
        <v>898</v>
      </c>
      <c r="I205" s="13">
        <v>42800.037048611113</v>
      </c>
      <c r="J205" s="7">
        <v>0</v>
      </c>
      <c r="K205" s="98" t="str">
        <f t="shared" ref="K205:K223" si="67">IF(ISEVEN(B205),(B205-1)&amp;"/"&amp;B205,B205&amp;"/"&amp;(B205+1))</f>
        <v>4027/4028</v>
      </c>
      <c r="L205" s="21" t="str">
        <f>VLOOKUP(A205,'Trips&amp;Operators'!$C$1:$G$99999,5,FALSE)</f>
        <v>CHANDLER KELVIN</v>
      </c>
      <c r="M205" s="6">
        <f t="shared" ref="M205:M223" si="68">I205-F205</f>
        <v>6.1921296291984618E-3</v>
      </c>
      <c r="N205" s="7">
        <f t="shared" si="65"/>
        <v>8.916666666045785</v>
      </c>
      <c r="O205" s="7"/>
      <c r="P205" s="7"/>
      <c r="Q205" s="22"/>
      <c r="R205" s="22"/>
      <c r="S205" s="31">
        <f t="shared" ref="S205:S223" si="69">SUM(U205:U205)/IF(AG205="EC",12,1)</f>
        <v>1</v>
      </c>
      <c r="T205" s="46" t="str">
        <f t="shared" ref="T205:T223" si="70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23" si="7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-05T23:41:14-0700',mode:absolute,to:'2017-03-06T01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187" t="str">
        <f t="shared" ref="W205:W223" si="72">IF(AA205&lt;IF(AG205="EC",23,5.65),"Y","N")</f>
        <v>Y</v>
      </c>
      <c r="X205" s="187">
        <f t="shared" si="66"/>
        <v>0</v>
      </c>
      <c r="Y205" s="62">
        <f t="shared" ref="Y205:Y223" si="73">RIGHT(D205,LEN(D205)-4)/10000</f>
        <v>4.6199999999999998E-2</v>
      </c>
      <c r="Z205" s="62">
        <f t="shared" ref="Z205:Z223" si="74">RIGHT(H205,LEN(H205)-4)/10000</f>
        <v>2.2846000000000002</v>
      </c>
      <c r="AA205" s="62">
        <f t="shared" ref="AA205:AA223" si="75">ABS(Z205-Y205)</f>
        <v>2.2384000000000004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3" si="76">IF(LEN(A205)=6,"0"&amp;A205,A205)</f>
        <v>0315-05</v>
      </c>
      <c r="AE205" s="85" t="str">
        <f t="shared" ref="AE205:AE223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 &amp; aws s3 cp s3://rtdc.mdm.uploadarchive.raw/RTDC4027/ "%USERPROFILE%\AppData\Local\Temp\OnboardLogs"\RTDC4027\2017-03-07 --exclude "*" --recursive --include "*20170307*" &amp; "%USERPROFILE%\Documents\GitHub\mrs-test-scripts\Headless Mode &amp; Sideloading\WalkAndUnGZ.bat" "%USERPROFILE%\AppData\Local\Temp\OnboardLogs"\RTDC4027\2017-03-07</v>
      </c>
      <c r="AF205" s="82" t="str">
        <f t="shared" ref="AF205:AF223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/stypes="app*4027*20170306*" /stext=" 07:.+((SYSTEM_STATE.+slice.+state.+changed )|(ment ac)|(multiple cpu faults)|(system.+state.+changed )|(\[timeout)|(PRM\|1\|D)|(kpr)|(kdp)|(\|loc)|(crossing.((167)|(168)|(199)|(200))))" /e /r /s</v>
      </c>
      <c r="AG205" s="1" t="str">
        <f t="shared" ref="AG205:AG223" si="79">IFERROR(IF(VALUE(LEFT(AD205,2))&lt;=2,"EC",IF(OR(VALUE(LEFT(AD205,2))=8,VALUE(LEFT(AD205,2))=18),"NW","Other")),"Other")</f>
        <v>Other</v>
      </c>
      <c r="AH205" s="86" t="str">
        <f t="shared" ref="AH205:AH223" si="8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315-05 --locoid 4027 --swversion DE.1.0.9.0 --startMP 204:462 --initTime 2017-03-06T00:41:14 --startdatetime 2017-03-06T00:44:26 --delay 1 --endMP 300:22846 --enddatetime 2017-03-06T00:53:21 --enforcementcount 0 &gt;&gt;C:\Users\stu\Documents\GitHub\eaglep3-reporting\EC\2017-03-05-refined-times.txt</v>
      </c>
      <c r="AI205" s="108" t="str">
        <f t="shared" ref="AI205:AI223" si="8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{"issue":{"subject":"","project_id":79,"tracker_id":40,"status_id":1,"priority_id":2,"assigned_to_id":23,"start_date":"2017-03-06","description":"","custom_fields":[{"id":1,"name":"Subdivision","value":"Other"},{"id":4,"name":"Milepost","value":"2.2846"},{"id":17,"name":"Train ID","value":"315-05"},{"id":16,"name":"Locomotive ID","value":"4027"},{"id":130,"name":"Impact","value":""},{"id":150,"name":"Time of Event (Mountain Time)","value":"00:53:21"},{"id":151,"name":"Denver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23" si="82">"start /low /b "&amp;dls3logs&amp;" --loco "&amp;B205&amp;" --day "&amp;TEXT(F205,"YYYY-MM-DD")</f>
        <v>start /low /b %USERPROFILE%\Documents\GitHub\eaglep3\Utilities\DownloadLogsFromS3.py --loco 4027 --day 2017-03-06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"%USERPROFILE%\AppData\Local\Temp\OnboardLogs"\RTDC4027\*4027*20170306* | grep -SE "(Enforcement Action)|(\[TIMEOUT)|(CHR.+\|PRM\|1\|D.+(SWITCH|SIGNAL).+UNKNOWN)" - &gt;&gt; 2017-03-05-UncaughtWiMAX.txt</v>
      </c>
    </row>
    <row r="206" spans="1:40" x14ac:dyDescent="0.25">
      <c r="A206" s="33" t="s">
        <v>604</v>
      </c>
      <c r="B206" s="7">
        <v>4031</v>
      </c>
      <c r="C206" s="21" t="s">
        <v>252</v>
      </c>
      <c r="D206" s="21" t="s">
        <v>867</v>
      </c>
      <c r="E206" s="13">
        <v>42799.212708333333</v>
      </c>
      <c r="F206" s="13">
        <v>42799.219895833332</v>
      </c>
      <c r="G206" s="7">
        <v>10</v>
      </c>
      <c r="H206" s="21" t="s">
        <v>287</v>
      </c>
      <c r="I206" s="13">
        <v>42799.226388888892</v>
      </c>
      <c r="J206" s="7">
        <v>0</v>
      </c>
      <c r="K206" s="98" t="str">
        <f t="shared" si="67"/>
        <v>4031/4032</v>
      </c>
      <c r="L206" s="21" t="str">
        <f>VLOOKUP(A206,'Trips&amp;Operators'!$C$1:$G$99999,5,FALSE)</f>
        <v>HOLCOMB KAMDEN</v>
      </c>
      <c r="M206" s="6">
        <f t="shared" si="68"/>
        <v>6.4930555599858053E-3</v>
      </c>
      <c r="N206" s="7">
        <f t="shared" si="65"/>
        <v>9.3500000063795596</v>
      </c>
      <c r="O206" s="7"/>
      <c r="P206" s="7"/>
      <c r="Q206" s="22"/>
      <c r="R206" s="22"/>
      <c r="S206" s="31">
        <f t="shared" si="69"/>
        <v>0</v>
      </c>
      <c r="T206" s="46" t="str">
        <f t="shared" si="70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71"/>
        <v>https://d0f6bd738d7f1b3e5a7ca70fe4ff75f0.us-east-1.aws.found.io/app/kibana#/discover/Steve-Slow-Train-Analysis-(2080s-and-2083s)?_g=(refreshInterval:(display:Off,pause:!f,section:0,value:0),time:(from:'2017-03-05T04:06:18-0700',mode:absolute,to:'2017-03-05T06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187" t="str">
        <f t="shared" si="72"/>
        <v>Y</v>
      </c>
      <c r="X206" s="187">
        <f t="shared" si="66"/>
        <v>1586</v>
      </c>
      <c r="Y206" s="62">
        <f t="shared" si="73"/>
        <v>3.0516999999999999</v>
      </c>
      <c r="Z206" s="62">
        <f t="shared" si="74"/>
        <v>5.8933</v>
      </c>
      <c r="AA206" s="62">
        <f t="shared" si="75"/>
        <v>2.8416000000000001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6"/>
        <v>1901-05</v>
      </c>
      <c r="AE206" s="85" t="str">
        <f t="shared" si="77"/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AF206" s="82" t="str">
        <f t="shared" si="78"/>
        <v>"C:\Program Files (x86)\AstroGrep\AstroGrep.exe" /spath="%USERPROFILE%\AppData\Local\Temp\OnboardLogs" /stypes="app*4031*20170305*" /stext=" 12:.+((SYSTEM_STATE.+slice.+state.+changed )|(ment ac)|(multiple cpu faults)|(system.+state.+changed )|(\[timeout)|(PRM\|1\|D)|(kpr)|(kdp)|(\|loc)|(crossing.((167)|(168)|(199)|(200))))" /e /r /s</v>
      </c>
      <c r="AG206" s="1" t="str">
        <f t="shared" si="79"/>
        <v>Other</v>
      </c>
      <c r="AH206" s="86" t="str">
        <f t="shared" si="80"/>
        <v>"%USERPROFILE%\Documents\GitHub\eaglep3\Utilities\RefineRTDCRunTimes.py" --tripid 1901-05 --locoid 4031 --swversion DE.1.0.9.0 --startMP 300:30517 --initTime 2017-03-05T05:06:18 --startdatetime 2017-03-05T05:16:39 --delay 10 --endMP 300:58933 --enddatetime 2017-03-05T05:26:00 --enforcementcount 0 &gt;&gt;C:\Users\stu\Documents\GitHub\eaglep3-reporting\EC\2017-03-05-refined-times.txt</v>
      </c>
      <c r="AI206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{"issue":{"subject":"","project_id":79,"tracker_id":40,"status_id":1,"priority_id":2,"assigned_to_id":23,"start_date":"2017-03-05","description":"","custom_fields":[{"id":1,"name":"Subdivision","value":"Other"},{"id":4,"name":"Milepost","value":"5.8933"},{"id":17,"name":"Train ID","value":"1901-05"},{"id":16,"name":"Locomotive ID","value":"4031"},{"id":130,"name":"Impact","value":""},{"id":150,"name":"Time of Event (Mountain Time)","value":"05:26:00"},{"id":151,"name":"Denver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2"/>
        <v>start /low /b %USERPROFILE%\Documents\GitHub\eaglep3\Utilities\DownloadLogsFromS3.py --loco 4031 --day 2017-03-05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"%USERPROFILE%\AppData\Local\Temp\OnboardLogs"\RTDC4031\*4031*20170305* | grep -SE "(Enforcement Action)|(\[TIMEOUT)|(CHR.+\|PRM\|1\|D.+(SWITCH|SIGNAL).+UNKNOWN)" - &gt;&gt; 2017-03-05-UncaughtWiMAX.txt</v>
      </c>
    </row>
    <row r="207" spans="1:40" x14ac:dyDescent="0.25">
      <c r="A207" s="33" t="s">
        <v>772</v>
      </c>
      <c r="B207" s="7">
        <v>4032</v>
      </c>
      <c r="C207" s="21" t="s">
        <v>252</v>
      </c>
      <c r="D207" s="21" t="s">
        <v>288</v>
      </c>
      <c r="E207" s="13">
        <v>42799.941134259258</v>
      </c>
      <c r="F207" s="13">
        <v>42799.942337962966</v>
      </c>
      <c r="G207" s="7">
        <v>1</v>
      </c>
      <c r="H207" s="21" t="s">
        <v>868</v>
      </c>
      <c r="I207" s="13">
        <v>42799.946805555555</v>
      </c>
      <c r="J207" s="7">
        <v>0</v>
      </c>
      <c r="K207" s="98" t="str">
        <f t="shared" si="67"/>
        <v>4031/4032</v>
      </c>
      <c r="L207" s="21" t="str">
        <f>VLOOKUP(A207,'Trips&amp;Operators'!$C$1:$G$99999,5,FALSE)</f>
        <v>HELVIE ADAM</v>
      </c>
      <c r="M207" s="6">
        <f t="shared" si="68"/>
        <v>4.4675925892079249E-3</v>
      </c>
      <c r="N207" s="7">
        <f t="shared" si="65"/>
        <v>6.4333333284594119</v>
      </c>
      <c r="O207" s="7"/>
      <c r="P207" s="7"/>
      <c r="Q207" s="22"/>
      <c r="R207" s="22"/>
      <c r="S207" s="31">
        <f t="shared" si="69"/>
        <v>0</v>
      </c>
      <c r="T207" s="46" t="str">
        <f t="shared" si="70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71"/>
        <v>https://d0f6bd738d7f1b3e5a7ca70fe4ff75f0.us-east-1.aws.found.io/app/kibana#/discover/Steve-Slow-Train-Analysis-(2080s-and-2083s)?_g=(refreshInterval:(display:Off,pause:!f,section:0,value:0),time:(from:'2017-03-05T21:35:14-0700',mode:absolute,to:'2017-03-05T23:43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87" t="str">
        <f t="shared" si="72"/>
        <v>Y</v>
      </c>
      <c r="X207" s="187">
        <f t="shared" si="66"/>
        <v>1</v>
      </c>
      <c r="Y207" s="62">
        <f t="shared" si="73"/>
        <v>5.8623000000000003</v>
      </c>
      <c r="Z207" s="62">
        <f t="shared" si="74"/>
        <v>2.1770999999999998</v>
      </c>
      <c r="AA207" s="62">
        <f t="shared" si="75"/>
        <v>3.6852000000000005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6"/>
        <v>1902-05</v>
      </c>
      <c r="AE207" s="85" t="str">
        <f t="shared" si="77"/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AF207" s="82" t="str">
        <f t="shared" si="78"/>
        <v>"C:\Program Files (x86)\AstroGrep\AstroGrep.exe" /spath="%USERPROFILE%\AppData\Local\Temp\OnboardLogs" /stypes="app*4032*20170306*" /stext=" 05:.+((SYSTEM_STATE.+slice.+state.+changed )|(ment ac)|(multiple cpu faults)|(system.+state.+changed )|(\[timeout)|(PRM\|1\|D)|(kpr)|(kdp)|(\|loc)|(crossing.((167)|(168)|(199)|(200))))" /e /r /s</v>
      </c>
      <c r="AG207" s="1" t="str">
        <f t="shared" si="79"/>
        <v>Other</v>
      </c>
      <c r="AH207" s="86" t="str">
        <f t="shared" si="80"/>
        <v>"%USERPROFILE%\Documents\GitHub\eaglep3\Utilities\RefineRTDCRunTimes.py" --tripid 1902-05 --locoid 4032 --swversion DE.1.0.9.0 --startMP 300:58623 --initTime 2017-03-05T22:35:14 --startdatetime 2017-03-05T22:36:58 --delay 1 --endMP 300:21771 --enddatetime 2017-03-05T22:43:24 --enforcementcount 0 &gt;&gt;C:\Users\stu\Documents\GitHub\eaglep3-reporting\EC\2017-03-05-refined-times.txt</v>
      </c>
      <c r="AI207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{"issue":{"subject":"","project_id":79,"tracker_id":40,"status_id":1,"priority_id":2,"assigned_to_id":23,"start_date":"2017-03-05","description":"","custom_fields":[{"id":1,"name":"Subdivision","value":"Other"},{"id":4,"name":"Milepost","value":"2.1771"},{"id":17,"name":"Train ID","value":"1902-05"},{"id":16,"name":"Locomotive ID","value":"4032"},{"id":130,"name":"Impact","value":""},{"id":150,"name":"Time of Event (Mountain Time)","value":"22:43:24"},{"id":151,"name":"Denver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2"/>
        <v>start /low /b %USERPROFILE%\Documents\GitHub\eaglep3\Utilities\DownloadLogsFromS3.py --loco 4032 --day 2017-03-05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"%USERPROFILE%\AppData\Local\Temp\OnboardLogs"\RTDC4032\*4032*20170306* | grep -SE "(Enforcement Action)|(\[TIMEOUT)|(CHR.+\|PRM\|1\|D.+(SWITCH|SIGNAL).+UNKNOWN)" - &gt;&gt; 2017-03-05-UncaughtWiMAX.txt</v>
      </c>
    </row>
    <row r="208" spans="1:40" x14ac:dyDescent="0.25">
      <c r="A208" s="33" t="s">
        <v>654</v>
      </c>
      <c r="B208" s="7">
        <v>4001</v>
      </c>
      <c r="C208" s="21" t="s">
        <v>252</v>
      </c>
      <c r="D208" s="21" t="s">
        <v>899</v>
      </c>
      <c r="E208" s="13">
        <v>42799.433078703703</v>
      </c>
      <c r="F208" s="13">
        <v>42799.438969907409</v>
      </c>
      <c r="G208" s="7">
        <v>8</v>
      </c>
      <c r="H208" s="21" t="s">
        <v>900</v>
      </c>
      <c r="I208" s="13">
        <v>42799.443831018521</v>
      </c>
      <c r="J208" s="7">
        <v>0</v>
      </c>
      <c r="K208" s="98" t="str">
        <f t="shared" si="67"/>
        <v>4001/4002</v>
      </c>
      <c r="L208" s="21" t="str">
        <f>VLOOKUP(A208,'Trips&amp;Operators'!$C$1:$G$99999,5,FALSE)</f>
        <v>LALONDE GREGORY</v>
      </c>
      <c r="M208" s="6">
        <f t="shared" si="68"/>
        <v>4.8611111124046147E-3</v>
      </c>
      <c r="N208" s="7">
        <f t="shared" si="65"/>
        <v>7.0000000018626451</v>
      </c>
      <c r="O208" s="7"/>
      <c r="P208" s="7"/>
      <c r="Q208" s="22"/>
      <c r="R208" s="22"/>
      <c r="S208" s="31">
        <f t="shared" si="69"/>
        <v>0</v>
      </c>
      <c r="T208" s="46" t="e">
        <f t="shared" si="70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71"/>
        <v>https://d0f6bd738d7f1b3e5a7ca70fe4ff75f0.us-east-1.aws.found.io/app/kibana#/discover/Steve-Slow-Train-Analysis-(2080s-and-2083s)?_g=(refreshInterval:(display:Off,pause:!f,section:0,value:0),time:(from:'2017-03-05T09:23:38-0700',mode:absolute,to:'2017-03-05T11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7" t="str">
        <f t="shared" si="72"/>
        <v>Y</v>
      </c>
      <c r="X208" s="187" t="e">
        <f t="shared" si="66"/>
        <v>#VALUE!</v>
      </c>
      <c r="Y208" s="62">
        <f t="shared" si="73"/>
        <v>2.2075</v>
      </c>
      <c r="Z208" s="62">
        <f t="shared" si="74"/>
        <v>1.4800000000000001E-2</v>
      </c>
      <c r="AA208" s="62">
        <f t="shared" si="75"/>
        <v>2.1926999999999999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6"/>
        <v>50-05</v>
      </c>
      <c r="AE208" s="85" t="str">
        <f t="shared" si="77"/>
        <v>aws s3 cp s3://rtdc.mdm.uploadarchive.raw/RTDC4001/ "%USERPROFILE%\AppData\Local\Temp\OnboardLogs"\RTDC4001\2017-03-05 --exclude "*" --recursive --include "*20170305*" &amp; "%USERPROFILE%\Documents\GitHub\mrs-test-scripts\Headless Mode &amp; Sideloading\WalkAndUnGZ.bat" "%USERPROFILE%\AppData\Local\Temp\OnboardLogs"\RTDC4001\2017-03-05 &amp; 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</v>
      </c>
      <c r="AF208" s="82" t="str">
        <f t="shared" si="78"/>
        <v>"C:\Program Files (x86)\AstroGrep\AstroGrep.exe" /spath="%USERPROFILE%\AppData\Local\Temp\OnboardLogs" /stypes="app*4001*20170305*" /stext=" 17:.+((SYSTEM_STATE.+slice.+state.+changed )|(ment ac)|(multiple cpu faults)|(system.+state.+changed )|(\[timeout)|(PRM\|1\|D)|(kpr)|(kdp)|(\|loc)|(crossing.((167)|(168)|(199)|(200))))" /e /r /s</v>
      </c>
      <c r="AG208" s="1" t="str">
        <f t="shared" si="79"/>
        <v>Other</v>
      </c>
      <c r="AH208" s="86" t="str">
        <f t="shared" si="80"/>
        <v>"%USERPROFILE%\Documents\GitHub\eaglep3\Utilities\RefineRTDCRunTimes.py" --tripid 50-05 --locoid 4001 --swversion DE.1.0.9.0 --startMP 300:22075 --initTime 2017-03-05T10:23:38 --startdatetime 2017-03-05T10:32:07 --delay 8 --endMP 204:148 --enddatetime 2017-03-05T10:39:07 --enforcementcount 0 &gt;&gt;C:\Users\stu\Documents\GitHub\eaglep3-reporting\EC\2017-03-05-refined-times.txt</v>
      </c>
      <c r="AI208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{"issue":{"subject":"","project_id":79,"tracker_id":40,"status_id":1,"priority_id":2,"assigned_to_id":23,"start_date":"2017-03-05","description":"","custom_fields":[{"id":1,"name":"Subdivision","value":"Other"},{"id":4,"name":"Milepost","value":"0.0148"},{"id":17,"name":"Train ID","value":"50-05"},{"id":16,"name":"Locomotive ID","value":"4001"},{"id":130,"name":"Impact","value":""},{"id":150,"name":"Time of Event (Mountain Time)","value":"10:39:07"},{"id":151,"name":"Denver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2"/>
        <v>start /low /b %USERPROFILE%\Documents\GitHub\eaglep3\Utilities\DownloadLogsFromS3.py --loco 4001 --day 2017-03-05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"%USERPROFILE%\AppData\Local\Temp\OnboardLogs"\RTDC4001\*4001*20170305* | grep -SE "(Enforcement Action)|(\[TIMEOUT)|(CHR.+\|PRM\|1\|D.+(SWITCH|SIGNAL).+UNKNOWN)" - &gt;&gt; 2017-03-05-UncaughtWiMAX.txt</v>
      </c>
    </row>
    <row r="209" spans="1:40" x14ac:dyDescent="0.25">
      <c r="A209" s="33" t="s">
        <v>665</v>
      </c>
      <c r="B209" s="7">
        <v>4002</v>
      </c>
      <c r="C209" s="21" t="s">
        <v>252</v>
      </c>
      <c r="D209" s="21" t="s">
        <v>221</v>
      </c>
      <c r="E209" s="13">
        <v>42799.460798611108</v>
      </c>
      <c r="F209" s="13">
        <v>42799.468124999999</v>
      </c>
      <c r="G209" s="7">
        <v>1</v>
      </c>
      <c r="H209" s="21" t="s">
        <v>901</v>
      </c>
      <c r="I209" s="13">
        <v>42799.475243055553</v>
      </c>
      <c r="J209" s="7">
        <v>0</v>
      </c>
      <c r="K209" s="98" t="str">
        <f t="shared" si="67"/>
        <v>4001/4002</v>
      </c>
      <c r="L209" s="21" t="str">
        <f>VLOOKUP(A209,'Trips&amp;Operators'!$C$1:$G$99999,5,FALSE)</f>
        <v>MOSES BRADLEY</v>
      </c>
      <c r="M209" s="6">
        <f t="shared" si="68"/>
        <v>7.1180555532919243E-3</v>
      </c>
      <c r="N209" s="7">
        <f t="shared" si="65"/>
        <v>10.249999996740371</v>
      </c>
      <c r="O209" s="7"/>
      <c r="P209" s="7"/>
      <c r="Q209" s="22"/>
      <c r="R209" s="22"/>
      <c r="S209" s="31">
        <f t="shared" si="69"/>
        <v>0</v>
      </c>
      <c r="T209" s="46" t="e">
        <f t="shared" si="70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71"/>
        <v>https://d0f6bd738d7f1b3e5a7ca70fe4ff75f0.us-east-1.aws.found.io/app/kibana#/discover/Steve-Slow-Train-Analysis-(2080s-and-2083s)?_g=(refreshInterval:(display:Off,pause:!f,section:0,value:0),time:(from:'2017-03-05T10:03:33-0700',mode:absolute,to:'2017-03-05T12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87" t="str">
        <f t="shared" si="72"/>
        <v>Y</v>
      </c>
      <c r="X209" s="187" t="e">
        <f t="shared" si="66"/>
        <v>#VALUE!</v>
      </c>
      <c r="Y209" s="62">
        <f t="shared" si="73"/>
        <v>4.5999999999999999E-2</v>
      </c>
      <c r="Z209" s="62">
        <f t="shared" si="74"/>
        <v>2.4190999999999998</v>
      </c>
      <c r="AA209" s="62">
        <f t="shared" si="75"/>
        <v>2.3731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6"/>
        <v>51-05</v>
      </c>
      <c r="AE209" s="85" t="str">
        <f t="shared" si="77"/>
        <v>aws s3 cp s3://rtdc.mdm.uploadarchive.raw/RTDC4002/ "%USERPROFILE%\AppData\Local\Temp\OnboardLogs"\RTDC4002\2017-03-05 --exclude "*" --recursive --include "*20170305*" &amp; "%USERPROFILE%\Documents\GitHub\mrs-test-scripts\Headless Mode &amp; Sideloading\WalkAndUnGZ.bat" "%USERPROFILE%\AppData\Local\Temp\OnboardLogs"\RTDC4002\2017-03-05 &amp; 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</v>
      </c>
      <c r="AF209" s="82" t="str">
        <f t="shared" si="78"/>
        <v>"C:\Program Files (x86)\AstroGrep\AstroGrep.exe" /spath="%USERPROFILE%\AppData\Local\Temp\OnboardLogs" /stypes="app*4002*20170305*" /stext=" 18:.+((SYSTEM_STATE.+slice.+state.+changed )|(ment ac)|(multiple cpu faults)|(system.+state.+changed )|(\[timeout)|(PRM\|1\|D)|(kpr)|(kdp)|(\|loc)|(crossing.((167)|(168)|(199)|(200))))" /e /r /s</v>
      </c>
      <c r="AG209" s="1" t="str">
        <f t="shared" si="79"/>
        <v>Other</v>
      </c>
      <c r="AH209" s="86" t="str">
        <f t="shared" si="80"/>
        <v>"%USERPROFILE%\Documents\GitHub\eaglep3\Utilities\RefineRTDCRunTimes.py" --tripid 51-05 --locoid 4002 --swversion DE.1.0.9.0 --startMP 204:460 --initTime 2017-03-05T11:03:33 --startdatetime 2017-03-05T11:14:06 --delay 1 --endMP 300:24191 --enddatetime 2017-03-05T11:24:21 --enforcementcount 0 &gt;&gt;C:\Users\stu\Documents\GitHub\eaglep3-reporting\EC\2017-03-05-refined-times.txt</v>
      </c>
      <c r="AI209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{"issue":{"subject":"","project_id":79,"tracker_id":40,"status_id":1,"priority_id":2,"assigned_to_id":23,"start_date":"2017-03-05","description":"","custom_fields":[{"id":1,"name":"Subdivision","value":"Other"},{"id":4,"name":"Milepost","value":"2.4191"},{"id":17,"name":"Train ID","value":"51-05"},{"id":16,"name":"Locomotive ID","value":"4002"},{"id":130,"name":"Impact","value":""},{"id":150,"name":"Time of Event (Mountain Time)","value":"11:24:21"},{"id":151,"name":"Denver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2"/>
        <v>start /low /b %USERPROFILE%\Documents\GitHub\eaglep3\Utilities\DownloadLogsFromS3.py --loco 4002 --day 2017-03-05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"%USERPROFILE%\AppData\Local\Temp\OnboardLogs"\RTDC4002\*4002*20170305* | grep -SE "(Enforcement Action)|(\[TIMEOUT)|(CHR.+\|PRM\|1\|D.+(SWITCH|SIGNAL).+UNKNOWN)" - &gt;&gt; 2017-03-05-UncaughtWiMAX.txt</v>
      </c>
    </row>
    <row r="210" spans="1:40" x14ac:dyDescent="0.25">
      <c r="A210" s="33" t="s">
        <v>677</v>
      </c>
      <c r="B210" s="7">
        <v>4045</v>
      </c>
      <c r="C210" s="21" t="s">
        <v>252</v>
      </c>
      <c r="D210" s="21" t="s">
        <v>902</v>
      </c>
      <c r="E210" s="13">
        <v>42799.495243055557</v>
      </c>
      <c r="F210" s="13">
        <v>42799.501296296294</v>
      </c>
      <c r="G210" s="7">
        <v>8</v>
      </c>
      <c r="H210" s="21" t="s">
        <v>903</v>
      </c>
      <c r="I210" s="13">
        <v>42799.507233796299</v>
      </c>
      <c r="J210" s="7">
        <v>0</v>
      </c>
      <c r="K210" s="98" t="str">
        <f t="shared" si="67"/>
        <v>4045/4046</v>
      </c>
      <c r="L210" s="21" t="str">
        <f>VLOOKUP(A210,'Trips&amp;Operators'!$C$1:$G$99999,5,FALSE)</f>
        <v>DAVIDSON DAVID</v>
      </c>
      <c r="M210" s="6">
        <f t="shared" si="68"/>
        <v>5.9375000055297278E-3</v>
      </c>
      <c r="N210" s="7">
        <f t="shared" si="65"/>
        <v>8.550000007962808</v>
      </c>
      <c r="O210" s="7"/>
      <c r="P210" s="7"/>
      <c r="Q210" s="22"/>
      <c r="R210" s="22"/>
      <c r="S210" s="31">
        <f t="shared" si="69"/>
        <v>0</v>
      </c>
      <c r="T210" s="46" t="e">
        <f t="shared" si="70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71"/>
        <v>https://d0f6bd738d7f1b3e5a7ca70fe4ff75f0.us-east-1.aws.found.io/app/kibana#/discover/Steve-Slow-Train-Analysis-(2080s-and-2083s)?_g=(refreshInterval:(display:Off,pause:!f,section:0,value:0),time:(from:'2017-03-05T10:53:09-0700',mode:absolute,to:'2017-03-05T13:10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187" t="str">
        <f t="shared" si="72"/>
        <v>Y</v>
      </c>
      <c r="X210" s="187" t="e">
        <f t="shared" si="66"/>
        <v>#VALUE!</v>
      </c>
      <c r="Y210" s="62">
        <f t="shared" si="73"/>
        <v>2.1863000000000001</v>
      </c>
      <c r="Z210" s="62">
        <f t="shared" si="74"/>
        <v>1.4200000000000001E-2</v>
      </c>
      <c r="AA210" s="62">
        <f t="shared" si="75"/>
        <v>2.1720999999999999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6"/>
        <v>52-05</v>
      </c>
      <c r="AE210" s="85" t="str">
        <f t="shared" si="77"/>
        <v>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 &amp; 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</v>
      </c>
      <c r="AF210" s="82" t="str">
        <f t="shared" si="78"/>
        <v>"C:\Program Files (x86)\AstroGrep\AstroGrep.exe" /spath="%USERPROFILE%\AppData\Local\Temp\OnboardLogs" /stypes="app*4045*20170305*" /stext=" 19:.+((SYSTEM_STATE.+slice.+state.+changed )|(ment ac)|(multiple cpu faults)|(system.+state.+changed )|(\[timeout)|(PRM\|1\|D)|(kpr)|(kdp)|(\|loc)|(crossing.((167)|(168)|(199)|(200))))" /e /r /s</v>
      </c>
      <c r="AG210" s="1" t="str">
        <f t="shared" si="79"/>
        <v>Other</v>
      </c>
      <c r="AH210" s="86" t="str">
        <f t="shared" si="80"/>
        <v>"%USERPROFILE%\Documents\GitHub\eaglep3\Utilities\RefineRTDCRunTimes.py" --tripid 52-05 --locoid 4045 --swversion DE.1.0.9.0 --startMP 300:21863 --initTime 2017-03-05T11:53:09 --startdatetime 2017-03-05T12:01:52 --delay 8 --endMP 204:142 --enddatetime 2017-03-05T12:10:25 --enforcementcount 0 &gt;&gt;C:\Users\stu\Documents\GitHub\eaglep3-reporting\EC\2017-03-05-refined-times.txt</v>
      </c>
      <c r="AI210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{"issue":{"subject":"","project_id":79,"tracker_id":40,"status_id":1,"priority_id":2,"assigned_to_id":23,"start_date":"2017-03-05","description":"","custom_fields":[{"id":1,"name":"Subdivision","value":"Other"},{"id":4,"name":"Milepost","value":"0.0142"},{"id":17,"name":"Train ID","value":"52-05"},{"id":16,"name":"Locomotive ID","value":"4045"},{"id":130,"name":"Impact","value":""},{"id":150,"name":"Time of Event (Mountain Time)","value":"12:10:25"},{"id":151,"name":"Denver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2"/>
        <v>start /low /b %USERPROFILE%\Documents\GitHub\eaglep3\Utilities\DownloadLogsFromS3.py --loco 4045 --day 2017-03-05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"%USERPROFILE%\AppData\Local\Temp\OnboardLogs"\RTDC4045\*4045*20170305* | grep -SE "(Enforcement Action)|(\[TIMEOUT)|(CHR.+\|PRM\|1\|D.+(SWITCH|SIGNAL).+UNKNOWN)" - &gt;&gt; 2017-03-05-UncaughtWiMAX.txt</v>
      </c>
    </row>
    <row r="211" spans="1:40" x14ac:dyDescent="0.25">
      <c r="A211" s="33" t="s">
        <v>684</v>
      </c>
      <c r="B211" s="7">
        <v>4046</v>
      </c>
      <c r="C211" s="21" t="s">
        <v>252</v>
      </c>
      <c r="D211" s="21" t="s">
        <v>904</v>
      </c>
      <c r="E211" s="13">
        <v>42799.522604166668</v>
      </c>
      <c r="F211" s="13">
        <v>42799.524270833332</v>
      </c>
      <c r="G211" s="7">
        <v>1</v>
      </c>
      <c r="H211" s="21" t="s">
        <v>905</v>
      </c>
      <c r="I211" s="13">
        <v>42799.530810185184</v>
      </c>
      <c r="J211" s="7">
        <v>0</v>
      </c>
      <c r="K211" s="98" t="str">
        <f t="shared" si="67"/>
        <v>4045/4046</v>
      </c>
      <c r="L211" s="21" t="str">
        <f>VLOOKUP(A211,'Trips&amp;Operators'!$C$1:$G$99999,5,FALSE)</f>
        <v>SHOOK JOHN</v>
      </c>
      <c r="M211" s="6">
        <f t="shared" si="68"/>
        <v>6.5393518525524996E-3</v>
      </c>
      <c r="N211" s="7">
        <f t="shared" si="65"/>
        <v>9.4166666676755995</v>
      </c>
      <c r="O211" s="7"/>
      <c r="P211" s="7"/>
      <c r="Q211" s="22"/>
      <c r="R211" s="22"/>
      <c r="S211" s="31">
        <f t="shared" si="69"/>
        <v>0</v>
      </c>
      <c r="T211" s="46" t="e">
        <f t="shared" si="70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1"/>
        <v>https://d0f6bd738d7f1b3e5a7ca70fe4ff75f0.us-east-1.aws.found.io/app/kibana#/discover/Steve-Slow-Train-Analysis-(2080s-and-2083s)?_g=(refreshInterval:(display:Off,pause:!f,section:0,value:0),time:(from:'2017-03-05T11:32:33-0700',mode:absolute,to:'2017-03-05T13:44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187" t="str">
        <f t="shared" si="72"/>
        <v>Y</v>
      </c>
      <c r="X211" s="187" t="e">
        <f t="shared" si="66"/>
        <v>#VALUE!</v>
      </c>
      <c r="Y211" s="62">
        <f t="shared" si="73"/>
        <v>4.4999999999999998E-2</v>
      </c>
      <c r="Z211" s="62">
        <f t="shared" si="74"/>
        <v>2.4218000000000002</v>
      </c>
      <c r="AA211" s="62">
        <f t="shared" si="75"/>
        <v>2.3768000000000002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6"/>
        <v>53-05</v>
      </c>
      <c r="AE211" s="85" t="str">
        <f t="shared" si="77"/>
        <v>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 &amp; 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</v>
      </c>
      <c r="AF211" s="82" t="str">
        <f t="shared" si="78"/>
        <v>"C:\Program Files (x86)\AstroGrep\AstroGrep.exe" /spath="%USERPROFILE%\AppData\Local\Temp\OnboardLogs" /stypes="app*4046*20170305*" /stext=" 19:.+((SYSTEM_STATE.+slice.+state.+changed )|(ment ac)|(multiple cpu faults)|(system.+state.+changed )|(\[timeout)|(PRM\|1\|D)|(kpr)|(kdp)|(\|loc)|(crossing.((167)|(168)|(199)|(200))))" /e /r /s</v>
      </c>
      <c r="AG211" s="1" t="str">
        <f t="shared" si="79"/>
        <v>Other</v>
      </c>
      <c r="AH211" s="86" t="str">
        <f t="shared" si="80"/>
        <v>"%USERPROFILE%\Documents\GitHub\eaglep3\Utilities\RefineRTDCRunTimes.py" --tripid 53-05 --locoid 4046 --swversion DE.1.0.9.0 --startMP 204:450 --initTime 2017-03-05T12:32:33 --startdatetime 2017-03-05T12:34:57 --delay 1 --endMP 300:24218 --enddatetime 2017-03-05T12:44:22 --enforcementcount 0 &gt;&gt;C:\Users\stu\Documents\GitHub\eaglep3-reporting\EC\2017-03-05-refined-times.txt</v>
      </c>
      <c r="AI211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{"issue":{"subject":"","project_id":79,"tracker_id":40,"status_id":1,"priority_id":2,"assigned_to_id":23,"start_date":"2017-03-05","description":"","custom_fields":[{"id":1,"name":"Subdivision","value":"Other"},{"id":4,"name":"Milepost","value":"2.4218"},{"id":17,"name":"Train ID","value":"53-05"},{"id":16,"name":"Locomotive ID","value":"4046"},{"id":130,"name":"Impact","value":""},{"id":150,"name":"Time of Event (Mountain Time)","value":"12:44:22"},{"id":151,"name":"Denver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2"/>
        <v>start /low /b %USERPROFILE%\Documents\GitHub\eaglep3\Utilities\DownloadLogsFromS3.py --loco 4046 --day 2017-03-05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"%USERPROFILE%\AppData\Local\Temp\OnboardLogs"\RTDC4046\*4046*20170305* | grep -SE "(Enforcement Action)|(\[TIMEOUT)|(CHR.+\|PRM\|1\|D.+(SWITCH|SIGNAL).+UNKNOWN)" - &gt;&gt; 2017-03-05-UncaughtWiMAX.txt</v>
      </c>
    </row>
    <row r="212" spans="1:40" x14ac:dyDescent="0.25">
      <c r="A212" s="33" t="s">
        <v>561</v>
      </c>
      <c r="B212" s="7">
        <v>4045</v>
      </c>
      <c r="C212" s="21" t="s">
        <v>252</v>
      </c>
      <c r="D212" s="21" t="s">
        <v>906</v>
      </c>
      <c r="E212" s="13">
        <v>42799.730451388888</v>
      </c>
      <c r="F212" s="13">
        <v>42799.733287037037</v>
      </c>
      <c r="G212" s="7">
        <v>4</v>
      </c>
      <c r="H212" s="21" t="s">
        <v>907</v>
      </c>
      <c r="I212" s="13">
        <v>42799.738912037035</v>
      </c>
      <c r="J212" s="7">
        <v>0</v>
      </c>
      <c r="K212" s="98" t="str">
        <f t="shared" si="67"/>
        <v>4045/4046</v>
      </c>
      <c r="L212" s="21" t="str">
        <f>VLOOKUP(A212,'Trips&amp;Operators'!$C$1:$G$99999,5,FALSE)</f>
        <v>SMITH MICHAEL</v>
      </c>
      <c r="M212" s="6">
        <f t="shared" si="68"/>
        <v>5.6249999979627319E-3</v>
      </c>
      <c r="N212" s="7">
        <f t="shared" si="65"/>
        <v>8.0999999970663339</v>
      </c>
      <c r="O212" s="7"/>
      <c r="P212" s="7"/>
      <c r="Q212" s="22"/>
      <c r="R212" s="22"/>
      <c r="S212" s="31">
        <f t="shared" si="69"/>
        <v>0</v>
      </c>
      <c r="T212" s="46" t="e">
        <f t="shared" si="70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71"/>
        <v>https://d0f6bd738d7f1b3e5a7ca70fe4ff75f0.us-east-1.aws.found.io/app/kibana#/discover/Steve-Slow-Train-Analysis-(2080s-and-2083s)?_g=(refreshInterval:(display:Off,pause:!f,section:0,value:0),time:(from:'2017-03-05T16:31:51-0700',mode:absolute,to:'2017-03-05T18:44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87" t="str">
        <f t="shared" si="72"/>
        <v>Y</v>
      </c>
      <c r="X212" s="187" t="e">
        <f t="shared" si="66"/>
        <v>#VALUE!</v>
      </c>
      <c r="Y212" s="62">
        <f t="shared" si="73"/>
        <v>2.3534999999999999</v>
      </c>
      <c r="Z212" s="62">
        <f t="shared" si="74"/>
        <v>9.9000000000000008E-3</v>
      </c>
      <c r="AA212" s="62">
        <f t="shared" si="75"/>
        <v>2.3435999999999999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6"/>
        <v>54-05</v>
      </c>
      <c r="AE212" s="85" t="str">
        <f t="shared" si="77"/>
        <v>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 &amp; 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</v>
      </c>
      <c r="AF212" s="82" t="str">
        <f t="shared" si="78"/>
        <v>"C:\Program Files (x86)\AstroGrep\AstroGrep.exe" /spath="%USERPROFILE%\AppData\Local\Temp\OnboardLogs" /stypes="app*4045*20170306*" /stext=" 00:.+((SYSTEM_STATE.+slice.+state.+changed )|(ment ac)|(multiple cpu faults)|(system.+state.+changed )|(\[timeout)|(PRM\|1\|D)|(kpr)|(kdp)|(\|loc)|(crossing.((167)|(168)|(199)|(200))))" /e /r /s</v>
      </c>
      <c r="AG212" s="1" t="str">
        <f t="shared" si="79"/>
        <v>Other</v>
      </c>
      <c r="AH212" s="86" t="str">
        <f t="shared" si="80"/>
        <v>"%USERPROFILE%\Documents\GitHub\eaglep3\Utilities\RefineRTDCRunTimes.py" --tripid 54-05 --locoid 4045 --swversion DE.1.0.9.0 --startMP 300:23535 --initTime 2017-03-05T17:31:51 --startdatetime 2017-03-05T17:35:56 --delay 4 --endMP 204:99 --enddatetime 2017-03-05T17:44:02 --enforcementcount 0 &gt;&gt;C:\Users\stu\Documents\GitHub\eaglep3-reporting\EC\2017-03-05-refined-times.txt</v>
      </c>
      <c r="AI212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{"issue":{"subject":"","project_id":79,"tracker_id":40,"status_id":1,"priority_id":2,"assigned_to_id":23,"start_date":"2017-03-05","description":"","custom_fields":[{"id":1,"name":"Subdivision","value":"Other"},{"id":4,"name":"Milepost","value":"0.0099"},{"id":17,"name":"Train ID","value":"54-05"},{"id":16,"name":"Locomotive ID","value":"4045"},{"id":130,"name":"Impact","value":""},{"id":150,"name":"Time of Event (Mountain Time)","value":"17:44:02"},{"id":151,"name":"Denver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2"/>
        <v>start /low /b %USERPROFILE%\Documents\GitHub\eaglep3\Utilities\DownloadLogsFromS3.py --loco 4045 --day 2017-03-05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2017-03-05-UncaughtWiMAX.txt</v>
      </c>
    </row>
    <row r="213" spans="1:40" x14ac:dyDescent="0.25">
      <c r="A213" s="33" t="s">
        <v>740</v>
      </c>
      <c r="B213" s="7">
        <v>4046</v>
      </c>
      <c r="C213" s="21" t="s">
        <v>252</v>
      </c>
      <c r="D213" s="21" t="s">
        <v>908</v>
      </c>
      <c r="E213" s="13">
        <v>42799.76489583333</v>
      </c>
      <c r="F213" s="13">
        <v>42799.766736111109</v>
      </c>
      <c r="G213" s="7">
        <v>1</v>
      </c>
      <c r="H213" s="21" t="s">
        <v>909</v>
      </c>
      <c r="I213" s="13">
        <v>42799.778680555559</v>
      </c>
      <c r="J213" s="7">
        <v>0</v>
      </c>
      <c r="K213" s="98" t="str">
        <f t="shared" si="67"/>
        <v>4045/4046</v>
      </c>
      <c r="L213" s="21" t="str">
        <f>VLOOKUP(A213,'Trips&amp;Operators'!$C$1:$G$99999,5,FALSE)</f>
        <v>DAVIS MICHAEL</v>
      </c>
      <c r="M213" s="6">
        <f t="shared" si="68"/>
        <v>1.1944444449909497E-2</v>
      </c>
      <c r="N213" s="7">
        <f t="shared" si="65"/>
        <v>17.200000007869676</v>
      </c>
      <c r="O213" s="7"/>
      <c r="P213" s="7"/>
      <c r="Q213" s="22"/>
      <c r="R213" s="22"/>
      <c r="S213" s="31">
        <f t="shared" si="69"/>
        <v>0</v>
      </c>
      <c r="T213" s="46" t="e">
        <f t="shared" si="70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71"/>
        <v>https://d0f6bd738d7f1b3e5a7ca70fe4ff75f0.us-east-1.aws.found.io/app/kibana#/discover/Steve-Slow-Train-Analysis-(2080s-and-2083s)?_g=(refreshInterval:(display:Off,pause:!f,section:0,value:0),time:(from:'2017-03-05T17:21:27-0700',mode:absolute,to:'2017-03-05T19:41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87" t="str">
        <f t="shared" si="72"/>
        <v>Y</v>
      </c>
      <c r="X213" s="187" t="e">
        <f t="shared" si="66"/>
        <v>#VALUE!</v>
      </c>
      <c r="Y213" s="62">
        <f t="shared" si="73"/>
        <v>3.7900000000000003E-2</v>
      </c>
      <c r="Z213" s="62">
        <f t="shared" si="74"/>
        <v>2.3311999999999999</v>
      </c>
      <c r="AA213" s="62">
        <f t="shared" si="75"/>
        <v>2.2932999999999999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6"/>
        <v>55-05</v>
      </c>
      <c r="AE213" s="85" t="str">
        <f t="shared" si="77"/>
        <v>aws s3 cp s3://rtdc.mdm.uploadarchive.raw/RTDC4046/ "%USERPROFILE%\AppData\Local\Temp\OnboardLogs"\RTDC4046\2017-03-05 --exclude "*" --recursive --include "*20170305*" &amp; "%USERPROFILE%\Documents\GitHub\mrs-test-scripts\Headless Mode &amp; Sideloading\WalkAndUnGZ.bat" "%USERPROFILE%\AppData\Local\Temp\OnboardLogs"\RTDC4046\2017-03-05 &amp; 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</v>
      </c>
      <c r="AF213" s="82" t="str">
        <f t="shared" si="78"/>
        <v>"C:\Program Files (x86)\AstroGrep\AstroGrep.exe" /spath="%USERPROFILE%\AppData\Local\Temp\OnboardLogs" /stypes="app*4046*20170306*" /stext=" 01:.+((SYSTEM_STATE.+slice.+state.+changed )|(ment ac)|(multiple cpu faults)|(system.+state.+changed )|(\[timeout)|(PRM\|1\|D)|(kpr)|(kdp)|(\|loc)|(crossing.((167)|(168)|(199)|(200))))" /e /r /s</v>
      </c>
      <c r="AG213" s="1" t="str">
        <f t="shared" si="79"/>
        <v>Other</v>
      </c>
      <c r="AH213" s="86" t="str">
        <f t="shared" si="80"/>
        <v>"%USERPROFILE%\Documents\GitHub\eaglep3\Utilities\RefineRTDCRunTimes.py" --tripid 55-05 --locoid 4046 --swversion DE.1.0.9.0 --startMP 204:379 --initTime 2017-03-05T18:21:27 --startdatetime 2017-03-05T18:24:06 --delay 1 --endMP 300:23312 --enddatetime 2017-03-05T18:41:18 --enforcementcount 0 &gt;&gt;C:\Users\stu\Documents\GitHub\eaglep3-reporting\EC\2017-03-05-refined-times.txt</v>
      </c>
      <c r="AI213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{"issue":{"subject":"","project_id":79,"tracker_id":40,"status_id":1,"priority_id":2,"assigned_to_id":23,"start_date":"2017-03-05","description":"","custom_fields":[{"id":1,"name":"Subdivision","value":"Other"},{"id":4,"name":"Milepost","value":"2.3312"},{"id":17,"name":"Train ID","value":"55-05"},{"id":16,"name":"Locomotive ID","value":"4046"},{"id":130,"name":"Impact","value":""},{"id":150,"name":"Time of Event (Mountain Time)","value":"18:41:18"},{"id":151,"name":"Denver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2"/>
        <v>start /low /b %USERPROFILE%\Documents\GitHub\eaglep3\Utilities\DownloadLogsFromS3.py --loco 4046 --day 2017-03-05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2017-03-05-UncaughtWiMAX.txt</v>
      </c>
    </row>
    <row r="214" spans="1:40" x14ac:dyDescent="0.25">
      <c r="A214" s="33" t="s">
        <v>735</v>
      </c>
      <c r="B214" s="7">
        <v>4052</v>
      </c>
      <c r="C214" s="21" t="s">
        <v>252</v>
      </c>
      <c r="D214" s="21" t="s">
        <v>910</v>
      </c>
      <c r="E214" s="13">
        <v>42799.737337962964</v>
      </c>
      <c r="F214" s="13">
        <v>42799.749201388891</v>
      </c>
      <c r="G214" s="7">
        <v>16</v>
      </c>
      <c r="H214" s="21" t="s">
        <v>911</v>
      </c>
      <c r="I214" s="13">
        <v>42799.758287037039</v>
      </c>
      <c r="J214" s="7">
        <v>0</v>
      </c>
      <c r="K214" s="98" t="str">
        <f t="shared" si="67"/>
        <v>4051/4052</v>
      </c>
      <c r="L214" s="21" t="str">
        <f>VLOOKUP(A214,'Trips&amp;Operators'!$C$1:$G$99999,5,FALSE)</f>
        <v>DUNCAN SHEILA</v>
      </c>
      <c r="M214" s="6">
        <f t="shared" si="68"/>
        <v>9.0856481474475004E-3</v>
      </c>
      <c r="N214" s="7">
        <f t="shared" si="65"/>
        <v>13.083333332324401</v>
      </c>
      <c r="O214" s="7"/>
      <c r="P214" s="7"/>
      <c r="Q214" s="22"/>
      <c r="R214" s="22"/>
      <c r="S214" s="31">
        <f t="shared" si="69"/>
        <v>0</v>
      </c>
      <c r="T214" s="46" t="e">
        <f t="shared" si="70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71"/>
        <v>https://d0f6bd738d7f1b3e5a7ca70fe4ff75f0.us-east-1.aws.found.io/app/kibana#/discover/Steve-Slow-Train-Analysis-(2080s-and-2083s)?_g=(refreshInterval:(display:Off,pause:!f,section:0,value:0),time:(from:'2017-03-05T16:41:46-0700',mode:absolute,to:'2017-03-05T19:11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4" s="187" t="str">
        <f t="shared" si="72"/>
        <v>Y</v>
      </c>
      <c r="X214" s="187" t="e">
        <f t="shared" si="66"/>
        <v>#VALUE!</v>
      </c>
      <c r="Y214" s="62">
        <f t="shared" si="73"/>
        <v>2.1785999999999999</v>
      </c>
      <c r="Z214" s="62">
        <f t="shared" si="74"/>
        <v>0.2283</v>
      </c>
      <c r="AA214" s="62">
        <f t="shared" si="75"/>
        <v>1.9502999999999999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6"/>
        <v>56-05</v>
      </c>
      <c r="AE214" s="85" t="str">
        <f t="shared" si="77"/>
        <v>aws s3 cp s3://rtdc.mdm.uploadarchive.raw/RTDC4052/ "%USERPROFILE%\AppData\Local\Temp\OnboardLogs"\RTDC4052\2017-03-05 --exclude "*" --recursive --include "*20170305*" &amp; "%USERPROFILE%\Documents\GitHub\mrs-test-scripts\Headless Mode &amp; Sideloading\WalkAndUnGZ.bat" "%USERPROFILE%\AppData\Local\Temp\OnboardLogs"\RTDC4052\2017-03-05 &amp; 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</v>
      </c>
      <c r="AF214" s="82" t="str">
        <f t="shared" si="78"/>
        <v>"C:\Program Files (x86)\AstroGrep\AstroGrep.exe" /spath="%USERPROFILE%\AppData\Local\Temp\OnboardLogs" /stypes="app*4052*20170306*" /stext=" 01:.+((SYSTEM_STATE.+slice.+state.+changed )|(ment ac)|(multiple cpu faults)|(system.+state.+changed )|(\[timeout)|(PRM\|1\|D)|(kpr)|(kdp)|(\|loc)|(crossing.((167)|(168)|(199)|(200))))" /e /r /s</v>
      </c>
      <c r="AG214" s="1" t="str">
        <f t="shared" si="79"/>
        <v>Other</v>
      </c>
      <c r="AH214" s="86" t="str">
        <f t="shared" si="80"/>
        <v>"%USERPROFILE%\Documents\GitHub\eaglep3\Utilities\RefineRTDCRunTimes.py" --tripid 56-05 --locoid 4052 --swversion DE.1.0.9.0 --startMP 300:21786 --initTime 2017-03-05T17:41:46 --startdatetime 2017-03-05T17:58:51 --delay 16 --endMP 204:2283 --enddatetime 2017-03-05T18:11:56 --enforcementcount 0 &gt;&gt;C:\Users\stu\Documents\GitHub\eaglep3-reporting\EC\2017-03-05-refined-times.txt</v>
      </c>
      <c r="AI214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{"issue":{"subject":"","project_id":79,"tracker_id":40,"status_id":1,"priority_id":2,"assigned_to_id":23,"start_date":"2017-03-05","description":"","custom_fields":[{"id":1,"name":"Subdivision","value":"Other"},{"id":4,"name":"Milepost","value":"0.2283"},{"id":17,"name":"Train ID","value":"56-05"},{"id":16,"name":"Locomotive ID","value":"4052"},{"id":130,"name":"Impact","value":""},{"id":150,"name":"Time of Event (Mountain Time)","value":"18:11:56"},{"id":151,"name":"Denver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2"/>
        <v>start /low /b %USERPROFILE%\Documents\GitHub\eaglep3\Utilities\DownloadLogsFromS3.py --loco 4052 --day 2017-03-05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"%USERPROFILE%\AppData\Local\Temp\OnboardLogs"\RTDC4052\*4052*20170306* | grep -SE "(Enforcement Action)|(\[TIMEOUT)|(CHR.+\|PRM\|1\|D.+(SWITCH|SIGNAL).+UNKNOWN)" - &gt;&gt; 2017-03-05-UncaughtWiMAX.txt</v>
      </c>
    </row>
    <row r="215" spans="1:40" x14ac:dyDescent="0.25">
      <c r="A215" s="33" t="s">
        <v>723</v>
      </c>
      <c r="B215" s="7">
        <v>4014</v>
      </c>
      <c r="C215" s="21" t="s">
        <v>252</v>
      </c>
      <c r="D215" s="21" t="s">
        <v>912</v>
      </c>
      <c r="E215" s="13">
        <v>42799.710289351853</v>
      </c>
      <c r="F215" s="13">
        <v>42799.738958333335</v>
      </c>
      <c r="G215" s="7">
        <v>1</v>
      </c>
      <c r="H215" s="21" t="s">
        <v>913</v>
      </c>
      <c r="I215" s="13">
        <v>42799.748796296299</v>
      </c>
      <c r="J215" s="7">
        <v>0</v>
      </c>
      <c r="K215" s="98" t="str">
        <f t="shared" si="67"/>
        <v>4013/4014</v>
      </c>
      <c r="L215" s="21" t="str">
        <f>VLOOKUP(A215,'Trips&amp;Operators'!$C$1:$G$99999,5,FALSE)</f>
        <v>LALONDE GREGORY</v>
      </c>
      <c r="M215" s="6">
        <f t="shared" si="68"/>
        <v>9.8379629635019228E-3</v>
      </c>
      <c r="N215" s="7">
        <f t="shared" si="65"/>
        <v>14.166666667442769</v>
      </c>
      <c r="O215" s="7"/>
      <c r="P215" s="7"/>
      <c r="Q215" s="22"/>
      <c r="R215" s="22"/>
      <c r="S215" s="31">
        <f t="shared" si="69"/>
        <v>0</v>
      </c>
      <c r="T215" s="46" t="e">
        <f t="shared" si="70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71"/>
        <v>https://d0f6bd738d7f1b3e5a7ca70fe4ff75f0.us-east-1.aws.found.io/app/kibana#/discover/Steve-Slow-Train-Analysis-(2080s-and-2083s)?_g=(refreshInterval:(display:Off,pause:!f,section:0,value:0),time:(from:'2017-03-05T16:02:49-0700',mode:absolute,to:'2017-03-05T18:58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187" t="str">
        <f t="shared" si="72"/>
        <v>Y</v>
      </c>
      <c r="X215" s="187" t="e">
        <f t="shared" si="66"/>
        <v>#VALUE!</v>
      </c>
      <c r="Y215" s="62">
        <f t="shared" si="73"/>
        <v>0.14860000000000001</v>
      </c>
      <c r="Z215" s="62">
        <f t="shared" si="74"/>
        <v>2.3289</v>
      </c>
      <c r="AA215" s="62">
        <f t="shared" si="75"/>
        <v>2.1802999999999999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6"/>
        <v>65-05</v>
      </c>
      <c r="AE215" s="85" t="str">
        <f t="shared" si="77"/>
        <v>aws s3 cp s3://rtdc.mdm.uploadarchive.raw/RTDC4014/ "%USERPROFILE%\AppData\Local\Temp\OnboardLogs"\RTDC4014\2017-03-05 --exclude "*" --recursive --include "*20170305*" &amp; "%USERPROFILE%\Documents\GitHub\mrs-test-scripts\Headless Mode &amp; Sideloading\WalkAndUnGZ.bat" "%USERPROFILE%\AppData\Local\Temp\OnboardLogs"\RTDC4014\2017-03-05 &amp; 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</v>
      </c>
      <c r="AF215" s="82" t="str">
        <f t="shared" si="78"/>
        <v>"C:\Program Files (x86)\AstroGrep\AstroGrep.exe" /spath="%USERPROFILE%\AppData\Local\Temp\OnboardLogs" /stypes="app*4014*20170306*" /stext=" 00:.+((SYSTEM_STATE.+slice.+state.+changed )|(ment ac)|(multiple cpu faults)|(system.+state.+changed )|(\[timeout)|(PRM\|1\|D)|(kpr)|(kdp)|(\|loc)|(crossing.((167)|(168)|(199)|(200))))" /e /r /s</v>
      </c>
      <c r="AG215" s="1" t="str">
        <f t="shared" si="79"/>
        <v>Other</v>
      </c>
      <c r="AH215" s="86" t="str">
        <f t="shared" si="80"/>
        <v>"%USERPROFILE%\Documents\GitHub\eaglep3\Utilities\RefineRTDCRunTimes.py" --tripid 65-05 --locoid 4014 --swversion DE.1.0.9.0 --startMP 204:1486 --initTime 2017-03-05T17:02:49 --startdatetime 2017-03-05T17:44:06 --delay 1 --endMP 300:23289 --enddatetime 2017-03-05T17:58:16 --enforcementcount 0 &gt;&gt;C:\Users\stu\Documents\GitHub\eaglep3-reporting\EC\2017-03-05-refined-times.txt</v>
      </c>
      <c r="AI215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{"issue":{"subject":"","project_id":79,"tracker_id":40,"status_id":1,"priority_id":2,"assigned_to_id":23,"start_date":"2017-03-05","description":"","custom_fields":[{"id":1,"name":"Subdivision","value":"Other"},{"id":4,"name":"Milepost","value":"2.3289"},{"id":17,"name":"Train ID","value":"65-05"},{"id":16,"name":"Locomotive ID","value":"4014"},{"id":130,"name":"Impact","value":""},{"id":150,"name":"Time of Event (Mountain Time)","value":"17:58:16"},{"id":151,"name":"Denver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2"/>
        <v>start /low /b %USERPROFILE%\Documents\GitHub\eaglep3\Utilities\DownloadLogsFromS3.py --loco 4014 --day 2017-03-05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2017-03-05-UncaughtWiMAX.txt</v>
      </c>
    </row>
    <row r="216" spans="1:40" x14ac:dyDescent="0.25">
      <c r="A216" s="33" t="s">
        <v>576</v>
      </c>
      <c r="B216" s="7">
        <v>4066</v>
      </c>
      <c r="C216" s="21" t="s">
        <v>252</v>
      </c>
      <c r="D216" s="21" t="s">
        <v>299</v>
      </c>
      <c r="E216" s="13">
        <v>42799.09101851852</v>
      </c>
      <c r="F216" s="13">
        <v>42799.093287037038</v>
      </c>
      <c r="G216" s="7">
        <v>2</v>
      </c>
      <c r="H216" s="21" t="s">
        <v>914</v>
      </c>
      <c r="I216" s="13">
        <v>42799.101990740739</v>
      </c>
      <c r="J216" s="7">
        <v>0</v>
      </c>
      <c r="K216" s="98" t="str">
        <f t="shared" si="67"/>
        <v>4065/4066</v>
      </c>
      <c r="L216" s="21" t="str">
        <f>VLOOKUP(A216,'Trips&amp;Operators'!$C$1:$G$99999,5,FALSE)</f>
        <v>SIMMONS SHYHESHA</v>
      </c>
      <c r="M216" s="6">
        <f t="shared" si="68"/>
        <v>8.703703701030463E-3</v>
      </c>
      <c r="N216" s="7">
        <f t="shared" si="65"/>
        <v>12.533333329483867</v>
      </c>
      <c r="O216" s="7"/>
      <c r="P216" s="7"/>
      <c r="Q216" s="22"/>
      <c r="R216" s="22"/>
      <c r="S216" s="31">
        <f t="shared" si="69"/>
        <v>0</v>
      </c>
      <c r="T216" s="46" t="e">
        <f t="shared" si="70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1"/>
        <v>https://d0f6bd738d7f1b3e5a7ca70fe4ff75f0.us-east-1.aws.found.io/app/kibana#/discover/Steve-Slow-Train-Analysis-(2080s-and-2083s)?_g=(refreshInterval:(display:Off,pause:!f,section:0,value:0),time:(from:'2017-03-05T01:11:04-0700',mode:absolute,to:'2017-03-05T03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6" s="187" t="str">
        <f t="shared" si="72"/>
        <v>Y</v>
      </c>
      <c r="X216" s="187" t="e">
        <f t="shared" si="66"/>
        <v>#VALUE!</v>
      </c>
      <c r="Y216" s="62">
        <f t="shared" si="73"/>
        <v>4.8599999999999997E-2</v>
      </c>
      <c r="Z216" s="62">
        <f t="shared" si="74"/>
        <v>2.3300999999999998</v>
      </c>
      <c r="AA216" s="62">
        <f t="shared" si="75"/>
        <v>2.2814999999999999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6"/>
        <v>80-04</v>
      </c>
      <c r="AE216" s="85" t="str">
        <f t="shared" si="77"/>
        <v>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 &amp; 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</v>
      </c>
      <c r="AF216" s="82" t="str">
        <f t="shared" si="78"/>
        <v>"C:\Program Files (x86)\AstroGrep\AstroGrep.exe" /spath="%USERPROFILE%\AppData\Local\Temp\OnboardLogs" /stypes="app*4066*20170305*" /stext=" 09:.+((SYSTEM_STATE.+slice.+state.+changed )|(ment ac)|(multiple cpu faults)|(system.+state.+changed )|(\[timeout)|(PRM\|1\|D)|(kpr)|(kdp)|(\|loc)|(crossing.((167)|(168)|(199)|(200))))" /e /r /s</v>
      </c>
      <c r="AG216" s="1" t="str">
        <f t="shared" si="79"/>
        <v>Other</v>
      </c>
      <c r="AH216" s="86" t="str">
        <f t="shared" si="80"/>
        <v>"%USERPROFILE%\Documents\GitHub\eaglep3\Utilities\RefineRTDCRunTimes.py" --tripid 80-04 --locoid 4066 --swversion DE.1.0.9.0 --startMP 204:486 --initTime 2017-03-05T02:11:04 --startdatetime 2017-03-05T02:14:20 --delay 2 --endMP 300:23301 --enddatetime 2017-03-05T02:26:52 --enforcementcount 0 &gt;&gt;C:\Users\stu\Documents\GitHub\eaglep3-reporting\EC\2017-03-05-refined-times.txt</v>
      </c>
      <c r="AI216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{"issue":{"subject":"","project_id":79,"tracker_id":40,"status_id":1,"priority_id":2,"assigned_to_id":23,"start_date":"2017-03-05","description":"","custom_fields":[{"id":1,"name":"Subdivision","value":"Other"},{"id":4,"name":"Milepost","value":"2.3301"},{"id":17,"name":"Train ID","value":"80-04"},{"id":16,"name":"Locomotive ID","value":"4066"},{"id":130,"name":"Impact","value":""},{"id":150,"name":"Time of Event (Mountain Time)","value":"02:26:52"},{"id":151,"name":"Denver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2"/>
        <v>start /low /b %USERPROFILE%\Documents\GitHub\eaglep3\Utilities\DownloadLogsFromS3.py --loco 4066 --day 2017-03-05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"%USERPROFILE%\AppData\Local\Temp\OnboardLogs"\RTDC4066\*4066*20170305* | grep -SE "(Enforcement Action)|(\[TIMEOUT)|(CHR.+\|PRM\|1\|D.+(SWITCH|SIGNAL).+UNKNOWN)" - &gt;&gt; 2017-03-05-UncaughtWiMAX.txt</v>
      </c>
    </row>
    <row r="217" spans="1:40" x14ac:dyDescent="0.25">
      <c r="A217" s="33" t="s">
        <v>768</v>
      </c>
      <c r="B217" s="7">
        <v>4065</v>
      </c>
      <c r="C217" s="21" t="s">
        <v>252</v>
      </c>
      <c r="D217" s="21" t="s">
        <v>333</v>
      </c>
      <c r="E217" s="13">
        <v>42799.912303240744</v>
      </c>
      <c r="F217" s="13">
        <v>42799.918483796297</v>
      </c>
      <c r="G217" s="7">
        <v>1</v>
      </c>
      <c r="H217" s="21" t="s">
        <v>915</v>
      </c>
      <c r="I217" s="13">
        <v>42799.946400462963</v>
      </c>
      <c r="J217" s="7">
        <v>0</v>
      </c>
      <c r="K217" s="98" t="str">
        <f t="shared" si="67"/>
        <v>4065/4066</v>
      </c>
      <c r="L217" s="21" t="str">
        <f>VLOOKUP(A217,'Trips&amp;Operators'!$C$1:$G$99999,5,FALSE)</f>
        <v>MAGEE KENYA</v>
      </c>
      <c r="M217" s="6">
        <f t="shared" si="68"/>
        <v>2.7916666665987577E-2</v>
      </c>
      <c r="N217" s="7">
        <f t="shared" si="65"/>
        <v>40.199999999022111</v>
      </c>
      <c r="O217" s="7"/>
      <c r="P217" s="7"/>
      <c r="Q217" s="22"/>
      <c r="R217" s="22"/>
      <c r="S217" s="31">
        <f t="shared" si="69"/>
        <v>0</v>
      </c>
      <c r="T217" s="46" t="e">
        <f t="shared" si="70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1"/>
        <v>https://d0f6bd738d7f1b3e5a7ca70fe4ff75f0.us-east-1.aws.found.io/app/kibana#/discover/Steve-Slow-Train-Analysis-(2080s-and-2083s)?_g=(refreshInterval:(display:Off,pause:!f,section:0,value:0),time:(from:'2017-03-05T20:53:43-0700',mode:absolute,to:'2017-03-05T23:42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7" s="187" t="str">
        <f t="shared" si="72"/>
        <v>N</v>
      </c>
      <c r="X217" s="187" t="e">
        <f t="shared" si="66"/>
        <v>#VALUE!</v>
      </c>
      <c r="Y217" s="62">
        <f t="shared" si="73"/>
        <v>23.297799999999999</v>
      </c>
      <c r="Z217" s="62">
        <f t="shared" si="74"/>
        <v>2.69E-2</v>
      </c>
      <c r="AA217" s="62">
        <f t="shared" si="75"/>
        <v>23.270899999999997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6"/>
        <v>86-05</v>
      </c>
      <c r="AE217" s="85" t="str">
        <f t="shared" si="77"/>
        <v>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 &amp; 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</v>
      </c>
      <c r="AF217" s="82" t="str">
        <f t="shared" si="78"/>
        <v>"C:\Program Files (x86)\AstroGrep\AstroGrep.exe" /spath="%USERPROFILE%\AppData\Local\Temp\OnboardLogs" /stypes="app*4065*20170306*" /stext=" 05:.+((SYSTEM_STATE.+slice.+state.+changed )|(ment ac)|(multiple cpu faults)|(system.+state.+changed )|(\[timeout)|(PRM\|1\|D)|(kpr)|(kdp)|(\|loc)|(crossing.((167)|(168)|(199)|(200))))" /e /r /s</v>
      </c>
      <c r="AG217" s="1" t="str">
        <f t="shared" si="79"/>
        <v>Other</v>
      </c>
      <c r="AH217" s="86" t="str">
        <f t="shared" si="80"/>
        <v>"%USERPROFILE%\Documents\GitHub\eaglep3\Utilities\RefineRTDCRunTimes.py" --tripid 86-05 --locoid 4065 --swversion DE.1.0.9.0 --startMP 204:232978 --initTime 2017-03-05T21:53:43 --startdatetime 2017-03-05T22:02:37 --delay 1 --endMP 204:269 --enddatetime 2017-03-05T22:42:49 --enforcementcount 0 &gt;&gt;C:\Users\stu\Documents\GitHub\eaglep3-reporting\EC\2017-03-05-refined-times.txt</v>
      </c>
      <c r="AI217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{"issue":{"subject":"","project_id":79,"tracker_id":40,"status_id":1,"priority_id":2,"assigned_to_id":23,"start_date":"2017-03-05","description":"","custom_fields":[{"id":1,"name":"Subdivision","value":"Other"},{"id":4,"name":"Milepost","value":"0.0269"},{"id":17,"name":"Train ID","value":"86-05"},{"id":16,"name":"Locomotive ID","value":"4065"},{"id":130,"name":"Impact","value":""},{"id":150,"name":"Time of Event (Mountain Time)","value":"22:42:49"},{"id":151,"name":"Denver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2"/>
        <v>start /low /b %USERPROFILE%\Documents\GitHub\eaglep3\Utilities\DownloadLogsFromS3.py --loco 4065 --day 2017-03-05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"%USERPROFILE%\AppData\Local\Temp\OnboardLogs"\RTDC4065\*4065*20170306* | grep -SE "(Enforcement Action)|(\[TIMEOUT)|(CHR.+\|PRM\|1\|D.+(SWITCH|SIGNAL).+UNKNOWN)" - &gt;&gt; 2017-03-05-UncaughtWiMAX.txt</v>
      </c>
    </row>
    <row r="218" spans="1:40" x14ac:dyDescent="0.25">
      <c r="A218" s="33" t="s">
        <v>768</v>
      </c>
      <c r="B218" s="7">
        <v>4065</v>
      </c>
      <c r="C218" s="21" t="s">
        <v>252</v>
      </c>
      <c r="D218" s="21" t="s">
        <v>309</v>
      </c>
      <c r="E218" s="13">
        <v>42800.04546296296</v>
      </c>
      <c r="F218" s="13">
        <v>42800.061018518521</v>
      </c>
      <c r="G218" s="7">
        <v>1</v>
      </c>
      <c r="H218" s="21" t="s">
        <v>900</v>
      </c>
      <c r="I218" s="13">
        <v>42800.088993055557</v>
      </c>
      <c r="J218" s="7">
        <v>0</v>
      </c>
      <c r="K218" s="98" t="str">
        <f t="shared" si="67"/>
        <v>4065/4066</v>
      </c>
      <c r="L218" s="21" t="str">
        <f>VLOOKUP(A218,'Trips&amp;Operators'!$C$1:$G$99999,5,FALSE)</f>
        <v>MAGEE KENYA</v>
      </c>
      <c r="M218" s="6">
        <f t="shared" si="68"/>
        <v>2.7974537035333924E-2</v>
      </c>
      <c r="N218" s="7">
        <f t="shared" si="65"/>
        <v>40.283333330880851</v>
      </c>
      <c r="O218" s="7"/>
      <c r="P218" s="7"/>
      <c r="Q218" s="22"/>
      <c r="R218" s="22"/>
      <c r="S218" s="31">
        <f t="shared" si="69"/>
        <v>0</v>
      </c>
      <c r="T218" s="46" t="e">
        <f t="shared" si="70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1"/>
        <v>https://d0f6bd738d7f1b3e5a7ca70fe4ff75f0.us-east-1.aws.found.io/app/kibana#/discover/Steve-Slow-Train-Analysis-(2080s-and-2083s)?_g=(refreshInterval:(display:Off,pause:!f,section:0,value:0),time:(from:'2017-03-06T00:05:28-0700',mode:absolute,to:'2017-03-06T03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8" s="187" t="str">
        <f t="shared" si="72"/>
        <v>N</v>
      </c>
      <c r="X218" s="187" t="e">
        <f t="shared" si="66"/>
        <v>#VALUE!</v>
      </c>
      <c r="Y218" s="62">
        <f t="shared" si="73"/>
        <v>23.301100000000002</v>
      </c>
      <c r="Z218" s="62">
        <f t="shared" si="74"/>
        <v>1.4800000000000001E-2</v>
      </c>
      <c r="AA218" s="62">
        <f t="shared" si="75"/>
        <v>23.286300000000001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6"/>
        <v>86-05</v>
      </c>
      <c r="AE218" s="85" t="str">
        <f t="shared" si="77"/>
        <v>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 &amp; 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</v>
      </c>
      <c r="AF218" s="82" t="str">
        <f t="shared" si="78"/>
        <v>"C:\Program Files (x86)\AstroGrep\AstroGrep.exe" /spath="%USERPROFILE%\AppData\Local\Temp\OnboardLogs" /stypes="app*4065*20170306*" /stext=" 09:.+((SYSTEM_STATE.+slice.+state.+changed )|(ment ac)|(multiple cpu faults)|(system.+state.+changed )|(\[timeout)|(PRM\|1\|D)|(kpr)|(kdp)|(\|loc)|(crossing.((167)|(168)|(199)|(200))))" /e /r /s</v>
      </c>
      <c r="AG218" s="1" t="str">
        <f t="shared" si="79"/>
        <v>Other</v>
      </c>
      <c r="AH218" s="86" t="str">
        <f t="shared" si="80"/>
        <v>"%USERPROFILE%\Documents\GitHub\eaglep3\Utilities\RefineRTDCRunTimes.py" --tripid 86-05 --locoid 4065 --swversion DE.1.0.9.0 --startMP 204:233011 --initTime 2017-03-06T01:05:28 --startdatetime 2017-03-06T01:27:52 --delay 1 --endMP 204:148 --enddatetime 2017-03-06T02:08:09 --enforcementcount 0 &gt;&gt;C:\Users\stu\Documents\GitHub\eaglep3-reporting\EC\2017-03-05-refined-times.txt</v>
      </c>
      <c r="AI218" s="108" t="str">
        <f t="shared" si="81"/>
        <v>echo {"issue":{"subject":"","project_id":79,"tracker_id":40,"status_id":1,"priority_id":2,"assigned_to_id":23,"start_date":"2017-03-06","description":"","custom_fields":[{"id":1,"name":"Subdivision","value":"Other"},{"id":4,"name":"Milepost","value":"0.0148"},{"id":17,"name":"Train ID","value":"86-05"},{"id":16,"name":"Locomotive ID","value":"4065"},{"id":130,"name":"Impact","value":""},{"id":150,"name":"Time of Event (Mountain Time)","value":"02:08:09"},{"id":151,"name":"Denver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2"/>
        <v>start /low /b %USERPROFILE%\Documents\GitHub\eaglep3\Utilities\DownloadLogsFromS3.py --loco 4065 --day 2017-03-06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"%USERPROFILE%\AppData\Local\Temp\OnboardLogs"\RTDC4065\*4065*20170306* | grep -SE "(Enforcement Action)|(\[TIMEOUT)|(CHR.+\|PRM\|1\|D.+(SWITCH|SIGNAL).+UNKNOWN)" - &gt;&gt; 2017-03-05-UncaughtWiMAX.txt</v>
      </c>
    </row>
    <row r="219" spans="1:40" x14ac:dyDescent="0.25">
      <c r="A219" s="33" t="s">
        <v>768</v>
      </c>
      <c r="B219" s="7">
        <v>4065</v>
      </c>
      <c r="C219" s="21" t="s">
        <v>252</v>
      </c>
      <c r="D219" s="21" t="s">
        <v>916</v>
      </c>
      <c r="E219" s="13">
        <v>42799.975092592591</v>
      </c>
      <c r="F219" s="13">
        <v>42799.981562499997</v>
      </c>
      <c r="G219" s="7">
        <v>8</v>
      </c>
      <c r="H219" s="21" t="s">
        <v>516</v>
      </c>
      <c r="I219" s="13">
        <v>42800.007638888892</v>
      </c>
      <c r="J219" s="7">
        <v>0</v>
      </c>
      <c r="K219" s="98" t="str">
        <f t="shared" si="67"/>
        <v>4065/4066</v>
      </c>
      <c r="L219" s="21" t="str">
        <f>VLOOKUP(A219,'Trips&amp;Operators'!$C$1:$G$99999,5,FALSE)</f>
        <v>MAGEE KENYA</v>
      </c>
      <c r="M219" s="6">
        <f t="shared" si="68"/>
        <v>2.6076388894580305E-2</v>
      </c>
      <c r="N219" s="7">
        <f t="shared" si="65"/>
        <v>37.550000008195639</v>
      </c>
      <c r="O219" s="7"/>
      <c r="P219" s="7"/>
      <c r="Q219" s="22"/>
      <c r="R219" s="22"/>
      <c r="S219" s="31">
        <f t="shared" si="69"/>
        <v>0</v>
      </c>
      <c r="T219" s="46" t="e">
        <f t="shared" si="70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1"/>
        <v>https://d0f6bd738d7f1b3e5a7ca70fe4ff75f0.us-east-1.aws.found.io/app/kibana#/discover/Steve-Slow-Train-Analysis-(2080s-and-2083s)?_g=(refreshInterval:(display:Off,pause:!f,section:0,value:0),time:(from:'2017-03-05T22:24:08-0700',mode:absolute,to:'2017-03-06T01:11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9" s="187" t="str">
        <f t="shared" si="72"/>
        <v>N</v>
      </c>
      <c r="X219" s="187" t="e">
        <f t="shared" si="66"/>
        <v>#VALUE!</v>
      </c>
      <c r="Y219" s="62">
        <f t="shared" si="73"/>
        <v>23.303799999999999</v>
      </c>
      <c r="Z219" s="62">
        <f t="shared" si="74"/>
        <v>1.43E-2</v>
      </c>
      <c r="AA219" s="62">
        <f t="shared" si="75"/>
        <v>23.2895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6"/>
        <v>86-05</v>
      </c>
      <c r="AE219" s="85" t="str">
        <f t="shared" si="77"/>
        <v>aws s3 cp s3://rtdc.mdm.uploadarchive.raw/RTDC4065/ "%USERPROFILE%\AppData\Local\Temp\OnboardLogs"\RTDC4065\2017-03-05 --exclude "*" --recursive --include "*20170305*" &amp; "%USERPROFILE%\Documents\GitHub\mrs-test-scripts\Headless Mode &amp; Sideloading\WalkAndUnGZ.bat" "%USERPROFILE%\AppData\Local\Temp\OnboardLogs"\RTDC4065\2017-03-05 &amp; 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</v>
      </c>
      <c r="AF219" s="82" t="str">
        <f t="shared" si="78"/>
        <v>"C:\Program Files (x86)\AstroGrep\AstroGrep.exe" /spath="%USERPROFILE%\AppData\Local\Temp\OnboardLogs" /stypes="app*4065*20170306*" /stext=" 07:.+((SYSTEM_STATE.+slice.+state.+changed )|(ment ac)|(multiple cpu faults)|(system.+state.+changed )|(\[timeout)|(PRM\|1\|D)|(kpr)|(kdp)|(\|loc)|(crossing.((167)|(168)|(199)|(200))))" /e /r /s</v>
      </c>
      <c r="AG219" s="1" t="str">
        <f t="shared" si="79"/>
        <v>Other</v>
      </c>
      <c r="AH219" s="86" t="str">
        <f t="shared" si="80"/>
        <v>"%USERPROFILE%\Documents\GitHub\eaglep3\Utilities\RefineRTDCRunTimes.py" --tripid 86-05 --locoid 4065 --swversion DE.1.0.9.0 --startMP 204:233038 --initTime 2017-03-05T23:24:08 --startdatetime 2017-03-05T23:33:27 --delay 8 --endMP 204:143 --enddatetime 2017-03-06T00:11:00 --enforcementcount 0 &gt;&gt;C:\Users\stu\Documents\GitHub\eaglep3-reporting\EC\2017-03-05-refined-times.txt</v>
      </c>
      <c r="AI219" s="108" t="str">
        <f t="shared" si="81"/>
        <v>echo {"issue":{"subject":"","project_id":79,"tracker_id":40,"status_id":1,"priority_id":2,"assigned_to_id":23,"start_date":"2017-03-06","description":"","custom_fields":[{"id":1,"name":"Subdivision","value":"Other"},{"id":4,"name":"Milepost","value":"0.0143"},{"id":17,"name":"Train ID","value":"86-05"},{"id":16,"name":"Locomotive ID","value":"4065"},{"id":130,"name":"Impact","value":""},{"id":150,"name":"Time of Event (Mountain Time)","value":"00:11:00"},{"id":151,"name":"Denver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2"/>
        <v>start /low /b %USERPROFILE%\Documents\GitHub\eaglep3\Utilities\DownloadLogsFromS3.py --loco 4065 --day 2017-03-05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"%USERPROFILE%\AppData\Local\Temp\OnboardLogs"\RTDC4065\*4065*20170306* | grep -SE "(Enforcement Action)|(\[TIMEOUT)|(CHR.+\|PRM\|1\|D.+(SWITCH|SIGNAL).+UNKNOWN)" - &gt;&gt; 2017-03-05-UncaughtWiMAX.txt</v>
      </c>
    </row>
    <row r="220" spans="1:40" x14ac:dyDescent="0.25">
      <c r="A220" s="33" t="s">
        <v>759</v>
      </c>
      <c r="B220" s="7">
        <v>4066</v>
      </c>
      <c r="C220" s="21" t="s">
        <v>252</v>
      </c>
      <c r="D220" s="21" t="s">
        <v>525</v>
      </c>
      <c r="E220" s="13">
        <v>42799.879872685182</v>
      </c>
      <c r="F220" s="13">
        <v>42799.882210648146</v>
      </c>
      <c r="G220" s="7">
        <v>2</v>
      </c>
      <c r="H220" s="21" t="s">
        <v>260</v>
      </c>
      <c r="I220" s="13">
        <v>42799.907511574071</v>
      </c>
      <c r="J220" s="7">
        <v>0</v>
      </c>
      <c r="K220" s="98" t="str">
        <f t="shared" si="67"/>
        <v>4065/4066</v>
      </c>
      <c r="L220" s="21" t="str">
        <f>VLOOKUP(A220,'Trips&amp;Operators'!$C$1:$G$99999,5,FALSE)</f>
        <v>MAGEE KENYA</v>
      </c>
      <c r="M220" s="6">
        <f t="shared" si="68"/>
        <v>2.5300925924966577E-2</v>
      </c>
      <c r="N220" s="7">
        <f t="shared" si="65"/>
        <v>36.433333331951872</v>
      </c>
      <c r="O220" s="7"/>
      <c r="P220" s="7"/>
      <c r="Q220" s="22"/>
      <c r="R220" s="22"/>
      <c r="S220" s="31">
        <f t="shared" si="69"/>
        <v>0</v>
      </c>
      <c r="T220" s="46" t="e">
        <f t="shared" si="70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1"/>
        <v>https://d0f6bd738d7f1b3e5a7ca70fe4ff75f0.us-east-1.aws.found.io/app/kibana#/discover/Steve-Slow-Train-Analysis-(2080s-and-2083s)?_g=(refreshInterval:(display:Off,pause:!f,section:0,value:0),time:(from:'2017-03-05T20:07:01-0700',mode:absolute,to:'2017-03-05T22:46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0" s="187" t="str">
        <f t="shared" si="72"/>
        <v>N</v>
      </c>
      <c r="X220" s="187" t="e">
        <f t="shared" si="66"/>
        <v>#VALUE!</v>
      </c>
      <c r="Y220" s="62">
        <f t="shared" si="73"/>
        <v>0.12180000000000001</v>
      </c>
      <c r="Z220" s="62">
        <f t="shared" si="74"/>
        <v>23.329699999999999</v>
      </c>
      <c r="AA220" s="62">
        <f t="shared" si="75"/>
        <v>23.207899999999999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6"/>
        <v>87-05</v>
      </c>
      <c r="AE220" s="85" t="str">
        <f t="shared" si="77"/>
        <v>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 &amp; 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</v>
      </c>
      <c r="AF220" s="82" t="str">
        <f t="shared" si="78"/>
        <v>"C:\Program Files (x86)\AstroGrep\AstroGrep.exe" /spath="%USERPROFILE%\AppData\Local\Temp\OnboardLogs" /stypes="app*4066*20170306*" /stext=" 04:.+((SYSTEM_STATE.+slice.+state.+changed )|(ment ac)|(multiple cpu faults)|(system.+state.+changed )|(\[timeout)|(PRM\|1\|D)|(kpr)|(kdp)|(\|loc)|(crossing.((167)|(168)|(199)|(200))))" /e /r /s</v>
      </c>
      <c r="AG220" s="1" t="str">
        <f t="shared" si="79"/>
        <v>Other</v>
      </c>
      <c r="AH220" s="86" t="str">
        <f t="shared" si="80"/>
        <v>"%USERPROFILE%\Documents\GitHub\eaglep3\Utilities\RefineRTDCRunTimes.py" --tripid 87-05 --locoid 4066 --swversion DE.1.0.9.0 --startMP 204:1218 --initTime 2017-03-05T21:07:01 --startdatetime 2017-03-05T21:10:23 --delay 2 --endMP 204:233297 --enddatetime 2017-03-05T21:46:49 --enforcementcount 0 &gt;&gt;C:\Users\stu\Documents\GitHub\eaglep3-reporting\EC\2017-03-05-refined-times.txt</v>
      </c>
      <c r="AI220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{"issue":{"subject":"","project_id":79,"tracker_id":40,"status_id":1,"priority_id":2,"assigned_to_id":23,"start_date":"2017-03-05","description":"","custom_fields":[{"id":1,"name":"Subdivision","value":"Other"},{"id":4,"name":"Milepost","value":"23.3297"},{"id":17,"name":"Train ID","value":"87-05"},{"id":16,"name":"Locomotive ID","value":"4066"},{"id":130,"name":"Impact","value":""},{"id":150,"name":"Time of Event (Mountain Time)","value":"21:46:49"},{"id":151,"name":"Denver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2"/>
        <v>start /low /b %USERPROFILE%\Documents\GitHub\eaglep3\Utilities\DownloadLogsFromS3.py --loco 4066 --day 2017-03-05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"%USERPROFILE%\AppData\Local\Temp\OnboardLogs"\RTDC4066\*4066*20170306* | grep -SE "(Enforcement Action)|(\[TIMEOUT)|(CHR.+\|PRM\|1\|D.+(SWITCH|SIGNAL).+UNKNOWN)" - &gt;&gt; 2017-03-05-UncaughtWiMAX.txt</v>
      </c>
    </row>
    <row r="221" spans="1:40" x14ac:dyDescent="0.25">
      <c r="A221" s="33" t="s">
        <v>759</v>
      </c>
      <c r="B221" s="7">
        <v>4066</v>
      </c>
      <c r="C221" s="21" t="s">
        <v>252</v>
      </c>
      <c r="D221" s="21" t="s">
        <v>243</v>
      </c>
      <c r="E221" s="13">
        <v>42800.090520833335</v>
      </c>
      <c r="F221" s="13">
        <v>42800.094710648147</v>
      </c>
      <c r="G221" s="7">
        <v>2</v>
      </c>
      <c r="H221" s="21" t="s">
        <v>524</v>
      </c>
      <c r="I221" s="13">
        <v>42800.101354166669</v>
      </c>
      <c r="J221" s="7">
        <v>0</v>
      </c>
      <c r="K221" s="98" t="str">
        <f t="shared" si="67"/>
        <v>4065/4066</v>
      </c>
      <c r="L221" s="21" t="str">
        <f>VLOOKUP(A221,'Trips&amp;Operators'!$C$1:$G$99999,5,FALSE)</f>
        <v>MAGEE KENYA</v>
      </c>
      <c r="M221" s="6">
        <f t="shared" si="68"/>
        <v>6.6435185217414983E-3</v>
      </c>
      <c r="N221" s="7">
        <f t="shared" si="65"/>
        <v>9.5666666713077575</v>
      </c>
      <c r="O221" s="7"/>
      <c r="P221" s="7"/>
      <c r="Q221" s="22"/>
      <c r="R221" s="22"/>
      <c r="S221" s="31">
        <f t="shared" si="69"/>
        <v>0</v>
      </c>
      <c r="T221" s="46" t="e">
        <f t="shared" si="70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1"/>
        <v>https://d0f6bd738d7f1b3e5a7ca70fe4ff75f0.us-east-1.aws.found.io/app/kibana#/discover/Steve-Slow-Train-Analysis-(2080s-and-2083s)?_g=(refreshInterval:(display:Off,pause:!f,section:0,value:0),time:(from:'2017-03-06T01:10:21-0700',mode:absolute,to:'2017-03-06T03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1" s="187" t="str">
        <f t="shared" si="72"/>
        <v>Y</v>
      </c>
      <c r="X221" s="187" t="e">
        <f t="shared" si="66"/>
        <v>#VALUE!</v>
      </c>
      <c r="Y221" s="62">
        <f t="shared" si="73"/>
        <v>4.4400000000000002E-2</v>
      </c>
      <c r="Z221" s="62">
        <f t="shared" si="74"/>
        <v>2.3325</v>
      </c>
      <c r="AA221" s="62">
        <f t="shared" si="75"/>
        <v>2.2881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6"/>
        <v>87-05</v>
      </c>
      <c r="AE221" s="85" t="str">
        <f t="shared" si="77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21" s="82" t="str">
        <f t="shared" si="78"/>
        <v>"C:\Program Files (x86)\AstroGrep\AstroGrep.exe" /spath="%USERPROFILE%\AppData\Local\Temp\OnboardLogs" /stypes="app*4066*20170306*" /stext=" 09:.+((SYSTEM_STATE.+slice.+state.+changed )|(ment ac)|(multiple cpu faults)|(system.+state.+changed )|(\[timeout)|(PRM\|1\|D)|(kpr)|(kdp)|(\|loc)|(crossing.((167)|(168)|(199)|(200))))" /e /r /s</v>
      </c>
      <c r="AG221" s="1" t="str">
        <f t="shared" si="79"/>
        <v>Other</v>
      </c>
      <c r="AH221" s="86" t="str">
        <f t="shared" si="80"/>
        <v>"%USERPROFILE%\Documents\GitHub\eaglep3\Utilities\RefineRTDCRunTimes.py" --tripid 87-05 --locoid 4066 --swversion DE.1.0.9.0 --startMP 204:444 --initTime 2017-03-06T02:10:21 --startdatetime 2017-03-06T02:16:23 --delay 2 --endMP 300:23325 --enddatetime 2017-03-06T02:25:57 --enforcementcount 0 &gt;&gt;C:\Users\stu\Documents\GitHub\eaglep3-reporting\EC\2017-03-05-refined-times.txt</v>
      </c>
      <c r="AI221" s="108" t="str">
        <f t="shared" si="81"/>
        <v>echo {"issue":{"subject":"","project_id":79,"tracker_id":40,"status_id":1,"priority_id":2,"assigned_to_id":23,"start_date":"2017-03-06","description":"","custom_fields":[{"id":1,"name":"Subdivision","value":"Other"},{"id":4,"name":"Milepost","value":"2.3325"},{"id":17,"name":"Train ID","value":"87-05"},{"id":16,"name":"Locomotive ID","value":"4066"},{"id":130,"name":"Impact","value":""},{"id":150,"name":"Time of Event (Mountain Time)","value":"02:25:57"},{"id":151,"name":"Denver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2"/>
        <v>start /low /b %USERPROFILE%\Documents\GitHub\eaglep3\Utilities\DownloadLogsFromS3.py --loco 4066 --day 2017-03-06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"%USERPROFILE%\AppData\Local\Temp\OnboardLogs"\RTDC4066\*4066*20170306* | grep -SE "(Enforcement Action)|(\[TIMEOUT)|(CHR.+\|PRM\|1\|D.+(SWITCH|SIGNAL).+UNKNOWN)" - &gt;&gt; 2017-03-05-UncaughtWiMAX.txt</v>
      </c>
    </row>
    <row r="222" spans="1:40" x14ac:dyDescent="0.25">
      <c r="A222" s="33" t="s">
        <v>759</v>
      </c>
      <c r="B222" s="7">
        <v>4066</v>
      </c>
      <c r="C222" s="21" t="s">
        <v>252</v>
      </c>
      <c r="D222" s="21" t="s">
        <v>235</v>
      </c>
      <c r="E222" s="13">
        <v>42800.009259259263</v>
      </c>
      <c r="F222" s="13">
        <v>42800.010335648149</v>
      </c>
      <c r="G222" s="7">
        <v>1</v>
      </c>
      <c r="H222" s="21" t="s">
        <v>917</v>
      </c>
      <c r="I222" s="13">
        <v>42800.035081018519</v>
      </c>
      <c r="J222" s="7">
        <v>0</v>
      </c>
      <c r="K222" s="98" t="str">
        <f t="shared" si="67"/>
        <v>4065/4066</v>
      </c>
      <c r="L222" s="21" t="str">
        <f>VLOOKUP(A222,'Trips&amp;Operators'!$C$1:$G$99999,5,FALSE)</f>
        <v>MAGEE KENYA</v>
      </c>
      <c r="M222" s="6">
        <f t="shared" si="68"/>
        <v>2.47453703705105E-2</v>
      </c>
      <c r="N222" s="7">
        <f t="shared" si="65"/>
        <v>35.63333333353512</v>
      </c>
      <c r="O222" s="7"/>
      <c r="P222" s="7"/>
      <c r="Q222" s="22"/>
      <c r="R222" s="22"/>
      <c r="S222" s="31">
        <f t="shared" si="69"/>
        <v>0</v>
      </c>
      <c r="T222" s="46" t="e">
        <f t="shared" si="70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1"/>
        <v>https://d0f6bd738d7f1b3e5a7ca70fe4ff75f0.us-east-1.aws.found.io/app/kibana#/discover/Steve-Slow-Train-Analysis-(2080s-and-2083s)?_g=(refreshInterval:(display:Off,pause:!f,section:0,value:0),time:(from:'2017-03-05T23:13:20-0700',mode:absolute,to:'2017-03-06T01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2" s="187" t="str">
        <f t="shared" si="72"/>
        <v>N</v>
      </c>
      <c r="X222" s="187" t="e">
        <f t="shared" si="66"/>
        <v>#VALUE!</v>
      </c>
      <c r="Y222" s="62">
        <f t="shared" si="73"/>
        <v>4.6399999999999997E-2</v>
      </c>
      <c r="Z222" s="62">
        <f t="shared" si="74"/>
        <v>23.334700000000002</v>
      </c>
      <c r="AA222" s="62">
        <f t="shared" si="75"/>
        <v>23.288300000000003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6"/>
        <v>87-05</v>
      </c>
      <c r="AE222" s="85" t="str">
        <f t="shared" si="77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22" s="82" t="str">
        <f t="shared" si="78"/>
        <v>"C:\Program Files (x86)\AstroGrep\AstroGrep.exe" /spath="%USERPROFILE%\AppData\Local\Temp\OnboardLogs" /stypes="app*4066*20170306*" /stext=" 07:.+((SYSTEM_STATE.+slice.+state.+changed )|(ment ac)|(multiple cpu faults)|(system.+state.+changed )|(\[timeout)|(PRM\|1\|D)|(kpr)|(kdp)|(\|loc)|(crossing.((167)|(168)|(199)|(200))))" /e /r /s</v>
      </c>
      <c r="AG222" s="1" t="str">
        <f t="shared" si="79"/>
        <v>Other</v>
      </c>
      <c r="AH222" s="86" t="str">
        <f t="shared" si="80"/>
        <v>"%USERPROFILE%\Documents\GitHub\eaglep3\Utilities\RefineRTDCRunTimes.py" --tripid 87-05 --locoid 4066 --swversion DE.1.0.9.0 --startMP 204:464 --initTime 2017-03-06T00:13:20 --startdatetime 2017-03-06T00:14:53 --delay 1 --endMP 204:233347 --enddatetime 2017-03-06T00:50:31 --enforcementcount 0 &gt;&gt;C:\Users\stu\Documents\GitHub\eaglep3-reporting\EC\2017-03-05-refined-times.txt</v>
      </c>
      <c r="AI222" s="108" t="str">
        <f t="shared" si="81"/>
        <v>echo {"issue":{"subject":"","project_id":79,"tracker_id":40,"status_id":1,"priority_id":2,"assigned_to_id":23,"start_date":"2017-03-06","description":"","custom_fields":[{"id":1,"name":"Subdivision","value":"Other"},{"id":4,"name":"Milepost","value":"23.3347"},{"id":17,"name":"Train ID","value":"87-05"},{"id":16,"name":"Locomotive ID","value":"4066"},{"id":130,"name":"Impact","value":""},{"id":150,"name":"Time of Event (Mountain Time)","value":"00:50:31"},{"id":151,"name":"Denver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2"/>
        <v>start /low /b %USERPROFILE%\Documents\GitHub\eaglep3\Utilities\DownloadLogsFromS3.py --loco 4066 --day 2017-03-06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"%USERPROFILE%\AppData\Local\Temp\OnboardLogs"\RTDC4066\*4066*20170306* | grep -SE "(Enforcement Action)|(\[TIMEOUT)|(CHR.+\|PRM\|1\|D.+(SWITCH|SIGNAL).+UNKNOWN)" - &gt;&gt; 2017-03-05-UncaughtWiMAX.txt</v>
      </c>
    </row>
    <row r="223" spans="1:40" x14ac:dyDescent="0.25">
      <c r="A223" s="33" t="s">
        <v>759</v>
      </c>
      <c r="B223" s="7">
        <v>4066</v>
      </c>
      <c r="C223" s="21" t="s">
        <v>252</v>
      </c>
      <c r="D223" s="21" t="s">
        <v>518</v>
      </c>
      <c r="E223" s="13">
        <v>42799.947256944448</v>
      </c>
      <c r="F223" s="13">
        <v>42799.948472222219</v>
      </c>
      <c r="G223" s="7">
        <v>1</v>
      </c>
      <c r="H223" s="21" t="s">
        <v>918</v>
      </c>
      <c r="I223" s="13">
        <v>42799.973344907405</v>
      </c>
      <c r="J223" s="7">
        <v>0</v>
      </c>
      <c r="K223" s="98" t="str">
        <f t="shared" si="67"/>
        <v>4065/4066</v>
      </c>
      <c r="L223" s="21" t="str">
        <f>VLOOKUP(A223,'Trips&amp;Operators'!$C$1:$G$99999,5,FALSE)</f>
        <v>MAGEE KENYA</v>
      </c>
      <c r="M223" s="6">
        <f t="shared" si="68"/>
        <v>2.4872685185982846E-2</v>
      </c>
      <c r="N223" s="7">
        <f t="shared" si="65"/>
        <v>35.816666667815298</v>
      </c>
      <c r="O223" s="7"/>
      <c r="P223" s="7"/>
      <c r="Q223" s="22"/>
      <c r="R223" s="22"/>
      <c r="S223" s="31">
        <f t="shared" si="69"/>
        <v>0</v>
      </c>
      <c r="T223" s="46" t="e">
        <f t="shared" si="70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1"/>
        <v>https://d0f6bd738d7f1b3e5a7ca70fe4ff75f0.us-east-1.aws.found.io/app/kibana#/discover/Steve-Slow-Train-Analysis-(2080s-and-2083s)?_g=(refreshInterval:(display:Off,pause:!f,section:0,value:0),time:(from:'2017-03-05T21:44:03-0700',mode:absolute,to:'2017-03-06T00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3" s="187" t="str">
        <f t="shared" si="72"/>
        <v>N</v>
      </c>
      <c r="X223" s="187" t="e">
        <f t="shared" si="66"/>
        <v>#VALUE!</v>
      </c>
      <c r="Y223" s="62">
        <f t="shared" si="73"/>
        <v>4.9500000000000002E-2</v>
      </c>
      <c r="Z223" s="62">
        <f t="shared" si="74"/>
        <v>23.332799999999999</v>
      </c>
      <c r="AA223" s="62">
        <f t="shared" si="75"/>
        <v>23.283300000000001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6"/>
        <v>87-05</v>
      </c>
      <c r="AE223" s="85" t="str">
        <f t="shared" si="77"/>
        <v>aws s3 cp s3://rtdc.mdm.uploadarchive.raw/RTDC4066/ "%USERPROFILE%\AppData\Local\Temp\OnboardLogs"\RTDC4066\2017-03-05 --exclude "*" --recursive --include "*20170305*" &amp; "%USERPROFILE%\Documents\GitHub\mrs-test-scripts\Headless Mode &amp; Sideloading\WalkAndUnGZ.bat" "%USERPROFILE%\AppData\Local\Temp\OnboardLogs"\RTDC4066\2017-03-05 &amp; 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</v>
      </c>
      <c r="AF223" s="82" t="str">
        <f t="shared" si="78"/>
        <v>"C:\Program Files (x86)\AstroGrep\AstroGrep.exe" /spath="%USERPROFILE%\AppData\Local\Temp\OnboardLogs" /stypes="app*4066*20170306*" /stext=" 06:.+((SYSTEM_STATE.+slice.+state.+changed )|(ment ac)|(multiple cpu faults)|(system.+state.+changed )|(\[timeout)|(PRM\|1\|D)|(kpr)|(kdp)|(\|loc)|(crossing.((167)|(168)|(199)|(200))))" /e /r /s</v>
      </c>
      <c r="AG223" s="1" t="str">
        <f t="shared" si="79"/>
        <v>Other</v>
      </c>
      <c r="AH223" s="86" t="str">
        <f t="shared" si="80"/>
        <v>"%USERPROFILE%\Documents\GitHub\eaglep3\Utilities\RefineRTDCRunTimes.py" --tripid 87-05 --locoid 4066 --swversion DE.1.0.9.0 --startMP 204:495 --initTime 2017-03-05T22:44:03 --startdatetime 2017-03-05T22:45:48 --delay 1 --endMP 204:233328 --enddatetime 2017-03-05T23:21:37 --enforcementcount 0 &gt;&gt;C:\Users\stu\Documents\GitHub\eaglep3-reporting\EC\2017-03-05-refined-times.txt</v>
      </c>
      <c r="AI223" s="108" t="str">
        <f t="shared" si="81"/>
        <v>echo {"issue":{"subject":"","project_id":79,"tracker_id":40,"status_id":1,"priority_id":2,"assigned_to_id":23,"start_date":"2017-03-05","description":"","custom_fields":[{"id":1,"name":"Subdivision","value":"Other"},{"id":4,"name":"Milepost","value":"23.3328"},{"id":17,"name":"Train ID","value":"87-05"},{"id":16,"name":"Locomotive ID","value":"4066"},{"id":130,"name":"Impact","value":""},{"id":150,"name":"Time of Event (Mountain Time)","value":"23:21:37"},{"id":151,"name":"Denver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2"/>
        <v>start /low /b %USERPROFILE%\Documents\GitHub\eaglep3\Utilities\DownloadLogsFromS3.py --loco 4066 --day 2017-03-05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"%USERPROFILE%\AppData\Local\Temp\OnboardLogs"\RTDC4066\*4066*20170306* | grep -SE "(Enforcement Action)|(\[TIMEOUT)|(CHR.+\|PRM\|1\|D.+(SWITCH|SIGNAL).+UNKNOWN)" - &gt;&gt; 2017-03-05-UncaughtWiMAX.txt</v>
      </c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</sheetData>
  <autoFilter ref="A12:AG248"/>
  <sortState ref="A13:AH200">
    <sortCondition ref="AG13:AG200"/>
    <sortCondition ref="AD13:AD200"/>
  </sortState>
  <mergeCells count="1">
    <mergeCell ref="A11:P11"/>
  </mergeCells>
  <conditionalFormatting sqref="W11:W12 W267:X1048576 W13:X223">
    <cfRule type="cellIs" dxfId="10" priority="356" operator="equal">
      <formula>"Y"</formula>
    </cfRule>
  </conditionalFormatting>
  <conditionalFormatting sqref="X267:X1048576 X13:X223">
    <cfRule type="cellIs" dxfId="9" priority="339" operator="greaterThan">
      <formula>1</formula>
    </cfRule>
  </conditionalFormatting>
  <conditionalFormatting sqref="X267:X1048576 X12:X223">
    <cfRule type="cellIs" dxfId="8" priority="336" operator="equal">
      <formula>0</formula>
    </cfRule>
  </conditionalFormatting>
  <conditionalFormatting sqref="A13:S22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7" sqref="P7: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0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31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- 2017-03-05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206</v>
      </c>
    </row>
    <row r="7" spans="1:32" s="1" customFormat="1" x14ac:dyDescent="0.25">
      <c r="A7" s="32">
        <v>42799.463009259256</v>
      </c>
      <c r="B7" s="30" t="s">
        <v>224</v>
      </c>
      <c r="C7" s="30" t="s">
        <v>548</v>
      </c>
      <c r="D7" s="30" t="s">
        <v>49</v>
      </c>
      <c r="E7" s="30" t="s">
        <v>195</v>
      </c>
      <c r="F7" s="43">
        <v>0</v>
      </c>
      <c r="G7" s="43">
        <v>202</v>
      </c>
      <c r="H7" s="43">
        <v>26958</v>
      </c>
      <c r="I7" s="43">
        <v>27282</v>
      </c>
      <c r="J7" s="30" t="s">
        <v>196</v>
      </c>
      <c r="K7" s="43">
        <v>27053</v>
      </c>
      <c r="L7" s="143" t="s">
        <v>50</v>
      </c>
      <c r="M7" s="144">
        <f t="shared" ref="M7:M37" si="0">CONVERT((I7-K7)/10000,"mi","ft")*IF(L7="Increasing Mileposts (1)",-1,1)</f>
        <v>-120.91200000000001</v>
      </c>
      <c r="N7" s="145" t="str">
        <f>VLOOKUP(C7,'Trips&amp;Operators'!$C$1:$G$99999,5,FALSE)</f>
        <v>STEWART MICHAEL</v>
      </c>
      <c r="O7" s="194" t="s">
        <v>185</v>
      </c>
      <c r="P7" s="146" t="s">
        <v>289</v>
      </c>
      <c r="Q7" s="30"/>
      <c r="R7" s="89" t="str">
        <f>VLOOKUP(C7,'Train Runs'!$A$13:$AE$9936,31,0)</f>
        <v>aws s3 cp s3://rtdc.mdm.uploadarchive.raw/RTDC4025/ "%USERPROFILE%\AppData\Local\Temp\OnboardLogs"\RTDC4025\2017-03-05 --exclude "*" --recursive --include "*20170305*" &amp; "%USERPROFILE%\Documents\GitHub\mrs-test-scripts\Headless Mode &amp; Sideloading\WalkAndUnGZ.bat" "%USERPROFILE%\AppData\Local\Temp\OnboardLogs"\RTDC4025\2017-03-05 &amp; aws s3 cp s3://rtdc.mdm.uploadarchive.raw/RTDC4025/ "%USERPROFILE%\AppData\Local\Temp\OnboardLogs"\RTDC4025\2017-03-06 --exclude "*" --recursive --include "*20170306*" &amp; "%USERPROFILE%\Documents\GitHub\mrs-test-scripts\Headless Mode &amp; Sideloading\WalkAndUnGZ.bat" "%USERPROFILE%\AppData\Local\Temp\OnboardLogs"\RTDC4025\2017-03-06</v>
      </c>
      <c r="S7" s="92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-03-05T09:56:25-0700',mode:absolute,to:'2017-03-05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94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/stypes="*4025*201703051*" /stext=" 18:.+((SYSTEM_STATE.+slice.+state.+changed )|(ment ac)|(multiple cpu faults)|(system.+state.+changed )|(\[timeout)|(PRM\|1\|D)|(kpr)|(kdp)|(\|loc)|(crossing.((167)|(168)|(199)|(200))))" /e /r /s</v>
      </c>
      <c r="U7" s="9" t="str">
        <f t="shared" ref="U7:U37" si="2">MID(B7,13,4)</f>
        <v>4025</v>
      </c>
      <c r="V7" s="32">
        <f t="shared" ref="V7:V37" si="3">A7-utc_offset/24</f>
        <v>42799.75467592592</v>
      </c>
      <c r="W7" s="46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7" si="5">IF(AND(E7="TRACK WARRANT AUTHORITY",G7&lt;10),"OMIT","KEEP")</f>
        <v>KEEP</v>
      </c>
      <c r="Y7" s="108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arrival","project_id":79,"tracker_id":40,"status_id":1,"priority_id":2,"assigned_to_id":23,"start_date":"2017-03-05","description":"","custom_fields":[{"id":1,"name":"Subdivision","value":"EC"},{"id":4,"name":"Milepost","value":"2.7053"},{"id":17,"name":"Train ID","value":"159-05"},{"id":16,"name":"Locomotive ID","value":"4025"},{"id":130,"name":"Impact","value":""},{"id":150,"name":"Time of Event (Mountain Time)","value":"11:06:44"},{"id":151,"name":"Denver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"%USERPROFILE%\AppData\Local\Temp\OnboardLogs"\RTDC4025\*4025*201703051*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"%USERPROFILE%\AppData\Local\Temp\OnboardLogs"\RTDC4025\*4025*201703051* &gt;&gt; 2017-03-05-SliceDisagreementCheck.txt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4025 --day 2017-03-05</v>
      </c>
    </row>
    <row r="8" spans="1:32" s="1" customFormat="1" x14ac:dyDescent="0.25">
      <c r="A8" s="32">
        <v>42799.291527777779</v>
      </c>
      <c r="B8" s="30" t="s">
        <v>205</v>
      </c>
      <c r="C8" s="30" t="s">
        <v>541</v>
      </c>
      <c r="D8" s="30" t="s">
        <v>98</v>
      </c>
      <c r="E8" s="30" t="s">
        <v>195</v>
      </c>
      <c r="F8" s="43">
        <v>0</v>
      </c>
      <c r="G8" s="43">
        <v>128</v>
      </c>
      <c r="H8" s="43">
        <v>27336</v>
      </c>
      <c r="I8" s="43">
        <v>27229</v>
      </c>
      <c r="J8" s="30" t="s">
        <v>196</v>
      </c>
      <c r="K8" s="43">
        <v>27350</v>
      </c>
      <c r="L8" s="143" t="s">
        <v>51</v>
      </c>
      <c r="M8" s="144">
        <f t="shared" si="0"/>
        <v>-63.887999999999998</v>
      </c>
      <c r="N8" s="145" t="str">
        <f>VLOOKUP(C8,'Trips&amp;Operators'!$C$1:$G$99999,5,FALSE)</f>
        <v>SHOOK JOHN</v>
      </c>
      <c r="O8" s="194" t="s">
        <v>185</v>
      </c>
      <c r="P8" s="146" t="s">
        <v>289</v>
      </c>
      <c r="Q8" s="30"/>
      <c r="R8" s="89" t="str">
        <f>VLOOKUP(C8,'Train Runs'!$A$13:$AE$9936,31,0)</f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S8" s="92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-03-05T05:12:04-0700',mode:absolute,to:'2017-03-05T08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 t="shared" si="1"/>
        <v>"C:\Program Files (x86)\AstroGrep\AstroGrep.exe" /spath="%USERPROFILE%\AppData\Local\Temp\OnboardLogs" /stypes="*4030*201703051*" /stext=" 13:.+((SYSTEM_STATE.+slice.+state.+changed )|(ment ac)|(multiple cpu faults)|(system.+state.+changed )|(\[timeout)|(PRM\|1\|D)|(kpr)|(kdp)|(\|loc)|(crossing.((167)|(168)|(199)|(200))))" /e /r /s</v>
      </c>
      <c r="U8" s="9" t="str">
        <f t="shared" si="2"/>
        <v>4030</v>
      </c>
      <c r="V8" s="32">
        <f t="shared" si="3"/>
        <v>42799.583194444444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arrival","project_id":79,"tracker_id":40,"status_id":1,"priority_id":2,"assigned_to_id":23,"start_date":"2017-03-05","description":"","custom_fields":[{"id":1,"name":"Subdivision","value":"EC"},{"id":4,"name":"Milepost","value":"2.735"},{"id":17,"name":"Train ID","value":"116-05"},{"id":16,"name":"Locomotive ID","value":"4030"},{"id":130,"name":"Impact","value":""},{"id":150,"name":"Time of Event (Mountain Time)","value":"06:59:48"},{"id":151,"name":"Denver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"%USERPROFILE%\AppData\Local\Temp\OnboardLogs"\RTDC4030\*4030*201703051*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"%USERPROFILE%\AppData\Local\Temp\OnboardLogs"\RTDC4030\*4030*201703051* &gt;&gt; 2017-03-05-SliceDisagreementCheck.txt</v>
      </c>
      <c r="AE8" s="157" t="str">
        <f t="shared" ref="AE8:AE37" si="9">"start /low /b "&amp;dls3logs&amp;" --loco "&amp;U8&amp;" --day "&amp;TEXT(V8,"YYYY-MM-DD")</f>
        <v>start /low /b %USERPROFILE%\Documents\GitHub\eaglep3\Utilities\DownloadLogsFromS3.py --loco 4030 --day 2017-03-05</v>
      </c>
    </row>
    <row r="9" spans="1:32" s="1" customFormat="1" x14ac:dyDescent="0.25">
      <c r="A9" s="32">
        <v>42799.427685185183</v>
      </c>
      <c r="B9" s="30" t="s">
        <v>537</v>
      </c>
      <c r="C9" s="30" t="s">
        <v>544</v>
      </c>
      <c r="D9" s="30" t="s">
        <v>49</v>
      </c>
      <c r="E9" s="30" t="s">
        <v>195</v>
      </c>
      <c r="F9" s="43">
        <v>150</v>
      </c>
      <c r="G9" s="43">
        <v>229</v>
      </c>
      <c r="H9" s="43">
        <v>31482</v>
      </c>
      <c r="I9" s="43">
        <v>31019</v>
      </c>
      <c r="J9" s="30" t="s">
        <v>196</v>
      </c>
      <c r="K9" s="43">
        <v>30970</v>
      </c>
      <c r="L9" s="143" t="s">
        <v>51</v>
      </c>
      <c r="M9" s="144">
        <f t="shared" si="0"/>
        <v>25.872</v>
      </c>
      <c r="N9" s="145" t="str">
        <f>VLOOKUP(C9,'Trips&amp;Operators'!$C$1:$G$99999,5,FALSE)</f>
        <v>MOSES BRADLEY</v>
      </c>
      <c r="O9" s="194" t="s">
        <v>185</v>
      </c>
      <c r="P9" s="146" t="s">
        <v>289</v>
      </c>
      <c r="Q9" s="30"/>
      <c r="R9" s="89" t="str">
        <f>VLOOKUP(C9,'Train Runs'!$A$13:$AE$9936,31,0)</f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S9" s="92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-03-05T08:32:32-0700',mode:absolute,to:'2017-03-05T11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94" t="str">
        <f t="shared" si="1"/>
        <v>"C:\Program Files (x86)\AstroGrep\AstroGrep.exe" /spath="%USERPROFILE%\AppData\Local\Temp\OnboardLogs" /stypes="*4017*201703051*" /stext=" 17:.+((SYSTEM_STATE.+slice.+state.+changed )|(ment ac)|(multiple cpu faults)|(system.+state.+changed )|(\[timeout)|(PRM\|1\|D)|(kpr)|(kdp)|(\|loc)|(crossing.((167)|(168)|(199)|(200))))" /e /r /s</v>
      </c>
      <c r="U9" s="9" t="str">
        <f t="shared" si="2"/>
        <v>4017</v>
      </c>
      <c r="V9" s="32">
        <f t="shared" si="3"/>
        <v>42799.719351851847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arrival","project_id":79,"tracker_id":40,"status_id":1,"priority_id":2,"assigned_to_id":23,"start_date":"2017-03-05","description":"","custom_fields":[{"id":1,"name":"Subdivision","value":"EC"},{"id":4,"name":"Milepost","value":"3.097"},{"id":17,"name":"Train ID","value":"142-05"},{"id":16,"name":"Locomotive ID","value":"4017"},{"id":130,"name":"Impact","value":""},{"id":150,"name":"Time of Event (Mountain Time)","value":"10:15:52"},{"id":151,"name":"Denver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"%USERPROFILE%\AppData\Local\Temp\OnboardLogs"\RTDC4017\*4017*201703051*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"%USERPROFILE%\AppData\Local\Temp\OnboardLogs"\RTDC4017\*4017*201703051* &gt;&gt; 2017-03-05-SliceDisagreementCheck.txt</v>
      </c>
      <c r="AE9" s="157" t="str">
        <f t="shared" si="9"/>
        <v>start /low /b %USERPROFILE%\Documents\GitHub\eaglep3\Utilities\DownloadLogsFromS3.py --loco 4017 --day 2017-03-05</v>
      </c>
    </row>
    <row r="10" spans="1:32" s="1" customFormat="1" x14ac:dyDescent="0.25">
      <c r="A10" s="32">
        <v>42799.70684027778</v>
      </c>
      <c r="B10" s="30" t="s">
        <v>551</v>
      </c>
      <c r="C10" s="30" t="s">
        <v>559</v>
      </c>
      <c r="D10" s="30" t="s">
        <v>98</v>
      </c>
      <c r="E10" s="30" t="s">
        <v>195</v>
      </c>
      <c r="F10" s="43">
        <v>0</v>
      </c>
      <c r="G10" s="43">
        <v>218</v>
      </c>
      <c r="H10" s="43">
        <v>33229</v>
      </c>
      <c r="I10" s="43">
        <v>32966</v>
      </c>
      <c r="J10" s="30" t="s">
        <v>196</v>
      </c>
      <c r="K10" s="43">
        <v>33257</v>
      </c>
      <c r="L10" s="143" t="s">
        <v>51</v>
      </c>
      <c r="M10" s="144">
        <f t="shared" si="0"/>
        <v>-153.648</v>
      </c>
      <c r="N10" s="145" t="str">
        <f>VLOOKUP(C10,'Trips&amp;Operators'!$C$1:$G$99999,5,FALSE)</f>
        <v>LOCKLEAR TRAVIS</v>
      </c>
      <c r="O10" s="194" t="s">
        <v>185</v>
      </c>
      <c r="P10" s="146" t="s">
        <v>289</v>
      </c>
      <c r="Q10" s="30"/>
      <c r="R10" s="89" t="str">
        <f>VLOOKUP(C10,'Train Runs'!$A$13:$AE$9936,31,0)</f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S10" s="92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-03-05T15:21:51-0700',mode:absolute,to:'2017-03-05T18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0" s="94" t="str">
        <f t="shared" si="1"/>
        <v>"C:\Program Files (x86)\AstroGrep\AstroGrep.exe" /spath="%USERPROFILE%\AppData\Local\Temp\OnboardLogs" /stypes="*4028*201703052*" /stext=" 23:.+((SYSTEM_STATE.+slice.+state.+changed )|(ment ac)|(multiple cpu faults)|(system.+state.+changed )|(\[timeout)|(PRM\|1\|D)|(kpr)|(kdp)|(\|loc)|(crossing.((167)|(168)|(199)|(200))))" /e /r /s</v>
      </c>
      <c r="U10" s="9" t="str">
        <f t="shared" si="2"/>
        <v>4028</v>
      </c>
      <c r="V10" s="32">
        <f t="shared" si="3"/>
        <v>42799.998506944445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arrival","project_id":79,"tracker_id":40,"status_id":1,"priority_id":2,"assigned_to_id":23,"start_date":"2017-03-05","description":"","custom_fields":[{"id":1,"name":"Subdivision","value":"EC"},{"id":4,"name":"Milepost","value":"3.3257"},{"id":17,"name":"Train ID","value":"196-05"},{"id":16,"name":"Locomotive ID","value":"4028"},{"id":130,"name":"Impact","value":""},{"id":150,"name":"Time of Event (Mountain Time)","value":"16:57:51"},{"id":151,"name":"Denver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"%USERPROFILE%\AppData\Local\Temp\OnboardLogs"\RTDC4028\*4028*201703052*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"%USERPROFILE%\AppData\Local\Temp\OnboardLogs"\RTDC4028\*4028*201703052* &gt;&gt; 2017-03-05-SliceDisagreementCheck.txt</v>
      </c>
      <c r="AE10" s="157" t="str">
        <f t="shared" si="9"/>
        <v>start /low /b %USERPROFILE%\Documents\GitHub\eaglep3\Utilities\DownloadLogsFromS3.py --loco 4028 --day 2017-03-05</v>
      </c>
    </row>
    <row r="11" spans="1:32" s="1" customFormat="1" x14ac:dyDescent="0.25">
      <c r="A11" s="32">
        <v>42799.757870370369</v>
      </c>
      <c r="B11" s="30" t="s">
        <v>304</v>
      </c>
      <c r="C11" s="30" t="s">
        <v>562</v>
      </c>
      <c r="D11" s="30" t="s">
        <v>49</v>
      </c>
      <c r="E11" s="30" t="s">
        <v>195</v>
      </c>
      <c r="F11" s="43">
        <v>0</v>
      </c>
      <c r="G11" s="43">
        <v>222</v>
      </c>
      <c r="H11" s="43">
        <v>33373</v>
      </c>
      <c r="I11" s="43">
        <v>32919</v>
      </c>
      <c r="J11" s="30" t="s">
        <v>196</v>
      </c>
      <c r="K11" s="43">
        <v>33257</v>
      </c>
      <c r="L11" s="143" t="s">
        <v>51</v>
      </c>
      <c r="M11" s="144">
        <f t="shared" si="0"/>
        <v>-178.46399999999997</v>
      </c>
      <c r="N11" s="145" t="str">
        <f>VLOOKUP(C11,'Trips&amp;Operators'!$C$1:$G$99999,5,FALSE)</f>
        <v>LEVIN SCOTT</v>
      </c>
      <c r="O11" s="194" t="s">
        <v>185</v>
      </c>
      <c r="P11" s="146" t="s">
        <v>289</v>
      </c>
      <c r="Q11" s="30"/>
      <c r="R11" s="89" t="str">
        <f>VLOOKUP(C11,'Train Runs'!$A$13:$AE$9936,31,0)</f>
        <v>aws s3 cp s3://rtdc.mdm.uploadarchive.raw/RTDC4015/ "%USERPROFILE%\AppData\Local\Temp\OnboardLogs"\RTDC4015\2017-03-05 --exclude "*" --recursive --include "*20170305*" &amp; "%USERPROFILE%\Documents\GitHub\mrs-test-scripts\Headless Mode &amp; Sideloading\WalkAndUnGZ.bat" "%USERPROFILE%\AppData\Local\Temp\OnboardLogs"\RTDC4015\2017-03-05 &amp; aws s3 cp s3://rtdc.mdm.uploadarchive.raw/RTDC4015/ "%USERPROFILE%\AppData\Local\Temp\OnboardLogs"\RTDC4015\2017-03-06 --exclude "*" --recursive --include "*20170306*" &amp; "%USERPROFILE%\Documents\GitHub\mrs-test-scripts\Headless Mode &amp; Sideloading\WalkAndUnGZ.bat" "%USERPROFILE%\AppData\Local\Temp\OnboardLogs"\RTDC4015\2017-03-06</v>
      </c>
      <c r="S11" s="92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-03-05T16:34:53-0700',mode:absolute,to:'2017-03-05T19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94" t="str">
        <f t="shared" si="1"/>
        <v>"C:\Program Files (x86)\AstroGrep\AstroGrep.exe" /spath="%USERPROFILE%\AppData\Local\Temp\OnboardLogs" /stypes="*4015*201703060*" /stext=" 01:.+((SYSTEM_STATE.+slice.+state.+changed )|(ment ac)|(multiple cpu faults)|(system.+state.+changed )|(\[timeout)|(PRM\|1\|D)|(kpr)|(kdp)|(\|loc)|(crossing.((167)|(168)|(199)|(200))))" /e /r /s</v>
      </c>
      <c r="U11" s="9" t="str">
        <f t="shared" si="2"/>
        <v>4015</v>
      </c>
      <c r="V11" s="32">
        <f t="shared" si="3"/>
        <v>42800.049537037034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arrival","project_id":79,"tracker_id":40,"status_id":1,"priority_id":2,"assigned_to_id":23,"start_date":"2017-03-05","description":"","custom_fields":[{"id":1,"name":"Subdivision","value":"EC"},{"id":4,"name":"Milepost","value":"3.3257"},{"id":17,"name":"Train ID","value":"206-05"},{"id":16,"name":"Locomotive ID","value":"4015"},{"id":130,"name":"Impact","value":""},{"id":150,"name":"Time of Event (Mountain Time)","value":"18:11:20"},{"id":151,"name":"Denver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"%USERPROFILE%\AppData\Local\Temp\OnboardLogs"\RTDC4015\*4015*201703060*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"%USERPROFILE%\AppData\Local\Temp\OnboardLogs"\RTDC4015\*4015*201703060* &gt;&gt; 2017-03-05-SliceDisagreementCheck.txt</v>
      </c>
      <c r="AE11" s="157" t="str">
        <f t="shared" si="9"/>
        <v>start /low /b %USERPROFILE%\Documents\GitHub\eaglep3\Utilities\DownloadLogsFromS3.py --loco 4015 --day 2017-03-06</v>
      </c>
    </row>
    <row r="12" spans="1:32" s="1" customFormat="1" x14ac:dyDescent="0.25">
      <c r="A12" s="32">
        <v>42799.531898148147</v>
      </c>
      <c r="B12" s="30" t="s">
        <v>534</v>
      </c>
      <c r="C12" s="30" t="s">
        <v>550</v>
      </c>
      <c r="D12" s="30" t="s">
        <v>49</v>
      </c>
      <c r="E12" s="30" t="s">
        <v>195</v>
      </c>
      <c r="F12" s="43">
        <v>0</v>
      </c>
      <c r="G12" s="43">
        <v>435</v>
      </c>
      <c r="H12" s="43">
        <v>58226</v>
      </c>
      <c r="I12" s="43">
        <v>59501</v>
      </c>
      <c r="J12" s="30" t="s">
        <v>196</v>
      </c>
      <c r="K12" s="43">
        <v>58783</v>
      </c>
      <c r="L12" s="143" t="s">
        <v>50</v>
      </c>
      <c r="M12" s="144">
        <f t="shared" si="0"/>
        <v>-379.10399999999998</v>
      </c>
      <c r="N12" s="145" t="str">
        <f>VLOOKUP(C12,'Trips&amp;Operators'!$C$1:$G$99999,5,FALSE)</f>
        <v>DAVIDSON DAVID</v>
      </c>
      <c r="O12" s="194" t="s">
        <v>185</v>
      </c>
      <c r="P12" s="146" t="s">
        <v>289</v>
      </c>
      <c r="Q12" s="30"/>
      <c r="R12" s="89" t="str">
        <f>VLOOKUP(C12,'Train Runs'!$A$13:$AE$9936,31,0)</f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S12" s="92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-03-05T11:28:45-0700',mode:absolute,to:'2017-03-05T14:11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 t="shared" si="1"/>
        <v>"C:\Program Files (x86)\AstroGrep\AstroGrep.exe" /spath="%USERPROFILE%\AppData\Local\Temp\OnboardLogs" /stypes="*4029*201703051*" /stext=" 19:.+((SYSTEM_STATE.+slice.+state.+changed )|(ment ac)|(multiple cpu faults)|(system.+state.+changed )|(\[timeout)|(PRM\|1\|D)|(kpr)|(kdp)|(\|loc)|(crossing.((167)|(168)|(199)|(200))))" /e /r /s</v>
      </c>
      <c r="U12" s="9" t="str">
        <f t="shared" si="2"/>
        <v>4029</v>
      </c>
      <c r="V12" s="32">
        <f t="shared" si="3"/>
        <v>42799.823564814811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arrival","project_id":79,"tracker_id":40,"status_id":1,"priority_id":2,"assigned_to_id":23,"start_date":"2017-03-05","description":"","custom_fields":[{"id":1,"name":"Subdivision","value":"EC"},{"id":4,"name":"Milepost","value":"5.8783"},{"id":17,"name":"Train ID","value":"171-05"},{"id":16,"name":"Locomotive ID","value":"4029"},{"id":130,"name":"Impact","value":""},{"id":150,"name":"Time of Event (Mountain Time)","value":"12:45:56"},{"id":151,"name":"Denver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"%USERPROFILE%\AppData\Local\Temp\OnboardLogs"\RTDC4029\*4029*201703051*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"%USERPROFILE%\AppData\Local\Temp\OnboardLogs"\RTDC4029\*4029*201703051* &gt;&gt; 2017-03-05-SliceDisagreementCheck.txt</v>
      </c>
      <c r="AE12" s="157" t="str">
        <f t="shared" si="9"/>
        <v>start /low /b %USERPROFILE%\Documents\GitHub\eaglep3\Utilities\DownloadLogsFromS3.py --loco 4029 --day 2017-03-05</v>
      </c>
    </row>
    <row r="13" spans="1:32" s="1" customFormat="1" x14ac:dyDescent="0.25">
      <c r="A13" s="32">
        <v>42799.665324074071</v>
      </c>
      <c r="B13" s="30" t="s">
        <v>557</v>
      </c>
      <c r="C13" s="30" t="s">
        <v>558</v>
      </c>
      <c r="D13" s="30" t="s">
        <v>49</v>
      </c>
      <c r="E13" s="30" t="s">
        <v>195</v>
      </c>
      <c r="F13" s="43">
        <v>0</v>
      </c>
      <c r="G13" s="43">
        <v>269</v>
      </c>
      <c r="H13" s="43">
        <v>62852</v>
      </c>
      <c r="I13" s="43">
        <v>63279</v>
      </c>
      <c r="J13" s="30" t="s">
        <v>196</v>
      </c>
      <c r="K13" s="43">
        <v>63069</v>
      </c>
      <c r="L13" s="143" t="s">
        <v>50</v>
      </c>
      <c r="M13" s="144">
        <f t="shared" si="0"/>
        <v>-110.88</v>
      </c>
      <c r="N13" s="145" t="str">
        <f>VLOOKUP(C13,'Trips&amp;Operators'!$C$1:$G$99999,5,FALSE)</f>
        <v>ROMERO CHAD</v>
      </c>
      <c r="O13" s="194" t="s">
        <v>185</v>
      </c>
      <c r="P13" s="146" t="s">
        <v>289</v>
      </c>
      <c r="Q13" s="30"/>
      <c r="R13" s="89" t="str">
        <f>VLOOKUP(C13,'Train Runs'!$A$13:$AE$9936,31,0)</f>
        <v>aws s3 cp s3://rtdc.mdm.uploadarchive.raw/RTDC4018/ "%USERPROFILE%\AppData\Local\Temp\OnboardLogs"\RTDC4018\2017-03-05 --exclude "*" --recursive --include "*20170305*" &amp; "%USERPROFILE%\Documents\GitHub\mrs-test-scripts\Headless Mode &amp; Sideloading\WalkAndUnGZ.bat" "%USERPROFILE%\AppData\Local\Temp\OnboardLogs"\RTDC4018\2017-03-05 &amp; 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</v>
      </c>
      <c r="S13" s="92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-03-05T14:38:50-0700',mode:absolute,to:'2017-03-05T17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3" s="94" t="str">
        <f t="shared" si="1"/>
        <v>"C:\Program Files (x86)\AstroGrep\AstroGrep.exe" /spath="%USERPROFILE%\AppData\Local\Temp\OnboardLogs" /stypes="*4018*201703052*" /stext=" 22:.+((SYSTEM_STATE.+slice.+state.+changed )|(ment ac)|(multiple cpu faults)|(system.+state.+changed )|(\[timeout)|(PRM\|1\|D)|(kpr)|(kdp)|(\|loc)|(crossing.((167)|(168)|(199)|(200))))" /e /r /s</v>
      </c>
      <c r="U13" s="9" t="str">
        <f t="shared" si="2"/>
        <v>4018</v>
      </c>
      <c r="V13" s="32">
        <f t="shared" si="3"/>
        <v>42799.956990740735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arrival","project_id":79,"tracker_id":40,"status_id":1,"priority_id":2,"assigned_to_id":23,"start_date":"2017-03-05","description":"","custom_fields":[{"id":1,"name":"Subdivision","value":"EC"},{"id":4,"name":"Milepost","value":"6.3069"},{"id":17,"name":"Train ID","value":"197-05"},{"id":16,"name":"Locomotive ID","value":"4018"},{"id":130,"name":"Impact","value":""},{"id":150,"name":"Time of Event (Mountain Time)","value":"15:58:04"},{"id":151,"name":"Denver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"%USERPROFILE%\AppData\Local\Temp\OnboardLogs"\RTDC4018\*4018*201703052*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"%USERPROFILE%\AppData\Local\Temp\OnboardLogs"\RTDC4018\*4018*201703052* &gt;&gt; 2017-03-05-SliceDisagreementCheck.txt</v>
      </c>
      <c r="AE13" s="157" t="str">
        <f t="shared" si="9"/>
        <v>start /low /b %USERPROFILE%\Documents\GitHub\eaglep3\Utilities\DownloadLogsFromS3.py --loco 4018 --day 2017-03-05</v>
      </c>
    </row>
    <row r="14" spans="1:32" x14ac:dyDescent="0.25">
      <c r="A14" s="32">
        <v>42799.212430555555</v>
      </c>
      <c r="B14" s="30" t="s">
        <v>209</v>
      </c>
      <c r="C14" s="30" t="s">
        <v>539</v>
      </c>
      <c r="D14" s="30" t="s">
        <v>49</v>
      </c>
      <c r="E14" s="30" t="s">
        <v>195</v>
      </c>
      <c r="F14" s="43">
        <v>0</v>
      </c>
      <c r="G14" s="43">
        <v>790</v>
      </c>
      <c r="H14" s="43">
        <v>69531</v>
      </c>
      <c r="I14" s="43">
        <v>65684</v>
      </c>
      <c r="J14" s="30" t="s">
        <v>196</v>
      </c>
      <c r="K14" s="43">
        <v>63309</v>
      </c>
      <c r="L14" s="143" t="s">
        <v>51</v>
      </c>
      <c r="M14" s="144">
        <f t="shared" si="0"/>
        <v>1254</v>
      </c>
      <c r="N14" s="145" t="str">
        <f>VLOOKUP(C14,'Trips&amp;Operators'!$C$1:$G$99999,5,FALSE)</f>
        <v>MAELZER KURT</v>
      </c>
      <c r="O14" s="194" t="s">
        <v>185</v>
      </c>
      <c r="P14" s="146" t="s">
        <v>289</v>
      </c>
      <c r="Q14" s="30"/>
      <c r="R14" s="89" t="str">
        <f>VLOOKUP(C14,'Train Runs'!$A$13:$AE$9936,31,0)</f>
        <v>aws s3 cp s3://rtdc.mdm.uploadarchive.raw/RTDC4026/ "%USERPROFILE%\AppData\Local\Temp\OnboardLogs"\RTDC4026\2017-03-05 --exclude "*" --recursive --include "*20170305*" &amp; "%USERPROFILE%\Documents\GitHub\mrs-test-scripts\Headless Mode &amp; Sideloading\WalkAndUnGZ.bat" "%USERPROFILE%\AppData\Local\Temp\OnboardLogs"\RTDC4026\2017-03-05 &amp; aws s3 cp s3://rtdc.mdm.uploadarchive.raw/RTDC4026/ "%USERPROFILE%\AppData\Local\Temp\OnboardLogs"\RTDC4026\2017-03-06 --exclude "*" --recursive --include "*20170306*" &amp; "%USERPROFILE%\Documents\GitHub\mrs-test-scripts\Headless Mode &amp; Sideloading\WalkAndUnGZ.bat" "%USERPROFILE%\AppData\Local\Temp\OnboardLogs"\RTDC4026\2017-03-06</v>
      </c>
      <c r="S14" s="92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-03-05T03:38:05-0700',mode:absolute,to:'2017-03-05T06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4" s="94" t="str">
        <f t="shared" si="1"/>
        <v>"C:\Program Files (x86)\AstroGrep\AstroGrep.exe" /spath="%USERPROFILE%\AppData\Local\Temp\OnboardLogs" /stypes="*4026*201703051*" /stext=" 12:.+((SYSTEM_STATE.+slice.+state.+changed )|(ment ac)|(multiple cpu faults)|(system.+state.+changed )|(\[timeout)|(PRM\|1\|D)|(kpr)|(kdp)|(\|loc)|(crossing.((167)|(168)|(199)|(200))))" /e /r /s</v>
      </c>
      <c r="U14" s="9" t="str">
        <f t="shared" si="2"/>
        <v>4026</v>
      </c>
      <c r="V14" s="32">
        <f t="shared" si="3"/>
        <v>42799.50409722222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arrival","project_id":79,"tracker_id":40,"status_id":1,"priority_id":2,"assigned_to_id":23,"start_date":"2017-03-05","description":"","custom_fields":[{"id":1,"name":"Subdivision","value":"EC"},{"id":4,"name":"Milepost","value":"6.3309"},{"id":17,"name":"Train ID","value":"104-05"},{"id":16,"name":"Locomotive ID","value":"4026"},{"id":130,"name":"Impact","value":""},{"id":150,"name":"Time of Event (Mountain Time)","value":"05:05:54"},{"id":151,"name":"Denver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"%USERPROFILE%\AppData\Local\Temp\OnboardLogs"\RTDC4026\*4026*201703051*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"%USERPROFILE%\AppData\Local\Temp\OnboardLogs"\RTDC4026\*4026*201703051* &gt;&gt; 2017-03-05-SliceDisagreementCheck.txt</v>
      </c>
      <c r="AE14" s="157" t="str">
        <f t="shared" si="9"/>
        <v>start /low /b %USERPROFILE%\Documents\GitHub\eaglep3\Utilities\DownloadLogsFromS3.py --loco 4026 --day 2017-03-05</v>
      </c>
      <c r="AF14" s="1"/>
    </row>
    <row r="15" spans="1:32" x14ac:dyDescent="0.25">
      <c r="A15" s="32">
        <v>42799.357858796298</v>
      </c>
      <c r="B15" s="30" t="s">
        <v>205</v>
      </c>
      <c r="C15" s="30" t="s">
        <v>542</v>
      </c>
      <c r="D15" s="30" t="s">
        <v>49</v>
      </c>
      <c r="E15" s="30" t="s">
        <v>195</v>
      </c>
      <c r="F15" s="43">
        <v>120</v>
      </c>
      <c r="G15" s="43">
        <v>170</v>
      </c>
      <c r="H15" s="43">
        <v>63917</v>
      </c>
      <c r="I15" s="43">
        <v>63633</v>
      </c>
      <c r="J15" s="30" t="s">
        <v>196</v>
      </c>
      <c r="K15" s="43">
        <v>63309</v>
      </c>
      <c r="L15" s="143" t="s">
        <v>51</v>
      </c>
      <c r="M15" s="144">
        <f t="shared" si="0"/>
        <v>171.072</v>
      </c>
      <c r="N15" s="145" t="str">
        <f>VLOOKUP(C15,'Trips&amp;Operators'!$C$1:$G$99999,5,FALSE)</f>
        <v>SHOOK JOHN</v>
      </c>
      <c r="O15" s="194" t="s">
        <v>185</v>
      </c>
      <c r="P15" s="146" t="s">
        <v>289</v>
      </c>
      <c r="Q15" s="30"/>
      <c r="R15" s="89" t="str">
        <f>VLOOKUP(C15,'Train Runs'!$A$13:$AE$9936,31,0)</f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S15" s="92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-03-05T06:56:26-0700',mode:absolute,to:'2017-03-05T09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94" t="str">
        <f t="shared" si="1"/>
        <v>"C:\Program Files (x86)\AstroGrep\AstroGrep.exe" /spath="%USERPROFILE%\AppData\Local\Temp\OnboardLogs" /stypes="*4030*201703051*" /stext=" 15:.+((SYSTEM_STATE.+slice.+state.+changed )|(ment ac)|(multiple cpu faults)|(system.+state.+changed )|(\[timeout)|(PRM\|1\|D)|(kpr)|(kdp)|(\|loc)|(crossing.((167)|(168)|(199)|(200))))" /e /r /s</v>
      </c>
      <c r="U15" s="9" t="str">
        <f t="shared" si="2"/>
        <v>4030</v>
      </c>
      <c r="V15" s="32">
        <f t="shared" si="3"/>
        <v>42799.649525462963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arrival","project_id":79,"tracker_id":40,"status_id":1,"priority_id":2,"assigned_to_id":23,"start_date":"2017-03-05","description":"","custom_fields":[{"id":1,"name":"Subdivision","value":"EC"},{"id":4,"name":"Milepost","value":"6.3309"},{"id":17,"name":"Train ID","value":"130-05"},{"id":16,"name":"Locomotive ID","value":"4030"},{"id":130,"name":"Impact","value":""},{"id":150,"name":"Time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"%USERPROFILE%\AppData\Local\Temp\OnboardLogs"\RTDC4030\*4030*201703051*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"%USERPROFILE%\AppData\Local\Temp\OnboardLogs"\RTDC4030\*4030*201703051* &gt;&gt; 2017-03-05-SliceDisagreementCheck.txt</v>
      </c>
      <c r="AE15" s="157" t="str">
        <f t="shared" si="9"/>
        <v>start /low /b %USERPROFILE%\Documents\GitHub\eaglep3\Utilities\DownloadLogsFromS3.py --loco 4030 --day 2017-03-05</v>
      </c>
      <c r="AF15" s="1"/>
    </row>
    <row r="16" spans="1:32" x14ac:dyDescent="0.25">
      <c r="A16" s="32">
        <v>42799.448877314811</v>
      </c>
      <c r="B16" s="30" t="s">
        <v>227</v>
      </c>
      <c r="C16" s="30" t="s">
        <v>547</v>
      </c>
      <c r="D16" s="30" t="s">
        <v>49</v>
      </c>
      <c r="E16" s="30" t="s">
        <v>195</v>
      </c>
      <c r="F16" s="43">
        <v>0</v>
      </c>
      <c r="G16" s="43">
        <v>395</v>
      </c>
      <c r="H16" s="43">
        <v>109530</v>
      </c>
      <c r="I16" s="43">
        <v>108959</v>
      </c>
      <c r="J16" s="30" t="s">
        <v>196</v>
      </c>
      <c r="K16" s="43">
        <v>109135</v>
      </c>
      <c r="L16" s="143" t="s">
        <v>51</v>
      </c>
      <c r="M16" s="144">
        <f t="shared" si="0"/>
        <v>-92.927999999999997</v>
      </c>
      <c r="N16" s="145" t="str">
        <f>VLOOKUP(C16,'Trips&amp;Operators'!$C$1:$G$99999,5,FALSE)</f>
        <v>BADERTSCHER DIANE</v>
      </c>
      <c r="O16" s="194" t="s">
        <v>185</v>
      </c>
      <c r="P16" s="146" t="s">
        <v>289</v>
      </c>
      <c r="Q16" s="30"/>
      <c r="R16" s="89" t="str">
        <f>VLOOKUP(C16,'Train Runs'!$A$13:$AE$9936,31,0)</f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S16" s="92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-03-05T09:17:14-0700',mode:absolute,to:'2017-03-05T12:10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94" t="str">
        <f t="shared" si="1"/>
        <v>"C:\Program Files (x86)\AstroGrep\AstroGrep.exe" /spath="%USERPROFILE%\AppData\Local\Temp\OnboardLogs" /stypes="*4043*201703051*" /stext=" 17:.+((SYSTEM_STATE.+slice.+state.+changed )|(ment ac)|(multiple cpu faults)|(system.+state.+changed )|(\[timeout)|(PRM\|1\|D)|(kpr)|(kdp)|(\|loc)|(crossing.((167)|(168)|(199)|(200))))" /e /r /s</v>
      </c>
      <c r="U16" s="9" t="str">
        <f t="shared" si="2"/>
        <v>4043</v>
      </c>
      <c r="V16" s="32">
        <f t="shared" si="3"/>
        <v>42799.740543981476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arrival","project_id":79,"tracker_id":40,"status_id":1,"priority_id":2,"assigned_to_id":23,"start_date":"2017-03-05","description":"","custom_fields":[{"id":1,"name":"Subdivision","value":"EC"},{"id":4,"name":"Milepost","value":"10.9135"},{"id":17,"name":"Train ID","value":"148-05"},{"id":16,"name":"Locomotive ID","value":"4043"},{"id":130,"name":"Impact","value":""},{"id":150,"name":"Time of Event (Mountain Time)","value":"10:46:23"},{"id":151,"name":"Denver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"%USERPROFILE%\AppData\Local\Temp\OnboardLogs"\RTDC4043\*4043*201703051*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"%USERPROFILE%\AppData\Local\Temp\OnboardLogs"\RTDC4043\*4043*201703051* &gt;&gt; 2017-03-05-SliceDisagreementCheck.txt</v>
      </c>
      <c r="AE16" s="157" t="str">
        <f t="shared" si="9"/>
        <v>start /low /b %USERPROFILE%\Documents\GitHub\eaglep3\Utilities\DownloadLogsFromS3.py --loco 4043 --day 2017-03-05</v>
      </c>
      <c r="AF16" s="1"/>
    </row>
    <row r="17" spans="1:32" x14ac:dyDescent="0.25">
      <c r="A17" s="32">
        <v>42799.553842592592</v>
      </c>
      <c r="B17" s="30" t="s">
        <v>551</v>
      </c>
      <c r="C17" s="30" t="s">
        <v>552</v>
      </c>
      <c r="D17" s="30" t="s">
        <v>49</v>
      </c>
      <c r="E17" s="30" t="s">
        <v>195</v>
      </c>
      <c r="F17" s="43">
        <v>0</v>
      </c>
      <c r="G17" s="43">
        <v>371</v>
      </c>
      <c r="H17" s="43">
        <v>109427</v>
      </c>
      <c r="I17" s="43">
        <v>108854</v>
      </c>
      <c r="J17" s="30" t="s">
        <v>196</v>
      </c>
      <c r="K17" s="43">
        <v>109135</v>
      </c>
      <c r="L17" s="143" t="s">
        <v>51</v>
      </c>
      <c r="M17" s="144">
        <f t="shared" si="0"/>
        <v>-148.36799999999999</v>
      </c>
      <c r="N17" s="145" t="str">
        <f>VLOOKUP(C17,'Trips&amp;Operators'!$C$1:$G$99999,5,FALSE)</f>
        <v>LOCKLEAR TRAVIS</v>
      </c>
      <c r="O17" s="194" t="s">
        <v>185</v>
      </c>
      <c r="P17" s="146" t="s">
        <v>289</v>
      </c>
      <c r="Q17" s="30"/>
      <c r="R17" s="89" t="str">
        <f>VLOOKUP(C17,'Train Runs'!$A$13:$AE$9936,31,0)</f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S17" s="92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-03-05T11:51:24-0700',mode:absolute,to:'2017-03-05T14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94" t="str">
        <f t="shared" si="1"/>
        <v>"C:\Program Files (x86)\AstroGrep\AstroGrep.exe" /spath="%USERPROFILE%\AppData\Local\Temp\OnboardLogs" /stypes="*4028*201703052*" /stext=" 20:.+((SYSTEM_STATE.+slice.+state.+changed )|(ment ac)|(multiple cpu faults)|(system.+state.+changed )|(\[timeout)|(PRM\|1\|D)|(kpr)|(kdp)|(\|loc)|(crossing.((167)|(168)|(199)|(200))))" /e /r /s</v>
      </c>
      <c r="U17" s="9" t="str">
        <f t="shared" si="2"/>
        <v>4028</v>
      </c>
      <c r="V17" s="32">
        <f t="shared" si="3"/>
        <v>42799.845509259256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arrival","project_id":79,"tracker_id":40,"status_id":1,"priority_id":2,"assigned_to_id":23,"start_date":"2017-03-05","description":"","custom_fields":[{"id":1,"name":"Subdivision","value":"EC"},{"id":4,"name":"Milepost","value":"10.9135"},{"id":17,"name":"Train ID","value":"168-05"},{"id":16,"name":"Locomotive ID","value":"4028"},{"id":130,"name":"Impact","value":""},{"id":150,"name":"Time of Event (Mountain Time)","value":"13:17:32"},{"id":151,"name":"Denver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"%USERPROFILE%\AppData\Local\Temp\OnboardLogs"\RTDC4028\*4028*201703052*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"%USERPROFILE%\AppData\Local\Temp\OnboardLogs"\RTDC4028\*4028*201703052* &gt;&gt; 2017-03-05-SliceDisagreementCheck.txt</v>
      </c>
      <c r="AE17" s="157" t="str">
        <f t="shared" si="9"/>
        <v>start /low /b %USERPROFILE%\Documents\GitHub\eaglep3\Utilities\DownloadLogsFromS3.py --loco 4028 --day 2017-03-05</v>
      </c>
      <c r="AF17" s="1"/>
    </row>
    <row r="18" spans="1:32" ht="15" customHeight="1" x14ac:dyDescent="0.25">
      <c r="A18" s="32">
        <v>42800.0237037037</v>
      </c>
      <c r="B18" s="30" t="s">
        <v>303</v>
      </c>
      <c r="C18" s="30" t="s">
        <v>564</v>
      </c>
      <c r="D18" s="30" t="s">
        <v>49</v>
      </c>
      <c r="E18" s="30" t="s">
        <v>248</v>
      </c>
      <c r="F18" s="43">
        <v>400</v>
      </c>
      <c r="G18" s="43">
        <v>498</v>
      </c>
      <c r="H18" s="43">
        <v>17451</v>
      </c>
      <c r="I18" s="43">
        <v>18197</v>
      </c>
      <c r="J18" s="30" t="s">
        <v>249</v>
      </c>
      <c r="K18" s="43">
        <v>17867</v>
      </c>
      <c r="L18" s="143" t="s">
        <v>50</v>
      </c>
      <c r="M18" s="144">
        <f t="shared" si="0"/>
        <v>-174.24</v>
      </c>
      <c r="N18" s="145" t="str">
        <f>VLOOKUP(C18,'Trips&amp;Operators'!$C$1:$G$99999,5,FALSE)</f>
        <v>STAMBAUGH JAMES</v>
      </c>
      <c r="O18" s="194" t="s">
        <v>185</v>
      </c>
      <c r="P18" s="146"/>
      <c r="Q18" s="30"/>
      <c r="R18" s="89" t="str">
        <f>VLOOKUP(C18,'Train Runs'!$A$13:$AE$9936,31,0)</f>
        <v>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 &amp; 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</v>
      </c>
      <c r="S18" s="92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-03-05T23:07:10-0700',mode:absolute,to:'2017-03-06T01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94" t="str">
        <f t="shared" si="1"/>
        <v>"C:\Program Files (x86)\AstroGrep\AstroGrep.exe" /spath="%USERPROFILE%\AppData\Local\Temp\OnboardLogs" /stypes="*4016*201703060*" /stext=" 07:.+((SYSTEM_STATE.+slice.+state.+changed )|(ment ac)|(multiple cpu faults)|(system.+state.+changed )|(\[timeout)|(PRM\|1\|D)|(kpr)|(kdp)|(\|loc)|(crossing.((167)|(168)|(199)|(200))))" /e /r /s</v>
      </c>
      <c r="U18" s="9" t="str">
        <f t="shared" si="2"/>
        <v>4016</v>
      </c>
      <c r="V18" s="32">
        <f t="shared" si="3"/>
        <v>42800.315370370365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{"issue":{"subject":"","project_id":79,"tracker_id":40,"status_id":1,"priority_id":2,"assigned_to_id":23,"start_date":"2017-03-06","description":"","custom_fields":[{"id":1,"name":"Subdivision","value":"EC"},{"id":4,"name":"Milepost","value":"1.7867"},{"id":17,"name":"Train ID","value":"243-05"},{"id":16,"name":"Locomotive ID","value":"4016"},{"id":130,"name":"Impact","value":""},{"id":150,"name":"Time of Event (Mountain Time)","value":"00:34:08"},{"id":151,"name":"Denver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"%USERPROFILE%\AppData\Local\Temp\OnboardLogs"\RTDC4016\*4016*201703060*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"%USERPROFILE%\AppData\Local\Temp\OnboardLogs"\RTDC4016\*4016*201703060* &gt;&gt; 2017-03-05-SliceDisagreementCheck.txt</v>
      </c>
      <c r="AE18" s="157" t="str">
        <f t="shared" si="9"/>
        <v>start /low /b %USERPROFILE%\Documents\GitHub\eaglep3\Utilities\DownloadLogsFromS3.py --loco 4016 --day 2017-03-06</v>
      </c>
      <c r="AF18" s="1"/>
    </row>
    <row r="19" spans="1:32" x14ac:dyDescent="0.25">
      <c r="A19" s="32">
        <v>42799.191342592596</v>
      </c>
      <c r="B19" s="30" t="s">
        <v>537</v>
      </c>
      <c r="C19" s="30" t="s">
        <v>538</v>
      </c>
      <c r="D19" s="30" t="s">
        <v>49</v>
      </c>
      <c r="E19" s="30" t="s">
        <v>481</v>
      </c>
      <c r="F19" s="43">
        <v>150</v>
      </c>
      <c r="G19" s="43">
        <v>201</v>
      </c>
      <c r="H19" s="43">
        <v>63669</v>
      </c>
      <c r="I19" s="43">
        <v>63339</v>
      </c>
      <c r="J19" s="30" t="s">
        <v>196</v>
      </c>
      <c r="K19" s="43">
        <v>63300</v>
      </c>
      <c r="L19" s="143" t="s">
        <v>51</v>
      </c>
      <c r="M19" s="144">
        <f t="shared" si="0"/>
        <v>20.591999999999999</v>
      </c>
      <c r="N19" s="145" t="str">
        <f>VLOOKUP(C19,'Trips&amp;Operators'!$C$1:$G$99999,5,FALSE)</f>
        <v>SANTIZO D. EDY</v>
      </c>
      <c r="O19" s="194" t="s">
        <v>185</v>
      </c>
      <c r="P19" s="146"/>
      <c r="Q19" s="30"/>
      <c r="R19" s="89" t="str">
        <f>VLOOKUP(C19,'Train Runs'!$A$13:$AE$9936,31,0)</f>
        <v>aws s3 cp s3://rtdc.mdm.uploadarchive.raw/RTDC4017/ "%USERPROFILE%\AppData\Local\Temp\OnboardLogs"\RTDC4017\2017-03-05 --exclude "*" --recursive --include "*20170305*" &amp; "%USERPROFILE%\Documents\GitHub\mrs-test-scripts\Headless Mode &amp; Sideloading\WalkAndUnGZ.bat" "%USERPROFILE%\AppData\Local\Temp\OnboardLogs"\RTDC4017\2017-03-05 &amp; 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</v>
      </c>
      <c r="S19" s="92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-03-05T03:00:01-0700',mode:absolute,to:'2017-03-05T05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94" t="str">
        <f t="shared" si="1"/>
        <v>"C:\Program Files (x86)\AstroGrep\AstroGrep.exe" /spath="%USERPROFILE%\AppData\Local\Temp\OnboardLogs" /stypes="*4017*201703051*" /stext=" 11:.+((SYSTEM_STATE.+slice.+state.+changed )|(ment ac)|(multiple cpu faults)|(system.+state.+changed )|(\[timeout)|(PRM\|1\|D)|(kpr)|(kdp)|(\|loc)|(crossing.((167)|(168)|(199)|(200))))" /e /r /s</v>
      </c>
      <c r="U19" s="9" t="str">
        <f t="shared" si="2"/>
        <v>4017</v>
      </c>
      <c r="V19" s="32">
        <f t="shared" si="3"/>
        <v>42799.48300925926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{"issue":{"subject":"","project_id":79,"tracker_id":40,"status_id":1,"priority_id":2,"assigned_to_id":23,"start_date":"2017-03-05","description":"","custom_fields":[{"id":1,"name":"Subdivision","value":"EC"},{"id":4,"name":"Milepost","value":"6.33"},{"id":17,"name":"Train ID","value":"102-05"},{"id":16,"name":"Locomotive ID","value":"4017"},{"id":130,"name":"Impact","value":""},{"id":150,"name":"Time of Event (Mountain Time)","value":"04:35:32"},{"id":151,"name":"Denver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"%USERPROFILE%\AppData\Local\Temp\OnboardLogs"\RTDC4017\*4017*201703051*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"%USERPROFILE%\AppData\Local\Temp\OnboardLogs"\RTDC4017\*4017*201703051* &gt;&gt; 2017-03-05-SliceDisagreementCheck.txt</v>
      </c>
      <c r="AE19" s="157" t="str">
        <f t="shared" si="9"/>
        <v>start /low /b %USERPROFILE%\Documents\GitHub\eaglep3\Utilities\DownloadLogsFromS3.py --loco 4017 --day 2017-03-05</v>
      </c>
      <c r="AF19" s="1"/>
    </row>
    <row r="20" spans="1:32" x14ac:dyDescent="0.25">
      <c r="A20" s="32">
        <v>42799.703159722223</v>
      </c>
      <c r="B20" s="30" t="s">
        <v>551</v>
      </c>
      <c r="C20" s="30" t="s">
        <v>559</v>
      </c>
      <c r="D20" s="30" t="s">
        <v>98</v>
      </c>
      <c r="E20" s="30" t="s">
        <v>481</v>
      </c>
      <c r="F20" s="43">
        <v>150</v>
      </c>
      <c r="G20" s="43">
        <v>208</v>
      </c>
      <c r="H20" s="43">
        <v>62641</v>
      </c>
      <c r="I20" s="43">
        <v>62243</v>
      </c>
      <c r="J20" s="30" t="s">
        <v>196</v>
      </c>
      <c r="K20" s="43">
        <v>63300</v>
      </c>
      <c r="L20" s="143" t="s">
        <v>51</v>
      </c>
      <c r="M20" s="144">
        <f t="shared" si="0"/>
        <v>-558.096</v>
      </c>
      <c r="N20" s="145" t="str">
        <f>VLOOKUP(C20,'Trips&amp;Operators'!$C$1:$G$99999,5,FALSE)</f>
        <v>LOCKLEAR TRAVIS</v>
      </c>
      <c r="O20" s="194" t="s">
        <v>185</v>
      </c>
      <c r="P20" s="146"/>
      <c r="Q20" s="30"/>
      <c r="R20" s="89" t="str">
        <f>VLOOKUP(C20,'Train Runs'!$A$13:$AE$9936,31,0)</f>
        <v>aws s3 cp s3://rtdc.mdm.uploadarchive.raw/RTDC4028/ "%USERPROFILE%\AppData\Local\Temp\OnboardLogs"\RTDC4028\2017-03-05 --exclude "*" --recursive --include "*20170305*" &amp; "%USERPROFILE%\Documents\GitHub\mrs-test-scripts\Headless Mode &amp; Sideloading\WalkAndUnGZ.bat" "%USERPROFILE%\AppData\Local\Temp\OnboardLogs"\RTDC4028\2017-03-05 &amp; aws s3 cp s3://rtdc.mdm.uploadarchive.raw/RTDC4028/ "%USERPROFILE%\AppData\Local\Temp\OnboardLogs"\RTDC4028\2017-03-06 --exclude "*" --recursive --include "*20170306*" &amp; "%USERPROFILE%\Documents\GitHub\mrs-test-scripts\Headless Mode &amp; Sideloading\WalkAndUnGZ.bat" "%USERPROFILE%\AppData\Local\Temp\OnboardLogs"\RTDC4028\2017-03-06</v>
      </c>
      <c r="S20" s="92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-03-05T15:21:51-0700',mode:absolute,to:'2017-03-05T18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94" t="str">
        <f t="shared" si="1"/>
        <v>"C:\Program Files (x86)\AstroGrep\AstroGrep.exe" /spath="%USERPROFILE%\AppData\Local\Temp\OnboardLogs" /stypes="*4028*201703052*" /stext=" 23:.+((SYSTEM_STATE.+slice.+state.+changed )|(ment ac)|(multiple cpu faults)|(system.+state.+changed )|(\[timeout)|(PRM\|1\|D)|(kpr)|(kdp)|(\|loc)|(crossing.((167)|(168)|(199)|(200))))" /e /r /s</v>
      </c>
      <c r="U20" s="9" t="str">
        <f t="shared" si="2"/>
        <v>4028</v>
      </c>
      <c r="V20" s="32">
        <f t="shared" si="3"/>
        <v>42799.994826388887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{"issue":{"subject":"","project_id":79,"tracker_id":40,"status_id":1,"priority_id":2,"assigned_to_id":23,"start_date":"2017-03-05","description":"","custom_fields":[{"id":1,"name":"Subdivision","value":"EC"},{"id":4,"name":"Milepost","value":"6.33"},{"id":17,"name":"Train ID","value":"196-05"},{"id":16,"name":"Locomotive ID","value":"4028"},{"id":130,"name":"Impact","value":""},{"id":150,"name":"Time of Event (Mountain Time)","value":"16:52:33"},{"id":151,"name":"Denver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"%USERPROFILE%\AppData\Local\Temp\OnboardLogs"\RTDC4028\*4028*201703052*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"%USERPROFILE%\AppData\Local\Temp\OnboardLogs"\RTDC4028\*4028*201703052* &gt;&gt; 2017-03-05-SliceDisagreementCheck.txt</v>
      </c>
      <c r="AE20" s="157" t="str">
        <f t="shared" si="9"/>
        <v>start /low /b %USERPROFILE%\Documents\GitHub\eaglep3\Utilities\DownloadLogsFromS3.py --loco 4028 --day 2017-03-05</v>
      </c>
      <c r="AF20" s="1"/>
    </row>
    <row r="21" spans="1:32" x14ac:dyDescent="0.25">
      <c r="A21" s="32">
        <v>42799.46534722222</v>
      </c>
      <c r="B21" s="30" t="s">
        <v>227</v>
      </c>
      <c r="C21" s="30" t="s">
        <v>547</v>
      </c>
      <c r="D21" s="30" t="s">
        <v>49</v>
      </c>
      <c r="E21" s="30" t="s">
        <v>186</v>
      </c>
      <c r="F21" s="43">
        <v>0</v>
      </c>
      <c r="G21" s="43">
        <v>38</v>
      </c>
      <c r="H21" s="43">
        <v>138</v>
      </c>
      <c r="I21" s="43">
        <v>116</v>
      </c>
      <c r="J21" s="30" t="s">
        <v>187</v>
      </c>
      <c r="K21" s="43">
        <v>1</v>
      </c>
      <c r="L21" s="143" t="s">
        <v>51</v>
      </c>
      <c r="M21" s="144">
        <f t="shared" si="0"/>
        <v>60.72</v>
      </c>
      <c r="N21" s="145" t="str">
        <f>VLOOKUP(C21,'Trips&amp;Operators'!$C$1:$G$99999,5,FALSE)</f>
        <v>BADERTSCHER DIANE</v>
      </c>
      <c r="O21" s="194" t="s">
        <v>185</v>
      </c>
      <c r="P21" s="146"/>
      <c r="Q21" s="30"/>
      <c r="R21" s="89" t="str">
        <f>VLOOKUP(C21,'Train Runs'!$A$13:$AE$9936,31,0)</f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S21" s="92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-03-05T09:17:14-0700',mode:absolute,to:'2017-03-05T12:10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1" s="94" t="str">
        <f t="shared" si="1"/>
        <v>"C:\Program Files (x86)\AstroGrep\AstroGrep.exe" /spath="%USERPROFILE%\AppData\Local\Temp\OnboardLogs" /stypes="*4043*201703051*" /stext=" 18:.+((SYSTEM_STATE.+slice.+state.+changed )|(ment ac)|(multiple cpu faults)|(system.+state.+changed )|(\[timeout)|(PRM\|1\|D)|(kpr)|(kdp)|(\|loc)|(crossing.((167)|(168)|(199)|(200))))" /e /r /s</v>
      </c>
      <c r="U21" s="9" t="str">
        <f t="shared" si="2"/>
        <v>4043</v>
      </c>
      <c r="V21" s="32">
        <f t="shared" si="3"/>
        <v>42799.757013888884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{"issue":{"subject":"","project_id":79,"tracker_id":40,"status_id":1,"priority_id":2,"assigned_to_id":23,"start_date":"2017-03-05","description":"","custom_fields":[{"id":1,"name":"Subdivision","value":"EC"},{"id":4,"name":"Milepost","value":"0.0001"},{"id":17,"name":"Train ID","value":"148-05"},{"id":16,"name":"Locomotive ID","value":"4043"},{"id":130,"name":"Impact","value":""},{"id":150,"name":"Time of Event (Mountain Time)","value":"11:10:06"},{"id":151,"name":"Denver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"%USERPROFILE%\AppData\Local\Temp\OnboardLogs"\RTDC4043\*4043*201703051*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"%USERPROFILE%\AppData\Local\Temp\OnboardLogs"\RTDC4043\*4043*201703051* &gt;&gt; 2017-03-05-SliceDisagreementCheck.txt</v>
      </c>
      <c r="AE21" s="157" t="str">
        <f t="shared" si="9"/>
        <v>start /low /b %USERPROFILE%\Documents\GitHub\eaglep3\Utilities\DownloadLogsFromS3.py --loco 4043 --day 2017-03-05</v>
      </c>
      <c r="AF21" s="1"/>
    </row>
    <row r="22" spans="1:32" x14ac:dyDescent="0.25">
      <c r="A22" s="32">
        <v>42799.735844907409</v>
      </c>
      <c r="B22" s="30" t="s">
        <v>205</v>
      </c>
      <c r="C22" s="30" t="s">
        <v>560</v>
      </c>
      <c r="D22" s="30" t="s">
        <v>49</v>
      </c>
      <c r="E22" s="30" t="s">
        <v>186</v>
      </c>
      <c r="F22" s="43">
        <v>0</v>
      </c>
      <c r="G22" s="43">
        <v>42</v>
      </c>
      <c r="H22" s="43">
        <v>152</v>
      </c>
      <c r="I22" s="43">
        <v>123</v>
      </c>
      <c r="J22" s="30" t="s">
        <v>187</v>
      </c>
      <c r="K22" s="43">
        <v>1</v>
      </c>
      <c r="L22" s="143" t="s">
        <v>51</v>
      </c>
      <c r="M22" s="144">
        <f t="shared" si="0"/>
        <v>64.415999999999997</v>
      </c>
      <c r="N22" s="145" t="str">
        <f>VLOOKUP(C22,'Trips&amp;Operators'!$C$1:$G$99999,5,FALSE)</f>
        <v>DAVIDSON DAVID</v>
      </c>
      <c r="O22" s="194" t="s">
        <v>185</v>
      </c>
      <c r="P22" s="146"/>
      <c r="Q22" s="30"/>
      <c r="R22" s="89" t="str">
        <f>VLOOKUP(C22,'Train Runs'!$A$13:$AE$9936,31,0)</f>
        <v>aws s3 cp s3://rtdc.mdm.uploadarchive.raw/RTDC4030/ "%USERPROFILE%\AppData\Local\Temp\OnboardLogs"\RTDC4030\2017-03-05 --exclude "*" --recursive --include "*20170305*" &amp; "%USERPROFILE%\Documents\GitHub\mrs-test-scripts\Headless Mode &amp; Sideloading\WalkAndUnGZ.bat" "%USERPROFILE%\AppData\Local\Temp\OnboardLogs"\RTDC4030\2017-03-05 &amp; 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</v>
      </c>
      <c r="S22" s="92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-03-05T15:49:28-0700',mode:absolute,to:'2017-03-05T18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/spath="%USERPROFILE%\AppData\Local\Temp\OnboardLogs" /stypes="*4030*201703060*" /stext=" 00:.+((SYSTEM_STATE.+slice.+state.+changed )|(ment ac)|(multiple cpu faults)|(system.+state.+changed )|(\[timeout)|(PRM\|1\|D)|(kpr)|(kdp)|(\|loc)|(crossing.((167)|(168)|(199)|(200))))" /e /r /s</v>
      </c>
      <c r="U22" s="9" t="str">
        <f t="shared" si="2"/>
        <v>4030</v>
      </c>
      <c r="V22" s="32">
        <f t="shared" si="3"/>
        <v>42800.027511574073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{"issue":{"subject":"","project_id":79,"tracker_id":40,"status_id":1,"priority_id":2,"assigned_to_id":23,"start_date":"2017-03-05","description":"","custom_fields":[{"id":1,"name":"Subdivision","value":"EC"},{"id":4,"name":"Milepost","value":"0.0001"},{"id":17,"name":"Train ID","value":"200-05"},{"id":16,"name":"Locomotive ID","value":"4030"},{"id":130,"name":"Impact","value":""},{"id":150,"name":"Time of Event (Mountain Time)","value":"17:39:37"},{"id":151,"name":"Denver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"%USERPROFILE%\AppData\Local\Temp\OnboardLogs"\RTDC4030\*4030*201703060*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"%USERPROFILE%\AppData\Local\Temp\OnboardLogs"\RTDC4030\*4030*201703060* &gt;&gt; 2017-03-05-SliceDisagreementCheck.txt</v>
      </c>
      <c r="AE22" s="157" t="str">
        <f t="shared" si="9"/>
        <v>start /low /b %USERPROFILE%\Documents\GitHub\eaglep3\Utilities\DownloadLogsFromS3.py --loco 4030 --day 2017-03-06</v>
      </c>
      <c r="AF22" s="1"/>
    </row>
    <row r="23" spans="1:32" x14ac:dyDescent="0.25">
      <c r="A23" s="32">
        <v>42799.901435185187</v>
      </c>
      <c r="B23" s="30" t="s">
        <v>227</v>
      </c>
      <c r="C23" s="30" t="s">
        <v>563</v>
      </c>
      <c r="D23" s="30" t="s">
        <v>49</v>
      </c>
      <c r="E23" s="30" t="s">
        <v>186</v>
      </c>
      <c r="F23" s="43">
        <v>0</v>
      </c>
      <c r="G23" s="43">
        <v>36</v>
      </c>
      <c r="H23" s="43">
        <v>160</v>
      </c>
      <c r="I23" s="43">
        <v>139</v>
      </c>
      <c r="J23" s="30" t="s">
        <v>187</v>
      </c>
      <c r="K23" s="43">
        <v>1</v>
      </c>
      <c r="L23" s="143" t="s">
        <v>51</v>
      </c>
      <c r="M23" s="144">
        <f t="shared" si="0"/>
        <v>72.864000000000004</v>
      </c>
      <c r="N23" s="145" t="str">
        <f>VLOOKUP(C23,'Trips&amp;Operators'!$C$1:$G$99999,5,FALSE)</f>
        <v>DUNCAN SHEILA</v>
      </c>
      <c r="O23" s="194" t="s">
        <v>185</v>
      </c>
      <c r="P23" s="146"/>
      <c r="Q23" s="30"/>
      <c r="R23" s="89" t="str">
        <f>VLOOKUP(C23,'Train Runs'!$A$13:$AE$9936,31,0)</f>
        <v>aws s3 cp s3://rtdc.mdm.uploadarchive.raw/RTDC4043/ "%USERPROFILE%\AppData\Local\Temp\OnboardLogs"\RTDC4043\2017-03-05 --exclude "*" --recursive --include "*20170305*" &amp; "%USERPROFILE%\Documents\GitHub\mrs-test-scripts\Headless Mode &amp; Sideloading\WalkAndUnGZ.bat" "%USERPROFILE%\AppData\Local\Temp\OnboardLogs"\RTDC4043\2017-03-05 &amp; aws s3 cp s3://rtdc.mdm.uploadarchive.raw/RTDC4043/ "%USERPROFILE%\AppData\Local\Temp\OnboardLogs"\RTDC4043\2017-03-06 --exclude "*" --recursive --include "*20170306*" &amp; "%USERPROFILE%\Documents\GitHub\mrs-test-scripts\Headless Mode &amp; Sideloading\WalkAndUnGZ.bat" "%USERPROFILE%\AppData\Local\Temp\OnboardLogs"\RTDC4043\2017-03-06</v>
      </c>
      <c r="S23" s="92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-03-05T19:44:37-0700',mode:absolute,to:'2017-03-05T22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3" s="94" t="str">
        <f t="shared" si="1"/>
        <v>"C:\Program Files (x86)\AstroGrep\AstroGrep.exe" /spath="%USERPROFILE%\AppData\Local\Temp\OnboardLogs" /stypes="*4043*201703060*" /stext=" 04:.+((SYSTEM_STATE.+slice.+state.+changed )|(ment ac)|(multiple cpu faults)|(system.+state.+changed )|(\[timeout)|(PRM\|1\|D)|(kpr)|(kdp)|(\|loc)|(crossing.((167)|(168)|(199)|(200))))" /e /r /s</v>
      </c>
      <c r="U23" s="9" t="str">
        <f t="shared" si="2"/>
        <v>4043</v>
      </c>
      <c r="V23" s="32">
        <f t="shared" si="3"/>
        <v>42800.193101851852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{"issue":{"subject":"","project_id":79,"tracker_id":40,"status_id":1,"priority_id":2,"assigned_to_id":23,"start_date":"2017-03-05","description":"","custom_fields":[{"id":1,"name":"Subdivision","value":"EC"},{"id":4,"name":"Milepost","value":"0.0001"},{"id":17,"name":"Train ID","value":"226-05"},{"id":16,"name":"Locomotive ID","value":"4043"},{"id":130,"name":"Impact","value":""},{"id":150,"name":"Time of Event (Mountain Time)","value":"21:38:04"},{"id":151,"name":"Denver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"%USERPROFILE%\AppData\Local\Temp\OnboardLogs"\RTDC4043\*4043*201703060*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"%USERPROFILE%\AppData\Local\Temp\OnboardLogs"\RTDC4043\*4043*201703060* &gt;&gt; 2017-03-05-SliceDisagreementCheck.txt</v>
      </c>
      <c r="AE23" s="157" t="str">
        <f t="shared" si="9"/>
        <v>start /low /b %USERPROFILE%\Documents\GitHub\eaglep3\Utilities\DownloadLogsFromS3.py --loco 4043 --day 2017-03-06</v>
      </c>
      <c r="AF23" s="1"/>
    </row>
    <row r="24" spans="1:32" x14ac:dyDescent="0.25">
      <c r="A24" s="32">
        <v>42799.181643518517</v>
      </c>
      <c r="B24" s="30" t="s">
        <v>534</v>
      </c>
      <c r="C24" s="30" t="s">
        <v>535</v>
      </c>
      <c r="D24" s="30" t="s">
        <v>49</v>
      </c>
      <c r="E24" s="30" t="s">
        <v>186</v>
      </c>
      <c r="F24" s="43">
        <v>0</v>
      </c>
      <c r="G24" s="43">
        <v>38</v>
      </c>
      <c r="H24" s="43">
        <v>233349</v>
      </c>
      <c r="I24" s="43">
        <v>233370</v>
      </c>
      <c r="J24" s="30" t="s">
        <v>187</v>
      </c>
      <c r="K24" s="43">
        <v>233491</v>
      </c>
      <c r="L24" s="143" t="s">
        <v>50</v>
      </c>
      <c r="M24" s="144">
        <f t="shared" si="0"/>
        <v>63.887999999999998</v>
      </c>
      <c r="N24" s="145" t="str">
        <f>VLOOKUP(C24,'Trips&amp;Operators'!$C$1:$G$99999,5,FALSE)</f>
        <v>MAELZER KURT</v>
      </c>
      <c r="O24" s="194" t="s">
        <v>185</v>
      </c>
      <c r="P24" s="146"/>
      <c r="Q24" s="30"/>
      <c r="R24" s="89" t="str">
        <f>VLOOKUP(C24,'Train Runs'!$A$13:$AE$9936,31,0)</f>
        <v>aws s3 cp s3://rtdc.mdm.uploadarchive.raw/RTDC4029/ "%USERPROFILE%\AppData\Local\Temp\OnboardLogs"\RTDC4029\2017-03-05 --exclude "*" --recursive --include "*20170305*" &amp; "%USERPROFILE%\Documents\GitHub\mrs-test-scripts\Headless Mode &amp; Sideloading\WalkAndUnGZ.bat" "%USERPROFILE%\AppData\Local\Temp\OnboardLogs"\RTDC4029\2017-03-05 &amp; 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</v>
      </c>
      <c r="S24" s="92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-03-05T02:33:03-0700',mode:absolute,to:'2017-03-05T05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94" t="str">
        <f t="shared" si="1"/>
        <v>"C:\Program Files (x86)\AstroGrep\AstroGrep.exe" /spath="%USERPROFILE%\AppData\Local\Temp\OnboardLogs" /stypes="*4029*201703051*" /stext=" 11:.+((SYSTEM_STATE.+slice.+state.+changed )|(ment ac)|(multiple cpu faults)|(system.+state.+changed )|(\[timeout)|(PRM\|1\|D)|(kpr)|(kdp)|(\|loc)|(crossing.((167)|(168)|(199)|(200))))" /e /r /s</v>
      </c>
      <c r="U24" s="9" t="str">
        <f t="shared" si="2"/>
        <v>4029</v>
      </c>
      <c r="V24" s="32">
        <f t="shared" si="3"/>
        <v>42799.473310185182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{"issue":{"subject":"","project_id":79,"tracker_id":40,"status_id":1,"priority_id":2,"assigned_to_id":23,"start_date":"2017-03-05","description":"","custom_fields":[{"id":1,"name":"Subdivision","value":"EC"},{"id":4,"name":"Milepost","value":"23.3491"},{"id":17,"name":"Train ID","value":"103-05"},{"id":16,"name":"Locomotive ID","value":"4029"},{"id":130,"name":"Impact","value":""},{"id":150,"name":"Time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"%USERPROFILE%\AppData\Local\Temp\OnboardLogs"\RTDC4029\*4029*201703051*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"%USERPROFILE%\AppData\Local\Temp\OnboardLogs"\RTDC4029\*4029*201703051* &gt;&gt; 2017-03-05-SliceDisagreementCheck.txt</v>
      </c>
      <c r="AE24" s="157" t="str">
        <f t="shared" si="9"/>
        <v>start /low /b %USERPROFILE%\Documents\GitHub\eaglep3\Utilities\DownloadLogsFromS3.py --loco 4029 --day 2017-03-05</v>
      </c>
      <c r="AF24" s="1"/>
    </row>
    <row r="25" spans="1:32" x14ac:dyDescent="0.25">
      <c r="A25" s="32">
        <v>42799.600949074076</v>
      </c>
      <c r="B25" s="30" t="s">
        <v>216</v>
      </c>
      <c r="C25" s="30" t="s">
        <v>554</v>
      </c>
      <c r="D25" s="30" t="s">
        <v>49</v>
      </c>
      <c r="E25" s="30" t="s">
        <v>186</v>
      </c>
      <c r="F25" s="43">
        <v>0</v>
      </c>
      <c r="G25" s="43">
        <v>167</v>
      </c>
      <c r="H25" s="43">
        <v>232736</v>
      </c>
      <c r="I25" s="43">
        <v>232934</v>
      </c>
      <c r="J25" s="30" t="s">
        <v>187</v>
      </c>
      <c r="K25" s="43">
        <v>233491</v>
      </c>
      <c r="L25" s="143" t="s">
        <v>50</v>
      </c>
      <c r="M25" s="144">
        <f t="shared" si="0"/>
        <v>294.096</v>
      </c>
      <c r="N25" s="145" t="str">
        <f>VLOOKUP(C25,'Trips&amp;Operators'!$C$1:$G$99999,5,FALSE)</f>
        <v>MACDONALD THOMAS</v>
      </c>
      <c r="O25" s="194" t="s">
        <v>185</v>
      </c>
      <c r="P25" s="146"/>
      <c r="Q25" s="30"/>
      <c r="R25" s="89" t="str">
        <f>VLOOKUP(C25,'Train Runs'!$A$13:$AE$9936,31,0)</f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S25" s="92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-03-05T12:42:15-0700',mode:absolute,to:'2017-03-05T15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94" t="str">
        <f t="shared" si="1"/>
        <v>"C:\Program Files (x86)\AstroGrep\AstroGrep.exe" /spath="%USERPROFILE%\AppData\Local\Temp\OnboardLogs" /stypes="*4027*201703052*" /stext=" 21:.+((SYSTEM_STATE.+slice.+state.+changed )|(ment ac)|(multiple cpu faults)|(system.+state.+changed )|(\[timeout)|(PRM\|1\|D)|(kpr)|(kdp)|(\|loc)|(crossing.((167)|(168)|(199)|(200))))" /e /r /s</v>
      </c>
      <c r="U25" s="9" t="str">
        <f t="shared" si="2"/>
        <v>4027</v>
      </c>
      <c r="V25" s="32">
        <f t="shared" si="3"/>
        <v>42799.89261574074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{"issue":{"subject":"","project_id":79,"tracker_id":40,"status_id":1,"priority_id":2,"assigned_to_id":23,"start_date":"2017-03-05","description":"","custom_fields":[{"id":1,"name":"Subdivision","value":"EC"},{"id":4,"name":"Milepost","value":"23.3491"},{"id":17,"name":"Train ID","value":"181-05"},{"id":16,"name":"Locomotive ID","value":"4027"},{"id":130,"name":"Impact","value":""},{"id":150,"name":"Time of Event (Mountain Time)","value":"14:25:22"},{"id":151,"name":"Denver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"%USERPROFILE%\AppData\Local\Temp\OnboardLogs"\RTDC4027\*4027*201703052*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"%USERPROFILE%\AppData\Local\Temp\OnboardLogs"\RTDC4027\*4027*201703052* &gt;&gt; 2017-03-05-SliceDisagreementCheck.txt</v>
      </c>
      <c r="AE25" s="157" t="str">
        <f t="shared" si="9"/>
        <v>start /low /b %USERPROFILE%\Documents\GitHub\eaglep3\Utilities\DownloadLogsFromS3.py --loco 4027 --day 2017-03-05</v>
      </c>
      <c r="AF25" s="1"/>
    </row>
    <row r="26" spans="1:32" x14ac:dyDescent="0.25">
      <c r="A26" s="32">
        <v>42799.601539351854</v>
      </c>
      <c r="B26" s="30" t="s">
        <v>216</v>
      </c>
      <c r="C26" s="30" t="s">
        <v>554</v>
      </c>
      <c r="D26" s="30" t="s">
        <v>49</v>
      </c>
      <c r="E26" s="30" t="s">
        <v>186</v>
      </c>
      <c r="F26" s="43">
        <v>0</v>
      </c>
      <c r="G26" s="43">
        <v>53</v>
      </c>
      <c r="H26" s="43">
        <v>233281</v>
      </c>
      <c r="I26" s="43">
        <v>233315</v>
      </c>
      <c r="J26" s="30" t="s">
        <v>187</v>
      </c>
      <c r="K26" s="43">
        <v>233491</v>
      </c>
      <c r="L26" s="143" t="s">
        <v>50</v>
      </c>
      <c r="M26" s="144">
        <f t="shared" si="0"/>
        <v>92.927999999999997</v>
      </c>
      <c r="N26" s="145" t="str">
        <f>VLOOKUP(C26,'Trips&amp;Operators'!$C$1:$G$99999,5,FALSE)</f>
        <v>MACDONALD THOMAS</v>
      </c>
      <c r="O26" s="194" t="s">
        <v>185</v>
      </c>
      <c r="P26" s="146"/>
      <c r="Q26" s="30"/>
      <c r="R26" s="89" t="str">
        <f>VLOOKUP(C26,'Train Runs'!$A$13:$AE$9936,31,0)</f>
        <v>aws s3 cp s3://rtdc.mdm.uploadarchive.raw/RTDC4027/ "%USERPROFILE%\AppData\Local\Temp\OnboardLogs"\RTDC4027\2017-03-05 --exclude "*" --recursive --include "*20170305*" &amp; "%USERPROFILE%\Documents\GitHub\mrs-test-scripts\Headless Mode &amp; Sideloading\WalkAndUnGZ.bat" "%USERPROFILE%\AppData\Local\Temp\OnboardLogs"\RTDC4027\2017-03-05 &amp; aws s3 cp s3://rtdc.mdm.uploadarchive.raw/RTDC4027/ "%USERPROFILE%\AppData\Local\Temp\OnboardLogs"\RTDC4027\2017-03-06 --exclude "*" --recursive --include "*20170306*" &amp; "%USERPROFILE%\Documents\GitHub\mrs-test-scripts\Headless Mode &amp; Sideloading\WalkAndUnGZ.bat" "%USERPROFILE%\AppData\Local\Temp\OnboardLogs"\RTDC4027\2017-03-06</v>
      </c>
      <c r="S26" s="92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-03-05T12:42:15-0700',mode:absolute,to:'2017-03-05T15:26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94" t="str">
        <f t="shared" si="1"/>
        <v>"C:\Program Files (x86)\AstroGrep\AstroGrep.exe" /spath="%USERPROFILE%\AppData\Local\Temp\OnboardLogs" /stypes="*4027*201703052*" /stext=" 21:.+((SYSTEM_STATE.+slice.+state.+changed )|(ment ac)|(multiple cpu faults)|(system.+state.+changed )|(\[timeout)|(PRM\|1\|D)|(kpr)|(kdp)|(\|loc)|(crossing.((167)|(168)|(199)|(200))))" /e /r /s</v>
      </c>
      <c r="U26" s="9" t="str">
        <f t="shared" si="2"/>
        <v>4027</v>
      </c>
      <c r="V26" s="32">
        <f t="shared" si="3"/>
        <v>42799.893206018518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{"issue":{"subject":"","project_id":79,"tracker_id":40,"status_id":1,"priority_id":2,"assigned_to_id":23,"start_date":"2017-03-05","description":"","custom_fields":[{"id":1,"name":"Subdivision","value":"EC"},{"id":4,"name":"Milepost","value":"23.3491"},{"id":17,"name":"Train ID","value":"181-05"},{"id":16,"name":"Locomotive ID","value":"4027"},{"id":130,"name":"Impact","value":""},{"id":150,"name":"Time of Event (Mountain Time)","value":"14:26:13"},{"id":151,"name":"Denver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"%USERPROFILE%\AppData\Local\Temp\OnboardLogs"\RTDC4027\*4027*201703052*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"%USERPROFILE%\AppData\Local\Temp\OnboardLogs"\RTDC4027\*4027*201703052* &gt;&gt; 2017-03-05-SliceDisagreementCheck.txt</v>
      </c>
      <c r="AE26" s="157" t="str">
        <f t="shared" si="9"/>
        <v>start /low /b %USERPROFILE%\Documents\GitHub\eaglep3\Utilities\DownloadLogsFromS3.py --loco 4027 --day 2017-03-05</v>
      </c>
      <c r="AF26" s="1"/>
    </row>
    <row r="27" spans="1:32" x14ac:dyDescent="0.25">
      <c r="A27" s="32">
        <v>42800.065706018519</v>
      </c>
      <c r="B27" s="30" t="s">
        <v>303</v>
      </c>
      <c r="C27" s="30" t="s">
        <v>564</v>
      </c>
      <c r="D27" s="30" t="s">
        <v>49</v>
      </c>
      <c r="E27" s="30" t="s">
        <v>186</v>
      </c>
      <c r="F27" s="43">
        <v>0</v>
      </c>
      <c r="G27" s="43">
        <v>53</v>
      </c>
      <c r="H27" s="43">
        <v>233378</v>
      </c>
      <c r="I27" s="43">
        <v>233423</v>
      </c>
      <c r="J27" s="30" t="s">
        <v>187</v>
      </c>
      <c r="K27" s="43">
        <v>233491</v>
      </c>
      <c r="L27" s="143" t="s">
        <v>50</v>
      </c>
      <c r="M27" s="144">
        <f t="shared" si="0"/>
        <v>35.904000000000003</v>
      </c>
      <c r="N27" s="145" t="str">
        <f>VLOOKUP(C27,'Trips&amp;Operators'!$C$1:$G$99999,5,FALSE)</f>
        <v>STAMBAUGH JAMES</v>
      </c>
      <c r="O27" s="194" t="s">
        <v>185</v>
      </c>
      <c r="P27" s="146"/>
      <c r="Q27" s="30"/>
      <c r="R27" s="89" t="str">
        <f>VLOOKUP(C27,'Train Runs'!$A$13:$AE$9936,31,0)</f>
        <v>aws s3 cp s3://rtdc.mdm.uploadarchive.raw/RTDC4016/ "%USERPROFILE%\AppData\Local\Temp\OnboardLogs"\RTDC4016\2017-03-06 --exclude "*" --recursive --include "*20170306*" &amp; "%USERPROFILE%\Documents\GitHub\mrs-test-scripts\Headless Mode &amp; Sideloading\WalkAndUnGZ.bat" "%USERPROFILE%\AppData\Local\Temp\OnboardLogs"\RTDC4016\2017-03-06 &amp; aws s3 cp s3://rtdc.mdm.uploadarchive.raw/RTDC4016/ "%USERPROFILE%\AppData\Local\Temp\OnboardLogs"\RTDC4016\2017-03-07 --exclude "*" --recursive --include "*20170307*" &amp; "%USERPROFILE%\Documents\GitHub\mrs-test-scripts\Headless Mode &amp; Sideloading\WalkAndUnGZ.bat" "%USERPROFILE%\AppData\Local\Temp\OnboardLogs"\RTDC4016\2017-03-07</v>
      </c>
      <c r="S27" s="92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-03-05T23:07:10-0700',mode:absolute,to:'2017-03-06T01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7" s="94" t="str">
        <f t="shared" si="1"/>
        <v>"C:\Program Files (x86)\AstroGrep\AstroGrep.exe" /spath="%USERPROFILE%\AppData\Local\Temp\OnboardLogs" /stypes="*4016*201703060*" /stext=" 08:.+((SYSTEM_STATE.+slice.+state.+changed )|(ment ac)|(multiple cpu faults)|(system.+state.+changed )|(\[timeout)|(PRM\|1\|D)|(kpr)|(kdp)|(\|loc)|(crossing.((167)|(168)|(199)|(200))))" /e /r /s</v>
      </c>
      <c r="U27" s="9" t="str">
        <f t="shared" si="2"/>
        <v>4016</v>
      </c>
      <c r="V27" s="32">
        <f t="shared" si="3"/>
        <v>42800.357372685183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ID","value":"243-05"},{"id":16,"name":"Locomotive ID","value":"4016"},{"id":130,"name":"Impact","value":""},{"id":150,"name":"Time of Event (Mountain Time)","value":"01:34:37"},{"id":151,"name":"Denver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"%USERPROFILE%\AppData\Local\Temp\OnboardLogs"\RTDC4016\*4016*201703060*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"%USERPROFILE%\AppData\Local\Temp\OnboardLogs"\RTDC4016\*4016*201703060* &gt;&gt; 2017-03-05-SliceDisagreementCheck.txt</v>
      </c>
      <c r="AE27" s="157" t="str">
        <f t="shared" si="9"/>
        <v>start /low /b %USERPROFILE%\Documents\GitHub\eaglep3\Utilities\DownloadLogsFromS3.py --loco 4016 --day 2017-03-06</v>
      </c>
      <c r="AF27" s="1"/>
    </row>
    <row r="28" spans="1:32" x14ac:dyDescent="0.25">
      <c r="A28" s="32">
        <v>42799.574224537035</v>
      </c>
      <c r="B28" s="30" t="s">
        <v>321</v>
      </c>
      <c r="C28" s="30" t="s">
        <v>553</v>
      </c>
      <c r="D28" s="30" t="s">
        <v>98</v>
      </c>
      <c r="E28" s="30" t="s">
        <v>248</v>
      </c>
      <c r="F28" s="43">
        <v>400</v>
      </c>
      <c r="G28" s="43">
        <v>452</v>
      </c>
      <c r="H28" s="43">
        <v>38711</v>
      </c>
      <c r="I28" s="43">
        <v>37627</v>
      </c>
      <c r="J28" s="30" t="s">
        <v>249</v>
      </c>
      <c r="K28" s="43">
        <v>40977</v>
      </c>
      <c r="L28" s="143" t="s">
        <v>51</v>
      </c>
      <c r="M28" s="144">
        <f t="shared" si="0"/>
        <v>-1768.8</v>
      </c>
      <c r="N28" s="145" t="str">
        <f>VLOOKUP(C28,'Trips&amp;Operators'!$C$1:$G$99999,5,FALSE)</f>
        <v>HOLCOMB KAMDEN</v>
      </c>
      <c r="O28" s="194" t="s">
        <v>185</v>
      </c>
      <c r="P28" s="146"/>
      <c r="Q28" s="30"/>
      <c r="R28" s="89" t="str">
        <f>VLOOKUP(C28,'Train Runs'!$A$13:$AE$9936,31,0)</f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S28" s="92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-03-05T12:36:22-0700',mode:absolute,to:'2017-03-05T14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/spath="%USERPROFILE%\AppData\Local\Temp\OnboardLogs" /stypes="*4032*201703052*" /stext=" 20:.+((SYSTEM_STATE.+slice.+state.+changed )|(ment ac)|(multiple cpu faults)|(system.+state.+changed )|(\[timeout)|(PRM\|1\|D)|(kpr)|(kdp)|(\|loc)|(crossing.((167)|(168)|(199)|(200))))" /e /r /s</v>
      </c>
      <c r="U28" s="9" t="str">
        <f t="shared" si="2"/>
        <v>4032</v>
      </c>
      <c r="V28" s="32">
        <f t="shared" si="3"/>
        <v>42799.865891203699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{"issue":{"subject":"","project_id":79,"tracker_id":40,"status_id":1,"priority_id":2,"assigned_to_id":23,"start_date":"2017-03-05","description":"","custom_fields":[{"id":1,"name":"Subdivision","value":"NW"},{"id":4,"name":"Milepost","value":"4.0977"},{"id":17,"name":"Train ID","value":"1816-05"},{"id":16,"name":"Locomotive ID","value":"4032"},{"id":130,"name":"Impact","value":""},{"id":150,"name":"Time of Event (Mountain Time)","value":"13:46:53"},{"id":151,"name":"Denver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"%USERPROFILE%\AppData\Local\Temp\OnboardLogs"\RTDC4032\*4032*201703052*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"%USERPROFILE%\AppData\Local\Temp\OnboardLogs"\RTDC4032\*4032*201703052* &gt;&gt; 2017-03-05-SliceDisagreementCheck.txt</v>
      </c>
      <c r="AE28" s="157" t="str">
        <f t="shared" si="9"/>
        <v>start /low /b %USERPROFILE%\Documents\GitHub\eaglep3\Utilities\DownloadLogsFromS3.py --loco 4032 --day 2017-03-05</v>
      </c>
      <c r="AF28" s="1"/>
    </row>
    <row r="29" spans="1:32" x14ac:dyDescent="0.25">
      <c r="A29" s="32">
        <v>42799.530752314815</v>
      </c>
      <c r="B29" s="30" t="s">
        <v>321</v>
      </c>
      <c r="C29" s="30" t="s">
        <v>549</v>
      </c>
      <c r="D29" s="30" t="s">
        <v>98</v>
      </c>
      <c r="E29" s="30" t="s">
        <v>248</v>
      </c>
      <c r="F29" s="43">
        <v>150</v>
      </c>
      <c r="G29" s="43">
        <v>205</v>
      </c>
      <c r="H29" s="43">
        <v>56693</v>
      </c>
      <c r="I29" s="43">
        <v>56336</v>
      </c>
      <c r="J29" s="30" t="s">
        <v>249</v>
      </c>
      <c r="K29" s="43">
        <v>59050</v>
      </c>
      <c r="L29" s="143" t="s">
        <v>51</v>
      </c>
      <c r="M29" s="144">
        <f t="shared" si="0"/>
        <v>-1432.9919999999997</v>
      </c>
      <c r="N29" s="145" t="str">
        <f>VLOOKUP(C29,'Trips&amp;Operators'!$C$1:$G$99999,5,FALSE)</f>
        <v>HOLCOMB KAMDEN</v>
      </c>
      <c r="O29" s="194" t="s">
        <v>185</v>
      </c>
      <c r="P29" s="146"/>
      <c r="Q29" s="30"/>
      <c r="R29" s="89" t="str">
        <f>VLOOKUP(C29,'Train Runs'!$A$13:$AE$9936,31,0)</f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S29" s="92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-03-05T11:37:22-0700',mode:absolute,to:'2017-03-05T13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9" s="94" t="str">
        <f t="shared" si="1"/>
        <v>"C:\Program Files (x86)\AstroGrep\AstroGrep.exe" /spath="%USERPROFILE%\AppData\Local\Temp\OnboardLogs" /stypes="*4032*201703051*" /stext=" 19:.+((SYSTEM_STATE.+slice.+state.+changed )|(ment ac)|(multiple cpu faults)|(system.+state.+changed )|(\[timeout)|(PRM\|1\|D)|(kpr)|(kdp)|(\|loc)|(crossing.((167)|(168)|(199)|(200))))" /e /r /s</v>
      </c>
      <c r="U29" s="9" t="str">
        <f t="shared" si="2"/>
        <v>4032</v>
      </c>
      <c r="V29" s="32">
        <f t="shared" si="3"/>
        <v>42799.822418981479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{"issue":{"subject":"","project_id":79,"tracker_id":40,"status_id":1,"priority_id":2,"assigned_to_id":23,"start_date":"2017-03-05","description":"","custom_fields":[{"id":1,"name":"Subdivision","value":"NW"},{"id":4,"name":"Milepost","value":"5.905"},{"id":17,"name":"Train ID","value":"1814-05"},{"id":16,"name":"Locomotive ID","value":"4032"},{"id":130,"name":"Impact","value":""},{"id":150,"name":"Time of Event (Mountain Time)","value":"12:44:17"},{"id":151,"name":"Denver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"%USERPROFILE%\AppData\Local\Temp\OnboardLogs"\RTDC4032\*4032*201703051*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"%USERPROFILE%\AppData\Local\Temp\OnboardLogs"\RTDC4032\*4032*201703051* &gt;&gt; 2017-03-05-SliceDisagreementCheck.txt</v>
      </c>
      <c r="AE29" s="157" t="str">
        <f t="shared" si="9"/>
        <v>start /low /b %USERPROFILE%\Documents\GitHub\eaglep3\Utilities\DownloadLogsFromS3.py --loco 4032 --day 2017-03-05</v>
      </c>
      <c r="AF29" s="1"/>
    </row>
    <row r="30" spans="1:32" x14ac:dyDescent="0.25">
      <c r="A30" s="32">
        <v>42799.247129629628</v>
      </c>
      <c r="B30" s="30" t="s">
        <v>321</v>
      </c>
      <c r="C30" s="30" t="s">
        <v>540</v>
      </c>
      <c r="D30" s="30" t="s">
        <v>49</v>
      </c>
      <c r="E30" s="30" t="s">
        <v>186</v>
      </c>
      <c r="F30" s="43">
        <v>0</v>
      </c>
      <c r="G30" s="43">
        <v>50</v>
      </c>
      <c r="H30" s="43">
        <v>838</v>
      </c>
      <c r="I30" s="43">
        <v>804</v>
      </c>
      <c r="J30" s="30" t="s">
        <v>187</v>
      </c>
      <c r="K30" s="43">
        <v>575</v>
      </c>
      <c r="L30" s="143" t="s">
        <v>51</v>
      </c>
      <c r="M30" s="144">
        <f t="shared" si="0"/>
        <v>120.91200000000001</v>
      </c>
      <c r="N30" s="145" t="str">
        <f>VLOOKUP(C30,'Trips&amp;Operators'!$C$1:$G$99999,5,FALSE)</f>
        <v>HOLCOMB KAMDEN</v>
      </c>
      <c r="O30" s="194" t="s">
        <v>185</v>
      </c>
      <c r="P30" s="146"/>
      <c r="Q30" s="30"/>
      <c r="R30" s="89" t="str">
        <f>VLOOKUP(C30,'Train Runs'!$A$13:$AE$9936,31,0)</f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S30" s="92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-03-05T04:27:59-0700',mode:absolute,to:'2017-03-05T06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0" s="94" t="str">
        <f t="shared" si="1"/>
        <v>"C:\Program Files (x86)\AstroGrep\AstroGrep.exe" /spath="%USERPROFILE%\AppData\Local\Temp\OnboardLogs" /stypes="*4032*201703051*" /stext=" 12:.+((SYSTEM_STATE.+slice.+state.+changed )|(ment ac)|(multiple cpu faults)|(system.+state.+changed )|(\[timeout)|(PRM\|1\|D)|(kpr)|(kdp)|(\|loc)|(crossing.((167)|(168)|(199)|(200))))" /e /r /s</v>
      </c>
      <c r="U30" s="9" t="str">
        <f t="shared" si="2"/>
        <v>4032</v>
      </c>
      <c r="V30" s="32">
        <f t="shared" si="3"/>
        <v>42799.538796296292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{"issue":{"subject":"","project_id":79,"tracker_id":40,"status_id":1,"priority_id":2,"assigned_to_id":23,"start_date":"2017-03-05","description":"","custom_fields":[{"id":1,"name":"Subdivision","value":"NW"},{"id":4,"name":"Milepost","value":"0.0575"},{"id":17,"name":"Train ID","value":"1800-05"},{"id":16,"name":"Locomotive ID","value":"4032"},{"id":130,"name":"Impact","value":""},{"id":150,"name":"Time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"%USERPROFILE%\AppData\Local\Temp\OnboardLogs"\RTDC4032\*4032*201703051*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"%USERPROFILE%\AppData\Local\Temp\OnboardLogs"\RTDC4032\*4032*201703051* &gt;&gt; 2017-03-05-SliceDisagreementCheck.txt</v>
      </c>
      <c r="AE30" s="157" t="str">
        <f t="shared" si="9"/>
        <v>start /low /b %USERPROFILE%\Documents\GitHub\eaglep3\Utilities\DownloadLogsFromS3.py --loco 4032 --day 2017-03-05</v>
      </c>
      <c r="AF30" s="1"/>
    </row>
    <row r="31" spans="1:32" x14ac:dyDescent="0.25">
      <c r="A31" s="32">
        <v>42799.413321759261</v>
      </c>
      <c r="B31" s="30" t="s">
        <v>321</v>
      </c>
      <c r="C31" s="30" t="s">
        <v>543</v>
      </c>
      <c r="D31" s="30" t="s">
        <v>49</v>
      </c>
      <c r="E31" s="30" t="s">
        <v>186</v>
      </c>
      <c r="F31" s="43">
        <v>0</v>
      </c>
      <c r="G31" s="43">
        <v>53</v>
      </c>
      <c r="H31" s="43">
        <v>759</v>
      </c>
      <c r="I31" s="43">
        <v>741</v>
      </c>
      <c r="J31" s="30" t="s">
        <v>187</v>
      </c>
      <c r="K31" s="43">
        <v>575</v>
      </c>
      <c r="L31" s="143" t="s">
        <v>51</v>
      </c>
      <c r="M31" s="144">
        <f t="shared" si="0"/>
        <v>87.647999999999996</v>
      </c>
      <c r="N31" s="145" t="str">
        <f>VLOOKUP(C31,'Trips&amp;Operators'!$C$1:$G$99999,5,FALSE)</f>
        <v>HOLCOMB KAMDEN</v>
      </c>
      <c r="O31" s="194" t="s">
        <v>185</v>
      </c>
      <c r="P31" s="146"/>
      <c r="Q31" s="30"/>
      <c r="R31" s="89" t="str">
        <f>VLOOKUP(C31,'Train Runs'!$A$13:$AE$9936,31,0)</f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S31" s="92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-03-05T08:36:53-0700',mode:absolute,to:'2017-03-05T10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94" t="str">
        <f t="shared" si="1"/>
        <v>"C:\Program Files (x86)\AstroGrep\AstroGrep.exe" /spath="%USERPROFILE%\AppData\Local\Temp\OnboardLogs" /stypes="*4032*201703051*" /stext=" 16:.+((SYSTEM_STATE.+slice.+state.+changed )|(ment ac)|(multiple cpu faults)|(system.+state.+changed )|(\[timeout)|(PRM\|1\|D)|(kpr)|(kdp)|(\|loc)|(crossing.((167)|(168)|(199)|(200))))" /e /r /s</v>
      </c>
      <c r="U31" s="9" t="str">
        <f t="shared" si="2"/>
        <v>4032</v>
      </c>
      <c r="V31" s="32">
        <f t="shared" si="3"/>
        <v>42799.704988425925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{"issue":{"subject":"","project_id":79,"tracker_id":40,"status_id":1,"priority_id":2,"assigned_to_id":23,"start_date":"2017-03-05","description":"","custom_fields":[{"id":1,"name":"Subdivision","value":"NW"},{"id":4,"name":"Milepost","value":"0.0575"},{"id":17,"name":"Train ID","value":"1808-05"},{"id":16,"name":"Locomotive ID","value":"4032"},{"id":130,"name":"Impact","value":""},{"id":150,"name":"Time of Event (Mountain Time)","value":"09:55:11"},{"id":151,"name":"Denver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"%USERPROFILE%\AppData\Local\Temp\OnboardLogs"\RTDC4032\*4032*201703051*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"%USERPROFILE%\AppData\Local\Temp\OnboardLogs"\RTDC4032\*4032*201703051* &gt;&gt; 2017-03-05-SliceDisagreementCheck.txt</v>
      </c>
      <c r="AE31" s="157" t="str">
        <f t="shared" si="9"/>
        <v>start /low /b %USERPROFILE%\Documents\GitHub\eaglep3\Utilities\DownloadLogsFromS3.py --loco 4032 --day 2017-03-05</v>
      </c>
      <c r="AF31" s="1"/>
    </row>
    <row r="32" spans="1:32" x14ac:dyDescent="0.25">
      <c r="A32" s="32">
        <v>42799.664733796293</v>
      </c>
      <c r="B32" s="30" t="s">
        <v>321</v>
      </c>
      <c r="C32" s="30" t="s">
        <v>556</v>
      </c>
      <c r="D32" s="30" t="s">
        <v>49</v>
      </c>
      <c r="E32" s="30" t="s">
        <v>186</v>
      </c>
      <c r="F32" s="43">
        <v>0</v>
      </c>
      <c r="G32" s="43">
        <v>55</v>
      </c>
      <c r="H32" s="43">
        <v>876</v>
      </c>
      <c r="I32" s="43">
        <v>815</v>
      </c>
      <c r="J32" s="30" t="s">
        <v>187</v>
      </c>
      <c r="K32" s="43">
        <v>575</v>
      </c>
      <c r="L32" s="143" t="s">
        <v>51</v>
      </c>
      <c r="M32" s="144">
        <f t="shared" si="0"/>
        <v>126.72</v>
      </c>
      <c r="N32" s="145" t="str">
        <f>VLOOKUP(C32,'Trips&amp;Operators'!$C$1:$G$99999,5,FALSE)</f>
        <v>NELSON ARIANE</v>
      </c>
      <c r="O32" s="194" t="s">
        <v>185</v>
      </c>
      <c r="P32" s="146"/>
      <c r="Q32" s="30"/>
      <c r="R32" s="89" t="str">
        <f>VLOOKUP(C32,'Train Runs'!$A$13:$AE$9936,31,0)</f>
        <v>aws s3 cp s3://rtdc.mdm.uploadarchive.raw/RTDC4032/ "%USERPROFILE%\AppData\Local\Temp\OnboardLogs"\RTDC4032\2017-03-05 --exclude "*" --recursive --include "*20170305*" &amp; "%USERPROFILE%\Documents\GitHub\mrs-test-scripts\Headless Mode &amp; Sideloading\WalkAndUnGZ.bat" "%USERPROFILE%\AppData\Local\Temp\OnboardLogs"\RTDC4032\2017-03-05 &amp; aws s3 cp s3://rtdc.mdm.uploadarchive.raw/RTDC4032/ "%USERPROFILE%\AppData\Local\Temp\OnboardLogs"\RTDC4032\2017-03-06 --exclude "*" --recursive --include "*20170306*" &amp; "%USERPROFILE%\Documents\GitHub\mrs-test-scripts\Headless Mode &amp; Sideloading\WalkAndUnGZ.bat" "%USERPROFILE%\AppData\Local\Temp\OnboardLogs"\RTDC4032\2017-03-06</v>
      </c>
      <c r="S32" s="92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-03-05T14:41:26-0700',mode:absolute,to:'2017-03-05T16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94" t="str">
        <f t="shared" si="1"/>
        <v>"C:\Program Files (x86)\AstroGrep\AstroGrep.exe" /spath="%USERPROFILE%\AppData\Local\Temp\OnboardLogs" /stypes="*4032*201703052*" /stext=" 22:.+((SYSTEM_STATE.+slice.+state.+changed )|(ment ac)|(multiple cpu faults)|(system.+state.+changed )|(\[timeout)|(PRM\|1\|D)|(kpr)|(kdp)|(\|loc)|(crossing.((167)|(168)|(199)|(200))))" /e /r /s</v>
      </c>
      <c r="U32" s="9" t="str">
        <f t="shared" si="2"/>
        <v>4032</v>
      </c>
      <c r="V32" s="32">
        <f t="shared" si="3"/>
        <v>42799.956400462957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{"issue":{"subject":"","project_id":79,"tracker_id":40,"status_id":1,"priority_id":2,"assigned_to_id":23,"start_date":"2017-03-05","description":"","custom_fields":[{"id":1,"name":"Subdivision","value":"NW"},{"id":4,"name":"Milepost","value":"0.0575"},{"id":17,"name":"Train ID","value":"1820-05"},{"id":16,"name":"Locomotive ID","value":"4032"},{"id":130,"name":"Impact","value":""},{"id":150,"name":"Time of Event (Mountain Time)","value":"15:57:13"},{"id":151,"name":"Denver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"%USERPROFILE%\AppData\Local\Temp\OnboardLogs"\RTDC4032\*4032*201703052*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"%USERPROFILE%\AppData\Local\Temp\OnboardLogs"\RTDC4032\*4032*201703052* &gt;&gt; 2017-03-05-SliceDisagreementCheck.txt</v>
      </c>
      <c r="AE32" s="157" t="str">
        <f t="shared" si="9"/>
        <v>start /low /b %USERPROFILE%\Documents\GitHub\eaglep3\Utilities\DownloadLogsFromS3.py --loco 4032 --day 2017-03-05</v>
      </c>
      <c r="AF32" s="1"/>
    </row>
    <row r="33" spans="1:32" x14ac:dyDescent="0.25">
      <c r="A33" s="32">
        <v>42799.441006944442</v>
      </c>
      <c r="B33" s="30" t="s">
        <v>545</v>
      </c>
      <c r="C33" s="30" t="s">
        <v>546</v>
      </c>
      <c r="D33" s="30" t="s">
        <v>49</v>
      </c>
      <c r="E33" s="30" t="s">
        <v>186</v>
      </c>
      <c r="F33" s="43">
        <v>0</v>
      </c>
      <c r="G33" s="43">
        <v>54</v>
      </c>
      <c r="H33" s="43">
        <v>58882</v>
      </c>
      <c r="I33" s="43">
        <v>58926</v>
      </c>
      <c r="J33" s="30" t="s">
        <v>187</v>
      </c>
      <c r="K33" s="43">
        <v>59048</v>
      </c>
      <c r="L33" s="143" t="s">
        <v>50</v>
      </c>
      <c r="M33" s="144">
        <f t="shared" si="0"/>
        <v>64.415999999999997</v>
      </c>
      <c r="N33" s="145" t="str">
        <f>VLOOKUP(C33,'Trips&amp;Operators'!$C$1:$G$99999,5,FALSE)</f>
        <v>HOLCOMB KAMDEN</v>
      </c>
      <c r="O33" s="194" t="s">
        <v>185</v>
      </c>
      <c r="P33" s="146"/>
      <c r="Q33" s="30"/>
      <c r="R33" s="89" t="str">
        <f>VLOOKUP(C33,'Train Runs'!$A$13:$AE$9936,31,0)</f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S33" s="92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-03-05T09:10:32-0700',mode:absolute,to:'2017-03-05T11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94" t="str">
        <f t="shared" si="1"/>
        <v>"C:\Program Files (x86)\AstroGrep\AstroGrep.exe" /spath="%USERPROFILE%\AppData\Local\Temp\OnboardLogs" /stypes="*4031*201703051*" /stext=" 17:.+((SYSTEM_STATE.+slice.+state.+changed )|(ment ac)|(multiple cpu faults)|(system.+state.+changed )|(\[timeout)|(PRM\|1\|D)|(kpr)|(kdp)|(\|loc)|(crossing.((167)|(168)|(199)|(200))))" /e /r /s</v>
      </c>
      <c r="U33" s="9" t="str">
        <f t="shared" si="2"/>
        <v>4031</v>
      </c>
      <c r="V33" s="32">
        <f t="shared" si="3"/>
        <v>42799.732673611106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{"issue":{"subject":"","project_id":79,"tracker_id":40,"status_id":1,"priority_id":2,"assigned_to_id":23,"start_date":"2017-03-05","description":"","custom_fields":[{"id":1,"name":"Subdivision","value":"NW"},{"id":4,"name":"Milepost","value":"5.9048"},{"id":17,"name":"Train ID","value":"1809-05"},{"id":16,"name":"Locomotive ID","value":"4031"},{"id":130,"name":"Impact","value":""},{"id":150,"name":"Time of Event (Mountain Time)","value":"10:35:03"},{"id":151,"name":"Denver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"%USERPROFILE%\AppData\Local\Temp\OnboardLogs"\RTDC4031\*4031*201703051*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"%USERPROFILE%\AppData\Local\Temp\OnboardLogs"\RTDC4031\*4031*201703051* &gt;&gt; 2017-03-05-SliceDisagreementCheck.txt</v>
      </c>
      <c r="AE33" s="157" t="str">
        <f t="shared" si="9"/>
        <v>start /low /b %USERPROFILE%\Documents\GitHub\eaglep3\Utilities\DownloadLogsFromS3.py --loco 4031 --day 2017-03-05</v>
      </c>
      <c r="AF33" s="1"/>
    </row>
    <row r="34" spans="1:32" x14ac:dyDescent="0.25">
      <c r="A34" s="32">
        <v>42799.649328703701</v>
      </c>
      <c r="B34" s="30" t="s">
        <v>545</v>
      </c>
      <c r="C34" s="30" t="s">
        <v>555</v>
      </c>
      <c r="D34" s="30" t="s">
        <v>49</v>
      </c>
      <c r="E34" s="30" t="s">
        <v>186</v>
      </c>
      <c r="F34" s="43">
        <v>0</v>
      </c>
      <c r="G34" s="43">
        <v>166</v>
      </c>
      <c r="H34" s="43">
        <v>58021</v>
      </c>
      <c r="I34" s="43">
        <v>58269</v>
      </c>
      <c r="J34" s="30" t="s">
        <v>187</v>
      </c>
      <c r="K34" s="43">
        <v>59048</v>
      </c>
      <c r="L34" s="143" t="s">
        <v>50</v>
      </c>
      <c r="M34" s="144">
        <f t="shared" si="0"/>
        <v>411.31200000000001</v>
      </c>
      <c r="N34" s="145" t="str">
        <f>VLOOKUP(C34,'Trips&amp;Operators'!$C$1:$G$99999,5,FALSE)</f>
        <v>NELSON ARIANE</v>
      </c>
      <c r="O34" s="194" t="s">
        <v>185</v>
      </c>
      <c r="P34" s="146"/>
      <c r="Q34" s="30"/>
      <c r="R34" s="89" t="str">
        <f>VLOOKUP(C34,'Train Runs'!$A$13:$AE$9936,31,0)</f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S34" s="92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-03-05T14:16:44-0700',mode:absolute,to:'2017-03-05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94" t="str">
        <f t="shared" si="1"/>
        <v>"C:\Program Files (x86)\AstroGrep\AstroGrep.exe" /spath="%USERPROFILE%\AppData\Local\Temp\OnboardLogs" /stypes="*4031*201703052*" /stext=" 22:.+((SYSTEM_STATE.+slice.+state.+changed )|(ment ac)|(multiple cpu faults)|(system.+state.+changed )|(\[timeout)|(PRM\|1\|D)|(kpr)|(kdp)|(\|loc)|(crossing.((167)|(168)|(199)|(200))))" /e /r /s</v>
      </c>
      <c r="U34" s="9" t="str">
        <f t="shared" si="2"/>
        <v>4031</v>
      </c>
      <c r="V34" s="32">
        <f t="shared" si="3"/>
        <v>42799.940995370365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{"issue":{"subject":"","project_id":79,"tracker_id":40,"status_id":1,"priority_id":2,"assigned_to_id":23,"start_date":"2017-03-05","description":"","custom_fields":[{"id":1,"name":"Subdivision","value":"NW"},{"id":4,"name":"Milepost","value":"5.9048"},{"id":17,"name":"Train ID","value":"1819-05"},{"id":16,"name":"Locomotive ID","value":"4031"},{"id":130,"name":"Impact","value":""},{"id":150,"name":"Time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"%USERPROFILE%\AppData\Local\Temp\OnboardLogs"\RTDC4031\*4031*201703052*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"%USERPROFILE%\AppData\Local\Temp\OnboardLogs"\RTDC4031\*4031*201703052* &gt;&gt; 2017-03-05-SliceDisagreementCheck.txt</v>
      </c>
      <c r="AE34" s="157" t="str">
        <f t="shared" si="9"/>
        <v>start /low /b %USERPROFILE%\Documents\GitHub\eaglep3\Utilities\DownloadLogsFromS3.py --loco 4031 --day 2017-03-05</v>
      </c>
      <c r="AF34" s="1"/>
    </row>
    <row r="35" spans="1:32" x14ac:dyDescent="0.25">
      <c r="A35" s="32">
        <v>42799.651145833333</v>
      </c>
      <c r="B35" s="30" t="s">
        <v>545</v>
      </c>
      <c r="C35" s="30" t="s">
        <v>555</v>
      </c>
      <c r="D35" s="30" t="s">
        <v>49</v>
      </c>
      <c r="E35" s="30" t="s">
        <v>186</v>
      </c>
      <c r="F35" s="43">
        <v>0</v>
      </c>
      <c r="G35" s="43">
        <v>62</v>
      </c>
      <c r="H35" s="43">
        <v>58315</v>
      </c>
      <c r="I35" s="43">
        <v>58428</v>
      </c>
      <c r="J35" s="30" t="s">
        <v>187</v>
      </c>
      <c r="K35" s="43">
        <v>59048</v>
      </c>
      <c r="L35" s="143" t="s">
        <v>50</v>
      </c>
      <c r="M35" s="144">
        <f t="shared" si="0"/>
        <v>327.36</v>
      </c>
      <c r="N35" s="145" t="str">
        <f>VLOOKUP(C35,'Trips&amp;Operators'!$C$1:$G$99999,5,FALSE)</f>
        <v>NELSON ARIANE</v>
      </c>
      <c r="O35" s="194" t="s">
        <v>185</v>
      </c>
      <c r="P35" s="146"/>
      <c r="Q35" s="30"/>
      <c r="R35" s="89" t="str">
        <f>VLOOKUP(C35,'Train Runs'!$A$13:$AE$9936,31,0)</f>
        <v>aws s3 cp s3://rtdc.mdm.uploadarchive.raw/RTDC4031/ "%USERPROFILE%\AppData\Local\Temp\OnboardLogs"\RTDC4031\2017-03-05 --exclude "*" --recursive --include "*20170305*" &amp; "%USERPROFILE%\Documents\GitHub\mrs-test-scripts\Headless Mode &amp; Sideloading\WalkAndUnGZ.bat" "%USERPROFILE%\AppData\Local\Temp\OnboardLogs"\RTDC4031\2017-03-05 &amp; 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</v>
      </c>
      <c r="S35" s="92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-03-05T14:16:44-0700',mode:absolute,to:'2017-03-05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94" t="str">
        <f t="shared" si="1"/>
        <v>"C:\Program Files (x86)\AstroGrep\AstroGrep.exe" /spath="%USERPROFILE%\AppData\Local\Temp\OnboardLogs" /stypes="*4031*201703052*" /stext=" 22:.+((SYSTEM_STATE.+slice.+state.+changed )|(ment ac)|(multiple cpu faults)|(system.+state.+changed )|(\[timeout)|(PRM\|1\|D)|(kpr)|(kdp)|(\|loc)|(crossing.((167)|(168)|(199)|(200))))" /e /r /s</v>
      </c>
      <c r="U35" s="9" t="str">
        <f t="shared" si="2"/>
        <v>4031</v>
      </c>
      <c r="V35" s="32">
        <f t="shared" si="3"/>
        <v>42799.942812499998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{"issue":{"subject":"","project_id":79,"tracker_id":40,"status_id":1,"priority_id":2,"assigned_to_id":23,"start_date":"2017-03-05","description":"","custom_fields":[{"id":1,"name":"Subdivision","value":"NW"},{"id":4,"name":"Milepost","value":"5.9048"},{"id":17,"name":"Train ID","value":"1819-05"},{"id":16,"name":"Locomotive ID","value":"4031"},{"id":130,"name":"Impact","value":""},{"id":150,"name":"Time of Event (Mountain Time)","value":"15:37:39"},{"id":151,"name":"Denver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"%USERPROFILE%\AppData\Local\Temp\OnboardLogs"\RTDC4031\*4031*201703052*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"%USERPROFILE%\AppData\Local\Temp\OnboardLogs"\RTDC4031\*4031*201703052* &gt;&gt; 2017-03-05-SliceDisagreementCheck.txt</v>
      </c>
      <c r="AE35" s="157" t="str">
        <f t="shared" si="9"/>
        <v>start /low /b %USERPROFILE%\Documents\GitHub\eaglep3\Utilities\DownloadLogsFromS3.py --loco 4031 --day 2017-03-05</v>
      </c>
      <c r="AF35" s="1"/>
    </row>
    <row r="36" spans="1:32" x14ac:dyDescent="0.25">
      <c r="A36" s="32">
        <v>42799.183900462966</v>
      </c>
      <c r="B36" s="30" t="s">
        <v>266</v>
      </c>
      <c r="C36" s="30" t="s">
        <v>536</v>
      </c>
      <c r="D36" s="30" t="s">
        <v>49</v>
      </c>
      <c r="E36" s="30" t="s">
        <v>186</v>
      </c>
      <c r="F36" s="43">
        <v>0</v>
      </c>
      <c r="G36" s="43">
        <v>57</v>
      </c>
      <c r="H36" s="43">
        <v>194</v>
      </c>
      <c r="I36" s="43">
        <v>145</v>
      </c>
      <c r="J36" s="30" t="s">
        <v>187</v>
      </c>
      <c r="K36" s="43">
        <v>1</v>
      </c>
      <c r="L36" s="143" t="s">
        <v>51</v>
      </c>
      <c r="M36" s="144">
        <f t="shared" si="0"/>
        <v>76.031999999999996</v>
      </c>
      <c r="N36" s="145" t="str">
        <f>VLOOKUP(C36,'Trips&amp;Operators'!$C$1:$G$99999,5,FALSE)</f>
        <v>DAVIS WENDY</v>
      </c>
      <c r="O36" s="194" t="s">
        <v>185</v>
      </c>
      <c r="P36" s="146"/>
      <c r="Q36" s="30"/>
      <c r="R36" s="89" t="str">
        <f>VLOOKUP(C36,'Train Runs'!$A$13:$AE$9936,31,0)</f>
        <v>aws s3 cp s3://rtdc.mdm.uploadarchive.raw/RTDC4013/ "%USERPROFILE%\AppData\Local\Temp\OnboardLogs"\RTDC4013\2017-03-05 --exclude "*" --recursive --include "*20170305*" &amp; "%USERPROFILE%\Documents\GitHub\mrs-test-scripts\Headless Mode &amp; Sideloading\WalkAndUnGZ.bat" "%USERPROFILE%\AppData\Local\Temp\OnboardLogs"\RTDC4013\2017-03-05 &amp; 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</v>
      </c>
      <c r="S36" s="92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-03-05T03:10:37-0700',mode:absolute,to:'2017-03-05T05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6" s="94" t="str">
        <f t="shared" si="1"/>
        <v>"C:\Program Files (x86)\AstroGrep\AstroGrep.exe" /spath="%USERPROFILE%\AppData\Local\Temp\OnboardLogs" /stypes="*4013*201703051*" /stext=" 11:.+((SYSTEM_STATE.+slice.+state.+changed )|(ment ac)|(multiple cpu faults)|(system.+state.+changed )|(\[timeout)|(PRM\|1\|D)|(kpr)|(kdp)|(\|loc)|(crossing.((167)|(168)|(199)|(200))))" /e /r /s</v>
      </c>
      <c r="U36" s="9" t="str">
        <f t="shared" si="2"/>
        <v>4013</v>
      </c>
      <c r="V36" s="32">
        <f t="shared" si="3"/>
        <v>42799.47556712963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{"issue":{"subject":"","project_id":79,"tracker_id":40,"status_id":1,"priority_id":2,"assigned_to_id":23,"start_date":"2017-03-05","description":"","custom_fields":[{"id":1,"name":"Subdivision","value":"Other"},{"id":4,"name":"Milepost","value":"0.0001"},{"id":17,"name":"Train ID","value":"308-05"},{"id":16,"name":"Locomotive ID","value":"4013"},{"id":130,"name":"Impact","value":""},{"id":150,"name":"Time of Event (Mountain Time)","value":"04:24:49"},{"id":151,"name":"Denver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"%USERPROFILE%\AppData\Local\Temp\OnboardLogs"\RTDC4013\*4013*201703051*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"%USERPROFILE%\AppData\Local\Temp\OnboardLogs"\RTDC4013\*4013*201703051* &gt;&gt; 2017-03-05-SliceDisagreementCheck.txt</v>
      </c>
      <c r="AE36" s="157" t="str">
        <f t="shared" si="9"/>
        <v>start /low /b %USERPROFILE%\Documents\GitHub\eaglep3\Utilities\DownloadLogsFromS3.py --loco 4013 --day 2017-03-05</v>
      </c>
      <c r="AF36" s="1"/>
    </row>
    <row r="37" spans="1:32" x14ac:dyDescent="0.25">
      <c r="A37" s="32">
        <v>42799.738923611112</v>
      </c>
      <c r="B37" s="30" t="s">
        <v>214</v>
      </c>
      <c r="C37" s="30" t="s">
        <v>561</v>
      </c>
      <c r="D37" s="30" t="s">
        <v>49</v>
      </c>
      <c r="E37" s="30" t="s">
        <v>186</v>
      </c>
      <c r="F37" s="43">
        <v>0</v>
      </c>
      <c r="G37" s="43">
        <v>18</v>
      </c>
      <c r="H37" s="43">
        <v>63</v>
      </c>
      <c r="I37" s="43">
        <v>59</v>
      </c>
      <c r="J37" s="30" t="s">
        <v>187</v>
      </c>
      <c r="K37" s="43">
        <v>1</v>
      </c>
      <c r="L37" s="143" t="s">
        <v>51</v>
      </c>
      <c r="M37" s="144">
        <f t="shared" si="0"/>
        <v>30.623999999999999</v>
      </c>
      <c r="N37" s="145" t="str">
        <f>VLOOKUP(C37,'Trips&amp;Operators'!$C$1:$G$99999,5,FALSE)</f>
        <v>SMITH MICHAEL</v>
      </c>
      <c r="O37" s="194" t="s">
        <v>185</v>
      </c>
      <c r="P37" s="146"/>
      <c r="Q37" s="30"/>
      <c r="R37" s="89" t="str">
        <f>VLOOKUP(C37,'Train Runs'!$A$13:$AE$9936,31,0)</f>
        <v>aws s3 cp s3://rtdc.mdm.uploadarchive.raw/RTDC4045/ "%USERPROFILE%\AppData\Local\Temp\OnboardLogs"\RTDC4045\2017-03-05 --exclude "*" --recursive --include "*20170305*" &amp; "%USERPROFILE%\Documents\GitHub\mrs-test-scripts\Headless Mode &amp; Sideloading\WalkAndUnGZ.bat" "%USERPROFILE%\AppData\Local\Temp\OnboardLogs"\RTDC4045\2017-03-05 &amp; 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</v>
      </c>
      <c r="S37" s="92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-03-05T16:31:51-0700',mode:absolute,to:'2017-03-05T18:44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7" s="94" t="str">
        <f t="shared" si="1"/>
        <v>"C:\Program Files (x86)\AstroGrep\AstroGrep.exe" /spath="%USERPROFILE%\AppData\Local\Temp\OnboardLogs" /stypes="*4045*201703060*" /stext=" 00:.+((SYSTEM_STATE.+slice.+state.+changed )|(ment ac)|(multiple cpu faults)|(system.+state.+changed )|(\[timeout)|(PRM\|1\|D)|(kpr)|(kdp)|(\|loc)|(crossing.((167)|(168)|(199)|(200))))" /e /r /s</v>
      </c>
      <c r="U37" s="9" t="str">
        <f t="shared" si="2"/>
        <v>4045</v>
      </c>
      <c r="V37" s="32">
        <f t="shared" si="3"/>
        <v>42800.030590277776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{"issue":{"subject":"","project_id":79,"tracker_id":40,"status_id":1,"priority_id":2,"assigned_to_id":23,"start_date":"2017-03-05","description":"","custom_fields":[{"id":1,"name":"Subdivision","value":"Other"},{"id":4,"name":"Milepost","value":"0.0001"},{"id":17,"name":"Train ID","value":"54-05"},{"id":16,"name":"Locomotive ID","value":"4045"},{"id":130,"name":"Impact","value":""},{"id":150,"name":"Time of Event (Mountain Time)","value":"17:44:03"},{"id":151,"name":"Denver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"%USERPROFILE%\AppData\Local\Temp\OnboardLogs"\RTDC4045\*4045*201703060*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"%USERPROFILE%\AppData\Local\Temp\OnboardLogs"\RTDC4045\*4045*201703060* &gt;&gt; 2017-03-05-SliceDisagreementCheck.txt</v>
      </c>
      <c r="AE37" s="157" t="str">
        <f t="shared" si="9"/>
        <v>start /low /b %USERPROFILE%\Documents\GitHub\eaglep3\Utilities\DownloadLogsFromS3.py --loco 4045 --day 2017-03-06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37"/>
      <sortCondition ref="E7:E37"/>
      <sortCondition ref="K7:K37"/>
      <sortCondition ref="F7:F37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4"/>
  <sheetViews>
    <sheetView workbookViewId="0">
      <selection activeCell="E4" sqref="E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2017-03-05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113</v>
      </c>
      <c r="B3" s="43" t="str">
        <f>A3&amp;"-"&amp;IF(DAY(Variables!$A$2)&lt;10,0,"")&amp;DAY(Variables!$A$2)</f>
        <v>113-05</v>
      </c>
      <c r="C3" s="147"/>
      <c r="D3" s="165"/>
      <c r="E3" s="30" t="s">
        <v>533</v>
      </c>
      <c r="F3" s="21" t="str">
        <f>VLOOKUP(B3,'Trips&amp;Operators'!$C$2:$E$10000,3,FALSE)</f>
        <v>SANTIZO</v>
      </c>
      <c r="G3" s="21" t="str">
        <f>VLOOKUP(B3,'Trips&amp;Operators'!$C$1:$F$10000,4,FALSE)</f>
        <v>D. EDY</v>
      </c>
      <c r="H3" s="29" t="str">
        <f>VLOOKUP(B3,'Trips&amp;Operators'!$C$1:$H$10000,5,FALSE)</f>
        <v>SANTIZO D. EDY</v>
      </c>
      <c r="I3" s="46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-05%22)),sort:!(Time.ISO8601,asc))</v>
      </c>
      <c r="J3" s="30" t="str">
        <f>VLOOKUP(B3,'Train Runs'!$A$13:$A$99933,1,FALSE)</f>
        <v>113-05</v>
      </c>
    </row>
    <row r="4" spans="1:10" x14ac:dyDescent="0.25">
      <c r="A4" s="185">
        <v>114</v>
      </c>
      <c r="B4" s="43" t="str">
        <f>A4&amp;"-"&amp;IF(DAY(Variables!$A$2)&lt;10,0,"")&amp;DAY(Variables!$A$2)</f>
        <v>114-05</v>
      </c>
      <c r="C4" s="147"/>
      <c r="D4" s="165"/>
      <c r="E4" s="30" t="s">
        <v>533</v>
      </c>
      <c r="F4" s="21" t="str">
        <f>VLOOKUP(B4,'Trips&amp;Operators'!$C$2:$E$10000,3,FALSE)</f>
        <v>SANTIZO</v>
      </c>
      <c r="G4" s="21" t="str">
        <f>VLOOKUP(B4,'Trips&amp;Operators'!$C$1:$F$10000,4,FALSE)</f>
        <v>D. EDY</v>
      </c>
      <c r="H4" s="29" t="str">
        <f>VLOOKUP(B4,'Trips&amp;Operators'!$C$1:$H$10000,5,FALSE)</f>
        <v>SANTIZO D. EDY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-05%22)),sort:!(Time.ISO8601,asc))</v>
      </c>
      <c r="J4" s="30" t="str">
        <f>VLOOKUP(B4,'Train Runs'!$A$13:$A$99933,1,FALSE)</f>
        <v>114-05</v>
      </c>
    </row>
    <row r="5" spans="1:10" x14ac:dyDescent="0.25">
      <c r="A5" s="185"/>
      <c r="B5" s="43" t="str">
        <f>A5&amp;"-"&amp;IF(DAY(Variables!$A$2)&lt;10,0,"")&amp;DAY(Variables!$A$2)</f>
        <v>-05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Runs'!$A$13:$A$99933,1,FALSE)</f>
        <v>#N/A</v>
      </c>
    </row>
    <row r="6" spans="1:10" x14ac:dyDescent="0.25">
      <c r="A6" s="185"/>
      <c r="B6" s="43" t="str">
        <f>A6&amp;"-"&amp;IF(DAY(Variables!$A$2)&lt;10,0,"")&amp;DAY(Variables!$A$2)</f>
        <v>-05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Runs'!$A$13:$A$99933,1,FALSE)</f>
        <v>#N/A</v>
      </c>
    </row>
    <row r="7" spans="1:10" x14ac:dyDescent="0.25">
      <c r="A7" s="185"/>
      <c r="B7" s="43" t="str">
        <f>A7&amp;"-"&amp;IF(DAY(Variables!$A$2)&lt;10,0,"")&amp;DAY(Variables!$A$2)</f>
        <v>-05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Runs'!$A$13:$A$99933,1,FALSE)</f>
        <v>#N/A</v>
      </c>
    </row>
    <row r="8" spans="1:10" x14ac:dyDescent="0.25">
      <c r="A8" s="185"/>
      <c r="B8" s="43" t="str">
        <f>A8&amp;"-"&amp;IF(DAY(Variables!$A$2)&lt;10,0,"")&amp;DAY(Variables!$A$2)</f>
        <v>-05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Runs'!$A$13:$A$99933,1,FALSE)</f>
        <v>#N/A</v>
      </c>
    </row>
    <row r="9" spans="1:10" x14ac:dyDescent="0.25">
      <c r="A9" s="185"/>
      <c r="B9" s="43" t="str">
        <f>A9&amp;"-"&amp;IF(DAY(Variables!$A$2)&lt;10,0,"")&amp;DAY(Variables!$A$2)</f>
        <v>-05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Runs'!$A$13:$A$99933,1,FALSE)</f>
        <v>#N/A</v>
      </c>
    </row>
    <row r="10" spans="1:10" x14ac:dyDescent="0.25">
      <c r="A10" s="185"/>
      <c r="B10" s="43" t="str">
        <f>A10&amp;"-"&amp;IF(DAY(Variables!$A$2)&lt;10,0,"")&amp;DAY(Variables!$A$2)</f>
        <v>-05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Runs'!$A$13:$A$99933,1,FALSE)</f>
        <v>#N/A</v>
      </c>
    </row>
    <row r="11" spans="1:10" x14ac:dyDescent="0.25">
      <c r="A11" s="185"/>
      <c r="B11" s="43" t="str">
        <f>A11&amp;"-"&amp;IF(DAY(Variables!$A$2)&lt;10,0,"")&amp;DAY(Variables!$A$2)</f>
        <v>-05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Runs'!$A$13:$A$99933,1,FALSE)</f>
        <v>#N/A</v>
      </c>
    </row>
    <row r="12" spans="1:10" x14ac:dyDescent="0.25">
      <c r="A12" s="185"/>
      <c r="B12" s="43" t="str">
        <f>A12&amp;"-"&amp;IF(DAY(Variables!$A$2)&lt;10,0,"")&amp;DAY(Variables!$A$2)</f>
        <v>-05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Runs'!$A$13:$A$99933,1,FALSE)</f>
        <v>#N/A</v>
      </c>
    </row>
    <row r="13" spans="1:10" x14ac:dyDescent="0.25">
      <c r="A13" s="185"/>
      <c r="B13" s="43" t="str">
        <f>A13&amp;"-"&amp;IF(DAY(Variables!$A$2)&lt;10,0,"")&amp;DAY(Variables!$A$2)</f>
        <v>-05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Runs'!$A$13:$A$99933,1,FALSE)</f>
        <v>#N/A</v>
      </c>
    </row>
    <row r="14" spans="1:10" x14ac:dyDescent="0.25">
      <c r="A14" s="185"/>
      <c r="B14" s="43" t="str">
        <f>A14&amp;"-"&amp;IF(DAY(Variables!$A$2)&lt;10,0,"")&amp;DAY(Variables!$A$2)</f>
        <v>-05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Runs'!$A$13:$A$99933,1,FALSE)</f>
        <v>#N/A</v>
      </c>
    </row>
    <row r="15" spans="1:10" x14ac:dyDescent="0.25">
      <c r="A15" s="185"/>
      <c r="B15" s="43" t="str">
        <f>A15&amp;"-"&amp;IF(DAY(Variables!$A$2)&lt;10,0,"")&amp;DAY(Variables!$A$2)</f>
        <v>-05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Runs'!$A$13:$A$99933,1,FALSE)</f>
        <v>#N/A</v>
      </c>
    </row>
    <row r="16" spans="1:10" x14ac:dyDescent="0.25">
      <c r="A16" s="185"/>
      <c r="B16" s="43" t="str">
        <f>A16&amp;"-"&amp;IF(DAY(Variables!$A$2)&lt;10,0,"")&amp;DAY(Variables!$A$2)</f>
        <v>-05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Runs'!$A$13:$A$99933,1,FALSE)</f>
        <v>#N/A</v>
      </c>
    </row>
    <row r="17" spans="1:10" x14ac:dyDescent="0.25">
      <c r="A17" s="185"/>
      <c r="B17" s="43" t="str">
        <f>A17&amp;"-"&amp;IF(DAY(Variables!$A$2)&lt;10,0,"")&amp;DAY(Variables!$A$2)</f>
        <v>-05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Runs'!$A$13:$A$99933,1,FALSE)</f>
        <v>#N/A</v>
      </c>
    </row>
    <row r="18" spans="1:10" x14ac:dyDescent="0.25">
      <c r="A18" s="185"/>
      <c r="B18" s="43" t="str">
        <f>A18&amp;"-"&amp;IF(DAY(Variables!$A$2)&lt;10,0,"")&amp;DAY(Variables!$A$2)</f>
        <v>-05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Runs'!$A$13:$A$99933,1,FALSE)</f>
        <v>#N/A</v>
      </c>
    </row>
    <row r="19" spans="1:10" x14ac:dyDescent="0.25">
      <c r="A19" s="185"/>
      <c r="B19" s="43" t="str">
        <f>A19&amp;"-"&amp;IF(DAY(Variables!$A$2)&lt;10,0,"")&amp;DAY(Variables!$A$2)</f>
        <v>-05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9" s="30" t="e">
        <f>VLOOKUP(B19,'Train Runs'!$A$13:$A$99933,1,FALSE)</f>
        <v>#N/A</v>
      </c>
    </row>
    <row r="20" spans="1:10" x14ac:dyDescent="0.25">
      <c r="A20" s="185"/>
      <c r="B20" s="43" t="str">
        <f>A20&amp;"-"&amp;IF(DAY(Variables!$A$2)&lt;10,0,"")&amp;DAY(Variables!$A$2)</f>
        <v>-05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0" s="30" t="e">
        <f>VLOOKUP(B20,'Train Runs'!$A$13:$A$99933,1,FALSE)</f>
        <v>#N/A</v>
      </c>
    </row>
    <row r="21" spans="1:10" x14ac:dyDescent="0.25">
      <c r="A21" s="185"/>
      <c r="B21" s="43" t="str">
        <f>A21&amp;"-"&amp;IF(DAY(Variables!$A$2)&lt;10,0,"")&amp;DAY(Variables!$A$2)</f>
        <v>-05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1" s="30" t="e">
        <f>VLOOKUP(B21,'Train Runs'!$A$13:$A$99933,1,FALSE)</f>
        <v>#N/A</v>
      </c>
    </row>
    <row r="22" spans="1:10" x14ac:dyDescent="0.25">
      <c r="A22" s="185"/>
      <c r="B22" s="43" t="str">
        <f>A22&amp;"-"&amp;IF(DAY(Variables!$A$2)&lt;10,0,"")&amp;DAY(Variables!$A$2)</f>
        <v>-05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2" s="30" t="e">
        <f>VLOOKUP(B22,'Train Runs'!$A$13:$A$99933,1,FALSE)</f>
        <v>#N/A</v>
      </c>
    </row>
    <row r="23" spans="1:10" x14ac:dyDescent="0.25">
      <c r="A23" s="185"/>
      <c r="B23" s="43" t="str">
        <f>A23&amp;"-"&amp;IF(DAY(Variables!$A$2)&lt;10,0,"")&amp;DAY(Variables!$A$2)</f>
        <v>-05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3" s="30" t="e">
        <f>VLOOKUP(B23,'Train Runs'!$A$13:$A$99933,1,FALSE)</f>
        <v>#N/A</v>
      </c>
    </row>
    <row r="24" spans="1:10" x14ac:dyDescent="0.25">
      <c r="A24" s="185"/>
      <c r="B24" s="43" t="str">
        <f>A24&amp;"-"&amp;IF(DAY(Variables!$A$2)&lt;10,0,"")&amp;DAY(Variables!$A$2)</f>
        <v>-05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4" s="30" t="e">
        <f>VLOOKUP(B24,'Train Runs'!$A$13:$A$99933,1,FALSE)</f>
        <v>#N/A</v>
      </c>
    </row>
    <row r="25" spans="1:10" x14ac:dyDescent="0.25">
      <c r="A25" s="185"/>
      <c r="B25" s="43" t="str">
        <f>A25&amp;"-"&amp;IF(DAY(Variables!$A$2)&lt;10,0,"")&amp;DAY(Variables!$A$2)</f>
        <v>-05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5" s="30" t="e">
        <f>VLOOKUP(B25,'Train Runs'!$A$13:$A$99933,1,FALSE)</f>
        <v>#N/A</v>
      </c>
    </row>
    <row r="26" spans="1:10" x14ac:dyDescent="0.25">
      <c r="A26" s="185"/>
      <c r="B26" s="43" t="str">
        <f>A26&amp;"-"&amp;IF(DAY(Variables!$A$2)&lt;10,0,"")&amp;DAY(Variables!$A$2)</f>
        <v>-05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6" s="30" t="e">
        <f>VLOOKUP(B26,'Train Runs'!$A$13:$A$99933,1,FALSE)</f>
        <v>#N/A</v>
      </c>
    </row>
    <row r="27" spans="1:10" x14ac:dyDescent="0.25">
      <c r="A27" s="185"/>
      <c r="B27" s="43" t="str">
        <f>A27&amp;"-"&amp;IF(DAY(Variables!$A$2)&lt;10,0,"")&amp;DAY(Variables!$A$2)</f>
        <v>-05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7" s="30" t="e">
        <f>VLOOKUP(B27,'Train Runs'!$A$13:$A$99933,1,FALSE)</f>
        <v>#N/A</v>
      </c>
    </row>
    <row r="28" spans="1:10" x14ac:dyDescent="0.25">
      <c r="A28" s="185"/>
      <c r="B28" s="43" t="str">
        <f>A28&amp;"-"&amp;IF(DAY(Variables!$A$2)&lt;10,0,"")&amp;DAY(Variables!$A$2)</f>
        <v>-05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8" s="30" t="e">
        <f>VLOOKUP(B28,'Train Runs'!$A$13:$A$99933,1,FALSE)</f>
        <v>#N/A</v>
      </c>
    </row>
    <row r="29" spans="1:10" x14ac:dyDescent="0.25">
      <c r="A29" s="185"/>
      <c r="B29" s="43" t="str">
        <f>A29&amp;"-"&amp;IF(DAY(Variables!$A$2)&lt;10,0,"")&amp;DAY(Variables!$A$2)</f>
        <v>-05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ref="I29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9" s="30" t="e">
        <f>VLOOKUP(B29,'Train Runs'!$A$13:$A$99933,1,FALSE)</f>
        <v>#N/A</v>
      </c>
    </row>
    <row r="30" spans="1:10" x14ac:dyDescent="0.25">
      <c r="A30" s="185"/>
      <c r="B30" s="43" t="str">
        <f>A30&amp;"-"&amp;IF(DAY(Variables!$A$2)&lt;10,0,"")&amp;DAY(Variables!$A$2)</f>
        <v>-05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0" s="30" t="e">
        <f>VLOOKUP(B30,'Train Runs'!$A$13:$A$99933,1,FALSE)</f>
        <v>#N/A</v>
      </c>
    </row>
    <row r="31" spans="1:10" x14ac:dyDescent="0.25">
      <c r="A31" s="185"/>
      <c r="B31" s="43" t="str">
        <f>A31&amp;"-"&amp;IF(DAY(Variables!$A$2)&lt;10,0,"")&amp;DAY(Variables!$A$2)</f>
        <v>-05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1" s="30" t="e">
        <f>VLOOKUP(B31,'Train Runs'!$A$13:$A$99933,1,FALSE)</f>
        <v>#N/A</v>
      </c>
    </row>
    <row r="32" spans="1:10" x14ac:dyDescent="0.25">
      <c r="A32" s="185"/>
      <c r="B32" s="43" t="str">
        <f>A32&amp;"-"&amp;IF(DAY(Variables!$A$2)&lt;10,0,"")&amp;DAY(Variables!$A$2)</f>
        <v>-05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2" s="30" t="e">
        <f>VLOOKUP(B32,'Train Runs'!$A$13:$A$99933,1,FALSE)</f>
        <v>#N/A</v>
      </c>
    </row>
    <row r="33" spans="1:10" x14ac:dyDescent="0.25">
      <c r="A33" s="185"/>
      <c r="B33" s="43" t="str">
        <f>A33&amp;"-"&amp;IF(DAY(Variables!$A$2)&lt;10,0,"")&amp;DAY(Variables!$A$2)</f>
        <v>-05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3" s="30" t="e">
        <f>VLOOKUP(B33,'Train Runs'!$A$13:$A$99933,1,FALSE)</f>
        <v>#N/A</v>
      </c>
    </row>
    <row r="34" spans="1:10" x14ac:dyDescent="0.25">
      <c r="A34" s="185"/>
      <c r="B34" s="43" t="str">
        <f>A34&amp;"-"&amp;IF(DAY(Variables!$A$2)&lt;10,0,"")&amp;DAY(Variables!$A$2)</f>
        <v>-05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4" s="30" t="e">
        <f>VLOOKUP(B34,'Train Runs'!$A$13:$A$99933,1,FALSE)</f>
        <v>#N/A</v>
      </c>
    </row>
    <row r="35" spans="1:10" x14ac:dyDescent="0.25">
      <c r="A35" s="185"/>
      <c r="B35" s="43" t="str">
        <f>A35&amp;"-"&amp;IF(DAY(Variables!$A$2)&lt;10,0,"")&amp;DAY(Variables!$A$2)</f>
        <v>-05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5" s="30" t="e">
        <f>VLOOKUP(B35,'Train Runs'!$A$13:$A$99933,1,FALSE)</f>
        <v>#N/A</v>
      </c>
    </row>
    <row r="36" spans="1:10" x14ac:dyDescent="0.25">
      <c r="A36" s="185"/>
      <c r="B36" s="43" t="str">
        <f>A36&amp;"-"&amp;IF(DAY(Variables!$A$2)&lt;10,0,"")&amp;DAY(Variables!$A$2)</f>
        <v>-05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6" s="30" t="e">
        <f>VLOOKUP(B36,'Train Runs'!$A$13:$A$99933,1,FALSE)</f>
        <v>#N/A</v>
      </c>
    </row>
    <row r="37" spans="1:10" x14ac:dyDescent="0.25">
      <c r="A37" s="185"/>
      <c r="B37" s="43" t="str">
        <f>A37&amp;"-"&amp;IF(DAY(Variables!$A$2)&lt;10,0,"")&amp;DAY(Variables!$A$2)</f>
        <v>-05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7" s="30" t="e">
        <f>VLOOKUP(B37,'Train Runs'!$A$13:$A$99933,1,FALSE)</f>
        <v>#N/A</v>
      </c>
    </row>
    <row r="38" spans="1:10" x14ac:dyDescent="0.25">
      <c r="A38" s="185"/>
      <c r="B38" s="43" t="str">
        <f>A38&amp;"-"&amp;IF(DAY(Variables!$A$2)&lt;10,0,"")&amp;DAY(Variables!$A$2)</f>
        <v>-05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8" s="30" t="e">
        <f>VLOOKUP(B38,'Train Runs'!$A$13:$A$99933,1,FALSE)</f>
        <v>#N/A</v>
      </c>
    </row>
    <row r="39" spans="1:10" x14ac:dyDescent="0.25">
      <c r="A39" s="185"/>
      <c r="B39" s="43" t="str">
        <f>A39&amp;"-"&amp;IF(DAY(Variables!$A$2)&lt;10,0,"")&amp;DAY(Variables!$A$2)</f>
        <v>-05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9" s="30" t="e">
        <f>VLOOKUP(B39,'Train Runs'!$A$13:$A$99933,1,FALSE)</f>
        <v>#N/A</v>
      </c>
    </row>
    <row r="40" spans="1:10" x14ac:dyDescent="0.25">
      <c r="A40" s="185"/>
      <c r="B40" s="43" t="str">
        <f>A40&amp;"-"&amp;IF(DAY(Variables!$A$2)&lt;10,0,"")&amp;DAY(Variables!$A$2)</f>
        <v>-05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0" s="30" t="e">
        <f>VLOOKUP(B40,'Train Runs'!$A$13:$A$99933,1,FALSE)</f>
        <v>#N/A</v>
      </c>
    </row>
    <row r="41" spans="1:10" x14ac:dyDescent="0.25">
      <c r="A41" s="185"/>
      <c r="B41" s="43" t="str">
        <f>A41&amp;"-"&amp;IF(DAY(Variables!$A$2)&lt;10,0,"")&amp;DAY(Variables!$A$2)</f>
        <v>-05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1" s="30" t="e">
        <f>VLOOKUP(B41,'Train Runs'!$A$13:$A$99933,1,FALSE)</f>
        <v>#N/A</v>
      </c>
    </row>
    <row r="42" spans="1:10" x14ac:dyDescent="0.25">
      <c r="A42" s="185"/>
      <c r="B42" s="43" t="str">
        <f>A42&amp;"-"&amp;IF(DAY(Variables!$A$2)&lt;10,0,"")&amp;DAY(Variables!$A$2)</f>
        <v>-05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2" s="30" t="e">
        <f>VLOOKUP(B42,'Train Runs'!$A$13:$A$99933,1,FALSE)</f>
        <v>#N/A</v>
      </c>
    </row>
    <row r="43" spans="1:10" x14ac:dyDescent="0.25">
      <c r="A43" s="185"/>
      <c r="B43" s="43" t="str">
        <f>A43&amp;"-"&amp;IF(DAY(Variables!$A$2)&lt;10,0,"")&amp;DAY(Variables!$A$2)</f>
        <v>-05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3" s="30" t="e">
        <f>VLOOKUP(B43,'Train Runs'!$A$13:$A$99933,1,FALSE)</f>
        <v>#N/A</v>
      </c>
    </row>
    <row r="44" spans="1:10" x14ac:dyDescent="0.25">
      <c r="A44" s="185"/>
      <c r="B44" s="43" t="str">
        <f>A44&amp;"-"&amp;IF(DAY(Variables!$A$2)&lt;10,0,"")&amp;DAY(Variables!$A$2)</f>
        <v>-05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4" s="30" t="e">
        <f>VLOOKUP(B44,'Train Runs'!$A$13:$A$99933,1,FALSE)</f>
        <v>#N/A</v>
      </c>
    </row>
    <row r="45" spans="1:10" x14ac:dyDescent="0.25">
      <c r="A45" s="185"/>
      <c r="B45" s="43" t="str">
        <f>A45&amp;"-"&amp;IF(DAY(Variables!$A$2)&lt;10,0,"")&amp;DAY(Variables!$A$2)</f>
        <v>-05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5" s="30" t="e">
        <f>VLOOKUP(B45,'Train Runs'!$A$13:$A$99933,1,FALSE)</f>
        <v>#N/A</v>
      </c>
    </row>
    <row r="46" spans="1:10" x14ac:dyDescent="0.25">
      <c r="A46" s="185"/>
      <c r="B46" s="43" t="str">
        <f>A46&amp;"-"&amp;IF(DAY(Variables!$A$2)&lt;10,0,"")&amp;DAY(Variables!$A$2)</f>
        <v>-05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6" s="30" t="e">
        <f>VLOOKUP(B46,'Train Runs'!$A$13:$A$99933,1,FALSE)</f>
        <v>#N/A</v>
      </c>
    </row>
    <row r="47" spans="1:10" x14ac:dyDescent="0.25">
      <c r="A47" s="185"/>
      <c r="B47" s="43" t="str">
        <f>A47&amp;"-"&amp;IF(DAY(Variables!$A$2)&lt;10,0,"")&amp;DAY(Variables!$A$2)</f>
        <v>-05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7" s="30" t="e">
        <f>VLOOKUP(B47,'Train Runs'!$A$13:$A$99933,1,FALSE)</f>
        <v>#N/A</v>
      </c>
    </row>
    <row r="48" spans="1:10" x14ac:dyDescent="0.25">
      <c r="A48" s="185"/>
      <c r="B48" s="43" t="str">
        <f>A48&amp;"-"&amp;IF(DAY(Variables!$A$2)&lt;10,0,"")&amp;DAY(Variables!$A$2)</f>
        <v>-05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8" s="30" t="e">
        <f>VLOOKUP(B48,'Train Runs'!$A$13:$A$99933,1,FALSE)</f>
        <v>#N/A</v>
      </c>
    </row>
    <row r="49" spans="1:10" x14ac:dyDescent="0.25">
      <c r="A49" s="185"/>
      <c r="B49" s="43" t="str">
        <f>A49&amp;"-"&amp;IF(DAY(Variables!$A$2)&lt;10,0,"")&amp;DAY(Variables!$A$2)</f>
        <v>-05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9" s="30" t="e">
        <f>VLOOKUP(B49,'Train Runs'!$A$13:$A$99933,1,FALSE)</f>
        <v>#N/A</v>
      </c>
    </row>
    <row r="50" spans="1:10" x14ac:dyDescent="0.25">
      <c r="A50" s="185"/>
      <c r="B50" s="43" t="str">
        <f>A50&amp;"-"&amp;IF(DAY(Variables!$A$2)&lt;10,0,"")&amp;DAY(Variables!$A$2)</f>
        <v>-05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0" s="30" t="e">
        <f>VLOOKUP(B50,'Train Runs'!$A$13:$A$99933,1,FALSE)</f>
        <v>#N/A</v>
      </c>
    </row>
    <row r="51" spans="1:10" x14ac:dyDescent="0.25">
      <c r="A51" s="185"/>
      <c r="B51" s="43" t="str">
        <f>A51&amp;"-"&amp;IF(DAY(Variables!$A$2)&lt;10,0,"")&amp;DAY(Variables!$A$2)</f>
        <v>-05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1" s="30" t="e">
        <f>VLOOKUP(B51,'Train Runs'!$A$13:$A$99933,1,FALSE)</f>
        <v>#N/A</v>
      </c>
    </row>
    <row r="52" spans="1:10" x14ac:dyDescent="0.25">
      <c r="A52" s="185"/>
      <c r="B52" s="43" t="str">
        <f>A52&amp;"-"&amp;IF(DAY(Variables!$A$2)&lt;10,0,"")&amp;DAY(Variables!$A$2)</f>
        <v>-05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2" s="30" t="e">
        <f>VLOOKUP(B52,'Train Runs'!$A$13:$A$99933,1,FALSE)</f>
        <v>#N/A</v>
      </c>
    </row>
    <row r="53" spans="1:10" x14ac:dyDescent="0.25">
      <c r="A53" s="185"/>
      <c r="B53" s="43" t="str">
        <f>A53&amp;"-"&amp;IF(DAY(Variables!$A$2)&lt;10,0,"")&amp;DAY(Variables!$A$2)</f>
        <v>-05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3" s="30" t="e">
        <f>VLOOKUP(B53,'Train Runs'!$A$13:$A$99933,1,FALSE)</f>
        <v>#N/A</v>
      </c>
    </row>
    <row r="54" spans="1:10" x14ac:dyDescent="0.25">
      <c r="A54" s="185"/>
      <c r="B54" s="43" t="str">
        <f>A54&amp;"-"&amp;IF(DAY(Variables!$A$2)&lt;10,0,"")&amp;DAY(Variables!$A$2)</f>
        <v>-05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4" s="30" t="e">
        <f>VLOOKUP(B54,'Train Runs'!$A$13:$A$99933,1,FALSE)</f>
        <v>#N/A</v>
      </c>
    </row>
    <row r="55" spans="1:10" x14ac:dyDescent="0.25">
      <c r="A55" s="185"/>
      <c r="B55" s="43" t="str">
        <f>A55&amp;"-"&amp;IF(DAY(Variables!$A$2)&lt;10,0,"")&amp;DAY(Variables!$A$2)</f>
        <v>-05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5" s="30" t="e">
        <f>VLOOKUP(B55,'Train Runs'!$A$13:$A$99933,1,FALSE)</f>
        <v>#N/A</v>
      </c>
    </row>
    <row r="56" spans="1:10" x14ac:dyDescent="0.25">
      <c r="A56" s="185"/>
      <c r="B56" s="43" t="str">
        <f>A56&amp;"-"&amp;IF(DAY(Variables!$A$2)&lt;10,0,"")&amp;DAY(Variables!$A$2)</f>
        <v>-05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6" s="30" t="e">
        <f>VLOOKUP(B56,'Train Runs'!$A$13:$A$99933,1,FALSE)</f>
        <v>#N/A</v>
      </c>
    </row>
    <row r="57" spans="1:10" x14ac:dyDescent="0.25">
      <c r="A57" s="185"/>
      <c r="B57" s="43" t="str">
        <f>A57&amp;"-"&amp;IF(DAY(Variables!$A$2)&lt;10,0,"")&amp;DAY(Variables!$A$2)</f>
        <v>-05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7" s="30" t="e">
        <f>VLOOKUP(B57,'Train Runs'!$A$13:$A$99933,1,FALSE)</f>
        <v>#N/A</v>
      </c>
    </row>
    <row r="58" spans="1:10" x14ac:dyDescent="0.25">
      <c r="A58" s="185"/>
      <c r="B58" s="43" t="str">
        <f>A58&amp;"-"&amp;IF(DAY(Variables!$A$2)&lt;10,0,"")&amp;DAY(Variables!$A$2)</f>
        <v>-05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8" s="30" t="e">
        <f>VLOOKUP(B58,'Train Runs'!$A$13:$A$99933,1,FALSE)</f>
        <v>#N/A</v>
      </c>
    </row>
    <row r="59" spans="1:10" x14ac:dyDescent="0.25">
      <c r="A59" s="185"/>
      <c r="B59" s="43" t="str">
        <f>A59&amp;"-"&amp;IF(DAY(Variables!$A$2)&lt;10,0,"")&amp;DAY(Variables!$A$2)</f>
        <v>-05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9" s="30" t="e">
        <f>VLOOKUP(B59,'Train Runs'!$A$13:$A$99933,1,FALSE)</f>
        <v>#N/A</v>
      </c>
    </row>
    <row r="60" spans="1:10" x14ac:dyDescent="0.25">
      <c r="A60" s="185"/>
      <c r="B60" s="43" t="str">
        <f>A60&amp;"-"&amp;IF(DAY(Variables!$A$2)&lt;10,0,"")&amp;DAY(Variables!$A$2)</f>
        <v>-05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0" s="30" t="e">
        <f>VLOOKUP(B60,'Train Runs'!$A$13:$A$99933,1,FALSE)</f>
        <v>#N/A</v>
      </c>
    </row>
    <row r="61" spans="1:10" x14ac:dyDescent="0.25">
      <c r="A61" s="185"/>
      <c r="B61" s="43" t="str">
        <f>A61&amp;"-"&amp;IF(DAY(Variables!$A$2)&lt;10,0,"")&amp;DAY(Variables!$A$2)</f>
        <v>-05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ref="I61:I9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1" s="30" t="e">
        <f>VLOOKUP(B61,'Train Runs'!$A$13:$A$99933,1,FALSE)</f>
        <v>#N/A</v>
      </c>
    </row>
    <row r="62" spans="1:10" x14ac:dyDescent="0.25">
      <c r="A62" s="185"/>
      <c r="B62" s="43" t="str">
        <f>A62&amp;"-"&amp;IF(DAY(Variables!$A$2)&lt;10,0,"")&amp;DAY(Variables!$A$2)</f>
        <v>-05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2" s="30" t="e">
        <f>VLOOKUP(B62,'Train Runs'!$A$13:$A$99933,1,FALSE)</f>
        <v>#N/A</v>
      </c>
    </row>
    <row r="63" spans="1:10" x14ac:dyDescent="0.25">
      <c r="A63" s="185"/>
      <c r="B63" s="43" t="str">
        <f>A63&amp;"-"&amp;IF(DAY(Variables!$A$2)&lt;10,0,"")&amp;DAY(Variables!$A$2)</f>
        <v>-05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3" s="30" t="e">
        <f>VLOOKUP(B63,'Train Runs'!$A$13:$A$99933,1,FALSE)</f>
        <v>#N/A</v>
      </c>
    </row>
    <row r="64" spans="1:10" x14ac:dyDescent="0.25">
      <c r="A64" s="185"/>
      <c r="B64" s="43" t="str">
        <f>A64&amp;"-"&amp;IF(DAY(Variables!$A$2)&lt;10,0,"")&amp;DAY(Variables!$A$2)</f>
        <v>-05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4" s="30" t="e">
        <f>VLOOKUP(B64,'Train Runs'!$A$13:$A$99933,1,FALSE)</f>
        <v>#N/A</v>
      </c>
    </row>
    <row r="65" spans="1:10" x14ac:dyDescent="0.25">
      <c r="A65" s="185"/>
      <c r="B65" s="43" t="str">
        <f>A65&amp;"-"&amp;IF(DAY(Variables!$A$2)&lt;10,0,"")&amp;DAY(Variables!$A$2)</f>
        <v>-05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5" s="30" t="e">
        <f>VLOOKUP(B65,'Train Runs'!$A$13:$A$99933,1,FALSE)</f>
        <v>#N/A</v>
      </c>
    </row>
    <row r="66" spans="1:10" x14ac:dyDescent="0.25">
      <c r="A66" s="185"/>
      <c r="B66" s="43" t="str">
        <f>A66&amp;"-"&amp;IF(DAY(Variables!$A$2)&lt;10,0,"")&amp;DAY(Variables!$A$2)</f>
        <v>-05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6" s="30" t="e">
        <f>VLOOKUP(B66,'Train Runs'!$A$13:$A$99933,1,FALSE)</f>
        <v>#N/A</v>
      </c>
    </row>
    <row r="67" spans="1:10" x14ac:dyDescent="0.25">
      <c r="A67" s="185"/>
      <c r="B67" s="43" t="str">
        <f>A67&amp;"-"&amp;IF(DAY(Variables!$A$2)&lt;10,0,"")&amp;DAY(Variables!$A$2)</f>
        <v>-05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7" s="30" t="e">
        <f>VLOOKUP(B67,'Train Runs'!$A$13:$A$99933,1,FALSE)</f>
        <v>#N/A</v>
      </c>
    </row>
    <row r="68" spans="1:10" x14ac:dyDescent="0.25">
      <c r="A68" s="185"/>
      <c r="B68" s="43" t="str">
        <f>A68&amp;"-"&amp;IF(DAY(Variables!$A$2)&lt;10,0,"")&amp;DAY(Variables!$A$2)</f>
        <v>-05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8" s="30" t="e">
        <f>VLOOKUP(B68,'Train Runs'!$A$13:$A$99933,1,FALSE)</f>
        <v>#N/A</v>
      </c>
    </row>
    <row r="69" spans="1:10" x14ac:dyDescent="0.25">
      <c r="A69" s="185"/>
      <c r="B69" s="43" t="str">
        <f>A69&amp;"-"&amp;IF(DAY(Variables!$A$2)&lt;10,0,"")&amp;DAY(Variables!$A$2)</f>
        <v>-05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9" s="30" t="e">
        <f>VLOOKUP(B69,'Train Runs'!$A$13:$A$99933,1,FALSE)</f>
        <v>#N/A</v>
      </c>
    </row>
    <row r="70" spans="1:10" x14ac:dyDescent="0.25">
      <c r="A70" s="185"/>
      <c r="B70" s="43" t="str">
        <f>A70&amp;"-"&amp;IF(DAY(Variables!$A$2)&lt;10,0,"")&amp;DAY(Variables!$A$2)</f>
        <v>-05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0" s="30" t="e">
        <f>VLOOKUP(B70,'Train Runs'!$A$13:$A$99933,1,FALSE)</f>
        <v>#N/A</v>
      </c>
    </row>
    <row r="71" spans="1:10" x14ac:dyDescent="0.25">
      <c r="A71" s="185"/>
      <c r="B71" s="43" t="str">
        <f>A71&amp;"-"&amp;IF(DAY(Variables!$A$2)&lt;10,0,"")&amp;DAY(Variables!$A$2)</f>
        <v>-05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1" s="30" t="e">
        <f>VLOOKUP(B71,'Train Runs'!$A$13:$A$99933,1,FALSE)</f>
        <v>#N/A</v>
      </c>
    </row>
    <row r="72" spans="1:10" x14ac:dyDescent="0.25">
      <c r="A72" s="185"/>
      <c r="B72" s="43" t="str">
        <f>A72&amp;"-"&amp;IF(DAY(Variables!$A$2)&lt;10,0,"")&amp;DAY(Variables!$A$2)</f>
        <v>-05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2" s="30" t="e">
        <f>VLOOKUP(B72,'Train Runs'!$A$13:$A$99933,1,FALSE)</f>
        <v>#N/A</v>
      </c>
    </row>
    <row r="73" spans="1:10" x14ac:dyDescent="0.25">
      <c r="A73" s="185"/>
      <c r="B73" s="43" t="str">
        <f>A73&amp;"-"&amp;IF(DAY(Variables!$A$2)&lt;10,0,"")&amp;DAY(Variables!$A$2)</f>
        <v>-05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3" s="30" t="e">
        <f>VLOOKUP(B73,'Train Runs'!$A$13:$A$99933,1,FALSE)</f>
        <v>#N/A</v>
      </c>
    </row>
    <row r="74" spans="1:10" x14ac:dyDescent="0.25">
      <c r="A74" s="185"/>
      <c r="B74" s="43" t="str">
        <f>A74&amp;"-"&amp;IF(DAY(Variables!$A$2)&lt;10,0,"")&amp;DAY(Variables!$A$2)</f>
        <v>-05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4" s="30" t="e">
        <f>VLOOKUP(B74,'Train Runs'!$A$13:$A$99933,1,FALSE)</f>
        <v>#N/A</v>
      </c>
    </row>
    <row r="75" spans="1:10" x14ac:dyDescent="0.25">
      <c r="A75" s="185"/>
      <c r="B75" s="43" t="str">
        <f>A75&amp;"-"&amp;IF(DAY(Variables!$A$2)&lt;10,0,"")&amp;DAY(Variables!$A$2)</f>
        <v>-05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5" s="30" t="e">
        <f>VLOOKUP(B75,'Train Runs'!$A$13:$A$99933,1,FALSE)</f>
        <v>#N/A</v>
      </c>
    </row>
    <row r="76" spans="1:10" x14ac:dyDescent="0.25">
      <c r="A76" s="185"/>
      <c r="B76" s="43" t="str">
        <f>A76&amp;"-"&amp;IF(DAY(Variables!$A$2)&lt;10,0,"")&amp;DAY(Variables!$A$2)</f>
        <v>-05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6" s="30" t="e">
        <f>VLOOKUP(B76,'Train Runs'!$A$13:$A$99933,1,FALSE)</f>
        <v>#N/A</v>
      </c>
    </row>
    <row r="77" spans="1:10" x14ac:dyDescent="0.25">
      <c r="A77" s="185"/>
      <c r="B77" s="43" t="str">
        <f>A77&amp;"-"&amp;IF(DAY(Variables!$A$2)&lt;10,0,"")&amp;DAY(Variables!$A$2)</f>
        <v>-05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7" s="30" t="e">
        <f>VLOOKUP(B77,'Train Runs'!$A$13:$A$99933,1,FALSE)</f>
        <v>#N/A</v>
      </c>
    </row>
    <row r="78" spans="1:10" x14ac:dyDescent="0.25">
      <c r="A78" s="185"/>
      <c r="B78" s="43" t="str">
        <f>A78&amp;"-"&amp;IF(DAY(Variables!$A$2)&lt;10,0,"")&amp;DAY(Variables!$A$2)</f>
        <v>-05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8" s="30" t="e">
        <f>VLOOKUP(B78,'Train Runs'!$A$13:$A$99933,1,FALSE)</f>
        <v>#N/A</v>
      </c>
    </row>
    <row r="79" spans="1:10" x14ac:dyDescent="0.25">
      <c r="A79" s="185"/>
      <c r="B79" s="43" t="str">
        <f>A79&amp;"-"&amp;IF(DAY(Variables!$A$2)&lt;10,0,"")&amp;DAY(Variables!$A$2)</f>
        <v>-05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9" s="30" t="e">
        <f>VLOOKUP(B79,'Train Runs'!$A$13:$A$99933,1,FALSE)</f>
        <v>#N/A</v>
      </c>
    </row>
    <row r="80" spans="1:10" x14ac:dyDescent="0.25">
      <c r="A80" s="185"/>
      <c r="B80" s="43" t="str">
        <f>A80&amp;"-"&amp;IF(DAY(Variables!$A$2)&lt;10,0,"")&amp;DAY(Variables!$A$2)</f>
        <v>-05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0" s="30" t="e">
        <f>VLOOKUP(B80,'Train Runs'!$A$13:$A$99933,1,FALSE)</f>
        <v>#N/A</v>
      </c>
    </row>
    <row r="81" spans="1:10" x14ac:dyDescent="0.25">
      <c r="A81" s="185"/>
      <c r="B81" s="43" t="str">
        <f>A81&amp;"-"&amp;IF(DAY(Variables!$A$2)&lt;10,0,"")&amp;DAY(Variables!$A$2)</f>
        <v>-05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1" s="30" t="e">
        <f>VLOOKUP(B81,'Train Runs'!$A$13:$A$99933,1,FALSE)</f>
        <v>#N/A</v>
      </c>
    </row>
    <row r="82" spans="1:10" x14ac:dyDescent="0.25">
      <c r="A82" s="185"/>
      <c r="B82" s="43" t="str">
        <f>A82&amp;"-"&amp;IF(DAY(Variables!$A$2)&lt;10,0,"")&amp;DAY(Variables!$A$2)</f>
        <v>-05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2" s="30" t="e">
        <f>VLOOKUP(B82,'Train Runs'!$A$13:$A$99933,1,FALSE)</f>
        <v>#N/A</v>
      </c>
    </row>
    <row r="83" spans="1:10" x14ac:dyDescent="0.25">
      <c r="A83" s="185"/>
      <c r="B83" s="43" t="str">
        <f>A83&amp;"-"&amp;IF(DAY(Variables!$A$2)&lt;10,0,"")&amp;DAY(Variables!$A$2)</f>
        <v>-05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3" s="30" t="e">
        <f>VLOOKUP(B83,'Train Runs'!$A$13:$A$99933,1,FALSE)</f>
        <v>#N/A</v>
      </c>
    </row>
    <row r="84" spans="1:10" x14ac:dyDescent="0.25">
      <c r="A84" s="185"/>
      <c r="B84" s="43" t="str">
        <f>A84&amp;"-"&amp;IF(DAY(Variables!$A$2)&lt;10,0,"")&amp;DAY(Variables!$A$2)</f>
        <v>-05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4" s="30" t="e">
        <f>VLOOKUP(B84,'Train Runs'!$A$13:$A$99933,1,FALSE)</f>
        <v>#N/A</v>
      </c>
    </row>
    <row r="85" spans="1:10" x14ac:dyDescent="0.25">
      <c r="A85" s="185"/>
      <c r="B85" s="43" t="str">
        <f>A85&amp;"-"&amp;IF(DAY(Variables!$A$2)&lt;10,0,"")&amp;DAY(Variables!$A$2)</f>
        <v>-05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5" s="30" t="e">
        <f>VLOOKUP(B85,'Train Runs'!$A$13:$A$99933,1,FALSE)</f>
        <v>#N/A</v>
      </c>
    </row>
    <row r="86" spans="1:10" x14ac:dyDescent="0.25">
      <c r="A86" s="185"/>
      <c r="B86" s="43" t="str">
        <f>A86&amp;"-"&amp;IF(DAY(Variables!$A$2)&lt;10,0,"")&amp;DAY(Variables!$A$2)</f>
        <v>-05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6" s="30" t="e">
        <f>VLOOKUP(B86,'Train Runs'!$A$13:$A$99933,1,FALSE)</f>
        <v>#N/A</v>
      </c>
    </row>
    <row r="87" spans="1:10" x14ac:dyDescent="0.25">
      <c r="A87" s="185"/>
      <c r="B87" s="43" t="str">
        <f>A87&amp;"-"&amp;IF(DAY(Variables!$A$2)&lt;10,0,"")&amp;DAY(Variables!$A$2)</f>
        <v>-05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7" s="30" t="e">
        <f>VLOOKUP(B87,'Train Runs'!$A$13:$A$99933,1,FALSE)</f>
        <v>#N/A</v>
      </c>
    </row>
    <row r="88" spans="1:10" x14ac:dyDescent="0.25">
      <c r="A88" s="185"/>
      <c r="B88" s="43" t="str">
        <f>A88&amp;"-"&amp;IF(DAY(Variables!$A$2)&lt;10,0,"")&amp;DAY(Variables!$A$2)</f>
        <v>-05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8" s="30" t="e">
        <f>VLOOKUP(B88,'Train Runs'!$A$13:$A$99933,1,FALSE)</f>
        <v>#N/A</v>
      </c>
    </row>
    <row r="89" spans="1:10" x14ac:dyDescent="0.25">
      <c r="A89" s="185"/>
      <c r="B89" s="43" t="str">
        <f>A89&amp;"-"&amp;IF(DAY(Variables!$A$2)&lt;10,0,"")&amp;DAY(Variables!$A$2)</f>
        <v>-05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9" s="30" t="e">
        <f>VLOOKUP(B89,'Train Runs'!$A$13:$A$99933,1,FALSE)</f>
        <v>#N/A</v>
      </c>
    </row>
    <row r="90" spans="1:10" x14ac:dyDescent="0.25">
      <c r="A90" s="185"/>
      <c r="B90" s="43" t="str">
        <f>A90&amp;"-"&amp;IF(DAY(Variables!$A$2)&lt;10,0,"")&amp;DAY(Variables!$A$2)</f>
        <v>-05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0" s="30" t="e">
        <f>VLOOKUP(B90,'Train Runs'!$A$13:$A$99933,1,FALSE)</f>
        <v>#N/A</v>
      </c>
    </row>
    <row r="91" spans="1:10" x14ac:dyDescent="0.25">
      <c r="A91" s="185"/>
      <c r="B91" s="43" t="str">
        <f>A91&amp;"-"&amp;IF(DAY(Variables!$A$2)&lt;10,0,"")&amp;DAY(Variables!$A$2)</f>
        <v>-05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1" s="30" t="e">
        <f>VLOOKUP(B91,'Train Runs'!$A$13:$A$99933,1,FALSE)</f>
        <v>#N/A</v>
      </c>
    </row>
    <row r="92" spans="1:10" x14ac:dyDescent="0.25">
      <c r="A92" s="185"/>
      <c r="B92" s="43" t="str">
        <f>A92&amp;"-"&amp;IF(DAY(Variables!$A$2)&lt;10,0,"")&amp;DAY(Variables!$A$2)</f>
        <v>-05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2" s="30" t="e">
        <f>VLOOKUP(B92,'Train Runs'!$A$13:$A$99933,1,FALSE)</f>
        <v>#N/A</v>
      </c>
    </row>
    <row r="93" spans="1:10" x14ac:dyDescent="0.25">
      <c r="A93" s="185"/>
      <c r="B93" s="43" t="str">
        <f>A93&amp;"-"&amp;IF(DAY(Variables!$A$2)&lt;10,0,"")&amp;DAY(Variables!$A$2)</f>
        <v>-05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ref="I93:I11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3" s="30" t="e">
        <f>VLOOKUP(B93,'Train Runs'!$A$13:$A$99933,1,FALSE)</f>
        <v>#N/A</v>
      </c>
    </row>
    <row r="94" spans="1:10" x14ac:dyDescent="0.25">
      <c r="A94" s="185"/>
      <c r="B94" s="43" t="str">
        <f>A94&amp;"-"&amp;IF(DAY(Variables!$A$2)&lt;10,0,"")&amp;DAY(Variables!$A$2)</f>
        <v>-05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4" s="30" t="e">
        <f>VLOOKUP(B94,'Train Runs'!$A$13:$A$99933,1,FALSE)</f>
        <v>#N/A</v>
      </c>
    </row>
    <row r="95" spans="1:10" x14ac:dyDescent="0.25">
      <c r="A95" s="185"/>
      <c r="B95" s="43" t="str">
        <f>A95&amp;"-"&amp;IF(DAY(Variables!$A$2)&lt;10,0,"")&amp;DAY(Variables!$A$2)</f>
        <v>-05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5" s="30" t="e">
        <f>VLOOKUP(B95,'Train Runs'!$A$13:$A$99933,1,FALSE)</f>
        <v>#N/A</v>
      </c>
    </row>
    <row r="96" spans="1:10" x14ac:dyDescent="0.25">
      <c r="A96" s="185"/>
      <c r="B96" s="43" t="str">
        <f>A96&amp;"-"&amp;IF(DAY(Variables!$A$2)&lt;10,0,"")&amp;DAY(Variables!$A$2)</f>
        <v>-05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6" s="30" t="e">
        <f>VLOOKUP(B96,'Train Runs'!$A$13:$A$99933,1,FALSE)</f>
        <v>#N/A</v>
      </c>
    </row>
    <row r="97" spans="1:10" x14ac:dyDescent="0.25">
      <c r="A97" s="185"/>
      <c r="B97" s="43" t="str">
        <f>A97&amp;"-"&amp;IF(DAY(Variables!$A$2)&lt;10,0,"")&amp;DAY(Variables!$A$2)</f>
        <v>-05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7" s="30" t="e">
        <f>VLOOKUP(B97,'Train Runs'!$A$13:$A$99933,1,FALSE)</f>
        <v>#N/A</v>
      </c>
    </row>
    <row r="98" spans="1:10" x14ac:dyDescent="0.25">
      <c r="A98" s="185"/>
      <c r="B98" s="43" t="str">
        <f>A98&amp;"-"&amp;IF(DAY(Variables!$A$2)&lt;10,0,"")&amp;DAY(Variables!$A$2)</f>
        <v>-05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8" s="30" t="e">
        <f>VLOOKUP(B98,'Train Runs'!$A$13:$A$99933,1,FALSE)</f>
        <v>#N/A</v>
      </c>
    </row>
    <row r="99" spans="1:10" x14ac:dyDescent="0.25">
      <c r="A99" s="185"/>
      <c r="B99" s="43" t="str">
        <f>A99&amp;"-"&amp;IF(DAY(Variables!$A$2)&lt;10,0,"")&amp;DAY(Variables!$A$2)</f>
        <v>-05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9" s="30" t="e">
        <f>VLOOKUP(B99,'Train Runs'!$A$13:$A$99933,1,FALSE)</f>
        <v>#N/A</v>
      </c>
    </row>
    <row r="100" spans="1:10" x14ac:dyDescent="0.25">
      <c r="A100" s="185"/>
      <c r="B100" s="43" t="str">
        <f>A100&amp;"-"&amp;IF(DAY(Variables!$A$2)&lt;10,0,"")&amp;DAY(Variables!$A$2)</f>
        <v>-05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0" s="30" t="e">
        <f>VLOOKUP(B100,'Train Runs'!$A$13:$A$99933,1,FALSE)</f>
        <v>#N/A</v>
      </c>
    </row>
    <row r="101" spans="1:10" x14ac:dyDescent="0.25">
      <c r="A101" s="185"/>
      <c r="B101" s="43" t="str">
        <f>A101&amp;"-"&amp;IF(DAY(Variables!$A$2)&lt;10,0,"")&amp;DAY(Variables!$A$2)</f>
        <v>-05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1" s="30" t="e">
        <f>VLOOKUP(B101,'Train Runs'!$A$13:$A$99933,1,FALSE)</f>
        <v>#N/A</v>
      </c>
    </row>
    <row r="102" spans="1:10" x14ac:dyDescent="0.25">
      <c r="A102" s="185"/>
      <c r="B102" s="43" t="str">
        <f>A102&amp;"-"&amp;IF(DAY(Variables!$A$2)&lt;10,0,"")&amp;DAY(Variables!$A$2)</f>
        <v>-05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2" s="30" t="e">
        <f>VLOOKUP(B102,'Train Runs'!$A$13:$A$99933,1,FALSE)</f>
        <v>#N/A</v>
      </c>
    </row>
    <row r="103" spans="1:10" x14ac:dyDescent="0.25">
      <c r="A103" s="185"/>
      <c r="B103" s="43" t="str">
        <f>A103&amp;"-"&amp;IF(DAY(Variables!$A$2)&lt;10,0,"")&amp;DAY(Variables!$A$2)</f>
        <v>-05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3" s="30" t="e">
        <f>VLOOKUP(B103,'Train Runs'!$A$13:$A$99933,1,FALSE)</f>
        <v>#N/A</v>
      </c>
    </row>
    <row r="104" spans="1:10" x14ac:dyDescent="0.25">
      <c r="A104" s="185"/>
      <c r="B104" s="43" t="str">
        <f>A104&amp;"-"&amp;IF(DAY(Variables!$A$2)&lt;10,0,"")&amp;DAY(Variables!$A$2)</f>
        <v>-05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4" s="30" t="e">
        <f>VLOOKUP(B104,'Train Runs'!$A$13:$A$99933,1,FALSE)</f>
        <v>#N/A</v>
      </c>
    </row>
    <row r="105" spans="1:10" x14ac:dyDescent="0.25">
      <c r="A105" s="185"/>
      <c r="B105" s="43" t="str">
        <f>A105&amp;"-"&amp;IF(DAY(Variables!$A$2)&lt;10,0,"")&amp;DAY(Variables!$A$2)</f>
        <v>-05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5" s="30" t="e">
        <f>VLOOKUP(B105,'Train Runs'!$A$13:$A$99933,1,FALSE)</f>
        <v>#N/A</v>
      </c>
    </row>
    <row r="106" spans="1:10" x14ac:dyDescent="0.25">
      <c r="A106" s="185"/>
      <c r="B106" s="43" t="str">
        <f>A106&amp;"-"&amp;IF(DAY(Variables!$A$2)&lt;10,0,"")&amp;DAY(Variables!$A$2)</f>
        <v>-05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6" s="30" t="e">
        <f>VLOOKUP(B106,'Train Runs'!$A$13:$A$99933,1,FALSE)</f>
        <v>#N/A</v>
      </c>
    </row>
    <row r="107" spans="1:10" x14ac:dyDescent="0.25">
      <c r="A107" s="185"/>
      <c r="B107" s="43" t="str">
        <f>A107&amp;"-"&amp;IF(DAY(Variables!$A$2)&lt;10,0,"")&amp;DAY(Variables!$A$2)</f>
        <v>-05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7" s="30" t="e">
        <f>VLOOKUP(B107,'Train Runs'!$A$13:$A$99933,1,FALSE)</f>
        <v>#N/A</v>
      </c>
    </row>
    <row r="108" spans="1:10" x14ac:dyDescent="0.25">
      <c r="A108" s="185"/>
      <c r="B108" s="43" t="str">
        <f>A108&amp;"-"&amp;IF(DAY(Variables!$A$2)&lt;10,0,"")&amp;DAY(Variables!$A$2)</f>
        <v>-05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8" s="30" t="e">
        <f>VLOOKUP(B108,'Train Runs'!$A$13:$A$99933,1,FALSE)</f>
        <v>#N/A</v>
      </c>
    </row>
    <row r="109" spans="1:10" x14ac:dyDescent="0.25">
      <c r="A109" s="185"/>
      <c r="B109" s="43" t="str">
        <f>A109&amp;"-"&amp;IF(DAY(Variables!$A$2)&lt;10,0,"")&amp;DAY(Variables!$A$2)</f>
        <v>-05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9" s="30" t="e">
        <f>VLOOKUP(B109,'Train Runs'!$A$13:$A$99933,1,FALSE)</f>
        <v>#N/A</v>
      </c>
    </row>
    <row r="110" spans="1:10" x14ac:dyDescent="0.25">
      <c r="A110" s="185"/>
      <c r="B110" s="43" t="str">
        <f>A110&amp;"-"&amp;IF(DAY(Variables!$A$2)&lt;10,0,"")&amp;DAY(Variables!$A$2)</f>
        <v>-05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0" s="30" t="e">
        <f>VLOOKUP(B110,'Train Runs'!$A$13:$A$99933,1,FALSE)</f>
        <v>#N/A</v>
      </c>
    </row>
    <row r="111" spans="1:10" x14ac:dyDescent="0.25">
      <c r="A111" s="185"/>
      <c r="B111" s="43" t="str">
        <f>A111&amp;"-"&amp;IF(DAY(Variables!$A$2)&lt;10,0,"")&amp;DAY(Variables!$A$2)</f>
        <v>-05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1" s="30" t="e">
        <f>VLOOKUP(B111,'Train Runs'!$A$13:$A$99933,1,FALSE)</f>
        <v>#N/A</v>
      </c>
    </row>
    <row r="112" spans="1:10" x14ac:dyDescent="0.25">
      <c r="A112" s="185"/>
      <c r="B112" s="43" t="str">
        <f>A112&amp;"-"&amp;IF(DAY(Variables!$A$2)&lt;10,0,"")&amp;DAY(Variables!$A$2)</f>
        <v>-05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2" s="30" t="e">
        <f>VLOOKUP(B112,'Train Runs'!$A$13:$A$99933,1,FALSE)</f>
        <v>#N/A</v>
      </c>
    </row>
    <row r="113" spans="1:10" x14ac:dyDescent="0.25">
      <c r="A113" s="185"/>
      <c r="B113" s="43" t="str">
        <f>A113&amp;"-"&amp;IF(DAY(Variables!$A$2)&lt;10,0,"")&amp;DAY(Variables!$A$2)</f>
        <v>-05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3" s="30" t="e">
        <f>VLOOKUP(B113,'Train Runs'!$A$13:$A$99933,1,FALSE)</f>
        <v>#N/A</v>
      </c>
    </row>
    <row r="114" spans="1:10" x14ac:dyDescent="0.25">
      <c r="A114" s="185"/>
      <c r="B114" s="43" t="str">
        <f>A114&amp;"-"&amp;IF(DAY(Variables!$A$2)&lt;10,0,"")&amp;DAY(Variables!$A$2)</f>
        <v>-05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4" s="30" t="e">
        <f>VLOOKUP(B114,'Train Runs'!$A$13:$A$99933,1,FALSE)</f>
        <v>#N/A</v>
      </c>
    </row>
  </sheetData>
  <autoFilter ref="A2:J11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42799.034560185188</v>
      </c>
      <c r="B2" s="20" t="s">
        <v>328</v>
      </c>
      <c r="C2" s="20" t="s">
        <v>565</v>
      </c>
      <c r="D2" s="150">
        <v>2680000</v>
      </c>
      <c r="E2" s="20" t="s">
        <v>566</v>
      </c>
      <c r="F2" s="20" t="s">
        <v>567</v>
      </c>
      <c r="G2" s="8" t="str">
        <f>E2&amp;" "&amp;F2</f>
        <v>DUNCAN SHEILA</v>
      </c>
    </row>
    <row r="3" spans="1:7" x14ac:dyDescent="0.25">
      <c r="A3" s="8">
        <v>42799.036296296297</v>
      </c>
      <c r="B3" s="20" t="s">
        <v>483</v>
      </c>
      <c r="C3" s="20" t="s">
        <v>568</v>
      </c>
      <c r="D3" s="150">
        <v>2270000</v>
      </c>
      <c r="E3" s="20" t="s">
        <v>222</v>
      </c>
      <c r="F3" s="20" t="s">
        <v>223</v>
      </c>
      <c r="G3" s="8" t="str">
        <f t="shared" ref="G3:G66" si="0">E3&amp;" "&amp;F3</f>
        <v>BROWN JACOB</v>
      </c>
    </row>
    <row r="4" spans="1:7" x14ac:dyDescent="0.25">
      <c r="A4" s="8">
        <v>42799.048842592594</v>
      </c>
      <c r="B4" s="20" t="s">
        <v>485</v>
      </c>
      <c r="C4" s="20" t="s">
        <v>569</v>
      </c>
      <c r="D4" s="150">
        <v>2230000</v>
      </c>
      <c r="E4" s="20" t="s">
        <v>489</v>
      </c>
      <c r="F4" s="20" t="s">
        <v>200</v>
      </c>
      <c r="G4" s="8" t="str">
        <f t="shared" si="0"/>
        <v>SMITH MICHAEL</v>
      </c>
    </row>
    <row r="5" spans="1:7" x14ac:dyDescent="0.25">
      <c r="A5" s="8">
        <v>42799.057199074072</v>
      </c>
      <c r="B5" s="20" t="s">
        <v>480</v>
      </c>
      <c r="C5" s="20" t="s">
        <v>570</v>
      </c>
      <c r="D5" s="150">
        <v>2610000</v>
      </c>
      <c r="E5" s="20" t="s">
        <v>571</v>
      </c>
      <c r="F5" s="20" t="s">
        <v>572</v>
      </c>
      <c r="G5" s="8" t="str">
        <f t="shared" si="0"/>
        <v>MAGEE KENYA</v>
      </c>
    </row>
    <row r="6" spans="1:7" x14ac:dyDescent="0.25">
      <c r="A6" s="8">
        <v>42799.067430555559</v>
      </c>
      <c r="B6" s="20" t="s">
        <v>282</v>
      </c>
      <c r="C6" s="20" t="s">
        <v>573</v>
      </c>
      <c r="D6" s="150">
        <v>2000000</v>
      </c>
      <c r="E6" s="20" t="s">
        <v>574</v>
      </c>
      <c r="F6" s="20" t="s">
        <v>197</v>
      </c>
      <c r="G6" s="8" t="str">
        <f t="shared" si="0"/>
        <v>STAMBAUGH JAMES</v>
      </c>
    </row>
    <row r="7" spans="1:7" x14ac:dyDescent="0.25">
      <c r="A7" s="8">
        <v>42799.070451388892</v>
      </c>
      <c r="B7" s="20" t="s">
        <v>282</v>
      </c>
      <c r="C7" s="20" t="s">
        <v>573</v>
      </c>
      <c r="D7" s="150">
        <v>2000000</v>
      </c>
      <c r="E7" s="20" t="s">
        <v>574</v>
      </c>
      <c r="F7" s="20" t="s">
        <v>197</v>
      </c>
      <c r="G7" s="8" t="str">
        <f t="shared" si="0"/>
        <v>STAMBAUGH JAMES</v>
      </c>
    </row>
    <row r="8" spans="1:7" x14ac:dyDescent="0.25">
      <c r="A8" s="8">
        <v>42799.080104166664</v>
      </c>
      <c r="B8" s="20" t="s">
        <v>482</v>
      </c>
      <c r="C8" s="20" t="s">
        <v>575</v>
      </c>
      <c r="D8" s="150">
        <v>2270000</v>
      </c>
      <c r="E8" s="20" t="s">
        <v>222</v>
      </c>
      <c r="F8" s="20" t="s">
        <v>223</v>
      </c>
      <c r="G8" s="8" t="str">
        <f t="shared" si="0"/>
        <v>BROWN JACOB</v>
      </c>
    </row>
    <row r="9" spans="1:7" ht="15.75" thickBot="1" x14ac:dyDescent="0.3">
      <c r="A9" s="24">
        <v>42799.081886574073</v>
      </c>
      <c r="B9" s="20" t="s">
        <v>482</v>
      </c>
      <c r="C9" s="20" t="s">
        <v>575</v>
      </c>
      <c r="D9" s="150">
        <v>2270000</v>
      </c>
      <c r="E9" s="20" t="s">
        <v>222</v>
      </c>
      <c r="F9" s="20" t="s">
        <v>223</v>
      </c>
      <c r="G9" s="8" t="str">
        <f t="shared" si="0"/>
        <v>BROWN JACOB</v>
      </c>
    </row>
    <row r="10" spans="1:7" x14ac:dyDescent="0.25">
      <c r="A10" s="8">
        <v>42799.092129629629</v>
      </c>
      <c r="B10" s="20" t="s">
        <v>329</v>
      </c>
      <c r="C10" s="20" t="s">
        <v>576</v>
      </c>
      <c r="D10" s="150">
        <v>2710000</v>
      </c>
      <c r="E10" s="20" t="s">
        <v>577</v>
      </c>
      <c r="F10" s="20" t="s">
        <v>578</v>
      </c>
      <c r="G10" s="8" t="str">
        <f t="shared" si="0"/>
        <v>SIMMONS SHYHESHA</v>
      </c>
    </row>
    <row r="11" spans="1:7" x14ac:dyDescent="0.25">
      <c r="A11" s="8">
        <v>42799.092430555553</v>
      </c>
      <c r="B11" s="20" t="s">
        <v>319</v>
      </c>
      <c r="C11" s="20" t="s">
        <v>579</v>
      </c>
      <c r="D11" s="150">
        <v>2610000</v>
      </c>
      <c r="E11" s="20" t="s">
        <v>571</v>
      </c>
      <c r="F11" s="20" t="s">
        <v>572</v>
      </c>
      <c r="G11" s="8" t="str">
        <f t="shared" si="0"/>
        <v>MAGEE KENYA</v>
      </c>
    </row>
    <row r="12" spans="1:7" x14ac:dyDescent="0.25">
      <c r="A12" s="8">
        <v>42799.118252314816</v>
      </c>
      <c r="B12" s="20" t="s">
        <v>537</v>
      </c>
      <c r="C12" s="20" t="s">
        <v>580</v>
      </c>
      <c r="D12" s="150">
        <v>1360000</v>
      </c>
      <c r="E12" s="20" t="s">
        <v>581</v>
      </c>
      <c r="F12" s="20" t="s">
        <v>582</v>
      </c>
      <c r="G12" s="8" t="str">
        <f t="shared" si="0"/>
        <v>SANTIZO D. EDY</v>
      </c>
    </row>
    <row r="13" spans="1:7" x14ac:dyDescent="0.25">
      <c r="A13" s="8">
        <v>42799.119074074071</v>
      </c>
      <c r="B13" s="20" t="s">
        <v>483</v>
      </c>
      <c r="C13" s="20" t="s">
        <v>583</v>
      </c>
      <c r="D13" s="150">
        <v>2270000</v>
      </c>
      <c r="E13" s="20" t="s">
        <v>222</v>
      </c>
      <c r="F13" s="20" t="s">
        <v>223</v>
      </c>
      <c r="G13" s="8" t="str">
        <f t="shared" si="0"/>
        <v>BROWN JACOB</v>
      </c>
    </row>
    <row r="14" spans="1:7" x14ac:dyDescent="0.25">
      <c r="A14" s="8">
        <v>42799.133472222224</v>
      </c>
      <c r="B14" s="20" t="s">
        <v>216</v>
      </c>
      <c r="C14" s="20" t="s">
        <v>584</v>
      </c>
      <c r="D14" s="150">
        <v>1360000</v>
      </c>
      <c r="E14" s="20" t="s">
        <v>581</v>
      </c>
      <c r="F14" s="20" t="s">
        <v>582</v>
      </c>
      <c r="G14" s="8" t="str">
        <f t="shared" si="0"/>
        <v>SANTIZO D. EDY</v>
      </c>
    </row>
    <row r="15" spans="1:7" x14ac:dyDescent="0.25">
      <c r="A15" s="8">
        <v>42799.137326388889</v>
      </c>
      <c r="B15" s="20" t="s">
        <v>209</v>
      </c>
      <c r="C15" s="20" t="s">
        <v>585</v>
      </c>
      <c r="D15" s="150">
        <v>2010000</v>
      </c>
      <c r="E15" s="20" t="s">
        <v>586</v>
      </c>
      <c r="F15" s="20" t="s">
        <v>587</v>
      </c>
      <c r="G15" s="8" t="str">
        <f t="shared" si="0"/>
        <v>MAELZER KURT</v>
      </c>
    </row>
    <row r="16" spans="1:7" x14ac:dyDescent="0.25">
      <c r="A16" s="8">
        <v>42799.145324074074</v>
      </c>
      <c r="B16" s="20" t="s">
        <v>216</v>
      </c>
      <c r="C16" s="20" t="s">
        <v>584</v>
      </c>
      <c r="D16" s="150">
        <v>1360000</v>
      </c>
      <c r="E16" s="20" t="s">
        <v>581</v>
      </c>
      <c r="F16" s="20" t="s">
        <v>582</v>
      </c>
      <c r="G16" s="8" t="str">
        <f t="shared" si="0"/>
        <v>SANTIZO D. EDY</v>
      </c>
    </row>
    <row r="17" spans="1:7" x14ac:dyDescent="0.25">
      <c r="A17" s="8">
        <v>42799.148449074077</v>
      </c>
      <c r="B17" s="20" t="s">
        <v>534</v>
      </c>
      <c r="C17" s="20" t="s">
        <v>535</v>
      </c>
      <c r="D17" s="150">
        <v>2010000</v>
      </c>
      <c r="E17" s="20" t="s">
        <v>586</v>
      </c>
      <c r="F17" s="20" t="s">
        <v>587</v>
      </c>
      <c r="G17" s="8" t="str">
        <f t="shared" si="0"/>
        <v>MAELZER KURT</v>
      </c>
    </row>
    <row r="18" spans="1:7" x14ac:dyDescent="0.25">
      <c r="A18" s="8">
        <v>42799.158506944441</v>
      </c>
      <c r="B18" s="20" t="s">
        <v>304</v>
      </c>
      <c r="C18" s="20" t="s">
        <v>588</v>
      </c>
      <c r="D18" s="150">
        <v>2550000</v>
      </c>
      <c r="E18" s="20" t="s">
        <v>317</v>
      </c>
      <c r="F18" s="20" t="s">
        <v>318</v>
      </c>
      <c r="G18" s="8" t="str">
        <f t="shared" si="0"/>
        <v>BADERTSCHER DIANE</v>
      </c>
    </row>
    <row r="19" spans="1:7" x14ac:dyDescent="0.25">
      <c r="A19" s="8">
        <v>42799.167361111111</v>
      </c>
      <c r="B19" s="20" t="s">
        <v>537</v>
      </c>
      <c r="C19" s="20" t="s">
        <v>538</v>
      </c>
      <c r="D19" s="150">
        <v>1360000</v>
      </c>
      <c r="E19" s="20" t="s">
        <v>581</v>
      </c>
      <c r="F19" s="20" t="s">
        <v>582</v>
      </c>
      <c r="G19" s="8" t="str">
        <f t="shared" si="0"/>
        <v>SANTIZO D. EDY</v>
      </c>
    </row>
    <row r="20" spans="1:7" x14ac:dyDescent="0.25">
      <c r="A20" s="8">
        <v>42799.169895833336</v>
      </c>
      <c r="B20" s="20" t="s">
        <v>236</v>
      </c>
      <c r="C20" s="20" t="s">
        <v>589</v>
      </c>
      <c r="D20" s="150">
        <v>2550000</v>
      </c>
      <c r="E20" s="20" t="s">
        <v>317</v>
      </c>
      <c r="F20" s="20" t="s">
        <v>318</v>
      </c>
      <c r="G20" s="8" t="str">
        <f t="shared" si="0"/>
        <v>BADERTSCHER DIANE</v>
      </c>
    </row>
    <row r="21" spans="1:7" x14ac:dyDescent="0.25">
      <c r="A21" s="8">
        <v>42799.174837962964</v>
      </c>
      <c r="B21" s="20" t="s">
        <v>266</v>
      </c>
      <c r="C21" s="20" t="s">
        <v>536</v>
      </c>
      <c r="D21" s="150">
        <v>1990000</v>
      </c>
      <c r="E21" s="20" t="s">
        <v>590</v>
      </c>
      <c r="F21" s="20" t="s">
        <v>591</v>
      </c>
      <c r="G21" s="8" t="str">
        <f t="shared" si="0"/>
        <v>DAVIS WENDY</v>
      </c>
    </row>
    <row r="22" spans="1:7" x14ac:dyDescent="0.25">
      <c r="A22" s="26">
        <v>42799.178726851853</v>
      </c>
      <c r="B22" s="20" t="s">
        <v>592</v>
      </c>
      <c r="C22" s="20" t="s">
        <v>593</v>
      </c>
      <c r="D22" s="150">
        <v>2140000</v>
      </c>
      <c r="E22" s="20" t="s">
        <v>594</v>
      </c>
      <c r="F22" s="20" t="s">
        <v>595</v>
      </c>
      <c r="G22" s="8" t="str">
        <f t="shared" si="0"/>
        <v>ROBINSON KADDIBA</v>
      </c>
    </row>
    <row r="23" spans="1:7" x14ac:dyDescent="0.25">
      <c r="A23" s="8">
        <v>42799.185729166667</v>
      </c>
      <c r="B23" s="20" t="s">
        <v>268</v>
      </c>
      <c r="C23" s="20" t="s">
        <v>596</v>
      </c>
      <c r="D23" s="150">
        <v>1990000</v>
      </c>
      <c r="E23" s="20" t="s">
        <v>590</v>
      </c>
      <c r="F23" s="20" t="s">
        <v>591</v>
      </c>
      <c r="G23" s="8" t="str">
        <f t="shared" si="0"/>
        <v>DAVIS WENDY</v>
      </c>
    </row>
    <row r="24" spans="1:7" x14ac:dyDescent="0.25">
      <c r="A24" s="8">
        <v>42799.193680555552</v>
      </c>
      <c r="B24" s="20" t="s">
        <v>597</v>
      </c>
      <c r="C24" s="20" t="s">
        <v>598</v>
      </c>
      <c r="D24" s="150">
        <v>2140000</v>
      </c>
      <c r="E24" s="20" t="s">
        <v>594</v>
      </c>
      <c r="F24" s="20" t="s">
        <v>595</v>
      </c>
      <c r="G24" s="8" t="str">
        <f t="shared" si="0"/>
        <v>ROBINSON KADDIBA</v>
      </c>
    </row>
    <row r="25" spans="1:7" x14ac:dyDescent="0.25">
      <c r="A25" s="8">
        <v>42799.194305555553</v>
      </c>
      <c r="B25" s="20" t="s">
        <v>209</v>
      </c>
      <c r="C25" s="20" t="s">
        <v>539</v>
      </c>
      <c r="D25" s="150">
        <v>2010000</v>
      </c>
      <c r="E25" s="20" t="s">
        <v>586</v>
      </c>
      <c r="F25" s="20" t="s">
        <v>587</v>
      </c>
      <c r="G25" s="8" t="str">
        <f t="shared" si="0"/>
        <v>MAELZER KURT</v>
      </c>
    </row>
    <row r="26" spans="1:7" x14ac:dyDescent="0.25">
      <c r="A26" s="8">
        <v>42799.205509259256</v>
      </c>
      <c r="B26" s="20" t="s">
        <v>216</v>
      </c>
      <c r="C26" s="20" t="s">
        <v>599</v>
      </c>
      <c r="D26" s="150">
        <v>1100000</v>
      </c>
      <c r="E26" s="20" t="s">
        <v>600</v>
      </c>
      <c r="F26" s="20" t="s">
        <v>601</v>
      </c>
      <c r="G26" s="8" t="str">
        <f t="shared" si="0"/>
        <v>GEBRETEKLE DAGNEW</v>
      </c>
    </row>
    <row r="27" spans="1:7" x14ac:dyDescent="0.25">
      <c r="A27" s="8">
        <v>42799.208333333336</v>
      </c>
      <c r="B27" s="20" t="s">
        <v>557</v>
      </c>
      <c r="C27" s="20" t="s">
        <v>602</v>
      </c>
      <c r="D27" s="150">
        <v>1360000</v>
      </c>
      <c r="E27" s="20" t="s">
        <v>581</v>
      </c>
      <c r="F27" s="20" t="s">
        <v>582</v>
      </c>
      <c r="G27" s="8" t="str">
        <f t="shared" si="0"/>
        <v>SANTIZO D. EDY</v>
      </c>
    </row>
    <row r="28" spans="1:7" x14ac:dyDescent="0.25">
      <c r="A28" s="8">
        <v>42799.212592592594</v>
      </c>
      <c r="B28" s="20" t="s">
        <v>304</v>
      </c>
      <c r="C28" s="20" t="s">
        <v>603</v>
      </c>
      <c r="D28" s="150">
        <v>2550000</v>
      </c>
      <c r="E28" s="20" t="s">
        <v>317</v>
      </c>
      <c r="F28" s="20" t="s">
        <v>318</v>
      </c>
      <c r="G28" s="8" t="str">
        <f t="shared" si="0"/>
        <v>BADERTSCHER DIANE</v>
      </c>
    </row>
    <row r="29" spans="1:7" x14ac:dyDescent="0.25">
      <c r="A29" s="8">
        <v>42799.214502314811</v>
      </c>
      <c r="B29" s="20" t="s">
        <v>545</v>
      </c>
      <c r="C29" s="20" t="s">
        <v>604</v>
      </c>
      <c r="D29" s="150">
        <v>2420000</v>
      </c>
      <c r="E29" s="20" t="s">
        <v>605</v>
      </c>
      <c r="F29" s="20" t="s">
        <v>606</v>
      </c>
      <c r="G29" s="8" t="str">
        <f t="shared" si="0"/>
        <v>HOLCOMB KAMDEN</v>
      </c>
    </row>
    <row r="30" spans="1:7" x14ac:dyDescent="0.25">
      <c r="A30" s="8">
        <v>42799.219178240739</v>
      </c>
      <c r="B30" s="20" t="s">
        <v>545</v>
      </c>
      <c r="C30" s="20" t="s">
        <v>604</v>
      </c>
      <c r="D30" s="150">
        <v>2420000</v>
      </c>
      <c r="E30" s="20" t="s">
        <v>605</v>
      </c>
      <c r="F30" s="20" t="s">
        <v>606</v>
      </c>
      <c r="G30" s="8" t="str">
        <f t="shared" si="0"/>
        <v>HOLCOMB KAMDEN</v>
      </c>
    </row>
    <row r="31" spans="1:7" x14ac:dyDescent="0.25">
      <c r="A31" s="8">
        <v>42799.224212962959</v>
      </c>
      <c r="B31" s="20" t="s">
        <v>266</v>
      </c>
      <c r="C31" s="20" t="s">
        <v>607</v>
      </c>
      <c r="D31" s="150">
        <v>1990000</v>
      </c>
      <c r="E31" s="20" t="s">
        <v>590</v>
      </c>
      <c r="F31" s="20" t="s">
        <v>591</v>
      </c>
      <c r="G31" s="8" t="str">
        <f t="shared" si="0"/>
        <v>DAVIS WENDY</v>
      </c>
    </row>
    <row r="32" spans="1:7" x14ac:dyDescent="0.25">
      <c r="A32" s="8">
        <v>42799.227997685186</v>
      </c>
      <c r="B32" s="20" t="s">
        <v>534</v>
      </c>
      <c r="C32" s="20" t="s">
        <v>608</v>
      </c>
      <c r="D32" s="150">
        <v>2020000</v>
      </c>
      <c r="E32" s="20" t="s">
        <v>486</v>
      </c>
      <c r="F32" s="20" t="s">
        <v>487</v>
      </c>
      <c r="G32" s="8" t="str">
        <f t="shared" si="0"/>
        <v>SHOOK JOHN</v>
      </c>
    </row>
    <row r="33" spans="1:7" x14ac:dyDescent="0.25">
      <c r="A33" s="8">
        <v>42799.228402777779</v>
      </c>
      <c r="B33" s="20" t="s">
        <v>321</v>
      </c>
      <c r="C33" s="20" t="s">
        <v>540</v>
      </c>
      <c r="D33" s="150">
        <v>2420000</v>
      </c>
      <c r="E33" s="20" t="s">
        <v>605</v>
      </c>
      <c r="F33" s="20" t="s">
        <v>606</v>
      </c>
      <c r="G33" s="8" t="str">
        <f t="shared" si="0"/>
        <v>HOLCOMB KAMDEN</v>
      </c>
    </row>
    <row r="34" spans="1:7" x14ac:dyDescent="0.25">
      <c r="A34" s="8">
        <v>42799.228877314818</v>
      </c>
      <c r="B34" s="20" t="s">
        <v>534</v>
      </c>
      <c r="C34" s="20" t="s">
        <v>608</v>
      </c>
      <c r="D34" s="150">
        <v>2020000</v>
      </c>
      <c r="E34" s="20" t="s">
        <v>486</v>
      </c>
      <c r="F34" s="20" t="s">
        <v>487</v>
      </c>
      <c r="G34" s="8" t="str">
        <f t="shared" si="0"/>
        <v>SHOOK JOHN</v>
      </c>
    </row>
    <row r="35" spans="1:7" x14ac:dyDescent="0.25">
      <c r="A35" s="8">
        <v>42799.23300925926</v>
      </c>
      <c r="B35" s="20" t="s">
        <v>592</v>
      </c>
      <c r="C35" s="20" t="s">
        <v>609</v>
      </c>
      <c r="D35" s="150">
        <v>2140000</v>
      </c>
      <c r="E35" s="20" t="s">
        <v>594</v>
      </c>
      <c r="F35" s="20" t="s">
        <v>595</v>
      </c>
      <c r="G35" s="8" t="str">
        <f t="shared" si="0"/>
        <v>ROBINSON KADDIBA</v>
      </c>
    </row>
    <row r="36" spans="1:7" x14ac:dyDescent="0.25">
      <c r="A36" s="8">
        <v>42799.233206018522</v>
      </c>
      <c r="B36" s="20" t="s">
        <v>224</v>
      </c>
      <c r="C36" s="20" t="s">
        <v>610</v>
      </c>
      <c r="D36" s="150">
        <v>2010000</v>
      </c>
      <c r="E36" s="20" t="s">
        <v>586</v>
      </c>
      <c r="F36" s="20" t="s">
        <v>587</v>
      </c>
      <c r="G36" s="8" t="str">
        <f t="shared" si="0"/>
        <v>MAELZER KURT</v>
      </c>
    </row>
    <row r="37" spans="1:7" x14ac:dyDescent="0.25">
      <c r="A37" s="8">
        <v>42799.244722222225</v>
      </c>
      <c r="B37" s="20" t="s">
        <v>551</v>
      </c>
      <c r="C37" s="20" t="s">
        <v>611</v>
      </c>
      <c r="D37" s="150">
        <v>1100000</v>
      </c>
      <c r="E37" s="20" t="s">
        <v>600</v>
      </c>
      <c r="F37" s="20" t="s">
        <v>601</v>
      </c>
      <c r="G37" s="8" t="str">
        <f t="shared" si="0"/>
        <v>GEBRETEKLE DAGNEW</v>
      </c>
    </row>
    <row r="38" spans="1:7" x14ac:dyDescent="0.25">
      <c r="A38" s="8">
        <v>42799.246145833335</v>
      </c>
      <c r="B38" s="20" t="s">
        <v>537</v>
      </c>
      <c r="C38" s="20" t="s">
        <v>612</v>
      </c>
      <c r="D38" s="150">
        <v>1360000</v>
      </c>
      <c r="E38" s="20" t="s">
        <v>581</v>
      </c>
      <c r="F38" s="20" t="s">
        <v>582</v>
      </c>
      <c r="G38" s="8" t="str">
        <f t="shared" si="0"/>
        <v>SANTIZO D. EDY</v>
      </c>
    </row>
    <row r="39" spans="1:7" x14ac:dyDescent="0.25">
      <c r="A39" s="8">
        <v>42799.248865740738</v>
      </c>
      <c r="B39" s="20" t="s">
        <v>236</v>
      </c>
      <c r="C39" s="20" t="s">
        <v>613</v>
      </c>
      <c r="D39" s="150">
        <v>2550000</v>
      </c>
      <c r="E39" s="20" t="s">
        <v>317</v>
      </c>
      <c r="F39" s="20" t="s">
        <v>318</v>
      </c>
      <c r="G39" s="8" t="str">
        <f t="shared" si="0"/>
        <v>BADERTSCHER DIANE</v>
      </c>
    </row>
    <row r="40" spans="1:7" x14ac:dyDescent="0.25">
      <c r="A40" s="8">
        <v>42799.257118055553</v>
      </c>
      <c r="B40" s="25" t="s">
        <v>545</v>
      </c>
      <c r="C40" s="20" t="s">
        <v>614</v>
      </c>
      <c r="D40" s="150">
        <v>2420000</v>
      </c>
      <c r="E40" s="20" t="s">
        <v>605</v>
      </c>
      <c r="F40" s="20" t="s">
        <v>606</v>
      </c>
      <c r="G40" s="8" t="str">
        <f t="shared" si="0"/>
        <v>HOLCOMB KAMDEN</v>
      </c>
    </row>
    <row r="41" spans="1:7" x14ac:dyDescent="0.25">
      <c r="A41" s="8">
        <v>42799.257326388892</v>
      </c>
      <c r="B41" s="20" t="s">
        <v>268</v>
      </c>
      <c r="C41" s="20" t="s">
        <v>615</v>
      </c>
      <c r="D41" s="150">
        <v>1990000</v>
      </c>
      <c r="E41" s="20" t="s">
        <v>590</v>
      </c>
      <c r="F41" s="20" t="s">
        <v>591</v>
      </c>
      <c r="G41" s="8" t="str">
        <f t="shared" si="0"/>
        <v>DAVIS WENDY</v>
      </c>
    </row>
    <row r="42" spans="1:7" x14ac:dyDescent="0.25">
      <c r="A42" s="8">
        <v>42799.258888888886</v>
      </c>
      <c r="B42" s="20" t="s">
        <v>205</v>
      </c>
      <c r="C42" s="20" t="s">
        <v>541</v>
      </c>
      <c r="D42" s="150">
        <v>2020000</v>
      </c>
      <c r="E42" s="20" t="s">
        <v>486</v>
      </c>
      <c r="F42" s="20" t="s">
        <v>487</v>
      </c>
      <c r="G42" s="8" t="str">
        <f t="shared" si="0"/>
        <v>SHOOK JOHN</v>
      </c>
    </row>
    <row r="43" spans="1:7" x14ac:dyDescent="0.25">
      <c r="A43" s="8">
        <v>42799.26902777778</v>
      </c>
      <c r="B43" s="20" t="s">
        <v>597</v>
      </c>
      <c r="C43" s="20" t="s">
        <v>616</v>
      </c>
      <c r="D43" s="150">
        <v>2140000</v>
      </c>
      <c r="E43" s="20" t="s">
        <v>594</v>
      </c>
      <c r="F43" s="20" t="s">
        <v>595</v>
      </c>
      <c r="G43" s="8" t="str">
        <f t="shared" si="0"/>
        <v>ROBINSON KADDIBA</v>
      </c>
    </row>
    <row r="44" spans="1:7" x14ac:dyDescent="0.25">
      <c r="A44" s="8">
        <v>42799.273043981484</v>
      </c>
      <c r="B44" s="20" t="s">
        <v>209</v>
      </c>
      <c r="C44" s="20" t="s">
        <v>617</v>
      </c>
      <c r="D44" s="150">
        <v>2010000</v>
      </c>
      <c r="E44" s="20" t="s">
        <v>586</v>
      </c>
      <c r="F44" s="20" t="s">
        <v>587</v>
      </c>
      <c r="G44" s="8" t="str">
        <f t="shared" si="0"/>
        <v>MAELZER KURT</v>
      </c>
    </row>
    <row r="45" spans="1:7" x14ac:dyDescent="0.25">
      <c r="A45" s="8">
        <v>42799.275891203702</v>
      </c>
      <c r="B45" s="20" t="s">
        <v>321</v>
      </c>
      <c r="C45" s="20" t="s">
        <v>618</v>
      </c>
      <c r="D45" s="150">
        <v>2420000</v>
      </c>
      <c r="E45" s="20" t="s">
        <v>605</v>
      </c>
      <c r="F45" s="20" t="s">
        <v>606</v>
      </c>
      <c r="G45" s="8" t="str">
        <f t="shared" si="0"/>
        <v>HOLCOMB KAMDEN</v>
      </c>
    </row>
    <row r="46" spans="1:7" x14ac:dyDescent="0.25">
      <c r="A46" s="8">
        <v>42799.276030092595</v>
      </c>
      <c r="B46" s="20" t="s">
        <v>216</v>
      </c>
      <c r="C46" s="20" t="s">
        <v>619</v>
      </c>
      <c r="D46" s="150">
        <v>1100000</v>
      </c>
      <c r="E46" s="20" t="s">
        <v>600</v>
      </c>
      <c r="F46" s="20" t="s">
        <v>601</v>
      </c>
      <c r="G46" s="8" t="str">
        <f t="shared" si="0"/>
        <v>GEBRETEKLE DAGNEW</v>
      </c>
    </row>
    <row r="47" spans="1:7" x14ac:dyDescent="0.25">
      <c r="A47" s="8">
        <v>42799.280405092592</v>
      </c>
      <c r="B47" s="20" t="s">
        <v>227</v>
      </c>
      <c r="C47" s="20" t="s">
        <v>620</v>
      </c>
      <c r="D47" s="150">
        <v>2550000</v>
      </c>
      <c r="E47" s="20" t="s">
        <v>317</v>
      </c>
      <c r="F47" s="20" t="s">
        <v>318</v>
      </c>
      <c r="G47" s="8" t="str">
        <f t="shared" si="0"/>
        <v>BADERTSCHER DIANE</v>
      </c>
    </row>
    <row r="48" spans="1:7" x14ac:dyDescent="0.25">
      <c r="A48" s="8">
        <v>42799.285949074074</v>
      </c>
      <c r="B48" s="20" t="s">
        <v>557</v>
      </c>
      <c r="C48" s="20" t="s">
        <v>621</v>
      </c>
      <c r="D48" s="150">
        <v>1360000</v>
      </c>
      <c r="E48" s="20" t="s">
        <v>581</v>
      </c>
      <c r="F48" s="20" t="s">
        <v>582</v>
      </c>
      <c r="G48" s="8" t="str">
        <f t="shared" si="0"/>
        <v>SANTIZO D. EDY</v>
      </c>
    </row>
    <row r="49" spans="1:7" x14ac:dyDescent="0.25">
      <c r="A49" s="8">
        <v>42799.298495370371</v>
      </c>
      <c r="B49" s="20" t="s">
        <v>266</v>
      </c>
      <c r="C49" s="20" t="s">
        <v>622</v>
      </c>
      <c r="D49" s="150">
        <v>1990000</v>
      </c>
      <c r="E49" s="20" t="s">
        <v>590</v>
      </c>
      <c r="F49" s="20" t="s">
        <v>591</v>
      </c>
      <c r="G49" s="8" t="str">
        <f t="shared" si="0"/>
        <v>DAVIS WENDY</v>
      </c>
    </row>
    <row r="50" spans="1:7" x14ac:dyDescent="0.25">
      <c r="A50" s="8">
        <v>42799.299212962964</v>
      </c>
      <c r="B50" s="20" t="s">
        <v>534</v>
      </c>
      <c r="C50" s="20" t="s">
        <v>623</v>
      </c>
      <c r="D50" s="150">
        <v>2020000</v>
      </c>
      <c r="E50" s="20" t="s">
        <v>486</v>
      </c>
      <c r="F50" s="20" t="s">
        <v>487</v>
      </c>
      <c r="G50" s="8" t="str">
        <f t="shared" si="0"/>
        <v>SHOOK JOHN</v>
      </c>
    </row>
    <row r="51" spans="1:7" x14ac:dyDescent="0.25">
      <c r="A51" s="8">
        <v>42799.299675925926</v>
      </c>
      <c r="B51" s="20" t="s">
        <v>545</v>
      </c>
      <c r="C51" s="20" t="s">
        <v>624</v>
      </c>
      <c r="D51" s="150">
        <v>2420000</v>
      </c>
      <c r="E51" s="20" t="s">
        <v>605</v>
      </c>
      <c r="F51" s="20" t="s">
        <v>606</v>
      </c>
      <c r="G51" s="8" t="str">
        <f t="shared" si="0"/>
        <v>HOLCOMB KAMDEN</v>
      </c>
    </row>
    <row r="52" spans="1:7" x14ac:dyDescent="0.25">
      <c r="A52" s="8">
        <v>42799.303078703706</v>
      </c>
      <c r="B52" s="20" t="s">
        <v>592</v>
      </c>
      <c r="C52" s="20" t="s">
        <v>625</v>
      </c>
      <c r="D52" s="150">
        <v>2140000</v>
      </c>
      <c r="E52" s="20" t="s">
        <v>594</v>
      </c>
      <c r="F52" s="20" t="s">
        <v>595</v>
      </c>
      <c r="G52" s="8" t="str">
        <f t="shared" si="0"/>
        <v>ROBINSON KADDIBA</v>
      </c>
    </row>
    <row r="53" spans="1:7" x14ac:dyDescent="0.25">
      <c r="A53" s="8">
        <v>42799.308749999997</v>
      </c>
      <c r="B53" s="20" t="s">
        <v>224</v>
      </c>
      <c r="C53" s="20" t="s">
        <v>626</v>
      </c>
      <c r="D53" s="150">
        <v>2010000</v>
      </c>
      <c r="E53" s="20" t="s">
        <v>586</v>
      </c>
      <c r="F53" s="20" t="s">
        <v>587</v>
      </c>
      <c r="G53" s="8" t="str">
        <f t="shared" si="0"/>
        <v>MAELZER KURT</v>
      </c>
    </row>
    <row r="54" spans="1:7" x14ac:dyDescent="0.25">
      <c r="A54" s="8">
        <v>42799.315486111111</v>
      </c>
      <c r="B54" s="20" t="s">
        <v>551</v>
      </c>
      <c r="C54" s="20" t="s">
        <v>627</v>
      </c>
      <c r="D54" s="150">
        <v>1100000</v>
      </c>
      <c r="E54" s="20" t="s">
        <v>600</v>
      </c>
      <c r="F54" s="20" t="s">
        <v>601</v>
      </c>
      <c r="G54" s="8" t="str">
        <f t="shared" si="0"/>
        <v>GEBRETEKLE DAGNEW</v>
      </c>
    </row>
    <row r="55" spans="1:7" x14ac:dyDescent="0.25">
      <c r="A55" s="8">
        <v>42799.317569444444</v>
      </c>
      <c r="B55" s="20" t="s">
        <v>321</v>
      </c>
      <c r="C55" s="20" t="s">
        <v>628</v>
      </c>
      <c r="D55" s="150">
        <v>2420000</v>
      </c>
      <c r="E55" s="20" t="s">
        <v>605</v>
      </c>
      <c r="F55" s="20" t="s">
        <v>606</v>
      </c>
      <c r="G55" s="8" t="str">
        <f t="shared" si="0"/>
        <v>HOLCOMB KAMDEN</v>
      </c>
    </row>
    <row r="56" spans="1:7" x14ac:dyDescent="0.25">
      <c r="A56" s="8">
        <v>42799.318171296298</v>
      </c>
      <c r="B56" s="20" t="s">
        <v>537</v>
      </c>
      <c r="C56" s="20" t="s">
        <v>629</v>
      </c>
      <c r="D56" s="150">
        <v>1360000</v>
      </c>
      <c r="E56" s="20" t="s">
        <v>581</v>
      </c>
      <c r="F56" s="20" t="s">
        <v>582</v>
      </c>
      <c r="G56" s="8" t="str">
        <f t="shared" si="0"/>
        <v>SANTIZO D. EDY</v>
      </c>
    </row>
    <row r="57" spans="1:7" x14ac:dyDescent="0.25">
      <c r="A57" s="8">
        <v>42799.3200462963</v>
      </c>
      <c r="B57" s="20" t="s">
        <v>236</v>
      </c>
      <c r="C57" s="20" t="s">
        <v>630</v>
      </c>
      <c r="D57" s="150">
        <v>2550000</v>
      </c>
      <c r="E57" s="20" t="s">
        <v>317</v>
      </c>
      <c r="F57" s="20" t="s">
        <v>318</v>
      </c>
      <c r="G57" s="8" t="str">
        <f t="shared" si="0"/>
        <v>BADERTSCHER DIANE</v>
      </c>
    </row>
    <row r="58" spans="1:7" x14ac:dyDescent="0.25">
      <c r="A58" s="8">
        <v>42799.330324074072</v>
      </c>
      <c r="B58" s="20" t="s">
        <v>268</v>
      </c>
      <c r="C58" s="20" t="s">
        <v>631</v>
      </c>
      <c r="D58" s="150">
        <v>2370000</v>
      </c>
      <c r="E58" s="20" t="s">
        <v>632</v>
      </c>
      <c r="F58" s="20" t="s">
        <v>633</v>
      </c>
      <c r="G58" s="8" t="str">
        <f t="shared" si="0"/>
        <v>DELGADO DIANAH</v>
      </c>
    </row>
    <row r="59" spans="1:7" x14ac:dyDescent="0.25">
      <c r="A59" s="8">
        <v>42799.331203703703</v>
      </c>
      <c r="B59" s="20" t="s">
        <v>205</v>
      </c>
      <c r="C59" s="20" t="s">
        <v>542</v>
      </c>
      <c r="D59" s="150">
        <v>2020000</v>
      </c>
      <c r="E59" s="20" t="s">
        <v>486</v>
      </c>
      <c r="F59" s="20" t="s">
        <v>487</v>
      </c>
      <c r="G59" s="8" t="str">
        <f t="shared" si="0"/>
        <v>SHOOK JOHN</v>
      </c>
    </row>
    <row r="60" spans="1:7" x14ac:dyDescent="0.25">
      <c r="A60" s="8">
        <v>42799.341192129628</v>
      </c>
      <c r="B60" s="20" t="s">
        <v>545</v>
      </c>
      <c r="C60" s="20" t="s">
        <v>634</v>
      </c>
      <c r="D60" s="150">
        <v>2420000</v>
      </c>
      <c r="E60" s="20" t="s">
        <v>605</v>
      </c>
      <c r="F60" s="20" t="s">
        <v>606</v>
      </c>
      <c r="G60" s="8" t="str">
        <f t="shared" si="0"/>
        <v>HOLCOMB KAMDEN</v>
      </c>
    </row>
    <row r="61" spans="1:7" x14ac:dyDescent="0.25">
      <c r="A61" s="8">
        <v>42799.341400462959</v>
      </c>
      <c r="B61" s="20" t="s">
        <v>597</v>
      </c>
      <c r="C61" s="20" t="s">
        <v>635</v>
      </c>
      <c r="D61" s="150">
        <v>2140000</v>
      </c>
      <c r="E61" s="20" t="s">
        <v>594</v>
      </c>
      <c r="F61" s="20" t="s">
        <v>595</v>
      </c>
      <c r="G61" s="8" t="str">
        <f t="shared" si="0"/>
        <v>ROBINSON KADDIBA</v>
      </c>
    </row>
    <row r="62" spans="1:7" x14ac:dyDescent="0.25">
      <c r="A62" s="8">
        <v>42799.345219907409</v>
      </c>
      <c r="B62" s="20" t="s">
        <v>209</v>
      </c>
      <c r="C62" s="20" t="s">
        <v>636</v>
      </c>
      <c r="D62" s="150">
        <v>2010000</v>
      </c>
      <c r="E62" s="20" t="s">
        <v>586</v>
      </c>
      <c r="F62" s="20" t="s">
        <v>587</v>
      </c>
      <c r="G62" s="8" t="str">
        <f t="shared" si="0"/>
        <v>MAELZER KURT</v>
      </c>
    </row>
    <row r="63" spans="1:7" x14ac:dyDescent="0.25">
      <c r="A63" s="8">
        <v>42799.349733796298</v>
      </c>
      <c r="B63" s="20" t="s">
        <v>216</v>
      </c>
      <c r="C63" s="20" t="s">
        <v>637</v>
      </c>
      <c r="D63" s="150">
        <v>1100000</v>
      </c>
      <c r="E63" s="20" t="s">
        <v>600</v>
      </c>
      <c r="F63" s="20" t="s">
        <v>601</v>
      </c>
      <c r="G63" s="8" t="str">
        <f t="shared" si="0"/>
        <v>GEBRETEKLE DAGNEW</v>
      </c>
    </row>
    <row r="64" spans="1:7" x14ac:dyDescent="0.25">
      <c r="A64" s="26">
        <v>42799.358148148145</v>
      </c>
      <c r="B64" s="20" t="s">
        <v>227</v>
      </c>
      <c r="C64" s="20" t="s">
        <v>638</v>
      </c>
      <c r="D64" s="150">
        <v>2550000</v>
      </c>
      <c r="E64" s="20" t="s">
        <v>317</v>
      </c>
      <c r="F64" s="20" t="s">
        <v>318</v>
      </c>
      <c r="G64" s="8" t="str">
        <f t="shared" si="0"/>
        <v>BADERTSCHER DIANE</v>
      </c>
    </row>
    <row r="65" spans="1:7" x14ac:dyDescent="0.25">
      <c r="A65" s="8">
        <v>42799.359027777777</v>
      </c>
      <c r="B65" s="20" t="s">
        <v>321</v>
      </c>
      <c r="C65" s="20" t="s">
        <v>639</v>
      </c>
      <c r="D65" s="150">
        <v>2420000</v>
      </c>
      <c r="E65" s="20" t="s">
        <v>605</v>
      </c>
      <c r="F65" s="20" t="s">
        <v>606</v>
      </c>
      <c r="G65" s="8" t="str">
        <f t="shared" si="0"/>
        <v>HOLCOMB KAMDEN</v>
      </c>
    </row>
    <row r="66" spans="1:7" x14ac:dyDescent="0.25">
      <c r="A66" s="8">
        <v>42799.360092592593</v>
      </c>
      <c r="B66" s="20" t="s">
        <v>557</v>
      </c>
      <c r="C66" s="20" t="s">
        <v>640</v>
      </c>
      <c r="D66" s="150">
        <v>2040000</v>
      </c>
      <c r="E66" s="20" t="s">
        <v>326</v>
      </c>
      <c r="F66" s="20" t="s">
        <v>327</v>
      </c>
      <c r="G66" s="8" t="str">
        <f t="shared" si="0"/>
        <v>MOSES BRADLEY</v>
      </c>
    </row>
    <row r="67" spans="1:7" x14ac:dyDescent="0.25">
      <c r="A67" s="8">
        <v>42799.365428240744</v>
      </c>
      <c r="B67" s="20" t="s">
        <v>266</v>
      </c>
      <c r="C67" s="20" t="s">
        <v>641</v>
      </c>
      <c r="D67" s="150">
        <v>2370000</v>
      </c>
      <c r="E67" s="20" t="s">
        <v>632</v>
      </c>
      <c r="F67" s="20" t="s">
        <v>633</v>
      </c>
      <c r="G67" s="8" t="str">
        <f t="shared" ref="G67:G130" si="1">E67&amp;" "&amp;F67</f>
        <v>DELGADO DIANAH</v>
      </c>
    </row>
    <row r="68" spans="1:7" x14ac:dyDescent="0.25">
      <c r="A68" s="8">
        <v>42799.371064814812</v>
      </c>
      <c r="B68" s="20" t="s">
        <v>534</v>
      </c>
      <c r="C68" s="20" t="s">
        <v>642</v>
      </c>
      <c r="D68" s="150">
        <v>2020000</v>
      </c>
      <c r="E68" s="20" t="s">
        <v>486</v>
      </c>
      <c r="F68" s="20" t="s">
        <v>487</v>
      </c>
      <c r="G68" s="8" t="str">
        <f t="shared" si="1"/>
        <v>SHOOK JOHN</v>
      </c>
    </row>
    <row r="69" spans="1:7" x14ac:dyDescent="0.25">
      <c r="A69" s="8">
        <v>42799.38013888889</v>
      </c>
      <c r="B69" s="20" t="s">
        <v>592</v>
      </c>
      <c r="C69" s="20" t="s">
        <v>643</v>
      </c>
      <c r="D69" s="150">
        <v>2140000</v>
      </c>
      <c r="E69" s="20" t="s">
        <v>594</v>
      </c>
      <c r="F69" s="20" t="s">
        <v>595</v>
      </c>
      <c r="G69" s="8" t="str">
        <f t="shared" si="1"/>
        <v>ROBINSON KADDIBA</v>
      </c>
    </row>
    <row r="70" spans="1:7" x14ac:dyDescent="0.25">
      <c r="A70" s="8">
        <v>42799.38108796296</v>
      </c>
      <c r="B70" s="20" t="s">
        <v>224</v>
      </c>
      <c r="C70" s="20" t="s">
        <v>644</v>
      </c>
      <c r="D70" s="150">
        <v>2010000</v>
      </c>
      <c r="E70" s="20" t="s">
        <v>586</v>
      </c>
      <c r="F70" s="20" t="s">
        <v>587</v>
      </c>
      <c r="G70" s="8" t="str">
        <f t="shared" si="1"/>
        <v>MAELZER KURT</v>
      </c>
    </row>
    <row r="71" spans="1:7" x14ac:dyDescent="0.25">
      <c r="A71" s="8">
        <v>42799.386886574073</v>
      </c>
      <c r="B71" s="20" t="s">
        <v>545</v>
      </c>
      <c r="C71" s="20" t="s">
        <v>645</v>
      </c>
      <c r="D71" s="150">
        <v>2420000</v>
      </c>
      <c r="E71" s="20" t="s">
        <v>605</v>
      </c>
      <c r="F71" s="20" t="s">
        <v>606</v>
      </c>
      <c r="G71" s="8" t="str">
        <f t="shared" si="1"/>
        <v>HOLCOMB KAMDEN</v>
      </c>
    </row>
    <row r="72" spans="1:7" x14ac:dyDescent="0.25">
      <c r="A72" s="8">
        <v>42799.390381944446</v>
      </c>
      <c r="B72" s="20" t="s">
        <v>551</v>
      </c>
      <c r="C72" s="20" t="s">
        <v>646</v>
      </c>
      <c r="D72" s="150">
        <v>1100000</v>
      </c>
      <c r="E72" s="20" t="s">
        <v>600</v>
      </c>
      <c r="F72" s="20" t="s">
        <v>601</v>
      </c>
      <c r="G72" s="8" t="str">
        <f t="shared" si="1"/>
        <v>GEBRETEKLE DAGNEW</v>
      </c>
    </row>
    <row r="73" spans="1:7" x14ac:dyDescent="0.25">
      <c r="A73" s="8">
        <v>42799.392604166664</v>
      </c>
      <c r="B73" s="20" t="s">
        <v>236</v>
      </c>
      <c r="C73" s="20" t="s">
        <v>647</v>
      </c>
      <c r="D73" s="150">
        <v>2550000</v>
      </c>
      <c r="E73" s="20" t="s">
        <v>317</v>
      </c>
      <c r="F73" s="20" t="s">
        <v>318</v>
      </c>
      <c r="G73" s="8" t="str">
        <f t="shared" si="1"/>
        <v>BADERTSCHER DIANE</v>
      </c>
    </row>
    <row r="74" spans="1:7" x14ac:dyDescent="0.25">
      <c r="A74" s="8">
        <v>42799.398321759261</v>
      </c>
      <c r="B74" s="20" t="s">
        <v>537</v>
      </c>
      <c r="C74" s="20" t="s">
        <v>544</v>
      </c>
      <c r="D74" s="150">
        <v>2040000</v>
      </c>
      <c r="E74" s="20" t="s">
        <v>326</v>
      </c>
      <c r="F74" s="20" t="s">
        <v>327</v>
      </c>
      <c r="G74" s="8" t="str">
        <f t="shared" si="1"/>
        <v>MOSES BRADLEY</v>
      </c>
    </row>
    <row r="75" spans="1:7" x14ac:dyDescent="0.25">
      <c r="A75" s="8">
        <v>42799.400914351849</v>
      </c>
      <c r="B75" s="20" t="s">
        <v>321</v>
      </c>
      <c r="C75" s="20" t="s">
        <v>543</v>
      </c>
      <c r="D75" s="150">
        <v>2420000</v>
      </c>
      <c r="E75" s="20" t="s">
        <v>605</v>
      </c>
      <c r="F75" s="20" t="s">
        <v>606</v>
      </c>
      <c r="G75" s="8" t="str">
        <f t="shared" si="1"/>
        <v>HOLCOMB KAMDEN</v>
      </c>
    </row>
    <row r="76" spans="1:7" x14ac:dyDescent="0.25">
      <c r="A76" s="8">
        <v>42799.402199074073</v>
      </c>
      <c r="B76" s="20" t="s">
        <v>268</v>
      </c>
      <c r="C76" s="20" t="s">
        <v>648</v>
      </c>
      <c r="D76" s="150">
        <v>1990000</v>
      </c>
      <c r="E76" s="20" t="s">
        <v>590</v>
      </c>
      <c r="F76" s="20" t="s">
        <v>591</v>
      </c>
      <c r="G76" s="8" t="str">
        <f t="shared" si="1"/>
        <v>DAVIS WENDY</v>
      </c>
    </row>
    <row r="77" spans="1:7" x14ac:dyDescent="0.25">
      <c r="A77" s="8">
        <v>42799.404328703706</v>
      </c>
      <c r="B77" s="20" t="s">
        <v>205</v>
      </c>
      <c r="C77" s="20" t="s">
        <v>649</v>
      </c>
      <c r="D77" s="150">
        <v>2020000</v>
      </c>
      <c r="E77" s="20" t="s">
        <v>486</v>
      </c>
      <c r="F77" s="20" t="s">
        <v>487</v>
      </c>
      <c r="G77" s="8" t="str">
        <f t="shared" si="1"/>
        <v>SHOOK JOHN</v>
      </c>
    </row>
    <row r="78" spans="1:7" x14ac:dyDescent="0.25">
      <c r="A78" s="8">
        <v>42799.413703703707</v>
      </c>
      <c r="B78" s="20" t="s">
        <v>597</v>
      </c>
      <c r="C78" s="20" t="s">
        <v>650</v>
      </c>
      <c r="D78" s="150">
        <v>2140000</v>
      </c>
      <c r="E78" s="20" t="s">
        <v>594</v>
      </c>
      <c r="F78" s="20" t="s">
        <v>595</v>
      </c>
      <c r="G78" s="8" t="str">
        <f t="shared" si="1"/>
        <v>ROBINSON KADDIBA</v>
      </c>
    </row>
    <row r="79" spans="1:7" x14ac:dyDescent="0.25">
      <c r="A79" s="8">
        <v>42799.419548611113</v>
      </c>
      <c r="B79" s="20" t="s">
        <v>209</v>
      </c>
      <c r="C79" s="20" t="s">
        <v>651</v>
      </c>
      <c r="D79" s="150">
        <v>2010000</v>
      </c>
      <c r="E79" s="20" t="s">
        <v>586</v>
      </c>
      <c r="F79" s="20" t="s">
        <v>587</v>
      </c>
      <c r="G79" s="8" t="str">
        <f t="shared" si="1"/>
        <v>MAELZER KURT</v>
      </c>
    </row>
    <row r="80" spans="1:7" x14ac:dyDescent="0.25">
      <c r="A80" s="8">
        <v>42799.422685185185</v>
      </c>
      <c r="B80" s="20" t="s">
        <v>216</v>
      </c>
      <c r="C80" s="20" t="s">
        <v>652</v>
      </c>
      <c r="D80" s="150">
        <v>1100000</v>
      </c>
      <c r="E80" s="20" t="s">
        <v>600</v>
      </c>
      <c r="F80" s="20" t="s">
        <v>601</v>
      </c>
      <c r="G80" s="8" t="str">
        <f t="shared" si="1"/>
        <v>GEBRETEKLE DAGNEW</v>
      </c>
    </row>
    <row r="81" spans="1:7" x14ac:dyDescent="0.25">
      <c r="A81" s="8">
        <v>42799.424490740741</v>
      </c>
      <c r="B81" s="20" t="s">
        <v>545</v>
      </c>
      <c r="C81" s="20" t="s">
        <v>546</v>
      </c>
      <c r="D81" s="150">
        <v>2420000</v>
      </c>
      <c r="E81" s="20" t="s">
        <v>605</v>
      </c>
      <c r="F81" s="20" t="s">
        <v>606</v>
      </c>
      <c r="G81" s="8" t="str">
        <f t="shared" si="1"/>
        <v>HOLCOMB KAMDEN</v>
      </c>
    </row>
    <row r="82" spans="1:7" x14ac:dyDescent="0.25">
      <c r="A82" s="8">
        <v>42799.429548611108</v>
      </c>
      <c r="B82" s="20" t="s">
        <v>227</v>
      </c>
      <c r="C82" s="20" t="s">
        <v>547</v>
      </c>
      <c r="D82" s="150">
        <v>2550000</v>
      </c>
      <c r="E82" s="20" t="s">
        <v>317</v>
      </c>
      <c r="F82" s="20" t="s">
        <v>318</v>
      </c>
      <c r="G82" s="8" t="str">
        <f t="shared" si="1"/>
        <v>BADERTSCHER DIANE</v>
      </c>
    </row>
    <row r="83" spans="1:7" x14ac:dyDescent="0.25">
      <c r="A83" s="8">
        <v>42799.433564814812</v>
      </c>
      <c r="B83" s="20" t="s">
        <v>653</v>
      </c>
      <c r="C83" s="20" t="s">
        <v>654</v>
      </c>
      <c r="D83" s="150">
        <v>2530000</v>
      </c>
      <c r="E83" s="20" t="s">
        <v>655</v>
      </c>
      <c r="F83" s="20" t="s">
        <v>656</v>
      </c>
      <c r="G83" s="8" t="str">
        <f t="shared" si="1"/>
        <v>LALONDE GREGORY</v>
      </c>
    </row>
    <row r="84" spans="1:7" x14ac:dyDescent="0.25">
      <c r="A84" s="8">
        <v>42799.435196759259</v>
      </c>
      <c r="B84" s="20" t="s">
        <v>653</v>
      </c>
      <c r="C84" s="20" t="s">
        <v>654</v>
      </c>
      <c r="D84" s="150">
        <v>2530000</v>
      </c>
      <c r="E84" s="20" t="s">
        <v>655</v>
      </c>
      <c r="F84" s="20" t="s">
        <v>656</v>
      </c>
      <c r="G84" s="8" t="str">
        <f t="shared" si="1"/>
        <v>LALONDE GREGORY</v>
      </c>
    </row>
    <row r="85" spans="1:7" x14ac:dyDescent="0.25">
      <c r="A85" s="8">
        <v>42799.436747685184</v>
      </c>
      <c r="B85" s="20" t="s">
        <v>557</v>
      </c>
      <c r="C85" s="20" t="s">
        <v>657</v>
      </c>
      <c r="D85" s="150">
        <v>2470000</v>
      </c>
      <c r="E85" s="20" t="s">
        <v>658</v>
      </c>
      <c r="F85" s="20" t="s">
        <v>659</v>
      </c>
      <c r="G85" s="8" t="str">
        <f t="shared" si="1"/>
        <v>ROMERO CHAD</v>
      </c>
    </row>
    <row r="86" spans="1:7" x14ac:dyDescent="0.25">
      <c r="A86" s="8">
        <v>42799.442731481482</v>
      </c>
      <c r="B86" s="20" t="s">
        <v>321</v>
      </c>
      <c r="C86" s="20" t="s">
        <v>660</v>
      </c>
      <c r="D86" s="150">
        <v>2420000</v>
      </c>
      <c r="E86" s="20" t="s">
        <v>605</v>
      </c>
      <c r="F86" s="20" t="s">
        <v>606</v>
      </c>
      <c r="G86" s="8" t="str">
        <f t="shared" si="1"/>
        <v>HOLCOMB KAMDEN</v>
      </c>
    </row>
    <row r="87" spans="1:7" x14ac:dyDescent="0.25">
      <c r="A87" s="8">
        <v>42799.443449074075</v>
      </c>
      <c r="B87" s="20" t="s">
        <v>266</v>
      </c>
      <c r="C87" s="20" t="s">
        <v>661</v>
      </c>
      <c r="D87" s="150">
        <v>1990000</v>
      </c>
      <c r="E87" s="20" t="s">
        <v>590</v>
      </c>
      <c r="F87" s="20" t="s">
        <v>591</v>
      </c>
      <c r="G87" s="8" t="str">
        <f t="shared" si="1"/>
        <v>DAVIS WENDY</v>
      </c>
    </row>
    <row r="88" spans="1:7" x14ac:dyDescent="0.25">
      <c r="A88" s="8">
        <v>42799.4450462963</v>
      </c>
      <c r="B88" s="20" t="s">
        <v>534</v>
      </c>
      <c r="C88" s="20" t="s">
        <v>662</v>
      </c>
      <c r="D88" s="150">
        <v>2020000</v>
      </c>
      <c r="E88" s="20" t="s">
        <v>486</v>
      </c>
      <c r="F88" s="20" t="s">
        <v>487</v>
      </c>
      <c r="G88" s="8" t="str">
        <f t="shared" si="1"/>
        <v>SHOOK JOHN</v>
      </c>
    </row>
    <row r="89" spans="1:7" x14ac:dyDescent="0.25">
      <c r="A89" s="8">
        <v>42799.449953703705</v>
      </c>
      <c r="B89" s="20" t="s">
        <v>592</v>
      </c>
      <c r="C89" s="20" t="s">
        <v>663</v>
      </c>
      <c r="D89" s="150">
        <v>2140000</v>
      </c>
      <c r="E89" s="20" t="s">
        <v>594</v>
      </c>
      <c r="F89" s="20" t="s">
        <v>595</v>
      </c>
      <c r="G89" s="8" t="str">
        <f t="shared" si="1"/>
        <v>ROBINSON KADDIBA</v>
      </c>
    </row>
    <row r="90" spans="1:7" x14ac:dyDescent="0.25">
      <c r="A90" s="8">
        <v>42799.456655092596</v>
      </c>
      <c r="B90" s="20" t="s">
        <v>224</v>
      </c>
      <c r="C90" s="20" t="s">
        <v>548</v>
      </c>
      <c r="D90" s="150">
        <v>880000</v>
      </c>
      <c r="E90" s="20" t="s">
        <v>664</v>
      </c>
      <c r="F90" s="20" t="s">
        <v>200</v>
      </c>
      <c r="G90" s="8" t="str">
        <f t="shared" si="1"/>
        <v>STEWART MICHAEL</v>
      </c>
    </row>
    <row r="91" spans="1:7" x14ac:dyDescent="0.25">
      <c r="A91" s="8">
        <v>42799.46125</v>
      </c>
      <c r="B91" s="20" t="s">
        <v>315</v>
      </c>
      <c r="C91" s="20" t="s">
        <v>665</v>
      </c>
      <c r="D91" s="150">
        <v>2040000</v>
      </c>
      <c r="E91" s="20" t="s">
        <v>326</v>
      </c>
      <c r="F91" s="20" t="s">
        <v>327</v>
      </c>
      <c r="G91" s="8" t="str">
        <f t="shared" si="1"/>
        <v>MOSES BRADLEY</v>
      </c>
    </row>
    <row r="92" spans="1:7" x14ac:dyDescent="0.25">
      <c r="A92" s="8">
        <v>42799.46199074074</v>
      </c>
      <c r="B92" s="20" t="s">
        <v>551</v>
      </c>
      <c r="C92" s="20" t="s">
        <v>666</v>
      </c>
      <c r="D92" s="150">
        <v>1100000</v>
      </c>
      <c r="E92" s="20" t="s">
        <v>600</v>
      </c>
      <c r="F92" s="20" t="s">
        <v>601</v>
      </c>
      <c r="G92" s="8" t="str">
        <f t="shared" si="1"/>
        <v>GEBRETEKLE DAGNEW</v>
      </c>
    </row>
    <row r="93" spans="1:7" x14ac:dyDescent="0.25">
      <c r="A93" s="8">
        <v>42799.46503472222</v>
      </c>
      <c r="B93" s="20" t="s">
        <v>537</v>
      </c>
      <c r="C93" s="20" t="s">
        <v>667</v>
      </c>
      <c r="D93" s="150">
        <v>2470000</v>
      </c>
      <c r="E93" s="20" t="s">
        <v>658</v>
      </c>
      <c r="F93" s="20" t="s">
        <v>659</v>
      </c>
      <c r="G93" s="8" t="str">
        <f t="shared" si="1"/>
        <v>ROMERO CHAD</v>
      </c>
    </row>
    <row r="94" spans="1:7" x14ac:dyDescent="0.25">
      <c r="A94" s="8">
        <v>42799.469224537039</v>
      </c>
      <c r="B94" s="20" t="s">
        <v>236</v>
      </c>
      <c r="C94" s="20" t="s">
        <v>668</v>
      </c>
      <c r="D94" s="150">
        <v>920000</v>
      </c>
      <c r="E94" s="20" t="s">
        <v>590</v>
      </c>
      <c r="F94" s="20" t="s">
        <v>200</v>
      </c>
      <c r="G94" s="8" t="str">
        <f t="shared" si="1"/>
        <v>DAVIS MICHAEL</v>
      </c>
    </row>
    <row r="95" spans="1:7" x14ac:dyDescent="0.25">
      <c r="A95" s="8">
        <v>42799.469247685185</v>
      </c>
      <c r="B95" s="20" t="s">
        <v>545</v>
      </c>
      <c r="C95" s="20" t="s">
        <v>669</v>
      </c>
      <c r="D95" s="150">
        <v>2420000</v>
      </c>
      <c r="E95" s="20" t="s">
        <v>605</v>
      </c>
      <c r="F95" s="20" t="s">
        <v>606</v>
      </c>
      <c r="G95" s="8" t="str">
        <f t="shared" si="1"/>
        <v>HOLCOMB KAMDEN</v>
      </c>
    </row>
    <row r="96" spans="1:7" x14ac:dyDescent="0.25">
      <c r="A96" s="8">
        <v>42799.475706018522</v>
      </c>
      <c r="B96" s="20" t="s">
        <v>205</v>
      </c>
      <c r="C96" s="20" t="s">
        <v>670</v>
      </c>
      <c r="D96" s="150">
        <v>2020000</v>
      </c>
      <c r="E96" s="20" t="s">
        <v>486</v>
      </c>
      <c r="F96" s="20" t="s">
        <v>487</v>
      </c>
      <c r="G96" s="8" t="str">
        <f t="shared" si="1"/>
        <v>SHOOK JOHN</v>
      </c>
    </row>
    <row r="97" spans="1:7" x14ac:dyDescent="0.25">
      <c r="A97" s="8">
        <v>42799.477094907408</v>
      </c>
      <c r="B97" s="20" t="s">
        <v>268</v>
      </c>
      <c r="C97" s="20" t="s">
        <v>671</v>
      </c>
      <c r="D97" s="150">
        <v>1300000</v>
      </c>
      <c r="E97" s="20" t="s">
        <v>672</v>
      </c>
      <c r="F97" s="20" t="s">
        <v>673</v>
      </c>
      <c r="G97" s="8" t="str">
        <f t="shared" si="1"/>
        <v>LEVIN SCOTT</v>
      </c>
    </row>
    <row r="98" spans="1:7" x14ac:dyDescent="0.25">
      <c r="A98" s="8">
        <v>42799.484201388892</v>
      </c>
      <c r="B98" s="20" t="s">
        <v>321</v>
      </c>
      <c r="C98" s="20" t="s">
        <v>674</v>
      </c>
      <c r="D98" s="150">
        <v>2420000</v>
      </c>
      <c r="E98" s="20" t="s">
        <v>605</v>
      </c>
      <c r="F98" s="20" t="s">
        <v>606</v>
      </c>
      <c r="G98" s="8" t="str">
        <f t="shared" si="1"/>
        <v>HOLCOMB KAMDEN</v>
      </c>
    </row>
    <row r="99" spans="1:7" x14ac:dyDescent="0.25">
      <c r="A99" s="8">
        <v>42799.487430555557</v>
      </c>
      <c r="B99" s="20" t="s">
        <v>597</v>
      </c>
      <c r="C99" s="20" t="s">
        <v>675</v>
      </c>
      <c r="D99" s="150">
        <v>1770000</v>
      </c>
      <c r="E99" s="20" t="s">
        <v>324</v>
      </c>
      <c r="F99" s="20" t="s">
        <v>325</v>
      </c>
      <c r="G99" s="8" t="str">
        <f t="shared" si="1"/>
        <v>BRUDER RICHARD</v>
      </c>
    </row>
    <row r="100" spans="1:7" x14ac:dyDescent="0.25">
      <c r="A100" s="8">
        <v>42799.495740740742</v>
      </c>
      <c r="B100" s="20" t="s">
        <v>209</v>
      </c>
      <c r="C100" s="20" t="s">
        <v>676</v>
      </c>
      <c r="D100" s="150">
        <v>880000</v>
      </c>
      <c r="E100" s="20" t="s">
        <v>664</v>
      </c>
      <c r="F100" s="20" t="s">
        <v>200</v>
      </c>
      <c r="G100" s="8" t="str">
        <f t="shared" si="1"/>
        <v>STEWART MICHAEL</v>
      </c>
    </row>
    <row r="101" spans="1:7" x14ac:dyDescent="0.25">
      <c r="A101" s="8">
        <v>42799.49591435185</v>
      </c>
      <c r="B101" s="20" t="s">
        <v>214</v>
      </c>
      <c r="C101" s="20" t="s">
        <v>677</v>
      </c>
      <c r="D101" s="150">
        <v>2600000</v>
      </c>
      <c r="E101" s="20" t="s">
        <v>678</v>
      </c>
      <c r="F101" s="20" t="s">
        <v>488</v>
      </c>
      <c r="G101" s="8" t="str">
        <f t="shared" si="1"/>
        <v>DAVIDSON DAVID</v>
      </c>
    </row>
    <row r="102" spans="1:7" x14ac:dyDescent="0.25">
      <c r="A102" s="8">
        <v>42799.496053240742</v>
      </c>
      <c r="B102" s="20" t="s">
        <v>216</v>
      </c>
      <c r="C102" s="20" t="s">
        <v>679</v>
      </c>
      <c r="D102" s="150">
        <v>1120000</v>
      </c>
      <c r="E102" s="20" t="s">
        <v>290</v>
      </c>
      <c r="F102" s="20" t="s">
        <v>291</v>
      </c>
      <c r="G102" s="8" t="str">
        <f t="shared" si="1"/>
        <v>LOCKLEAR TRAVIS</v>
      </c>
    </row>
    <row r="103" spans="1:7" x14ac:dyDescent="0.25">
      <c r="A103" s="8">
        <v>42799.497314814813</v>
      </c>
      <c r="B103" s="20" t="s">
        <v>209</v>
      </c>
      <c r="C103" s="20" t="s">
        <v>676</v>
      </c>
      <c r="D103" s="150">
        <v>880000</v>
      </c>
      <c r="E103" s="20" t="s">
        <v>664</v>
      </c>
      <c r="F103" s="20" t="s">
        <v>200</v>
      </c>
      <c r="G103" s="8" t="str">
        <f t="shared" si="1"/>
        <v>STEWART MICHAEL</v>
      </c>
    </row>
    <row r="104" spans="1:7" x14ac:dyDescent="0.25">
      <c r="A104" s="8">
        <v>42799.500092592592</v>
      </c>
      <c r="B104" s="20" t="s">
        <v>214</v>
      </c>
      <c r="C104" s="20" t="s">
        <v>677</v>
      </c>
      <c r="D104" s="150">
        <v>2600000</v>
      </c>
      <c r="E104" s="20" t="s">
        <v>678</v>
      </c>
      <c r="F104" s="20" t="s">
        <v>488</v>
      </c>
      <c r="G104" s="8" t="str">
        <f t="shared" si="1"/>
        <v>DAVIDSON DAVID</v>
      </c>
    </row>
    <row r="105" spans="1:7" x14ac:dyDescent="0.25">
      <c r="A105" s="8">
        <v>42799.505902777775</v>
      </c>
      <c r="B105" s="20" t="s">
        <v>227</v>
      </c>
      <c r="C105" s="20" t="s">
        <v>680</v>
      </c>
      <c r="D105" s="150">
        <v>920000</v>
      </c>
      <c r="E105" s="20" t="s">
        <v>590</v>
      </c>
      <c r="F105" s="20" t="s">
        <v>200</v>
      </c>
      <c r="G105" s="8" t="str">
        <f t="shared" si="1"/>
        <v>DAVIS MICHAEL</v>
      </c>
    </row>
    <row r="106" spans="1:7" x14ac:dyDescent="0.25">
      <c r="A106" s="8">
        <v>42799.507037037038</v>
      </c>
      <c r="B106" s="20" t="s">
        <v>557</v>
      </c>
      <c r="C106" s="20" t="s">
        <v>681</v>
      </c>
      <c r="D106" s="150">
        <v>2470000</v>
      </c>
      <c r="E106" s="20" t="s">
        <v>658</v>
      </c>
      <c r="F106" s="20" t="s">
        <v>659</v>
      </c>
      <c r="G106" s="8" t="str">
        <f t="shared" si="1"/>
        <v>ROMERO CHAD</v>
      </c>
    </row>
    <row r="107" spans="1:7" x14ac:dyDescent="0.25">
      <c r="A107" s="8">
        <v>42799.508981481478</v>
      </c>
      <c r="B107" s="20" t="s">
        <v>545</v>
      </c>
      <c r="C107" s="20" t="s">
        <v>682</v>
      </c>
      <c r="D107" s="150">
        <v>2420000</v>
      </c>
      <c r="E107" s="20" t="s">
        <v>605</v>
      </c>
      <c r="F107" s="20" t="s">
        <v>606</v>
      </c>
      <c r="G107" s="8" t="str">
        <f t="shared" si="1"/>
        <v>HOLCOMB KAMDEN</v>
      </c>
    </row>
    <row r="108" spans="1:7" x14ac:dyDescent="0.25">
      <c r="A108" s="8">
        <v>42799.514930555553</v>
      </c>
      <c r="B108" s="20" t="s">
        <v>266</v>
      </c>
      <c r="C108" s="20" t="s">
        <v>683</v>
      </c>
      <c r="D108" s="150">
        <v>1300000</v>
      </c>
      <c r="E108" s="20" t="s">
        <v>672</v>
      </c>
      <c r="F108" s="20" t="s">
        <v>673</v>
      </c>
      <c r="G108" s="8" t="str">
        <f t="shared" si="1"/>
        <v>LEVIN SCOTT</v>
      </c>
    </row>
    <row r="109" spans="1:7" x14ac:dyDescent="0.25">
      <c r="A109" s="8">
        <v>42799.520555555559</v>
      </c>
      <c r="B109" s="20" t="s">
        <v>534</v>
      </c>
      <c r="C109" s="20" t="s">
        <v>550</v>
      </c>
      <c r="D109" s="150">
        <v>2600000</v>
      </c>
      <c r="E109" s="20" t="s">
        <v>678</v>
      </c>
      <c r="F109" s="20" t="s">
        <v>488</v>
      </c>
      <c r="G109" s="8" t="str">
        <f t="shared" si="1"/>
        <v>DAVIDSON DAVID</v>
      </c>
    </row>
    <row r="110" spans="1:7" x14ac:dyDescent="0.25">
      <c r="A110" s="8">
        <v>42799.523321759261</v>
      </c>
      <c r="B110" s="20" t="s">
        <v>213</v>
      </c>
      <c r="C110" s="20" t="s">
        <v>684</v>
      </c>
      <c r="D110" s="150">
        <v>2020000</v>
      </c>
      <c r="E110" s="20" t="s">
        <v>486</v>
      </c>
      <c r="F110" s="20" t="s">
        <v>487</v>
      </c>
      <c r="G110" s="8" t="str">
        <f t="shared" si="1"/>
        <v>SHOOK JOHN</v>
      </c>
    </row>
    <row r="111" spans="1:7" x14ac:dyDescent="0.25">
      <c r="A111" s="8">
        <v>42799.52542824074</v>
      </c>
      <c r="B111" s="20" t="s">
        <v>592</v>
      </c>
      <c r="C111" s="20" t="s">
        <v>685</v>
      </c>
      <c r="D111" s="150">
        <v>1770000</v>
      </c>
      <c r="E111" s="20" t="s">
        <v>324</v>
      </c>
      <c r="F111" s="20" t="s">
        <v>325</v>
      </c>
      <c r="G111" s="8" t="str">
        <f t="shared" si="1"/>
        <v>BRUDER RICHARD</v>
      </c>
    </row>
    <row r="112" spans="1:7" x14ac:dyDescent="0.25">
      <c r="A112" s="8">
        <v>42799.526388888888</v>
      </c>
      <c r="B112" s="20" t="s">
        <v>321</v>
      </c>
      <c r="C112" s="20" t="s">
        <v>549</v>
      </c>
      <c r="D112" s="150">
        <v>2420000</v>
      </c>
      <c r="E112" s="20" t="s">
        <v>605</v>
      </c>
      <c r="F112" s="20" t="s">
        <v>606</v>
      </c>
      <c r="G112" s="8" t="str">
        <f t="shared" si="1"/>
        <v>HOLCOMB KAMDEN</v>
      </c>
    </row>
    <row r="113" spans="1:7" x14ac:dyDescent="0.25">
      <c r="A113" s="8">
        <v>42799.528506944444</v>
      </c>
      <c r="B113" s="20" t="s">
        <v>224</v>
      </c>
      <c r="C113" s="20" t="s">
        <v>686</v>
      </c>
      <c r="D113" s="150">
        <v>880000</v>
      </c>
      <c r="E113" s="20" t="s">
        <v>664</v>
      </c>
      <c r="F113" s="20" t="s">
        <v>200</v>
      </c>
      <c r="G113" s="8" t="str">
        <f t="shared" si="1"/>
        <v>STEWART MICHAEL</v>
      </c>
    </row>
    <row r="114" spans="1:7" x14ac:dyDescent="0.25">
      <c r="A114" s="8">
        <v>42799.536215277774</v>
      </c>
      <c r="B114" s="20" t="s">
        <v>551</v>
      </c>
      <c r="C114" s="20" t="s">
        <v>552</v>
      </c>
      <c r="D114" s="150">
        <v>1120000</v>
      </c>
      <c r="E114" s="20" t="s">
        <v>290</v>
      </c>
      <c r="F114" s="20" t="s">
        <v>291</v>
      </c>
      <c r="G114" s="8" t="str">
        <f t="shared" si="1"/>
        <v>LOCKLEAR TRAVIS</v>
      </c>
    </row>
    <row r="115" spans="1:7" x14ac:dyDescent="0.25">
      <c r="A115" s="8">
        <v>42799.538645833331</v>
      </c>
      <c r="B115" s="20" t="s">
        <v>537</v>
      </c>
      <c r="C115" s="20" t="s">
        <v>687</v>
      </c>
      <c r="D115" s="150">
        <v>2470000</v>
      </c>
      <c r="E115" s="20" t="s">
        <v>658</v>
      </c>
      <c r="F115" s="20" t="s">
        <v>659</v>
      </c>
      <c r="G115" s="8" t="str">
        <f t="shared" si="1"/>
        <v>ROMERO CHAD</v>
      </c>
    </row>
    <row r="116" spans="1:7" x14ac:dyDescent="0.25">
      <c r="A116" s="8">
        <v>42799.541192129633</v>
      </c>
      <c r="B116" s="20" t="s">
        <v>236</v>
      </c>
      <c r="C116" s="20" t="s">
        <v>688</v>
      </c>
      <c r="D116" s="150">
        <v>920000</v>
      </c>
      <c r="E116" s="20" t="s">
        <v>590</v>
      </c>
      <c r="F116" s="20" t="s">
        <v>200</v>
      </c>
      <c r="G116" s="8" t="str">
        <f t="shared" si="1"/>
        <v>DAVIS MICHAEL</v>
      </c>
    </row>
    <row r="117" spans="1:7" x14ac:dyDescent="0.25">
      <c r="A117" s="8">
        <v>42799.548900462964</v>
      </c>
      <c r="B117" s="20" t="s">
        <v>268</v>
      </c>
      <c r="C117" s="20" t="s">
        <v>689</v>
      </c>
      <c r="D117" s="150">
        <v>1300000</v>
      </c>
      <c r="E117" s="20" t="s">
        <v>672</v>
      </c>
      <c r="F117" s="20" t="s">
        <v>673</v>
      </c>
      <c r="G117" s="8" t="str">
        <f t="shared" si="1"/>
        <v>LEVIN SCOTT</v>
      </c>
    </row>
    <row r="118" spans="1:7" x14ac:dyDescent="0.25">
      <c r="A118" s="8">
        <v>42799.552175925928</v>
      </c>
      <c r="B118" s="20" t="s">
        <v>205</v>
      </c>
      <c r="C118" s="20" t="s">
        <v>690</v>
      </c>
      <c r="D118" s="150">
        <v>2600000</v>
      </c>
      <c r="E118" s="20" t="s">
        <v>678</v>
      </c>
      <c r="F118" s="20" t="s">
        <v>488</v>
      </c>
      <c r="G118" s="8" t="str">
        <f t="shared" si="1"/>
        <v>DAVIDSON DAVID</v>
      </c>
    </row>
    <row r="119" spans="1:7" x14ac:dyDescent="0.25">
      <c r="A119" s="8">
        <v>42799.552349537036</v>
      </c>
      <c r="B119" s="20" t="s">
        <v>545</v>
      </c>
      <c r="C119" s="20" t="s">
        <v>691</v>
      </c>
      <c r="D119" s="150">
        <v>2420000</v>
      </c>
      <c r="E119" s="20" t="s">
        <v>605</v>
      </c>
      <c r="F119" s="20" t="s">
        <v>606</v>
      </c>
      <c r="G119" s="8" t="str">
        <f t="shared" si="1"/>
        <v>HOLCOMB KAMDEN</v>
      </c>
    </row>
    <row r="120" spans="1:7" x14ac:dyDescent="0.25">
      <c r="A120" s="8">
        <v>42799.559166666666</v>
      </c>
      <c r="B120" s="20" t="s">
        <v>597</v>
      </c>
      <c r="C120" s="20" t="s">
        <v>692</v>
      </c>
      <c r="D120" s="150">
        <v>1770000</v>
      </c>
      <c r="E120" s="20" t="s">
        <v>324</v>
      </c>
      <c r="F120" s="20" t="s">
        <v>325</v>
      </c>
      <c r="G120" s="8" t="str">
        <f t="shared" si="1"/>
        <v>BRUDER RICHARD</v>
      </c>
    </row>
    <row r="121" spans="1:7" x14ac:dyDescent="0.25">
      <c r="A121" s="8">
        <v>42799.567199074074</v>
      </c>
      <c r="B121" s="20" t="s">
        <v>321</v>
      </c>
      <c r="C121" s="20" t="s">
        <v>553</v>
      </c>
      <c r="D121" s="150">
        <v>2420000</v>
      </c>
      <c r="E121" s="20" t="s">
        <v>605</v>
      </c>
      <c r="F121" s="20" t="s">
        <v>606</v>
      </c>
      <c r="G121" s="8" t="str">
        <f t="shared" si="1"/>
        <v>HOLCOMB KAMDEN</v>
      </c>
    </row>
    <row r="122" spans="1:7" x14ac:dyDescent="0.25">
      <c r="A122" s="8">
        <v>42799.567881944444</v>
      </c>
      <c r="B122" s="25" t="s">
        <v>209</v>
      </c>
      <c r="C122" s="20" t="s">
        <v>693</v>
      </c>
      <c r="D122" s="150">
        <v>880000</v>
      </c>
      <c r="E122" s="20" t="s">
        <v>664</v>
      </c>
      <c r="F122" s="20" t="s">
        <v>200</v>
      </c>
      <c r="G122" s="8" t="str">
        <f t="shared" si="1"/>
        <v>STEWART MICHAEL</v>
      </c>
    </row>
    <row r="123" spans="1:7" x14ac:dyDescent="0.25">
      <c r="A123" s="8">
        <v>42799.572013888886</v>
      </c>
      <c r="B123" s="20" t="s">
        <v>216</v>
      </c>
      <c r="C123" s="20" t="s">
        <v>554</v>
      </c>
      <c r="D123" s="150">
        <v>2560000</v>
      </c>
      <c r="E123" s="20" t="s">
        <v>493</v>
      </c>
      <c r="F123" s="20" t="s">
        <v>494</v>
      </c>
      <c r="G123" s="8" t="str">
        <f t="shared" si="1"/>
        <v>MACDONALD THOMAS</v>
      </c>
    </row>
    <row r="124" spans="1:7" x14ac:dyDescent="0.25">
      <c r="A124" s="8">
        <v>42799.578206018516</v>
      </c>
      <c r="B124" s="20" t="s">
        <v>557</v>
      </c>
      <c r="C124" s="20" t="s">
        <v>694</v>
      </c>
      <c r="D124" s="150">
        <v>2470000</v>
      </c>
      <c r="E124" s="20" t="s">
        <v>658</v>
      </c>
      <c r="F124" s="20" t="s">
        <v>659</v>
      </c>
      <c r="G124" s="8" t="str">
        <f t="shared" si="1"/>
        <v>ROMERO CHAD</v>
      </c>
    </row>
    <row r="125" spans="1:7" x14ac:dyDescent="0.25">
      <c r="A125" s="8">
        <v>42799.579548611109</v>
      </c>
      <c r="B125" s="20" t="s">
        <v>227</v>
      </c>
      <c r="C125" s="20" t="s">
        <v>695</v>
      </c>
      <c r="D125" s="150">
        <v>920000</v>
      </c>
      <c r="E125" s="20" t="s">
        <v>590</v>
      </c>
      <c r="F125" s="20" t="s">
        <v>200</v>
      </c>
      <c r="G125" s="8" t="str">
        <f t="shared" si="1"/>
        <v>DAVIS MICHAEL</v>
      </c>
    </row>
    <row r="126" spans="1:7" x14ac:dyDescent="0.25">
      <c r="A126" s="8">
        <v>42799.58797453704</v>
      </c>
      <c r="B126" s="20" t="s">
        <v>266</v>
      </c>
      <c r="C126" s="20" t="s">
        <v>696</v>
      </c>
      <c r="D126" s="150">
        <v>1300000</v>
      </c>
      <c r="E126" s="20" t="s">
        <v>672</v>
      </c>
      <c r="F126" s="20" t="s">
        <v>673</v>
      </c>
      <c r="G126" s="8" t="str">
        <f t="shared" si="1"/>
        <v>LEVIN SCOTT</v>
      </c>
    </row>
    <row r="127" spans="1:7" x14ac:dyDescent="0.25">
      <c r="A127" s="8">
        <v>42799.593842592592</v>
      </c>
      <c r="B127" s="20" t="s">
        <v>266</v>
      </c>
      <c r="C127" s="20" t="s">
        <v>696</v>
      </c>
      <c r="D127" s="150">
        <v>1300000</v>
      </c>
      <c r="E127" s="20" t="s">
        <v>672</v>
      </c>
      <c r="F127" s="20" t="s">
        <v>673</v>
      </c>
      <c r="G127" s="8" t="str">
        <f t="shared" si="1"/>
        <v>LEVIN SCOTT</v>
      </c>
    </row>
    <row r="128" spans="1:7" x14ac:dyDescent="0.25">
      <c r="A128" s="8">
        <v>42799.59479166667</v>
      </c>
      <c r="B128" s="20" t="s">
        <v>545</v>
      </c>
      <c r="C128" s="20" t="s">
        <v>697</v>
      </c>
      <c r="D128" s="150">
        <v>1540000</v>
      </c>
      <c r="E128" s="20" t="s">
        <v>322</v>
      </c>
      <c r="F128" s="20" t="s">
        <v>323</v>
      </c>
      <c r="G128" s="8" t="str">
        <f t="shared" si="1"/>
        <v>HELVIE ADAM</v>
      </c>
    </row>
    <row r="129" spans="1:7" x14ac:dyDescent="0.25">
      <c r="A129" s="8">
        <v>42799.596284722225</v>
      </c>
      <c r="B129" s="20" t="s">
        <v>534</v>
      </c>
      <c r="C129" s="20" t="s">
        <v>698</v>
      </c>
      <c r="D129" s="150">
        <v>2600000</v>
      </c>
      <c r="E129" s="20" t="s">
        <v>678</v>
      </c>
      <c r="F129" s="20" t="s">
        <v>488</v>
      </c>
      <c r="G129" s="8" t="str">
        <f t="shared" si="1"/>
        <v>DAVIDSON DAVID</v>
      </c>
    </row>
    <row r="130" spans="1:7" x14ac:dyDescent="0.25">
      <c r="A130" s="8">
        <v>42799.597222222219</v>
      </c>
      <c r="B130" s="20" t="s">
        <v>592</v>
      </c>
      <c r="C130" s="20" t="s">
        <v>699</v>
      </c>
      <c r="D130" s="150">
        <v>1770000</v>
      </c>
      <c r="E130" s="20" t="s">
        <v>324</v>
      </c>
      <c r="F130" s="20" t="s">
        <v>325</v>
      </c>
      <c r="G130" s="8" t="str">
        <f t="shared" si="1"/>
        <v>BRUDER RICHARD</v>
      </c>
    </row>
    <row r="131" spans="1:7" x14ac:dyDescent="0.25">
      <c r="A131" s="8">
        <v>42799.601631944446</v>
      </c>
      <c r="B131" s="20" t="s">
        <v>224</v>
      </c>
      <c r="C131" s="20" t="s">
        <v>700</v>
      </c>
      <c r="D131" s="150">
        <v>880000</v>
      </c>
      <c r="E131" s="20" t="s">
        <v>664</v>
      </c>
      <c r="F131" s="20" t="s">
        <v>200</v>
      </c>
      <c r="G131" s="8" t="str">
        <f t="shared" ref="G131:G194" si="2">E131&amp;" "&amp;F131</f>
        <v>STEWART MICHAEL</v>
      </c>
    </row>
    <row r="132" spans="1:7" x14ac:dyDescent="0.25">
      <c r="A132" s="8">
        <v>42799.601631944446</v>
      </c>
      <c r="B132" s="20" t="s">
        <v>534</v>
      </c>
      <c r="C132" s="20" t="s">
        <v>698</v>
      </c>
      <c r="D132" s="150">
        <v>2600000</v>
      </c>
      <c r="E132" s="20" t="s">
        <v>678</v>
      </c>
      <c r="F132" s="20" t="s">
        <v>488</v>
      </c>
      <c r="G132" s="8" t="str">
        <f t="shared" si="2"/>
        <v>DAVIDSON DAVID</v>
      </c>
    </row>
    <row r="133" spans="1:7" x14ac:dyDescent="0.25">
      <c r="A133" s="8">
        <v>42799.608298611114</v>
      </c>
      <c r="B133" s="20" t="s">
        <v>551</v>
      </c>
      <c r="C133" s="20" t="s">
        <v>701</v>
      </c>
      <c r="D133" s="150">
        <v>2560000</v>
      </c>
      <c r="E133" s="20" t="s">
        <v>493</v>
      </c>
      <c r="F133" s="20" t="s">
        <v>494</v>
      </c>
      <c r="G133" s="8" t="str">
        <f t="shared" si="2"/>
        <v>MACDONALD THOMAS</v>
      </c>
    </row>
    <row r="134" spans="1:7" x14ac:dyDescent="0.25">
      <c r="A134" s="8">
        <v>42799.609375</v>
      </c>
      <c r="B134" s="20" t="s">
        <v>321</v>
      </c>
      <c r="C134" s="20" t="s">
        <v>702</v>
      </c>
      <c r="D134" s="150">
        <v>1540000</v>
      </c>
      <c r="E134" s="20" t="s">
        <v>322</v>
      </c>
      <c r="F134" s="20" t="s">
        <v>323</v>
      </c>
      <c r="G134" s="8" t="str">
        <f t="shared" si="2"/>
        <v>HELVIE ADAM</v>
      </c>
    </row>
    <row r="135" spans="1:7" x14ac:dyDescent="0.25">
      <c r="A135" s="8">
        <v>42799.611481481479</v>
      </c>
      <c r="B135" s="20" t="s">
        <v>537</v>
      </c>
      <c r="C135" s="20" t="s">
        <v>703</v>
      </c>
      <c r="D135" s="150">
        <v>2470000</v>
      </c>
      <c r="E135" s="20" t="s">
        <v>658</v>
      </c>
      <c r="F135" s="20" t="s">
        <v>659</v>
      </c>
      <c r="G135" s="8" t="str">
        <f t="shared" si="2"/>
        <v>ROMERO CHAD</v>
      </c>
    </row>
    <row r="136" spans="1:7" x14ac:dyDescent="0.25">
      <c r="A136" s="8">
        <v>42799.611539351848</v>
      </c>
      <c r="B136" s="20" t="s">
        <v>303</v>
      </c>
      <c r="C136" s="20" t="s">
        <v>704</v>
      </c>
      <c r="D136" s="150">
        <v>2530000</v>
      </c>
      <c r="E136" s="20" t="s">
        <v>655</v>
      </c>
      <c r="F136" s="20" t="s">
        <v>656</v>
      </c>
      <c r="G136" s="8" t="str">
        <f t="shared" si="2"/>
        <v>LALONDE GREGORY</v>
      </c>
    </row>
    <row r="137" spans="1:7" x14ac:dyDescent="0.25">
      <c r="A137" s="8">
        <v>42799.618425925924</v>
      </c>
      <c r="B137" s="20" t="s">
        <v>236</v>
      </c>
      <c r="C137" s="20" t="s">
        <v>705</v>
      </c>
      <c r="D137" s="150">
        <v>920000</v>
      </c>
      <c r="E137" s="20" t="s">
        <v>590</v>
      </c>
      <c r="F137" s="20" t="s">
        <v>200</v>
      </c>
      <c r="G137" s="8" t="str">
        <f t="shared" si="2"/>
        <v>DAVIS MICHAEL</v>
      </c>
    </row>
    <row r="138" spans="1:7" x14ac:dyDescent="0.25">
      <c r="A138" s="8">
        <v>42799.628495370373</v>
      </c>
      <c r="B138" s="20" t="s">
        <v>205</v>
      </c>
      <c r="C138" s="20" t="s">
        <v>706</v>
      </c>
      <c r="D138" s="150">
        <v>2600000</v>
      </c>
      <c r="E138" s="20" t="s">
        <v>678</v>
      </c>
      <c r="F138" s="20" t="s">
        <v>488</v>
      </c>
      <c r="G138" s="8" t="str">
        <f t="shared" si="2"/>
        <v>DAVIDSON DAVID</v>
      </c>
    </row>
    <row r="139" spans="1:7" x14ac:dyDescent="0.25">
      <c r="A139" s="8">
        <v>42799.634432870371</v>
      </c>
      <c r="B139" s="20" t="s">
        <v>597</v>
      </c>
      <c r="C139" s="20" t="s">
        <v>707</v>
      </c>
      <c r="D139" s="150">
        <v>1770000</v>
      </c>
      <c r="E139" s="20" t="s">
        <v>324</v>
      </c>
      <c r="F139" s="20" t="s">
        <v>325</v>
      </c>
      <c r="G139" s="8" t="str">
        <f t="shared" si="2"/>
        <v>BRUDER RICHARD</v>
      </c>
    </row>
    <row r="140" spans="1:7" x14ac:dyDescent="0.25">
      <c r="A140" s="8">
        <v>42799.637303240743</v>
      </c>
      <c r="B140" s="20" t="s">
        <v>545</v>
      </c>
      <c r="C140" s="20" t="s">
        <v>555</v>
      </c>
      <c r="D140" s="150">
        <v>2450000</v>
      </c>
      <c r="E140" s="20" t="s">
        <v>708</v>
      </c>
      <c r="F140" s="20" t="s">
        <v>709</v>
      </c>
      <c r="G140" s="8" t="str">
        <f t="shared" si="2"/>
        <v>NELSON ARIANE</v>
      </c>
    </row>
    <row r="141" spans="1:7" x14ac:dyDescent="0.25">
      <c r="A141" s="8">
        <v>42799.641018518516</v>
      </c>
      <c r="B141" s="20" t="s">
        <v>209</v>
      </c>
      <c r="C141" s="20" t="s">
        <v>710</v>
      </c>
      <c r="D141" s="150">
        <v>880000</v>
      </c>
      <c r="E141" s="20" t="s">
        <v>664</v>
      </c>
      <c r="F141" s="20" t="s">
        <v>200</v>
      </c>
      <c r="G141" s="8" t="str">
        <f t="shared" si="2"/>
        <v>STEWART MICHAEL</v>
      </c>
    </row>
    <row r="142" spans="1:7" x14ac:dyDescent="0.25">
      <c r="A142" s="8">
        <v>42799.642442129632</v>
      </c>
      <c r="B142" s="20" t="s">
        <v>216</v>
      </c>
      <c r="C142" s="20" t="s">
        <v>711</v>
      </c>
      <c r="D142" s="150">
        <v>1120000</v>
      </c>
      <c r="E142" s="20" t="s">
        <v>290</v>
      </c>
      <c r="F142" s="20" t="s">
        <v>291</v>
      </c>
      <c r="G142" s="8" t="str">
        <f t="shared" si="2"/>
        <v>LOCKLEAR TRAVIS</v>
      </c>
    </row>
    <row r="143" spans="1:7" x14ac:dyDescent="0.25">
      <c r="A143" s="8">
        <v>42799.652337962965</v>
      </c>
      <c r="B143" s="20" t="s">
        <v>557</v>
      </c>
      <c r="C143" s="20" t="s">
        <v>558</v>
      </c>
      <c r="D143" s="150">
        <v>2470000</v>
      </c>
      <c r="E143" s="20" t="s">
        <v>658</v>
      </c>
      <c r="F143" s="20" t="s">
        <v>659</v>
      </c>
      <c r="G143" s="8" t="str">
        <f t="shared" si="2"/>
        <v>ROMERO CHAD</v>
      </c>
    </row>
    <row r="144" spans="1:7" x14ac:dyDescent="0.25">
      <c r="A144" s="8">
        <v>42799.652777777781</v>
      </c>
      <c r="B144" s="20" t="s">
        <v>304</v>
      </c>
      <c r="C144" s="20" t="s">
        <v>712</v>
      </c>
      <c r="D144" s="150">
        <v>2530000</v>
      </c>
      <c r="E144" s="20" t="s">
        <v>655</v>
      </c>
      <c r="F144" s="20" t="s">
        <v>656</v>
      </c>
      <c r="G144" s="8" t="str">
        <f t="shared" si="2"/>
        <v>LALONDE GREGORY</v>
      </c>
    </row>
    <row r="145" spans="1:7" x14ac:dyDescent="0.25">
      <c r="A145" s="8">
        <v>42799.653101851851</v>
      </c>
      <c r="B145" s="20" t="s">
        <v>227</v>
      </c>
      <c r="C145" s="20" t="s">
        <v>713</v>
      </c>
      <c r="D145" s="150">
        <v>920000</v>
      </c>
      <c r="E145" s="20" t="s">
        <v>590</v>
      </c>
      <c r="F145" s="20" t="s">
        <v>200</v>
      </c>
      <c r="G145" s="8" t="str">
        <f t="shared" si="2"/>
        <v>DAVIS MICHAEL</v>
      </c>
    </row>
    <row r="146" spans="1:7" x14ac:dyDescent="0.25">
      <c r="A146" s="8">
        <v>42799.65421296296</v>
      </c>
      <c r="B146" s="20" t="s">
        <v>321</v>
      </c>
      <c r="C146" s="20" t="s">
        <v>556</v>
      </c>
      <c r="D146" s="150">
        <v>2450000</v>
      </c>
      <c r="E146" s="20" t="s">
        <v>708</v>
      </c>
      <c r="F146" s="20" t="s">
        <v>709</v>
      </c>
      <c r="G146" s="8" t="str">
        <f t="shared" si="2"/>
        <v>NELSON ARIANE</v>
      </c>
    </row>
    <row r="147" spans="1:7" x14ac:dyDescent="0.25">
      <c r="A147" s="8">
        <v>42799.664560185185</v>
      </c>
      <c r="B147" s="20" t="s">
        <v>534</v>
      </c>
      <c r="C147" s="20" t="s">
        <v>714</v>
      </c>
      <c r="D147" s="150">
        <v>2600000</v>
      </c>
      <c r="E147" s="20" t="s">
        <v>678</v>
      </c>
      <c r="F147" s="20" t="s">
        <v>488</v>
      </c>
      <c r="G147" s="8" t="str">
        <f t="shared" si="2"/>
        <v>DAVIDSON DAVID</v>
      </c>
    </row>
    <row r="148" spans="1:7" x14ac:dyDescent="0.25">
      <c r="A148" s="8">
        <v>42799.665000000001</v>
      </c>
      <c r="B148" s="20" t="s">
        <v>592</v>
      </c>
      <c r="C148" s="20" t="s">
        <v>715</v>
      </c>
      <c r="D148" s="150">
        <v>1770000</v>
      </c>
      <c r="E148" s="20" t="s">
        <v>324</v>
      </c>
      <c r="F148" s="20" t="s">
        <v>325</v>
      </c>
      <c r="G148" s="8" t="str">
        <f t="shared" si="2"/>
        <v>BRUDER RICHARD</v>
      </c>
    </row>
    <row r="149" spans="1:7" x14ac:dyDescent="0.25">
      <c r="A149" s="8">
        <v>42799.674131944441</v>
      </c>
      <c r="B149" s="20" t="s">
        <v>224</v>
      </c>
      <c r="C149" s="20" t="s">
        <v>716</v>
      </c>
      <c r="D149" s="150">
        <v>880000</v>
      </c>
      <c r="E149" s="20" t="s">
        <v>664</v>
      </c>
      <c r="F149" s="20" t="s">
        <v>200</v>
      </c>
      <c r="G149" s="8" t="str">
        <f t="shared" si="2"/>
        <v>STEWART MICHAEL</v>
      </c>
    </row>
    <row r="150" spans="1:7" x14ac:dyDescent="0.25">
      <c r="A150" s="8">
        <v>42799.678171296298</v>
      </c>
      <c r="B150" s="20" t="s">
        <v>545</v>
      </c>
      <c r="C150" s="20" t="s">
        <v>717</v>
      </c>
      <c r="D150" s="150">
        <v>1540000</v>
      </c>
      <c r="E150" s="20" t="s">
        <v>322</v>
      </c>
      <c r="F150" s="20" t="s">
        <v>323</v>
      </c>
      <c r="G150" s="8" t="str">
        <f t="shared" si="2"/>
        <v>HELVIE ADAM</v>
      </c>
    </row>
    <row r="151" spans="1:7" x14ac:dyDescent="0.25">
      <c r="A151" s="8">
        <v>42799.68240740741</v>
      </c>
      <c r="B151" s="20" t="s">
        <v>551</v>
      </c>
      <c r="C151" s="20" t="s">
        <v>559</v>
      </c>
      <c r="D151" s="150">
        <v>1120000</v>
      </c>
      <c r="E151" s="20" t="s">
        <v>290</v>
      </c>
      <c r="F151" s="20" t="s">
        <v>291</v>
      </c>
      <c r="G151" s="8" t="str">
        <f t="shared" si="2"/>
        <v>LOCKLEAR TRAVIS</v>
      </c>
    </row>
    <row r="152" spans="1:7" x14ac:dyDescent="0.25">
      <c r="A152" s="8">
        <v>42799.686122685183</v>
      </c>
      <c r="B152" s="20" t="s">
        <v>236</v>
      </c>
      <c r="C152" s="20" t="s">
        <v>718</v>
      </c>
      <c r="D152" s="150">
        <v>920000</v>
      </c>
      <c r="E152" s="20" t="s">
        <v>590</v>
      </c>
      <c r="F152" s="20" t="s">
        <v>200</v>
      </c>
      <c r="G152" s="8" t="str">
        <f t="shared" si="2"/>
        <v>DAVIS MICHAEL</v>
      </c>
    </row>
    <row r="153" spans="1:7" x14ac:dyDescent="0.25">
      <c r="A153" s="8">
        <v>42799.686724537038</v>
      </c>
      <c r="B153" s="20" t="s">
        <v>537</v>
      </c>
      <c r="C153" s="20" t="s">
        <v>719</v>
      </c>
      <c r="D153" s="150">
        <v>2470000</v>
      </c>
      <c r="E153" s="20" t="s">
        <v>658</v>
      </c>
      <c r="F153" s="20" t="s">
        <v>659</v>
      </c>
      <c r="G153" s="8" t="str">
        <f t="shared" si="2"/>
        <v>ROMERO CHAD</v>
      </c>
    </row>
    <row r="154" spans="1:7" x14ac:dyDescent="0.25">
      <c r="A154" s="8">
        <v>42799.693738425929</v>
      </c>
      <c r="B154" s="20" t="s">
        <v>303</v>
      </c>
      <c r="C154" s="20" t="s">
        <v>720</v>
      </c>
      <c r="D154" s="150">
        <v>1300000</v>
      </c>
      <c r="E154" s="20" t="s">
        <v>672</v>
      </c>
      <c r="F154" s="20" t="s">
        <v>673</v>
      </c>
      <c r="G154" s="8" t="str">
        <f t="shared" si="2"/>
        <v>LEVIN SCOTT</v>
      </c>
    </row>
    <row r="155" spans="1:7" x14ac:dyDescent="0.25">
      <c r="A155" s="8">
        <v>42799.694120370368</v>
      </c>
      <c r="B155" s="20" t="s">
        <v>321</v>
      </c>
      <c r="C155" s="20" t="s">
        <v>721</v>
      </c>
      <c r="D155" s="150">
        <v>1540000</v>
      </c>
      <c r="E155" s="20" t="s">
        <v>322</v>
      </c>
      <c r="F155" s="20" t="s">
        <v>323</v>
      </c>
      <c r="G155" s="8" t="str">
        <f t="shared" si="2"/>
        <v>HELVIE ADAM</v>
      </c>
    </row>
    <row r="156" spans="1:7" x14ac:dyDescent="0.25">
      <c r="A156" s="8">
        <v>42799.701597222222</v>
      </c>
      <c r="B156" s="20" t="s">
        <v>205</v>
      </c>
      <c r="C156" s="20" t="s">
        <v>560</v>
      </c>
      <c r="D156" s="150">
        <v>2600000</v>
      </c>
      <c r="E156" s="20" t="s">
        <v>678</v>
      </c>
      <c r="F156" s="20" t="s">
        <v>488</v>
      </c>
      <c r="G156" s="8" t="str">
        <f t="shared" si="2"/>
        <v>DAVIDSON DAVID</v>
      </c>
    </row>
    <row r="157" spans="1:7" x14ac:dyDescent="0.25">
      <c r="A157" s="8">
        <v>42799.704513888886</v>
      </c>
      <c r="B157" s="20" t="s">
        <v>597</v>
      </c>
      <c r="C157" s="20" t="s">
        <v>722</v>
      </c>
      <c r="D157" s="150">
        <v>1770000</v>
      </c>
      <c r="E157" s="20" t="s">
        <v>324</v>
      </c>
      <c r="F157" s="20" t="s">
        <v>325</v>
      </c>
      <c r="G157" s="8" t="str">
        <f t="shared" si="2"/>
        <v>BRUDER RICHARD</v>
      </c>
    </row>
    <row r="158" spans="1:7" x14ac:dyDescent="0.25">
      <c r="A158" s="8">
        <v>42799.710810185185</v>
      </c>
      <c r="B158" s="20" t="s">
        <v>268</v>
      </c>
      <c r="C158" s="20" t="s">
        <v>723</v>
      </c>
      <c r="D158" s="150">
        <v>2530000</v>
      </c>
      <c r="E158" s="20" t="s">
        <v>655</v>
      </c>
      <c r="F158" s="20" t="s">
        <v>656</v>
      </c>
      <c r="G158" s="8" t="str">
        <f t="shared" si="2"/>
        <v>LALONDE GREGORY</v>
      </c>
    </row>
    <row r="159" spans="1:7" x14ac:dyDescent="0.25">
      <c r="A159" s="8">
        <v>42799.714375000003</v>
      </c>
      <c r="B159" s="20" t="s">
        <v>209</v>
      </c>
      <c r="C159" s="20" t="s">
        <v>724</v>
      </c>
      <c r="D159" s="150">
        <v>880000</v>
      </c>
      <c r="E159" s="20" t="s">
        <v>664</v>
      </c>
      <c r="F159" s="20" t="s">
        <v>200</v>
      </c>
      <c r="G159" s="8" t="str">
        <f t="shared" si="2"/>
        <v>STEWART MICHAEL</v>
      </c>
    </row>
    <row r="160" spans="1:7" x14ac:dyDescent="0.25">
      <c r="A160" s="8">
        <v>42799.718206018515</v>
      </c>
      <c r="B160" s="20" t="s">
        <v>216</v>
      </c>
      <c r="C160" s="20" t="s">
        <v>725</v>
      </c>
      <c r="D160" s="150">
        <v>1800000</v>
      </c>
      <c r="E160" s="20" t="s">
        <v>229</v>
      </c>
      <c r="F160" s="20" t="s">
        <v>230</v>
      </c>
      <c r="G160" s="8" t="str">
        <f t="shared" si="2"/>
        <v>CHANDLER KELVIN</v>
      </c>
    </row>
    <row r="161" spans="1:7" x14ac:dyDescent="0.25">
      <c r="A161" s="8">
        <v>42799.720324074071</v>
      </c>
      <c r="B161" s="20" t="s">
        <v>545</v>
      </c>
      <c r="C161" s="20" t="s">
        <v>726</v>
      </c>
      <c r="D161" s="150">
        <v>1540000</v>
      </c>
      <c r="E161" s="20" t="s">
        <v>322</v>
      </c>
      <c r="F161" s="20" t="s">
        <v>323</v>
      </c>
      <c r="G161" s="8" t="str">
        <f t="shared" si="2"/>
        <v>HELVIE ADAM</v>
      </c>
    </row>
    <row r="162" spans="1:7" x14ac:dyDescent="0.25">
      <c r="A162" s="8">
        <v>42799.723819444444</v>
      </c>
      <c r="B162" s="20" t="s">
        <v>557</v>
      </c>
      <c r="C162" s="20" t="s">
        <v>727</v>
      </c>
      <c r="D162" s="150">
        <v>1120000</v>
      </c>
      <c r="E162" s="20" t="s">
        <v>290</v>
      </c>
      <c r="F162" s="20" t="s">
        <v>291</v>
      </c>
      <c r="G162" s="8" t="str">
        <f t="shared" si="2"/>
        <v>LOCKLEAR TRAVIS</v>
      </c>
    </row>
    <row r="163" spans="1:7" x14ac:dyDescent="0.25">
      <c r="A163" s="8">
        <v>42799.725370370368</v>
      </c>
      <c r="B163" s="20" t="s">
        <v>227</v>
      </c>
      <c r="C163" s="20" t="s">
        <v>728</v>
      </c>
      <c r="D163" s="150">
        <v>920000</v>
      </c>
      <c r="E163" s="20" t="s">
        <v>590</v>
      </c>
      <c r="F163" s="20" t="s">
        <v>200</v>
      </c>
      <c r="G163" s="8" t="str">
        <f t="shared" si="2"/>
        <v>DAVIS MICHAEL</v>
      </c>
    </row>
    <row r="164" spans="1:7" x14ac:dyDescent="0.25">
      <c r="A164" s="8">
        <v>42799.731111111112</v>
      </c>
      <c r="B164" s="20" t="s">
        <v>214</v>
      </c>
      <c r="C164" s="20" t="s">
        <v>561</v>
      </c>
      <c r="D164" s="150">
        <v>2230000</v>
      </c>
      <c r="E164" s="20" t="s">
        <v>489</v>
      </c>
      <c r="F164" s="20" t="s">
        <v>200</v>
      </c>
      <c r="G164" s="8" t="str">
        <f t="shared" si="2"/>
        <v>SMITH MICHAEL</v>
      </c>
    </row>
    <row r="165" spans="1:7" x14ac:dyDescent="0.25">
      <c r="A165" s="8">
        <v>42799.733738425923</v>
      </c>
      <c r="B165" s="20" t="s">
        <v>304</v>
      </c>
      <c r="C165" s="20" t="s">
        <v>562</v>
      </c>
      <c r="D165" s="150">
        <v>1300000</v>
      </c>
      <c r="E165" s="20" t="s">
        <v>672</v>
      </c>
      <c r="F165" s="20" t="s">
        <v>673</v>
      </c>
      <c r="G165" s="8" t="str">
        <f t="shared" si="2"/>
        <v>LEVIN SCOTT</v>
      </c>
    </row>
    <row r="166" spans="1:7" x14ac:dyDescent="0.25">
      <c r="A166" s="8">
        <v>42799.734247685185</v>
      </c>
      <c r="B166" s="20" t="s">
        <v>321</v>
      </c>
      <c r="C166" s="20" t="s">
        <v>729</v>
      </c>
      <c r="D166" s="150">
        <v>1540000</v>
      </c>
      <c r="E166" s="20" t="s">
        <v>322</v>
      </c>
      <c r="F166" s="20" t="s">
        <v>323</v>
      </c>
      <c r="G166" s="8" t="str">
        <f t="shared" si="2"/>
        <v>HELVIE ADAM</v>
      </c>
    </row>
    <row r="167" spans="1:7" x14ac:dyDescent="0.25">
      <c r="A167" s="8">
        <v>42799.738518518519</v>
      </c>
      <c r="B167" s="20" t="s">
        <v>534</v>
      </c>
      <c r="C167" s="20" t="s">
        <v>730</v>
      </c>
      <c r="D167" s="150">
        <v>2630000</v>
      </c>
      <c r="E167" s="20" t="s">
        <v>731</v>
      </c>
      <c r="F167" s="20" t="s">
        <v>732</v>
      </c>
      <c r="G167" s="8" t="str">
        <f t="shared" si="2"/>
        <v>SAFIEF AEIMEN</v>
      </c>
    </row>
    <row r="168" spans="1:7" x14ac:dyDescent="0.25">
      <c r="A168" s="8">
        <v>42799.744050925925</v>
      </c>
      <c r="B168" s="20" t="s">
        <v>592</v>
      </c>
      <c r="C168" s="20" t="s">
        <v>733</v>
      </c>
      <c r="D168" s="150">
        <v>1770000</v>
      </c>
      <c r="E168" s="20" t="s">
        <v>324</v>
      </c>
      <c r="F168" s="20" t="s">
        <v>325</v>
      </c>
      <c r="G168" s="8" t="str">
        <f t="shared" si="2"/>
        <v>BRUDER RICHARD</v>
      </c>
    </row>
    <row r="169" spans="1:7" x14ac:dyDescent="0.25">
      <c r="A169" s="8">
        <v>42799.746990740743</v>
      </c>
      <c r="B169" s="20" t="s">
        <v>224</v>
      </c>
      <c r="C169" s="20" t="s">
        <v>734</v>
      </c>
      <c r="D169" s="150">
        <v>2600000</v>
      </c>
      <c r="E169" s="20" t="s">
        <v>678</v>
      </c>
      <c r="F169" s="20" t="s">
        <v>488</v>
      </c>
      <c r="G169" s="8" t="str">
        <f t="shared" si="2"/>
        <v>DAVIDSON DAVID</v>
      </c>
    </row>
    <row r="170" spans="1:7" x14ac:dyDescent="0.25">
      <c r="A170" s="8">
        <v>42799.748391203706</v>
      </c>
      <c r="B170" s="20" t="s">
        <v>479</v>
      </c>
      <c r="C170" s="20" t="s">
        <v>735</v>
      </c>
      <c r="D170" s="150">
        <v>2680000</v>
      </c>
      <c r="E170" s="20" t="s">
        <v>566</v>
      </c>
      <c r="F170" s="20" t="s">
        <v>567</v>
      </c>
      <c r="G170" s="8" t="str">
        <f t="shared" si="2"/>
        <v>DUNCAN SHEILA</v>
      </c>
    </row>
    <row r="171" spans="1:7" x14ac:dyDescent="0.25">
      <c r="A171" s="8">
        <v>42799.752546296295</v>
      </c>
      <c r="B171" s="20" t="s">
        <v>551</v>
      </c>
      <c r="C171" s="20" t="s">
        <v>736</v>
      </c>
      <c r="D171" s="150">
        <v>1800000</v>
      </c>
      <c r="E171" s="20" t="s">
        <v>229</v>
      </c>
      <c r="F171" s="20" t="s">
        <v>230</v>
      </c>
      <c r="G171" s="8" t="str">
        <f t="shared" si="2"/>
        <v>CHANDLER KELVIN</v>
      </c>
    </row>
    <row r="172" spans="1:7" x14ac:dyDescent="0.25">
      <c r="A172" s="8">
        <v>42799.758692129632</v>
      </c>
      <c r="B172" s="20" t="s">
        <v>236</v>
      </c>
      <c r="C172" s="20" t="s">
        <v>737</v>
      </c>
      <c r="D172" s="150">
        <v>2230000</v>
      </c>
      <c r="E172" s="20" t="s">
        <v>489</v>
      </c>
      <c r="F172" s="20" t="s">
        <v>200</v>
      </c>
      <c r="G172" s="8" t="str">
        <f t="shared" si="2"/>
        <v>SMITH MICHAEL</v>
      </c>
    </row>
    <row r="173" spans="1:7" x14ac:dyDescent="0.25">
      <c r="A173" s="8">
        <v>42799.761574074073</v>
      </c>
      <c r="B173" s="20" t="s">
        <v>545</v>
      </c>
      <c r="C173" s="20" t="s">
        <v>738</v>
      </c>
      <c r="D173" s="150">
        <v>1540000</v>
      </c>
      <c r="E173" s="20" t="s">
        <v>322</v>
      </c>
      <c r="F173" s="20" t="s">
        <v>323</v>
      </c>
      <c r="G173" s="8" t="str">
        <f t="shared" si="2"/>
        <v>HELVIE ADAM</v>
      </c>
    </row>
    <row r="174" spans="1:7" x14ac:dyDescent="0.25">
      <c r="A174" s="8">
        <v>42799.765462962961</v>
      </c>
      <c r="B174" s="20" t="s">
        <v>537</v>
      </c>
      <c r="C174" s="20" t="s">
        <v>739</v>
      </c>
      <c r="D174" s="150">
        <v>1120000</v>
      </c>
      <c r="E174" s="20" t="s">
        <v>290</v>
      </c>
      <c r="F174" s="20" t="s">
        <v>291</v>
      </c>
      <c r="G174" s="8" t="str">
        <f t="shared" si="2"/>
        <v>LOCKLEAR TRAVIS</v>
      </c>
    </row>
    <row r="175" spans="1:7" x14ac:dyDescent="0.25">
      <c r="A175" s="8">
        <v>42799.765567129631</v>
      </c>
      <c r="B175" s="20" t="s">
        <v>213</v>
      </c>
      <c r="C175" s="20" t="s">
        <v>740</v>
      </c>
      <c r="D175" s="150">
        <v>920000</v>
      </c>
      <c r="E175" s="20" t="s">
        <v>590</v>
      </c>
      <c r="F175" s="20" t="s">
        <v>200</v>
      </c>
      <c r="G175" s="8" t="str">
        <f t="shared" si="2"/>
        <v>DAVIS MICHAEL</v>
      </c>
    </row>
    <row r="176" spans="1:7" x14ac:dyDescent="0.25">
      <c r="A176" s="8">
        <v>42799.767118055555</v>
      </c>
      <c r="B176" s="20" t="s">
        <v>303</v>
      </c>
      <c r="C176" s="20" t="s">
        <v>741</v>
      </c>
      <c r="D176" s="150">
        <v>2000000</v>
      </c>
      <c r="E176" s="20" t="s">
        <v>574</v>
      </c>
      <c r="F176" s="20" t="s">
        <v>197</v>
      </c>
      <c r="G176" s="8" t="str">
        <f t="shared" si="2"/>
        <v>STAMBAUGH JAMES</v>
      </c>
    </row>
    <row r="177" spans="1:7" x14ac:dyDescent="0.25">
      <c r="A177" s="8">
        <v>42799.76803240741</v>
      </c>
      <c r="B177" s="20" t="s">
        <v>205</v>
      </c>
      <c r="C177" s="20" t="s">
        <v>742</v>
      </c>
      <c r="D177" s="150">
        <v>2630000</v>
      </c>
      <c r="E177" s="20" t="s">
        <v>731</v>
      </c>
      <c r="F177" s="20" t="s">
        <v>732</v>
      </c>
      <c r="G177" s="8" t="str">
        <f t="shared" si="2"/>
        <v>SAFIEF AEIMEN</v>
      </c>
    </row>
    <row r="178" spans="1:7" x14ac:dyDescent="0.25">
      <c r="A178" s="8">
        <v>42799.776932870373</v>
      </c>
      <c r="B178" s="20" t="s">
        <v>597</v>
      </c>
      <c r="C178" s="20" t="s">
        <v>743</v>
      </c>
      <c r="D178" s="150">
        <v>1770000</v>
      </c>
      <c r="E178" s="20" t="s">
        <v>324</v>
      </c>
      <c r="F178" s="20" t="s">
        <v>325</v>
      </c>
      <c r="G178" s="8" t="str">
        <f t="shared" si="2"/>
        <v>BRUDER RICHARD</v>
      </c>
    </row>
    <row r="179" spans="1:7" x14ac:dyDescent="0.25">
      <c r="A179" s="8">
        <v>42799.777696759258</v>
      </c>
      <c r="B179" s="20" t="s">
        <v>321</v>
      </c>
      <c r="C179" s="20" t="s">
        <v>744</v>
      </c>
      <c r="D179" s="150">
        <v>1540000</v>
      </c>
      <c r="E179" s="20" t="s">
        <v>322</v>
      </c>
      <c r="F179" s="20" t="s">
        <v>323</v>
      </c>
      <c r="G179" s="8" t="str">
        <f t="shared" si="2"/>
        <v>HELVIE ADAM</v>
      </c>
    </row>
    <row r="180" spans="1:7" x14ac:dyDescent="0.25">
      <c r="A180" s="8">
        <v>42799.784120370372</v>
      </c>
      <c r="B180" s="20" t="s">
        <v>209</v>
      </c>
      <c r="C180" s="20" t="s">
        <v>745</v>
      </c>
      <c r="D180" s="150">
        <v>2600000</v>
      </c>
      <c r="E180" s="20" t="s">
        <v>678</v>
      </c>
      <c r="F180" s="20" t="s">
        <v>488</v>
      </c>
      <c r="G180" s="8" t="str">
        <f t="shared" si="2"/>
        <v>DAVIDSON DAVID</v>
      </c>
    </row>
    <row r="181" spans="1:7" x14ac:dyDescent="0.25">
      <c r="A181" s="8">
        <v>42799.790486111109</v>
      </c>
      <c r="B181" s="20" t="s">
        <v>216</v>
      </c>
      <c r="C181" s="20" t="s">
        <v>746</v>
      </c>
      <c r="D181" s="150">
        <v>1800000</v>
      </c>
      <c r="E181" s="20" t="s">
        <v>229</v>
      </c>
      <c r="F181" s="20" t="s">
        <v>230</v>
      </c>
      <c r="G181" s="8" t="str">
        <f t="shared" si="2"/>
        <v>CHANDLER KELVIN</v>
      </c>
    </row>
    <row r="182" spans="1:7" x14ac:dyDescent="0.25">
      <c r="A182" s="8">
        <v>42799.791388888887</v>
      </c>
      <c r="B182" s="20" t="s">
        <v>227</v>
      </c>
      <c r="C182" s="20" t="s">
        <v>747</v>
      </c>
      <c r="D182" s="150">
        <v>2230000</v>
      </c>
      <c r="E182" s="20" t="s">
        <v>489</v>
      </c>
      <c r="F182" s="20" t="s">
        <v>200</v>
      </c>
      <c r="G182" s="8" t="str">
        <f t="shared" si="2"/>
        <v>SMITH MICHAEL</v>
      </c>
    </row>
    <row r="183" spans="1:7" x14ac:dyDescent="0.25">
      <c r="A183" s="8">
        <v>42799.799826388888</v>
      </c>
      <c r="B183" s="20" t="s">
        <v>557</v>
      </c>
      <c r="C183" s="20" t="s">
        <v>748</v>
      </c>
      <c r="D183" s="150">
        <v>1120000</v>
      </c>
      <c r="E183" s="20" t="s">
        <v>290</v>
      </c>
      <c r="F183" s="20" t="s">
        <v>291</v>
      </c>
      <c r="G183" s="8" t="str">
        <f t="shared" si="2"/>
        <v>LOCKLEAR TRAVIS</v>
      </c>
    </row>
    <row r="184" spans="1:7" x14ac:dyDescent="0.25">
      <c r="A184" s="8">
        <v>42799.801122685189</v>
      </c>
      <c r="B184" s="20" t="s">
        <v>304</v>
      </c>
      <c r="C184" s="20" t="s">
        <v>749</v>
      </c>
      <c r="D184" s="150">
        <v>2000000</v>
      </c>
      <c r="E184" s="20" t="s">
        <v>574</v>
      </c>
      <c r="F184" s="20" t="s">
        <v>197</v>
      </c>
      <c r="G184" s="8" t="str">
        <f t="shared" si="2"/>
        <v>STAMBAUGH JAMES</v>
      </c>
    </row>
    <row r="185" spans="1:7" x14ac:dyDescent="0.25">
      <c r="A185" s="8">
        <v>42799.804548611108</v>
      </c>
      <c r="B185" s="20" t="s">
        <v>545</v>
      </c>
      <c r="C185" s="20" t="s">
        <v>750</v>
      </c>
      <c r="D185" s="150">
        <v>1540000</v>
      </c>
      <c r="E185" s="20" t="s">
        <v>322</v>
      </c>
      <c r="F185" s="20" t="s">
        <v>323</v>
      </c>
      <c r="G185" s="8" t="str">
        <f t="shared" si="2"/>
        <v>HELVIE ADAM</v>
      </c>
    </row>
    <row r="186" spans="1:7" x14ac:dyDescent="0.25">
      <c r="A186" s="8">
        <v>42799.80877314815</v>
      </c>
      <c r="B186" s="20" t="s">
        <v>534</v>
      </c>
      <c r="C186" s="20" t="s">
        <v>751</v>
      </c>
      <c r="D186" s="150">
        <v>1810000</v>
      </c>
      <c r="E186" s="20" t="s">
        <v>202</v>
      </c>
      <c r="F186" s="20" t="s">
        <v>197</v>
      </c>
      <c r="G186" s="8" t="str">
        <f t="shared" si="2"/>
        <v>NEWELL JAMES</v>
      </c>
    </row>
    <row r="187" spans="1:7" x14ac:dyDescent="0.25">
      <c r="A187" s="8">
        <v>42799.817604166667</v>
      </c>
      <c r="B187" s="20" t="s">
        <v>321</v>
      </c>
      <c r="C187" s="20" t="s">
        <v>752</v>
      </c>
      <c r="D187" s="150">
        <v>1540000</v>
      </c>
      <c r="E187" s="20" t="s">
        <v>322</v>
      </c>
      <c r="F187" s="20" t="s">
        <v>323</v>
      </c>
      <c r="G187" s="8" t="str">
        <f t="shared" si="2"/>
        <v>HELVIE ADAM</v>
      </c>
    </row>
    <row r="188" spans="1:7" x14ac:dyDescent="0.25">
      <c r="A188" s="8">
        <v>42799.821296296293</v>
      </c>
      <c r="B188" s="20" t="s">
        <v>224</v>
      </c>
      <c r="C188" s="20" t="s">
        <v>753</v>
      </c>
      <c r="D188" s="150">
        <v>2600000</v>
      </c>
      <c r="E188" s="20" t="s">
        <v>678</v>
      </c>
      <c r="F188" s="20" t="s">
        <v>488</v>
      </c>
      <c r="G188" s="8" t="str">
        <f t="shared" si="2"/>
        <v>DAVIDSON DAVID</v>
      </c>
    </row>
    <row r="189" spans="1:7" x14ac:dyDescent="0.25">
      <c r="A189" s="8">
        <v>42799.826689814814</v>
      </c>
      <c r="B189" s="20" t="s">
        <v>551</v>
      </c>
      <c r="C189" s="20" t="s">
        <v>754</v>
      </c>
      <c r="D189" s="150">
        <v>1800000</v>
      </c>
      <c r="E189" s="20" t="s">
        <v>229</v>
      </c>
      <c r="F189" s="20" t="s">
        <v>230</v>
      </c>
      <c r="G189" s="8" t="str">
        <f t="shared" si="2"/>
        <v>CHANDLER KELVIN</v>
      </c>
    </row>
    <row r="190" spans="1:7" x14ac:dyDescent="0.25">
      <c r="A190" s="8">
        <v>42799.829872685186</v>
      </c>
      <c r="B190" s="20" t="s">
        <v>236</v>
      </c>
      <c r="C190" s="20" t="s">
        <v>755</v>
      </c>
      <c r="D190" s="150">
        <v>2680000</v>
      </c>
      <c r="E190" s="20" t="s">
        <v>566</v>
      </c>
      <c r="F190" s="20" t="s">
        <v>567</v>
      </c>
      <c r="G190" s="8" t="str">
        <f t="shared" si="2"/>
        <v>DUNCAN SHEILA</v>
      </c>
    </row>
    <row r="191" spans="1:7" x14ac:dyDescent="0.25">
      <c r="A191" s="8">
        <v>42799.839826388888</v>
      </c>
      <c r="B191" s="20" t="s">
        <v>303</v>
      </c>
      <c r="C191" s="20" t="s">
        <v>756</v>
      </c>
      <c r="D191" s="150">
        <v>2000000</v>
      </c>
      <c r="E191" s="20" t="s">
        <v>574</v>
      </c>
      <c r="F191" s="20" t="s">
        <v>197</v>
      </c>
      <c r="G191" s="8" t="str">
        <f t="shared" si="2"/>
        <v>STAMBAUGH JAMES</v>
      </c>
    </row>
    <row r="192" spans="1:7" x14ac:dyDescent="0.25">
      <c r="A192" s="8">
        <v>42799.842627314814</v>
      </c>
      <c r="B192" s="20" t="s">
        <v>205</v>
      </c>
      <c r="C192" s="20" t="s">
        <v>757</v>
      </c>
      <c r="D192" s="150">
        <v>1810000</v>
      </c>
      <c r="E192" s="20" t="s">
        <v>202</v>
      </c>
      <c r="F192" s="20" t="s">
        <v>197</v>
      </c>
      <c r="G192" s="8" t="str">
        <f t="shared" si="2"/>
        <v>NEWELL JAMES</v>
      </c>
    </row>
    <row r="193" spans="1:7" x14ac:dyDescent="0.25">
      <c r="A193" s="8">
        <v>42799.847650462965</v>
      </c>
      <c r="B193" s="20" t="s">
        <v>545</v>
      </c>
      <c r="C193" s="20" t="s">
        <v>758</v>
      </c>
      <c r="D193" s="150">
        <v>1540000</v>
      </c>
      <c r="E193" s="20" t="s">
        <v>322</v>
      </c>
      <c r="F193" s="20" t="s">
        <v>323</v>
      </c>
      <c r="G193" s="8" t="str">
        <f t="shared" si="2"/>
        <v>HELVIE ADAM</v>
      </c>
    </row>
    <row r="194" spans="1:7" x14ac:dyDescent="0.25">
      <c r="A194" s="8">
        <v>42799.852685185186</v>
      </c>
      <c r="B194" s="20" t="s">
        <v>328</v>
      </c>
      <c r="C194" s="20" t="s">
        <v>759</v>
      </c>
      <c r="D194" s="150">
        <v>2610000</v>
      </c>
      <c r="E194" s="20" t="s">
        <v>571</v>
      </c>
      <c r="F194" s="20" t="s">
        <v>572</v>
      </c>
      <c r="G194" s="8" t="str">
        <f t="shared" si="2"/>
        <v>MAGEE KENYA</v>
      </c>
    </row>
    <row r="195" spans="1:7" x14ac:dyDescent="0.25">
      <c r="A195" s="8">
        <v>42799.853275462963</v>
      </c>
      <c r="B195" s="20" t="s">
        <v>328</v>
      </c>
      <c r="C195" s="20" t="s">
        <v>759</v>
      </c>
      <c r="D195" s="150">
        <v>2610000</v>
      </c>
      <c r="E195" s="20" t="s">
        <v>571</v>
      </c>
      <c r="F195" s="20" t="s">
        <v>572</v>
      </c>
      <c r="G195" s="8" t="str">
        <f t="shared" ref="G195:G258" si="3">E195&amp;" "&amp;F195</f>
        <v>MAGEE KENYA</v>
      </c>
    </row>
    <row r="196" spans="1:7" x14ac:dyDescent="0.25">
      <c r="A196" s="8">
        <v>42799.859398148146</v>
      </c>
      <c r="B196" s="20" t="s">
        <v>321</v>
      </c>
      <c r="C196" s="20" t="s">
        <v>760</v>
      </c>
      <c r="D196" s="150">
        <v>1540000</v>
      </c>
      <c r="E196" s="20" t="s">
        <v>322</v>
      </c>
      <c r="F196" s="20" t="s">
        <v>323</v>
      </c>
      <c r="G196" s="8" t="str">
        <f t="shared" si="3"/>
        <v>HELVIE ADAM</v>
      </c>
    </row>
    <row r="197" spans="1:7" x14ac:dyDescent="0.25">
      <c r="A197" s="8">
        <v>42799.865856481483</v>
      </c>
      <c r="B197" s="20" t="s">
        <v>227</v>
      </c>
      <c r="C197" s="20" t="s">
        <v>563</v>
      </c>
      <c r="D197" s="150">
        <v>2680000</v>
      </c>
      <c r="E197" s="20" t="s">
        <v>566</v>
      </c>
      <c r="F197" s="20" t="s">
        <v>567</v>
      </c>
      <c r="G197" s="8" t="str">
        <f t="shared" si="3"/>
        <v>DUNCAN SHEILA</v>
      </c>
    </row>
    <row r="198" spans="1:7" x14ac:dyDescent="0.25">
      <c r="A198" s="8">
        <v>42799.873229166667</v>
      </c>
      <c r="B198" s="20" t="s">
        <v>216</v>
      </c>
      <c r="C198" s="20" t="s">
        <v>761</v>
      </c>
      <c r="D198" s="150">
        <v>1800000</v>
      </c>
      <c r="E198" s="20" t="s">
        <v>229</v>
      </c>
      <c r="F198" s="20" t="s">
        <v>230</v>
      </c>
      <c r="G198" s="8" t="str">
        <f t="shared" si="3"/>
        <v>CHANDLER KELVIN</v>
      </c>
    </row>
    <row r="199" spans="1:7" x14ac:dyDescent="0.25">
      <c r="A199" s="8">
        <v>42799.880104166667</v>
      </c>
      <c r="B199" s="20" t="s">
        <v>534</v>
      </c>
      <c r="C199" s="20" t="s">
        <v>762</v>
      </c>
      <c r="D199" s="150">
        <v>1810000</v>
      </c>
      <c r="E199" s="20" t="s">
        <v>202</v>
      </c>
      <c r="F199" s="20" t="s">
        <v>197</v>
      </c>
      <c r="G199" s="8" t="str">
        <f t="shared" si="3"/>
        <v>NEWELL JAMES</v>
      </c>
    </row>
    <row r="200" spans="1:7" x14ac:dyDescent="0.25">
      <c r="A200" s="8">
        <v>42799.881469907406</v>
      </c>
      <c r="B200" s="20" t="s">
        <v>329</v>
      </c>
      <c r="C200" s="20" t="s">
        <v>759</v>
      </c>
      <c r="D200" s="150">
        <v>2610000</v>
      </c>
      <c r="E200" s="20" t="s">
        <v>571</v>
      </c>
      <c r="F200" s="20" t="s">
        <v>572</v>
      </c>
      <c r="G200" s="8" t="str">
        <f t="shared" si="3"/>
        <v>MAGEE KENYA</v>
      </c>
    </row>
    <row r="201" spans="1:7" x14ac:dyDescent="0.25">
      <c r="A201" s="8">
        <v>42799.882557870369</v>
      </c>
      <c r="B201" s="20" t="s">
        <v>304</v>
      </c>
      <c r="C201" s="20" t="s">
        <v>763</v>
      </c>
      <c r="D201" s="150">
        <v>2000000</v>
      </c>
      <c r="E201" s="20" t="s">
        <v>574</v>
      </c>
      <c r="F201" s="20" t="s">
        <v>197</v>
      </c>
      <c r="G201" s="8" t="str">
        <f t="shared" si="3"/>
        <v>STAMBAUGH JAMES</v>
      </c>
    </row>
    <row r="202" spans="1:7" x14ac:dyDescent="0.25">
      <c r="A202" s="26">
        <v>42799.88758101852</v>
      </c>
      <c r="B202" s="20" t="s">
        <v>545</v>
      </c>
      <c r="C202" s="20" t="s">
        <v>764</v>
      </c>
      <c r="D202" s="150">
        <v>1540000</v>
      </c>
      <c r="E202" s="20" t="s">
        <v>322</v>
      </c>
      <c r="F202" s="20" t="s">
        <v>323</v>
      </c>
      <c r="G202" s="8" t="str">
        <f t="shared" si="3"/>
        <v>HELVIE ADAM</v>
      </c>
    </row>
    <row r="203" spans="1:7" x14ac:dyDescent="0.25">
      <c r="A203" s="8">
        <v>42799.900891203702</v>
      </c>
      <c r="B203" s="20" t="s">
        <v>321</v>
      </c>
      <c r="C203" s="20" t="s">
        <v>765</v>
      </c>
      <c r="D203" s="150">
        <v>1540000</v>
      </c>
      <c r="E203" s="20" t="s">
        <v>322</v>
      </c>
      <c r="F203" s="20" t="s">
        <v>323</v>
      </c>
      <c r="G203" s="8" t="str">
        <f t="shared" si="3"/>
        <v>HELVIE ADAM</v>
      </c>
    </row>
    <row r="204" spans="1:7" x14ac:dyDescent="0.25">
      <c r="A204" s="8">
        <v>42799.905277777776</v>
      </c>
      <c r="B204" s="20" t="s">
        <v>236</v>
      </c>
      <c r="C204" s="20" t="s">
        <v>766</v>
      </c>
      <c r="D204" s="150">
        <v>2230000</v>
      </c>
      <c r="E204" s="20" t="s">
        <v>489</v>
      </c>
      <c r="F204" s="20" t="s">
        <v>200</v>
      </c>
      <c r="G204" s="8" t="str">
        <f t="shared" si="3"/>
        <v>SMITH MICHAEL</v>
      </c>
    </row>
    <row r="205" spans="1:7" x14ac:dyDescent="0.25">
      <c r="A205" s="8">
        <v>42799.912349537037</v>
      </c>
      <c r="B205" s="20" t="s">
        <v>551</v>
      </c>
      <c r="C205" s="20" t="s">
        <v>767</v>
      </c>
      <c r="D205" s="150">
        <v>1800000</v>
      </c>
      <c r="E205" s="20" t="s">
        <v>229</v>
      </c>
      <c r="F205" s="20" t="s">
        <v>230</v>
      </c>
      <c r="G205" s="8" t="str">
        <f t="shared" si="3"/>
        <v>CHANDLER KELVIN</v>
      </c>
    </row>
    <row r="206" spans="1:7" x14ac:dyDescent="0.25">
      <c r="A206" s="8">
        <v>42799.912615740737</v>
      </c>
      <c r="B206" s="20" t="s">
        <v>328</v>
      </c>
      <c r="C206" s="20" t="s">
        <v>768</v>
      </c>
      <c r="D206" s="150">
        <v>2610000</v>
      </c>
      <c r="E206" s="20" t="s">
        <v>571</v>
      </c>
      <c r="F206" s="20" t="s">
        <v>572</v>
      </c>
      <c r="G206" s="8" t="str">
        <f t="shared" si="3"/>
        <v>MAGEE KENYA</v>
      </c>
    </row>
    <row r="207" spans="1:7" x14ac:dyDescent="0.25">
      <c r="A207" s="8">
        <v>42799.922893518517</v>
      </c>
      <c r="B207" s="20" t="s">
        <v>303</v>
      </c>
      <c r="C207" s="20" t="s">
        <v>769</v>
      </c>
      <c r="D207" s="150">
        <v>2000000</v>
      </c>
      <c r="E207" s="20" t="s">
        <v>574</v>
      </c>
      <c r="F207" s="20" t="s">
        <v>197</v>
      </c>
      <c r="G207" s="8" t="str">
        <f t="shared" si="3"/>
        <v>STAMBAUGH JAMES</v>
      </c>
    </row>
    <row r="208" spans="1:7" x14ac:dyDescent="0.25">
      <c r="A208" s="8">
        <v>42799.929490740738</v>
      </c>
      <c r="B208" s="20" t="s">
        <v>545</v>
      </c>
      <c r="C208" s="20" t="s">
        <v>770</v>
      </c>
      <c r="D208" s="150">
        <v>1540000</v>
      </c>
      <c r="E208" s="20" t="s">
        <v>322</v>
      </c>
      <c r="F208" s="20" t="s">
        <v>323</v>
      </c>
      <c r="G208" s="8" t="str">
        <f t="shared" si="3"/>
        <v>HELVIE ADAM</v>
      </c>
    </row>
    <row r="209" spans="1:7" x14ac:dyDescent="0.25">
      <c r="A209" s="8">
        <v>42799.932627314818</v>
      </c>
      <c r="B209" s="20" t="s">
        <v>205</v>
      </c>
      <c r="C209" s="20" t="s">
        <v>771</v>
      </c>
      <c r="D209" s="150">
        <v>1810000</v>
      </c>
      <c r="E209" s="20" t="s">
        <v>202</v>
      </c>
      <c r="F209" s="20" t="s">
        <v>197</v>
      </c>
      <c r="G209" s="8" t="str">
        <f t="shared" si="3"/>
        <v>NEWELL JAMES</v>
      </c>
    </row>
    <row r="210" spans="1:7" x14ac:dyDescent="0.25">
      <c r="A210" s="8">
        <v>42799.941412037035</v>
      </c>
      <c r="B210" s="20" t="s">
        <v>321</v>
      </c>
      <c r="C210" s="20" t="s">
        <v>772</v>
      </c>
      <c r="D210" s="150">
        <v>1540000</v>
      </c>
      <c r="E210" s="20" t="s">
        <v>322</v>
      </c>
      <c r="F210" s="20" t="s">
        <v>323</v>
      </c>
      <c r="G210" s="8" t="str">
        <f t="shared" si="3"/>
        <v>HELVIE ADAM</v>
      </c>
    </row>
    <row r="211" spans="1:7" x14ac:dyDescent="0.25">
      <c r="A211" s="8">
        <v>42799.947557870371</v>
      </c>
      <c r="B211" s="20" t="s">
        <v>329</v>
      </c>
      <c r="C211" s="20" t="s">
        <v>759</v>
      </c>
      <c r="D211" s="150">
        <v>2610000</v>
      </c>
      <c r="E211" s="20" t="s">
        <v>571</v>
      </c>
      <c r="F211" s="20" t="s">
        <v>572</v>
      </c>
      <c r="G211" s="8" t="str">
        <f t="shared" si="3"/>
        <v>MAGEE KENYA</v>
      </c>
    </row>
    <row r="212" spans="1:7" x14ac:dyDescent="0.25">
      <c r="A212" s="8">
        <v>42799.94940972222</v>
      </c>
      <c r="B212" s="20" t="s">
        <v>227</v>
      </c>
      <c r="C212" s="20" t="s">
        <v>773</v>
      </c>
      <c r="D212" s="150">
        <v>2230000</v>
      </c>
      <c r="E212" s="20" t="s">
        <v>489</v>
      </c>
      <c r="F212" s="20" t="s">
        <v>200</v>
      </c>
      <c r="G212" s="8" t="str">
        <f t="shared" si="3"/>
        <v>SMITH MICHAEL</v>
      </c>
    </row>
    <row r="213" spans="1:7" x14ac:dyDescent="0.25">
      <c r="A213" s="8">
        <v>42799.9528587963</v>
      </c>
      <c r="B213" s="20" t="s">
        <v>216</v>
      </c>
      <c r="C213" s="20" t="s">
        <v>774</v>
      </c>
      <c r="D213" s="150">
        <v>1800000</v>
      </c>
      <c r="E213" s="20" t="s">
        <v>229</v>
      </c>
      <c r="F213" s="20" t="s">
        <v>230</v>
      </c>
      <c r="G213" s="8" t="str">
        <f t="shared" si="3"/>
        <v>CHANDLER KELVIN</v>
      </c>
    </row>
    <row r="214" spans="1:7" x14ac:dyDescent="0.25">
      <c r="A214" s="8">
        <v>42799.96502314815</v>
      </c>
      <c r="B214" s="20" t="s">
        <v>534</v>
      </c>
      <c r="C214" s="20" t="s">
        <v>775</v>
      </c>
      <c r="D214" s="150">
        <v>1810000</v>
      </c>
      <c r="E214" s="20" t="s">
        <v>202</v>
      </c>
      <c r="F214" s="20" t="s">
        <v>197</v>
      </c>
      <c r="G214" s="8" t="str">
        <f t="shared" si="3"/>
        <v>NEWELL JAMES</v>
      </c>
    </row>
    <row r="215" spans="1:7" x14ac:dyDescent="0.25">
      <c r="A215" s="8">
        <v>42799.974976851852</v>
      </c>
      <c r="B215" s="20" t="s">
        <v>304</v>
      </c>
      <c r="C215" s="20" t="s">
        <v>776</v>
      </c>
      <c r="D215" s="150">
        <v>2000000</v>
      </c>
      <c r="E215" s="20" t="s">
        <v>574</v>
      </c>
      <c r="F215" s="20" t="s">
        <v>197</v>
      </c>
      <c r="G215" s="8" t="str">
        <f t="shared" si="3"/>
        <v>STAMBAUGH JAMES</v>
      </c>
    </row>
    <row r="216" spans="1:7" x14ac:dyDescent="0.25">
      <c r="A216" s="8">
        <v>42799.980486111112</v>
      </c>
      <c r="B216" s="20" t="s">
        <v>328</v>
      </c>
      <c r="C216" s="20" t="s">
        <v>768</v>
      </c>
      <c r="D216" s="150">
        <v>2610000</v>
      </c>
      <c r="E216" s="20" t="s">
        <v>571</v>
      </c>
      <c r="F216" s="20" t="s">
        <v>572</v>
      </c>
      <c r="G216" s="8" t="str">
        <f t="shared" si="3"/>
        <v>MAGEE KENYA</v>
      </c>
    </row>
    <row r="217" spans="1:7" x14ac:dyDescent="0.25">
      <c r="A217" s="8">
        <v>42799.989629629628</v>
      </c>
      <c r="B217" s="20" t="s">
        <v>236</v>
      </c>
      <c r="C217" s="20" t="s">
        <v>777</v>
      </c>
      <c r="D217" s="150">
        <v>2230000</v>
      </c>
      <c r="E217" s="20" t="s">
        <v>489</v>
      </c>
      <c r="F217" s="20" t="s">
        <v>200</v>
      </c>
      <c r="G217" s="8" t="str">
        <f t="shared" si="3"/>
        <v>SMITH MICHAEL</v>
      </c>
    </row>
    <row r="218" spans="1:7" x14ac:dyDescent="0.25">
      <c r="A218" s="8">
        <v>42799.9924537037</v>
      </c>
      <c r="B218" s="20" t="s">
        <v>551</v>
      </c>
      <c r="C218" s="20" t="s">
        <v>778</v>
      </c>
      <c r="D218" s="150">
        <v>1800000</v>
      </c>
      <c r="E218" s="20" t="s">
        <v>229</v>
      </c>
      <c r="F218" s="20" t="s">
        <v>230</v>
      </c>
      <c r="G218" s="8" t="str">
        <f t="shared" si="3"/>
        <v>CHANDLER KELVIN</v>
      </c>
    </row>
    <row r="219" spans="1:7" x14ac:dyDescent="0.25">
      <c r="A219" s="8">
        <v>42800.005300925928</v>
      </c>
      <c r="B219" s="20" t="s">
        <v>303</v>
      </c>
      <c r="C219" s="20" t="s">
        <v>564</v>
      </c>
      <c r="D219" s="150">
        <v>2000000</v>
      </c>
      <c r="E219" s="20" t="s">
        <v>574</v>
      </c>
      <c r="F219" s="20" t="s">
        <v>197</v>
      </c>
      <c r="G219" s="8" t="str">
        <f t="shared" si="3"/>
        <v>STAMBAUGH JAMES</v>
      </c>
    </row>
    <row r="220" spans="1:7" x14ac:dyDescent="0.25">
      <c r="A220" s="8">
        <v>42800.009583333333</v>
      </c>
      <c r="B220" s="20" t="s">
        <v>329</v>
      </c>
      <c r="C220" s="20" t="s">
        <v>759</v>
      </c>
      <c r="D220" s="150">
        <v>2610000</v>
      </c>
      <c r="E220" s="20" t="s">
        <v>571</v>
      </c>
      <c r="F220" s="20" t="s">
        <v>572</v>
      </c>
      <c r="G220" s="8" t="str">
        <f t="shared" si="3"/>
        <v>MAGEE KENYA</v>
      </c>
    </row>
    <row r="221" spans="1:7" x14ac:dyDescent="0.25">
      <c r="A221" s="8">
        <v>42800.015706018516</v>
      </c>
      <c r="B221" s="20" t="s">
        <v>205</v>
      </c>
      <c r="C221" s="20" t="s">
        <v>779</v>
      </c>
      <c r="D221" s="150">
        <v>1810000</v>
      </c>
      <c r="E221" s="20" t="s">
        <v>202</v>
      </c>
      <c r="F221" s="20" t="s">
        <v>197</v>
      </c>
      <c r="G221" s="8" t="str">
        <f t="shared" si="3"/>
        <v>NEWELL JAMES</v>
      </c>
    </row>
    <row r="222" spans="1:7" x14ac:dyDescent="0.25">
      <c r="A222" s="8">
        <v>42800.028900462959</v>
      </c>
      <c r="B222" s="20" t="s">
        <v>227</v>
      </c>
      <c r="C222" s="20" t="s">
        <v>780</v>
      </c>
      <c r="D222" s="150">
        <v>2230000</v>
      </c>
      <c r="E222" s="20" t="s">
        <v>489</v>
      </c>
      <c r="F222" s="20" t="s">
        <v>200</v>
      </c>
      <c r="G222" s="8" t="str">
        <f t="shared" si="3"/>
        <v>SMITH MICHAEL</v>
      </c>
    </row>
    <row r="223" spans="1:7" x14ac:dyDescent="0.25">
      <c r="A223" s="8">
        <v>42800.028923611113</v>
      </c>
      <c r="B223" s="20" t="s">
        <v>216</v>
      </c>
      <c r="C223" s="20" t="s">
        <v>781</v>
      </c>
      <c r="D223" s="150">
        <v>1800000</v>
      </c>
      <c r="E223" s="20" t="s">
        <v>229</v>
      </c>
      <c r="F223" s="20" t="s">
        <v>230</v>
      </c>
      <c r="G223" s="8" t="str">
        <f t="shared" si="3"/>
        <v>CHANDLER KELVIN</v>
      </c>
    </row>
    <row r="224" spans="1:7" x14ac:dyDescent="0.25">
      <c r="A224" s="8">
        <v>42800.045729166668</v>
      </c>
      <c r="B224" t="s">
        <v>328</v>
      </c>
      <c r="C224" t="s">
        <v>768</v>
      </c>
      <c r="D224" s="150">
        <v>2610000</v>
      </c>
      <c r="E224" t="s">
        <v>571</v>
      </c>
      <c r="F224" s="20" t="s">
        <v>572</v>
      </c>
      <c r="G224" s="8" t="str">
        <f t="shared" si="3"/>
        <v>MAGEE KENYA</v>
      </c>
    </row>
    <row r="225" spans="1:7" x14ac:dyDescent="0.25">
      <c r="A225" s="8">
        <v>42800.047974537039</v>
      </c>
      <c r="B225" t="s">
        <v>303</v>
      </c>
      <c r="C225" t="s">
        <v>564</v>
      </c>
      <c r="D225" s="150">
        <v>2000000</v>
      </c>
      <c r="E225" t="s">
        <v>574</v>
      </c>
      <c r="F225" s="20" t="s">
        <v>197</v>
      </c>
      <c r="G225" s="8" t="str">
        <f t="shared" si="3"/>
        <v>STAMBAUGH JAMES</v>
      </c>
    </row>
    <row r="226" spans="1:7" x14ac:dyDescent="0.25">
      <c r="A226" s="8">
        <v>42800.054120370369</v>
      </c>
      <c r="B226" t="s">
        <v>534</v>
      </c>
      <c r="C226" t="s">
        <v>782</v>
      </c>
      <c r="D226" s="150">
        <v>1810000</v>
      </c>
      <c r="E226" t="s">
        <v>202</v>
      </c>
      <c r="F226" s="20" t="s">
        <v>197</v>
      </c>
      <c r="G226" s="8" t="str">
        <f t="shared" si="3"/>
        <v>NEWELL JAMES</v>
      </c>
    </row>
    <row r="227" spans="1:7" x14ac:dyDescent="0.25">
      <c r="A227" s="8">
        <v>42800.06722222222</v>
      </c>
      <c r="B227" t="s">
        <v>304</v>
      </c>
      <c r="C227" t="s">
        <v>783</v>
      </c>
      <c r="D227" s="150">
        <v>2000000</v>
      </c>
      <c r="E227" t="s">
        <v>574</v>
      </c>
      <c r="F227" s="20" t="s">
        <v>197</v>
      </c>
      <c r="G227" s="8" t="str">
        <f t="shared" si="3"/>
        <v>STAMBAUGH JAMES</v>
      </c>
    </row>
    <row r="228" spans="1:7" x14ac:dyDescent="0.25">
      <c r="A228" s="8">
        <v>42800.083495370367</v>
      </c>
      <c r="B228" t="s">
        <v>236</v>
      </c>
      <c r="C228" t="s">
        <v>784</v>
      </c>
      <c r="D228" s="150">
        <v>2230000</v>
      </c>
      <c r="E228" t="s">
        <v>489</v>
      </c>
      <c r="F228" s="20" t="s">
        <v>200</v>
      </c>
      <c r="G228" s="8" t="str">
        <f t="shared" si="3"/>
        <v>SMITH MICHAEL</v>
      </c>
    </row>
    <row r="229" spans="1:7" x14ac:dyDescent="0.25">
      <c r="A229" s="8">
        <v>42800.091689814813</v>
      </c>
      <c r="B229" t="s">
        <v>329</v>
      </c>
      <c r="C229" t="s">
        <v>759</v>
      </c>
      <c r="D229" s="150">
        <v>2610000</v>
      </c>
      <c r="E229" t="s">
        <v>571</v>
      </c>
      <c r="F229" s="20" t="s">
        <v>572</v>
      </c>
      <c r="G229" s="8" t="str">
        <f t="shared" si="3"/>
        <v>MAGEE KENYA</v>
      </c>
    </row>
    <row r="230" spans="1:7" x14ac:dyDescent="0.25">
      <c r="A230" s="8">
        <v>42800.098067129627</v>
      </c>
      <c r="B230" t="s">
        <v>303</v>
      </c>
      <c r="C230" t="s">
        <v>785</v>
      </c>
      <c r="D230" s="150">
        <v>2000000</v>
      </c>
      <c r="E230" t="s">
        <v>574</v>
      </c>
      <c r="F230" s="20" t="s">
        <v>197</v>
      </c>
      <c r="G230" s="8" t="str">
        <f t="shared" si="3"/>
        <v>STAMBAUGH JAMES</v>
      </c>
    </row>
    <row r="231" spans="1:7" x14ac:dyDescent="0.25">
      <c r="A231" s="8">
        <v>42800.099826388891</v>
      </c>
      <c r="B231" t="s">
        <v>303</v>
      </c>
      <c r="C231" t="s">
        <v>785</v>
      </c>
      <c r="D231" s="150">
        <v>2000000</v>
      </c>
      <c r="E231" t="s">
        <v>574</v>
      </c>
      <c r="F231" s="20" t="s">
        <v>197</v>
      </c>
      <c r="G231" s="8" t="str">
        <f t="shared" si="3"/>
        <v>STAMBAUGH JAMES</v>
      </c>
    </row>
    <row r="232" spans="1:7" x14ac:dyDescent="0.25">
      <c r="A232" s="8">
        <v>42796.973761574074</v>
      </c>
      <c r="B232" t="s">
        <v>268</v>
      </c>
      <c r="C232" t="s">
        <v>495</v>
      </c>
      <c r="D232" s="150">
        <v>1810000</v>
      </c>
      <c r="E232" t="s">
        <v>202</v>
      </c>
      <c r="F232" s="20" t="s">
        <v>197</v>
      </c>
      <c r="G232" s="8" t="str">
        <f t="shared" si="3"/>
        <v>NEWELL JAMES</v>
      </c>
    </row>
    <row r="233" spans="1:7" x14ac:dyDescent="0.25">
      <c r="A233" s="8">
        <v>42796.980370370373</v>
      </c>
      <c r="B233" t="s">
        <v>268</v>
      </c>
      <c r="C233" t="s">
        <v>495</v>
      </c>
      <c r="D233" s="150">
        <v>1810000</v>
      </c>
      <c r="E233" t="s">
        <v>202</v>
      </c>
      <c r="F233" s="20" t="s">
        <v>197</v>
      </c>
      <c r="G233" s="8" t="str">
        <f t="shared" si="3"/>
        <v>NEWELL JAMES</v>
      </c>
    </row>
    <row r="234" spans="1:7" x14ac:dyDescent="0.25">
      <c r="A234" s="8">
        <v>42796.981423611112</v>
      </c>
      <c r="B234" t="s">
        <v>328</v>
      </c>
      <c r="C234" t="s">
        <v>496</v>
      </c>
      <c r="D234" s="150">
        <v>2540000</v>
      </c>
      <c r="E234" t="s">
        <v>217</v>
      </c>
      <c r="F234" s="20" t="s">
        <v>218</v>
      </c>
      <c r="G234" s="8" t="str">
        <f t="shared" si="3"/>
        <v>MCREYNOLDS KYLE</v>
      </c>
    </row>
    <row r="235" spans="1:7" x14ac:dyDescent="0.25">
      <c r="A235" s="8">
        <v>42796.995092592595</v>
      </c>
      <c r="B235" t="s">
        <v>227</v>
      </c>
      <c r="C235" t="s">
        <v>497</v>
      </c>
      <c r="D235" s="150">
        <v>1800000</v>
      </c>
      <c r="E235" t="s">
        <v>229</v>
      </c>
      <c r="F235" s="20" t="s">
        <v>230</v>
      </c>
      <c r="G235" s="8" t="str">
        <f t="shared" si="3"/>
        <v>CHANDLER KELVIN</v>
      </c>
    </row>
    <row r="236" spans="1:7" x14ac:dyDescent="0.25">
      <c r="A236" s="8">
        <v>42796.996180555558</v>
      </c>
      <c r="B236" t="s">
        <v>319</v>
      </c>
      <c r="C236" t="s">
        <v>498</v>
      </c>
      <c r="D236" s="150">
        <v>2270000</v>
      </c>
      <c r="E236" t="s">
        <v>222</v>
      </c>
      <c r="F236" s="20" t="s">
        <v>223</v>
      </c>
      <c r="G236" s="8" t="str">
        <f t="shared" si="3"/>
        <v>BROWN JACOB</v>
      </c>
    </row>
    <row r="237" spans="1:7" x14ac:dyDescent="0.25">
      <c r="A237" s="8">
        <v>42796.997013888889</v>
      </c>
      <c r="B237" t="s">
        <v>319</v>
      </c>
      <c r="C237" t="s">
        <v>498</v>
      </c>
      <c r="D237" s="150">
        <v>2270000</v>
      </c>
      <c r="E237" t="s">
        <v>222</v>
      </c>
      <c r="F237" s="20" t="s">
        <v>223</v>
      </c>
      <c r="G237" s="8" t="str">
        <f t="shared" si="3"/>
        <v>BROWN JACOB</v>
      </c>
    </row>
    <row r="238" spans="1:7" x14ac:dyDescent="0.25">
      <c r="A238" s="8">
        <v>42797.007743055554</v>
      </c>
      <c r="B238" t="s">
        <v>329</v>
      </c>
      <c r="C238" t="s">
        <v>492</v>
      </c>
      <c r="D238" s="150">
        <v>2730000</v>
      </c>
      <c r="E238" t="s">
        <v>250</v>
      </c>
      <c r="F238" s="20" t="s">
        <v>251</v>
      </c>
      <c r="G238" s="8" t="str">
        <f t="shared" si="3"/>
        <v>YANG JAN</v>
      </c>
    </row>
    <row r="239" spans="1:7" x14ac:dyDescent="0.25">
      <c r="A239" s="8">
        <v>42797.013368055559</v>
      </c>
      <c r="B239" t="s">
        <v>320</v>
      </c>
      <c r="C239" t="s">
        <v>499</v>
      </c>
      <c r="D239" s="150">
        <v>2620000</v>
      </c>
      <c r="E239" t="s">
        <v>490</v>
      </c>
      <c r="F239" s="20" t="s">
        <v>491</v>
      </c>
      <c r="G239" s="8" t="str">
        <f t="shared" si="3"/>
        <v>PERKINS DARREN</v>
      </c>
    </row>
    <row r="240" spans="1:7" x14ac:dyDescent="0.25">
      <c r="A240" s="8">
        <v>42797.016840277778</v>
      </c>
      <c r="B240" t="s">
        <v>266</v>
      </c>
      <c r="C240" t="s">
        <v>500</v>
      </c>
      <c r="D240" s="150">
        <v>1810000</v>
      </c>
      <c r="E240" t="s">
        <v>202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42797.028564814813</v>
      </c>
      <c r="B241" t="s">
        <v>236</v>
      </c>
      <c r="C241" t="s">
        <v>501</v>
      </c>
      <c r="D241" s="150">
        <v>1800000</v>
      </c>
      <c r="E241" t="s">
        <v>229</v>
      </c>
      <c r="F241" s="20" t="s">
        <v>230</v>
      </c>
      <c r="G241" s="8" t="str">
        <f t="shared" si="3"/>
        <v>CHANDLER KELVIN</v>
      </c>
    </row>
    <row r="242" spans="1:7" x14ac:dyDescent="0.25">
      <c r="A242" s="8">
        <v>42797.033449074072</v>
      </c>
      <c r="B242" t="s">
        <v>328</v>
      </c>
      <c r="C242" t="s">
        <v>496</v>
      </c>
      <c r="D242" s="150">
        <v>2540000</v>
      </c>
      <c r="E242" t="s">
        <v>217</v>
      </c>
      <c r="F242" s="20" t="s">
        <v>218</v>
      </c>
      <c r="G242" s="8" t="str">
        <f t="shared" si="3"/>
        <v>MCREYNOLDS KYLE</v>
      </c>
    </row>
    <row r="243" spans="1:7" x14ac:dyDescent="0.25">
      <c r="A243" s="8">
        <v>42797.033472222225</v>
      </c>
      <c r="B243" t="s">
        <v>480</v>
      </c>
      <c r="C243" t="s">
        <v>484</v>
      </c>
      <c r="D243" s="150">
        <v>2270000</v>
      </c>
      <c r="E243" t="s">
        <v>222</v>
      </c>
      <c r="F243" s="20" t="s">
        <v>223</v>
      </c>
      <c r="G243" s="8" t="str">
        <f t="shared" si="3"/>
        <v>BROWN JACOB</v>
      </c>
    </row>
    <row r="244" spans="1:7" x14ac:dyDescent="0.25">
      <c r="A244" s="8">
        <v>42797.051585648151</v>
      </c>
      <c r="B244" t="s">
        <v>268</v>
      </c>
      <c r="C244" t="s">
        <v>502</v>
      </c>
      <c r="D244" s="150">
        <v>1810000</v>
      </c>
      <c r="E244" t="s">
        <v>202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42797.054583333331</v>
      </c>
      <c r="B245" t="s">
        <v>329</v>
      </c>
      <c r="C245" t="s">
        <v>492</v>
      </c>
      <c r="D245" s="150">
        <v>2730000</v>
      </c>
      <c r="E245" t="s">
        <v>250</v>
      </c>
      <c r="F245" s="20" t="s">
        <v>251</v>
      </c>
      <c r="G245" s="8" t="str">
        <f t="shared" si="3"/>
        <v>YANG JAN</v>
      </c>
    </row>
    <row r="246" spans="1:7" x14ac:dyDescent="0.25">
      <c r="A246" s="8">
        <v>42797.055914351855</v>
      </c>
      <c r="B246" t="s">
        <v>316</v>
      </c>
      <c r="C246" t="s">
        <v>503</v>
      </c>
      <c r="D246" s="150">
        <v>2620000</v>
      </c>
      <c r="E246" t="s">
        <v>490</v>
      </c>
      <c r="F246" s="20" t="s">
        <v>491</v>
      </c>
      <c r="G246" s="8" t="str">
        <f t="shared" si="3"/>
        <v>PERKINS DARREN</v>
      </c>
    </row>
    <row r="247" spans="1:7" x14ac:dyDescent="0.25">
      <c r="A247" s="8">
        <v>42797.073148148149</v>
      </c>
      <c r="B247" t="s">
        <v>328</v>
      </c>
      <c r="C247" t="s">
        <v>496</v>
      </c>
      <c r="D247" s="150">
        <v>2540000</v>
      </c>
      <c r="E247" t="s">
        <v>217</v>
      </c>
      <c r="F247" s="20" t="s">
        <v>218</v>
      </c>
      <c r="G247" s="8" t="str">
        <f t="shared" si="3"/>
        <v>MCREYNOLDS KYLE</v>
      </c>
    </row>
    <row r="248" spans="1:7" x14ac:dyDescent="0.25">
      <c r="A248" s="8">
        <v>42797.073425925926</v>
      </c>
      <c r="B248" t="s">
        <v>319</v>
      </c>
      <c r="C248" t="s">
        <v>504</v>
      </c>
      <c r="D248" s="150">
        <v>2270000</v>
      </c>
      <c r="E248" t="s">
        <v>222</v>
      </c>
      <c r="F248" s="20" t="s">
        <v>223</v>
      </c>
      <c r="G248" s="8" t="str">
        <f t="shared" si="3"/>
        <v>BROWN JACOB</v>
      </c>
    </row>
    <row r="249" spans="1:7" x14ac:dyDescent="0.25">
      <c r="A249" s="8">
        <v>42797.093206018515</v>
      </c>
      <c r="B249" t="s">
        <v>320</v>
      </c>
      <c r="C249" t="s">
        <v>505</v>
      </c>
      <c r="D249" s="150">
        <v>2620000</v>
      </c>
      <c r="E249" t="s">
        <v>490</v>
      </c>
      <c r="F249" s="20" t="s">
        <v>491</v>
      </c>
      <c r="G249" s="8" t="str">
        <f t="shared" si="3"/>
        <v>PERKINS DARREN</v>
      </c>
    </row>
    <row r="250" spans="1:7" x14ac:dyDescent="0.25">
      <c r="A250" s="8">
        <v>42797.102326388886</v>
      </c>
      <c r="B250" t="s">
        <v>329</v>
      </c>
      <c r="C250" t="s">
        <v>492</v>
      </c>
      <c r="D250" s="150">
        <v>2730000</v>
      </c>
      <c r="E250" t="s">
        <v>250</v>
      </c>
      <c r="F250" s="20" t="s">
        <v>251</v>
      </c>
      <c r="G250" s="8" t="str">
        <f t="shared" si="3"/>
        <v>YANG JAN</v>
      </c>
    </row>
    <row r="251" spans="1:7" x14ac:dyDescent="0.25">
      <c r="A251" s="8">
        <v>42789.997442129628</v>
      </c>
      <c r="B251" t="s">
        <v>257</v>
      </c>
      <c r="C251" t="s">
        <v>270</v>
      </c>
      <c r="D251" s="150">
        <v>2730000</v>
      </c>
      <c r="E251" t="s">
        <v>250</v>
      </c>
      <c r="F251" s="20" t="s">
        <v>251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256</v>
      </c>
      <c r="C252" t="s">
        <v>269</v>
      </c>
      <c r="D252" s="150">
        <v>2670000</v>
      </c>
      <c r="E252" t="s">
        <v>225</v>
      </c>
      <c r="F252" s="20" t="s">
        <v>226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257</v>
      </c>
      <c r="C253" t="s">
        <v>270</v>
      </c>
      <c r="D253" s="150">
        <v>2730000</v>
      </c>
      <c r="E253" t="s">
        <v>250</v>
      </c>
      <c r="F253" s="20" t="s">
        <v>251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190</v>
      </c>
      <c r="C254" t="s">
        <v>271</v>
      </c>
      <c r="D254" s="150">
        <v>2220000</v>
      </c>
      <c r="E254" t="s">
        <v>211</v>
      </c>
      <c r="F254" s="20" t="s">
        <v>212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214</v>
      </c>
      <c r="C255" t="s">
        <v>272</v>
      </c>
      <c r="D255" s="150">
        <v>2540000</v>
      </c>
      <c r="E255" t="s">
        <v>217</v>
      </c>
      <c r="F255" s="20" t="s">
        <v>218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256</v>
      </c>
      <c r="C256" t="s">
        <v>269</v>
      </c>
      <c r="D256" s="150">
        <v>2670000</v>
      </c>
      <c r="E256" t="s">
        <v>225</v>
      </c>
      <c r="F256" s="20" t="s">
        <v>226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257</v>
      </c>
      <c r="C257" t="s">
        <v>270</v>
      </c>
      <c r="D257" s="150">
        <v>2730000</v>
      </c>
      <c r="E257" t="s">
        <v>250</v>
      </c>
      <c r="F257" s="20" t="s">
        <v>251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256</v>
      </c>
      <c r="C258" t="s">
        <v>269</v>
      </c>
      <c r="D258" s="150">
        <v>2670000</v>
      </c>
      <c r="E258" t="s">
        <v>225</v>
      </c>
      <c r="F258" s="20" t="s">
        <v>226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216</v>
      </c>
      <c r="C259" t="s">
        <v>273</v>
      </c>
      <c r="D259" s="150">
        <v>1800000</v>
      </c>
      <c r="E259" t="s">
        <v>229</v>
      </c>
      <c r="F259" s="20" t="s">
        <v>230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257</v>
      </c>
      <c r="C260" t="s">
        <v>270</v>
      </c>
      <c r="D260" s="150">
        <v>2730000</v>
      </c>
      <c r="E260" t="s">
        <v>250</v>
      </c>
      <c r="F260" s="20" t="s">
        <v>251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266</v>
      </c>
      <c r="C261" t="s">
        <v>267</v>
      </c>
      <c r="D261" s="150">
        <v>2270000</v>
      </c>
      <c r="E261" t="s">
        <v>222</v>
      </c>
      <c r="F261" s="20" t="s">
        <v>223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256</v>
      </c>
      <c r="C262" t="s">
        <v>269</v>
      </c>
      <c r="D262" s="150">
        <v>2670000</v>
      </c>
      <c r="E262" t="s">
        <v>225</v>
      </c>
      <c r="F262" s="20" t="s">
        <v>226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213</v>
      </c>
      <c r="C263" t="s">
        <v>274</v>
      </c>
      <c r="D263" s="150">
        <v>2540000</v>
      </c>
      <c r="E263" t="s">
        <v>217</v>
      </c>
      <c r="F263" s="20" t="s">
        <v>218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257</v>
      </c>
      <c r="C264" t="s">
        <v>270</v>
      </c>
      <c r="D264" s="150">
        <v>2730000</v>
      </c>
      <c r="E264" t="s">
        <v>250</v>
      </c>
      <c r="F264" s="20" t="s">
        <v>251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240</v>
      </c>
      <c r="C265" t="s">
        <v>275</v>
      </c>
      <c r="D265" s="150">
        <v>2220000</v>
      </c>
      <c r="E265" t="s">
        <v>211</v>
      </c>
      <c r="F265" s="20" t="s">
        <v>212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256</v>
      </c>
      <c r="C266" t="s">
        <v>269</v>
      </c>
      <c r="D266" s="150">
        <v>2670000</v>
      </c>
      <c r="E266" t="s">
        <v>225</v>
      </c>
      <c r="F266" s="20" t="s">
        <v>226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257</v>
      </c>
      <c r="C267" t="s">
        <v>270</v>
      </c>
      <c r="D267" s="150">
        <v>2730000</v>
      </c>
      <c r="E267" t="s">
        <v>250</v>
      </c>
      <c r="F267" s="20" t="s">
        <v>251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268</v>
      </c>
      <c r="C268" t="s">
        <v>276</v>
      </c>
      <c r="D268" s="150">
        <v>2270000</v>
      </c>
      <c r="E268" t="s">
        <v>222</v>
      </c>
      <c r="F268" s="20" t="s">
        <v>223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256</v>
      </c>
      <c r="C269" t="s">
        <v>269</v>
      </c>
      <c r="D269" s="150">
        <v>2670000</v>
      </c>
      <c r="E269" t="s">
        <v>225</v>
      </c>
      <c r="F269" s="20" t="s">
        <v>226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257</v>
      </c>
      <c r="C270" t="s">
        <v>270</v>
      </c>
      <c r="D270" s="150">
        <v>2730000</v>
      </c>
      <c r="E270" t="s">
        <v>250</v>
      </c>
      <c r="F270" s="20" t="s">
        <v>251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277</v>
      </c>
      <c r="D271" s="150">
        <v>2220000</v>
      </c>
      <c r="E271" t="s">
        <v>211</v>
      </c>
      <c r="F271" s="20" t="s">
        <v>212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256</v>
      </c>
      <c r="C272" t="s">
        <v>269</v>
      </c>
      <c r="D272" s="150">
        <v>2670000</v>
      </c>
      <c r="E272" t="s">
        <v>225</v>
      </c>
      <c r="F272" s="20" t="s">
        <v>226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257</v>
      </c>
      <c r="C273" t="s">
        <v>270</v>
      </c>
      <c r="D273" s="150">
        <v>2730000</v>
      </c>
      <c r="E273" t="s">
        <v>250</v>
      </c>
      <c r="F273" s="20" t="s">
        <v>251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41.79</v>
      </c>
      <c r="B2" s="168">
        <v>0.44</v>
      </c>
      <c r="C2" s="168">
        <v>9.99</v>
      </c>
      <c r="D2" s="8">
        <v>42799</v>
      </c>
      <c r="E2" s="168">
        <v>0.24</v>
      </c>
      <c r="F2" s="168" t="s">
        <v>786</v>
      </c>
      <c r="G2" s="168">
        <v>294.42</v>
      </c>
      <c r="H2" s="168">
        <v>0</v>
      </c>
      <c r="I2" s="168">
        <v>0</v>
      </c>
      <c r="J2" s="168">
        <v>1010.02</v>
      </c>
      <c r="K2" s="168" t="s">
        <v>787</v>
      </c>
      <c r="L2" s="168">
        <v>44.03</v>
      </c>
      <c r="M2" s="168">
        <v>1488697200</v>
      </c>
      <c r="N2" s="168">
        <v>6.48</v>
      </c>
      <c r="O2" s="168">
        <v>225</v>
      </c>
      <c r="P2" s="168">
        <v>4.22</v>
      </c>
      <c r="Q2"/>
      <c r="R2"/>
    </row>
    <row r="3" spans="1:18" x14ac:dyDescent="0.25">
      <c r="A3" s="168">
        <v>42.09</v>
      </c>
      <c r="B3" s="168">
        <v>0.45</v>
      </c>
      <c r="C3" s="168">
        <v>13.23</v>
      </c>
      <c r="D3" s="8">
        <v>42799.041666666664</v>
      </c>
      <c r="E3" s="168">
        <v>0.28000000000000003</v>
      </c>
      <c r="F3" s="168" t="s">
        <v>786</v>
      </c>
      <c r="G3" s="168">
        <v>293.7</v>
      </c>
      <c r="H3" s="168">
        <v>0</v>
      </c>
      <c r="I3" s="168">
        <v>0</v>
      </c>
      <c r="J3" s="168">
        <v>1010.54</v>
      </c>
      <c r="K3" s="168" t="s">
        <v>787</v>
      </c>
      <c r="L3" s="168">
        <v>44.23</v>
      </c>
      <c r="M3" s="168">
        <v>1488700800</v>
      </c>
      <c r="N3" s="168">
        <v>6.38</v>
      </c>
      <c r="O3" s="168">
        <v>222</v>
      </c>
      <c r="P3" s="168">
        <v>4.1399999999999997</v>
      </c>
      <c r="Q3"/>
      <c r="R3"/>
    </row>
    <row r="4" spans="1:18" x14ac:dyDescent="0.25">
      <c r="A4" s="168">
        <v>39.25</v>
      </c>
      <c r="B4" s="168">
        <v>0.42</v>
      </c>
      <c r="C4" s="168">
        <v>12.7</v>
      </c>
      <c r="D4" s="8">
        <v>42799.083333333336</v>
      </c>
      <c r="E4" s="168">
        <v>0.28999999999999998</v>
      </c>
      <c r="F4" s="168" t="s">
        <v>786</v>
      </c>
      <c r="G4" s="168">
        <v>292.97000000000003</v>
      </c>
      <c r="H4" s="168">
        <v>0</v>
      </c>
      <c r="I4" s="168">
        <v>0</v>
      </c>
      <c r="J4" s="168">
        <v>1011.08</v>
      </c>
      <c r="K4" s="168" t="s">
        <v>787</v>
      </c>
      <c r="L4" s="168">
        <v>42.31</v>
      </c>
      <c r="M4" s="168">
        <v>1488704400</v>
      </c>
      <c r="N4" s="168">
        <v>6.07</v>
      </c>
      <c r="O4" s="168">
        <v>234</v>
      </c>
      <c r="P4" s="168">
        <v>4.91</v>
      </c>
      <c r="Q4"/>
      <c r="R4"/>
    </row>
    <row r="5" spans="1:18" x14ac:dyDescent="0.25">
      <c r="A5" s="168">
        <v>38.1</v>
      </c>
      <c r="B5" s="168">
        <v>0.53</v>
      </c>
      <c r="C5" s="168">
        <v>11.51</v>
      </c>
      <c r="D5" s="8">
        <v>42799.125</v>
      </c>
      <c r="E5" s="168">
        <v>0.28999999999999998</v>
      </c>
      <c r="F5" s="168" t="s">
        <v>786</v>
      </c>
      <c r="G5" s="168">
        <v>293.55</v>
      </c>
      <c r="H5" s="168">
        <v>0</v>
      </c>
      <c r="I5" s="168">
        <v>0</v>
      </c>
      <c r="J5" s="168">
        <v>1010.67</v>
      </c>
      <c r="K5" s="168" t="s">
        <v>787</v>
      </c>
      <c r="L5" s="168">
        <v>41.16</v>
      </c>
      <c r="M5" s="168">
        <v>1488708000</v>
      </c>
      <c r="N5" s="168">
        <v>5.9</v>
      </c>
      <c r="O5" s="168">
        <v>232</v>
      </c>
      <c r="P5" s="168">
        <v>4.66</v>
      </c>
      <c r="Q5"/>
      <c r="R5"/>
    </row>
    <row r="6" spans="1:18" x14ac:dyDescent="0.25">
      <c r="A6" s="168">
        <v>38.44</v>
      </c>
      <c r="B6" s="168">
        <v>0.73</v>
      </c>
      <c r="C6" s="168">
        <v>11.7</v>
      </c>
      <c r="D6" s="8">
        <v>42799.166666666664</v>
      </c>
      <c r="E6" s="168">
        <v>0.28999999999999998</v>
      </c>
      <c r="F6" s="168" t="s">
        <v>786</v>
      </c>
      <c r="G6" s="168">
        <v>294.66000000000003</v>
      </c>
      <c r="H6" s="168">
        <v>0</v>
      </c>
      <c r="I6" s="168">
        <v>0</v>
      </c>
      <c r="J6" s="168">
        <v>1010.16</v>
      </c>
      <c r="K6" s="168" t="s">
        <v>788</v>
      </c>
      <c r="L6" s="168">
        <v>41.29</v>
      </c>
      <c r="M6" s="168">
        <v>1488711600</v>
      </c>
      <c r="N6" s="168">
        <v>10</v>
      </c>
      <c r="O6" s="168">
        <v>225</v>
      </c>
      <c r="P6" s="168">
        <v>4.43</v>
      </c>
      <c r="Q6"/>
      <c r="R6"/>
    </row>
    <row r="7" spans="1:18" x14ac:dyDescent="0.25">
      <c r="A7" s="168">
        <v>39.06</v>
      </c>
      <c r="B7" s="168">
        <v>0.81</v>
      </c>
      <c r="C7" s="168">
        <v>10.67</v>
      </c>
      <c r="D7" s="8">
        <v>42799.208333333336</v>
      </c>
      <c r="E7" s="168">
        <v>0.28000000000000003</v>
      </c>
      <c r="F7" s="168" t="s">
        <v>786</v>
      </c>
      <c r="G7" s="168">
        <v>295.56</v>
      </c>
      <c r="H7" s="168">
        <v>0</v>
      </c>
      <c r="I7" s="168">
        <v>0</v>
      </c>
      <c r="J7" s="168">
        <v>1009.9</v>
      </c>
      <c r="K7" s="168" t="s">
        <v>788</v>
      </c>
      <c r="L7" s="168">
        <v>41.37</v>
      </c>
      <c r="M7" s="168">
        <v>1488715200</v>
      </c>
      <c r="N7" s="168">
        <v>7.53</v>
      </c>
      <c r="O7" s="168">
        <v>216</v>
      </c>
      <c r="P7" s="168">
        <v>3.83</v>
      </c>
      <c r="Q7"/>
      <c r="R7"/>
    </row>
    <row r="8" spans="1:18" x14ac:dyDescent="0.25">
      <c r="A8" s="168">
        <v>38.619999999999997</v>
      </c>
      <c r="B8" s="168">
        <v>0.77</v>
      </c>
      <c r="C8" s="168">
        <v>11.96</v>
      </c>
      <c r="D8" s="8">
        <v>42799.25</v>
      </c>
      <c r="E8" s="168">
        <v>0.28999999999999998</v>
      </c>
      <c r="F8" s="168" t="s">
        <v>786</v>
      </c>
      <c r="G8" s="168">
        <v>296.12</v>
      </c>
      <c r="H8" s="168">
        <v>0</v>
      </c>
      <c r="I8" s="168">
        <v>0</v>
      </c>
      <c r="J8" s="168">
        <v>1009.74</v>
      </c>
      <c r="K8" s="168" t="s">
        <v>788</v>
      </c>
      <c r="L8" s="168">
        <v>41.42</v>
      </c>
      <c r="M8" s="168">
        <v>1488718800</v>
      </c>
      <c r="N8" s="168">
        <v>7.06</v>
      </c>
      <c r="O8" s="168">
        <v>224</v>
      </c>
      <c r="P8" s="168">
        <v>4.4000000000000004</v>
      </c>
      <c r="Q8"/>
      <c r="R8"/>
    </row>
    <row r="9" spans="1:18" x14ac:dyDescent="0.25">
      <c r="A9" s="168">
        <v>39.61</v>
      </c>
      <c r="B9" s="168">
        <v>0.69</v>
      </c>
      <c r="C9" s="168">
        <v>12.87</v>
      </c>
      <c r="D9" s="8">
        <v>42799.291666666664</v>
      </c>
      <c r="E9" s="168">
        <v>0.3</v>
      </c>
      <c r="F9" s="168" t="s">
        <v>789</v>
      </c>
      <c r="G9" s="168">
        <v>296.48</v>
      </c>
      <c r="H9" s="168">
        <v>0</v>
      </c>
      <c r="I9" s="168">
        <v>0</v>
      </c>
      <c r="J9" s="168">
        <v>1009.51</v>
      </c>
      <c r="K9" s="168" t="s">
        <v>788</v>
      </c>
      <c r="L9" s="168">
        <v>41.84</v>
      </c>
      <c r="M9" s="168">
        <v>1488722400</v>
      </c>
      <c r="N9" s="168">
        <v>6.25</v>
      </c>
      <c r="O9" s="168">
        <v>211</v>
      </c>
      <c r="P9" s="168">
        <v>3.81</v>
      </c>
      <c r="Q9"/>
      <c r="R9"/>
    </row>
    <row r="10" spans="1:18" x14ac:dyDescent="0.25">
      <c r="A10" s="168">
        <v>40.06</v>
      </c>
      <c r="B10" s="168">
        <v>0.63</v>
      </c>
      <c r="C10" s="168">
        <v>14.43</v>
      </c>
      <c r="D10" s="8">
        <v>42799.333333333336</v>
      </c>
      <c r="E10" s="168">
        <v>0.32</v>
      </c>
      <c r="F10" s="168" t="s">
        <v>789</v>
      </c>
      <c r="G10" s="168">
        <v>296.33999999999997</v>
      </c>
      <c r="H10" s="168">
        <v>0</v>
      </c>
      <c r="I10" s="168">
        <v>0</v>
      </c>
      <c r="J10" s="168">
        <v>1008.88</v>
      </c>
      <c r="K10" s="168" t="s">
        <v>788</v>
      </c>
      <c r="L10" s="168">
        <v>42.52</v>
      </c>
      <c r="M10" s="168">
        <v>1488726000</v>
      </c>
      <c r="N10" s="168">
        <v>5.91</v>
      </c>
      <c r="O10" s="168">
        <v>206</v>
      </c>
      <c r="P10" s="168">
        <v>4.1900000000000004</v>
      </c>
      <c r="Q10"/>
      <c r="R10"/>
    </row>
    <row r="11" spans="1:18" x14ac:dyDescent="0.25">
      <c r="A11" s="168">
        <v>44.27</v>
      </c>
      <c r="B11" s="168">
        <v>0.71</v>
      </c>
      <c r="C11" s="168">
        <v>16.18</v>
      </c>
      <c r="D11" s="8">
        <v>42799.375</v>
      </c>
      <c r="E11" s="168">
        <v>0.3</v>
      </c>
      <c r="F11" s="168" t="s">
        <v>789</v>
      </c>
      <c r="G11" s="168">
        <v>295.23</v>
      </c>
      <c r="H11" s="168">
        <v>0</v>
      </c>
      <c r="I11" s="168">
        <v>0</v>
      </c>
      <c r="J11" s="168">
        <v>1007.61</v>
      </c>
      <c r="K11" s="168" t="s">
        <v>788</v>
      </c>
      <c r="L11" s="168">
        <v>46.09</v>
      </c>
      <c r="M11" s="168">
        <v>1488729600</v>
      </c>
      <c r="N11" s="168">
        <v>5.89</v>
      </c>
      <c r="O11" s="168">
        <v>197</v>
      </c>
      <c r="P11" s="168">
        <v>4.0999999999999996</v>
      </c>
      <c r="Q11"/>
      <c r="R11"/>
    </row>
    <row r="12" spans="1:18" x14ac:dyDescent="0.25">
      <c r="A12" s="168">
        <v>51.06</v>
      </c>
      <c r="B12" s="168">
        <v>0.77</v>
      </c>
      <c r="C12" s="168">
        <v>17.64</v>
      </c>
      <c r="D12" s="8">
        <v>42799.416666666664</v>
      </c>
      <c r="E12" s="168">
        <v>0.26</v>
      </c>
      <c r="F12" s="168" t="s">
        <v>789</v>
      </c>
      <c r="G12" s="168">
        <v>293.62</v>
      </c>
      <c r="H12" s="168">
        <v>0</v>
      </c>
      <c r="I12" s="168">
        <v>0</v>
      </c>
      <c r="J12" s="168">
        <v>1005.9</v>
      </c>
      <c r="K12" s="168" t="s">
        <v>788</v>
      </c>
      <c r="L12" s="168">
        <v>51.06</v>
      </c>
      <c r="M12" s="168">
        <v>1488733200</v>
      </c>
      <c r="N12" s="168">
        <v>5.86</v>
      </c>
      <c r="O12" s="168">
        <v>206</v>
      </c>
      <c r="P12" s="168">
        <v>5.16</v>
      </c>
      <c r="Q12"/>
      <c r="R12"/>
    </row>
    <row r="13" spans="1:18" x14ac:dyDescent="0.25">
      <c r="A13" s="168">
        <v>57.31</v>
      </c>
      <c r="B13" s="168">
        <v>0.84</v>
      </c>
      <c r="C13" s="168">
        <v>14.55</v>
      </c>
      <c r="D13" s="8">
        <v>42799.458333333336</v>
      </c>
      <c r="E13" s="168">
        <v>0.18</v>
      </c>
      <c r="F13" s="168" t="s">
        <v>789</v>
      </c>
      <c r="G13" s="168">
        <v>292.58999999999997</v>
      </c>
      <c r="H13" s="168">
        <v>0</v>
      </c>
      <c r="I13" s="168">
        <v>0</v>
      </c>
      <c r="J13" s="168">
        <v>1004.35</v>
      </c>
      <c r="K13" s="168" t="s">
        <v>788</v>
      </c>
      <c r="L13" s="168">
        <v>57.31</v>
      </c>
      <c r="M13" s="168">
        <v>1488736800</v>
      </c>
      <c r="N13" s="168">
        <v>5.95</v>
      </c>
      <c r="O13" s="168">
        <v>214</v>
      </c>
      <c r="P13" s="168">
        <v>3.66</v>
      </c>
      <c r="Q13"/>
      <c r="R13"/>
    </row>
    <row r="14" spans="1:18" x14ac:dyDescent="0.25">
      <c r="A14" s="168">
        <v>61.96</v>
      </c>
      <c r="B14" s="168">
        <v>0.77</v>
      </c>
      <c r="C14" s="168">
        <v>14.73</v>
      </c>
      <c r="D14" s="8">
        <v>42799.5</v>
      </c>
      <c r="E14" s="168">
        <v>0.16</v>
      </c>
      <c r="F14" s="168" t="s">
        <v>789</v>
      </c>
      <c r="G14" s="168">
        <v>292.57</v>
      </c>
      <c r="H14" s="168">
        <v>0</v>
      </c>
      <c r="I14" s="168">
        <v>0</v>
      </c>
      <c r="J14" s="168">
        <v>1003.23</v>
      </c>
      <c r="K14" s="168" t="s">
        <v>788</v>
      </c>
      <c r="L14" s="168">
        <v>61.96</v>
      </c>
      <c r="M14" s="168">
        <v>1488740400</v>
      </c>
      <c r="N14" s="168">
        <v>6.03</v>
      </c>
      <c r="O14" s="168">
        <v>219</v>
      </c>
      <c r="P14" s="168">
        <v>3.84</v>
      </c>
      <c r="Q14"/>
      <c r="R14"/>
    </row>
    <row r="15" spans="1:18" x14ac:dyDescent="0.25">
      <c r="A15" s="168">
        <v>63.81</v>
      </c>
      <c r="B15" s="168">
        <v>0.7</v>
      </c>
      <c r="C15" s="168">
        <v>14.67</v>
      </c>
      <c r="D15" s="8">
        <v>42799.541666666664</v>
      </c>
      <c r="E15" s="168">
        <v>0.15</v>
      </c>
      <c r="F15" s="168" t="s">
        <v>789</v>
      </c>
      <c r="G15" s="168">
        <v>293.13</v>
      </c>
      <c r="H15" s="168">
        <v>0</v>
      </c>
      <c r="I15" s="168">
        <v>0</v>
      </c>
      <c r="J15" s="168">
        <v>1002.31</v>
      </c>
      <c r="K15" s="168" t="s">
        <v>788</v>
      </c>
      <c r="L15" s="168">
        <v>63.81</v>
      </c>
      <c r="M15" s="168">
        <v>1488744000</v>
      </c>
      <c r="N15" s="168">
        <v>6.07</v>
      </c>
      <c r="O15" s="168">
        <v>243</v>
      </c>
      <c r="P15" s="168">
        <v>4.93</v>
      </c>
      <c r="Q15"/>
      <c r="R15"/>
    </row>
    <row r="16" spans="1:18" x14ac:dyDescent="0.25">
      <c r="A16" s="168">
        <v>64.69</v>
      </c>
      <c r="B16" s="168">
        <v>0.65</v>
      </c>
      <c r="C16" s="168">
        <v>16.21</v>
      </c>
      <c r="D16" s="8">
        <v>42799.583333333336</v>
      </c>
      <c r="E16" s="168">
        <v>0.15</v>
      </c>
      <c r="F16" s="168" t="s">
        <v>789</v>
      </c>
      <c r="G16" s="168">
        <v>294.04000000000002</v>
      </c>
      <c r="H16" s="168">
        <v>0</v>
      </c>
      <c r="I16" s="168">
        <v>0</v>
      </c>
      <c r="J16" s="168">
        <v>1001.26</v>
      </c>
      <c r="K16" s="168" t="s">
        <v>788</v>
      </c>
      <c r="L16" s="168">
        <v>64.69</v>
      </c>
      <c r="M16" s="168">
        <v>1488747600</v>
      </c>
      <c r="N16" s="168">
        <v>6.18</v>
      </c>
      <c r="O16" s="168">
        <v>239</v>
      </c>
      <c r="P16" s="168">
        <v>5.9</v>
      </c>
      <c r="Q16"/>
      <c r="R16"/>
    </row>
    <row r="17" spans="1:18" x14ac:dyDescent="0.25">
      <c r="A17" s="168">
        <v>64.209999999999994</v>
      </c>
      <c r="B17" s="168">
        <v>0.64</v>
      </c>
      <c r="C17" s="168">
        <v>14.55</v>
      </c>
      <c r="D17" s="8">
        <v>42799.625</v>
      </c>
      <c r="E17" s="168">
        <v>0.14000000000000001</v>
      </c>
      <c r="F17" s="168" t="s">
        <v>789</v>
      </c>
      <c r="G17" s="168">
        <v>295.26</v>
      </c>
      <c r="H17" s="168">
        <v>0</v>
      </c>
      <c r="I17" s="168">
        <v>0</v>
      </c>
      <c r="J17" s="168">
        <v>999.97</v>
      </c>
      <c r="K17" s="168" t="s">
        <v>788</v>
      </c>
      <c r="L17" s="168">
        <v>64.209999999999994</v>
      </c>
      <c r="M17" s="168">
        <v>1488751200</v>
      </c>
      <c r="N17" s="168">
        <v>10</v>
      </c>
      <c r="O17" s="168">
        <v>253</v>
      </c>
      <c r="P17" s="168">
        <v>3.59</v>
      </c>
      <c r="Q17"/>
      <c r="R17"/>
    </row>
    <row r="18" spans="1:18" x14ac:dyDescent="0.25">
      <c r="A18" s="168">
        <v>62.95</v>
      </c>
      <c r="B18" s="168">
        <v>0.66</v>
      </c>
      <c r="C18" s="168">
        <v>15.15</v>
      </c>
      <c r="D18" s="8">
        <v>42799.666666666664</v>
      </c>
      <c r="E18" s="168">
        <v>0.15</v>
      </c>
      <c r="F18" s="168" t="s">
        <v>789</v>
      </c>
      <c r="G18" s="168">
        <v>296.83</v>
      </c>
      <c r="H18" s="168">
        <v>0</v>
      </c>
      <c r="I18" s="168">
        <v>0</v>
      </c>
      <c r="J18" s="168">
        <v>998.69</v>
      </c>
      <c r="K18" s="168" t="s">
        <v>788</v>
      </c>
      <c r="L18" s="168">
        <v>62.95</v>
      </c>
      <c r="M18" s="168">
        <v>1488754800</v>
      </c>
      <c r="N18" s="168">
        <v>10</v>
      </c>
      <c r="O18" s="168">
        <v>246</v>
      </c>
      <c r="P18" s="168">
        <v>3.41</v>
      </c>
      <c r="Q18"/>
      <c r="R18"/>
    </row>
    <row r="19" spans="1:18" x14ac:dyDescent="0.25">
      <c r="A19" s="168">
        <v>59.95</v>
      </c>
      <c r="B19" s="168">
        <v>0.63</v>
      </c>
      <c r="C19" s="168">
        <v>13.08</v>
      </c>
      <c r="D19" s="8">
        <v>42799.708333333336</v>
      </c>
      <c r="E19" s="168">
        <v>0.16</v>
      </c>
      <c r="F19" s="168" t="s">
        <v>789</v>
      </c>
      <c r="G19" s="168">
        <v>298.69</v>
      </c>
      <c r="H19" s="168">
        <v>0</v>
      </c>
      <c r="I19" s="168">
        <v>0</v>
      </c>
      <c r="J19" s="168">
        <v>997.81</v>
      </c>
      <c r="K19" s="168" t="s">
        <v>788</v>
      </c>
      <c r="L19" s="168">
        <v>59.95</v>
      </c>
      <c r="M19" s="168">
        <v>1488758400</v>
      </c>
      <c r="N19" s="168">
        <v>6.84</v>
      </c>
      <c r="O19" s="168">
        <v>239</v>
      </c>
      <c r="P19" s="168">
        <v>3.89</v>
      </c>
      <c r="Q19"/>
      <c r="R19"/>
    </row>
    <row r="20" spans="1:18" x14ac:dyDescent="0.25">
      <c r="A20" s="168">
        <v>59.75</v>
      </c>
      <c r="B20" s="168">
        <v>0.55000000000000004</v>
      </c>
      <c r="C20" s="168">
        <v>16.45</v>
      </c>
      <c r="D20" s="8">
        <v>42799.75</v>
      </c>
      <c r="E20" s="168">
        <v>0.18</v>
      </c>
      <c r="F20" s="168" t="s">
        <v>786</v>
      </c>
      <c r="G20" s="168">
        <v>300.7</v>
      </c>
      <c r="H20" s="168">
        <v>0</v>
      </c>
      <c r="I20" s="168">
        <v>0</v>
      </c>
      <c r="J20" s="168">
        <v>997.27</v>
      </c>
      <c r="K20" s="168" t="s">
        <v>787</v>
      </c>
      <c r="L20" s="168">
        <v>59.75</v>
      </c>
      <c r="M20" s="168">
        <v>1488762000</v>
      </c>
      <c r="N20" s="168">
        <v>7.48</v>
      </c>
      <c r="O20" s="168">
        <v>218</v>
      </c>
      <c r="P20" s="168">
        <v>7.26</v>
      </c>
      <c r="Q20"/>
      <c r="R20"/>
    </row>
    <row r="21" spans="1:18" x14ac:dyDescent="0.25">
      <c r="A21" s="168">
        <v>57.02</v>
      </c>
      <c r="B21" s="168">
        <v>0.38</v>
      </c>
      <c r="C21" s="168">
        <v>19.670000000000002</v>
      </c>
      <c r="D21" s="8">
        <v>42799.791666666664</v>
      </c>
      <c r="E21" s="168">
        <v>0.23</v>
      </c>
      <c r="F21" s="168" t="s">
        <v>786</v>
      </c>
      <c r="G21" s="168">
        <v>303</v>
      </c>
      <c r="H21" s="168">
        <v>0</v>
      </c>
      <c r="I21" s="168">
        <v>0</v>
      </c>
      <c r="J21" s="168">
        <v>997.39</v>
      </c>
      <c r="K21" s="168" t="s">
        <v>787</v>
      </c>
      <c r="L21" s="168">
        <v>57.02</v>
      </c>
      <c r="M21" s="168">
        <v>1488765600</v>
      </c>
      <c r="N21" s="168">
        <v>10</v>
      </c>
      <c r="O21" s="168">
        <v>203</v>
      </c>
      <c r="P21" s="168">
        <v>7.5</v>
      </c>
      <c r="Q21"/>
      <c r="R21"/>
    </row>
    <row r="22" spans="1:18" x14ac:dyDescent="0.25">
      <c r="A22" s="168">
        <v>54.71</v>
      </c>
      <c r="B22" s="168">
        <v>0.27</v>
      </c>
      <c r="C22" s="168">
        <v>20.74</v>
      </c>
      <c r="D22" s="8">
        <v>42799.833333333336</v>
      </c>
      <c r="E22" s="168">
        <v>0.26</v>
      </c>
      <c r="F22" s="168" t="s">
        <v>786</v>
      </c>
      <c r="G22" s="168">
        <v>306.02</v>
      </c>
      <c r="H22" s="168">
        <v>0</v>
      </c>
      <c r="I22" s="168">
        <v>0</v>
      </c>
      <c r="J22" s="168">
        <v>997.32</v>
      </c>
      <c r="K22" s="168" t="s">
        <v>787</v>
      </c>
      <c r="L22" s="168">
        <v>54.71</v>
      </c>
      <c r="M22" s="168">
        <v>1488769200</v>
      </c>
      <c r="N22" s="168">
        <v>7.48</v>
      </c>
      <c r="O22" s="168">
        <v>200</v>
      </c>
      <c r="P22" s="168">
        <v>8.09</v>
      </c>
      <c r="Q22"/>
      <c r="R22"/>
    </row>
    <row r="23" spans="1:18" x14ac:dyDescent="0.25">
      <c r="A23" s="168">
        <v>52.74</v>
      </c>
      <c r="B23" s="168">
        <v>0.28000000000000003</v>
      </c>
      <c r="C23" s="168">
        <v>20.8</v>
      </c>
      <c r="D23" s="8">
        <v>42799.875</v>
      </c>
      <c r="E23" s="168">
        <v>0.28000000000000003</v>
      </c>
      <c r="F23" s="168" t="s">
        <v>786</v>
      </c>
      <c r="G23" s="168">
        <v>309.77</v>
      </c>
      <c r="H23" s="168">
        <v>0</v>
      </c>
      <c r="I23" s="168">
        <v>0</v>
      </c>
      <c r="J23" s="168">
        <v>996.54</v>
      </c>
      <c r="K23" s="168" t="s">
        <v>787</v>
      </c>
      <c r="L23" s="168">
        <v>52.74</v>
      </c>
      <c r="M23" s="168">
        <v>1488772800</v>
      </c>
      <c r="N23" s="168">
        <v>6.65</v>
      </c>
      <c r="O23" s="168">
        <v>204</v>
      </c>
      <c r="P23" s="168">
        <v>8.36</v>
      </c>
      <c r="Q23"/>
      <c r="R23"/>
    </row>
    <row r="24" spans="1:18" x14ac:dyDescent="0.25">
      <c r="A24" s="168">
        <v>52.11</v>
      </c>
      <c r="B24" s="168">
        <v>0.24</v>
      </c>
      <c r="C24" s="168">
        <v>23.18</v>
      </c>
      <c r="D24" s="8">
        <v>42799.916666666664</v>
      </c>
      <c r="E24" s="168">
        <v>0.32</v>
      </c>
      <c r="F24" s="168" t="s">
        <v>305</v>
      </c>
      <c r="G24" s="168">
        <v>314.23</v>
      </c>
      <c r="H24" s="168">
        <v>0</v>
      </c>
      <c r="I24" s="168">
        <v>0</v>
      </c>
      <c r="J24" s="168">
        <v>995.49</v>
      </c>
      <c r="K24" s="168" t="s">
        <v>306</v>
      </c>
      <c r="L24" s="168">
        <v>52.11</v>
      </c>
      <c r="M24" s="168">
        <v>1488776400</v>
      </c>
      <c r="N24" s="168">
        <v>6.72</v>
      </c>
      <c r="O24" s="168">
        <v>206</v>
      </c>
      <c r="P24" s="168">
        <v>9.59</v>
      </c>
      <c r="Q24"/>
      <c r="R24"/>
    </row>
    <row r="25" spans="1:18" x14ac:dyDescent="0.25">
      <c r="A25" s="168">
        <v>50.73</v>
      </c>
      <c r="B25" s="168">
        <v>0.22</v>
      </c>
      <c r="C25" s="168">
        <v>24.16</v>
      </c>
      <c r="D25" s="8">
        <v>42799.958333333336</v>
      </c>
      <c r="E25" s="168">
        <v>0.35</v>
      </c>
      <c r="F25" s="168" t="s">
        <v>305</v>
      </c>
      <c r="G25" s="168">
        <v>319.79000000000002</v>
      </c>
      <c r="H25" s="168">
        <v>0</v>
      </c>
      <c r="I25" s="168">
        <v>0</v>
      </c>
      <c r="J25" s="168">
        <v>994.74</v>
      </c>
      <c r="K25" s="168" t="s">
        <v>306</v>
      </c>
      <c r="L25" s="168">
        <v>50.73</v>
      </c>
      <c r="M25" s="168">
        <v>1488780000</v>
      </c>
      <c r="N25" s="168">
        <v>6.91</v>
      </c>
      <c r="O25" s="168">
        <v>207</v>
      </c>
      <c r="P25" s="168">
        <v>9.5399999999999991</v>
      </c>
      <c r="Q25"/>
      <c r="R25"/>
    </row>
    <row r="26" spans="1:18" x14ac:dyDescent="0.25">
      <c r="A26" s="168">
        <v>45.91</v>
      </c>
      <c r="B26" s="168">
        <v>0.25</v>
      </c>
      <c r="C26" s="168">
        <v>23.93</v>
      </c>
      <c r="D26" s="8">
        <v>42800</v>
      </c>
      <c r="E26" s="168">
        <v>0.36</v>
      </c>
      <c r="F26" s="168" t="s">
        <v>786</v>
      </c>
      <c r="G26" s="168">
        <v>327.64999999999998</v>
      </c>
      <c r="H26" s="168">
        <v>0</v>
      </c>
      <c r="I26" s="168">
        <v>0</v>
      </c>
      <c r="J26" s="168">
        <v>995.25</v>
      </c>
      <c r="K26" s="168" t="s">
        <v>787</v>
      </c>
      <c r="L26" s="168">
        <v>49.77</v>
      </c>
      <c r="M26" s="168">
        <v>1488783600</v>
      </c>
      <c r="N26" s="168">
        <v>7.07</v>
      </c>
      <c r="O26" s="168">
        <v>207</v>
      </c>
      <c r="P26" s="168">
        <v>9.5399999999999991</v>
      </c>
      <c r="Q26"/>
      <c r="R26"/>
    </row>
    <row r="27" spans="1:18" x14ac:dyDescent="0.25">
      <c r="A27" s="168">
        <v>45.24</v>
      </c>
      <c r="B27" s="168">
        <v>0.21</v>
      </c>
      <c r="C27" s="168">
        <v>23.67</v>
      </c>
      <c r="D27" s="8">
        <v>42800.041666666664</v>
      </c>
      <c r="E27" s="168">
        <v>0.36</v>
      </c>
      <c r="F27" s="168" t="s">
        <v>305</v>
      </c>
      <c r="G27" s="168">
        <v>335.52</v>
      </c>
      <c r="H27" s="168">
        <v>0</v>
      </c>
      <c r="I27" s="168">
        <v>0</v>
      </c>
      <c r="J27" s="168">
        <v>995.48</v>
      </c>
      <c r="K27" s="168" t="s">
        <v>306</v>
      </c>
      <c r="L27" s="168">
        <v>49.41</v>
      </c>
      <c r="M27" s="168">
        <v>1488787200</v>
      </c>
      <c r="N27" s="168">
        <v>6.99</v>
      </c>
      <c r="O27" s="168">
        <v>190</v>
      </c>
      <c r="P27" s="168">
        <v>10.19</v>
      </c>
      <c r="Q27"/>
      <c r="R27"/>
    </row>
    <row r="28" spans="1:18" x14ac:dyDescent="0.25">
      <c r="A28" s="168">
        <v>45.18</v>
      </c>
      <c r="B28" s="168">
        <v>0.22</v>
      </c>
      <c r="C28" s="168">
        <v>22.71</v>
      </c>
      <c r="D28" s="8">
        <v>42800.083333333336</v>
      </c>
      <c r="E28" s="168">
        <v>0.35</v>
      </c>
      <c r="F28" s="168" t="s">
        <v>305</v>
      </c>
      <c r="G28" s="168">
        <v>343.39</v>
      </c>
      <c r="H28" s="168">
        <v>0</v>
      </c>
      <c r="I28" s="168">
        <v>0</v>
      </c>
      <c r="J28" s="168">
        <v>995.63</v>
      </c>
      <c r="K28" s="168" t="s">
        <v>306</v>
      </c>
      <c r="L28" s="168">
        <v>49.28</v>
      </c>
      <c r="M28" s="168">
        <v>1488790800</v>
      </c>
      <c r="N28" s="168">
        <v>5.38</v>
      </c>
      <c r="O28" s="168">
        <v>199</v>
      </c>
      <c r="P28" s="168">
        <v>9.92</v>
      </c>
      <c r="Q28"/>
      <c r="R28"/>
    </row>
    <row r="29" spans="1:18" x14ac:dyDescent="0.25">
      <c r="A29" s="168">
        <v>39.130000000000003</v>
      </c>
      <c r="B29" s="168">
        <v>0.32</v>
      </c>
      <c r="C29" s="168">
        <v>18.22</v>
      </c>
      <c r="D29" s="8">
        <v>42800.125</v>
      </c>
      <c r="E29" s="168">
        <v>0.34</v>
      </c>
      <c r="F29" s="168" t="s">
        <v>786</v>
      </c>
      <c r="G29" s="168">
        <v>352.46</v>
      </c>
      <c r="H29" s="168">
        <v>0</v>
      </c>
      <c r="I29" s="168">
        <v>0</v>
      </c>
      <c r="J29" s="168">
        <v>995.88</v>
      </c>
      <c r="K29" s="168" t="s">
        <v>787</v>
      </c>
      <c r="L29" s="168">
        <v>44.68</v>
      </c>
      <c r="M29" s="168">
        <v>1488794400</v>
      </c>
      <c r="N29" s="168">
        <v>7.44</v>
      </c>
      <c r="O29" s="168">
        <v>202</v>
      </c>
      <c r="P29" s="168">
        <v>10.85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189</v>
      </c>
      <c r="J17" s="160"/>
      <c r="K17" s="161"/>
      <c r="L17" s="161"/>
    </row>
    <row r="18" spans="3:14" x14ac:dyDescent="0.25">
      <c r="C18" t="s">
        <v>919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920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921</v>
      </c>
      <c r="J20" s="152" t="s">
        <v>87</v>
      </c>
      <c r="M20" s="168" t="s">
        <v>938</v>
      </c>
      <c r="N20" s="168" t="s">
        <v>265</v>
      </c>
    </row>
    <row r="21" spans="3:14" x14ac:dyDescent="0.25">
      <c r="C21" t="s">
        <v>922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923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924</v>
      </c>
      <c r="J23" s="162" t="s">
        <v>95</v>
      </c>
      <c r="M23" s="168" t="str">
        <f>"-07"</f>
        <v>-07</v>
      </c>
    </row>
    <row r="24" spans="3:14" x14ac:dyDescent="0.25">
      <c r="C24" t="s">
        <v>925</v>
      </c>
      <c r="J24" s="152" t="s">
        <v>108</v>
      </c>
      <c r="M24" s="168" t="s">
        <v>110</v>
      </c>
    </row>
    <row r="25" spans="3:14" x14ac:dyDescent="0.25">
      <c r="C25" t="s">
        <v>926</v>
      </c>
      <c r="J25" s="152" t="s">
        <v>150</v>
      </c>
      <c r="M25" s="168" t="b">
        <v>1</v>
      </c>
    </row>
    <row r="26" spans="3:14" x14ac:dyDescent="0.25">
      <c r="C26" t="s">
        <v>927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C:\Users\stu\Documents\GitHub\eaglep3-reporting\EC\2017-03-05-refined-times.txt</v>
      </c>
    </row>
    <row r="27" spans="3:14" x14ac:dyDescent="0.25">
      <c r="C27" t="s">
        <v>928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C:\Users\stu\Documents\GitHub\eaglep3-reporting\EC\2017-03-05-Enforcements.txt</v>
      </c>
    </row>
    <row r="28" spans="3:14" x14ac:dyDescent="0.25">
      <c r="C28" t="s">
        <v>929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C:\Users\stu\Documents\GitHub\eaglep3-reporting\EC\2017-03-05-Runs-refined.txt</v>
      </c>
    </row>
    <row r="29" spans="3:14" x14ac:dyDescent="0.25">
      <c r="C29" t="s">
        <v>930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C:\Users\stu\Documents\GitHub\eaglep3-reporting\EC\2017-03-05-Trips.txt</v>
      </c>
    </row>
    <row r="30" spans="3:14" x14ac:dyDescent="0.25">
      <c r="C30" t="s">
        <v>931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C:\Users\stu\Documents\GitHub\eaglep3-reporting\EC\2017-03-05-Weather.txt</v>
      </c>
    </row>
    <row r="31" spans="3:14" x14ac:dyDescent="0.25">
      <c r="C31" t="s">
        <v>932</v>
      </c>
      <c r="J31" s="152" t="s">
        <v>207</v>
      </c>
      <c r="M31" s="168" t="s">
        <v>208</v>
      </c>
    </row>
    <row r="32" spans="3:14" x14ac:dyDescent="0.25">
      <c r="C32" t="s">
        <v>933</v>
      </c>
    </row>
    <row r="33" spans="3:3" x14ac:dyDescent="0.25">
      <c r="C33" t="s">
        <v>934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349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350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351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352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353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354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355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356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357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358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359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360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361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362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363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364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365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366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367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368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369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370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371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372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373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374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375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376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377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378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379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380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381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382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383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384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385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386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387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388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389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390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391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392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393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394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395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396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397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398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399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400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401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402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403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404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405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406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407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408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409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410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411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412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413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414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415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416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417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418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419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420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421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422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423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424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425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426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427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428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429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430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431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432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433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434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435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436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437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438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439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440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441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442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443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444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445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446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447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448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449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450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451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452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453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454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455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456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457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458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459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460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461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462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463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464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465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466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467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468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469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470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471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472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473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474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475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476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477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478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2017-03-07T19:27:51Z</dcterms:modified>
</cp:coreProperties>
</file>