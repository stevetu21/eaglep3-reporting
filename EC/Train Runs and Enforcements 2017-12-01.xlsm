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Runs'!$A$12:$AG$513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Runs'!$A$12:$J$78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60" i="1" l="1"/>
  <c r="L160" i="1"/>
  <c r="M160" i="1"/>
  <c r="N160" i="1" s="1"/>
  <c r="V160" i="1"/>
  <c r="AA160" i="1"/>
  <c r="AB160" i="1"/>
  <c r="AC160" i="1"/>
  <c r="AD160" i="1"/>
  <c r="T160" i="1" s="1"/>
  <c r="AE160" i="1"/>
  <c r="AF160" i="1"/>
  <c r="AH160" i="1"/>
  <c r="AM160" i="1"/>
  <c r="AN160" i="1"/>
  <c r="AO160" i="1"/>
  <c r="X154" i="1"/>
  <c r="K151" i="1"/>
  <c r="L151" i="1"/>
  <c r="M151" i="1"/>
  <c r="N151" i="1" s="1"/>
  <c r="V151" i="1"/>
  <c r="AA151" i="1"/>
  <c r="AB151" i="1"/>
  <c r="AC151" i="1"/>
  <c r="AD151" i="1"/>
  <c r="T151" i="1" s="1"/>
  <c r="AE151" i="1"/>
  <c r="AF151" i="1"/>
  <c r="AH151" i="1"/>
  <c r="AM151" i="1"/>
  <c r="AN151" i="1"/>
  <c r="AO151" i="1"/>
  <c r="P122" i="1"/>
  <c r="K59" i="1"/>
  <c r="L59" i="1"/>
  <c r="V59" i="1"/>
  <c r="AA59" i="1"/>
  <c r="AB59" i="1"/>
  <c r="AC59" i="1"/>
  <c r="AD59" i="1"/>
  <c r="T59" i="1" s="1"/>
  <c r="AE59" i="1"/>
  <c r="AF59" i="1"/>
  <c r="AH59" i="1"/>
  <c r="AM59" i="1"/>
  <c r="AN59" i="1"/>
  <c r="AO59" i="1"/>
  <c r="K14" i="1"/>
  <c r="L14" i="1"/>
  <c r="M14" i="1"/>
  <c r="N14" i="1" s="1"/>
  <c r="V14" i="1"/>
  <c r="Y14" i="1"/>
  <c r="Z14" i="1"/>
  <c r="AB14" i="1"/>
  <c r="AC14" i="1"/>
  <c r="AD14" i="1"/>
  <c r="AE14" i="1"/>
  <c r="R8" i="3" s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A17" i="1" s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A18" i="1" s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A21" i="1" s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A22" i="1" s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A25" i="1" s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A29" i="1" s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P32" i="1" s="1"/>
  <c r="V32" i="1"/>
  <c r="Y32" i="1"/>
  <c r="AA32" i="1" s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A40" i="1" s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/>
  <c r="V44" i="1"/>
  <c r="Y44" i="1"/>
  <c r="AA44" i="1" s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A48" i="1" s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/>
  <c r="V52" i="1"/>
  <c r="Y52" i="1"/>
  <c r="AA52" i="1" s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S7" i="3" s="1"/>
  <c r="Y54" i="1"/>
  <c r="Z54" i="1"/>
  <c r="AB54" i="1"/>
  <c r="AC54" i="1"/>
  <c r="AD54" i="1"/>
  <c r="AE54" i="1"/>
  <c r="R7" i="3" s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A58" i="1" s="1"/>
  <c r="AB58" i="1"/>
  <c r="AC58" i="1"/>
  <c r="AD58" i="1"/>
  <c r="T58" i="1" s="1"/>
  <c r="AE58" i="1"/>
  <c r="AF58" i="1"/>
  <c r="AH58" i="1"/>
  <c r="AM58" i="1"/>
  <c r="AN58" i="1"/>
  <c r="AO58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AA64" i="1" s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A67" i="1" s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AA69" i="1" s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P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AA77" i="1" s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A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P88" i="1" s="1"/>
  <c r="V88" i="1"/>
  <c r="Y88" i="1"/>
  <c r="Z88" i="1"/>
  <c r="AB88" i="1"/>
  <c r="AC88" i="1"/>
  <c r="AD88" i="1"/>
  <c r="AE88" i="1"/>
  <c r="R12" i="3" s="1"/>
  <c r="AF88" i="1"/>
  <c r="AH88" i="1"/>
  <c r="AM88" i="1"/>
  <c r="AN88" i="1"/>
  <c r="AO88" i="1"/>
  <c r="K89" i="1"/>
  <c r="L89" i="1"/>
  <c r="M89" i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A93" i="1" s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P95" i="1" s="1"/>
  <c r="V95" i="1"/>
  <c r="S13" i="3" s="1"/>
  <c r="Y95" i="1"/>
  <c r="Z95" i="1"/>
  <c r="AB95" i="1"/>
  <c r="AC95" i="1"/>
  <c r="AD95" i="1"/>
  <c r="AE95" i="1"/>
  <c r="AF95" i="1"/>
  <c r="AH95" i="1"/>
  <c r="AM95" i="1"/>
  <c r="AN95" i="1"/>
  <c r="AO95" i="1"/>
  <c r="K96" i="1"/>
  <c r="L96" i="1"/>
  <c r="M96" i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A102" i="1" s="1"/>
  <c r="AB102" i="1"/>
  <c r="AC102" i="1"/>
  <c r="AD102" i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A106" i="1" s="1"/>
  <c r="AB106" i="1"/>
  <c r="AC106" i="1"/>
  <c r="AD106" i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AO110" i="1"/>
  <c r="K111" i="1"/>
  <c r="L111" i="1"/>
  <c r="M111" i="1"/>
  <c r="N111" i="1"/>
  <c r="V111" i="1"/>
  <c r="S14" i="3" s="1"/>
  <c r="Y111" i="1"/>
  <c r="Z111" i="1"/>
  <c r="AB111" i="1"/>
  <c r="AC111" i="1"/>
  <c r="AD111" i="1"/>
  <c r="T111" i="1" s="1"/>
  <c r="AE111" i="1"/>
  <c r="R14" i="3" s="1"/>
  <c r="AF111" i="1"/>
  <c r="AH111" i="1"/>
  <c r="AM111" i="1"/>
  <c r="AN111" i="1"/>
  <c r="AO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A113" i="1" s="1"/>
  <c r="AB113" i="1"/>
  <c r="AC113" i="1"/>
  <c r="AD113" i="1"/>
  <c r="T113" i="1" s="1"/>
  <c r="AE113" i="1"/>
  <c r="AF113" i="1"/>
  <c r="AH113" i="1"/>
  <c r="AM113" i="1"/>
  <c r="AN113" i="1"/>
  <c r="AO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AO114" i="1"/>
  <c r="K115" i="1"/>
  <c r="L115" i="1"/>
  <c r="M115" i="1"/>
  <c r="N115" i="1" s="1"/>
  <c r="V115" i="1"/>
  <c r="Y115" i="1"/>
  <c r="Z115" i="1"/>
  <c r="AA115" i="1" s="1"/>
  <c r="AB115" i="1"/>
  <c r="AC115" i="1"/>
  <c r="AD115" i="1"/>
  <c r="T115" i="1" s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A117" i="1" s="1"/>
  <c r="AB117" i="1"/>
  <c r="AC117" i="1"/>
  <c r="AD117" i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A119" i="1" s="1"/>
  <c r="AB119" i="1"/>
  <c r="AC119" i="1"/>
  <c r="AD119" i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AO121" i="1"/>
  <c r="K122" i="1"/>
  <c r="L122" i="1"/>
  <c r="M122" i="1"/>
  <c r="V122" i="1"/>
  <c r="S15" i="3" s="1"/>
  <c r="Y122" i="1"/>
  <c r="Z122" i="1"/>
  <c r="AB122" i="1"/>
  <c r="AC122" i="1"/>
  <c r="AD122" i="1"/>
  <c r="AE122" i="1"/>
  <c r="R15" i="3" s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AO123" i="1"/>
  <c r="K124" i="1"/>
  <c r="L124" i="1"/>
  <c r="M124" i="1"/>
  <c r="N124" i="1"/>
  <c r="V124" i="1"/>
  <c r="Y124" i="1"/>
  <c r="AA124" i="1" s="1"/>
  <c r="Z124" i="1"/>
  <c r="AB124" i="1"/>
  <c r="AC124" i="1"/>
  <c r="AD124" i="1"/>
  <c r="AE124" i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A125" i="1" s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A127" i="1" s="1"/>
  <c r="AB127" i="1"/>
  <c r="AC127" i="1"/>
  <c r="AD127" i="1"/>
  <c r="AE127" i="1"/>
  <c r="R9" i="3" s="1"/>
  <c r="AF127" i="1"/>
  <c r="AH127" i="1"/>
  <c r="AM127" i="1"/>
  <c r="AN127" i="1"/>
  <c r="AO127" i="1"/>
  <c r="K128" i="1"/>
  <c r="L128" i="1"/>
  <c r="M128" i="1"/>
  <c r="P128" i="1" s="1"/>
  <c r="V128" i="1"/>
  <c r="Y128" i="1"/>
  <c r="Z128" i="1"/>
  <c r="AB128" i="1"/>
  <c r="AC128" i="1"/>
  <c r="AD128" i="1"/>
  <c r="AE128" i="1"/>
  <c r="R16" i="3" s="1"/>
  <c r="AF128" i="1"/>
  <c r="AH128" i="1"/>
  <c r="AM128" i="1"/>
  <c r="AN128" i="1"/>
  <c r="AO128" i="1"/>
  <c r="K129" i="1"/>
  <c r="L129" i="1"/>
  <c r="M129" i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/>
  <c r="V130" i="1"/>
  <c r="Y130" i="1"/>
  <c r="Z130" i="1"/>
  <c r="AA130" i="1"/>
  <c r="AB130" i="1"/>
  <c r="AC130" i="1"/>
  <c r="AD130" i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31" i="1"/>
  <c r="AM131" i="1"/>
  <c r="AN131" i="1"/>
  <c r="AO131" i="1"/>
  <c r="K132" i="1"/>
  <c r="L132" i="1"/>
  <c r="M132" i="1"/>
  <c r="N132" i="1"/>
  <c r="V132" i="1"/>
  <c r="Y132" i="1"/>
  <c r="Z132" i="1"/>
  <c r="AB132" i="1"/>
  <c r="AC132" i="1"/>
  <c r="AD132" i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/>
  <c r="V134" i="1"/>
  <c r="Y134" i="1"/>
  <c r="AA134" i="1" s="1"/>
  <c r="Z134" i="1"/>
  <c r="AB134" i="1"/>
  <c r="AC134" i="1"/>
  <c r="AD134" i="1"/>
  <c r="AE134" i="1"/>
  <c r="AF134" i="1"/>
  <c r="AH134" i="1"/>
  <c r="AM134" i="1"/>
  <c r="AN134" i="1"/>
  <c r="AO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AO135" i="1"/>
  <c r="K136" i="1"/>
  <c r="L136" i="1"/>
  <c r="M136" i="1"/>
  <c r="N136" i="1"/>
  <c r="V136" i="1"/>
  <c r="Y136" i="1"/>
  <c r="Z136" i="1"/>
  <c r="AB136" i="1"/>
  <c r="AC136" i="1"/>
  <c r="AD136" i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AO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AO139" i="1"/>
  <c r="K140" i="1"/>
  <c r="L140" i="1"/>
  <c r="M140" i="1"/>
  <c r="N140" i="1"/>
  <c r="V140" i="1"/>
  <c r="Y140" i="1"/>
  <c r="Z140" i="1"/>
  <c r="AB140" i="1"/>
  <c r="AC140" i="1"/>
  <c r="AD140" i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AO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AO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AO150" i="1"/>
  <c r="K152" i="1"/>
  <c r="L152" i="1"/>
  <c r="M152" i="1"/>
  <c r="N152" i="1" s="1"/>
  <c r="V152" i="1"/>
  <c r="Y152" i="1"/>
  <c r="Z152" i="1"/>
  <c r="AA152" i="1" s="1"/>
  <c r="AB152" i="1"/>
  <c r="AC152" i="1"/>
  <c r="AD152" i="1"/>
  <c r="T152" i="1" s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A153" i="1" s="1"/>
  <c r="AB153" i="1"/>
  <c r="AC153" i="1"/>
  <c r="AD153" i="1"/>
  <c r="T153" i="1" s="1"/>
  <c r="AE153" i="1"/>
  <c r="AF153" i="1"/>
  <c r="AH153" i="1"/>
  <c r="AM153" i="1"/>
  <c r="AN153" i="1"/>
  <c r="AO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AO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AO155" i="1"/>
  <c r="K156" i="1"/>
  <c r="L156" i="1"/>
  <c r="M156" i="1"/>
  <c r="N156" i="1" s="1"/>
  <c r="V156" i="1"/>
  <c r="Y156" i="1"/>
  <c r="Z156" i="1"/>
  <c r="AA156" i="1" s="1"/>
  <c r="AB156" i="1"/>
  <c r="AC156" i="1"/>
  <c r="AD156" i="1"/>
  <c r="T156" i="1" s="1"/>
  <c r="AE156" i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A157" i="1" s="1"/>
  <c r="AB157" i="1"/>
  <c r="AC157" i="1"/>
  <c r="AD157" i="1"/>
  <c r="T157" i="1" s="1"/>
  <c r="AE157" i="1"/>
  <c r="AF157" i="1"/>
  <c r="AH157" i="1"/>
  <c r="AM157" i="1"/>
  <c r="AN157" i="1"/>
  <c r="AO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AO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AO159" i="1"/>
  <c r="K161" i="1"/>
  <c r="L161" i="1"/>
  <c r="M161" i="1"/>
  <c r="N161" i="1" s="1"/>
  <c r="V161" i="1"/>
  <c r="Y161" i="1"/>
  <c r="Z161" i="1"/>
  <c r="AA161" i="1" s="1"/>
  <c r="AB161" i="1"/>
  <c r="AC161" i="1"/>
  <c r="AD161" i="1"/>
  <c r="T161" i="1" s="1"/>
  <c r="AE161" i="1"/>
  <c r="AF161" i="1"/>
  <c r="AH161" i="1"/>
  <c r="AM161" i="1"/>
  <c r="AN161" i="1"/>
  <c r="AO161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H162" i="1"/>
  <c r="AM162" i="1"/>
  <c r="AN162" i="1"/>
  <c r="AO162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3" i="1"/>
  <c r="AM163" i="1"/>
  <c r="AN163" i="1"/>
  <c r="AO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AM164" i="1"/>
  <c r="AN164" i="1"/>
  <c r="AO164" i="1"/>
  <c r="K214" i="1"/>
  <c r="L214" i="1"/>
  <c r="M214" i="1"/>
  <c r="N214" i="1" s="1"/>
  <c r="V214" i="1"/>
  <c r="Y214" i="1"/>
  <c r="Z214" i="1"/>
  <c r="AA214" i="1" s="1"/>
  <c r="AB214" i="1"/>
  <c r="AC214" i="1"/>
  <c r="AD214" i="1"/>
  <c r="T214" i="1" s="1"/>
  <c r="AE214" i="1"/>
  <c r="AF214" i="1"/>
  <c r="AH165" i="1"/>
  <c r="AM165" i="1"/>
  <c r="AN165" i="1"/>
  <c r="AO165" i="1"/>
  <c r="K215" i="1"/>
  <c r="L215" i="1"/>
  <c r="M215" i="1"/>
  <c r="N215" i="1" s="1"/>
  <c r="V215" i="1"/>
  <c r="Y215" i="1"/>
  <c r="Z215" i="1"/>
  <c r="AA215" i="1" s="1"/>
  <c r="AB215" i="1"/>
  <c r="AC215" i="1"/>
  <c r="AD215" i="1"/>
  <c r="T215" i="1" s="1"/>
  <c r="AE215" i="1"/>
  <c r="AF215" i="1"/>
  <c r="AH166" i="1"/>
  <c r="AM166" i="1"/>
  <c r="AN166" i="1"/>
  <c r="AO166" i="1"/>
  <c r="K216" i="1"/>
  <c r="L216" i="1"/>
  <c r="M216" i="1"/>
  <c r="N216" i="1"/>
  <c r="V216" i="1"/>
  <c r="S20" i="3" s="1"/>
  <c r="Y216" i="1"/>
  <c r="Z216" i="1"/>
  <c r="AA216" i="1"/>
  <c r="AB216" i="1"/>
  <c r="AC216" i="1"/>
  <c r="AD216" i="1"/>
  <c r="T216" i="1" s="1"/>
  <c r="AE216" i="1"/>
  <c r="R20" i="3" s="1"/>
  <c r="AF216" i="1"/>
  <c r="AH167" i="1"/>
  <c r="AM167" i="1"/>
  <c r="AN167" i="1"/>
  <c r="AO167" i="1"/>
  <c r="K217" i="1"/>
  <c r="L217" i="1"/>
  <c r="M217" i="1"/>
  <c r="N217" i="1" s="1"/>
  <c r="V217" i="1"/>
  <c r="Y217" i="1"/>
  <c r="Z217" i="1"/>
  <c r="AA217" i="1" s="1"/>
  <c r="AB217" i="1"/>
  <c r="AC217" i="1"/>
  <c r="AD217" i="1"/>
  <c r="T217" i="1" s="1"/>
  <c r="AE217" i="1"/>
  <c r="AF217" i="1"/>
  <c r="AH168" i="1"/>
  <c r="AM168" i="1"/>
  <c r="AN168" i="1"/>
  <c r="AO168" i="1"/>
  <c r="K218" i="1"/>
  <c r="L218" i="1"/>
  <c r="M218" i="1"/>
  <c r="N218" i="1"/>
  <c r="V218" i="1"/>
  <c r="Y218" i="1"/>
  <c r="Z218" i="1"/>
  <c r="AB218" i="1"/>
  <c r="AC218" i="1"/>
  <c r="AD218" i="1"/>
  <c r="T218" i="1" s="1"/>
  <c r="AE218" i="1"/>
  <c r="AF218" i="1"/>
  <c r="AH169" i="1"/>
  <c r="AM169" i="1"/>
  <c r="AN169" i="1"/>
  <c r="AO169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0" i="1"/>
  <c r="AM170" i="1"/>
  <c r="AN170" i="1"/>
  <c r="AO170" i="1"/>
  <c r="K220" i="1"/>
  <c r="L220" i="1"/>
  <c r="M220" i="1"/>
  <c r="N220" i="1"/>
  <c r="V220" i="1"/>
  <c r="Y220" i="1"/>
  <c r="Z220" i="1"/>
  <c r="AB220" i="1"/>
  <c r="AC220" i="1"/>
  <c r="AD220" i="1"/>
  <c r="AE220" i="1"/>
  <c r="AF220" i="1"/>
  <c r="AH171" i="1"/>
  <c r="AM171" i="1"/>
  <c r="AN171" i="1"/>
  <c r="AO171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72" i="1"/>
  <c r="AM172" i="1"/>
  <c r="AN172" i="1"/>
  <c r="AO172" i="1"/>
  <c r="K222" i="1"/>
  <c r="L222" i="1"/>
  <c r="M222" i="1"/>
  <c r="N222" i="1"/>
  <c r="V222" i="1"/>
  <c r="Y222" i="1"/>
  <c r="AA222" i="1" s="1"/>
  <c r="Z222" i="1"/>
  <c r="AB222" i="1"/>
  <c r="AC222" i="1"/>
  <c r="AD222" i="1"/>
  <c r="AE222" i="1"/>
  <c r="AF222" i="1"/>
  <c r="AH173" i="1"/>
  <c r="AM173" i="1"/>
  <c r="AN173" i="1"/>
  <c r="AO173" i="1"/>
  <c r="K228" i="1"/>
  <c r="L228" i="1"/>
  <c r="M228" i="1"/>
  <c r="N228" i="1" s="1"/>
  <c r="V228" i="1"/>
  <c r="Y228" i="1"/>
  <c r="Z228" i="1"/>
  <c r="AA228" i="1" s="1"/>
  <c r="AB228" i="1"/>
  <c r="AC228" i="1"/>
  <c r="AD228" i="1"/>
  <c r="AE228" i="1"/>
  <c r="AF228" i="1"/>
  <c r="AH174" i="1"/>
  <c r="AM174" i="1"/>
  <c r="AN174" i="1"/>
  <c r="AO174" i="1"/>
  <c r="K229" i="1"/>
  <c r="L229" i="1"/>
  <c r="M229" i="1"/>
  <c r="N229" i="1" s="1"/>
  <c r="V229" i="1"/>
  <c r="Y229" i="1"/>
  <c r="Z229" i="1"/>
  <c r="AA229" i="1" s="1"/>
  <c r="AB229" i="1"/>
  <c r="AC229" i="1"/>
  <c r="AD229" i="1"/>
  <c r="AE229" i="1"/>
  <c r="AF229" i="1"/>
  <c r="AH175" i="1"/>
  <c r="AM175" i="1"/>
  <c r="AN175" i="1"/>
  <c r="AO175" i="1"/>
  <c r="K230" i="1"/>
  <c r="L230" i="1"/>
  <c r="M230" i="1"/>
  <c r="N230" i="1" s="1"/>
  <c r="V230" i="1"/>
  <c r="Y230" i="1"/>
  <c r="Z230" i="1"/>
  <c r="AA230" i="1" s="1"/>
  <c r="AB230" i="1"/>
  <c r="AC230" i="1"/>
  <c r="AD230" i="1"/>
  <c r="AE230" i="1"/>
  <c r="AF230" i="1"/>
  <c r="AH176" i="1"/>
  <c r="AM176" i="1"/>
  <c r="AN176" i="1"/>
  <c r="AO176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7" i="1"/>
  <c r="AM177" i="1"/>
  <c r="AN177" i="1"/>
  <c r="AO177" i="1"/>
  <c r="K232" i="1"/>
  <c r="L232" i="1"/>
  <c r="M232" i="1"/>
  <c r="N232" i="1" s="1"/>
  <c r="V232" i="1"/>
  <c r="Y232" i="1"/>
  <c r="Z232" i="1"/>
  <c r="AA232" i="1" s="1"/>
  <c r="AB232" i="1"/>
  <c r="AC232" i="1"/>
  <c r="AD232" i="1"/>
  <c r="AE232" i="1"/>
  <c r="AF232" i="1"/>
  <c r="AH178" i="1"/>
  <c r="AM178" i="1"/>
  <c r="AN178" i="1"/>
  <c r="AO178" i="1"/>
  <c r="K233" i="1"/>
  <c r="L233" i="1"/>
  <c r="M233" i="1"/>
  <c r="N233" i="1" s="1"/>
  <c r="V233" i="1"/>
  <c r="Y233" i="1"/>
  <c r="Z233" i="1"/>
  <c r="AA233" i="1" s="1"/>
  <c r="AB233" i="1"/>
  <c r="AC233" i="1"/>
  <c r="AD233" i="1"/>
  <c r="AE233" i="1"/>
  <c r="AF233" i="1"/>
  <c r="AH179" i="1"/>
  <c r="AM179" i="1"/>
  <c r="AN179" i="1"/>
  <c r="AO179" i="1"/>
  <c r="K234" i="1"/>
  <c r="L234" i="1"/>
  <c r="M234" i="1"/>
  <c r="N234" i="1" s="1"/>
  <c r="V234" i="1"/>
  <c r="Y234" i="1"/>
  <c r="Z234" i="1"/>
  <c r="AA234" i="1" s="1"/>
  <c r="AB234" i="1"/>
  <c r="AC234" i="1"/>
  <c r="AD234" i="1"/>
  <c r="AE234" i="1"/>
  <c r="AF234" i="1"/>
  <c r="AH180" i="1"/>
  <c r="AM180" i="1"/>
  <c r="AN180" i="1"/>
  <c r="AO180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1" i="1"/>
  <c r="AM181" i="1"/>
  <c r="AN181" i="1"/>
  <c r="AO181" i="1"/>
  <c r="K163" i="1"/>
  <c r="L163" i="1"/>
  <c r="M163" i="1"/>
  <c r="N163" i="1" s="1"/>
  <c r="V163" i="1"/>
  <c r="Y163" i="1"/>
  <c r="Z163" i="1"/>
  <c r="AA163" i="1" s="1"/>
  <c r="AB163" i="1"/>
  <c r="AC163" i="1"/>
  <c r="AD163" i="1"/>
  <c r="AE163" i="1"/>
  <c r="AF163" i="1"/>
  <c r="AH182" i="1"/>
  <c r="AM182" i="1"/>
  <c r="AN182" i="1"/>
  <c r="AO182" i="1"/>
  <c r="K164" i="1"/>
  <c r="L164" i="1"/>
  <c r="M164" i="1"/>
  <c r="N164" i="1"/>
  <c r="V164" i="1"/>
  <c r="Y164" i="1"/>
  <c r="Z164" i="1"/>
  <c r="AA164" i="1"/>
  <c r="AB164" i="1"/>
  <c r="AC164" i="1"/>
  <c r="AD164" i="1"/>
  <c r="AE164" i="1"/>
  <c r="AF164" i="1"/>
  <c r="AH183" i="1"/>
  <c r="AM183" i="1"/>
  <c r="AN183" i="1"/>
  <c r="AO183" i="1"/>
  <c r="K165" i="1"/>
  <c r="L165" i="1"/>
  <c r="M165" i="1"/>
  <c r="N165" i="1" s="1"/>
  <c r="V165" i="1"/>
  <c r="Y165" i="1"/>
  <c r="Z165" i="1"/>
  <c r="AA165" i="1" s="1"/>
  <c r="AB165" i="1"/>
  <c r="AC165" i="1"/>
  <c r="AD165" i="1"/>
  <c r="AE165" i="1"/>
  <c r="AF165" i="1"/>
  <c r="AH184" i="1"/>
  <c r="AM184" i="1"/>
  <c r="AN184" i="1"/>
  <c r="AO184" i="1"/>
  <c r="K166" i="1"/>
  <c r="L166" i="1"/>
  <c r="M166" i="1"/>
  <c r="N166" i="1"/>
  <c r="V166" i="1"/>
  <c r="Y166" i="1"/>
  <c r="Z166" i="1"/>
  <c r="AB166" i="1"/>
  <c r="AC166" i="1"/>
  <c r="AD166" i="1"/>
  <c r="AE166" i="1"/>
  <c r="AF166" i="1"/>
  <c r="AH185" i="1"/>
  <c r="AM185" i="1"/>
  <c r="AN185" i="1"/>
  <c r="AO185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6" i="1"/>
  <c r="AM186" i="1"/>
  <c r="AN186" i="1"/>
  <c r="AO186" i="1"/>
  <c r="K168" i="1"/>
  <c r="L168" i="1"/>
  <c r="M168" i="1"/>
  <c r="N168" i="1"/>
  <c r="V168" i="1"/>
  <c r="Y168" i="1"/>
  <c r="Z168" i="1"/>
  <c r="AB168" i="1"/>
  <c r="AC168" i="1"/>
  <c r="AD168" i="1"/>
  <c r="AE168" i="1"/>
  <c r="AF168" i="1"/>
  <c r="AH187" i="1"/>
  <c r="AM187" i="1"/>
  <c r="AN187" i="1"/>
  <c r="AO187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88" i="1"/>
  <c r="AM188" i="1"/>
  <c r="AN188" i="1"/>
  <c r="AO188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89" i="1"/>
  <c r="AM189" i="1"/>
  <c r="AN189" i="1"/>
  <c r="AO189" i="1"/>
  <c r="K171" i="1"/>
  <c r="L171" i="1"/>
  <c r="M171" i="1"/>
  <c r="N171" i="1" s="1"/>
  <c r="V171" i="1"/>
  <c r="Y171" i="1"/>
  <c r="Z171" i="1"/>
  <c r="AA171" i="1" s="1"/>
  <c r="AB171" i="1"/>
  <c r="AC171" i="1"/>
  <c r="AD171" i="1"/>
  <c r="AE171" i="1"/>
  <c r="AF171" i="1"/>
  <c r="AH190" i="1"/>
  <c r="AM190" i="1"/>
  <c r="AN190" i="1"/>
  <c r="AO190" i="1"/>
  <c r="K172" i="1"/>
  <c r="L172" i="1"/>
  <c r="M172" i="1"/>
  <c r="N172" i="1" s="1"/>
  <c r="V172" i="1"/>
  <c r="Y172" i="1"/>
  <c r="Z172" i="1"/>
  <c r="AA172" i="1" s="1"/>
  <c r="AB172" i="1"/>
  <c r="AC172" i="1"/>
  <c r="AD172" i="1"/>
  <c r="AE172" i="1"/>
  <c r="AF172" i="1"/>
  <c r="AH191" i="1"/>
  <c r="AM191" i="1"/>
  <c r="AN191" i="1"/>
  <c r="AO191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92" i="1"/>
  <c r="AM192" i="1"/>
  <c r="AN192" i="1"/>
  <c r="AO192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3" i="1"/>
  <c r="AM193" i="1"/>
  <c r="AN193" i="1"/>
  <c r="AO193" i="1"/>
  <c r="K175" i="1"/>
  <c r="L175" i="1"/>
  <c r="M175" i="1"/>
  <c r="N175" i="1" s="1"/>
  <c r="V175" i="1"/>
  <c r="Y175" i="1"/>
  <c r="Z175" i="1"/>
  <c r="AA175" i="1" s="1"/>
  <c r="AB175" i="1"/>
  <c r="AC175" i="1"/>
  <c r="AD175" i="1"/>
  <c r="AE175" i="1"/>
  <c r="AF175" i="1"/>
  <c r="AH194" i="1"/>
  <c r="AM194" i="1"/>
  <c r="AN194" i="1"/>
  <c r="AO194" i="1"/>
  <c r="K176" i="1"/>
  <c r="L176" i="1"/>
  <c r="M176" i="1"/>
  <c r="N176" i="1"/>
  <c r="V176" i="1"/>
  <c r="Y176" i="1"/>
  <c r="Z176" i="1"/>
  <c r="AA176" i="1"/>
  <c r="AB176" i="1"/>
  <c r="AC176" i="1"/>
  <c r="AD176" i="1"/>
  <c r="AE176" i="1"/>
  <c r="AF176" i="1"/>
  <c r="AH195" i="1"/>
  <c r="AM195" i="1"/>
  <c r="AN195" i="1"/>
  <c r="AO195" i="1"/>
  <c r="K177" i="1"/>
  <c r="L177" i="1"/>
  <c r="M177" i="1"/>
  <c r="N177" i="1" s="1"/>
  <c r="V177" i="1"/>
  <c r="Y177" i="1"/>
  <c r="Z177" i="1"/>
  <c r="AA177" i="1" s="1"/>
  <c r="AB177" i="1"/>
  <c r="AC177" i="1"/>
  <c r="AD177" i="1"/>
  <c r="AE177" i="1"/>
  <c r="AF177" i="1"/>
  <c r="AH196" i="1"/>
  <c r="AM196" i="1"/>
  <c r="AN196" i="1"/>
  <c r="AO196" i="1"/>
  <c r="K178" i="1"/>
  <c r="L178" i="1"/>
  <c r="M178" i="1"/>
  <c r="N178" i="1"/>
  <c r="V178" i="1"/>
  <c r="Y178" i="1"/>
  <c r="Z178" i="1"/>
  <c r="AB178" i="1"/>
  <c r="AC178" i="1"/>
  <c r="AD178" i="1"/>
  <c r="AE178" i="1"/>
  <c r="AF178" i="1"/>
  <c r="AH197" i="1"/>
  <c r="AM197" i="1"/>
  <c r="AN197" i="1"/>
  <c r="AO197" i="1"/>
  <c r="K179" i="1"/>
  <c r="L179" i="1"/>
  <c r="M179" i="1"/>
  <c r="N179" i="1" s="1"/>
  <c r="V179" i="1"/>
  <c r="Y179" i="1"/>
  <c r="Z179" i="1"/>
  <c r="AA179" i="1" s="1"/>
  <c r="AB179" i="1"/>
  <c r="AC179" i="1"/>
  <c r="AD179" i="1"/>
  <c r="AE179" i="1"/>
  <c r="AF179" i="1"/>
  <c r="AH198" i="1"/>
  <c r="AM198" i="1"/>
  <c r="AN198" i="1"/>
  <c r="AO198" i="1"/>
  <c r="K180" i="1"/>
  <c r="L180" i="1"/>
  <c r="M180" i="1"/>
  <c r="N180" i="1"/>
  <c r="V180" i="1"/>
  <c r="Y180" i="1"/>
  <c r="Z180" i="1"/>
  <c r="AB180" i="1"/>
  <c r="AC180" i="1"/>
  <c r="AD180" i="1"/>
  <c r="AE180" i="1"/>
  <c r="AF180" i="1"/>
  <c r="AH199" i="1"/>
  <c r="AM199" i="1"/>
  <c r="AN199" i="1"/>
  <c r="AO199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00" i="1"/>
  <c r="AM200" i="1"/>
  <c r="AN200" i="1"/>
  <c r="AO200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1" i="1"/>
  <c r="AM201" i="1"/>
  <c r="AN201" i="1"/>
  <c r="AO201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02" i="1"/>
  <c r="AM202" i="1"/>
  <c r="AN202" i="1"/>
  <c r="AO202" i="1"/>
  <c r="K184" i="1"/>
  <c r="L184" i="1"/>
  <c r="M184" i="1"/>
  <c r="N184" i="1"/>
  <c r="V184" i="1"/>
  <c r="S19" i="3" s="1"/>
  <c r="Y184" i="1"/>
  <c r="Z184" i="1"/>
  <c r="AB184" i="1"/>
  <c r="AC184" i="1"/>
  <c r="AD184" i="1"/>
  <c r="AE184" i="1"/>
  <c r="R19" i="3" s="1"/>
  <c r="AF184" i="1"/>
  <c r="AH203" i="1"/>
  <c r="AM203" i="1"/>
  <c r="AN203" i="1"/>
  <c r="AO203" i="1"/>
  <c r="K185" i="1"/>
  <c r="L185" i="1"/>
  <c r="M185" i="1"/>
  <c r="N185" i="1" s="1"/>
  <c r="V185" i="1"/>
  <c r="Y185" i="1"/>
  <c r="Z185" i="1"/>
  <c r="AB185" i="1"/>
  <c r="AC185" i="1"/>
  <c r="AD185" i="1"/>
  <c r="AE185" i="1"/>
  <c r="AF185" i="1"/>
  <c r="AH204" i="1"/>
  <c r="AM204" i="1"/>
  <c r="AN204" i="1"/>
  <c r="AO204" i="1"/>
  <c r="K186" i="1"/>
  <c r="L186" i="1"/>
  <c r="M186" i="1"/>
  <c r="N186" i="1"/>
  <c r="V186" i="1"/>
  <c r="Y186" i="1"/>
  <c r="Z186" i="1"/>
  <c r="AB186" i="1"/>
  <c r="AC186" i="1"/>
  <c r="AD186" i="1"/>
  <c r="AE186" i="1"/>
  <c r="AF186" i="1"/>
  <c r="AH205" i="1"/>
  <c r="AM205" i="1"/>
  <c r="AN205" i="1"/>
  <c r="AO205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06" i="1"/>
  <c r="AM206" i="1"/>
  <c r="AN206" i="1"/>
  <c r="AO206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07" i="1"/>
  <c r="AM207" i="1"/>
  <c r="AN207" i="1"/>
  <c r="AO207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08" i="1"/>
  <c r="AM208" i="1"/>
  <c r="AN208" i="1"/>
  <c r="AO208" i="1"/>
  <c r="K190" i="1"/>
  <c r="L190" i="1"/>
  <c r="M190" i="1"/>
  <c r="N190" i="1"/>
  <c r="V190" i="1"/>
  <c r="Y190" i="1"/>
  <c r="Z190" i="1"/>
  <c r="AB190" i="1"/>
  <c r="AC190" i="1"/>
  <c r="AD190" i="1"/>
  <c r="AE190" i="1"/>
  <c r="AF190" i="1"/>
  <c r="AH209" i="1"/>
  <c r="AM209" i="1"/>
  <c r="AN209" i="1"/>
  <c r="AO209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0" i="1"/>
  <c r="AM210" i="1"/>
  <c r="AN210" i="1"/>
  <c r="AO210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211" i="1"/>
  <c r="AM211" i="1"/>
  <c r="AN211" i="1"/>
  <c r="AO211" i="1"/>
  <c r="K193" i="1"/>
  <c r="L193" i="1"/>
  <c r="M193" i="1"/>
  <c r="N193" i="1" s="1"/>
  <c r="V193" i="1"/>
  <c r="Y193" i="1"/>
  <c r="Z193" i="1"/>
  <c r="AA193" i="1" s="1"/>
  <c r="AB193" i="1"/>
  <c r="AC193" i="1"/>
  <c r="AD193" i="1"/>
  <c r="AE193" i="1"/>
  <c r="AF193" i="1"/>
  <c r="AH212" i="1"/>
  <c r="AM212" i="1"/>
  <c r="AN212" i="1"/>
  <c r="AO212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3" i="1"/>
  <c r="AM213" i="1"/>
  <c r="AN213" i="1"/>
  <c r="AO213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14" i="1"/>
  <c r="AM214" i="1"/>
  <c r="AN214" i="1"/>
  <c r="AO214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15" i="1"/>
  <c r="AM215" i="1"/>
  <c r="AN215" i="1"/>
  <c r="AO215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16" i="1"/>
  <c r="AM216" i="1"/>
  <c r="AN216" i="1"/>
  <c r="AO216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17" i="1"/>
  <c r="AM217" i="1"/>
  <c r="AN217" i="1"/>
  <c r="AO217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18" i="1"/>
  <c r="AM218" i="1"/>
  <c r="AN218" i="1"/>
  <c r="AO218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19" i="1"/>
  <c r="AM219" i="1"/>
  <c r="AN219" i="1"/>
  <c r="AO219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20" i="1"/>
  <c r="AM220" i="1"/>
  <c r="AN220" i="1"/>
  <c r="AO220" i="1"/>
  <c r="K202" i="1"/>
  <c r="L202" i="1"/>
  <c r="M202" i="1"/>
  <c r="N202" i="1" s="1"/>
  <c r="V202" i="1"/>
  <c r="Y202" i="1"/>
  <c r="Z202" i="1"/>
  <c r="AA202" i="1" s="1"/>
  <c r="AB202" i="1"/>
  <c r="AC202" i="1"/>
  <c r="AD202" i="1"/>
  <c r="AE202" i="1"/>
  <c r="AF202" i="1"/>
  <c r="AH221" i="1"/>
  <c r="AM221" i="1"/>
  <c r="AN221" i="1"/>
  <c r="AO221" i="1"/>
  <c r="K203" i="1"/>
  <c r="L203" i="1"/>
  <c r="M203" i="1"/>
  <c r="N203" i="1"/>
  <c r="V203" i="1"/>
  <c r="Y203" i="1"/>
  <c r="Z203" i="1"/>
  <c r="AA203" i="1" s="1"/>
  <c r="AB203" i="1"/>
  <c r="AC203" i="1"/>
  <c r="AD203" i="1"/>
  <c r="AE203" i="1"/>
  <c r="AF203" i="1"/>
  <c r="AH222" i="1"/>
  <c r="AM222" i="1"/>
  <c r="AN222" i="1"/>
  <c r="AO222" i="1"/>
  <c r="K204" i="1"/>
  <c r="L204" i="1"/>
  <c r="M204" i="1"/>
  <c r="N204" i="1"/>
  <c r="V204" i="1"/>
  <c r="Y204" i="1"/>
  <c r="Z204" i="1"/>
  <c r="AA204" i="1" s="1"/>
  <c r="AB204" i="1"/>
  <c r="AC204" i="1"/>
  <c r="AD204" i="1"/>
  <c r="AE204" i="1"/>
  <c r="AF204" i="1"/>
  <c r="AH223" i="1"/>
  <c r="AM223" i="1"/>
  <c r="AN223" i="1"/>
  <c r="AO223" i="1"/>
  <c r="K205" i="1"/>
  <c r="L205" i="1"/>
  <c r="M205" i="1"/>
  <c r="N205" i="1"/>
  <c r="V205" i="1"/>
  <c r="Y205" i="1"/>
  <c r="Z205" i="1"/>
  <c r="AA205" i="1" s="1"/>
  <c r="AB205" i="1"/>
  <c r="AC205" i="1"/>
  <c r="AD205" i="1"/>
  <c r="AE205" i="1"/>
  <c r="AF205" i="1"/>
  <c r="AH224" i="1"/>
  <c r="AM224" i="1"/>
  <c r="AN224" i="1"/>
  <c r="AO224" i="1"/>
  <c r="K206" i="1"/>
  <c r="L206" i="1"/>
  <c r="M206" i="1"/>
  <c r="N206" i="1"/>
  <c r="V206" i="1"/>
  <c r="S18" i="3" s="1"/>
  <c r="Y206" i="1"/>
  <c r="Z206" i="1"/>
  <c r="AA206" i="1" s="1"/>
  <c r="AB206" i="1"/>
  <c r="AC206" i="1"/>
  <c r="AD206" i="1"/>
  <c r="AE206" i="1"/>
  <c r="R18" i="3" s="1"/>
  <c r="AF206" i="1"/>
  <c r="AH225" i="1"/>
  <c r="AM225" i="1"/>
  <c r="AN225" i="1"/>
  <c r="AO225" i="1"/>
  <c r="K207" i="1"/>
  <c r="L207" i="1"/>
  <c r="M207" i="1"/>
  <c r="N207" i="1"/>
  <c r="V207" i="1"/>
  <c r="Y207" i="1"/>
  <c r="Z207" i="1"/>
  <c r="AA207" i="1" s="1"/>
  <c r="AB207" i="1"/>
  <c r="AC207" i="1"/>
  <c r="AD207" i="1"/>
  <c r="AE207" i="1"/>
  <c r="AF207" i="1"/>
  <c r="AH226" i="1"/>
  <c r="AM226" i="1"/>
  <c r="AN226" i="1"/>
  <c r="AO226" i="1"/>
  <c r="K208" i="1"/>
  <c r="L208" i="1"/>
  <c r="M208" i="1"/>
  <c r="N208" i="1"/>
  <c r="V208" i="1"/>
  <c r="Y208" i="1"/>
  <c r="Z208" i="1"/>
  <c r="AA208" i="1" s="1"/>
  <c r="AB208" i="1"/>
  <c r="AC208" i="1"/>
  <c r="AD208" i="1"/>
  <c r="AE208" i="1"/>
  <c r="AF208" i="1"/>
  <c r="AH227" i="1"/>
  <c r="AM227" i="1"/>
  <c r="AN227" i="1"/>
  <c r="AO227" i="1"/>
  <c r="K209" i="1"/>
  <c r="L209" i="1"/>
  <c r="M209" i="1"/>
  <c r="N209" i="1"/>
  <c r="V209" i="1"/>
  <c r="Y209" i="1"/>
  <c r="Z209" i="1"/>
  <c r="AA209" i="1" s="1"/>
  <c r="AB209" i="1"/>
  <c r="AC209" i="1"/>
  <c r="AD209" i="1"/>
  <c r="AE209" i="1"/>
  <c r="AF209" i="1"/>
  <c r="AH228" i="1"/>
  <c r="AM228" i="1"/>
  <c r="AN228" i="1"/>
  <c r="AO228" i="1"/>
  <c r="K210" i="1"/>
  <c r="L210" i="1"/>
  <c r="M210" i="1"/>
  <c r="N210" i="1"/>
  <c r="V210" i="1"/>
  <c r="S17" i="3" s="1"/>
  <c r="Y210" i="1"/>
  <c r="Z210" i="1"/>
  <c r="AA210" i="1" s="1"/>
  <c r="AB210" i="1"/>
  <c r="AC210" i="1"/>
  <c r="AD210" i="1"/>
  <c r="AE210" i="1"/>
  <c r="R17" i="3" s="1"/>
  <c r="AF210" i="1"/>
  <c r="AH229" i="1"/>
  <c r="AM229" i="1"/>
  <c r="AN229" i="1"/>
  <c r="AO229" i="1"/>
  <c r="K223" i="1"/>
  <c r="L223" i="1"/>
  <c r="M223" i="1"/>
  <c r="N223" i="1"/>
  <c r="V223" i="1"/>
  <c r="Y223" i="1"/>
  <c r="Z223" i="1"/>
  <c r="AA223" i="1" s="1"/>
  <c r="AB223" i="1"/>
  <c r="AC223" i="1"/>
  <c r="AD223" i="1"/>
  <c r="AE223" i="1"/>
  <c r="AF223" i="1"/>
  <c r="AH230" i="1"/>
  <c r="AM230" i="1"/>
  <c r="AN230" i="1"/>
  <c r="AO230" i="1"/>
  <c r="K224" i="1"/>
  <c r="L224" i="1"/>
  <c r="M224" i="1"/>
  <c r="N224" i="1"/>
  <c r="V224" i="1"/>
  <c r="Y224" i="1"/>
  <c r="Z224" i="1"/>
  <c r="AA224" i="1" s="1"/>
  <c r="AB224" i="1"/>
  <c r="AC224" i="1"/>
  <c r="AD224" i="1"/>
  <c r="AE224" i="1"/>
  <c r="AF224" i="1"/>
  <c r="AH231" i="1"/>
  <c r="AM231" i="1"/>
  <c r="AN231" i="1"/>
  <c r="AO231" i="1"/>
  <c r="K225" i="1"/>
  <c r="L225" i="1"/>
  <c r="M225" i="1"/>
  <c r="N225" i="1"/>
  <c r="V225" i="1"/>
  <c r="Y225" i="1"/>
  <c r="Z225" i="1"/>
  <c r="AA225" i="1" s="1"/>
  <c r="AB225" i="1"/>
  <c r="AC225" i="1"/>
  <c r="AD225" i="1"/>
  <c r="AE225" i="1"/>
  <c r="AF225" i="1"/>
  <c r="AH232" i="1"/>
  <c r="AM232" i="1"/>
  <c r="AN232" i="1"/>
  <c r="AO232" i="1"/>
  <c r="K226" i="1"/>
  <c r="L226" i="1"/>
  <c r="M226" i="1"/>
  <c r="N226" i="1"/>
  <c r="V226" i="1"/>
  <c r="Y226" i="1"/>
  <c r="Z226" i="1"/>
  <c r="AA226" i="1" s="1"/>
  <c r="AB226" i="1"/>
  <c r="AC226" i="1"/>
  <c r="AD226" i="1"/>
  <c r="AE226" i="1"/>
  <c r="AF226" i="1"/>
  <c r="AH233" i="1"/>
  <c r="AM233" i="1"/>
  <c r="AN233" i="1"/>
  <c r="AO233" i="1"/>
  <c r="K227" i="1"/>
  <c r="L227" i="1"/>
  <c r="M227" i="1"/>
  <c r="N227" i="1"/>
  <c r="V227" i="1"/>
  <c r="Y227" i="1"/>
  <c r="Z227" i="1"/>
  <c r="AA227" i="1" s="1"/>
  <c r="AB227" i="1"/>
  <c r="AC227" i="1"/>
  <c r="AD227" i="1"/>
  <c r="AE227" i="1"/>
  <c r="AF227" i="1"/>
  <c r="AH234" i="1"/>
  <c r="AM234" i="1"/>
  <c r="AN234" i="1"/>
  <c r="AO234" i="1"/>
  <c r="M10" i="3"/>
  <c r="R10" i="3"/>
  <c r="S10" i="3"/>
  <c r="U10" i="3"/>
  <c r="T10" i="3" s="1"/>
  <c r="V10" i="3"/>
  <c r="X10" i="3"/>
  <c r="M7" i="3"/>
  <c r="U7" i="3"/>
  <c r="AC7" i="3" s="1"/>
  <c r="V7" i="3"/>
  <c r="X7" i="3"/>
  <c r="M19" i="3"/>
  <c r="U19" i="3"/>
  <c r="T19" i="3" s="1"/>
  <c r="V19" i="3"/>
  <c r="X19" i="3"/>
  <c r="M12" i="3"/>
  <c r="S12" i="3"/>
  <c r="U12" i="3"/>
  <c r="AC12" i="3" s="1"/>
  <c r="V12" i="3"/>
  <c r="X12" i="3"/>
  <c r="M13" i="3"/>
  <c r="R13" i="3"/>
  <c r="U13" i="3"/>
  <c r="AC13" i="3" s="1"/>
  <c r="V13" i="3"/>
  <c r="X13" i="3"/>
  <c r="M11" i="3"/>
  <c r="R11" i="3"/>
  <c r="S11" i="3"/>
  <c r="U11" i="3"/>
  <c r="V11" i="3"/>
  <c r="X11" i="3"/>
  <c r="M14" i="3"/>
  <c r="U14" i="3"/>
  <c r="V14" i="3"/>
  <c r="X14" i="3"/>
  <c r="M9" i="3"/>
  <c r="S9" i="3"/>
  <c r="U9" i="3"/>
  <c r="AC9" i="3" s="1"/>
  <c r="V9" i="3"/>
  <c r="X9" i="3"/>
  <c r="M15" i="3"/>
  <c r="U15" i="3"/>
  <c r="AC15" i="3" s="1"/>
  <c r="V15" i="3"/>
  <c r="X15" i="3"/>
  <c r="M16" i="3"/>
  <c r="S16" i="3"/>
  <c r="U16" i="3"/>
  <c r="T16" i="3" s="1"/>
  <c r="V16" i="3"/>
  <c r="X16" i="3"/>
  <c r="M20" i="3"/>
  <c r="U20" i="3"/>
  <c r="AC20" i="3" s="1"/>
  <c r="V20" i="3"/>
  <c r="X20" i="3"/>
  <c r="M18" i="3"/>
  <c r="U18" i="3"/>
  <c r="AC18" i="3" s="1"/>
  <c r="V18" i="3"/>
  <c r="X18" i="3"/>
  <c r="M17" i="3"/>
  <c r="U17" i="3"/>
  <c r="T17" i="3" s="1"/>
  <c r="V17" i="3"/>
  <c r="X17" i="3"/>
  <c r="S8" i="3"/>
  <c r="M8" i="3"/>
  <c r="U8" i="3"/>
  <c r="T8" i="3" s="1"/>
  <c r="V8" i="3"/>
  <c r="X8" i="3"/>
  <c r="AG160" i="1"/>
  <c r="AG151" i="1"/>
  <c r="AG59" i="1"/>
  <c r="AG46" i="1"/>
  <c r="AG68" i="1"/>
  <c r="AG113" i="1"/>
  <c r="AG125" i="1"/>
  <c r="AG133" i="1"/>
  <c r="AG104" i="1"/>
  <c r="AG218" i="1"/>
  <c r="AG165" i="1"/>
  <c r="AG181" i="1"/>
  <c r="AG147" i="1"/>
  <c r="AG161" i="1"/>
  <c r="AG222" i="1"/>
  <c r="AG170" i="1"/>
  <c r="AG186" i="1"/>
  <c r="AG210" i="1"/>
  <c r="AG205" i="1"/>
  <c r="AG69" i="1"/>
  <c r="AG64" i="1"/>
  <c r="AG78" i="1"/>
  <c r="AG98" i="1"/>
  <c r="AG114" i="1"/>
  <c r="AG122" i="1"/>
  <c r="AG130" i="1"/>
  <c r="AG138" i="1"/>
  <c r="AG108" i="1"/>
  <c r="AG219" i="1"/>
  <c r="AG167" i="1"/>
  <c r="AG183" i="1"/>
  <c r="AG148" i="1"/>
  <c r="AG157" i="1"/>
  <c r="AG17" i="1"/>
  <c r="AG21" i="1"/>
  <c r="AG25" i="1"/>
  <c r="AG29" i="1"/>
  <c r="AG33" i="1"/>
  <c r="AG37" i="1"/>
  <c r="AG41" i="1"/>
  <c r="AG45" i="1"/>
  <c r="AG49" i="1"/>
  <c r="AG53" i="1"/>
  <c r="AG57" i="1"/>
  <c r="AG63" i="1"/>
  <c r="AG73" i="1"/>
  <c r="AG81" i="1"/>
  <c r="AG89" i="1"/>
  <c r="AG97" i="1"/>
  <c r="AG65" i="1"/>
  <c r="AG74" i="1"/>
  <c r="AG82" i="1"/>
  <c r="AG90" i="1"/>
  <c r="AG107" i="1"/>
  <c r="AG112" i="1"/>
  <c r="AG116" i="1"/>
  <c r="AG120" i="1"/>
  <c r="AG124" i="1"/>
  <c r="AG128" i="1"/>
  <c r="AG132" i="1"/>
  <c r="AG136" i="1"/>
  <c r="AG140" i="1"/>
  <c r="AG100" i="1"/>
  <c r="AG99" i="1"/>
  <c r="AG216" i="1"/>
  <c r="AG228" i="1"/>
  <c r="AG163" i="1"/>
  <c r="AG171" i="1"/>
  <c r="AG179" i="1"/>
  <c r="AG187" i="1"/>
  <c r="AG142" i="1"/>
  <c r="AG146" i="1"/>
  <c r="AG150" i="1"/>
  <c r="AG155" i="1"/>
  <c r="AG159" i="1"/>
  <c r="AG213" i="1"/>
  <c r="AG220" i="1"/>
  <c r="AG233" i="1"/>
  <c r="AG168" i="1"/>
  <c r="AG176" i="1"/>
  <c r="AG184" i="1"/>
  <c r="AG192" i="1"/>
  <c r="AG200" i="1"/>
  <c r="AG208" i="1"/>
  <c r="AG195" i="1"/>
  <c r="AG203" i="1"/>
  <c r="AG223" i="1"/>
  <c r="AG14" i="1"/>
  <c r="AG18" i="1"/>
  <c r="AG22" i="1"/>
  <c r="AG26" i="1"/>
  <c r="AG30" i="1"/>
  <c r="AG34" i="1"/>
  <c r="AG38" i="1"/>
  <c r="AG42" i="1"/>
  <c r="AG50" i="1"/>
  <c r="AG54" i="1"/>
  <c r="AG62" i="1"/>
  <c r="AG67" i="1"/>
  <c r="AG75" i="1"/>
  <c r="AG83" i="1"/>
  <c r="AG91" i="1"/>
  <c r="AG60" i="1"/>
  <c r="AG76" i="1"/>
  <c r="AG84" i="1"/>
  <c r="AG92" i="1"/>
  <c r="AG109" i="1"/>
  <c r="AG117" i="1"/>
  <c r="AG121" i="1"/>
  <c r="AG129" i="1"/>
  <c r="AG137" i="1"/>
  <c r="AG141" i="1"/>
  <c r="AG103" i="1"/>
  <c r="AG230" i="1"/>
  <c r="AG173" i="1"/>
  <c r="AG189" i="1"/>
  <c r="AG143" i="1"/>
  <c r="AG152" i="1"/>
  <c r="AG156" i="1"/>
  <c r="AG214" i="1"/>
  <c r="AG162" i="1"/>
  <c r="AG178" i="1"/>
  <c r="AG194" i="1"/>
  <c r="AG202" i="1"/>
  <c r="AG197" i="1"/>
  <c r="AG225" i="1"/>
  <c r="AG15" i="1"/>
  <c r="AG19" i="1"/>
  <c r="AG23" i="1"/>
  <c r="AG27" i="1"/>
  <c r="AG31" i="1"/>
  <c r="AG35" i="1"/>
  <c r="AG39" i="1"/>
  <c r="AG43" i="1"/>
  <c r="AG47" i="1"/>
  <c r="AG51" i="1"/>
  <c r="AG55" i="1"/>
  <c r="AG66" i="1"/>
  <c r="AG77" i="1"/>
  <c r="AG85" i="1"/>
  <c r="AG93" i="1"/>
  <c r="AG70" i="1"/>
  <c r="AG86" i="1"/>
  <c r="AG110" i="1"/>
  <c r="AG118" i="1"/>
  <c r="AG126" i="1"/>
  <c r="AG134" i="1"/>
  <c r="AG96" i="1"/>
  <c r="AG105" i="1"/>
  <c r="AG232" i="1"/>
  <c r="AG175" i="1"/>
  <c r="AG191" i="1"/>
  <c r="AG144" i="1"/>
  <c r="AG153" i="1"/>
  <c r="AG24" i="1"/>
  <c r="AG40" i="1"/>
  <c r="AG56" i="1"/>
  <c r="AG87" i="1"/>
  <c r="AG80" i="1"/>
  <c r="AG115" i="1"/>
  <c r="AG131" i="1"/>
  <c r="AG94" i="1"/>
  <c r="AG169" i="1"/>
  <c r="AG145" i="1"/>
  <c r="AG211" i="1"/>
  <c r="AG229" i="1"/>
  <c r="AG172" i="1"/>
  <c r="AG188" i="1"/>
  <c r="AG204" i="1"/>
  <c r="AG199" i="1"/>
  <c r="AG227" i="1"/>
  <c r="AG28" i="1"/>
  <c r="AG58" i="1"/>
  <c r="AG95" i="1"/>
  <c r="AG88" i="1"/>
  <c r="AG119" i="1"/>
  <c r="AG106" i="1"/>
  <c r="AG177" i="1"/>
  <c r="AG212" i="1"/>
  <c r="AG231" i="1"/>
  <c r="AG190" i="1"/>
  <c r="AG206" i="1"/>
  <c r="AG44" i="1"/>
  <c r="AG135" i="1"/>
  <c r="AG149" i="1"/>
  <c r="AG174" i="1"/>
  <c r="AG201" i="1"/>
  <c r="AG16" i="1"/>
  <c r="AG32" i="1"/>
  <c r="AG48" i="1"/>
  <c r="AG71" i="1"/>
  <c r="AG61" i="1"/>
  <c r="AG102" i="1"/>
  <c r="AG123" i="1"/>
  <c r="AG139" i="1"/>
  <c r="AG221" i="1"/>
  <c r="AG185" i="1"/>
  <c r="AG154" i="1"/>
  <c r="AG215" i="1"/>
  <c r="AG164" i="1"/>
  <c r="AG180" i="1"/>
  <c r="AG196" i="1"/>
  <c r="AG224" i="1"/>
  <c r="AG207" i="1"/>
  <c r="AG20" i="1"/>
  <c r="AG36" i="1"/>
  <c r="AG52" i="1"/>
  <c r="AG79" i="1"/>
  <c r="AG72" i="1"/>
  <c r="AG111" i="1"/>
  <c r="AG127" i="1"/>
  <c r="AG101" i="1"/>
  <c r="AG234" i="1"/>
  <c r="AG193" i="1"/>
  <c r="AG158" i="1"/>
  <c r="AG217" i="1"/>
  <c r="AG166" i="1"/>
  <c r="AG182" i="1"/>
  <c r="AG198" i="1"/>
  <c r="AG226" i="1"/>
  <c r="AG209" i="1"/>
  <c r="W16" i="3"/>
  <c r="W9" i="3"/>
  <c r="W11" i="3"/>
  <c r="W18" i="3"/>
  <c r="W12" i="3"/>
  <c r="W10" i="3"/>
  <c r="W19" i="3"/>
  <c r="W14" i="3"/>
  <c r="W17" i="3"/>
  <c r="W20" i="3"/>
  <c r="W7" i="3"/>
  <c r="W15" i="3"/>
  <c r="W13" i="3"/>
  <c r="W8" i="3"/>
  <c r="AA182" i="1" l="1"/>
  <c r="AA170" i="1"/>
  <c r="AA190" i="1"/>
  <c r="AA184" i="1"/>
  <c r="AA140" i="1"/>
  <c r="AA186" i="1"/>
  <c r="W186" i="1" s="1"/>
  <c r="AA173" i="1"/>
  <c r="W173" i="1" s="1"/>
  <c r="AA168" i="1"/>
  <c r="AA220" i="1"/>
  <c r="AA213" i="1"/>
  <c r="AA159" i="1"/>
  <c r="W159" i="1" s="1"/>
  <c r="AA155" i="1"/>
  <c r="AA150" i="1"/>
  <c r="AA135" i="1"/>
  <c r="AA133" i="1"/>
  <c r="AA132" i="1"/>
  <c r="AA126" i="1"/>
  <c r="AA111" i="1"/>
  <c r="AA95" i="1"/>
  <c r="AA91" i="1"/>
  <c r="AA87" i="1"/>
  <c r="AA60" i="1"/>
  <c r="W60" i="1" s="1"/>
  <c r="AA55" i="1"/>
  <c r="W55" i="1" s="1"/>
  <c r="AA54" i="1"/>
  <c r="AA45" i="1"/>
  <c r="AA39" i="1"/>
  <c r="AA38" i="1"/>
  <c r="W38" i="1" s="1"/>
  <c r="X151" i="1"/>
  <c r="AA188" i="1"/>
  <c r="AA138" i="1"/>
  <c r="AA122" i="1"/>
  <c r="AA75" i="1"/>
  <c r="AA74" i="1"/>
  <c r="AA71" i="1"/>
  <c r="W71" i="1" s="1"/>
  <c r="AA70" i="1"/>
  <c r="W70" i="1" s="1"/>
  <c r="AA41" i="1"/>
  <c r="AA30" i="1"/>
  <c r="AA26" i="1"/>
  <c r="W26" i="1" s="1"/>
  <c r="X60" i="1"/>
  <c r="X153" i="1"/>
  <c r="AC10" i="3"/>
  <c r="AA101" i="1"/>
  <c r="AA97" i="1"/>
  <c r="W97" i="1" s="1"/>
  <c r="AA36" i="1"/>
  <c r="X152" i="1"/>
  <c r="X161" i="1"/>
  <c r="AI160" i="1"/>
  <c r="U160" i="1"/>
  <c r="S160" i="1" s="1"/>
  <c r="W160" i="1"/>
  <c r="X160" i="1"/>
  <c r="AI151" i="1"/>
  <c r="U151" i="1"/>
  <c r="S151" i="1" s="1"/>
  <c r="W151" i="1"/>
  <c r="AI59" i="1"/>
  <c r="U59" i="1"/>
  <c r="S59" i="1" s="1"/>
  <c r="W59" i="1"/>
  <c r="X59" i="1"/>
  <c r="AE11" i="3"/>
  <c r="AD20" i="3"/>
  <c r="AA189" i="1"/>
  <c r="AA187" i="1"/>
  <c r="AA185" i="1"/>
  <c r="W185" i="1" s="1"/>
  <c r="AA183" i="1"/>
  <c r="AA181" i="1"/>
  <c r="AA180" i="1"/>
  <c r="AA169" i="1"/>
  <c r="AA167" i="1"/>
  <c r="AA166" i="1"/>
  <c r="AA221" i="1"/>
  <c r="AA219" i="1"/>
  <c r="AA218" i="1"/>
  <c r="W218" i="1" s="1"/>
  <c r="AA212" i="1"/>
  <c r="AA158" i="1"/>
  <c r="AA154" i="1"/>
  <c r="AA149" i="1"/>
  <c r="AA148" i="1"/>
  <c r="AA144" i="1"/>
  <c r="AA139" i="1"/>
  <c r="AA137" i="1"/>
  <c r="W137" i="1" s="1"/>
  <c r="AA136" i="1"/>
  <c r="AA123" i="1"/>
  <c r="AA121" i="1"/>
  <c r="AA120" i="1"/>
  <c r="W120" i="1" s="1"/>
  <c r="AA116" i="1"/>
  <c r="AA112" i="1"/>
  <c r="AA110" i="1"/>
  <c r="AA109" i="1"/>
  <c r="W109" i="1" s="1"/>
  <c r="AA105" i="1"/>
  <c r="AA104" i="1"/>
  <c r="AA83" i="1"/>
  <c r="AA82" i="1"/>
  <c r="W82" i="1" s="1"/>
  <c r="AA79" i="1"/>
  <c r="AA78" i="1"/>
  <c r="AA73" i="1"/>
  <c r="W73" i="1" s="1"/>
  <c r="AA63" i="1"/>
  <c r="W63" i="1" s="1"/>
  <c r="AA57" i="1"/>
  <c r="AA53" i="1"/>
  <c r="AA51" i="1"/>
  <c r="AA50" i="1"/>
  <c r="W50" i="1" s="1"/>
  <c r="AA37" i="1"/>
  <c r="AA35" i="1"/>
  <c r="AA34" i="1"/>
  <c r="AA28" i="1"/>
  <c r="AA24" i="1"/>
  <c r="AA20" i="1"/>
  <c r="AA16" i="1"/>
  <c r="AA192" i="1"/>
  <c r="AA174" i="1"/>
  <c r="AA231" i="1"/>
  <c r="AA146" i="1"/>
  <c r="W146" i="1" s="1"/>
  <c r="AA142" i="1"/>
  <c r="W142" i="1" s="1"/>
  <c r="AA131" i="1"/>
  <c r="AA129" i="1"/>
  <c r="AA128" i="1"/>
  <c r="AA118" i="1"/>
  <c r="AA114" i="1"/>
  <c r="AA107" i="1"/>
  <c r="AA98" i="1"/>
  <c r="W98" i="1" s="1"/>
  <c r="AA94" i="1"/>
  <c r="W94" i="1" s="1"/>
  <c r="AA89" i="1"/>
  <c r="AA65" i="1"/>
  <c r="AA61" i="1"/>
  <c r="X57" i="1"/>
  <c r="AA43" i="1"/>
  <c r="AA42" i="1"/>
  <c r="AA178" i="1"/>
  <c r="W178" i="1" s="1"/>
  <c r="AA162" i="1"/>
  <c r="AA99" i="1"/>
  <c r="AA90" i="1"/>
  <c r="AA86" i="1"/>
  <c r="W86" i="1" s="1"/>
  <c r="AA81" i="1"/>
  <c r="W81" i="1" s="1"/>
  <c r="AA49" i="1"/>
  <c r="AA47" i="1"/>
  <c r="AA46" i="1"/>
  <c r="AA33" i="1"/>
  <c r="W33" i="1" s="1"/>
  <c r="AA31" i="1"/>
  <c r="AA27" i="1"/>
  <c r="AA23" i="1"/>
  <c r="W23" i="1" s="1"/>
  <c r="AA19" i="1"/>
  <c r="W19" i="1" s="1"/>
  <c r="AA15" i="1"/>
  <c r="AA191" i="1"/>
  <c r="AA201" i="1"/>
  <c r="AA200" i="1"/>
  <c r="W200" i="1" s="1"/>
  <c r="AA199" i="1"/>
  <c r="AA198" i="1"/>
  <c r="AA197" i="1"/>
  <c r="W197" i="1" s="1"/>
  <c r="AA196" i="1"/>
  <c r="W196" i="1" s="1"/>
  <c r="AA195" i="1"/>
  <c r="AA194" i="1"/>
  <c r="AA145" i="1"/>
  <c r="W145" i="1" s="1"/>
  <c r="AA141" i="1"/>
  <c r="W141" i="1" s="1"/>
  <c r="AA100" i="1"/>
  <c r="AA92" i="1"/>
  <c r="AA84" i="1"/>
  <c r="AA76" i="1"/>
  <c r="W76" i="1" s="1"/>
  <c r="AA68" i="1"/>
  <c r="AA66" i="1"/>
  <c r="AA56" i="1"/>
  <c r="W56" i="1" s="1"/>
  <c r="AA14" i="1"/>
  <c r="W14" i="1" s="1"/>
  <c r="AA147" i="1"/>
  <c r="AA143" i="1"/>
  <c r="X141" i="1"/>
  <c r="AA108" i="1"/>
  <c r="W108" i="1" s="1"/>
  <c r="AA103" i="1"/>
  <c r="AA96" i="1"/>
  <c r="AA88" i="1"/>
  <c r="AA80" i="1"/>
  <c r="W80" i="1" s="1"/>
  <c r="AA72" i="1"/>
  <c r="AA62" i="1"/>
  <c r="AI234" i="1"/>
  <c r="AI232" i="1"/>
  <c r="AI230" i="1"/>
  <c r="AI228" i="1"/>
  <c r="AI226" i="1"/>
  <c r="AI224" i="1"/>
  <c r="AI222" i="1"/>
  <c r="AI220" i="1"/>
  <c r="AI218" i="1"/>
  <c r="AI216" i="1"/>
  <c r="AI214" i="1"/>
  <c r="AI233" i="1"/>
  <c r="AI231" i="1"/>
  <c r="AI229" i="1"/>
  <c r="AI227" i="1"/>
  <c r="AI225" i="1"/>
  <c r="AI223" i="1"/>
  <c r="AI221" i="1"/>
  <c r="AI219" i="1"/>
  <c r="AI217" i="1"/>
  <c r="AI215" i="1"/>
  <c r="AI213" i="1"/>
  <c r="AI211" i="1"/>
  <c r="AI209" i="1"/>
  <c r="AI207" i="1"/>
  <c r="AI205" i="1"/>
  <c r="AI203" i="1"/>
  <c r="AI201" i="1"/>
  <c r="AI199" i="1"/>
  <c r="AI197" i="1"/>
  <c r="AI195" i="1"/>
  <c r="AI193" i="1"/>
  <c r="AI191" i="1"/>
  <c r="AI189" i="1"/>
  <c r="AI187" i="1"/>
  <c r="AI185" i="1"/>
  <c r="AI183" i="1"/>
  <c r="AI181" i="1"/>
  <c r="AI179" i="1"/>
  <c r="AI177" i="1"/>
  <c r="AI175" i="1"/>
  <c r="AI173" i="1"/>
  <c r="AI171" i="1"/>
  <c r="U217" i="1"/>
  <c r="S217" i="1" s="1"/>
  <c r="AI168" i="1"/>
  <c r="U215" i="1"/>
  <c r="S215" i="1" s="1"/>
  <c r="AI166" i="1"/>
  <c r="AI165" i="1"/>
  <c r="U214" i="1"/>
  <c r="S214" i="1" s="1"/>
  <c r="AI164" i="1"/>
  <c r="U213" i="1"/>
  <c r="S213" i="1" s="1"/>
  <c r="AI163" i="1"/>
  <c r="U212" i="1"/>
  <c r="S212" i="1" s="1"/>
  <c r="AI162" i="1"/>
  <c r="U211" i="1"/>
  <c r="S211" i="1" s="1"/>
  <c r="AI161" i="1"/>
  <c r="U161" i="1"/>
  <c r="S161" i="1" s="1"/>
  <c r="AI159" i="1"/>
  <c r="U159" i="1"/>
  <c r="S159" i="1" s="1"/>
  <c r="AI158" i="1"/>
  <c r="U158" i="1"/>
  <c r="S158" i="1" s="1"/>
  <c r="AI157" i="1"/>
  <c r="U157" i="1"/>
  <c r="S157" i="1" s="1"/>
  <c r="AI156" i="1"/>
  <c r="U156" i="1"/>
  <c r="S156" i="1" s="1"/>
  <c r="AI155" i="1"/>
  <c r="U155" i="1"/>
  <c r="S155" i="1" s="1"/>
  <c r="AI154" i="1"/>
  <c r="U154" i="1"/>
  <c r="S154" i="1" s="1"/>
  <c r="AI153" i="1"/>
  <c r="U153" i="1"/>
  <c r="S153" i="1" s="1"/>
  <c r="AI152" i="1"/>
  <c r="U152" i="1"/>
  <c r="S152" i="1" s="1"/>
  <c r="AI150" i="1"/>
  <c r="U150" i="1"/>
  <c r="S150" i="1" s="1"/>
  <c r="AI149" i="1"/>
  <c r="U149" i="1"/>
  <c r="S149" i="1" s="1"/>
  <c r="AI148" i="1"/>
  <c r="U148" i="1"/>
  <c r="S148" i="1" s="1"/>
  <c r="AI147" i="1"/>
  <c r="U147" i="1"/>
  <c r="S147" i="1" s="1"/>
  <c r="AI146" i="1"/>
  <c r="U146" i="1"/>
  <c r="S146" i="1" s="1"/>
  <c r="AI145" i="1"/>
  <c r="U145" i="1"/>
  <c r="S145" i="1" s="1"/>
  <c r="AI144" i="1"/>
  <c r="U144" i="1"/>
  <c r="S144" i="1" s="1"/>
  <c r="AI143" i="1"/>
  <c r="U143" i="1"/>
  <c r="S143" i="1" s="1"/>
  <c r="AI142" i="1"/>
  <c r="U142" i="1"/>
  <c r="S142" i="1" s="1"/>
  <c r="AI212" i="1"/>
  <c r="AI210" i="1"/>
  <c r="AI208" i="1"/>
  <c r="AI206" i="1"/>
  <c r="AI204" i="1"/>
  <c r="AI202" i="1"/>
  <c r="AI200" i="1"/>
  <c r="AI198" i="1"/>
  <c r="AI196" i="1"/>
  <c r="AI194" i="1"/>
  <c r="AI192" i="1"/>
  <c r="AI190" i="1"/>
  <c r="AI188" i="1"/>
  <c r="AI186" i="1"/>
  <c r="AI184" i="1"/>
  <c r="AI182" i="1"/>
  <c r="AI180" i="1"/>
  <c r="AI178" i="1"/>
  <c r="AI176" i="1"/>
  <c r="AI174" i="1"/>
  <c r="AI172" i="1"/>
  <c r="U219" i="1"/>
  <c r="S219" i="1" s="1"/>
  <c r="AI170" i="1"/>
  <c r="U218" i="1"/>
  <c r="S218" i="1" s="1"/>
  <c r="AI169" i="1"/>
  <c r="U216" i="1"/>
  <c r="S216" i="1" s="1"/>
  <c r="AI167" i="1"/>
  <c r="AI106" i="1"/>
  <c r="AI105" i="1"/>
  <c r="W105" i="1"/>
  <c r="AI103" i="1"/>
  <c r="AI99" i="1"/>
  <c r="AI94" i="1"/>
  <c r="AI108" i="1"/>
  <c r="AI104" i="1"/>
  <c r="AI100" i="1"/>
  <c r="AI101" i="1"/>
  <c r="AI96" i="1"/>
  <c r="U141" i="1"/>
  <c r="S141" i="1" s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W119" i="1"/>
  <c r="AI119" i="1"/>
  <c r="AI118" i="1"/>
  <c r="AI117" i="1"/>
  <c r="AI116" i="1"/>
  <c r="U115" i="1"/>
  <c r="S115" i="1" s="1"/>
  <c r="AI115" i="1"/>
  <c r="U114" i="1"/>
  <c r="S114" i="1" s="1"/>
  <c r="AI114" i="1"/>
  <c r="U113" i="1"/>
  <c r="S113" i="1" s="1"/>
  <c r="AI113" i="1"/>
  <c r="U112" i="1"/>
  <c r="S112" i="1" s="1"/>
  <c r="AI112" i="1"/>
  <c r="U111" i="1"/>
  <c r="S111" i="1" s="1"/>
  <c r="AI111" i="1"/>
  <c r="U110" i="1"/>
  <c r="S110" i="1" s="1"/>
  <c r="AI110" i="1"/>
  <c r="AI109" i="1"/>
  <c r="AI107" i="1"/>
  <c r="AI102" i="1"/>
  <c r="AI98" i="1"/>
  <c r="AI92" i="1"/>
  <c r="AI90" i="1"/>
  <c r="AI88" i="1"/>
  <c r="AI86" i="1"/>
  <c r="AI84" i="1"/>
  <c r="AI82" i="1"/>
  <c r="AI80" i="1"/>
  <c r="AI78" i="1"/>
  <c r="AI76" i="1"/>
  <c r="AI74" i="1"/>
  <c r="AI72" i="1"/>
  <c r="AI70" i="1"/>
  <c r="AI68" i="1"/>
  <c r="U65" i="1"/>
  <c r="S65" i="1" s="1"/>
  <c r="AI65" i="1"/>
  <c r="U61" i="1"/>
  <c r="S61" i="1" s="1"/>
  <c r="AI61" i="1"/>
  <c r="AI64" i="1"/>
  <c r="W64" i="1"/>
  <c r="U64" i="1"/>
  <c r="S64" i="1" s="1"/>
  <c r="AI60" i="1"/>
  <c r="U60" i="1"/>
  <c r="S60" i="1" s="1"/>
  <c r="AI97" i="1"/>
  <c r="AI95" i="1"/>
  <c r="AI93" i="1"/>
  <c r="AI91" i="1"/>
  <c r="AI89" i="1"/>
  <c r="AI87" i="1"/>
  <c r="AI85" i="1"/>
  <c r="AI83" i="1"/>
  <c r="AI81" i="1"/>
  <c r="AI79" i="1"/>
  <c r="AI77" i="1"/>
  <c r="AI75" i="1"/>
  <c r="AI73" i="1"/>
  <c r="AI71" i="1"/>
  <c r="AI69" i="1"/>
  <c r="AI67" i="1"/>
  <c r="U63" i="1"/>
  <c r="S63" i="1" s="1"/>
  <c r="AI63" i="1"/>
  <c r="U58" i="1"/>
  <c r="S58" i="1" s="1"/>
  <c r="AI58" i="1"/>
  <c r="U66" i="1"/>
  <c r="S66" i="1" s="1"/>
  <c r="AI66" i="1"/>
  <c r="U62" i="1"/>
  <c r="S62" i="1" s="1"/>
  <c r="AI62" i="1"/>
  <c r="U57" i="1"/>
  <c r="S57" i="1" s="1"/>
  <c r="AI57" i="1"/>
  <c r="U56" i="1"/>
  <c r="S56" i="1" s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W36" i="1"/>
  <c r="AI35" i="1"/>
  <c r="W35" i="1"/>
  <c r="AI34" i="1"/>
  <c r="W34" i="1"/>
  <c r="AI33" i="1"/>
  <c r="AI32" i="1"/>
  <c r="W32" i="1"/>
  <c r="AI31" i="1"/>
  <c r="W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W170" i="1"/>
  <c r="W222" i="1"/>
  <c r="W181" i="1"/>
  <c r="W177" i="1"/>
  <c r="W169" i="1"/>
  <c r="W165" i="1"/>
  <c r="W234" i="1"/>
  <c r="W230" i="1"/>
  <c r="W221" i="1"/>
  <c r="W217" i="1"/>
  <c r="W182" i="1"/>
  <c r="W174" i="1"/>
  <c r="W231" i="1"/>
  <c r="W226" i="1"/>
  <c r="W224" i="1"/>
  <c r="W210" i="1"/>
  <c r="W207" i="1"/>
  <c r="W205" i="1"/>
  <c r="W203" i="1"/>
  <c r="W201" i="1"/>
  <c r="W198" i="1"/>
  <c r="W195" i="1"/>
  <c r="W193" i="1"/>
  <c r="W192" i="1"/>
  <c r="W188" i="1"/>
  <c r="W184" i="1"/>
  <c r="W180" i="1"/>
  <c r="W176" i="1"/>
  <c r="W172" i="1"/>
  <c r="W168" i="1"/>
  <c r="W164" i="1"/>
  <c r="W233" i="1"/>
  <c r="W229" i="1"/>
  <c r="W220" i="1"/>
  <c r="W216" i="1"/>
  <c r="W190" i="1"/>
  <c r="W166" i="1"/>
  <c r="W162" i="1"/>
  <c r="W227" i="1"/>
  <c r="W225" i="1"/>
  <c r="W223" i="1"/>
  <c r="W209" i="1"/>
  <c r="W208" i="1"/>
  <c r="W206" i="1"/>
  <c r="W204" i="1"/>
  <c r="W202" i="1"/>
  <c r="W199" i="1"/>
  <c r="W194" i="1"/>
  <c r="W189" i="1"/>
  <c r="W191" i="1"/>
  <c r="W187" i="1"/>
  <c r="W183" i="1"/>
  <c r="W179" i="1"/>
  <c r="W175" i="1"/>
  <c r="W171" i="1"/>
  <c r="W167" i="1"/>
  <c r="W163" i="1"/>
  <c r="W232" i="1"/>
  <c r="W228" i="1"/>
  <c r="W219" i="1"/>
  <c r="W215" i="1"/>
  <c r="T227" i="1"/>
  <c r="U227" i="1" s="1"/>
  <c r="S227" i="1" s="1"/>
  <c r="X227" i="1"/>
  <c r="T225" i="1"/>
  <c r="U225" i="1" s="1"/>
  <c r="S225" i="1" s="1"/>
  <c r="X225" i="1"/>
  <c r="T223" i="1"/>
  <c r="U223" i="1" s="1"/>
  <c r="S223" i="1" s="1"/>
  <c r="X223" i="1"/>
  <c r="T209" i="1"/>
  <c r="U209" i="1" s="1"/>
  <c r="S209" i="1" s="1"/>
  <c r="X209" i="1"/>
  <c r="T207" i="1"/>
  <c r="U207" i="1" s="1"/>
  <c r="S207" i="1" s="1"/>
  <c r="X207" i="1"/>
  <c r="T205" i="1"/>
  <c r="U205" i="1" s="1"/>
  <c r="S205" i="1" s="1"/>
  <c r="X205" i="1"/>
  <c r="T201" i="1"/>
  <c r="U201" i="1" s="1"/>
  <c r="S201" i="1" s="1"/>
  <c r="X201" i="1"/>
  <c r="T197" i="1"/>
  <c r="U197" i="1" s="1"/>
  <c r="S197" i="1" s="1"/>
  <c r="X197" i="1"/>
  <c r="W133" i="1"/>
  <c r="W129" i="1"/>
  <c r="W125" i="1"/>
  <c r="W121" i="1"/>
  <c r="T226" i="1"/>
  <c r="U226" i="1" s="1"/>
  <c r="S226" i="1" s="1"/>
  <c r="X226" i="1"/>
  <c r="T210" i="1"/>
  <c r="U210" i="1" s="1"/>
  <c r="S210" i="1" s="1"/>
  <c r="X210" i="1"/>
  <c r="T206" i="1"/>
  <c r="U206" i="1" s="1"/>
  <c r="S206" i="1" s="1"/>
  <c r="X206" i="1"/>
  <c r="T202" i="1"/>
  <c r="U202" i="1" s="1"/>
  <c r="S202" i="1" s="1"/>
  <c r="X202" i="1"/>
  <c r="T198" i="1"/>
  <c r="U198" i="1" s="1"/>
  <c r="S198" i="1" s="1"/>
  <c r="X198" i="1"/>
  <c r="W140" i="1"/>
  <c r="W136" i="1"/>
  <c r="W132" i="1"/>
  <c r="W128" i="1"/>
  <c r="W124" i="1"/>
  <c r="T224" i="1"/>
  <c r="U224" i="1" s="1"/>
  <c r="S224" i="1" s="1"/>
  <c r="X224" i="1"/>
  <c r="T208" i="1"/>
  <c r="U208" i="1" s="1"/>
  <c r="S208" i="1" s="1"/>
  <c r="X208" i="1"/>
  <c r="T204" i="1"/>
  <c r="U204" i="1" s="1"/>
  <c r="S204" i="1" s="1"/>
  <c r="X204" i="1"/>
  <c r="T200" i="1"/>
  <c r="U200" i="1" s="1"/>
  <c r="S200" i="1" s="1"/>
  <c r="X200" i="1"/>
  <c r="T196" i="1"/>
  <c r="U196" i="1" s="1"/>
  <c r="S196" i="1" s="1"/>
  <c r="X196" i="1"/>
  <c r="T194" i="1"/>
  <c r="U194" i="1" s="1"/>
  <c r="S194" i="1" s="1"/>
  <c r="X194" i="1"/>
  <c r="T193" i="1"/>
  <c r="U193" i="1" s="1"/>
  <c r="S193" i="1" s="1"/>
  <c r="X193" i="1"/>
  <c r="T192" i="1"/>
  <c r="U192" i="1" s="1"/>
  <c r="S192" i="1" s="1"/>
  <c r="X192" i="1"/>
  <c r="T191" i="1"/>
  <c r="U191" i="1" s="1"/>
  <c r="S191" i="1" s="1"/>
  <c r="X191" i="1"/>
  <c r="T190" i="1"/>
  <c r="U190" i="1" s="1"/>
  <c r="S190" i="1" s="1"/>
  <c r="X190" i="1"/>
  <c r="T189" i="1"/>
  <c r="U189" i="1" s="1"/>
  <c r="S189" i="1" s="1"/>
  <c r="X189" i="1"/>
  <c r="T188" i="1"/>
  <c r="U188" i="1" s="1"/>
  <c r="S188" i="1" s="1"/>
  <c r="X188" i="1"/>
  <c r="T187" i="1"/>
  <c r="U187" i="1" s="1"/>
  <c r="S187" i="1" s="1"/>
  <c r="X187" i="1"/>
  <c r="T186" i="1"/>
  <c r="U186" i="1" s="1"/>
  <c r="S186" i="1" s="1"/>
  <c r="X186" i="1"/>
  <c r="T185" i="1"/>
  <c r="U185" i="1" s="1"/>
  <c r="S185" i="1" s="1"/>
  <c r="X185" i="1"/>
  <c r="T184" i="1"/>
  <c r="U184" i="1" s="1"/>
  <c r="S184" i="1" s="1"/>
  <c r="X184" i="1"/>
  <c r="T183" i="1"/>
  <c r="U183" i="1" s="1"/>
  <c r="S183" i="1" s="1"/>
  <c r="X183" i="1"/>
  <c r="T182" i="1"/>
  <c r="U182" i="1" s="1"/>
  <c r="S182" i="1" s="1"/>
  <c r="X182" i="1"/>
  <c r="T181" i="1"/>
  <c r="U181" i="1" s="1"/>
  <c r="S181" i="1" s="1"/>
  <c r="X181" i="1"/>
  <c r="T180" i="1"/>
  <c r="U180" i="1" s="1"/>
  <c r="S180" i="1" s="1"/>
  <c r="X180" i="1"/>
  <c r="T179" i="1"/>
  <c r="U179" i="1" s="1"/>
  <c r="S179" i="1" s="1"/>
  <c r="X179" i="1"/>
  <c r="T178" i="1"/>
  <c r="U178" i="1" s="1"/>
  <c r="S178" i="1" s="1"/>
  <c r="X178" i="1"/>
  <c r="T177" i="1"/>
  <c r="U177" i="1" s="1"/>
  <c r="S177" i="1" s="1"/>
  <c r="X177" i="1"/>
  <c r="T176" i="1"/>
  <c r="U176" i="1" s="1"/>
  <c r="S176" i="1" s="1"/>
  <c r="X176" i="1"/>
  <c r="T175" i="1"/>
  <c r="U175" i="1" s="1"/>
  <c r="S175" i="1" s="1"/>
  <c r="X175" i="1"/>
  <c r="T174" i="1"/>
  <c r="U174" i="1" s="1"/>
  <c r="S174" i="1" s="1"/>
  <c r="X174" i="1"/>
  <c r="T173" i="1"/>
  <c r="U173" i="1" s="1"/>
  <c r="S173" i="1" s="1"/>
  <c r="X173" i="1"/>
  <c r="T172" i="1"/>
  <c r="U172" i="1" s="1"/>
  <c r="S172" i="1" s="1"/>
  <c r="X172" i="1"/>
  <c r="T171" i="1"/>
  <c r="U171" i="1" s="1"/>
  <c r="S171" i="1" s="1"/>
  <c r="X171" i="1"/>
  <c r="T170" i="1"/>
  <c r="U170" i="1" s="1"/>
  <c r="S170" i="1" s="1"/>
  <c r="X170" i="1"/>
  <c r="T169" i="1"/>
  <c r="U169" i="1" s="1"/>
  <c r="S169" i="1" s="1"/>
  <c r="X169" i="1"/>
  <c r="T168" i="1"/>
  <c r="U168" i="1" s="1"/>
  <c r="S168" i="1" s="1"/>
  <c r="X168" i="1"/>
  <c r="T167" i="1"/>
  <c r="U167" i="1" s="1"/>
  <c r="S167" i="1" s="1"/>
  <c r="X167" i="1"/>
  <c r="T166" i="1"/>
  <c r="U166" i="1" s="1"/>
  <c r="S166" i="1" s="1"/>
  <c r="X166" i="1"/>
  <c r="T165" i="1"/>
  <c r="U165" i="1" s="1"/>
  <c r="S165" i="1" s="1"/>
  <c r="X165" i="1"/>
  <c r="T164" i="1"/>
  <c r="U164" i="1" s="1"/>
  <c r="S164" i="1" s="1"/>
  <c r="X164" i="1"/>
  <c r="T163" i="1"/>
  <c r="U163" i="1" s="1"/>
  <c r="S163" i="1" s="1"/>
  <c r="X163" i="1"/>
  <c r="T162" i="1"/>
  <c r="U162" i="1" s="1"/>
  <c r="S162" i="1" s="1"/>
  <c r="X162" i="1"/>
  <c r="T234" i="1"/>
  <c r="U234" i="1" s="1"/>
  <c r="S234" i="1" s="1"/>
  <c r="X234" i="1"/>
  <c r="T233" i="1"/>
  <c r="U233" i="1" s="1"/>
  <c r="S233" i="1" s="1"/>
  <c r="X233" i="1"/>
  <c r="T232" i="1"/>
  <c r="U232" i="1" s="1"/>
  <c r="S232" i="1" s="1"/>
  <c r="X232" i="1"/>
  <c r="T231" i="1"/>
  <c r="U231" i="1" s="1"/>
  <c r="S231" i="1" s="1"/>
  <c r="X231" i="1"/>
  <c r="T230" i="1"/>
  <c r="U230" i="1" s="1"/>
  <c r="S230" i="1" s="1"/>
  <c r="X230" i="1"/>
  <c r="T229" i="1"/>
  <c r="U229" i="1" s="1"/>
  <c r="S229" i="1" s="1"/>
  <c r="X229" i="1"/>
  <c r="T228" i="1"/>
  <c r="U228" i="1" s="1"/>
  <c r="S228" i="1" s="1"/>
  <c r="X228" i="1"/>
  <c r="T222" i="1"/>
  <c r="U222" i="1" s="1"/>
  <c r="S222" i="1" s="1"/>
  <c r="X222" i="1"/>
  <c r="T221" i="1"/>
  <c r="U221" i="1" s="1"/>
  <c r="S221" i="1" s="1"/>
  <c r="X221" i="1"/>
  <c r="T220" i="1"/>
  <c r="U220" i="1" s="1"/>
  <c r="S220" i="1" s="1"/>
  <c r="X220" i="1"/>
  <c r="W214" i="1"/>
  <c r="W213" i="1"/>
  <c r="W212" i="1"/>
  <c r="W211" i="1"/>
  <c r="W161" i="1"/>
  <c r="W158" i="1"/>
  <c r="W157" i="1"/>
  <c r="W156" i="1"/>
  <c r="W155" i="1"/>
  <c r="W154" i="1"/>
  <c r="W153" i="1"/>
  <c r="W152" i="1"/>
  <c r="W150" i="1"/>
  <c r="W149" i="1"/>
  <c r="W147" i="1"/>
  <c r="W143" i="1"/>
  <c r="W139" i="1"/>
  <c r="W135" i="1"/>
  <c r="W131" i="1"/>
  <c r="W127" i="1"/>
  <c r="W123" i="1"/>
  <c r="T203" i="1"/>
  <c r="U203" i="1" s="1"/>
  <c r="S203" i="1" s="1"/>
  <c r="X203" i="1"/>
  <c r="T199" i="1"/>
  <c r="U199" i="1" s="1"/>
  <c r="S199" i="1" s="1"/>
  <c r="X199" i="1"/>
  <c r="T195" i="1"/>
  <c r="U195" i="1" s="1"/>
  <c r="S195" i="1" s="1"/>
  <c r="X195" i="1"/>
  <c r="W148" i="1"/>
  <c r="W144" i="1"/>
  <c r="W138" i="1"/>
  <c r="W134" i="1"/>
  <c r="W130" i="1"/>
  <c r="W126" i="1"/>
  <c r="W122" i="1"/>
  <c r="T140" i="1"/>
  <c r="U140" i="1" s="1"/>
  <c r="S140" i="1" s="1"/>
  <c r="X140" i="1"/>
  <c r="T139" i="1"/>
  <c r="U139" i="1" s="1"/>
  <c r="S139" i="1" s="1"/>
  <c r="X139" i="1"/>
  <c r="T138" i="1"/>
  <c r="U138" i="1" s="1"/>
  <c r="S138" i="1" s="1"/>
  <c r="X138" i="1"/>
  <c r="T137" i="1"/>
  <c r="U137" i="1" s="1"/>
  <c r="S137" i="1" s="1"/>
  <c r="X137" i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X129" i="1"/>
  <c r="T128" i="1"/>
  <c r="U128" i="1" s="1"/>
  <c r="X128" i="1"/>
  <c r="T127" i="1"/>
  <c r="U127" i="1" s="1"/>
  <c r="S127" i="1" s="1"/>
  <c r="X127" i="1"/>
  <c r="T126" i="1"/>
  <c r="U126" i="1" s="1"/>
  <c r="S126" i="1" s="1"/>
  <c r="X126" i="1"/>
  <c r="T125" i="1"/>
  <c r="U125" i="1" s="1"/>
  <c r="S125" i="1" s="1"/>
  <c r="X125" i="1"/>
  <c r="T124" i="1"/>
  <c r="U124" i="1" s="1"/>
  <c r="S124" i="1" s="1"/>
  <c r="X124" i="1"/>
  <c r="T123" i="1"/>
  <c r="U123" i="1" s="1"/>
  <c r="S123" i="1" s="1"/>
  <c r="X123" i="1"/>
  <c r="T122" i="1"/>
  <c r="U122" i="1" s="1"/>
  <c r="S122" i="1" s="1"/>
  <c r="X122" i="1"/>
  <c r="T121" i="1"/>
  <c r="U121" i="1" s="1"/>
  <c r="S121" i="1" s="1"/>
  <c r="X121" i="1"/>
  <c r="T120" i="1"/>
  <c r="U120" i="1" s="1"/>
  <c r="S120" i="1" s="1"/>
  <c r="X120" i="1"/>
  <c r="T119" i="1"/>
  <c r="U119" i="1" s="1"/>
  <c r="S119" i="1" s="1"/>
  <c r="X119" i="1"/>
  <c r="T118" i="1"/>
  <c r="U118" i="1" s="1"/>
  <c r="S118" i="1" s="1"/>
  <c r="X118" i="1"/>
  <c r="T117" i="1"/>
  <c r="U117" i="1" s="1"/>
  <c r="S117" i="1" s="1"/>
  <c r="X117" i="1"/>
  <c r="T116" i="1"/>
  <c r="U116" i="1" s="1"/>
  <c r="S116" i="1" s="1"/>
  <c r="X116" i="1"/>
  <c r="W110" i="1"/>
  <c r="W100" i="1"/>
  <c r="W107" i="1"/>
  <c r="W101" i="1"/>
  <c r="X219" i="1"/>
  <c r="X218" i="1"/>
  <c r="X217" i="1"/>
  <c r="X216" i="1"/>
  <c r="X215" i="1"/>
  <c r="X214" i="1"/>
  <c r="X213" i="1"/>
  <c r="X212" i="1"/>
  <c r="X211" i="1"/>
  <c r="X159" i="1"/>
  <c r="X158" i="1"/>
  <c r="X157" i="1"/>
  <c r="X156" i="1"/>
  <c r="X155" i="1"/>
  <c r="X150" i="1"/>
  <c r="X149" i="1"/>
  <c r="X148" i="1"/>
  <c r="X147" i="1"/>
  <c r="X146" i="1"/>
  <c r="X145" i="1"/>
  <c r="X144" i="1"/>
  <c r="X143" i="1"/>
  <c r="X142" i="1"/>
  <c r="W103" i="1"/>
  <c r="W118" i="1"/>
  <c r="W117" i="1"/>
  <c r="W116" i="1"/>
  <c r="W115" i="1"/>
  <c r="W114" i="1"/>
  <c r="W113" i="1"/>
  <c r="W112" i="1"/>
  <c r="W111" i="1"/>
  <c r="W104" i="1"/>
  <c r="W99" i="1"/>
  <c r="X115" i="1"/>
  <c r="X114" i="1"/>
  <c r="X113" i="1"/>
  <c r="X112" i="1"/>
  <c r="X111" i="1"/>
  <c r="X110" i="1"/>
  <c r="T108" i="1"/>
  <c r="U108" i="1" s="1"/>
  <c r="S108" i="1" s="1"/>
  <c r="X108" i="1"/>
  <c r="W92" i="1"/>
  <c r="W87" i="1"/>
  <c r="W84" i="1"/>
  <c r="W79" i="1"/>
  <c r="W68" i="1"/>
  <c r="W66" i="1"/>
  <c r="W102" i="1"/>
  <c r="W96" i="1"/>
  <c r="W95" i="1"/>
  <c r="W89" i="1"/>
  <c r="W78" i="1"/>
  <c r="W61" i="1"/>
  <c r="T109" i="1"/>
  <c r="U109" i="1" s="1"/>
  <c r="S109" i="1" s="1"/>
  <c r="X109" i="1"/>
  <c r="T107" i="1"/>
  <c r="U107" i="1" s="1"/>
  <c r="S107" i="1" s="1"/>
  <c r="X107" i="1"/>
  <c r="W106" i="1"/>
  <c r="W91" i="1"/>
  <c r="W88" i="1"/>
  <c r="W83" i="1"/>
  <c r="W75" i="1"/>
  <c r="W72" i="1"/>
  <c r="W62" i="1"/>
  <c r="T106" i="1"/>
  <c r="U106" i="1" s="1"/>
  <c r="S106" i="1" s="1"/>
  <c r="X106" i="1"/>
  <c r="W93" i="1"/>
  <c r="W90" i="1"/>
  <c r="W85" i="1"/>
  <c r="W77" i="1"/>
  <c r="W74" i="1"/>
  <c r="W69" i="1"/>
  <c r="W67" i="1"/>
  <c r="W65" i="1"/>
  <c r="W58" i="1"/>
  <c r="W57" i="1"/>
  <c r="W51" i="1"/>
  <c r="W47" i="1"/>
  <c r="W43" i="1"/>
  <c r="W39" i="1"/>
  <c r="T105" i="1"/>
  <c r="U105" i="1" s="1"/>
  <c r="S105" i="1" s="1"/>
  <c r="X105" i="1"/>
  <c r="T103" i="1"/>
  <c r="U103" i="1" s="1"/>
  <c r="S103" i="1" s="1"/>
  <c r="X103" i="1"/>
  <c r="T101" i="1"/>
  <c r="U101" i="1" s="1"/>
  <c r="S101" i="1" s="1"/>
  <c r="X101" i="1"/>
  <c r="T99" i="1"/>
  <c r="U99" i="1" s="1"/>
  <c r="S99" i="1" s="1"/>
  <c r="X99" i="1"/>
  <c r="T97" i="1"/>
  <c r="U97" i="1" s="1"/>
  <c r="S97" i="1" s="1"/>
  <c r="X97" i="1"/>
  <c r="T95" i="1"/>
  <c r="U95" i="1" s="1"/>
  <c r="X95" i="1"/>
  <c r="T93" i="1"/>
  <c r="U93" i="1" s="1"/>
  <c r="S93" i="1" s="1"/>
  <c r="X93" i="1"/>
  <c r="T91" i="1"/>
  <c r="U91" i="1" s="1"/>
  <c r="S91" i="1" s="1"/>
  <c r="X91" i="1"/>
  <c r="T89" i="1"/>
  <c r="U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T71" i="1"/>
  <c r="U71" i="1" s="1"/>
  <c r="S71" i="1" s="1"/>
  <c r="X71" i="1"/>
  <c r="T69" i="1"/>
  <c r="U69" i="1" s="1"/>
  <c r="S69" i="1" s="1"/>
  <c r="X69" i="1"/>
  <c r="T67" i="1"/>
  <c r="U67" i="1" s="1"/>
  <c r="S67" i="1" s="1"/>
  <c r="X67" i="1"/>
  <c r="X56" i="1"/>
  <c r="W54" i="1"/>
  <c r="W46" i="1"/>
  <c r="W42" i="1"/>
  <c r="W53" i="1"/>
  <c r="W49" i="1"/>
  <c r="W45" i="1"/>
  <c r="W41" i="1"/>
  <c r="W37" i="1"/>
  <c r="T104" i="1"/>
  <c r="U104" i="1" s="1"/>
  <c r="S104" i="1" s="1"/>
  <c r="X104" i="1"/>
  <c r="T102" i="1"/>
  <c r="U102" i="1" s="1"/>
  <c r="S102" i="1" s="1"/>
  <c r="X102" i="1"/>
  <c r="T100" i="1"/>
  <c r="U100" i="1" s="1"/>
  <c r="S100" i="1" s="1"/>
  <c r="X100" i="1"/>
  <c r="T98" i="1"/>
  <c r="U98" i="1" s="1"/>
  <c r="S98" i="1" s="1"/>
  <c r="X98" i="1"/>
  <c r="T96" i="1"/>
  <c r="U96" i="1" s="1"/>
  <c r="X96" i="1"/>
  <c r="T94" i="1"/>
  <c r="U94" i="1" s="1"/>
  <c r="S94" i="1" s="1"/>
  <c r="X94" i="1"/>
  <c r="T92" i="1"/>
  <c r="U92" i="1" s="1"/>
  <c r="S92" i="1" s="1"/>
  <c r="X92" i="1"/>
  <c r="T90" i="1"/>
  <c r="U90" i="1" s="1"/>
  <c r="S90" i="1" s="1"/>
  <c r="X90" i="1"/>
  <c r="T88" i="1"/>
  <c r="U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T72" i="1"/>
  <c r="U72" i="1" s="1"/>
  <c r="S72" i="1" s="1"/>
  <c r="X72" i="1"/>
  <c r="T70" i="1"/>
  <c r="U70" i="1" s="1"/>
  <c r="S70" i="1" s="1"/>
  <c r="X70" i="1"/>
  <c r="T68" i="1"/>
  <c r="U68" i="1" s="1"/>
  <c r="S68" i="1" s="1"/>
  <c r="X68" i="1"/>
  <c r="W52" i="1"/>
  <c r="W48" i="1"/>
  <c r="W44" i="1"/>
  <c r="W40" i="1"/>
  <c r="W30" i="1"/>
  <c r="W29" i="1"/>
  <c r="W28" i="1"/>
  <c r="W27" i="1"/>
  <c r="W25" i="1"/>
  <c r="W24" i="1"/>
  <c r="W22" i="1"/>
  <c r="W21" i="1"/>
  <c r="W20" i="1"/>
  <c r="W18" i="1"/>
  <c r="W17" i="1"/>
  <c r="W16" i="1"/>
  <c r="W15" i="1"/>
  <c r="X66" i="1"/>
  <c r="X65" i="1"/>
  <c r="X64" i="1"/>
  <c r="X63" i="1"/>
  <c r="X62" i="1"/>
  <c r="X61" i="1"/>
  <c r="X58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T18" i="3"/>
  <c r="AD18" i="3"/>
  <c r="AD16" i="3"/>
  <c r="AD13" i="3"/>
  <c r="AD11" i="3"/>
  <c r="AC11" i="3"/>
  <c r="T11" i="3"/>
  <c r="AE20" i="3"/>
  <c r="AE15" i="3"/>
  <c r="AC16" i="3"/>
  <c r="AE14" i="3"/>
  <c r="AE12" i="3"/>
  <c r="AD19" i="3"/>
  <c r="AE17" i="3"/>
  <c r="AD15" i="3"/>
  <c r="AD12" i="3"/>
  <c r="AD9" i="3"/>
  <c r="AD8" i="3"/>
  <c r="AC17" i="3"/>
  <c r="AD14" i="3"/>
  <c r="T13" i="3"/>
  <c r="AE18" i="3"/>
  <c r="AD17" i="3"/>
  <c r="T15" i="3"/>
  <c r="AC14" i="3"/>
  <c r="AC19" i="3"/>
  <c r="Y19" i="3"/>
  <c r="Y13" i="3"/>
  <c r="Y11" i="3"/>
  <c r="Y10" i="3"/>
  <c r="Y15" i="3"/>
  <c r="Y20" i="3"/>
  <c r="Y9" i="3"/>
  <c r="Y12" i="3"/>
  <c r="Y7" i="3"/>
  <c r="Y17" i="3"/>
  <c r="Y16" i="3"/>
  <c r="Y18" i="3"/>
  <c r="Y14" i="3"/>
  <c r="T20" i="3"/>
  <c r="T12" i="3"/>
  <c r="AE10" i="3"/>
  <c r="T7" i="3"/>
  <c r="T9" i="3"/>
  <c r="AE19" i="3"/>
  <c r="AE16" i="3"/>
  <c r="T14" i="3"/>
  <c r="AE13" i="3"/>
  <c r="AD10" i="3"/>
  <c r="AE9" i="3"/>
  <c r="AE8" i="3"/>
  <c r="AC8" i="3"/>
  <c r="Y8" i="3"/>
  <c r="S128" i="1" l="1"/>
  <c r="S88" i="1"/>
  <c r="S95" i="1"/>
  <c r="V13" i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N10" i="3" s="1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N7" i="3" s="1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N19" i="3" s="1"/>
  <c r="G123" i="4"/>
  <c r="G124" i="4"/>
  <c r="N12" i="3" s="1"/>
  <c r="G125" i="4"/>
  <c r="G126" i="4"/>
  <c r="G127" i="4"/>
  <c r="G128" i="4"/>
  <c r="G129" i="4"/>
  <c r="G130" i="4"/>
  <c r="G131" i="4"/>
  <c r="G132" i="4"/>
  <c r="G133" i="4"/>
  <c r="G134" i="4"/>
  <c r="N13" i="3" s="1"/>
  <c r="G135" i="4"/>
  <c r="G136" i="4"/>
  <c r="G137" i="4"/>
  <c r="G138" i="4"/>
  <c r="G139" i="4"/>
  <c r="G140" i="4"/>
  <c r="G141" i="4"/>
  <c r="G142" i="4"/>
  <c r="G143" i="4"/>
  <c r="G144" i="4"/>
  <c r="G145" i="4"/>
  <c r="G146" i="4"/>
  <c r="N11" i="3" s="1"/>
  <c r="G147" i="4"/>
  <c r="G148" i="4"/>
  <c r="N14" i="3" s="1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N9" i="3" s="1"/>
  <c r="G175" i="4"/>
  <c r="N15" i="3" s="1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N20" i="3" s="1"/>
  <c r="G199" i="4"/>
  <c r="G200" i="4"/>
  <c r="G201" i="4"/>
  <c r="G202" i="4"/>
  <c r="G203" i="4"/>
  <c r="G204" i="4"/>
  <c r="G205" i="4"/>
  <c r="G206" i="4"/>
  <c r="G207" i="4"/>
  <c r="G208" i="4"/>
  <c r="G209" i="4"/>
  <c r="G210" i="4"/>
  <c r="N18" i="3" s="1"/>
  <c r="G211" i="4"/>
  <c r="G212" i="4"/>
  <c r="G213" i="4"/>
  <c r="G214" i="4"/>
  <c r="G215" i="4"/>
  <c r="G216" i="4"/>
  <c r="G217" i="4"/>
  <c r="G218" i="4"/>
  <c r="G219" i="4"/>
  <c r="G220" i="4"/>
  <c r="N17" i="3" s="1"/>
  <c r="G221" i="4"/>
  <c r="G222" i="4"/>
  <c r="G223" i="4"/>
  <c r="G2" i="4"/>
  <c r="N16" i="3" l="1"/>
  <c r="N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<sst xmlns="http://schemas.openxmlformats.org/spreadsheetml/2006/main" count="2703" uniqueCount="1100">
  <si>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</si>
  <si>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</si>
  <si>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</si>
  <si>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</si>
  <si>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</si>
  <si>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</si>
  <si>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</si>
  <si>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</si>
  <si>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</si>
  <si>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</si>
  <si>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</si>
  <si>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</si>
  <si>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</si>
  <si>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</si>
  <si>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</si>
  <si>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</si>
  <si>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</si>
  <si>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</si>
  <si>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</si>
  <si>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</si>
  <si>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</si>
  <si>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</si>
  <si>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</si>
  <si>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</si>
  <si>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</si>
  <si>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</si>
  <si>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</si>
  <si>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</si>
  <si>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</si>
  <si>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</si>
  <si>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</si>
  <si>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</si>
  <si>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</si>
  <si>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</si>
  <si>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</si>
  <si>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</si>
  <si>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</si>
  <si>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</si>
  <si>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</si>
  <si>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</si>
  <si>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</si>
  <si>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</si>
  <si>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</si>
  <si>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</si>
  <si>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</si>
  <si>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</si>
  <si>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</si>
  <si>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</si>
  <si>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</si>
  <si>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</si>
  <si>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</si>
  <si>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</si>
  <si>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</si>
  <si>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</si>
  <si>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</si>
  <si>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</si>
  <si>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</si>
  <si>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</si>
  <si>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</si>
  <si>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</si>
  <si>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</si>
  <si>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</si>
  <si>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</si>
  <si>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</si>
  <si>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</si>
  <si>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</si>
  <si>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</si>
  <si>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</si>
  <si>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</si>
  <si>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</si>
  <si>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</si>
  <si>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</si>
  <si>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</si>
  <si>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</si>
  <si>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</si>
  <si>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</si>
  <si>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</si>
  <si>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</si>
  <si>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</si>
  <si>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</si>
  <si>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</si>
  <si>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</si>
  <si>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</si>
  <si>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</si>
  <si>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</si>
  <si>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</si>
  <si>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</si>
  <si>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</si>
  <si>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</si>
  <si>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</si>
  <si>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</si>
  <si>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</si>
  <si>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</si>
  <si>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</si>
  <si>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</si>
  <si>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</si>
  <si>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</si>
  <si>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</si>
  <si>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</si>
  <si>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</si>
  <si>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</si>
  <si>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</si>
  <si>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</si>
  <si>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</si>
  <si>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</si>
  <si>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</si>
  <si>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</si>
  <si>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</si>
  <si>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</si>
  <si>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</si>
  <si>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</si>
  <si>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</si>
  <si>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</si>
  <si>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</si>
  <si>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</si>
  <si>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</si>
  <si>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</si>
  <si>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</si>
  <si>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</si>
  <si>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</si>
  <si>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</si>
  <si>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</si>
  <si>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</si>
  <si>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</si>
  <si>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</si>
  <si>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</si>
  <si>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</si>
  <si>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</si>
  <si>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</si>
  <si>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</si>
  <si>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</si>
  <si>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</si>
  <si>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</si>
  <si>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</si>
  <si>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</si>
  <si>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</si>
  <si>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</si>
  <si>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</si>
  <si>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</si>
  <si>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</si>
  <si>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</si>
  <si>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</si>
  <si>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</si>
  <si>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</si>
  <si>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</si>
  <si>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</si>
  <si>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</si>
  <si>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</si>
  <si>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</si>
  <si>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</si>
  <si>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</si>
  <si>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</si>
  <si>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</si>
  <si>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</si>
  <si>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</si>
  <si>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</si>
  <si>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</si>
  <si>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</si>
  <si>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</si>
  <si>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</si>
  <si>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</si>
  <si>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</si>
  <si>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</si>
  <si>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</si>
  <si>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</si>
  <si>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</si>
  <si>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</si>
  <si>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</si>
  <si>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</si>
  <si>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</si>
  <si>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</si>
  <si>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</si>
  <si>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</si>
  <si>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</si>
  <si>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</si>
  <si>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</si>
  <si>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</si>
  <si>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</si>
  <si>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</si>
  <si>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</si>
  <si>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</si>
  <si>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</si>
  <si>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</si>
  <si>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</si>
  <si>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</si>
  <si>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</si>
  <si>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</si>
  <si>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</si>
  <si>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</si>
  <si>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</si>
  <si>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</si>
  <si>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</si>
  <si>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</si>
  <si>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</si>
  <si>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</si>
  <si>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</si>
  <si>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</si>
  <si>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</si>
  <si>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</si>
  <si>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</si>
  <si>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</si>
  <si>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</si>
  <si>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</si>
  <si>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</si>
  <si>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</si>
  <si>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</si>
  <si>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</si>
  <si>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</si>
  <si>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</si>
  <si>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</si>
  <si>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</si>
  <si>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</si>
  <si>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</si>
  <si>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</si>
  <si>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</si>
  <si>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</si>
  <si>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</si>
  <si>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</si>
  <si>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</si>
  <si>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</si>
  <si>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</si>
  <si>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</si>
  <si>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</si>
  <si>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</si>
  <si>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</si>
  <si>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</si>
  <si>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</si>
  <si>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</si>
  <si>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</si>
  <si>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</si>
  <si>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</si>
  <si>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</si>
  <si>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</si>
  <si>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</si>
  <si>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</si>
  <si>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</si>
  <si>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</si>
  <si>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</si>
  <si>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</si>
  <si>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</si>
  <si>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</si>
  <si>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</si>
  <si>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</si>
  <si>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</si>
  <si>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</si>
  <si>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</si>
  <si>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</si>
  <si>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</si>
  <si>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</si>
  <si>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</si>
  <si>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</si>
  <si>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</si>
  <si>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</si>
  <si>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</si>
  <si>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</si>
  <si>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</si>
  <si>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</si>
  <si>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</si>
  <si>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</si>
  <si>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</si>
  <si>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</si>
  <si>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</si>
  <si>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</si>
  <si>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</si>
  <si>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</si>
  <si>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</si>
  <si>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</si>
  <si>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</si>
  <si>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</si>
  <si>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</si>
  <si>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</si>
  <si>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</si>
  <si>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</si>
  <si>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</si>
  <si>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</si>
  <si>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</si>
  <si>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</si>
  <si>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</si>
  <si>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</si>
  <si>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</si>
  <si>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</si>
  <si>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</si>
  <si>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</si>
  <si>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</si>
  <si>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</si>
  <si>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</si>
  <si>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</si>
  <si>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</si>
  <si>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</si>
  <si>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</si>
  <si>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</si>
  <si>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</si>
  <si>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</si>
  <si>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</si>
  <si>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</si>
  <si>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</si>
  <si>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</si>
  <si>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</si>
  <si>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</si>
  <si>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</si>
  <si>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</si>
  <si>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</si>
  <si>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</si>
  <si>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</si>
  <si>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</si>
  <si>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</si>
  <si>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</si>
  <si>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</si>
  <si>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</si>
  <si>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</si>
  <si>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</si>
  <si>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</si>
  <si>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</si>
  <si>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</si>
  <si>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</si>
  <si>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</si>
  <si>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</si>
  <si>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</si>
  <si>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</si>
  <si>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</si>
  <si>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</si>
  <si>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</si>
  <si>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</si>
  <si>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</si>
  <si>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</si>
  <si>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</si>
  <si>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</si>
  <si>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</si>
  <si>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</si>
  <si>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</si>
  <si>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</si>
  <si>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</si>
  <si>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</si>
  <si>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</si>
  <si>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</si>
  <si>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</si>
  <si>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</si>
  <si>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</si>
  <si>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</si>
  <si>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</si>
  <si>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</si>
  <si>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</si>
  <si>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</si>
  <si>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</si>
  <si>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</si>
  <si>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</si>
  <si>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</si>
  <si>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</si>
  <si>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</si>
  <si>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</si>
  <si>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</si>
  <si>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</si>
  <si>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</si>
  <si>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</si>
  <si>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</si>
  <si>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</si>
  <si>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</si>
  <si>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</si>
  <si>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</si>
  <si>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</si>
  <si>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</si>
  <si>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</si>
  <si>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</si>
  <si>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</si>
  <si>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</si>
  <si>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</si>
  <si>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</si>
  <si>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rtdc.l.rtdc.4012:itc</t>
  </si>
  <si>
    <t>rtdc.l.rtdc.4011:itc</t>
  </si>
  <si>
    <t>GUNTHIER</t>
  </si>
  <si>
    <t>ERIC</t>
  </si>
  <si>
    <t>RESPASS</t>
  </si>
  <si>
    <t>AARON</t>
  </si>
  <si>
    <t>ANDREA</t>
  </si>
  <si>
    <t>rtdc.l.rtdc.4062:itc</t>
  </si>
  <si>
    <t>rtdc.l.rtdc.4022:itc</t>
  </si>
  <si>
    <t>rtdc.l.rtdc.4061:itc</t>
  </si>
  <si>
    <t>rtdc.l.rtdc.4029:itc</t>
  </si>
  <si>
    <t>232-31</t>
  </si>
  <si>
    <t>238-31</t>
  </si>
  <si>
    <t>rtdc.l.rtdc.4030:itc</t>
  </si>
  <si>
    <t>STAMBAUGH</t>
  </si>
  <si>
    <t>JAMES</t>
  </si>
  <si>
    <t>MOSES</t>
  </si>
  <si>
    <t>BRADLEY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</si>
  <si>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</si>
  <si>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</si>
  <si>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</si>
  <si>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</si>
  <si>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</si>
  <si>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</si>
  <si>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</si>
  <si>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</si>
  <si>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</si>
  <si>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</si>
  <si>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</si>
  <si>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</si>
  <si>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</si>
  <si>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</si>
  <si>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</si>
  <si>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</si>
  <si>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</si>
  <si>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</si>
  <si>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</si>
  <si>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</si>
  <si>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</si>
  <si>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</si>
  <si>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204:207</t>
  </si>
  <si>
    <t>SWITCH UNKNOWN</t>
  </si>
  <si>
    <t>Track device (7)</t>
  </si>
  <si>
    <t>Clear</t>
  </si>
  <si>
    <t>clear-night</t>
  </si>
  <si>
    <t>ELBAUM</t>
  </si>
  <si>
    <t>MIKE</t>
  </si>
  <si>
    <t>DAVID</t>
  </si>
  <si>
    <t>204:212</t>
  </si>
  <si>
    <t>204:232934</t>
  </si>
  <si>
    <t>rtdc.l.rtdc.4056:itc</t>
  </si>
  <si>
    <t>204:161</t>
  </si>
  <si>
    <t>204:508</t>
  </si>
  <si>
    <t>204:229</t>
  </si>
  <si>
    <t>204:475</t>
  </si>
  <si>
    <t>204:218</t>
  </si>
  <si>
    <t>204:232904</t>
  </si>
  <si>
    <t>204:221</t>
  </si>
  <si>
    <t>204:232932</t>
  </si>
  <si>
    <t>204:149</t>
  </si>
  <si>
    <t>rtdc.l.rtdc.4025:itc</t>
  </si>
  <si>
    <t>rtdc.l.rtdc.4026:itc</t>
  </si>
  <si>
    <t>DONTE</t>
  </si>
  <si>
    <t>clear-day</t>
  </si>
  <si>
    <t>204:233293</t>
  </si>
  <si>
    <t>204:205</t>
  </si>
  <si>
    <t>204:223</t>
  </si>
  <si>
    <t>204:233299</t>
  </si>
  <si>
    <t>204:187</t>
  </si>
  <si>
    <t>204:176</t>
  </si>
  <si>
    <t>300:23346</t>
  </si>
  <si>
    <t>rtdc.l.rtdc.4044:itc</t>
  </si>
  <si>
    <t>rtdc.l.rtdc.4043:itc</t>
  </si>
  <si>
    <t>307-27</t>
  </si>
  <si>
    <t>rtdc.l.rtdc.4021:itc</t>
  </si>
  <si>
    <t>NICHOLAS</t>
  </si>
  <si>
    <t>PLOYSA</t>
  </si>
  <si>
    <t>SPECTOR</t>
  </si>
  <si>
    <t>DAVIDSON</t>
  </si>
  <si>
    <t>LONG</t>
  </si>
  <si>
    <t>FULLER</t>
  </si>
  <si>
    <t>LORI</t>
  </si>
  <si>
    <t>SANTOS</t>
  </si>
  <si>
    <t>846-27</t>
  </si>
  <si>
    <t>237-27</t>
  </si>
  <si>
    <t>234-27</t>
  </si>
  <si>
    <t>849-27</t>
  </si>
  <si>
    <t>239-27</t>
  </si>
  <si>
    <t>236-27</t>
  </si>
  <si>
    <t>908-27</t>
  </si>
  <si>
    <t>238-27</t>
  </si>
  <si>
    <t>241-27</t>
  </si>
  <si>
    <t>240-27</t>
  </si>
  <si>
    <t>243-27</t>
  </si>
  <si>
    <t>313-27</t>
  </si>
  <si>
    <t>242-27</t>
  </si>
  <si>
    <t>244-27</t>
  </si>
  <si>
    <t>309-27</t>
  </si>
  <si>
    <t>311-27</t>
  </si>
  <si>
    <t>204:446</t>
  </si>
  <si>
    <t>204:232896</t>
  </si>
  <si>
    <t>204:231</t>
  </si>
  <si>
    <t>204:533</t>
  </si>
  <si>
    <t>204:537</t>
  </si>
  <si>
    <t>204:233244</t>
  </si>
  <si>
    <t>204:233240</t>
  </si>
  <si>
    <t>300:23306</t>
  </si>
  <si>
    <t>204:450</t>
  </si>
  <si>
    <t>204:152</t>
  </si>
  <si>
    <t>Wi-MAX data drop</t>
  </si>
  <si>
    <t>rtdc.l.rtdc.4002:itc</t>
  </si>
  <si>
    <t>rtdc.l.rtdc.4001:itc</t>
  </si>
  <si>
    <t>rtdc.l.rtdc.4058:itc</t>
  </si>
  <si>
    <t>BRUDER</t>
  </si>
  <si>
    <t>RICHARD</t>
  </si>
  <si>
    <t>LEVIN</t>
  </si>
  <si>
    <t>SCOTT</t>
  </si>
  <si>
    <t>ANDERS</t>
  </si>
  <si>
    <t>STEVEN</t>
  </si>
  <si>
    <t>ZEWDU</t>
  </si>
  <si>
    <t>DEREJE</t>
  </si>
  <si>
    <t>204:232955</t>
  </si>
  <si>
    <t>204:435</t>
  </si>
  <si>
    <t>204:232892</t>
  </si>
  <si>
    <t>204:464</t>
  </si>
  <si>
    <t>204:138</t>
  </si>
  <si>
    <t>204:216</t>
  </si>
  <si>
    <t>204:200</t>
  </si>
  <si>
    <t>204:232884</t>
  </si>
  <si>
    <t>204:233249</t>
  </si>
  <si>
    <t>204:233222</t>
  </si>
  <si>
    <t>204:233215</t>
  </si>
  <si>
    <t>204:233223</t>
  </si>
  <si>
    <t>204:544</t>
  </si>
  <si>
    <t>204:551</t>
  </si>
  <si>
    <t>204:520</t>
  </si>
  <si>
    <t>204:236</t>
  </si>
  <si>
    <t>204:517</t>
  </si>
  <si>
    <t>300:58632</t>
  </si>
  <si>
    <t>204:128</t>
  </si>
  <si>
    <t>204:153</t>
  </si>
  <si>
    <t>204:142</t>
  </si>
  <si>
    <t>204:232879</t>
  </si>
  <si>
    <t>rtdc.l.rtdc.4031:itc</t>
  </si>
  <si>
    <t>rtdc.l.rtdc.4032:itc</t>
  </si>
  <si>
    <t>843-29</t>
  </si>
  <si>
    <t>rtdc.l.rtdc.4005:itc</t>
  </si>
  <si>
    <t>228-29</t>
  </si>
  <si>
    <t>244-29</t>
  </si>
  <si>
    <t>LOPES</t>
  </si>
  <si>
    <t>KIMBERLY</t>
  </si>
  <si>
    <t>rtdc.l.rtdc.4006:itc</t>
  </si>
  <si>
    <t>FORTUNATO</t>
  </si>
  <si>
    <t>FRANK</t>
  </si>
  <si>
    <t>BERLING</t>
  </si>
  <si>
    <t>GARY</t>
  </si>
  <si>
    <t>HOLCOMB</t>
  </si>
  <si>
    <t>KAMDEN</t>
  </si>
  <si>
    <t>224-29</t>
  </si>
  <si>
    <t>227-29</t>
  </si>
  <si>
    <t>842-29</t>
  </si>
  <si>
    <t>229-29</t>
  </si>
  <si>
    <t>226-29</t>
  </si>
  <si>
    <t>845-29</t>
  </si>
  <si>
    <t>231-29</t>
  </si>
  <si>
    <t>844-29</t>
  </si>
  <si>
    <t>233-29</t>
  </si>
  <si>
    <t>230-29</t>
  </si>
  <si>
    <t>847-29</t>
  </si>
  <si>
    <t>232-29</t>
  </si>
  <si>
    <t>846-29</t>
  </si>
  <si>
    <t>235-29</t>
  </si>
  <si>
    <t>237-29</t>
  </si>
  <si>
    <t>234-29</t>
  </si>
  <si>
    <t>849-29</t>
  </si>
  <si>
    <t>239-29</t>
  </si>
  <si>
    <t>908-29</t>
  </si>
  <si>
    <t>236-29</t>
  </si>
  <si>
    <t>241-29</t>
  </si>
  <si>
    <t>238-29</t>
  </si>
  <si>
    <t>240-29</t>
  </si>
  <si>
    <t>243-29</t>
  </si>
  <si>
    <t>313-29</t>
  </si>
  <si>
    <t>242-29</t>
  </si>
  <si>
    <t>307-29</t>
  </si>
  <si>
    <t>309-29</t>
  </si>
  <si>
    <t>311-29</t>
  </si>
  <si>
    <t>204:232953</t>
  </si>
  <si>
    <t>204:491</t>
  </si>
  <si>
    <t>204:460</t>
  </si>
  <si>
    <t>204:147</t>
  </si>
  <si>
    <t>204:553</t>
  </si>
  <si>
    <t>204:232885</t>
  </si>
  <si>
    <t>204:232</t>
  </si>
  <si>
    <t>204:163</t>
  </si>
  <si>
    <t>204:233229</t>
  </si>
  <si>
    <t>204:232973</t>
  </si>
  <si>
    <t>204:160</t>
  </si>
  <si>
    <t>204:519</t>
  </si>
  <si>
    <t>204:232857</t>
  </si>
  <si>
    <t>204:522</t>
  </si>
  <si>
    <t>204:232936</t>
  </si>
  <si>
    <t>204:233183</t>
  </si>
  <si>
    <t>300:23302</t>
  </si>
  <si>
    <t>204:181</t>
  </si>
  <si>
    <t>204:484</t>
  </si>
  <si>
    <t>204:191</t>
  </si>
  <si>
    <t>204:486</t>
  </si>
  <si>
    <t>204:433</t>
  </si>
  <si>
    <t>300:58666</t>
  </si>
  <si>
    <t>300:58950</t>
  </si>
  <si>
    <t>300:58935</t>
  </si>
  <si>
    <t>300:58946</t>
  </si>
  <si>
    <t>Onboard in-route failure</t>
  </si>
  <si>
    <t>Brief Wi-MAX data drop caused unhealthy banner</t>
  </si>
  <si>
    <t>rtdc.l.rtdc.4034:itc</t>
  </si>
  <si>
    <t>rtdc.l.rtdc.4039:itc</t>
  </si>
  <si>
    <t>rtdc.l.rtdc.4040:itc</t>
  </si>
  <si>
    <t>rtdc.l.rtdc.4014:itc</t>
  </si>
  <si>
    <t>rtdc.l.rtdc.4023:itc</t>
  </si>
  <si>
    <t>rtdc.l.rtdc.4024:itc</t>
  </si>
  <si>
    <t>MAELZER</t>
  </si>
  <si>
    <t>KURT</t>
  </si>
  <si>
    <t>STARKS</t>
  </si>
  <si>
    <t>ANGELINA</t>
  </si>
  <si>
    <t>BADERTSCHER</t>
  </si>
  <si>
    <t>DIANE</t>
  </si>
  <si>
    <t>DELGADO</t>
  </si>
  <si>
    <t>DIANAH</t>
  </si>
  <si>
    <t>307-30</t>
  </si>
  <si>
    <t>244-30</t>
  </si>
  <si>
    <t>309-30</t>
  </si>
  <si>
    <t>311-30</t>
  </si>
  <si>
    <t>204:145</t>
  </si>
  <si>
    <t>204:232943</t>
  </si>
  <si>
    <t>204:455</t>
  </si>
  <si>
    <t>204:233286</t>
  </si>
  <si>
    <t>204:232965</t>
  </si>
  <si>
    <t>204:467</t>
  </si>
  <si>
    <t>204:232978</t>
  </si>
  <si>
    <t>204:178</t>
  </si>
  <si>
    <t>204:549</t>
  </si>
  <si>
    <t>204:233270</t>
  </si>
  <si>
    <t>204:233282</t>
  </si>
  <si>
    <t>204:457</t>
  </si>
  <si>
    <t>204:480</t>
  </si>
  <si>
    <t>204:233259</t>
  </si>
  <si>
    <t>204:437</t>
  </si>
  <si>
    <t>204:211</t>
  </si>
  <si>
    <t>204:233204</t>
  </si>
  <si>
    <t>204:509</t>
  </si>
  <si>
    <t>204:233221</t>
  </si>
  <si>
    <t>204:233228</t>
  </si>
  <si>
    <t>204:232917</t>
  </si>
  <si>
    <t>204:242</t>
  </si>
  <si>
    <t>204:497</t>
  </si>
  <si>
    <t>204:233245</t>
  </si>
  <si>
    <t>204:233251</t>
  </si>
  <si>
    <t>204:233238</t>
  </si>
  <si>
    <t>204:232938</t>
  </si>
  <si>
    <t>204:232898</t>
  </si>
  <si>
    <t>204:232882</t>
  </si>
  <si>
    <t>204:233218</t>
  </si>
  <si>
    <t>204:251</t>
  </si>
  <si>
    <t>204:194</t>
  </si>
  <si>
    <t>204:506</t>
  </si>
  <si>
    <t>204:233274</t>
  </si>
  <si>
    <t>204:165</t>
  </si>
  <si>
    <t>204:232908</t>
  </si>
  <si>
    <t>204:555</t>
  </si>
  <si>
    <t>204:539</t>
  </si>
  <si>
    <t>204:232923</t>
  </si>
  <si>
    <t>204:196</t>
  </si>
  <si>
    <t>204:232949</t>
  </si>
  <si>
    <t>204:502</t>
  </si>
  <si>
    <t>204:564</t>
  </si>
  <si>
    <t>204:192</t>
  </si>
  <si>
    <t>204:3227</t>
  </si>
  <si>
    <t>204:131</t>
  </si>
  <si>
    <t>300:58969</t>
  </si>
  <si>
    <t>204:148</t>
  </si>
  <si>
    <t>300:58638</t>
  </si>
  <si>
    <t>204:133</t>
  </si>
  <si>
    <t>204:157</t>
  </si>
  <si>
    <t>204:421</t>
  </si>
  <si>
    <t>204:140</t>
  </si>
  <si>
    <t>300:58931</t>
  </si>
  <si>
    <t>300:58624</t>
  </si>
  <si>
    <t>204:441</t>
  </si>
  <si>
    <t>204:489</t>
  </si>
  <si>
    <t>300:58613</t>
  </si>
  <si>
    <t>300:58924</t>
  </si>
  <si>
    <t>204:144</t>
  </si>
  <si>
    <t>300:58606</t>
  </si>
  <si>
    <t>300:58939</t>
  </si>
  <si>
    <t>300:58611</t>
  </si>
  <si>
    <t>start /low /b %USERPROFILE%\Documents\GitHub\eaglep3\Utilities\DownloadLogsFromS3.py --loco 4039 --day 2017-12-01</t>
  </si>
  <si>
    <t>204:232864</t>
  </si>
  <si>
    <t>rtdc.l.rtdc.4015:itc</t>
  </si>
  <si>
    <t>MACDONALD</t>
  </si>
  <si>
    <t>THOMAS</t>
  </si>
  <si>
    <t>rtdc.l.rtdc.4016:itc</t>
  </si>
  <si>
    <t>SAFIEF</t>
  </si>
  <si>
    <t>AEIMEN</t>
  </si>
  <si>
    <t>SMITH</t>
  </si>
  <si>
    <t>BIRENBAUM</t>
  </si>
  <si>
    <t>GONZALEZ</t>
  </si>
  <si>
    <t>ARMANDO</t>
  </si>
  <si>
    <t>204:189</t>
  </si>
  <si>
    <t>204:526</t>
  </si>
  <si>
    <t>204:495</t>
  </si>
  <si>
    <t>204:232994</t>
  </si>
  <si>
    <t>204:170</t>
  </si>
  <si>
    <t>204:232889</t>
  </si>
  <si>
    <t>204:233176</t>
  </si>
  <si>
    <t>204:513</t>
  </si>
  <si>
    <t>204:183</t>
  </si>
  <si>
    <t>204:232967</t>
  </si>
  <si>
    <t>204:482</t>
  </si>
  <si>
    <t>204:232969</t>
  </si>
  <si>
    <t>204:233261</t>
  </si>
  <si>
    <t>204:524</t>
  </si>
  <si>
    <t>204:232966</t>
  </si>
  <si>
    <t>204:232911</t>
  </si>
  <si>
    <t>204:262</t>
  </si>
  <si>
    <t>204:232891</t>
  </si>
  <si>
    <t>204:245</t>
  </si>
  <si>
    <t>204:504</t>
  </si>
  <si>
    <t>204:167</t>
  </si>
  <si>
    <t>204:220</t>
  </si>
  <si>
    <t>204:233272</t>
  </si>
  <si>
    <t>204:232944</t>
  </si>
  <si>
    <t>204:233227</t>
  </si>
  <si>
    <t>300:58617</t>
  </si>
  <si>
    <t>204:442</t>
  </si>
  <si>
    <t>300:58926</t>
  </si>
  <si>
    <t>204:466</t>
  </si>
  <si>
    <t>300:58604</t>
  </si>
  <si>
    <t>300:58922</t>
  </si>
  <si>
    <t>300:58662</t>
  </si>
  <si>
    <t>300:58673</t>
  </si>
  <si>
    <t>300:58976</t>
  </si>
  <si>
    <t>300:58995</t>
  </si>
  <si>
    <t>204:198</t>
  </si>
  <si>
    <t>204:232902</t>
  </si>
  <si>
    <t>204:500</t>
  </si>
  <si>
    <t>204:232942</t>
  </si>
  <si>
    <t>204:203</t>
  </si>
  <si>
    <t>204:233234</t>
  </si>
  <si>
    <t>204:232921</t>
  </si>
  <si>
    <t>204:227</t>
  </si>
  <si>
    <t>204:232948</t>
  </si>
  <si>
    <t>204:233276</t>
  </si>
  <si>
    <t>204:233264</t>
  </si>
  <si>
    <t>204:265</t>
  </si>
  <si>
    <t>204:573</t>
  </si>
  <si>
    <t>204:528</t>
  </si>
  <si>
    <t>204:568</t>
  </si>
  <si>
    <t>204:471</t>
  </si>
  <si>
    <t>300:23308</t>
  </si>
  <si>
    <t>102-01</t>
  </si>
  <si>
    <t>800-01</t>
  </si>
  <si>
    <t>rtdc.l.rtdc.4045:itc</t>
  </si>
  <si>
    <t>142-01</t>
  </si>
  <si>
    <t>816-01</t>
  </si>
  <si>
    <t>822-01</t>
  </si>
  <si>
    <t>rtdc.l.rtdc.4049:itc</t>
  </si>
  <si>
    <t>174-01</t>
  </si>
  <si>
    <t>176-01</t>
  </si>
  <si>
    <t>182-01</t>
  </si>
  <si>
    <t>195-01</t>
  </si>
  <si>
    <t>rtdc.l.rtdc.4046:itc</t>
  </si>
  <si>
    <t>197-01</t>
  </si>
  <si>
    <t>213-01</t>
  </si>
  <si>
    <t>rtdc.l.rtdc.4019:itc</t>
  </si>
  <si>
    <t>208-01</t>
  </si>
  <si>
    <t>214-01</t>
  </si>
  <si>
    <t>rtdc.l.rtdc.4050:itc</t>
  </si>
  <si>
    <t>305-01</t>
  </si>
  <si>
    <t>844-01</t>
  </si>
  <si>
    <t>849-01</t>
  </si>
  <si>
    <t>300-01</t>
  </si>
  <si>
    <t>51-01</t>
  </si>
  <si>
    <t>101-01</t>
  </si>
  <si>
    <t>302-01</t>
  </si>
  <si>
    <t>50-01</t>
  </si>
  <si>
    <t>103-01</t>
  </si>
  <si>
    <t>304-01</t>
  </si>
  <si>
    <t>PAGE</t>
  </si>
  <si>
    <t>MARCUS</t>
  </si>
  <si>
    <t>306-01</t>
  </si>
  <si>
    <t>105-01</t>
  </si>
  <si>
    <t>308-01</t>
  </si>
  <si>
    <t>107-01</t>
  </si>
  <si>
    <t>104-01</t>
  </si>
  <si>
    <t>rtdc.l.rtdc.4020:itc</t>
  </si>
  <si>
    <t>109-01</t>
  </si>
  <si>
    <t>310-01</t>
  </si>
  <si>
    <t>901-01</t>
  </si>
  <si>
    <t>111-01</t>
  </si>
  <si>
    <t>113-01</t>
  </si>
  <si>
    <t>106-01</t>
  </si>
  <si>
    <t>108-01</t>
  </si>
  <si>
    <t>117-01</t>
  </si>
  <si>
    <t>312-01</t>
  </si>
  <si>
    <t>115-01</t>
  </si>
  <si>
    <t>110-01</t>
  </si>
  <si>
    <t>801-01</t>
  </si>
  <si>
    <t>112-01</t>
  </si>
  <si>
    <t>119-01</t>
  </si>
  <si>
    <t>902-01</t>
  </si>
  <si>
    <t>802-01</t>
  </si>
  <si>
    <t>803-01</t>
  </si>
  <si>
    <t>121-01</t>
  </si>
  <si>
    <t>114-01</t>
  </si>
  <si>
    <t>116-01</t>
  </si>
  <si>
    <t>123-01</t>
  </si>
  <si>
    <t>118-01</t>
  </si>
  <si>
    <t>804-01</t>
  </si>
  <si>
    <t>805-01</t>
  </si>
  <si>
    <t>125-01</t>
  </si>
  <si>
    <t>120-01</t>
  </si>
  <si>
    <t>122-01</t>
  </si>
  <si>
    <t>806-01</t>
  </si>
  <si>
    <t>807-01</t>
  </si>
  <si>
    <t>127-01</t>
  </si>
  <si>
    <t>129-01</t>
  </si>
  <si>
    <t>126-01</t>
  </si>
  <si>
    <t>124-01</t>
  </si>
  <si>
    <t>808-01</t>
  </si>
  <si>
    <t>131-01</t>
  </si>
  <si>
    <t>809-01</t>
  </si>
  <si>
    <t>133-01</t>
  </si>
  <si>
    <t>135-01</t>
  </si>
  <si>
    <t>128-01</t>
  </si>
  <si>
    <t>810-01</t>
  </si>
  <si>
    <t>811-01</t>
  </si>
  <si>
    <t>130-01</t>
  </si>
  <si>
    <t>132-01</t>
  </si>
  <si>
    <t>137-01</t>
  </si>
  <si>
    <t>139-01</t>
  </si>
  <si>
    <t>812-01</t>
  </si>
  <si>
    <t>903-01</t>
  </si>
  <si>
    <t>134-01</t>
  </si>
  <si>
    <t>136-01</t>
  </si>
  <si>
    <t>141-01</t>
  </si>
  <si>
    <t>138-01</t>
  </si>
  <si>
    <t>143-01</t>
  </si>
  <si>
    <t>813-01</t>
  </si>
  <si>
    <t>140-01</t>
  </si>
  <si>
    <t>145-01</t>
  </si>
  <si>
    <t>147-01</t>
  </si>
  <si>
    <t>814-01</t>
  </si>
  <si>
    <t>149-01</t>
  </si>
  <si>
    <t>144-01</t>
  </si>
  <si>
    <t>151-01</t>
  </si>
  <si>
    <t>146-01</t>
  </si>
  <si>
    <t>815-01</t>
  </si>
  <si>
    <t>153-01</t>
  </si>
  <si>
    <t>148-01</t>
  </si>
  <si>
    <t>150-01</t>
  </si>
  <si>
    <t>155-01</t>
  </si>
  <si>
    <t>rtdc.l.rtdc.4057:itc</t>
  </si>
  <si>
    <t>157-01</t>
  </si>
  <si>
    <t>152-01</t>
  </si>
  <si>
    <t>159-01</t>
  </si>
  <si>
    <t>817-01</t>
  </si>
  <si>
    <t>154-01</t>
  </si>
  <si>
    <t>161-01</t>
  </si>
  <si>
    <t>156-01</t>
  </si>
  <si>
    <t>818-01</t>
  </si>
  <si>
    <t>163-01</t>
  </si>
  <si>
    <t>GEBRETEKLE</t>
  </si>
  <si>
    <t>DAGNEW</t>
  </si>
  <si>
    <t>158-01</t>
  </si>
  <si>
    <t>165-01</t>
  </si>
  <si>
    <t>LEVERE</t>
  </si>
  <si>
    <t>CRAIG</t>
  </si>
  <si>
    <t>160-01</t>
  </si>
  <si>
    <t>167-01</t>
  </si>
  <si>
    <t>819-01</t>
  </si>
  <si>
    <t>162-01</t>
  </si>
  <si>
    <t>169-01</t>
  </si>
  <si>
    <t>164-01</t>
  </si>
  <si>
    <t>171-01</t>
  </si>
  <si>
    <t>820-01</t>
  </si>
  <si>
    <t>166-01</t>
  </si>
  <si>
    <t>168-01</t>
  </si>
  <si>
    <t>173-01</t>
  </si>
  <si>
    <t>175-01</t>
  </si>
  <si>
    <t>821-01</t>
  </si>
  <si>
    <t>170-01</t>
  </si>
  <si>
    <t>177-01</t>
  </si>
  <si>
    <t>172-01</t>
  </si>
  <si>
    <t>179-01</t>
  </si>
  <si>
    <t>181-01</t>
  </si>
  <si>
    <t>183-01</t>
  </si>
  <si>
    <t>823-01</t>
  </si>
  <si>
    <t>178-01</t>
  </si>
  <si>
    <t>185-01</t>
  </si>
  <si>
    <t>180-01</t>
  </si>
  <si>
    <t>187-01</t>
  </si>
  <si>
    <t>824-01</t>
  </si>
  <si>
    <t>189-01</t>
  </si>
  <si>
    <t>184-01</t>
  </si>
  <si>
    <t>191-01</t>
  </si>
  <si>
    <t>825-01</t>
  </si>
  <si>
    <t>193-01</t>
  </si>
  <si>
    <t>186-01</t>
  </si>
  <si>
    <t>188-01</t>
  </si>
  <si>
    <t>904-01</t>
  </si>
  <si>
    <t>190-01</t>
  </si>
  <si>
    <t>826-01</t>
  </si>
  <si>
    <t>827-01</t>
  </si>
  <si>
    <t>192-01</t>
  </si>
  <si>
    <t>199-01</t>
  </si>
  <si>
    <t>828-01</t>
  </si>
  <si>
    <t>829-01</t>
  </si>
  <si>
    <t>194-01</t>
  </si>
  <si>
    <t>196-01</t>
  </si>
  <si>
    <t>201-01</t>
  </si>
  <si>
    <t>75-01</t>
  </si>
  <si>
    <t>DE LA ROSA</t>
  </si>
  <si>
    <t>ALEX</t>
  </si>
  <si>
    <t>203-01</t>
  </si>
  <si>
    <t>831-01</t>
  </si>
  <si>
    <t>830-01</t>
  </si>
  <si>
    <t>198-01</t>
  </si>
  <si>
    <t>205-01</t>
  </si>
  <si>
    <t>200-01</t>
  </si>
  <si>
    <t>207-01</t>
  </si>
  <si>
    <t>832-01</t>
  </si>
  <si>
    <t>833-01</t>
  </si>
  <si>
    <t>209-01</t>
  </si>
  <si>
    <t>202-01</t>
  </si>
  <si>
    <t>204-01</t>
  </si>
  <si>
    <t>77-01</t>
  </si>
  <si>
    <t>211-01</t>
  </si>
  <si>
    <t>834-01</t>
  </si>
  <si>
    <t>835-01</t>
  </si>
  <si>
    <t>206-01</t>
  </si>
  <si>
    <t>52-01</t>
  </si>
  <si>
    <t>210-01</t>
  </si>
  <si>
    <t>836-01</t>
  </si>
  <si>
    <t>215-01</t>
  </si>
  <si>
    <t>837-01</t>
  </si>
  <si>
    <t>217-01</t>
  </si>
  <si>
    <t>212-01</t>
  </si>
  <si>
    <t>219-01</t>
  </si>
  <si>
    <t>838-01</t>
  </si>
  <si>
    <t>839-01</t>
  </si>
  <si>
    <t>301-01</t>
  </si>
  <si>
    <t>216-01</t>
  </si>
  <si>
    <t>221-01</t>
  </si>
  <si>
    <t>906-01</t>
  </si>
  <si>
    <t>841-01</t>
  </si>
  <si>
    <t>218-01</t>
  </si>
  <si>
    <t>220-01</t>
  </si>
  <si>
    <t>303-01</t>
  </si>
  <si>
    <t>223-01</t>
  </si>
  <si>
    <t>840-01</t>
  </si>
  <si>
    <t>222-01</t>
  </si>
  <si>
    <t>225-01</t>
  </si>
  <si>
    <t>843-01</t>
  </si>
  <si>
    <t>227-01</t>
  </si>
  <si>
    <t>224-01</t>
  </si>
  <si>
    <t>842-01</t>
  </si>
  <si>
    <t>226-01</t>
  </si>
  <si>
    <t>229-01</t>
  </si>
  <si>
    <t>845-01</t>
  </si>
  <si>
    <t>228-01</t>
  </si>
  <si>
    <t>231-01</t>
  </si>
  <si>
    <t>233-01</t>
  </si>
  <si>
    <t>230-01</t>
  </si>
  <si>
    <t>847-01</t>
  </si>
  <si>
    <t>235-01</t>
  </si>
  <si>
    <t>232-01</t>
  </si>
  <si>
    <t>846-01</t>
  </si>
  <si>
    <t>234-01</t>
  </si>
  <si>
    <t>237-01</t>
  </si>
  <si>
    <t>239-01</t>
  </si>
  <si>
    <t>236-01</t>
  </si>
  <si>
    <t>908-01</t>
  </si>
  <si>
    <t>241-01</t>
  </si>
  <si>
    <t>238-01</t>
  </si>
  <si>
    <t>243-01</t>
  </si>
  <si>
    <t>240-01</t>
  </si>
  <si>
    <t>245-01</t>
  </si>
  <si>
    <t>242-01</t>
  </si>
  <si>
    <t>244-01</t>
  </si>
  <si>
    <t>307-01</t>
  </si>
  <si>
    <t>309-01</t>
  </si>
  <si>
    <t>246-01</t>
  </si>
  <si>
    <t>313-01</t>
  </si>
  <si>
    <t>partly-cloudy-day</t>
  </si>
  <si>
    <t>Partly Cloudy</t>
  </si>
  <si>
    <t>Mostly Cloudy</t>
  </si>
  <si>
    <t>partly-cloudy-night</t>
  </si>
  <si>
    <t>204:766</t>
  </si>
  <si>
    <t>204:233305</t>
  </si>
  <si>
    <t>204:232909</t>
  </si>
  <si>
    <t>204:469</t>
  </si>
  <si>
    <t>204:232950</t>
  </si>
  <si>
    <t>204:233213</t>
  </si>
  <si>
    <t>204:233168</t>
  </si>
  <si>
    <t>204:232853</t>
  </si>
  <si>
    <t>204:531</t>
  </si>
  <si>
    <t>204:233268</t>
  </si>
  <si>
    <t>204:233209</t>
  </si>
  <si>
    <t>204:233220</t>
  </si>
  <si>
    <t>204:233308</t>
  </si>
  <si>
    <t>204:233178</t>
  </si>
  <si>
    <t>204:232852</t>
  </si>
  <si>
    <t>204:233323</t>
  </si>
  <si>
    <t>204:233311</t>
  </si>
  <si>
    <t>204:233208</t>
  </si>
  <si>
    <t>204:232980</t>
  </si>
  <si>
    <t>204:233170</t>
  </si>
  <si>
    <t>204:232858</t>
  </si>
  <si>
    <t>204:249</t>
  </si>
  <si>
    <t>204:233195</t>
  </si>
  <si>
    <t>204:232877</t>
  </si>
  <si>
    <t>204:111539</t>
  </si>
  <si>
    <t>204:232881</t>
  </si>
  <si>
    <t>204:232869</t>
  </si>
  <si>
    <t>204:233314</t>
  </si>
  <si>
    <t>204:233010</t>
  </si>
  <si>
    <t>204:79529</t>
  </si>
  <si>
    <t>204:64174</t>
  </si>
  <si>
    <t>204:233192</t>
  </si>
  <si>
    <t>204:232871</t>
  </si>
  <si>
    <t>204:233200</t>
  </si>
  <si>
    <t>204:80920</t>
  </si>
  <si>
    <t>204:64149</t>
  </si>
  <si>
    <t>204:453</t>
  </si>
  <si>
    <t>204:233199</t>
  </si>
  <si>
    <t>204:180</t>
  </si>
  <si>
    <t>204:232890</t>
  </si>
  <si>
    <t>204:233211</t>
  </si>
  <si>
    <t>204:233212</t>
  </si>
  <si>
    <t>204:233207</t>
  </si>
  <si>
    <t>204:57385</t>
  </si>
  <si>
    <t>204:233196</t>
  </si>
  <si>
    <t>204:232875</t>
  </si>
  <si>
    <t>204:156</t>
  </si>
  <si>
    <t>204:86353</t>
  </si>
  <si>
    <t>204:254</t>
  </si>
  <si>
    <t>204:102153</t>
  </si>
  <si>
    <t>204:233189</t>
  </si>
  <si>
    <t>204:238</t>
  </si>
  <si>
    <t>204:233187</t>
  </si>
  <si>
    <t>204:240</t>
  </si>
  <si>
    <t>204:232945</t>
  </si>
  <si>
    <t>204:232870</t>
  </si>
  <si>
    <t>204:557</t>
  </si>
  <si>
    <t>204:243</t>
  </si>
  <si>
    <t>204:535</t>
  </si>
  <si>
    <t>204:232887</t>
  </si>
  <si>
    <t>300:19090</t>
  </si>
  <si>
    <t>300:19530</t>
  </si>
  <si>
    <t>300:23436</t>
  </si>
  <si>
    <t>300:23289</t>
  </si>
  <si>
    <t>300:23608</t>
  </si>
  <si>
    <t>300:23428</t>
  </si>
  <si>
    <t>300:23334</t>
  </si>
  <si>
    <t>300:23714</t>
  </si>
  <si>
    <t>204:1175</t>
  </si>
  <si>
    <t>204:418</t>
  </si>
  <si>
    <t>204:3556</t>
  </si>
  <si>
    <t>300:19594</t>
  </si>
  <si>
    <t>204:670</t>
  </si>
  <si>
    <t>204:974</t>
  </si>
  <si>
    <t>300:24254</t>
  </si>
  <si>
    <t>300:22561</t>
  </si>
  <si>
    <t>204:1564</t>
  </si>
  <si>
    <t>204:1500</t>
  </si>
  <si>
    <t>300:23316</t>
  </si>
  <si>
    <t>204:1156</t>
  </si>
  <si>
    <t>300:58628</t>
  </si>
  <si>
    <t>204:439</t>
  </si>
  <si>
    <t>300:58625</t>
  </si>
  <si>
    <t>204:111</t>
  </si>
  <si>
    <t>204:410</t>
  </si>
  <si>
    <t>300:58937</t>
  </si>
  <si>
    <t>300:58621</t>
  </si>
  <si>
    <t>204:135</t>
  </si>
  <si>
    <t>204:106</t>
  </si>
  <si>
    <t>300:58952</t>
  </si>
  <si>
    <t>300:58634</t>
  </si>
  <si>
    <t>204:403</t>
  </si>
  <si>
    <t>300:58943</t>
  </si>
  <si>
    <t>204:415</t>
  </si>
  <si>
    <t>300:58941</t>
  </si>
  <si>
    <t>204:146</t>
  </si>
  <si>
    <t>300:59007</t>
  </si>
  <si>
    <t>300:58687</t>
  </si>
  <si>
    <t>204:155</t>
  </si>
  <si>
    <t>300:58670</t>
  </si>
  <si>
    <t>204:404</t>
  </si>
  <si>
    <t>300:59005</t>
  </si>
  <si>
    <t>300:58690</t>
  </si>
  <si>
    <t>300:58992</t>
  </si>
  <si>
    <t>300:58630</t>
  </si>
  <si>
    <t>204:419</t>
  </si>
  <si>
    <t>300:58948</t>
  </si>
  <si>
    <t>300:58984</t>
  </si>
  <si>
    <t>204:423</t>
  </si>
  <si>
    <t>300:58982</t>
  </si>
  <si>
    <t>204:151</t>
  </si>
  <si>
    <t>300:29953</t>
  </si>
  <si>
    <t>300:23214</t>
  </si>
  <si>
    <t>204:108</t>
  </si>
  <si>
    <t>204:401</t>
  </si>
  <si>
    <t>300:24256</t>
  </si>
  <si>
    <t>300:23406</t>
  </si>
  <si>
    <t>300:58641</t>
  </si>
  <si>
    <t>300:28797</t>
  </si>
  <si>
    <t>start /low /b %USERPROFILE%\Documents\GitHub\eaglep3\Utilities\DownloadLogsFromS3.py --loco 4050 --day 2017-12-01</t>
  </si>
  <si>
    <t>start /low /b %USERPROFILE%\Documents\GitHub\eaglep3\Utilities\DownloadLogsFromS3.py --loco 4005 --day 2017-12-01</t>
  </si>
  <si>
    <t>start /low /b %USERPROFILE%\Documents\GitHub\eaglep3\Utilities\DownloadLogsFromS3.py --loco 4019 --day 2017-12-01</t>
  </si>
  <si>
    <t>start /low /b %USERPROFILE%\Documents\GitHub\eaglep3\Utilities\DownloadLogsFromS3.py --loco 4001 --day 2017-12-01</t>
  </si>
  <si>
    <t>start /low /b %USERPROFILE%\Documents\GitHub\eaglep3\Utilities\DownloadLogsFromS3.py --loco 4045 --day 2017-12-01</t>
  </si>
  <si>
    <t>start /low /b %USERPROFILE%\Documents\GitHub\eaglep3\Utilities\DownloadLogsFromS3.py --loco 4002 --day 2017-12-02</t>
  </si>
  <si>
    <t>start /low /b %USERPROFILE%\Documents\GitHub\eaglep3\Utilities\DownloadLogsFromS3.py --loco 4006 --day 2017-12-01</t>
  </si>
  <si>
    <t>start /low /b %USERPROFILE%\Documents\GitHub\eaglep3\Utilities\DownloadLogsFromS3.py --loco 4001 --day 2017-12-02</t>
  </si>
  <si>
    <t>start /low /b %USERPROFILE%\Documents\GitHub\eaglep3\Utilities\DownloadLogsFromS3.py --loco 4046 --day 2017-12-01</t>
  </si>
  <si>
    <t>start /low /b %USERPROFILE%\Documents\GitHub\eaglep3\Utilities\DownloadLogsFromS3.py --loco 4019 --day 2017-12-02</t>
  </si>
  <si>
    <t>start /low /b %USERPROFILE%\Documents\GitHub\eaglep3\Utilities\DownloadLogsFromS3.py --loco 4022 --day 2017-12-02</t>
  </si>
  <si>
    <t>start /low /b %USERPROFILE%\Documents\GitHub\eaglep3\Utilities\DownloadLogsFromS3.py --loco 4021 --day 2017-12-02</t>
  </si>
  <si>
    <t>start /low /b %USERPROFILE%\Documents\GitHub\eaglep3\Utilities\DownloadLogsFromS3.py --loco 4021 --day 2017-12-01</t>
  </si>
  <si>
    <t>Extended Wi-MAX data drop - unable to init</t>
  </si>
  <si>
    <t>DIA 4N STOP</t>
  </si>
  <si>
    <t>Wi-MAX data drop, also caused unhealthy xing banner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</si>
</sst>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18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8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0" customWidth="1"/>
    <col min="19" max="19" width="6" style="218" customWidth="1"/>
    <col min="20" max="20" width="3.85546875" style="167" customWidth="1"/>
    <col min="21" max="21" width="5" style="195" customWidth="1"/>
    <col min="22" max="22" width="5.7109375" style="216" customWidth="1"/>
    <col min="23" max="23" width="3.85546875" style="201" customWidth="1"/>
    <col min="24" max="24" width="6.5703125" style="201" customWidth="1"/>
    <col min="25" max="25" width="8.85546875" style="201" customWidth="1"/>
    <col min="26" max="26" width="7.28515625" style="201" customWidth="1"/>
    <col min="27" max="27" width="9.140625" style="20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7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1"/>
    <col min="41" max="41" width="3.7109375" style="167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43070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43070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.75" thickBot="1" x14ac:dyDescent="0.3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146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49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COUNTIFS($N$13:$N$9561,"&gt;0",$AG$13:$AG$9561,I1)</f>
        <v>139</v>
      </c>
      <c r="K5" s="39"/>
      <c r="L5" s="171"/>
      <c r="M5" s="40">
        <f>AVERAGEIFS($N$13:$N$9561,$AG$13:$AG$9561,I1)</f>
        <v>37.093405276059556</v>
      </c>
      <c r="N5" s="38">
        <f t="array" ref="N5">MIN(IF($AG$13:$AG$9561=I1,IF(ISNUMBER($N$13:$N$9561),IF($N$13:$N$9561&gt;0,$N$13:$N$9561))))</f>
        <v>34.016666676616296</v>
      </c>
      <c r="O5" s="3">
        <f t="array" ref="O5">MAX(IF($AG$13:$AG$9561=I1,IF(ISNUMBER($N$13:$N$9561),IF($N$13:$N$9561&gt;0,$N$13:$N$9561))))</f>
        <v>42.300000007962808</v>
      </c>
      <c r="P5" s="2"/>
      <c r="R5" s="162" t="s">
        <v>17</v>
      </c>
      <c r="S5" s="206">
        <f>COUNTIFS($N$13:$N$9561,"&gt;0",$AG$13:$AG$9561,R1)</f>
        <v>49</v>
      </c>
      <c r="T5" s="171"/>
      <c r="U5" s="194"/>
      <c r="V5" s="210">
        <f>AVERAGEIFS($N$13:$N$9561,$AG$13:$AG$9561,R1)</f>
        <v>14.452721087442598</v>
      </c>
      <c r="W5" s="211">
        <f t="array" ref="W5">MIN(IF($AG$13:$AG$9561=R1,IF(ISNUMBER($N$13:$N$9561),IF($N$13:$N$9561&gt;0,$N$13:$N$9561))))</f>
        <v>11.449999994365498</v>
      </c>
      <c r="X5" s="199">
        <f t="array" ref="X5">MAX(IF($AG$13:$AG$9561=R1,IF(ISNUMBER($N$13:$N$9561),IF($N$13:$N$9561&gt;0,$N$13:$N$9561))))</f>
        <v>24.316666661761701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COUNT($O$13:$O$319)</f>
        <v>0</v>
      </c>
      <c r="K6" s="39"/>
      <c r="L6" s="171"/>
      <c r="M6" s="40">
        <f>IFERROR(AVERAGE($O$13:$O$319),0)</f>
        <v>0</v>
      </c>
      <c r="N6" s="38">
        <f>MIN($O$13:$O$319)</f>
        <v>0</v>
      </c>
      <c r="O6" s="3">
        <f>MAX($O$13:$O$319)</f>
        <v>0</v>
      </c>
      <c r="P6" s="2"/>
      <c r="R6" s="163" t="s">
        <v>43</v>
      </c>
      <c r="S6" s="206">
        <f>COUNT($O$13:$O$319)</f>
        <v>0</v>
      </c>
      <c r="T6" s="171"/>
      <c r="U6" s="194"/>
      <c r="V6" s="210">
        <f>IFERROR(AVERAGE($O$13:$O$319),0)</f>
        <v>0</v>
      </c>
      <c r="W6" s="211">
        <f>MIN($O$13:$O$319)</f>
        <v>0</v>
      </c>
      <c r="X6" s="199">
        <f>MAX($O$13:$O$319)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COUNTIFS($P$13:$P$9561,"&gt;0",$AG$13:$AG$9561,I1)</f>
        <v>7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COUNTIFS($P$13:$P$9561,"&gt;0",$AG$13:$AG$9561,R1)</f>
        <v>0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139</v>
      </c>
      <c r="K8" s="39"/>
      <c r="L8" s="171"/>
      <c r="M8" s="40">
        <f>M5</f>
        <v>37.093405276059556</v>
      </c>
      <c r="N8" s="38">
        <f>N5</f>
        <v>34.016666676616296</v>
      </c>
      <c r="O8" s="3">
        <f>O5</f>
        <v>42.300000007962808</v>
      </c>
      <c r="P8" s="2"/>
      <c r="R8" s="162" t="s">
        <v>16</v>
      </c>
      <c r="S8" s="206">
        <f>S5</f>
        <v>49</v>
      </c>
      <c r="T8" s="171"/>
      <c r="U8" s="194"/>
      <c r="V8" s="210">
        <f>V5</f>
        <v>14.452721087442598</v>
      </c>
      <c r="W8" s="211">
        <f>W5</f>
        <v>11.449999994365498</v>
      </c>
      <c r="X8" s="199">
        <f>X5</f>
        <v>24.316666661761701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0.95205479452054798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5" thickBot="1" x14ac:dyDescent="0.3">
      <c r="A11" s="251" t="str">
        <f>"Eagle P3 System Performance - "&amp;TEXT(Variables!A2,"yyyy-mm-dd")</f>
        <v>Eagle P3 System Performance - 2017-12-01</v>
      </c>
      <c r="B11" s="251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S11" s="218">
        <f>AVERAGE(S13:S134)</f>
        <v>0.99439775910364159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750</v>
      </c>
      <c r="B13" s="7">
        <v>4006</v>
      </c>
      <c r="C13" s="21" t="s">
        <v>192</v>
      </c>
      <c r="D13" s="21" t="s">
        <v>965</v>
      </c>
      <c r="E13" s="13">
        <v>43070.13013888889</v>
      </c>
      <c r="F13" s="13">
        <v>43070.135833333334</v>
      </c>
      <c r="G13" s="7">
        <v>59</v>
      </c>
      <c r="H13" s="21" t="s">
        <v>697</v>
      </c>
      <c r="I13" s="13">
        <v>43070.160138888888</v>
      </c>
      <c r="J13" s="7">
        <v>0</v>
      </c>
      <c r="K13" s="89" t="str">
        <f t="shared" ref="K13:K76" si="0">IF(ISEVEN(B13),(B13-1)&amp;"/"&amp;B13,B13&amp;"/"&amp;(B13+1))</f>
        <v>4005/4006</v>
      </c>
      <c r="L13" s="184" t="str">
        <f>VLOOKUP(A13,'Trips&amp;Operators'!$C$1:$G$99911,5,FALSE)</f>
        <v>YORK EDGAR</v>
      </c>
      <c r="M13" s="6">
        <f t="shared" ref="M13:M58" si="1">I13-F13</f>
        <v>2.4305555554747116E-2</v>
      </c>
      <c r="N13" s="7">
        <f t="shared" ref="N13:N31" si="2">24*60*SUM($M13:$M13)</f>
        <v>34.999999998835847</v>
      </c>
      <c r="O13" s="7"/>
      <c r="P13" s="7"/>
      <c r="Q13" s="22"/>
      <c r="R13" s="166"/>
      <c r="S13" s="250">
        <f t="shared" ref="S13:S44" si="3">1/IF(AG13="EC",12,1)*SUM(U13:U13)</f>
        <v>1</v>
      </c>
      <c r="T13" s="173" t="str">
        <f t="shared" ref="T13:T76" si="4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-01T02:07:24-0700',mode:absolute,to:'2017-12-01T04:50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" s="203" t="str">
        <f>IF(AA13&lt;VLOOKUP(AG13,Variables!$AC$3:$AD$8,2,FALSE),"Y","N")</f>
        <v>N</v>
      </c>
      <c r="X13" s="203" t="e">
        <f t="shared" ref="X13:X44" si="6">VALUE(LEFT(AD13,4))-VALUE(LEFT(AD12,4))</f>
        <v>#VALUE!</v>
      </c>
      <c r="Y13" s="203">
        <f t="shared" ref="Y13:Y58" si="7">RIGHT(D13,LEN(D13)-4)/10000</f>
        <v>7.6600000000000001E-2</v>
      </c>
      <c r="Z13" s="203">
        <f t="shared" ref="Z13:Z58" si="8">RIGHT(H13,LEN(H13)-4)/10000</f>
        <v>23.327200000000001</v>
      </c>
      <c r="AA13" s="203">
        <f t="shared" ref="AA13:AA76" si="9">ABS(Z13-Y13)</f>
        <v>23.250600000000002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s3://rtdc.mdm.uploadarchive.raw/RTDC4006/ "%USERPROFILE%\AppData\Local\Temp\OnboardLogs"\RTDC4006\2017-12-01 --exclude "*" --recursive --include "*20171201*" &amp; "%USERPROFILE%\Documents\GitHub\mrs-test-scripts\Headless Mode &amp; Sideloading\WalkAndUnGZ.bat" "%USERPROFILE%\AppData\Local\Temp\OnboardLogs"\RTDC4006\2017-12-01 &amp; aws s3 cp s3://rtdc.mdm.uploadarchive.raw/RTDC4006/ "%USERPROFILE%\AppData\Local\Temp\OnboardLogs"\RTDC4006\2017-12-02 --exclude "*" --recursive --include "*20171202*" &amp; "%USERPROFILE%\Documents\GitHub\mrs-test-scripts\Headless Mode &amp; Sideloading\WalkAndUnGZ.bat" "%USERPROFILE%\AppData\Local\Temp\OnboardLogs"\RTDC4006\2017-12-02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/stypes="app*4006*20171201*" /stext=" 10:.+((SYSTEM_STATE.+slice.+state.+changed )|(ment ac)|(multiple cpu faults)|(system.+state.+changed )|(\[timeout)|(PRM\|1\|D)|(kpr)|(kdp)|(train st.+moving)|(\|lc)|(penalty))"</v>
      </c>
      <c r="AG13" s="181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101-01 --locoid 4006 --swversion DE.1.0.9.0 --startMP 204:766 --initTime 2017-12-01T03:07:24 --startdatetime 2017-12-01T03:15:36 --delay 59 --endMP 204:233272 --enddatetime 2017-12-01T03:50:36 --enforcementcount 0 &gt;&gt;%USERPROFILE%\Documents\GitHub\eaglep3-reporting\EC\2017-12-01-refined-times.txt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{"issue":{"subject":"","project_id":79,"tracker_id":40,"status_id":1,"priority_id":2,"assigned_to_id":338,"start_date":"2017-12-01","description":"","custom_fields":[{"id":1,"name":"Subdivision","value":"EC"},{"id":4,"name":"Milepost","value":"23.3272"},{"id":17,"name":"Train ID","value":"101-01"},{"id":16,"name":"Locomotive ID","value":"4006"},{"id":130,"name":"Impact","value":""},{"id":150,"name":"Time of Event (Mountain Time)","value":"03:50:36"},{"id":151,"name":"Denver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6">"start /low /b "&amp;dls3logs&amp;" --loco "&amp;B13&amp;" --day "&amp;TEXT(F13,"YYYY-MM-DD")</f>
        <v>start /low /b %USERPROFILE%\Documents\GitHub\eaglep3\Utilities\DownloadLogsFromS3.py --loco 4006 --day 2017-12-01</v>
      </c>
      <c r="AN13" s="150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10:50:36"},{"id":29,"name":"Sharepoint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-12-01T02:07:24-0700',mode:absolute,to:'2017-12-01T04:50:36-0700'))&amp;_a=(columns:!('Message%20ID',Summary),filters:!(),index:'emp_*',interval:auto,query:(query_string:(analyze_wildcard:!t,query:'%22rtdc.l.rtdc.4006%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230" t="s">
        <v>727</v>
      </c>
      <c r="B14" s="226">
        <v>4005</v>
      </c>
      <c r="C14" s="228" t="s">
        <v>192</v>
      </c>
      <c r="D14" s="228" t="s">
        <v>488</v>
      </c>
      <c r="E14" s="227">
        <v>43070.170219907406</v>
      </c>
      <c r="F14" s="227">
        <v>43070.175254629627</v>
      </c>
      <c r="G14" s="226">
        <v>95</v>
      </c>
      <c r="H14" s="228" t="s">
        <v>418</v>
      </c>
      <c r="I14" s="227">
        <v>43070.200902777775</v>
      </c>
      <c r="J14" s="226">
        <v>0</v>
      </c>
      <c r="K14" s="238" t="str">
        <f t="shared" si="0"/>
        <v>4005/4006</v>
      </c>
      <c r="L14" s="246" t="str">
        <f>VLOOKUP(A14,'Trips&amp;Operators'!$C$1:$G$99911,5,FALSE)</f>
        <v>YORK EDGAR</v>
      </c>
      <c r="M14" s="225">
        <f t="shared" si="1"/>
        <v>2.5648148148320615E-2</v>
      </c>
      <c r="N14" s="226">
        <f t="shared" si="2"/>
        <v>36.933333333581686</v>
      </c>
      <c r="O14" s="226"/>
      <c r="P14" s="226"/>
      <c r="Q14" s="229"/>
      <c r="R14" s="243"/>
      <c r="S14" s="250">
        <f t="shared" si="3"/>
        <v>1</v>
      </c>
      <c r="T14" s="243" t="str">
        <f t="shared" si="4"/>
        <v>Southbound</v>
      </c>
      <c r="U14" s="24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9" t="str">
        <f t="shared" si="5"/>
        <v>https://d0f6bd738d7f1b3e5a7ca70fe4ff75f0.us-east-1.aws.found.io/app/kibana#/discover/Steve-Slow-Train-Analysis-(2080s-and-2083s)?_g=(refreshInterval:(display:Off,pause:!f,section:0,value:0),time:(from:'2017-12-01T03:05:07-0700',mode:absolute,to:'2017-12-01T05:49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" s="248" t="str">
        <f>IF(AA14&lt;VLOOKUP(AG14,Variables!$AC$3:$AD$8,2,FALSE),"Y","N")</f>
        <v>N</v>
      </c>
      <c r="X14" s="248">
        <f t="shared" si="6"/>
        <v>1</v>
      </c>
      <c r="Y14" s="248">
        <f t="shared" si="7"/>
        <v>23.295500000000001</v>
      </c>
      <c r="Z14" s="248">
        <f t="shared" si="8"/>
        <v>1.61E-2</v>
      </c>
      <c r="AA14" s="248">
        <f t="shared" si="9"/>
        <v>23.279399999999999</v>
      </c>
      <c r="AB14" s="234" t="str">
        <f>VLOOKUP(A14,Enforcements!$C$7:$K$9,8,0)</f>
        <v>Bulletin (2)</v>
      </c>
      <c r="AC14" s="233" t="str">
        <f>VLOOKUP(A14,Enforcements!$C$7:$E$9,3,0)</f>
        <v>GRADE CROSSING</v>
      </c>
      <c r="AD14" s="244">
        <f t="shared" si="10"/>
        <v>102</v>
      </c>
      <c r="AE14" s="236" t="str">
        <f t="shared" si="11"/>
        <v>aws s3 cp s3://rtdc.mdm.uploadarchive.raw/RTDC4005/ "%USERPROFILE%\AppData\Local\Temp\OnboardLogs"\RTDC4005\2017-12-01 --exclude "*" --recursive --include "*20171201*" &amp; "%USERPROFILE%\Documents\GitHub\mrs-test-scripts\Headless Mode &amp; Sideloading\WalkAndUnGZ.bat" "%USERPROFILE%\AppData\Local\Temp\OnboardLogs"\RTDC4005\2017-12-01 &amp; aws s3 cp s3://rtdc.mdm.uploadarchive.raw/RTDC4005/ "%USERPROFILE%\AppData\Local\Temp\OnboardLogs"\RTDC4005\2017-12-02 --exclude "*" --recursive --include "*20171202*" &amp; "%USERPROFILE%\Documents\GitHub\mrs-test-scripts\Headless Mode &amp; Sideloading\WalkAndUnGZ.bat" "%USERPROFILE%\AppData\Local\Temp\OnboardLogs"\RTDC4005\2017-12-02</v>
      </c>
      <c r="AF14" s="235" t="str">
        <f t="shared" si="12"/>
        <v>"C:\Program Files (x86)\AstroGrep\AstroGrep.exe" /e /r /s /spath="%USERPROFILE%\AppData\Local\Temp\OnboardLogs" /stypes="app*4005*20171201*" /stext=" 11:.+((SYSTEM_STATE.+slice.+state.+changed )|(ment ac)|(multiple cpu faults)|(system.+state.+changed )|(\[timeout)|(PRM\|1\|D)|(kpr)|(kdp)|(train st.+moving)|(\|lc)|(penalty))"</v>
      </c>
      <c r="AG14" s="245" t="str">
        <f t="shared" si="13"/>
        <v>EC</v>
      </c>
      <c r="AH14" s="237" t="str">
        <f t="shared" ref="AH14:AH78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102-01 --locoid 4005 --swversion DE.1.0.9.0 --startMP 204:232955 --initTime 2017-12-01T04:05:07 --startdatetime 2017-12-01T04:12:22 --delay 95 --endMP 204:161 --enddatetime 2017-12-01T04:49:18 --enforcementcount 0 &gt;&gt;%USERPROFILE%\Documents\GitHub\eaglep3-reporting\EC\2017-12-01-refined-times.txt</v>
      </c>
      <c r="AI14" s="239" t="str">
        <f t="shared" ref="AI14:AI78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{"issue":{"subject":"","project_id":79,"tracker_id":40,"status_id":1,"priority_id":2,"assigned_to_id":338,"start_date":"2017-12-01","description":"","custom_fields":[{"id":1,"name":"Subdivision","value":"EC"},{"id":4,"name":"Milepost","value":"0.0161"},{"id":17,"name":"Train ID","value":"102-01"},{"id":16,"name":"Locomotive ID","value":"4005"},{"id":130,"name":"Impact","value":""},{"id":150,"name":"Time of Event (Mountain Time)","value":"04:49:18"},{"id":151,"name":"Denver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4"/>
      <c r="AK14" s="232"/>
      <c r="AL14" s="232"/>
      <c r="AM14" s="241" t="str">
        <f t="shared" ref="AM14:AM78" si="21">"start /low /b "&amp;dls3logs&amp;" --loco "&amp;B14&amp;" --day "&amp;TEXT(F14,"YYYY-MM-DD")</f>
        <v>start /low /b %USERPROFILE%\Documents\GitHub\eaglep3\Utilities\DownloadLogsFromS3.py --loco 4005 --day 2017-12-01</v>
      </c>
      <c r="AN14" s="242" t="str">
        <f t="shared" ref="AN14:AN78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11:49:18"},{"id":29,"name":"Sharepoint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1" t="str">
        <f t="shared" ref="AO14:AO78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-12-01T03:05:07-0700',mode:absolute,to:'2017-12-01T05:49:18-0700'))&amp;_a=(columns:!('Message%20ID',Summary),filters:!(),index:'emp_*',interval:auto,query:(query_string:(analyze_wildcard:!t,query:'%22rtdc.l.rtdc.4005%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230" t="s">
        <v>753</v>
      </c>
      <c r="B15" s="226">
        <v>4002</v>
      </c>
      <c r="C15" s="228" t="s">
        <v>192</v>
      </c>
      <c r="D15" s="228" t="s">
        <v>725</v>
      </c>
      <c r="E15" s="227">
        <v>43070.149872685186</v>
      </c>
      <c r="F15" s="227">
        <v>43070.156458333331</v>
      </c>
      <c r="G15" s="226">
        <v>62</v>
      </c>
      <c r="H15" s="228" t="s">
        <v>966</v>
      </c>
      <c r="I15" s="227">
        <v>43070.180694444447</v>
      </c>
      <c r="J15" s="226">
        <v>0</v>
      </c>
      <c r="K15" s="238" t="str">
        <f t="shared" si="0"/>
        <v>4001/4002</v>
      </c>
      <c r="L15" s="246" t="str">
        <f>VLOOKUP(A15,'Trips&amp;Operators'!$C$1:$G$99911,5,FALSE)</f>
        <v>MAELZER KURT</v>
      </c>
      <c r="M15" s="225">
        <f t="shared" si="1"/>
        <v>2.4236111115897074E-2</v>
      </c>
      <c r="N15" s="226">
        <f t="shared" si="2"/>
        <v>34.900000006891787</v>
      </c>
      <c r="O15" s="226"/>
      <c r="P15" s="226"/>
      <c r="Q15" s="229"/>
      <c r="R15" s="243"/>
      <c r="S15" s="250">
        <f t="shared" si="3"/>
        <v>1</v>
      </c>
      <c r="T15" s="243" t="str">
        <f t="shared" si="4"/>
        <v>NorthBound</v>
      </c>
      <c r="U15" s="24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9" t="str">
        <f t="shared" si="5"/>
        <v>https://d0f6bd738d7f1b3e5a7ca70fe4ff75f0.us-east-1.aws.found.io/app/kibana#/discover/Steve-Slow-Train-Analysis-(2080s-and-2083s)?_g=(refreshInterval:(display:Off,pause:!f,section:0,value:0),time:(from:'2017-12-01T02:35:49-0700',mode:absolute,to:'2017-12-01T05:20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" s="248" t="str">
        <f>IF(AA15&lt;VLOOKUP(AG15,Variables!$AC$3:$AD$8,2,FALSE),"Y","N")</f>
        <v>N</v>
      </c>
      <c r="X15" s="248">
        <f t="shared" si="6"/>
        <v>1</v>
      </c>
      <c r="Y15" s="248">
        <f t="shared" si="7"/>
        <v>4.7100000000000003E-2</v>
      </c>
      <c r="Z15" s="248">
        <f t="shared" si="8"/>
        <v>23.330500000000001</v>
      </c>
      <c r="AA15" s="248">
        <f t="shared" si="9"/>
        <v>23.2834</v>
      </c>
      <c r="AB15" s="234" t="e">
        <f>VLOOKUP(A15,Enforcements!$C$7:$K$9,8,0)</f>
        <v>#N/A</v>
      </c>
      <c r="AC15" s="233" t="e">
        <f>VLOOKUP(A15,Enforcements!$C$7:$E$9,3,0)</f>
        <v>#N/A</v>
      </c>
      <c r="AD15" s="244">
        <f t="shared" si="10"/>
        <v>103</v>
      </c>
      <c r="AE15" s="236" t="str">
        <f t="shared" si="11"/>
        <v>aws s3 cp s3://rtdc.mdm.uploadarchive.raw/RTDC4002/ "%USERPROFILE%\AppData\Local\Temp\OnboardLogs"\RTDC4002\2017-12-01 --exclude "*" --recursive --include "*20171201*" &amp; "%USERPROFILE%\Documents\GitHub\mrs-test-scripts\Headless Mode &amp; Sideloading\WalkAndUnGZ.bat" "%USERPROFILE%\AppData\Local\Temp\OnboardLogs"\RTDC4002\2017-12-01 &amp; aws s3 cp s3://rtdc.mdm.uploadarchive.raw/RTDC4002/ "%USERPROFILE%\AppData\Local\Temp\OnboardLogs"\RTDC4002\2017-12-02 --exclude "*" --recursive --include "*20171202*" &amp; "%USERPROFILE%\Documents\GitHub\mrs-test-scripts\Headless Mode &amp; Sideloading\WalkAndUnGZ.bat" "%USERPROFILE%\AppData\Local\Temp\OnboardLogs"\RTDC4002\2017-12-02</v>
      </c>
      <c r="AF15" s="235" t="str">
        <f t="shared" si="12"/>
        <v>"C:\Program Files (x86)\AstroGrep\AstroGrep.exe" /e /r /s /spath="%USERPROFILE%\AppData\Local\Temp\OnboardLogs" /stypes="app*4002*20171201*" /stext=" 11:.+((SYSTEM_STATE.+slice.+state.+changed )|(ment ac)|(multiple cpu faults)|(system.+state.+changed )|(\[timeout)|(PRM\|1\|D)|(kpr)|(kdp)|(train st.+moving)|(\|lc)|(penalty))"</v>
      </c>
      <c r="AG15" s="245" t="str">
        <f t="shared" si="13"/>
        <v>EC</v>
      </c>
      <c r="AH15" s="237" t="str">
        <f t="shared" si="19"/>
        <v>"%USERPROFILE%\Documents\GitHub\eaglep3\Utilities\RefineRTDCRunTimes.py" --tripid 103-01 --locoid 4002 --swversion DE.1.0.9.0 --startMP 204:471 --initTime 2017-12-01T03:35:49 --startdatetime 2017-12-01T03:45:18 --delay 62 --endMP 204:233305 --enddatetime 2017-12-01T04:20:12 --enforcementcount 0 &gt;&gt;%USERPROFILE%\Documents\GitHub\eaglep3-reporting\EC\2017-12-01-refined-times.txt</v>
      </c>
      <c r="AI15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{"issue":{"subject":"","project_id":79,"tracker_id":40,"status_id":1,"priority_id":2,"assigned_to_id":338,"start_date":"2017-12-01","description":"","custom_fields":[{"id":1,"name":"Subdivision","value":"EC"},{"id":4,"name":"Milepost","value":"23.3305"},{"id":17,"name":"Train ID","value":"103-01"},{"id":16,"name":"Locomotive ID","value":"4002"},{"id":130,"name":"Impact","value":""},{"id":150,"name":"Time of Event (Mountain Time)","value":"04:20:12"},{"id":151,"name":"Denver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4"/>
      <c r="AK15" s="232"/>
      <c r="AL15" s="232"/>
      <c r="AM15" s="241" t="str">
        <f t="shared" si="21"/>
        <v>start /low /b %USERPROFILE%\Documents\GitHub\eaglep3\Utilities\DownloadLogsFromS3.py --loco 4002 --day 2017-12-01</v>
      </c>
      <c r="AN15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11:20:12"},{"id":29,"name":"Sharepoint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1" t="str">
        <f t="shared" si="23"/>
        <v>https://d0f6bd738d7f1b3e5a7ca70fe4ff75f0.us-east-1.aws.found.io/app/kibana#/discover/Steve-Slow-Train-Analysis-(2080s-and-2083s)?_g=(refreshInterval:(display:Off,pause:!f,section:0,value:0),time:(from:'2017-12-01T02:35:49-0700',mode:absolute,to:'2017-12-01T05:20:12-0700'))&amp;_a=(columns:!('Message%20ID',Summary),filters:!(),index:'emp_*',interval:auto,query:(query_string:(analyze_wildcard:!t,query:'%22rtdc.l.rtdc.4002%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230" t="s">
        <v>761</v>
      </c>
      <c r="B16" s="226">
        <v>4001</v>
      </c>
      <c r="C16" s="228" t="s">
        <v>192</v>
      </c>
      <c r="D16" s="228" t="s">
        <v>563</v>
      </c>
      <c r="E16" s="227">
        <v>43070.185428240744</v>
      </c>
      <c r="F16" s="227">
        <v>43070.19599537037</v>
      </c>
      <c r="G16" s="226">
        <v>49</v>
      </c>
      <c r="H16" s="228" t="s">
        <v>571</v>
      </c>
      <c r="I16" s="227">
        <v>43070.22148148148</v>
      </c>
      <c r="J16" s="226">
        <v>0</v>
      </c>
      <c r="K16" s="238" t="str">
        <f t="shared" si="0"/>
        <v>4001/4002</v>
      </c>
      <c r="L16" s="246" t="str">
        <f>VLOOKUP(A16,'Trips&amp;Operators'!$C$1:$G$99911,5,FALSE)</f>
        <v>MAELZER KURT</v>
      </c>
      <c r="M16" s="225">
        <f t="shared" si="1"/>
        <v>2.548611110978527E-2</v>
      </c>
      <c r="N16" s="226">
        <f t="shared" si="2"/>
        <v>36.699999998090789</v>
      </c>
      <c r="O16" s="226"/>
      <c r="P16" s="226"/>
      <c r="Q16" s="229"/>
      <c r="R16" s="243"/>
      <c r="S16" s="250">
        <f t="shared" si="3"/>
        <v>1</v>
      </c>
      <c r="T16" s="243" t="str">
        <f t="shared" si="4"/>
        <v>Southbound</v>
      </c>
      <c r="U16" s="24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9" t="str">
        <f t="shared" si="5"/>
        <v>https://d0f6bd738d7f1b3e5a7ca70fe4ff75f0.us-east-1.aws.found.io/app/kibana#/discover/Steve-Slow-Train-Analysis-(2080s-and-2083s)?_g=(refreshInterval:(display:Off,pause:!f,section:0,value:0),time:(from:'2017-12-01T03:27:01-0700',mode:absolute,to:'2017-12-01T06:18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" s="248" t="str">
        <f>IF(AA16&lt;VLOOKUP(AG16,Variables!$AC$3:$AD$8,2,FALSE),"Y","N")</f>
        <v>N</v>
      </c>
      <c r="X16" s="248">
        <f t="shared" si="6"/>
        <v>1</v>
      </c>
      <c r="Y16" s="248">
        <f t="shared" si="7"/>
        <v>23.2973</v>
      </c>
      <c r="Z16" s="248">
        <f t="shared" si="8"/>
        <v>1.8100000000000002E-2</v>
      </c>
      <c r="AA16" s="248">
        <f t="shared" si="9"/>
        <v>23.279199999999999</v>
      </c>
      <c r="AB16" s="234" t="e">
        <f>VLOOKUP(A16,Enforcements!$C$7:$K$9,8,0)</f>
        <v>#N/A</v>
      </c>
      <c r="AC16" s="233" t="e">
        <f>VLOOKUP(A16,Enforcements!$C$7:$E$9,3,0)</f>
        <v>#N/A</v>
      </c>
      <c r="AD16" s="244">
        <f t="shared" si="10"/>
        <v>104</v>
      </c>
      <c r="AE16" s="236" t="str">
        <f t="shared" si="11"/>
        <v>aws s3 cp s3://rtdc.mdm.uploadarchive.raw/RTDC4001/ "%USERPROFILE%\AppData\Local\Temp\OnboardLogs"\RTDC4001\2017-12-01 --exclude "*" --recursive --include "*20171201*" &amp; "%USERPROFILE%\Documents\GitHub\mrs-test-scripts\Headless Mode &amp; Sideloading\WalkAndUnGZ.bat" "%USERPROFILE%\AppData\Local\Temp\OnboardLogs"\RTDC4001\2017-12-01 &amp; aws s3 cp s3://rtdc.mdm.uploadarchive.raw/RTDC4001/ "%USERPROFILE%\AppData\Local\Temp\OnboardLogs"\RTDC4001\2017-12-02 --exclude "*" --recursive --include "*20171202*" &amp; "%USERPROFILE%\Documents\GitHub\mrs-test-scripts\Headless Mode &amp; Sideloading\WalkAndUnGZ.bat" "%USERPROFILE%\AppData\Local\Temp\OnboardLogs"\RTDC4001\2017-12-02</v>
      </c>
      <c r="AF16" s="235" t="str">
        <f t="shared" si="12"/>
        <v>"C:\Program Files (x86)\AstroGrep\AstroGrep.exe" /e /r /s /spath="%USERPROFILE%\AppData\Local\Temp\OnboardLogs" /stypes="app*4001*20171201*" /stext=" 12:.+((SYSTEM_STATE.+slice.+state.+changed )|(ment ac)|(multiple cpu faults)|(system.+state.+changed )|(\[timeout)|(PRM\|1\|D)|(kpr)|(kdp)|(train st.+moving)|(\|lc)|(penalty))"</v>
      </c>
      <c r="AG16" s="245" t="str">
        <f t="shared" si="13"/>
        <v>EC</v>
      </c>
      <c r="AH16" s="237" t="str">
        <f t="shared" si="19"/>
        <v>"%USERPROFILE%\Documents\GitHub\eaglep3\Utilities\RefineRTDCRunTimes.py" --tripid 104-01 --locoid 4001 --swversion DE.1.0.9.0 --startMP 204:232973 --initTime 2017-12-01T04:27:01 --startdatetime 2017-12-01T04:42:14 --delay 49 --endMP 204:181 --enddatetime 2017-12-01T05:18:56 --enforcementcount 0 &gt;&gt;%USERPROFILE%\Documents\GitHub\eaglep3-reporting\EC\2017-12-01-refined-times.txt</v>
      </c>
      <c r="AI16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{"issue":{"subject":"","project_id":79,"tracker_id":40,"status_id":1,"priority_id":2,"assigned_to_id":338,"start_date":"2017-12-01","description":"","custom_fields":[{"id":1,"name":"Subdivision","value":"EC"},{"id":4,"name":"Milepost","value":"0.0181"},{"id":17,"name":"Train ID","value":"104-01"},{"id":16,"name":"Locomotive ID","value":"4001"},{"id":130,"name":"Impact","value":""},{"id":150,"name":"Time of Event (Mountain Time)","value":"05:18:56"},{"id":151,"name":"Denver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4"/>
      <c r="AK16" s="232"/>
      <c r="AL16" s="232"/>
      <c r="AM16" s="241" t="str">
        <f t="shared" si="21"/>
        <v>start /low /b %USERPROFILE%\Documents\GitHub\eaglep3\Utilities\DownloadLogsFromS3.py --loco 4001 --day 2017-12-01</v>
      </c>
      <c r="AN16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12:18:56"},{"id":29,"name":"Sharepoint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1" t="str">
        <f t="shared" si="23"/>
        <v>https://d0f6bd738d7f1b3e5a7ca70fe4ff75f0.us-east-1.aws.found.io/app/kibana#/discover/Steve-Slow-Train-Analysis-(2080s-and-2083s)?_g=(refreshInterval:(display:Off,pause:!f,section:0,value:0),time:(from:'2017-12-01T03:27:01-0700',mode:absolute,to:'2017-12-01T06:18:56-0700'))&amp;_a=(columns:!('Message%20ID',Summary),filters:!(),index:'emp_*',interval:auto,query:(query_string:(analyze_wildcard:!t,query:'%22rtdc.l.rtdc.4001%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230" t="s">
        <v>758</v>
      </c>
      <c r="B17" s="226">
        <v>4040</v>
      </c>
      <c r="C17" s="228" t="s">
        <v>192</v>
      </c>
      <c r="D17" s="228" t="s">
        <v>677</v>
      </c>
      <c r="E17" s="227">
        <v>43070.174050925925</v>
      </c>
      <c r="F17" s="227">
        <v>43070.177233796298</v>
      </c>
      <c r="G17" s="226">
        <v>87</v>
      </c>
      <c r="H17" s="228" t="s">
        <v>431</v>
      </c>
      <c r="I17" s="227">
        <v>43070.201666666668</v>
      </c>
      <c r="J17" s="226">
        <v>0</v>
      </c>
      <c r="K17" s="238" t="str">
        <f t="shared" si="0"/>
        <v>4039/4040</v>
      </c>
      <c r="L17" s="246" t="str">
        <f>VLOOKUP(A17,'Trips&amp;Operators'!$C$1:$G$99911,5,FALSE)</f>
        <v>PAGE MARCUS</v>
      </c>
      <c r="M17" s="225">
        <f t="shared" si="1"/>
        <v>2.4432870370219462E-2</v>
      </c>
      <c r="N17" s="226">
        <f t="shared" si="2"/>
        <v>35.183333333116025</v>
      </c>
      <c r="O17" s="226"/>
      <c r="P17" s="226"/>
      <c r="Q17" s="229"/>
      <c r="R17" s="243"/>
      <c r="S17" s="250">
        <f t="shared" si="3"/>
        <v>1</v>
      </c>
      <c r="T17" s="243" t="str">
        <f t="shared" si="4"/>
        <v>NorthBound</v>
      </c>
      <c r="U17" s="24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9" t="str">
        <f t="shared" si="5"/>
        <v>https://d0f6bd738d7f1b3e5a7ca70fe4ff75f0.us-east-1.aws.found.io/app/kibana#/discover/Steve-Slow-Train-Analysis-(2080s-and-2083s)?_g=(refreshInterval:(display:Off,pause:!f,section:0,value:0),time:(from:'2017-12-01T03:10:38-0700',mode:absolute,to:'2017-12-01T05:50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" s="248" t="str">
        <f>IF(AA17&lt;VLOOKUP(AG17,Variables!$AC$3:$AD$8,2,FALSE),"Y","N")</f>
        <v>N</v>
      </c>
      <c r="X17" s="248">
        <f t="shared" si="6"/>
        <v>1</v>
      </c>
      <c r="Y17" s="248">
        <f t="shared" si="7"/>
        <v>4.9500000000000002E-2</v>
      </c>
      <c r="Z17" s="248">
        <f t="shared" si="8"/>
        <v>23.3293</v>
      </c>
      <c r="AA17" s="248">
        <f t="shared" si="9"/>
        <v>23.279800000000002</v>
      </c>
      <c r="AB17" s="234" t="e">
        <f>VLOOKUP(A17,Enforcements!$C$7:$K$9,8,0)</f>
        <v>#N/A</v>
      </c>
      <c r="AC17" s="233" t="e">
        <f>VLOOKUP(A17,Enforcements!$C$7:$E$9,3,0)</f>
        <v>#N/A</v>
      </c>
      <c r="AD17" s="244">
        <f t="shared" si="10"/>
        <v>105</v>
      </c>
      <c r="AE17" s="236" t="str">
        <f t="shared" si="11"/>
        <v>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 &amp; aws s3 cp s3://rtdc.mdm.uploadarchive.raw/RTDC4040/ "%USERPROFILE%\AppData\Local\Temp\OnboardLogs"\RTDC4040\2017-12-02 --exclude "*" --recursive --include "*20171202*" &amp; "%USERPROFILE%\Documents\GitHub\mrs-test-scripts\Headless Mode &amp; Sideloading\WalkAndUnGZ.bat" "%USERPROFILE%\AppData\Local\Temp\OnboardLogs"\RTDC4040\2017-12-02</v>
      </c>
      <c r="AF17" s="235" t="str">
        <f t="shared" si="12"/>
        <v>"C:\Program Files (x86)\AstroGrep\AstroGrep.exe" /e /r /s /spath="%USERPROFILE%\AppData\Local\Temp\OnboardLogs" /stypes="app*4040*20171201*" /stext=" 11:.+((SYSTEM_STATE.+slice.+state.+changed )|(ment ac)|(multiple cpu faults)|(system.+state.+changed )|(\[timeout)|(PRM\|1\|D)|(kpr)|(kdp)|(train st.+moving)|(\|lc)|(penalty))"</v>
      </c>
      <c r="AG17" s="245" t="str">
        <f t="shared" si="13"/>
        <v>EC</v>
      </c>
      <c r="AH17" s="237" t="str">
        <f t="shared" si="19"/>
        <v>"%USERPROFILE%\Documents\GitHub\eaglep3\Utilities\RefineRTDCRunTimes.py" --tripid 105-01 --locoid 4040 --swversion DE.1.0.9.0 --startMP 204:495 --initTime 2017-12-01T04:10:38 --startdatetime 2017-12-01T04:15:13 --delay 87 --endMP 204:233293 --enddatetime 2017-12-01T04:50:24 --enforcementcount 0 &gt;&gt;%USERPROFILE%\Documents\GitHub\eaglep3-reporting\EC\2017-12-01-refined-times.txt</v>
      </c>
      <c r="AI17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{"issue":{"subject":"","project_id":79,"tracker_id":40,"status_id":1,"priority_id":2,"assigned_to_id":338,"start_date":"2017-12-01","description":"","custom_fields":[{"id":1,"name":"Subdivision","value":"EC"},{"id":4,"name":"Milepost","value":"23.3293"},{"id":17,"name":"Train ID","value":"105-01"},{"id":16,"name":"Locomotive ID","value":"4040"},{"id":130,"name":"Impact","value":""},{"id":150,"name":"Time of Event (Mountain Time)","value":"04:50:24"},{"id":151,"name":"Denver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4"/>
      <c r="AK17" s="232"/>
      <c r="AL17" s="232"/>
      <c r="AM17" s="241" t="str">
        <f t="shared" si="21"/>
        <v>start /low /b %USERPROFILE%\Documents\GitHub\eaglep3\Utilities\DownloadLogsFromS3.py --loco 4040 --day 2017-12-01</v>
      </c>
      <c r="AN17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11:50:24"},{"id":29,"name":"Sharepoint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1" t="str">
        <f t="shared" si="23"/>
        <v>https://d0f6bd738d7f1b3e5a7ca70fe4ff75f0.us-east-1.aws.found.io/app/kibana#/discover/Steve-Slow-Train-Analysis-(2080s-and-2083s)?_g=(refreshInterval:(display:Off,pause:!f,section:0,value:0),time:(from:'2017-12-01T03:10:38-0700',mode:absolute,to:'2017-12-01T05:50:24-0700'))&amp;_a=(columns:!('Message%20ID',Summary),filters:!(),index:'emp_*',interval:auto,query:(query_string:(analyze_wildcard:!t,query:'%22rtdc.l.rtdc.4040%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230" t="s">
        <v>768</v>
      </c>
      <c r="B18" s="226">
        <v>4039</v>
      </c>
      <c r="C18" s="228" t="s">
        <v>192</v>
      </c>
      <c r="D18" s="228" t="s">
        <v>689</v>
      </c>
      <c r="E18" s="227">
        <v>43070.209456018521</v>
      </c>
      <c r="F18" s="227">
        <v>43070.216828703706</v>
      </c>
      <c r="G18" s="226">
        <v>54</v>
      </c>
      <c r="H18" s="228" t="s">
        <v>407</v>
      </c>
      <c r="I18" s="227">
        <v>43070.2421412037</v>
      </c>
      <c r="J18" s="226">
        <v>0</v>
      </c>
      <c r="K18" s="238" t="str">
        <f t="shared" si="0"/>
        <v>4039/4040</v>
      </c>
      <c r="L18" s="246" t="str">
        <f>VLOOKUP(A18,'Trips&amp;Operators'!$C$1:$G$99911,5,FALSE)</f>
        <v>PAGE MARCUS</v>
      </c>
      <c r="M18" s="225">
        <f t="shared" si="1"/>
        <v>2.5312499994470272E-2</v>
      </c>
      <c r="N18" s="226">
        <f t="shared" si="2"/>
        <v>36.449999992037192</v>
      </c>
      <c r="O18" s="226"/>
      <c r="P18" s="226"/>
      <c r="Q18" s="229"/>
      <c r="R18" s="243"/>
      <c r="S18" s="250">
        <f t="shared" si="3"/>
        <v>1</v>
      </c>
      <c r="T18" s="243" t="str">
        <f t="shared" si="4"/>
        <v>Southbound</v>
      </c>
      <c r="U18" s="24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9" t="str">
        <f t="shared" si="5"/>
        <v>https://d0f6bd738d7f1b3e5a7ca70fe4ff75f0.us-east-1.aws.found.io/app/kibana#/discover/Steve-Slow-Train-Analysis-(2080s-and-2083s)?_g=(refreshInterval:(display:Off,pause:!f,section:0,value:0),time:(from:'2017-12-01T04:01:37-0700',mode:absolute,to:'2017-12-01T06:48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" s="248" t="str">
        <f>IF(AA18&lt;VLOOKUP(AG18,Variables!$AC$3:$AD$8,2,FALSE),"Y","N")</f>
        <v>N</v>
      </c>
      <c r="X18" s="248">
        <f t="shared" si="6"/>
        <v>1</v>
      </c>
      <c r="Y18" s="248">
        <f t="shared" si="7"/>
        <v>23.296600000000002</v>
      </c>
      <c r="Z18" s="248">
        <f t="shared" si="8"/>
        <v>2.07E-2</v>
      </c>
      <c r="AA18" s="248">
        <f t="shared" si="9"/>
        <v>23.2759</v>
      </c>
      <c r="AB18" s="234" t="e">
        <f>VLOOKUP(A18,Enforcements!$C$7:$K$9,8,0)</f>
        <v>#N/A</v>
      </c>
      <c r="AC18" s="233" t="e">
        <f>VLOOKUP(A18,Enforcements!$C$7:$E$9,3,0)</f>
        <v>#N/A</v>
      </c>
      <c r="AD18" s="244">
        <f t="shared" si="10"/>
        <v>106</v>
      </c>
      <c r="AE18" s="236" t="str">
        <f t="shared" si="11"/>
        <v>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 &amp; aws s3 cp s3://rtdc.mdm.uploadarchive.raw/RTDC4039/ "%USERPROFILE%\AppData\Local\Temp\OnboardLogs"\RTDC4039\2017-12-02 --exclude "*" --recursive --include "*20171202*" &amp; "%USERPROFILE%\Documents\GitHub\mrs-test-scripts\Headless Mode &amp; Sideloading\WalkAndUnGZ.bat" "%USERPROFILE%\AppData\Local\Temp\OnboardLogs"\RTDC4039\2017-12-02</v>
      </c>
      <c r="AF18" s="235" t="str">
        <f t="shared" si="12"/>
        <v>"C:\Program Files (x86)\AstroGrep\AstroGrep.exe" /e /r /s /spath="%USERPROFILE%\AppData\Local\Temp\OnboardLogs" /stypes="app*4039*20171201*" /stext=" 12:.+((SYSTEM_STATE.+slice.+state.+changed )|(ment ac)|(multiple cpu faults)|(system.+state.+changed )|(\[timeout)|(PRM\|1\|D)|(kpr)|(kdp)|(train st.+moving)|(\|lc)|(penalty))"</v>
      </c>
      <c r="AG18" s="245" t="str">
        <f t="shared" si="13"/>
        <v>EC</v>
      </c>
      <c r="AH18" s="237" t="str">
        <f t="shared" si="19"/>
        <v>"%USERPROFILE%\Documents\GitHub\eaglep3\Utilities\RefineRTDCRunTimes.py" --tripid 106-01 --locoid 4039 --swversion DE.1.0.9.0 --startMP 204:232966 --initTime 2017-12-01T05:01:37 --startdatetime 2017-12-01T05:12:14 --delay 54 --endMP 204:207 --enddatetime 2017-12-01T05:48:41 --enforcementcount 0 &gt;&gt;%USERPROFILE%\Documents\GitHub\eaglep3-reporting\EC\2017-12-01-refined-times.txt</v>
      </c>
      <c r="AI18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{"issue":{"subject":"","project_id":79,"tracker_id":40,"status_id":1,"priority_id":2,"assigned_to_id":338,"start_date":"2017-12-01","description":"","custom_fields":[{"id":1,"name":"Subdivision","value":"EC"},{"id":4,"name":"Milepost","value":"0.0207"},{"id":17,"name":"Train ID","value":"106-01"},{"id":16,"name":"Locomotive ID","value":"4039"},{"id":130,"name":"Impact","value":""},{"id":150,"name":"Time of Event (Mountain Time)","value":"05:48:41"},{"id":151,"name":"Denver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4"/>
      <c r="AK18" s="232"/>
      <c r="AL18" s="232"/>
      <c r="AM18" s="241" t="str">
        <f t="shared" si="21"/>
        <v>start /low /b %USERPROFILE%\Documents\GitHub\eaglep3\Utilities\DownloadLogsFromS3.py --loco 4039 --day 2017-12-01</v>
      </c>
      <c r="AN18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12:48:41"},{"id":29,"name":"Sharepoint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1" t="str">
        <f t="shared" si="23"/>
        <v>https://d0f6bd738d7f1b3e5a7ca70fe4ff75f0.us-east-1.aws.found.io/app/kibana#/discover/Steve-Slow-Train-Analysis-(2080s-and-2083s)?_g=(refreshInterval:(display:Off,pause:!f,section:0,value:0),time:(from:'2017-12-01T04:01:37-0700',mode:absolute,to:'2017-12-01T06:48:41-0700'))&amp;_a=(columns:!('Message%20ID',Summary),filters:!(),index:'emp_*',interval:auto,query:(query_string:(analyze_wildcard:!t,query:'%22rtdc.l.rtdc.4039%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230" t="s">
        <v>760</v>
      </c>
      <c r="B19" s="226">
        <v>4024</v>
      </c>
      <c r="C19" s="228" t="s">
        <v>192</v>
      </c>
      <c r="D19" s="228" t="s">
        <v>612</v>
      </c>
      <c r="E19" s="227">
        <v>43070.183576388888</v>
      </c>
      <c r="F19" s="227">
        <v>43070.187685185185</v>
      </c>
      <c r="G19" s="226">
        <v>71</v>
      </c>
      <c r="H19" s="228" t="s">
        <v>603</v>
      </c>
      <c r="I19" s="227">
        <v>43070.21193287037</v>
      </c>
      <c r="J19" s="226">
        <v>0</v>
      </c>
      <c r="K19" s="238" t="str">
        <f t="shared" si="0"/>
        <v>4023/4024</v>
      </c>
      <c r="L19" s="246" t="str">
        <f>VLOOKUP(A19,'Trips&amp;Operators'!$C$1:$G$99911,5,FALSE)</f>
        <v>LONG FULLER</v>
      </c>
      <c r="M19" s="225">
        <f t="shared" si="1"/>
        <v>2.4247685185400769E-2</v>
      </c>
      <c r="N19" s="226">
        <f t="shared" si="2"/>
        <v>34.916666666977108</v>
      </c>
      <c r="O19" s="226"/>
      <c r="P19" s="226"/>
      <c r="Q19" s="229"/>
      <c r="R19" s="243"/>
      <c r="S19" s="250">
        <f t="shared" si="3"/>
        <v>1</v>
      </c>
      <c r="T19" s="243" t="str">
        <f t="shared" si="4"/>
        <v>NorthBound</v>
      </c>
      <c r="U19" s="24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9" t="str">
        <f t="shared" si="5"/>
        <v>https://d0f6bd738d7f1b3e5a7ca70fe4ff75f0.us-east-1.aws.found.io/app/kibana#/discover/Steve-Slow-Train-Analysis-(2080s-and-2083s)?_g=(refreshInterval:(display:Off,pause:!f,section:0,value:0),time:(from:'2017-12-01T03:24:21-0700',mode:absolute,to:'2017-12-01T06:05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" s="248" t="str">
        <f>IF(AA19&lt;VLOOKUP(AG19,Variables!$AC$3:$AD$8,2,FALSE),"Y","N")</f>
        <v>N</v>
      </c>
      <c r="X19" s="248">
        <f t="shared" si="6"/>
        <v>1</v>
      </c>
      <c r="Y19" s="248">
        <f t="shared" si="7"/>
        <v>4.8000000000000001E-2</v>
      </c>
      <c r="Z19" s="248">
        <f t="shared" si="8"/>
        <v>23.328600000000002</v>
      </c>
      <c r="AA19" s="248">
        <f t="shared" si="9"/>
        <v>23.280600000000003</v>
      </c>
      <c r="AB19" s="234" t="e">
        <f>VLOOKUP(A19,Enforcements!$C$7:$K$9,8,0)</f>
        <v>#N/A</v>
      </c>
      <c r="AC19" s="233" t="e">
        <f>VLOOKUP(A19,Enforcements!$C$7:$E$9,3,0)</f>
        <v>#N/A</v>
      </c>
      <c r="AD19" s="244">
        <f t="shared" si="10"/>
        <v>107</v>
      </c>
      <c r="AE19" s="236" t="str">
        <f t="shared" si="11"/>
        <v>aws s3 cp s3://rtdc.mdm.uploadarchive.raw/RTDC4024/ "%USERPROFILE%\AppData\Local\Temp\OnboardLogs"\RTDC4024\2017-12-01 --exclude "*" --recursive --include "*20171201*" &amp; "%USERPROFILE%\Documents\GitHub\mrs-test-scripts\Headless Mode &amp; Sideloading\WalkAndUnGZ.bat" "%USERPROFILE%\AppData\Local\Temp\OnboardLogs"\RTDC4024\2017-12-01 &amp; aws s3 cp s3://rtdc.mdm.uploadarchive.raw/RTDC4024/ "%USERPROFILE%\AppData\Local\Temp\OnboardLogs"\RTDC4024\2017-12-02 --exclude "*" --recursive --include "*20171202*" &amp; "%USERPROFILE%\Documents\GitHub\mrs-test-scripts\Headless Mode &amp; Sideloading\WalkAndUnGZ.bat" "%USERPROFILE%\AppData\Local\Temp\OnboardLogs"\RTDC4024\2017-12-02</v>
      </c>
      <c r="AF19" s="235" t="str">
        <f t="shared" si="12"/>
        <v>"C:\Program Files (x86)\AstroGrep\AstroGrep.exe" /e /r /s /spath="%USERPROFILE%\AppData\Local\Temp\OnboardLogs" /stypes="app*4024*20171201*" /stext=" 12:.+((SYSTEM_STATE.+slice.+state.+changed )|(ment ac)|(multiple cpu faults)|(system.+state.+changed )|(\[timeout)|(PRM\|1\|D)|(kpr)|(kdp)|(train st.+moving)|(\|lc)|(penalty))"</v>
      </c>
      <c r="AG19" s="245" t="str">
        <f t="shared" si="13"/>
        <v>EC</v>
      </c>
      <c r="AH19" s="237" t="str">
        <f t="shared" si="19"/>
        <v>"%USERPROFILE%\Documents\GitHub\eaglep3\Utilities\RefineRTDCRunTimes.py" --tripid 107-01 --locoid 4024 --swversion DE.1.0.9.0 --startMP 204:480 --initTime 2017-12-01T04:24:21 --startdatetime 2017-12-01T04:30:16 --delay 71 --endMP 204:233286 --enddatetime 2017-12-01T05:05:11 --enforcementcount 0 &gt;&gt;%USERPROFILE%\Documents\GitHub\eaglep3-reporting\EC\2017-12-01-refined-times.txt</v>
      </c>
      <c r="AI19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{"issue":{"subject":"","project_id":79,"tracker_id":40,"status_id":1,"priority_id":2,"assigned_to_id":338,"start_date":"2017-12-01","description":"","custom_fields":[{"id":1,"name":"Subdivision","value":"EC"},{"id":4,"name":"Milepost","value":"23.3286"},{"id":17,"name":"Train ID","value":"107-01"},{"id":16,"name":"Locomotive ID","value":"4024"},{"id":130,"name":"Impact","value":""},{"id":150,"name":"Time of Event (Mountain Time)","value":"05:05:11"},{"id":151,"name":"Denver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4"/>
      <c r="AK19" s="232"/>
      <c r="AL19" s="232"/>
      <c r="AM19" s="241" t="str">
        <f t="shared" si="21"/>
        <v>start /low /b %USERPROFILE%\Documents\GitHub\eaglep3\Utilities\DownloadLogsFromS3.py --loco 4024 --day 2017-12-01</v>
      </c>
      <c r="AN19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12:05:11"},{"id":29,"name":"Sharepoint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1" t="str">
        <f t="shared" si="23"/>
        <v>https://d0f6bd738d7f1b3e5a7ca70fe4ff75f0.us-east-1.aws.found.io/app/kibana#/discover/Steve-Slow-Train-Analysis-(2080s-and-2083s)?_g=(refreshInterval:(display:Off,pause:!f,section:0,value:0),time:(from:'2017-12-01T03:24:21-0700',mode:absolute,to:'2017-12-01T06:05:11-0700'))&amp;_a=(columns:!('Message%20ID',Summary),filters:!(),index:'emp_*',interval:auto,query:(query_string:(analyze_wildcard:!t,query:'%22rtdc.l.rtdc.4024%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230" t="s">
        <v>769</v>
      </c>
      <c r="B20" s="226">
        <v>4023</v>
      </c>
      <c r="C20" s="228" t="s">
        <v>192</v>
      </c>
      <c r="D20" s="228" t="s">
        <v>604</v>
      </c>
      <c r="E20" s="227">
        <v>43070.212997685187</v>
      </c>
      <c r="F20" s="227">
        <v>43070.22729166667</v>
      </c>
      <c r="G20" s="226">
        <v>49</v>
      </c>
      <c r="H20" s="228" t="s">
        <v>436</v>
      </c>
      <c r="I20" s="227">
        <v>43070.253148148149</v>
      </c>
      <c r="J20" s="226">
        <v>0</v>
      </c>
      <c r="K20" s="238" t="str">
        <f t="shared" si="0"/>
        <v>4023/4024</v>
      </c>
      <c r="L20" s="246" t="str">
        <f>VLOOKUP(A20,'Trips&amp;Operators'!$C$1:$G$99911,5,FALSE)</f>
        <v>LONG FULLER</v>
      </c>
      <c r="M20" s="225">
        <f t="shared" si="1"/>
        <v>2.5856481479422655E-2</v>
      </c>
      <c r="N20" s="226">
        <f t="shared" si="2"/>
        <v>37.233333330368623</v>
      </c>
      <c r="O20" s="226"/>
      <c r="P20" s="226"/>
      <c r="Q20" s="229"/>
      <c r="R20" s="243"/>
      <c r="S20" s="250">
        <f t="shared" si="3"/>
        <v>1</v>
      </c>
      <c r="T20" s="243" t="str">
        <f t="shared" si="4"/>
        <v>Southbound</v>
      </c>
      <c r="U20" s="24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9" t="str">
        <f t="shared" si="5"/>
        <v>https://d0f6bd738d7f1b3e5a7ca70fe4ff75f0.us-east-1.aws.found.io/app/kibana#/discover/Steve-Slow-Train-Analysis-(2080s-and-2083s)?_g=(refreshInterval:(display:Off,pause:!f,section:0,value:0),time:(from:'2017-12-01T04:06:43-0700',mode:absolute,to:'2017-12-01T07:04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" s="248" t="str">
        <f>IF(AA20&lt;VLOOKUP(AG20,Variables!$AC$3:$AD$8,2,FALSE),"Y","N")</f>
        <v>N</v>
      </c>
      <c r="X20" s="248">
        <f t="shared" si="6"/>
        <v>1</v>
      </c>
      <c r="Y20" s="248">
        <f t="shared" si="7"/>
        <v>23.296500000000002</v>
      </c>
      <c r="Z20" s="248">
        <f t="shared" si="8"/>
        <v>1.7600000000000001E-2</v>
      </c>
      <c r="AA20" s="248">
        <f t="shared" si="9"/>
        <v>23.2789</v>
      </c>
      <c r="AB20" s="234" t="e">
        <f>VLOOKUP(A20,Enforcements!$C$7:$K$9,8,0)</f>
        <v>#N/A</v>
      </c>
      <c r="AC20" s="233" t="e">
        <f>VLOOKUP(A20,Enforcements!$C$7:$E$9,3,0)</f>
        <v>#N/A</v>
      </c>
      <c r="AD20" s="244">
        <f t="shared" si="10"/>
        <v>108</v>
      </c>
      <c r="AE20" s="236" t="str">
        <f t="shared" si="11"/>
        <v>aws s3 cp s3://rtdc.mdm.uploadarchive.raw/RTDC4023/ "%USERPROFILE%\AppData\Local\Temp\OnboardLogs"\RTDC4023\2017-12-01 --exclude "*" --recursive --include "*20171201*" &amp; "%USERPROFILE%\Documents\GitHub\mrs-test-scripts\Headless Mode &amp; Sideloading\WalkAndUnGZ.bat" "%USERPROFILE%\AppData\Local\Temp\OnboardLogs"\RTDC4023\2017-12-01 &amp; aws s3 cp s3://rtdc.mdm.uploadarchive.raw/RTDC4023/ "%USERPROFILE%\AppData\Local\Temp\OnboardLogs"\RTDC4023\2017-12-02 --exclude "*" --recursive --include "*20171202*" &amp; "%USERPROFILE%\Documents\GitHub\mrs-test-scripts\Headless Mode &amp; Sideloading\WalkAndUnGZ.bat" "%USERPROFILE%\AppData\Local\Temp\OnboardLogs"\RTDC4023\2017-12-02</v>
      </c>
      <c r="AF20" s="235" t="str">
        <f t="shared" si="12"/>
        <v>"C:\Program Files (x86)\AstroGrep\AstroGrep.exe" /e /r /s /spath="%USERPROFILE%\AppData\Local\Temp\OnboardLogs" /stypes="app*4023*20171201*" /stext=" 13:.+((SYSTEM_STATE.+slice.+state.+changed )|(ment ac)|(multiple cpu faults)|(system.+state.+changed )|(\[timeout)|(PRM\|1\|D)|(kpr)|(kdp)|(train st.+moving)|(\|lc)|(penalty))"</v>
      </c>
      <c r="AG20" s="245" t="str">
        <f t="shared" si="13"/>
        <v>EC</v>
      </c>
      <c r="AH20" s="237" t="str">
        <f t="shared" si="19"/>
        <v>"%USERPROFILE%\Documents\GitHub\eaglep3\Utilities\RefineRTDCRunTimes.py" --tripid 108-01 --locoid 4023 --swversion DE.1.0.9.0 --startMP 204:232965 --initTime 2017-12-01T05:06:43 --startdatetime 2017-12-01T05:27:18 --delay 49 --endMP 204:176 --enddatetime 2017-12-01T06:04:32 --enforcementcount 0 &gt;&gt;%USERPROFILE%\Documents\GitHub\eaglep3-reporting\EC\2017-12-01-refined-times.txt</v>
      </c>
      <c r="AI20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{"issue":{"subject":"","project_id":79,"tracker_id":40,"status_id":1,"priority_id":2,"assigned_to_id":338,"start_date":"2017-12-01","description":"","custom_fields":[{"id":1,"name":"Subdivision","value":"EC"},{"id":4,"name":"Milepost","value":"0.0176"},{"id":17,"name":"Train ID","value":"108-01"},{"id":16,"name":"Locomotive ID","value":"4023"},{"id":130,"name":"Impact","value":""},{"id":150,"name":"Time of Event (Mountain Time)","value":"06:04:32"},{"id":151,"name":"Denver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4"/>
      <c r="AK20" s="232"/>
      <c r="AL20" s="232"/>
      <c r="AM20" s="241" t="str">
        <f t="shared" si="21"/>
        <v>start /low /b %USERPROFILE%\Documents\GitHub\eaglep3\Utilities\DownloadLogsFromS3.py --loco 4023 --day 2017-12-01</v>
      </c>
      <c r="AN20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13:04:32"},{"id":29,"name":"Sharepoint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1" t="str">
        <f t="shared" si="23"/>
        <v>https://d0f6bd738d7f1b3e5a7ca70fe4ff75f0.us-east-1.aws.found.io/app/kibana#/discover/Steve-Slow-Train-Analysis-(2080s-and-2083s)?_g=(refreshInterval:(display:Off,pause:!f,section:0,value:0),time:(from:'2017-12-01T04:06:43-0700',mode:absolute,to:'2017-12-01T07:04:32-0700'))&amp;_a=(columns:!('Message%20ID',Summary),filters:!(),index:'emp_*',interval:auto,query:(query_string:(analyze_wildcard:!t,query:'%22rtdc.l.rtdc.4023%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230" t="s">
        <v>763</v>
      </c>
      <c r="B21" s="226">
        <v>4020</v>
      </c>
      <c r="C21" s="228" t="s">
        <v>192</v>
      </c>
      <c r="D21" s="228" t="s">
        <v>617</v>
      </c>
      <c r="E21" s="227">
        <v>43070.188483796293</v>
      </c>
      <c r="F21" s="227">
        <v>43070.198113425926</v>
      </c>
      <c r="G21" s="226">
        <v>73</v>
      </c>
      <c r="H21" s="228" t="s">
        <v>625</v>
      </c>
      <c r="I21" s="227">
        <v>43070.223761574074</v>
      </c>
      <c r="J21" s="226">
        <v>0</v>
      </c>
      <c r="K21" s="238" t="str">
        <f t="shared" si="0"/>
        <v>4019/4020</v>
      </c>
      <c r="L21" s="246" t="str">
        <f>VLOOKUP(A21,'Trips&amp;Operators'!$C$1:$G$99911,5,FALSE)</f>
        <v>LOPES KIMBERLY</v>
      </c>
      <c r="M21" s="225">
        <f t="shared" si="1"/>
        <v>2.5648148148320615E-2</v>
      </c>
      <c r="N21" s="226">
        <f t="shared" si="2"/>
        <v>36.933333333581686</v>
      </c>
      <c r="O21" s="226"/>
      <c r="P21" s="226"/>
      <c r="Q21" s="229"/>
      <c r="R21" s="243"/>
      <c r="S21" s="250">
        <f t="shared" si="3"/>
        <v>1</v>
      </c>
      <c r="T21" s="243" t="str">
        <f t="shared" si="4"/>
        <v>NorthBound</v>
      </c>
      <c r="U21" s="24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9" t="str">
        <f t="shared" si="5"/>
        <v>https://d0f6bd738d7f1b3e5a7ca70fe4ff75f0.us-east-1.aws.found.io/app/kibana#/discover/Steve-Slow-Train-Analysis-(2080s-and-2083s)?_g=(refreshInterval:(display:Off,pause:!f,section:0,value:0),time:(from:'2017-12-01T03:31:25-0700',mode:absolute,to:'2017-12-01T06:22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" s="248" t="str">
        <f>IF(AA21&lt;VLOOKUP(AG21,Variables!$AC$3:$AD$8,2,FALSE),"Y","N")</f>
        <v>N</v>
      </c>
      <c r="X21" s="248">
        <f t="shared" si="6"/>
        <v>1</v>
      </c>
      <c r="Y21" s="248">
        <f t="shared" si="7"/>
        <v>5.0900000000000001E-2</v>
      </c>
      <c r="Z21" s="248">
        <f t="shared" si="8"/>
        <v>23.323799999999999</v>
      </c>
      <c r="AA21" s="248">
        <f t="shared" si="9"/>
        <v>23.2729</v>
      </c>
      <c r="AB21" s="234" t="e">
        <f>VLOOKUP(A21,Enforcements!$C$7:$K$9,8,0)</f>
        <v>#N/A</v>
      </c>
      <c r="AC21" s="233" t="e">
        <f>VLOOKUP(A21,Enforcements!$C$7:$E$9,3,0)</f>
        <v>#N/A</v>
      </c>
      <c r="AD21" s="244">
        <f t="shared" si="10"/>
        <v>109</v>
      </c>
      <c r="AE21" s="236" t="str">
        <f t="shared" si="11"/>
        <v>aws s3 cp s3://rtdc.mdm.uploadarchive.raw/RTDC4020/ "%USERPROFILE%\AppData\Local\Temp\OnboardLogs"\RTDC4020\2017-12-01 --exclude "*" --recursive --include "*20171201*" &amp; "%USERPROFILE%\Documents\GitHub\mrs-test-scripts\Headless Mode &amp; Sideloading\WalkAndUnGZ.bat" "%USERPROFILE%\AppData\Local\Temp\OnboardLogs"\RTDC4020\2017-12-01 &amp; aws s3 cp s3://rtdc.mdm.uploadarchive.raw/RTDC4020/ "%USERPROFILE%\AppData\Local\Temp\OnboardLogs"\RTDC4020\2017-12-02 --exclude "*" --recursive --include "*20171202*" &amp; "%USERPROFILE%\Documents\GitHub\mrs-test-scripts\Headless Mode &amp; Sideloading\WalkAndUnGZ.bat" "%USERPROFILE%\AppData\Local\Temp\OnboardLogs"\RTDC4020\2017-12-02</v>
      </c>
      <c r="AF21" s="235" t="str">
        <f t="shared" si="12"/>
        <v>"C:\Program Files (x86)\AstroGrep\AstroGrep.exe" /e /r /s /spath="%USERPROFILE%\AppData\Local\Temp\OnboardLogs" /stypes="app*4020*20171201*" /stext=" 12:.+((SYSTEM_STATE.+slice.+state.+changed )|(ment ac)|(multiple cpu faults)|(system.+state.+changed )|(\[timeout)|(PRM\|1\|D)|(kpr)|(kdp)|(train st.+moving)|(\|lc)|(penalty))"</v>
      </c>
      <c r="AG21" s="245" t="str">
        <f t="shared" si="13"/>
        <v>EC</v>
      </c>
      <c r="AH21" s="237" t="str">
        <f t="shared" si="19"/>
        <v>"%USERPROFILE%\Documents\GitHub\eaglep3\Utilities\RefineRTDCRunTimes.py" --tripid 109-01 --locoid 4020 --swversion DE.1.0.9.0 --startMP 204:509 --initTime 2017-12-01T04:31:25 --startdatetime 2017-12-01T04:45:17 --delay 73 --endMP 204:233238 --enddatetime 2017-12-01T05:22:13 --enforcementcount 0 &gt;&gt;%USERPROFILE%\Documents\GitHub\eaglep3-reporting\EC\2017-12-01-refined-times.txt</v>
      </c>
      <c r="AI21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{"issue":{"subject":"","project_id":79,"tracker_id":40,"status_id":1,"priority_id":2,"assigned_to_id":338,"start_date":"2017-12-01","description":"","custom_fields":[{"id":1,"name":"Subdivision","value":"EC"},{"id":4,"name":"Milepost","value":"23.3238"},{"id":17,"name":"Train ID","value":"109-01"},{"id":16,"name":"Locomotive ID","value":"4020"},{"id":130,"name":"Impact","value":""},{"id":150,"name":"Time of Event (Mountain Time)","value":"05:22:13"},{"id":151,"name":"Denver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4"/>
      <c r="AK21" s="232"/>
      <c r="AL21" s="232"/>
      <c r="AM21" s="241" t="str">
        <f t="shared" si="21"/>
        <v>start /low /b %USERPROFILE%\Documents\GitHub\eaglep3\Utilities\DownloadLogsFromS3.py --loco 4020 --day 2017-12-01</v>
      </c>
      <c r="AN21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12:22:13"},{"id":29,"name":"Sharepoint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1" t="str">
        <f t="shared" si="23"/>
        <v>https://d0f6bd738d7f1b3e5a7ca70fe4ff75f0.us-east-1.aws.found.io/app/kibana#/discover/Steve-Slow-Train-Analysis-(2080s-and-2083s)?_g=(refreshInterval:(display:Off,pause:!f,section:0,value:0),time:(from:'2017-12-01T03:31:25-0700',mode:absolute,to:'2017-12-01T06:22:13-0700'))&amp;_a=(columns:!('Message%20ID',Summary),filters:!(),index:'emp_*',interval:auto,query:(query_string:(analyze_wildcard:!t,query:'%22rtdc.l.rtdc.4020%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230" t="s">
        <v>773</v>
      </c>
      <c r="B22" s="226">
        <v>4019</v>
      </c>
      <c r="C22" s="228" t="s">
        <v>192</v>
      </c>
      <c r="D22" s="228" t="s">
        <v>967</v>
      </c>
      <c r="E22" s="227">
        <v>43070.233113425929</v>
      </c>
      <c r="F22" s="227">
        <v>43070.237743055557</v>
      </c>
      <c r="G22" s="226">
        <v>49</v>
      </c>
      <c r="H22" s="228" t="s">
        <v>615</v>
      </c>
      <c r="I22" s="227">
        <v>43070.26357638889</v>
      </c>
      <c r="J22" s="226">
        <v>0</v>
      </c>
      <c r="K22" s="238" t="str">
        <f t="shared" si="0"/>
        <v>4019/4020</v>
      </c>
      <c r="L22" s="246" t="str">
        <f>VLOOKUP(A22,'Trips&amp;Operators'!$C$1:$G$99911,5,FALSE)</f>
        <v>LOPES KIMBERLY</v>
      </c>
      <c r="M22" s="225">
        <f t="shared" si="1"/>
        <v>2.5833333333139308E-2</v>
      </c>
      <c r="N22" s="226">
        <f t="shared" si="2"/>
        <v>37.199999999720603</v>
      </c>
      <c r="O22" s="226"/>
      <c r="P22" s="226"/>
      <c r="Q22" s="229"/>
      <c r="R22" s="243"/>
      <c r="S22" s="250">
        <f t="shared" si="3"/>
        <v>1</v>
      </c>
      <c r="T22" s="243" t="str">
        <f t="shared" si="4"/>
        <v>Southbound</v>
      </c>
      <c r="U22" s="24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9" t="str">
        <f t="shared" si="5"/>
        <v>https://d0f6bd738d7f1b3e5a7ca70fe4ff75f0.us-east-1.aws.found.io/app/kibana#/discover/Steve-Slow-Train-Analysis-(2080s-and-2083s)?_g=(refreshInterval:(display:Off,pause:!f,section:0,value:0),time:(from:'2017-12-01T04:35:41-0700',mode:absolute,to:'2017-12-01T07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" s="248" t="str">
        <f>IF(AA22&lt;VLOOKUP(AG22,Variables!$AC$3:$AD$8,2,FALSE),"Y","N")</f>
        <v>N</v>
      </c>
      <c r="X22" s="248">
        <f t="shared" si="6"/>
        <v>1</v>
      </c>
      <c r="Y22" s="248">
        <f t="shared" si="7"/>
        <v>23.290900000000001</v>
      </c>
      <c r="Z22" s="248">
        <f t="shared" si="8"/>
        <v>2.1100000000000001E-2</v>
      </c>
      <c r="AA22" s="248">
        <f t="shared" si="9"/>
        <v>23.2698</v>
      </c>
      <c r="AB22" s="234" t="e">
        <f>VLOOKUP(A22,Enforcements!$C$7:$K$9,8,0)</f>
        <v>#N/A</v>
      </c>
      <c r="AC22" s="233" t="e">
        <f>VLOOKUP(A22,Enforcements!$C$7:$E$9,3,0)</f>
        <v>#N/A</v>
      </c>
      <c r="AD22" s="244">
        <f t="shared" si="10"/>
        <v>110</v>
      </c>
      <c r="AE22" s="236" t="str">
        <f t="shared" si="11"/>
        <v>aws s3 cp s3://rtdc.mdm.uploadarchive.raw/RTDC4019/ "%USERPROFILE%\AppData\Local\Temp\OnboardLogs"\RTDC4019\2017-12-01 --exclude "*" --recursive --include "*20171201*" &amp; "%USERPROFILE%\Documents\GitHub\mrs-test-scripts\Headless Mode &amp; Sideloading\WalkAndUnGZ.bat" "%USERPROFILE%\AppData\Local\Temp\OnboardLogs"\RTDC4019\2017-12-01 &amp; aws s3 cp s3://rtdc.mdm.uploadarchive.raw/RTDC4019/ "%USERPROFILE%\AppData\Local\Temp\OnboardLogs"\RTDC4019\2017-12-02 --exclude "*" --recursive --include "*20171202*" &amp; "%USERPROFILE%\Documents\GitHub\mrs-test-scripts\Headless Mode &amp; Sideloading\WalkAndUnGZ.bat" "%USERPROFILE%\AppData\Local\Temp\OnboardLogs"\RTDC4019\2017-12-02</v>
      </c>
      <c r="AF22" s="235" t="str">
        <f t="shared" si="12"/>
        <v>"C:\Program Files (x86)\AstroGrep\AstroGrep.exe" /e /r /s /spath="%USERPROFILE%\AppData\Local\Temp\OnboardLogs" /stypes="app*4019*20171201*" /stext=" 13:.+((SYSTEM_STATE.+slice.+state.+changed )|(ment ac)|(multiple cpu faults)|(system.+state.+changed )|(\[timeout)|(PRM\|1\|D)|(kpr)|(kdp)|(train st.+moving)|(\|lc)|(penalty))"</v>
      </c>
      <c r="AG22" s="245" t="str">
        <f t="shared" si="13"/>
        <v>EC</v>
      </c>
      <c r="AH22" s="237" t="str">
        <f t="shared" si="19"/>
        <v>"%USERPROFILE%\Documents\GitHub\eaglep3\Utilities\RefineRTDCRunTimes.py" --tripid 110-01 --locoid 4019 --swversion DE.1.0.9.0 --startMP 204:232909 --initTime 2017-12-01T05:35:41 --startdatetime 2017-12-01T05:42:21 --delay 49 --endMP 204:211 --enddatetime 2017-12-01T06:19:33 --enforcementcount 0 &gt;&gt;%USERPROFILE%\Documents\GitHub\eaglep3-reporting\EC\2017-12-01-refined-times.txt</v>
      </c>
      <c r="AI22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{"issue":{"subject":"","project_id":79,"tracker_id":40,"status_id":1,"priority_id":2,"assigned_to_id":338,"start_date":"2017-12-01","description":"","custom_fields":[{"id":1,"name":"Subdivision","value":"EC"},{"id":4,"name":"Milepost","value":"0.0211"},{"id":17,"name":"Train ID","value":"110-01"},{"id":16,"name":"Locomotive ID","value":"4019"},{"id":130,"name":"Impact","value":""},{"id":150,"name":"Time of Event (Mountain Time)","value":"06:19:33"},{"id":151,"name":"Denver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4"/>
      <c r="AK22" s="232"/>
      <c r="AL22" s="232"/>
      <c r="AM22" s="241" t="str">
        <f t="shared" si="21"/>
        <v>start /low /b %USERPROFILE%\Documents\GitHub\eaglep3\Utilities\DownloadLogsFromS3.py --loco 4019 --day 2017-12-01</v>
      </c>
      <c r="AN22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13:19:33"},{"id":29,"name":"Sharepoint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1" t="str">
        <f t="shared" si="23"/>
        <v>https://d0f6bd738d7f1b3e5a7ca70fe4ff75f0.us-east-1.aws.found.io/app/kibana#/discover/Steve-Slow-Train-Analysis-(2080s-and-2083s)?_g=(refreshInterval:(display:Off,pause:!f,section:0,value:0),time:(from:'2017-12-01T04:35:41-0700',mode:absolute,to:'2017-12-01T07:19:33-0700'))&amp;_a=(columns:!('Message%20ID',Summary),filters:!(),index:'emp_*',interval:auto,query:(query_string:(analyze_wildcard:!t,query:'%22rtdc.l.rtdc.4019%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230" t="s">
        <v>766</v>
      </c>
      <c r="B23" s="226">
        <v>4006</v>
      </c>
      <c r="C23" s="228" t="s">
        <v>192</v>
      </c>
      <c r="D23" s="228" t="s">
        <v>968</v>
      </c>
      <c r="E23" s="227">
        <v>43070.201944444445</v>
      </c>
      <c r="F23" s="227">
        <v>43070.208634259259</v>
      </c>
      <c r="G23" s="226">
        <v>44</v>
      </c>
      <c r="H23" s="228" t="s">
        <v>633</v>
      </c>
      <c r="I23" s="227">
        <v>43070.232997685183</v>
      </c>
      <c r="J23" s="226">
        <v>0</v>
      </c>
      <c r="K23" s="238" t="str">
        <f t="shared" si="0"/>
        <v>4005/4006</v>
      </c>
      <c r="L23" s="246" t="str">
        <f>VLOOKUP(A23,'Trips&amp;Operators'!$C$1:$G$99911,5,FALSE)</f>
        <v>YORK EDGAR</v>
      </c>
      <c r="M23" s="225">
        <f t="shared" si="1"/>
        <v>2.4363425924093463E-2</v>
      </c>
      <c r="N23" s="226">
        <f t="shared" si="2"/>
        <v>35.083333330694586</v>
      </c>
      <c r="O23" s="226"/>
      <c r="P23" s="226"/>
      <c r="Q23" s="229"/>
      <c r="R23" s="243"/>
      <c r="S23" s="250">
        <f t="shared" si="3"/>
        <v>1</v>
      </c>
      <c r="T23" s="243" t="str">
        <f t="shared" si="4"/>
        <v>NorthBound</v>
      </c>
      <c r="U23" s="24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9" t="str">
        <f t="shared" si="5"/>
        <v>https://d0f6bd738d7f1b3e5a7ca70fe4ff75f0.us-east-1.aws.found.io/app/kibana#/discover/Steve-Slow-Train-Analysis-(2080s-and-2083s)?_g=(refreshInterval:(display:Off,pause:!f,section:0,value:0),time:(from:'2017-12-01T03:50:48-0700',mode:absolute,to:'2017-12-01T06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" s="248" t="str">
        <f>IF(AA23&lt;VLOOKUP(AG23,Variables!$AC$3:$AD$8,2,FALSE),"Y","N")</f>
        <v>N</v>
      </c>
      <c r="X23" s="248">
        <f t="shared" si="6"/>
        <v>1</v>
      </c>
      <c r="Y23" s="248">
        <f t="shared" si="7"/>
        <v>4.6899999999999997E-2</v>
      </c>
      <c r="Z23" s="248">
        <f t="shared" si="8"/>
        <v>23.327400000000001</v>
      </c>
      <c r="AA23" s="248">
        <f t="shared" si="9"/>
        <v>23.2805</v>
      </c>
      <c r="AB23" s="234" t="e">
        <f>VLOOKUP(A23,Enforcements!$C$7:$K$9,8,0)</f>
        <v>#N/A</v>
      </c>
      <c r="AC23" s="233" t="e">
        <f>VLOOKUP(A23,Enforcements!$C$7:$E$9,3,0)</f>
        <v>#N/A</v>
      </c>
      <c r="AD23" s="244">
        <f t="shared" si="10"/>
        <v>111</v>
      </c>
      <c r="AE23" s="236" t="str">
        <f t="shared" si="11"/>
        <v>aws s3 cp s3://rtdc.mdm.uploadarchive.raw/RTDC4006/ "%USERPROFILE%\AppData\Local\Temp\OnboardLogs"\RTDC4006\2017-12-01 --exclude "*" --recursive --include "*20171201*" &amp; "%USERPROFILE%\Documents\GitHub\mrs-test-scripts\Headless Mode &amp; Sideloading\WalkAndUnGZ.bat" "%USERPROFILE%\AppData\Local\Temp\OnboardLogs"\RTDC4006\2017-12-01 &amp; aws s3 cp s3://rtdc.mdm.uploadarchive.raw/RTDC4006/ "%USERPROFILE%\AppData\Local\Temp\OnboardLogs"\RTDC4006\2017-12-02 --exclude "*" --recursive --include "*20171202*" &amp; "%USERPROFILE%\Documents\GitHub\mrs-test-scripts\Headless Mode &amp; Sideloading\WalkAndUnGZ.bat" "%USERPROFILE%\AppData\Local\Temp\OnboardLogs"\RTDC4006\2017-12-02</v>
      </c>
      <c r="AF23" s="235" t="str">
        <f t="shared" si="12"/>
        <v>"C:\Program Files (x86)\AstroGrep\AstroGrep.exe" /e /r /s /spath="%USERPROFILE%\AppData\Local\Temp\OnboardLogs" /stypes="app*4006*20171201*" /stext=" 12:.+((SYSTEM_STATE.+slice.+state.+changed )|(ment ac)|(multiple cpu faults)|(system.+state.+changed )|(\[timeout)|(PRM\|1\|D)|(kpr)|(kdp)|(train st.+moving)|(\|lc)|(penalty))"</v>
      </c>
      <c r="AG23" s="245" t="str">
        <f t="shared" si="13"/>
        <v>EC</v>
      </c>
      <c r="AH23" s="237" t="str">
        <f t="shared" si="19"/>
        <v>"%USERPROFILE%\Documents\GitHub\eaglep3\Utilities\RefineRTDCRunTimes.py" --tripid 111-01 --locoid 4006 --swversion DE.1.0.9.0 --startMP 204:469 --initTime 2017-12-01T04:50:48 --startdatetime 2017-12-01T05:00:26 --delay 44 --endMP 204:233274 --enddatetime 2017-12-01T05:35:31 --enforcementcount 0 &gt;&gt;%USERPROFILE%\Documents\GitHub\eaglep3-reporting\EC\2017-12-01-refined-times.txt</v>
      </c>
      <c r="AI23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{"issue":{"subject":"","project_id":79,"tracker_id":40,"status_id":1,"priority_id":2,"assigned_to_id":338,"start_date":"2017-12-01","description":"","custom_fields":[{"id":1,"name":"Subdivision","value":"EC"},{"id":4,"name":"Milepost","value":"23.3274"},{"id":17,"name":"Train ID","value":"111-01"},{"id":16,"name":"Locomotive ID","value":"4006"},{"id":130,"name":"Impact","value":""},{"id":150,"name":"Time of Event (Mountain Time)","value":"05:35:31"},{"id":151,"name":"Denver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4"/>
      <c r="AK23" s="232"/>
      <c r="AL23" s="232"/>
      <c r="AM23" s="241" t="str">
        <f t="shared" si="21"/>
        <v>start /low /b %USERPROFILE%\Documents\GitHub\eaglep3\Utilities\DownloadLogsFromS3.py --loco 4006 --day 2017-12-01</v>
      </c>
      <c r="AN23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12:35:31"},{"id":29,"name":"Sharepoint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1" t="str">
        <f t="shared" si="23"/>
        <v>https://d0f6bd738d7f1b3e5a7ca70fe4ff75f0.us-east-1.aws.found.io/app/kibana#/discover/Steve-Slow-Train-Analysis-(2080s-and-2083s)?_g=(refreshInterval:(display:Off,pause:!f,section:0,value:0),time:(from:'2017-12-01T03:50:48-0700',mode:absolute,to:'2017-12-01T06:35:31-0700'))&amp;_a=(columns:!('Message%20ID',Summary),filters:!(),index:'emp_*',interval:auto,query:(query_string:(analyze_wildcard:!t,query:'%22rtdc.l.rtdc.4006%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230" t="s">
        <v>775</v>
      </c>
      <c r="B24" s="226">
        <v>4005</v>
      </c>
      <c r="C24" s="228" t="s">
        <v>192</v>
      </c>
      <c r="D24" s="228" t="s">
        <v>969</v>
      </c>
      <c r="E24" s="227">
        <v>43070.235949074071</v>
      </c>
      <c r="F24" s="227">
        <v>43070.248136574075</v>
      </c>
      <c r="G24" s="226">
        <v>46</v>
      </c>
      <c r="H24" s="228" t="s">
        <v>634</v>
      </c>
      <c r="I24" s="227">
        <v>43070.273541666669</v>
      </c>
      <c r="J24" s="226">
        <v>0</v>
      </c>
      <c r="K24" s="238" t="str">
        <f t="shared" si="0"/>
        <v>4005/4006</v>
      </c>
      <c r="L24" s="246" t="str">
        <f>VLOOKUP(A24,'Trips&amp;Operators'!$C$1:$G$99911,5,FALSE)</f>
        <v>YORK EDGAR</v>
      </c>
      <c r="M24" s="225">
        <f t="shared" si="1"/>
        <v>2.5405092594155576E-2</v>
      </c>
      <c r="N24" s="226">
        <f t="shared" si="2"/>
        <v>36.58333333558403</v>
      </c>
      <c r="O24" s="226"/>
      <c r="P24" s="226"/>
      <c r="Q24" s="229"/>
      <c r="R24" s="243"/>
      <c r="S24" s="250">
        <f t="shared" si="3"/>
        <v>1</v>
      </c>
      <c r="T24" s="243" t="str">
        <f t="shared" si="4"/>
        <v>Southbound</v>
      </c>
      <c r="U24" s="24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9" t="str">
        <f t="shared" si="5"/>
        <v>https://d0f6bd738d7f1b3e5a7ca70fe4ff75f0.us-east-1.aws.found.io/app/kibana#/discover/Steve-Slow-Train-Analysis-(2080s-and-2083s)?_g=(refreshInterval:(display:Off,pause:!f,section:0,value:0),time:(from:'2017-12-01T04:39:46-0700',mode:absolute,to:'2017-12-01T07:33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4" s="248" t="str">
        <f>IF(AA24&lt;VLOOKUP(AG24,Variables!$AC$3:$AD$8,2,FALSE),"Y","N")</f>
        <v>N</v>
      </c>
      <c r="X24" s="248">
        <f t="shared" si="6"/>
        <v>1</v>
      </c>
      <c r="Y24" s="248">
        <f t="shared" si="7"/>
        <v>23.295000000000002</v>
      </c>
      <c r="Z24" s="248">
        <f t="shared" si="8"/>
        <v>1.6500000000000001E-2</v>
      </c>
      <c r="AA24" s="248">
        <f t="shared" si="9"/>
        <v>23.278500000000001</v>
      </c>
      <c r="AB24" s="234" t="e">
        <f>VLOOKUP(A24,Enforcements!$C$7:$K$9,8,0)</f>
        <v>#N/A</v>
      </c>
      <c r="AC24" s="233" t="e">
        <f>VLOOKUP(A24,Enforcements!$C$7:$E$9,3,0)</f>
        <v>#N/A</v>
      </c>
      <c r="AD24" s="244">
        <f t="shared" si="10"/>
        <v>112</v>
      </c>
      <c r="AE24" s="236" t="str">
        <f t="shared" si="11"/>
        <v>aws s3 cp s3://rtdc.mdm.uploadarchive.raw/RTDC4005/ "%USERPROFILE%\AppData\Local\Temp\OnboardLogs"\RTDC4005\2017-12-01 --exclude "*" --recursive --include "*20171201*" &amp; "%USERPROFILE%\Documents\GitHub\mrs-test-scripts\Headless Mode &amp; Sideloading\WalkAndUnGZ.bat" "%USERPROFILE%\AppData\Local\Temp\OnboardLogs"\RTDC4005\2017-12-01 &amp; aws s3 cp s3://rtdc.mdm.uploadarchive.raw/RTDC4005/ "%USERPROFILE%\AppData\Local\Temp\OnboardLogs"\RTDC4005\2017-12-02 --exclude "*" --recursive --include "*20171202*" &amp; "%USERPROFILE%\Documents\GitHub\mrs-test-scripts\Headless Mode &amp; Sideloading\WalkAndUnGZ.bat" "%USERPROFILE%\AppData\Local\Temp\OnboardLogs"\RTDC4005\2017-12-02</v>
      </c>
      <c r="AF24" s="235" t="str">
        <f t="shared" si="12"/>
        <v>"C:\Program Files (x86)\AstroGrep\AstroGrep.exe" /e /r /s /spath="%USERPROFILE%\AppData\Local\Temp\OnboardLogs" /stypes="app*4005*20171201*" /stext=" 13:.+((SYSTEM_STATE.+slice.+state.+changed )|(ment ac)|(multiple cpu faults)|(system.+state.+changed )|(\[timeout)|(PRM\|1\|D)|(kpr)|(kdp)|(train st.+moving)|(\|lc)|(penalty))"</v>
      </c>
      <c r="AG24" s="245" t="str">
        <f t="shared" si="13"/>
        <v>EC</v>
      </c>
      <c r="AH24" s="237" t="str">
        <f t="shared" si="19"/>
        <v>"%USERPROFILE%\Documents\GitHub\eaglep3\Utilities\RefineRTDCRunTimes.py" --tripid 112-01 --locoid 4005 --swversion DE.1.0.9.0 --startMP 204:232950 --initTime 2017-12-01T05:39:46 --startdatetime 2017-12-01T05:57:19 --delay 46 --endMP 204:165 --enddatetime 2017-12-01T06:33:54 --enforcementcount 0 &gt;&gt;%USERPROFILE%\Documents\GitHub\eaglep3-reporting\EC\2017-12-01-refined-times.txt</v>
      </c>
      <c r="AI24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{"issue":{"subject":"","project_id":79,"tracker_id":40,"status_id":1,"priority_id":2,"assigned_to_id":338,"start_date":"2017-12-01","description":"","custom_fields":[{"id":1,"name":"Subdivision","value":"EC"},{"id":4,"name":"Milepost","value":"0.0165"},{"id":17,"name":"Train ID","value":"112-01"},{"id":16,"name":"Locomotive ID","value":"4005"},{"id":130,"name":"Impact","value":""},{"id":150,"name":"Time of Event (Mountain Time)","value":"06:33:54"},{"id":151,"name":"Denver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4"/>
      <c r="AK24" s="232"/>
      <c r="AL24" s="232"/>
      <c r="AM24" s="241" t="str">
        <f t="shared" si="21"/>
        <v>start /low /b %USERPROFILE%\Documents\GitHub\eaglep3\Utilities\DownloadLogsFromS3.py --loco 4005 --day 2017-12-01</v>
      </c>
      <c r="AN24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13:33:54"},{"id":29,"name":"Sharepoint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1" t="str">
        <f t="shared" si="23"/>
        <v>https://d0f6bd738d7f1b3e5a7ca70fe4ff75f0.us-east-1.aws.found.io/app/kibana#/discover/Steve-Slow-Train-Analysis-(2080s-and-2083s)?_g=(refreshInterval:(display:Off,pause:!f,section:0,value:0),time:(from:'2017-12-01T04:39:46-0700',mode:absolute,to:'2017-12-01T07:33:54-0700'))&amp;_a=(columns:!('Message%20ID',Summary),filters:!(),index:'emp_*',interval:auto,query:(query_string:(analyze_wildcard:!t,query:'%22rtdc.l.rtdc.4005%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230" t="s">
        <v>767</v>
      </c>
      <c r="B25" s="226">
        <v>4046</v>
      </c>
      <c r="C25" s="228" t="s">
        <v>192</v>
      </c>
      <c r="D25" s="228" t="s">
        <v>632</v>
      </c>
      <c r="E25" s="227">
        <v>43070.205034722225</v>
      </c>
      <c r="F25" s="227">
        <v>43070.219178240739</v>
      </c>
      <c r="G25" s="226">
        <v>85</v>
      </c>
      <c r="H25" s="228" t="s">
        <v>970</v>
      </c>
      <c r="I25" s="227">
        <v>43070.244386574072</v>
      </c>
      <c r="J25" s="226">
        <v>0</v>
      </c>
      <c r="K25" s="238" t="str">
        <f t="shared" si="0"/>
        <v>4045/4046</v>
      </c>
      <c r="L25" s="246" t="str">
        <f>VLOOKUP(A25,'Trips&amp;Operators'!$C$1:$G$99911,5,FALSE)</f>
        <v>MACDONALD THOMAS</v>
      </c>
      <c r="M25" s="225">
        <f t="shared" si="1"/>
        <v>2.5208333332557231E-2</v>
      </c>
      <c r="N25" s="226">
        <f t="shared" si="2"/>
        <v>36.299999998882413</v>
      </c>
      <c r="O25" s="226"/>
      <c r="P25" s="226"/>
      <c r="Q25" s="229"/>
      <c r="R25" s="243"/>
      <c r="S25" s="250">
        <f t="shared" si="3"/>
        <v>1</v>
      </c>
      <c r="T25" s="243" t="str">
        <f t="shared" si="4"/>
        <v>NorthBound</v>
      </c>
      <c r="U25" s="24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9" t="str">
        <f t="shared" si="5"/>
        <v>https://d0f6bd738d7f1b3e5a7ca70fe4ff75f0.us-east-1.aws.found.io/app/kibana#/discover/Steve-Slow-Train-Analysis-(2080s-and-2083s)?_g=(refreshInterval:(display:Off,pause:!f,section:0,value:0),time:(from:'2017-12-01T03:55:15-0700',mode:absolute,to:'2017-12-01T06:51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5" s="248" t="str">
        <f>IF(AA25&lt;VLOOKUP(AG25,Variables!$AC$3:$AD$8,2,FALSE),"Y","N")</f>
        <v>N</v>
      </c>
      <c r="X25" s="248">
        <f t="shared" si="6"/>
        <v>1</v>
      </c>
      <c r="Y25" s="248">
        <f t="shared" si="7"/>
        <v>5.0599999999999999E-2</v>
      </c>
      <c r="Z25" s="248">
        <f t="shared" si="8"/>
        <v>23.321300000000001</v>
      </c>
      <c r="AA25" s="248">
        <f t="shared" si="9"/>
        <v>23.270700000000001</v>
      </c>
      <c r="AB25" s="234" t="e">
        <f>VLOOKUP(A25,Enforcements!$C$7:$K$9,8,0)</f>
        <v>#N/A</v>
      </c>
      <c r="AC25" s="233" t="e">
        <f>VLOOKUP(A25,Enforcements!$C$7:$E$9,3,0)</f>
        <v>#N/A</v>
      </c>
      <c r="AD25" s="244">
        <f t="shared" si="10"/>
        <v>113</v>
      </c>
      <c r="AE25" s="236" t="str">
        <f t="shared" si="11"/>
        <v>aws s3 cp s3://rtdc.mdm.uploadarchive.raw/RTDC4046/ "%USERPROFILE%\AppData\Local\Temp\OnboardLogs"\RTDC4046\2017-12-01 --exclude "*" --recursive --include "*20171201*" &amp; "%USERPROFILE%\Documents\GitHub\mrs-test-scripts\Headless Mode &amp; Sideloading\WalkAndUnGZ.bat" "%USERPROFILE%\AppData\Local\Temp\OnboardLogs"\RTDC4046\2017-12-01 &amp; aws s3 cp s3://rtdc.mdm.uploadarchive.raw/RTDC4046/ "%USERPROFILE%\AppData\Local\Temp\OnboardLogs"\RTDC4046\2017-12-02 --exclude "*" --recursive --include "*20171202*" &amp; "%USERPROFILE%\Documents\GitHub\mrs-test-scripts\Headless Mode &amp; Sideloading\WalkAndUnGZ.bat" "%USERPROFILE%\AppData\Local\Temp\OnboardLogs"\RTDC4046\2017-12-02</v>
      </c>
      <c r="AF25" s="235" t="str">
        <f t="shared" si="12"/>
        <v>"C:\Program Files (x86)\AstroGrep\AstroGrep.exe" /e /r /s /spath="%USERPROFILE%\AppData\Local\Temp\OnboardLogs" /stypes="app*4046*20171201*" /stext=" 12:.+((SYSTEM_STATE.+slice.+state.+changed )|(ment ac)|(multiple cpu faults)|(system.+state.+changed )|(\[timeout)|(PRM\|1\|D)|(kpr)|(kdp)|(train st.+moving)|(\|lc)|(penalty))"</v>
      </c>
      <c r="AG25" s="245" t="str">
        <f t="shared" si="13"/>
        <v>EC</v>
      </c>
      <c r="AH25" s="237" t="str">
        <f t="shared" si="19"/>
        <v>"%USERPROFILE%\Documents\GitHub\eaglep3\Utilities\RefineRTDCRunTimes.py" --tripid 113-01 --locoid 4046 --swversion DE.1.0.9.0 --startMP 204:506 --initTime 2017-12-01T04:55:15 --startdatetime 2017-12-01T05:15:37 --delay 85 --endMP 204:233213 --enddatetime 2017-12-01T05:51:55 --enforcementcount 0 &gt;&gt;%USERPROFILE%\Documents\GitHub\eaglep3-reporting\EC\2017-12-01-refined-times.txt</v>
      </c>
      <c r="AI25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{"issue":{"subject":"","project_id":79,"tracker_id":40,"status_id":1,"priority_id":2,"assigned_to_id":338,"start_date":"2017-12-01","description":"","custom_fields":[{"id":1,"name":"Subdivision","value":"EC"},{"id":4,"name":"Milepost","value":"23.3213"},{"id":17,"name":"Train ID","value":"113-01"},{"id":16,"name":"Locomotive ID","value":"4046"},{"id":130,"name":"Impact","value":""},{"id":150,"name":"Time of Event (Mountain Time)","value":"05:51:55"},{"id":151,"name":"Denver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4"/>
      <c r="AK25" s="232"/>
      <c r="AL25" s="232"/>
      <c r="AM25" s="241" t="str">
        <f t="shared" si="21"/>
        <v>start /low /b %USERPROFILE%\Documents\GitHub\eaglep3\Utilities\DownloadLogsFromS3.py --loco 4046 --day 2017-12-01</v>
      </c>
      <c r="AN25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12:51:55"},{"id":29,"name":"Sharepoint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1" t="str">
        <f t="shared" si="23"/>
        <v>https://d0f6bd738d7f1b3e5a7ca70fe4ff75f0.us-east-1.aws.found.io/app/kibana#/discover/Steve-Slow-Train-Analysis-(2080s-and-2083s)?_g=(refreshInterval:(display:Off,pause:!f,section:0,value:0),time:(from:'2017-12-01T03:55:15-0700',mode:absolute,to:'2017-12-01T06:51:55-0700'))&amp;_a=(columns:!('Message%20ID',Summary),filters:!(),index:'emp_*',interval:auto,query:(query_string:(analyze_wildcard:!t,query:'%22rtdc.l.rtdc.4046%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230" t="s">
        <v>781</v>
      </c>
      <c r="B26" s="226">
        <v>4045</v>
      </c>
      <c r="C26" s="228" t="s">
        <v>192</v>
      </c>
      <c r="D26" s="228" t="s">
        <v>490</v>
      </c>
      <c r="E26" s="227">
        <v>43070.255555555559</v>
      </c>
      <c r="F26" s="227">
        <v>43070.258912037039</v>
      </c>
      <c r="G26" s="226">
        <v>100</v>
      </c>
      <c r="H26" s="228" t="s">
        <v>691</v>
      </c>
      <c r="I26" s="227">
        <v>43070.285208333335</v>
      </c>
      <c r="J26" s="226">
        <v>0</v>
      </c>
      <c r="K26" s="238" t="str">
        <f t="shared" si="0"/>
        <v>4045/4046</v>
      </c>
      <c r="L26" s="246" t="str">
        <f>VLOOKUP(A26,'Trips&amp;Operators'!$C$1:$G$99911,5,FALSE)</f>
        <v>MACDONALD THOMAS</v>
      </c>
      <c r="M26" s="225">
        <f t="shared" si="1"/>
        <v>2.6296296295186039E-2</v>
      </c>
      <c r="N26" s="226">
        <f t="shared" si="2"/>
        <v>37.866666665067896</v>
      </c>
      <c r="O26" s="226"/>
      <c r="P26" s="226"/>
      <c r="Q26" s="229"/>
      <c r="R26" s="243"/>
      <c r="S26" s="250">
        <f t="shared" si="3"/>
        <v>1</v>
      </c>
      <c r="T26" s="243" t="str">
        <f t="shared" si="4"/>
        <v>Southbound</v>
      </c>
      <c r="U26" s="24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9" t="str">
        <f t="shared" si="5"/>
        <v>https://d0f6bd738d7f1b3e5a7ca70fe4ff75f0.us-east-1.aws.found.io/app/kibana#/discover/Steve-Slow-Train-Analysis-(2080s-and-2083s)?_g=(refreshInterval:(display:Off,pause:!f,section:0,value:0),time:(from:'2017-12-01T05:08:00-0700',mode:absolute,to:'2017-12-01T07:50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6" s="248" t="str">
        <f>IF(AA26&lt;VLOOKUP(AG26,Variables!$AC$3:$AD$8,2,FALSE),"Y","N")</f>
        <v>N</v>
      </c>
      <c r="X26" s="248">
        <f t="shared" si="6"/>
        <v>1</v>
      </c>
      <c r="Y26" s="248">
        <f t="shared" si="7"/>
        <v>23.289200000000001</v>
      </c>
      <c r="Z26" s="248">
        <f t="shared" si="8"/>
        <v>2.6200000000000001E-2</v>
      </c>
      <c r="AA26" s="248">
        <f t="shared" si="9"/>
        <v>23.263000000000002</v>
      </c>
      <c r="AB26" s="234" t="e">
        <f>VLOOKUP(A26,Enforcements!$C$7:$K$9,8,0)</f>
        <v>#N/A</v>
      </c>
      <c r="AC26" s="233" t="e">
        <f>VLOOKUP(A26,Enforcements!$C$7:$E$9,3,0)</f>
        <v>#N/A</v>
      </c>
      <c r="AD26" s="244">
        <f t="shared" si="10"/>
        <v>114</v>
      </c>
      <c r="AE26" s="236" t="str">
        <f t="shared" si="11"/>
        <v>aws s3 cp s3://rtdc.mdm.uploadarchive.raw/RTDC4045/ "%USERPROFILE%\AppData\Local\Temp\OnboardLogs"\RTDC4045\2017-12-01 --exclude "*" --recursive --include "*20171201*" &amp; "%USERPROFILE%\Documents\GitHub\mrs-test-scripts\Headless Mode &amp; Sideloading\WalkAndUnGZ.bat" "%USERPROFILE%\AppData\Local\Temp\OnboardLogs"\RTDC4045\2017-12-01 &amp; aws s3 cp s3://rtdc.mdm.uploadarchive.raw/RTDC4045/ "%USERPROFILE%\AppData\Local\Temp\OnboardLogs"\RTDC4045\2017-12-02 --exclude "*" --recursive --include "*20171202*" &amp; "%USERPROFILE%\Documents\GitHub\mrs-test-scripts\Headless Mode &amp; Sideloading\WalkAndUnGZ.bat" "%USERPROFILE%\AppData\Local\Temp\OnboardLogs"\RTDC4045\2017-12-02</v>
      </c>
      <c r="AF26" s="235" t="str">
        <f t="shared" si="12"/>
        <v>"C:\Program Files (x86)\AstroGrep\AstroGrep.exe" /e /r /s /spath="%USERPROFILE%\AppData\Local\Temp\OnboardLogs" /stypes="app*4045*20171201*" /stext=" 13:.+((SYSTEM_STATE.+slice.+state.+changed )|(ment ac)|(multiple cpu faults)|(system.+state.+changed )|(\[timeout)|(PRM\|1\|D)|(kpr)|(kdp)|(train st.+moving)|(\|lc)|(penalty))"</v>
      </c>
      <c r="AG26" s="245" t="str">
        <f t="shared" si="13"/>
        <v>EC</v>
      </c>
      <c r="AH26" s="237" t="str">
        <f t="shared" si="19"/>
        <v>"%USERPROFILE%\Documents\GitHub\eaglep3\Utilities\RefineRTDCRunTimes.py" --tripid 114-01 --locoid 4045 --swversion DE.1.0.9.0 --startMP 204:232892 --initTime 2017-12-01T06:08:00 --startdatetime 2017-12-01T06:12:50 --delay 100 --endMP 204:262 --enddatetime 2017-12-01T06:50:42 --enforcementcount 0 &gt;&gt;%USERPROFILE%\Documents\GitHub\eaglep3-reporting\EC\2017-12-01-refined-times.txt</v>
      </c>
      <c r="AI26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{"issue":{"subject":"","project_id":79,"tracker_id":40,"status_id":1,"priority_id":2,"assigned_to_id":338,"start_date":"2017-12-01","description":"","custom_fields":[{"id":1,"name":"Subdivision","value":"EC"},{"id":4,"name":"Milepost","value":"0.0262"},{"id":17,"name":"Train ID","value":"114-01"},{"id":16,"name":"Locomotive ID","value":"4045"},{"id":130,"name":"Impact","value":""},{"id":150,"name":"Time of Event (Mountain Time)","value":"06:50:42"},{"id":151,"name":"Denver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4"/>
      <c r="AK26" s="232"/>
      <c r="AL26" s="232"/>
      <c r="AM26" s="241" t="str">
        <f t="shared" si="21"/>
        <v>start /low /b %USERPROFILE%\Documents\GitHub\eaglep3\Utilities\DownloadLogsFromS3.py --loco 4045 --day 2017-12-01</v>
      </c>
      <c r="AN26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13:50:42"},{"id":29,"name":"Sharepoint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1" t="str">
        <f t="shared" si="23"/>
        <v>https://d0f6bd738d7f1b3e5a7ca70fe4ff75f0.us-east-1.aws.found.io/app/kibana#/discover/Steve-Slow-Train-Analysis-(2080s-and-2083s)?_g=(refreshInterval:(display:Off,pause:!f,section:0,value:0),time:(from:'2017-12-01T05:08:00-0700',mode:absolute,to:'2017-12-01T07:50:42-0700'))&amp;_a=(columns:!('Message%20ID',Summary),filters:!(),index:'emp_*',interval:auto,query:(query_string:(analyze_wildcard:!t,query:'%22rtdc.l.rtdc.4045%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230" t="s">
        <v>772</v>
      </c>
      <c r="B27" s="226">
        <v>4002</v>
      </c>
      <c r="C27" s="228" t="s">
        <v>192</v>
      </c>
      <c r="D27" s="228" t="s">
        <v>612</v>
      </c>
      <c r="E27" s="227">
        <v>43070.226238425923</v>
      </c>
      <c r="F27" s="227">
        <v>43070.229363425926</v>
      </c>
      <c r="G27" s="226">
        <v>46</v>
      </c>
      <c r="H27" s="228" t="s">
        <v>966</v>
      </c>
      <c r="I27" s="227">
        <v>43070.254583333335</v>
      </c>
      <c r="J27" s="226">
        <v>0</v>
      </c>
      <c r="K27" s="238" t="str">
        <f t="shared" si="0"/>
        <v>4001/4002</v>
      </c>
      <c r="L27" s="246" t="str">
        <f>VLOOKUP(A27,'Trips&amp;Operators'!$C$1:$G$99911,5,FALSE)</f>
        <v>MAELZER KURT</v>
      </c>
      <c r="M27" s="225">
        <f t="shared" si="1"/>
        <v>2.5219907409336884E-2</v>
      </c>
      <c r="N27" s="226">
        <f t="shared" si="2"/>
        <v>36.316666669445112</v>
      </c>
      <c r="O27" s="226"/>
      <c r="P27" s="226"/>
      <c r="Q27" s="229"/>
      <c r="R27" s="243"/>
      <c r="S27" s="250">
        <f t="shared" si="3"/>
        <v>1</v>
      </c>
      <c r="T27" s="243" t="str">
        <f t="shared" si="4"/>
        <v>NorthBound</v>
      </c>
      <c r="U27" s="24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9" t="str">
        <f t="shared" si="5"/>
        <v>https://d0f6bd738d7f1b3e5a7ca70fe4ff75f0.us-east-1.aws.found.io/app/kibana#/discover/Steve-Slow-Train-Analysis-(2080s-and-2083s)?_g=(refreshInterval:(display:Off,pause:!f,section:0,value:0),time:(from:'2017-12-01T04:25:47-0700',mode:absolute,to:'2017-12-01T07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7" s="248" t="str">
        <f>IF(AA27&lt;VLOOKUP(AG27,Variables!$AC$3:$AD$8,2,FALSE),"Y","N")</f>
        <v>N</v>
      </c>
      <c r="X27" s="248">
        <f t="shared" si="6"/>
        <v>1</v>
      </c>
      <c r="Y27" s="248">
        <f t="shared" si="7"/>
        <v>4.8000000000000001E-2</v>
      </c>
      <c r="Z27" s="248">
        <f t="shared" si="8"/>
        <v>23.330500000000001</v>
      </c>
      <c r="AA27" s="248">
        <f t="shared" si="9"/>
        <v>23.282500000000002</v>
      </c>
      <c r="AB27" s="234" t="e">
        <f>VLOOKUP(A27,Enforcements!$C$7:$K$9,8,0)</f>
        <v>#N/A</v>
      </c>
      <c r="AC27" s="233" t="e">
        <f>VLOOKUP(A27,Enforcements!$C$7:$E$9,3,0)</f>
        <v>#N/A</v>
      </c>
      <c r="AD27" s="244">
        <f t="shared" si="10"/>
        <v>115</v>
      </c>
      <c r="AE27" s="236" t="str">
        <f t="shared" si="11"/>
        <v>aws s3 cp s3://rtdc.mdm.uploadarchive.raw/RTDC4002/ "%USERPROFILE%\AppData\Local\Temp\OnboardLogs"\RTDC4002\2017-12-01 --exclude "*" --recursive --include "*20171201*" &amp; "%USERPROFILE%\Documents\GitHub\mrs-test-scripts\Headless Mode &amp; Sideloading\WalkAndUnGZ.bat" "%USERPROFILE%\AppData\Local\Temp\OnboardLogs"\RTDC4002\2017-12-01 &amp; aws s3 cp s3://rtdc.mdm.uploadarchive.raw/RTDC4002/ "%USERPROFILE%\AppData\Local\Temp\OnboardLogs"\RTDC4002\2017-12-02 --exclude "*" --recursive --include "*20171202*" &amp; "%USERPROFILE%\Documents\GitHub\mrs-test-scripts\Headless Mode &amp; Sideloading\WalkAndUnGZ.bat" "%USERPROFILE%\AppData\Local\Temp\OnboardLogs"\RTDC4002\2017-12-02</v>
      </c>
      <c r="AF27" s="235" t="str">
        <f t="shared" si="12"/>
        <v>"C:\Program Files (x86)\AstroGrep\AstroGrep.exe" /e /r /s /spath="%USERPROFILE%\AppData\Local\Temp\OnboardLogs" /stypes="app*4002*20171201*" /stext=" 13:.+((SYSTEM_STATE.+slice.+state.+changed )|(ment ac)|(multiple cpu faults)|(system.+state.+changed )|(\[timeout)|(PRM\|1\|D)|(kpr)|(kdp)|(train st.+moving)|(\|lc)|(penalty))"</v>
      </c>
      <c r="AG27" s="245" t="str">
        <f t="shared" si="13"/>
        <v>EC</v>
      </c>
      <c r="AH27" s="237" t="str">
        <f t="shared" si="19"/>
        <v>"%USERPROFILE%\Documents\GitHub\eaglep3\Utilities\RefineRTDCRunTimes.py" --tripid 115-01 --locoid 4002 --swversion DE.1.0.9.0 --startMP 204:480 --initTime 2017-12-01T05:25:47 --startdatetime 2017-12-01T05:30:17 --delay 46 --endMP 204:233305 --enddatetime 2017-12-01T06:06:36 --enforcementcount 0 &gt;&gt;%USERPROFILE%\Documents\GitHub\eaglep3-reporting\EC\2017-12-01-refined-times.txt</v>
      </c>
      <c r="AI27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{"issue":{"subject":"","project_id":79,"tracker_id":40,"status_id":1,"priority_id":2,"assigned_to_id":338,"start_date":"2017-12-01","description":"","custom_fields":[{"id":1,"name":"Subdivision","value":"EC"},{"id":4,"name":"Milepost","value":"23.3305"},{"id":17,"name":"Train ID","value":"115-01"},{"id":16,"name":"Locomotive ID","value":"4002"},{"id":130,"name":"Impact","value":""},{"id":150,"name":"Time of Event (Mountain Time)","value":"06:06:36"},{"id":151,"name":"Denver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4"/>
      <c r="AK27" s="232"/>
      <c r="AL27" s="232"/>
      <c r="AM27" s="241" t="str">
        <f t="shared" si="21"/>
        <v>start /low /b %USERPROFILE%\Documents\GitHub\eaglep3\Utilities\DownloadLogsFromS3.py --loco 4002 --day 2017-12-01</v>
      </c>
      <c r="AN27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13:06:36"},{"id":29,"name":"Sharepoint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1" t="str">
        <f t="shared" si="23"/>
        <v>https://d0f6bd738d7f1b3e5a7ca70fe4ff75f0.us-east-1.aws.found.io/app/kibana#/discover/Steve-Slow-Train-Analysis-(2080s-and-2083s)?_g=(refreshInterval:(display:Off,pause:!f,section:0,value:0),time:(from:'2017-12-01T04:25:47-0700',mode:absolute,to:'2017-12-01T07:06:36-0700'))&amp;_a=(columns:!('Message%20ID',Summary),filters:!(),index:'emp_*',interval:auto,query:(query_string:(analyze_wildcard:!t,query:'%22rtdc.l.rtdc.4002%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230" t="s">
        <v>782</v>
      </c>
      <c r="B28" s="226">
        <v>4001</v>
      </c>
      <c r="C28" s="228" t="s">
        <v>192</v>
      </c>
      <c r="D28" s="228" t="s">
        <v>686</v>
      </c>
      <c r="E28" s="227">
        <v>43070.261678240742</v>
      </c>
      <c r="F28" s="227">
        <v>43070.268946759257</v>
      </c>
      <c r="G28" s="226">
        <v>46</v>
      </c>
      <c r="H28" s="228" t="s">
        <v>683</v>
      </c>
      <c r="I28" s="227">
        <v>43070.294988425929</v>
      </c>
      <c r="J28" s="226">
        <v>0</v>
      </c>
      <c r="K28" s="238" t="str">
        <f t="shared" si="0"/>
        <v>4001/4002</v>
      </c>
      <c r="L28" s="246" t="str">
        <f>VLOOKUP(A28,'Trips&amp;Operators'!$C$1:$G$99911,5,FALSE)</f>
        <v>MAELZER KURT</v>
      </c>
      <c r="M28" s="225">
        <f t="shared" si="1"/>
        <v>2.6041666671517305E-2</v>
      </c>
      <c r="N28" s="226">
        <f t="shared" si="2"/>
        <v>37.500000006984919</v>
      </c>
      <c r="O28" s="226"/>
      <c r="P28" s="226"/>
      <c r="Q28" s="229"/>
      <c r="R28" s="243"/>
      <c r="S28" s="250">
        <f t="shared" si="3"/>
        <v>1</v>
      </c>
      <c r="T28" s="243" t="str">
        <f t="shared" si="4"/>
        <v>Southbound</v>
      </c>
      <c r="U28" s="24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9" t="str">
        <f t="shared" si="5"/>
        <v>https://d0f6bd738d7f1b3e5a7ca70fe4ff75f0.us-east-1.aws.found.io/app/kibana#/discover/Steve-Slow-Train-Analysis-(2080s-and-2083s)?_g=(refreshInterval:(display:Off,pause:!f,section:0,value:0),time:(from:'2017-12-01T05:16:49-0700',mode:absolute,to:'2017-12-01T08:04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8" s="248" t="str">
        <f>IF(AA28&lt;VLOOKUP(AG28,Variables!$AC$3:$AD$8,2,FALSE),"Y","N")</f>
        <v>N</v>
      </c>
      <c r="X28" s="248">
        <f t="shared" si="6"/>
        <v>1</v>
      </c>
      <c r="Y28" s="248">
        <f t="shared" si="7"/>
        <v>23.296900000000001</v>
      </c>
      <c r="Z28" s="248">
        <f t="shared" si="8"/>
        <v>1.83E-2</v>
      </c>
      <c r="AA28" s="248">
        <f t="shared" si="9"/>
        <v>23.278600000000001</v>
      </c>
      <c r="AB28" s="234" t="e">
        <f>VLOOKUP(A28,Enforcements!$C$7:$K$9,8,0)</f>
        <v>#N/A</v>
      </c>
      <c r="AC28" s="233" t="e">
        <f>VLOOKUP(A28,Enforcements!$C$7:$E$9,3,0)</f>
        <v>#N/A</v>
      </c>
      <c r="AD28" s="244">
        <f t="shared" si="10"/>
        <v>116</v>
      </c>
      <c r="AE28" s="236" t="str">
        <f t="shared" si="11"/>
        <v>aws s3 cp s3://rtdc.mdm.uploadarchive.raw/RTDC4001/ "%USERPROFILE%\AppData\Local\Temp\OnboardLogs"\RTDC4001\2017-12-01 --exclude "*" --recursive --include "*20171201*" &amp; "%USERPROFILE%\Documents\GitHub\mrs-test-scripts\Headless Mode &amp; Sideloading\WalkAndUnGZ.bat" "%USERPROFILE%\AppData\Local\Temp\OnboardLogs"\RTDC4001\2017-12-01 &amp; aws s3 cp s3://rtdc.mdm.uploadarchive.raw/RTDC4001/ "%USERPROFILE%\AppData\Local\Temp\OnboardLogs"\RTDC4001\2017-12-02 --exclude "*" --recursive --include "*20171202*" &amp; "%USERPROFILE%\Documents\GitHub\mrs-test-scripts\Headless Mode &amp; Sideloading\WalkAndUnGZ.bat" "%USERPROFILE%\AppData\Local\Temp\OnboardLogs"\RTDC4001\2017-12-02</v>
      </c>
      <c r="AF28" s="235" t="str">
        <f t="shared" si="12"/>
        <v>"C:\Program Files (x86)\AstroGrep\AstroGrep.exe" /e /r /s /spath="%USERPROFILE%\AppData\Local\Temp\OnboardLogs" /stypes="app*4001*20171201*" /stext=" 14:.+((SYSTEM_STATE.+slice.+state.+changed )|(ment ac)|(multiple cpu faults)|(system.+state.+changed )|(\[timeout)|(PRM\|1\|D)|(kpr)|(kdp)|(train st.+moving)|(\|lc)|(penalty))"</v>
      </c>
      <c r="AG28" s="245" t="str">
        <f t="shared" si="13"/>
        <v>EC</v>
      </c>
      <c r="AH28" s="237" t="str">
        <f t="shared" si="19"/>
        <v>"%USERPROFILE%\Documents\GitHub\eaglep3\Utilities\RefineRTDCRunTimes.py" --tripid 116-01 --locoid 4001 --swversion DE.1.0.9.0 --startMP 204:232969 --initTime 2017-12-01T06:16:49 --startdatetime 2017-12-01T06:27:17 --delay 46 --endMP 204:183 --enddatetime 2017-12-01T07:04:47 --enforcementcount 0 &gt;&gt;%USERPROFILE%\Documents\GitHub\eaglep3-reporting\EC\2017-12-01-refined-times.txt</v>
      </c>
      <c r="AI28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{"issue":{"subject":"","project_id":79,"tracker_id":40,"status_id":1,"priority_id":2,"assigned_to_id":338,"start_date":"2017-12-01","description":"","custom_fields":[{"id":1,"name":"Subdivision","value":"EC"},{"id":4,"name":"Milepost","value":"0.0183"},{"id":17,"name":"Train ID","value":"116-01"},{"id":16,"name":"Locomotive ID","value":"4001"},{"id":130,"name":"Impact","value":""},{"id":150,"name":"Time of Event (Mountain Time)","value":"07:04:47"},{"id":151,"name":"Denver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4"/>
      <c r="AK28" s="232"/>
      <c r="AL28" s="232"/>
      <c r="AM28" s="241" t="str">
        <f t="shared" si="21"/>
        <v>start /low /b %USERPROFILE%\Documents\GitHub\eaglep3\Utilities\DownloadLogsFromS3.py --loco 4001 --day 2017-12-01</v>
      </c>
      <c r="AN28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14:04:47"},{"id":29,"name":"Sharepoint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1" t="str">
        <f t="shared" si="23"/>
        <v>https://d0f6bd738d7f1b3e5a7ca70fe4ff75f0.us-east-1.aws.found.io/app/kibana#/discover/Steve-Slow-Train-Analysis-(2080s-and-2083s)?_g=(refreshInterval:(display:Off,pause:!f,section:0,value:0),time:(from:'2017-12-01T05:16:49-0700',mode:absolute,to:'2017-12-01T08:04:47-0700'))&amp;_a=(columns:!('Message%20ID',Summary),filters:!(),index:'emp_*',interval:auto,query:(query_string:(analyze_wildcard:!t,query:'%22rtdc.l.rtdc.4001%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230" t="s">
        <v>770</v>
      </c>
      <c r="B29" s="226">
        <v>4050</v>
      </c>
      <c r="C29" s="228" t="s">
        <v>192</v>
      </c>
      <c r="D29" s="228" t="s">
        <v>574</v>
      </c>
      <c r="E29" s="227">
        <v>43070.230925925927</v>
      </c>
      <c r="F29" s="227">
        <v>43070.23978009259</v>
      </c>
      <c r="G29" s="226">
        <v>85</v>
      </c>
      <c r="H29" s="228" t="s">
        <v>971</v>
      </c>
      <c r="I29" s="227">
        <v>43070.266215277778</v>
      </c>
      <c r="J29" s="226">
        <v>0</v>
      </c>
      <c r="K29" s="238" t="str">
        <f t="shared" si="0"/>
        <v>4049/4050</v>
      </c>
      <c r="L29" s="246" t="str">
        <f>VLOOKUP(A29,'Trips&amp;Operators'!$C$1:$G$99911,5,FALSE)</f>
        <v>NICHOLAS PLOYSA</v>
      </c>
      <c r="M29" s="225">
        <f t="shared" si="1"/>
        <v>2.6435185187438037E-2</v>
      </c>
      <c r="N29" s="226">
        <f t="shared" si="2"/>
        <v>38.066666669910774</v>
      </c>
      <c r="O29" s="226"/>
      <c r="P29" s="226"/>
      <c r="Q29" s="229"/>
      <c r="R29" s="243"/>
      <c r="S29" s="250">
        <f t="shared" si="3"/>
        <v>1</v>
      </c>
      <c r="T29" s="243" t="str">
        <f t="shared" si="4"/>
        <v>NorthBound</v>
      </c>
      <c r="U29" s="24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9" t="str">
        <f t="shared" si="5"/>
        <v>https://d0f6bd738d7f1b3e5a7ca70fe4ff75f0.us-east-1.aws.found.io/app/kibana#/discover/Steve-Slow-Train-Analysis-(2080s-and-2083s)?_g=(refreshInterval:(display:Off,pause:!f,section:0,value:0),time:(from:'2017-12-01T04:32:32-0700',mode:absolute,to:'2017-12-01T07:23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9" s="248" t="str">
        <f>IF(AA29&lt;VLOOKUP(AG29,Variables!$AC$3:$AD$8,2,FALSE),"Y","N")</f>
        <v>N</v>
      </c>
      <c r="X29" s="248">
        <f t="shared" si="6"/>
        <v>1</v>
      </c>
      <c r="Y29" s="248">
        <f t="shared" si="7"/>
        <v>4.8599999999999997E-2</v>
      </c>
      <c r="Z29" s="248">
        <f t="shared" si="8"/>
        <v>23.316800000000001</v>
      </c>
      <c r="AA29" s="248">
        <f t="shared" si="9"/>
        <v>23.2682</v>
      </c>
      <c r="AB29" s="234" t="e">
        <f>VLOOKUP(A29,Enforcements!$C$7:$K$9,8,0)</f>
        <v>#N/A</v>
      </c>
      <c r="AC29" s="233" t="e">
        <f>VLOOKUP(A29,Enforcements!$C$7:$E$9,3,0)</f>
        <v>#N/A</v>
      </c>
      <c r="AD29" s="244">
        <f t="shared" si="10"/>
        <v>117</v>
      </c>
      <c r="AE29" s="236" t="str">
        <f t="shared" si="11"/>
        <v>aws s3 cp s3://rtdc.mdm.uploadarchive.raw/RTDC4050/ "%USERPROFILE%\AppData\Local\Temp\OnboardLogs"\RTDC4050\2017-12-01 --exclude "*" --recursive --include "*20171201*" &amp; "%USERPROFILE%\Documents\GitHub\mrs-test-scripts\Headless Mode &amp; Sideloading\WalkAndUnGZ.bat" "%USERPROFILE%\AppData\Local\Temp\OnboardLogs"\RTDC4050\2017-12-01 &amp; aws s3 cp s3://rtdc.mdm.uploadarchive.raw/RTDC4050/ "%USERPROFILE%\AppData\Local\Temp\OnboardLogs"\RTDC4050\2017-12-02 --exclude "*" --recursive --include "*20171202*" &amp; "%USERPROFILE%\Documents\GitHub\mrs-test-scripts\Headless Mode &amp; Sideloading\WalkAndUnGZ.bat" "%USERPROFILE%\AppData\Local\Temp\OnboardLogs"\RTDC4050\2017-12-02</v>
      </c>
      <c r="AF29" s="235" t="str">
        <f t="shared" si="12"/>
        <v>"C:\Program Files (x86)\AstroGrep\AstroGrep.exe" /e /r /s /spath="%USERPROFILE%\AppData\Local\Temp\OnboardLogs" /stypes="app*4050*20171201*" /stext=" 13:.+((SYSTEM_STATE.+slice.+state.+changed )|(ment ac)|(multiple cpu faults)|(system.+state.+changed )|(\[timeout)|(PRM\|1\|D)|(kpr)|(kdp)|(train st.+moving)|(\|lc)|(penalty))"</v>
      </c>
      <c r="AG29" s="245" t="str">
        <f t="shared" si="13"/>
        <v>EC</v>
      </c>
      <c r="AH29" s="237" t="str">
        <f t="shared" si="19"/>
        <v>"%USERPROFILE%\Documents\GitHub\eaglep3\Utilities\RefineRTDCRunTimes.py" --tripid 117-01 --locoid 4050 --swversion DE.1.0.9.0 --startMP 204:486 --initTime 2017-12-01T05:32:32 --startdatetime 2017-12-01T05:45:17 --delay 85 --endMP 204:233168 --enddatetime 2017-12-01T06:23:21 --enforcementcount 0 &gt;&gt;%USERPROFILE%\Documents\GitHub\eaglep3-reporting\EC\2017-12-01-refined-times.txt</v>
      </c>
      <c r="AI29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{"issue":{"subject":"","project_id":79,"tracker_id":40,"status_id":1,"priority_id":2,"assigned_to_id":338,"start_date":"2017-12-01","description":"","custom_fields":[{"id":1,"name":"Subdivision","value":"EC"},{"id":4,"name":"Milepost","value":"23.3168"},{"id":17,"name":"Train ID","value":"117-01"},{"id":16,"name":"Locomotive ID","value":"4050"},{"id":130,"name":"Impact","value":""},{"id":150,"name":"Time of Event (Mountain Time)","value":"06:23:21"},{"id":151,"name":"Denver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4"/>
      <c r="AK29" s="232"/>
      <c r="AL29" s="232"/>
      <c r="AM29" s="241" t="str">
        <f t="shared" si="21"/>
        <v>start /low /b %USERPROFILE%\Documents\GitHub\eaglep3\Utilities\DownloadLogsFromS3.py --loco 4050 --day 2017-12-01</v>
      </c>
      <c r="AN29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13:23:21"},{"id":29,"name":"Sharepoint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1" t="str">
        <f t="shared" si="23"/>
        <v>https://d0f6bd738d7f1b3e5a7ca70fe4ff75f0.us-east-1.aws.found.io/app/kibana#/discover/Steve-Slow-Train-Analysis-(2080s-and-2083s)?_g=(refreshInterval:(display:Off,pause:!f,section:0,value:0),time:(from:'2017-12-01T04:32:32-0700',mode:absolute,to:'2017-12-01T07:23:21-0700'))&amp;_a=(columns:!('Message%20ID',Summary),filters:!(),index:'emp_*',interval:auto,query:(query_string:(analyze_wildcard:!t,query:'%22rtdc.l.rtdc.4050%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230" t="s">
        <v>784</v>
      </c>
      <c r="B30" s="226">
        <v>4049</v>
      </c>
      <c r="C30" s="228" t="s">
        <v>192</v>
      </c>
      <c r="D30" s="228" t="s">
        <v>972</v>
      </c>
      <c r="E30" s="227">
        <v>43070.267476851855</v>
      </c>
      <c r="F30" s="227">
        <v>43070.279374999998</v>
      </c>
      <c r="G30" s="226">
        <v>61</v>
      </c>
      <c r="H30" s="228" t="s">
        <v>630</v>
      </c>
      <c r="I30" s="227">
        <v>43070.30678240741</v>
      </c>
      <c r="J30" s="226">
        <v>0</v>
      </c>
      <c r="K30" s="238" t="str">
        <f t="shared" si="0"/>
        <v>4049/4050</v>
      </c>
      <c r="L30" s="246" t="str">
        <f>VLOOKUP(A30,'Trips&amp;Operators'!$C$1:$G$99911,5,FALSE)</f>
        <v>NICHOLAS PLOYSA</v>
      </c>
      <c r="M30" s="225">
        <f t="shared" si="1"/>
        <v>2.7407407411374152E-2</v>
      </c>
      <c r="N30" s="226">
        <f t="shared" si="2"/>
        <v>39.466666672378778</v>
      </c>
      <c r="O30" s="226"/>
      <c r="P30" s="226"/>
      <c r="Q30" s="229"/>
      <c r="R30" s="243"/>
      <c r="S30" s="250">
        <f t="shared" si="3"/>
        <v>1</v>
      </c>
      <c r="T30" s="243" t="str">
        <f t="shared" si="4"/>
        <v>Southbound</v>
      </c>
      <c r="U30" s="24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9" t="str">
        <f t="shared" si="5"/>
        <v>https://d0f6bd738d7f1b3e5a7ca70fe4ff75f0.us-east-1.aws.found.io/app/kibana#/discover/Steve-Slow-Train-Analysis-(2080s-and-2083s)?_g=(refreshInterval:(display:Off,pause:!f,section:0,value:0),time:(from:'2017-12-01T05:25:10-0700',mode:absolute,to:'2017-12-01T08:21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0" s="248" t="str">
        <f>IF(AA30&lt;VLOOKUP(AG30,Variables!$AC$3:$AD$8,2,FALSE),"Y","N")</f>
        <v>N</v>
      </c>
      <c r="X30" s="248">
        <f t="shared" si="6"/>
        <v>1</v>
      </c>
      <c r="Y30" s="248">
        <f t="shared" si="7"/>
        <v>23.285299999999999</v>
      </c>
      <c r="Z30" s="248">
        <f t="shared" si="8"/>
        <v>2.5100000000000001E-2</v>
      </c>
      <c r="AA30" s="248">
        <f t="shared" si="9"/>
        <v>23.260200000000001</v>
      </c>
      <c r="AB30" s="234" t="e">
        <f>VLOOKUP(A30,Enforcements!$C$7:$K$9,8,0)</f>
        <v>#N/A</v>
      </c>
      <c r="AC30" s="233" t="e">
        <f>VLOOKUP(A30,Enforcements!$C$7:$E$9,3,0)</f>
        <v>#N/A</v>
      </c>
      <c r="AD30" s="244">
        <f t="shared" si="10"/>
        <v>118</v>
      </c>
      <c r="AE30" s="236" t="str">
        <f t="shared" si="11"/>
        <v>aws s3 cp s3://rtdc.mdm.uploadarchive.raw/RTDC4049/ "%USERPROFILE%\AppData\Local\Temp\OnboardLogs"\RTDC4049\2017-12-01 --exclude "*" --recursive --include "*20171201*" &amp; "%USERPROFILE%\Documents\GitHub\mrs-test-scripts\Headless Mode &amp; Sideloading\WalkAndUnGZ.bat" "%USERPROFILE%\AppData\Local\Temp\OnboardLogs"\RTDC4049\2017-12-01 &amp; aws s3 cp s3://rtdc.mdm.uploadarchive.raw/RTDC4049/ "%USERPROFILE%\AppData\Local\Temp\OnboardLogs"\RTDC4049\2017-12-02 --exclude "*" --recursive --include "*20171202*" &amp; "%USERPROFILE%\Documents\GitHub\mrs-test-scripts\Headless Mode &amp; Sideloading\WalkAndUnGZ.bat" "%USERPROFILE%\AppData\Local\Temp\OnboardLogs"\RTDC4049\2017-12-02</v>
      </c>
      <c r="AF30" s="235" t="str">
        <f t="shared" si="12"/>
        <v>"C:\Program Files (x86)\AstroGrep\AstroGrep.exe" /e /r /s /spath="%USERPROFILE%\AppData\Local\Temp\OnboardLogs" /stypes="app*4049*20171201*" /stext=" 14:.+((SYSTEM_STATE.+slice.+state.+changed )|(ment ac)|(multiple cpu faults)|(system.+state.+changed )|(\[timeout)|(PRM\|1\|D)|(kpr)|(kdp)|(train st.+moving)|(\|lc)|(penalty))"</v>
      </c>
      <c r="AG30" s="245" t="str">
        <f t="shared" si="13"/>
        <v>EC</v>
      </c>
      <c r="AH30" s="237" t="str">
        <f t="shared" si="19"/>
        <v>"%USERPROFILE%\Documents\GitHub\eaglep3\Utilities\RefineRTDCRunTimes.py" --tripid 118-01 --locoid 4049 --swversion DE.1.0.9.0 --startMP 204:232853 --initTime 2017-12-01T06:25:10 --startdatetime 2017-12-01T06:42:18 --delay 61 --endMP 204:251 --enddatetime 2017-12-01T07:21:46 --enforcementcount 0 &gt;&gt;%USERPROFILE%\Documents\GitHub\eaglep3-reporting\EC\2017-12-01-refined-times.txt</v>
      </c>
      <c r="AI30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{"issue":{"subject":"","project_id":79,"tracker_id":40,"status_id":1,"priority_id":2,"assigned_to_id":338,"start_date":"2017-12-01","description":"","custom_fields":[{"id":1,"name":"Subdivision","value":"EC"},{"id":4,"name":"Milepost","value":"0.0251"},{"id":17,"name":"Train ID","value":"118-01"},{"id":16,"name":"Locomotive ID","value":"4049"},{"id":130,"name":"Impact","value":""},{"id":150,"name":"Time of Event (Mountain Time)","value":"07:21:46"},{"id":151,"name":"Denver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4"/>
      <c r="AK30" s="232"/>
      <c r="AL30" s="232"/>
      <c r="AM30" s="241" t="str">
        <f t="shared" si="21"/>
        <v>start /low /b %USERPROFILE%\Documents\GitHub\eaglep3\Utilities\DownloadLogsFromS3.py --loco 4049 --day 2017-12-01</v>
      </c>
      <c r="AN30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14:21:46"},{"id":29,"name":"Sharepoint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1" t="str">
        <f t="shared" si="23"/>
        <v>https://d0f6bd738d7f1b3e5a7ca70fe4ff75f0.us-east-1.aws.found.io/app/kibana#/discover/Steve-Slow-Train-Analysis-(2080s-and-2083s)?_g=(refreshInterval:(display:Off,pause:!f,section:0,value:0),time:(from:'2017-12-01T05:25:10-0700',mode:absolute,to:'2017-12-01T08:21:46-0700'))&amp;_a=(columns:!('Message%20ID',Summary),filters:!(),index:'emp_*',interval:auto,query:(query_string:(analyze_wildcard:!t,query:'%22rtdc.l.rtdc.4049%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230" t="s">
        <v>776</v>
      </c>
      <c r="B31" s="226">
        <v>4040</v>
      </c>
      <c r="C31" s="228" t="s">
        <v>192</v>
      </c>
      <c r="D31" s="228" t="s">
        <v>973</v>
      </c>
      <c r="E31" s="227">
        <v>43070.244097222225</v>
      </c>
      <c r="F31" s="227">
        <v>43070.250208333331</v>
      </c>
      <c r="G31" s="226">
        <v>61</v>
      </c>
      <c r="H31" s="228" t="s">
        <v>623</v>
      </c>
      <c r="I31" s="227">
        <v>43070.274398148147</v>
      </c>
      <c r="J31" s="226">
        <v>0</v>
      </c>
      <c r="K31" s="238" t="str">
        <f t="shared" si="0"/>
        <v>4039/4040</v>
      </c>
      <c r="L31" s="246" t="str">
        <f>VLOOKUP(A31,'Trips&amp;Operators'!$C$1:$G$99911,5,FALSE)</f>
        <v>PAGE MARCUS</v>
      </c>
      <c r="M31" s="225">
        <f t="shared" si="1"/>
        <v>2.4189814816054422E-2</v>
      </c>
      <c r="N31" s="226">
        <f t="shared" si="2"/>
        <v>34.833333335118368</v>
      </c>
      <c r="O31" s="226"/>
      <c r="P31" s="226"/>
      <c r="Q31" s="229"/>
      <c r="R31" s="243"/>
      <c r="S31" s="250">
        <f t="shared" si="3"/>
        <v>1</v>
      </c>
      <c r="T31" s="243" t="str">
        <f t="shared" si="4"/>
        <v>NorthBound</v>
      </c>
      <c r="U31" s="24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9" t="str">
        <f t="shared" si="5"/>
        <v>https://d0f6bd738d7f1b3e5a7ca70fe4ff75f0.us-east-1.aws.found.io/app/kibana#/discover/Steve-Slow-Train-Analysis-(2080s-and-2083s)?_g=(refreshInterval:(display:Off,pause:!f,section:0,value:0),time:(from:'2017-12-01T04:51:30-0700',mode:absolute,to:'2017-12-01T07:35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1" s="248" t="str">
        <f>IF(AA31&lt;VLOOKUP(AG31,Variables!$AC$3:$AD$8,2,FALSE),"Y","N")</f>
        <v>N</v>
      </c>
      <c r="X31" s="248">
        <f t="shared" si="6"/>
        <v>1</v>
      </c>
      <c r="Y31" s="248">
        <f t="shared" si="7"/>
        <v>5.3100000000000001E-2</v>
      </c>
      <c r="Z31" s="248">
        <f t="shared" si="8"/>
        <v>23.3245</v>
      </c>
      <c r="AA31" s="248">
        <f t="shared" si="9"/>
        <v>23.2714</v>
      </c>
      <c r="AB31" s="234" t="e">
        <f>VLOOKUP(A31,Enforcements!$C$7:$K$9,8,0)</f>
        <v>#N/A</v>
      </c>
      <c r="AC31" s="233" t="e">
        <f>VLOOKUP(A31,Enforcements!$C$7:$E$9,3,0)</f>
        <v>#N/A</v>
      </c>
      <c r="AD31" s="244">
        <f t="shared" si="10"/>
        <v>119</v>
      </c>
      <c r="AE31" s="236" t="str">
        <f t="shared" si="11"/>
        <v>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 &amp; aws s3 cp s3://rtdc.mdm.uploadarchive.raw/RTDC4040/ "%USERPROFILE%\AppData\Local\Temp\OnboardLogs"\RTDC4040\2017-12-02 --exclude "*" --recursive --include "*20171202*" &amp; "%USERPROFILE%\Documents\GitHub\mrs-test-scripts\Headless Mode &amp; Sideloading\WalkAndUnGZ.bat" "%USERPROFILE%\AppData\Local\Temp\OnboardLogs"\RTDC4040\2017-12-02</v>
      </c>
      <c r="AF31" s="235" t="str">
        <f t="shared" si="12"/>
        <v>"C:\Program Files (x86)\AstroGrep\AstroGrep.exe" /e /r /s /spath="%USERPROFILE%\AppData\Local\Temp\OnboardLogs" /stypes="app*4040*20171201*" /stext=" 13:.+((SYSTEM_STATE.+slice.+state.+changed )|(ment ac)|(multiple cpu faults)|(system.+state.+changed )|(\[timeout)|(PRM\|1\|D)|(kpr)|(kdp)|(train st.+moving)|(\|lc)|(penalty))"</v>
      </c>
      <c r="AG31" s="245" t="str">
        <f t="shared" si="13"/>
        <v>EC</v>
      </c>
      <c r="AH31" s="237" t="str">
        <f t="shared" si="19"/>
        <v>"%USERPROFILE%\Documents\GitHub\eaglep3\Utilities\RefineRTDCRunTimes.py" --tripid 119-01 --locoid 4040 --swversion DE.1.0.9.0 --startMP 204:531 --initTime 2017-12-01T05:51:30 --startdatetime 2017-12-01T06:00:18 --delay 61 --endMP 204:233245 --enddatetime 2017-12-01T06:35:08 --enforcementcount 0 &gt;&gt;%USERPROFILE%\Documents\GitHub\eaglep3-reporting\EC\2017-12-01-refined-times.txt</v>
      </c>
      <c r="AI31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{"issue":{"subject":"","project_id":79,"tracker_id":40,"status_id":1,"priority_id":2,"assigned_to_id":338,"start_date":"2017-12-01","description":"","custom_fields":[{"id":1,"name":"Subdivision","value":"EC"},{"id":4,"name":"Milepost","value":"23.3245"},{"id":17,"name":"Train ID","value":"119-01"},{"id":16,"name":"Locomotive ID","value":"4040"},{"id":130,"name":"Impact","value":""},{"id":150,"name":"Time of Event (Mountain Time)","value":"06:35:08"},{"id":151,"name":"Denver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4"/>
      <c r="AK31" s="232"/>
      <c r="AL31" s="232"/>
      <c r="AM31" s="241" t="str">
        <f t="shared" si="21"/>
        <v>start /low /b %USERPROFILE%\Documents\GitHub\eaglep3\Utilities\DownloadLogsFromS3.py --loco 4040 --day 2017-12-01</v>
      </c>
      <c r="AN31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13:35:08"},{"id":29,"name":"Sharepoint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1" t="str">
        <f t="shared" si="23"/>
        <v>https://d0f6bd738d7f1b3e5a7ca70fe4ff75f0.us-east-1.aws.found.io/app/kibana#/discover/Steve-Slow-Train-Analysis-(2080s-and-2083s)?_g=(refreshInterval:(display:Off,pause:!f,section:0,value:0),time:(from:'2017-12-01T04:51:30-0700',mode:absolute,to:'2017-12-01T07:35:08-0700'))&amp;_a=(columns:!('Message%20ID',Summary),filters:!(),index:'emp_*',interval:auto,query:(query_string:(analyze_wildcard:!t,query:'%22rtdc.l.rtdc.4040%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230" t="s">
        <v>788</v>
      </c>
      <c r="B32" s="226">
        <v>4039</v>
      </c>
      <c r="C32" s="228" t="s">
        <v>192</v>
      </c>
      <c r="D32" s="228" t="s">
        <v>678</v>
      </c>
      <c r="E32" s="227">
        <v>43070.283449074072</v>
      </c>
      <c r="F32" s="227">
        <v>43070.290300925924</v>
      </c>
      <c r="G32" s="226">
        <v>58</v>
      </c>
      <c r="H32" s="228" t="s">
        <v>557</v>
      </c>
      <c r="I32" s="227">
        <v>43070.290972222225</v>
      </c>
      <c r="J32" s="226">
        <v>0</v>
      </c>
      <c r="K32" s="238" t="str">
        <f t="shared" si="0"/>
        <v>4039/4040</v>
      </c>
      <c r="L32" s="246" t="str">
        <f>VLOOKUP(A32,'Trips&amp;Operators'!$C$1:$G$99911,5,FALSE)</f>
        <v>PAGE MARCUS</v>
      </c>
      <c r="M32" s="225">
        <f t="shared" si="1"/>
        <v>6.7129630042472854E-4</v>
      </c>
      <c r="N32" s="226"/>
      <c r="O32" s="226"/>
      <c r="P32" s="226">
        <f>24*60*SUM($M32:$M32)</f>
        <v>0.9666666726116091</v>
      </c>
      <c r="Q32" s="229"/>
      <c r="R32" s="243" t="s">
        <v>580</v>
      </c>
      <c r="S32" s="250">
        <f t="shared" si="3"/>
        <v>1</v>
      </c>
      <c r="T32" s="243" t="str">
        <f t="shared" si="4"/>
        <v>Southbound</v>
      </c>
      <c r="U32" s="24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9" t="str">
        <f t="shared" si="5"/>
        <v>https://d0f6bd738d7f1b3e5a7ca70fe4ff75f0.us-east-1.aws.found.io/app/kibana#/discover/Steve-Slow-Train-Analysis-(2080s-and-2083s)?_g=(refreshInterval:(display:Off,pause:!f,section:0,value:0),time:(from:'2017-12-01T05:48:10-0700',mode:absolute,to:'2017-12-01T07:59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2" s="248" t="str">
        <f>IF(AA32&lt;VLOOKUP(AG32,Variables!$AC$3:$AD$8,2,FALSE),"Y","N")</f>
        <v>N</v>
      </c>
      <c r="X32" s="248">
        <f t="shared" si="6"/>
        <v>1</v>
      </c>
      <c r="Y32" s="248">
        <f t="shared" si="7"/>
        <v>23.299399999999999</v>
      </c>
      <c r="Z32" s="248">
        <f t="shared" si="8"/>
        <v>1.47E-2</v>
      </c>
      <c r="AA32" s="248">
        <f t="shared" si="9"/>
        <v>23.284699999999997</v>
      </c>
      <c r="AB32" s="234" t="e">
        <f>VLOOKUP(A32,Enforcements!$C$7:$K$9,8,0)</f>
        <v>#N/A</v>
      </c>
      <c r="AC32" s="233" t="e">
        <f>VLOOKUP(A32,Enforcements!$C$7:$E$9,3,0)</f>
        <v>#N/A</v>
      </c>
      <c r="AD32" s="244">
        <f t="shared" si="10"/>
        <v>120</v>
      </c>
      <c r="AE32" s="236" t="str">
        <f t="shared" si="11"/>
        <v>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 &amp; aws s3 cp s3://rtdc.mdm.uploadarchive.raw/RTDC4039/ "%USERPROFILE%\AppData\Local\Temp\OnboardLogs"\RTDC4039\2017-12-02 --exclude "*" --recursive --include "*20171202*" &amp; "%USERPROFILE%\Documents\GitHub\mrs-test-scripts\Headless Mode &amp; Sideloading\WalkAndUnGZ.bat" "%USERPROFILE%\AppData\Local\Temp\OnboardLogs"\RTDC4039\2017-12-02</v>
      </c>
      <c r="AF32" s="235" t="str">
        <f t="shared" si="12"/>
        <v>"C:\Program Files (x86)\AstroGrep\AstroGrep.exe" /e /r /s /spath="%USERPROFILE%\AppData\Local\Temp\OnboardLogs" /stypes="app*4039*20171201*" /stext=" 13:.+((SYSTEM_STATE.+slice.+state.+changed )|(ment ac)|(multiple cpu faults)|(system.+state.+changed )|(\[timeout)|(PRM\|1\|D)|(kpr)|(kdp)|(train st.+moving)|(\|lc)|(penalty))"</v>
      </c>
      <c r="AG32" s="245" t="str">
        <f t="shared" si="13"/>
        <v>EC</v>
      </c>
      <c r="AH32" s="237" t="str">
        <f t="shared" si="19"/>
        <v>"%USERPROFILE%\Documents\GitHub\eaglep3\Utilities\RefineRTDCRunTimes.py" --tripid 120-01 --locoid 4039 --swversion DE.1.0.9.0 --startMP 204:232994 --initTime 2017-12-01T06:48:10 --startdatetime 2017-12-01T06:58:02 --delay 58 --endMP 204:147 --enddatetime 2017-12-01T06:59:00 --enforcementcount 0 &gt;&gt;%USERPROFILE%\Documents\GitHub\eaglep3-reporting\EC\2017-12-01-refined-times.txt</v>
      </c>
      <c r="AI32" s="239" t="str">
        <f t="shared" si="20"/>
        <v>echo {"issue":{"subject":"Onboard in-route failure","project_id":79,"tracker_id":40,"status_id":1,"priority_id":2,"assigned_to_id":338,"start_date":"2017-12-01","description":"","custom_fields":[{"id":1,"name":"Subdivision","value":"EC"},{"id":4,"name":"Milepost","value":"0.0147"},{"id":17,"name":"Train ID","value":"120-01"},{"id":16,"name":"Locomotive ID","value":"4039"},{"id":130,"name":"Impact","value":""},{"id":150,"name":"Time of Event (Mountain Time)","value":"06:59:00"},{"id":151,"name":"Denver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4"/>
      <c r="AK32" s="232"/>
      <c r="AL32" s="232"/>
      <c r="AM32" s="241" t="str">
        <f t="shared" si="21"/>
        <v>start /low /b %USERPROFILE%\Documents\GitHub\eaglep3\Utilities\DownloadLogsFromS3.py --loco 4039 --day 2017-12-01</v>
      </c>
      <c r="AN32" s="242" t="str">
        <f t="shared" si="22"/>
        <v>echo {"issue":{"subject":"Onboard in-route failure","project_id":30,"tracker_id":4,"status_id":1,"priority_id":1,"assigned_to_id":10,"start_date":"2017-12-01","description":"","custom_fields":[{"id":30,"name":"Category","value":"Issue"},{"id":3,"name":"Functional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13:59:00"},{"id":29,"name":"Sharepoint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1" t="str">
        <f t="shared" si="23"/>
        <v>https://d0f6bd738d7f1b3e5a7ca70fe4ff75f0.us-east-1.aws.found.io/app/kibana#/discover/Steve-Slow-Train-Analysis-(2080s-and-2083s)?_g=(refreshInterval:(display:Off,pause:!f,section:0,value:0),time:(from:'2017-12-01T05:48:10-0700',mode:absolute,to:'2017-12-01T07:59:00-0700'))&amp;_a=(columns:!('Message%20ID',Summary),filters:!(),index:'emp_*',interval:auto,query:(query_string:(analyze_wildcard:!t,query:'%22rtdc.l.rtdc.4039%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230" t="s">
        <v>780</v>
      </c>
      <c r="B33" s="226">
        <v>4024</v>
      </c>
      <c r="C33" s="228" t="s">
        <v>192</v>
      </c>
      <c r="D33" s="228" t="s">
        <v>572</v>
      </c>
      <c r="E33" s="227">
        <v>43070.255173611113</v>
      </c>
      <c r="F33" s="227">
        <v>43070.260682870372</v>
      </c>
      <c r="G33" s="226">
        <v>54</v>
      </c>
      <c r="H33" s="228" t="s">
        <v>974</v>
      </c>
      <c r="I33" s="227">
        <v>43070.28565972222</v>
      </c>
      <c r="J33" s="226">
        <v>0</v>
      </c>
      <c r="K33" s="238" t="str">
        <f t="shared" si="0"/>
        <v>4023/4024</v>
      </c>
      <c r="L33" s="246" t="str">
        <f>VLOOKUP(A33,'Trips&amp;Operators'!$C$1:$G$99911,5,FALSE)</f>
        <v>LONG FULLER</v>
      </c>
      <c r="M33" s="225">
        <f t="shared" si="1"/>
        <v>2.4976851847895887E-2</v>
      </c>
      <c r="N33" s="226">
        <f t="shared" ref="N33:N58" si="24">24*60*SUM($M33:$M33)</f>
        <v>35.966666660970077</v>
      </c>
      <c r="O33" s="226"/>
      <c r="P33" s="226"/>
      <c r="Q33" s="229"/>
      <c r="R33" s="243"/>
      <c r="S33" s="250">
        <f t="shared" si="3"/>
        <v>1</v>
      </c>
      <c r="T33" s="243" t="str">
        <f t="shared" si="4"/>
        <v>NorthBound</v>
      </c>
      <c r="U33" s="24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9" t="str">
        <f t="shared" si="5"/>
        <v>https://d0f6bd738d7f1b3e5a7ca70fe4ff75f0.us-east-1.aws.found.io/app/kibana#/discover/Steve-Slow-Train-Analysis-(2080s-and-2083s)?_g=(refreshInterval:(display:Off,pause:!f,section:0,value:0),time:(from:'2017-12-01T05:07:27-0700',mode:absolute,to:'2017-12-01T07:51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3" s="248" t="str">
        <f>IF(AA33&lt;VLOOKUP(AG33,Variables!$AC$3:$AD$8,2,FALSE),"Y","N")</f>
        <v>N</v>
      </c>
      <c r="X33" s="248">
        <f t="shared" si="6"/>
        <v>1</v>
      </c>
      <c r="Y33" s="248">
        <f t="shared" si="7"/>
        <v>4.8399999999999999E-2</v>
      </c>
      <c r="Z33" s="248">
        <f t="shared" si="8"/>
        <v>23.326799999999999</v>
      </c>
      <c r="AA33" s="248">
        <f t="shared" si="9"/>
        <v>23.278399999999998</v>
      </c>
      <c r="AB33" s="234" t="e">
        <f>VLOOKUP(A33,Enforcements!$C$7:$K$9,8,0)</f>
        <v>#N/A</v>
      </c>
      <c r="AC33" s="233" t="e">
        <f>VLOOKUP(A33,Enforcements!$C$7:$E$9,3,0)</f>
        <v>#N/A</v>
      </c>
      <c r="AD33" s="244">
        <f t="shared" si="10"/>
        <v>121</v>
      </c>
      <c r="AE33" s="236" t="str">
        <f t="shared" si="11"/>
        <v>aws s3 cp s3://rtdc.mdm.uploadarchive.raw/RTDC4024/ "%USERPROFILE%\AppData\Local\Temp\OnboardLogs"\RTDC4024\2017-12-01 --exclude "*" --recursive --include "*20171201*" &amp; "%USERPROFILE%\Documents\GitHub\mrs-test-scripts\Headless Mode &amp; Sideloading\WalkAndUnGZ.bat" "%USERPROFILE%\AppData\Local\Temp\OnboardLogs"\RTDC4024\2017-12-01 &amp; aws s3 cp s3://rtdc.mdm.uploadarchive.raw/RTDC4024/ "%USERPROFILE%\AppData\Local\Temp\OnboardLogs"\RTDC4024\2017-12-02 --exclude "*" --recursive --include "*20171202*" &amp; "%USERPROFILE%\Documents\GitHub\mrs-test-scripts\Headless Mode &amp; Sideloading\WalkAndUnGZ.bat" "%USERPROFILE%\AppData\Local\Temp\OnboardLogs"\RTDC4024\2017-12-02</v>
      </c>
      <c r="AF33" s="235" t="str">
        <f t="shared" si="12"/>
        <v>"C:\Program Files (x86)\AstroGrep\AstroGrep.exe" /e /r /s /spath="%USERPROFILE%\AppData\Local\Temp\OnboardLogs" /stypes="app*4024*20171201*" /stext=" 13:.+((SYSTEM_STATE.+slice.+state.+changed )|(ment ac)|(multiple cpu faults)|(system.+state.+changed )|(\[timeout)|(PRM\|1\|D)|(kpr)|(kdp)|(train st.+moving)|(\|lc)|(penalty))"</v>
      </c>
      <c r="AG33" s="245" t="str">
        <f t="shared" si="13"/>
        <v>EC</v>
      </c>
      <c r="AH33" s="237" t="str">
        <f t="shared" si="19"/>
        <v>"%USERPROFILE%\Documents\GitHub\eaglep3\Utilities\RefineRTDCRunTimes.py" --tripid 121-01 --locoid 4024 --swversion DE.1.0.9.0 --startMP 204:484 --initTime 2017-12-01T06:07:27 --startdatetime 2017-12-01T06:15:23 --delay 54 --endMP 204:233268 --enddatetime 2017-12-01T06:51:21 --enforcementcount 0 &gt;&gt;%USERPROFILE%\Documents\GitHub\eaglep3-reporting\EC\2017-12-01-refined-times.txt</v>
      </c>
      <c r="AI33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{"issue":{"subject":"","project_id":79,"tracker_id":40,"status_id":1,"priority_id":2,"assigned_to_id":338,"start_date":"2017-12-01","description":"","custom_fields":[{"id":1,"name":"Subdivision","value":"EC"},{"id":4,"name":"Milepost","value":"23.3268"},{"id":17,"name":"Train ID","value":"121-01"},{"id":16,"name":"Locomotive ID","value":"4024"},{"id":130,"name":"Impact","value":""},{"id":150,"name":"Time of Event (Mountain Time)","value":"06:51:21"},{"id":151,"name":"Denver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4"/>
      <c r="AK33" s="232"/>
      <c r="AL33" s="232"/>
      <c r="AM33" s="241" t="str">
        <f t="shared" si="21"/>
        <v>start /low /b %USERPROFILE%\Documents\GitHub\eaglep3\Utilities\DownloadLogsFromS3.py --loco 4024 --day 2017-12-01</v>
      </c>
      <c r="AN33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13:51:21"},{"id":29,"name":"Sharepoint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1" t="str">
        <f t="shared" si="23"/>
        <v>https://d0f6bd738d7f1b3e5a7ca70fe4ff75f0.us-east-1.aws.found.io/app/kibana#/discover/Steve-Slow-Train-Analysis-(2080s-and-2083s)?_g=(refreshInterval:(display:Off,pause:!f,section:0,value:0),time:(from:'2017-12-01T05:07:27-0700',mode:absolute,to:'2017-12-01T07:51:21-0700'))&amp;_a=(columns:!('Message%20ID',Summary),filters:!(),index:'emp_*',interval:auto,query:(query_string:(analyze_wildcard:!t,query:'%22rtdc.l.rtdc.4024%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230" t="s">
        <v>789</v>
      </c>
      <c r="B34" s="226">
        <v>4023</v>
      </c>
      <c r="C34" s="228" t="s">
        <v>192</v>
      </c>
      <c r="D34" s="228" t="s">
        <v>554</v>
      </c>
      <c r="E34" s="227">
        <v>43070.286898148152</v>
      </c>
      <c r="F34" s="227">
        <v>43070.300208333334</v>
      </c>
      <c r="G34" s="226">
        <v>49</v>
      </c>
      <c r="H34" s="228" t="s">
        <v>679</v>
      </c>
      <c r="I34" s="227">
        <v>43070.326782407406</v>
      </c>
      <c r="J34" s="226">
        <v>0</v>
      </c>
      <c r="K34" s="238" t="str">
        <f t="shared" si="0"/>
        <v>4023/4024</v>
      </c>
      <c r="L34" s="246" t="str">
        <f>VLOOKUP(A34,'Trips&amp;Operators'!$C$1:$G$99911,5,FALSE)</f>
        <v>LONG FULLER</v>
      </c>
      <c r="M34" s="225">
        <f t="shared" si="1"/>
        <v>2.6574074072414078E-2</v>
      </c>
      <c r="N34" s="226">
        <f t="shared" si="24"/>
        <v>38.266666664276272</v>
      </c>
      <c r="O34" s="226"/>
      <c r="P34" s="226"/>
      <c r="Q34" s="229"/>
      <c r="R34" s="243"/>
      <c r="S34" s="250">
        <f t="shared" si="3"/>
        <v>1</v>
      </c>
      <c r="T34" s="243" t="str">
        <f t="shared" si="4"/>
        <v>Southbound</v>
      </c>
      <c r="U34" s="24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9" t="str">
        <f t="shared" si="5"/>
        <v>https://d0f6bd738d7f1b3e5a7ca70fe4ff75f0.us-east-1.aws.found.io/app/kibana#/discover/Steve-Slow-Train-Analysis-(2080s-and-2083s)?_g=(refreshInterval:(display:Off,pause:!f,section:0,value:0),time:(from:'2017-12-01T05:53:08-0700',mode:absolute,to:'2017-12-01T08:50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4" s="248" t="str">
        <f>IF(AA34&lt;VLOOKUP(AG34,Variables!$AC$3:$AD$8,2,FALSE),"Y","N")</f>
        <v>N</v>
      </c>
      <c r="X34" s="248">
        <f t="shared" si="6"/>
        <v>1</v>
      </c>
      <c r="Y34" s="248">
        <f t="shared" si="7"/>
        <v>23.295300000000001</v>
      </c>
      <c r="Z34" s="248">
        <f t="shared" si="8"/>
        <v>1.7000000000000001E-2</v>
      </c>
      <c r="AA34" s="248">
        <f t="shared" si="9"/>
        <v>23.278300000000002</v>
      </c>
      <c r="AB34" s="234" t="e">
        <f>VLOOKUP(A34,Enforcements!$C$7:$K$9,8,0)</f>
        <v>#N/A</v>
      </c>
      <c r="AC34" s="233" t="e">
        <f>VLOOKUP(A34,Enforcements!$C$7:$E$9,3,0)</f>
        <v>#N/A</v>
      </c>
      <c r="AD34" s="244">
        <f t="shared" si="10"/>
        <v>122</v>
      </c>
      <c r="AE34" s="236" t="str">
        <f t="shared" si="11"/>
        <v>aws s3 cp s3://rtdc.mdm.uploadarchive.raw/RTDC4023/ "%USERPROFILE%\AppData\Local\Temp\OnboardLogs"\RTDC4023\2017-12-01 --exclude "*" --recursive --include "*20171201*" &amp; "%USERPROFILE%\Documents\GitHub\mrs-test-scripts\Headless Mode &amp; Sideloading\WalkAndUnGZ.bat" "%USERPROFILE%\AppData\Local\Temp\OnboardLogs"\RTDC4023\2017-12-01 &amp; aws s3 cp s3://rtdc.mdm.uploadarchive.raw/RTDC4023/ "%USERPROFILE%\AppData\Local\Temp\OnboardLogs"\RTDC4023\2017-12-02 --exclude "*" --recursive --include "*20171202*" &amp; "%USERPROFILE%\Documents\GitHub\mrs-test-scripts\Headless Mode &amp; Sideloading\WalkAndUnGZ.bat" "%USERPROFILE%\AppData\Local\Temp\OnboardLogs"\RTDC4023\2017-12-02</v>
      </c>
      <c r="AF34" s="235" t="str">
        <f t="shared" si="12"/>
        <v>"C:\Program Files (x86)\AstroGrep\AstroGrep.exe" /e /r /s /spath="%USERPROFILE%\AppData\Local\Temp\OnboardLogs" /stypes="app*4023*20171201*" /stext=" 14:.+((SYSTEM_STATE.+slice.+state.+changed )|(ment ac)|(multiple cpu faults)|(system.+state.+changed )|(\[timeout)|(PRM\|1\|D)|(kpr)|(kdp)|(train st.+moving)|(\|lc)|(penalty))"</v>
      </c>
      <c r="AG34" s="245" t="str">
        <f t="shared" si="13"/>
        <v>EC</v>
      </c>
      <c r="AH34" s="237" t="str">
        <f t="shared" si="19"/>
        <v>"%USERPROFILE%\Documents\GitHub\eaglep3\Utilities\RefineRTDCRunTimes.py" --tripid 122-01 --locoid 4023 --swversion DE.1.0.9.0 --startMP 204:232953 --initTime 2017-12-01T06:53:08 --startdatetime 2017-12-01T07:12:18 --delay 49 --endMP 204:170 --enddatetime 2017-12-01T07:50:34 --enforcementcount 0 &gt;&gt;%USERPROFILE%\Documents\GitHub\eaglep3-reporting\EC\2017-12-01-refined-times.txt</v>
      </c>
      <c r="AI34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{"issue":{"subject":"","project_id":79,"tracker_id":40,"status_id":1,"priority_id":2,"assigned_to_id":338,"start_date":"2017-12-01","description":"","custom_fields":[{"id":1,"name":"Subdivision","value":"EC"},{"id":4,"name":"Milepost","value":"0.017"},{"id":17,"name":"Train ID","value":"122-01"},{"id":16,"name":"Locomotive ID","value":"4023"},{"id":130,"name":"Impact","value":""},{"id":150,"name":"Time of Event (Mountain Time)","value":"07:50:34"},{"id":151,"name":"Denver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4"/>
      <c r="AK34" s="232"/>
      <c r="AL34" s="232"/>
      <c r="AM34" s="241" t="str">
        <f t="shared" si="21"/>
        <v>start /low /b %USERPROFILE%\Documents\GitHub\eaglep3\Utilities\DownloadLogsFromS3.py --loco 4023 --day 2017-12-01</v>
      </c>
      <c r="AN34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14:50:34"},{"id":29,"name":"Sharepoint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1" t="str">
        <f t="shared" si="23"/>
        <v>https://d0f6bd738d7f1b3e5a7ca70fe4ff75f0.us-east-1.aws.found.io/app/kibana#/discover/Steve-Slow-Train-Analysis-(2080s-and-2083s)?_g=(refreshInterval:(display:Off,pause:!f,section:0,value:0),time:(from:'2017-12-01T05:53:08-0700',mode:absolute,to:'2017-12-01T08:50:34-0700'))&amp;_a=(columns:!('Message%20ID',Summary),filters:!(),index:'emp_*',interval:auto,query:(query_string:(analyze_wildcard:!t,query:'%22rtdc.l.rtdc.4023%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230" t="s">
        <v>783</v>
      </c>
      <c r="B35" s="226">
        <v>4020</v>
      </c>
      <c r="C35" s="228" t="s">
        <v>192</v>
      </c>
      <c r="D35" s="228" t="s">
        <v>567</v>
      </c>
      <c r="E35" s="227">
        <v>43070.265138888892</v>
      </c>
      <c r="F35" s="227">
        <v>43070.270995370367</v>
      </c>
      <c r="G35" s="226">
        <v>51</v>
      </c>
      <c r="H35" s="228" t="s">
        <v>975</v>
      </c>
      <c r="I35" s="227">
        <v>43070.294618055559</v>
      </c>
      <c r="J35" s="226">
        <v>0</v>
      </c>
      <c r="K35" s="238" t="str">
        <f t="shared" si="0"/>
        <v>4019/4020</v>
      </c>
      <c r="L35" s="246" t="str">
        <f>VLOOKUP(A35,'Trips&amp;Operators'!$C$1:$G$99911,5,FALSE)</f>
        <v>LOPES KIMBERLY</v>
      </c>
      <c r="M35" s="225">
        <f t="shared" si="1"/>
        <v>2.362268519209465E-2</v>
      </c>
      <c r="N35" s="226">
        <f t="shared" si="24"/>
        <v>34.016666676616296</v>
      </c>
      <c r="O35" s="226"/>
      <c r="P35" s="226"/>
      <c r="Q35" s="229"/>
      <c r="R35" s="243"/>
      <c r="S35" s="250">
        <f t="shared" si="3"/>
        <v>1</v>
      </c>
      <c r="T35" s="243" t="str">
        <f t="shared" si="4"/>
        <v>NorthBound</v>
      </c>
      <c r="U35" s="24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9" t="str">
        <f t="shared" si="5"/>
        <v>https://d0f6bd738d7f1b3e5a7ca70fe4ff75f0.us-east-1.aws.found.io/app/kibana#/discover/Steve-Slow-Train-Analysis-(2080s-and-2083s)?_g=(refreshInterval:(display:Off,pause:!f,section:0,value:0),time:(from:'2017-12-01T05:21:48-0700',mode:absolute,to:'2017-12-01T08:04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5" s="248" t="str">
        <f>IF(AA35&lt;VLOOKUP(AG35,Variables!$AC$3:$AD$8,2,FALSE),"Y","N")</f>
        <v>N</v>
      </c>
      <c r="X35" s="248">
        <f t="shared" si="6"/>
        <v>1</v>
      </c>
      <c r="Y35" s="248">
        <f t="shared" si="7"/>
        <v>5.2200000000000003E-2</v>
      </c>
      <c r="Z35" s="248">
        <f t="shared" si="8"/>
        <v>23.320900000000002</v>
      </c>
      <c r="AA35" s="248">
        <f t="shared" si="9"/>
        <v>23.268700000000003</v>
      </c>
      <c r="AB35" s="234" t="e">
        <f>VLOOKUP(A35,Enforcements!$C$7:$K$9,8,0)</f>
        <v>#N/A</v>
      </c>
      <c r="AC35" s="233" t="e">
        <f>VLOOKUP(A35,Enforcements!$C$7:$E$9,3,0)</f>
        <v>#N/A</v>
      </c>
      <c r="AD35" s="244">
        <f t="shared" si="10"/>
        <v>123</v>
      </c>
      <c r="AE35" s="236" t="str">
        <f t="shared" si="11"/>
        <v>aws s3 cp s3://rtdc.mdm.uploadarchive.raw/RTDC4020/ "%USERPROFILE%\AppData\Local\Temp\OnboardLogs"\RTDC4020\2017-12-01 --exclude "*" --recursive --include "*20171201*" &amp; "%USERPROFILE%\Documents\GitHub\mrs-test-scripts\Headless Mode &amp; Sideloading\WalkAndUnGZ.bat" "%USERPROFILE%\AppData\Local\Temp\OnboardLogs"\RTDC4020\2017-12-01 &amp; aws s3 cp s3://rtdc.mdm.uploadarchive.raw/RTDC4020/ "%USERPROFILE%\AppData\Local\Temp\OnboardLogs"\RTDC4020\2017-12-02 --exclude "*" --recursive --include "*20171202*" &amp; "%USERPROFILE%\Documents\GitHub\mrs-test-scripts\Headless Mode &amp; Sideloading\WalkAndUnGZ.bat" "%USERPROFILE%\AppData\Local\Temp\OnboardLogs"\RTDC4020\2017-12-02</v>
      </c>
      <c r="AF35" s="235" t="str">
        <f t="shared" si="12"/>
        <v>"C:\Program Files (x86)\AstroGrep\AstroGrep.exe" /e /r /s /spath="%USERPROFILE%\AppData\Local\Temp\OnboardLogs" /stypes="app*4020*20171201*" /stext=" 14:.+((SYSTEM_STATE.+slice.+state.+changed )|(ment ac)|(multiple cpu faults)|(system.+state.+changed )|(\[timeout)|(PRM\|1\|D)|(kpr)|(kdp)|(train st.+moving)|(\|lc)|(penalty))"</v>
      </c>
      <c r="AG35" s="245" t="str">
        <f t="shared" si="13"/>
        <v>EC</v>
      </c>
      <c r="AH35" s="237" t="str">
        <f t="shared" si="19"/>
        <v>"%USERPROFILE%\Documents\GitHub\eaglep3\Utilities\RefineRTDCRunTimes.py" --tripid 123-01 --locoid 4020 --swversion DE.1.0.9.0 --startMP 204:522 --initTime 2017-12-01T06:21:48 --startdatetime 2017-12-01T06:30:14 --delay 51 --endMP 204:233209 --enddatetime 2017-12-01T07:04:15 --enforcementcount 0 &gt;&gt;%USERPROFILE%\Documents\GitHub\eaglep3-reporting\EC\2017-12-01-refined-times.txt</v>
      </c>
      <c r="AI35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{"issue":{"subject":"","project_id":79,"tracker_id":40,"status_id":1,"priority_id":2,"assigned_to_id":338,"start_date":"2017-12-01","description":"","custom_fields":[{"id":1,"name":"Subdivision","value":"EC"},{"id":4,"name":"Milepost","value":"23.3209"},{"id":17,"name":"Train ID","value":"123-01"},{"id":16,"name":"Locomotive ID","value":"4020"},{"id":130,"name":"Impact","value":""},{"id":150,"name":"Time of Event (Mountain Time)","value":"07:04:15"},{"id":151,"name":"Denver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4"/>
      <c r="AK35" s="232"/>
      <c r="AL35" s="232"/>
      <c r="AM35" s="241" t="str">
        <f t="shared" si="21"/>
        <v>start /low /b %USERPROFILE%\Documents\GitHub\eaglep3\Utilities\DownloadLogsFromS3.py --loco 4020 --day 2017-12-01</v>
      </c>
      <c r="AN35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14:04:15"},{"id":29,"name":"Sharepoint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1" t="str">
        <f t="shared" si="23"/>
        <v>https://d0f6bd738d7f1b3e5a7ca70fe4ff75f0.us-east-1.aws.found.io/app/kibana#/discover/Steve-Slow-Train-Analysis-(2080s-and-2083s)?_g=(refreshInterval:(display:Off,pause:!f,section:0,value:0),time:(from:'2017-12-01T05:21:48-0700',mode:absolute,to:'2017-12-01T08:04:15-0700'))&amp;_a=(columns:!('Message%20ID',Summary),filters:!(),index:'emp_*',interval:auto,query:(query_string:(analyze_wildcard:!t,query:'%22rtdc.l.rtdc.4020%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230" t="s">
        <v>795</v>
      </c>
      <c r="B36" s="226">
        <v>4019</v>
      </c>
      <c r="C36" s="228" t="s">
        <v>192</v>
      </c>
      <c r="D36" s="228" t="s">
        <v>628</v>
      </c>
      <c r="E36" s="227">
        <v>43070.307743055557</v>
      </c>
      <c r="F36" s="227">
        <v>43070.310601851852</v>
      </c>
      <c r="G36" s="226">
        <v>56</v>
      </c>
      <c r="H36" s="228" t="s">
        <v>683</v>
      </c>
      <c r="I36" s="227">
        <v>43070.336388888885</v>
      </c>
      <c r="J36" s="226">
        <v>0</v>
      </c>
      <c r="K36" s="238" t="str">
        <f t="shared" si="0"/>
        <v>4019/4020</v>
      </c>
      <c r="L36" s="246" t="str">
        <f>VLOOKUP(A36,'Trips&amp;Operators'!$C$1:$G$99911,5,FALSE)</f>
        <v>LOPES KIMBERLY</v>
      </c>
      <c r="M36" s="225">
        <f t="shared" si="1"/>
        <v>2.5787037033296656E-2</v>
      </c>
      <c r="N36" s="226">
        <f t="shared" si="24"/>
        <v>37.133333327947184</v>
      </c>
      <c r="O36" s="226"/>
      <c r="P36" s="226"/>
      <c r="Q36" s="229"/>
      <c r="R36" s="243"/>
      <c r="S36" s="250">
        <f t="shared" si="3"/>
        <v>1</v>
      </c>
      <c r="T36" s="243" t="str">
        <f t="shared" si="4"/>
        <v>Southbound</v>
      </c>
      <c r="U36" s="24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9" t="str">
        <f t="shared" si="5"/>
        <v>https://d0f6bd738d7f1b3e5a7ca70fe4ff75f0.us-east-1.aws.found.io/app/kibana#/discover/Steve-Slow-Train-Analysis-(2080s-and-2083s)?_g=(refreshInterval:(display:Off,pause:!f,section:0,value:0),time:(from:'2017-12-01T06:23:09-0700',mode:absolute,to:'2017-12-01T09:04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6" s="248" t="str">
        <f>IF(AA36&lt;VLOOKUP(AG36,Variables!$AC$3:$AD$8,2,FALSE),"Y","N")</f>
        <v>N</v>
      </c>
      <c r="X36" s="248">
        <f t="shared" si="6"/>
        <v>1</v>
      </c>
      <c r="Y36" s="248">
        <f t="shared" si="7"/>
        <v>23.2882</v>
      </c>
      <c r="Z36" s="248">
        <f t="shared" si="8"/>
        <v>1.83E-2</v>
      </c>
      <c r="AA36" s="248">
        <f t="shared" si="9"/>
        <v>23.2699</v>
      </c>
      <c r="AB36" s="234" t="e">
        <f>VLOOKUP(A36,Enforcements!$C$7:$K$9,8,0)</f>
        <v>#N/A</v>
      </c>
      <c r="AC36" s="233" t="e">
        <f>VLOOKUP(A36,Enforcements!$C$7:$E$9,3,0)</f>
        <v>#N/A</v>
      </c>
      <c r="AD36" s="244">
        <f t="shared" si="10"/>
        <v>124</v>
      </c>
      <c r="AE36" s="236" t="str">
        <f t="shared" si="11"/>
        <v>aws s3 cp s3://rtdc.mdm.uploadarchive.raw/RTDC4019/ "%USERPROFILE%\AppData\Local\Temp\OnboardLogs"\RTDC4019\2017-12-01 --exclude "*" --recursive --include "*20171201*" &amp; "%USERPROFILE%\Documents\GitHub\mrs-test-scripts\Headless Mode &amp; Sideloading\WalkAndUnGZ.bat" "%USERPROFILE%\AppData\Local\Temp\OnboardLogs"\RTDC4019\2017-12-01 &amp; aws s3 cp s3://rtdc.mdm.uploadarchive.raw/RTDC4019/ "%USERPROFILE%\AppData\Local\Temp\OnboardLogs"\RTDC4019\2017-12-02 --exclude "*" --recursive --include "*20171202*" &amp; "%USERPROFILE%\Documents\GitHub\mrs-test-scripts\Headless Mode &amp; Sideloading\WalkAndUnGZ.bat" "%USERPROFILE%\AppData\Local\Temp\OnboardLogs"\RTDC4019\2017-12-02</v>
      </c>
      <c r="AF36" s="235" t="str">
        <f t="shared" si="12"/>
        <v>"C:\Program Files (x86)\AstroGrep\AstroGrep.exe" /e /r /s /spath="%USERPROFILE%\AppData\Local\Temp\OnboardLogs" /stypes="app*4019*20171201*" /stext=" 15:.+((SYSTEM_STATE.+slice.+state.+changed )|(ment ac)|(multiple cpu faults)|(system.+state.+changed )|(\[timeout)|(PRM\|1\|D)|(kpr)|(kdp)|(train st.+moving)|(\|lc)|(penalty))"</v>
      </c>
      <c r="AG36" s="245" t="str">
        <f t="shared" si="13"/>
        <v>EC</v>
      </c>
      <c r="AH36" s="237" t="str">
        <f t="shared" si="19"/>
        <v>"%USERPROFILE%\Documents\GitHub\eaglep3\Utilities\RefineRTDCRunTimes.py" --tripid 124-01 --locoid 4019 --swversion DE.1.0.9.0 --startMP 204:232882 --initTime 2017-12-01T07:23:09 --startdatetime 2017-12-01T07:27:16 --delay 56 --endMP 204:183 --enddatetime 2017-12-01T08:04:24 --enforcementcount 0 &gt;&gt;%USERPROFILE%\Documents\GitHub\eaglep3-reporting\EC\2017-12-01-refined-times.txt</v>
      </c>
      <c r="AI36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{"issue":{"subject":"","project_id":79,"tracker_id":40,"status_id":1,"priority_id":2,"assigned_to_id":338,"start_date":"2017-12-01","description":"","custom_fields":[{"id":1,"name":"Subdivision","value":"EC"},{"id":4,"name":"Milepost","value":"0.0183"},{"id":17,"name":"Train ID","value":"124-01"},{"id":16,"name":"Locomotive ID","value":"4019"},{"id":130,"name":"Impact","value":""},{"id":150,"name":"Time of Event (Mountain Time)","value":"08:04:24"},{"id":151,"name":"Denver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4"/>
      <c r="AK36" s="232"/>
      <c r="AL36" s="232"/>
      <c r="AM36" s="241" t="str">
        <f t="shared" si="21"/>
        <v>start /low /b %USERPROFILE%\Documents\GitHub\eaglep3\Utilities\DownloadLogsFromS3.py --loco 4019 --day 2017-12-01</v>
      </c>
      <c r="AN36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15:04:24"},{"id":29,"name":"Sharepoint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1" t="str">
        <f t="shared" si="23"/>
        <v>https://d0f6bd738d7f1b3e5a7ca70fe4ff75f0.us-east-1.aws.found.io/app/kibana#/discover/Steve-Slow-Train-Analysis-(2080s-and-2083s)?_g=(refreshInterval:(display:Off,pause:!f,section:0,value:0),time:(from:'2017-12-01T06:23:09-0700',mode:absolute,to:'2017-12-01T09:04:24-0700'))&amp;_a=(columns:!('Message%20ID',Summary),filters:!(),index:'emp_*',interval:auto,query:(query_string:(analyze_wildcard:!t,query:'%22rtdc.l.rtdc.4019%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230" t="s">
        <v>787</v>
      </c>
      <c r="B37" s="226">
        <v>4006</v>
      </c>
      <c r="C37" s="228" t="s">
        <v>192</v>
      </c>
      <c r="D37" s="228" t="s">
        <v>612</v>
      </c>
      <c r="E37" s="227">
        <v>43070.276458333334</v>
      </c>
      <c r="F37" s="227">
        <v>43070.281423611108</v>
      </c>
      <c r="G37" s="226">
        <v>45</v>
      </c>
      <c r="H37" s="228" t="s">
        <v>613</v>
      </c>
      <c r="I37" s="227">
        <v>43070.305775462963</v>
      </c>
      <c r="J37" s="226">
        <v>0</v>
      </c>
      <c r="K37" s="238" t="str">
        <f t="shared" si="0"/>
        <v>4005/4006</v>
      </c>
      <c r="L37" s="246" t="str">
        <f>VLOOKUP(A37,'Trips&amp;Operators'!$C$1:$G$99911,5,FALSE)</f>
        <v>YORK EDGAR</v>
      </c>
      <c r="M37" s="225">
        <f t="shared" si="1"/>
        <v>2.4351851854589768E-2</v>
      </c>
      <c r="N37" s="226">
        <f t="shared" si="24"/>
        <v>35.066666670609266</v>
      </c>
      <c r="O37" s="226"/>
      <c r="P37" s="226"/>
      <c r="Q37" s="229"/>
      <c r="R37" s="243"/>
      <c r="S37" s="250">
        <f t="shared" si="3"/>
        <v>1</v>
      </c>
      <c r="T37" s="243" t="str">
        <f t="shared" si="4"/>
        <v>NorthBound</v>
      </c>
      <c r="U37" s="24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9" t="str">
        <f t="shared" si="5"/>
        <v>https://d0f6bd738d7f1b3e5a7ca70fe4ff75f0.us-east-1.aws.found.io/app/kibana#/discover/Steve-Slow-Train-Analysis-(2080s-and-2083s)?_g=(refreshInterval:(display:Off,pause:!f,section:0,value:0),time:(from:'2017-12-01T05:38:06-0700',mode:absolute,to:'2017-12-01T08:20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7" s="248" t="str">
        <f>IF(AA37&lt;VLOOKUP(AG37,Variables!$AC$3:$AD$8,2,FALSE),"Y","N")</f>
        <v>N</v>
      </c>
      <c r="X37" s="248">
        <f t="shared" si="6"/>
        <v>1</v>
      </c>
      <c r="Y37" s="248">
        <f t="shared" si="7"/>
        <v>4.8000000000000001E-2</v>
      </c>
      <c r="Z37" s="248">
        <f t="shared" si="8"/>
        <v>23.325900000000001</v>
      </c>
      <c r="AA37" s="248">
        <f t="shared" si="9"/>
        <v>23.277900000000002</v>
      </c>
      <c r="AB37" s="234" t="e">
        <f>VLOOKUP(A37,Enforcements!$C$7:$K$9,8,0)</f>
        <v>#N/A</v>
      </c>
      <c r="AC37" s="233" t="e">
        <f>VLOOKUP(A37,Enforcements!$C$7:$E$9,3,0)</f>
        <v>#N/A</v>
      </c>
      <c r="AD37" s="244">
        <f t="shared" si="10"/>
        <v>125</v>
      </c>
      <c r="AE37" s="236" t="str">
        <f t="shared" si="11"/>
        <v>aws s3 cp s3://rtdc.mdm.uploadarchive.raw/RTDC4006/ "%USERPROFILE%\AppData\Local\Temp\OnboardLogs"\RTDC4006\2017-12-01 --exclude "*" --recursive --include "*20171201*" &amp; "%USERPROFILE%\Documents\GitHub\mrs-test-scripts\Headless Mode &amp; Sideloading\WalkAndUnGZ.bat" "%USERPROFILE%\AppData\Local\Temp\OnboardLogs"\RTDC4006\2017-12-01 &amp; aws s3 cp s3://rtdc.mdm.uploadarchive.raw/RTDC4006/ "%USERPROFILE%\AppData\Local\Temp\OnboardLogs"\RTDC4006\2017-12-02 --exclude "*" --recursive --include "*20171202*" &amp; "%USERPROFILE%\Documents\GitHub\mrs-test-scripts\Headless Mode &amp; Sideloading\WalkAndUnGZ.bat" "%USERPROFILE%\AppData\Local\Temp\OnboardLogs"\RTDC4006\2017-12-02</v>
      </c>
      <c r="AF37" s="235" t="str">
        <f t="shared" si="12"/>
        <v>"C:\Program Files (x86)\AstroGrep\AstroGrep.exe" /e /r /s /spath="%USERPROFILE%\AppData\Local\Temp\OnboardLogs" /stypes="app*4006*20171201*" /stext=" 14:.+((SYSTEM_STATE.+slice.+state.+changed )|(ment ac)|(multiple cpu faults)|(system.+state.+changed )|(\[timeout)|(PRM\|1\|D)|(kpr)|(kdp)|(train st.+moving)|(\|lc)|(penalty))"</v>
      </c>
      <c r="AG37" s="245" t="str">
        <f t="shared" si="13"/>
        <v>EC</v>
      </c>
      <c r="AH37" s="237" t="str">
        <f t="shared" si="19"/>
        <v>"%USERPROFILE%\Documents\GitHub\eaglep3\Utilities\RefineRTDCRunTimes.py" --tripid 125-01 --locoid 4006 --swversion DE.1.0.9.0 --startMP 204:480 --initTime 2017-12-01T06:38:06 --startdatetime 2017-12-01T06:45:15 --delay 45 --endMP 204:233259 --enddatetime 2017-12-01T07:20:19 --enforcementcount 0 &gt;&gt;%USERPROFILE%\Documents\GitHub\eaglep3-reporting\EC\2017-12-01-refined-times.txt</v>
      </c>
      <c r="AI37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{"issue":{"subject":"","project_id":79,"tracker_id":40,"status_id":1,"priority_id":2,"assigned_to_id":338,"start_date":"2017-12-01","description":"","custom_fields":[{"id":1,"name":"Subdivision","value":"EC"},{"id":4,"name":"Milepost","value":"23.3259"},{"id":17,"name":"Train ID","value":"125-01"},{"id":16,"name":"Locomotive ID","value":"4006"},{"id":130,"name":"Impact","value":""},{"id":150,"name":"Time of Event (Mountain Time)","value":"07:20:19"},{"id":151,"name":"Denver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4"/>
      <c r="AK37" s="232"/>
      <c r="AL37" s="232"/>
      <c r="AM37" s="241" t="str">
        <f t="shared" si="21"/>
        <v>start /low /b %USERPROFILE%\Documents\GitHub\eaglep3\Utilities\DownloadLogsFromS3.py --loco 4006 --day 2017-12-01</v>
      </c>
      <c r="AN37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14:20:19"},{"id":29,"name":"Sharepoint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1" t="str">
        <f t="shared" si="23"/>
        <v>https://d0f6bd738d7f1b3e5a7ca70fe4ff75f0.us-east-1.aws.found.io/app/kibana#/discover/Steve-Slow-Train-Analysis-(2080s-and-2083s)?_g=(refreshInterval:(display:Off,pause:!f,section:0,value:0),time:(from:'2017-12-01T05:38:06-0700',mode:absolute,to:'2017-12-01T08:20:19-0700'))&amp;_a=(columns:!('Message%20ID',Summary),filters:!(),index:'emp_*',interval:auto,query:(query_string:(analyze_wildcard:!t,query:'%22rtdc.l.rtdc.4006%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230" t="s">
        <v>794</v>
      </c>
      <c r="B38" s="226">
        <v>4005</v>
      </c>
      <c r="C38" s="228" t="s">
        <v>192</v>
      </c>
      <c r="D38" s="228" t="s">
        <v>488</v>
      </c>
      <c r="E38" s="227">
        <v>43070.307800925926</v>
      </c>
      <c r="F38" s="227">
        <v>43070.321087962962</v>
      </c>
      <c r="G38" s="226">
        <v>45</v>
      </c>
      <c r="H38" s="228" t="s">
        <v>436</v>
      </c>
      <c r="I38" s="227">
        <v>43070.346168981479</v>
      </c>
      <c r="J38" s="226">
        <v>0</v>
      </c>
      <c r="K38" s="238" t="str">
        <f t="shared" si="0"/>
        <v>4005/4006</v>
      </c>
      <c r="L38" s="246" t="str">
        <f>VLOOKUP(A38,'Trips&amp;Operators'!$C$1:$G$99911,5,FALSE)</f>
        <v>YORK EDGAR</v>
      </c>
      <c r="M38" s="225">
        <f t="shared" si="1"/>
        <v>2.5081018517084885E-2</v>
      </c>
      <c r="N38" s="226">
        <f t="shared" si="24"/>
        <v>36.116666664602235</v>
      </c>
      <c r="O38" s="226"/>
      <c r="P38" s="226"/>
      <c r="Q38" s="229"/>
      <c r="R38" s="243"/>
      <c r="S38" s="250">
        <f t="shared" si="3"/>
        <v>1</v>
      </c>
      <c r="T38" s="243" t="str">
        <f t="shared" si="4"/>
        <v>Southbound</v>
      </c>
      <c r="U38" s="24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9" t="str">
        <f t="shared" si="5"/>
        <v>https://d0f6bd738d7f1b3e5a7ca70fe4ff75f0.us-east-1.aws.found.io/app/kibana#/discover/Steve-Slow-Train-Analysis-(2080s-and-2083s)?_g=(refreshInterval:(display:Off,pause:!f,section:0,value:0),time:(from:'2017-12-01T06:23:14-0700',mode:absolute,to:'2017-12-01T09:18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8" s="248" t="str">
        <f>IF(AA38&lt;VLOOKUP(AG38,Variables!$AC$3:$AD$8,2,FALSE),"Y","N")</f>
        <v>N</v>
      </c>
      <c r="X38" s="248">
        <f t="shared" si="6"/>
        <v>1</v>
      </c>
      <c r="Y38" s="248">
        <f t="shared" si="7"/>
        <v>23.295500000000001</v>
      </c>
      <c r="Z38" s="248">
        <f t="shared" si="8"/>
        <v>1.7600000000000001E-2</v>
      </c>
      <c r="AA38" s="248">
        <f t="shared" si="9"/>
        <v>23.277899999999999</v>
      </c>
      <c r="AB38" s="234" t="e">
        <f>VLOOKUP(A38,Enforcements!$C$7:$K$9,8,0)</f>
        <v>#N/A</v>
      </c>
      <c r="AC38" s="233" t="e">
        <f>VLOOKUP(A38,Enforcements!$C$7:$E$9,3,0)</f>
        <v>#N/A</v>
      </c>
      <c r="AD38" s="244">
        <f t="shared" si="10"/>
        <v>126</v>
      </c>
      <c r="AE38" s="236" t="str">
        <f t="shared" si="11"/>
        <v>aws s3 cp s3://rtdc.mdm.uploadarchive.raw/RTDC4005/ "%USERPROFILE%\AppData\Local\Temp\OnboardLogs"\RTDC4005\2017-12-01 --exclude "*" --recursive --include "*20171201*" &amp; "%USERPROFILE%\Documents\GitHub\mrs-test-scripts\Headless Mode &amp; Sideloading\WalkAndUnGZ.bat" "%USERPROFILE%\AppData\Local\Temp\OnboardLogs"\RTDC4005\2017-12-01 &amp; aws s3 cp s3://rtdc.mdm.uploadarchive.raw/RTDC4005/ "%USERPROFILE%\AppData\Local\Temp\OnboardLogs"\RTDC4005\2017-12-02 --exclude "*" --recursive --include "*20171202*" &amp; "%USERPROFILE%\Documents\GitHub\mrs-test-scripts\Headless Mode &amp; Sideloading\WalkAndUnGZ.bat" "%USERPROFILE%\AppData\Local\Temp\OnboardLogs"\RTDC4005\2017-12-02</v>
      </c>
      <c r="AF38" s="235" t="str">
        <f t="shared" si="12"/>
        <v>"C:\Program Files (x86)\AstroGrep\AstroGrep.exe" /e /r /s /spath="%USERPROFILE%\AppData\Local\Temp\OnboardLogs" /stypes="app*4005*20171201*" /stext=" 15:.+((SYSTEM_STATE.+slice.+state.+changed )|(ment ac)|(multiple cpu faults)|(system.+state.+changed )|(\[timeout)|(PRM\|1\|D)|(kpr)|(kdp)|(train st.+moving)|(\|lc)|(penalty))"</v>
      </c>
      <c r="AG38" s="245" t="str">
        <f t="shared" si="13"/>
        <v>EC</v>
      </c>
      <c r="AH38" s="237" t="str">
        <f t="shared" si="19"/>
        <v>"%USERPROFILE%\Documents\GitHub\eaglep3\Utilities\RefineRTDCRunTimes.py" --tripid 126-01 --locoid 4005 --swversion DE.1.0.9.0 --startMP 204:232955 --initTime 2017-12-01T07:23:14 --startdatetime 2017-12-01T07:42:22 --delay 45 --endMP 204:176 --enddatetime 2017-12-01T08:18:29 --enforcementcount 0 &gt;&gt;%USERPROFILE%\Documents\GitHub\eaglep3-reporting\EC\2017-12-01-refined-times.txt</v>
      </c>
      <c r="AI38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{"issue":{"subject":"","project_id":79,"tracker_id":40,"status_id":1,"priority_id":2,"assigned_to_id":338,"start_date":"2017-12-01","description":"","custom_fields":[{"id":1,"name":"Subdivision","value":"EC"},{"id":4,"name":"Milepost","value":"0.0176"},{"id":17,"name":"Train ID","value":"126-01"},{"id":16,"name":"Locomotive ID","value":"4005"},{"id":130,"name":"Impact","value":""},{"id":150,"name":"Time of Event (Mountain Time)","value":"08:18:29"},{"id":151,"name":"Denver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4"/>
      <c r="AK38" s="232"/>
      <c r="AL38" s="232"/>
      <c r="AM38" s="241" t="str">
        <f t="shared" si="21"/>
        <v>start /low /b %USERPROFILE%\Documents\GitHub\eaglep3\Utilities\DownloadLogsFromS3.py --loco 4005 --day 2017-12-01</v>
      </c>
      <c r="AN38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15:18:29"},{"id":29,"name":"Sharepoint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1" t="str">
        <f t="shared" si="23"/>
        <v>https://d0f6bd738d7f1b3e5a7ca70fe4ff75f0.us-east-1.aws.found.io/app/kibana#/discover/Steve-Slow-Train-Analysis-(2080s-and-2083s)?_g=(refreshInterval:(display:Off,pause:!f,section:0,value:0),time:(from:'2017-12-01T06:23:14-0700',mode:absolute,to:'2017-12-01T09:18:29-0700'))&amp;_a=(columns:!('Message%20ID',Summary),filters:!(),index:'emp_*',interval:auto,query:(query_string:(analyze_wildcard:!t,query:'%22rtdc.l.rtdc.4005%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230" t="s">
        <v>792</v>
      </c>
      <c r="B39" s="226">
        <v>4046</v>
      </c>
      <c r="C39" s="228" t="s">
        <v>192</v>
      </c>
      <c r="D39" s="228" t="s">
        <v>637</v>
      </c>
      <c r="E39" s="227">
        <v>43070.288460648146</v>
      </c>
      <c r="F39" s="227">
        <v>43070.291921296295</v>
      </c>
      <c r="G39" s="226">
        <v>137</v>
      </c>
      <c r="H39" s="228" t="s">
        <v>976</v>
      </c>
      <c r="I39" s="227">
        <v>43070.315717592595</v>
      </c>
      <c r="J39" s="226">
        <v>0</v>
      </c>
      <c r="K39" s="238" t="str">
        <f t="shared" si="0"/>
        <v>4045/4046</v>
      </c>
      <c r="L39" s="246" t="str">
        <f>VLOOKUP(A39,'Trips&amp;Operators'!$C$1:$G$99911,5,FALSE)</f>
        <v>MACDONALD THOMAS</v>
      </c>
      <c r="M39" s="225">
        <f t="shared" si="1"/>
        <v>2.379629630013369E-2</v>
      </c>
      <c r="N39" s="226">
        <f t="shared" si="24"/>
        <v>34.266666672192514</v>
      </c>
      <c r="O39" s="226"/>
      <c r="P39" s="226"/>
      <c r="Q39" s="229"/>
      <c r="R39" s="243"/>
      <c r="S39" s="250">
        <f t="shared" si="3"/>
        <v>1</v>
      </c>
      <c r="T39" s="243" t="str">
        <f t="shared" si="4"/>
        <v>NorthBound</v>
      </c>
      <c r="U39" s="24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9" t="str">
        <f t="shared" si="5"/>
        <v>https://d0f6bd738d7f1b3e5a7ca70fe4ff75f0.us-east-1.aws.found.io/app/kibana#/discover/Steve-Slow-Train-Analysis-(2080s-and-2083s)?_g=(refreshInterval:(display:Off,pause:!f,section:0,value:0),time:(from:'2017-12-01T05:55:23-0700',mode:absolute,to:'2017-12-01T08:34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9" s="248" t="str">
        <f>IF(AA39&lt;VLOOKUP(AG39,Variables!$AC$3:$AD$8,2,FALSE),"Y","N")</f>
        <v>N</v>
      </c>
      <c r="X39" s="248">
        <f t="shared" si="6"/>
        <v>1</v>
      </c>
      <c r="Y39" s="248">
        <f t="shared" si="7"/>
        <v>5.3900000000000003E-2</v>
      </c>
      <c r="Z39" s="248">
        <f t="shared" si="8"/>
        <v>23.321999999999999</v>
      </c>
      <c r="AA39" s="248">
        <f t="shared" si="9"/>
        <v>23.2681</v>
      </c>
      <c r="AB39" s="234" t="e">
        <f>VLOOKUP(A39,Enforcements!$C$7:$K$9,8,0)</f>
        <v>#N/A</v>
      </c>
      <c r="AC39" s="233" t="e">
        <f>VLOOKUP(A39,Enforcements!$C$7:$E$9,3,0)</f>
        <v>#N/A</v>
      </c>
      <c r="AD39" s="244">
        <f t="shared" si="10"/>
        <v>127</v>
      </c>
      <c r="AE39" s="236" t="str">
        <f t="shared" si="11"/>
        <v>aws s3 cp s3://rtdc.mdm.uploadarchive.raw/RTDC4046/ "%USERPROFILE%\AppData\Local\Temp\OnboardLogs"\RTDC4046\2017-12-01 --exclude "*" --recursive --include "*20171201*" &amp; "%USERPROFILE%\Documents\GitHub\mrs-test-scripts\Headless Mode &amp; Sideloading\WalkAndUnGZ.bat" "%USERPROFILE%\AppData\Local\Temp\OnboardLogs"\RTDC4046\2017-12-01 &amp; aws s3 cp s3://rtdc.mdm.uploadarchive.raw/RTDC4046/ "%USERPROFILE%\AppData\Local\Temp\OnboardLogs"\RTDC4046\2017-12-02 --exclude "*" --recursive --include "*20171202*" &amp; "%USERPROFILE%\Documents\GitHub\mrs-test-scripts\Headless Mode &amp; Sideloading\WalkAndUnGZ.bat" "%USERPROFILE%\AppData\Local\Temp\OnboardLogs"\RTDC4046\2017-12-02</v>
      </c>
      <c r="AF39" s="235" t="str">
        <f t="shared" si="12"/>
        <v>"C:\Program Files (x86)\AstroGrep\AstroGrep.exe" /e /r /s /spath="%USERPROFILE%\AppData\Local\Temp\OnboardLogs" /stypes="app*4046*20171201*" /stext=" 14:.+((SYSTEM_STATE.+slice.+state.+changed )|(ment ac)|(multiple cpu faults)|(system.+state.+changed )|(\[timeout)|(PRM\|1\|D)|(kpr)|(kdp)|(train st.+moving)|(\|lc)|(penalty))"</v>
      </c>
      <c r="AG39" s="245" t="str">
        <f t="shared" si="13"/>
        <v>EC</v>
      </c>
      <c r="AH39" s="237" t="str">
        <f t="shared" si="19"/>
        <v>"%USERPROFILE%\Documents\GitHub\eaglep3\Utilities\RefineRTDCRunTimes.py" --tripid 127-01 --locoid 4046 --swversion DE.1.0.9.0 --startMP 204:539 --initTime 2017-12-01T06:55:23 --startdatetime 2017-12-01T07:00:22 --delay 137 --endMP 204:233220 --enddatetime 2017-12-01T07:34:38 --enforcementcount 0 &gt;&gt;%USERPROFILE%\Documents\GitHub\eaglep3-reporting\EC\2017-12-01-refined-times.txt</v>
      </c>
      <c r="AI39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{"issue":{"subject":"","project_id":79,"tracker_id":40,"status_id":1,"priority_id":2,"assigned_to_id":338,"start_date":"2017-12-01","description":"","custom_fields":[{"id":1,"name":"Subdivision","value":"EC"},{"id":4,"name":"Milepost","value":"23.322"},{"id":17,"name":"Train ID","value":"127-01"},{"id":16,"name":"Locomotive ID","value":"4046"},{"id":130,"name":"Impact","value":""},{"id":150,"name":"Time of Event (Mountain Time)","value":"07:34:38"},{"id":151,"name":"Denver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4"/>
      <c r="AK39" s="232"/>
      <c r="AL39" s="232"/>
      <c r="AM39" s="241" t="str">
        <f t="shared" si="21"/>
        <v>start /low /b %USERPROFILE%\Documents\GitHub\eaglep3\Utilities\DownloadLogsFromS3.py --loco 4046 --day 2017-12-01</v>
      </c>
      <c r="AN39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14:34:38"},{"id":29,"name":"Sharepoint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1" t="str">
        <f t="shared" si="23"/>
        <v>https://d0f6bd738d7f1b3e5a7ca70fe4ff75f0.us-east-1.aws.found.io/app/kibana#/discover/Steve-Slow-Train-Analysis-(2080s-and-2083s)?_g=(refreshInterval:(display:Off,pause:!f,section:0,value:0),time:(from:'2017-12-01T05:55:23-0700',mode:absolute,to:'2017-12-01T08:34:38-0700'))&amp;_a=(columns:!('Message%20ID',Summary),filters:!(),index:'emp_*',interval:auto,query:(query_string:(analyze_wildcard:!t,query:'%22rtdc.l.rtdc.4046%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230" t="s">
        <v>801</v>
      </c>
      <c r="B40" s="226">
        <v>4045</v>
      </c>
      <c r="C40" s="228" t="s">
        <v>192</v>
      </c>
      <c r="D40" s="228" t="s">
        <v>627</v>
      </c>
      <c r="E40" s="227">
        <v>43070.329513888886</v>
      </c>
      <c r="F40" s="227">
        <v>43070.33153935185</v>
      </c>
      <c r="G40" s="226">
        <v>56</v>
      </c>
      <c r="H40" s="228" t="s">
        <v>639</v>
      </c>
      <c r="I40" s="227">
        <v>43070.357743055552</v>
      </c>
      <c r="J40" s="226">
        <v>0</v>
      </c>
      <c r="K40" s="238" t="str">
        <f t="shared" si="0"/>
        <v>4045/4046</v>
      </c>
      <c r="L40" s="246" t="str">
        <f>VLOOKUP(A40,'Trips&amp;Operators'!$C$1:$G$99911,5,FALSE)</f>
        <v>MACDONALD THOMAS</v>
      </c>
      <c r="M40" s="225">
        <f t="shared" si="1"/>
        <v>2.6203703702776693E-2</v>
      </c>
      <c r="N40" s="226">
        <f t="shared" si="24"/>
        <v>37.733333331998438</v>
      </c>
      <c r="O40" s="226"/>
      <c r="P40" s="226"/>
      <c r="Q40" s="229"/>
      <c r="R40" s="243"/>
      <c r="S40" s="250">
        <f t="shared" si="3"/>
        <v>1</v>
      </c>
      <c r="T40" s="243" t="str">
        <f t="shared" si="4"/>
        <v>Southbound</v>
      </c>
      <c r="U40" s="24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9" t="str">
        <f t="shared" si="5"/>
        <v>https://d0f6bd738d7f1b3e5a7ca70fe4ff75f0.us-east-1.aws.found.io/app/kibana#/discover/Steve-Slow-Train-Analysis-(2080s-and-2083s)?_g=(refreshInterval:(display:Off,pause:!f,section:0,value:0),time:(from:'2017-12-01T06:54:30-0700',mode:absolute,to:'2017-12-01T09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0" s="248" t="str">
        <f>IF(AA40&lt;VLOOKUP(AG40,Variables!$AC$3:$AD$8,2,FALSE),"Y","N")</f>
        <v>N</v>
      </c>
      <c r="X40" s="248">
        <f t="shared" si="6"/>
        <v>1</v>
      </c>
      <c r="Y40" s="248">
        <f t="shared" si="7"/>
        <v>23.2898</v>
      </c>
      <c r="Z40" s="248">
        <f t="shared" si="8"/>
        <v>1.9599999999999999E-2</v>
      </c>
      <c r="AA40" s="248">
        <f t="shared" si="9"/>
        <v>23.270199999999999</v>
      </c>
      <c r="AB40" s="234" t="e">
        <f>VLOOKUP(A40,Enforcements!$C$7:$K$9,8,0)</f>
        <v>#N/A</v>
      </c>
      <c r="AC40" s="233" t="e">
        <f>VLOOKUP(A40,Enforcements!$C$7:$E$9,3,0)</f>
        <v>#N/A</v>
      </c>
      <c r="AD40" s="244">
        <f t="shared" si="10"/>
        <v>128</v>
      </c>
      <c r="AE40" s="236" t="str">
        <f t="shared" si="11"/>
        <v>aws s3 cp s3://rtdc.mdm.uploadarchive.raw/RTDC4045/ "%USERPROFILE%\AppData\Local\Temp\OnboardLogs"\RTDC4045\2017-12-01 --exclude "*" --recursive --include "*20171201*" &amp; "%USERPROFILE%\Documents\GitHub\mrs-test-scripts\Headless Mode &amp; Sideloading\WalkAndUnGZ.bat" "%USERPROFILE%\AppData\Local\Temp\OnboardLogs"\RTDC4045\2017-12-01 &amp; aws s3 cp s3://rtdc.mdm.uploadarchive.raw/RTDC4045/ "%USERPROFILE%\AppData\Local\Temp\OnboardLogs"\RTDC4045\2017-12-02 --exclude "*" --recursive --include "*20171202*" &amp; "%USERPROFILE%\Documents\GitHub\mrs-test-scripts\Headless Mode &amp; Sideloading\WalkAndUnGZ.bat" "%USERPROFILE%\AppData\Local\Temp\OnboardLogs"\RTDC4045\2017-12-02</v>
      </c>
      <c r="AF40" s="235" t="str">
        <f t="shared" si="12"/>
        <v>"C:\Program Files (x86)\AstroGrep\AstroGrep.exe" /e /r /s /spath="%USERPROFILE%\AppData\Local\Temp\OnboardLogs" /stypes="app*4045*20171201*" /stext=" 15:.+((SYSTEM_STATE.+slice.+state.+changed )|(ment ac)|(multiple cpu faults)|(system.+state.+changed )|(\[timeout)|(PRM\|1\|D)|(kpr)|(kdp)|(train st.+moving)|(\|lc)|(penalty))"</v>
      </c>
      <c r="AG40" s="245" t="str">
        <f t="shared" si="13"/>
        <v>EC</v>
      </c>
      <c r="AH40" s="237" t="str">
        <f t="shared" si="19"/>
        <v>"%USERPROFILE%\Documents\GitHub\eaglep3\Utilities\RefineRTDCRunTimes.py" --tripid 128-01 --locoid 4045 --swversion DE.1.0.9.0 --startMP 204:232898 --initTime 2017-12-01T07:54:30 --startdatetime 2017-12-01T07:57:25 --delay 56 --endMP 204:196 --enddatetime 2017-12-01T08:35:09 --enforcementcount 0 &gt;&gt;%USERPROFILE%\Documents\GitHub\eaglep3-reporting\EC\2017-12-01-refined-times.txt</v>
      </c>
      <c r="AI40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{"issue":{"subject":"","project_id":79,"tracker_id":40,"status_id":1,"priority_id":2,"assigned_to_id":338,"start_date":"2017-12-01","description":"","custom_fields":[{"id":1,"name":"Subdivision","value":"EC"},{"id":4,"name":"Milepost","value":"0.0196"},{"id":17,"name":"Train ID","value":"128-01"},{"id":16,"name":"Locomotive ID","value":"4045"},{"id":130,"name":"Impact","value":""},{"id":150,"name":"Time of Event (Mountain Time)","value":"08:35:09"},{"id":151,"name":"Denver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4"/>
      <c r="AK40" s="232"/>
      <c r="AL40" s="232"/>
      <c r="AM40" s="241" t="str">
        <f t="shared" si="21"/>
        <v>start /low /b %USERPROFILE%\Documents\GitHub\eaglep3\Utilities\DownloadLogsFromS3.py --loco 4045 --day 2017-12-01</v>
      </c>
      <c r="AN40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15:35:09"},{"id":29,"name":"Sharepoint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1" t="str">
        <f t="shared" si="23"/>
        <v>https://d0f6bd738d7f1b3e5a7ca70fe4ff75f0.us-east-1.aws.found.io/app/kibana#/discover/Steve-Slow-Train-Analysis-(2080s-and-2083s)?_g=(refreshInterval:(display:Off,pause:!f,section:0,value:0),time:(from:'2017-12-01T06:54:30-0700',mode:absolute,to:'2017-12-01T09:35:09-0700'))&amp;_a=(columns:!('Message%20ID',Summary),filters:!(),index:'emp_*',interval:auto,query:(query_string:(analyze_wildcard:!t,query:'%22rtdc.l.rtdc.4045%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230" t="s">
        <v>793</v>
      </c>
      <c r="B41" s="226">
        <v>4002</v>
      </c>
      <c r="C41" s="228" t="s">
        <v>192</v>
      </c>
      <c r="D41" s="228" t="s">
        <v>677</v>
      </c>
      <c r="E41" s="227">
        <v>43070.297337962962</v>
      </c>
      <c r="F41" s="227">
        <v>43070.302511574075</v>
      </c>
      <c r="G41" s="226">
        <v>55</v>
      </c>
      <c r="H41" s="228" t="s">
        <v>977</v>
      </c>
      <c r="I41" s="227">
        <v>43070.327303240738</v>
      </c>
      <c r="J41" s="226">
        <v>0</v>
      </c>
      <c r="K41" s="238" t="str">
        <f t="shared" si="0"/>
        <v>4001/4002</v>
      </c>
      <c r="L41" s="246" t="str">
        <f>VLOOKUP(A41,'Trips&amp;Operators'!$C$1:$G$99911,5,FALSE)</f>
        <v>MAELZER KURT</v>
      </c>
      <c r="M41" s="225">
        <f t="shared" si="1"/>
        <v>2.4791666663077194E-2</v>
      </c>
      <c r="N41" s="226">
        <f t="shared" si="24"/>
        <v>35.69999999483116</v>
      </c>
      <c r="O41" s="226"/>
      <c r="P41" s="226"/>
      <c r="Q41" s="229"/>
      <c r="R41" s="243"/>
      <c r="S41" s="250">
        <f t="shared" si="3"/>
        <v>1</v>
      </c>
      <c r="T41" s="243" t="str">
        <f t="shared" si="4"/>
        <v>NorthBound</v>
      </c>
      <c r="U41" s="24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9" t="str">
        <f t="shared" si="5"/>
        <v>https://d0f6bd738d7f1b3e5a7ca70fe4ff75f0.us-east-1.aws.found.io/app/kibana#/discover/Steve-Slow-Train-Analysis-(2080s-and-2083s)?_g=(refreshInterval:(display:Off,pause:!f,section:0,value:0),time:(from:'2017-12-01T06:08:10-0700',mode:absolute,to:'2017-12-01T08:51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1" s="248" t="str">
        <f>IF(AA41&lt;VLOOKUP(AG41,Variables!$AC$3:$AD$8,2,FALSE),"Y","N")</f>
        <v>N</v>
      </c>
      <c r="X41" s="248">
        <f t="shared" si="6"/>
        <v>1</v>
      </c>
      <c r="Y41" s="248">
        <f t="shared" si="7"/>
        <v>4.9500000000000002E-2</v>
      </c>
      <c r="Z41" s="248">
        <f t="shared" si="8"/>
        <v>23.3308</v>
      </c>
      <c r="AA41" s="248">
        <f t="shared" si="9"/>
        <v>23.281300000000002</v>
      </c>
      <c r="AB41" s="234" t="e">
        <f>VLOOKUP(A41,Enforcements!$C$7:$K$9,8,0)</f>
        <v>#N/A</v>
      </c>
      <c r="AC41" s="233" t="e">
        <f>VLOOKUP(A41,Enforcements!$C$7:$E$9,3,0)</f>
        <v>#N/A</v>
      </c>
      <c r="AD41" s="244">
        <f t="shared" si="10"/>
        <v>129</v>
      </c>
      <c r="AE41" s="236" t="str">
        <f t="shared" si="11"/>
        <v>aws s3 cp s3://rtdc.mdm.uploadarchive.raw/RTDC4002/ "%USERPROFILE%\AppData\Local\Temp\OnboardLogs"\RTDC4002\2017-12-01 --exclude "*" --recursive --include "*20171201*" &amp; "%USERPROFILE%\Documents\GitHub\mrs-test-scripts\Headless Mode &amp; Sideloading\WalkAndUnGZ.bat" "%USERPROFILE%\AppData\Local\Temp\OnboardLogs"\RTDC4002\2017-12-01 &amp; aws s3 cp s3://rtdc.mdm.uploadarchive.raw/RTDC4002/ "%USERPROFILE%\AppData\Local\Temp\OnboardLogs"\RTDC4002\2017-12-02 --exclude "*" --recursive --include "*20171202*" &amp; "%USERPROFILE%\Documents\GitHub\mrs-test-scripts\Headless Mode &amp; Sideloading\WalkAndUnGZ.bat" "%USERPROFILE%\AppData\Local\Temp\OnboardLogs"\RTDC4002\2017-12-02</v>
      </c>
      <c r="AF41" s="235" t="str">
        <f t="shared" si="12"/>
        <v>"C:\Program Files (x86)\AstroGrep\AstroGrep.exe" /e /r /s /spath="%USERPROFILE%\AppData\Local\Temp\OnboardLogs" /stypes="app*4002*20171201*" /stext=" 14:.+((SYSTEM_STATE.+slice.+state.+changed )|(ment ac)|(multiple cpu faults)|(system.+state.+changed )|(\[timeout)|(PRM\|1\|D)|(kpr)|(kdp)|(train st.+moving)|(\|lc)|(penalty))"</v>
      </c>
      <c r="AG41" s="245" t="str">
        <f t="shared" si="13"/>
        <v>EC</v>
      </c>
      <c r="AH41" s="237" t="str">
        <f t="shared" si="19"/>
        <v>"%USERPROFILE%\Documents\GitHub\eaglep3\Utilities\RefineRTDCRunTimes.py" --tripid 129-01 --locoid 4002 --swversion DE.1.0.9.0 --startMP 204:495 --initTime 2017-12-01T07:08:10 --startdatetime 2017-12-01T07:15:37 --delay 55 --endMP 204:233308 --enddatetime 2017-12-01T07:51:19 --enforcementcount 0 &gt;&gt;%USERPROFILE%\Documents\GitHub\eaglep3-reporting\EC\2017-12-01-refined-times.txt</v>
      </c>
      <c r="AI41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{"issue":{"subject":"","project_id":79,"tracker_id":40,"status_id":1,"priority_id":2,"assigned_to_id":338,"start_date":"2017-12-01","description":"","custom_fields":[{"id":1,"name":"Subdivision","value":"EC"},{"id":4,"name":"Milepost","value":"23.3308"},{"id":17,"name":"Train ID","value":"129-01"},{"id":16,"name":"Locomotive ID","value":"4002"},{"id":130,"name":"Impact","value":""},{"id":150,"name":"Time of Event (Mountain Time)","value":"07:51:19"},{"id":151,"name":"Denver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4"/>
      <c r="AK41" s="232"/>
      <c r="AL41" s="232"/>
      <c r="AM41" s="241" t="str">
        <f t="shared" si="21"/>
        <v>start /low /b %USERPROFILE%\Documents\GitHub\eaglep3\Utilities\DownloadLogsFromS3.py --loco 4002 --day 2017-12-01</v>
      </c>
      <c r="AN41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14:51:19"},{"id":29,"name":"Sharepoint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1" t="str">
        <f t="shared" si="23"/>
        <v>https://d0f6bd738d7f1b3e5a7ca70fe4ff75f0.us-east-1.aws.found.io/app/kibana#/discover/Steve-Slow-Train-Analysis-(2080s-and-2083s)?_g=(refreshInterval:(display:Off,pause:!f,section:0,value:0),time:(from:'2017-12-01T06:08:10-0700',mode:absolute,to:'2017-12-01T08:51:19-0700'))&amp;_a=(columns:!('Message%20ID',Summary),filters:!(),index:'emp_*',interval:auto,query:(query_string:(analyze_wildcard:!t,query:'%22rtdc.l.rtdc.4002%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230" t="s">
        <v>804</v>
      </c>
      <c r="B42" s="226">
        <v>4001</v>
      </c>
      <c r="C42" s="228" t="s">
        <v>192</v>
      </c>
      <c r="D42" s="228" t="s">
        <v>678</v>
      </c>
      <c r="E42" s="227">
        <v>43070.332060185188</v>
      </c>
      <c r="F42" s="227">
        <v>43070.341886574075</v>
      </c>
      <c r="G42" s="226">
        <v>49</v>
      </c>
      <c r="H42" s="228" t="s">
        <v>561</v>
      </c>
      <c r="I42" s="227">
        <v>43070.367719907408</v>
      </c>
      <c r="J42" s="226">
        <v>0</v>
      </c>
      <c r="K42" s="238" t="str">
        <f t="shared" si="0"/>
        <v>4001/4002</v>
      </c>
      <c r="L42" s="246" t="str">
        <f>VLOOKUP(A42,'Trips&amp;Operators'!$C$1:$G$99911,5,FALSE)</f>
        <v>MAELZER KURT</v>
      </c>
      <c r="M42" s="225">
        <f t="shared" si="1"/>
        <v>2.5833333333139308E-2</v>
      </c>
      <c r="N42" s="226">
        <f t="shared" si="24"/>
        <v>37.199999999720603</v>
      </c>
      <c r="O42" s="226"/>
      <c r="P42" s="226"/>
      <c r="Q42" s="229"/>
      <c r="R42" s="243"/>
      <c r="S42" s="250">
        <f t="shared" si="3"/>
        <v>1</v>
      </c>
      <c r="T42" s="243" t="str">
        <f t="shared" si="4"/>
        <v>Southbound</v>
      </c>
      <c r="U42" s="24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9" t="str">
        <f t="shared" si="5"/>
        <v>https://d0f6bd738d7f1b3e5a7ca70fe4ff75f0.us-east-1.aws.found.io/app/kibana#/discover/Steve-Slow-Train-Analysis-(2080s-and-2083s)?_g=(refreshInterval:(display:Off,pause:!f,section:0,value:0),time:(from:'2017-12-01T06:58:10-0700',mode:absolute,to:'2017-12-01T09:49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2" s="248" t="str">
        <f>IF(AA42&lt;VLOOKUP(AG42,Variables!$AC$3:$AD$8,2,FALSE),"Y","N")</f>
        <v>N</v>
      </c>
      <c r="X42" s="248">
        <f t="shared" si="6"/>
        <v>1</v>
      </c>
      <c r="Y42" s="248">
        <f t="shared" si="7"/>
        <v>23.299399999999999</v>
      </c>
      <c r="Z42" s="248">
        <f t="shared" si="8"/>
        <v>1.6299999999999999E-2</v>
      </c>
      <c r="AA42" s="248">
        <f t="shared" si="9"/>
        <v>23.283099999999997</v>
      </c>
      <c r="AB42" s="234" t="e">
        <f>VLOOKUP(A42,Enforcements!$C$7:$K$9,8,0)</f>
        <v>#N/A</v>
      </c>
      <c r="AC42" s="233" t="e">
        <f>VLOOKUP(A42,Enforcements!$C$7:$E$9,3,0)</f>
        <v>#N/A</v>
      </c>
      <c r="AD42" s="244">
        <f t="shared" si="10"/>
        <v>130</v>
      </c>
      <c r="AE42" s="236" t="str">
        <f t="shared" si="11"/>
        <v>aws s3 cp s3://rtdc.mdm.uploadarchive.raw/RTDC4001/ "%USERPROFILE%\AppData\Local\Temp\OnboardLogs"\RTDC4001\2017-12-01 --exclude "*" --recursive --include "*20171201*" &amp; "%USERPROFILE%\Documents\GitHub\mrs-test-scripts\Headless Mode &amp; Sideloading\WalkAndUnGZ.bat" "%USERPROFILE%\AppData\Local\Temp\OnboardLogs"\RTDC4001\2017-12-01 &amp; aws s3 cp s3://rtdc.mdm.uploadarchive.raw/RTDC4001/ "%USERPROFILE%\AppData\Local\Temp\OnboardLogs"\RTDC4001\2017-12-02 --exclude "*" --recursive --include "*20171202*" &amp; "%USERPROFILE%\Documents\GitHub\mrs-test-scripts\Headless Mode &amp; Sideloading\WalkAndUnGZ.bat" "%USERPROFILE%\AppData\Local\Temp\OnboardLogs"\RTDC4001\2017-12-02</v>
      </c>
      <c r="AF42" s="235" t="str">
        <f t="shared" si="12"/>
        <v>"C:\Program Files (x86)\AstroGrep\AstroGrep.exe" /e /r /s /spath="%USERPROFILE%\AppData\Local\Temp\OnboardLogs" /stypes="app*4001*20171201*" /stext=" 15:.+((SYSTEM_STATE.+slice.+state.+changed )|(ment ac)|(multiple cpu faults)|(system.+state.+changed )|(\[timeout)|(PRM\|1\|D)|(kpr)|(kdp)|(train st.+moving)|(\|lc)|(penalty))"</v>
      </c>
      <c r="AG42" s="245" t="str">
        <f t="shared" si="13"/>
        <v>EC</v>
      </c>
      <c r="AH42" s="237" t="str">
        <f t="shared" si="19"/>
        <v>"%USERPROFILE%\Documents\GitHub\eaglep3\Utilities\RefineRTDCRunTimes.py" --tripid 130-01 --locoid 4001 --swversion DE.1.0.9.0 --startMP 204:232994 --initTime 2017-12-01T07:58:10 --startdatetime 2017-12-01T08:12:19 --delay 49 --endMP 204:163 --enddatetime 2017-12-01T08:49:31 --enforcementcount 0 &gt;&gt;%USERPROFILE%\Documents\GitHub\eaglep3-reporting\EC\2017-12-01-refined-times.txt</v>
      </c>
      <c r="AI42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{"issue":{"subject":"","project_id":79,"tracker_id":40,"status_id":1,"priority_id":2,"assigned_to_id":338,"start_date":"2017-12-01","description":"","custom_fields":[{"id":1,"name":"Subdivision","value":"EC"},{"id":4,"name":"Milepost","value":"0.0163"},{"id":17,"name":"Train ID","value":"130-01"},{"id":16,"name":"Locomotive ID","value":"4001"},{"id":130,"name":"Impact","value":""},{"id":150,"name":"Time of Event (Mountain Time)","value":"08:49:31"},{"id":151,"name":"Denver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4"/>
      <c r="AK42" s="232"/>
      <c r="AL42" s="232"/>
      <c r="AM42" s="241" t="str">
        <f t="shared" si="21"/>
        <v>start /low /b %USERPROFILE%\Documents\GitHub\eaglep3\Utilities\DownloadLogsFromS3.py --loco 4001 --day 2017-12-01</v>
      </c>
      <c r="AN42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15:49:31"},{"id":29,"name":"Sharepoint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1" t="str">
        <f t="shared" si="23"/>
        <v>https://d0f6bd738d7f1b3e5a7ca70fe4ff75f0.us-east-1.aws.found.io/app/kibana#/discover/Steve-Slow-Train-Analysis-(2080s-and-2083s)?_g=(refreshInterval:(display:Off,pause:!f,section:0,value:0),time:(from:'2017-12-01T06:58:10-0700',mode:absolute,to:'2017-12-01T09:49:31-0700'))&amp;_a=(columns:!('Message%20ID',Summary),filters:!(),index:'emp_*',interval:auto,query:(query_string:(analyze_wildcard:!t,query:'%22rtdc.l.rtdc.4001%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230" t="s">
        <v>797</v>
      </c>
      <c r="B43" s="226">
        <v>4050</v>
      </c>
      <c r="C43" s="228" t="s">
        <v>192</v>
      </c>
      <c r="D43" s="228" t="s">
        <v>642</v>
      </c>
      <c r="E43" s="227">
        <v>43070.309710648151</v>
      </c>
      <c r="F43" s="227">
        <v>43070.312650462962</v>
      </c>
      <c r="G43" s="226">
        <v>105</v>
      </c>
      <c r="H43" s="228" t="s">
        <v>978</v>
      </c>
      <c r="I43" s="227">
        <v>43070.336608796293</v>
      </c>
      <c r="J43" s="226">
        <v>0</v>
      </c>
      <c r="K43" s="238" t="str">
        <f t="shared" si="0"/>
        <v>4049/4050</v>
      </c>
      <c r="L43" s="246" t="str">
        <f>VLOOKUP(A43,'Trips&amp;Operators'!$C$1:$G$99911,5,FALSE)</f>
        <v>NICHOLAS PLOYSA</v>
      </c>
      <c r="M43" s="225">
        <f t="shared" si="1"/>
        <v>2.3958333331393078E-2</v>
      </c>
      <c r="N43" s="226">
        <f t="shared" si="24"/>
        <v>34.499999997206032</v>
      </c>
      <c r="O43" s="226"/>
      <c r="P43" s="226"/>
      <c r="Q43" s="229"/>
      <c r="R43" s="243"/>
      <c r="S43" s="250">
        <f t="shared" si="3"/>
        <v>1</v>
      </c>
      <c r="T43" s="243" t="str">
        <f t="shared" si="4"/>
        <v>NorthBound</v>
      </c>
      <c r="U43" s="24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9" t="str">
        <f t="shared" si="5"/>
        <v>https://d0f6bd738d7f1b3e5a7ca70fe4ff75f0.us-east-1.aws.found.io/app/kibana#/discover/Steve-Slow-Train-Analysis-(2080s-and-2083s)?_g=(refreshInterval:(display:Off,pause:!f,section:0,value:0),time:(from:'2017-12-01T06:25:59-0700',mode:absolute,to:'2017-12-01T09:04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3" s="248" t="str">
        <f>IF(AA43&lt;VLOOKUP(AG43,Variables!$AC$3:$AD$8,2,FALSE),"Y","N")</f>
        <v>N</v>
      </c>
      <c r="X43" s="248">
        <f t="shared" si="6"/>
        <v>1</v>
      </c>
      <c r="Y43" s="248">
        <f t="shared" si="7"/>
        <v>5.6399999999999999E-2</v>
      </c>
      <c r="Z43" s="248">
        <f t="shared" si="8"/>
        <v>23.317799999999998</v>
      </c>
      <c r="AA43" s="248">
        <f t="shared" si="9"/>
        <v>23.261399999999998</v>
      </c>
      <c r="AB43" s="234" t="e">
        <f>VLOOKUP(A43,Enforcements!$C$7:$K$9,8,0)</f>
        <v>#N/A</v>
      </c>
      <c r="AC43" s="233" t="e">
        <f>VLOOKUP(A43,Enforcements!$C$7:$E$9,3,0)</f>
        <v>#N/A</v>
      </c>
      <c r="AD43" s="244">
        <f t="shared" si="10"/>
        <v>131</v>
      </c>
      <c r="AE43" s="236" t="str">
        <f t="shared" si="11"/>
        <v>aws s3 cp s3://rtdc.mdm.uploadarchive.raw/RTDC4050/ "%USERPROFILE%\AppData\Local\Temp\OnboardLogs"\RTDC4050\2017-12-01 --exclude "*" --recursive --include "*20171201*" &amp; "%USERPROFILE%\Documents\GitHub\mrs-test-scripts\Headless Mode &amp; Sideloading\WalkAndUnGZ.bat" "%USERPROFILE%\AppData\Local\Temp\OnboardLogs"\RTDC4050\2017-12-01 &amp; aws s3 cp s3://rtdc.mdm.uploadarchive.raw/RTDC4050/ "%USERPROFILE%\AppData\Local\Temp\OnboardLogs"\RTDC4050\2017-12-02 --exclude "*" --recursive --include "*20171202*" &amp; "%USERPROFILE%\Documents\GitHub\mrs-test-scripts\Headless Mode &amp; Sideloading\WalkAndUnGZ.bat" "%USERPROFILE%\AppData\Local\Temp\OnboardLogs"\RTDC4050\2017-12-02</v>
      </c>
      <c r="AF43" s="235" t="str">
        <f t="shared" si="12"/>
        <v>"C:\Program Files (x86)\AstroGrep\AstroGrep.exe" /e /r /s /spath="%USERPROFILE%\AppData\Local\Temp\OnboardLogs" /stypes="app*4050*20171201*" /stext=" 15:.+((SYSTEM_STATE.+slice.+state.+changed )|(ment ac)|(multiple cpu faults)|(system.+state.+changed )|(\[timeout)|(PRM\|1\|D)|(kpr)|(kdp)|(train st.+moving)|(\|lc)|(penalty))"</v>
      </c>
      <c r="AG43" s="245" t="str">
        <f t="shared" si="13"/>
        <v>EC</v>
      </c>
      <c r="AH43" s="237" t="str">
        <f t="shared" si="19"/>
        <v>"%USERPROFILE%\Documents\GitHub\eaglep3\Utilities\RefineRTDCRunTimes.py" --tripid 131-01 --locoid 4050 --swversion DE.1.0.9.0 --startMP 204:564 --initTime 2017-12-01T07:25:59 --startdatetime 2017-12-01T07:30:13 --delay 105 --endMP 204:233178 --enddatetime 2017-12-01T08:04:43 --enforcementcount 0 &gt;&gt;%USERPROFILE%\Documents\GitHub\eaglep3-reporting\EC\2017-12-01-refined-times.txt</v>
      </c>
      <c r="AI43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{"issue":{"subject":"","project_id":79,"tracker_id":40,"status_id":1,"priority_id":2,"assigned_to_id":338,"start_date":"2017-12-01","description":"","custom_fields":[{"id":1,"name":"Subdivision","value":"EC"},{"id":4,"name":"Milepost","value":"23.3178"},{"id":17,"name":"Train ID","value":"131-01"},{"id":16,"name":"Locomotive ID","value":"4050"},{"id":130,"name":"Impact","value":""},{"id":150,"name":"Time of Event (Mountain Time)","value":"08:04:43"},{"id":151,"name":"Denver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4"/>
      <c r="AK43" s="232"/>
      <c r="AL43" s="232"/>
      <c r="AM43" s="241" t="str">
        <f t="shared" si="21"/>
        <v>start /low /b %USERPROFILE%\Documents\GitHub\eaglep3\Utilities\DownloadLogsFromS3.py --loco 4050 --day 2017-12-01</v>
      </c>
      <c r="AN43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15:04:43"},{"id":29,"name":"Sharepoint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1" t="str">
        <f t="shared" si="23"/>
        <v>https://d0f6bd738d7f1b3e5a7ca70fe4ff75f0.us-east-1.aws.found.io/app/kibana#/discover/Steve-Slow-Train-Analysis-(2080s-and-2083s)?_g=(refreshInterval:(display:Off,pause:!f,section:0,value:0),time:(from:'2017-12-01T06:25:59-0700',mode:absolute,to:'2017-12-01T09:04:43-0700'))&amp;_a=(columns:!('Message%20ID',Summary),filters:!(),index:'emp_*',interval:auto,query:(query_string:(analyze_wildcard:!t,query:'%22rtdc.l.rtdc.4050%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230" t="s">
        <v>805</v>
      </c>
      <c r="B44" s="226">
        <v>4049</v>
      </c>
      <c r="C44" s="228" t="s">
        <v>192</v>
      </c>
      <c r="D44" s="228" t="s">
        <v>979</v>
      </c>
      <c r="E44" s="227">
        <v>43070.337673611109</v>
      </c>
      <c r="F44" s="227">
        <v>43070.35224537037</v>
      </c>
      <c r="G44" s="226">
        <v>47</v>
      </c>
      <c r="H44" s="228" t="s">
        <v>415</v>
      </c>
      <c r="I44" s="227">
        <v>43070.378009259257</v>
      </c>
      <c r="J44" s="226">
        <v>0</v>
      </c>
      <c r="K44" s="238" t="str">
        <f t="shared" si="0"/>
        <v>4049/4050</v>
      </c>
      <c r="L44" s="246" t="str">
        <f>VLOOKUP(A44,'Trips&amp;Operators'!$C$1:$G$99911,5,FALSE)</f>
        <v>NICHOLAS PLOYSA</v>
      </c>
      <c r="M44" s="225">
        <f t="shared" si="1"/>
        <v>2.5763888887013309E-2</v>
      </c>
      <c r="N44" s="226">
        <f t="shared" si="24"/>
        <v>37.099999997299165</v>
      </c>
      <c r="O44" s="226"/>
      <c r="P44" s="226"/>
      <c r="Q44" s="229"/>
      <c r="R44" s="243"/>
      <c r="S44" s="250">
        <f t="shared" si="3"/>
        <v>1</v>
      </c>
      <c r="T44" s="243" t="str">
        <f t="shared" si="4"/>
        <v>Southbound</v>
      </c>
      <c r="U44" s="24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9" t="str">
        <f t="shared" si="5"/>
        <v>https://d0f6bd738d7f1b3e5a7ca70fe4ff75f0.us-east-1.aws.found.io/app/kibana#/discover/Steve-Slow-Train-Analysis-(2080s-and-2083s)?_g=(refreshInterval:(display:Off,pause:!f,section:0,value:0),time:(from:'2017-12-01T07:06:15-0700',mode:absolute,to:'2017-12-01T10:04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4" s="248" t="str">
        <f>IF(AA44&lt;VLOOKUP(AG44,Variables!$AC$3:$AD$8,2,FALSE),"Y","N")</f>
        <v>N</v>
      </c>
      <c r="X44" s="248">
        <f t="shared" si="6"/>
        <v>1</v>
      </c>
      <c r="Y44" s="248">
        <f t="shared" si="7"/>
        <v>23.2852</v>
      </c>
      <c r="Z44" s="248">
        <f t="shared" si="8"/>
        <v>2.12E-2</v>
      </c>
      <c r="AA44" s="248">
        <f t="shared" si="9"/>
        <v>23.263999999999999</v>
      </c>
      <c r="AB44" s="234" t="e">
        <f>VLOOKUP(A44,Enforcements!$C$7:$K$9,8,0)</f>
        <v>#N/A</v>
      </c>
      <c r="AC44" s="233" t="e">
        <f>VLOOKUP(A44,Enforcements!$C$7:$E$9,3,0)</f>
        <v>#N/A</v>
      </c>
      <c r="AD44" s="244">
        <f t="shared" si="10"/>
        <v>132</v>
      </c>
      <c r="AE44" s="236" t="str">
        <f t="shared" si="11"/>
        <v>aws s3 cp s3://rtdc.mdm.uploadarchive.raw/RTDC4049/ "%USERPROFILE%\AppData\Local\Temp\OnboardLogs"\RTDC4049\2017-12-01 --exclude "*" --recursive --include "*20171201*" &amp; "%USERPROFILE%\Documents\GitHub\mrs-test-scripts\Headless Mode &amp; Sideloading\WalkAndUnGZ.bat" "%USERPROFILE%\AppData\Local\Temp\OnboardLogs"\RTDC4049\2017-12-01 &amp; aws s3 cp s3://rtdc.mdm.uploadarchive.raw/RTDC4049/ "%USERPROFILE%\AppData\Local\Temp\OnboardLogs"\RTDC4049\2017-12-02 --exclude "*" --recursive --include "*20171202*" &amp; "%USERPROFILE%\Documents\GitHub\mrs-test-scripts\Headless Mode &amp; Sideloading\WalkAndUnGZ.bat" "%USERPROFILE%\AppData\Local\Temp\OnboardLogs"\RTDC4049\2017-12-02</v>
      </c>
      <c r="AF44" s="235" t="str">
        <f t="shared" si="12"/>
        <v>"C:\Program Files (x86)\AstroGrep\AstroGrep.exe" /e /r /s /spath="%USERPROFILE%\AppData\Local\Temp\OnboardLogs" /stypes="app*4049*20171201*" /stext=" 16:.+((SYSTEM_STATE.+slice.+state.+changed )|(ment ac)|(multiple cpu faults)|(system.+state.+changed )|(\[timeout)|(PRM\|1\|D)|(kpr)|(kdp)|(train st.+moving)|(\|lc)|(penalty))"</v>
      </c>
      <c r="AG44" s="245" t="str">
        <f t="shared" si="13"/>
        <v>EC</v>
      </c>
      <c r="AH44" s="237" t="str">
        <f t="shared" si="19"/>
        <v>"%USERPROFILE%\Documents\GitHub\eaglep3\Utilities\RefineRTDCRunTimes.py" --tripid 132-01 --locoid 4049 --swversion DE.1.0.9.0 --startMP 204:232852 --initTime 2017-12-01T08:06:15 --startdatetime 2017-12-01T08:27:14 --delay 47 --endMP 204:212 --enddatetime 2017-12-01T09:04:20 --enforcementcount 0 &gt;&gt;%USERPROFILE%\Documents\GitHub\eaglep3-reporting\EC\2017-12-01-refined-times.txt</v>
      </c>
      <c r="AI44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{"issue":{"subject":"","project_id":79,"tracker_id":40,"status_id":1,"priority_id":2,"assigned_to_id":338,"start_date":"2017-12-01","description":"","custom_fields":[{"id":1,"name":"Subdivision","value":"EC"},{"id":4,"name":"Milepost","value":"0.0212"},{"id":17,"name":"Train ID","value":"132-01"},{"id":16,"name":"Locomotive ID","value":"4049"},{"id":130,"name":"Impact","value":""},{"id":150,"name":"Time of Event (Mountain Time)","value":"09:04:20"},{"id":151,"name":"Denver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4"/>
      <c r="AK44" s="232"/>
      <c r="AL44" s="232"/>
      <c r="AM44" s="241" t="str">
        <f t="shared" si="21"/>
        <v>start /low /b %USERPROFILE%\Documents\GitHub\eaglep3\Utilities\DownloadLogsFromS3.py --loco 4049 --day 2017-12-01</v>
      </c>
      <c r="AN44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16:04:20"},{"id":29,"name":"Sharepoint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1" t="str">
        <f t="shared" si="23"/>
        <v>https://d0f6bd738d7f1b3e5a7ca70fe4ff75f0.us-east-1.aws.found.io/app/kibana#/discover/Steve-Slow-Train-Analysis-(2080s-and-2083s)?_g=(refreshInterval:(display:Off,pause:!f,section:0,value:0),time:(from:'2017-12-01T07:06:15-0700',mode:absolute,to:'2017-12-01T10:04:20-0700'))&amp;_a=(columns:!('Message%20ID',Summary),filters:!(),index:'emp_*',interval:auto,query:(query_string:(analyze_wildcard:!t,query:'%22rtdc.l.rtdc.4049%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230" t="s">
        <v>799</v>
      </c>
      <c r="B45" s="226">
        <v>4040</v>
      </c>
      <c r="C45" s="228" t="s">
        <v>192</v>
      </c>
      <c r="D45" s="228" t="s">
        <v>555</v>
      </c>
      <c r="E45" s="227">
        <v>43070.317511574074</v>
      </c>
      <c r="F45" s="227">
        <v>43070.323101851849</v>
      </c>
      <c r="G45" s="226">
        <v>87</v>
      </c>
      <c r="H45" s="228" t="s">
        <v>980</v>
      </c>
      <c r="I45" s="227">
        <v>43070.348738425928</v>
      </c>
      <c r="J45" s="226">
        <v>0</v>
      </c>
      <c r="K45" s="238" t="str">
        <f t="shared" si="0"/>
        <v>4039/4040</v>
      </c>
      <c r="L45" s="246" t="str">
        <f>VLOOKUP(A45,'Trips&amp;Operators'!$C$1:$G$99911,5,FALSE)</f>
        <v>STARKS ANGELINA</v>
      </c>
      <c r="M45" s="225">
        <f t="shared" si="1"/>
        <v>2.5636574078816921E-2</v>
      </c>
      <c r="N45" s="226">
        <f t="shared" si="24"/>
        <v>36.916666673496366</v>
      </c>
      <c r="O45" s="226"/>
      <c r="P45" s="226"/>
      <c r="Q45" s="229"/>
      <c r="R45" s="243"/>
      <c r="S45" s="250">
        <f t="shared" ref="S45:S76" si="25">1/IF(AG45="EC",12,1)*SUM(U45:U45)</f>
        <v>1</v>
      </c>
      <c r="T45" s="243" t="str">
        <f t="shared" si="4"/>
        <v>NorthBound</v>
      </c>
      <c r="U45" s="24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9" t="str">
        <f t="shared" si="5"/>
        <v>https://d0f6bd738d7f1b3e5a7ca70fe4ff75f0.us-east-1.aws.found.io/app/kibana#/discover/Steve-Slow-Train-Analysis-(2080s-and-2083s)?_g=(refreshInterval:(display:Off,pause:!f,section:0,value:0),time:(from:'2017-12-01T06:37:13-0700',mode:absolute,to:'2017-12-01T09:22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5" s="248" t="str">
        <f>IF(AA45&lt;VLOOKUP(AG45,Variables!$AC$3:$AD$8,2,FALSE),"Y","N")</f>
        <v>N</v>
      </c>
      <c r="X45" s="248">
        <f t="shared" ref="X45:X76" si="26">VALUE(LEFT(AD45,4))-VALUE(LEFT(AD44,4))</f>
        <v>1</v>
      </c>
      <c r="Y45" s="248">
        <f t="shared" si="7"/>
        <v>4.9099999999999998E-2</v>
      </c>
      <c r="Z45" s="248">
        <f t="shared" si="8"/>
        <v>23.3323</v>
      </c>
      <c r="AA45" s="248">
        <f t="shared" si="9"/>
        <v>23.283200000000001</v>
      </c>
      <c r="AB45" s="234" t="e">
        <f>VLOOKUP(A45,Enforcements!$C$7:$K$9,8,0)</f>
        <v>#N/A</v>
      </c>
      <c r="AC45" s="233" t="e">
        <f>VLOOKUP(A45,Enforcements!$C$7:$E$9,3,0)</f>
        <v>#N/A</v>
      </c>
      <c r="AD45" s="244">
        <f t="shared" si="10"/>
        <v>133</v>
      </c>
      <c r="AE45" s="236" t="str">
        <f t="shared" si="11"/>
        <v>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 &amp; aws s3 cp s3://rtdc.mdm.uploadarchive.raw/RTDC4040/ "%USERPROFILE%\AppData\Local\Temp\OnboardLogs"\RTDC4040\2017-12-02 --exclude "*" --recursive --include "*20171202*" &amp; "%USERPROFILE%\Documents\GitHub\mrs-test-scripts\Headless Mode &amp; Sideloading\WalkAndUnGZ.bat" "%USERPROFILE%\AppData\Local\Temp\OnboardLogs"\RTDC4040\2017-12-02</v>
      </c>
      <c r="AF45" s="235" t="str">
        <f t="shared" si="12"/>
        <v>"C:\Program Files (x86)\AstroGrep\AstroGrep.exe" /e /r /s /spath="%USERPROFILE%\AppData\Local\Temp\OnboardLogs" /stypes="app*4040*20171201*" /stext=" 15:.+((SYSTEM_STATE.+slice.+state.+changed )|(ment ac)|(multiple cpu faults)|(system.+state.+changed )|(\[timeout)|(PRM\|1\|D)|(kpr)|(kdp)|(train st.+moving)|(\|lc)|(penalty))"</v>
      </c>
      <c r="AG45" s="245" t="str">
        <f t="shared" si="13"/>
        <v>EC</v>
      </c>
      <c r="AH45" s="237" t="str">
        <f t="shared" si="19"/>
        <v>"%USERPROFILE%\Documents\GitHub\eaglep3\Utilities\RefineRTDCRunTimes.py" --tripid 133-01 --locoid 4040 --swversion DE.1.0.9.0 --startMP 204:491 --initTime 2017-12-01T07:37:13 --startdatetime 2017-12-01T07:45:16 --delay 87 --endMP 204:233323 --enddatetime 2017-12-01T08:22:11 --enforcementcount 0 &gt;&gt;%USERPROFILE%\Documents\GitHub\eaglep3-reporting\EC\2017-12-01-refined-times.txt</v>
      </c>
      <c r="AI45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{"issue":{"subject":"","project_id":79,"tracker_id":40,"status_id":1,"priority_id":2,"assigned_to_id":338,"start_date":"2017-12-01","description":"","custom_fields":[{"id":1,"name":"Subdivision","value":"EC"},{"id":4,"name":"Milepost","value":"23.3323"},{"id":17,"name":"Train ID","value":"133-01"},{"id":16,"name":"Locomotive ID","value":"4040"},{"id":130,"name":"Impact","value":""},{"id":150,"name":"Time of Event (Mountain Time)","value":"08:22:11"},{"id":151,"name":"Denver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4"/>
      <c r="AK45" s="232"/>
      <c r="AL45" s="232"/>
      <c r="AM45" s="241" t="str">
        <f t="shared" si="21"/>
        <v>start /low /b %USERPROFILE%\Documents\GitHub\eaglep3\Utilities\DownloadLogsFromS3.py --loco 4040 --day 2017-12-01</v>
      </c>
      <c r="AN45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15:22:11"},{"id":29,"name":"Sharepoint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1" t="str">
        <f t="shared" si="23"/>
        <v>https://d0f6bd738d7f1b3e5a7ca70fe4ff75f0.us-east-1.aws.found.io/app/kibana#/discover/Steve-Slow-Train-Analysis-(2080s-and-2083s)?_g=(refreshInterval:(display:Off,pause:!f,section:0,value:0),time:(from:'2017-12-01T06:37:13-0700',mode:absolute,to:'2017-12-01T09:22:11-0700'))&amp;_a=(columns:!('Message%20ID',Summary),filters:!(),index:'emp_*',interval:auto,query:(query_string:(analyze_wildcard:!t,query:'%22rtdc.l.rtdc.4040%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230" t="s">
        <v>810</v>
      </c>
      <c r="B46" s="226">
        <v>4039</v>
      </c>
      <c r="C46" s="228" t="s">
        <v>192</v>
      </c>
      <c r="D46" s="228" t="s">
        <v>678</v>
      </c>
      <c r="E46" s="227">
        <v>43070.357511574075</v>
      </c>
      <c r="F46" s="227">
        <v>43070.364363425928</v>
      </c>
      <c r="G46" s="226">
        <v>165</v>
      </c>
      <c r="H46" s="228" t="s">
        <v>557</v>
      </c>
      <c r="I46" s="227">
        <v>43070.390289351853</v>
      </c>
      <c r="J46" s="226">
        <v>0</v>
      </c>
      <c r="K46" s="238" t="str">
        <f t="shared" si="0"/>
        <v>4039/4040</v>
      </c>
      <c r="L46" s="246" t="str">
        <f>VLOOKUP(A46,'Trips&amp;Operators'!$C$1:$G$99911,5,FALSE)</f>
        <v>STARKS ANGELINA</v>
      </c>
      <c r="M46" s="225">
        <f t="shared" si="1"/>
        <v>2.5925925925548654E-2</v>
      </c>
      <c r="N46" s="226">
        <f t="shared" si="24"/>
        <v>37.333333332790062</v>
      </c>
      <c r="O46" s="226"/>
      <c r="P46" s="226"/>
      <c r="Q46" s="229"/>
      <c r="R46" s="243"/>
      <c r="S46" s="250">
        <f t="shared" si="25"/>
        <v>1</v>
      </c>
      <c r="T46" s="243" t="str">
        <f t="shared" si="4"/>
        <v>Southbound</v>
      </c>
      <c r="U46" s="24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9" t="str">
        <f t="shared" si="5"/>
        <v>https://d0f6bd738d7f1b3e5a7ca70fe4ff75f0.us-east-1.aws.found.io/app/kibana#/discover/Steve-Slow-Train-Analysis-(2080s-and-2083s)?_g=(refreshInterval:(display:Off,pause:!f,section:0,value:0),time:(from:'2017-12-01T07:34:49-0700',mode:absolute,to:'2017-12-01T10:22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6" s="248" t="str">
        <f>IF(AA46&lt;VLOOKUP(AG46,Variables!$AC$3:$AD$8,2,FALSE),"Y","N")</f>
        <v>N</v>
      </c>
      <c r="X46" s="248">
        <f t="shared" si="26"/>
        <v>1</v>
      </c>
      <c r="Y46" s="248">
        <f t="shared" si="7"/>
        <v>23.299399999999999</v>
      </c>
      <c r="Z46" s="248">
        <f t="shared" si="8"/>
        <v>1.47E-2</v>
      </c>
      <c r="AA46" s="248">
        <f t="shared" si="9"/>
        <v>23.284699999999997</v>
      </c>
      <c r="AB46" s="234" t="e">
        <f>VLOOKUP(A46,Enforcements!$C$7:$K$9,8,0)</f>
        <v>#N/A</v>
      </c>
      <c r="AC46" s="233" t="e">
        <f>VLOOKUP(A46,Enforcements!$C$7:$E$9,3,0)</f>
        <v>#N/A</v>
      </c>
      <c r="AD46" s="244">
        <f t="shared" si="10"/>
        <v>134</v>
      </c>
      <c r="AE46" s="236" t="str">
        <f t="shared" si="11"/>
        <v>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 &amp; aws s3 cp s3://rtdc.mdm.uploadarchive.raw/RTDC4039/ "%USERPROFILE%\AppData\Local\Temp\OnboardLogs"\RTDC4039\2017-12-02 --exclude "*" --recursive --include "*20171202*" &amp; "%USERPROFILE%\Documents\GitHub\mrs-test-scripts\Headless Mode &amp; Sideloading\WalkAndUnGZ.bat" "%USERPROFILE%\AppData\Local\Temp\OnboardLogs"\RTDC4039\2017-12-02</v>
      </c>
      <c r="AF46" s="235" t="str">
        <f t="shared" si="12"/>
        <v>"C:\Program Files (x86)\AstroGrep\AstroGrep.exe" /e /r /s /spath="%USERPROFILE%\AppData\Local\Temp\OnboardLogs" /stypes="app*4039*20171201*" /stext=" 16:.+((SYSTEM_STATE.+slice.+state.+changed )|(ment ac)|(multiple cpu faults)|(system.+state.+changed )|(\[timeout)|(PRM\|1\|D)|(kpr)|(kdp)|(train st.+moving)|(\|lc)|(penalty))"</v>
      </c>
      <c r="AG46" s="245" t="str">
        <f t="shared" si="13"/>
        <v>EC</v>
      </c>
      <c r="AH46" s="237" t="str">
        <f t="shared" si="19"/>
        <v>"%USERPROFILE%\Documents\GitHub\eaglep3\Utilities\RefineRTDCRunTimes.py" --tripid 134-01 --locoid 4039 --swversion DE.1.0.9.0 --startMP 204:232994 --initTime 2017-12-01T08:34:49 --startdatetime 2017-12-01T08:44:41 --delay 165 --endMP 204:147 --enddatetime 2017-12-01T09:22:01 --enforcementcount 0 &gt;&gt;%USERPROFILE%\Documents\GitHub\eaglep3-reporting\EC\2017-12-01-refined-times.txt</v>
      </c>
      <c r="AI46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{"issue":{"subject":"","project_id":79,"tracker_id":40,"status_id":1,"priority_id":2,"assigned_to_id":338,"start_date":"2017-12-01","description":"","custom_fields":[{"id":1,"name":"Subdivision","value":"EC"},{"id":4,"name":"Milepost","value":"0.0147"},{"id":17,"name":"Train ID","value":"134-01"},{"id":16,"name":"Locomotive ID","value":"4039"},{"id":130,"name":"Impact","value":""},{"id":150,"name":"Time of Event (Mountain Time)","value":"09:22:01"},{"id":151,"name":"Denver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4"/>
      <c r="AK46" s="232"/>
      <c r="AL46" s="232"/>
      <c r="AM46" s="241" t="str">
        <f t="shared" si="21"/>
        <v>start /low /b %USERPROFILE%\Documents\GitHub\eaglep3\Utilities\DownloadLogsFromS3.py --loco 4039 --day 2017-12-01</v>
      </c>
      <c r="AN46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16:22:01"},{"id":29,"name":"Sharepoint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1" t="str">
        <f t="shared" si="23"/>
        <v>https://d0f6bd738d7f1b3e5a7ca70fe4ff75f0.us-east-1.aws.found.io/app/kibana#/discover/Steve-Slow-Train-Analysis-(2080s-and-2083s)?_g=(refreshInterval:(display:Off,pause:!f,section:0,value:0),time:(from:'2017-12-01T07:34:49-0700',mode:absolute,to:'2017-12-01T10:22:01-0700'))&amp;_a=(columns:!('Message%20ID',Summary),filters:!(),index:'emp_*',interval:auto,query:(query_string:(analyze_wildcard:!t,query:'%22rtdc.l.rtdc.4039%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230" t="s">
        <v>800</v>
      </c>
      <c r="B47" s="226">
        <v>4024</v>
      </c>
      <c r="C47" s="228" t="s">
        <v>192</v>
      </c>
      <c r="D47" s="228" t="s">
        <v>612</v>
      </c>
      <c r="E47" s="227">
        <v>43070.329155092593</v>
      </c>
      <c r="F47" s="227">
        <v>43070.333564814813</v>
      </c>
      <c r="G47" s="226">
        <v>66</v>
      </c>
      <c r="H47" s="228" t="s">
        <v>981</v>
      </c>
      <c r="I47" s="227">
        <v>43070.358055555553</v>
      </c>
      <c r="J47" s="226">
        <v>0</v>
      </c>
      <c r="K47" s="238" t="str">
        <f t="shared" si="0"/>
        <v>4023/4024</v>
      </c>
      <c r="L47" s="246" t="str">
        <f>VLOOKUP(A47,'Trips&amp;Operators'!$C$1:$G$99911,5,FALSE)</f>
        <v>LONG FULLER</v>
      </c>
      <c r="M47" s="225">
        <f t="shared" si="1"/>
        <v>2.4490740739565808E-2</v>
      </c>
      <c r="N47" s="226">
        <f t="shared" si="24"/>
        <v>35.266666664974764</v>
      </c>
      <c r="O47" s="226"/>
      <c r="P47" s="226"/>
      <c r="Q47" s="229"/>
      <c r="R47" s="243"/>
      <c r="S47" s="250">
        <f t="shared" si="25"/>
        <v>1</v>
      </c>
      <c r="T47" s="243" t="str">
        <f t="shared" si="4"/>
        <v>NorthBound</v>
      </c>
      <c r="U47" s="24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9" t="str">
        <f t="shared" si="5"/>
        <v>https://d0f6bd738d7f1b3e5a7ca70fe4ff75f0.us-east-1.aws.found.io/app/kibana#/discover/Steve-Slow-Train-Analysis-(2080s-and-2083s)?_g=(refreshInterval:(display:Off,pause:!f,section:0,value:0),time:(from:'2017-12-01T06:53:59-0700',mode:absolute,to:'2017-12-01T09:35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7" s="248" t="str">
        <f>IF(AA47&lt;VLOOKUP(AG47,Variables!$AC$3:$AD$8,2,FALSE),"Y","N")</f>
        <v>N</v>
      </c>
      <c r="X47" s="248">
        <f t="shared" si="26"/>
        <v>1</v>
      </c>
      <c r="Y47" s="248">
        <f t="shared" si="7"/>
        <v>4.8000000000000001E-2</v>
      </c>
      <c r="Z47" s="248">
        <f t="shared" si="8"/>
        <v>23.331099999999999</v>
      </c>
      <c r="AA47" s="248">
        <f t="shared" si="9"/>
        <v>23.283100000000001</v>
      </c>
      <c r="AB47" s="234" t="e">
        <f>VLOOKUP(A47,Enforcements!$C$7:$K$9,8,0)</f>
        <v>#N/A</v>
      </c>
      <c r="AC47" s="233" t="e">
        <f>VLOOKUP(A47,Enforcements!$C$7:$E$9,3,0)</f>
        <v>#N/A</v>
      </c>
      <c r="AD47" s="244">
        <f t="shared" si="10"/>
        <v>135</v>
      </c>
      <c r="AE47" s="236" t="str">
        <f t="shared" si="11"/>
        <v>aws s3 cp s3://rtdc.mdm.uploadarchive.raw/RTDC4024/ "%USERPROFILE%\AppData\Local\Temp\OnboardLogs"\RTDC4024\2017-12-01 --exclude "*" --recursive --include "*20171201*" &amp; "%USERPROFILE%\Documents\GitHub\mrs-test-scripts\Headless Mode &amp; Sideloading\WalkAndUnGZ.bat" "%USERPROFILE%\AppData\Local\Temp\OnboardLogs"\RTDC4024\2017-12-01 &amp; aws s3 cp s3://rtdc.mdm.uploadarchive.raw/RTDC4024/ "%USERPROFILE%\AppData\Local\Temp\OnboardLogs"\RTDC4024\2017-12-02 --exclude "*" --recursive --include "*20171202*" &amp; "%USERPROFILE%\Documents\GitHub\mrs-test-scripts\Headless Mode &amp; Sideloading\WalkAndUnGZ.bat" "%USERPROFILE%\AppData\Local\Temp\OnboardLogs"\RTDC4024\2017-12-02</v>
      </c>
      <c r="AF47" s="235" t="str">
        <f t="shared" si="12"/>
        <v>"C:\Program Files (x86)\AstroGrep\AstroGrep.exe" /e /r /s /spath="%USERPROFILE%\AppData\Local\Temp\OnboardLogs" /stypes="app*4024*20171201*" /stext=" 15:.+((SYSTEM_STATE.+slice.+state.+changed )|(ment ac)|(multiple cpu faults)|(system.+state.+changed )|(\[timeout)|(PRM\|1\|D)|(kpr)|(kdp)|(train st.+moving)|(\|lc)|(penalty))"</v>
      </c>
      <c r="AG47" s="245" t="str">
        <f t="shared" si="13"/>
        <v>EC</v>
      </c>
      <c r="AH47" s="237" t="str">
        <f t="shared" si="19"/>
        <v>"%USERPROFILE%\Documents\GitHub\eaglep3\Utilities\RefineRTDCRunTimes.py" --tripid 135-01 --locoid 4024 --swversion DE.1.0.9.0 --startMP 204:480 --initTime 2017-12-01T07:53:59 --startdatetime 2017-12-01T08:00:20 --delay 66 --endMP 204:233311 --enddatetime 2017-12-01T08:35:36 --enforcementcount 0 &gt;&gt;%USERPROFILE%\Documents\GitHub\eaglep3-reporting\EC\2017-12-01-refined-times.txt</v>
      </c>
      <c r="AI47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{"issue":{"subject":"","project_id":79,"tracker_id":40,"status_id":1,"priority_id":2,"assigned_to_id":338,"start_date":"2017-12-01","description":"","custom_fields":[{"id":1,"name":"Subdivision","value":"EC"},{"id":4,"name":"Milepost","value":"23.3311"},{"id":17,"name":"Train ID","value":"135-01"},{"id":16,"name":"Locomotive ID","value":"4024"},{"id":130,"name":"Impact","value":""},{"id":150,"name":"Time of Event (Mountain Time)","value":"08:35:36"},{"id":151,"name":"Denver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4"/>
      <c r="AK47" s="232"/>
      <c r="AL47" s="232"/>
      <c r="AM47" s="241" t="str">
        <f t="shared" si="21"/>
        <v>start /low /b %USERPROFILE%\Documents\GitHub\eaglep3\Utilities\DownloadLogsFromS3.py --loco 4024 --day 2017-12-01</v>
      </c>
      <c r="AN47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15:35:36"},{"id":29,"name":"Sharepoint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1" t="str">
        <f t="shared" si="23"/>
        <v>https://d0f6bd738d7f1b3e5a7ca70fe4ff75f0.us-east-1.aws.found.io/app/kibana#/discover/Steve-Slow-Train-Analysis-(2080s-and-2083s)?_g=(refreshInterval:(display:Off,pause:!f,section:0,value:0),time:(from:'2017-12-01T06:53:59-0700',mode:absolute,to:'2017-12-01T09:35:36-0700'))&amp;_a=(columns:!('Message%20ID',Summary),filters:!(),index:'emp_*',interval:auto,query:(query_string:(analyze_wildcard:!t,query:'%22rtdc.l.rtdc.4024%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230" t="s">
        <v>811</v>
      </c>
      <c r="B48" s="226">
        <v>4023</v>
      </c>
      <c r="C48" s="228" t="s">
        <v>192</v>
      </c>
      <c r="D48" s="228" t="s">
        <v>606</v>
      </c>
      <c r="E48" s="227">
        <v>43070.359305555554</v>
      </c>
      <c r="F48" s="227">
        <v>43070.373148148145</v>
      </c>
      <c r="G48" s="226">
        <v>48</v>
      </c>
      <c r="H48" s="228" t="s">
        <v>492</v>
      </c>
      <c r="I48" s="227">
        <v>43070.400000000001</v>
      </c>
      <c r="J48" s="226">
        <v>0</v>
      </c>
      <c r="K48" s="238" t="str">
        <f t="shared" si="0"/>
        <v>4023/4024</v>
      </c>
      <c r="L48" s="246" t="str">
        <f>VLOOKUP(A48,'Trips&amp;Operators'!$C$1:$G$99911,5,FALSE)</f>
        <v>LONG FULLER</v>
      </c>
      <c r="M48" s="225">
        <f t="shared" si="1"/>
        <v>2.6851851856918074E-2</v>
      </c>
      <c r="N48" s="226">
        <f t="shared" si="24"/>
        <v>38.666666673962027</v>
      </c>
      <c r="O48" s="226"/>
      <c r="P48" s="226"/>
      <c r="Q48" s="229"/>
      <c r="R48" s="243"/>
      <c r="S48" s="250">
        <f t="shared" si="25"/>
        <v>1</v>
      </c>
      <c r="T48" s="243" t="str">
        <f t="shared" si="4"/>
        <v>Southbound</v>
      </c>
      <c r="U48" s="24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9" t="str">
        <f t="shared" si="5"/>
        <v>https://d0f6bd738d7f1b3e5a7ca70fe4ff75f0.us-east-1.aws.found.io/app/kibana#/discover/Steve-Slow-Train-Analysis-(2080s-and-2083s)?_g=(refreshInterval:(display:Off,pause:!f,section:0,value:0),time:(from:'2017-12-01T07:37:24-0700',mode:absolute,to:'2017-12-01T10:36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8" s="248" t="str">
        <f>IF(AA48&lt;VLOOKUP(AG48,Variables!$AC$3:$AD$8,2,FALSE),"Y","N")</f>
        <v>N</v>
      </c>
      <c r="X48" s="248">
        <f t="shared" si="26"/>
        <v>1</v>
      </c>
      <c r="Y48" s="248">
        <f t="shared" si="7"/>
        <v>23.297799999999999</v>
      </c>
      <c r="Z48" s="248">
        <f t="shared" si="8"/>
        <v>1.38E-2</v>
      </c>
      <c r="AA48" s="248">
        <f t="shared" si="9"/>
        <v>23.283999999999999</v>
      </c>
      <c r="AB48" s="234" t="e">
        <f>VLOOKUP(A48,Enforcements!$C$7:$K$9,8,0)</f>
        <v>#N/A</v>
      </c>
      <c r="AC48" s="233" t="e">
        <f>VLOOKUP(A48,Enforcements!$C$7:$E$9,3,0)</f>
        <v>#N/A</v>
      </c>
      <c r="AD48" s="244">
        <f t="shared" si="10"/>
        <v>136</v>
      </c>
      <c r="AE48" s="236" t="str">
        <f t="shared" si="11"/>
        <v>aws s3 cp s3://rtdc.mdm.uploadarchive.raw/RTDC4023/ "%USERPROFILE%\AppData\Local\Temp\OnboardLogs"\RTDC4023\2017-12-01 --exclude "*" --recursive --include "*20171201*" &amp; "%USERPROFILE%\Documents\GitHub\mrs-test-scripts\Headless Mode &amp; Sideloading\WalkAndUnGZ.bat" "%USERPROFILE%\AppData\Local\Temp\OnboardLogs"\RTDC4023\2017-12-01 &amp; aws s3 cp s3://rtdc.mdm.uploadarchive.raw/RTDC4023/ "%USERPROFILE%\AppData\Local\Temp\OnboardLogs"\RTDC4023\2017-12-02 --exclude "*" --recursive --include "*20171202*" &amp; "%USERPROFILE%\Documents\GitHub\mrs-test-scripts\Headless Mode &amp; Sideloading\WalkAndUnGZ.bat" "%USERPROFILE%\AppData\Local\Temp\OnboardLogs"\RTDC4023\2017-12-02</v>
      </c>
      <c r="AF48" s="235" t="str">
        <f t="shared" si="12"/>
        <v>"C:\Program Files (x86)\AstroGrep\AstroGrep.exe" /e /r /s /spath="%USERPROFILE%\AppData\Local\Temp\OnboardLogs" /stypes="app*4023*20171201*" /stext=" 16:.+((SYSTEM_STATE.+slice.+state.+changed )|(ment ac)|(multiple cpu faults)|(system.+state.+changed )|(\[timeout)|(PRM\|1\|D)|(kpr)|(kdp)|(train st.+moving)|(\|lc)|(penalty))"</v>
      </c>
      <c r="AG48" s="245" t="str">
        <f t="shared" si="13"/>
        <v>EC</v>
      </c>
      <c r="AH48" s="237" t="str">
        <f t="shared" si="19"/>
        <v>"%USERPROFILE%\Documents\GitHub\eaglep3\Utilities\RefineRTDCRunTimes.py" --tripid 136-01 --locoid 4023 --swversion DE.1.0.9.0 --startMP 204:232978 --initTime 2017-12-01T08:37:24 --startdatetime 2017-12-01T08:57:20 --delay 48 --endMP 204:138 --enddatetime 2017-12-01T09:36:00 --enforcementcount 0 &gt;&gt;%USERPROFILE%\Documents\GitHub\eaglep3-reporting\EC\2017-12-01-refined-times.txt</v>
      </c>
      <c r="AI48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{"issue":{"subject":"","project_id":79,"tracker_id":40,"status_id":1,"priority_id":2,"assigned_to_id":338,"start_date":"2017-12-01","description":"","custom_fields":[{"id":1,"name":"Subdivision","value":"EC"},{"id":4,"name":"Milepost","value":"0.0138"},{"id":17,"name":"Train ID","value":"136-01"},{"id":16,"name":"Locomotive ID","value":"4023"},{"id":130,"name":"Impact","value":""},{"id":150,"name":"Time of Event (Mountain Time)","value":"09:36:00"},{"id":151,"name":"Denver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4"/>
      <c r="AK48" s="232"/>
      <c r="AL48" s="232"/>
      <c r="AM48" s="241" t="str">
        <f t="shared" si="21"/>
        <v>start /low /b %USERPROFILE%\Documents\GitHub\eaglep3\Utilities\DownloadLogsFromS3.py --loco 4023 --day 2017-12-01</v>
      </c>
      <c r="AN48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16:36:00"},{"id":29,"name":"Sharepoint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1" t="str">
        <f t="shared" si="23"/>
        <v>https://d0f6bd738d7f1b3e5a7ca70fe4ff75f0.us-east-1.aws.found.io/app/kibana#/discover/Steve-Slow-Train-Analysis-(2080s-and-2083s)?_g=(refreshInterval:(display:Off,pause:!f,section:0,value:0),time:(from:'2017-12-01T07:37:24-0700',mode:absolute,to:'2017-12-01T10:36:00-0700'))&amp;_a=(columns:!('Message%20ID',Summary),filters:!(),index:'emp_*',interval:auto,query:(query_string:(analyze_wildcard:!t,query:'%22rtdc.l.rtdc.4023%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230" t="s">
        <v>806</v>
      </c>
      <c r="B49" s="226">
        <v>4020</v>
      </c>
      <c r="C49" s="228" t="s">
        <v>192</v>
      </c>
      <c r="D49" s="228" t="s">
        <v>622</v>
      </c>
      <c r="E49" s="227">
        <v>43070.338321759256</v>
      </c>
      <c r="F49" s="227">
        <v>43070.343923611108</v>
      </c>
      <c r="G49" s="226">
        <v>51</v>
      </c>
      <c r="H49" s="228" t="s">
        <v>982</v>
      </c>
      <c r="I49" s="227">
        <v>43070.36923611111</v>
      </c>
      <c r="J49" s="226">
        <v>0</v>
      </c>
      <c r="K49" s="238" t="str">
        <f t="shared" si="0"/>
        <v>4019/4020</v>
      </c>
      <c r="L49" s="246" t="str">
        <f>VLOOKUP(A49,'Trips&amp;Operators'!$C$1:$G$99911,5,FALSE)</f>
        <v>LOPES KIMBERLY</v>
      </c>
      <c r="M49" s="225">
        <f t="shared" si="1"/>
        <v>2.531250000174623E-2</v>
      </c>
      <c r="N49" s="226">
        <f t="shared" si="24"/>
        <v>36.450000002514571</v>
      </c>
      <c r="O49" s="226"/>
      <c r="P49" s="226"/>
      <c r="Q49" s="229"/>
      <c r="R49" s="243"/>
      <c r="S49" s="250">
        <f t="shared" si="25"/>
        <v>1</v>
      </c>
      <c r="T49" s="243" t="str">
        <f t="shared" si="4"/>
        <v>NorthBound</v>
      </c>
      <c r="U49" s="24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9" t="str">
        <f t="shared" si="5"/>
        <v>https://d0f6bd738d7f1b3e5a7ca70fe4ff75f0.us-east-1.aws.found.io/app/kibana#/discover/Steve-Slow-Train-Analysis-(2080s-and-2083s)?_g=(refreshInterval:(display:Off,pause:!f,section:0,value:0),time:(from:'2017-12-01T07:07:11-0700',mode:absolute,to:'2017-12-01T09:51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9" s="248" t="str">
        <f>IF(AA49&lt;VLOOKUP(AG49,Variables!$AC$3:$AD$8,2,FALSE),"Y","N")</f>
        <v>N</v>
      </c>
      <c r="X49" s="248">
        <f t="shared" si="26"/>
        <v>1</v>
      </c>
      <c r="Y49" s="248">
        <f t="shared" si="7"/>
        <v>4.9700000000000001E-2</v>
      </c>
      <c r="Z49" s="248">
        <f t="shared" si="8"/>
        <v>23.320799999999998</v>
      </c>
      <c r="AA49" s="248">
        <f t="shared" si="9"/>
        <v>23.271099999999997</v>
      </c>
      <c r="AB49" s="234" t="e">
        <f>VLOOKUP(A49,Enforcements!$C$7:$K$9,8,0)</f>
        <v>#N/A</v>
      </c>
      <c r="AC49" s="233" t="e">
        <f>VLOOKUP(A49,Enforcements!$C$7:$E$9,3,0)</f>
        <v>#N/A</v>
      </c>
      <c r="AD49" s="244">
        <f t="shared" si="10"/>
        <v>137</v>
      </c>
      <c r="AE49" s="236" t="str">
        <f t="shared" si="11"/>
        <v>aws s3 cp s3://rtdc.mdm.uploadarchive.raw/RTDC4020/ "%USERPROFILE%\AppData\Local\Temp\OnboardLogs"\RTDC4020\2017-12-01 --exclude "*" --recursive --include "*20171201*" &amp; "%USERPROFILE%\Documents\GitHub\mrs-test-scripts\Headless Mode &amp; Sideloading\WalkAndUnGZ.bat" "%USERPROFILE%\AppData\Local\Temp\OnboardLogs"\RTDC4020\2017-12-01 &amp; aws s3 cp s3://rtdc.mdm.uploadarchive.raw/RTDC4020/ "%USERPROFILE%\AppData\Local\Temp\OnboardLogs"\RTDC4020\2017-12-02 --exclude "*" --recursive --include "*20171202*" &amp; "%USERPROFILE%\Documents\GitHub\mrs-test-scripts\Headless Mode &amp; Sideloading\WalkAndUnGZ.bat" "%USERPROFILE%\AppData\Local\Temp\OnboardLogs"\RTDC4020\2017-12-02</v>
      </c>
      <c r="AF49" s="235" t="str">
        <f t="shared" si="12"/>
        <v>"C:\Program Files (x86)\AstroGrep\AstroGrep.exe" /e /r /s /spath="%USERPROFILE%\AppData\Local\Temp\OnboardLogs" /stypes="app*4020*20171201*" /stext=" 15:.+((SYSTEM_STATE.+slice.+state.+changed )|(ment ac)|(multiple cpu faults)|(system.+state.+changed )|(\[timeout)|(PRM\|1\|D)|(kpr)|(kdp)|(train st.+moving)|(\|lc)|(penalty))"</v>
      </c>
      <c r="AG49" s="245" t="str">
        <f t="shared" si="13"/>
        <v>EC</v>
      </c>
      <c r="AH49" s="237" t="str">
        <f t="shared" si="19"/>
        <v>"%USERPROFILE%\Documents\GitHub\eaglep3\Utilities\RefineRTDCRunTimes.py" --tripid 137-01 --locoid 4020 --swversion DE.1.0.9.0 --startMP 204:497 --initTime 2017-12-01T08:07:11 --startdatetime 2017-12-01T08:15:15 --delay 51 --endMP 204:233208 --enddatetime 2017-12-01T08:51:42 --enforcementcount 0 &gt;&gt;%USERPROFILE%\Documents\GitHub\eaglep3-reporting\EC\2017-12-01-refined-times.txt</v>
      </c>
      <c r="AI49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{"issue":{"subject":"","project_id":79,"tracker_id":40,"status_id":1,"priority_id":2,"assigned_to_id":338,"start_date":"2017-12-01","description":"","custom_fields":[{"id":1,"name":"Subdivision","value":"EC"},{"id":4,"name":"Milepost","value":"23.3208"},{"id":17,"name":"Train ID","value":"137-01"},{"id":16,"name":"Locomotive ID","value":"4020"},{"id":130,"name":"Impact","value":""},{"id":150,"name":"Time of Event (Mountain Time)","value":"08:51:42"},{"id":151,"name":"Denver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4"/>
      <c r="AK49" s="232"/>
      <c r="AL49" s="232"/>
      <c r="AM49" s="241" t="str">
        <f t="shared" si="21"/>
        <v>start /low /b %USERPROFILE%\Documents\GitHub\eaglep3\Utilities\DownloadLogsFromS3.py --loco 4020 --day 2017-12-01</v>
      </c>
      <c r="AN49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15:51:42"},{"id":29,"name":"Sharepoint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1" t="str">
        <f t="shared" si="23"/>
        <v>https://d0f6bd738d7f1b3e5a7ca70fe4ff75f0.us-east-1.aws.found.io/app/kibana#/discover/Steve-Slow-Train-Analysis-(2080s-and-2083s)?_g=(refreshInterval:(display:Off,pause:!f,section:0,value:0),time:(from:'2017-12-01T07:07:11-0700',mode:absolute,to:'2017-12-01T09:51:42-0700'))&amp;_a=(columns:!('Message%20ID',Summary),filters:!(),index:'emp_*',interval:auto,query:(query_string:(analyze_wildcard:!t,query:'%22rtdc.l.rtdc.4020%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230" t="s">
        <v>813</v>
      </c>
      <c r="B50" s="226">
        <v>4019</v>
      </c>
      <c r="C50" s="228" t="s">
        <v>192</v>
      </c>
      <c r="D50" s="228" t="s">
        <v>559</v>
      </c>
      <c r="E50" s="227">
        <v>43070.370046296295</v>
      </c>
      <c r="F50" s="227">
        <v>43070.383761574078</v>
      </c>
      <c r="G50" s="226">
        <v>49</v>
      </c>
      <c r="H50" s="228" t="s">
        <v>422</v>
      </c>
      <c r="I50" s="227">
        <v>43070.40934027778</v>
      </c>
      <c r="J50" s="226">
        <v>0</v>
      </c>
      <c r="K50" s="238" t="str">
        <f t="shared" si="0"/>
        <v>4019/4020</v>
      </c>
      <c r="L50" s="246" t="str">
        <f>VLOOKUP(A50,'Trips&amp;Operators'!$C$1:$G$99911,5,FALSE)</f>
        <v>LOPES KIMBERLY</v>
      </c>
      <c r="M50" s="225">
        <f t="shared" si="1"/>
        <v>2.5578703702194616E-2</v>
      </c>
      <c r="N50" s="226">
        <f t="shared" si="24"/>
        <v>36.833333331160247</v>
      </c>
      <c r="O50" s="226"/>
      <c r="P50" s="226"/>
      <c r="Q50" s="229"/>
      <c r="R50" s="243"/>
      <c r="S50" s="250">
        <f t="shared" si="25"/>
        <v>1</v>
      </c>
      <c r="T50" s="243" t="str">
        <f t="shared" si="4"/>
        <v>Southbound</v>
      </c>
      <c r="U50" s="24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9" t="str">
        <f t="shared" si="5"/>
        <v>https://d0f6bd738d7f1b3e5a7ca70fe4ff75f0.us-east-1.aws.found.io/app/kibana#/discover/Steve-Slow-Train-Analysis-(2080s-and-2083s)?_g=(refreshInterval:(display:Off,pause:!f,section:0,value:0),time:(from:'2017-12-01T07:52:52-0700',mode:absolute,to:'2017-12-01T10:49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0" s="248" t="str">
        <f>IF(AA50&lt;VLOOKUP(AG50,Variables!$AC$3:$AD$8,2,FALSE),"Y","N")</f>
        <v>N</v>
      </c>
      <c r="X50" s="248">
        <f t="shared" si="26"/>
        <v>1</v>
      </c>
      <c r="Y50" s="248">
        <f t="shared" si="7"/>
        <v>23.288499999999999</v>
      </c>
      <c r="Z50" s="248">
        <f t="shared" si="8"/>
        <v>2.18E-2</v>
      </c>
      <c r="AA50" s="248">
        <f t="shared" si="9"/>
        <v>23.2667</v>
      </c>
      <c r="AB50" s="234" t="e">
        <f>VLOOKUP(A50,Enforcements!$C$7:$K$9,8,0)</f>
        <v>#N/A</v>
      </c>
      <c r="AC50" s="233" t="e">
        <f>VLOOKUP(A50,Enforcements!$C$7:$E$9,3,0)</f>
        <v>#N/A</v>
      </c>
      <c r="AD50" s="244">
        <f t="shared" si="10"/>
        <v>138</v>
      </c>
      <c r="AE50" s="236" t="str">
        <f t="shared" si="11"/>
        <v>aws s3 cp s3://rtdc.mdm.uploadarchive.raw/RTDC4019/ "%USERPROFILE%\AppData\Local\Temp\OnboardLogs"\RTDC4019\2017-12-01 --exclude "*" --recursive --include "*20171201*" &amp; "%USERPROFILE%\Documents\GitHub\mrs-test-scripts\Headless Mode &amp; Sideloading\WalkAndUnGZ.bat" "%USERPROFILE%\AppData\Local\Temp\OnboardLogs"\RTDC4019\2017-12-01 &amp; aws s3 cp s3://rtdc.mdm.uploadarchive.raw/RTDC4019/ "%USERPROFILE%\AppData\Local\Temp\OnboardLogs"\RTDC4019\2017-12-02 --exclude "*" --recursive --include "*20171202*" &amp; "%USERPROFILE%\Documents\GitHub\mrs-test-scripts\Headless Mode &amp; Sideloading\WalkAndUnGZ.bat" "%USERPROFILE%\AppData\Local\Temp\OnboardLogs"\RTDC4019\2017-12-02</v>
      </c>
      <c r="AF50" s="235" t="str">
        <f t="shared" si="12"/>
        <v>"C:\Program Files (x86)\AstroGrep\AstroGrep.exe" /e /r /s /spath="%USERPROFILE%\AppData\Local\Temp\OnboardLogs" /stypes="app*4019*20171201*" /stext=" 16:.+((SYSTEM_STATE.+slice.+state.+changed )|(ment ac)|(multiple cpu faults)|(system.+state.+changed )|(\[timeout)|(PRM\|1\|D)|(kpr)|(kdp)|(train st.+moving)|(\|lc)|(penalty))"</v>
      </c>
      <c r="AG50" s="245" t="str">
        <f t="shared" si="13"/>
        <v>EC</v>
      </c>
      <c r="AH50" s="237" t="str">
        <f t="shared" si="19"/>
        <v>"%USERPROFILE%\Documents\GitHub\eaglep3\Utilities\RefineRTDCRunTimes.py" --tripid 138-01 --locoid 4019 --swversion DE.1.0.9.0 --startMP 204:232885 --initTime 2017-12-01T08:52:52 --startdatetime 2017-12-01T09:12:37 --delay 49 --endMP 204:218 --enddatetime 2017-12-01T09:49:27 --enforcementcount 0 &gt;&gt;%USERPROFILE%\Documents\GitHub\eaglep3-reporting\EC\2017-12-01-refined-times.txt</v>
      </c>
      <c r="AI50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{"issue":{"subject":"","project_id":79,"tracker_id":40,"status_id":1,"priority_id":2,"assigned_to_id":338,"start_date":"2017-12-01","description":"","custom_fields":[{"id":1,"name":"Subdivision","value":"EC"},{"id":4,"name":"Milepost","value":"0.0218"},{"id":17,"name":"Train ID","value":"138-01"},{"id":16,"name":"Locomotive ID","value":"4019"},{"id":130,"name":"Impact","value":""},{"id":150,"name":"Time of Event (Mountain Time)","value":"09:49:27"},{"id":151,"name":"Denver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4"/>
      <c r="AK50" s="232"/>
      <c r="AL50" s="232"/>
      <c r="AM50" s="241" t="str">
        <f t="shared" si="21"/>
        <v>start /low /b %USERPROFILE%\Documents\GitHub\eaglep3\Utilities\DownloadLogsFromS3.py --loco 4019 --day 2017-12-01</v>
      </c>
      <c r="AN50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16:49:27"},{"id":29,"name":"Sharepoint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1" t="str">
        <f t="shared" si="23"/>
        <v>https://d0f6bd738d7f1b3e5a7ca70fe4ff75f0.us-east-1.aws.found.io/app/kibana#/discover/Steve-Slow-Train-Analysis-(2080s-and-2083s)?_g=(refreshInterval:(display:Off,pause:!f,section:0,value:0),time:(from:'2017-12-01T07:52:52-0700',mode:absolute,to:'2017-12-01T10:49:27-0700'))&amp;_a=(columns:!('Message%20ID',Summary),filters:!(),index:'emp_*',interval:auto,query:(query_string:(analyze_wildcard:!t,query:'%22rtdc.l.rtdc.4019%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230" t="s">
        <v>807</v>
      </c>
      <c r="B51" s="226">
        <v>4006</v>
      </c>
      <c r="C51" s="228" t="s">
        <v>192</v>
      </c>
      <c r="D51" s="228" t="s">
        <v>725</v>
      </c>
      <c r="E51" s="227">
        <v>43070.348321759258</v>
      </c>
      <c r="F51" s="227">
        <v>43070.354456018518</v>
      </c>
      <c r="G51" s="226">
        <v>39</v>
      </c>
      <c r="H51" s="228" t="s">
        <v>610</v>
      </c>
      <c r="I51" s="227">
        <v>43070.378136574072</v>
      </c>
      <c r="J51" s="226">
        <v>0</v>
      </c>
      <c r="K51" s="238" t="str">
        <f t="shared" si="0"/>
        <v>4005/4006</v>
      </c>
      <c r="L51" s="246" t="str">
        <f>VLOOKUP(A51,'Trips&amp;Operators'!$C$1:$G$99911,5,FALSE)</f>
        <v>YORK EDGAR</v>
      </c>
      <c r="M51" s="225">
        <f t="shared" si="1"/>
        <v>2.3680555554165039E-2</v>
      </c>
      <c r="N51" s="226">
        <f t="shared" si="24"/>
        <v>34.099999997997656</v>
      </c>
      <c r="O51" s="226"/>
      <c r="P51" s="226"/>
      <c r="Q51" s="229"/>
      <c r="R51" s="243"/>
      <c r="S51" s="250">
        <f t="shared" si="25"/>
        <v>1</v>
      </c>
      <c r="T51" s="243" t="str">
        <f t="shared" si="4"/>
        <v>NorthBound</v>
      </c>
      <c r="U51" s="24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9" t="str">
        <f t="shared" si="5"/>
        <v>https://d0f6bd738d7f1b3e5a7ca70fe4ff75f0.us-east-1.aws.found.io/app/kibana#/discover/Steve-Slow-Train-Analysis-(2080s-and-2083s)?_g=(refreshInterval:(display:Off,pause:!f,section:0,value:0),time:(from:'2017-12-01T07:21:35-0700',mode:absolute,to:'2017-12-01T10:04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1" s="248" t="str">
        <f>IF(AA51&lt;VLOOKUP(AG51,Variables!$AC$3:$AD$8,2,FALSE),"Y","N")</f>
        <v>N</v>
      </c>
      <c r="X51" s="248">
        <f t="shared" si="26"/>
        <v>1</v>
      </c>
      <c r="Y51" s="248">
        <f t="shared" si="7"/>
        <v>4.7100000000000003E-2</v>
      </c>
      <c r="Z51" s="248">
        <f t="shared" si="8"/>
        <v>23.328199999999999</v>
      </c>
      <c r="AA51" s="248">
        <f t="shared" si="9"/>
        <v>23.281099999999999</v>
      </c>
      <c r="AB51" s="234" t="e">
        <f>VLOOKUP(A51,Enforcements!$C$7:$K$9,8,0)</f>
        <v>#N/A</v>
      </c>
      <c r="AC51" s="233" t="e">
        <f>VLOOKUP(A51,Enforcements!$C$7:$E$9,3,0)</f>
        <v>#N/A</v>
      </c>
      <c r="AD51" s="244">
        <f t="shared" si="10"/>
        <v>139</v>
      </c>
      <c r="AE51" s="236" t="str">
        <f t="shared" si="11"/>
        <v>aws s3 cp s3://rtdc.mdm.uploadarchive.raw/RTDC4006/ "%USERPROFILE%\AppData\Local\Temp\OnboardLogs"\RTDC4006\2017-12-01 --exclude "*" --recursive --include "*20171201*" &amp; "%USERPROFILE%\Documents\GitHub\mrs-test-scripts\Headless Mode &amp; Sideloading\WalkAndUnGZ.bat" "%USERPROFILE%\AppData\Local\Temp\OnboardLogs"\RTDC4006\2017-12-01 &amp; aws s3 cp s3://rtdc.mdm.uploadarchive.raw/RTDC4006/ "%USERPROFILE%\AppData\Local\Temp\OnboardLogs"\RTDC4006\2017-12-02 --exclude "*" --recursive --include "*20171202*" &amp; "%USERPROFILE%\Documents\GitHub\mrs-test-scripts\Headless Mode &amp; Sideloading\WalkAndUnGZ.bat" "%USERPROFILE%\AppData\Local\Temp\OnboardLogs"\RTDC4006\2017-12-02</v>
      </c>
      <c r="AF51" s="235" t="str">
        <f t="shared" si="12"/>
        <v>"C:\Program Files (x86)\AstroGrep\AstroGrep.exe" /e /r /s /spath="%USERPROFILE%\AppData\Local\Temp\OnboardLogs" /stypes="app*4006*20171201*" /stext=" 16:.+((SYSTEM_STATE.+slice.+state.+changed )|(ment ac)|(multiple cpu faults)|(system.+state.+changed )|(\[timeout)|(PRM\|1\|D)|(kpr)|(kdp)|(train st.+moving)|(\|lc)|(penalty))"</v>
      </c>
      <c r="AG51" s="245" t="str">
        <f t="shared" si="13"/>
        <v>EC</v>
      </c>
      <c r="AH51" s="237" t="str">
        <f t="shared" si="19"/>
        <v>"%USERPROFILE%\Documents\GitHub\eaglep3\Utilities\RefineRTDCRunTimes.py" --tripid 139-01 --locoid 4006 --swversion DE.1.0.9.0 --startMP 204:471 --initTime 2017-12-01T08:21:35 --startdatetime 2017-12-01T08:30:25 --delay 39 --endMP 204:233282 --enddatetime 2017-12-01T09:04:31 --enforcementcount 0 &gt;&gt;%USERPROFILE%\Documents\GitHub\eaglep3-reporting\EC\2017-12-01-refined-times.txt</v>
      </c>
      <c r="AI51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{"issue":{"subject":"","project_id":79,"tracker_id":40,"status_id":1,"priority_id":2,"assigned_to_id":338,"start_date":"2017-12-01","description":"","custom_fields":[{"id":1,"name":"Subdivision","value":"EC"},{"id":4,"name":"Milepost","value":"23.3282"},{"id":17,"name":"Train ID","value":"139-01"},{"id":16,"name":"Locomotive ID","value":"4006"},{"id":130,"name":"Impact","value":""},{"id":150,"name":"Time of Event (Mountain Time)","value":"09:04:31"},{"id":151,"name":"Denver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4"/>
      <c r="AK51" s="232"/>
      <c r="AL51" s="232"/>
      <c r="AM51" s="241" t="str">
        <f t="shared" si="21"/>
        <v>start /low /b %USERPROFILE%\Documents\GitHub\eaglep3\Utilities\DownloadLogsFromS3.py --loco 4006 --day 2017-12-01</v>
      </c>
      <c r="AN51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16:04:31"},{"id":29,"name":"Sharepoint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1" t="str">
        <f t="shared" si="23"/>
        <v>https://d0f6bd738d7f1b3e5a7ca70fe4ff75f0.us-east-1.aws.found.io/app/kibana#/discover/Steve-Slow-Train-Analysis-(2080s-and-2083s)?_g=(refreshInterval:(display:Off,pause:!f,section:0,value:0),time:(from:'2017-12-01T07:21:35-0700',mode:absolute,to:'2017-12-01T10:04:31-0700'))&amp;_a=(columns:!('Message%20ID',Summary),filters:!(),index:'emp_*',interval:auto,query:(query_string:(analyze_wildcard:!t,query:'%22rtdc.l.rtdc.4006%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230" t="s">
        <v>816</v>
      </c>
      <c r="B52" s="226">
        <v>4005</v>
      </c>
      <c r="C52" s="228" t="s">
        <v>192</v>
      </c>
      <c r="D52" s="228" t="s">
        <v>684</v>
      </c>
      <c r="E52" s="227">
        <v>43070.379131944443</v>
      </c>
      <c r="F52" s="227">
        <v>43070.394004629627</v>
      </c>
      <c r="G52" s="226">
        <v>42</v>
      </c>
      <c r="H52" s="228" t="s">
        <v>695</v>
      </c>
      <c r="I52" s="227">
        <v>43070.418796296297</v>
      </c>
      <c r="J52" s="226">
        <v>0</v>
      </c>
      <c r="K52" s="238" t="str">
        <f t="shared" si="0"/>
        <v>4005/4006</v>
      </c>
      <c r="L52" s="246" t="str">
        <f>VLOOKUP(A52,'Trips&amp;Operators'!$C$1:$G$99911,5,FALSE)</f>
        <v>YORK EDGAR</v>
      </c>
      <c r="M52" s="225">
        <f t="shared" si="1"/>
        <v>2.4791666670353152E-2</v>
      </c>
      <c r="N52" s="226">
        <f t="shared" si="24"/>
        <v>35.700000005308539</v>
      </c>
      <c r="O52" s="226"/>
      <c r="P52" s="226"/>
      <c r="Q52" s="229"/>
      <c r="R52" s="243"/>
      <c r="S52" s="250">
        <f t="shared" si="25"/>
        <v>1</v>
      </c>
      <c r="T52" s="243" t="str">
        <f t="shared" si="4"/>
        <v>Southbound</v>
      </c>
      <c r="U52" s="24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9" t="str">
        <f t="shared" si="5"/>
        <v>https://d0f6bd738d7f1b3e5a7ca70fe4ff75f0.us-east-1.aws.found.io/app/kibana#/discover/Steve-Slow-Train-Analysis-(2080s-and-2083s)?_g=(refreshInterval:(display:Off,pause:!f,section:0,value:0),time:(from:'2017-12-01T08:05:57-0700',mode:absolute,to:'2017-12-01T11:03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2" s="248" t="str">
        <f>IF(AA52&lt;VLOOKUP(AG52,Variables!$AC$3:$AD$8,2,FALSE),"Y","N")</f>
        <v>N</v>
      </c>
      <c r="X52" s="248">
        <f t="shared" si="26"/>
        <v>1</v>
      </c>
      <c r="Y52" s="248">
        <f t="shared" si="7"/>
        <v>23.296700000000001</v>
      </c>
      <c r="Z52" s="248">
        <f t="shared" si="8"/>
        <v>1.67E-2</v>
      </c>
      <c r="AA52" s="248">
        <f t="shared" si="9"/>
        <v>23.28</v>
      </c>
      <c r="AB52" s="234" t="e">
        <f>VLOOKUP(A52,Enforcements!$C$7:$K$9,8,0)</f>
        <v>#N/A</v>
      </c>
      <c r="AC52" s="233" t="e">
        <f>VLOOKUP(A52,Enforcements!$C$7:$E$9,3,0)</f>
        <v>#N/A</v>
      </c>
      <c r="AD52" s="244">
        <f t="shared" si="10"/>
        <v>140</v>
      </c>
      <c r="AE52" s="236" t="str">
        <f t="shared" si="11"/>
        <v>aws s3 cp s3://rtdc.mdm.uploadarchive.raw/RTDC4005/ "%USERPROFILE%\AppData\Local\Temp\OnboardLogs"\RTDC4005\2017-12-01 --exclude "*" --recursive --include "*20171201*" &amp; "%USERPROFILE%\Documents\GitHub\mrs-test-scripts\Headless Mode &amp; Sideloading\WalkAndUnGZ.bat" "%USERPROFILE%\AppData\Local\Temp\OnboardLogs"\RTDC4005\2017-12-01 &amp; aws s3 cp s3://rtdc.mdm.uploadarchive.raw/RTDC4005/ "%USERPROFILE%\AppData\Local\Temp\OnboardLogs"\RTDC4005\2017-12-02 --exclude "*" --recursive --include "*20171202*" &amp; "%USERPROFILE%\Documents\GitHub\mrs-test-scripts\Headless Mode &amp; Sideloading\WalkAndUnGZ.bat" "%USERPROFILE%\AppData\Local\Temp\OnboardLogs"\RTDC4005\2017-12-02</v>
      </c>
      <c r="AF52" s="235" t="str">
        <f t="shared" si="12"/>
        <v>"C:\Program Files (x86)\AstroGrep\AstroGrep.exe" /e /r /s /spath="%USERPROFILE%\AppData\Local\Temp\OnboardLogs" /stypes="app*4005*20171201*" /stext=" 17:.+((SYSTEM_STATE.+slice.+state.+changed )|(ment ac)|(multiple cpu faults)|(system.+state.+changed )|(\[timeout)|(PRM\|1\|D)|(kpr)|(kdp)|(train st.+moving)|(\|lc)|(penalty))"</v>
      </c>
      <c r="AG52" s="245" t="str">
        <f t="shared" si="13"/>
        <v>EC</v>
      </c>
      <c r="AH52" s="237" t="str">
        <f t="shared" si="19"/>
        <v>"%USERPROFILE%\Documents\GitHub\eaglep3\Utilities\RefineRTDCRunTimes.py" --tripid 140-01 --locoid 4005 --swversion DE.1.0.9.0 --startMP 204:232967 --initTime 2017-12-01T09:05:57 --startdatetime 2017-12-01T09:27:22 --delay 42 --endMP 204:167 --enddatetime 2017-12-01T10:03:04 --enforcementcount 0 &gt;&gt;%USERPROFILE%\Documents\GitHub\eaglep3-reporting\EC\2017-12-01-refined-times.txt</v>
      </c>
      <c r="AI52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{"issue":{"subject":"","project_id":79,"tracker_id":40,"status_id":1,"priority_id":2,"assigned_to_id":338,"start_date":"2017-12-01","description":"","custom_fields":[{"id":1,"name":"Subdivision","value":"EC"},{"id":4,"name":"Milepost","value":"0.0167"},{"id":17,"name":"Train ID","value":"140-01"},{"id":16,"name":"Locomotive ID","value":"4005"},{"id":130,"name":"Impact","value":""},{"id":150,"name":"Time of Event (Mountain Time)","value":"10:03:04"},{"id":151,"name":"Denver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4"/>
      <c r="AK52" s="232"/>
      <c r="AL52" s="232"/>
      <c r="AM52" s="241" t="str">
        <f t="shared" si="21"/>
        <v>start /low /b %USERPROFILE%\Documents\GitHub\eaglep3\Utilities\DownloadLogsFromS3.py --loco 4005 --day 2017-12-01</v>
      </c>
      <c r="AN52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17:03:04"},{"id":29,"name":"Sharepoint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1" t="str">
        <f t="shared" si="23"/>
        <v>https://d0f6bd738d7f1b3e5a7ca70fe4ff75f0.us-east-1.aws.found.io/app/kibana#/discover/Steve-Slow-Train-Analysis-(2080s-and-2083s)?_g=(refreshInterval:(display:Off,pause:!f,section:0,value:0),time:(from:'2017-12-01T08:05:57-0700',mode:absolute,to:'2017-12-01T11:03:04-0700'))&amp;_a=(columns:!('Message%20ID',Summary),filters:!(),index:'emp_*',interval:auto,query:(query_string:(analyze_wildcard:!t,query:'%22rtdc.l.rtdc.4005%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230" t="s">
        <v>812</v>
      </c>
      <c r="B53" s="226">
        <v>4046</v>
      </c>
      <c r="C53" s="228" t="s">
        <v>192</v>
      </c>
      <c r="D53" s="228" t="s">
        <v>504</v>
      </c>
      <c r="E53" s="227">
        <v>43070.363067129627</v>
      </c>
      <c r="F53" s="227">
        <v>43070.364965277775</v>
      </c>
      <c r="G53" s="226">
        <v>83</v>
      </c>
      <c r="H53" s="228" t="s">
        <v>499</v>
      </c>
      <c r="I53" s="227">
        <v>43070.389374999999</v>
      </c>
      <c r="J53" s="226">
        <v>0</v>
      </c>
      <c r="K53" s="238" t="str">
        <f t="shared" si="0"/>
        <v>4045/4046</v>
      </c>
      <c r="L53" s="246" t="str">
        <f>VLOOKUP(A53,'Trips&amp;Operators'!$C$1:$G$99911,5,FALSE)</f>
        <v>MACDONALD THOMAS</v>
      </c>
      <c r="M53" s="225">
        <f t="shared" si="1"/>
        <v>2.4409722223936114E-2</v>
      </c>
      <c r="N53" s="226">
        <f t="shared" si="24"/>
        <v>35.150000002468005</v>
      </c>
      <c r="O53" s="226"/>
      <c r="P53" s="226"/>
      <c r="Q53" s="229"/>
      <c r="R53" s="243"/>
      <c r="S53" s="250">
        <f t="shared" si="25"/>
        <v>1</v>
      </c>
      <c r="T53" s="243" t="str">
        <f t="shared" si="4"/>
        <v>NorthBound</v>
      </c>
      <c r="U53" s="24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9" t="str">
        <f t="shared" si="5"/>
        <v>https://d0f6bd738d7f1b3e5a7ca70fe4ff75f0.us-east-1.aws.found.io/app/kibana#/discover/Steve-Slow-Train-Analysis-(2080s-and-2083s)?_g=(refreshInterval:(display:Off,pause:!f,section:0,value:0),time:(from:'2017-12-01T07:42:49-0700',mode:absolute,to:'2017-12-01T10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3" s="248" t="str">
        <f>IF(AA53&lt;VLOOKUP(AG53,Variables!$AC$3:$AD$8,2,FALSE),"Y","N")</f>
        <v>N</v>
      </c>
      <c r="X53" s="248">
        <f t="shared" si="26"/>
        <v>1</v>
      </c>
      <c r="Y53" s="248">
        <f t="shared" si="7"/>
        <v>5.1700000000000003E-2</v>
      </c>
      <c r="Z53" s="248">
        <f t="shared" si="8"/>
        <v>23.322299999999998</v>
      </c>
      <c r="AA53" s="248">
        <f t="shared" si="9"/>
        <v>23.270599999999998</v>
      </c>
      <c r="AB53" s="234" t="e">
        <f>VLOOKUP(A53,Enforcements!$C$7:$K$9,8,0)</f>
        <v>#N/A</v>
      </c>
      <c r="AC53" s="233" t="e">
        <f>VLOOKUP(A53,Enforcements!$C$7:$E$9,3,0)</f>
        <v>#N/A</v>
      </c>
      <c r="AD53" s="244">
        <f t="shared" si="10"/>
        <v>141</v>
      </c>
      <c r="AE53" s="236" t="str">
        <f t="shared" si="11"/>
        <v>aws s3 cp s3://rtdc.mdm.uploadarchive.raw/RTDC4046/ "%USERPROFILE%\AppData\Local\Temp\OnboardLogs"\RTDC4046\2017-12-01 --exclude "*" --recursive --include "*20171201*" &amp; "%USERPROFILE%\Documents\GitHub\mrs-test-scripts\Headless Mode &amp; Sideloading\WalkAndUnGZ.bat" "%USERPROFILE%\AppData\Local\Temp\OnboardLogs"\RTDC4046\2017-12-01 &amp; aws s3 cp s3://rtdc.mdm.uploadarchive.raw/RTDC4046/ "%USERPROFILE%\AppData\Local\Temp\OnboardLogs"\RTDC4046\2017-12-02 --exclude "*" --recursive --include "*20171202*" &amp; "%USERPROFILE%\Documents\GitHub\mrs-test-scripts\Headless Mode &amp; Sideloading\WalkAndUnGZ.bat" "%USERPROFILE%\AppData\Local\Temp\OnboardLogs"\RTDC4046\2017-12-02</v>
      </c>
      <c r="AF53" s="235" t="str">
        <f t="shared" si="12"/>
        <v>"C:\Program Files (x86)\AstroGrep\AstroGrep.exe" /e /r /s /spath="%USERPROFILE%\AppData\Local\Temp\OnboardLogs" /stypes="app*4046*20171201*" /stext=" 16:.+((SYSTEM_STATE.+slice.+state.+changed )|(ment ac)|(multiple cpu faults)|(system.+state.+changed )|(\[timeout)|(PRM\|1\|D)|(kpr)|(kdp)|(train st.+moving)|(\|lc)|(penalty))"</v>
      </c>
      <c r="AG53" s="245" t="str">
        <f t="shared" si="13"/>
        <v>EC</v>
      </c>
      <c r="AH53" s="237" t="str">
        <f t="shared" si="19"/>
        <v>"%USERPROFILE%\Documents\GitHub\eaglep3\Utilities\RefineRTDCRunTimes.py" --tripid 141-01 --locoid 4046 --swversion DE.1.0.9.0 --startMP 204:517 --initTime 2017-12-01T08:42:49 --startdatetime 2017-12-01T08:45:33 --delay 83 --endMP 204:233223 --enddatetime 2017-12-01T09:20:42 --enforcementcount 0 &gt;&gt;%USERPROFILE%\Documents\GitHub\eaglep3-reporting\EC\2017-12-01-refined-times.txt</v>
      </c>
      <c r="AI53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{"issue":{"subject":"","project_id":79,"tracker_id":40,"status_id":1,"priority_id":2,"assigned_to_id":338,"start_date":"2017-12-01","description":"","custom_fields":[{"id":1,"name":"Subdivision","value":"EC"},{"id":4,"name":"Milepost","value":"23.3223"},{"id":17,"name":"Train ID","value":"141-01"},{"id":16,"name":"Locomotive ID","value":"4046"},{"id":130,"name":"Impact","value":""},{"id":150,"name":"Time of Event (Mountain Time)","value":"09:20:42"},{"id":151,"name":"Denver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4"/>
      <c r="AK53" s="232"/>
      <c r="AL53" s="232"/>
      <c r="AM53" s="241" t="str">
        <f t="shared" si="21"/>
        <v>start /low /b %USERPROFILE%\Documents\GitHub\eaglep3\Utilities\DownloadLogsFromS3.py --loco 4046 --day 2017-12-01</v>
      </c>
      <c r="AN53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16:20:42"},{"id":29,"name":"Sharepoint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1" t="str">
        <f t="shared" si="23"/>
        <v>https://d0f6bd738d7f1b3e5a7ca70fe4ff75f0.us-east-1.aws.found.io/app/kibana#/discover/Steve-Slow-Train-Analysis-(2080s-and-2083s)?_g=(refreshInterval:(display:Off,pause:!f,section:0,value:0),time:(from:'2017-12-01T07:42:49-0700',mode:absolute,to:'2017-12-01T10:20:42-0700'))&amp;_a=(columns:!('Message%20ID',Summary),filters:!(),index:'emp_*',interval:auto,query:(query_string:(analyze_wildcard:!t,query:'%22rtdc.l.rtdc.4046%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230" t="s">
        <v>730</v>
      </c>
      <c r="B54" s="226">
        <v>4045</v>
      </c>
      <c r="C54" s="228" t="s">
        <v>192</v>
      </c>
      <c r="D54" s="228" t="s">
        <v>635</v>
      </c>
      <c r="E54" s="227">
        <v>43070.403067129628</v>
      </c>
      <c r="F54" s="227">
        <v>43070.404409722221</v>
      </c>
      <c r="G54" s="226">
        <v>60</v>
      </c>
      <c r="H54" s="228" t="s">
        <v>621</v>
      </c>
      <c r="I54" s="227">
        <v>43070.43241898148</v>
      </c>
      <c r="J54" s="226">
        <v>0</v>
      </c>
      <c r="K54" s="238" t="str">
        <f t="shared" si="0"/>
        <v>4045/4046</v>
      </c>
      <c r="L54" s="246" t="str">
        <f>VLOOKUP(A54,'Trips&amp;Operators'!$C$1:$G$99911,5,FALSE)</f>
        <v>MACDONALD THOMAS</v>
      </c>
      <c r="M54" s="225">
        <f t="shared" si="1"/>
        <v>2.8009259258396924E-2</v>
      </c>
      <c r="N54" s="226">
        <f t="shared" si="24"/>
        <v>40.33333333209157</v>
      </c>
      <c r="O54" s="226"/>
      <c r="P54" s="226"/>
      <c r="Q54" s="229"/>
      <c r="R54" s="243"/>
      <c r="S54" s="250">
        <f t="shared" si="25"/>
        <v>1</v>
      </c>
      <c r="T54" s="243" t="str">
        <f t="shared" si="4"/>
        <v>Southbound</v>
      </c>
      <c r="U54" s="24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9" t="str">
        <f t="shared" si="5"/>
        <v>https://d0f6bd738d7f1b3e5a7ca70fe4ff75f0.us-east-1.aws.found.io/app/kibana#/discover/Steve-Slow-Train-Analysis-(2080s-and-2083s)?_g=(refreshInterval:(display:Off,pause:!f,section:0,value:0),time:(from:'2017-12-01T08:40:25-0700',mode:absolute,to:'2017-12-01T11:22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4" s="248" t="str">
        <f>IF(AA54&lt;VLOOKUP(AG54,Variables!$AC$3:$AD$8,2,FALSE),"Y","N")</f>
        <v>N</v>
      </c>
      <c r="X54" s="248">
        <f t="shared" si="26"/>
        <v>1</v>
      </c>
      <c r="Y54" s="248">
        <f t="shared" si="7"/>
        <v>23.290800000000001</v>
      </c>
      <c r="Z54" s="248">
        <f t="shared" si="8"/>
        <v>2.4199999999999999E-2</v>
      </c>
      <c r="AA54" s="248">
        <f t="shared" si="9"/>
        <v>23.2666</v>
      </c>
      <c r="AB54" s="234" t="str">
        <f>VLOOKUP(A54,Enforcements!$C$7:$K$9,8,0)</f>
        <v>Bulletin (2)</v>
      </c>
      <c r="AC54" s="233" t="str">
        <f>VLOOKUP(A54,Enforcements!$C$7:$E$9,3,0)</f>
        <v>GRADE CROSSING</v>
      </c>
      <c r="AD54" s="244">
        <f t="shared" si="10"/>
        <v>142</v>
      </c>
      <c r="AE54" s="236" t="str">
        <f t="shared" si="11"/>
        <v>aws s3 cp s3://rtdc.mdm.uploadarchive.raw/RTDC4045/ "%USERPROFILE%\AppData\Local\Temp\OnboardLogs"\RTDC4045\2017-12-01 --exclude "*" --recursive --include "*20171201*" &amp; "%USERPROFILE%\Documents\GitHub\mrs-test-scripts\Headless Mode &amp; Sideloading\WalkAndUnGZ.bat" "%USERPROFILE%\AppData\Local\Temp\OnboardLogs"\RTDC4045\2017-12-01 &amp; aws s3 cp s3://rtdc.mdm.uploadarchive.raw/RTDC4045/ "%USERPROFILE%\AppData\Local\Temp\OnboardLogs"\RTDC4045\2017-12-02 --exclude "*" --recursive --include "*20171202*" &amp; "%USERPROFILE%\Documents\GitHub\mrs-test-scripts\Headless Mode &amp; Sideloading\WalkAndUnGZ.bat" "%USERPROFILE%\AppData\Local\Temp\OnboardLogs"\RTDC4045\2017-12-02</v>
      </c>
      <c r="AF54" s="235" t="str">
        <f t="shared" si="12"/>
        <v>"C:\Program Files (x86)\AstroGrep\AstroGrep.exe" /e /r /s /spath="%USERPROFILE%\AppData\Local\Temp\OnboardLogs" /stypes="app*4045*20171201*" /stext=" 17:.+((SYSTEM_STATE.+slice.+state.+changed )|(ment ac)|(multiple cpu faults)|(system.+state.+changed )|(\[timeout)|(PRM\|1\|D)|(kpr)|(kdp)|(train st.+moving)|(\|lc)|(penalty))"</v>
      </c>
      <c r="AG54" s="245" t="str">
        <f t="shared" si="13"/>
        <v>EC</v>
      </c>
      <c r="AH54" s="237" t="str">
        <f t="shared" si="19"/>
        <v>"%USERPROFILE%\Documents\GitHub\eaglep3\Utilities\RefineRTDCRunTimes.py" --tripid 142-01 --locoid 4045 --swversion DE.1.0.9.0 --startMP 204:232908 --initTime 2017-12-01T09:40:25 --startdatetime 2017-12-01T09:42:21 --delay 60 --endMP 204:242 --enddatetime 2017-12-01T10:22:41 --enforcementcount 0 &gt;&gt;%USERPROFILE%\Documents\GitHub\eaglep3-reporting\EC\2017-12-01-refined-times.txt</v>
      </c>
      <c r="AI54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{"issue":{"subject":"","project_id":79,"tracker_id":40,"status_id":1,"priority_id":2,"assigned_to_id":338,"start_date":"2017-12-01","description":"","custom_fields":[{"id":1,"name":"Subdivision","value":"EC"},{"id":4,"name":"Milepost","value":"0.0242"},{"id":17,"name":"Train ID","value":"142-01"},{"id":16,"name":"Locomotive ID","value":"4045"},{"id":130,"name":"Impact","value":""},{"id":150,"name":"Time of Event (Mountain Time)","value":"10:22:41"},{"id":151,"name":"Denver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4"/>
      <c r="AK54" s="232"/>
      <c r="AL54" s="232"/>
      <c r="AM54" s="241" t="str">
        <f t="shared" si="21"/>
        <v>start /low /b %USERPROFILE%\Documents\GitHub\eaglep3\Utilities\DownloadLogsFromS3.py --loco 4045 --day 2017-12-01</v>
      </c>
      <c r="AN54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17:22:41"},{"id":29,"name":"Sharepoint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1" t="str">
        <f t="shared" si="23"/>
        <v>https://d0f6bd738d7f1b3e5a7ca70fe4ff75f0.us-east-1.aws.found.io/app/kibana#/discover/Steve-Slow-Train-Analysis-(2080s-and-2083s)?_g=(refreshInterval:(display:Off,pause:!f,section:0,value:0),time:(from:'2017-12-01T08:40:25-0700',mode:absolute,to:'2017-12-01T11:22:41-0700'))&amp;_a=(columns:!('Message%20ID',Summary),filters:!(),index:'emp_*',interval:auto,query:(query_string:(analyze_wildcard:!t,query:'%22rtdc.l.rtdc.4045%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230" t="s">
        <v>814</v>
      </c>
      <c r="B55" s="226">
        <v>4002</v>
      </c>
      <c r="C55" s="228" t="s">
        <v>192</v>
      </c>
      <c r="D55" s="228" t="s">
        <v>656</v>
      </c>
      <c r="E55" s="227">
        <v>43070.371423611112</v>
      </c>
      <c r="F55" s="227">
        <v>43070.375173611108</v>
      </c>
      <c r="G55" s="226">
        <v>55</v>
      </c>
      <c r="H55" s="228" t="s">
        <v>434</v>
      </c>
      <c r="I55" s="227">
        <v>43070.399375000001</v>
      </c>
      <c r="J55" s="226">
        <v>0</v>
      </c>
      <c r="K55" s="238" t="str">
        <f t="shared" si="0"/>
        <v>4001/4002</v>
      </c>
      <c r="L55" s="246" t="str">
        <f>VLOOKUP(A55,'Trips&amp;Operators'!$C$1:$G$99911,5,FALSE)</f>
        <v>MAELZER KURT</v>
      </c>
      <c r="M55" s="225">
        <f t="shared" si="1"/>
        <v>2.4201388892834075E-2</v>
      </c>
      <c r="N55" s="226">
        <f t="shared" si="24"/>
        <v>34.850000005681068</v>
      </c>
      <c r="O55" s="226"/>
      <c r="P55" s="226"/>
      <c r="Q55" s="229"/>
      <c r="R55" s="243"/>
      <c r="S55" s="250">
        <f t="shared" si="25"/>
        <v>1</v>
      </c>
      <c r="T55" s="243" t="str">
        <f t="shared" si="4"/>
        <v>NorthBound</v>
      </c>
      <c r="U55" s="24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9" t="str">
        <f t="shared" si="5"/>
        <v>https://d0f6bd738d7f1b3e5a7ca70fe4ff75f0.us-east-1.aws.found.io/app/kibana#/discover/Steve-Slow-Train-Analysis-(2080s-and-2083s)?_g=(refreshInterval:(display:Off,pause:!f,section:0,value:0),time:(from:'2017-12-01T07:54:51-0700',mode:absolute,to:'2017-12-01T10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5" s="248" t="str">
        <f>IF(AA55&lt;VLOOKUP(AG55,Variables!$AC$3:$AD$8,2,FALSE),"Y","N")</f>
        <v>N</v>
      </c>
      <c r="X55" s="248">
        <f t="shared" si="26"/>
        <v>1</v>
      </c>
      <c r="Y55" s="248">
        <f t="shared" si="7"/>
        <v>4.8899999999999999E-2</v>
      </c>
      <c r="Z55" s="248">
        <f t="shared" si="8"/>
        <v>23.329899999999999</v>
      </c>
      <c r="AA55" s="248">
        <f t="shared" si="9"/>
        <v>23.280999999999999</v>
      </c>
      <c r="AB55" s="234" t="e">
        <f>VLOOKUP(A55,Enforcements!$C$7:$K$9,8,0)</f>
        <v>#N/A</v>
      </c>
      <c r="AC55" s="233" t="e">
        <f>VLOOKUP(A55,Enforcements!$C$7:$E$9,3,0)</f>
        <v>#N/A</v>
      </c>
      <c r="AD55" s="244">
        <f t="shared" si="10"/>
        <v>143</v>
      </c>
      <c r="AE55" s="236" t="str">
        <f t="shared" si="11"/>
        <v>aws s3 cp s3://rtdc.mdm.uploadarchive.raw/RTDC4002/ "%USERPROFILE%\AppData\Local\Temp\OnboardLogs"\RTDC4002\2017-12-01 --exclude "*" --recursive --include "*20171201*" &amp; "%USERPROFILE%\Documents\GitHub\mrs-test-scripts\Headless Mode &amp; Sideloading\WalkAndUnGZ.bat" "%USERPROFILE%\AppData\Local\Temp\OnboardLogs"\RTDC4002\2017-12-01 &amp; aws s3 cp s3://rtdc.mdm.uploadarchive.raw/RTDC4002/ "%USERPROFILE%\AppData\Local\Temp\OnboardLogs"\RTDC4002\2017-12-02 --exclude "*" --recursive --include "*20171202*" &amp; "%USERPROFILE%\Documents\GitHub\mrs-test-scripts\Headless Mode &amp; Sideloading\WalkAndUnGZ.bat" "%USERPROFILE%\AppData\Local\Temp\OnboardLogs"\RTDC4002\2017-12-02</v>
      </c>
      <c r="AF55" s="235" t="str">
        <f t="shared" si="12"/>
        <v>"C:\Program Files (x86)\AstroGrep\AstroGrep.exe" /e /r /s /spath="%USERPROFILE%\AppData\Local\Temp\OnboardLogs" /stypes="app*4002*20171201*" /stext=" 16:.+((SYSTEM_STATE.+slice.+state.+changed )|(ment ac)|(multiple cpu faults)|(system.+state.+changed )|(\[timeout)|(PRM\|1\|D)|(kpr)|(kdp)|(train st.+moving)|(\|lc)|(penalty))"</v>
      </c>
      <c r="AG55" s="245" t="str">
        <f t="shared" si="13"/>
        <v>EC</v>
      </c>
      <c r="AH55" s="237" t="str">
        <f t="shared" si="19"/>
        <v>"%USERPROFILE%\Documents\GitHub\eaglep3\Utilities\RefineRTDCRunTimes.py" --tripid 143-01 --locoid 4002 --swversion DE.1.0.9.0 --startMP 204:489 --initTime 2017-12-01T08:54:51 --startdatetime 2017-12-01T09:00:15 --delay 55 --endMP 204:233299 --enddatetime 2017-12-01T09:35:06 --enforcementcount 0 &gt;&gt;%USERPROFILE%\Documents\GitHub\eaglep3-reporting\EC\2017-12-01-refined-times.txt</v>
      </c>
      <c r="AI55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{"issue":{"subject":"","project_id":79,"tracker_id":40,"status_id":1,"priority_id":2,"assigned_to_id":338,"start_date":"2017-12-01","description":"","custom_fields":[{"id":1,"name":"Subdivision","value":"EC"},{"id":4,"name":"Milepost","value":"23.3299"},{"id":17,"name":"Train ID","value":"143-01"},{"id":16,"name":"Locomotive ID","value":"4002"},{"id":130,"name":"Impact","value":""},{"id":150,"name":"Time of Event (Mountain Time)","value":"09:35:06"},{"id":151,"name":"Denver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4"/>
      <c r="AK55" s="232"/>
      <c r="AL55" s="232"/>
      <c r="AM55" s="241" t="str">
        <f t="shared" si="21"/>
        <v>start /low /b %USERPROFILE%\Documents\GitHub\eaglep3\Utilities\DownloadLogsFromS3.py --loco 4002 --day 2017-12-01</v>
      </c>
      <c r="AN55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16:35:06"},{"id":29,"name":"Sharepoint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1" t="str">
        <f t="shared" si="23"/>
        <v>https://d0f6bd738d7f1b3e5a7ca70fe4ff75f0.us-east-1.aws.found.io/app/kibana#/discover/Steve-Slow-Train-Analysis-(2080s-and-2083s)?_g=(refreshInterval:(display:Off,pause:!f,section:0,value:0),time:(from:'2017-12-01T07:54:51-0700',mode:absolute,to:'2017-12-01T10:35:06-0700'))&amp;_a=(columns:!('Message%20ID',Summary),filters:!(),index:'emp_*',interval:auto,query:(query_string:(analyze_wildcard:!t,query:'%22rtdc.l.rtdc.4002%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230" t="s">
        <v>821</v>
      </c>
      <c r="B56" s="226">
        <v>4001</v>
      </c>
      <c r="C56" s="228" t="s">
        <v>192</v>
      </c>
      <c r="D56" s="228" t="s">
        <v>983</v>
      </c>
      <c r="E56" s="227">
        <v>43070.406006944446</v>
      </c>
      <c r="F56" s="227">
        <v>43070.415196759262</v>
      </c>
      <c r="G56" s="226">
        <v>47</v>
      </c>
      <c r="H56" s="228" t="s">
        <v>571</v>
      </c>
      <c r="I56" s="227">
        <v>43070.442997685182</v>
      </c>
      <c r="J56" s="226">
        <v>0</v>
      </c>
      <c r="K56" s="238" t="str">
        <f t="shared" si="0"/>
        <v>4001/4002</v>
      </c>
      <c r="L56" s="246" t="str">
        <f>VLOOKUP(A56,'Trips&amp;Operators'!$C$1:$G$99911,5,FALSE)</f>
        <v>MAELZER KURT</v>
      </c>
      <c r="M56" s="225">
        <f t="shared" si="1"/>
        <v>2.7800925920018926E-2</v>
      </c>
      <c r="N56" s="226">
        <f t="shared" si="24"/>
        <v>40.033333324827254</v>
      </c>
      <c r="O56" s="226"/>
      <c r="P56" s="226"/>
      <c r="Q56" s="229"/>
      <c r="R56" s="243"/>
      <c r="S56" s="250">
        <f t="shared" si="25"/>
        <v>1</v>
      </c>
      <c r="T56" s="243" t="str">
        <f t="shared" si="4"/>
        <v>Southbound</v>
      </c>
      <c r="U56" s="24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9" t="str">
        <f t="shared" si="5"/>
        <v>https://d0f6bd738d7f1b3e5a7ca70fe4ff75f0.us-east-1.aws.found.io/app/kibana#/discover/Steve-Slow-Train-Analysis-(2080s-and-2083s)?_g=(refreshInterval:(display:Off,pause:!f,section:0,value:0),time:(from:'2017-12-01T08:44:39-0700',mode:absolute,to:'2017-12-01T11:37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6" s="248" t="str">
        <f>IF(AA56&lt;VLOOKUP(AG56,Variables!$AC$3:$AD$8,2,FALSE),"Y","N")</f>
        <v>N</v>
      </c>
      <c r="X56" s="248">
        <f t="shared" si="26"/>
        <v>1</v>
      </c>
      <c r="Y56" s="248">
        <f t="shared" si="7"/>
        <v>23.297999999999998</v>
      </c>
      <c r="Z56" s="248">
        <f t="shared" si="8"/>
        <v>1.8100000000000002E-2</v>
      </c>
      <c r="AA56" s="248">
        <f t="shared" si="9"/>
        <v>23.279899999999998</v>
      </c>
      <c r="AB56" s="234" t="e">
        <f>VLOOKUP(A56,Enforcements!$C$7:$K$9,8,0)</f>
        <v>#N/A</v>
      </c>
      <c r="AC56" s="233" t="e">
        <f>VLOOKUP(A56,Enforcements!$C$7:$E$9,3,0)</f>
        <v>#N/A</v>
      </c>
      <c r="AD56" s="244">
        <f t="shared" si="10"/>
        <v>144</v>
      </c>
      <c r="AE56" s="236" t="str">
        <f t="shared" si="11"/>
        <v>aws s3 cp s3://rtdc.mdm.uploadarchive.raw/RTDC4001/ "%USERPROFILE%\AppData\Local\Temp\OnboardLogs"\RTDC4001\2017-12-01 --exclude "*" --recursive --include "*20171201*" &amp; "%USERPROFILE%\Documents\GitHub\mrs-test-scripts\Headless Mode &amp; Sideloading\WalkAndUnGZ.bat" "%USERPROFILE%\AppData\Local\Temp\OnboardLogs"\RTDC4001\2017-12-01 &amp; aws s3 cp s3://rtdc.mdm.uploadarchive.raw/RTDC4001/ "%USERPROFILE%\AppData\Local\Temp\OnboardLogs"\RTDC4001\2017-12-02 --exclude "*" --recursive --include "*20171202*" &amp; "%USERPROFILE%\Documents\GitHub\mrs-test-scripts\Headless Mode &amp; Sideloading\WalkAndUnGZ.bat" "%USERPROFILE%\AppData\Local\Temp\OnboardLogs"\RTDC4001\2017-12-02</v>
      </c>
      <c r="AF56" s="235" t="str">
        <f t="shared" si="12"/>
        <v>"C:\Program Files (x86)\AstroGrep\AstroGrep.exe" /e /r /s /spath="%USERPROFILE%\AppData\Local\Temp\OnboardLogs" /stypes="app*4001*20171201*" /stext=" 17:.+((SYSTEM_STATE.+slice.+state.+changed )|(ment ac)|(multiple cpu faults)|(system.+state.+changed )|(\[timeout)|(PRM\|1\|D)|(kpr)|(kdp)|(train st.+moving)|(\|lc)|(penalty))"</v>
      </c>
      <c r="AG56" s="245" t="str">
        <f t="shared" si="13"/>
        <v>EC</v>
      </c>
      <c r="AH56" s="237" t="str">
        <f t="shared" si="19"/>
        <v>"%USERPROFILE%\Documents\GitHub\eaglep3\Utilities\RefineRTDCRunTimes.py" --tripid 144-01 --locoid 4001 --swversion DE.1.0.9.0 --startMP 204:232980 --initTime 2017-12-01T09:44:39 --startdatetime 2017-12-01T09:57:53 --delay 47 --endMP 204:181 --enddatetime 2017-12-01T10:37:55 --enforcementcount 0 &gt;&gt;%USERPROFILE%\Documents\GitHub\eaglep3-reporting\EC\2017-12-01-refined-times.txt</v>
      </c>
      <c r="AI56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{"issue":{"subject":"","project_id":79,"tracker_id":40,"status_id":1,"priority_id":2,"assigned_to_id":338,"start_date":"2017-12-01","description":"","custom_fields":[{"id":1,"name":"Subdivision","value":"EC"},{"id":4,"name":"Milepost","value":"0.0181"},{"id":17,"name":"Train ID","value":"144-01"},{"id":16,"name":"Locomotive ID","value":"4001"},{"id":130,"name":"Impact","value":""},{"id":150,"name":"Time of Event (Mountain Time)","value":"10:37:55"},{"id":151,"name":"Denver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4"/>
      <c r="AK56" s="232"/>
      <c r="AL56" s="232"/>
      <c r="AM56" s="241" t="str">
        <f t="shared" si="21"/>
        <v>start /low /b %USERPROFILE%\Documents\GitHub\eaglep3\Utilities\DownloadLogsFromS3.py --loco 4001 --day 2017-12-01</v>
      </c>
      <c r="AN56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17:37:55"},{"id":29,"name":"Sharepoint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1" t="str">
        <f t="shared" si="23"/>
        <v>https://d0f6bd738d7f1b3e5a7ca70fe4ff75f0.us-east-1.aws.found.io/app/kibana#/discover/Steve-Slow-Train-Analysis-(2080s-and-2083s)?_g=(refreshInterval:(display:Off,pause:!f,section:0,value:0),time:(from:'2017-12-01T08:44:39-0700',mode:absolute,to:'2017-12-01T11:37:55-0700'))&amp;_a=(columns:!('Message%20ID',Summary),filters:!(),index:'emp_*',interval:auto,query:(query_string:(analyze_wildcard:!t,query:'%22rtdc.l.rtdc.4001%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230" t="s">
        <v>817</v>
      </c>
      <c r="B57" s="226">
        <v>4050</v>
      </c>
      <c r="C57" s="228" t="s">
        <v>192</v>
      </c>
      <c r="D57" s="228" t="s">
        <v>504</v>
      </c>
      <c r="E57" s="227">
        <v>43070.379502314812</v>
      </c>
      <c r="F57" s="227">
        <v>43070.385636574072</v>
      </c>
      <c r="G57" s="226">
        <v>69</v>
      </c>
      <c r="H57" s="228" t="s">
        <v>984</v>
      </c>
      <c r="I57" s="227">
        <v>43070.410624999997</v>
      </c>
      <c r="J57" s="226">
        <v>0</v>
      </c>
      <c r="K57" s="238" t="str">
        <f t="shared" si="0"/>
        <v>4049/4050</v>
      </c>
      <c r="L57" s="246" t="str">
        <f>VLOOKUP(A57,'Trips&amp;Operators'!$C$1:$G$99911,5,FALSE)</f>
        <v>NICHOLAS PLOYSA</v>
      </c>
      <c r="M57" s="225">
        <f t="shared" si="1"/>
        <v>2.4988425924675539E-2</v>
      </c>
      <c r="N57" s="226">
        <f t="shared" si="24"/>
        <v>35.983333331532776</v>
      </c>
      <c r="O57" s="226"/>
      <c r="P57" s="226"/>
      <c r="Q57" s="229"/>
      <c r="R57" s="243"/>
      <c r="S57" s="250">
        <f t="shared" si="25"/>
        <v>1</v>
      </c>
      <c r="T57" s="243" t="str">
        <f t="shared" si="4"/>
        <v>NorthBound</v>
      </c>
      <c r="U57" s="24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9" t="str">
        <f t="shared" si="5"/>
        <v>https://d0f6bd738d7f1b3e5a7ca70fe4ff75f0.us-east-1.aws.found.io/app/kibana#/discover/Steve-Slow-Train-Analysis-(2080s-and-2083s)?_g=(refreshInterval:(display:Off,pause:!f,section:0,value:0),time:(from:'2017-12-01T08:06:29-0700',mode:absolute,to:'2017-12-01T10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7" s="248" t="str">
        <f>IF(AA57&lt;VLOOKUP(AG57,Variables!$AC$3:$AD$8,2,FALSE),"Y","N")</f>
        <v>N</v>
      </c>
      <c r="X57" s="248">
        <f t="shared" si="26"/>
        <v>1</v>
      </c>
      <c r="Y57" s="248">
        <f t="shared" si="7"/>
        <v>5.1700000000000003E-2</v>
      </c>
      <c r="Z57" s="248">
        <f t="shared" si="8"/>
        <v>23.317</v>
      </c>
      <c r="AA57" s="248">
        <f t="shared" si="9"/>
        <v>23.2653</v>
      </c>
      <c r="AB57" s="234" t="e">
        <f>VLOOKUP(A57,Enforcements!$C$7:$K$9,8,0)</f>
        <v>#N/A</v>
      </c>
      <c r="AC57" s="233" t="e">
        <f>VLOOKUP(A57,Enforcements!$C$7:$E$9,3,0)</f>
        <v>#N/A</v>
      </c>
      <c r="AD57" s="244">
        <f t="shared" si="10"/>
        <v>145</v>
      </c>
      <c r="AE57" s="236" t="str">
        <f t="shared" si="11"/>
        <v>aws s3 cp s3://rtdc.mdm.uploadarchive.raw/RTDC4050/ "%USERPROFILE%\AppData\Local\Temp\OnboardLogs"\RTDC4050\2017-12-01 --exclude "*" --recursive --include "*20171201*" &amp; "%USERPROFILE%\Documents\GitHub\mrs-test-scripts\Headless Mode &amp; Sideloading\WalkAndUnGZ.bat" "%USERPROFILE%\AppData\Local\Temp\OnboardLogs"\RTDC4050\2017-12-01 &amp; aws s3 cp s3://rtdc.mdm.uploadarchive.raw/RTDC4050/ "%USERPROFILE%\AppData\Local\Temp\OnboardLogs"\RTDC4050\2017-12-02 --exclude "*" --recursive --include "*20171202*" &amp; "%USERPROFILE%\Documents\GitHub\mrs-test-scripts\Headless Mode &amp; Sideloading\WalkAndUnGZ.bat" "%USERPROFILE%\AppData\Local\Temp\OnboardLogs"\RTDC4050\2017-12-02</v>
      </c>
      <c r="AF57" s="235" t="str">
        <f t="shared" si="12"/>
        <v>"C:\Program Files (x86)\AstroGrep\AstroGrep.exe" /e /r /s /spath="%USERPROFILE%\AppData\Local\Temp\OnboardLogs" /stypes="app*4050*20171201*" /stext=" 16:.+((SYSTEM_STATE.+slice.+state.+changed )|(ment ac)|(multiple cpu faults)|(system.+state.+changed )|(\[timeout)|(PRM\|1\|D)|(kpr)|(kdp)|(train st.+moving)|(\|lc)|(penalty))"</v>
      </c>
      <c r="AG57" s="245" t="str">
        <f t="shared" si="13"/>
        <v>EC</v>
      </c>
      <c r="AH57" s="237" t="str">
        <f t="shared" si="19"/>
        <v>"%USERPROFILE%\Documents\GitHub\eaglep3\Utilities\RefineRTDCRunTimes.py" --tripid 145-01 --locoid 4050 --swversion DE.1.0.9.0 --startMP 204:517 --initTime 2017-12-01T09:06:29 --startdatetime 2017-12-01T09:15:19 --delay 69 --endMP 204:233170 --enddatetime 2017-12-01T09:51:18 --enforcementcount 0 &gt;&gt;%USERPROFILE%\Documents\GitHub\eaglep3-reporting\EC\2017-12-01-refined-times.txt</v>
      </c>
      <c r="AI57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{"issue":{"subject":"","project_id":79,"tracker_id":40,"status_id":1,"priority_id":2,"assigned_to_id":338,"start_date":"2017-12-01","description":"","custom_fields":[{"id":1,"name":"Subdivision","value":"EC"},{"id":4,"name":"Milepost","value":"23.317"},{"id":17,"name":"Train ID","value":"145-01"},{"id":16,"name":"Locomotive ID","value":"4050"},{"id":130,"name":"Impact","value":""},{"id":150,"name":"Time of Event (Mountain Time)","value":"09:51:18"},{"id":151,"name":"Denver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4"/>
      <c r="AK57" s="232"/>
      <c r="AL57" s="232"/>
      <c r="AM57" s="241" t="str">
        <f t="shared" si="21"/>
        <v>start /low /b %USERPROFILE%\Documents\GitHub\eaglep3\Utilities\DownloadLogsFromS3.py --loco 4050 --day 2017-12-01</v>
      </c>
      <c r="AN57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16:51:18"},{"id":29,"name":"Sharepoint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1" t="str">
        <f t="shared" si="23"/>
        <v>https://d0f6bd738d7f1b3e5a7ca70fe4ff75f0.us-east-1.aws.found.io/app/kibana#/discover/Steve-Slow-Train-Analysis-(2080s-and-2083s)?_g=(refreshInterval:(display:Off,pause:!f,section:0,value:0),time:(from:'2017-12-01T08:06:29-0700',mode:absolute,to:'2017-12-01T10:51:18-0700'))&amp;_a=(columns:!('Message%20ID',Summary),filters:!(),index:'emp_*',interval:auto,query:(query_string:(analyze_wildcard:!t,query:'%22rtdc.l.rtdc.4050%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230" t="s">
        <v>823</v>
      </c>
      <c r="B58" s="226">
        <v>4049</v>
      </c>
      <c r="C58" s="228" t="s">
        <v>192</v>
      </c>
      <c r="D58" s="228" t="s">
        <v>985</v>
      </c>
      <c r="E58" s="227">
        <v>43070.411932870367</v>
      </c>
      <c r="F58" s="227">
        <v>43070.425173611111</v>
      </c>
      <c r="G58" s="226">
        <v>74</v>
      </c>
      <c r="H58" s="228" t="s">
        <v>986</v>
      </c>
      <c r="I58" s="227">
        <v>43070.452314814815</v>
      </c>
      <c r="J58" s="226">
        <v>0</v>
      </c>
      <c r="K58" s="238" t="str">
        <f t="shared" si="0"/>
        <v>4049/4050</v>
      </c>
      <c r="L58" s="246" t="str">
        <f>VLOOKUP(A58,'Trips&amp;Operators'!$C$1:$G$99911,5,FALSE)</f>
        <v>NICHOLAS PLOYSA</v>
      </c>
      <c r="M58" s="225">
        <f t="shared" si="1"/>
        <v>2.7141203703649808E-2</v>
      </c>
      <c r="N58" s="226">
        <f t="shared" si="24"/>
        <v>39.083333333255723</v>
      </c>
      <c r="O58" s="226"/>
      <c r="P58" s="226"/>
      <c r="Q58" s="229"/>
      <c r="R58" s="243"/>
      <c r="S58" s="250">
        <f t="shared" si="25"/>
        <v>1</v>
      </c>
      <c r="T58" s="243" t="str">
        <f t="shared" si="4"/>
        <v>Southbound</v>
      </c>
      <c r="U58" s="24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9" t="str">
        <f t="shared" si="5"/>
        <v>https://d0f6bd738d7f1b3e5a7ca70fe4ff75f0.us-east-1.aws.found.io/app/kibana#/discover/Steve-Slow-Train-Analysis-(2080s-and-2083s)?_g=(refreshInterval:(display:Off,pause:!f,section:0,value:0),time:(from:'2017-12-01T08:53:11-0700',mode:absolute,to:'2017-12-01T11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8" s="248" t="str">
        <f>IF(AA58&lt;VLOOKUP(AG58,Variables!$AC$3:$AD$8,2,FALSE),"Y","N")</f>
        <v>N</v>
      </c>
      <c r="X58" s="248">
        <f t="shared" si="26"/>
        <v>1</v>
      </c>
      <c r="Y58" s="248">
        <f t="shared" si="7"/>
        <v>23.285799999999998</v>
      </c>
      <c r="Z58" s="248">
        <f t="shared" si="8"/>
        <v>2.4899999999999999E-2</v>
      </c>
      <c r="AA58" s="248">
        <f t="shared" si="9"/>
        <v>23.260899999999999</v>
      </c>
      <c r="AB58" s="234" t="e">
        <f>VLOOKUP(A58,Enforcements!$C$7:$K$9,8,0)</f>
        <v>#N/A</v>
      </c>
      <c r="AC58" s="233" t="e">
        <f>VLOOKUP(A58,Enforcements!$C$7:$E$9,3,0)</f>
        <v>#N/A</v>
      </c>
      <c r="AD58" s="244">
        <f t="shared" si="10"/>
        <v>146</v>
      </c>
      <c r="AE58" s="236" t="str">
        <f t="shared" si="11"/>
        <v>aws s3 cp s3://rtdc.mdm.uploadarchive.raw/RTDC4049/ "%USERPROFILE%\AppData\Local\Temp\OnboardLogs"\RTDC4049\2017-12-01 --exclude "*" --recursive --include "*20171201*" &amp; "%USERPROFILE%\Documents\GitHub\mrs-test-scripts\Headless Mode &amp; Sideloading\WalkAndUnGZ.bat" "%USERPROFILE%\AppData\Local\Temp\OnboardLogs"\RTDC4049\2017-12-01 &amp; aws s3 cp s3://rtdc.mdm.uploadarchive.raw/RTDC4049/ "%USERPROFILE%\AppData\Local\Temp\OnboardLogs"\RTDC4049\2017-12-02 --exclude "*" --recursive --include "*20171202*" &amp; "%USERPROFILE%\Documents\GitHub\mrs-test-scripts\Headless Mode &amp; Sideloading\WalkAndUnGZ.bat" "%USERPROFILE%\AppData\Local\Temp\OnboardLogs"\RTDC4049\2017-12-02</v>
      </c>
      <c r="AF58" s="235" t="str">
        <f t="shared" si="12"/>
        <v>"C:\Program Files (x86)\AstroGrep\AstroGrep.exe" /e /r /s /spath="%USERPROFILE%\AppData\Local\Temp\OnboardLogs" /stypes="app*4049*20171201*" /stext=" 17:.+((SYSTEM_STATE.+slice.+state.+changed )|(ment ac)|(multiple cpu faults)|(system.+state.+changed )|(\[timeout)|(PRM\|1\|D)|(kpr)|(kdp)|(train st.+moving)|(\|lc)|(penalty))"</v>
      </c>
      <c r="AG58" s="245" t="str">
        <f t="shared" si="13"/>
        <v>EC</v>
      </c>
      <c r="AH58" s="237" t="str">
        <f t="shared" si="19"/>
        <v>"%USERPROFILE%\Documents\GitHub\eaglep3\Utilities\RefineRTDCRunTimes.py" --tripid 146-01 --locoid 4049 --swversion DE.1.0.9.0 --startMP 204:232858 --initTime 2017-12-01T09:53:11 --startdatetime 2017-12-01T10:12:15 --delay 74 --endMP 204:249 --enddatetime 2017-12-01T10:51:20 --enforcementcount 0 &gt;&gt;%USERPROFILE%\Documents\GitHub\eaglep3-reporting\EC\2017-12-01-refined-times.txt</v>
      </c>
      <c r="AI58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{"issue":{"subject":"","project_id":79,"tracker_id":40,"status_id":1,"priority_id":2,"assigned_to_id":338,"start_date":"2017-12-01","description":"","custom_fields":[{"id":1,"name":"Subdivision","value":"EC"},{"id":4,"name":"Milepost","value":"0.0249"},{"id":17,"name":"Train ID","value":"146-01"},{"id":16,"name":"Locomotive ID","value":"4049"},{"id":130,"name":"Impact","value":""},{"id":150,"name":"Time of Event (Mountain Time)","value":"10:51:20"},{"id":151,"name":"Denver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4"/>
      <c r="AK58" s="232"/>
      <c r="AL58" s="232"/>
      <c r="AM58" s="241" t="str">
        <f t="shared" si="21"/>
        <v>start /low /b %USERPROFILE%\Documents\GitHub\eaglep3\Utilities\DownloadLogsFromS3.py --loco 4049 --day 2017-12-01</v>
      </c>
      <c r="AN58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17:51:20"},{"id":29,"name":"Sharepoint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1" t="str">
        <f t="shared" si="23"/>
        <v>https://d0f6bd738d7f1b3e5a7ca70fe4ff75f0.us-east-1.aws.found.io/app/kibana#/discover/Steve-Slow-Train-Analysis-(2080s-and-2083s)?_g=(refreshInterval:(display:Off,pause:!f,section:0,value:0),time:(from:'2017-12-01T08:53:11-0700',mode:absolute,to:'2017-12-01T11:51:20-0700'))&amp;_a=(columns:!('Message%20ID',Summary),filters:!(),index:'emp_*',interval:auto,query:(query_string:(analyze_wildcard:!t,query:'%22rtdc.l.rtdc.4049%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230" t="s">
        <v>818</v>
      </c>
      <c r="B59" s="226">
        <v>4040</v>
      </c>
      <c r="C59" s="228" t="s">
        <v>192</v>
      </c>
      <c r="D59" s="228" t="s">
        <v>985</v>
      </c>
      <c r="E59" s="227">
        <v>43070.411932870367</v>
      </c>
      <c r="F59" s="227">
        <v>43070.425173611111</v>
      </c>
      <c r="G59" s="226">
        <v>74</v>
      </c>
      <c r="H59" s="228" t="s">
        <v>986</v>
      </c>
      <c r="I59" s="227">
        <v>43070.452314814815</v>
      </c>
      <c r="J59" s="226">
        <v>0</v>
      </c>
      <c r="K59" s="238" t="str">
        <f t="shared" si="0"/>
        <v>4039/4040</v>
      </c>
      <c r="L59" s="246" t="str">
        <f>VLOOKUP(A59,'Trips&amp;Operators'!$C$1:$G$99911,5,FALSE)</f>
        <v>PAGE MARCUS</v>
      </c>
      <c r="M59" s="225">
        <v>1.0006944444444446</v>
      </c>
      <c r="N59" s="226"/>
      <c r="O59" s="226"/>
      <c r="P59" s="226">
        <v>1</v>
      </c>
      <c r="Q59" s="229"/>
      <c r="R59" s="243" t="s">
        <v>1097</v>
      </c>
      <c r="S59" s="250">
        <f t="shared" si="25"/>
        <v>1</v>
      </c>
      <c r="T59" s="243" t="str">
        <f t="shared" si="4"/>
        <v>NorthBound</v>
      </c>
      <c r="U59" s="24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9" t="str">
        <f t="shared" si="5"/>
        <v>https://d0f6bd738d7f1b3e5a7ca70fe4ff75f0.us-east-1.aws.found.io/app/kibana#/discover/Steve-Slow-Train-Analysis-(2080s-and-2083s)?_g=(refreshInterval:(display:Off,pause:!f,section:0,value:0),time:(from:'2017-12-01T08:53:11-0700',mode:absolute,to:'2017-12-01T11:51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9" s="248" t="str">
        <f>IF(AA59&lt;VLOOKUP(AG59,Variables!$AC$3:$AD$8,2,FALSE),"Y","N")</f>
        <v>N</v>
      </c>
      <c r="X59" s="248">
        <f t="shared" si="26"/>
        <v>1</v>
      </c>
      <c r="Y59" s="248">
        <v>5.1700000000000003E-2</v>
      </c>
      <c r="Z59" s="248">
        <v>23.317</v>
      </c>
      <c r="AA59" s="248">
        <f t="shared" si="9"/>
        <v>23.2653</v>
      </c>
      <c r="AB59" s="234" t="e">
        <f>VLOOKUP(A59,Enforcements!$C$7:$K$9,8,0)</f>
        <v>#N/A</v>
      </c>
      <c r="AC59" s="233" t="e">
        <f>VLOOKUP(A59,Enforcements!$C$7:$E$9,3,0)</f>
        <v>#N/A</v>
      </c>
      <c r="AD59" s="244">
        <f t="shared" si="10"/>
        <v>147</v>
      </c>
      <c r="AE59" s="236" t="str">
        <f t="shared" si="11"/>
        <v>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 &amp; aws s3 cp s3://rtdc.mdm.uploadarchive.raw/RTDC4040/ "%USERPROFILE%\AppData\Local\Temp\OnboardLogs"\RTDC4040\2017-12-02 --exclude "*" --recursive --include "*20171202*" &amp; "%USERPROFILE%\Documents\GitHub\mrs-test-scripts\Headless Mode &amp; Sideloading\WalkAndUnGZ.bat" "%USERPROFILE%\AppData\Local\Temp\OnboardLogs"\RTDC4040\2017-12-02</v>
      </c>
      <c r="AF59" s="235" t="str">
        <f t="shared" si="12"/>
        <v>"C:\Program Files (x86)\AstroGrep\AstroGrep.exe" /e /r /s /spath="%USERPROFILE%\AppData\Local\Temp\OnboardLogs" /stypes="app*4040*20171201*" /stext=" 17:.+((SYSTEM_STATE.+slice.+state.+changed )|(ment ac)|(multiple cpu faults)|(system.+state.+changed )|(\[timeout)|(PRM\|1\|D)|(kpr)|(kdp)|(train st.+moving)|(\|lc)|(penalty))"</v>
      </c>
      <c r="AG59" s="245" t="str">
        <f t="shared" si="13"/>
        <v>EC</v>
      </c>
      <c r="AH59" s="237" t="str">
        <f t="shared" ref="AH59" si="27">refinertdcruntimes&amp;" --tripid "&amp;A59&amp;" --locoid "&amp;B59&amp;" --swversion "&amp;C59&amp;" --startMP "&amp;D59&amp;" --initTime "&amp;TEXT(E59,"yyyy-mm-ddTHH:MM:SS")&amp;" --startdatetime "&amp;TEXT(F59,"yyyy-mm-ddTHH:MM:SS")&amp;" --delay "&amp;G59&amp;" --endMP "&amp;H59&amp;" --enddatetime "&amp;TEXT(I59,"yyyy-mm-ddTHH:MM:SS")&amp;" --enforcementcount "&amp;J59&amp;IF(outputrefinedruntimes," &gt;&gt;"&amp;RefinedRTDCRunTimesOutputFile,"")</f>
        <v>"%USERPROFILE%\Documents\GitHub\eaglep3\Utilities\RefineRTDCRunTimes.py" --tripid 147-01 --locoid 4040 --swversion DE.1.0.9.0 --startMP 204:232858 --initTime 2017-12-01T09:53:11 --startdatetime 2017-12-01T10:12:15 --delay 74 --endMP 204:249 --enddatetime 2017-12-01T10:51:20 --enforcementcount 0 &gt;&gt;%USERPROFILE%\Documents\GitHub\eaglep3-reporting\EC\2017-12-01-refined-times.txt</v>
      </c>
      <c r="AI59" s="239" t="str">
        <f t="shared" ref="AI59" si="28">"echo {""issue"":{""subject"":"""&amp;R59&amp;""",""project_id"":79,""tracker_id"":40,""status_id"":"&amp;redmine_status&amp;",""priority_id"":"&amp;redmine_priority&amp;",""assigned_to_id"":"&amp;redmine_assignee&amp;",""start_date"":"""&amp;TEXT(I59,"YYYY-mm-dd")&amp;""",""description"":"""&amp;AJ59&amp;""",""custom_fields"":[{""id"":1,""name"":""Subdivision"",""value"":"""&amp;AG59&amp;"""},{""id"":4,""name"":""Milepost"",""value"":"""&amp;Z59&amp;"""},{""id"":17,""name"":""Train ID"",""value"":"""&amp;A59&amp;"""},{""id"":16,""name"":""Locomotive ID"",""value"":"""&amp;B59&amp;"""},{""id"":130,""name"":""Impact"",""value"":"""&amp;AK59&amp;"""},{""id"":150,""name"":""Time of Event (Mountain Time)"",""value"":"""&amp;TEXT(I59,"hh:mm:ss")&amp;"""},{""id"":151,""name"":""Denver Issue ID"",""value"":"""&amp;"""},{""id"":178,""name"":""Operational Impact"",""value"":"""&amp;redmine_op_impact&amp;"""},{""id"":179,""name"":""Denver Segment Assigned"",""value"":"""&amp;AL59&amp;"""}]}}"&amp;" | curl --insecure -X POST -H ""Content-Type: application/json"" -H ""X-Redmine-API-Key: "&amp;redm_api_key&amp;""" "&amp;redm_url&amp;" --data @-"</f>
        <v>echo {"issue":{"subject":"Extended Wi-MAX data drop - unable to init","project_id":79,"tracker_id":40,"status_id":1,"priority_id":2,"assigned_to_id":338,"start_date":"2017-12-01","description":"","custom_fields":[{"id":1,"name":"Subdivision","value":"EC"},{"id":4,"name":"Milepost","value":"23.317"},{"id":17,"name":"Train ID","value":"147-01"},{"id":16,"name":"Locomotive ID","value":"4040"},{"id":130,"name":"Impact","value":""},{"id":150,"name":"Time of Event (Mountain Time)","value":"10:51:20"},{"id":151,"name":"Denver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4"/>
      <c r="AK59" s="232"/>
      <c r="AL59" s="232"/>
      <c r="AM59" s="241" t="str">
        <f t="shared" ref="AM59" si="29">"start /low /b "&amp;dls3logs&amp;" --loco "&amp;B59&amp;" --day "&amp;TEXT(F59,"YYYY-MM-DD")</f>
        <v>start /low /b %USERPROFILE%\Documents\GitHub\eaglep3\Utilities\DownloadLogsFromS3.py --loco 4040 --day 2017-12-01</v>
      </c>
      <c r="AN59" s="242" t="str">
        <f t="shared" ref="AN59" si="30">"echo {""issue"":{""subject"":"""&amp;R59&amp;""",""project_id"":30,""tracker_id"":4,""status_id"":"&amp;redmine_status_wcr&amp;",""priority_id"":"&amp;redmine_priority_wcr&amp;",""assigned_to_id"":"&amp;redmine_assignee_wcr&amp;",""start_date"":"""&amp;TEXT(I59-utc_offset/24,"YYYY-mm-dd")&amp;""",""description"":"""&amp;AJ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Wi-MAX data drop - unable to init","project_id":30,"tracker_id":4,"status_id":1,"priority_id":1,"assigned_to_id":10,"start_date":"2017-12-01","description":"","custom_fields":[{"id":30,"name":"Category","value":"Issue"},{"id":3,"name":"Functional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17:51:20"},{"id":29,"name":"Sharepoint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1" t="str">
        <f t="shared" ref="AO59" si="31"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Message%20ID',Summary),filters:!(),index:'emp_*',interval:auto,query:"&amp;"(query_string:(analyze_wildcard:!t,query:'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-12-01T08:53:11-0700',mode:absolute,to:'2017-12-01T11:51:20-0700'))&amp;_a=(columns:!('Message%20ID',Summary),filters:!(),index:'emp_*',interval:auto,query:(query_string:(analyze_wildcard:!t,query:'%22rtdc.l.rtdc.4040%22')),sort:!(Time.ISO8601,asc))</v>
      </c>
      <c r="AP59" s="224"/>
      <c r="AQ59" s="224"/>
      <c r="AR59" s="224"/>
      <c r="AS59" s="224"/>
      <c r="AT59" s="224"/>
      <c r="AU59" s="224"/>
      <c r="AV59" s="224"/>
      <c r="AW59" s="224"/>
      <c r="AX59" s="224"/>
      <c r="AY59" s="224"/>
      <c r="AZ59" s="224"/>
      <c r="BA59" s="224"/>
      <c r="BB59" s="224"/>
      <c r="BC59" s="224"/>
      <c r="BD59" s="224"/>
      <c r="BE59" s="224"/>
      <c r="BF59" s="224"/>
      <c r="BG59" s="224"/>
      <c r="BH59" s="224"/>
      <c r="BI59" s="224"/>
      <c r="BJ59" s="224"/>
      <c r="BK59" s="224"/>
      <c r="BL59" s="224"/>
      <c r="BM59" s="224"/>
      <c r="BN59" s="224"/>
      <c r="BO59" s="224"/>
      <c r="BP59" s="224"/>
      <c r="BQ59" s="224"/>
      <c r="BR59" s="224"/>
      <c r="BS59" s="224"/>
      <c r="BT59" s="224"/>
      <c r="BU59" s="224"/>
      <c r="BV59" s="224"/>
      <c r="BW59" s="224"/>
      <c r="BX59" s="224"/>
      <c r="BY59" s="224"/>
      <c r="BZ59" s="224"/>
      <c r="CA59" s="224"/>
      <c r="CB59" s="224"/>
      <c r="CC59" s="224"/>
      <c r="CD59" s="224"/>
      <c r="CE59" s="224"/>
      <c r="CF59" s="224"/>
      <c r="CG59" s="224"/>
      <c r="CH59" s="224"/>
      <c r="CI59" s="224"/>
      <c r="CJ59" s="224"/>
      <c r="CK59" s="224"/>
      <c r="CL59" s="224"/>
      <c r="CM59" s="224"/>
    </row>
    <row r="60" spans="1:91" s="1" customFormat="1" x14ac:dyDescent="0.25">
      <c r="A60" s="230" t="s">
        <v>826</v>
      </c>
      <c r="B60" s="226">
        <v>4039</v>
      </c>
      <c r="C60" s="228" t="s">
        <v>192</v>
      </c>
      <c r="D60" s="228" t="s">
        <v>566</v>
      </c>
      <c r="E60" s="227">
        <v>43070.43041666667</v>
      </c>
      <c r="F60" s="227">
        <v>43070.435578703706</v>
      </c>
      <c r="G60" s="226">
        <v>59</v>
      </c>
      <c r="H60" s="228" t="s">
        <v>432</v>
      </c>
      <c r="I60" s="227">
        <v>43070.461238425924</v>
      </c>
      <c r="J60" s="226">
        <v>0</v>
      </c>
      <c r="K60" s="238" t="str">
        <f t="shared" si="0"/>
        <v>4039/4040</v>
      </c>
      <c r="L60" s="246" t="str">
        <f>VLOOKUP(A60,'Trips&amp;Operators'!$C$1:$G$99911,5,FALSE)</f>
        <v>PAGE MARCUS</v>
      </c>
      <c r="M60" s="225">
        <f t="shared" ref="M60:M91" si="32">I60-F60</f>
        <v>2.565972221782431E-2</v>
      </c>
      <c r="N60" s="226">
        <f t="shared" ref="N60:N70" si="33">24*60*SUM($M60:$M60)</f>
        <v>36.949999993667006</v>
      </c>
      <c r="O60" s="226"/>
      <c r="P60" s="226"/>
      <c r="Q60" s="229"/>
      <c r="R60" s="243"/>
      <c r="S60" s="250">
        <f t="shared" si="25"/>
        <v>1</v>
      </c>
      <c r="T60" s="243" t="str">
        <f t="shared" si="4"/>
        <v>Southbound</v>
      </c>
      <c r="U60" s="24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9" t="str">
        <f t="shared" si="5"/>
        <v>https://d0f6bd738d7f1b3e5a7ca70fe4ff75f0.us-east-1.aws.found.io/app/kibana#/discover/Steve-Slow-Train-Analysis-(2080s-and-2083s)?_g=(refreshInterval:(display:Off,pause:!f,section:0,value:0),time:(from:'2017-12-01T09:19:48-0700',mode:absolute,to:'2017-12-01T12:04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0" s="248" t="str">
        <f>IF(AA60&lt;VLOOKUP(AG60,Variables!$AC$3:$AD$8,2,FALSE),"Y","N")</f>
        <v>N</v>
      </c>
      <c r="X60" s="248">
        <f t="shared" si="26"/>
        <v>1</v>
      </c>
      <c r="Y60" s="248">
        <f t="shared" ref="Y60:Y91" si="34">RIGHT(D60,LEN(D60)-4)/10000</f>
        <v>23.285699999999999</v>
      </c>
      <c r="Z60" s="248">
        <f t="shared" ref="Z60:Z91" si="35">RIGHT(H60,LEN(H60)-4)/10000</f>
        <v>2.0500000000000001E-2</v>
      </c>
      <c r="AA60" s="248">
        <f t="shared" si="9"/>
        <v>23.2652</v>
      </c>
      <c r="AB60" s="234" t="e">
        <f>VLOOKUP(A60,Enforcements!$C$7:$K$9,8,0)</f>
        <v>#N/A</v>
      </c>
      <c r="AC60" s="233" t="e">
        <f>VLOOKUP(A60,Enforcements!$C$7:$E$9,3,0)</f>
        <v>#N/A</v>
      </c>
      <c r="AD60" s="244">
        <f t="shared" si="10"/>
        <v>148</v>
      </c>
      <c r="AE60" s="236" t="str">
        <f t="shared" si="11"/>
        <v>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 &amp; aws s3 cp s3://rtdc.mdm.uploadarchive.raw/RTDC4039/ "%USERPROFILE%\AppData\Local\Temp\OnboardLogs"\RTDC4039\2017-12-02 --exclude "*" --recursive --include "*20171202*" &amp; "%USERPROFILE%\Documents\GitHub\mrs-test-scripts\Headless Mode &amp; Sideloading\WalkAndUnGZ.bat" "%USERPROFILE%\AppData\Local\Temp\OnboardLogs"\RTDC4039\2017-12-02</v>
      </c>
      <c r="AF60" s="235" t="str">
        <f t="shared" si="12"/>
        <v>"C:\Program Files (x86)\AstroGrep\AstroGrep.exe" /e /r /s /spath="%USERPROFILE%\AppData\Local\Temp\OnboardLogs" /stypes="app*4039*20171201*" /stext=" 18:.+((SYSTEM_STATE.+slice.+state.+changed )|(ment ac)|(multiple cpu faults)|(system.+state.+changed )|(\[timeout)|(PRM\|1\|D)|(kpr)|(kdp)|(train st.+moving)|(\|lc)|(penalty))"</v>
      </c>
      <c r="AG60" s="245" t="str">
        <f t="shared" si="13"/>
        <v>EC</v>
      </c>
      <c r="AH60" s="237" t="str">
        <f t="shared" si="19"/>
        <v>"%USERPROFILE%\Documents\GitHub\eaglep3\Utilities\RefineRTDCRunTimes.py" --tripid 148-01 --locoid 4039 --swversion DE.1.0.9.0 --startMP 204:232857 --initTime 2017-12-01T10:19:48 --startdatetime 2017-12-01T10:27:14 --delay 59 --endMP 204:205 --enddatetime 2017-12-01T11:04:11 --enforcementcount 0 &gt;&gt;%USERPROFILE%\Documents\GitHub\eaglep3-reporting\EC\2017-12-01-refined-times.txt</v>
      </c>
      <c r="AI60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{"issue":{"subject":"","project_id":79,"tracker_id":40,"status_id":1,"priority_id":2,"assigned_to_id":338,"start_date":"2017-12-01","description":"","custom_fields":[{"id":1,"name":"Subdivision","value":"EC"},{"id":4,"name":"Milepost","value":"0.0205"},{"id":17,"name":"Train ID","value":"148-01"},{"id":16,"name":"Locomotive ID","value":"4039"},{"id":130,"name":"Impact","value":""},{"id":150,"name":"Time of Event (Mountain Time)","value":"11:04:11"},{"id":151,"name":"Denver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4"/>
      <c r="AK60" s="232"/>
      <c r="AL60" s="232"/>
      <c r="AM60" s="241" t="str">
        <f t="shared" si="21"/>
        <v>start /low /b %USERPROFILE%\Documents\GitHub\eaglep3\Utilities\DownloadLogsFromS3.py --loco 4039 --day 2017-12-01</v>
      </c>
      <c r="AN60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18:04:11"},{"id":29,"name":"Sharepoint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1" t="str">
        <f t="shared" si="23"/>
        <v>https://d0f6bd738d7f1b3e5a7ca70fe4ff75f0.us-east-1.aws.found.io/app/kibana#/discover/Steve-Slow-Train-Analysis-(2080s-and-2083s)?_g=(refreshInterval:(display:Off,pause:!f,section:0,value:0),time:(from:'2017-12-01T09:19:48-0700',mode:absolute,to:'2017-12-01T12:04:11-0700'))&amp;_a=(columns:!('Message%20ID',Summary),filters:!(),index:'emp_*',interval:auto,query:(query_string:(analyze_wildcard:!t,query:'%22rtdc.l.rtdc.4039%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230" t="s">
        <v>820</v>
      </c>
      <c r="B61" s="226">
        <v>4024</v>
      </c>
      <c r="C61" s="228" t="s">
        <v>192</v>
      </c>
      <c r="D61" s="228" t="s">
        <v>968</v>
      </c>
      <c r="E61" s="227">
        <v>43070.40185185185</v>
      </c>
      <c r="F61" s="227">
        <v>43070.406458333331</v>
      </c>
      <c r="G61" s="226">
        <v>57</v>
      </c>
      <c r="H61" s="228" t="s">
        <v>471</v>
      </c>
      <c r="I61" s="227">
        <v>43070.432175925926</v>
      </c>
      <c r="J61" s="226">
        <v>0</v>
      </c>
      <c r="K61" s="238" t="str">
        <f t="shared" si="0"/>
        <v>4023/4024</v>
      </c>
      <c r="L61" s="246" t="str">
        <f>VLOOKUP(A61,'Trips&amp;Operators'!$C$1:$G$99911,5,FALSE)</f>
        <v>LONG FULLER</v>
      </c>
      <c r="M61" s="225">
        <f t="shared" si="32"/>
        <v>2.5717592594446614E-2</v>
      </c>
      <c r="N61" s="226">
        <f t="shared" si="33"/>
        <v>37.033333336003125</v>
      </c>
      <c r="O61" s="226"/>
      <c r="P61" s="226"/>
      <c r="Q61" s="229"/>
      <c r="R61" s="243"/>
      <c r="S61" s="250">
        <f t="shared" si="25"/>
        <v>1</v>
      </c>
      <c r="T61" s="243" t="str">
        <f t="shared" si="4"/>
        <v>NorthBound</v>
      </c>
      <c r="U61" s="24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9" t="str">
        <f t="shared" si="5"/>
        <v>https://d0f6bd738d7f1b3e5a7ca70fe4ff75f0.us-east-1.aws.found.io/app/kibana#/discover/Steve-Slow-Train-Analysis-(2080s-and-2083s)?_g=(refreshInterval:(display:Off,pause:!f,section:0,value:0),time:(from:'2017-12-01T08:38:40-0700',mode:absolute,to:'2017-12-01T11:22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1" s="248" t="str">
        <f>IF(AA61&lt;VLOOKUP(AG61,Variables!$AC$3:$AD$8,2,FALSE),"Y","N")</f>
        <v>N</v>
      </c>
      <c r="X61" s="248">
        <f t="shared" si="26"/>
        <v>1</v>
      </c>
      <c r="Y61" s="248">
        <f t="shared" si="34"/>
        <v>4.6899999999999997E-2</v>
      </c>
      <c r="Z61" s="248">
        <f t="shared" si="35"/>
        <v>23.324400000000001</v>
      </c>
      <c r="AA61" s="248">
        <f t="shared" si="9"/>
        <v>23.2775</v>
      </c>
      <c r="AB61" s="234" t="e">
        <f>VLOOKUP(A61,Enforcements!$C$7:$K$9,8,0)</f>
        <v>#N/A</v>
      </c>
      <c r="AC61" s="233" t="e">
        <f>VLOOKUP(A61,Enforcements!$C$7:$E$9,3,0)</f>
        <v>#N/A</v>
      </c>
      <c r="AD61" s="244">
        <f t="shared" si="10"/>
        <v>149</v>
      </c>
      <c r="AE61" s="236" t="str">
        <f t="shared" si="11"/>
        <v>aws s3 cp s3://rtdc.mdm.uploadarchive.raw/RTDC4024/ "%USERPROFILE%\AppData\Local\Temp\OnboardLogs"\RTDC4024\2017-12-01 --exclude "*" --recursive --include "*20171201*" &amp; "%USERPROFILE%\Documents\GitHub\mrs-test-scripts\Headless Mode &amp; Sideloading\WalkAndUnGZ.bat" "%USERPROFILE%\AppData\Local\Temp\OnboardLogs"\RTDC4024\2017-12-01 &amp; aws s3 cp s3://rtdc.mdm.uploadarchive.raw/RTDC4024/ "%USERPROFILE%\AppData\Local\Temp\OnboardLogs"\RTDC4024\2017-12-02 --exclude "*" --recursive --include "*20171202*" &amp; "%USERPROFILE%\Documents\GitHub\mrs-test-scripts\Headless Mode &amp; Sideloading\WalkAndUnGZ.bat" "%USERPROFILE%\AppData\Local\Temp\OnboardLogs"\RTDC4024\2017-12-02</v>
      </c>
      <c r="AF61" s="235" t="str">
        <f t="shared" si="12"/>
        <v>"C:\Program Files (x86)\AstroGrep\AstroGrep.exe" /e /r /s /spath="%USERPROFILE%\AppData\Local\Temp\OnboardLogs" /stypes="app*4024*20171201*" /stext=" 17:.+((SYSTEM_STATE.+slice.+state.+changed )|(ment ac)|(multiple cpu faults)|(system.+state.+changed )|(\[timeout)|(PRM\|1\|D)|(kpr)|(kdp)|(train st.+moving)|(\|lc)|(penalty))"</v>
      </c>
      <c r="AG61" s="245" t="str">
        <f t="shared" si="13"/>
        <v>EC</v>
      </c>
      <c r="AH61" s="237" t="str">
        <f t="shared" si="19"/>
        <v>"%USERPROFILE%\Documents\GitHub\eaglep3\Utilities\RefineRTDCRunTimes.py" --tripid 149-01 --locoid 4024 --swversion DE.1.0.9.0 --startMP 204:469 --initTime 2017-12-01T09:38:40 --startdatetime 2017-12-01T09:45:18 --delay 57 --endMP 204:233244 --enddatetime 2017-12-01T10:22:20 --enforcementcount 0 &gt;&gt;%USERPROFILE%\Documents\GitHub\eaglep3-reporting\EC\2017-12-01-refined-times.txt</v>
      </c>
      <c r="AI61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{"issue":{"subject":"","project_id":79,"tracker_id":40,"status_id":1,"priority_id":2,"assigned_to_id":338,"start_date":"2017-12-01","description":"","custom_fields":[{"id":1,"name":"Subdivision","value":"EC"},{"id":4,"name":"Milepost","value":"23.3244"},{"id":17,"name":"Train ID","value":"149-01"},{"id":16,"name":"Locomotive ID","value":"4024"},{"id":130,"name":"Impact","value":""},{"id":150,"name":"Time of Event (Mountain Time)","value":"10:22:20"},{"id":151,"name":"Denver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4"/>
      <c r="AK61" s="232"/>
      <c r="AL61" s="232"/>
      <c r="AM61" s="241" t="str">
        <f t="shared" si="21"/>
        <v>start /low /b %USERPROFILE%\Documents\GitHub\eaglep3\Utilities\DownloadLogsFromS3.py --loco 4024 --day 2017-12-01</v>
      </c>
      <c r="AN61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17:22:20"},{"id":29,"name":"Sharepoint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1" t="str">
        <f t="shared" si="23"/>
        <v>https://d0f6bd738d7f1b3e5a7ca70fe4ff75f0.us-east-1.aws.found.io/app/kibana#/discover/Steve-Slow-Train-Analysis-(2080s-and-2083s)?_g=(refreshInterval:(display:Off,pause:!f,section:0,value:0),time:(from:'2017-12-01T08:38:40-0700',mode:absolute,to:'2017-12-01T11:22:20-0700'))&amp;_a=(columns:!('Message%20ID',Summary),filters:!(),index:'emp_*',interval:auto,query:(query_string:(analyze_wildcard:!t,query:'%22rtdc.l.rtdc.4024%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230" t="s">
        <v>827</v>
      </c>
      <c r="B62" s="226">
        <v>4023</v>
      </c>
      <c r="C62" s="228" t="s">
        <v>192</v>
      </c>
      <c r="D62" s="228" t="s">
        <v>416</v>
      </c>
      <c r="E62" s="227">
        <v>43070.434108796297</v>
      </c>
      <c r="F62" s="227">
        <v>43070.44604166667</v>
      </c>
      <c r="G62" s="226">
        <v>54</v>
      </c>
      <c r="H62" s="228" t="s">
        <v>493</v>
      </c>
      <c r="I62" s="227">
        <v>43070.473067129627</v>
      </c>
      <c r="J62" s="226">
        <v>0</v>
      </c>
      <c r="K62" s="238" t="str">
        <f t="shared" si="0"/>
        <v>4023/4024</v>
      </c>
      <c r="L62" s="246" t="str">
        <f>VLOOKUP(A62,'Trips&amp;Operators'!$C$1:$G$99911,5,FALSE)</f>
        <v>LONG FULLER</v>
      </c>
      <c r="M62" s="225">
        <f t="shared" si="32"/>
        <v>2.7025462957681157E-2</v>
      </c>
      <c r="N62" s="226">
        <f t="shared" si="33"/>
        <v>38.916666659060866</v>
      </c>
      <c r="O62" s="226"/>
      <c r="P62" s="226"/>
      <c r="Q62" s="229"/>
      <c r="R62" s="243"/>
      <c r="S62" s="250">
        <f t="shared" si="25"/>
        <v>1</v>
      </c>
      <c r="T62" s="243" t="str">
        <f t="shared" si="4"/>
        <v>Southbound</v>
      </c>
      <c r="U62" s="24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9" t="str">
        <f t="shared" si="5"/>
        <v>https://d0f6bd738d7f1b3e5a7ca70fe4ff75f0.us-east-1.aws.found.io/app/kibana#/discover/Steve-Slow-Train-Analysis-(2080s-and-2083s)?_g=(refreshInterval:(display:Off,pause:!f,section:0,value:0),time:(from:'2017-12-01T09:25:07-0700',mode:absolute,to:'2017-12-01T12:21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2" s="248" t="str">
        <f>IF(AA62&lt;VLOOKUP(AG62,Variables!$AC$3:$AD$8,2,FALSE),"Y","N")</f>
        <v>N</v>
      </c>
      <c r="X62" s="248">
        <f t="shared" si="26"/>
        <v>1</v>
      </c>
      <c r="Y62" s="248">
        <f t="shared" si="34"/>
        <v>23.293399999999998</v>
      </c>
      <c r="Z62" s="248">
        <f t="shared" si="35"/>
        <v>2.1600000000000001E-2</v>
      </c>
      <c r="AA62" s="248">
        <f t="shared" si="9"/>
        <v>23.271799999999999</v>
      </c>
      <c r="AB62" s="234" t="e">
        <f>VLOOKUP(A62,Enforcements!$C$7:$K$9,8,0)</f>
        <v>#N/A</v>
      </c>
      <c r="AC62" s="233" t="e">
        <f>VLOOKUP(A62,Enforcements!$C$7:$E$9,3,0)</f>
        <v>#N/A</v>
      </c>
      <c r="AD62" s="244">
        <f t="shared" si="10"/>
        <v>150</v>
      </c>
      <c r="AE62" s="236" t="str">
        <f t="shared" si="11"/>
        <v>aws s3 cp s3://rtdc.mdm.uploadarchive.raw/RTDC4023/ "%USERPROFILE%\AppData\Local\Temp\OnboardLogs"\RTDC4023\2017-12-01 --exclude "*" --recursive --include "*20171201*" &amp; "%USERPROFILE%\Documents\GitHub\mrs-test-scripts\Headless Mode &amp; Sideloading\WalkAndUnGZ.bat" "%USERPROFILE%\AppData\Local\Temp\OnboardLogs"\RTDC4023\2017-12-01 &amp; aws s3 cp s3://rtdc.mdm.uploadarchive.raw/RTDC4023/ "%USERPROFILE%\AppData\Local\Temp\OnboardLogs"\RTDC4023\2017-12-02 --exclude "*" --recursive --include "*20171202*" &amp; "%USERPROFILE%\Documents\GitHub\mrs-test-scripts\Headless Mode &amp; Sideloading\WalkAndUnGZ.bat" "%USERPROFILE%\AppData\Local\Temp\OnboardLogs"\RTDC4023\2017-12-02</v>
      </c>
      <c r="AF62" s="235" t="str">
        <f t="shared" si="12"/>
        <v>"C:\Program Files (x86)\AstroGrep\AstroGrep.exe" /e /r /s /spath="%USERPROFILE%\AppData\Local\Temp\OnboardLogs" /stypes="app*4023*20171201*" /stext=" 18:.+((SYSTEM_STATE.+slice.+state.+changed )|(ment ac)|(multiple cpu faults)|(system.+state.+changed )|(\[timeout)|(PRM\|1\|D)|(kpr)|(kdp)|(train st.+moving)|(\|lc)|(penalty))"</v>
      </c>
      <c r="AG62" s="245" t="str">
        <f t="shared" si="13"/>
        <v>EC</v>
      </c>
      <c r="AH62" s="237" t="str">
        <f t="shared" si="19"/>
        <v>"%USERPROFILE%\Documents\GitHub\eaglep3\Utilities\RefineRTDCRunTimes.py" --tripid 150-01 --locoid 4023 --swversion DE.1.0.9.0 --startMP 204:232934 --initTime 2017-12-01T10:25:07 --startdatetime 2017-12-01T10:42:18 --delay 54 --endMP 204:216 --enddatetime 2017-12-01T11:21:13 --enforcementcount 0 &gt;&gt;%USERPROFILE%\Documents\GitHub\eaglep3-reporting\EC\2017-12-01-refined-times.txt</v>
      </c>
      <c r="AI62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{"issue":{"subject":"","project_id":79,"tracker_id":40,"status_id":1,"priority_id":2,"assigned_to_id":338,"start_date":"2017-12-01","description":"","custom_fields":[{"id":1,"name":"Subdivision","value":"EC"},{"id":4,"name":"Milepost","value":"0.0216"},{"id":17,"name":"Train ID","value":"150-01"},{"id":16,"name":"Locomotive ID","value":"4023"},{"id":130,"name":"Impact","value":""},{"id":150,"name":"Time of Event (Mountain Time)","value":"11:21:13"},{"id":151,"name":"Denver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4"/>
      <c r="AK62" s="232"/>
      <c r="AL62" s="232"/>
      <c r="AM62" s="241" t="str">
        <f t="shared" si="21"/>
        <v>start /low /b %USERPROFILE%\Documents\GitHub\eaglep3\Utilities\DownloadLogsFromS3.py --loco 4023 --day 2017-12-01</v>
      </c>
      <c r="AN62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18:21:13"},{"id":29,"name":"Sharepoint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1" t="str">
        <f t="shared" si="23"/>
        <v>https://d0f6bd738d7f1b3e5a7ca70fe4ff75f0.us-east-1.aws.found.io/app/kibana#/discover/Steve-Slow-Train-Analysis-(2080s-and-2083s)?_g=(refreshInterval:(display:Off,pause:!f,section:0,value:0),time:(from:'2017-12-01T09:25:07-0700',mode:absolute,to:'2017-12-01T12:21:13-0700'))&amp;_a=(columns:!('Message%20ID',Summary),filters:!(),index:'emp_*',interval:auto,query:(query_string:(analyze_wildcard:!t,query:'%22rtdc.l.rtdc.4023%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230" t="s">
        <v>822</v>
      </c>
      <c r="B63" s="226">
        <v>4020</v>
      </c>
      <c r="C63" s="228" t="s">
        <v>192</v>
      </c>
      <c r="D63" s="228" t="s">
        <v>419</v>
      </c>
      <c r="E63" s="227">
        <v>43070.410833333335</v>
      </c>
      <c r="F63" s="227">
        <v>43070.416828703703</v>
      </c>
      <c r="G63" s="226">
        <v>53</v>
      </c>
      <c r="H63" s="228" t="s">
        <v>987</v>
      </c>
      <c r="I63" s="227">
        <v>43070.440891203703</v>
      </c>
      <c r="J63" s="226">
        <v>0</v>
      </c>
      <c r="K63" s="238" t="str">
        <f t="shared" si="0"/>
        <v>4019/4020</v>
      </c>
      <c r="L63" s="246" t="str">
        <f>VLOOKUP(A63,'Trips&amp;Operators'!$C$1:$G$99911,5,FALSE)</f>
        <v>LOPES KIMBERLY</v>
      </c>
      <c r="M63" s="225">
        <f t="shared" si="32"/>
        <v>2.4062500000582077E-2</v>
      </c>
      <c r="N63" s="226">
        <f t="shared" si="33"/>
        <v>34.65000000083819</v>
      </c>
      <c r="O63" s="226"/>
      <c r="P63" s="226"/>
      <c r="Q63" s="229"/>
      <c r="R63" s="243"/>
      <c r="S63" s="250">
        <f t="shared" si="25"/>
        <v>1</v>
      </c>
      <c r="T63" s="243" t="str">
        <f t="shared" si="4"/>
        <v>NorthBound</v>
      </c>
      <c r="U63" s="24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9" t="str">
        <f t="shared" si="5"/>
        <v>https://d0f6bd738d7f1b3e5a7ca70fe4ff75f0.us-east-1.aws.found.io/app/kibana#/discover/Steve-Slow-Train-Analysis-(2080s-and-2083s)?_g=(refreshInterval:(display:Off,pause:!f,section:0,value:0),time:(from:'2017-12-01T08:51:36-0700',mode:absolute,to:'2017-12-01T11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3" s="248" t="str">
        <f>IF(AA63&lt;VLOOKUP(AG63,Variables!$AC$3:$AD$8,2,FALSE),"Y","N")</f>
        <v>N</v>
      </c>
      <c r="X63" s="248">
        <f t="shared" si="26"/>
        <v>1</v>
      </c>
      <c r="Y63" s="248">
        <f t="shared" si="34"/>
        <v>5.0799999999999998E-2</v>
      </c>
      <c r="Z63" s="248">
        <f t="shared" si="35"/>
        <v>23.319500000000001</v>
      </c>
      <c r="AA63" s="248">
        <f t="shared" si="9"/>
        <v>23.268700000000003</v>
      </c>
      <c r="AB63" s="234" t="e">
        <f>VLOOKUP(A63,Enforcements!$C$7:$K$9,8,0)</f>
        <v>#N/A</v>
      </c>
      <c r="AC63" s="233" t="e">
        <f>VLOOKUP(A63,Enforcements!$C$7:$E$9,3,0)</f>
        <v>#N/A</v>
      </c>
      <c r="AD63" s="244">
        <f t="shared" si="10"/>
        <v>151</v>
      </c>
      <c r="AE63" s="236" t="str">
        <f t="shared" si="11"/>
        <v>aws s3 cp s3://rtdc.mdm.uploadarchive.raw/RTDC4020/ "%USERPROFILE%\AppData\Local\Temp\OnboardLogs"\RTDC4020\2017-12-01 --exclude "*" --recursive --include "*20171201*" &amp; "%USERPROFILE%\Documents\GitHub\mrs-test-scripts\Headless Mode &amp; Sideloading\WalkAndUnGZ.bat" "%USERPROFILE%\AppData\Local\Temp\OnboardLogs"\RTDC4020\2017-12-01 &amp; aws s3 cp s3://rtdc.mdm.uploadarchive.raw/RTDC4020/ "%USERPROFILE%\AppData\Local\Temp\OnboardLogs"\RTDC4020\2017-12-02 --exclude "*" --recursive --include "*20171202*" &amp; "%USERPROFILE%\Documents\GitHub\mrs-test-scripts\Headless Mode &amp; Sideloading\WalkAndUnGZ.bat" "%USERPROFILE%\AppData\Local\Temp\OnboardLogs"\RTDC4020\2017-12-02</v>
      </c>
      <c r="AF63" s="235" t="str">
        <f t="shared" si="12"/>
        <v>"C:\Program Files (x86)\AstroGrep\AstroGrep.exe" /e /r /s /spath="%USERPROFILE%\AppData\Local\Temp\OnboardLogs" /stypes="app*4020*20171201*" /stext=" 17:.+((SYSTEM_STATE.+slice.+state.+changed )|(ment ac)|(multiple cpu faults)|(system.+state.+changed )|(\[timeout)|(PRM\|1\|D)|(kpr)|(kdp)|(train st.+moving)|(\|lc)|(penalty))"</v>
      </c>
      <c r="AG63" s="245" t="str">
        <f t="shared" si="13"/>
        <v>EC</v>
      </c>
      <c r="AH63" s="237" t="str">
        <f t="shared" si="19"/>
        <v>"%USERPROFILE%\Documents\GitHub\eaglep3\Utilities\RefineRTDCRunTimes.py" --tripid 151-01 --locoid 4020 --swversion DE.1.0.9.0 --startMP 204:508 --initTime 2017-12-01T09:51:36 --startdatetime 2017-12-01T10:00:14 --delay 53 --endMP 204:233195 --enddatetime 2017-12-01T10:34:53 --enforcementcount 0 &gt;&gt;%USERPROFILE%\Documents\GitHub\eaglep3-reporting\EC\2017-12-01-refined-times.txt</v>
      </c>
      <c r="AI63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{"issue":{"subject":"","project_id":79,"tracker_id":40,"status_id":1,"priority_id":2,"assigned_to_id":338,"start_date":"2017-12-01","description":"","custom_fields":[{"id":1,"name":"Subdivision","value":"EC"},{"id":4,"name":"Milepost","value":"23.3195"},{"id":17,"name":"Train ID","value":"151-01"},{"id":16,"name":"Locomotive ID","value":"4020"},{"id":130,"name":"Impact","value":""},{"id":150,"name":"Time of Event (Mountain Time)","value":"10:34:53"},{"id":151,"name":"Denver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4"/>
      <c r="AK63" s="232"/>
      <c r="AL63" s="232"/>
      <c r="AM63" s="241" t="str">
        <f t="shared" si="21"/>
        <v>start /low /b %USERPROFILE%\Documents\GitHub\eaglep3\Utilities\DownloadLogsFromS3.py --loco 4020 --day 2017-12-01</v>
      </c>
      <c r="AN63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17:34:53"},{"id":29,"name":"Sharepoint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1" t="str">
        <f t="shared" si="23"/>
        <v>https://d0f6bd738d7f1b3e5a7ca70fe4ff75f0.us-east-1.aws.found.io/app/kibana#/discover/Steve-Slow-Train-Analysis-(2080s-and-2083s)?_g=(refreshInterval:(display:Off,pause:!f,section:0,value:0),time:(from:'2017-12-01T08:51:36-0700',mode:absolute,to:'2017-12-01T11:34:53-0700'))&amp;_a=(columns:!('Message%20ID',Summary),filters:!(),index:'emp_*',interval:auto,query:(query_string:(analyze_wildcard:!t,query:'%22rtdc.l.rtdc.4020%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230" t="s">
        <v>831</v>
      </c>
      <c r="B64" s="226">
        <v>4019</v>
      </c>
      <c r="C64" s="228" t="s">
        <v>192</v>
      </c>
      <c r="D64" s="228" t="s">
        <v>988</v>
      </c>
      <c r="E64" s="227">
        <v>43070.449699074074</v>
      </c>
      <c r="F64" s="227">
        <v>43070.456435185188</v>
      </c>
      <c r="G64" s="226">
        <v>85</v>
      </c>
      <c r="H64" s="228" t="s">
        <v>422</v>
      </c>
      <c r="I64" s="227">
        <v>43070.482372685183</v>
      </c>
      <c r="J64" s="226">
        <v>0</v>
      </c>
      <c r="K64" s="238" t="str">
        <f t="shared" si="0"/>
        <v>4019/4020</v>
      </c>
      <c r="L64" s="246" t="str">
        <f>VLOOKUP(A64,'Trips&amp;Operators'!$C$1:$G$99911,5,FALSE)</f>
        <v>LOPES KIMBERLY</v>
      </c>
      <c r="M64" s="225">
        <f t="shared" si="32"/>
        <v>2.5937499995052349E-2</v>
      </c>
      <c r="N64" s="226">
        <f t="shared" si="33"/>
        <v>37.349999992875382</v>
      </c>
      <c r="O64" s="226"/>
      <c r="P64" s="226"/>
      <c r="Q64" s="229"/>
      <c r="R64" s="243"/>
      <c r="S64" s="250">
        <f t="shared" si="25"/>
        <v>1</v>
      </c>
      <c r="T64" s="243" t="str">
        <f t="shared" si="4"/>
        <v>Southbound</v>
      </c>
      <c r="U64" s="24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9" t="str">
        <f t="shared" si="5"/>
        <v>https://d0f6bd738d7f1b3e5a7ca70fe4ff75f0.us-east-1.aws.found.io/app/kibana#/discover/Steve-Slow-Train-Analysis-(2080s-and-2083s)?_g=(refreshInterval:(display:Off,pause:!f,section:0,value:0),time:(from:'2017-12-01T09:47:34-0700',mode:absolute,to:'2017-12-01T12:34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4" s="248" t="str">
        <f>IF(AA64&lt;VLOOKUP(AG64,Variables!$AC$3:$AD$8,2,FALSE),"Y","N")</f>
        <v>N</v>
      </c>
      <c r="X64" s="248">
        <f t="shared" si="26"/>
        <v>1</v>
      </c>
      <c r="Y64" s="248">
        <f t="shared" si="34"/>
        <v>23.287700000000001</v>
      </c>
      <c r="Z64" s="248">
        <f t="shared" si="35"/>
        <v>2.18E-2</v>
      </c>
      <c r="AA64" s="248">
        <f t="shared" si="9"/>
        <v>23.265900000000002</v>
      </c>
      <c r="AB64" s="234" t="e">
        <f>VLOOKUP(A64,Enforcements!$C$7:$K$9,8,0)</f>
        <v>#N/A</v>
      </c>
      <c r="AC64" s="233" t="e">
        <f>VLOOKUP(A64,Enforcements!$C$7:$E$9,3,0)</f>
        <v>#N/A</v>
      </c>
      <c r="AD64" s="244">
        <f t="shared" si="10"/>
        <v>152</v>
      </c>
      <c r="AE64" s="236" t="str">
        <f t="shared" si="11"/>
        <v>aws s3 cp s3://rtdc.mdm.uploadarchive.raw/RTDC4019/ "%USERPROFILE%\AppData\Local\Temp\OnboardLogs"\RTDC4019\2017-12-01 --exclude "*" --recursive --include "*20171201*" &amp; "%USERPROFILE%\Documents\GitHub\mrs-test-scripts\Headless Mode &amp; Sideloading\WalkAndUnGZ.bat" "%USERPROFILE%\AppData\Local\Temp\OnboardLogs"\RTDC4019\2017-12-01 &amp; aws s3 cp s3://rtdc.mdm.uploadarchive.raw/RTDC4019/ "%USERPROFILE%\AppData\Local\Temp\OnboardLogs"\RTDC4019\2017-12-02 --exclude "*" --recursive --include "*20171202*" &amp; "%USERPROFILE%\Documents\GitHub\mrs-test-scripts\Headless Mode &amp; Sideloading\WalkAndUnGZ.bat" "%USERPROFILE%\AppData\Local\Temp\OnboardLogs"\RTDC4019\2017-12-02</v>
      </c>
      <c r="AF64" s="235" t="str">
        <f t="shared" si="12"/>
        <v>"C:\Program Files (x86)\AstroGrep\AstroGrep.exe" /e /r /s /spath="%USERPROFILE%\AppData\Local\Temp\OnboardLogs" /stypes="app*4019*20171201*" /stext=" 18:.+((SYSTEM_STATE.+slice.+state.+changed )|(ment ac)|(multiple cpu faults)|(system.+state.+changed )|(\[timeout)|(PRM\|1\|D)|(kpr)|(kdp)|(train st.+moving)|(\|lc)|(penalty))"</v>
      </c>
      <c r="AG64" s="245" t="str">
        <f t="shared" si="13"/>
        <v>EC</v>
      </c>
      <c r="AH64" s="237" t="str">
        <f t="shared" si="19"/>
        <v>"%USERPROFILE%\Documents\GitHub\eaglep3\Utilities\RefineRTDCRunTimes.py" --tripid 152-01 --locoid 4019 --swversion DE.1.0.9.0 --startMP 204:232877 --initTime 2017-12-01T10:47:34 --startdatetime 2017-12-01T10:57:16 --delay 85 --endMP 204:218 --enddatetime 2017-12-01T11:34:37 --enforcementcount 0 &gt;&gt;%USERPROFILE%\Documents\GitHub\eaglep3-reporting\EC\2017-12-01-refined-times.txt</v>
      </c>
      <c r="AI64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{"issue":{"subject":"","project_id":79,"tracker_id":40,"status_id":1,"priority_id":2,"assigned_to_id":338,"start_date":"2017-12-01","description":"","custom_fields":[{"id":1,"name":"Subdivision","value":"EC"},{"id":4,"name":"Milepost","value":"0.0218"},{"id":17,"name":"Train ID","value":"152-01"},{"id":16,"name":"Locomotive ID","value":"4019"},{"id":130,"name":"Impact","value":""},{"id":150,"name":"Time of Event (Mountain Time)","value":"11:34:37"},{"id":151,"name":"Denver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4"/>
      <c r="AK64" s="232"/>
      <c r="AL64" s="232"/>
      <c r="AM64" s="241" t="str">
        <f t="shared" si="21"/>
        <v>start /low /b %USERPROFILE%\Documents\GitHub\eaglep3\Utilities\DownloadLogsFromS3.py --loco 4019 --day 2017-12-01</v>
      </c>
      <c r="AN64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18:34:37"},{"id":29,"name":"Sharepoint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1" t="str">
        <f t="shared" si="23"/>
        <v>https://d0f6bd738d7f1b3e5a7ca70fe4ff75f0.us-east-1.aws.found.io/app/kibana#/discover/Steve-Slow-Train-Analysis-(2080s-and-2083s)?_g=(refreshInterval:(display:Off,pause:!f,section:0,value:0),time:(from:'2017-12-01T09:47:34-0700',mode:absolute,to:'2017-12-01T12:34:37-0700'))&amp;_a=(columns:!('Message%20ID',Summary),filters:!(),index:'emp_*',interval:auto,query:(query_string:(analyze_wildcard:!t,query:'%22rtdc.l.rtdc.4019%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230" t="s">
        <v>825</v>
      </c>
      <c r="B65" s="226">
        <v>4006</v>
      </c>
      <c r="C65" s="228" t="s">
        <v>192</v>
      </c>
      <c r="D65" s="228" t="s">
        <v>605</v>
      </c>
      <c r="E65" s="227">
        <v>43070.421655092592</v>
      </c>
      <c r="F65" s="227">
        <v>43070.427256944444</v>
      </c>
      <c r="G65" s="226">
        <v>146</v>
      </c>
      <c r="H65" s="228" t="s">
        <v>569</v>
      </c>
      <c r="I65" s="227">
        <v>43070.452384259261</v>
      </c>
      <c r="J65" s="226">
        <v>0</v>
      </c>
      <c r="K65" s="238" t="str">
        <f t="shared" si="0"/>
        <v>4005/4006</v>
      </c>
      <c r="L65" s="246" t="str">
        <f>VLOOKUP(A65,'Trips&amp;Operators'!$C$1:$G$99911,5,FALSE)</f>
        <v>WILLIAMS DONTE</v>
      </c>
      <c r="M65" s="225">
        <f t="shared" si="32"/>
        <v>2.5127314816927537E-2</v>
      </c>
      <c r="N65" s="226">
        <f t="shared" si="33"/>
        <v>36.183333336375654</v>
      </c>
      <c r="O65" s="226"/>
      <c r="P65" s="226"/>
      <c r="Q65" s="229"/>
      <c r="R65" s="243"/>
      <c r="S65" s="250">
        <f t="shared" si="25"/>
        <v>1</v>
      </c>
      <c r="T65" s="243" t="str">
        <f t="shared" si="4"/>
        <v>NorthBound</v>
      </c>
      <c r="U65" s="24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9" t="str">
        <f t="shared" si="5"/>
        <v>https://d0f6bd738d7f1b3e5a7ca70fe4ff75f0.us-east-1.aws.found.io/app/kibana#/discover/Steve-Slow-Train-Analysis-(2080s-and-2083s)?_g=(refreshInterval:(display:Off,pause:!f,section:0,value:0),time:(from:'2017-12-01T09:07:11-0700',mode:absolute,to:'2017-12-01T11:51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5" s="248" t="str">
        <f>IF(AA65&lt;VLOOKUP(AG65,Variables!$AC$3:$AD$8,2,FALSE),"Y","N")</f>
        <v>N</v>
      </c>
      <c r="X65" s="248">
        <f t="shared" si="26"/>
        <v>1</v>
      </c>
      <c r="Y65" s="248">
        <f t="shared" si="34"/>
        <v>4.6699999999999998E-2</v>
      </c>
      <c r="Z65" s="248">
        <f t="shared" si="35"/>
        <v>23.318300000000001</v>
      </c>
      <c r="AA65" s="248">
        <f t="shared" si="9"/>
        <v>23.271599999999999</v>
      </c>
      <c r="AB65" s="234" t="e">
        <f>VLOOKUP(A65,Enforcements!$C$7:$K$9,8,0)</f>
        <v>#N/A</v>
      </c>
      <c r="AC65" s="233" t="e">
        <f>VLOOKUP(A65,Enforcements!$C$7:$E$9,3,0)</f>
        <v>#N/A</v>
      </c>
      <c r="AD65" s="244">
        <f t="shared" si="10"/>
        <v>153</v>
      </c>
      <c r="AE65" s="236" t="str">
        <f t="shared" si="11"/>
        <v>aws s3 cp s3://rtdc.mdm.uploadarchive.raw/RTDC4006/ "%USERPROFILE%\AppData\Local\Temp\OnboardLogs"\RTDC4006\2017-12-01 --exclude "*" --recursive --include "*20171201*" &amp; "%USERPROFILE%\Documents\GitHub\mrs-test-scripts\Headless Mode &amp; Sideloading\WalkAndUnGZ.bat" "%USERPROFILE%\AppData\Local\Temp\OnboardLogs"\RTDC4006\2017-12-01 &amp; aws s3 cp s3://rtdc.mdm.uploadarchive.raw/RTDC4006/ "%USERPROFILE%\AppData\Local\Temp\OnboardLogs"\RTDC4006\2017-12-02 --exclude "*" --recursive --include "*20171202*" &amp; "%USERPROFILE%\Documents\GitHub\mrs-test-scripts\Headless Mode &amp; Sideloading\WalkAndUnGZ.bat" "%USERPROFILE%\AppData\Local\Temp\OnboardLogs"\RTDC4006\2017-12-02</v>
      </c>
      <c r="AF65" s="235" t="str">
        <f t="shared" si="12"/>
        <v>"C:\Program Files (x86)\AstroGrep\AstroGrep.exe" /e /r /s /spath="%USERPROFILE%\AppData\Local\Temp\OnboardLogs" /stypes="app*4006*20171201*" /stext=" 17:.+((SYSTEM_STATE.+slice.+state.+changed )|(ment ac)|(multiple cpu faults)|(system.+state.+changed )|(\[timeout)|(PRM\|1\|D)|(kpr)|(kdp)|(train st.+moving)|(\|lc)|(penalty))"</v>
      </c>
      <c r="AG65" s="245" t="str">
        <f t="shared" si="13"/>
        <v>EC</v>
      </c>
      <c r="AH65" s="237" t="str">
        <f t="shared" si="19"/>
        <v>"%USERPROFILE%\Documents\GitHub\eaglep3\Utilities\RefineRTDCRunTimes.py" --tripid 153-01 --locoid 4006 --swversion DE.1.0.9.0 --startMP 204:467 --initTime 2017-12-01T10:07:11 --startdatetime 2017-12-01T10:15:15 --delay 146 --endMP 204:233183 --enddatetime 2017-12-01T10:51:26 --enforcementcount 0 &gt;&gt;%USERPROFILE%\Documents\GitHub\eaglep3-reporting\EC\2017-12-01-refined-times.txt</v>
      </c>
      <c r="AI65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{"issue":{"subject":"","project_id":79,"tracker_id":40,"status_id":1,"priority_id":2,"assigned_to_id":338,"start_date":"2017-12-01","description":"","custom_fields":[{"id":1,"name":"Subdivision","value":"EC"},{"id":4,"name":"Milepost","value":"23.3183"},{"id":17,"name":"Train ID","value":"153-01"},{"id":16,"name":"Locomotive ID","value":"4006"},{"id":130,"name":"Impact","value":""},{"id":150,"name":"Time of Event (Mountain Time)","value":"10:51:26"},{"id":151,"name":"Denver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4"/>
      <c r="AK65" s="232"/>
      <c r="AL65" s="232"/>
      <c r="AM65" s="241" t="str">
        <f t="shared" si="21"/>
        <v>start /low /b %USERPROFILE%\Documents\GitHub\eaglep3\Utilities\DownloadLogsFromS3.py --loco 4006 --day 2017-12-01</v>
      </c>
      <c r="AN65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17:51:26"},{"id":29,"name":"Sharepoint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1" t="str">
        <f t="shared" si="23"/>
        <v>https://d0f6bd738d7f1b3e5a7ca70fe4ff75f0.us-east-1.aws.found.io/app/kibana#/discover/Steve-Slow-Train-Analysis-(2080s-and-2083s)?_g=(refreshInterval:(display:Off,pause:!f,section:0,value:0),time:(from:'2017-12-01T09:07:11-0700',mode:absolute,to:'2017-12-01T11:51:26-0700'))&amp;_a=(columns:!('Message%20ID',Summary),filters:!(),index:'emp_*',interval:auto,query:(query_string:(analyze_wildcard:!t,query:'%22rtdc.l.rtdc.4006%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230" t="s">
        <v>834</v>
      </c>
      <c r="B66" s="226">
        <v>4005</v>
      </c>
      <c r="C66" s="228" t="s">
        <v>192</v>
      </c>
      <c r="D66" s="228" t="s">
        <v>680</v>
      </c>
      <c r="E66" s="227">
        <v>43070.462789351855</v>
      </c>
      <c r="F66" s="227">
        <v>43070.467233796298</v>
      </c>
      <c r="G66" s="226">
        <v>68</v>
      </c>
      <c r="H66" s="228" t="s">
        <v>432</v>
      </c>
      <c r="I66" s="227">
        <v>43070.494733796295</v>
      </c>
      <c r="J66" s="226">
        <v>0</v>
      </c>
      <c r="K66" s="238" t="str">
        <f t="shared" si="0"/>
        <v>4005/4006</v>
      </c>
      <c r="L66" s="246" t="str">
        <f>VLOOKUP(A66,'Trips&amp;Operators'!$C$1:$G$99911,5,FALSE)</f>
        <v>WILLIAMS DONTE</v>
      </c>
      <c r="M66" s="225">
        <f t="shared" si="32"/>
        <v>2.749999999650754E-2</v>
      </c>
      <c r="N66" s="226">
        <f t="shared" si="33"/>
        <v>39.599999994970858</v>
      </c>
      <c r="O66" s="226"/>
      <c r="P66" s="226"/>
      <c r="Q66" s="229"/>
      <c r="R66" s="243"/>
      <c r="S66" s="250">
        <f t="shared" si="25"/>
        <v>1</v>
      </c>
      <c r="T66" s="243" t="str">
        <f t="shared" si="4"/>
        <v>Southbound</v>
      </c>
      <c r="U66" s="24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9" t="str">
        <f t="shared" si="5"/>
        <v>https://d0f6bd738d7f1b3e5a7ca70fe4ff75f0.us-east-1.aws.found.io/app/kibana#/discover/Steve-Slow-Train-Analysis-(2080s-and-2083s)?_g=(refreshInterval:(display:Off,pause:!f,section:0,value:0),time:(from:'2017-12-01T10:06:25-0700',mode:absolute,to:'2017-12-01T12:52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6" s="248" t="str">
        <f>IF(AA66&lt;VLOOKUP(AG66,Variables!$AC$3:$AD$8,2,FALSE),"Y","N")</f>
        <v>N</v>
      </c>
      <c r="X66" s="248">
        <f t="shared" si="26"/>
        <v>1</v>
      </c>
      <c r="Y66" s="248">
        <f t="shared" si="34"/>
        <v>23.288900000000002</v>
      </c>
      <c r="Z66" s="248">
        <f t="shared" si="35"/>
        <v>2.0500000000000001E-2</v>
      </c>
      <c r="AA66" s="248">
        <f t="shared" si="9"/>
        <v>23.268400000000003</v>
      </c>
      <c r="AB66" s="234" t="e">
        <f>VLOOKUP(A66,Enforcements!$C$7:$K$9,8,0)</f>
        <v>#N/A</v>
      </c>
      <c r="AC66" s="233" t="e">
        <f>VLOOKUP(A66,Enforcements!$C$7:$E$9,3,0)</f>
        <v>#N/A</v>
      </c>
      <c r="AD66" s="244">
        <f t="shared" si="10"/>
        <v>154</v>
      </c>
      <c r="AE66" s="236" t="str">
        <f t="shared" si="11"/>
        <v>aws s3 cp s3://rtdc.mdm.uploadarchive.raw/RTDC4005/ "%USERPROFILE%\AppData\Local\Temp\OnboardLogs"\RTDC4005\2017-12-01 --exclude "*" --recursive --include "*20171201*" &amp; "%USERPROFILE%\Documents\GitHub\mrs-test-scripts\Headless Mode &amp; Sideloading\WalkAndUnGZ.bat" "%USERPROFILE%\AppData\Local\Temp\OnboardLogs"\RTDC4005\2017-12-01 &amp; aws s3 cp s3://rtdc.mdm.uploadarchive.raw/RTDC4005/ "%USERPROFILE%\AppData\Local\Temp\OnboardLogs"\RTDC4005\2017-12-02 --exclude "*" --recursive --include "*20171202*" &amp; "%USERPROFILE%\Documents\GitHub\mrs-test-scripts\Headless Mode &amp; Sideloading\WalkAndUnGZ.bat" "%USERPROFILE%\AppData\Local\Temp\OnboardLogs"\RTDC4005\2017-12-02</v>
      </c>
      <c r="AF66" s="235" t="str">
        <f t="shared" si="12"/>
        <v>"C:\Program Files (x86)\AstroGrep\AstroGrep.exe" /e /r /s /spath="%USERPROFILE%\AppData\Local\Temp\OnboardLogs" /stypes="app*4005*20171201*" /stext=" 18:.+((SYSTEM_STATE.+slice.+state.+changed )|(ment ac)|(multiple cpu faults)|(system.+state.+changed )|(\[timeout)|(PRM\|1\|D)|(kpr)|(kdp)|(train st.+moving)|(\|lc)|(penalty))"</v>
      </c>
      <c r="AG66" s="245" t="str">
        <f t="shared" si="13"/>
        <v>EC</v>
      </c>
      <c r="AH66" s="237" t="str">
        <f t="shared" si="19"/>
        <v>"%USERPROFILE%\Documents\GitHub\eaglep3\Utilities\RefineRTDCRunTimes.py" --tripid 154-01 --locoid 4005 --swversion DE.1.0.9.0 --startMP 204:232889 --initTime 2017-12-01T11:06:25 --startdatetime 2017-12-01T11:12:49 --delay 68 --endMP 204:205 --enddatetime 2017-12-01T11:52:25 --enforcementcount 0 &gt;&gt;%USERPROFILE%\Documents\GitHub\eaglep3-reporting\EC\2017-12-01-refined-times.txt</v>
      </c>
      <c r="AI66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{"issue":{"subject":"","project_id":79,"tracker_id":40,"status_id":1,"priority_id":2,"assigned_to_id":338,"start_date":"2017-12-01","description":"","custom_fields":[{"id":1,"name":"Subdivision","value":"EC"},{"id":4,"name":"Milepost","value":"0.0205"},{"id":17,"name":"Train ID","value":"154-01"},{"id":16,"name":"Locomotive ID","value":"4005"},{"id":130,"name":"Impact","value":""},{"id":150,"name":"Time of Event (Mountain Time)","value":"11:52:25"},{"id":151,"name":"Denver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4"/>
      <c r="AK66" s="232"/>
      <c r="AL66" s="232"/>
      <c r="AM66" s="241" t="str">
        <f t="shared" si="21"/>
        <v>start /low /b %USERPROFILE%\Documents\GitHub\eaglep3\Utilities\DownloadLogsFromS3.py --loco 4005 --day 2017-12-01</v>
      </c>
      <c r="AN66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18:52:25"},{"id":29,"name":"Sharepoint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1" t="str">
        <f t="shared" si="23"/>
        <v>https://d0f6bd738d7f1b3e5a7ca70fe4ff75f0.us-east-1.aws.found.io/app/kibana#/discover/Steve-Slow-Train-Analysis-(2080s-and-2083s)?_g=(refreshInterval:(display:Off,pause:!f,section:0,value:0),time:(from:'2017-12-01T10:06:25-0700',mode:absolute,to:'2017-12-01T12:52:25-0700'))&amp;_a=(columns:!('Message%20ID',Summary),filters:!(),index:'emp_*',interval:auto,query:(query_string:(analyze_wildcard:!t,query:'%22rtdc.l.rtdc.4005%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230" t="s">
        <v>828</v>
      </c>
      <c r="B67" s="226">
        <v>4046</v>
      </c>
      <c r="C67" s="228" t="s">
        <v>192</v>
      </c>
      <c r="D67" s="228" t="s">
        <v>637</v>
      </c>
      <c r="E67" s="227">
        <v>43070.436111111114</v>
      </c>
      <c r="F67" s="227">
        <v>43070.437731481485</v>
      </c>
      <c r="G67" s="226">
        <v>48</v>
      </c>
      <c r="H67" s="228" t="s">
        <v>623</v>
      </c>
      <c r="I67" s="227">
        <v>43070.462592592594</v>
      </c>
      <c r="J67" s="226">
        <v>0</v>
      </c>
      <c r="K67" s="238" t="str">
        <f t="shared" si="0"/>
        <v>4045/4046</v>
      </c>
      <c r="L67" s="246" t="str">
        <f>VLOOKUP(A67,'Trips&amp;Operators'!$C$1:$G$99911,5,FALSE)</f>
        <v>MACDONALD THOMAS</v>
      </c>
      <c r="M67" s="225">
        <f t="shared" si="32"/>
        <v>2.4861111109203193E-2</v>
      </c>
      <c r="N67" s="226">
        <f t="shared" si="33"/>
        <v>35.799999997252598</v>
      </c>
      <c r="O67" s="226"/>
      <c r="P67" s="226"/>
      <c r="Q67" s="229"/>
      <c r="R67" s="243"/>
      <c r="S67" s="250">
        <f t="shared" si="25"/>
        <v>1</v>
      </c>
      <c r="T67" s="243" t="str">
        <f t="shared" si="4"/>
        <v>NorthBound</v>
      </c>
      <c r="U67" s="24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9" t="str">
        <f t="shared" si="5"/>
        <v>https://d0f6bd738d7f1b3e5a7ca70fe4ff75f0.us-east-1.aws.found.io/app/kibana#/discover/Steve-Slow-Train-Analysis-(2080s-and-2083s)?_g=(refreshInterval:(display:Off,pause:!f,section:0,value:0),time:(from:'2017-12-01T09:28:00-0700',mode:absolute,to:'2017-12-01T12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7" s="248" t="str">
        <f>IF(AA67&lt;VLOOKUP(AG67,Variables!$AC$3:$AD$8,2,FALSE),"Y","N")</f>
        <v>N</v>
      </c>
      <c r="X67" s="248">
        <f t="shared" si="26"/>
        <v>1</v>
      </c>
      <c r="Y67" s="248">
        <f t="shared" si="34"/>
        <v>5.3900000000000003E-2</v>
      </c>
      <c r="Z67" s="248">
        <f t="shared" si="35"/>
        <v>23.3245</v>
      </c>
      <c r="AA67" s="248">
        <f t="shared" si="9"/>
        <v>23.270600000000002</v>
      </c>
      <c r="AB67" s="234" t="e">
        <f>VLOOKUP(A67,Enforcements!$C$7:$K$9,8,0)</f>
        <v>#N/A</v>
      </c>
      <c r="AC67" s="233" t="e">
        <f>VLOOKUP(A67,Enforcements!$C$7:$E$9,3,0)</f>
        <v>#N/A</v>
      </c>
      <c r="AD67" s="244">
        <f t="shared" si="10"/>
        <v>155</v>
      </c>
      <c r="AE67" s="236" t="str">
        <f t="shared" si="11"/>
        <v>aws s3 cp s3://rtdc.mdm.uploadarchive.raw/RTDC4046/ "%USERPROFILE%\AppData\Local\Temp\OnboardLogs"\RTDC4046\2017-12-01 --exclude "*" --recursive --include "*20171201*" &amp; "%USERPROFILE%\Documents\GitHub\mrs-test-scripts\Headless Mode &amp; Sideloading\WalkAndUnGZ.bat" "%USERPROFILE%\AppData\Local\Temp\OnboardLogs"\RTDC4046\2017-12-01 &amp; aws s3 cp s3://rtdc.mdm.uploadarchive.raw/RTDC4046/ "%USERPROFILE%\AppData\Local\Temp\OnboardLogs"\RTDC4046\2017-12-02 --exclude "*" --recursive --include "*20171202*" &amp; "%USERPROFILE%\Documents\GitHub\mrs-test-scripts\Headless Mode &amp; Sideloading\WalkAndUnGZ.bat" "%USERPROFILE%\AppData\Local\Temp\OnboardLogs"\RTDC4046\2017-12-02</v>
      </c>
      <c r="AF67" s="235" t="str">
        <f t="shared" si="12"/>
        <v>"C:\Program Files (x86)\AstroGrep\AstroGrep.exe" /e /r /s /spath="%USERPROFILE%\AppData\Local\Temp\OnboardLogs" /stypes="app*4046*20171201*" /stext=" 18:.+((SYSTEM_STATE.+slice.+state.+changed )|(ment ac)|(multiple cpu faults)|(system.+state.+changed )|(\[timeout)|(PRM\|1\|D)|(kpr)|(kdp)|(train st.+moving)|(\|lc)|(penalty))"</v>
      </c>
      <c r="AG67" s="245" t="str">
        <f t="shared" si="13"/>
        <v>EC</v>
      </c>
      <c r="AH67" s="237" t="str">
        <f t="shared" si="19"/>
        <v>"%USERPROFILE%\Documents\GitHub\eaglep3\Utilities\RefineRTDCRunTimes.py" --tripid 155-01 --locoid 4046 --swversion DE.1.0.9.0 --startMP 204:539 --initTime 2017-12-01T10:28:00 --startdatetime 2017-12-01T10:30:20 --delay 48 --endMP 204:233245 --enddatetime 2017-12-01T11:06:08 --enforcementcount 0 &gt;&gt;%USERPROFILE%\Documents\GitHub\eaglep3-reporting\EC\2017-12-01-refined-times.txt</v>
      </c>
      <c r="AI67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{"issue":{"subject":"","project_id":79,"tracker_id":40,"status_id":1,"priority_id":2,"assigned_to_id":338,"start_date":"2017-12-01","description":"","custom_fields":[{"id":1,"name":"Subdivision","value":"EC"},{"id":4,"name":"Milepost","value":"23.3245"},{"id":17,"name":"Train ID","value":"155-01"},{"id":16,"name":"Locomotive ID","value":"4046"},{"id":130,"name":"Impact","value":""},{"id":150,"name":"Time of Event (Mountain Time)","value":"11:06:08"},{"id":151,"name":"Denver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4"/>
      <c r="AK67" s="232"/>
      <c r="AL67" s="232"/>
      <c r="AM67" s="241" t="str">
        <f t="shared" si="21"/>
        <v>start /low /b %USERPROFILE%\Documents\GitHub\eaglep3\Utilities\DownloadLogsFromS3.py --loco 4046 --day 2017-12-01</v>
      </c>
      <c r="AN67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18:06:08"},{"id":29,"name":"Sharepoint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1" t="str">
        <f t="shared" si="23"/>
        <v>https://d0f6bd738d7f1b3e5a7ca70fe4ff75f0.us-east-1.aws.found.io/app/kibana#/discover/Steve-Slow-Train-Analysis-(2080s-and-2083s)?_g=(refreshInterval:(display:Off,pause:!f,section:0,value:0),time:(from:'2017-12-01T09:28:00-0700',mode:absolute,to:'2017-12-01T12:06:08-0700'))&amp;_a=(columns:!('Message%20ID',Summary),filters:!(),index:'emp_*',interval:auto,query:(query_string:(analyze_wildcard:!t,query:'%22rtdc.l.rtdc.4046%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230" t="s">
        <v>836</v>
      </c>
      <c r="B68" s="226">
        <v>4045</v>
      </c>
      <c r="C68" s="228" t="s">
        <v>192</v>
      </c>
      <c r="D68" s="228" t="s">
        <v>690</v>
      </c>
      <c r="E68" s="227">
        <v>43070.474652777775</v>
      </c>
      <c r="F68" s="227">
        <v>43070.47761574074</v>
      </c>
      <c r="G68" s="226">
        <v>47</v>
      </c>
      <c r="H68" s="228" t="s">
        <v>424</v>
      </c>
      <c r="I68" s="227">
        <v>43070.505613425928</v>
      </c>
      <c r="J68" s="226">
        <v>0</v>
      </c>
      <c r="K68" s="238" t="str">
        <f t="shared" si="0"/>
        <v>4045/4046</v>
      </c>
      <c r="L68" s="246" t="str">
        <f>VLOOKUP(A68,'Trips&amp;Operators'!$C$1:$G$99911,5,FALSE)</f>
        <v>MACDONALD THOMAS</v>
      </c>
      <c r="M68" s="225">
        <f t="shared" si="32"/>
        <v>2.7997685188893229E-2</v>
      </c>
      <c r="N68" s="226">
        <f t="shared" si="33"/>
        <v>40.316666672006249</v>
      </c>
      <c r="O68" s="226"/>
      <c r="P68" s="226"/>
      <c r="Q68" s="229"/>
      <c r="R68" s="243"/>
      <c r="S68" s="250">
        <f t="shared" si="25"/>
        <v>1</v>
      </c>
      <c r="T68" s="243" t="str">
        <f t="shared" si="4"/>
        <v>Southbound</v>
      </c>
      <c r="U68" s="24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9" t="str">
        <f t="shared" si="5"/>
        <v>https://d0f6bd738d7f1b3e5a7ca70fe4ff75f0.us-east-1.aws.found.io/app/kibana#/discover/Steve-Slow-Train-Analysis-(2080s-and-2083s)?_g=(refreshInterval:(display:Off,pause:!f,section:0,value:0),time:(from:'2017-12-01T10:23:30-0700',mode:absolute,to:'2017-12-01T13:08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8" s="248" t="str">
        <f>IF(AA68&lt;VLOOKUP(AG68,Variables!$AC$3:$AD$8,2,FALSE),"Y","N")</f>
        <v>N</v>
      </c>
      <c r="X68" s="248">
        <f t="shared" si="26"/>
        <v>1</v>
      </c>
      <c r="Y68" s="248">
        <f t="shared" si="34"/>
        <v>23.2911</v>
      </c>
      <c r="Z68" s="248">
        <f t="shared" si="35"/>
        <v>2.2100000000000002E-2</v>
      </c>
      <c r="AA68" s="248">
        <f t="shared" si="9"/>
        <v>23.269000000000002</v>
      </c>
      <c r="AB68" s="234" t="e">
        <f>VLOOKUP(A68,Enforcements!$C$7:$K$9,8,0)</f>
        <v>#N/A</v>
      </c>
      <c r="AC68" s="233" t="e">
        <f>VLOOKUP(A68,Enforcements!$C$7:$E$9,3,0)</f>
        <v>#N/A</v>
      </c>
      <c r="AD68" s="244">
        <f t="shared" si="10"/>
        <v>156</v>
      </c>
      <c r="AE68" s="236" t="str">
        <f t="shared" si="11"/>
        <v>aws s3 cp s3://rtdc.mdm.uploadarchive.raw/RTDC4045/ "%USERPROFILE%\AppData\Local\Temp\OnboardLogs"\RTDC4045\2017-12-01 --exclude "*" --recursive --include "*20171201*" &amp; "%USERPROFILE%\Documents\GitHub\mrs-test-scripts\Headless Mode &amp; Sideloading\WalkAndUnGZ.bat" "%USERPROFILE%\AppData\Local\Temp\OnboardLogs"\RTDC4045\2017-12-01 &amp; aws s3 cp s3://rtdc.mdm.uploadarchive.raw/RTDC4045/ "%USERPROFILE%\AppData\Local\Temp\OnboardLogs"\RTDC4045\2017-12-02 --exclude "*" --recursive --include "*20171202*" &amp; "%USERPROFILE%\Documents\GitHub\mrs-test-scripts\Headless Mode &amp; Sideloading\WalkAndUnGZ.bat" "%USERPROFILE%\AppData\Local\Temp\OnboardLogs"\RTDC4045\2017-12-02</v>
      </c>
      <c r="AF68" s="235" t="str">
        <f t="shared" si="12"/>
        <v>"C:\Program Files (x86)\AstroGrep\AstroGrep.exe" /e /r /s /spath="%USERPROFILE%\AppData\Local\Temp\OnboardLogs" /stypes="app*4045*20171201*" /stext=" 19:.+((SYSTEM_STATE.+slice.+state.+changed )|(ment ac)|(multiple cpu faults)|(system.+state.+changed )|(\[timeout)|(PRM\|1\|D)|(kpr)|(kdp)|(train st.+moving)|(\|lc)|(penalty))"</v>
      </c>
      <c r="AG68" s="245" t="str">
        <f t="shared" si="13"/>
        <v>EC</v>
      </c>
      <c r="AH68" s="237" t="str">
        <f t="shared" si="19"/>
        <v>"%USERPROFILE%\Documents\GitHub\eaglep3\Utilities\RefineRTDCRunTimes.py" --tripid 156-01 --locoid 4045 --swversion DE.1.0.9.0 --startMP 204:232911 --initTime 2017-12-01T11:23:30 --startdatetime 2017-12-01T11:27:46 --delay 47 --endMP 204:221 --enddatetime 2017-12-01T12:08:05 --enforcementcount 0 &gt;&gt;%USERPROFILE%\Documents\GitHub\eaglep3-reporting\EC\2017-12-01-refined-times.txt</v>
      </c>
      <c r="AI68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{"issue":{"subject":"","project_id":79,"tracker_id":40,"status_id":1,"priority_id":2,"assigned_to_id":338,"start_date":"2017-12-01","description":"","custom_fields":[{"id":1,"name":"Subdivision","value":"EC"},{"id":4,"name":"Milepost","value":"0.0221"},{"id":17,"name":"Train ID","value":"156-01"},{"id":16,"name":"Locomotive ID","value":"4045"},{"id":130,"name":"Impact","value":""},{"id":150,"name":"Time of Event (Mountain Time)","value":"12:08:05"},{"id":151,"name":"Denver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4"/>
      <c r="AK68" s="232"/>
      <c r="AL68" s="232"/>
      <c r="AM68" s="241" t="str">
        <f t="shared" si="21"/>
        <v>start /low /b %USERPROFILE%\Documents\GitHub\eaglep3\Utilities\DownloadLogsFromS3.py --loco 4045 --day 2017-12-01</v>
      </c>
      <c r="AN68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19:08:05"},{"id":29,"name":"Sharepoint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1" t="str">
        <f t="shared" si="23"/>
        <v>https://d0f6bd738d7f1b3e5a7ca70fe4ff75f0.us-east-1.aws.found.io/app/kibana#/discover/Steve-Slow-Train-Analysis-(2080s-and-2083s)?_g=(refreshInterval:(display:Off,pause:!f,section:0,value:0),time:(from:'2017-12-01T10:23:30-0700',mode:absolute,to:'2017-12-01T13:08:05-0700'))&amp;_a=(columns:!('Message%20ID',Summary),filters:!(),index:'emp_*',interval:auto,query:(query_string:(analyze_wildcard:!t,query:'%22rtdc.l.rtdc.4045%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230" t="s">
        <v>830</v>
      </c>
      <c r="B69" s="226">
        <v>4002</v>
      </c>
      <c r="C69" s="228" t="s">
        <v>192</v>
      </c>
      <c r="D69" s="228" t="s">
        <v>555</v>
      </c>
      <c r="E69" s="227">
        <v>43070.445127314815</v>
      </c>
      <c r="F69" s="227">
        <v>43070.448113425926</v>
      </c>
      <c r="G69" s="226">
        <v>87</v>
      </c>
      <c r="H69" s="228" t="s">
        <v>496</v>
      </c>
      <c r="I69" s="227">
        <v>43070.473391203705</v>
      </c>
      <c r="J69" s="226">
        <v>0</v>
      </c>
      <c r="K69" s="238" t="str">
        <f t="shared" si="0"/>
        <v>4001/4002</v>
      </c>
      <c r="L69" s="246" t="str">
        <f>VLOOKUP(A69,'Trips&amp;Operators'!$C$1:$G$99911,5,FALSE)</f>
        <v>BADERTSCHER DIANE</v>
      </c>
      <c r="M69" s="225">
        <f t="shared" si="32"/>
        <v>2.527777777868323E-2</v>
      </c>
      <c r="N69" s="226">
        <f t="shared" si="33"/>
        <v>36.400000001303852</v>
      </c>
      <c r="O69" s="226"/>
      <c r="P69" s="226"/>
      <c r="Q69" s="229"/>
      <c r="R69" s="243"/>
      <c r="S69" s="250">
        <f t="shared" si="25"/>
        <v>1</v>
      </c>
      <c r="T69" s="243" t="str">
        <f t="shared" si="4"/>
        <v>NorthBound</v>
      </c>
      <c r="U69" s="24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9" t="str">
        <f t="shared" si="5"/>
        <v>https://d0f6bd738d7f1b3e5a7ca70fe4ff75f0.us-east-1.aws.found.io/app/kibana#/discover/Steve-Slow-Train-Analysis-(2080s-and-2083s)?_g=(refreshInterval:(display:Off,pause:!f,section:0,value:0),time:(from:'2017-12-01T09:40:59-0700',mode:absolute,to:'2017-12-01T12:21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9" s="248" t="str">
        <f>IF(AA69&lt;VLOOKUP(AG69,Variables!$AC$3:$AD$8,2,FALSE),"Y","N")</f>
        <v>N</v>
      </c>
      <c r="X69" s="248">
        <f t="shared" si="26"/>
        <v>1</v>
      </c>
      <c r="Y69" s="248">
        <f t="shared" si="34"/>
        <v>4.9099999999999998E-2</v>
      </c>
      <c r="Z69" s="248">
        <f t="shared" si="35"/>
        <v>23.3249</v>
      </c>
      <c r="AA69" s="248">
        <f t="shared" si="9"/>
        <v>23.2758</v>
      </c>
      <c r="AB69" s="234" t="e">
        <f>VLOOKUP(A69,Enforcements!$C$7:$K$9,8,0)</f>
        <v>#N/A</v>
      </c>
      <c r="AC69" s="233" t="e">
        <f>VLOOKUP(A69,Enforcements!$C$7:$E$9,3,0)</f>
        <v>#N/A</v>
      </c>
      <c r="AD69" s="244">
        <f t="shared" si="10"/>
        <v>157</v>
      </c>
      <c r="AE69" s="236" t="str">
        <f t="shared" si="11"/>
        <v>aws s3 cp s3://rtdc.mdm.uploadarchive.raw/RTDC4002/ "%USERPROFILE%\AppData\Local\Temp\OnboardLogs"\RTDC4002\2017-12-01 --exclude "*" --recursive --include "*20171201*" &amp; "%USERPROFILE%\Documents\GitHub\mrs-test-scripts\Headless Mode &amp; Sideloading\WalkAndUnGZ.bat" "%USERPROFILE%\AppData\Local\Temp\OnboardLogs"\RTDC4002\2017-12-01 &amp; aws s3 cp s3://rtdc.mdm.uploadarchive.raw/RTDC4002/ "%USERPROFILE%\AppData\Local\Temp\OnboardLogs"\RTDC4002\2017-12-02 --exclude "*" --recursive --include "*20171202*" &amp; "%USERPROFILE%\Documents\GitHub\mrs-test-scripts\Headless Mode &amp; Sideloading\WalkAndUnGZ.bat" "%USERPROFILE%\AppData\Local\Temp\OnboardLogs"\RTDC4002\2017-12-02</v>
      </c>
      <c r="AF69" s="235" t="str">
        <f t="shared" si="12"/>
        <v>"C:\Program Files (x86)\AstroGrep\AstroGrep.exe" /e /r /s /spath="%USERPROFILE%\AppData\Local\Temp\OnboardLogs" /stypes="app*4002*20171201*" /stext=" 18:.+((SYSTEM_STATE.+slice.+state.+changed )|(ment ac)|(multiple cpu faults)|(system.+state.+changed )|(\[timeout)|(PRM\|1\|D)|(kpr)|(kdp)|(train st.+moving)|(\|lc)|(penalty))"</v>
      </c>
      <c r="AG69" s="245" t="str">
        <f t="shared" si="13"/>
        <v>EC</v>
      </c>
      <c r="AH69" s="237" t="str">
        <f t="shared" si="19"/>
        <v>"%USERPROFILE%\Documents\GitHub\eaglep3\Utilities\RefineRTDCRunTimes.py" --tripid 157-01 --locoid 4002 --swversion DE.1.0.9.0 --startMP 204:491 --initTime 2017-12-01T10:40:59 --startdatetime 2017-12-01T10:45:17 --delay 87 --endMP 204:233249 --enddatetime 2017-12-01T11:21:41 --enforcementcount 0 &gt;&gt;%USERPROFILE%\Documents\GitHub\eaglep3-reporting\EC\2017-12-01-refined-times.txt</v>
      </c>
      <c r="AI69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{"issue":{"subject":"","project_id":79,"tracker_id":40,"status_id":1,"priority_id":2,"assigned_to_id":338,"start_date":"2017-12-01","description":"","custom_fields":[{"id":1,"name":"Subdivision","value":"EC"},{"id":4,"name":"Milepost","value":"23.3249"},{"id":17,"name":"Train ID","value":"157-01"},{"id":16,"name":"Locomotive ID","value":"4002"},{"id":130,"name":"Impact","value":""},{"id":150,"name":"Time of Event (Mountain Time)","value":"11:21:41"},{"id":151,"name":"Denver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4"/>
      <c r="AK69" s="232"/>
      <c r="AL69" s="232"/>
      <c r="AM69" s="241" t="str">
        <f t="shared" si="21"/>
        <v>start /low /b %USERPROFILE%\Documents\GitHub\eaglep3\Utilities\DownloadLogsFromS3.py --loco 4002 --day 2017-12-01</v>
      </c>
      <c r="AN69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18:21:41"},{"id":29,"name":"Sharepoint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1" t="str">
        <f t="shared" si="23"/>
        <v>https://d0f6bd738d7f1b3e5a7ca70fe4ff75f0.us-east-1.aws.found.io/app/kibana#/discover/Steve-Slow-Train-Analysis-(2080s-and-2083s)?_g=(refreshInterval:(display:Off,pause:!f,section:0,value:0),time:(from:'2017-12-01T09:40:59-0700',mode:absolute,to:'2017-12-01T12:21:41-0700'))&amp;_a=(columns:!('Message%20ID',Summary),filters:!(),index:'emp_*',interval:auto,query:(query_string:(analyze_wildcard:!t,query:'%22rtdc.l.rtdc.4002%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230" t="s">
        <v>841</v>
      </c>
      <c r="B70" s="226">
        <v>4001</v>
      </c>
      <c r="C70" s="228" t="s">
        <v>192</v>
      </c>
      <c r="D70" s="228" t="s">
        <v>568</v>
      </c>
      <c r="E70" s="227">
        <v>43070.482592592591</v>
      </c>
      <c r="F70" s="227">
        <v>43070.48777777778</v>
      </c>
      <c r="G70" s="226">
        <v>130</v>
      </c>
      <c r="H70" s="228" t="s">
        <v>422</v>
      </c>
      <c r="I70" s="227">
        <v>43070.514768518522</v>
      </c>
      <c r="J70" s="226">
        <v>0</v>
      </c>
      <c r="K70" s="238" t="str">
        <f t="shared" si="0"/>
        <v>4001/4002</v>
      </c>
      <c r="L70" s="246" t="str">
        <f>VLOOKUP(A70,'Trips&amp;Operators'!$C$1:$G$99911,5,FALSE)</f>
        <v>BADERTSCHER DIANE</v>
      </c>
      <c r="M70" s="225">
        <f t="shared" si="32"/>
        <v>2.6990740741894115E-2</v>
      </c>
      <c r="N70" s="226">
        <f t="shared" si="33"/>
        <v>38.866666668327525</v>
      </c>
      <c r="O70" s="226"/>
      <c r="P70" s="226"/>
      <c r="Q70" s="229"/>
      <c r="R70" s="243"/>
      <c r="S70" s="250">
        <f t="shared" si="25"/>
        <v>1</v>
      </c>
      <c r="T70" s="243" t="str">
        <f t="shared" si="4"/>
        <v>Southbound</v>
      </c>
      <c r="U70" s="24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9" t="str">
        <f t="shared" si="5"/>
        <v>https://d0f6bd738d7f1b3e5a7ca70fe4ff75f0.us-east-1.aws.found.io/app/kibana#/discover/Steve-Slow-Train-Analysis-(2080s-and-2083s)?_g=(refreshInterval:(display:Off,pause:!f,section:0,value:0),time:(from:'2017-12-01T10:34:56-0700',mode:absolute,to:'2017-12-01T13:21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0" s="248" t="str">
        <f>IF(AA70&lt;VLOOKUP(AG70,Variables!$AC$3:$AD$8,2,FALSE),"Y","N")</f>
        <v>N</v>
      </c>
      <c r="X70" s="248">
        <f t="shared" si="26"/>
        <v>1</v>
      </c>
      <c r="Y70" s="248">
        <f t="shared" si="34"/>
        <v>23.293600000000001</v>
      </c>
      <c r="Z70" s="248">
        <f t="shared" si="35"/>
        <v>2.18E-2</v>
      </c>
      <c r="AA70" s="248">
        <f t="shared" si="9"/>
        <v>23.271800000000002</v>
      </c>
      <c r="AB70" s="234" t="e">
        <f>VLOOKUP(A70,Enforcements!$C$7:$K$9,8,0)</f>
        <v>#N/A</v>
      </c>
      <c r="AC70" s="233" t="e">
        <f>VLOOKUP(A70,Enforcements!$C$7:$E$9,3,0)</f>
        <v>#N/A</v>
      </c>
      <c r="AD70" s="244">
        <f t="shared" si="10"/>
        <v>158</v>
      </c>
      <c r="AE70" s="236" t="str">
        <f t="shared" si="11"/>
        <v>aws s3 cp s3://rtdc.mdm.uploadarchive.raw/RTDC4001/ "%USERPROFILE%\AppData\Local\Temp\OnboardLogs"\RTDC4001\2017-12-01 --exclude "*" --recursive --include "*20171201*" &amp; "%USERPROFILE%\Documents\GitHub\mrs-test-scripts\Headless Mode &amp; Sideloading\WalkAndUnGZ.bat" "%USERPROFILE%\AppData\Local\Temp\OnboardLogs"\RTDC4001\2017-12-01 &amp; aws s3 cp s3://rtdc.mdm.uploadarchive.raw/RTDC4001/ "%USERPROFILE%\AppData\Local\Temp\OnboardLogs"\RTDC4001\2017-12-02 --exclude "*" --recursive --include "*20171202*" &amp; "%USERPROFILE%\Documents\GitHub\mrs-test-scripts\Headless Mode &amp; Sideloading\WalkAndUnGZ.bat" "%USERPROFILE%\AppData\Local\Temp\OnboardLogs"\RTDC4001\2017-12-02</v>
      </c>
      <c r="AF70" s="235" t="str">
        <f t="shared" si="12"/>
        <v>"C:\Program Files (x86)\AstroGrep\AstroGrep.exe" /e /r /s /spath="%USERPROFILE%\AppData\Local\Temp\OnboardLogs" /stypes="app*4001*20171201*" /stext=" 19:.+((SYSTEM_STATE.+slice.+state.+changed )|(ment ac)|(multiple cpu faults)|(system.+state.+changed )|(\[timeout)|(PRM\|1\|D)|(kpr)|(kdp)|(train st.+moving)|(\|lc)|(penalty))"</v>
      </c>
      <c r="AG70" s="245" t="str">
        <f t="shared" si="13"/>
        <v>EC</v>
      </c>
      <c r="AH70" s="237" t="str">
        <f t="shared" si="19"/>
        <v>"%USERPROFILE%\Documents\GitHub\eaglep3\Utilities\RefineRTDCRunTimes.py" --tripid 158-01 --locoid 4001 --swversion DE.1.0.9.0 --startMP 204:232936 --initTime 2017-12-01T11:34:56 --startdatetime 2017-12-01T11:42:24 --delay 130 --endMP 204:218 --enddatetime 2017-12-01T12:21:16 --enforcementcount 0 &gt;&gt;%USERPROFILE%\Documents\GitHub\eaglep3-reporting\EC\2017-12-01-refined-times.txt</v>
      </c>
      <c r="AI70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{"issue":{"subject":"","project_id":79,"tracker_id":40,"status_id":1,"priority_id":2,"assigned_to_id":338,"start_date":"2017-12-01","description":"","custom_fields":[{"id":1,"name":"Subdivision","value":"EC"},{"id":4,"name":"Milepost","value":"0.0218"},{"id":17,"name":"Train ID","value":"158-01"},{"id":16,"name":"Locomotive ID","value":"4001"},{"id":130,"name":"Impact","value":""},{"id":150,"name":"Time of Event (Mountain Time)","value":"12:21:16"},{"id":151,"name":"Denver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4"/>
      <c r="AK70" s="232"/>
      <c r="AL70" s="232"/>
      <c r="AM70" s="241" t="str">
        <f t="shared" si="21"/>
        <v>start /low /b %USERPROFILE%\Documents\GitHub\eaglep3\Utilities\DownloadLogsFromS3.py --loco 4001 --day 2017-12-01</v>
      </c>
      <c r="AN70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19:21:16"},{"id":29,"name":"Sharepoint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1" t="str">
        <f t="shared" si="23"/>
        <v>https://d0f6bd738d7f1b3e5a7ca70fe4ff75f0.us-east-1.aws.found.io/app/kibana#/discover/Steve-Slow-Train-Analysis-(2080s-and-2083s)?_g=(refreshInterval:(display:Off,pause:!f,section:0,value:0),time:(from:'2017-12-01T10:34:56-0700',mode:absolute,to:'2017-12-01T13:21:16-0700'))&amp;_a=(columns:!('Message%20ID',Summary),filters:!(),index:'emp_*',interval:auto,query:(query_string:(analyze_wildcard:!t,query:'%22rtdc.l.rtdc.4001%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230" t="s">
        <v>832</v>
      </c>
      <c r="B71" s="226">
        <v>4050</v>
      </c>
      <c r="C71" s="228" t="s">
        <v>192</v>
      </c>
      <c r="D71" s="228" t="s">
        <v>608</v>
      </c>
      <c r="E71" s="227">
        <v>43070.454513888886</v>
      </c>
      <c r="F71" s="227">
        <v>43070.458483796298</v>
      </c>
      <c r="G71" s="226">
        <v>59</v>
      </c>
      <c r="H71" s="228" t="s">
        <v>989</v>
      </c>
      <c r="I71" s="227">
        <v>43070.472222222219</v>
      </c>
      <c r="J71" s="226">
        <v>0</v>
      </c>
      <c r="K71" s="238" t="str">
        <f t="shared" si="0"/>
        <v>4049/4050</v>
      </c>
      <c r="L71" s="246" t="str">
        <f>VLOOKUP(A71,'Trips&amp;Operators'!$C$1:$G$99911,5,FALSE)</f>
        <v>NICHOLAS PLOYSA</v>
      </c>
      <c r="M71" s="225">
        <f t="shared" si="32"/>
        <v>1.3738425921474118E-2</v>
      </c>
      <c r="N71" s="226"/>
      <c r="O71" s="226"/>
      <c r="P71" s="226">
        <f>24*60*SUM($M71:$M71)</f>
        <v>19.78333332692273</v>
      </c>
      <c r="Q71" s="229"/>
      <c r="R71" s="243" t="s">
        <v>476</v>
      </c>
      <c r="S71" s="250">
        <f t="shared" si="25"/>
        <v>1</v>
      </c>
      <c r="T71" s="243" t="str">
        <f t="shared" si="4"/>
        <v>NorthBound</v>
      </c>
      <c r="U71" s="24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9" t="str">
        <f t="shared" si="5"/>
        <v>https://d0f6bd738d7f1b3e5a7ca70fe4ff75f0.us-east-1.aws.found.io/app/kibana#/discover/Steve-Slow-Train-Analysis-(2080s-and-2083s)?_g=(refreshInterval:(display:Off,pause:!f,section:0,value:0),time:(from:'2017-12-01T09:54:30-0700',mode:absolute,to:'2017-12-01T12:20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1" s="248" t="str">
        <f>IF(AA71&lt;VLOOKUP(AG71,Variables!$AC$3:$AD$8,2,FALSE),"Y","N")</f>
        <v>Y</v>
      </c>
      <c r="X71" s="248">
        <f t="shared" si="26"/>
        <v>1</v>
      </c>
      <c r="Y71" s="248">
        <f t="shared" si="34"/>
        <v>5.4899999999999997E-2</v>
      </c>
      <c r="Z71" s="248">
        <f t="shared" si="35"/>
        <v>11.1539</v>
      </c>
      <c r="AA71" s="248">
        <f t="shared" si="9"/>
        <v>11.099</v>
      </c>
      <c r="AB71" s="234" t="e">
        <f>VLOOKUP(A71,Enforcements!$C$7:$K$9,8,0)</f>
        <v>#N/A</v>
      </c>
      <c r="AC71" s="233" t="e">
        <f>VLOOKUP(A71,Enforcements!$C$7:$E$9,3,0)</f>
        <v>#N/A</v>
      </c>
      <c r="AD71" s="244">
        <f t="shared" si="10"/>
        <v>159</v>
      </c>
      <c r="AE71" s="236" t="str">
        <f t="shared" si="11"/>
        <v>aws s3 cp s3://rtdc.mdm.uploadarchive.raw/RTDC4050/ "%USERPROFILE%\AppData\Local\Temp\OnboardLogs"\RTDC4050\2017-12-01 --exclude "*" --recursive --include "*20171201*" &amp; "%USERPROFILE%\Documents\GitHub\mrs-test-scripts\Headless Mode &amp; Sideloading\WalkAndUnGZ.bat" "%USERPROFILE%\AppData\Local\Temp\OnboardLogs"\RTDC4050\2017-12-01 &amp; aws s3 cp s3://rtdc.mdm.uploadarchive.raw/RTDC4050/ "%USERPROFILE%\AppData\Local\Temp\OnboardLogs"\RTDC4050\2017-12-02 --exclude "*" --recursive --include "*20171202*" &amp; "%USERPROFILE%\Documents\GitHub\mrs-test-scripts\Headless Mode &amp; Sideloading\WalkAndUnGZ.bat" "%USERPROFILE%\AppData\Local\Temp\OnboardLogs"\RTDC4050\2017-12-02</v>
      </c>
      <c r="AF71" s="235" t="str">
        <f t="shared" si="12"/>
        <v>"C:\Program Files (x86)\AstroGrep\AstroGrep.exe" /e /r /s /spath="%USERPROFILE%\AppData\Local\Temp\OnboardLogs" /stypes="app*4050*20171201*" /stext=" 18:.+((SYSTEM_STATE.+slice.+state.+changed )|(ment ac)|(multiple cpu faults)|(system.+state.+changed )|(\[timeout)|(PRM\|1\|D)|(kpr)|(kdp)|(train st.+moving)|(\|lc)|(penalty))"</v>
      </c>
      <c r="AG71" s="245" t="str">
        <f t="shared" si="13"/>
        <v>EC</v>
      </c>
      <c r="AH71" s="237" t="str">
        <f t="shared" si="19"/>
        <v>"%USERPROFILE%\Documents\GitHub\eaglep3\Utilities\RefineRTDCRunTimes.py" --tripid 159-01 --locoid 4050 --swversion DE.1.0.9.0 --startMP 204:549 --initTime 2017-12-01T10:54:30 --startdatetime 2017-12-01T11:00:13 --delay 59 --endMP 204:111539 --enddatetime 2017-12-01T11:20:00 --enforcementcount 0 &gt;&gt;%USERPROFILE%\Documents\GitHub\eaglep3-reporting\EC\2017-12-01-refined-times.txt</v>
      </c>
      <c r="AI71" s="239" t="str">
        <f t="shared" si="20"/>
        <v>echo {"issue":{"subject":"Wi-MAX data drop","project_id":79,"tracker_id":40,"status_id":1,"priority_id":2,"assigned_to_id":338,"start_date":"2017-12-01","description":"","custom_fields":[{"id":1,"name":"Subdivision","value":"EC"},{"id":4,"name":"Milepost","value":"11.1539"},{"id":17,"name":"Train ID","value":"159-01"},{"id":16,"name":"Locomotive ID","value":"4050"},{"id":130,"name":"Impact","value":""},{"id":150,"name":"Time of Event (Mountain Time)","value":"11:20:00"},{"id":151,"name":"Denver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4"/>
      <c r="AK71" s="232"/>
      <c r="AL71" s="232"/>
      <c r="AM71" s="241" t="str">
        <f t="shared" si="21"/>
        <v>start /low /b %USERPROFILE%\Documents\GitHub\eaglep3\Utilities\DownloadLogsFromS3.py --loco 4050 --day 2017-12-01</v>
      </c>
      <c r="AN71" s="242" t="str">
        <f t="shared" si="22"/>
        <v>echo {"issue":{"subject":"Wi-MAX data drop","project_id":30,"tracker_id":4,"status_id":1,"priority_id":1,"assigned_to_id":10,"start_date":"2017-12-01","description":"","custom_fields":[{"id":30,"name":"Category","value":"Issue"},{"id":3,"name":"Functional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18:20:00"},{"id":29,"name":"Sharepoint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1" t="str">
        <f t="shared" si="23"/>
        <v>https://d0f6bd738d7f1b3e5a7ca70fe4ff75f0.us-east-1.aws.found.io/app/kibana#/discover/Steve-Slow-Train-Analysis-(2080s-and-2083s)?_g=(refreshInterval:(display:Off,pause:!f,section:0,value:0),time:(from:'2017-12-01T09:54:30-0700',mode:absolute,to:'2017-12-01T12:20:00-0700'))&amp;_a=(columns:!('Message%20ID',Summary),filters:!(),index:'emp_*',interval:auto,query:(query_string:(analyze_wildcard:!t,query:'%22rtdc.l.rtdc.4050%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230" t="s">
        <v>845</v>
      </c>
      <c r="B72" s="226">
        <v>4049</v>
      </c>
      <c r="C72" s="228" t="s">
        <v>192</v>
      </c>
      <c r="D72" s="228" t="s">
        <v>606</v>
      </c>
      <c r="E72" s="227">
        <v>43070.487037037034</v>
      </c>
      <c r="F72" s="227">
        <v>43070.498078703706</v>
      </c>
      <c r="G72" s="226">
        <v>46</v>
      </c>
      <c r="H72" s="228" t="s">
        <v>600</v>
      </c>
      <c r="I72" s="227">
        <v>43070.523900462962</v>
      </c>
      <c r="J72" s="226">
        <v>0</v>
      </c>
      <c r="K72" s="238" t="str">
        <f t="shared" si="0"/>
        <v>4049/4050</v>
      </c>
      <c r="L72" s="246" t="str">
        <f>VLOOKUP(A72,'Trips&amp;Operators'!$C$1:$G$99911,5,FALSE)</f>
        <v>NICHOLAS PLOYSA</v>
      </c>
      <c r="M72" s="225">
        <f t="shared" si="32"/>
        <v>2.5821759256359655E-2</v>
      </c>
      <c r="N72" s="226">
        <f t="shared" ref="N72:N87" si="36">24*60*SUM($M72:$M72)</f>
        <v>37.183333329157904</v>
      </c>
      <c r="O72" s="226"/>
      <c r="P72" s="226"/>
      <c r="Q72" s="229"/>
      <c r="R72" s="243"/>
      <c r="S72" s="250">
        <f t="shared" si="25"/>
        <v>1</v>
      </c>
      <c r="T72" s="243" t="str">
        <f t="shared" si="4"/>
        <v>Southbound</v>
      </c>
      <c r="U72" s="24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9" t="str">
        <f t="shared" si="5"/>
        <v>https://d0f6bd738d7f1b3e5a7ca70fe4ff75f0.us-east-1.aws.found.io/app/kibana#/discover/Steve-Slow-Train-Analysis-(2080s-and-2083s)?_g=(refreshInterval:(display:Off,pause:!f,section:0,value:0),time:(from:'2017-12-01T10:41:20-0700',mode:absolute,to:'2017-12-01T13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2" s="248" t="str">
        <f>IF(AA72&lt;VLOOKUP(AG72,Variables!$AC$3:$AD$8,2,FALSE),"Y","N")</f>
        <v>N</v>
      </c>
      <c r="X72" s="248">
        <f t="shared" si="26"/>
        <v>1</v>
      </c>
      <c r="Y72" s="248">
        <f t="shared" si="34"/>
        <v>23.297799999999999</v>
      </c>
      <c r="Z72" s="248">
        <f t="shared" si="35"/>
        <v>1.4500000000000001E-2</v>
      </c>
      <c r="AA72" s="248">
        <f t="shared" si="9"/>
        <v>23.283299999999997</v>
      </c>
      <c r="AB72" s="234" t="e">
        <f>VLOOKUP(A72,Enforcements!$C$7:$K$9,8,0)</f>
        <v>#N/A</v>
      </c>
      <c r="AC72" s="233" t="e">
        <f>VLOOKUP(A72,Enforcements!$C$7:$E$9,3,0)</f>
        <v>#N/A</v>
      </c>
      <c r="AD72" s="244">
        <f t="shared" si="10"/>
        <v>160</v>
      </c>
      <c r="AE72" s="236" t="str">
        <f t="shared" si="11"/>
        <v>aws s3 cp s3://rtdc.mdm.uploadarchive.raw/RTDC4049/ "%USERPROFILE%\AppData\Local\Temp\OnboardLogs"\RTDC4049\2017-12-01 --exclude "*" --recursive --include "*20171201*" &amp; "%USERPROFILE%\Documents\GitHub\mrs-test-scripts\Headless Mode &amp; Sideloading\WalkAndUnGZ.bat" "%USERPROFILE%\AppData\Local\Temp\OnboardLogs"\RTDC4049\2017-12-01 &amp; aws s3 cp s3://rtdc.mdm.uploadarchive.raw/RTDC4049/ "%USERPROFILE%\AppData\Local\Temp\OnboardLogs"\RTDC4049\2017-12-02 --exclude "*" --recursive --include "*20171202*" &amp; "%USERPROFILE%\Documents\GitHub\mrs-test-scripts\Headless Mode &amp; Sideloading\WalkAndUnGZ.bat" "%USERPROFILE%\AppData\Local\Temp\OnboardLogs"\RTDC4049\2017-12-02</v>
      </c>
      <c r="AF72" s="235" t="str">
        <f t="shared" si="12"/>
        <v>"C:\Program Files (x86)\AstroGrep\AstroGrep.exe" /e /r /s /spath="%USERPROFILE%\AppData\Local\Temp\OnboardLogs" /stypes="app*4049*20171201*" /stext=" 19:.+((SYSTEM_STATE.+slice.+state.+changed )|(ment ac)|(multiple cpu faults)|(system.+state.+changed )|(\[timeout)|(PRM\|1\|D)|(kpr)|(kdp)|(train st.+moving)|(\|lc)|(penalty))"</v>
      </c>
      <c r="AG72" s="245" t="str">
        <f t="shared" si="13"/>
        <v>EC</v>
      </c>
      <c r="AH72" s="237" t="str">
        <f t="shared" si="19"/>
        <v>"%USERPROFILE%\Documents\GitHub\eaglep3\Utilities\RefineRTDCRunTimes.py" --tripid 160-01 --locoid 4049 --swversion DE.1.0.9.0 --startMP 204:232978 --initTime 2017-12-01T11:41:20 --startdatetime 2017-12-01T11:57:14 --delay 46 --endMP 204:145 --enddatetime 2017-12-01T12:34:25 --enforcementcount 0 &gt;&gt;%USERPROFILE%\Documents\GitHub\eaglep3-reporting\EC\2017-12-01-refined-times.txt</v>
      </c>
      <c r="AI72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{"issue":{"subject":"","project_id":79,"tracker_id":40,"status_id":1,"priority_id":2,"assigned_to_id":338,"start_date":"2017-12-01","description":"","custom_fields":[{"id":1,"name":"Subdivision","value":"EC"},{"id":4,"name":"Milepost","value":"0.0145"},{"id":17,"name":"Train ID","value":"160-01"},{"id":16,"name":"Locomotive ID","value":"4049"},{"id":130,"name":"Impact","value":""},{"id":150,"name":"Time of Event (Mountain Time)","value":"12:34:25"},{"id":151,"name":"Denver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4"/>
      <c r="AK72" s="232"/>
      <c r="AL72" s="232"/>
      <c r="AM72" s="241" t="str">
        <f t="shared" si="21"/>
        <v>start /low /b %USERPROFILE%\Documents\GitHub\eaglep3\Utilities\DownloadLogsFromS3.py --loco 4049 --day 2017-12-01</v>
      </c>
      <c r="AN72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19:34:25"},{"id":29,"name":"Sharepoint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1" t="str">
        <f t="shared" si="23"/>
        <v>https://d0f6bd738d7f1b3e5a7ca70fe4ff75f0.us-east-1.aws.found.io/app/kibana#/discover/Steve-Slow-Train-Analysis-(2080s-and-2083s)?_g=(refreshInterval:(display:Off,pause:!f,section:0,value:0),time:(from:'2017-12-01T10:41:20-0700',mode:absolute,to:'2017-12-01T13:34:25-0700'))&amp;_a=(columns:!('Message%20ID',Summary),filters:!(),index:'emp_*',interval:auto,query:(query_string:(analyze_wildcard:!t,query:'%22rtdc.l.rtdc.4049%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230" t="s">
        <v>835</v>
      </c>
      <c r="B73" s="226">
        <v>4040</v>
      </c>
      <c r="C73" s="228" t="s">
        <v>192</v>
      </c>
      <c r="D73" s="228" t="s">
        <v>723</v>
      </c>
      <c r="E73" s="227">
        <v>43070.463680555556</v>
      </c>
      <c r="F73" s="227">
        <v>43070.469270833331</v>
      </c>
      <c r="G73" s="226">
        <v>218</v>
      </c>
      <c r="H73" s="228" t="s">
        <v>496</v>
      </c>
      <c r="I73" s="227">
        <v>43070.494085648148</v>
      </c>
      <c r="J73" s="226">
        <v>0</v>
      </c>
      <c r="K73" s="238" t="str">
        <f t="shared" si="0"/>
        <v>4039/4040</v>
      </c>
      <c r="L73" s="246" t="str">
        <f>VLOOKUP(A73,'Trips&amp;Operators'!$C$1:$G$99911,5,FALSE)</f>
        <v>SAFIEF AEIMEN</v>
      </c>
      <c r="M73" s="225">
        <f t="shared" si="32"/>
        <v>2.4814814816636499E-2</v>
      </c>
      <c r="N73" s="226">
        <f t="shared" si="36"/>
        <v>35.733333335956559</v>
      </c>
      <c r="O73" s="226"/>
      <c r="P73" s="226"/>
      <c r="Q73" s="229"/>
      <c r="R73" s="243"/>
      <c r="S73" s="250">
        <f t="shared" si="25"/>
        <v>1</v>
      </c>
      <c r="T73" s="243" t="str">
        <f t="shared" si="4"/>
        <v>NorthBound</v>
      </c>
      <c r="U73" s="24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9" t="str">
        <f t="shared" si="5"/>
        <v>https://d0f6bd738d7f1b3e5a7ca70fe4ff75f0.us-east-1.aws.found.io/app/kibana#/discover/Steve-Slow-Train-Analysis-(2080s-and-2083s)?_g=(refreshInterval:(display:Off,pause:!f,section:0,value:0),time:(from:'2017-12-01T10:07:42-0700',mode:absolute,to:'2017-12-01T12:51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3" s="248" t="str">
        <f>IF(AA73&lt;VLOOKUP(AG73,Variables!$AC$3:$AD$8,2,FALSE),"Y","N")</f>
        <v>N</v>
      </c>
      <c r="X73" s="248">
        <f t="shared" si="26"/>
        <v>1</v>
      </c>
      <c r="Y73" s="248">
        <f t="shared" si="34"/>
        <v>5.28E-2</v>
      </c>
      <c r="Z73" s="248">
        <f t="shared" si="35"/>
        <v>23.3249</v>
      </c>
      <c r="AA73" s="248">
        <f t="shared" si="9"/>
        <v>23.272099999999998</v>
      </c>
      <c r="AB73" s="234" t="e">
        <f>VLOOKUP(A73,Enforcements!$C$7:$K$9,8,0)</f>
        <v>#N/A</v>
      </c>
      <c r="AC73" s="233" t="e">
        <f>VLOOKUP(A73,Enforcements!$C$7:$E$9,3,0)</f>
        <v>#N/A</v>
      </c>
      <c r="AD73" s="244">
        <f t="shared" si="10"/>
        <v>161</v>
      </c>
      <c r="AE73" s="236" t="str">
        <f t="shared" si="11"/>
        <v>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 &amp; aws s3 cp s3://rtdc.mdm.uploadarchive.raw/RTDC4040/ "%USERPROFILE%\AppData\Local\Temp\OnboardLogs"\RTDC4040\2017-12-02 --exclude "*" --recursive --include "*20171202*" &amp; "%USERPROFILE%\Documents\GitHub\mrs-test-scripts\Headless Mode &amp; Sideloading\WalkAndUnGZ.bat" "%USERPROFILE%\AppData\Local\Temp\OnboardLogs"\RTDC4040\2017-12-02</v>
      </c>
      <c r="AF73" s="235" t="str">
        <f t="shared" si="12"/>
        <v>"C:\Program Files (x86)\AstroGrep\AstroGrep.exe" /e /r /s /spath="%USERPROFILE%\AppData\Local\Temp\OnboardLogs" /stypes="app*4040*20171201*" /stext=" 18:.+((SYSTEM_STATE.+slice.+state.+changed )|(ment ac)|(multiple cpu faults)|(system.+state.+changed )|(\[timeout)|(PRM\|1\|D)|(kpr)|(kdp)|(train st.+moving)|(\|lc)|(penalty))"</v>
      </c>
      <c r="AG73" s="245" t="str">
        <f t="shared" si="13"/>
        <v>EC</v>
      </c>
      <c r="AH73" s="237" t="str">
        <f t="shared" si="19"/>
        <v>"%USERPROFILE%\Documents\GitHub\eaglep3\Utilities\RefineRTDCRunTimes.py" --tripid 161-01 --locoid 4040 --swversion DE.1.0.9.0 --startMP 204:528 --initTime 2017-12-01T11:07:42 --startdatetime 2017-12-01T11:15:45 --delay 218 --endMP 204:233249 --enddatetime 2017-12-01T11:51:29 --enforcementcount 0 &gt;&gt;%USERPROFILE%\Documents\GitHub\eaglep3-reporting\EC\2017-12-01-refined-times.txt</v>
      </c>
      <c r="AI73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{"issue":{"subject":"","project_id":79,"tracker_id":40,"status_id":1,"priority_id":2,"assigned_to_id":338,"start_date":"2017-12-01","description":"","custom_fields":[{"id":1,"name":"Subdivision","value":"EC"},{"id":4,"name":"Milepost","value":"23.3249"},{"id":17,"name":"Train ID","value":"161-01"},{"id":16,"name":"Locomotive ID","value":"4040"},{"id":130,"name":"Impact","value":""},{"id":150,"name":"Time of Event (Mountain Time)","value":"11:51:29"},{"id":151,"name":"Denver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4"/>
      <c r="AK73" s="232"/>
      <c r="AL73" s="232"/>
      <c r="AM73" s="241" t="str">
        <f t="shared" si="21"/>
        <v>start /low /b %USERPROFILE%\Documents\GitHub\eaglep3\Utilities\DownloadLogsFromS3.py --loco 4040 --day 2017-12-01</v>
      </c>
      <c r="AN73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18:51:29"},{"id":29,"name":"Sharepoint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1" t="str">
        <f t="shared" si="23"/>
        <v>https://d0f6bd738d7f1b3e5a7ca70fe4ff75f0.us-east-1.aws.found.io/app/kibana#/discover/Steve-Slow-Train-Analysis-(2080s-and-2083s)?_g=(refreshInterval:(display:Off,pause:!f,section:0,value:0),time:(from:'2017-12-01T10:07:42-0700',mode:absolute,to:'2017-12-01T12:51:29-0700'))&amp;_a=(columns:!('Message%20ID',Summary),filters:!(),index:'emp_*',interval:auto,query:(query_string:(analyze_wildcard:!t,query:'%22rtdc.l.rtdc.4040%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230" t="s">
        <v>848</v>
      </c>
      <c r="B74" s="226">
        <v>4039</v>
      </c>
      <c r="C74" s="228" t="s">
        <v>192</v>
      </c>
      <c r="D74" s="228" t="s">
        <v>425</v>
      </c>
      <c r="E74" s="227">
        <v>43070.499560185184</v>
      </c>
      <c r="F74" s="227">
        <v>43070.508530092593</v>
      </c>
      <c r="G74" s="226">
        <v>145</v>
      </c>
      <c r="H74" s="228" t="s">
        <v>639</v>
      </c>
      <c r="I74" s="227">
        <v>43070.533912037034</v>
      </c>
      <c r="J74" s="226">
        <v>0</v>
      </c>
      <c r="K74" s="238" t="str">
        <f t="shared" si="0"/>
        <v>4039/4040</v>
      </c>
      <c r="L74" s="246" t="str">
        <f>VLOOKUP(A74,'Trips&amp;Operators'!$C$1:$G$99911,5,FALSE)</f>
        <v>SAFIEF AEIMEN</v>
      </c>
      <c r="M74" s="225">
        <f t="shared" si="32"/>
        <v>2.5381944440596271E-2</v>
      </c>
      <c r="N74" s="226">
        <f t="shared" si="36"/>
        <v>36.549999994458631</v>
      </c>
      <c r="O74" s="226"/>
      <c r="P74" s="226"/>
      <c r="Q74" s="229"/>
      <c r="R74" s="243"/>
      <c r="S74" s="250">
        <f t="shared" si="25"/>
        <v>1</v>
      </c>
      <c r="T74" s="243" t="str">
        <f t="shared" si="4"/>
        <v>Southbound</v>
      </c>
      <c r="U74" s="24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9" t="str">
        <f t="shared" si="5"/>
        <v>https://d0f6bd738d7f1b3e5a7ca70fe4ff75f0.us-east-1.aws.found.io/app/kibana#/discover/Steve-Slow-Train-Analysis-(2080s-and-2083s)?_g=(refreshInterval:(display:Off,pause:!f,section:0,value:0),time:(from:'2017-12-01T10:59:22-0700',mode:absolute,to:'2017-12-01T13:48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4" s="248" t="str">
        <f>IF(AA74&lt;VLOOKUP(AG74,Variables!$AC$3:$AD$8,2,FALSE),"Y","N")</f>
        <v>N</v>
      </c>
      <c r="X74" s="248">
        <f t="shared" si="26"/>
        <v>1</v>
      </c>
      <c r="Y74" s="248">
        <f t="shared" si="34"/>
        <v>23.293199999999999</v>
      </c>
      <c r="Z74" s="248">
        <f t="shared" si="35"/>
        <v>1.9599999999999999E-2</v>
      </c>
      <c r="AA74" s="248">
        <f t="shared" si="9"/>
        <v>23.273599999999998</v>
      </c>
      <c r="AB74" s="234" t="e">
        <f>VLOOKUP(A74,Enforcements!$C$7:$K$9,8,0)</f>
        <v>#N/A</v>
      </c>
      <c r="AC74" s="233" t="e">
        <f>VLOOKUP(A74,Enforcements!$C$7:$E$9,3,0)</f>
        <v>#N/A</v>
      </c>
      <c r="AD74" s="244">
        <f t="shared" si="10"/>
        <v>162</v>
      </c>
      <c r="AE74" s="236" t="str">
        <f t="shared" si="11"/>
        <v>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 &amp; aws s3 cp s3://rtdc.mdm.uploadarchive.raw/RTDC4039/ "%USERPROFILE%\AppData\Local\Temp\OnboardLogs"\RTDC4039\2017-12-02 --exclude "*" --recursive --include "*20171202*" &amp; "%USERPROFILE%\Documents\GitHub\mrs-test-scripts\Headless Mode &amp; Sideloading\WalkAndUnGZ.bat" "%USERPROFILE%\AppData\Local\Temp\OnboardLogs"\RTDC4039\2017-12-02</v>
      </c>
      <c r="AF74" s="235" t="str">
        <f t="shared" si="12"/>
        <v>"C:\Program Files (x86)\AstroGrep\AstroGrep.exe" /e /r /s /spath="%USERPROFILE%\AppData\Local\Temp\OnboardLogs" /stypes="app*4039*20171201*" /stext=" 19:.+((SYSTEM_STATE.+slice.+state.+changed )|(ment ac)|(multiple cpu faults)|(system.+state.+changed )|(\[timeout)|(PRM\|1\|D)|(kpr)|(kdp)|(train st.+moving)|(\|lc)|(penalty))"</v>
      </c>
      <c r="AG74" s="245" t="str">
        <f t="shared" si="13"/>
        <v>EC</v>
      </c>
      <c r="AH74" s="237" t="str">
        <f t="shared" si="19"/>
        <v>"%USERPROFILE%\Documents\GitHub\eaglep3\Utilities\RefineRTDCRunTimes.py" --tripid 162-01 --locoid 4039 --swversion DE.1.0.9.0 --startMP 204:232932 --initTime 2017-12-01T11:59:22 --startdatetime 2017-12-01T12:12:17 --delay 145 --endMP 204:196 --enddatetime 2017-12-01T12:48:50 --enforcementcount 0 &gt;&gt;%USERPROFILE%\Documents\GitHub\eaglep3-reporting\EC\2017-12-01-refined-times.txt</v>
      </c>
      <c r="AI74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{"issue":{"subject":"","project_id":79,"tracker_id":40,"status_id":1,"priority_id":2,"assigned_to_id":338,"start_date":"2017-12-01","description":"","custom_fields":[{"id":1,"name":"Subdivision","value":"EC"},{"id":4,"name":"Milepost","value":"0.0196"},{"id":17,"name":"Train ID","value":"162-01"},{"id":16,"name":"Locomotive ID","value":"4039"},{"id":130,"name":"Impact","value":""},{"id":150,"name":"Time of Event (Mountain Time)","value":"12:48:50"},{"id":151,"name":"Denver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4"/>
      <c r="AK74" s="232"/>
      <c r="AL74" s="232"/>
      <c r="AM74" s="241" t="str">
        <f t="shared" si="21"/>
        <v>start /low /b %USERPROFILE%\Documents\GitHub\eaglep3\Utilities\DownloadLogsFromS3.py --loco 4039 --day 2017-12-01</v>
      </c>
      <c r="AN74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19:48:50"},{"id":29,"name":"Sharepoint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1" t="str">
        <f t="shared" si="23"/>
        <v>https://d0f6bd738d7f1b3e5a7ca70fe4ff75f0.us-east-1.aws.found.io/app/kibana#/discover/Steve-Slow-Train-Analysis-(2080s-and-2083s)?_g=(refreshInterval:(display:Off,pause:!f,section:0,value:0),time:(from:'2017-12-01T10:59:22-0700',mode:absolute,to:'2017-12-01T13:48:50-0700'))&amp;_a=(columns:!('Message%20ID',Summary),filters:!(),index:'emp_*',interval:auto,query:(query_string:(analyze_wildcard:!t,query:'%22rtdc.l.rtdc.4039%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230" t="s">
        <v>838</v>
      </c>
      <c r="B75" s="226">
        <v>4024</v>
      </c>
      <c r="C75" s="228" t="s">
        <v>192</v>
      </c>
      <c r="D75" s="228" t="s">
        <v>694</v>
      </c>
      <c r="E75" s="227">
        <v>43070.475717592592</v>
      </c>
      <c r="F75" s="227">
        <v>43070.479328703703</v>
      </c>
      <c r="G75" s="226">
        <v>119</v>
      </c>
      <c r="H75" s="228" t="s">
        <v>497</v>
      </c>
      <c r="I75" s="227">
        <v>43070.503564814811</v>
      </c>
      <c r="J75" s="226">
        <v>0</v>
      </c>
      <c r="K75" s="238" t="str">
        <f t="shared" si="0"/>
        <v>4023/4024</v>
      </c>
      <c r="L75" s="246" t="str">
        <f>VLOOKUP(A75,'Trips&amp;Operators'!$C$1:$G$99911,5,FALSE)</f>
        <v>BRUDER RICHARD</v>
      </c>
      <c r="M75" s="225">
        <f t="shared" si="32"/>
        <v>2.4236111108621117E-2</v>
      </c>
      <c r="N75" s="226">
        <f t="shared" si="36"/>
        <v>34.899999996414408</v>
      </c>
      <c r="O75" s="226"/>
      <c r="P75" s="226"/>
      <c r="Q75" s="229"/>
      <c r="R75" s="243"/>
      <c r="S75" s="250">
        <f t="shared" si="25"/>
        <v>1</v>
      </c>
      <c r="T75" s="243" t="str">
        <f t="shared" si="4"/>
        <v>NorthBound</v>
      </c>
      <c r="U75" s="24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9" t="str">
        <f t="shared" si="5"/>
        <v>https://d0f6bd738d7f1b3e5a7ca70fe4ff75f0.us-east-1.aws.found.io/app/kibana#/discover/Steve-Slow-Train-Analysis-(2080s-and-2083s)?_g=(refreshInterval:(display:Off,pause:!f,section:0,value:0),time:(from:'2017-12-01T10:25:02-0700',mode:absolute,to:'2017-12-01T13:05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5" s="248" t="str">
        <f>IF(AA75&lt;VLOOKUP(AG75,Variables!$AC$3:$AD$8,2,FALSE),"Y","N")</f>
        <v>N</v>
      </c>
      <c r="X75" s="248">
        <f t="shared" si="26"/>
        <v>1</v>
      </c>
      <c r="Y75" s="248">
        <f t="shared" si="34"/>
        <v>5.04E-2</v>
      </c>
      <c r="Z75" s="248">
        <f t="shared" si="35"/>
        <v>23.322199999999999</v>
      </c>
      <c r="AA75" s="248">
        <f t="shared" si="9"/>
        <v>23.271799999999999</v>
      </c>
      <c r="AB75" s="234" t="e">
        <f>VLOOKUP(A75,Enforcements!$C$7:$K$9,8,0)</f>
        <v>#N/A</v>
      </c>
      <c r="AC75" s="233" t="e">
        <f>VLOOKUP(A75,Enforcements!$C$7:$E$9,3,0)</f>
        <v>#N/A</v>
      </c>
      <c r="AD75" s="244">
        <f t="shared" si="10"/>
        <v>163</v>
      </c>
      <c r="AE75" s="236" t="str">
        <f t="shared" si="11"/>
        <v>aws s3 cp s3://rtdc.mdm.uploadarchive.raw/RTDC4024/ "%USERPROFILE%\AppData\Local\Temp\OnboardLogs"\RTDC4024\2017-12-01 --exclude "*" --recursive --include "*20171201*" &amp; "%USERPROFILE%\Documents\GitHub\mrs-test-scripts\Headless Mode &amp; Sideloading\WalkAndUnGZ.bat" "%USERPROFILE%\AppData\Local\Temp\OnboardLogs"\RTDC4024\2017-12-01 &amp; aws s3 cp s3://rtdc.mdm.uploadarchive.raw/RTDC4024/ "%USERPROFILE%\AppData\Local\Temp\OnboardLogs"\RTDC4024\2017-12-02 --exclude "*" --recursive --include "*20171202*" &amp; "%USERPROFILE%\Documents\GitHub\mrs-test-scripts\Headless Mode &amp; Sideloading\WalkAndUnGZ.bat" "%USERPROFILE%\AppData\Local\Temp\OnboardLogs"\RTDC4024\2017-12-02</v>
      </c>
      <c r="AF75" s="235" t="str">
        <f t="shared" si="12"/>
        <v>"C:\Program Files (x86)\AstroGrep\AstroGrep.exe" /e /r /s /spath="%USERPROFILE%\AppData\Local\Temp\OnboardLogs" /stypes="app*4024*20171201*" /stext=" 19:.+((SYSTEM_STATE.+slice.+state.+changed )|(ment ac)|(multiple cpu faults)|(system.+state.+changed )|(\[timeout)|(PRM\|1\|D)|(kpr)|(kdp)|(train st.+moving)|(\|lc)|(penalty))"</v>
      </c>
      <c r="AG75" s="245" t="str">
        <f t="shared" si="13"/>
        <v>EC</v>
      </c>
      <c r="AH75" s="237" t="str">
        <f t="shared" si="19"/>
        <v>"%USERPROFILE%\Documents\GitHub\eaglep3\Utilities\RefineRTDCRunTimes.py" --tripid 163-01 --locoid 4024 --swversion DE.1.0.9.0 --startMP 204:504 --initTime 2017-12-01T11:25:02 --startdatetime 2017-12-01T11:30:14 --delay 119 --endMP 204:233222 --enddatetime 2017-12-01T12:05:08 --enforcementcount 0 &gt;&gt;%USERPROFILE%\Documents\GitHub\eaglep3-reporting\EC\2017-12-01-refined-times.txt</v>
      </c>
      <c r="AI75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{"issue":{"subject":"","project_id":79,"tracker_id":40,"status_id":1,"priority_id":2,"assigned_to_id":338,"start_date":"2017-12-01","description":"","custom_fields":[{"id":1,"name":"Subdivision","value":"EC"},{"id":4,"name":"Milepost","value":"23.3222"},{"id":17,"name":"Train ID","value":"163-01"},{"id":16,"name":"Locomotive ID","value":"4024"},{"id":130,"name":"Impact","value":""},{"id":150,"name":"Time of Event (Mountain Time)","value":"12:05:08"},{"id":151,"name":"Denver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4"/>
      <c r="AK75" s="232"/>
      <c r="AL75" s="232"/>
      <c r="AM75" s="241" t="str">
        <f t="shared" si="21"/>
        <v>start /low /b %USERPROFILE%\Documents\GitHub\eaglep3\Utilities\DownloadLogsFromS3.py --loco 4024 --day 2017-12-01</v>
      </c>
      <c r="AN75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19:05:08"},{"id":29,"name":"Sharepoint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1" t="str">
        <f t="shared" si="23"/>
        <v>https://d0f6bd738d7f1b3e5a7ca70fe4ff75f0.us-east-1.aws.found.io/app/kibana#/discover/Steve-Slow-Train-Analysis-(2080s-and-2083s)?_g=(refreshInterval:(display:Off,pause:!f,section:0,value:0),time:(from:'2017-12-01T10:25:02-0700',mode:absolute,to:'2017-12-01T13:05:08-0700'))&amp;_a=(columns:!('Message%20ID',Summary),filters:!(),index:'emp_*',interval:auto,query:(query_string:(analyze_wildcard:!t,query:'%22rtdc.l.rtdc.4024%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230" t="s">
        <v>850</v>
      </c>
      <c r="B76" s="226">
        <v>4023</v>
      </c>
      <c r="C76" s="228" t="s">
        <v>192</v>
      </c>
      <c r="D76" s="228" t="s">
        <v>990</v>
      </c>
      <c r="E76" s="227">
        <v>43070.515428240738</v>
      </c>
      <c r="F76" s="227">
        <v>43070.518935185188</v>
      </c>
      <c r="G76" s="226">
        <v>103</v>
      </c>
      <c r="H76" s="228" t="s">
        <v>433</v>
      </c>
      <c r="I76" s="227">
        <v>43070.545138888891</v>
      </c>
      <c r="J76" s="226">
        <v>0</v>
      </c>
      <c r="K76" s="238" t="str">
        <f t="shared" si="0"/>
        <v>4023/4024</v>
      </c>
      <c r="L76" s="246" t="str">
        <f>VLOOKUP(A76,'Trips&amp;Operators'!$C$1:$G$99911,5,FALSE)</f>
        <v>BRUDER RICHARD</v>
      </c>
      <c r="M76" s="225">
        <f t="shared" si="32"/>
        <v>2.6203703702776693E-2</v>
      </c>
      <c r="N76" s="226">
        <f t="shared" si="36"/>
        <v>37.733333331998438</v>
      </c>
      <c r="O76" s="226"/>
      <c r="P76" s="226"/>
      <c r="Q76" s="229"/>
      <c r="R76" s="243"/>
      <c r="S76" s="250">
        <f t="shared" si="25"/>
        <v>1</v>
      </c>
      <c r="T76" s="243" t="str">
        <f t="shared" si="4"/>
        <v>Southbound</v>
      </c>
      <c r="U76" s="24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9" t="str">
        <f t="shared" si="5"/>
        <v>https://d0f6bd738d7f1b3e5a7ca70fe4ff75f0.us-east-1.aws.found.io/app/kibana#/discover/Steve-Slow-Train-Analysis-(2080s-and-2083s)?_g=(refreshInterval:(display:Off,pause:!f,section:0,value:0),time:(from:'2017-12-01T11:22:13-0700',mode:absolute,to:'2017-12-01T14:05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6" s="248" t="str">
        <f>IF(AA76&lt;VLOOKUP(AG76,Variables!$AC$3:$AD$8,2,FALSE),"Y","N")</f>
        <v>N</v>
      </c>
      <c r="X76" s="248">
        <f t="shared" si="26"/>
        <v>1</v>
      </c>
      <c r="Y76" s="248">
        <f t="shared" si="34"/>
        <v>23.2881</v>
      </c>
      <c r="Z76" s="248">
        <f t="shared" si="35"/>
        <v>2.23E-2</v>
      </c>
      <c r="AA76" s="248">
        <f t="shared" si="9"/>
        <v>23.265799999999999</v>
      </c>
      <c r="AB76" s="234" t="e">
        <f>VLOOKUP(A76,Enforcements!$C$7:$K$9,8,0)</f>
        <v>#N/A</v>
      </c>
      <c r="AC76" s="233" t="e">
        <f>VLOOKUP(A76,Enforcements!$C$7:$E$9,3,0)</f>
        <v>#N/A</v>
      </c>
      <c r="AD76" s="244">
        <f t="shared" si="10"/>
        <v>164</v>
      </c>
      <c r="AE76" s="236" t="str">
        <f t="shared" si="11"/>
        <v>aws s3 cp s3://rtdc.mdm.uploadarchive.raw/RTDC4023/ "%USERPROFILE%\AppData\Local\Temp\OnboardLogs"\RTDC4023\2017-12-01 --exclude "*" --recursive --include "*20171201*" &amp; "%USERPROFILE%\Documents\GitHub\mrs-test-scripts\Headless Mode &amp; Sideloading\WalkAndUnGZ.bat" "%USERPROFILE%\AppData\Local\Temp\OnboardLogs"\RTDC4023\2017-12-01 &amp; aws s3 cp s3://rtdc.mdm.uploadarchive.raw/RTDC4023/ "%USERPROFILE%\AppData\Local\Temp\OnboardLogs"\RTDC4023\2017-12-02 --exclude "*" --recursive --include "*20171202*" &amp; "%USERPROFILE%\Documents\GitHub\mrs-test-scripts\Headless Mode &amp; Sideloading\WalkAndUnGZ.bat" "%USERPROFILE%\AppData\Local\Temp\OnboardLogs"\RTDC4023\2017-12-02</v>
      </c>
      <c r="AF76" s="235" t="str">
        <f t="shared" si="12"/>
        <v>"C:\Program Files (x86)\AstroGrep\AstroGrep.exe" /e /r /s /spath="%USERPROFILE%\AppData\Local\Temp\OnboardLogs" /stypes="app*4023*20171201*" /stext=" 20:.+((SYSTEM_STATE.+slice.+state.+changed )|(ment ac)|(multiple cpu faults)|(system.+state.+changed )|(\[timeout)|(PRM\|1\|D)|(kpr)|(kdp)|(train st.+moving)|(\|lc)|(penalty))"</v>
      </c>
      <c r="AG76" s="245" t="str">
        <f t="shared" si="13"/>
        <v>EC</v>
      </c>
      <c r="AH76" s="237" t="str">
        <f t="shared" si="19"/>
        <v>"%USERPROFILE%\Documents\GitHub\eaglep3\Utilities\RefineRTDCRunTimes.py" --tripid 164-01 --locoid 4023 --swversion DE.1.0.9.0 --startMP 204:232881 --initTime 2017-12-01T12:22:13 --startdatetime 2017-12-01T12:27:16 --delay 103 --endMP 204:223 --enddatetime 2017-12-01T13:05:00 --enforcementcount 0 &gt;&gt;%USERPROFILE%\Documents\GitHub\eaglep3-reporting\EC\2017-12-01-refined-times.txt</v>
      </c>
      <c r="AI76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{"issue":{"subject":"","project_id":79,"tracker_id":40,"status_id":1,"priority_id":2,"assigned_to_id":338,"start_date":"2017-12-01","description":"","custom_fields":[{"id":1,"name":"Subdivision","value":"EC"},{"id":4,"name":"Milepost","value":"0.0223"},{"id":17,"name":"Train ID","value":"164-01"},{"id":16,"name":"Locomotive ID","value":"4023"},{"id":130,"name":"Impact","value":""},{"id":150,"name":"Time of Event (Mountain Time)","value":"13:05:00"},{"id":151,"name":"Denver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4"/>
      <c r="AK76" s="232"/>
      <c r="AL76" s="232"/>
      <c r="AM76" s="241" t="str">
        <f t="shared" si="21"/>
        <v>start /low /b %USERPROFILE%\Documents\GitHub\eaglep3\Utilities\DownloadLogsFromS3.py --loco 4023 --day 2017-12-01</v>
      </c>
      <c r="AN76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20:05:00"},{"id":29,"name":"Sharepoint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1" t="str">
        <f t="shared" si="23"/>
        <v>https://d0f6bd738d7f1b3e5a7ca70fe4ff75f0.us-east-1.aws.found.io/app/kibana#/discover/Steve-Slow-Train-Analysis-(2080s-and-2083s)?_g=(refreshInterval:(display:Off,pause:!f,section:0,value:0),time:(from:'2017-12-01T11:22:13-0700',mode:absolute,to:'2017-12-01T14:05:00-0700'))&amp;_a=(columns:!('Message%20ID',Summary),filters:!(),index:'emp_*',interval:auto,query:(query_string:(analyze_wildcard:!t,query:'%22rtdc.l.rtdc.4023%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230" t="s">
        <v>842</v>
      </c>
      <c r="B77" s="226">
        <v>4020</v>
      </c>
      <c r="C77" s="228" t="s">
        <v>192</v>
      </c>
      <c r="D77" s="228" t="s">
        <v>567</v>
      </c>
      <c r="E77" s="227">
        <v>43070.485474537039</v>
      </c>
      <c r="F77" s="227">
        <v>43070.489849537036</v>
      </c>
      <c r="G77" s="226">
        <v>67</v>
      </c>
      <c r="H77" s="228" t="s">
        <v>970</v>
      </c>
      <c r="I77" s="227">
        <v>43070.514930555553</v>
      </c>
      <c r="J77" s="226">
        <v>0</v>
      </c>
      <c r="K77" s="238" t="str">
        <f t="shared" ref="K77:K140" si="37">IF(ISEVEN(B77),(B77-1)&amp;"/"&amp;B77,B77&amp;"/"&amp;(B77+1))</f>
        <v>4019/4020</v>
      </c>
      <c r="L77" s="246" t="str">
        <f>VLOOKUP(A77,'Trips&amp;Operators'!$C$1:$G$99911,5,FALSE)</f>
        <v>LEVERE CRAIG</v>
      </c>
      <c r="M77" s="225">
        <f t="shared" si="32"/>
        <v>2.5081018517084885E-2</v>
      </c>
      <c r="N77" s="226">
        <f t="shared" si="36"/>
        <v>36.116666664602235</v>
      </c>
      <c r="O77" s="226"/>
      <c r="P77" s="226"/>
      <c r="Q77" s="229"/>
      <c r="R77" s="243"/>
      <c r="S77" s="250">
        <f t="shared" ref="S77:S87" si="38">1/IF(AG77="EC",12,1)*SUM(U77:U77)</f>
        <v>1</v>
      </c>
      <c r="T77" s="243" t="str">
        <f t="shared" ref="T77:T140" si="39">IF(ISEVEN(LEFT(AD77,4)),"Southbound","NorthBound")</f>
        <v>NorthBound</v>
      </c>
      <c r="U77" s="24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9" t="str">
        <f t="shared" ref="V77:V140" si="4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-12-01T10:39:05-0700',mode:absolute,to:'2017-12-01T13:21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7" s="248" t="str">
        <f>IF(AA77&lt;VLOOKUP(AG77,Variables!$AC$3:$AD$8,2,FALSE),"Y","N")</f>
        <v>N</v>
      </c>
      <c r="X77" s="248">
        <f t="shared" ref="X77:X108" si="41">VALUE(LEFT(AD77,4))-VALUE(LEFT(AD76,4))</f>
        <v>1</v>
      </c>
      <c r="Y77" s="248">
        <f t="shared" si="34"/>
        <v>5.2200000000000003E-2</v>
      </c>
      <c r="Z77" s="248">
        <f t="shared" si="35"/>
        <v>23.321300000000001</v>
      </c>
      <c r="AA77" s="248">
        <f t="shared" ref="AA77:AA140" si="42">ABS(Z77-Y77)</f>
        <v>23.269100000000002</v>
      </c>
      <c r="AB77" s="234" t="e">
        <f>VLOOKUP(A77,Enforcements!$C$7:$K$9,8,0)</f>
        <v>#N/A</v>
      </c>
      <c r="AC77" s="233" t="e">
        <f>VLOOKUP(A77,Enforcements!$C$7:$E$9,3,0)</f>
        <v>#N/A</v>
      </c>
      <c r="AD77" s="244">
        <f t="shared" ref="AD77:AD140" si="43">VALUE(LEFT(A77,LEN(A77)-3))</f>
        <v>165</v>
      </c>
      <c r="AE77" s="236" t="str">
        <f t="shared" ref="AE77:AE140" si="4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s3://rtdc.mdm.uploadarchive.raw/RTDC4020/ "%USERPROFILE%\AppData\Local\Temp\OnboardLogs"\RTDC4020\2017-12-01 --exclude "*" --recursive --include "*20171201*" &amp; "%USERPROFILE%\Documents\GitHub\mrs-test-scripts\Headless Mode &amp; Sideloading\WalkAndUnGZ.bat" "%USERPROFILE%\AppData\Local\Temp\OnboardLogs"\RTDC4020\2017-12-01 &amp; aws s3 cp s3://rtdc.mdm.uploadarchive.raw/RTDC4020/ "%USERPROFILE%\AppData\Local\Temp\OnboardLogs"\RTDC4020\2017-12-02 --exclude "*" --recursive --include "*20171202*" &amp; "%USERPROFILE%\Documents\GitHub\mrs-test-scripts\Headless Mode &amp; Sideloading\WalkAndUnGZ.bat" "%USERPROFILE%\AppData\Local\Temp\OnboardLogs"\RTDC4020\2017-12-02</v>
      </c>
      <c r="AF77" s="235" t="str">
        <f t="shared" ref="AF77:AF140" si="45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/stypes="app*4020*20171201*" /stext=" 19:.+((SYSTEM_STATE.+slice.+state.+changed )|(ment ac)|(multiple cpu faults)|(system.+state.+changed )|(\[timeout)|(PRM\|1\|D)|(kpr)|(kdp)|(train st.+moving)|(\|lc)|(penalty))"</v>
      </c>
      <c r="AG77" s="245" t="str">
        <f t="shared" ref="AG77:AG140" si="46">DetSubdiv(A77)</f>
        <v>EC</v>
      </c>
      <c r="AH77" s="237" t="str">
        <f t="shared" si="19"/>
        <v>"%USERPROFILE%\Documents\GitHub\eaglep3\Utilities\RefineRTDCRunTimes.py" --tripid 165-01 --locoid 4020 --swversion DE.1.0.9.0 --startMP 204:522 --initTime 2017-12-01T11:39:05 --startdatetime 2017-12-01T11:45:23 --delay 67 --endMP 204:233213 --enddatetime 2017-12-01T12:21:30 --enforcementcount 0 &gt;&gt;%USERPROFILE%\Documents\GitHub\eaglep3-reporting\EC\2017-12-01-refined-times.txt</v>
      </c>
      <c r="AI77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{"issue":{"subject":"","project_id":79,"tracker_id":40,"status_id":1,"priority_id":2,"assigned_to_id":338,"start_date":"2017-12-01","description":"","custom_fields":[{"id":1,"name":"Subdivision","value":"EC"},{"id":4,"name":"Milepost","value":"23.3213"},{"id":17,"name":"Train ID","value":"165-01"},{"id":16,"name":"Locomotive ID","value":"4020"},{"id":130,"name":"Impact","value":""},{"id":150,"name":"Time of Event (Mountain Time)","value":"12:21:30"},{"id":151,"name":"Denver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4"/>
      <c r="AK77" s="232"/>
      <c r="AL77" s="232"/>
      <c r="AM77" s="241" t="str">
        <f t="shared" si="21"/>
        <v>start /low /b %USERPROFILE%\Documents\GitHub\eaglep3\Utilities\DownloadLogsFromS3.py --loco 4020 --day 2017-12-01</v>
      </c>
      <c r="AN77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19:21:30"},{"id":29,"name":"Sharepoint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1" t="str">
        <f t="shared" si="23"/>
        <v>https://d0f6bd738d7f1b3e5a7ca70fe4ff75f0.us-east-1.aws.found.io/app/kibana#/discover/Steve-Slow-Train-Analysis-(2080s-and-2083s)?_g=(refreshInterval:(display:Off,pause:!f,section:0,value:0),time:(from:'2017-12-01T10:39:05-0700',mode:absolute,to:'2017-12-01T13:21:30-0700'))&amp;_a=(columns:!('Message%20ID',Summary),filters:!(),index:'emp_*',interval:auto,query:(query_string:(analyze_wildcard:!t,query:'%22rtdc.l.rtdc.4020%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230" t="s">
        <v>853</v>
      </c>
      <c r="B78" s="226">
        <v>4019</v>
      </c>
      <c r="C78" s="228" t="s">
        <v>192</v>
      </c>
      <c r="D78" s="228" t="s">
        <v>627</v>
      </c>
      <c r="E78" s="227">
        <v>43070.522905092592</v>
      </c>
      <c r="F78" s="227">
        <v>43070.529444444444</v>
      </c>
      <c r="G78" s="226">
        <v>71</v>
      </c>
      <c r="H78" s="228" t="s">
        <v>468</v>
      </c>
      <c r="I78" s="227">
        <v>43070.555254629631</v>
      </c>
      <c r="J78" s="226">
        <v>0</v>
      </c>
      <c r="K78" s="238" t="str">
        <f t="shared" si="37"/>
        <v>4019/4020</v>
      </c>
      <c r="L78" s="246" t="str">
        <f>VLOOKUP(A78,'Trips&amp;Operators'!$C$1:$G$99911,5,FALSE)</f>
        <v>LEVERE CRAIG</v>
      </c>
      <c r="M78" s="225">
        <f t="shared" si="32"/>
        <v>2.5810185186855961E-2</v>
      </c>
      <c r="N78" s="226">
        <f t="shared" si="36"/>
        <v>37.166666669072583</v>
      </c>
      <c r="O78" s="226"/>
      <c r="P78" s="226"/>
      <c r="Q78" s="229"/>
      <c r="R78" s="243"/>
      <c r="S78" s="250">
        <f t="shared" si="38"/>
        <v>1</v>
      </c>
      <c r="T78" s="243" t="str">
        <f t="shared" si="39"/>
        <v>Southbound</v>
      </c>
      <c r="U78" s="24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9" t="str">
        <f t="shared" si="40"/>
        <v>https://d0f6bd738d7f1b3e5a7ca70fe4ff75f0.us-east-1.aws.found.io/app/kibana#/discover/Steve-Slow-Train-Analysis-(2080s-and-2083s)?_g=(refreshInterval:(display:Off,pause:!f,section:0,value:0),time:(from:'2017-12-01T11:32:59-0700',mode:absolute,to:'2017-12-01T14:19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8" s="248" t="str">
        <f>IF(AA78&lt;VLOOKUP(AG78,Variables!$AC$3:$AD$8,2,FALSE),"Y","N")</f>
        <v>N</v>
      </c>
      <c r="X78" s="248">
        <f t="shared" si="41"/>
        <v>1</v>
      </c>
      <c r="Y78" s="248">
        <f t="shared" si="34"/>
        <v>23.2898</v>
      </c>
      <c r="Z78" s="248">
        <f t="shared" si="35"/>
        <v>2.3099999999999999E-2</v>
      </c>
      <c r="AA78" s="248">
        <f t="shared" si="42"/>
        <v>23.2667</v>
      </c>
      <c r="AB78" s="234" t="e">
        <f>VLOOKUP(A78,Enforcements!$C$7:$K$9,8,0)</f>
        <v>#N/A</v>
      </c>
      <c r="AC78" s="233" t="e">
        <f>VLOOKUP(A78,Enforcements!$C$7:$E$9,3,0)</f>
        <v>#N/A</v>
      </c>
      <c r="AD78" s="244">
        <f t="shared" si="43"/>
        <v>166</v>
      </c>
      <c r="AE78" s="236" t="str">
        <f t="shared" si="44"/>
        <v>aws s3 cp s3://rtdc.mdm.uploadarchive.raw/RTDC4019/ "%USERPROFILE%\AppData\Local\Temp\OnboardLogs"\RTDC4019\2017-12-01 --exclude "*" --recursive --include "*20171201*" &amp; "%USERPROFILE%\Documents\GitHub\mrs-test-scripts\Headless Mode &amp; Sideloading\WalkAndUnGZ.bat" "%USERPROFILE%\AppData\Local\Temp\OnboardLogs"\RTDC4019\2017-12-01 &amp; aws s3 cp s3://rtdc.mdm.uploadarchive.raw/RTDC4019/ "%USERPROFILE%\AppData\Local\Temp\OnboardLogs"\RTDC4019\2017-12-02 --exclude "*" --recursive --include "*20171202*" &amp; "%USERPROFILE%\Documents\GitHub\mrs-test-scripts\Headless Mode &amp; Sideloading\WalkAndUnGZ.bat" "%USERPROFILE%\AppData\Local\Temp\OnboardLogs"\RTDC4019\2017-12-02</v>
      </c>
      <c r="AF78" s="235" t="str">
        <f t="shared" si="45"/>
        <v>"C:\Program Files (x86)\AstroGrep\AstroGrep.exe" /e /r /s /spath="%USERPROFILE%\AppData\Local\Temp\OnboardLogs" /stypes="app*4019*20171201*" /stext=" 20:.+((SYSTEM_STATE.+slice.+state.+changed )|(ment ac)|(multiple cpu faults)|(system.+state.+changed )|(\[timeout)|(PRM\|1\|D)|(kpr)|(kdp)|(train st.+moving)|(\|lc)|(penalty))"</v>
      </c>
      <c r="AG78" s="245" t="str">
        <f t="shared" si="46"/>
        <v>EC</v>
      </c>
      <c r="AH78" s="237" t="str">
        <f t="shared" si="19"/>
        <v>"%USERPROFILE%\Documents\GitHub\eaglep3\Utilities\RefineRTDCRunTimes.py" --tripid 166-01 --locoid 4019 --swversion DE.1.0.9.0 --startMP 204:232898 --initTime 2017-12-01T12:32:59 --startdatetime 2017-12-01T12:42:24 --delay 71 --endMP 204:231 --enddatetime 2017-12-01T13:19:34 --enforcementcount 0 &gt;&gt;%USERPROFILE%\Documents\GitHub\eaglep3-reporting\EC\2017-12-01-refined-times.txt</v>
      </c>
      <c r="AI78" s="239" t="str">
        <f t="shared" si="20"/>
        <v>echo {"issue":{"subject":"","project_id":79,"tracker_id":40,"status_id":1,"priority_id":2,"assigned_to_id":338,"start_date":"2017-12-01","description":"","custom_fields":[{"id":1,"name":"Subdivision","value":"EC"},{"id":4,"name":"Milepost","value":"0.0231"},{"id":17,"name":"Train ID","value":"166-01"},{"id":16,"name":"Locomotive ID","value":"4019"},{"id":130,"name":"Impact","value":""},{"id":150,"name":"Time of Event (Mountain Time)","value":"13:19:34"},{"id":151,"name":"Denver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4"/>
      <c r="AK78" s="232"/>
      <c r="AL78" s="232"/>
      <c r="AM78" s="241" t="str">
        <f t="shared" si="21"/>
        <v>start /low /b %USERPROFILE%\Documents\GitHub\eaglep3\Utilities\DownloadLogsFromS3.py --loco 4019 --day 2017-12-01</v>
      </c>
      <c r="AN78" s="242" t="str">
        <f t="shared" si="22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20:19:34"},{"id":29,"name":"Sharepoint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1" t="str">
        <f t="shared" si="23"/>
        <v>https://d0f6bd738d7f1b3e5a7ca70fe4ff75f0.us-east-1.aws.found.io/app/kibana#/discover/Steve-Slow-Train-Analysis-(2080s-and-2083s)?_g=(refreshInterval:(display:Off,pause:!f,section:0,value:0),time:(from:'2017-12-01T11:32:59-0700',mode:absolute,to:'2017-12-01T14:19:34-0700'))&amp;_a=(columns:!('Message%20ID',Summary),filters:!(),index:'emp_*',interval:auto,query:(query_string:(analyze_wildcard:!t,query:'%22rtdc.l.rtdc.4019%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230" t="s">
        <v>846</v>
      </c>
      <c r="B79" s="226">
        <v>4006</v>
      </c>
      <c r="C79" s="228" t="s">
        <v>192</v>
      </c>
      <c r="D79" s="228" t="s">
        <v>565</v>
      </c>
      <c r="E79" s="227">
        <v>43070.496770833335</v>
      </c>
      <c r="F79" s="227">
        <v>43070.500173611108</v>
      </c>
      <c r="G79" s="226">
        <v>61</v>
      </c>
      <c r="H79" s="228" t="s">
        <v>681</v>
      </c>
      <c r="I79" s="227">
        <v>43070.524756944447</v>
      </c>
      <c r="J79" s="226">
        <v>0</v>
      </c>
      <c r="K79" s="238" t="str">
        <f t="shared" si="37"/>
        <v>4005/4006</v>
      </c>
      <c r="L79" s="246" t="str">
        <f>VLOOKUP(A79,'Trips&amp;Operators'!$C$1:$G$99911,5,FALSE)</f>
        <v>FORTUNATO FRANK</v>
      </c>
      <c r="M79" s="225">
        <f t="shared" si="32"/>
        <v>2.4583333339251112E-2</v>
      </c>
      <c r="N79" s="226">
        <f t="shared" si="36"/>
        <v>35.400000008521602</v>
      </c>
      <c r="O79" s="226"/>
      <c r="P79" s="226"/>
      <c r="Q79" s="229"/>
      <c r="R79" s="243"/>
      <c r="S79" s="250">
        <f t="shared" si="38"/>
        <v>1</v>
      </c>
      <c r="T79" s="243" t="str">
        <f t="shared" si="39"/>
        <v>NorthBound</v>
      </c>
      <c r="U79" s="24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9" t="str">
        <f t="shared" si="40"/>
        <v>https://d0f6bd738d7f1b3e5a7ca70fe4ff75f0.us-east-1.aws.found.io/app/kibana#/discover/Steve-Slow-Train-Analysis-(2080s-and-2083s)?_g=(refreshInterval:(display:Off,pause:!f,section:0,value:0),time:(from:'2017-12-01T10:55:21-0700',mode:absolute,to:'2017-12-01T13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9" s="248" t="str">
        <f>IF(AA79&lt;VLOOKUP(AG79,Variables!$AC$3:$AD$8,2,FALSE),"Y","N")</f>
        <v>N</v>
      </c>
      <c r="X79" s="248">
        <f t="shared" si="41"/>
        <v>1</v>
      </c>
      <c r="Y79" s="248">
        <f t="shared" si="34"/>
        <v>5.1900000000000002E-2</v>
      </c>
      <c r="Z79" s="248">
        <f t="shared" si="35"/>
        <v>23.317599999999999</v>
      </c>
      <c r="AA79" s="248">
        <f t="shared" si="42"/>
        <v>23.265699999999999</v>
      </c>
      <c r="AB79" s="234" t="e">
        <f>VLOOKUP(A79,Enforcements!$C$7:$K$9,8,0)</f>
        <v>#N/A</v>
      </c>
      <c r="AC79" s="233" t="e">
        <f>VLOOKUP(A79,Enforcements!$C$7:$E$9,3,0)</f>
        <v>#N/A</v>
      </c>
      <c r="AD79" s="244">
        <f t="shared" si="43"/>
        <v>167</v>
      </c>
      <c r="AE79" s="236" t="str">
        <f t="shared" si="44"/>
        <v>aws s3 cp s3://rtdc.mdm.uploadarchive.raw/RTDC4006/ "%USERPROFILE%\AppData\Local\Temp\OnboardLogs"\RTDC4006\2017-12-01 --exclude "*" --recursive --include "*20171201*" &amp; "%USERPROFILE%\Documents\GitHub\mrs-test-scripts\Headless Mode &amp; Sideloading\WalkAndUnGZ.bat" "%USERPROFILE%\AppData\Local\Temp\OnboardLogs"\RTDC4006\2017-12-01 &amp; aws s3 cp s3://rtdc.mdm.uploadarchive.raw/RTDC4006/ "%USERPROFILE%\AppData\Local\Temp\OnboardLogs"\RTDC4006\2017-12-02 --exclude "*" --recursive --include "*20171202*" &amp; "%USERPROFILE%\Documents\GitHub\mrs-test-scripts\Headless Mode &amp; Sideloading\WalkAndUnGZ.bat" "%USERPROFILE%\AppData\Local\Temp\OnboardLogs"\RTDC4006\2017-12-02</v>
      </c>
      <c r="AF79" s="235" t="str">
        <f t="shared" si="45"/>
        <v>"C:\Program Files (x86)\AstroGrep\AstroGrep.exe" /e /r /s /spath="%USERPROFILE%\AppData\Local\Temp\OnboardLogs" /stypes="app*4006*20171201*" /stext=" 19:.+((SYSTEM_STATE.+slice.+state.+changed )|(ment ac)|(multiple cpu faults)|(system.+state.+changed )|(\[timeout)|(PRM\|1\|D)|(kpr)|(kdp)|(train st.+moving)|(\|lc)|(penalty))"</v>
      </c>
      <c r="AG79" s="245" t="str">
        <f t="shared" si="46"/>
        <v>EC</v>
      </c>
      <c r="AH79" s="237" t="str">
        <f t="shared" ref="AH79:AH142" si="47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167-01 --locoid 4006 --swversion DE.1.0.9.0 --startMP 204:519 --initTime 2017-12-01T11:55:21 --startdatetime 2017-12-01T12:00:15 --delay 61 --endMP 204:233176 --enddatetime 2017-12-01T12:35:39 --enforcementcount 0 &gt;&gt;%USERPROFILE%\Documents\GitHub\eaglep3-reporting\EC\2017-12-01-refined-times.txt</v>
      </c>
      <c r="AI79" s="239" t="str">
        <f t="shared" ref="AI79:AI142" si="48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{"issue":{"subject":"","project_id":79,"tracker_id":40,"status_id":1,"priority_id":2,"assigned_to_id":338,"start_date":"2017-12-01","description":"","custom_fields":[{"id":1,"name":"Subdivision","value":"EC"},{"id":4,"name":"Milepost","value":"23.3176"},{"id":17,"name":"Train ID","value":"167-01"},{"id":16,"name":"Locomotive ID","value":"4006"},{"id":130,"name":"Impact","value":""},{"id":150,"name":"Time of Event (Mountain Time)","value":"12:35:39"},{"id":151,"name":"Denver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4"/>
      <c r="AK79" s="232"/>
      <c r="AL79" s="232"/>
      <c r="AM79" s="241" t="str">
        <f t="shared" ref="AM79:AM142" si="49">"start /low /b "&amp;dls3logs&amp;" --loco "&amp;B79&amp;" --day "&amp;TEXT(F79,"YYYY-MM-DD")</f>
        <v>start /low /b %USERPROFILE%\Documents\GitHub\eaglep3\Utilities\DownloadLogsFromS3.py --loco 4006 --day 2017-12-01</v>
      </c>
      <c r="AN79" s="242" t="str">
        <f t="shared" ref="AN79:AN142" si="50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19:35:39"},{"id":29,"name":"Sharepoint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1" t="str">
        <f t="shared" ref="AO79:AO142" si="51"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Message%20ID',Summary),filters:!(),index:'emp_*',interval:auto,query:"&amp;"(query_string:(analyze_wildcard:!t,query:'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-12-01T10:55:21-0700',mode:absolute,to:'2017-12-01T13:35:39-0700'))&amp;_a=(columns:!('Message%20ID',Summary),filters:!(),index:'emp_*',interval:auto,query:(query_string:(analyze_wildcard:!t,query:'%22rtdc.l.rtdc.4006%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230" t="s">
        <v>854</v>
      </c>
      <c r="B80" s="226">
        <v>4005</v>
      </c>
      <c r="C80" s="228" t="s">
        <v>192</v>
      </c>
      <c r="D80" s="228" t="s">
        <v>991</v>
      </c>
      <c r="E80" s="227">
        <v>43070.526562500003</v>
      </c>
      <c r="F80" s="227">
        <v>43070.539722222224</v>
      </c>
      <c r="G80" s="226">
        <v>66</v>
      </c>
      <c r="H80" s="228" t="s">
        <v>710</v>
      </c>
      <c r="I80" s="227">
        <v>43070.566400462965</v>
      </c>
      <c r="J80" s="226">
        <v>0</v>
      </c>
      <c r="K80" s="238" t="str">
        <f t="shared" si="37"/>
        <v>4005/4006</v>
      </c>
      <c r="L80" s="246" t="str">
        <f>VLOOKUP(A80,'Trips&amp;Operators'!$C$1:$G$99911,5,FALSE)</f>
        <v>FORTUNATO FRANK</v>
      </c>
      <c r="M80" s="225">
        <f t="shared" si="32"/>
        <v>2.6678240741603076E-2</v>
      </c>
      <c r="N80" s="226">
        <f t="shared" si="36"/>
        <v>38.41666666790843</v>
      </c>
      <c r="O80" s="226"/>
      <c r="P80" s="226"/>
      <c r="Q80" s="229"/>
      <c r="R80" s="243"/>
      <c r="S80" s="250">
        <f t="shared" si="38"/>
        <v>1</v>
      </c>
      <c r="T80" s="243" t="str">
        <f t="shared" si="39"/>
        <v>Southbound</v>
      </c>
      <c r="U80" s="24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9" t="str">
        <f t="shared" si="40"/>
        <v>https://d0f6bd738d7f1b3e5a7ca70fe4ff75f0.us-east-1.aws.found.io/app/kibana#/discover/Steve-Slow-Train-Analysis-(2080s-and-2083s)?_g=(refreshInterval:(display:Off,pause:!f,section:0,value:0),time:(from:'2017-12-01T11:38:15-0700',mode:absolute,to:'2017-12-01T14:35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0" s="248" t="str">
        <f>IF(AA80&lt;VLOOKUP(AG80,Variables!$AC$3:$AD$8,2,FALSE),"Y","N")</f>
        <v>N</v>
      </c>
      <c r="X80" s="248">
        <f t="shared" si="41"/>
        <v>1</v>
      </c>
      <c r="Y80" s="248">
        <f t="shared" si="34"/>
        <v>23.286899999999999</v>
      </c>
      <c r="Z80" s="248">
        <f t="shared" si="35"/>
        <v>1.9800000000000002E-2</v>
      </c>
      <c r="AA80" s="248">
        <f t="shared" si="42"/>
        <v>23.267099999999999</v>
      </c>
      <c r="AB80" s="234" t="e">
        <f>VLOOKUP(A80,Enforcements!$C$7:$K$9,8,0)</f>
        <v>#N/A</v>
      </c>
      <c r="AC80" s="233" t="e">
        <f>VLOOKUP(A80,Enforcements!$C$7:$E$9,3,0)</f>
        <v>#N/A</v>
      </c>
      <c r="AD80" s="244">
        <f t="shared" si="43"/>
        <v>168</v>
      </c>
      <c r="AE80" s="236" t="str">
        <f t="shared" si="44"/>
        <v>aws s3 cp s3://rtdc.mdm.uploadarchive.raw/RTDC4005/ "%USERPROFILE%\AppData\Local\Temp\OnboardLogs"\RTDC4005\2017-12-01 --exclude "*" --recursive --include "*20171201*" &amp; "%USERPROFILE%\Documents\GitHub\mrs-test-scripts\Headless Mode &amp; Sideloading\WalkAndUnGZ.bat" "%USERPROFILE%\AppData\Local\Temp\OnboardLogs"\RTDC4005\2017-12-01 &amp; aws s3 cp s3://rtdc.mdm.uploadarchive.raw/RTDC4005/ "%USERPROFILE%\AppData\Local\Temp\OnboardLogs"\RTDC4005\2017-12-02 --exclude "*" --recursive --include "*20171202*" &amp; "%USERPROFILE%\Documents\GitHub\mrs-test-scripts\Headless Mode &amp; Sideloading\WalkAndUnGZ.bat" "%USERPROFILE%\AppData\Local\Temp\OnboardLogs"\RTDC4005\2017-12-02</v>
      </c>
      <c r="AF80" s="235" t="str">
        <f t="shared" si="45"/>
        <v>"C:\Program Files (x86)\AstroGrep\AstroGrep.exe" /e /r /s /spath="%USERPROFILE%\AppData\Local\Temp\OnboardLogs" /stypes="app*4005*20171201*" /stext=" 20:.+((SYSTEM_STATE.+slice.+state.+changed )|(ment ac)|(multiple cpu faults)|(system.+state.+changed )|(\[timeout)|(PRM\|1\|D)|(kpr)|(kdp)|(train st.+moving)|(\|lc)|(penalty))"</v>
      </c>
      <c r="AG80" s="245" t="str">
        <f t="shared" si="46"/>
        <v>EC</v>
      </c>
      <c r="AH80" s="237" t="str">
        <f t="shared" si="47"/>
        <v>"%USERPROFILE%\Documents\GitHub\eaglep3\Utilities\RefineRTDCRunTimes.py" --tripid 168-01 --locoid 4005 --swversion DE.1.0.9.0 --startMP 204:232869 --initTime 2017-12-01T12:38:15 --startdatetime 2017-12-01T12:57:12 --delay 66 --endMP 204:198 --enddatetime 2017-12-01T13:35:37 --enforcementcount 0 &gt;&gt;%USERPROFILE%\Documents\GitHub\eaglep3-reporting\EC\2017-12-01-refined-times.txt</v>
      </c>
      <c r="AI80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{"issue":{"subject":"","project_id":79,"tracker_id":40,"status_id":1,"priority_id":2,"assigned_to_id":338,"start_date":"2017-12-01","description":"","custom_fields":[{"id":1,"name":"Subdivision","value":"EC"},{"id":4,"name":"Milepost","value":"0.0198"},{"id":17,"name":"Train ID","value":"168-01"},{"id":16,"name":"Locomotive ID","value":"4005"},{"id":130,"name":"Impact","value":""},{"id":150,"name":"Time of Event (Mountain Time)","value":"13:35:37"},{"id":151,"name":"Denver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4"/>
      <c r="AK80" s="232"/>
      <c r="AL80" s="232"/>
      <c r="AM80" s="241" t="str">
        <f t="shared" si="49"/>
        <v>start /low /b %USERPROFILE%\Documents\GitHub\eaglep3\Utilities\DownloadLogsFromS3.py --loco 4005 --day 2017-12-01</v>
      </c>
      <c r="AN80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20:35:37"},{"id":29,"name":"Sharepoint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1" t="str">
        <f t="shared" si="51"/>
        <v>https://d0f6bd738d7f1b3e5a7ca70fe4ff75f0.us-east-1.aws.found.io/app/kibana#/discover/Steve-Slow-Train-Analysis-(2080s-and-2083s)?_g=(refreshInterval:(display:Off,pause:!f,section:0,value:0),time:(from:'2017-12-01T11:38:15-0700',mode:absolute,to:'2017-12-01T14:35:37-0700'))&amp;_a=(columns:!('Message%20ID',Summary),filters:!(),index:'emp_*',interval:auto,query:(query_string:(analyze_wildcard:!t,query:'%22rtdc.l.rtdc.4005%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230" t="s">
        <v>849</v>
      </c>
      <c r="B81" s="226">
        <v>4046</v>
      </c>
      <c r="C81" s="228" t="s">
        <v>192</v>
      </c>
      <c r="D81" s="228" t="s">
        <v>470</v>
      </c>
      <c r="E81" s="227">
        <v>43070.507210648146</v>
      </c>
      <c r="F81" s="227">
        <v>43070.510729166665</v>
      </c>
      <c r="G81" s="226">
        <v>119</v>
      </c>
      <c r="H81" s="228" t="s">
        <v>992</v>
      </c>
      <c r="I81" s="227">
        <v>43070.535219907404</v>
      </c>
      <c r="J81" s="226">
        <v>0</v>
      </c>
      <c r="K81" s="238" t="str">
        <f t="shared" si="37"/>
        <v>4045/4046</v>
      </c>
      <c r="L81" s="246" t="str">
        <f>VLOOKUP(A81,'Trips&amp;Operators'!$C$1:$G$99911,5,FALSE)</f>
        <v>LEVIN SCOTT</v>
      </c>
      <c r="M81" s="225">
        <f t="shared" si="32"/>
        <v>2.4490740739565808E-2</v>
      </c>
      <c r="N81" s="226">
        <f t="shared" si="36"/>
        <v>35.266666664974764</v>
      </c>
      <c r="O81" s="226"/>
      <c r="P81" s="226"/>
      <c r="Q81" s="229"/>
      <c r="R81" s="243"/>
      <c r="S81" s="250">
        <f t="shared" si="38"/>
        <v>1</v>
      </c>
      <c r="T81" s="243" t="str">
        <f t="shared" si="39"/>
        <v>NorthBound</v>
      </c>
      <c r="U81" s="24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9" t="str">
        <f t="shared" si="40"/>
        <v>https://d0f6bd738d7f1b3e5a7ca70fe4ff75f0.us-east-1.aws.found.io/app/kibana#/discover/Steve-Slow-Train-Analysis-(2080s-and-2083s)?_g=(refreshInterval:(display:Off,pause:!f,section:0,value:0),time:(from:'2017-12-01T11:10:23-0700',mode:absolute,to:'2017-12-01T13:50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1" s="248" t="str">
        <f>IF(AA81&lt;VLOOKUP(AG81,Variables!$AC$3:$AD$8,2,FALSE),"Y","N")</f>
        <v>N</v>
      </c>
      <c r="X81" s="248">
        <f t="shared" si="41"/>
        <v>1</v>
      </c>
      <c r="Y81" s="248">
        <f t="shared" si="34"/>
        <v>5.3699999999999998E-2</v>
      </c>
      <c r="Z81" s="248">
        <f t="shared" si="35"/>
        <v>23.331399999999999</v>
      </c>
      <c r="AA81" s="248">
        <f t="shared" si="42"/>
        <v>23.277699999999999</v>
      </c>
      <c r="AB81" s="234" t="e">
        <f>VLOOKUP(A81,Enforcements!$C$7:$K$9,8,0)</f>
        <v>#N/A</v>
      </c>
      <c r="AC81" s="233" t="e">
        <f>VLOOKUP(A81,Enforcements!$C$7:$E$9,3,0)</f>
        <v>#N/A</v>
      </c>
      <c r="AD81" s="244">
        <f t="shared" si="43"/>
        <v>169</v>
      </c>
      <c r="AE81" s="236" t="str">
        <f t="shared" si="44"/>
        <v>aws s3 cp s3://rtdc.mdm.uploadarchive.raw/RTDC4046/ "%USERPROFILE%\AppData\Local\Temp\OnboardLogs"\RTDC4046\2017-12-01 --exclude "*" --recursive --include "*20171201*" &amp; "%USERPROFILE%\Documents\GitHub\mrs-test-scripts\Headless Mode &amp; Sideloading\WalkAndUnGZ.bat" "%USERPROFILE%\AppData\Local\Temp\OnboardLogs"\RTDC4046\2017-12-01 &amp; aws s3 cp s3://rtdc.mdm.uploadarchive.raw/RTDC4046/ "%USERPROFILE%\AppData\Local\Temp\OnboardLogs"\RTDC4046\2017-12-02 --exclude "*" --recursive --include "*20171202*" &amp; "%USERPROFILE%\Documents\GitHub\mrs-test-scripts\Headless Mode &amp; Sideloading\WalkAndUnGZ.bat" "%USERPROFILE%\AppData\Local\Temp\OnboardLogs"\RTDC4046\2017-12-02</v>
      </c>
      <c r="AF81" s="235" t="str">
        <f t="shared" si="45"/>
        <v>"C:\Program Files (x86)\AstroGrep\AstroGrep.exe" /e /r /s /spath="%USERPROFILE%\AppData\Local\Temp\OnboardLogs" /stypes="app*4046*20171201*" /stext=" 19:.+((SYSTEM_STATE.+slice.+state.+changed )|(ment ac)|(multiple cpu faults)|(system.+state.+changed )|(\[timeout)|(PRM\|1\|D)|(kpr)|(kdp)|(train st.+moving)|(\|lc)|(penalty))"</v>
      </c>
      <c r="AG81" s="245" t="str">
        <f t="shared" si="46"/>
        <v>EC</v>
      </c>
      <c r="AH81" s="237" t="str">
        <f t="shared" si="47"/>
        <v>"%USERPROFILE%\Documents\GitHub\eaglep3\Utilities\RefineRTDCRunTimes.py" --tripid 169-01 --locoid 4046 --swversion DE.1.0.9.0 --startMP 204:537 --initTime 2017-12-01T12:10:23 --startdatetime 2017-12-01T12:15:27 --delay 119 --endMP 204:233314 --enddatetime 2017-12-01T12:50:43 --enforcementcount 0 &gt;&gt;%USERPROFILE%\Documents\GitHub\eaglep3-reporting\EC\2017-12-01-refined-times.txt</v>
      </c>
      <c r="AI81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{"issue":{"subject":"","project_id":79,"tracker_id":40,"status_id":1,"priority_id":2,"assigned_to_id":338,"start_date":"2017-12-01","description":"","custom_fields":[{"id":1,"name":"Subdivision","value":"EC"},{"id":4,"name":"Milepost","value":"23.3314"},{"id":17,"name":"Train ID","value":"169-01"},{"id":16,"name":"Locomotive ID","value":"4046"},{"id":130,"name":"Impact","value":""},{"id":150,"name":"Time of Event (Mountain Time)","value":"12:50:43"},{"id":151,"name":"Denver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4"/>
      <c r="AK81" s="232"/>
      <c r="AL81" s="232"/>
      <c r="AM81" s="241" t="str">
        <f t="shared" si="49"/>
        <v>start /low /b %USERPROFILE%\Documents\GitHub\eaglep3\Utilities\DownloadLogsFromS3.py --loco 4046 --day 2017-12-01</v>
      </c>
      <c r="AN81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19:50:43"},{"id":29,"name":"Sharepoint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1" t="str">
        <f t="shared" si="51"/>
        <v>https://d0f6bd738d7f1b3e5a7ca70fe4ff75f0.us-east-1.aws.found.io/app/kibana#/discover/Steve-Slow-Train-Analysis-(2080s-and-2083s)?_g=(refreshInterval:(display:Off,pause:!f,section:0,value:0),time:(from:'2017-12-01T11:10:23-0700',mode:absolute,to:'2017-12-01T13:50:43-0700'))&amp;_a=(columns:!('Message%20ID',Summary),filters:!(),index:'emp_*',interval:auto,query:(query_string:(analyze_wildcard:!t,query:'%22rtdc.l.rtdc.4046%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230" t="s">
        <v>858</v>
      </c>
      <c r="B82" s="226">
        <v>4045</v>
      </c>
      <c r="C82" s="228" t="s">
        <v>192</v>
      </c>
      <c r="D82" s="228" t="s">
        <v>993</v>
      </c>
      <c r="E82" s="227">
        <v>43070.542337962965</v>
      </c>
      <c r="F82" s="227">
        <v>43070.550254629627</v>
      </c>
      <c r="G82" s="226">
        <v>89</v>
      </c>
      <c r="H82" s="228" t="s">
        <v>426</v>
      </c>
      <c r="I82" s="227">
        <v>43070.575590277775</v>
      </c>
      <c r="J82" s="226">
        <v>0</v>
      </c>
      <c r="K82" s="238" t="str">
        <f t="shared" si="37"/>
        <v>4045/4046</v>
      </c>
      <c r="L82" s="246" t="str">
        <f>VLOOKUP(A82,'Trips&amp;Operators'!$C$1:$G$99911,5,FALSE)</f>
        <v>LEVIN SCOTT</v>
      </c>
      <c r="M82" s="225">
        <f t="shared" si="32"/>
        <v>2.5335648148029577E-2</v>
      </c>
      <c r="N82" s="226">
        <f t="shared" si="36"/>
        <v>36.483333333162591</v>
      </c>
      <c r="O82" s="226"/>
      <c r="P82" s="226"/>
      <c r="Q82" s="229"/>
      <c r="R82" s="243"/>
      <c r="S82" s="250">
        <f t="shared" si="38"/>
        <v>1</v>
      </c>
      <c r="T82" s="243" t="str">
        <f t="shared" si="39"/>
        <v>Southbound</v>
      </c>
      <c r="U82" s="24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9" t="str">
        <f t="shared" si="40"/>
        <v>https://d0f6bd738d7f1b3e5a7ca70fe4ff75f0.us-east-1.aws.found.io/app/kibana#/discover/Steve-Slow-Train-Analysis-(2080s-and-2083s)?_g=(refreshInterval:(display:Off,pause:!f,section:0,value:0),time:(from:'2017-12-01T12:00:58-0700',mode:absolute,to:'2017-12-01T14:48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2" s="248" t="str">
        <f>IF(AA82&lt;VLOOKUP(AG82,Variables!$AC$3:$AD$8,2,FALSE),"Y","N")</f>
        <v>N</v>
      </c>
      <c r="X82" s="248">
        <f t="shared" si="41"/>
        <v>1</v>
      </c>
      <c r="Y82" s="248">
        <f t="shared" si="34"/>
        <v>23.300999999999998</v>
      </c>
      <c r="Z82" s="248">
        <f t="shared" si="35"/>
        <v>1.49E-2</v>
      </c>
      <c r="AA82" s="248">
        <f t="shared" si="42"/>
        <v>23.286099999999998</v>
      </c>
      <c r="AB82" s="234" t="e">
        <f>VLOOKUP(A82,Enforcements!$C$7:$K$9,8,0)</f>
        <v>#N/A</v>
      </c>
      <c r="AC82" s="233" t="e">
        <f>VLOOKUP(A82,Enforcements!$C$7:$E$9,3,0)</f>
        <v>#N/A</v>
      </c>
      <c r="AD82" s="244">
        <f t="shared" si="43"/>
        <v>170</v>
      </c>
      <c r="AE82" s="236" t="str">
        <f t="shared" si="44"/>
        <v>aws s3 cp s3://rtdc.mdm.uploadarchive.raw/RTDC4045/ "%USERPROFILE%\AppData\Local\Temp\OnboardLogs"\RTDC4045\2017-12-01 --exclude "*" --recursive --include "*20171201*" &amp; "%USERPROFILE%\Documents\GitHub\mrs-test-scripts\Headless Mode &amp; Sideloading\WalkAndUnGZ.bat" "%USERPROFILE%\AppData\Local\Temp\OnboardLogs"\RTDC4045\2017-12-01 &amp; aws s3 cp s3://rtdc.mdm.uploadarchive.raw/RTDC4045/ "%USERPROFILE%\AppData\Local\Temp\OnboardLogs"\RTDC4045\2017-12-02 --exclude "*" --recursive --include "*20171202*" &amp; "%USERPROFILE%\Documents\GitHub\mrs-test-scripts\Headless Mode &amp; Sideloading\WalkAndUnGZ.bat" "%USERPROFILE%\AppData\Local\Temp\OnboardLogs"\RTDC4045\2017-12-02</v>
      </c>
      <c r="AF82" s="235" t="str">
        <f t="shared" si="45"/>
        <v>"C:\Program Files (x86)\AstroGrep\AstroGrep.exe" /e /r /s /spath="%USERPROFILE%\AppData\Local\Temp\OnboardLogs" /stypes="app*4045*20171201*" /stext=" 20:.+((SYSTEM_STATE.+slice.+state.+changed )|(ment ac)|(multiple cpu faults)|(system.+state.+changed )|(\[timeout)|(PRM\|1\|D)|(kpr)|(kdp)|(train st.+moving)|(\|lc)|(penalty))"</v>
      </c>
      <c r="AG82" s="245" t="str">
        <f t="shared" si="46"/>
        <v>EC</v>
      </c>
      <c r="AH82" s="237" t="str">
        <f t="shared" si="47"/>
        <v>"%USERPROFILE%\Documents\GitHub\eaglep3\Utilities\RefineRTDCRunTimes.py" --tripid 170-01 --locoid 4045 --swversion DE.1.0.9.0 --startMP 204:233010 --initTime 2017-12-01T13:00:58 --startdatetime 2017-12-01T13:12:22 --delay 89 --endMP 204:149 --enddatetime 2017-12-01T13:48:51 --enforcementcount 0 &gt;&gt;%USERPROFILE%\Documents\GitHub\eaglep3-reporting\EC\2017-12-01-refined-times.txt</v>
      </c>
      <c r="AI82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{"issue":{"subject":"","project_id":79,"tracker_id":40,"status_id":1,"priority_id":2,"assigned_to_id":338,"start_date":"2017-12-01","description":"","custom_fields":[{"id":1,"name":"Subdivision","value":"EC"},{"id":4,"name":"Milepost","value":"0.0149"},{"id":17,"name":"Train ID","value":"170-01"},{"id":16,"name":"Locomotive ID","value":"4045"},{"id":130,"name":"Impact","value":""},{"id":150,"name":"Time of Event (Mountain Time)","value":"13:48:51"},{"id":151,"name":"Denver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4"/>
      <c r="AK82" s="232"/>
      <c r="AL82" s="232"/>
      <c r="AM82" s="241" t="str">
        <f t="shared" si="49"/>
        <v>start /low /b %USERPROFILE%\Documents\GitHub\eaglep3\Utilities\DownloadLogsFromS3.py --loco 4045 --day 2017-12-01</v>
      </c>
      <c r="AN82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20:48:51"},{"id":29,"name":"Sharepoint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1" t="str">
        <f t="shared" si="51"/>
        <v>https://d0f6bd738d7f1b3e5a7ca70fe4ff75f0.us-east-1.aws.found.io/app/kibana#/discover/Steve-Slow-Train-Analysis-(2080s-and-2083s)?_g=(refreshInterval:(display:Off,pause:!f,section:0,value:0),time:(from:'2017-12-01T12:00:58-0700',mode:absolute,to:'2017-12-01T14:48:51-0700'))&amp;_a=(columns:!('Message%20ID',Summary),filters:!(),index:'emp_*',interval:auto,query:(query_string:(analyze_wildcard:!t,query:'%22rtdc.l.rtdc.4045%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230" t="s">
        <v>851</v>
      </c>
      <c r="B83" s="226">
        <v>4002</v>
      </c>
      <c r="C83" s="228" t="s">
        <v>192</v>
      </c>
      <c r="D83" s="228" t="s">
        <v>502</v>
      </c>
      <c r="E83" s="227">
        <v>43070.516770833332</v>
      </c>
      <c r="F83" s="227">
        <v>43070.521018518521</v>
      </c>
      <c r="G83" s="226">
        <v>61</v>
      </c>
      <c r="H83" s="228" t="s">
        <v>472</v>
      </c>
      <c r="I83" s="227">
        <v>43070.546018518522</v>
      </c>
      <c r="J83" s="226">
        <v>0</v>
      </c>
      <c r="K83" s="238" t="str">
        <f t="shared" si="37"/>
        <v>4001/4002</v>
      </c>
      <c r="L83" s="246" t="str">
        <f>VLOOKUP(A83,'Trips&amp;Operators'!$C$1:$G$99911,5,FALSE)</f>
        <v>BADERTSCHER DIANE</v>
      </c>
      <c r="M83" s="225">
        <f t="shared" si="32"/>
        <v>2.5000000001455192E-2</v>
      </c>
      <c r="N83" s="226">
        <f t="shared" si="36"/>
        <v>36.000000002095476</v>
      </c>
      <c r="O83" s="226"/>
      <c r="P83" s="226"/>
      <c r="Q83" s="229"/>
      <c r="R83" s="243"/>
      <c r="S83" s="250">
        <f t="shared" si="38"/>
        <v>1</v>
      </c>
      <c r="T83" s="243" t="str">
        <f t="shared" si="39"/>
        <v>NorthBound</v>
      </c>
      <c r="U83" s="24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9" t="str">
        <f t="shared" si="40"/>
        <v>https://d0f6bd738d7f1b3e5a7ca70fe4ff75f0.us-east-1.aws.found.io/app/kibana#/discover/Steve-Slow-Train-Analysis-(2080s-and-2083s)?_g=(refreshInterval:(display:Off,pause:!f,section:0,value:0),time:(from:'2017-12-01T11:24:09-0700',mode:absolute,to:'2017-12-01T14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3" s="248" t="str">
        <f>IF(AA83&lt;VLOOKUP(AG83,Variables!$AC$3:$AD$8,2,FALSE),"Y","N")</f>
        <v>N</v>
      </c>
      <c r="X83" s="248">
        <f t="shared" si="41"/>
        <v>1</v>
      </c>
      <c r="Y83" s="248">
        <f t="shared" si="34"/>
        <v>5.1999999999999998E-2</v>
      </c>
      <c r="Z83" s="248">
        <f t="shared" si="35"/>
        <v>23.324000000000002</v>
      </c>
      <c r="AA83" s="248">
        <f t="shared" si="42"/>
        <v>23.272000000000002</v>
      </c>
      <c r="AB83" s="234" t="e">
        <f>VLOOKUP(A83,Enforcements!$C$7:$K$9,8,0)</f>
        <v>#N/A</v>
      </c>
      <c r="AC83" s="233" t="e">
        <f>VLOOKUP(A83,Enforcements!$C$7:$E$9,3,0)</f>
        <v>#N/A</v>
      </c>
      <c r="AD83" s="244">
        <f t="shared" si="43"/>
        <v>171</v>
      </c>
      <c r="AE83" s="236" t="str">
        <f t="shared" si="44"/>
        <v>aws s3 cp s3://rtdc.mdm.uploadarchive.raw/RTDC4002/ "%USERPROFILE%\AppData\Local\Temp\OnboardLogs"\RTDC4002\2017-12-01 --exclude "*" --recursive --include "*20171201*" &amp; "%USERPROFILE%\Documents\GitHub\mrs-test-scripts\Headless Mode &amp; Sideloading\WalkAndUnGZ.bat" "%USERPROFILE%\AppData\Local\Temp\OnboardLogs"\RTDC4002\2017-12-01 &amp; aws s3 cp s3://rtdc.mdm.uploadarchive.raw/RTDC4002/ "%USERPROFILE%\AppData\Local\Temp\OnboardLogs"\RTDC4002\2017-12-02 --exclude "*" --recursive --include "*20171202*" &amp; "%USERPROFILE%\Documents\GitHub\mrs-test-scripts\Headless Mode &amp; Sideloading\WalkAndUnGZ.bat" "%USERPROFILE%\AppData\Local\Temp\OnboardLogs"\RTDC4002\2017-12-02</v>
      </c>
      <c r="AF83" s="235" t="str">
        <f t="shared" si="45"/>
        <v>"C:\Program Files (x86)\AstroGrep\AstroGrep.exe" /e /r /s /spath="%USERPROFILE%\AppData\Local\Temp\OnboardLogs" /stypes="app*4002*20171201*" /stext=" 20:.+((SYSTEM_STATE.+slice.+state.+changed )|(ment ac)|(multiple cpu faults)|(system.+state.+changed )|(\[timeout)|(PRM\|1\|D)|(kpr)|(kdp)|(train st.+moving)|(\|lc)|(penalty))"</v>
      </c>
      <c r="AG83" s="245" t="str">
        <f t="shared" si="46"/>
        <v>EC</v>
      </c>
      <c r="AH83" s="237" t="str">
        <f t="shared" si="47"/>
        <v>"%USERPROFILE%\Documents\GitHub\eaglep3\Utilities\RefineRTDCRunTimes.py" --tripid 171-01 --locoid 4002 --swversion DE.1.0.9.0 --startMP 204:520 --initTime 2017-12-01T12:24:09 --startdatetime 2017-12-01T12:30:16 --delay 61 --endMP 204:233240 --enddatetime 2017-12-01T13:06:16 --enforcementcount 0 &gt;&gt;%USERPROFILE%\Documents\GitHub\eaglep3-reporting\EC\2017-12-01-refined-times.txt</v>
      </c>
      <c r="AI83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{"issue":{"subject":"","project_id":79,"tracker_id":40,"status_id":1,"priority_id":2,"assigned_to_id":338,"start_date":"2017-12-01","description":"","custom_fields":[{"id":1,"name":"Subdivision","value":"EC"},{"id":4,"name":"Milepost","value":"23.324"},{"id":17,"name":"Train ID","value":"171-01"},{"id":16,"name":"Locomotive ID","value":"4002"},{"id":130,"name":"Impact","value":""},{"id":150,"name":"Time of Event (Mountain Time)","value":"13:06:16"},{"id":151,"name":"Denver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4"/>
      <c r="AK83" s="232"/>
      <c r="AL83" s="232"/>
      <c r="AM83" s="241" t="str">
        <f t="shared" si="49"/>
        <v>start /low /b %USERPROFILE%\Documents\GitHub\eaglep3\Utilities\DownloadLogsFromS3.py --loco 4002 --day 2017-12-01</v>
      </c>
      <c r="AN83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20:06:16"},{"id":29,"name":"Sharepoint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1" t="str">
        <f t="shared" si="51"/>
        <v>https://d0f6bd738d7f1b3e5a7ca70fe4ff75f0.us-east-1.aws.found.io/app/kibana#/discover/Steve-Slow-Train-Analysis-(2080s-and-2083s)?_g=(refreshInterval:(display:Off,pause:!f,section:0,value:0),time:(from:'2017-12-01T11:24:09-0700',mode:absolute,to:'2017-12-01T14:06:16-0700'))&amp;_a=(columns:!('Message%20ID',Summary),filters:!(),index:'emp_*',interval:auto,query:(query_string:(analyze_wildcard:!t,query:'%22rtdc.l.rtdc.4002%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230" t="s">
        <v>860</v>
      </c>
      <c r="B84" s="226">
        <v>4001</v>
      </c>
      <c r="C84" s="228" t="s">
        <v>192</v>
      </c>
      <c r="D84" s="228" t="s">
        <v>626</v>
      </c>
      <c r="E84" s="227">
        <v>43070.553414351853</v>
      </c>
      <c r="F84" s="227">
        <v>43070.560590277775</v>
      </c>
      <c r="G84" s="226">
        <v>64</v>
      </c>
      <c r="H84" s="228" t="s">
        <v>643</v>
      </c>
      <c r="I84" s="227">
        <v>43070.587962962964</v>
      </c>
      <c r="J84" s="226">
        <v>0</v>
      </c>
      <c r="K84" s="238" t="str">
        <f t="shared" si="37"/>
        <v>4001/4002</v>
      </c>
      <c r="L84" s="246" t="str">
        <f>VLOOKUP(A84,'Trips&amp;Operators'!$C$1:$G$99911,5,FALSE)</f>
        <v>BADERTSCHER DIANE</v>
      </c>
      <c r="M84" s="225">
        <f t="shared" si="32"/>
        <v>2.7372685188311152E-2</v>
      </c>
      <c r="N84" s="226">
        <f t="shared" si="36"/>
        <v>39.416666671168059</v>
      </c>
      <c r="O84" s="226"/>
      <c r="P84" s="226"/>
      <c r="Q84" s="229"/>
      <c r="R84" s="243"/>
      <c r="S84" s="250">
        <f t="shared" si="38"/>
        <v>1</v>
      </c>
      <c r="T84" s="243" t="str">
        <f t="shared" si="39"/>
        <v>Southbound</v>
      </c>
      <c r="U84" s="24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9" t="str">
        <f t="shared" si="40"/>
        <v>https://d0f6bd738d7f1b3e5a7ca70fe4ff75f0.us-east-1.aws.found.io/app/kibana#/discover/Steve-Slow-Train-Analysis-(2080s-and-2083s)?_g=(refreshInterval:(display:Off,pause:!f,section:0,value:0),time:(from:'2017-12-01T12:16:55-0700',mode:absolute,to:'2017-12-01T15:06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4" s="248" t="str">
        <f>IF(AA84&lt;VLOOKUP(AG84,Variables!$AC$3:$AD$8,2,FALSE),"Y","N")</f>
        <v>N</v>
      </c>
      <c r="X84" s="248">
        <f t="shared" si="41"/>
        <v>1</v>
      </c>
      <c r="Y84" s="248">
        <f t="shared" si="34"/>
        <v>23.293800000000001</v>
      </c>
      <c r="Z84" s="248">
        <f t="shared" si="35"/>
        <v>1.9199999999999998E-2</v>
      </c>
      <c r="AA84" s="248">
        <f t="shared" si="42"/>
        <v>23.2746</v>
      </c>
      <c r="AB84" s="234" t="e">
        <f>VLOOKUP(A84,Enforcements!$C$7:$K$9,8,0)</f>
        <v>#N/A</v>
      </c>
      <c r="AC84" s="233" t="e">
        <f>VLOOKUP(A84,Enforcements!$C$7:$E$9,3,0)</f>
        <v>#N/A</v>
      </c>
      <c r="AD84" s="244">
        <f t="shared" si="43"/>
        <v>172</v>
      </c>
      <c r="AE84" s="236" t="str">
        <f t="shared" si="44"/>
        <v>aws s3 cp s3://rtdc.mdm.uploadarchive.raw/RTDC4001/ "%USERPROFILE%\AppData\Local\Temp\OnboardLogs"\RTDC4001\2017-12-01 --exclude "*" --recursive --include "*20171201*" &amp; "%USERPROFILE%\Documents\GitHub\mrs-test-scripts\Headless Mode &amp; Sideloading\WalkAndUnGZ.bat" "%USERPROFILE%\AppData\Local\Temp\OnboardLogs"\RTDC4001\2017-12-01 &amp; aws s3 cp s3://rtdc.mdm.uploadarchive.raw/RTDC4001/ "%USERPROFILE%\AppData\Local\Temp\OnboardLogs"\RTDC4001\2017-12-02 --exclude "*" --recursive --include "*20171202*" &amp; "%USERPROFILE%\Documents\GitHub\mrs-test-scripts\Headless Mode &amp; Sideloading\WalkAndUnGZ.bat" "%USERPROFILE%\AppData\Local\Temp\OnboardLogs"\RTDC4001\2017-12-02</v>
      </c>
      <c r="AF84" s="235" t="str">
        <f t="shared" si="45"/>
        <v>"C:\Program Files (x86)\AstroGrep\AstroGrep.exe" /e /r /s /spath="%USERPROFILE%\AppData\Local\Temp\OnboardLogs" /stypes="app*4001*20171201*" /stext=" 21:.+((SYSTEM_STATE.+slice.+state.+changed )|(ment ac)|(multiple cpu faults)|(system.+state.+changed )|(\[timeout)|(PRM\|1\|D)|(kpr)|(kdp)|(train st.+moving)|(\|lc)|(penalty))"</v>
      </c>
      <c r="AG84" s="245" t="str">
        <f t="shared" si="46"/>
        <v>EC</v>
      </c>
      <c r="AH84" s="237" t="str">
        <f t="shared" si="47"/>
        <v>"%USERPROFILE%\Documents\GitHub\eaglep3\Utilities\RefineRTDCRunTimes.py" --tripid 172-01 --locoid 4001 --swversion DE.1.0.9.0 --startMP 204:232938 --initTime 2017-12-01T13:16:55 --startdatetime 2017-12-01T13:27:15 --delay 64 --endMP 204:192 --enddatetime 2017-12-01T14:06:40 --enforcementcount 0 &gt;&gt;%USERPROFILE%\Documents\GitHub\eaglep3-reporting\EC\2017-12-01-refined-times.txt</v>
      </c>
      <c r="AI84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{"issue":{"subject":"","project_id":79,"tracker_id":40,"status_id":1,"priority_id":2,"assigned_to_id":338,"start_date":"2017-12-01","description":"","custom_fields":[{"id":1,"name":"Subdivision","value":"EC"},{"id":4,"name":"Milepost","value":"0.0192"},{"id":17,"name":"Train ID","value":"172-01"},{"id":16,"name":"Locomotive ID","value":"4001"},{"id":130,"name":"Impact","value":""},{"id":150,"name":"Time of Event (Mountain Time)","value":"14:06:40"},{"id":151,"name":"Denver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4"/>
      <c r="AK84" s="232"/>
      <c r="AL84" s="232"/>
      <c r="AM84" s="241" t="str">
        <f t="shared" si="49"/>
        <v>start /low /b %USERPROFILE%\Documents\GitHub\eaglep3\Utilities\DownloadLogsFromS3.py --loco 4001 --day 2017-12-01</v>
      </c>
      <c r="AN84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21:06:40"},{"id":29,"name":"Sharepoint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1" t="str">
        <f t="shared" si="51"/>
        <v>https://d0f6bd738d7f1b3e5a7ca70fe4ff75f0.us-east-1.aws.found.io/app/kibana#/discover/Steve-Slow-Train-Analysis-(2080s-and-2083s)?_g=(refreshInterval:(display:Off,pause:!f,section:0,value:0),time:(from:'2017-12-01T12:16:55-0700',mode:absolute,to:'2017-12-01T15:06:40-0700'))&amp;_a=(columns:!('Message%20ID',Summary),filters:!(),index:'emp_*',interval:auto,query:(query_string:(analyze_wildcard:!t,query:'%22rtdc.l.rtdc.4001%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230" t="s">
        <v>855</v>
      </c>
      <c r="B85" s="226">
        <v>4050</v>
      </c>
      <c r="C85" s="228" t="s">
        <v>192</v>
      </c>
      <c r="D85" s="228" t="s">
        <v>602</v>
      </c>
      <c r="E85" s="227">
        <v>43070.527986111112</v>
      </c>
      <c r="F85" s="227">
        <v>43070.531666666669</v>
      </c>
      <c r="G85" s="226">
        <v>100</v>
      </c>
      <c r="H85" s="228" t="s">
        <v>562</v>
      </c>
      <c r="I85" s="227">
        <v>43070.555694444447</v>
      </c>
      <c r="J85" s="226">
        <v>0</v>
      </c>
      <c r="K85" s="238" t="str">
        <f t="shared" si="37"/>
        <v>4049/4050</v>
      </c>
      <c r="L85" s="246" t="str">
        <f>VLOOKUP(A85,'Trips&amp;Operators'!$C$1:$G$99911,5,FALSE)</f>
        <v>HOLCOMB KAMDEN</v>
      </c>
      <c r="M85" s="225">
        <f t="shared" si="32"/>
        <v>2.4027777777519077E-2</v>
      </c>
      <c r="N85" s="226">
        <f t="shared" si="36"/>
        <v>34.599999999627471</v>
      </c>
      <c r="O85" s="226"/>
      <c r="P85" s="226"/>
      <c r="Q85" s="229"/>
      <c r="R85" s="243"/>
      <c r="S85" s="250">
        <f t="shared" si="38"/>
        <v>1</v>
      </c>
      <c r="T85" s="243" t="str">
        <f t="shared" si="39"/>
        <v>NorthBound</v>
      </c>
      <c r="U85" s="24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9" t="str">
        <f t="shared" si="40"/>
        <v>https://d0f6bd738d7f1b3e5a7ca70fe4ff75f0.us-east-1.aws.found.io/app/kibana#/discover/Steve-Slow-Train-Analysis-(2080s-and-2083s)?_g=(refreshInterval:(display:Off,pause:!f,section:0,value:0),time:(from:'2017-12-01T11:40:18-0700',mode:absolute,to:'2017-12-01T14:20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5" s="248" t="str">
        <f>IF(AA85&lt;VLOOKUP(AG85,Variables!$AC$3:$AD$8,2,FALSE),"Y","N")</f>
        <v>N</v>
      </c>
      <c r="X85" s="248">
        <f t="shared" si="41"/>
        <v>1</v>
      </c>
      <c r="Y85" s="248">
        <f t="shared" si="34"/>
        <v>4.5499999999999999E-2</v>
      </c>
      <c r="Z85" s="248">
        <f t="shared" si="35"/>
        <v>23.322900000000001</v>
      </c>
      <c r="AA85" s="248">
        <f t="shared" si="42"/>
        <v>23.2774</v>
      </c>
      <c r="AB85" s="234" t="e">
        <f>VLOOKUP(A85,Enforcements!$C$7:$K$9,8,0)</f>
        <v>#N/A</v>
      </c>
      <c r="AC85" s="233" t="e">
        <f>VLOOKUP(A85,Enforcements!$C$7:$E$9,3,0)</f>
        <v>#N/A</v>
      </c>
      <c r="AD85" s="244">
        <f t="shared" si="43"/>
        <v>173</v>
      </c>
      <c r="AE85" s="236" t="str">
        <f t="shared" si="44"/>
        <v>aws s3 cp s3://rtdc.mdm.uploadarchive.raw/RTDC4050/ "%USERPROFILE%\AppData\Local\Temp\OnboardLogs"\RTDC4050\2017-12-01 --exclude "*" --recursive --include "*20171201*" &amp; "%USERPROFILE%\Documents\GitHub\mrs-test-scripts\Headless Mode &amp; Sideloading\WalkAndUnGZ.bat" "%USERPROFILE%\AppData\Local\Temp\OnboardLogs"\RTDC4050\2017-12-01 &amp; aws s3 cp s3://rtdc.mdm.uploadarchive.raw/RTDC4050/ "%USERPROFILE%\AppData\Local\Temp\OnboardLogs"\RTDC4050\2017-12-02 --exclude "*" --recursive --include "*20171202*" &amp; "%USERPROFILE%\Documents\GitHub\mrs-test-scripts\Headless Mode &amp; Sideloading\WalkAndUnGZ.bat" "%USERPROFILE%\AppData\Local\Temp\OnboardLogs"\RTDC4050\2017-12-02</v>
      </c>
      <c r="AF85" s="235" t="str">
        <f t="shared" si="45"/>
        <v>"C:\Program Files (x86)\AstroGrep\AstroGrep.exe" /e /r /s /spath="%USERPROFILE%\AppData\Local\Temp\OnboardLogs" /stypes="app*4050*20171201*" /stext=" 20:.+((SYSTEM_STATE.+slice.+state.+changed )|(ment ac)|(multiple cpu faults)|(system.+state.+changed )|(\[timeout)|(PRM\|1\|D)|(kpr)|(kdp)|(train st.+moving)|(\|lc)|(penalty))"</v>
      </c>
      <c r="AG85" s="245" t="str">
        <f t="shared" si="46"/>
        <v>EC</v>
      </c>
      <c r="AH85" s="237" t="str">
        <f t="shared" si="47"/>
        <v>"%USERPROFILE%\Documents\GitHub\eaglep3\Utilities\RefineRTDCRunTimes.py" --tripid 173-01 --locoid 4050 --swversion DE.1.0.9.0 --startMP 204:455 --initTime 2017-12-01T12:40:18 --startdatetime 2017-12-01T12:45:36 --delay 100 --endMP 204:233229 --enddatetime 2017-12-01T13:20:12 --enforcementcount 0 &gt;&gt;%USERPROFILE%\Documents\GitHub\eaglep3-reporting\EC\2017-12-01-refined-times.txt</v>
      </c>
      <c r="AI85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{"issue":{"subject":"","project_id":79,"tracker_id":40,"status_id":1,"priority_id":2,"assigned_to_id":338,"start_date":"2017-12-01","description":"","custom_fields":[{"id":1,"name":"Subdivision","value":"EC"},{"id":4,"name":"Milepost","value":"23.3229"},{"id":17,"name":"Train ID","value":"173-01"},{"id":16,"name":"Locomotive ID","value":"4050"},{"id":130,"name":"Impact","value":""},{"id":150,"name":"Time of Event (Mountain Time)","value":"13:20:12"},{"id":151,"name":"Denver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4"/>
      <c r="AK85" s="232"/>
      <c r="AL85" s="232"/>
      <c r="AM85" s="241" t="str">
        <f t="shared" si="49"/>
        <v>start /low /b %USERPROFILE%\Documents\GitHub\eaglep3\Utilities\DownloadLogsFromS3.py --loco 4050 --day 2017-12-01</v>
      </c>
      <c r="AN85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20:20:12"},{"id":29,"name":"Sharepoint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1" t="str">
        <f t="shared" si="51"/>
        <v>https://d0f6bd738d7f1b3e5a7ca70fe4ff75f0.us-east-1.aws.found.io/app/kibana#/discover/Steve-Slow-Train-Analysis-(2080s-and-2083s)?_g=(refreshInterval:(display:Off,pause:!f,section:0,value:0),time:(from:'2017-12-01T11:40:18-0700',mode:absolute,to:'2017-12-01T14:20:12-0700'))&amp;_a=(columns:!('Message%20ID',Summary),filters:!(),index:'emp_*',interval:auto,query:(query_string:(analyze_wildcard:!t,query:'%22rtdc.l.rtdc.4050%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230" t="s">
        <v>734</v>
      </c>
      <c r="B86" s="226">
        <v>4049</v>
      </c>
      <c r="C86" s="228" t="s">
        <v>192</v>
      </c>
      <c r="D86" s="228" t="s">
        <v>635</v>
      </c>
      <c r="E86" s="227">
        <v>43070.568240740744</v>
      </c>
      <c r="F86" s="227">
        <v>43070.571145833332</v>
      </c>
      <c r="G86" s="226">
        <v>65</v>
      </c>
      <c r="H86" s="228" t="s">
        <v>607</v>
      </c>
      <c r="I86" s="227">
        <v>43070.59611111111</v>
      </c>
      <c r="J86" s="226">
        <v>0</v>
      </c>
      <c r="K86" s="238" t="str">
        <f t="shared" si="37"/>
        <v>4049/4050</v>
      </c>
      <c r="L86" s="246" t="str">
        <f>VLOOKUP(A86,'Trips&amp;Operators'!$C$1:$G$99911,5,FALSE)</f>
        <v>HOLCOMB KAMDEN</v>
      </c>
      <c r="M86" s="225">
        <f t="shared" si="32"/>
        <v>2.4965277778392192E-2</v>
      </c>
      <c r="N86" s="226">
        <f t="shared" si="36"/>
        <v>35.950000000884756</v>
      </c>
      <c r="O86" s="226"/>
      <c r="P86" s="226"/>
      <c r="Q86" s="229"/>
      <c r="R86" s="243"/>
      <c r="S86" s="250">
        <f t="shared" si="38"/>
        <v>1</v>
      </c>
      <c r="T86" s="243" t="str">
        <f t="shared" si="39"/>
        <v>Southbound</v>
      </c>
      <c r="U86" s="24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9" t="str">
        <f t="shared" si="40"/>
        <v>https://d0f6bd738d7f1b3e5a7ca70fe4ff75f0.us-east-1.aws.found.io/app/kibana#/discover/Steve-Slow-Train-Analysis-(2080s-and-2083s)?_g=(refreshInterval:(display:Off,pause:!f,section:0,value:0),time:(from:'2017-12-01T12:38:16-0700',mode:absolute,to:'2017-12-01T15:18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6" s="248" t="str">
        <f>IF(AA86&lt;VLOOKUP(AG86,Variables!$AC$3:$AD$8,2,FALSE),"Y","N")</f>
        <v>N</v>
      </c>
      <c r="X86" s="248">
        <f t="shared" si="41"/>
        <v>1</v>
      </c>
      <c r="Y86" s="248">
        <f t="shared" si="34"/>
        <v>23.290800000000001</v>
      </c>
      <c r="Z86" s="248">
        <f t="shared" si="35"/>
        <v>1.78E-2</v>
      </c>
      <c r="AA86" s="248">
        <f t="shared" si="42"/>
        <v>23.273</v>
      </c>
      <c r="AB86" s="234" t="e">
        <f>VLOOKUP(A86,Enforcements!$C$7:$K$9,8,0)</f>
        <v>#N/A</v>
      </c>
      <c r="AC86" s="233" t="e">
        <f>VLOOKUP(A86,Enforcements!$C$7:$E$9,3,0)</f>
        <v>#N/A</v>
      </c>
      <c r="AD86" s="244">
        <f t="shared" si="43"/>
        <v>174</v>
      </c>
      <c r="AE86" s="236" t="str">
        <f t="shared" si="44"/>
        <v>aws s3 cp s3://rtdc.mdm.uploadarchive.raw/RTDC4049/ "%USERPROFILE%\AppData\Local\Temp\OnboardLogs"\RTDC4049\2017-12-01 --exclude "*" --recursive --include "*20171201*" &amp; "%USERPROFILE%\Documents\GitHub\mrs-test-scripts\Headless Mode &amp; Sideloading\WalkAndUnGZ.bat" "%USERPROFILE%\AppData\Local\Temp\OnboardLogs"\RTDC4049\2017-12-01 &amp; aws s3 cp s3://rtdc.mdm.uploadarchive.raw/RTDC4049/ "%USERPROFILE%\AppData\Local\Temp\OnboardLogs"\RTDC4049\2017-12-02 --exclude "*" --recursive --include "*20171202*" &amp; "%USERPROFILE%\Documents\GitHub\mrs-test-scripts\Headless Mode &amp; Sideloading\WalkAndUnGZ.bat" "%USERPROFILE%\AppData\Local\Temp\OnboardLogs"\RTDC4049\2017-12-02</v>
      </c>
      <c r="AF86" s="235" t="str">
        <f t="shared" si="45"/>
        <v>"C:\Program Files (x86)\AstroGrep\AstroGrep.exe" /e /r /s /spath="%USERPROFILE%\AppData\Local\Temp\OnboardLogs" /stypes="app*4049*20171201*" /stext=" 21:.+((SYSTEM_STATE.+slice.+state.+changed )|(ment ac)|(multiple cpu faults)|(system.+state.+changed )|(\[timeout)|(PRM\|1\|D)|(kpr)|(kdp)|(train st.+moving)|(\|lc)|(penalty))"</v>
      </c>
      <c r="AG86" s="245" t="str">
        <f t="shared" si="46"/>
        <v>EC</v>
      </c>
      <c r="AH86" s="237" t="str">
        <f t="shared" si="47"/>
        <v>"%USERPROFILE%\Documents\GitHub\eaglep3\Utilities\RefineRTDCRunTimes.py" --tripid 174-01 --locoid 4049 --swversion DE.1.0.9.0 --startMP 204:232908 --initTime 2017-12-01T13:38:16 --startdatetime 2017-12-01T13:42:27 --delay 65 --endMP 204:178 --enddatetime 2017-12-01T14:18:24 --enforcementcount 0 &gt;&gt;%USERPROFILE%\Documents\GitHub\eaglep3-reporting\EC\2017-12-01-refined-times.txt</v>
      </c>
      <c r="AI86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{"issue":{"subject":"","project_id":79,"tracker_id":40,"status_id":1,"priority_id":2,"assigned_to_id":338,"start_date":"2017-12-01","description":"","custom_fields":[{"id":1,"name":"Subdivision","value":"EC"},{"id":4,"name":"Milepost","value":"0.0178"},{"id":17,"name":"Train ID","value":"174-01"},{"id":16,"name":"Locomotive ID","value":"4049"},{"id":130,"name":"Impact","value":""},{"id":150,"name":"Time of Event (Mountain Time)","value":"14:18:24"},{"id":151,"name":"Denver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4"/>
      <c r="AK86" s="232"/>
      <c r="AL86" s="232"/>
      <c r="AM86" s="241" t="str">
        <f t="shared" si="49"/>
        <v>start /low /b %USERPROFILE%\Documents\GitHub\eaglep3\Utilities\DownloadLogsFromS3.py --loco 4049 --day 2017-12-01</v>
      </c>
      <c r="AN86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21:18:24"},{"id":29,"name":"Sharepoint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1" t="str">
        <f t="shared" si="51"/>
        <v>https://d0f6bd738d7f1b3e5a7ca70fe4ff75f0.us-east-1.aws.found.io/app/kibana#/discover/Steve-Slow-Train-Analysis-(2080s-and-2083s)?_g=(refreshInterval:(display:Off,pause:!f,section:0,value:0),time:(from:'2017-12-01T12:38:16-0700',mode:absolute,to:'2017-12-01T15:18:24-0700'))&amp;_a=(columns:!('Message%20ID',Summary),filters:!(),index:'emp_*',interval:auto,query:(query_string:(analyze_wildcard:!t,query:'%22rtdc.l.rtdc.4049%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230" t="s">
        <v>856</v>
      </c>
      <c r="B87" s="226">
        <v>4040</v>
      </c>
      <c r="C87" s="228" t="s">
        <v>192</v>
      </c>
      <c r="D87" s="228" t="s">
        <v>712</v>
      </c>
      <c r="E87" s="227">
        <v>43070.538946759261</v>
      </c>
      <c r="F87" s="227">
        <v>43070.542175925926</v>
      </c>
      <c r="G87" s="226">
        <v>69</v>
      </c>
      <c r="H87" s="228" t="s">
        <v>629</v>
      </c>
      <c r="I87" s="227">
        <v>43070.565937500003</v>
      </c>
      <c r="J87" s="226">
        <v>0</v>
      </c>
      <c r="K87" s="238" t="str">
        <f t="shared" si="37"/>
        <v>4039/4040</v>
      </c>
      <c r="L87" s="246" t="str">
        <f>VLOOKUP(A87,'Trips&amp;Operators'!$C$1:$G$99911,5,FALSE)</f>
        <v>SAFIEF AEIMEN</v>
      </c>
      <c r="M87" s="225">
        <f t="shared" si="32"/>
        <v>2.3761574077070691E-2</v>
      </c>
      <c r="N87" s="226">
        <f t="shared" si="36"/>
        <v>34.216666670981795</v>
      </c>
      <c r="O87" s="226"/>
      <c r="P87" s="226"/>
      <c r="Q87" s="229"/>
      <c r="R87" s="243"/>
      <c r="S87" s="250">
        <f t="shared" si="38"/>
        <v>1</v>
      </c>
      <c r="T87" s="243" t="str">
        <f t="shared" si="39"/>
        <v>NorthBound</v>
      </c>
      <c r="U87" s="24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9" t="str">
        <f t="shared" si="40"/>
        <v>https://d0f6bd738d7f1b3e5a7ca70fe4ff75f0.us-east-1.aws.found.io/app/kibana#/discover/Steve-Slow-Train-Analysis-(2080s-and-2083s)?_g=(refreshInterval:(display:Off,pause:!f,section:0,value:0),time:(from:'2017-12-01T11:56:05-0700',mode:absolute,to:'2017-12-01T14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7" s="248" t="str">
        <f>IF(AA87&lt;VLOOKUP(AG87,Variables!$AC$3:$AD$8,2,FALSE),"Y","N")</f>
        <v>N</v>
      </c>
      <c r="X87" s="248">
        <f t="shared" si="41"/>
        <v>1</v>
      </c>
      <c r="Y87" s="248">
        <f t="shared" si="34"/>
        <v>0.05</v>
      </c>
      <c r="Z87" s="248">
        <f t="shared" si="35"/>
        <v>23.3218</v>
      </c>
      <c r="AA87" s="248">
        <f t="shared" si="42"/>
        <v>23.271799999999999</v>
      </c>
      <c r="AB87" s="234" t="e">
        <f>VLOOKUP(A87,Enforcements!$C$7:$K$9,8,0)</f>
        <v>#N/A</v>
      </c>
      <c r="AC87" s="233" t="e">
        <f>VLOOKUP(A87,Enforcements!$C$7:$E$9,3,0)</f>
        <v>#N/A</v>
      </c>
      <c r="AD87" s="244">
        <f t="shared" si="43"/>
        <v>175</v>
      </c>
      <c r="AE87" s="236" t="str">
        <f t="shared" si="44"/>
        <v>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 &amp; aws s3 cp s3://rtdc.mdm.uploadarchive.raw/RTDC4040/ "%USERPROFILE%\AppData\Local\Temp\OnboardLogs"\RTDC4040\2017-12-02 --exclude "*" --recursive --include "*20171202*" &amp; "%USERPROFILE%\Documents\GitHub\mrs-test-scripts\Headless Mode &amp; Sideloading\WalkAndUnGZ.bat" "%USERPROFILE%\AppData\Local\Temp\OnboardLogs"\RTDC4040\2017-12-02</v>
      </c>
      <c r="AF87" s="235" t="str">
        <f t="shared" si="45"/>
        <v>"C:\Program Files (x86)\AstroGrep\AstroGrep.exe" /e /r /s /spath="%USERPROFILE%\AppData\Local\Temp\OnboardLogs" /stypes="app*4040*20171201*" /stext=" 20:.+((SYSTEM_STATE.+slice.+state.+changed )|(ment ac)|(multiple cpu faults)|(system.+state.+changed )|(\[timeout)|(PRM\|1\|D)|(kpr)|(kdp)|(train st.+moving)|(\|lc)|(penalty))"</v>
      </c>
      <c r="AG87" s="245" t="str">
        <f t="shared" si="46"/>
        <v>EC</v>
      </c>
      <c r="AH87" s="237" t="str">
        <f t="shared" si="47"/>
        <v>"%USERPROFILE%\Documents\GitHub\eaglep3\Utilities\RefineRTDCRunTimes.py" --tripid 175-01 --locoid 4040 --swversion DE.1.0.9.0 --startMP 204:500 --initTime 2017-12-01T12:56:05 --startdatetime 2017-12-01T13:00:44 --delay 69 --endMP 204:233218 --enddatetime 2017-12-01T13:34:57 --enforcementcount 0 &gt;&gt;%USERPROFILE%\Documents\GitHub\eaglep3-reporting\EC\2017-12-01-refined-times.txt</v>
      </c>
      <c r="AI87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{"issue":{"subject":"","project_id":79,"tracker_id":40,"status_id":1,"priority_id":2,"assigned_to_id":338,"start_date":"2017-12-01","description":"","custom_fields":[{"id":1,"name":"Subdivision","value":"EC"},{"id":4,"name":"Milepost","value":"23.3218"},{"id":17,"name":"Train ID","value":"175-01"},{"id":16,"name":"Locomotive ID","value":"4040"},{"id":130,"name":"Impact","value":""},{"id":150,"name":"Time of Event (Mountain Time)","value":"13:34:57"},{"id":151,"name":"Denver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4"/>
      <c r="AK87" s="232"/>
      <c r="AL87" s="232"/>
      <c r="AM87" s="241" t="str">
        <f t="shared" si="49"/>
        <v>start /low /b %USERPROFILE%\Documents\GitHub\eaglep3\Utilities\DownloadLogsFromS3.py --loco 4040 --day 2017-12-01</v>
      </c>
      <c r="AN87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20:34:57"},{"id":29,"name":"Sharepoint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1" t="str">
        <f t="shared" si="51"/>
        <v>https://d0f6bd738d7f1b3e5a7ca70fe4ff75f0.us-east-1.aws.found.io/app/kibana#/discover/Steve-Slow-Train-Analysis-(2080s-and-2083s)?_g=(refreshInterval:(display:Off,pause:!f,section:0,value:0),time:(from:'2017-12-01T11:56:05-0700',mode:absolute,to:'2017-12-01T14:34:57-0700'))&amp;_a=(columns:!('Message%20ID',Summary),filters:!(),index:'emp_*',interval:auto,query:(query_string:(analyze_wildcard:!t,query:'%22rtdc.l.rtdc.4040%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230" t="s">
        <v>735</v>
      </c>
      <c r="B88" s="226">
        <v>4039</v>
      </c>
      <c r="C88" s="228" t="s">
        <v>192</v>
      </c>
      <c r="D88" s="228" t="s">
        <v>490</v>
      </c>
      <c r="E88" s="227">
        <v>43070.568136574075</v>
      </c>
      <c r="F88" s="227">
        <v>43070.599664351852</v>
      </c>
      <c r="G88" s="226">
        <v>68</v>
      </c>
      <c r="H88" s="228" t="s">
        <v>994</v>
      </c>
      <c r="I88" s="227">
        <v>43070.609479166669</v>
      </c>
      <c r="J88" s="226">
        <v>0</v>
      </c>
      <c r="K88" s="238" t="str">
        <f t="shared" si="37"/>
        <v>4039/4040</v>
      </c>
      <c r="L88" s="246" t="str">
        <f>VLOOKUP(A88,'Trips&amp;Operators'!$C$1:$G$99911,5,FALSE)</f>
        <v>SAFIEF AEIMEN</v>
      </c>
      <c r="M88" s="225">
        <f t="shared" si="32"/>
        <v>9.8148148172185756E-3</v>
      </c>
      <c r="N88" s="226"/>
      <c r="O88" s="226"/>
      <c r="P88" s="226">
        <f>24*60*SUM($M88:$M88)</f>
        <v>14.133333336794749</v>
      </c>
      <c r="Q88" s="229"/>
      <c r="R88" s="243" t="s">
        <v>476</v>
      </c>
      <c r="S88" s="250">
        <f>1/IF(AG88="EC",12,1)*SUM(U88:U89)</f>
        <v>0.91666666666666663</v>
      </c>
      <c r="T88" s="243" t="str">
        <f t="shared" si="39"/>
        <v>Southbound</v>
      </c>
      <c r="U88" s="24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2</v>
      </c>
      <c r="V88" s="249" t="str">
        <f t="shared" si="40"/>
        <v>https://d0f6bd738d7f1b3e5a7ca70fe4ff75f0.us-east-1.aws.found.io/app/kibana#/discover/Steve-Slow-Train-Analysis-(2080s-and-2083s)?_g=(refreshInterval:(display:Off,pause:!f,section:0,value:0),time:(from:'2017-12-01T12:38:07-0700',mode:absolute,to:'2017-12-01T15:37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8" s="248" t="str">
        <f>IF(AA88&lt;VLOOKUP(AG88,Variables!$AC$3:$AD$8,2,FALSE),"Y","N")</f>
        <v>Y</v>
      </c>
      <c r="X88" s="248">
        <f t="shared" si="41"/>
        <v>1</v>
      </c>
      <c r="Y88" s="248">
        <f t="shared" si="34"/>
        <v>23.289200000000001</v>
      </c>
      <c r="Z88" s="248">
        <f t="shared" si="35"/>
        <v>7.9528999999999996</v>
      </c>
      <c r="AA88" s="248">
        <f t="shared" si="42"/>
        <v>15.336300000000001</v>
      </c>
      <c r="AB88" s="234" t="e">
        <f>VLOOKUP(A88,Enforcements!$C$7:$K$9,8,0)</f>
        <v>#N/A</v>
      </c>
      <c r="AC88" s="233" t="e">
        <f>VLOOKUP(A88,Enforcements!$C$7:$E$9,3,0)</f>
        <v>#N/A</v>
      </c>
      <c r="AD88" s="244">
        <f t="shared" si="43"/>
        <v>176</v>
      </c>
      <c r="AE88" s="236" t="str">
        <f t="shared" si="44"/>
        <v>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 &amp; aws s3 cp s3://rtdc.mdm.uploadarchive.raw/RTDC4039/ "%USERPROFILE%\AppData\Local\Temp\OnboardLogs"\RTDC4039\2017-12-02 --exclude "*" --recursive --include "*20171202*" &amp; "%USERPROFILE%\Documents\GitHub\mrs-test-scripts\Headless Mode &amp; Sideloading\WalkAndUnGZ.bat" "%USERPROFILE%\AppData\Local\Temp\OnboardLogs"\RTDC4039\2017-12-02</v>
      </c>
      <c r="AF88" s="235" t="str">
        <f t="shared" si="45"/>
        <v>"C:\Program Files (x86)\AstroGrep\AstroGrep.exe" /e /r /s /spath="%USERPROFILE%\AppData\Local\Temp\OnboardLogs" /stypes="app*4039*20171201*" /stext=" 21:.+((SYSTEM_STATE.+slice.+state.+changed )|(ment ac)|(multiple cpu faults)|(system.+state.+changed )|(\[timeout)|(PRM\|1\|D)|(kpr)|(kdp)|(train st.+moving)|(\|lc)|(penalty))"</v>
      </c>
      <c r="AG88" s="245" t="str">
        <f t="shared" si="46"/>
        <v>EC</v>
      </c>
      <c r="AH88" s="237" t="str">
        <f t="shared" si="47"/>
        <v>"%USERPROFILE%\Documents\GitHub\eaglep3\Utilities\RefineRTDCRunTimes.py" --tripid 176-01 --locoid 4039 --swversion DE.1.0.9.0 --startMP 204:232892 --initTime 2017-12-01T13:38:07 --startdatetime 2017-12-01T14:23:31 --delay 68 --endMP 204:79529 --enddatetime 2017-12-01T14:37:39 --enforcementcount 0 &gt;&gt;%USERPROFILE%\Documents\GitHub\eaglep3-reporting\EC\2017-12-01-refined-times.txt</v>
      </c>
      <c r="AI88" s="239" t="str">
        <f t="shared" si="48"/>
        <v>echo {"issue":{"subject":"Wi-MAX data drop","project_id":79,"tracker_id":40,"status_id":1,"priority_id":2,"assigned_to_id":338,"start_date":"2017-12-01","description":"","custom_fields":[{"id":1,"name":"Subdivision","value":"EC"},{"id":4,"name":"Milepost","value":"7.9529"},{"id":17,"name":"Train ID","value":"176-01"},{"id":16,"name":"Locomotive ID","value":"4039"},{"id":130,"name":"Impact","value":""},{"id":150,"name":"Time of Event (Mountain Time)","value":"14:37:39"},{"id":151,"name":"Denver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4"/>
      <c r="AK88" s="232"/>
      <c r="AL88" s="232"/>
      <c r="AM88" s="241" t="str">
        <f t="shared" si="49"/>
        <v>start /low /b %USERPROFILE%\Documents\GitHub\eaglep3\Utilities\DownloadLogsFromS3.py --loco 4039 --day 2017-12-01</v>
      </c>
      <c r="AN88" s="242" t="str">
        <f t="shared" si="50"/>
        <v>echo {"issue":{"subject":"Wi-MAX data drop","project_id":30,"tracker_id":4,"status_id":1,"priority_id":1,"assigned_to_id":10,"start_date":"2017-12-01","description":"","custom_fields":[{"id":30,"name":"Category","value":"Issue"},{"id":3,"name":"Functional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21:37:39"},{"id":29,"name":"Sharepoint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1" t="str">
        <f t="shared" si="51"/>
        <v>https://d0f6bd738d7f1b3e5a7ca70fe4ff75f0.us-east-1.aws.found.io/app/kibana#/discover/Steve-Slow-Train-Analysis-(2080s-and-2083s)?_g=(refreshInterval:(display:Off,pause:!f,section:0,value:0),time:(from:'2017-12-01T12:38:07-0700',mode:absolute,to:'2017-12-01T15:37:39-0700'))&amp;_a=(columns:!('Message%20ID',Summary),filters:!(),index:'emp_*',interval:auto,query:(query_string:(analyze_wildcard:!t,query:'%22rtdc.l.rtdc.4039%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230" t="s">
        <v>735</v>
      </c>
      <c r="B89" s="226">
        <v>4039</v>
      </c>
      <c r="C89" s="228" t="s">
        <v>192</v>
      </c>
      <c r="D89" s="228" t="s">
        <v>995</v>
      </c>
      <c r="E89" s="227">
        <v>43070.598668981482</v>
      </c>
      <c r="F89" s="227">
        <v>43070.599664351852</v>
      </c>
      <c r="G89" s="226">
        <v>45</v>
      </c>
      <c r="H89" s="228" t="s">
        <v>573</v>
      </c>
      <c r="I89" s="227">
        <v>43070.609479166669</v>
      </c>
      <c r="J89" s="226">
        <v>0</v>
      </c>
      <c r="K89" s="238" t="str">
        <f t="shared" si="37"/>
        <v>4039/4040</v>
      </c>
      <c r="L89" s="246" t="str">
        <f>VLOOKUP(A89,'Trips&amp;Operators'!$C$1:$G$99911,5,FALSE)</f>
        <v>SAFIEF AEIMEN</v>
      </c>
      <c r="M89" s="225">
        <f t="shared" si="32"/>
        <v>9.8148148172185756E-3</v>
      </c>
      <c r="N89" s="226"/>
      <c r="O89" s="226"/>
      <c r="P89" s="226"/>
      <c r="Q89" s="229"/>
      <c r="R89" s="243"/>
      <c r="S89" s="250"/>
      <c r="T89" s="243" t="str">
        <f t="shared" si="39"/>
        <v>Southbound</v>
      </c>
      <c r="U89" s="24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9</v>
      </c>
      <c r="V89" s="249" t="str">
        <f t="shared" si="40"/>
        <v>https://d0f6bd738d7f1b3e5a7ca70fe4ff75f0.us-east-1.aws.found.io/app/kibana#/discover/Steve-Slow-Train-Analysis-(2080s-and-2083s)?_g=(refreshInterval:(display:Off,pause:!f,section:0,value:0),time:(from:'2017-12-01T13:22:05-0700',mode:absolute,to:'2017-12-01T15:37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9" s="248" t="str">
        <f>IF(AA89&lt;VLOOKUP(AG89,Variables!$AC$3:$AD$8,2,FALSE),"Y","N")</f>
        <v>Y</v>
      </c>
      <c r="X89" s="248">
        <f t="shared" si="41"/>
        <v>0</v>
      </c>
      <c r="Y89" s="248">
        <f t="shared" si="34"/>
        <v>6.4173999999999998</v>
      </c>
      <c r="Z89" s="248">
        <f t="shared" si="35"/>
        <v>1.9099999999999999E-2</v>
      </c>
      <c r="AA89" s="248">
        <f t="shared" si="42"/>
        <v>6.3982999999999999</v>
      </c>
      <c r="AB89" s="234" t="e">
        <f>VLOOKUP(A89,Enforcements!$C$7:$K$9,8,0)</f>
        <v>#N/A</v>
      </c>
      <c r="AC89" s="233" t="e">
        <f>VLOOKUP(A89,Enforcements!$C$7:$E$9,3,0)</f>
        <v>#N/A</v>
      </c>
      <c r="AD89" s="244">
        <f t="shared" si="43"/>
        <v>176</v>
      </c>
      <c r="AE89" s="236" t="str">
        <f t="shared" si="44"/>
        <v>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 &amp; aws s3 cp s3://rtdc.mdm.uploadarchive.raw/RTDC4039/ "%USERPROFILE%\AppData\Local\Temp\OnboardLogs"\RTDC4039\2017-12-02 --exclude "*" --recursive --include "*20171202*" &amp; "%USERPROFILE%\Documents\GitHub\mrs-test-scripts\Headless Mode &amp; Sideloading\WalkAndUnGZ.bat" "%USERPROFILE%\AppData\Local\Temp\OnboardLogs"\RTDC4039\2017-12-02</v>
      </c>
      <c r="AF89" s="235" t="str">
        <f t="shared" si="45"/>
        <v>"C:\Program Files (x86)\AstroGrep\AstroGrep.exe" /e /r /s /spath="%USERPROFILE%\AppData\Local\Temp\OnboardLogs" /stypes="app*4039*20171201*" /stext=" 21:.+((SYSTEM_STATE.+slice.+state.+changed )|(ment ac)|(multiple cpu faults)|(system.+state.+changed )|(\[timeout)|(PRM\|1\|D)|(kpr)|(kdp)|(train st.+moving)|(\|lc)|(penalty))"</v>
      </c>
      <c r="AG89" s="245" t="str">
        <f t="shared" si="46"/>
        <v>EC</v>
      </c>
      <c r="AH89" s="237" t="str">
        <f t="shared" si="47"/>
        <v>"%USERPROFILE%\Documents\GitHub\eaglep3\Utilities\RefineRTDCRunTimes.py" --tripid 176-01 --locoid 4039 --swversion DE.1.0.9.0 --startMP 204:64174 --initTime 2017-12-01T14:22:05 --startdatetime 2017-12-01T14:23:31 --delay 45 --endMP 204:191 --enddatetime 2017-12-01T14:37:39 --enforcementcount 0 &gt;&gt;%USERPROFILE%\Documents\GitHub\eaglep3-reporting\EC\2017-12-01-refined-times.txt</v>
      </c>
      <c r="AI89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{"issue":{"subject":"","project_id":79,"tracker_id":40,"status_id":1,"priority_id":2,"assigned_to_id":338,"start_date":"2017-12-01","description":"","custom_fields":[{"id":1,"name":"Subdivision","value":"EC"},{"id":4,"name":"Milepost","value":"0.0191"},{"id":17,"name":"Train ID","value":"176-01"},{"id":16,"name":"Locomotive ID","value":"4039"},{"id":130,"name":"Impact","value":""},{"id":150,"name":"Time of Event (Mountain Time)","value":"14:37:39"},{"id":151,"name":"Denver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4"/>
      <c r="AK89" s="232"/>
      <c r="AL89" s="232"/>
      <c r="AM89" s="241" t="str">
        <f t="shared" si="49"/>
        <v>start /low /b %USERPROFILE%\Documents\GitHub\eaglep3\Utilities\DownloadLogsFromS3.py --loco 4039 --day 2017-12-01</v>
      </c>
      <c r="AN89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21:37:39"},{"id":29,"name":"Sharepoint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1" t="str">
        <f t="shared" si="51"/>
        <v>https://d0f6bd738d7f1b3e5a7ca70fe4ff75f0.us-east-1.aws.found.io/app/kibana#/discover/Steve-Slow-Train-Analysis-(2080s-and-2083s)?_g=(refreshInterval:(display:Off,pause:!f,section:0,value:0),time:(from:'2017-12-01T13:22:05-0700',mode:absolute,to:'2017-12-01T15:37:39-0700'))&amp;_a=(columns:!('Message%20ID',Summary),filters:!(),index:'emp_*',interval:auto,query:(query_string:(analyze_wildcard:!t,query:'%22rtdc.l.rtdc.4039%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230" t="s">
        <v>859</v>
      </c>
      <c r="B90" s="226">
        <v>4024</v>
      </c>
      <c r="C90" s="228" t="s">
        <v>192</v>
      </c>
      <c r="D90" s="228" t="s">
        <v>502</v>
      </c>
      <c r="E90" s="227">
        <v>43070.548738425925</v>
      </c>
      <c r="F90" s="227">
        <v>43070.552256944444</v>
      </c>
      <c r="G90" s="226">
        <v>53</v>
      </c>
      <c r="H90" s="228" t="s">
        <v>970</v>
      </c>
      <c r="I90" s="227">
        <v>43070.577060185184</v>
      </c>
      <c r="J90" s="226">
        <v>0</v>
      </c>
      <c r="K90" s="238" t="str">
        <f t="shared" si="37"/>
        <v>4023/4024</v>
      </c>
      <c r="L90" s="246" t="str">
        <f>VLOOKUP(A90,'Trips&amp;Operators'!$C$1:$G$99911,5,FALSE)</f>
        <v>BRUDER RICHARD</v>
      </c>
      <c r="M90" s="225">
        <f t="shared" si="32"/>
        <v>2.4803240739856847E-2</v>
      </c>
      <c r="N90" s="226">
        <f>24*60*SUM($M90:$M90)</f>
        <v>35.716666665393859</v>
      </c>
      <c r="O90" s="226"/>
      <c r="P90" s="226"/>
      <c r="Q90" s="229"/>
      <c r="R90" s="243"/>
      <c r="S90" s="250">
        <f>1/IF(AG90="EC",12,1)*SUM(U90:U90)</f>
        <v>1</v>
      </c>
      <c r="T90" s="243" t="str">
        <f t="shared" si="39"/>
        <v>NorthBound</v>
      </c>
      <c r="U90" s="24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9" t="str">
        <f t="shared" si="40"/>
        <v>https://d0f6bd738d7f1b3e5a7ca70fe4ff75f0.us-east-1.aws.found.io/app/kibana#/discover/Steve-Slow-Train-Analysis-(2080s-and-2083s)?_g=(refreshInterval:(display:Off,pause:!f,section:0,value:0),time:(from:'2017-12-01T12:10:11-0700',mode:absolute,to:'2017-12-01T14:50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0" s="248" t="str">
        <f>IF(AA90&lt;VLOOKUP(AG90,Variables!$AC$3:$AD$8,2,FALSE),"Y","N")</f>
        <v>N</v>
      </c>
      <c r="X90" s="248">
        <f t="shared" si="41"/>
        <v>1</v>
      </c>
      <c r="Y90" s="248">
        <f t="shared" si="34"/>
        <v>5.1999999999999998E-2</v>
      </c>
      <c r="Z90" s="248">
        <f t="shared" si="35"/>
        <v>23.321300000000001</v>
      </c>
      <c r="AA90" s="248">
        <f t="shared" si="42"/>
        <v>23.269300000000001</v>
      </c>
      <c r="AB90" s="234" t="e">
        <f>VLOOKUP(A90,Enforcements!$C$7:$K$9,8,0)</f>
        <v>#N/A</v>
      </c>
      <c r="AC90" s="233" t="e">
        <f>VLOOKUP(A90,Enforcements!$C$7:$E$9,3,0)</f>
        <v>#N/A</v>
      </c>
      <c r="AD90" s="244">
        <f t="shared" si="43"/>
        <v>177</v>
      </c>
      <c r="AE90" s="236" t="str">
        <f t="shared" si="44"/>
        <v>aws s3 cp s3://rtdc.mdm.uploadarchive.raw/RTDC4024/ "%USERPROFILE%\AppData\Local\Temp\OnboardLogs"\RTDC4024\2017-12-01 --exclude "*" --recursive --include "*20171201*" &amp; "%USERPROFILE%\Documents\GitHub\mrs-test-scripts\Headless Mode &amp; Sideloading\WalkAndUnGZ.bat" "%USERPROFILE%\AppData\Local\Temp\OnboardLogs"\RTDC4024\2017-12-01 &amp; aws s3 cp s3://rtdc.mdm.uploadarchive.raw/RTDC4024/ "%USERPROFILE%\AppData\Local\Temp\OnboardLogs"\RTDC4024\2017-12-02 --exclude "*" --recursive --include "*20171202*" &amp; "%USERPROFILE%\Documents\GitHub\mrs-test-scripts\Headless Mode &amp; Sideloading\WalkAndUnGZ.bat" "%USERPROFILE%\AppData\Local\Temp\OnboardLogs"\RTDC4024\2017-12-02</v>
      </c>
      <c r="AF90" s="235" t="str">
        <f t="shared" si="45"/>
        <v>"C:\Program Files (x86)\AstroGrep\AstroGrep.exe" /e /r /s /spath="%USERPROFILE%\AppData\Local\Temp\OnboardLogs" /stypes="app*4024*20171201*" /stext=" 20:.+((SYSTEM_STATE.+slice.+state.+changed )|(ment ac)|(multiple cpu faults)|(system.+state.+changed )|(\[timeout)|(PRM\|1\|D)|(kpr)|(kdp)|(train st.+moving)|(\|lc)|(penalty))"</v>
      </c>
      <c r="AG90" s="245" t="str">
        <f t="shared" si="46"/>
        <v>EC</v>
      </c>
      <c r="AH90" s="237" t="str">
        <f t="shared" si="47"/>
        <v>"%USERPROFILE%\Documents\GitHub\eaglep3\Utilities\RefineRTDCRunTimes.py" --tripid 177-01 --locoid 4024 --swversion DE.1.0.9.0 --startMP 204:520 --initTime 2017-12-01T13:10:11 --startdatetime 2017-12-01T13:15:15 --delay 53 --endMP 204:233213 --enddatetime 2017-12-01T13:50:58 --enforcementcount 0 &gt;&gt;%USERPROFILE%\Documents\GitHub\eaglep3-reporting\EC\2017-12-01-refined-times.txt</v>
      </c>
      <c r="AI90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{"issue":{"subject":"","project_id":79,"tracker_id":40,"status_id":1,"priority_id":2,"assigned_to_id":338,"start_date":"2017-12-01","description":"","custom_fields":[{"id":1,"name":"Subdivision","value":"EC"},{"id":4,"name":"Milepost","value":"23.3213"},{"id":17,"name":"Train ID","value":"177-01"},{"id":16,"name":"Locomotive ID","value":"4024"},{"id":130,"name":"Impact","value":""},{"id":150,"name":"Time of Event (Mountain Time)","value":"13:50:58"},{"id":151,"name":"Denver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4"/>
      <c r="AK90" s="232"/>
      <c r="AL90" s="232"/>
      <c r="AM90" s="241" t="str">
        <f t="shared" si="49"/>
        <v>start /low /b %USERPROFILE%\Documents\GitHub\eaglep3\Utilities\DownloadLogsFromS3.py --loco 4024 --day 2017-12-01</v>
      </c>
      <c r="AN90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20:50:58"},{"id":29,"name":"Sharepoint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1" t="str">
        <f t="shared" si="51"/>
        <v>https://d0f6bd738d7f1b3e5a7ca70fe4ff75f0.us-east-1.aws.found.io/app/kibana#/discover/Steve-Slow-Train-Analysis-(2080s-and-2083s)?_g=(refreshInterval:(display:Off,pause:!f,section:0,value:0),time:(from:'2017-12-01T12:10:11-0700',mode:absolute,to:'2017-12-01T14:50:58-0700'))&amp;_a=(columns:!('Message%20ID',Summary),filters:!(),index:'emp_*',interval:auto,query:(query_string:(analyze_wildcard:!t,query:'%22rtdc.l.rtdc.4024%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230" t="s">
        <v>865</v>
      </c>
      <c r="B91" s="226">
        <v>4023</v>
      </c>
      <c r="C91" s="228" t="s">
        <v>192</v>
      </c>
      <c r="D91" s="228" t="s">
        <v>692</v>
      </c>
      <c r="E91" s="227">
        <v>43070.588321759256</v>
      </c>
      <c r="F91" s="227">
        <v>43070.591851851852</v>
      </c>
      <c r="G91" s="226">
        <v>57</v>
      </c>
      <c r="H91" s="228" t="s">
        <v>560</v>
      </c>
      <c r="I91" s="227">
        <v>43070.617407407408</v>
      </c>
      <c r="J91" s="226">
        <v>0</v>
      </c>
      <c r="K91" s="238" t="str">
        <f t="shared" si="37"/>
        <v>4023/4024</v>
      </c>
      <c r="L91" s="246" t="str">
        <f>VLOOKUP(A91,'Trips&amp;Operators'!$C$1:$G$99911,5,FALSE)</f>
        <v>BRUDER RICHARD</v>
      </c>
      <c r="M91" s="225">
        <f t="shared" si="32"/>
        <v>2.5555555555911269E-2</v>
      </c>
      <c r="N91" s="226">
        <f>24*60*SUM($M91:$M91)</f>
        <v>36.800000000512227</v>
      </c>
      <c r="O91" s="226"/>
      <c r="P91" s="226"/>
      <c r="Q91" s="229"/>
      <c r="R91" s="243"/>
      <c r="S91" s="250">
        <f>1/IF(AG91="EC",12,1)*SUM(U91:U91)</f>
        <v>1</v>
      </c>
      <c r="T91" s="243" t="str">
        <f t="shared" si="39"/>
        <v>Southbound</v>
      </c>
      <c r="U91" s="24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9" t="str">
        <f t="shared" si="40"/>
        <v>https://d0f6bd738d7f1b3e5a7ca70fe4ff75f0.us-east-1.aws.found.io/app/kibana#/discover/Steve-Slow-Train-Analysis-(2080s-and-2083s)?_g=(refreshInterval:(display:Off,pause:!f,section:0,value:0),time:(from:'2017-12-01T13:07:11-0700',mode:absolute,to:'2017-12-01T15:49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1" s="248" t="str">
        <f>IF(AA91&lt;VLOOKUP(AG91,Variables!$AC$3:$AD$8,2,FALSE),"Y","N")</f>
        <v>N</v>
      </c>
      <c r="X91" s="248">
        <f t="shared" si="41"/>
        <v>1</v>
      </c>
      <c r="Y91" s="248">
        <f t="shared" si="34"/>
        <v>23.289100000000001</v>
      </c>
      <c r="Z91" s="248">
        <f t="shared" si="35"/>
        <v>2.3199999999999998E-2</v>
      </c>
      <c r="AA91" s="248">
        <f t="shared" si="42"/>
        <v>23.265900000000002</v>
      </c>
      <c r="AB91" s="234" t="e">
        <f>VLOOKUP(A91,Enforcements!$C$7:$K$9,8,0)</f>
        <v>#N/A</v>
      </c>
      <c r="AC91" s="233" t="e">
        <f>VLOOKUP(A91,Enforcements!$C$7:$E$9,3,0)</f>
        <v>#N/A</v>
      </c>
      <c r="AD91" s="244">
        <f t="shared" si="43"/>
        <v>178</v>
      </c>
      <c r="AE91" s="236" t="str">
        <f t="shared" si="44"/>
        <v>aws s3 cp s3://rtdc.mdm.uploadarchive.raw/RTDC4023/ "%USERPROFILE%\AppData\Local\Temp\OnboardLogs"\RTDC4023\2017-12-01 --exclude "*" --recursive --include "*20171201*" &amp; "%USERPROFILE%\Documents\GitHub\mrs-test-scripts\Headless Mode &amp; Sideloading\WalkAndUnGZ.bat" "%USERPROFILE%\AppData\Local\Temp\OnboardLogs"\RTDC4023\2017-12-01 &amp; aws s3 cp s3://rtdc.mdm.uploadarchive.raw/RTDC4023/ "%USERPROFILE%\AppData\Local\Temp\OnboardLogs"\RTDC4023\2017-12-02 --exclude "*" --recursive --include "*20171202*" &amp; "%USERPROFILE%\Documents\GitHub\mrs-test-scripts\Headless Mode &amp; Sideloading\WalkAndUnGZ.bat" "%USERPROFILE%\AppData\Local\Temp\OnboardLogs"\RTDC4023\2017-12-02</v>
      </c>
      <c r="AF91" s="235" t="str">
        <f t="shared" si="45"/>
        <v>"C:\Program Files (x86)\AstroGrep\AstroGrep.exe" /e /r /s /spath="%USERPROFILE%\AppData\Local\Temp\OnboardLogs" /stypes="app*4023*20171201*" /stext=" 21:.+((SYSTEM_STATE.+slice.+state.+changed )|(ment ac)|(multiple cpu faults)|(system.+state.+changed )|(\[timeout)|(PRM\|1\|D)|(kpr)|(kdp)|(train st.+moving)|(\|lc)|(penalty))"</v>
      </c>
      <c r="AG91" s="245" t="str">
        <f t="shared" si="46"/>
        <v>EC</v>
      </c>
      <c r="AH91" s="237" t="str">
        <f t="shared" si="47"/>
        <v>"%USERPROFILE%\Documents\GitHub\eaglep3\Utilities\RefineRTDCRunTimes.py" --tripid 178-01 --locoid 4023 --swversion DE.1.0.9.0 --startMP 204:232891 --initTime 2017-12-01T14:07:11 --startdatetime 2017-12-01T14:12:16 --delay 57 --endMP 204:232 --enddatetime 2017-12-01T14:49:04 --enforcementcount 0 &gt;&gt;%USERPROFILE%\Documents\GitHub\eaglep3-reporting\EC\2017-12-01-refined-times.txt</v>
      </c>
      <c r="AI91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{"issue":{"subject":"","project_id":79,"tracker_id":40,"status_id":1,"priority_id":2,"assigned_to_id":338,"start_date":"2017-12-01","description":"","custom_fields":[{"id":1,"name":"Subdivision","value":"EC"},{"id":4,"name":"Milepost","value":"0.0232"},{"id":17,"name":"Train ID","value":"178-01"},{"id":16,"name":"Locomotive ID","value":"4023"},{"id":130,"name":"Impact","value":""},{"id":150,"name":"Time of Event (Mountain Time)","value":"14:49:04"},{"id":151,"name":"Denver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4"/>
      <c r="AK91" s="232"/>
      <c r="AL91" s="232"/>
      <c r="AM91" s="241" t="str">
        <f t="shared" si="49"/>
        <v>start /low /b %USERPROFILE%\Documents\GitHub\eaglep3\Utilities\DownloadLogsFromS3.py --loco 4023 --day 2017-12-01</v>
      </c>
      <c r="AN91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21:49:04"},{"id":29,"name":"Sharepoint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1" t="str">
        <f t="shared" si="51"/>
        <v>https://d0f6bd738d7f1b3e5a7ca70fe4ff75f0.us-east-1.aws.found.io/app/kibana#/discover/Steve-Slow-Train-Analysis-(2080s-and-2083s)?_g=(refreshInterval:(display:Off,pause:!f,section:0,value:0),time:(from:'2017-12-01T13:07:11-0700',mode:absolute,to:'2017-12-01T15:49:04-0700'))&amp;_a=(columns:!('Message%20ID',Summary),filters:!(),index:'emp_*',interval:auto,query:(query_string:(analyze_wildcard:!t,query:'%22rtdc.l.rtdc.4023%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230" t="s">
        <v>861</v>
      </c>
      <c r="B92" s="226">
        <v>4020</v>
      </c>
      <c r="C92" s="228" t="s">
        <v>192</v>
      </c>
      <c r="D92" s="228" t="s">
        <v>504</v>
      </c>
      <c r="E92" s="227">
        <v>43070.55678240741</v>
      </c>
      <c r="F92" s="227">
        <v>43070.563611111109</v>
      </c>
      <c r="G92" s="226">
        <v>60</v>
      </c>
      <c r="H92" s="228" t="s">
        <v>996</v>
      </c>
      <c r="I92" s="227">
        <v>43070.588067129633</v>
      </c>
      <c r="J92" s="226">
        <v>0</v>
      </c>
      <c r="K92" s="238" t="str">
        <f t="shared" si="37"/>
        <v>4019/4020</v>
      </c>
      <c r="L92" s="246" t="str">
        <f>VLOOKUP(A92,'Trips&amp;Operators'!$C$1:$G$99911,5,FALSE)</f>
        <v>LEVERE CRAIG</v>
      </c>
      <c r="M92" s="225">
        <f t="shared" ref="M92:M123" si="52">I92-F92</f>
        <v>2.4456018523778766E-2</v>
      </c>
      <c r="N92" s="226">
        <f>24*60*SUM($M92:$M92)</f>
        <v>35.216666674241424</v>
      </c>
      <c r="O92" s="226"/>
      <c r="P92" s="226"/>
      <c r="Q92" s="229"/>
      <c r="R92" s="243"/>
      <c r="S92" s="250">
        <f>1/IF(AG92="EC",12,1)*SUM(U92:U92)</f>
        <v>1</v>
      </c>
      <c r="T92" s="243" t="str">
        <f t="shared" si="39"/>
        <v>NorthBound</v>
      </c>
      <c r="U92" s="24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9" t="str">
        <f t="shared" si="40"/>
        <v>https://d0f6bd738d7f1b3e5a7ca70fe4ff75f0.us-east-1.aws.found.io/app/kibana#/discover/Steve-Slow-Train-Analysis-(2080s-and-2083s)?_g=(refreshInterval:(display:Off,pause:!f,section:0,value:0),time:(from:'2017-12-01T12:21:46-0700',mode:absolute,to:'2017-12-01T15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2" s="248" t="str">
        <f>IF(AA92&lt;VLOOKUP(AG92,Variables!$AC$3:$AD$8,2,FALSE),"Y","N")</f>
        <v>N</v>
      </c>
      <c r="X92" s="248">
        <f t="shared" si="41"/>
        <v>1</v>
      </c>
      <c r="Y92" s="248">
        <f t="shared" ref="Y92:Y123" si="53">RIGHT(D92,LEN(D92)-4)/10000</f>
        <v>5.1700000000000003E-2</v>
      </c>
      <c r="Z92" s="248">
        <f t="shared" ref="Z92:Z123" si="54">RIGHT(H92,LEN(H92)-4)/10000</f>
        <v>23.319199999999999</v>
      </c>
      <c r="AA92" s="248">
        <f t="shared" si="42"/>
        <v>23.267499999999998</v>
      </c>
      <c r="AB92" s="234" t="e">
        <f>VLOOKUP(A92,Enforcements!$C$7:$K$9,8,0)</f>
        <v>#N/A</v>
      </c>
      <c r="AC92" s="233" t="e">
        <f>VLOOKUP(A92,Enforcements!$C$7:$E$9,3,0)</f>
        <v>#N/A</v>
      </c>
      <c r="AD92" s="244">
        <f t="shared" si="43"/>
        <v>179</v>
      </c>
      <c r="AE92" s="236" t="str">
        <f t="shared" si="44"/>
        <v>aws s3 cp s3://rtdc.mdm.uploadarchive.raw/RTDC4020/ "%USERPROFILE%\AppData\Local\Temp\OnboardLogs"\RTDC4020\2017-12-01 --exclude "*" --recursive --include "*20171201*" &amp; "%USERPROFILE%\Documents\GitHub\mrs-test-scripts\Headless Mode &amp; Sideloading\WalkAndUnGZ.bat" "%USERPROFILE%\AppData\Local\Temp\OnboardLogs"\RTDC4020\2017-12-01 &amp; aws s3 cp s3://rtdc.mdm.uploadarchive.raw/RTDC4020/ "%USERPROFILE%\AppData\Local\Temp\OnboardLogs"\RTDC4020\2017-12-02 --exclude "*" --recursive --include "*20171202*" &amp; "%USERPROFILE%\Documents\GitHub\mrs-test-scripts\Headless Mode &amp; Sideloading\WalkAndUnGZ.bat" "%USERPROFILE%\AppData\Local\Temp\OnboardLogs"\RTDC4020\2017-12-02</v>
      </c>
      <c r="AF92" s="235" t="str">
        <f t="shared" si="45"/>
        <v>"C:\Program Files (x86)\AstroGrep\AstroGrep.exe" /e /r /s /spath="%USERPROFILE%\AppData\Local\Temp\OnboardLogs" /stypes="app*4020*20171201*" /stext=" 21:.+((SYSTEM_STATE.+slice.+state.+changed )|(ment ac)|(multiple cpu faults)|(system.+state.+changed )|(\[timeout)|(PRM\|1\|D)|(kpr)|(kdp)|(train st.+moving)|(\|lc)|(penalty))"</v>
      </c>
      <c r="AG92" s="245" t="str">
        <f t="shared" si="46"/>
        <v>EC</v>
      </c>
      <c r="AH92" s="237" t="str">
        <f t="shared" si="47"/>
        <v>"%USERPROFILE%\Documents\GitHub\eaglep3\Utilities\RefineRTDCRunTimes.py" --tripid 179-01 --locoid 4020 --swversion DE.1.0.9.0 --startMP 204:517 --initTime 2017-12-01T13:21:46 --startdatetime 2017-12-01T13:31:36 --delay 60 --endMP 204:233192 --enddatetime 2017-12-01T14:06:49 --enforcementcount 0 &gt;&gt;%USERPROFILE%\Documents\GitHub\eaglep3-reporting\EC\2017-12-01-refined-times.txt</v>
      </c>
      <c r="AI92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{"issue":{"subject":"","project_id":79,"tracker_id":40,"status_id":1,"priority_id":2,"assigned_to_id":338,"start_date":"2017-12-01","description":"","custom_fields":[{"id":1,"name":"Subdivision","value":"EC"},{"id":4,"name":"Milepost","value":"23.3192"},{"id":17,"name":"Train ID","value":"179-01"},{"id":16,"name":"Locomotive ID","value":"4020"},{"id":130,"name":"Impact","value":""},{"id":150,"name":"Time of Event (Mountain Time)","value":"14:06:49"},{"id":151,"name":"Denver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4"/>
      <c r="AK92" s="232"/>
      <c r="AL92" s="232"/>
      <c r="AM92" s="241" t="str">
        <f t="shared" si="49"/>
        <v>start /low /b %USERPROFILE%\Documents\GitHub\eaglep3\Utilities\DownloadLogsFromS3.py --loco 4020 --day 2017-12-01</v>
      </c>
      <c r="AN92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21:06:49"},{"id":29,"name":"Sharepoint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1" t="str">
        <f t="shared" si="51"/>
        <v>https://d0f6bd738d7f1b3e5a7ca70fe4ff75f0.us-east-1.aws.found.io/app/kibana#/discover/Steve-Slow-Train-Analysis-(2080s-and-2083s)?_g=(refreshInterval:(display:Off,pause:!f,section:0,value:0),time:(from:'2017-12-01T12:21:46-0700',mode:absolute,to:'2017-12-01T15:06:49-0700'))&amp;_a=(columns:!('Message%20ID',Summary),filters:!(),index:'emp_*',interval:auto,query:(query_string:(analyze_wildcard:!t,query:'%22rtdc.l.rtdc.4020%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230" t="s">
        <v>867</v>
      </c>
      <c r="B93" s="226">
        <v>4019</v>
      </c>
      <c r="C93" s="228" t="s">
        <v>192</v>
      </c>
      <c r="D93" s="228" t="s">
        <v>997</v>
      </c>
      <c r="E93" s="227">
        <v>43070.596550925926</v>
      </c>
      <c r="F93" s="227">
        <v>43070.602280092593</v>
      </c>
      <c r="G93" s="226">
        <v>56</v>
      </c>
      <c r="H93" s="228" t="s">
        <v>693</v>
      </c>
      <c r="I93" s="227">
        <v>43070.628333333334</v>
      </c>
      <c r="J93" s="226">
        <v>0</v>
      </c>
      <c r="K93" s="238" t="str">
        <f t="shared" si="37"/>
        <v>4019/4020</v>
      </c>
      <c r="L93" s="246" t="str">
        <f>VLOOKUP(A93,'Trips&amp;Operators'!$C$1:$G$99911,5,FALSE)</f>
        <v>LEVERE CRAIG</v>
      </c>
      <c r="M93" s="225">
        <f t="shared" si="52"/>
        <v>2.6053240741021E-2</v>
      </c>
      <c r="N93" s="226">
        <f>24*60*SUM($M93:$M93)</f>
        <v>37.51666666707024</v>
      </c>
      <c r="O93" s="226"/>
      <c r="P93" s="226"/>
      <c r="Q93" s="229"/>
      <c r="R93" s="243"/>
      <c r="S93" s="250">
        <f>1/IF(AG93="EC",12,1)*SUM(U93:U93)</f>
        <v>1</v>
      </c>
      <c r="T93" s="243" t="str">
        <f t="shared" si="39"/>
        <v>Southbound</v>
      </c>
      <c r="U93" s="24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9" t="str">
        <f t="shared" si="40"/>
        <v>https://d0f6bd738d7f1b3e5a7ca70fe4ff75f0.us-east-1.aws.found.io/app/kibana#/discover/Steve-Slow-Train-Analysis-(2080s-and-2083s)?_g=(refreshInterval:(display:Off,pause:!f,section:0,value:0),time:(from:'2017-12-01T13:19:02-0700',mode:absolute,to:'2017-12-01T16:04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3" s="248" t="str">
        <f>IF(AA93&lt;VLOOKUP(AG93,Variables!$AC$3:$AD$8,2,FALSE),"Y","N")</f>
        <v>N</v>
      </c>
      <c r="X93" s="248">
        <f t="shared" si="41"/>
        <v>1</v>
      </c>
      <c r="Y93" s="248">
        <f t="shared" si="53"/>
        <v>23.287099999999999</v>
      </c>
      <c r="Z93" s="248">
        <f t="shared" si="54"/>
        <v>2.4500000000000001E-2</v>
      </c>
      <c r="AA93" s="248">
        <f t="shared" si="42"/>
        <v>23.262599999999999</v>
      </c>
      <c r="AB93" s="234" t="e">
        <f>VLOOKUP(A93,Enforcements!$C$7:$K$9,8,0)</f>
        <v>#N/A</v>
      </c>
      <c r="AC93" s="233" t="e">
        <f>VLOOKUP(A93,Enforcements!$C$7:$E$9,3,0)</f>
        <v>#N/A</v>
      </c>
      <c r="AD93" s="244">
        <f t="shared" si="43"/>
        <v>180</v>
      </c>
      <c r="AE93" s="236" t="str">
        <f t="shared" si="44"/>
        <v>aws s3 cp s3://rtdc.mdm.uploadarchive.raw/RTDC4019/ "%USERPROFILE%\AppData\Local\Temp\OnboardLogs"\RTDC4019\2017-12-01 --exclude "*" --recursive --include "*20171201*" &amp; "%USERPROFILE%\Documents\GitHub\mrs-test-scripts\Headless Mode &amp; Sideloading\WalkAndUnGZ.bat" "%USERPROFILE%\AppData\Local\Temp\OnboardLogs"\RTDC4019\2017-12-01 &amp; aws s3 cp s3://rtdc.mdm.uploadarchive.raw/RTDC4019/ "%USERPROFILE%\AppData\Local\Temp\OnboardLogs"\RTDC4019\2017-12-02 --exclude "*" --recursive --include "*20171202*" &amp; "%USERPROFILE%\Documents\GitHub\mrs-test-scripts\Headless Mode &amp; Sideloading\WalkAndUnGZ.bat" "%USERPROFILE%\AppData\Local\Temp\OnboardLogs"\RTDC4019\2017-12-02</v>
      </c>
      <c r="AF93" s="235" t="str">
        <f t="shared" si="45"/>
        <v>"C:\Program Files (x86)\AstroGrep\AstroGrep.exe" /e /r /s /spath="%USERPROFILE%\AppData\Local\Temp\OnboardLogs" /stypes="app*4019*20171201*" /stext=" 22:.+((SYSTEM_STATE.+slice.+state.+changed )|(ment ac)|(multiple cpu faults)|(system.+state.+changed )|(\[timeout)|(PRM\|1\|D)|(kpr)|(kdp)|(train st.+moving)|(\|lc)|(penalty))"</v>
      </c>
      <c r="AG93" s="245" t="str">
        <f t="shared" si="46"/>
        <v>EC</v>
      </c>
      <c r="AH93" s="237" t="str">
        <f t="shared" si="47"/>
        <v>"%USERPROFILE%\Documents\GitHub\eaglep3\Utilities\RefineRTDCRunTimes.py" --tripid 180-01 --locoid 4019 --swversion DE.1.0.9.0 --startMP 204:232871 --initTime 2017-12-01T14:19:02 --startdatetime 2017-12-01T14:27:17 --delay 56 --endMP 204:245 --enddatetime 2017-12-01T15:04:48 --enforcementcount 0 &gt;&gt;%USERPROFILE%\Documents\GitHub\eaglep3-reporting\EC\2017-12-01-refined-times.txt</v>
      </c>
      <c r="AI93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{"issue":{"subject":"","project_id":79,"tracker_id":40,"status_id":1,"priority_id":2,"assigned_to_id":338,"start_date":"2017-12-01","description":"","custom_fields":[{"id":1,"name":"Subdivision","value":"EC"},{"id":4,"name":"Milepost","value":"0.0245"},{"id":17,"name":"Train ID","value":"180-01"},{"id":16,"name":"Locomotive ID","value":"4019"},{"id":130,"name":"Impact","value":""},{"id":150,"name":"Time of Event (Mountain Time)","value":"15:04:48"},{"id":151,"name":"Denver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4"/>
      <c r="AK93" s="232"/>
      <c r="AL93" s="232"/>
      <c r="AM93" s="241" t="str">
        <f t="shared" si="49"/>
        <v>start /low /b %USERPROFILE%\Documents\GitHub\eaglep3\Utilities\DownloadLogsFromS3.py --loco 4019 --day 2017-12-01</v>
      </c>
      <c r="AN93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22:04:48"},{"id":29,"name":"Sharepoint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1" t="str">
        <f t="shared" si="51"/>
        <v>https://d0f6bd738d7f1b3e5a7ca70fe4ff75f0.us-east-1.aws.found.io/app/kibana#/discover/Steve-Slow-Train-Analysis-(2080s-and-2083s)?_g=(refreshInterval:(display:Off,pause:!f,section:0,value:0),time:(from:'2017-12-01T13:19:02-0700',mode:absolute,to:'2017-12-01T16:04:48-0700'))&amp;_a=(columns:!('Message%20ID',Summary),filters:!(),index:'emp_*',interval:auto,query:(query_string:(analyze_wildcard:!t,query:'%22rtdc.l.rtdc.4019%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230" t="s">
        <v>862</v>
      </c>
      <c r="B94" s="226">
        <v>4006</v>
      </c>
      <c r="C94" s="228" t="s">
        <v>192</v>
      </c>
      <c r="D94" s="228" t="s">
        <v>565</v>
      </c>
      <c r="E94" s="227">
        <v>43070.567986111113</v>
      </c>
      <c r="F94" s="227">
        <v>43070.573067129626</v>
      </c>
      <c r="G94" s="226">
        <v>49</v>
      </c>
      <c r="H94" s="228" t="s">
        <v>998</v>
      </c>
      <c r="I94" s="227">
        <v>43070.59820601852</v>
      </c>
      <c r="J94" s="226">
        <v>0</v>
      </c>
      <c r="K94" s="238" t="str">
        <f t="shared" si="37"/>
        <v>4005/4006</v>
      </c>
      <c r="L94" s="246" t="str">
        <f>VLOOKUP(A94,'Trips&amp;Operators'!$C$1:$G$99911,5,FALSE)</f>
        <v>FORTUNATO FRANK</v>
      </c>
      <c r="M94" s="225">
        <f t="shared" si="52"/>
        <v>2.513888889370719E-2</v>
      </c>
      <c r="N94" s="226">
        <f>24*60*SUM($M94:$M94)</f>
        <v>36.200000006938353</v>
      </c>
      <c r="O94" s="226"/>
      <c r="P94" s="226"/>
      <c r="Q94" s="229"/>
      <c r="R94" s="243"/>
      <c r="S94" s="250">
        <f>1/IF(AG94="EC",12,1)*SUM(U94:U94)</f>
        <v>1</v>
      </c>
      <c r="T94" s="243" t="str">
        <f t="shared" si="39"/>
        <v>NorthBound</v>
      </c>
      <c r="U94" s="24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9" t="str">
        <f t="shared" si="40"/>
        <v>https://d0f6bd738d7f1b3e5a7ca70fe4ff75f0.us-east-1.aws.found.io/app/kibana#/discover/Steve-Slow-Train-Analysis-(2080s-and-2083s)?_g=(refreshInterval:(display:Off,pause:!f,section:0,value:0),time:(from:'2017-12-01T12:37:54-0700',mode:absolute,to:'2017-12-01T15:21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4" s="248" t="str">
        <f>IF(AA94&lt;VLOOKUP(AG94,Variables!$AC$3:$AD$8,2,FALSE),"Y","N")</f>
        <v>N</v>
      </c>
      <c r="X94" s="248">
        <f t="shared" si="41"/>
        <v>1</v>
      </c>
      <c r="Y94" s="248">
        <f t="shared" si="53"/>
        <v>5.1900000000000002E-2</v>
      </c>
      <c r="Z94" s="248">
        <f t="shared" si="54"/>
        <v>23.32</v>
      </c>
      <c r="AA94" s="248">
        <f t="shared" si="42"/>
        <v>23.2681</v>
      </c>
      <c r="AB94" s="234" t="e">
        <f>VLOOKUP(A94,Enforcements!$C$7:$K$9,8,0)</f>
        <v>#N/A</v>
      </c>
      <c r="AC94" s="233" t="e">
        <f>VLOOKUP(A94,Enforcements!$C$7:$E$9,3,0)</f>
        <v>#N/A</v>
      </c>
      <c r="AD94" s="244">
        <f t="shared" si="43"/>
        <v>181</v>
      </c>
      <c r="AE94" s="236" t="str">
        <f t="shared" si="44"/>
        <v>aws s3 cp s3://rtdc.mdm.uploadarchive.raw/RTDC4006/ "%USERPROFILE%\AppData\Local\Temp\OnboardLogs"\RTDC4006\2017-12-01 --exclude "*" --recursive --include "*20171201*" &amp; "%USERPROFILE%\Documents\GitHub\mrs-test-scripts\Headless Mode &amp; Sideloading\WalkAndUnGZ.bat" "%USERPROFILE%\AppData\Local\Temp\OnboardLogs"\RTDC4006\2017-12-01 &amp; aws s3 cp s3://rtdc.mdm.uploadarchive.raw/RTDC4006/ "%USERPROFILE%\AppData\Local\Temp\OnboardLogs"\RTDC4006\2017-12-02 --exclude "*" --recursive --include "*20171202*" &amp; "%USERPROFILE%\Documents\GitHub\mrs-test-scripts\Headless Mode &amp; Sideloading\WalkAndUnGZ.bat" "%USERPROFILE%\AppData\Local\Temp\OnboardLogs"\RTDC4006\2017-12-02</v>
      </c>
      <c r="AF94" s="235" t="str">
        <f t="shared" si="45"/>
        <v>"C:\Program Files (x86)\AstroGrep\AstroGrep.exe" /e /r /s /spath="%USERPROFILE%\AppData\Local\Temp\OnboardLogs" /stypes="app*4006*20171201*" /stext=" 21:.+((SYSTEM_STATE.+slice.+state.+changed )|(ment ac)|(multiple cpu faults)|(system.+state.+changed )|(\[timeout)|(PRM\|1\|D)|(kpr)|(kdp)|(train st.+moving)|(\|lc)|(penalty))"</v>
      </c>
      <c r="AG94" s="245" t="str">
        <f t="shared" si="46"/>
        <v>EC</v>
      </c>
      <c r="AH94" s="237" t="str">
        <f t="shared" si="47"/>
        <v>"%USERPROFILE%\Documents\GitHub\eaglep3\Utilities\RefineRTDCRunTimes.py" --tripid 181-01 --locoid 4006 --swversion DE.1.0.9.0 --startMP 204:519 --initTime 2017-12-01T13:37:54 --startdatetime 2017-12-01T13:45:13 --delay 49 --endMP 204:233200 --enddatetime 2017-12-01T14:21:25 --enforcementcount 0 &gt;&gt;%USERPROFILE%\Documents\GitHub\eaglep3-reporting\EC\2017-12-01-refined-times.txt</v>
      </c>
      <c r="AI94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{"issue":{"subject":"","project_id":79,"tracker_id":40,"status_id":1,"priority_id":2,"assigned_to_id":338,"start_date":"2017-12-01","description":"","custom_fields":[{"id":1,"name":"Subdivision","value":"EC"},{"id":4,"name":"Milepost","value":"23.32"},{"id":17,"name":"Train ID","value":"181-01"},{"id":16,"name":"Locomotive ID","value":"4006"},{"id":130,"name":"Impact","value":""},{"id":150,"name":"Time of Event (Mountain Time)","value":"14:21:25"},{"id":151,"name":"Denver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4"/>
      <c r="AK94" s="232"/>
      <c r="AL94" s="232"/>
      <c r="AM94" s="241" t="str">
        <f t="shared" si="49"/>
        <v>start /low /b %USERPROFILE%\Documents\GitHub\eaglep3\Utilities\DownloadLogsFromS3.py --loco 4006 --day 2017-12-01</v>
      </c>
      <c r="AN94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21:21:25"},{"id":29,"name":"Sharepoint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1" t="str">
        <f t="shared" si="51"/>
        <v>https://d0f6bd738d7f1b3e5a7ca70fe4ff75f0.us-east-1.aws.found.io/app/kibana#/discover/Steve-Slow-Train-Analysis-(2080s-and-2083s)?_g=(refreshInterval:(display:Off,pause:!f,section:0,value:0),time:(from:'2017-12-01T12:37:54-0700',mode:absolute,to:'2017-12-01T15:21:25-0700'))&amp;_a=(columns:!('Message%20ID',Summary),filters:!(),index:'emp_*',interval:auto,query:(query_string:(analyze_wildcard:!t,query:'%22rtdc.l.rtdc.4006%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230" t="s">
        <v>736</v>
      </c>
      <c r="B95" s="226">
        <v>4005</v>
      </c>
      <c r="C95" s="228" t="s">
        <v>192</v>
      </c>
      <c r="D95" s="228" t="s">
        <v>509</v>
      </c>
      <c r="E95" s="227">
        <v>43070.609814814816</v>
      </c>
      <c r="F95" s="227">
        <v>43070.631550925929</v>
      </c>
      <c r="G95" s="226">
        <v>76</v>
      </c>
      <c r="H95" s="228" t="s">
        <v>999</v>
      </c>
      <c r="I95" s="227">
        <v>43070.641377314816</v>
      </c>
      <c r="J95" s="226">
        <v>0</v>
      </c>
      <c r="K95" s="238" t="str">
        <f t="shared" si="37"/>
        <v>4005/4006</v>
      </c>
      <c r="L95" s="246" t="str">
        <f>VLOOKUP(A95,'Trips&amp;Operators'!$C$1:$G$99911,5,FALSE)</f>
        <v>FORTUNATO FRANK</v>
      </c>
      <c r="M95" s="225">
        <f t="shared" si="52"/>
        <v>9.8263888867222704E-3</v>
      </c>
      <c r="N95" s="226"/>
      <c r="O95" s="226"/>
      <c r="P95" s="226">
        <f>24*60*SUM($M95:$M95)</f>
        <v>14.149999996880069</v>
      </c>
      <c r="Q95" s="229"/>
      <c r="R95" s="243" t="s">
        <v>476</v>
      </c>
      <c r="S95" s="250">
        <f>1/IF(AG95="EC",12,1)*SUM(U95:U96)</f>
        <v>0.91666666666666663</v>
      </c>
      <c r="T95" s="243" t="str">
        <f t="shared" si="39"/>
        <v>Southbound</v>
      </c>
      <c r="U95" s="24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2</v>
      </c>
      <c r="V95" s="249" t="str">
        <f t="shared" si="40"/>
        <v>https://d0f6bd738d7f1b3e5a7ca70fe4ff75f0.us-east-1.aws.found.io/app/kibana#/discover/Steve-Slow-Train-Analysis-(2080s-and-2083s)?_g=(refreshInterval:(display:Off,pause:!f,section:0,value:0),time:(from:'2017-12-01T13:38:08-0700',mode:absolute,to:'2017-12-01T16:23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5" s="248" t="str">
        <f>IF(AA95&lt;VLOOKUP(AG95,Variables!$AC$3:$AD$8,2,FALSE),"Y","N")</f>
        <v>Y</v>
      </c>
      <c r="X95" s="248">
        <f t="shared" si="41"/>
        <v>1</v>
      </c>
      <c r="Y95" s="248">
        <f t="shared" si="53"/>
        <v>23.2879</v>
      </c>
      <c r="Z95" s="248">
        <f t="shared" si="54"/>
        <v>8.0920000000000005</v>
      </c>
      <c r="AA95" s="248">
        <f t="shared" si="42"/>
        <v>15.1959</v>
      </c>
      <c r="AB95" s="234" t="e">
        <f>VLOOKUP(A95,Enforcements!$C$7:$K$9,8,0)</f>
        <v>#N/A</v>
      </c>
      <c r="AC95" s="233" t="e">
        <f>VLOOKUP(A95,Enforcements!$C$7:$E$9,3,0)</f>
        <v>#N/A</v>
      </c>
      <c r="AD95" s="244">
        <f t="shared" si="43"/>
        <v>182</v>
      </c>
      <c r="AE95" s="236" t="str">
        <f t="shared" si="44"/>
        <v>aws s3 cp s3://rtdc.mdm.uploadarchive.raw/RTDC4005/ "%USERPROFILE%\AppData\Local\Temp\OnboardLogs"\RTDC4005\2017-12-01 --exclude "*" --recursive --include "*20171201*" &amp; "%USERPROFILE%\Documents\GitHub\mrs-test-scripts\Headless Mode &amp; Sideloading\WalkAndUnGZ.bat" "%USERPROFILE%\AppData\Local\Temp\OnboardLogs"\RTDC4005\2017-12-01 &amp; aws s3 cp s3://rtdc.mdm.uploadarchive.raw/RTDC4005/ "%USERPROFILE%\AppData\Local\Temp\OnboardLogs"\RTDC4005\2017-12-02 --exclude "*" --recursive --include "*20171202*" &amp; "%USERPROFILE%\Documents\GitHub\mrs-test-scripts\Headless Mode &amp; Sideloading\WalkAndUnGZ.bat" "%USERPROFILE%\AppData\Local\Temp\OnboardLogs"\RTDC4005\2017-12-02</v>
      </c>
      <c r="AF95" s="235" t="str">
        <f t="shared" si="45"/>
        <v>"C:\Program Files (x86)\AstroGrep\AstroGrep.exe" /e /r /s /spath="%USERPROFILE%\AppData\Local\Temp\OnboardLogs" /stypes="app*4005*20171201*" /stext=" 22:.+((SYSTEM_STATE.+slice.+state.+changed )|(ment ac)|(multiple cpu faults)|(system.+state.+changed )|(\[timeout)|(PRM\|1\|D)|(kpr)|(kdp)|(train st.+moving)|(\|lc)|(penalty))"</v>
      </c>
      <c r="AG95" s="245" t="str">
        <f t="shared" si="46"/>
        <v>EC</v>
      </c>
      <c r="AH95" s="237" t="str">
        <f t="shared" si="47"/>
        <v>"%USERPROFILE%\Documents\GitHub\eaglep3\Utilities\RefineRTDCRunTimes.py" --tripid 182-01 --locoid 4005 --swversion DE.1.0.9.0 --startMP 204:232879 --initTime 2017-12-01T14:38:08 --startdatetime 2017-12-01T15:09:26 --delay 76 --endMP 204:80920 --enddatetime 2017-12-01T15:23:35 --enforcementcount 0 &gt;&gt;%USERPROFILE%\Documents\GitHub\eaglep3-reporting\EC\2017-12-01-refined-times.txt</v>
      </c>
      <c r="AI95" s="239" t="str">
        <f t="shared" si="48"/>
        <v>echo {"issue":{"subject":"Wi-MAX data drop","project_id":79,"tracker_id":40,"status_id":1,"priority_id":2,"assigned_to_id":338,"start_date":"2017-12-01","description":"","custom_fields":[{"id":1,"name":"Subdivision","value":"EC"},{"id":4,"name":"Milepost","value":"8.092"},{"id":17,"name":"Train ID","value":"182-01"},{"id":16,"name":"Locomotive ID","value":"4005"},{"id":130,"name":"Impact","value":""},{"id":150,"name":"Time of Event (Mountain Time)","value":"15:23:35"},{"id":151,"name":"Denver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4"/>
      <c r="AK95" s="232"/>
      <c r="AL95" s="232"/>
      <c r="AM95" s="241" t="str">
        <f t="shared" si="49"/>
        <v>start /low /b %USERPROFILE%\Documents\GitHub\eaglep3\Utilities\DownloadLogsFromS3.py --loco 4005 --day 2017-12-01</v>
      </c>
      <c r="AN95" s="242" t="str">
        <f t="shared" si="50"/>
        <v>echo {"issue":{"subject":"Wi-MAX data drop","project_id":30,"tracker_id":4,"status_id":1,"priority_id":1,"assigned_to_id":10,"start_date":"2017-12-01","description":"","custom_fields":[{"id":30,"name":"Category","value":"Issue"},{"id":3,"name":"Functional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22:23:35"},{"id":29,"name":"Sharepoint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1" t="str">
        <f t="shared" si="51"/>
        <v>https://d0f6bd738d7f1b3e5a7ca70fe4ff75f0.us-east-1.aws.found.io/app/kibana#/discover/Steve-Slow-Train-Analysis-(2080s-and-2083s)?_g=(refreshInterval:(display:Off,pause:!f,section:0,value:0),time:(from:'2017-12-01T13:38:08-0700',mode:absolute,to:'2017-12-01T16:23:35-0700'))&amp;_a=(columns:!('Message%20ID',Summary),filters:!(),index:'emp_*',interval:auto,query:(query_string:(analyze_wildcard:!t,query:'%22rtdc.l.rtdc.4005%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230" t="s">
        <v>736</v>
      </c>
      <c r="B96" s="226">
        <v>4005</v>
      </c>
      <c r="C96" s="228" t="s">
        <v>192</v>
      </c>
      <c r="D96" s="228" t="s">
        <v>1000</v>
      </c>
      <c r="E96" s="227">
        <v>43070.630624999998</v>
      </c>
      <c r="F96" s="227">
        <v>43070.631550925929</v>
      </c>
      <c r="G96" s="226">
        <v>38</v>
      </c>
      <c r="H96" s="228" t="s">
        <v>420</v>
      </c>
      <c r="I96" s="227">
        <v>43070.641377314816</v>
      </c>
      <c r="J96" s="226">
        <v>0</v>
      </c>
      <c r="K96" s="238" t="str">
        <f t="shared" si="37"/>
        <v>4005/4006</v>
      </c>
      <c r="L96" s="246" t="str">
        <f>VLOOKUP(A96,'Trips&amp;Operators'!$C$1:$G$99911,5,FALSE)</f>
        <v>FORTUNATO FRANK</v>
      </c>
      <c r="M96" s="225">
        <f t="shared" si="52"/>
        <v>9.8263888867222704E-3</v>
      </c>
      <c r="N96" s="226"/>
      <c r="O96" s="226"/>
      <c r="P96" s="226"/>
      <c r="Q96" s="229"/>
      <c r="R96" s="243"/>
      <c r="S96" s="250"/>
      <c r="T96" s="243" t="str">
        <f t="shared" si="39"/>
        <v>Southbound</v>
      </c>
      <c r="U96" s="24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9</v>
      </c>
      <c r="V96" s="249" t="str">
        <f t="shared" si="40"/>
        <v>https://d0f6bd738d7f1b3e5a7ca70fe4ff75f0.us-east-1.aws.found.io/app/kibana#/discover/Steve-Slow-Train-Analysis-(2080s-and-2083s)?_g=(refreshInterval:(display:Off,pause:!f,section:0,value:0),time:(from:'2017-12-01T14:08:06-0700',mode:absolute,to:'2017-12-01T16:23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6" s="248" t="str">
        <f>IF(AA96&lt;VLOOKUP(AG96,Variables!$AC$3:$AD$8,2,FALSE),"Y","N")</f>
        <v>Y</v>
      </c>
      <c r="X96" s="248">
        <f t="shared" si="41"/>
        <v>0</v>
      </c>
      <c r="Y96" s="248">
        <f t="shared" si="53"/>
        <v>6.4149000000000003</v>
      </c>
      <c r="Z96" s="248">
        <f t="shared" si="54"/>
        <v>2.29E-2</v>
      </c>
      <c r="AA96" s="248">
        <f t="shared" si="42"/>
        <v>6.3920000000000003</v>
      </c>
      <c r="AB96" s="234" t="e">
        <f>VLOOKUP(A96,Enforcements!$C$7:$K$9,8,0)</f>
        <v>#N/A</v>
      </c>
      <c r="AC96" s="233" t="e">
        <f>VLOOKUP(A96,Enforcements!$C$7:$E$9,3,0)</f>
        <v>#N/A</v>
      </c>
      <c r="AD96" s="244">
        <f t="shared" si="43"/>
        <v>182</v>
      </c>
      <c r="AE96" s="236" t="str">
        <f t="shared" si="44"/>
        <v>aws s3 cp s3://rtdc.mdm.uploadarchive.raw/RTDC4005/ "%USERPROFILE%\AppData\Local\Temp\OnboardLogs"\RTDC4005\2017-12-01 --exclude "*" --recursive --include "*20171201*" &amp; "%USERPROFILE%\Documents\GitHub\mrs-test-scripts\Headless Mode &amp; Sideloading\WalkAndUnGZ.bat" "%USERPROFILE%\AppData\Local\Temp\OnboardLogs"\RTDC4005\2017-12-01 &amp; aws s3 cp s3://rtdc.mdm.uploadarchive.raw/RTDC4005/ "%USERPROFILE%\AppData\Local\Temp\OnboardLogs"\RTDC4005\2017-12-02 --exclude "*" --recursive --include "*20171202*" &amp; "%USERPROFILE%\Documents\GitHub\mrs-test-scripts\Headless Mode &amp; Sideloading\WalkAndUnGZ.bat" "%USERPROFILE%\AppData\Local\Temp\OnboardLogs"\RTDC4005\2017-12-02</v>
      </c>
      <c r="AF96" s="235" t="str">
        <f t="shared" si="45"/>
        <v>"C:\Program Files (x86)\AstroGrep\AstroGrep.exe" /e /r /s /spath="%USERPROFILE%\AppData\Local\Temp\OnboardLogs" /stypes="app*4005*20171201*" /stext=" 22:.+((SYSTEM_STATE.+slice.+state.+changed )|(ment ac)|(multiple cpu faults)|(system.+state.+changed )|(\[timeout)|(PRM\|1\|D)|(kpr)|(kdp)|(train st.+moving)|(\|lc)|(penalty))"</v>
      </c>
      <c r="AG96" s="245" t="str">
        <f t="shared" si="46"/>
        <v>EC</v>
      </c>
      <c r="AH96" s="237" t="str">
        <f t="shared" si="47"/>
        <v>"%USERPROFILE%\Documents\GitHub\eaglep3\Utilities\RefineRTDCRunTimes.py" --tripid 182-01 --locoid 4005 --swversion DE.1.0.9.0 --startMP 204:64149 --initTime 2017-12-01T15:08:06 --startdatetime 2017-12-01T15:09:26 --delay 38 --endMP 204:229 --enddatetime 2017-12-01T15:23:35 --enforcementcount 0 &gt;&gt;%USERPROFILE%\Documents\GitHub\eaglep3-reporting\EC\2017-12-01-refined-times.txt</v>
      </c>
      <c r="AI96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{"issue":{"subject":"","project_id":79,"tracker_id":40,"status_id":1,"priority_id":2,"assigned_to_id":338,"start_date":"2017-12-01","description":"","custom_fields":[{"id":1,"name":"Subdivision","value":"EC"},{"id":4,"name":"Milepost","value":"0.0229"},{"id":17,"name":"Train ID","value":"182-01"},{"id":16,"name":"Locomotive ID","value":"4005"},{"id":130,"name":"Impact","value":""},{"id":150,"name":"Time of Event (Mountain Time)","value":"15:23:35"},{"id":151,"name":"Denver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4"/>
      <c r="AK96" s="232"/>
      <c r="AL96" s="232"/>
      <c r="AM96" s="241" t="str">
        <f t="shared" si="49"/>
        <v>start /low /b %USERPROFILE%\Documents\GitHub\eaglep3\Utilities\DownloadLogsFromS3.py --loco 4005 --day 2017-12-01</v>
      </c>
      <c r="AN96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22:23:35"},{"id":29,"name":"Sharepoint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1" t="str">
        <f t="shared" si="51"/>
        <v>https://d0f6bd738d7f1b3e5a7ca70fe4ff75f0.us-east-1.aws.found.io/app/kibana#/discover/Steve-Slow-Train-Analysis-(2080s-and-2083s)?_g=(refreshInterval:(display:Off,pause:!f,section:0,value:0),time:(from:'2017-12-01T14:08:06-0700',mode:absolute,to:'2017-12-01T16:23:35-0700'))&amp;_a=(columns:!('Message%20ID',Summary),filters:!(),index:'emp_*',interval:auto,query:(query_string:(analyze_wildcard:!t,query:'%22rtdc.l.rtdc.4005%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230" t="s">
        <v>863</v>
      </c>
      <c r="B97" s="226">
        <v>4046</v>
      </c>
      <c r="C97" s="228" t="s">
        <v>192</v>
      </c>
      <c r="D97" s="228" t="s">
        <v>466</v>
      </c>
      <c r="E97" s="227">
        <v>43070.58011574074</v>
      </c>
      <c r="F97" s="227">
        <v>43070.583587962959</v>
      </c>
      <c r="G97" s="226">
        <v>56</v>
      </c>
      <c r="H97" s="228" t="s">
        <v>619</v>
      </c>
      <c r="I97" s="227">
        <v>43070.608668981484</v>
      </c>
      <c r="J97" s="226">
        <v>0</v>
      </c>
      <c r="K97" s="238" t="str">
        <f t="shared" si="37"/>
        <v>4045/4046</v>
      </c>
      <c r="L97" s="246" t="str">
        <f>VLOOKUP(A97,'Trips&amp;Operators'!$C$1:$G$99911,5,FALSE)</f>
        <v>LEVIN SCOTT</v>
      </c>
      <c r="M97" s="225">
        <f t="shared" si="52"/>
        <v>2.5081018524360843E-2</v>
      </c>
      <c r="N97" s="226">
        <f t="shared" ref="N97:N121" si="55">24*60*SUM($M97:$M97)</f>
        <v>36.116666675079614</v>
      </c>
      <c r="O97" s="226"/>
      <c r="P97" s="226"/>
      <c r="Q97" s="229"/>
      <c r="R97" s="243"/>
      <c r="S97" s="250">
        <f t="shared" ref="S97:S127" si="56">1/IF(AG97="EC",12,1)*SUM(U97:U97)</f>
        <v>1</v>
      </c>
      <c r="T97" s="243" t="str">
        <f t="shared" si="39"/>
        <v>NorthBound</v>
      </c>
      <c r="U97" s="24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9" t="str">
        <f t="shared" si="40"/>
        <v>https://d0f6bd738d7f1b3e5a7ca70fe4ff75f0.us-east-1.aws.found.io/app/kibana#/discover/Steve-Slow-Train-Analysis-(2080s-and-2083s)?_g=(refreshInterval:(display:Off,pause:!f,section:0,value:0),time:(from:'2017-12-01T12:55:22-0700',mode:absolute,to:'2017-12-01T15:36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7" s="248" t="str">
        <f>IF(AA97&lt;VLOOKUP(AG97,Variables!$AC$3:$AD$8,2,FALSE),"Y","N")</f>
        <v>N</v>
      </c>
      <c r="X97" s="248">
        <f t="shared" si="41"/>
        <v>1</v>
      </c>
      <c r="Y97" s="248">
        <f t="shared" si="53"/>
        <v>4.4600000000000001E-2</v>
      </c>
      <c r="Z97" s="248">
        <f t="shared" si="54"/>
        <v>23.322800000000001</v>
      </c>
      <c r="AA97" s="248">
        <f t="shared" si="42"/>
        <v>23.278200000000002</v>
      </c>
      <c r="AB97" s="234" t="e">
        <f>VLOOKUP(A97,Enforcements!$C$7:$K$9,8,0)</f>
        <v>#N/A</v>
      </c>
      <c r="AC97" s="233" t="e">
        <f>VLOOKUP(A97,Enforcements!$C$7:$E$9,3,0)</f>
        <v>#N/A</v>
      </c>
      <c r="AD97" s="244">
        <f t="shared" si="43"/>
        <v>183</v>
      </c>
      <c r="AE97" s="236" t="str">
        <f t="shared" si="44"/>
        <v>aws s3 cp s3://rtdc.mdm.uploadarchive.raw/RTDC4046/ "%USERPROFILE%\AppData\Local\Temp\OnboardLogs"\RTDC4046\2017-12-01 --exclude "*" --recursive --include "*20171201*" &amp; "%USERPROFILE%\Documents\GitHub\mrs-test-scripts\Headless Mode &amp; Sideloading\WalkAndUnGZ.bat" "%USERPROFILE%\AppData\Local\Temp\OnboardLogs"\RTDC4046\2017-12-01 &amp; aws s3 cp s3://rtdc.mdm.uploadarchive.raw/RTDC4046/ "%USERPROFILE%\AppData\Local\Temp\OnboardLogs"\RTDC4046\2017-12-02 --exclude "*" --recursive --include "*20171202*" &amp; "%USERPROFILE%\Documents\GitHub\mrs-test-scripts\Headless Mode &amp; Sideloading\WalkAndUnGZ.bat" "%USERPROFILE%\AppData\Local\Temp\OnboardLogs"\RTDC4046\2017-12-02</v>
      </c>
      <c r="AF97" s="235" t="str">
        <f t="shared" si="45"/>
        <v>"C:\Program Files (x86)\AstroGrep\AstroGrep.exe" /e /r /s /spath="%USERPROFILE%\AppData\Local\Temp\OnboardLogs" /stypes="app*4046*20171201*" /stext=" 21:.+((SYSTEM_STATE.+slice.+state.+changed )|(ment ac)|(multiple cpu faults)|(system.+state.+changed )|(\[timeout)|(PRM\|1\|D)|(kpr)|(kdp)|(train st.+moving)|(\|lc)|(penalty))"</v>
      </c>
      <c r="AG97" s="245" t="str">
        <f t="shared" si="46"/>
        <v>EC</v>
      </c>
      <c r="AH97" s="237" t="str">
        <f t="shared" si="47"/>
        <v>"%USERPROFILE%\Documents\GitHub\eaglep3\Utilities\RefineRTDCRunTimes.py" --tripid 183-01 --locoid 4046 --swversion DE.1.0.9.0 --startMP 204:446 --initTime 2017-12-01T13:55:22 --startdatetime 2017-12-01T14:00:22 --delay 56 --endMP 204:233228 --enddatetime 2017-12-01T14:36:29 --enforcementcount 0 &gt;&gt;%USERPROFILE%\Documents\GitHub\eaglep3-reporting\EC\2017-12-01-refined-times.txt</v>
      </c>
      <c r="AI97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{"issue":{"subject":"","project_id":79,"tracker_id":40,"status_id":1,"priority_id":2,"assigned_to_id":338,"start_date":"2017-12-01","description":"","custom_fields":[{"id":1,"name":"Subdivision","value":"EC"},{"id":4,"name":"Milepost","value":"23.3228"},{"id":17,"name":"Train ID","value":"183-01"},{"id":16,"name":"Locomotive ID","value":"4046"},{"id":130,"name":"Impact","value":""},{"id":150,"name":"Time of Event (Mountain Time)","value":"14:36:29"},{"id":151,"name":"Denver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4"/>
      <c r="AK97" s="232"/>
      <c r="AL97" s="232"/>
      <c r="AM97" s="241" t="str">
        <f t="shared" si="49"/>
        <v>start /low /b %USERPROFILE%\Documents\GitHub\eaglep3\Utilities\DownloadLogsFromS3.py --loco 4046 --day 2017-12-01</v>
      </c>
      <c r="AN97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21:36:29"},{"id":29,"name":"Sharepoint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1" t="str">
        <f t="shared" si="51"/>
        <v>https://d0f6bd738d7f1b3e5a7ca70fe4ff75f0.us-east-1.aws.found.io/app/kibana#/discover/Steve-Slow-Train-Analysis-(2080s-and-2083s)?_g=(refreshInterval:(display:Off,pause:!f,section:0,value:0),time:(from:'2017-12-01T12:55:22-0700',mode:absolute,to:'2017-12-01T15:36:29-0700'))&amp;_a=(columns:!('Message%20ID',Summary),filters:!(),index:'emp_*',interval:auto,query:(query_string:(analyze_wildcard:!t,query:'%22rtdc.l.rtdc.4046%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230" t="s">
        <v>871</v>
      </c>
      <c r="B98" s="226">
        <v>4045</v>
      </c>
      <c r="C98" s="228" t="s">
        <v>192</v>
      </c>
      <c r="D98" s="228" t="s">
        <v>690</v>
      </c>
      <c r="E98" s="227">
        <v>43070.615416666667</v>
      </c>
      <c r="F98" s="227">
        <v>43070.623148148145</v>
      </c>
      <c r="G98" s="226">
        <v>91</v>
      </c>
      <c r="H98" s="228" t="s">
        <v>475</v>
      </c>
      <c r="I98" s="227">
        <v>43070.648865740739</v>
      </c>
      <c r="J98" s="226">
        <v>0</v>
      </c>
      <c r="K98" s="238" t="str">
        <f t="shared" si="37"/>
        <v>4045/4046</v>
      </c>
      <c r="L98" s="246" t="str">
        <f>VLOOKUP(A98,'Trips&amp;Operators'!$C$1:$G$99911,5,FALSE)</f>
        <v>LEVIN SCOTT</v>
      </c>
      <c r="M98" s="225">
        <f t="shared" si="52"/>
        <v>2.5717592594446614E-2</v>
      </c>
      <c r="N98" s="226">
        <f t="shared" si="55"/>
        <v>37.033333336003125</v>
      </c>
      <c r="O98" s="226"/>
      <c r="P98" s="226"/>
      <c r="Q98" s="229"/>
      <c r="R98" s="243"/>
      <c r="S98" s="250">
        <f t="shared" si="56"/>
        <v>1</v>
      </c>
      <c r="T98" s="243" t="str">
        <f t="shared" si="39"/>
        <v>Southbound</v>
      </c>
      <c r="U98" s="24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9" t="str">
        <f t="shared" si="40"/>
        <v>https://d0f6bd738d7f1b3e5a7ca70fe4ff75f0.us-east-1.aws.found.io/app/kibana#/discover/Steve-Slow-Train-Analysis-(2080s-and-2083s)?_g=(refreshInterval:(display:Off,pause:!f,section:0,value:0),time:(from:'2017-12-01T13:46:12-0700',mode:absolute,to:'2017-12-01T16:34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8" s="248" t="str">
        <f>IF(AA98&lt;VLOOKUP(AG98,Variables!$AC$3:$AD$8,2,FALSE),"Y","N")</f>
        <v>N</v>
      </c>
      <c r="X98" s="248">
        <f t="shared" si="41"/>
        <v>1</v>
      </c>
      <c r="Y98" s="248">
        <f t="shared" si="53"/>
        <v>23.2911</v>
      </c>
      <c r="Z98" s="248">
        <f t="shared" si="54"/>
        <v>1.52E-2</v>
      </c>
      <c r="AA98" s="248">
        <f t="shared" si="42"/>
        <v>23.2759</v>
      </c>
      <c r="AB98" s="234" t="e">
        <f>VLOOKUP(A98,Enforcements!$C$7:$K$9,8,0)</f>
        <v>#N/A</v>
      </c>
      <c r="AC98" s="233" t="e">
        <f>VLOOKUP(A98,Enforcements!$C$7:$E$9,3,0)</f>
        <v>#N/A</v>
      </c>
      <c r="AD98" s="244">
        <f t="shared" si="43"/>
        <v>184</v>
      </c>
      <c r="AE98" s="236" t="str">
        <f t="shared" si="44"/>
        <v>aws s3 cp s3://rtdc.mdm.uploadarchive.raw/RTDC4045/ "%USERPROFILE%\AppData\Local\Temp\OnboardLogs"\RTDC4045\2017-12-01 --exclude "*" --recursive --include "*20171201*" &amp; "%USERPROFILE%\Documents\GitHub\mrs-test-scripts\Headless Mode &amp; Sideloading\WalkAndUnGZ.bat" "%USERPROFILE%\AppData\Local\Temp\OnboardLogs"\RTDC4045\2017-12-01 &amp; aws s3 cp s3://rtdc.mdm.uploadarchive.raw/RTDC4045/ "%USERPROFILE%\AppData\Local\Temp\OnboardLogs"\RTDC4045\2017-12-02 --exclude "*" --recursive --include "*20171202*" &amp; "%USERPROFILE%\Documents\GitHub\mrs-test-scripts\Headless Mode &amp; Sideloading\WalkAndUnGZ.bat" "%USERPROFILE%\AppData\Local\Temp\OnboardLogs"\RTDC4045\2017-12-02</v>
      </c>
      <c r="AF98" s="235" t="str">
        <f t="shared" si="45"/>
        <v>"C:\Program Files (x86)\AstroGrep\AstroGrep.exe" /e /r /s /spath="%USERPROFILE%\AppData\Local\Temp\OnboardLogs" /stypes="app*4045*20171201*" /stext=" 22:.+((SYSTEM_STATE.+slice.+state.+changed )|(ment ac)|(multiple cpu faults)|(system.+state.+changed )|(\[timeout)|(PRM\|1\|D)|(kpr)|(kdp)|(train st.+moving)|(\|lc)|(penalty))"</v>
      </c>
      <c r="AG98" s="245" t="str">
        <f t="shared" si="46"/>
        <v>EC</v>
      </c>
      <c r="AH98" s="237" t="str">
        <f t="shared" si="47"/>
        <v>"%USERPROFILE%\Documents\GitHub\eaglep3\Utilities\RefineRTDCRunTimes.py" --tripid 184-01 --locoid 4045 --swversion DE.1.0.9.0 --startMP 204:232911 --initTime 2017-12-01T14:46:12 --startdatetime 2017-12-01T14:57:20 --delay 91 --endMP 204:152 --enddatetime 2017-12-01T15:34:22 --enforcementcount 0 &gt;&gt;%USERPROFILE%\Documents\GitHub\eaglep3-reporting\EC\2017-12-01-refined-times.txt</v>
      </c>
      <c r="AI98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{"issue":{"subject":"","project_id":79,"tracker_id":40,"status_id":1,"priority_id":2,"assigned_to_id":338,"start_date":"2017-12-01","description":"","custom_fields":[{"id":1,"name":"Subdivision","value":"EC"},{"id":4,"name":"Milepost","value":"0.0152"},{"id":17,"name":"Train ID","value":"184-01"},{"id":16,"name":"Locomotive ID","value":"4045"},{"id":130,"name":"Impact","value":""},{"id":150,"name":"Time of Event (Mountain Time)","value":"15:34:22"},{"id":151,"name":"Denver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4"/>
      <c r="AK98" s="232"/>
      <c r="AL98" s="232"/>
      <c r="AM98" s="241" t="str">
        <f t="shared" si="49"/>
        <v>start /low /b %USERPROFILE%\Documents\GitHub\eaglep3\Utilities\DownloadLogsFromS3.py --loco 4045 --day 2017-12-01</v>
      </c>
      <c r="AN98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22:34:22"},{"id":29,"name":"Sharepoint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1" t="str">
        <f t="shared" si="51"/>
        <v>https://d0f6bd738d7f1b3e5a7ca70fe4ff75f0.us-east-1.aws.found.io/app/kibana#/discover/Steve-Slow-Train-Analysis-(2080s-and-2083s)?_g=(refreshInterval:(display:Off,pause:!f,section:0,value:0),time:(from:'2017-12-01T13:46:12-0700',mode:absolute,to:'2017-12-01T16:34:22-0700'))&amp;_a=(columns:!('Message%20ID',Summary),filters:!(),index:'emp_*',interval:auto,query:(query_string:(analyze_wildcard:!t,query:'%22rtdc.l.rtdc.4045%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230" t="s">
        <v>866</v>
      </c>
      <c r="B99" s="226">
        <v>4002</v>
      </c>
      <c r="C99" s="228" t="s">
        <v>192</v>
      </c>
      <c r="D99" s="228" t="s">
        <v>572</v>
      </c>
      <c r="E99" s="227">
        <v>43070.589930555558</v>
      </c>
      <c r="F99" s="227">
        <v>43070.594039351854</v>
      </c>
      <c r="G99" s="226">
        <v>76</v>
      </c>
      <c r="H99" s="228" t="s">
        <v>625</v>
      </c>
      <c r="I99" s="227">
        <v>43070.619120370371</v>
      </c>
      <c r="J99" s="226">
        <v>0</v>
      </c>
      <c r="K99" s="238" t="str">
        <f t="shared" si="37"/>
        <v>4001/4002</v>
      </c>
      <c r="L99" s="246" t="str">
        <f>VLOOKUP(A99,'Trips&amp;Operators'!$C$1:$G$99911,5,FALSE)</f>
        <v>MOSES BRADLEY</v>
      </c>
      <c r="M99" s="225">
        <f t="shared" si="52"/>
        <v>2.5081018517084885E-2</v>
      </c>
      <c r="N99" s="226">
        <f t="shared" si="55"/>
        <v>36.116666664602235</v>
      </c>
      <c r="O99" s="226"/>
      <c r="P99" s="226"/>
      <c r="Q99" s="229"/>
      <c r="R99" s="243"/>
      <c r="S99" s="250">
        <f t="shared" si="56"/>
        <v>1</v>
      </c>
      <c r="T99" s="243" t="str">
        <f t="shared" si="39"/>
        <v>NorthBound</v>
      </c>
      <c r="U99" s="24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9" t="str">
        <f t="shared" si="40"/>
        <v>https://d0f6bd738d7f1b3e5a7ca70fe4ff75f0.us-east-1.aws.found.io/app/kibana#/discover/Steve-Slow-Train-Analysis-(2080s-and-2083s)?_g=(refreshInterval:(display:Off,pause:!f,section:0,value:0),time:(from:'2017-12-01T13:09:30-0700',mode:absolute,to:'2017-12-01T15:51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9" s="248" t="str">
        <f>IF(AA99&lt;VLOOKUP(AG99,Variables!$AC$3:$AD$8,2,FALSE),"Y","N")</f>
        <v>N</v>
      </c>
      <c r="X99" s="248">
        <f t="shared" si="41"/>
        <v>1</v>
      </c>
      <c r="Y99" s="248">
        <f t="shared" si="53"/>
        <v>4.8399999999999999E-2</v>
      </c>
      <c r="Z99" s="248">
        <f t="shared" si="54"/>
        <v>23.323799999999999</v>
      </c>
      <c r="AA99" s="248">
        <f t="shared" si="42"/>
        <v>23.275399999999998</v>
      </c>
      <c r="AB99" s="234" t="e">
        <f>VLOOKUP(A99,Enforcements!$C$7:$K$9,8,0)</f>
        <v>#N/A</v>
      </c>
      <c r="AC99" s="233" t="e">
        <f>VLOOKUP(A99,Enforcements!$C$7:$E$9,3,0)</f>
        <v>#N/A</v>
      </c>
      <c r="AD99" s="244">
        <f t="shared" si="43"/>
        <v>185</v>
      </c>
      <c r="AE99" s="236" t="str">
        <f t="shared" si="44"/>
        <v>aws s3 cp s3://rtdc.mdm.uploadarchive.raw/RTDC4002/ "%USERPROFILE%\AppData\Local\Temp\OnboardLogs"\RTDC4002\2017-12-01 --exclude "*" --recursive --include "*20171201*" &amp; "%USERPROFILE%\Documents\GitHub\mrs-test-scripts\Headless Mode &amp; Sideloading\WalkAndUnGZ.bat" "%USERPROFILE%\AppData\Local\Temp\OnboardLogs"\RTDC4002\2017-12-01 &amp; aws s3 cp s3://rtdc.mdm.uploadarchive.raw/RTDC4002/ "%USERPROFILE%\AppData\Local\Temp\OnboardLogs"\RTDC4002\2017-12-02 --exclude "*" --recursive --include "*20171202*" &amp; "%USERPROFILE%\Documents\GitHub\mrs-test-scripts\Headless Mode &amp; Sideloading\WalkAndUnGZ.bat" "%USERPROFILE%\AppData\Local\Temp\OnboardLogs"\RTDC4002\2017-12-02</v>
      </c>
      <c r="AF99" s="235" t="str">
        <f t="shared" si="45"/>
        <v>"C:\Program Files (x86)\AstroGrep\AstroGrep.exe" /e /r /s /spath="%USERPROFILE%\AppData\Local\Temp\OnboardLogs" /stypes="app*4002*20171201*" /stext=" 21:.+((SYSTEM_STATE.+slice.+state.+changed )|(ment ac)|(multiple cpu faults)|(system.+state.+changed )|(\[timeout)|(PRM\|1\|D)|(kpr)|(kdp)|(train st.+moving)|(\|lc)|(penalty))"</v>
      </c>
      <c r="AG99" s="245" t="str">
        <f t="shared" si="46"/>
        <v>EC</v>
      </c>
      <c r="AH99" s="237" t="str">
        <f t="shared" si="47"/>
        <v>"%USERPROFILE%\Documents\GitHub\eaglep3\Utilities\RefineRTDCRunTimes.py" --tripid 185-01 --locoid 4002 --swversion DE.1.0.9.0 --startMP 204:484 --initTime 2017-12-01T14:09:30 --startdatetime 2017-12-01T14:15:25 --delay 76 --endMP 204:233238 --enddatetime 2017-12-01T14:51:32 --enforcementcount 0 &gt;&gt;%USERPROFILE%\Documents\GitHub\eaglep3-reporting\EC\2017-12-01-refined-times.txt</v>
      </c>
      <c r="AI99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{"issue":{"subject":"","project_id":79,"tracker_id":40,"status_id":1,"priority_id":2,"assigned_to_id":338,"start_date":"2017-12-01","description":"","custom_fields":[{"id":1,"name":"Subdivision","value":"EC"},{"id":4,"name":"Milepost","value":"23.3238"},{"id":17,"name":"Train ID","value":"185-01"},{"id":16,"name":"Locomotive ID","value":"4002"},{"id":130,"name":"Impact","value":""},{"id":150,"name":"Time of Event (Mountain Time)","value":"14:51:32"},{"id":151,"name":"Denver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4"/>
      <c r="AK99" s="232"/>
      <c r="AL99" s="232"/>
      <c r="AM99" s="241" t="str">
        <f t="shared" si="49"/>
        <v>start /low /b %USERPROFILE%\Documents\GitHub\eaglep3\Utilities\DownloadLogsFromS3.py --loco 4002 --day 2017-12-01</v>
      </c>
      <c r="AN99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21:51:32"},{"id":29,"name":"Sharepoint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1" t="str">
        <f t="shared" si="51"/>
        <v>https://d0f6bd738d7f1b3e5a7ca70fe4ff75f0.us-east-1.aws.found.io/app/kibana#/discover/Steve-Slow-Train-Analysis-(2080s-and-2083s)?_g=(refreshInterval:(display:Off,pause:!f,section:0,value:0),time:(from:'2017-12-01T13:09:30-0700',mode:absolute,to:'2017-12-01T15:51:32-0700'))&amp;_a=(columns:!('Message%20ID',Summary),filters:!(),index:'emp_*',interval:auto,query:(query_string:(analyze_wildcard:!t,query:'%22rtdc.l.rtdc.4002%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25">
      <c r="A100" s="230" t="s">
        <v>875</v>
      </c>
      <c r="B100" s="226">
        <v>4001</v>
      </c>
      <c r="C100" s="228" t="s">
        <v>192</v>
      </c>
      <c r="D100" s="228" t="s">
        <v>638</v>
      </c>
      <c r="E100" s="227">
        <v>43070.631724537037</v>
      </c>
      <c r="F100" s="227">
        <v>43070.63385416667</v>
      </c>
      <c r="G100" s="226">
        <v>53</v>
      </c>
      <c r="H100" s="228" t="s">
        <v>422</v>
      </c>
      <c r="I100" s="227">
        <v>43070.661134259259</v>
      </c>
      <c r="J100" s="226">
        <v>0</v>
      </c>
      <c r="K100" s="238" t="str">
        <f t="shared" si="37"/>
        <v>4001/4002</v>
      </c>
      <c r="L100" s="246" t="str">
        <f>VLOOKUP(A100,'Trips&amp;Operators'!$C$1:$G$99911,5,FALSE)</f>
        <v>MOSES BRADLEY</v>
      </c>
      <c r="M100" s="225">
        <f t="shared" si="52"/>
        <v>2.7280092588625848E-2</v>
      </c>
      <c r="N100" s="226">
        <f t="shared" si="55"/>
        <v>39.283333327621222</v>
      </c>
      <c r="O100" s="226"/>
      <c r="P100" s="226"/>
      <c r="Q100" s="229"/>
      <c r="R100" s="243"/>
      <c r="S100" s="250">
        <f t="shared" si="56"/>
        <v>1</v>
      </c>
      <c r="T100" s="243" t="str">
        <f t="shared" si="39"/>
        <v>Southbound</v>
      </c>
      <c r="U100" s="24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9" t="str">
        <f t="shared" si="40"/>
        <v>https://d0f6bd738d7f1b3e5a7ca70fe4ff75f0.us-east-1.aws.found.io/app/kibana#/discover/Steve-Slow-Train-Analysis-(2080s-and-2083s)?_g=(refreshInterval:(display:Off,pause:!f,section:0,value:0),time:(from:'2017-12-01T14:09:41-0700',mode:absolute,to:'2017-12-01T16:52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0" s="248" t="str">
        <f>IF(AA100&lt;VLOOKUP(AG100,Variables!$AC$3:$AD$8,2,FALSE),"Y","N")</f>
        <v>N</v>
      </c>
      <c r="X100" s="248">
        <f t="shared" si="41"/>
        <v>1</v>
      </c>
      <c r="Y100" s="248">
        <f t="shared" si="53"/>
        <v>23.292300000000001</v>
      </c>
      <c r="Z100" s="248">
        <f t="shared" si="54"/>
        <v>2.18E-2</v>
      </c>
      <c r="AA100" s="248">
        <f t="shared" si="42"/>
        <v>23.270500000000002</v>
      </c>
      <c r="AB100" s="234" t="e">
        <f>VLOOKUP(A100,Enforcements!$C$7:$K$9,8,0)</f>
        <v>#N/A</v>
      </c>
      <c r="AC100" s="233" t="e">
        <f>VLOOKUP(A100,Enforcements!$C$7:$E$9,3,0)</f>
        <v>#N/A</v>
      </c>
      <c r="AD100" s="244">
        <f t="shared" si="43"/>
        <v>186</v>
      </c>
      <c r="AE100" s="236" t="str">
        <f t="shared" si="44"/>
        <v>aws s3 cp s3://rtdc.mdm.uploadarchive.raw/RTDC4001/ "%USERPROFILE%\AppData\Local\Temp\OnboardLogs"\RTDC4001\2017-12-01 --exclude "*" --recursive --include "*20171201*" &amp; "%USERPROFILE%\Documents\GitHub\mrs-test-scripts\Headless Mode &amp; Sideloading\WalkAndUnGZ.bat" "%USERPROFILE%\AppData\Local\Temp\OnboardLogs"\RTDC4001\2017-12-01 &amp; aws s3 cp s3://rtdc.mdm.uploadarchive.raw/RTDC4001/ "%USERPROFILE%\AppData\Local\Temp\OnboardLogs"\RTDC4001\2017-12-02 --exclude "*" --recursive --include "*20171202*" &amp; "%USERPROFILE%\Documents\GitHub\mrs-test-scripts\Headless Mode &amp; Sideloading\WalkAndUnGZ.bat" "%USERPROFILE%\AppData\Local\Temp\OnboardLogs"\RTDC4001\2017-12-02</v>
      </c>
      <c r="AF100" s="235" t="str">
        <f t="shared" si="45"/>
        <v>"C:\Program Files (x86)\AstroGrep\AstroGrep.exe" /e /r /s /spath="%USERPROFILE%\AppData\Local\Temp\OnboardLogs" /stypes="app*4001*20171201*" /stext=" 22:.+((SYSTEM_STATE.+slice.+state.+changed )|(ment ac)|(multiple cpu faults)|(system.+state.+changed )|(\[timeout)|(PRM\|1\|D)|(kpr)|(kdp)|(train st.+moving)|(\|lc)|(penalty))"</v>
      </c>
      <c r="AG100" s="245" t="str">
        <f t="shared" si="46"/>
        <v>EC</v>
      </c>
      <c r="AH100" s="237" t="str">
        <f t="shared" si="47"/>
        <v>"%USERPROFILE%\Documents\GitHub\eaglep3\Utilities\RefineRTDCRunTimes.py" --tripid 186-01 --locoid 4001 --swversion DE.1.0.9.0 --startMP 204:232923 --initTime 2017-12-01T15:09:41 --startdatetime 2017-12-01T15:12:45 --delay 53 --endMP 204:218 --enddatetime 2017-12-01T15:52:02 --enforcementcount 0 &gt;&gt;%USERPROFILE%\Documents\GitHub\eaglep3-reporting\EC\2017-12-01-refined-times.txt</v>
      </c>
      <c r="AI100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{"issue":{"subject":"","project_id":79,"tracker_id":40,"status_id":1,"priority_id":2,"assigned_to_id":338,"start_date":"2017-12-01","description":"","custom_fields":[{"id":1,"name":"Subdivision","value":"EC"},{"id":4,"name":"Milepost","value":"0.0218"},{"id":17,"name":"Train ID","value":"186-01"},{"id":16,"name":"Locomotive ID","value":"4001"},{"id":130,"name":"Impact","value":""},{"id":150,"name":"Time of Event (Mountain Time)","value":"15:52:02"},{"id":151,"name":"Denver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4"/>
      <c r="AK100" s="232"/>
      <c r="AL100" s="232"/>
      <c r="AM100" s="241" t="str">
        <f t="shared" si="49"/>
        <v>start /low /b %USERPROFILE%\Documents\GitHub\eaglep3\Utilities\DownloadLogsFromS3.py --loco 4001 --day 2017-12-01</v>
      </c>
      <c r="AN100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22:52:02"},{"id":29,"name":"Sharepoint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1" t="str">
        <f t="shared" si="51"/>
        <v>https://d0f6bd738d7f1b3e5a7ca70fe4ff75f0.us-east-1.aws.found.io/app/kibana#/discover/Steve-Slow-Train-Analysis-(2080s-and-2083s)?_g=(refreshInterval:(display:Off,pause:!f,section:0,value:0),time:(from:'2017-12-01T14:09:41-0700',mode:absolute,to:'2017-12-01T16:52:02-0700'))&amp;_a=(columns:!('Message%20ID',Summary),filters:!(),index:'emp_*',interval:auto,query:(query_string:(analyze_wildcard:!t,query:'%22rtdc.l.rtdc.4001%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25">
      <c r="A101" s="230" t="s">
        <v>868</v>
      </c>
      <c r="B101" s="226">
        <v>4050</v>
      </c>
      <c r="C101" s="228" t="s">
        <v>192</v>
      </c>
      <c r="D101" s="228" t="s">
        <v>1001</v>
      </c>
      <c r="E101" s="227">
        <v>43070.598530092589</v>
      </c>
      <c r="F101" s="227">
        <v>43070.604421296295</v>
      </c>
      <c r="G101" s="226">
        <v>70</v>
      </c>
      <c r="H101" s="228" t="s">
        <v>1002</v>
      </c>
      <c r="I101" s="227">
        <v>43070.629120370373</v>
      </c>
      <c r="J101" s="226">
        <v>0</v>
      </c>
      <c r="K101" s="238" t="str">
        <f t="shared" si="37"/>
        <v>4049/4050</v>
      </c>
      <c r="L101" s="246" t="str">
        <f>VLOOKUP(A101,'Trips&amp;Operators'!$C$1:$G$99911,5,FALSE)</f>
        <v>HOLCOMB KAMDEN</v>
      </c>
      <c r="M101" s="225">
        <f t="shared" si="52"/>
        <v>2.4699074077943806E-2</v>
      </c>
      <c r="N101" s="226">
        <f t="shared" si="55"/>
        <v>35.56666667223908</v>
      </c>
      <c r="O101" s="226"/>
      <c r="P101" s="226"/>
      <c r="Q101" s="229"/>
      <c r="R101" s="243"/>
      <c r="S101" s="250">
        <f t="shared" si="56"/>
        <v>1</v>
      </c>
      <c r="T101" s="243" t="str">
        <f t="shared" si="39"/>
        <v>NorthBound</v>
      </c>
      <c r="U101" s="24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9" t="str">
        <f t="shared" si="40"/>
        <v>https://d0f6bd738d7f1b3e5a7ca70fe4ff75f0.us-east-1.aws.found.io/app/kibana#/discover/Steve-Slow-Train-Analysis-(2080s-and-2083s)?_g=(refreshInterval:(display:Off,pause:!f,section:0,value:0),time:(from:'2017-12-01T13:21:53-0700',mode:absolute,to:'2017-12-01T16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1" s="248" t="str">
        <f>IF(AA101&lt;VLOOKUP(AG101,Variables!$AC$3:$AD$8,2,FALSE),"Y","N")</f>
        <v>N</v>
      </c>
      <c r="X101" s="248">
        <f t="shared" si="41"/>
        <v>1</v>
      </c>
      <c r="Y101" s="248">
        <f t="shared" si="53"/>
        <v>4.53E-2</v>
      </c>
      <c r="Z101" s="248">
        <f t="shared" si="54"/>
        <v>23.319900000000001</v>
      </c>
      <c r="AA101" s="248">
        <f t="shared" si="42"/>
        <v>23.2746</v>
      </c>
      <c r="AB101" s="234" t="e">
        <f>VLOOKUP(A101,Enforcements!$C$7:$K$9,8,0)</f>
        <v>#N/A</v>
      </c>
      <c r="AC101" s="233" t="e">
        <f>VLOOKUP(A101,Enforcements!$C$7:$E$9,3,0)</f>
        <v>#N/A</v>
      </c>
      <c r="AD101" s="244">
        <f t="shared" si="43"/>
        <v>187</v>
      </c>
      <c r="AE101" s="236" t="str">
        <f t="shared" si="44"/>
        <v>aws s3 cp s3://rtdc.mdm.uploadarchive.raw/RTDC4050/ "%USERPROFILE%\AppData\Local\Temp\OnboardLogs"\RTDC4050\2017-12-01 --exclude "*" --recursive --include "*20171201*" &amp; "%USERPROFILE%\Documents\GitHub\mrs-test-scripts\Headless Mode &amp; Sideloading\WalkAndUnGZ.bat" "%USERPROFILE%\AppData\Local\Temp\OnboardLogs"\RTDC4050\2017-12-01 &amp; aws s3 cp s3://rtdc.mdm.uploadarchive.raw/RTDC4050/ "%USERPROFILE%\AppData\Local\Temp\OnboardLogs"\RTDC4050\2017-12-02 --exclude "*" --recursive --include "*20171202*" &amp; "%USERPROFILE%\Documents\GitHub\mrs-test-scripts\Headless Mode &amp; Sideloading\WalkAndUnGZ.bat" "%USERPROFILE%\AppData\Local\Temp\OnboardLogs"\RTDC4050\2017-12-02</v>
      </c>
      <c r="AF101" s="235" t="str">
        <f t="shared" si="45"/>
        <v>"C:\Program Files (x86)\AstroGrep\AstroGrep.exe" /e /r /s /spath="%USERPROFILE%\AppData\Local\Temp\OnboardLogs" /stypes="app*4050*20171201*" /stext=" 22:.+((SYSTEM_STATE.+slice.+state.+changed )|(ment ac)|(multiple cpu faults)|(system.+state.+changed )|(\[timeout)|(PRM\|1\|D)|(kpr)|(kdp)|(train st.+moving)|(\|lc)|(penalty))"</v>
      </c>
      <c r="AG101" s="245" t="str">
        <f t="shared" si="46"/>
        <v>EC</v>
      </c>
      <c r="AH101" s="237" t="str">
        <f t="shared" si="47"/>
        <v>"%USERPROFILE%\Documents\GitHub\eaglep3\Utilities\RefineRTDCRunTimes.py" --tripid 187-01 --locoid 4050 --swversion DE.1.0.9.0 --startMP 204:453 --initTime 2017-12-01T14:21:53 --startdatetime 2017-12-01T14:30:22 --delay 70 --endMP 204:233199 --enddatetime 2017-12-01T15:05:56 --enforcementcount 0 &gt;&gt;%USERPROFILE%\Documents\GitHub\eaglep3-reporting\EC\2017-12-01-refined-times.txt</v>
      </c>
      <c r="AI101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{"issue":{"subject":"","project_id":79,"tracker_id":40,"status_id":1,"priority_id":2,"assigned_to_id":338,"start_date":"2017-12-01","description":"","custom_fields":[{"id":1,"name":"Subdivision","value":"EC"},{"id":4,"name":"Milepost","value":"23.3199"},{"id":17,"name":"Train ID","value":"187-01"},{"id":16,"name":"Locomotive ID","value":"4050"},{"id":130,"name":"Impact","value":""},{"id":150,"name":"Time of Event (Mountain Time)","value":"15:05:56"},{"id":151,"name":"Denver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4"/>
      <c r="AK101" s="232"/>
      <c r="AL101" s="232"/>
      <c r="AM101" s="241" t="str">
        <f t="shared" si="49"/>
        <v>start /low /b %USERPROFILE%\Documents\GitHub\eaglep3\Utilities\DownloadLogsFromS3.py --loco 4050 --day 2017-12-01</v>
      </c>
      <c r="AN101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22:05:56"},{"id":29,"name":"Sharepoint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1" t="str">
        <f t="shared" si="51"/>
        <v>https://d0f6bd738d7f1b3e5a7ca70fe4ff75f0.us-east-1.aws.found.io/app/kibana#/discover/Steve-Slow-Train-Analysis-(2080s-and-2083s)?_g=(refreshInterval:(display:Off,pause:!f,section:0,value:0),time:(from:'2017-12-01T13:21:53-0700',mode:absolute,to:'2017-12-01T16:05:56-0700'))&amp;_a=(columns:!('Message%20ID',Summary),filters:!(),index:'emp_*',interval:auto,query:(query_string:(analyze_wildcard:!t,query:'%22rtdc.l.rtdc.4050%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25">
      <c r="A102" s="230" t="s">
        <v>876</v>
      </c>
      <c r="B102" s="226">
        <v>4049</v>
      </c>
      <c r="C102" s="228" t="s">
        <v>192</v>
      </c>
      <c r="D102" s="228" t="s">
        <v>495</v>
      </c>
      <c r="E102" s="227">
        <v>43070.639224537037</v>
      </c>
      <c r="F102" s="227">
        <v>43070.64398148148</v>
      </c>
      <c r="G102" s="226">
        <v>50</v>
      </c>
      <c r="H102" s="228" t="s">
        <v>1003</v>
      </c>
      <c r="I102" s="227">
        <v>43070.66946759259</v>
      </c>
      <c r="J102" s="226">
        <v>0</v>
      </c>
      <c r="K102" s="238" t="str">
        <f t="shared" si="37"/>
        <v>4049/4050</v>
      </c>
      <c r="L102" s="246" t="str">
        <f>VLOOKUP(A102,'Trips&amp;Operators'!$C$1:$G$99911,5,FALSE)</f>
        <v>HOLCOMB KAMDEN</v>
      </c>
      <c r="M102" s="225">
        <f t="shared" si="52"/>
        <v>2.548611110978527E-2</v>
      </c>
      <c r="N102" s="226">
        <f t="shared" si="55"/>
        <v>36.699999998090789</v>
      </c>
      <c r="O102" s="226"/>
      <c r="P102" s="226"/>
      <c r="Q102" s="229"/>
      <c r="R102" s="243"/>
      <c r="S102" s="250">
        <f t="shared" si="56"/>
        <v>1</v>
      </c>
      <c r="T102" s="243" t="str">
        <f t="shared" si="39"/>
        <v>Southbound</v>
      </c>
      <c r="U102" s="24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9" t="str">
        <f t="shared" si="40"/>
        <v>https://d0f6bd738d7f1b3e5a7ca70fe4ff75f0.us-east-1.aws.found.io/app/kibana#/discover/Steve-Slow-Train-Analysis-(2080s-and-2083s)?_g=(refreshInterval:(display:Off,pause:!f,section:0,value:0),time:(from:'2017-12-01T14:20:29-0700',mode:absolute,to:'2017-12-01T17:04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2" s="248" t="str">
        <f>IF(AA102&lt;VLOOKUP(AG102,Variables!$AC$3:$AD$8,2,FALSE),"Y","N")</f>
        <v>N</v>
      </c>
      <c r="X102" s="248">
        <f t="shared" si="41"/>
        <v>1</v>
      </c>
      <c r="Y102" s="248">
        <f t="shared" si="53"/>
        <v>23.288399999999999</v>
      </c>
      <c r="Z102" s="248">
        <f t="shared" si="54"/>
        <v>1.7999999999999999E-2</v>
      </c>
      <c r="AA102" s="248">
        <f t="shared" si="42"/>
        <v>23.270399999999999</v>
      </c>
      <c r="AB102" s="234" t="e">
        <f>VLOOKUP(A102,Enforcements!$C$7:$K$9,8,0)</f>
        <v>#N/A</v>
      </c>
      <c r="AC102" s="233" t="e">
        <f>VLOOKUP(A102,Enforcements!$C$7:$E$9,3,0)</f>
        <v>#N/A</v>
      </c>
      <c r="AD102" s="244">
        <f t="shared" si="43"/>
        <v>188</v>
      </c>
      <c r="AE102" s="236" t="str">
        <f t="shared" si="44"/>
        <v>aws s3 cp s3://rtdc.mdm.uploadarchive.raw/RTDC4049/ "%USERPROFILE%\AppData\Local\Temp\OnboardLogs"\RTDC4049\2017-12-01 --exclude "*" --recursive --include "*20171201*" &amp; "%USERPROFILE%\Documents\GitHub\mrs-test-scripts\Headless Mode &amp; Sideloading\WalkAndUnGZ.bat" "%USERPROFILE%\AppData\Local\Temp\OnboardLogs"\RTDC4049\2017-12-01 &amp; aws s3 cp s3://rtdc.mdm.uploadarchive.raw/RTDC4049/ "%USERPROFILE%\AppData\Local\Temp\OnboardLogs"\RTDC4049\2017-12-02 --exclude "*" --recursive --include "*20171202*" &amp; "%USERPROFILE%\Documents\GitHub\mrs-test-scripts\Headless Mode &amp; Sideloading\WalkAndUnGZ.bat" "%USERPROFILE%\AppData\Local\Temp\OnboardLogs"\RTDC4049\2017-12-02</v>
      </c>
      <c r="AF102" s="235" t="str">
        <f t="shared" si="45"/>
        <v>"C:\Program Files (x86)\AstroGrep\AstroGrep.exe" /e /r /s /spath="%USERPROFILE%\AppData\Local\Temp\OnboardLogs" /stypes="app*4049*20171201*" /stext=" 23:.+((SYSTEM_STATE.+slice.+state.+changed )|(ment ac)|(multiple cpu faults)|(system.+state.+changed )|(\[timeout)|(PRM\|1\|D)|(kpr)|(kdp)|(train st.+moving)|(\|lc)|(penalty))"</v>
      </c>
      <c r="AG102" s="245" t="str">
        <f t="shared" si="46"/>
        <v>EC</v>
      </c>
      <c r="AH102" s="237" t="str">
        <f t="shared" si="47"/>
        <v>"%USERPROFILE%\Documents\GitHub\eaglep3\Utilities\RefineRTDCRunTimes.py" --tripid 188-01 --locoid 4049 --swversion DE.1.0.9.0 --startMP 204:232884 --initTime 2017-12-01T15:20:29 --startdatetime 2017-12-01T15:27:20 --delay 50 --endMP 204:180 --enddatetime 2017-12-01T16:04:02 --enforcementcount 0 &gt;&gt;%USERPROFILE%\Documents\GitHub\eaglep3-reporting\EC\2017-12-01-refined-times.txt</v>
      </c>
      <c r="AI102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{"issue":{"subject":"","project_id":79,"tracker_id":40,"status_id":1,"priority_id":2,"assigned_to_id":338,"start_date":"2017-12-01","description":"","custom_fields":[{"id":1,"name":"Subdivision","value":"EC"},{"id":4,"name":"Milepost","value":"0.018"},{"id":17,"name":"Train ID","value":"188-01"},{"id":16,"name":"Locomotive ID","value":"4049"},{"id":130,"name":"Impact","value":""},{"id":150,"name":"Time of Event (Mountain Time)","value":"16:04:02"},{"id":151,"name":"Denver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4"/>
      <c r="AK102" s="232"/>
      <c r="AL102" s="232"/>
      <c r="AM102" s="241" t="str">
        <f t="shared" si="49"/>
        <v>start /low /b %USERPROFILE%\Documents\GitHub\eaglep3\Utilities\DownloadLogsFromS3.py --loco 4049 --day 2017-12-01</v>
      </c>
      <c r="AN102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23:04:02"},{"id":29,"name":"Sharepoint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1" t="str">
        <f t="shared" si="51"/>
        <v>https://d0f6bd738d7f1b3e5a7ca70fe4ff75f0.us-east-1.aws.found.io/app/kibana#/discover/Steve-Slow-Train-Analysis-(2080s-and-2083s)?_g=(refreshInterval:(display:Off,pause:!f,section:0,value:0),time:(from:'2017-12-01T14:20:29-0700',mode:absolute,to:'2017-12-01T17:04:02-0700'))&amp;_a=(columns:!('Message%20ID',Summary),filters:!(),index:'emp_*',interval:auto,query:(query_string:(analyze_wildcard:!t,query:'%22rtdc.l.rtdc.4049%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1" customFormat="1" x14ac:dyDescent="0.25">
      <c r="A103" s="230" t="s">
        <v>870</v>
      </c>
      <c r="B103" s="226">
        <v>4040</v>
      </c>
      <c r="C103" s="228" t="s">
        <v>192</v>
      </c>
      <c r="D103" s="228" t="s">
        <v>641</v>
      </c>
      <c r="E103" s="227">
        <v>43070.612037037034</v>
      </c>
      <c r="F103" s="227">
        <v>43070.615115740744</v>
      </c>
      <c r="G103" s="226">
        <v>69</v>
      </c>
      <c r="H103" s="228" t="s">
        <v>613</v>
      </c>
      <c r="I103" s="227">
        <v>43070.639965277776</v>
      </c>
      <c r="J103" s="226">
        <v>0</v>
      </c>
      <c r="K103" s="238" t="str">
        <f t="shared" si="37"/>
        <v>4039/4040</v>
      </c>
      <c r="L103" s="246" t="str">
        <f>VLOOKUP(A103,'Trips&amp;Operators'!$C$1:$G$99911,5,FALSE)</f>
        <v>SAFIEF AEIMEN</v>
      </c>
      <c r="M103" s="225">
        <f t="shared" si="52"/>
        <v>2.4849537032423541E-2</v>
      </c>
      <c r="N103" s="226">
        <f t="shared" si="55"/>
        <v>35.783333326689899</v>
      </c>
      <c r="O103" s="226"/>
      <c r="P103" s="226"/>
      <c r="Q103" s="229"/>
      <c r="R103" s="243"/>
      <c r="S103" s="250">
        <f t="shared" si="56"/>
        <v>1</v>
      </c>
      <c r="T103" s="243" t="str">
        <f t="shared" si="39"/>
        <v>NorthBound</v>
      </c>
      <c r="U103" s="24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9" t="str">
        <f t="shared" si="40"/>
        <v>https://d0f6bd738d7f1b3e5a7ca70fe4ff75f0.us-east-1.aws.found.io/app/kibana#/discover/Steve-Slow-Train-Analysis-(2080s-and-2083s)?_g=(refreshInterval:(display:Off,pause:!f,section:0,value:0),time:(from:'2017-12-01T13:41:20-0700',mode:absolute,to:'2017-12-01T16:21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3" s="248" t="str">
        <f>IF(AA103&lt;VLOOKUP(AG103,Variables!$AC$3:$AD$8,2,FALSE),"Y","N")</f>
        <v>N</v>
      </c>
      <c r="X103" s="248">
        <f t="shared" si="41"/>
        <v>1</v>
      </c>
      <c r="Y103" s="248">
        <f t="shared" si="53"/>
        <v>5.0200000000000002E-2</v>
      </c>
      <c r="Z103" s="248">
        <f t="shared" si="54"/>
        <v>23.325900000000001</v>
      </c>
      <c r="AA103" s="248">
        <f t="shared" si="42"/>
        <v>23.275700000000001</v>
      </c>
      <c r="AB103" s="234" t="e">
        <f>VLOOKUP(A103,Enforcements!$C$7:$K$9,8,0)</f>
        <v>#N/A</v>
      </c>
      <c r="AC103" s="233" t="e">
        <f>VLOOKUP(A103,Enforcements!$C$7:$E$9,3,0)</f>
        <v>#N/A</v>
      </c>
      <c r="AD103" s="244">
        <f t="shared" si="43"/>
        <v>189</v>
      </c>
      <c r="AE103" s="236" t="str">
        <f t="shared" si="44"/>
        <v>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 &amp; aws s3 cp s3://rtdc.mdm.uploadarchive.raw/RTDC4040/ "%USERPROFILE%\AppData\Local\Temp\OnboardLogs"\RTDC4040\2017-12-02 --exclude "*" --recursive --include "*20171202*" &amp; "%USERPROFILE%\Documents\GitHub\mrs-test-scripts\Headless Mode &amp; Sideloading\WalkAndUnGZ.bat" "%USERPROFILE%\AppData\Local\Temp\OnboardLogs"\RTDC4040\2017-12-02</v>
      </c>
      <c r="AF103" s="235" t="str">
        <f t="shared" si="45"/>
        <v>"C:\Program Files (x86)\AstroGrep\AstroGrep.exe" /e /r /s /spath="%USERPROFILE%\AppData\Local\Temp\OnboardLogs" /stypes="app*4040*20171201*" /stext=" 22:.+((SYSTEM_STATE.+slice.+state.+changed )|(ment ac)|(multiple cpu faults)|(system.+state.+changed )|(\[timeout)|(PRM\|1\|D)|(kpr)|(kdp)|(train st.+moving)|(\|lc)|(penalty))"</v>
      </c>
      <c r="AG103" s="245" t="str">
        <f t="shared" si="46"/>
        <v>EC</v>
      </c>
      <c r="AH103" s="237" t="str">
        <f t="shared" si="47"/>
        <v>"%USERPROFILE%\Documents\GitHub\eaglep3\Utilities\RefineRTDCRunTimes.py" --tripid 189-01 --locoid 4040 --swversion DE.1.0.9.0 --startMP 204:502 --initTime 2017-12-01T14:41:20 --startdatetime 2017-12-01T14:45:46 --delay 69 --endMP 204:233259 --enddatetime 2017-12-01T15:21:33 --enforcementcount 0 &gt;&gt;%USERPROFILE%\Documents\GitHub\eaglep3-reporting\EC\2017-12-01-refined-times.txt</v>
      </c>
      <c r="AI103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{"issue":{"subject":"","project_id":79,"tracker_id":40,"status_id":1,"priority_id":2,"assigned_to_id":338,"start_date":"2017-12-01","description":"","custom_fields":[{"id":1,"name":"Subdivision","value":"EC"},{"id":4,"name":"Milepost","value":"23.3259"},{"id":17,"name":"Train ID","value":"189-01"},{"id":16,"name":"Locomotive ID","value":"4040"},{"id":130,"name":"Impact","value":""},{"id":150,"name":"Time of Event (Mountain Time)","value":"15:21:33"},{"id":151,"name":"Denver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4"/>
      <c r="AK103" s="232"/>
      <c r="AL103" s="232"/>
      <c r="AM103" s="241" t="str">
        <f t="shared" si="49"/>
        <v>start /low /b %USERPROFILE%\Documents\GitHub\eaglep3\Utilities\DownloadLogsFromS3.py --loco 4040 --day 2017-12-01</v>
      </c>
      <c r="AN103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22:21:33"},{"id":29,"name":"Sharepoint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1" t="str">
        <f t="shared" si="51"/>
        <v>https://d0f6bd738d7f1b3e5a7ca70fe4ff75f0.us-east-1.aws.found.io/app/kibana#/discover/Steve-Slow-Train-Analysis-(2080s-and-2083s)?_g=(refreshInterval:(display:Off,pause:!f,section:0,value:0),time:(from:'2017-12-01T13:41:20-0700',mode:absolute,to:'2017-12-01T16:21:33-0700'))&amp;_a=(columns:!('Message%20ID',Summary),filters:!(),index:'emp_*',interval:auto,query:(query_string:(analyze_wildcard:!t,query:'%22rtdc.l.rtdc.4040%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1" customFormat="1" x14ac:dyDescent="0.25">
      <c r="A104" s="230" t="s">
        <v>878</v>
      </c>
      <c r="B104" s="226">
        <v>4039</v>
      </c>
      <c r="C104" s="228" t="s">
        <v>192</v>
      </c>
      <c r="D104" s="228" t="s">
        <v>568</v>
      </c>
      <c r="E104" s="227">
        <v>43070.64267361111</v>
      </c>
      <c r="F104" s="227">
        <v>43070.654386574075</v>
      </c>
      <c r="G104" s="226">
        <v>63</v>
      </c>
      <c r="H104" s="228" t="s">
        <v>407</v>
      </c>
      <c r="I104" s="227">
        <v>43070.681041666663</v>
      </c>
      <c r="J104" s="226">
        <v>0</v>
      </c>
      <c r="K104" s="238" t="str">
        <f t="shared" si="37"/>
        <v>4039/4040</v>
      </c>
      <c r="L104" s="246" t="str">
        <f>VLOOKUP(A104,'Trips&amp;Operators'!$C$1:$G$99911,5,FALSE)</f>
        <v>SAFIEF AEIMEN</v>
      </c>
      <c r="M104" s="225">
        <f t="shared" si="52"/>
        <v>2.6655092588043772E-2</v>
      </c>
      <c r="N104" s="226">
        <f t="shared" si="55"/>
        <v>38.383333326783031</v>
      </c>
      <c r="O104" s="226"/>
      <c r="P104" s="226"/>
      <c r="Q104" s="229"/>
      <c r="R104" s="243"/>
      <c r="S104" s="250">
        <f t="shared" si="56"/>
        <v>1</v>
      </c>
      <c r="T104" s="243" t="str">
        <f t="shared" si="39"/>
        <v>Southbound</v>
      </c>
      <c r="U104" s="24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9" t="str">
        <f t="shared" si="40"/>
        <v>https://d0f6bd738d7f1b3e5a7ca70fe4ff75f0.us-east-1.aws.found.io/app/kibana#/discover/Steve-Slow-Train-Analysis-(2080s-and-2083s)?_g=(refreshInterval:(display:Off,pause:!f,section:0,value:0),time:(from:'2017-12-01T14:25:27-0700',mode:absolute,to:'2017-12-01T17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4" s="248" t="str">
        <f>IF(AA104&lt;VLOOKUP(AG104,Variables!$AC$3:$AD$8,2,FALSE),"Y","N")</f>
        <v>N</v>
      </c>
      <c r="X104" s="248">
        <f t="shared" si="41"/>
        <v>1</v>
      </c>
      <c r="Y104" s="248">
        <f t="shared" si="53"/>
        <v>23.293600000000001</v>
      </c>
      <c r="Z104" s="248">
        <f t="shared" si="54"/>
        <v>2.07E-2</v>
      </c>
      <c r="AA104" s="248">
        <f t="shared" si="42"/>
        <v>23.2729</v>
      </c>
      <c r="AB104" s="234" t="e">
        <f>VLOOKUP(A104,Enforcements!$C$7:$K$9,8,0)</f>
        <v>#N/A</v>
      </c>
      <c r="AC104" s="233" t="e">
        <f>VLOOKUP(A104,Enforcements!$C$7:$E$9,3,0)</f>
        <v>#N/A</v>
      </c>
      <c r="AD104" s="244">
        <f t="shared" si="43"/>
        <v>190</v>
      </c>
      <c r="AE104" s="236" t="str">
        <f t="shared" si="44"/>
        <v>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 &amp; aws s3 cp s3://rtdc.mdm.uploadarchive.raw/RTDC4039/ "%USERPROFILE%\AppData\Local\Temp\OnboardLogs"\RTDC4039\2017-12-02 --exclude "*" --recursive --include "*20171202*" &amp; "%USERPROFILE%\Documents\GitHub\mrs-test-scripts\Headless Mode &amp; Sideloading\WalkAndUnGZ.bat" "%USERPROFILE%\AppData\Local\Temp\OnboardLogs"\RTDC4039\2017-12-02</v>
      </c>
      <c r="AF104" s="235" t="str">
        <f t="shared" si="45"/>
        <v>"C:\Program Files (x86)\AstroGrep\AstroGrep.exe" /e /r /s /spath="%USERPROFILE%\AppData\Local\Temp\OnboardLogs" /stypes="app*4039*20171201*" /stext=" 23:.+((SYSTEM_STATE.+slice.+state.+changed )|(ment ac)|(multiple cpu faults)|(system.+state.+changed )|(\[timeout)|(PRM\|1\|D)|(kpr)|(kdp)|(train st.+moving)|(\|lc)|(penalty))"</v>
      </c>
      <c r="AG104" s="245" t="str">
        <f t="shared" si="46"/>
        <v>EC</v>
      </c>
      <c r="AH104" s="237" t="str">
        <f t="shared" si="47"/>
        <v>"%USERPROFILE%\Documents\GitHub\eaglep3\Utilities\RefineRTDCRunTimes.py" --tripid 190-01 --locoid 4039 --swversion DE.1.0.9.0 --startMP 204:232936 --initTime 2017-12-01T15:25:27 --startdatetime 2017-12-01T15:42:19 --delay 63 --endMP 204:207 --enddatetime 2017-12-01T16:20:42 --enforcementcount 0 &gt;&gt;%USERPROFILE%\Documents\GitHub\eaglep3-reporting\EC\2017-12-01-refined-times.txt</v>
      </c>
      <c r="AI104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{"issue":{"subject":"","project_id":79,"tracker_id":40,"status_id":1,"priority_id":2,"assigned_to_id":338,"start_date":"2017-12-01","description":"","custom_fields":[{"id":1,"name":"Subdivision","value":"EC"},{"id":4,"name":"Milepost","value":"0.0207"},{"id":17,"name":"Train ID","value":"190-01"},{"id":16,"name":"Locomotive ID","value":"4039"},{"id":130,"name":"Impact","value":""},{"id":150,"name":"Time of Event (Mountain Time)","value":"16:20:42"},{"id":151,"name":"Denver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4"/>
      <c r="AK104" s="232"/>
      <c r="AL104" s="232"/>
      <c r="AM104" s="241" t="str">
        <f t="shared" si="49"/>
        <v>start /low /b %USERPROFILE%\Documents\GitHub\eaglep3\Utilities\DownloadLogsFromS3.py --loco 4039 --day 2017-12-01</v>
      </c>
      <c r="AN104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23:20:42"},{"id":29,"name":"Sharepoint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1" t="str">
        <f t="shared" si="51"/>
        <v>https://d0f6bd738d7f1b3e5a7ca70fe4ff75f0.us-east-1.aws.found.io/app/kibana#/discover/Steve-Slow-Train-Analysis-(2080s-and-2083s)?_g=(refreshInterval:(display:Off,pause:!f,section:0,value:0),time:(from:'2017-12-01T14:25:27-0700',mode:absolute,to:'2017-12-01T17:20:42-0700'))&amp;_a=(columns:!('Message%20ID',Summary),filters:!(),index:'emp_*',interval:auto,query:(query_string:(analyze_wildcard:!t,query:'%22rtdc.l.rtdc.4039%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1" customFormat="1" x14ac:dyDescent="0.25">
      <c r="A105" s="230" t="s">
        <v>872</v>
      </c>
      <c r="B105" s="226">
        <v>4024</v>
      </c>
      <c r="C105" s="228" t="s">
        <v>192</v>
      </c>
      <c r="D105" s="228" t="s">
        <v>500</v>
      </c>
      <c r="E105" s="227">
        <v>43070.62164351852</v>
      </c>
      <c r="F105" s="227">
        <v>43070.625173611108</v>
      </c>
      <c r="G105" s="226">
        <v>57</v>
      </c>
      <c r="H105" s="228" t="s">
        <v>1002</v>
      </c>
      <c r="I105" s="227">
        <v>43070.650219907409</v>
      </c>
      <c r="J105" s="226">
        <v>0</v>
      </c>
      <c r="K105" s="238" t="str">
        <f t="shared" si="37"/>
        <v>4023/4024</v>
      </c>
      <c r="L105" s="246" t="str">
        <f>VLOOKUP(A105,'Trips&amp;Operators'!$C$1:$G$99911,5,FALSE)</f>
        <v>BRUDER RICHARD</v>
      </c>
      <c r="M105" s="225">
        <f t="shared" si="52"/>
        <v>2.5046296301297843E-2</v>
      </c>
      <c r="N105" s="226">
        <f t="shared" si="55"/>
        <v>36.066666673868895</v>
      </c>
      <c r="O105" s="226"/>
      <c r="P105" s="226"/>
      <c r="Q105" s="229"/>
      <c r="R105" s="243"/>
      <c r="S105" s="250">
        <f t="shared" si="56"/>
        <v>1</v>
      </c>
      <c r="T105" s="243" t="str">
        <f t="shared" si="39"/>
        <v>NorthBound</v>
      </c>
      <c r="U105" s="24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9" t="str">
        <f t="shared" si="40"/>
        <v>https://d0f6bd738d7f1b3e5a7ca70fe4ff75f0.us-east-1.aws.found.io/app/kibana#/discover/Steve-Slow-Train-Analysis-(2080s-and-2083s)?_g=(refreshInterval:(display:Off,pause:!f,section:0,value:0),time:(from:'2017-12-01T13:55:10-0700',mode:absolute,to:'2017-12-01T16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5" s="248" t="str">
        <f>IF(AA105&lt;VLOOKUP(AG105,Variables!$AC$3:$AD$8,2,FALSE),"Y","N")</f>
        <v>N</v>
      </c>
      <c r="X105" s="248">
        <f t="shared" si="41"/>
        <v>1</v>
      </c>
      <c r="Y105" s="248">
        <f t="shared" si="53"/>
        <v>5.4399999999999997E-2</v>
      </c>
      <c r="Z105" s="248">
        <f t="shared" si="54"/>
        <v>23.319900000000001</v>
      </c>
      <c r="AA105" s="248">
        <f t="shared" si="42"/>
        <v>23.265499999999999</v>
      </c>
      <c r="AB105" s="234" t="e">
        <f>VLOOKUP(A105,Enforcements!$C$7:$K$9,8,0)</f>
        <v>#N/A</v>
      </c>
      <c r="AC105" s="233" t="e">
        <f>VLOOKUP(A105,Enforcements!$C$7:$E$9,3,0)</f>
        <v>#N/A</v>
      </c>
      <c r="AD105" s="244">
        <f t="shared" si="43"/>
        <v>191</v>
      </c>
      <c r="AE105" s="236" t="str">
        <f t="shared" si="44"/>
        <v>aws s3 cp s3://rtdc.mdm.uploadarchive.raw/RTDC4024/ "%USERPROFILE%\AppData\Local\Temp\OnboardLogs"\RTDC4024\2017-12-01 --exclude "*" --recursive --include "*20171201*" &amp; "%USERPROFILE%\Documents\GitHub\mrs-test-scripts\Headless Mode &amp; Sideloading\WalkAndUnGZ.bat" "%USERPROFILE%\AppData\Local\Temp\OnboardLogs"\RTDC4024\2017-12-01 &amp; aws s3 cp s3://rtdc.mdm.uploadarchive.raw/RTDC4024/ "%USERPROFILE%\AppData\Local\Temp\OnboardLogs"\RTDC4024\2017-12-02 --exclude "*" --recursive --include "*20171202*" &amp; "%USERPROFILE%\Documents\GitHub\mrs-test-scripts\Headless Mode &amp; Sideloading\WalkAndUnGZ.bat" "%USERPROFILE%\AppData\Local\Temp\OnboardLogs"\RTDC4024\2017-12-02</v>
      </c>
      <c r="AF105" s="235" t="str">
        <f t="shared" si="45"/>
        <v>"C:\Program Files (x86)\AstroGrep\AstroGrep.exe" /e /r /s /spath="%USERPROFILE%\AppData\Local\Temp\OnboardLogs" /stypes="app*4024*20171201*" /stext=" 22:.+((SYSTEM_STATE.+slice.+state.+changed )|(ment ac)|(multiple cpu faults)|(system.+state.+changed )|(\[timeout)|(PRM\|1\|D)|(kpr)|(kdp)|(train st.+moving)|(\|lc)|(penalty))"</v>
      </c>
      <c r="AG105" s="245" t="str">
        <f t="shared" si="46"/>
        <v>EC</v>
      </c>
      <c r="AH105" s="237" t="str">
        <f t="shared" si="47"/>
        <v>"%USERPROFILE%\Documents\GitHub\eaglep3\Utilities\RefineRTDCRunTimes.py" --tripid 191-01 --locoid 4024 --swversion DE.1.0.9.0 --startMP 204:544 --initTime 2017-12-01T14:55:10 --startdatetime 2017-12-01T15:00:15 --delay 57 --endMP 204:233199 --enddatetime 2017-12-01T15:36:19 --enforcementcount 0 &gt;&gt;%USERPROFILE%\Documents\GitHub\eaglep3-reporting\EC\2017-12-01-refined-times.txt</v>
      </c>
      <c r="AI105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{"issue":{"subject":"","project_id":79,"tracker_id":40,"status_id":1,"priority_id":2,"assigned_to_id":338,"start_date":"2017-12-01","description":"","custom_fields":[{"id":1,"name":"Subdivision","value":"EC"},{"id":4,"name":"Milepost","value":"23.3199"},{"id":17,"name":"Train ID","value":"191-01"},{"id":16,"name":"Locomotive ID","value":"4024"},{"id":130,"name":"Impact","value":""},{"id":150,"name":"Time of Event (Mountain Time)","value":"15:36:19"},{"id":151,"name":"Denver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4"/>
      <c r="AK105" s="232"/>
      <c r="AL105" s="232"/>
      <c r="AM105" s="241" t="str">
        <f t="shared" si="49"/>
        <v>start /low /b %USERPROFILE%\Documents\GitHub\eaglep3\Utilities\DownloadLogsFromS3.py --loco 4024 --day 2017-12-01</v>
      </c>
      <c r="AN105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22:36:19"},{"id":29,"name":"Sharepoint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1" t="str">
        <f t="shared" si="51"/>
        <v>https://d0f6bd738d7f1b3e5a7ca70fe4ff75f0.us-east-1.aws.found.io/app/kibana#/discover/Steve-Slow-Train-Analysis-(2080s-and-2083s)?_g=(refreshInterval:(display:Off,pause:!f,section:0,value:0),time:(from:'2017-12-01T13:55:10-0700',mode:absolute,to:'2017-12-01T16:36:19-0700'))&amp;_a=(columns:!('Message%20ID',Summary),filters:!(),index:'emp_*',interval:auto,query:(query_string:(analyze_wildcard:!t,query:'%22rtdc.l.rtdc.4024%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1" customFormat="1" x14ac:dyDescent="0.25">
      <c r="A106" s="230" t="s">
        <v>881</v>
      </c>
      <c r="B106" s="226">
        <v>4023</v>
      </c>
      <c r="C106" s="228" t="s">
        <v>192</v>
      </c>
      <c r="D106" s="228" t="s">
        <v>1004</v>
      </c>
      <c r="E106" s="227">
        <v>43070.661597222221</v>
      </c>
      <c r="F106" s="227">
        <v>43070.664849537039</v>
      </c>
      <c r="G106" s="226">
        <v>54</v>
      </c>
      <c r="H106" s="228" t="s">
        <v>422</v>
      </c>
      <c r="I106" s="227">
        <v>43070.690578703703</v>
      </c>
      <c r="J106" s="226">
        <v>0</v>
      </c>
      <c r="K106" s="238" t="str">
        <f t="shared" si="37"/>
        <v>4023/4024</v>
      </c>
      <c r="L106" s="246" t="str">
        <f>VLOOKUP(A106,'Trips&amp;Operators'!$C$1:$G$99911,5,FALSE)</f>
        <v>BRUDER RICHARD</v>
      </c>
      <c r="M106" s="225">
        <f t="shared" si="52"/>
        <v>2.5729166663950309E-2</v>
      </c>
      <c r="N106" s="226">
        <f t="shared" si="55"/>
        <v>37.049999996088445</v>
      </c>
      <c r="O106" s="226"/>
      <c r="P106" s="226"/>
      <c r="Q106" s="229"/>
      <c r="R106" s="243"/>
      <c r="S106" s="250">
        <f t="shared" si="56"/>
        <v>1</v>
      </c>
      <c r="T106" s="243" t="str">
        <f t="shared" si="39"/>
        <v>Southbound</v>
      </c>
      <c r="U106" s="24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9" t="str">
        <f t="shared" si="40"/>
        <v>https://d0f6bd738d7f1b3e5a7ca70fe4ff75f0.us-east-1.aws.found.io/app/kibana#/discover/Steve-Slow-Train-Analysis-(2080s-and-2083s)?_g=(refreshInterval:(display:Off,pause:!f,section:0,value:0),time:(from:'2017-12-01T14:52:42-0700',mode:absolute,to:'2017-12-01T17:34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6" s="248" t="str">
        <f>IF(AA106&lt;VLOOKUP(AG106,Variables!$AC$3:$AD$8,2,FALSE),"Y","N")</f>
        <v>N</v>
      </c>
      <c r="X106" s="248">
        <f t="shared" si="41"/>
        <v>1</v>
      </c>
      <c r="Y106" s="248">
        <f t="shared" si="53"/>
        <v>23.289000000000001</v>
      </c>
      <c r="Z106" s="248">
        <f t="shared" si="54"/>
        <v>2.18E-2</v>
      </c>
      <c r="AA106" s="248">
        <f t="shared" si="42"/>
        <v>23.267200000000003</v>
      </c>
      <c r="AB106" s="234" t="e">
        <f>VLOOKUP(A106,Enforcements!$C$7:$K$9,8,0)</f>
        <v>#N/A</v>
      </c>
      <c r="AC106" s="233" t="e">
        <f>VLOOKUP(A106,Enforcements!$C$7:$E$9,3,0)</f>
        <v>#N/A</v>
      </c>
      <c r="AD106" s="244">
        <f t="shared" si="43"/>
        <v>192</v>
      </c>
      <c r="AE106" s="236" t="str">
        <f t="shared" si="44"/>
        <v>aws s3 cp s3://rtdc.mdm.uploadarchive.raw/RTDC4023/ "%USERPROFILE%\AppData\Local\Temp\OnboardLogs"\RTDC4023\2017-12-01 --exclude "*" --recursive --include "*20171201*" &amp; "%USERPROFILE%\Documents\GitHub\mrs-test-scripts\Headless Mode &amp; Sideloading\WalkAndUnGZ.bat" "%USERPROFILE%\AppData\Local\Temp\OnboardLogs"\RTDC4023\2017-12-01 &amp; aws s3 cp s3://rtdc.mdm.uploadarchive.raw/RTDC4023/ "%USERPROFILE%\AppData\Local\Temp\OnboardLogs"\RTDC4023\2017-12-02 --exclude "*" --recursive --include "*20171202*" &amp; "%USERPROFILE%\Documents\GitHub\mrs-test-scripts\Headless Mode &amp; Sideloading\WalkAndUnGZ.bat" "%USERPROFILE%\AppData\Local\Temp\OnboardLogs"\RTDC4023\2017-12-02</v>
      </c>
      <c r="AF106" s="235" t="str">
        <f t="shared" si="45"/>
        <v>"C:\Program Files (x86)\AstroGrep\AstroGrep.exe" /e /r /s /spath="%USERPROFILE%\AppData\Local\Temp\OnboardLogs" /stypes="app*4023*20171201*" /stext=" 23:.+((SYSTEM_STATE.+slice.+state.+changed )|(ment ac)|(multiple cpu faults)|(system.+state.+changed )|(\[timeout)|(PRM\|1\|D)|(kpr)|(kdp)|(train st.+moving)|(\|lc)|(penalty))"</v>
      </c>
      <c r="AG106" s="245" t="str">
        <f t="shared" si="46"/>
        <v>EC</v>
      </c>
      <c r="AH106" s="237" t="str">
        <f t="shared" si="47"/>
        <v>"%USERPROFILE%\Documents\GitHub\eaglep3\Utilities\RefineRTDCRunTimes.py" --tripid 192-01 --locoid 4023 --swversion DE.1.0.9.0 --startMP 204:232890 --initTime 2017-12-01T15:52:42 --startdatetime 2017-12-01T15:57:23 --delay 54 --endMP 204:218 --enddatetime 2017-12-01T16:34:26 --enforcementcount 0 &gt;&gt;%USERPROFILE%\Documents\GitHub\eaglep3-reporting\EC\2017-12-01-refined-times.txt</v>
      </c>
      <c r="AI106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{"issue":{"subject":"","project_id":79,"tracker_id":40,"status_id":1,"priority_id":2,"assigned_to_id":338,"start_date":"2017-12-01","description":"","custom_fields":[{"id":1,"name":"Subdivision","value":"EC"},{"id":4,"name":"Milepost","value":"0.0218"},{"id":17,"name":"Train ID","value":"192-01"},{"id":16,"name":"Locomotive ID","value":"4023"},{"id":130,"name":"Impact","value":""},{"id":150,"name":"Time of Event (Mountain Time)","value":"16:34:26"},{"id":151,"name":"Denver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4"/>
      <c r="AK106" s="232"/>
      <c r="AL106" s="232"/>
      <c r="AM106" s="241" t="str">
        <f t="shared" si="49"/>
        <v>start /low /b %USERPROFILE%\Documents\GitHub\eaglep3\Utilities\DownloadLogsFromS3.py --loco 4023 --day 2017-12-01</v>
      </c>
      <c r="AN106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23:34:26"},{"id":29,"name":"Sharepoint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1" t="str">
        <f t="shared" si="51"/>
        <v>https://d0f6bd738d7f1b3e5a7ca70fe4ff75f0.us-east-1.aws.found.io/app/kibana#/discover/Steve-Slow-Train-Analysis-(2080s-and-2083s)?_g=(refreshInterval:(display:Off,pause:!f,section:0,value:0),time:(from:'2017-12-01T14:52:42-0700',mode:absolute,to:'2017-12-01T17:34:26-0700'))&amp;_a=(columns:!('Message%20ID',Summary),filters:!(),index:'emp_*',interval:auto,query:(query_string:(analyze_wildcard:!t,query:'%22rtdc.l.rtdc.4023%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1" customFormat="1" x14ac:dyDescent="0.25">
      <c r="A107" s="230" t="s">
        <v>874</v>
      </c>
      <c r="B107" s="226">
        <v>4020</v>
      </c>
      <c r="C107" s="228" t="s">
        <v>192</v>
      </c>
      <c r="D107" s="228" t="s">
        <v>558</v>
      </c>
      <c r="E107" s="227">
        <v>43070.630312499998</v>
      </c>
      <c r="F107" s="227">
        <v>43070.635833333334</v>
      </c>
      <c r="G107" s="226">
        <v>64</v>
      </c>
      <c r="H107" s="228" t="s">
        <v>982</v>
      </c>
      <c r="I107" s="227">
        <v>43070.661087962966</v>
      </c>
      <c r="J107" s="226">
        <v>0</v>
      </c>
      <c r="K107" s="238" t="str">
        <f t="shared" si="37"/>
        <v>4019/4020</v>
      </c>
      <c r="L107" s="246" t="str">
        <f>VLOOKUP(A107,'Trips&amp;Operators'!$C$1:$G$99911,5,FALSE)</f>
        <v>LEVERE CRAIG</v>
      </c>
      <c r="M107" s="225">
        <f t="shared" si="52"/>
        <v>2.5254629632399883E-2</v>
      </c>
      <c r="N107" s="226">
        <f t="shared" si="55"/>
        <v>36.366666670655832</v>
      </c>
      <c r="O107" s="226"/>
      <c r="P107" s="226"/>
      <c r="Q107" s="229"/>
      <c r="R107" s="243"/>
      <c r="S107" s="250">
        <f t="shared" si="56"/>
        <v>1</v>
      </c>
      <c r="T107" s="243" t="str">
        <f t="shared" si="39"/>
        <v>NorthBound</v>
      </c>
      <c r="U107" s="24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9" t="str">
        <f t="shared" si="40"/>
        <v>https://d0f6bd738d7f1b3e5a7ca70fe4ff75f0.us-east-1.aws.found.io/app/kibana#/discover/Steve-Slow-Train-Analysis-(2080s-and-2083s)?_g=(refreshInterval:(display:Off,pause:!f,section:0,value:0),time:(from:'2017-12-01T14:07:39-0700',mode:absolute,to:'2017-12-01T16:51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7" s="248" t="str">
        <f>IF(AA107&lt;VLOOKUP(AG107,Variables!$AC$3:$AD$8,2,FALSE),"Y","N")</f>
        <v>N</v>
      </c>
      <c r="X107" s="248">
        <f t="shared" si="41"/>
        <v>1</v>
      </c>
      <c r="Y107" s="248">
        <f t="shared" si="53"/>
        <v>5.5300000000000002E-2</v>
      </c>
      <c r="Z107" s="248">
        <f t="shared" si="54"/>
        <v>23.320799999999998</v>
      </c>
      <c r="AA107" s="248">
        <f t="shared" si="42"/>
        <v>23.265499999999999</v>
      </c>
      <c r="AB107" s="234" t="e">
        <f>VLOOKUP(A107,Enforcements!$C$7:$K$9,8,0)</f>
        <v>#N/A</v>
      </c>
      <c r="AC107" s="233" t="e">
        <f>VLOOKUP(A107,Enforcements!$C$7:$E$9,3,0)</f>
        <v>#N/A</v>
      </c>
      <c r="AD107" s="244">
        <f t="shared" si="43"/>
        <v>193</v>
      </c>
      <c r="AE107" s="236" t="str">
        <f t="shared" si="44"/>
        <v>aws s3 cp s3://rtdc.mdm.uploadarchive.raw/RTDC4020/ "%USERPROFILE%\AppData\Local\Temp\OnboardLogs"\RTDC4020\2017-12-01 --exclude "*" --recursive --include "*20171201*" &amp; "%USERPROFILE%\Documents\GitHub\mrs-test-scripts\Headless Mode &amp; Sideloading\WalkAndUnGZ.bat" "%USERPROFILE%\AppData\Local\Temp\OnboardLogs"\RTDC4020\2017-12-01 &amp; aws s3 cp s3://rtdc.mdm.uploadarchive.raw/RTDC4020/ "%USERPROFILE%\AppData\Local\Temp\OnboardLogs"\RTDC4020\2017-12-02 --exclude "*" --recursive --include "*20171202*" &amp; "%USERPROFILE%\Documents\GitHub\mrs-test-scripts\Headless Mode &amp; Sideloading\WalkAndUnGZ.bat" "%USERPROFILE%\AppData\Local\Temp\OnboardLogs"\RTDC4020\2017-12-02</v>
      </c>
      <c r="AF107" s="235" t="str">
        <f t="shared" si="45"/>
        <v>"C:\Program Files (x86)\AstroGrep\AstroGrep.exe" /e /r /s /spath="%USERPROFILE%\AppData\Local\Temp\OnboardLogs" /stypes="app*4020*20171201*" /stext=" 22:.+((SYSTEM_STATE.+slice.+state.+changed )|(ment ac)|(multiple cpu faults)|(system.+state.+changed )|(\[timeout)|(PRM\|1\|D)|(kpr)|(kdp)|(train st.+moving)|(\|lc)|(penalty))"</v>
      </c>
      <c r="AG107" s="245" t="str">
        <f t="shared" si="46"/>
        <v>EC</v>
      </c>
      <c r="AH107" s="237" t="str">
        <f t="shared" si="47"/>
        <v>"%USERPROFILE%\Documents\GitHub\eaglep3\Utilities\RefineRTDCRunTimes.py" --tripid 193-01 --locoid 4020 --swversion DE.1.0.9.0 --startMP 204:553 --initTime 2017-12-01T15:07:39 --startdatetime 2017-12-01T15:15:36 --delay 64 --endMP 204:233208 --enddatetime 2017-12-01T15:51:58 --enforcementcount 0 &gt;&gt;%USERPROFILE%\Documents\GitHub\eaglep3-reporting\EC\2017-12-01-refined-times.txt</v>
      </c>
      <c r="AI107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{"issue":{"subject":"","project_id":79,"tracker_id":40,"status_id":1,"priority_id":2,"assigned_to_id":338,"start_date":"2017-12-01","description":"","custom_fields":[{"id":1,"name":"Subdivision","value":"EC"},{"id":4,"name":"Milepost","value":"23.3208"},{"id":17,"name":"Train ID","value":"193-01"},{"id":16,"name":"Locomotive ID","value":"4020"},{"id":130,"name":"Impact","value":""},{"id":150,"name":"Time of Event (Mountain Time)","value":"15:51:58"},{"id":151,"name":"Denver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4"/>
      <c r="AK107" s="232"/>
      <c r="AL107" s="232"/>
      <c r="AM107" s="241" t="str">
        <f t="shared" si="49"/>
        <v>start /low /b %USERPROFILE%\Documents\GitHub\eaglep3\Utilities\DownloadLogsFromS3.py --loco 4020 --day 2017-12-01</v>
      </c>
      <c r="AN107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22:51:58"},{"id":29,"name":"Sharepoint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1" t="str">
        <f t="shared" si="51"/>
        <v>https://d0f6bd738d7f1b3e5a7ca70fe4ff75f0.us-east-1.aws.found.io/app/kibana#/discover/Steve-Slow-Train-Analysis-(2080s-and-2083s)?_g=(refreshInterval:(display:Off,pause:!f,section:0,value:0),time:(from:'2017-12-01T14:07:39-0700',mode:absolute,to:'2017-12-01T16:51:58-0700'))&amp;_a=(columns:!('Message%20ID',Summary),filters:!(),index:'emp_*',interval:auto,query:(query_string:(analyze_wildcard:!t,query:'%22rtdc.l.rtdc.4020%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1" customFormat="1" x14ac:dyDescent="0.25">
      <c r="A108" s="230" t="s">
        <v>885</v>
      </c>
      <c r="B108" s="226">
        <v>4019</v>
      </c>
      <c r="C108" s="228" t="s">
        <v>192</v>
      </c>
      <c r="D108" s="228" t="s">
        <v>423</v>
      </c>
      <c r="E108" s="227">
        <v>43070.670868055553</v>
      </c>
      <c r="F108" s="227">
        <v>43070.675219907411</v>
      </c>
      <c r="G108" s="226">
        <v>57</v>
      </c>
      <c r="H108" s="228" t="s">
        <v>986</v>
      </c>
      <c r="I108" s="227">
        <v>43070.701701388891</v>
      </c>
      <c r="J108" s="226">
        <v>0</v>
      </c>
      <c r="K108" s="238" t="str">
        <f t="shared" si="37"/>
        <v>4019/4020</v>
      </c>
      <c r="L108" s="246" t="str">
        <f>VLOOKUP(A108,'Trips&amp;Operators'!$C$1:$G$99911,5,FALSE)</f>
        <v>LEVERE CRAIG</v>
      </c>
      <c r="M108" s="225">
        <f t="shared" si="52"/>
        <v>2.6481481480004732E-2</v>
      </c>
      <c r="N108" s="226">
        <f t="shared" si="55"/>
        <v>38.133333331206813</v>
      </c>
      <c r="O108" s="226"/>
      <c r="P108" s="226"/>
      <c r="Q108" s="229"/>
      <c r="R108" s="243"/>
      <c r="S108" s="250">
        <f t="shared" si="56"/>
        <v>1</v>
      </c>
      <c r="T108" s="243" t="str">
        <f t="shared" si="39"/>
        <v>Southbound</v>
      </c>
      <c r="U108" s="24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9" t="str">
        <f t="shared" si="40"/>
        <v>https://d0f6bd738d7f1b3e5a7ca70fe4ff75f0.us-east-1.aws.found.io/app/kibana#/discover/Steve-Slow-Train-Analysis-(2080s-and-2083s)?_g=(refreshInterval:(display:Off,pause:!f,section:0,value:0),time:(from:'2017-12-01T15:06:03-0700',mode:absolute,to:'2017-12-01T17:50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8" s="248" t="str">
        <f>IF(AA108&lt;VLOOKUP(AG108,Variables!$AC$3:$AD$8,2,FALSE),"Y","N")</f>
        <v>N</v>
      </c>
      <c r="X108" s="248">
        <f t="shared" si="41"/>
        <v>1</v>
      </c>
      <c r="Y108" s="248">
        <f t="shared" si="53"/>
        <v>23.290400000000002</v>
      </c>
      <c r="Z108" s="248">
        <f t="shared" si="54"/>
        <v>2.4899999999999999E-2</v>
      </c>
      <c r="AA108" s="248">
        <f t="shared" si="42"/>
        <v>23.265500000000003</v>
      </c>
      <c r="AB108" s="234" t="e">
        <f>VLOOKUP(A108,Enforcements!$C$7:$K$9,8,0)</f>
        <v>#N/A</v>
      </c>
      <c r="AC108" s="233" t="e">
        <f>VLOOKUP(A108,Enforcements!$C$7:$E$9,3,0)</f>
        <v>#N/A</v>
      </c>
      <c r="AD108" s="244">
        <f t="shared" si="43"/>
        <v>194</v>
      </c>
      <c r="AE108" s="236" t="str">
        <f t="shared" si="44"/>
        <v>aws s3 cp s3://rtdc.mdm.uploadarchive.raw/RTDC4019/ "%USERPROFILE%\AppData\Local\Temp\OnboardLogs"\RTDC4019\2017-12-01 --exclude "*" --recursive --include "*20171201*" &amp; "%USERPROFILE%\Documents\GitHub\mrs-test-scripts\Headless Mode &amp; Sideloading\WalkAndUnGZ.bat" "%USERPROFILE%\AppData\Local\Temp\OnboardLogs"\RTDC4019\2017-12-01 &amp; aws s3 cp s3://rtdc.mdm.uploadarchive.raw/RTDC4019/ "%USERPROFILE%\AppData\Local\Temp\OnboardLogs"\RTDC4019\2017-12-02 --exclude "*" --recursive --include "*20171202*" &amp; "%USERPROFILE%\Documents\GitHub\mrs-test-scripts\Headless Mode &amp; Sideloading\WalkAndUnGZ.bat" "%USERPROFILE%\AppData\Local\Temp\OnboardLogs"\RTDC4019\2017-12-02</v>
      </c>
      <c r="AF108" s="235" t="str">
        <f t="shared" si="45"/>
        <v>"C:\Program Files (x86)\AstroGrep\AstroGrep.exe" /e /r /s /spath="%USERPROFILE%\AppData\Local\Temp\OnboardLogs" /stypes="app*4019*20171201*" /stext=" 23:.+((SYSTEM_STATE.+slice.+state.+changed )|(ment ac)|(multiple cpu faults)|(system.+state.+changed )|(\[timeout)|(PRM\|1\|D)|(kpr)|(kdp)|(train st.+moving)|(\|lc)|(penalty))"</v>
      </c>
      <c r="AG108" s="245" t="str">
        <f t="shared" si="46"/>
        <v>EC</v>
      </c>
      <c r="AH108" s="237" t="str">
        <f t="shared" si="47"/>
        <v>"%USERPROFILE%\Documents\GitHub\eaglep3\Utilities\RefineRTDCRunTimes.py" --tripid 194-01 --locoid 4019 --swversion DE.1.0.9.0 --startMP 204:232904 --initTime 2017-12-01T16:06:03 --startdatetime 2017-12-01T16:12:19 --delay 57 --endMP 204:249 --enddatetime 2017-12-01T16:50:27 --enforcementcount 0 &gt;&gt;%USERPROFILE%\Documents\GitHub\eaglep3-reporting\EC\2017-12-01-refined-times.txt</v>
      </c>
      <c r="AI108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{"issue":{"subject":"","project_id":79,"tracker_id":40,"status_id":1,"priority_id":2,"assigned_to_id":338,"start_date":"2017-12-01","description":"","custom_fields":[{"id":1,"name":"Subdivision","value":"EC"},{"id":4,"name":"Milepost","value":"0.0249"},{"id":17,"name":"Train ID","value":"194-01"},{"id":16,"name":"Locomotive ID","value":"4019"},{"id":130,"name":"Impact","value":""},{"id":150,"name":"Time of Event (Mountain Time)","value":"16:50:27"},{"id":151,"name":"Denver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4"/>
      <c r="AK108" s="232"/>
      <c r="AL108" s="232"/>
      <c r="AM108" s="241" t="str">
        <f t="shared" si="49"/>
        <v>start /low /b %USERPROFILE%\Documents\GitHub\eaglep3\Utilities\DownloadLogsFromS3.py --loco 4019 --day 2017-12-01</v>
      </c>
      <c r="AN108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23:50:27"},{"id":29,"name":"Sharepoint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1" t="str">
        <f t="shared" si="51"/>
        <v>https://d0f6bd738d7f1b3e5a7ca70fe4ff75f0.us-east-1.aws.found.io/app/kibana#/discover/Steve-Slow-Train-Analysis-(2080s-and-2083s)?_g=(refreshInterval:(display:Off,pause:!f,section:0,value:0),time:(from:'2017-12-01T15:06:03-0700',mode:absolute,to:'2017-12-01T17:50:27-0700'))&amp;_a=(columns:!('Message%20ID',Summary),filters:!(),index:'emp_*',interval:auto,query:(query_string:(analyze_wildcard:!t,query:'%22rtdc.l.rtdc.4019%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230" t="s">
        <v>737</v>
      </c>
      <c r="B109" s="226">
        <v>4006</v>
      </c>
      <c r="C109" s="228" t="s">
        <v>192</v>
      </c>
      <c r="D109" s="228" t="s">
        <v>723</v>
      </c>
      <c r="E109" s="227">
        <v>43070.64298611111</v>
      </c>
      <c r="F109" s="227">
        <v>43070.645983796298</v>
      </c>
      <c r="G109" s="226">
        <v>51</v>
      </c>
      <c r="H109" s="228" t="s">
        <v>996</v>
      </c>
      <c r="I109" s="227">
        <v>43070.671620370369</v>
      </c>
      <c r="J109" s="226">
        <v>0</v>
      </c>
      <c r="K109" s="238" t="str">
        <f t="shared" si="37"/>
        <v>4005/4006</v>
      </c>
      <c r="L109" s="246" t="str">
        <f>VLOOKUP(A109,'Trips&amp;Operators'!$C$1:$G$99911,5,FALSE)</f>
        <v>FORTUNATO FRANK</v>
      </c>
      <c r="M109" s="225">
        <f t="shared" si="52"/>
        <v>2.5636574071540963E-2</v>
      </c>
      <c r="N109" s="226">
        <f t="shared" si="55"/>
        <v>36.916666663018987</v>
      </c>
      <c r="O109" s="226"/>
      <c r="P109" s="226"/>
      <c r="Q109" s="229"/>
      <c r="R109" s="243"/>
      <c r="S109" s="250">
        <f t="shared" si="56"/>
        <v>1</v>
      </c>
      <c r="T109" s="243" t="str">
        <f t="shared" si="39"/>
        <v>NorthBound</v>
      </c>
      <c r="U109" s="24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9" t="str">
        <f t="shared" si="40"/>
        <v>https://d0f6bd738d7f1b3e5a7ca70fe4ff75f0.us-east-1.aws.found.io/app/kibana#/discover/Steve-Slow-Train-Analysis-(2080s-and-2083s)?_g=(refreshInterval:(display:Off,pause:!f,section:0,value:0),time:(from:'2017-12-01T14:25:54-0700',mode:absolute,to:'2017-12-01T17:07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9" s="248" t="str">
        <f>IF(AA109&lt;VLOOKUP(AG109,Variables!$AC$3:$AD$8,2,FALSE),"Y","N")</f>
        <v>N</v>
      </c>
      <c r="X109" s="248">
        <f t="shared" ref="X109:X140" si="57">VALUE(LEFT(AD109,4))-VALUE(LEFT(AD108,4))</f>
        <v>1</v>
      </c>
      <c r="Y109" s="248">
        <f t="shared" si="53"/>
        <v>5.28E-2</v>
      </c>
      <c r="Z109" s="248">
        <f t="shared" si="54"/>
        <v>23.319199999999999</v>
      </c>
      <c r="AA109" s="248">
        <f t="shared" si="42"/>
        <v>23.266399999999997</v>
      </c>
      <c r="AB109" s="234" t="e">
        <f>VLOOKUP(A109,Enforcements!$C$7:$K$9,8,0)</f>
        <v>#N/A</v>
      </c>
      <c r="AC109" s="233" t="e">
        <f>VLOOKUP(A109,Enforcements!$C$7:$E$9,3,0)</f>
        <v>#N/A</v>
      </c>
      <c r="AD109" s="244">
        <f t="shared" si="43"/>
        <v>195</v>
      </c>
      <c r="AE109" s="236" t="str">
        <f t="shared" si="44"/>
        <v>aws s3 cp s3://rtdc.mdm.uploadarchive.raw/RTDC4006/ "%USERPROFILE%\AppData\Local\Temp\OnboardLogs"\RTDC4006\2017-12-01 --exclude "*" --recursive --include "*20171201*" &amp; "%USERPROFILE%\Documents\GitHub\mrs-test-scripts\Headless Mode &amp; Sideloading\WalkAndUnGZ.bat" "%USERPROFILE%\AppData\Local\Temp\OnboardLogs"\RTDC4006\2017-12-01 &amp; aws s3 cp s3://rtdc.mdm.uploadarchive.raw/RTDC4006/ "%USERPROFILE%\AppData\Local\Temp\OnboardLogs"\RTDC4006\2017-12-02 --exclude "*" --recursive --include "*20171202*" &amp; "%USERPROFILE%\Documents\GitHub\mrs-test-scripts\Headless Mode &amp; Sideloading\WalkAndUnGZ.bat" "%USERPROFILE%\AppData\Local\Temp\OnboardLogs"\RTDC4006\2017-12-02</v>
      </c>
      <c r="AF109" s="235" t="str">
        <f t="shared" si="45"/>
        <v>"C:\Program Files (x86)\AstroGrep\AstroGrep.exe" /e /r /s /spath="%USERPROFILE%\AppData\Local\Temp\OnboardLogs" /stypes="app*4006*20171201*" /stext=" 23:.+((SYSTEM_STATE.+slice.+state.+changed )|(ment ac)|(multiple cpu faults)|(system.+state.+changed )|(\[timeout)|(PRM\|1\|D)|(kpr)|(kdp)|(train st.+moving)|(\|lc)|(penalty))"</v>
      </c>
      <c r="AG109" s="245" t="str">
        <f t="shared" si="46"/>
        <v>EC</v>
      </c>
      <c r="AH109" s="237" t="str">
        <f t="shared" si="47"/>
        <v>"%USERPROFILE%\Documents\GitHub\eaglep3\Utilities\RefineRTDCRunTimes.py" --tripid 195-01 --locoid 4006 --swversion DE.1.0.9.0 --startMP 204:528 --initTime 2017-12-01T15:25:54 --startdatetime 2017-12-01T15:30:13 --delay 51 --endMP 204:233192 --enddatetime 2017-12-01T16:07:08 --enforcementcount 0 &gt;&gt;%USERPROFILE%\Documents\GitHub\eaglep3-reporting\EC\2017-12-01-refined-times.txt</v>
      </c>
      <c r="AI109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{"issue":{"subject":"","project_id":79,"tracker_id":40,"status_id":1,"priority_id":2,"assigned_to_id":338,"start_date":"2017-12-01","description":"","custom_fields":[{"id":1,"name":"Subdivision","value":"EC"},{"id":4,"name":"Milepost","value":"23.3192"},{"id":17,"name":"Train ID","value":"195-01"},{"id":16,"name":"Locomotive ID","value":"4006"},{"id":130,"name":"Impact","value":""},{"id":150,"name":"Time of Event (Mountain Time)","value":"16:07:08"},{"id":151,"name":"Denver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4"/>
      <c r="AK109" s="232"/>
      <c r="AL109" s="232"/>
      <c r="AM109" s="241" t="str">
        <f t="shared" si="49"/>
        <v>start /low /b %USERPROFILE%\Documents\GitHub\eaglep3\Utilities\DownloadLogsFromS3.py --loco 4006 --day 2017-12-01</v>
      </c>
      <c r="AN109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23:07:08"},{"id":29,"name":"Sharepoint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1" t="str">
        <f t="shared" si="51"/>
        <v>https://d0f6bd738d7f1b3e5a7ca70fe4ff75f0.us-east-1.aws.found.io/app/kibana#/discover/Steve-Slow-Train-Analysis-(2080s-and-2083s)?_g=(refreshInterval:(display:Off,pause:!f,section:0,value:0),time:(from:'2017-12-01T14:25:54-0700',mode:absolute,to:'2017-12-01T17:07:08-0700'))&amp;_a=(columns:!('Message%20ID',Summary),filters:!(),index:'emp_*',interval:auto,query:(query_string:(analyze_wildcard:!t,query:'%22rtdc.l.rtdc.4006%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230" t="s">
        <v>886</v>
      </c>
      <c r="B110" s="226">
        <v>4005</v>
      </c>
      <c r="C110" s="228" t="s">
        <v>192</v>
      </c>
      <c r="D110" s="228" t="s">
        <v>990</v>
      </c>
      <c r="E110" s="227">
        <v>43070.673101851855</v>
      </c>
      <c r="F110" s="227">
        <v>43070.685555555552</v>
      </c>
      <c r="G110" s="226">
        <v>50</v>
      </c>
      <c r="H110" s="228" t="s">
        <v>433</v>
      </c>
      <c r="I110" s="227">
        <v>43070.711678240739</v>
      </c>
      <c r="J110" s="226">
        <v>0</v>
      </c>
      <c r="K110" s="238" t="str">
        <f t="shared" si="37"/>
        <v>4005/4006</v>
      </c>
      <c r="L110" s="246" t="str">
        <f>VLOOKUP(A110,'Trips&amp;Operators'!$C$1:$G$99911,5,FALSE)</f>
        <v>FORTUNATO FRANK</v>
      </c>
      <c r="M110" s="225">
        <f t="shared" si="52"/>
        <v>2.6122685187146999E-2</v>
      </c>
      <c r="N110" s="226">
        <f t="shared" si="55"/>
        <v>37.616666669491678</v>
      </c>
      <c r="O110" s="226"/>
      <c r="P110" s="226"/>
      <c r="Q110" s="229"/>
      <c r="R110" s="243"/>
      <c r="S110" s="250">
        <f t="shared" si="56"/>
        <v>1</v>
      </c>
      <c r="T110" s="243" t="str">
        <f t="shared" si="39"/>
        <v>Southbound</v>
      </c>
      <c r="U110" s="24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9" t="str">
        <f t="shared" si="40"/>
        <v>https://d0f6bd738d7f1b3e5a7ca70fe4ff75f0.us-east-1.aws.found.io/app/kibana#/discover/Steve-Slow-Train-Analysis-(2080s-and-2083s)?_g=(refreshInterval:(display:Off,pause:!f,section:0,value:0),time:(from:'2017-12-01T15:09:16-0700',mode:absolute,to:'2017-12-01T18:04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0" s="248" t="str">
        <f>IF(AA110&lt;VLOOKUP(AG110,Variables!$AC$3:$AD$8,2,FALSE),"Y","N")</f>
        <v>N</v>
      </c>
      <c r="X110" s="248">
        <f t="shared" si="57"/>
        <v>1</v>
      </c>
      <c r="Y110" s="248">
        <f t="shared" si="53"/>
        <v>23.2881</v>
      </c>
      <c r="Z110" s="248">
        <f t="shared" si="54"/>
        <v>2.23E-2</v>
      </c>
      <c r="AA110" s="248">
        <f t="shared" si="42"/>
        <v>23.265799999999999</v>
      </c>
      <c r="AB110" s="234" t="e">
        <f>VLOOKUP(A110,Enforcements!$C$7:$K$9,8,0)</f>
        <v>#N/A</v>
      </c>
      <c r="AC110" s="233" t="e">
        <f>VLOOKUP(A110,Enforcements!$C$7:$E$9,3,0)</f>
        <v>#N/A</v>
      </c>
      <c r="AD110" s="244">
        <f t="shared" si="43"/>
        <v>196</v>
      </c>
      <c r="AE110" s="236" t="str">
        <f t="shared" si="44"/>
        <v>aws s3 cp s3://rtdc.mdm.uploadarchive.raw/RTDC4005/ "%USERPROFILE%\AppData\Local\Temp\OnboardLogs"\RTDC4005\2017-12-01 --exclude "*" --recursive --include "*20171201*" &amp; "%USERPROFILE%\Documents\GitHub\mrs-test-scripts\Headless Mode &amp; Sideloading\WalkAndUnGZ.bat" "%USERPROFILE%\AppData\Local\Temp\OnboardLogs"\RTDC4005\2017-12-01 &amp; aws s3 cp s3://rtdc.mdm.uploadarchive.raw/RTDC4005/ "%USERPROFILE%\AppData\Local\Temp\OnboardLogs"\RTDC4005\2017-12-02 --exclude "*" --recursive --include "*20171202*" &amp; "%USERPROFILE%\Documents\GitHub\mrs-test-scripts\Headless Mode &amp; Sideloading\WalkAndUnGZ.bat" "%USERPROFILE%\AppData\Local\Temp\OnboardLogs"\RTDC4005\2017-12-02</v>
      </c>
      <c r="AF110" s="235" t="str">
        <f t="shared" si="45"/>
        <v>"C:\Program Files (x86)\AstroGrep\AstroGrep.exe" /e /r /s /spath="%USERPROFILE%\AppData\Local\Temp\OnboardLogs" /stypes="app*4005*20171202*" /stext=" 00:.+((SYSTEM_STATE.+slice.+state.+changed )|(ment ac)|(multiple cpu faults)|(system.+state.+changed )|(\[timeout)|(PRM\|1\|D)|(kpr)|(kdp)|(train st.+moving)|(\|lc)|(penalty))"</v>
      </c>
      <c r="AG110" s="245" t="str">
        <f t="shared" si="46"/>
        <v>EC</v>
      </c>
      <c r="AH110" s="237" t="str">
        <f t="shared" si="47"/>
        <v>"%USERPROFILE%\Documents\GitHub\eaglep3\Utilities\RefineRTDCRunTimes.py" --tripid 196-01 --locoid 4005 --swversion DE.1.0.9.0 --startMP 204:232881 --initTime 2017-12-01T16:09:16 --startdatetime 2017-12-01T16:27:12 --delay 50 --endMP 204:223 --enddatetime 2017-12-01T17:04:49 --enforcementcount 0 &gt;&gt;%USERPROFILE%\Documents\GitHub\eaglep3-reporting\EC\2017-12-01-refined-times.txt</v>
      </c>
      <c r="AI110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{"issue":{"subject":"","project_id":79,"tracker_id":40,"status_id":1,"priority_id":2,"assigned_to_id":338,"start_date":"2017-12-01","description":"","custom_fields":[{"id":1,"name":"Subdivision","value":"EC"},{"id":4,"name":"Milepost","value":"0.0223"},{"id":17,"name":"Train ID","value":"196-01"},{"id":16,"name":"Locomotive ID","value":"4005"},{"id":130,"name":"Impact","value":""},{"id":150,"name":"Time of Event (Mountain Time)","value":"17:04:49"},{"id":151,"name":"Denver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4"/>
      <c r="AK110" s="232"/>
      <c r="AL110" s="232"/>
      <c r="AM110" s="241" t="str">
        <f t="shared" si="49"/>
        <v>start /low /b %USERPROFILE%\Documents\GitHub\eaglep3\Utilities\DownloadLogsFromS3.py --loco 4005 --day 2017-12-01</v>
      </c>
      <c r="AN110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00:04:49"},{"id":29,"name":"Sharepoint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1" t="str">
        <f t="shared" si="51"/>
        <v>https://d0f6bd738d7f1b3e5a7ca70fe4ff75f0.us-east-1.aws.found.io/app/kibana#/discover/Steve-Slow-Train-Analysis-(2080s-and-2083s)?_g=(refreshInterval:(display:Off,pause:!f,section:0,value:0),time:(from:'2017-12-01T15:09:16-0700',mode:absolute,to:'2017-12-01T18:04:49-0700'))&amp;_a=(columns:!('Message%20ID',Summary),filters:!(),index:'emp_*',interval:auto,query:(query_string:(analyze_wildcard:!t,query:'%22rtdc.l.rtdc.4005%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230" t="s">
        <v>739</v>
      </c>
      <c r="B111" s="226">
        <v>4046</v>
      </c>
      <c r="C111" s="228" t="s">
        <v>192</v>
      </c>
      <c r="D111" s="228" t="s">
        <v>491</v>
      </c>
      <c r="E111" s="227">
        <v>43070.653229166666</v>
      </c>
      <c r="F111" s="227">
        <v>43070.656504629631</v>
      </c>
      <c r="G111" s="226">
        <v>56</v>
      </c>
      <c r="H111" s="228" t="s">
        <v>498</v>
      </c>
      <c r="I111" s="227">
        <v>43070.684953703705</v>
      </c>
      <c r="J111" s="226">
        <v>0</v>
      </c>
      <c r="K111" s="238" t="str">
        <f t="shared" si="37"/>
        <v>4045/4046</v>
      </c>
      <c r="L111" s="246" t="str">
        <f>VLOOKUP(A111,'Trips&amp;Operators'!$C$1:$G$99911,5,FALSE)</f>
        <v>LEVIN SCOTT</v>
      </c>
      <c r="M111" s="225">
        <f t="shared" si="52"/>
        <v>2.8449074074160308E-2</v>
      </c>
      <c r="N111" s="226">
        <f t="shared" si="55"/>
        <v>40.966666666790843</v>
      </c>
      <c r="O111" s="226"/>
      <c r="P111" s="226"/>
      <c r="Q111" s="229"/>
      <c r="R111" s="243"/>
      <c r="S111" s="250">
        <f t="shared" si="56"/>
        <v>1</v>
      </c>
      <c r="T111" s="243" t="str">
        <f t="shared" si="39"/>
        <v>NorthBound</v>
      </c>
      <c r="U111" s="24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9" t="str">
        <f t="shared" si="40"/>
        <v>https://d0f6bd738d7f1b3e5a7ca70fe4ff75f0.us-east-1.aws.found.io/app/kibana#/discover/Steve-Slow-Train-Analysis-(2080s-and-2083s)?_g=(refreshInterval:(display:Off,pause:!f,section:0,value:0),time:(from:'2017-12-01T14:40:39-0700',mode:absolute,to:'2017-12-01T17:26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1" s="248" t="str">
        <f>IF(AA111&lt;VLOOKUP(AG111,Variables!$AC$3:$AD$8,2,FALSE),"Y","N")</f>
        <v>N</v>
      </c>
      <c r="X111" s="248">
        <f t="shared" si="57"/>
        <v>1</v>
      </c>
      <c r="Y111" s="248">
        <f t="shared" si="53"/>
        <v>4.6399999999999997E-2</v>
      </c>
      <c r="Z111" s="248">
        <f t="shared" si="54"/>
        <v>23.3215</v>
      </c>
      <c r="AA111" s="248">
        <f t="shared" si="42"/>
        <v>23.275100000000002</v>
      </c>
      <c r="AB111" s="234" t="e">
        <f>VLOOKUP(A111,Enforcements!$C$7:$K$9,8,0)</f>
        <v>#N/A</v>
      </c>
      <c r="AC111" s="233" t="e">
        <f>VLOOKUP(A111,Enforcements!$C$7:$E$9,3,0)</f>
        <v>#N/A</v>
      </c>
      <c r="AD111" s="244">
        <f t="shared" si="43"/>
        <v>197</v>
      </c>
      <c r="AE111" s="236" t="str">
        <f t="shared" si="44"/>
        <v>aws s3 cp s3://rtdc.mdm.uploadarchive.raw/RTDC4046/ "%USERPROFILE%\AppData\Local\Temp\OnboardLogs"\RTDC4046\2017-12-01 --exclude "*" --recursive --include "*20171201*" &amp; "%USERPROFILE%\Documents\GitHub\mrs-test-scripts\Headless Mode &amp; Sideloading\WalkAndUnGZ.bat" "%USERPROFILE%\AppData\Local\Temp\OnboardLogs"\RTDC4046\2017-12-01 &amp; aws s3 cp s3://rtdc.mdm.uploadarchive.raw/RTDC4046/ "%USERPROFILE%\AppData\Local\Temp\OnboardLogs"\RTDC4046\2017-12-02 --exclude "*" --recursive --include "*20171202*" &amp; "%USERPROFILE%\Documents\GitHub\mrs-test-scripts\Headless Mode &amp; Sideloading\WalkAndUnGZ.bat" "%USERPROFILE%\AppData\Local\Temp\OnboardLogs"\RTDC4046\2017-12-02</v>
      </c>
      <c r="AF111" s="235" t="str">
        <f t="shared" si="45"/>
        <v>"C:\Program Files (x86)\AstroGrep\AstroGrep.exe" /e /r /s /spath="%USERPROFILE%\AppData\Local\Temp\OnboardLogs" /stypes="app*4046*20171201*" /stext=" 23:.+((SYSTEM_STATE.+slice.+state.+changed )|(ment ac)|(multiple cpu faults)|(system.+state.+changed )|(\[timeout)|(PRM\|1\|D)|(kpr)|(kdp)|(train st.+moving)|(\|lc)|(penalty))"</v>
      </c>
      <c r="AG111" s="245" t="str">
        <f t="shared" si="46"/>
        <v>EC</v>
      </c>
      <c r="AH111" s="237" t="str">
        <f t="shared" si="47"/>
        <v>"%USERPROFILE%\Documents\GitHub\eaglep3\Utilities\RefineRTDCRunTimes.py" --tripid 197-01 --locoid 4046 --swversion DE.1.0.9.0 --startMP 204:464 --initTime 2017-12-01T15:40:39 --startdatetime 2017-12-01T15:45:22 --delay 56 --endMP 204:233215 --enddatetime 2017-12-01T16:26:20 --enforcementcount 0 &gt;&gt;%USERPROFILE%\Documents\GitHub\eaglep3-reporting\EC\2017-12-01-refined-times.txt</v>
      </c>
      <c r="AI111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{"issue":{"subject":"","project_id":79,"tracker_id":40,"status_id":1,"priority_id":2,"assigned_to_id":338,"start_date":"2017-12-01","description":"","custom_fields":[{"id":1,"name":"Subdivision","value":"EC"},{"id":4,"name":"Milepost","value":"23.3215"},{"id":17,"name":"Train ID","value":"197-01"},{"id":16,"name":"Locomotive ID","value":"4046"},{"id":130,"name":"Impact","value":""},{"id":150,"name":"Time of Event (Mountain Time)","value":"16:26:20"},{"id":151,"name":"Denver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4"/>
      <c r="AK111" s="232"/>
      <c r="AL111" s="232"/>
      <c r="AM111" s="241" t="str">
        <f t="shared" si="49"/>
        <v>start /low /b %USERPROFILE%\Documents\GitHub\eaglep3\Utilities\DownloadLogsFromS3.py --loco 4046 --day 2017-12-01</v>
      </c>
      <c r="AN111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23:26:20"},{"id":29,"name":"Sharepoint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1" t="str">
        <f t="shared" si="51"/>
        <v>https://d0f6bd738d7f1b3e5a7ca70fe4ff75f0.us-east-1.aws.found.io/app/kibana#/discover/Steve-Slow-Train-Analysis-(2080s-and-2083s)?_g=(refreshInterval:(display:Off,pause:!f,section:0,value:0),time:(from:'2017-12-01T14:40:39-0700',mode:absolute,to:'2017-12-01T17:26:20-0700'))&amp;_a=(columns:!('Message%20ID',Summary),filters:!(),index:'emp_*',interval:auto,query:(query_string:(analyze_wildcard:!t,query:'%22rtdc.l.rtdc.4046%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230" t="s">
        <v>894</v>
      </c>
      <c r="B112" s="226">
        <v>4045</v>
      </c>
      <c r="C112" s="228" t="s">
        <v>192</v>
      </c>
      <c r="D112" s="228" t="s">
        <v>467</v>
      </c>
      <c r="E112" s="227">
        <v>43070.693055555559</v>
      </c>
      <c r="F112" s="227">
        <v>43070.696006944447</v>
      </c>
      <c r="G112" s="226">
        <v>69</v>
      </c>
      <c r="H112" s="228" t="s">
        <v>634</v>
      </c>
      <c r="I112" s="227">
        <v>43070.722337962965</v>
      </c>
      <c r="J112" s="226">
        <v>0</v>
      </c>
      <c r="K112" s="238" t="str">
        <f t="shared" si="37"/>
        <v>4045/4046</v>
      </c>
      <c r="L112" s="246" t="str">
        <f>VLOOKUP(A112,'Trips&amp;Operators'!$C$1:$G$99911,5,FALSE)</f>
        <v>LEVIN SCOTT</v>
      </c>
      <c r="M112" s="225">
        <f t="shared" si="52"/>
        <v>2.6331018518249039E-2</v>
      </c>
      <c r="N112" s="226">
        <f t="shared" si="55"/>
        <v>37.916666666278616</v>
      </c>
      <c r="O112" s="226"/>
      <c r="P112" s="226"/>
      <c r="Q112" s="229"/>
      <c r="R112" s="243"/>
      <c r="S112" s="250">
        <f t="shared" si="56"/>
        <v>1</v>
      </c>
      <c r="T112" s="243" t="str">
        <f t="shared" si="39"/>
        <v>Southbound</v>
      </c>
      <c r="U112" s="24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9" t="str">
        <f t="shared" si="40"/>
        <v>https://d0f6bd738d7f1b3e5a7ca70fe4ff75f0.us-east-1.aws.found.io/app/kibana#/discover/Steve-Slow-Train-Analysis-(2080s-and-2083s)?_g=(refreshInterval:(display:Off,pause:!f,section:0,value:0),time:(from:'2017-12-01T15:38:00-0700',mode:absolute,to:'2017-12-01T18:20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2" s="248" t="str">
        <f>IF(AA112&lt;VLOOKUP(AG112,Variables!$AC$3:$AD$8,2,FALSE),"Y","N")</f>
        <v>N</v>
      </c>
      <c r="X112" s="248">
        <f t="shared" si="57"/>
        <v>1</v>
      </c>
      <c r="Y112" s="248">
        <f t="shared" si="53"/>
        <v>23.2896</v>
      </c>
      <c r="Z112" s="248">
        <f t="shared" si="54"/>
        <v>1.6500000000000001E-2</v>
      </c>
      <c r="AA112" s="248">
        <f t="shared" si="42"/>
        <v>23.273099999999999</v>
      </c>
      <c r="AB112" s="234" t="e">
        <f>VLOOKUP(A112,Enforcements!$C$7:$K$9,8,0)</f>
        <v>#N/A</v>
      </c>
      <c r="AC112" s="233" t="e">
        <f>VLOOKUP(A112,Enforcements!$C$7:$E$9,3,0)</f>
        <v>#N/A</v>
      </c>
      <c r="AD112" s="244">
        <f t="shared" si="43"/>
        <v>198</v>
      </c>
      <c r="AE112" s="236" t="str">
        <f t="shared" si="44"/>
        <v>aws s3 cp s3://rtdc.mdm.uploadarchive.raw/RTDC4045/ "%USERPROFILE%\AppData\Local\Temp\OnboardLogs"\RTDC4045\2017-12-01 --exclude "*" --recursive --include "*20171201*" &amp; "%USERPROFILE%\Documents\GitHub\mrs-test-scripts\Headless Mode &amp; Sideloading\WalkAndUnGZ.bat" "%USERPROFILE%\AppData\Local\Temp\OnboardLogs"\RTDC4045\2017-12-01 &amp; aws s3 cp s3://rtdc.mdm.uploadarchive.raw/RTDC4045/ "%USERPROFILE%\AppData\Local\Temp\OnboardLogs"\RTDC4045\2017-12-02 --exclude "*" --recursive --include "*20171202*" &amp; "%USERPROFILE%\Documents\GitHub\mrs-test-scripts\Headless Mode &amp; Sideloading\WalkAndUnGZ.bat" "%USERPROFILE%\AppData\Local\Temp\OnboardLogs"\RTDC4045\2017-12-02</v>
      </c>
      <c r="AF112" s="235" t="str">
        <f t="shared" si="45"/>
        <v>"C:\Program Files (x86)\AstroGrep\AstroGrep.exe" /e /r /s /spath="%USERPROFILE%\AppData\Local\Temp\OnboardLogs" /stypes="app*4045*20171202*" /stext=" 00:.+((SYSTEM_STATE.+slice.+state.+changed )|(ment ac)|(multiple cpu faults)|(system.+state.+changed )|(\[timeout)|(PRM\|1\|D)|(kpr)|(kdp)|(train st.+moving)|(\|lc)|(penalty))"</v>
      </c>
      <c r="AG112" s="245" t="str">
        <f t="shared" si="46"/>
        <v>EC</v>
      </c>
      <c r="AH112" s="237" t="str">
        <f t="shared" si="47"/>
        <v>"%USERPROFILE%\Documents\GitHub\eaglep3\Utilities\RefineRTDCRunTimes.py" --tripid 198-01 --locoid 4045 --swversion DE.1.0.9.0 --startMP 204:232896 --initTime 2017-12-01T16:38:00 --startdatetime 2017-12-01T16:42:15 --delay 69 --endMP 204:165 --enddatetime 2017-12-01T17:20:10 --enforcementcount 0 &gt;&gt;%USERPROFILE%\Documents\GitHub\eaglep3-reporting\EC\2017-12-01-refined-times.txt</v>
      </c>
      <c r="AI112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{"issue":{"subject":"","project_id":79,"tracker_id":40,"status_id":1,"priority_id":2,"assigned_to_id":338,"start_date":"2017-12-01","description":"","custom_fields":[{"id":1,"name":"Subdivision","value":"EC"},{"id":4,"name":"Milepost","value":"0.0165"},{"id":17,"name":"Train ID","value":"198-01"},{"id":16,"name":"Locomotive ID","value":"4045"},{"id":130,"name":"Impact","value":""},{"id":150,"name":"Time of Event (Mountain Time)","value":"17:20:10"},{"id":151,"name":"Denver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4"/>
      <c r="AK112" s="232"/>
      <c r="AL112" s="232"/>
      <c r="AM112" s="241" t="str">
        <f t="shared" si="49"/>
        <v>start /low /b %USERPROFILE%\Documents\GitHub\eaglep3\Utilities\DownloadLogsFromS3.py --loco 4045 --day 2017-12-01</v>
      </c>
      <c r="AN112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00:20:10"},{"id":29,"name":"Sharepoint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1" t="str">
        <f t="shared" si="51"/>
        <v>https://d0f6bd738d7f1b3e5a7ca70fe4ff75f0.us-east-1.aws.found.io/app/kibana#/discover/Steve-Slow-Train-Analysis-(2080s-and-2083s)?_g=(refreshInterval:(display:Off,pause:!f,section:0,value:0),time:(from:'2017-12-01T15:38:00-0700',mode:absolute,to:'2017-12-01T18:20:10-0700'))&amp;_a=(columns:!('Message%20ID',Summary),filters:!(),index:'emp_*',interval:auto,query:(query_string:(analyze_wildcard:!t,query:'%22rtdc.l.rtdc.4045%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230" t="s">
        <v>882</v>
      </c>
      <c r="B113" s="226">
        <v>4002</v>
      </c>
      <c r="C113" s="228" t="s">
        <v>192</v>
      </c>
      <c r="D113" s="228" t="s">
        <v>677</v>
      </c>
      <c r="E113" s="227">
        <v>43070.662939814814</v>
      </c>
      <c r="F113" s="227">
        <v>43070.666956018518</v>
      </c>
      <c r="G113" s="226">
        <v>75</v>
      </c>
      <c r="H113" s="228" t="s">
        <v>1005</v>
      </c>
      <c r="I113" s="227">
        <v>43070.693009259259</v>
      </c>
      <c r="J113" s="226">
        <v>0</v>
      </c>
      <c r="K113" s="238" t="str">
        <f t="shared" si="37"/>
        <v>4001/4002</v>
      </c>
      <c r="L113" s="246" t="str">
        <f>VLOOKUP(A113,'Trips&amp;Operators'!$C$1:$G$99911,5,FALSE)</f>
        <v>BADERTSCHER DIANE</v>
      </c>
      <c r="M113" s="225">
        <f t="shared" si="52"/>
        <v>2.6053240741021E-2</v>
      </c>
      <c r="N113" s="226">
        <f t="shared" si="55"/>
        <v>37.51666666707024</v>
      </c>
      <c r="O113" s="226"/>
      <c r="P113" s="226"/>
      <c r="Q113" s="229"/>
      <c r="R113" s="243"/>
      <c r="S113" s="250">
        <f t="shared" si="56"/>
        <v>1</v>
      </c>
      <c r="T113" s="243" t="str">
        <f t="shared" si="39"/>
        <v>NorthBound</v>
      </c>
      <c r="U113" s="24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9" t="str">
        <f t="shared" si="40"/>
        <v>https://d0f6bd738d7f1b3e5a7ca70fe4ff75f0.us-east-1.aws.found.io/app/kibana#/discover/Steve-Slow-Train-Analysis-(2080s-and-2083s)?_g=(refreshInterval:(display:Off,pause:!f,section:0,value:0),time:(from:'2017-12-01T14:54:38-0700',mode:absolute,to:'2017-12-01T17:37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3" s="248" t="str">
        <f>IF(AA113&lt;VLOOKUP(AG113,Variables!$AC$3:$AD$8,2,FALSE),"Y","N")</f>
        <v>N</v>
      </c>
      <c r="X113" s="248">
        <f t="shared" si="57"/>
        <v>1</v>
      </c>
      <c r="Y113" s="248">
        <f t="shared" si="53"/>
        <v>4.9500000000000002E-2</v>
      </c>
      <c r="Z113" s="248">
        <f t="shared" si="54"/>
        <v>23.321100000000001</v>
      </c>
      <c r="AA113" s="248">
        <f t="shared" si="42"/>
        <v>23.271600000000003</v>
      </c>
      <c r="AB113" s="234" t="e">
        <f>VLOOKUP(A113,Enforcements!$C$7:$K$9,8,0)</f>
        <v>#N/A</v>
      </c>
      <c r="AC113" s="233" t="e">
        <f>VLOOKUP(A113,Enforcements!$C$7:$E$9,3,0)</f>
        <v>#N/A</v>
      </c>
      <c r="AD113" s="244">
        <f t="shared" si="43"/>
        <v>199</v>
      </c>
      <c r="AE113" s="236" t="str">
        <f t="shared" si="44"/>
        <v>aws s3 cp s3://rtdc.mdm.uploadarchive.raw/RTDC4002/ "%USERPROFILE%\AppData\Local\Temp\OnboardLogs"\RTDC4002\2017-12-01 --exclude "*" --recursive --include "*20171201*" &amp; "%USERPROFILE%\Documents\GitHub\mrs-test-scripts\Headless Mode &amp; Sideloading\WalkAndUnGZ.bat" "%USERPROFILE%\AppData\Local\Temp\OnboardLogs"\RTDC4002\2017-12-01 &amp; aws s3 cp s3://rtdc.mdm.uploadarchive.raw/RTDC4002/ "%USERPROFILE%\AppData\Local\Temp\OnboardLogs"\RTDC4002\2017-12-02 --exclude "*" --recursive --include "*20171202*" &amp; "%USERPROFILE%\Documents\GitHub\mrs-test-scripts\Headless Mode &amp; Sideloading\WalkAndUnGZ.bat" "%USERPROFILE%\AppData\Local\Temp\OnboardLogs"\RTDC4002\2017-12-02</v>
      </c>
      <c r="AF113" s="235" t="str">
        <f t="shared" si="45"/>
        <v>"C:\Program Files (x86)\AstroGrep\AstroGrep.exe" /e /r /s /spath="%USERPROFILE%\AppData\Local\Temp\OnboardLogs" /stypes="app*4002*20171201*" /stext=" 23:.+((SYSTEM_STATE.+slice.+state.+changed )|(ment ac)|(multiple cpu faults)|(system.+state.+changed )|(\[timeout)|(PRM\|1\|D)|(kpr)|(kdp)|(train st.+moving)|(\|lc)|(penalty))"</v>
      </c>
      <c r="AG113" s="245" t="str">
        <f t="shared" si="46"/>
        <v>EC</v>
      </c>
      <c r="AH113" s="237" t="str">
        <f t="shared" si="47"/>
        <v>"%USERPROFILE%\Documents\GitHub\eaglep3\Utilities\RefineRTDCRunTimes.py" --tripid 199-01 --locoid 4002 --swversion DE.1.0.9.0 --startMP 204:495 --initTime 2017-12-01T15:54:38 --startdatetime 2017-12-01T16:00:25 --delay 75 --endMP 204:233211 --enddatetime 2017-12-01T16:37:56 --enforcementcount 0 &gt;&gt;%USERPROFILE%\Documents\GitHub\eaglep3-reporting\EC\2017-12-01-refined-times.txt</v>
      </c>
      <c r="AI113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{"issue":{"subject":"","project_id":79,"tracker_id":40,"status_id":1,"priority_id":2,"assigned_to_id":338,"start_date":"2017-12-01","description":"","custom_fields":[{"id":1,"name":"Subdivision","value":"EC"},{"id":4,"name":"Milepost","value":"23.3211"},{"id":17,"name":"Train ID","value":"199-01"},{"id":16,"name":"Locomotive ID","value":"4002"},{"id":130,"name":"Impact","value":""},{"id":150,"name":"Time of Event (Mountain Time)","value":"16:37:56"},{"id":151,"name":"Denver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4"/>
      <c r="AK113" s="232"/>
      <c r="AL113" s="232"/>
      <c r="AM113" s="241" t="str">
        <f t="shared" si="49"/>
        <v>start /low /b %USERPROFILE%\Documents\GitHub\eaglep3\Utilities\DownloadLogsFromS3.py --loco 4002 --day 2017-12-01</v>
      </c>
      <c r="AN113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23:37:56"},{"id":29,"name":"Sharepoint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1" t="str">
        <f t="shared" si="51"/>
        <v>https://d0f6bd738d7f1b3e5a7ca70fe4ff75f0.us-east-1.aws.found.io/app/kibana#/discover/Steve-Slow-Train-Analysis-(2080s-and-2083s)?_g=(refreshInterval:(display:Off,pause:!f,section:0,value:0),time:(from:'2017-12-01T14:54:38-0700',mode:absolute,to:'2017-12-01T17:37:56-0700'))&amp;_a=(columns:!('Message%20ID',Summary),filters:!(),index:'emp_*',interval:auto,query:(query_string:(analyze_wildcard:!t,query:'%22rtdc.l.rtdc.4002%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230" t="s">
        <v>896</v>
      </c>
      <c r="B114" s="226">
        <v>4001</v>
      </c>
      <c r="C114" s="228" t="s">
        <v>192</v>
      </c>
      <c r="D114" s="228" t="s">
        <v>711</v>
      </c>
      <c r="E114" s="227">
        <v>43070.703043981484</v>
      </c>
      <c r="F114" s="227">
        <v>43070.706423611111</v>
      </c>
      <c r="G114" s="226">
        <v>76</v>
      </c>
      <c r="H114" s="228" t="s">
        <v>639</v>
      </c>
      <c r="I114" s="227">
        <v>43070.733449074076</v>
      </c>
      <c r="J114" s="226">
        <v>0</v>
      </c>
      <c r="K114" s="238" t="str">
        <f t="shared" si="37"/>
        <v>4001/4002</v>
      </c>
      <c r="L114" s="246" t="str">
        <f>VLOOKUP(A114,'Trips&amp;Operators'!$C$1:$G$99911,5,FALSE)</f>
        <v>BADERTSCHER DIANE</v>
      </c>
      <c r="M114" s="225">
        <f t="shared" si="52"/>
        <v>2.7025462964957114E-2</v>
      </c>
      <c r="N114" s="226">
        <f t="shared" si="55"/>
        <v>38.916666669538245</v>
      </c>
      <c r="O114" s="226"/>
      <c r="P114" s="226"/>
      <c r="Q114" s="229"/>
      <c r="R114" s="243"/>
      <c r="S114" s="250">
        <f t="shared" si="56"/>
        <v>1</v>
      </c>
      <c r="T114" s="243" t="str">
        <f t="shared" si="39"/>
        <v>Southbound</v>
      </c>
      <c r="U114" s="24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9" t="str">
        <f t="shared" si="40"/>
        <v>https://d0f6bd738d7f1b3e5a7ca70fe4ff75f0.us-east-1.aws.found.io/app/kibana#/discover/Steve-Slow-Train-Analysis-(2080s-and-2083s)?_g=(refreshInterval:(display:Off,pause:!f,section:0,value:0),time:(from:'2017-12-01T15:52:23-0700',mode:absolute,to:'2017-12-01T18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4" s="248" t="str">
        <f>IF(AA114&lt;VLOOKUP(AG114,Variables!$AC$3:$AD$8,2,FALSE),"Y","N")</f>
        <v>N</v>
      </c>
      <c r="X114" s="248">
        <f t="shared" si="57"/>
        <v>1</v>
      </c>
      <c r="Y114" s="248">
        <f t="shared" si="53"/>
        <v>23.290199999999999</v>
      </c>
      <c r="Z114" s="248">
        <f t="shared" si="54"/>
        <v>1.9599999999999999E-2</v>
      </c>
      <c r="AA114" s="248">
        <f t="shared" si="42"/>
        <v>23.270599999999998</v>
      </c>
      <c r="AB114" s="234" t="e">
        <f>VLOOKUP(A114,Enforcements!$C$7:$K$9,8,0)</f>
        <v>#N/A</v>
      </c>
      <c r="AC114" s="233" t="e">
        <f>VLOOKUP(A114,Enforcements!$C$7:$E$9,3,0)</f>
        <v>#N/A</v>
      </c>
      <c r="AD114" s="244">
        <f t="shared" si="43"/>
        <v>200</v>
      </c>
      <c r="AE114" s="236" t="str">
        <f t="shared" si="44"/>
        <v>aws s3 cp s3://rtdc.mdm.uploadarchive.raw/RTDC4001/ "%USERPROFILE%\AppData\Local\Temp\OnboardLogs"\RTDC4001\2017-12-01 --exclude "*" --recursive --include "*20171201*" &amp; "%USERPROFILE%\Documents\GitHub\mrs-test-scripts\Headless Mode &amp; Sideloading\WalkAndUnGZ.bat" "%USERPROFILE%\AppData\Local\Temp\OnboardLogs"\RTDC4001\2017-12-01 &amp; aws s3 cp s3://rtdc.mdm.uploadarchive.raw/RTDC4001/ "%USERPROFILE%\AppData\Local\Temp\OnboardLogs"\RTDC4001\2017-12-02 --exclude "*" --recursive --include "*20171202*" &amp; "%USERPROFILE%\Documents\GitHub\mrs-test-scripts\Headless Mode &amp; Sideloading\WalkAndUnGZ.bat" "%USERPROFILE%\AppData\Local\Temp\OnboardLogs"\RTDC4001\2017-12-02</v>
      </c>
      <c r="AF114" s="235" t="str">
        <f t="shared" si="45"/>
        <v>"C:\Program Files (x86)\AstroGrep\AstroGrep.exe" /e /r /s /spath="%USERPROFILE%\AppData\Local\Temp\OnboardLogs" /stypes="app*4001*20171202*" /stext=" 00:.+((SYSTEM_STATE.+slice.+state.+changed )|(ment ac)|(multiple cpu faults)|(system.+state.+changed )|(\[timeout)|(PRM\|1\|D)|(kpr)|(kdp)|(train st.+moving)|(\|lc)|(penalty))"</v>
      </c>
      <c r="AG114" s="245" t="str">
        <f t="shared" si="46"/>
        <v>EC</v>
      </c>
      <c r="AH114" s="237" t="str">
        <f t="shared" si="47"/>
        <v>"%USERPROFILE%\Documents\GitHub\eaglep3\Utilities\RefineRTDCRunTimes.py" --tripid 200-01 --locoid 4001 --swversion DE.1.0.9.0 --startMP 204:232902 --initTime 2017-12-01T16:52:23 --startdatetime 2017-12-01T16:57:15 --delay 76 --endMP 204:196 --enddatetime 2017-12-01T17:36:10 --enforcementcount 0 &gt;&gt;%USERPROFILE%\Documents\GitHub\eaglep3-reporting\EC\2017-12-01-refined-times.txt</v>
      </c>
      <c r="AI114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{"issue":{"subject":"","project_id":79,"tracker_id":40,"status_id":1,"priority_id":2,"assigned_to_id":338,"start_date":"2017-12-01","description":"","custom_fields":[{"id":1,"name":"Subdivision","value":"EC"},{"id":4,"name":"Milepost","value":"0.0196"},{"id":17,"name":"Train ID","value":"200-01"},{"id":16,"name":"Locomotive ID","value":"4001"},{"id":130,"name":"Impact","value":""},{"id":150,"name":"Time of Event (Mountain Time)","value":"17:36:10"},{"id":151,"name":"Denver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4"/>
      <c r="AK114" s="232"/>
      <c r="AL114" s="232"/>
      <c r="AM114" s="241" t="str">
        <f t="shared" si="49"/>
        <v>start /low /b %USERPROFILE%\Documents\GitHub\eaglep3\Utilities\DownloadLogsFromS3.py --loco 4001 --day 2017-12-01</v>
      </c>
      <c r="AN114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00:36:10"},{"id":29,"name":"Sharepoint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1" t="str">
        <f t="shared" si="51"/>
        <v>https://d0f6bd738d7f1b3e5a7ca70fe4ff75f0.us-east-1.aws.found.io/app/kibana#/discover/Steve-Slow-Train-Analysis-(2080s-and-2083s)?_g=(refreshInterval:(display:Off,pause:!f,section:0,value:0),time:(from:'2017-12-01T15:52:23-0700',mode:absolute,to:'2017-12-01T18:36:10-0700'))&amp;_a=(columns:!('Message%20ID',Summary),filters:!(),index:'emp_*',interval:auto,query:(query_string:(analyze_wildcard:!t,query:'%22rtdc.l.rtdc.4001%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230" t="s">
        <v>887</v>
      </c>
      <c r="B115" s="226">
        <v>4050</v>
      </c>
      <c r="C115" s="228" t="s">
        <v>192</v>
      </c>
      <c r="D115" s="228" t="s">
        <v>685</v>
      </c>
      <c r="E115" s="227">
        <v>43070.675358796296</v>
      </c>
      <c r="F115" s="227">
        <v>43070.67732638889</v>
      </c>
      <c r="G115" s="226">
        <v>52</v>
      </c>
      <c r="H115" s="228" t="s">
        <v>616</v>
      </c>
      <c r="I115" s="227">
        <v>43070.701493055552</v>
      </c>
      <c r="J115" s="226">
        <v>0</v>
      </c>
      <c r="K115" s="238" t="str">
        <f t="shared" si="37"/>
        <v>4049/4050</v>
      </c>
      <c r="L115" s="246" t="str">
        <f>VLOOKUP(A115,'Trips&amp;Operators'!$C$1:$G$99911,5,FALSE)</f>
        <v>HOLCOMB KAMDEN</v>
      </c>
      <c r="M115" s="225">
        <f t="shared" si="52"/>
        <v>2.4166666662495118E-2</v>
      </c>
      <c r="N115" s="226">
        <f t="shared" si="55"/>
        <v>34.799999993992969</v>
      </c>
      <c r="O115" s="226"/>
      <c r="P115" s="226"/>
      <c r="Q115" s="229"/>
      <c r="R115" s="243"/>
      <c r="S115" s="250">
        <f t="shared" si="56"/>
        <v>1</v>
      </c>
      <c r="T115" s="243" t="str">
        <f t="shared" si="39"/>
        <v>NorthBound</v>
      </c>
      <c r="U115" s="24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9" t="str">
        <f t="shared" si="40"/>
        <v>https://d0f6bd738d7f1b3e5a7ca70fe4ff75f0.us-east-1.aws.found.io/app/kibana#/discover/Steve-Slow-Train-Analysis-(2080s-and-2083s)?_g=(refreshInterval:(display:Off,pause:!f,section:0,value:0),time:(from:'2017-12-01T15:12:31-0700',mode:absolute,to:'2017-12-01T17:50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5" s="248" t="str">
        <f>IF(AA115&lt;VLOOKUP(AG115,Variables!$AC$3:$AD$8,2,FALSE),"Y","N")</f>
        <v>N</v>
      </c>
      <c r="X115" s="248">
        <f t="shared" si="57"/>
        <v>1</v>
      </c>
      <c r="Y115" s="248">
        <f t="shared" si="53"/>
        <v>4.82E-2</v>
      </c>
      <c r="Z115" s="248">
        <f t="shared" si="54"/>
        <v>23.320399999999999</v>
      </c>
      <c r="AA115" s="248">
        <f t="shared" si="42"/>
        <v>23.272199999999998</v>
      </c>
      <c r="AB115" s="234" t="e">
        <f>VLOOKUP(A115,Enforcements!$C$7:$K$9,8,0)</f>
        <v>#N/A</v>
      </c>
      <c r="AC115" s="233" t="e">
        <f>VLOOKUP(A115,Enforcements!$C$7:$E$9,3,0)</f>
        <v>#N/A</v>
      </c>
      <c r="AD115" s="244">
        <f t="shared" si="43"/>
        <v>201</v>
      </c>
      <c r="AE115" s="236" t="str">
        <f t="shared" si="44"/>
        <v>aws s3 cp s3://rtdc.mdm.uploadarchive.raw/RTDC4050/ "%USERPROFILE%\AppData\Local\Temp\OnboardLogs"\RTDC4050\2017-12-01 --exclude "*" --recursive --include "*20171201*" &amp; "%USERPROFILE%\Documents\GitHub\mrs-test-scripts\Headless Mode &amp; Sideloading\WalkAndUnGZ.bat" "%USERPROFILE%\AppData\Local\Temp\OnboardLogs"\RTDC4050\2017-12-01 &amp; aws s3 cp s3://rtdc.mdm.uploadarchive.raw/RTDC4050/ "%USERPROFILE%\AppData\Local\Temp\OnboardLogs"\RTDC4050\2017-12-02 --exclude "*" --recursive --include "*20171202*" &amp; "%USERPROFILE%\Documents\GitHub\mrs-test-scripts\Headless Mode &amp; Sideloading\WalkAndUnGZ.bat" "%USERPROFILE%\AppData\Local\Temp\OnboardLogs"\RTDC4050\2017-12-02</v>
      </c>
      <c r="AF115" s="235" t="str">
        <f t="shared" si="45"/>
        <v>"C:\Program Files (x86)\AstroGrep\AstroGrep.exe" /e /r /s /spath="%USERPROFILE%\AppData\Local\Temp\OnboardLogs" /stypes="app*4050*20171201*" /stext=" 23:.+((SYSTEM_STATE.+slice.+state.+changed )|(ment ac)|(multiple cpu faults)|(system.+state.+changed )|(\[timeout)|(PRM\|1\|D)|(kpr)|(kdp)|(train st.+moving)|(\|lc)|(penalty))"</v>
      </c>
      <c r="AG115" s="245" t="str">
        <f t="shared" si="46"/>
        <v>EC</v>
      </c>
      <c r="AH115" s="237" t="str">
        <f t="shared" si="47"/>
        <v>"%USERPROFILE%\Documents\GitHub\eaglep3\Utilities\RefineRTDCRunTimes.py" --tripid 201-01 --locoid 4050 --swversion DE.1.0.9.0 --startMP 204:482 --initTime 2017-12-01T16:12:31 --startdatetime 2017-12-01T16:15:21 --delay 52 --endMP 204:233204 --enddatetime 2017-12-01T16:50:09 --enforcementcount 0 &gt;&gt;%USERPROFILE%\Documents\GitHub\eaglep3-reporting\EC\2017-12-01-refined-times.txt</v>
      </c>
      <c r="AI115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{"issue":{"subject":"","project_id":79,"tracker_id":40,"status_id":1,"priority_id":2,"assigned_to_id":338,"start_date":"2017-12-01","description":"","custom_fields":[{"id":1,"name":"Subdivision","value":"EC"},{"id":4,"name":"Milepost","value":"23.3204"},{"id":17,"name":"Train ID","value":"201-01"},{"id":16,"name":"Locomotive ID","value":"4050"},{"id":130,"name":"Impact","value":""},{"id":150,"name":"Time of Event (Mountain Time)","value":"16:50:09"},{"id":151,"name":"Denver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4"/>
      <c r="AK115" s="232"/>
      <c r="AL115" s="232"/>
      <c r="AM115" s="241" t="str">
        <f t="shared" si="49"/>
        <v>start /low /b %USERPROFILE%\Documents\GitHub\eaglep3\Utilities\DownloadLogsFromS3.py --loco 4050 --day 2017-12-01</v>
      </c>
      <c r="AN115" s="242" t="str">
        <f t="shared" si="50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23:50:09"},{"id":29,"name":"Sharepoint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1" t="str">
        <f t="shared" si="51"/>
        <v>https://d0f6bd738d7f1b3e5a7ca70fe4ff75f0.us-east-1.aws.found.io/app/kibana#/discover/Steve-Slow-Train-Analysis-(2080s-and-2083s)?_g=(refreshInterval:(display:Off,pause:!f,section:0,value:0),time:(from:'2017-12-01T15:12:31-0700',mode:absolute,to:'2017-12-01T17:50:09-0700'))&amp;_a=(columns:!('Message%20ID',Summary),filters:!(),index:'emp_*',interval:auto,query:(query_string:(analyze_wildcard:!t,query:'%22rtdc.l.rtdc.4050%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230" t="s">
        <v>901</v>
      </c>
      <c r="B116" s="226">
        <v>4049</v>
      </c>
      <c r="C116" s="228" t="s">
        <v>192</v>
      </c>
      <c r="D116" s="228" t="s">
        <v>627</v>
      </c>
      <c r="E116" s="227">
        <v>43070.715150462966</v>
      </c>
      <c r="F116" s="227">
        <v>43070.716909722221</v>
      </c>
      <c r="G116" s="226">
        <v>43</v>
      </c>
      <c r="H116" s="228" t="s">
        <v>714</v>
      </c>
      <c r="I116" s="227">
        <v>43070.742280092592</v>
      </c>
      <c r="J116" s="226">
        <v>0</v>
      </c>
      <c r="K116" s="238" t="str">
        <f t="shared" si="37"/>
        <v>4049/4050</v>
      </c>
      <c r="L116" s="246" t="str">
        <f>VLOOKUP(A116,'Trips&amp;Operators'!$C$1:$G$99911,5,FALSE)</f>
        <v>HOLCOMB KAMDEN</v>
      </c>
      <c r="M116" s="225">
        <f t="shared" si="52"/>
        <v>2.5370370371092577E-2</v>
      </c>
      <c r="N116" s="226">
        <f t="shared" si="55"/>
        <v>36.53333333437331</v>
      </c>
      <c r="O116" s="226"/>
      <c r="P116" s="226"/>
      <c r="Q116" s="229"/>
      <c r="R116" s="243"/>
      <c r="S116" s="250">
        <f t="shared" si="56"/>
        <v>1</v>
      </c>
      <c r="T116" s="243" t="str">
        <f t="shared" si="39"/>
        <v>Southbound</v>
      </c>
      <c r="U116" s="24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9" t="str">
        <f t="shared" si="40"/>
        <v>https://d0f6bd738d7f1b3e5a7ca70fe4ff75f0.us-east-1.aws.found.io/app/kibana#/discover/Steve-Slow-Train-Analysis-(2080s-and-2083s)?_g=(refreshInterval:(display:Off,pause:!f,section:0,value:0),time:(from:'2017-12-01T16:09:49-0700',mode:absolute,to:'2017-12-01T18:48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6" s="248" t="str">
        <f>IF(AA116&lt;VLOOKUP(AG116,Variables!$AC$3:$AD$8,2,FALSE),"Y","N")</f>
        <v>N</v>
      </c>
      <c r="X116" s="248">
        <f t="shared" si="57"/>
        <v>1</v>
      </c>
      <c r="Y116" s="248">
        <f t="shared" si="53"/>
        <v>23.2898</v>
      </c>
      <c r="Z116" s="248">
        <f t="shared" si="54"/>
        <v>2.0299999999999999E-2</v>
      </c>
      <c r="AA116" s="248">
        <f t="shared" si="42"/>
        <v>23.269500000000001</v>
      </c>
      <c r="AB116" s="234" t="e">
        <f>VLOOKUP(A116,Enforcements!$C$7:$K$9,8,0)</f>
        <v>#N/A</v>
      </c>
      <c r="AC116" s="233" t="e">
        <f>VLOOKUP(A116,Enforcements!$C$7:$E$9,3,0)</f>
        <v>#N/A</v>
      </c>
      <c r="AD116" s="244">
        <f t="shared" si="43"/>
        <v>202</v>
      </c>
      <c r="AE116" s="236" t="str">
        <f t="shared" si="44"/>
        <v>aws s3 cp s3://rtdc.mdm.uploadarchive.raw/RTDC4049/ "%USERPROFILE%\AppData\Local\Temp\OnboardLogs"\RTDC4049\2017-12-01 --exclude "*" --recursive --include "*20171201*" &amp; "%USERPROFILE%\Documents\GitHub\mrs-test-scripts\Headless Mode &amp; Sideloading\WalkAndUnGZ.bat" "%USERPROFILE%\AppData\Local\Temp\OnboardLogs"\RTDC4049\2017-12-01 &amp; aws s3 cp s3://rtdc.mdm.uploadarchive.raw/RTDC4049/ "%USERPROFILE%\AppData\Local\Temp\OnboardLogs"\RTDC4049\2017-12-02 --exclude "*" --recursive --include "*20171202*" &amp; "%USERPROFILE%\Documents\GitHub\mrs-test-scripts\Headless Mode &amp; Sideloading\WalkAndUnGZ.bat" "%USERPROFILE%\AppData\Local\Temp\OnboardLogs"\RTDC4049\2017-12-02</v>
      </c>
      <c r="AF116" s="235" t="str">
        <f t="shared" si="45"/>
        <v>"C:\Program Files (x86)\AstroGrep\AstroGrep.exe" /e /r /s /spath="%USERPROFILE%\AppData\Local\Temp\OnboardLogs" /stypes="app*4049*20171202*" /stext=" 00:.+((SYSTEM_STATE.+slice.+state.+changed )|(ment ac)|(multiple cpu faults)|(system.+state.+changed )|(\[timeout)|(PRM\|1\|D)|(kpr)|(kdp)|(train st.+moving)|(\|lc)|(penalty))"</v>
      </c>
      <c r="AG116" s="245" t="str">
        <f t="shared" si="46"/>
        <v>EC</v>
      </c>
      <c r="AH116" s="237" t="str">
        <f t="shared" si="47"/>
        <v>"%USERPROFILE%\Documents\GitHub\eaglep3\Utilities\RefineRTDCRunTimes.py" --tripid 202-01 --locoid 4049 --swversion DE.1.0.9.0 --startMP 204:232898 --initTime 2017-12-01T17:09:49 --startdatetime 2017-12-01T17:12:21 --delay 43 --endMP 204:203 --enddatetime 2017-12-01T17:48:53 --enforcementcount 0 &gt;&gt;%USERPROFILE%\Documents\GitHub\eaglep3-reporting\EC\2017-12-01-refined-times.txt</v>
      </c>
      <c r="AI116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{"issue":{"subject":"","project_id":79,"tracker_id":40,"status_id":1,"priority_id":2,"assigned_to_id":338,"start_date":"2017-12-01","description":"","custom_fields":[{"id":1,"name":"Subdivision","value":"EC"},{"id":4,"name":"Milepost","value":"0.0203"},{"id":17,"name":"Train ID","value":"202-01"},{"id":16,"name":"Locomotive ID","value":"4049"},{"id":130,"name":"Impact","value":""},{"id":150,"name":"Time of Event (Mountain Time)","value":"17:48:53"},{"id":151,"name":"Denver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4"/>
      <c r="AK116" s="232"/>
      <c r="AL116" s="232"/>
      <c r="AM116" s="241" t="str">
        <f t="shared" si="49"/>
        <v>start /low /b %USERPROFILE%\Documents\GitHub\eaglep3\Utilities\DownloadLogsFromS3.py --loco 4049 --day 2017-12-01</v>
      </c>
      <c r="AN116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00:48:53"},{"id":29,"name":"Sharepoint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1" t="str">
        <f t="shared" si="51"/>
        <v>https://d0f6bd738d7f1b3e5a7ca70fe4ff75f0.us-east-1.aws.found.io/app/kibana#/discover/Steve-Slow-Train-Analysis-(2080s-and-2083s)?_g=(refreshInterval:(display:Off,pause:!f,section:0,value:0),time:(from:'2017-12-01T16:09:49-0700',mode:absolute,to:'2017-12-01T18:48:53-0700'))&amp;_a=(columns:!('Message%20ID',Summary),filters:!(),index:'emp_*',interval:auto,query:(query_string:(analyze_wildcard:!t,query:'%22rtdc.l.rtdc.4049%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230" t="s">
        <v>891</v>
      </c>
      <c r="B117" s="226">
        <v>4040</v>
      </c>
      <c r="C117" s="228" t="s">
        <v>192</v>
      </c>
      <c r="D117" s="228" t="s">
        <v>502</v>
      </c>
      <c r="E117" s="227">
        <v>43070.684861111113</v>
      </c>
      <c r="F117" s="227">
        <v>43070.687824074077</v>
      </c>
      <c r="G117" s="226">
        <v>130</v>
      </c>
      <c r="H117" s="228" t="s">
        <v>715</v>
      </c>
      <c r="I117" s="227">
        <v>43070.712812500002</v>
      </c>
      <c r="J117" s="226">
        <v>0</v>
      </c>
      <c r="K117" s="238" t="str">
        <f t="shared" si="37"/>
        <v>4039/4040</v>
      </c>
      <c r="L117" s="246" t="str">
        <f>VLOOKUP(A117,'Trips&amp;Operators'!$C$1:$G$99911,5,FALSE)</f>
        <v>SAFIEF AEIMEN</v>
      </c>
      <c r="M117" s="225">
        <f t="shared" si="52"/>
        <v>2.4988425924675539E-2</v>
      </c>
      <c r="N117" s="226">
        <f t="shared" si="55"/>
        <v>35.983333331532776</v>
      </c>
      <c r="O117" s="226"/>
      <c r="P117" s="226"/>
      <c r="Q117" s="229"/>
      <c r="R117" s="243"/>
      <c r="S117" s="250">
        <f t="shared" si="56"/>
        <v>1</v>
      </c>
      <c r="T117" s="243" t="str">
        <f t="shared" si="39"/>
        <v>NorthBound</v>
      </c>
      <c r="U117" s="24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9" t="str">
        <f t="shared" si="40"/>
        <v>https://d0f6bd738d7f1b3e5a7ca70fe4ff75f0.us-east-1.aws.found.io/app/kibana#/discover/Steve-Slow-Train-Analysis-(2080s-and-2083s)?_g=(refreshInterval:(display:Off,pause:!f,section:0,value:0),time:(from:'2017-12-01T15:26:12-0700',mode:absolute,to:'2017-12-01T18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7" s="248" t="str">
        <f>IF(AA117&lt;VLOOKUP(AG117,Variables!$AC$3:$AD$8,2,FALSE),"Y","N")</f>
        <v>N</v>
      </c>
      <c r="X117" s="248">
        <f t="shared" si="57"/>
        <v>1</v>
      </c>
      <c r="Y117" s="248">
        <f t="shared" si="53"/>
        <v>5.1999999999999998E-2</v>
      </c>
      <c r="Z117" s="248">
        <f t="shared" si="54"/>
        <v>23.323399999999999</v>
      </c>
      <c r="AA117" s="248">
        <f t="shared" si="42"/>
        <v>23.2714</v>
      </c>
      <c r="AB117" s="234" t="e">
        <f>VLOOKUP(A117,Enforcements!$C$7:$K$9,8,0)</f>
        <v>#N/A</v>
      </c>
      <c r="AC117" s="233" t="e">
        <f>VLOOKUP(A117,Enforcements!$C$7:$E$9,3,0)</f>
        <v>#N/A</v>
      </c>
      <c r="AD117" s="244">
        <f t="shared" si="43"/>
        <v>203</v>
      </c>
      <c r="AE117" s="236" t="str">
        <f t="shared" si="44"/>
        <v>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 &amp; aws s3 cp s3://rtdc.mdm.uploadarchive.raw/RTDC4040/ "%USERPROFILE%\AppData\Local\Temp\OnboardLogs"\RTDC4040\2017-12-02 --exclude "*" --recursive --include "*20171202*" &amp; "%USERPROFILE%\Documents\GitHub\mrs-test-scripts\Headless Mode &amp; Sideloading\WalkAndUnGZ.bat" "%USERPROFILE%\AppData\Local\Temp\OnboardLogs"\RTDC4040\2017-12-02</v>
      </c>
      <c r="AF117" s="235" t="str">
        <f t="shared" si="45"/>
        <v>"C:\Program Files (x86)\AstroGrep\AstroGrep.exe" /e /r /s /spath="%USERPROFILE%\AppData\Local\Temp\OnboardLogs" /stypes="app*4040*20171202*" /stext=" 00:.+((SYSTEM_STATE.+slice.+state.+changed )|(ment ac)|(multiple cpu faults)|(system.+state.+changed )|(\[timeout)|(PRM\|1\|D)|(kpr)|(kdp)|(train st.+moving)|(\|lc)|(penalty))"</v>
      </c>
      <c r="AG117" s="245" t="str">
        <f t="shared" si="46"/>
        <v>EC</v>
      </c>
      <c r="AH117" s="237" t="str">
        <f t="shared" si="47"/>
        <v>"%USERPROFILE%\Documents\GitHub\eaglep3\Utilities\RefineRTDCRunTimes.py" --tripid 203-01 --locoid 4040 --swversion DE.1.0.9.0 --startMP 204:520 --initTime 2017-12-01T16:26:12 --startdatetime 2017-12-01T16:30:28 --delay 130 --endMP 204:233234 --enddatetime 2017-12-01T17:06:27 --enforcementcount 0 &gt;&gt;%USERPROFILE%\Documents\GitHub\eaglep3-reporting\EC\2017-12-01-refined-times.txt</v>
      </c>
      <c r="AI117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{"issue":{"subject":"","project_id":79,"tracker_id":40,"status_id":1,"priority_id":2,"assigned_to_id":338,"start_date":"2017-12-01","description":"","custom_fields":[{"id":1,"name":"Subdivision","value":"EC"},{"id":4,"name":"Milepost","value":"23.3234"},{"id":17,"name":"Train ID","value":"203-01"},{"id":16,"name":"Locomotive ID","value":"4040"},{"id":130,"name":"Impact","value":""},{"id":150,"name":"Time of Event (Mountain Time)","value":"17:06:27"},{"id":151,"name":"Denver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4"/>
      <c r="AK117" s="232"/>
      <c r="AL117" s="232"/>
      <c r="AM117" s="241" t="str">
        <f t="shared" si="49"/>
        <v>start /low /b %USERPROFILE%\Documents\GitHub\eaglep3\Utilities\DownloadLogsFromS3.py --loco 4040 --day 2017-12-01</v>
      </c>
      <c r="AN117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00:06:27"},{"id":29,"name":"Sharepoint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1" t="str">
        <f t="shared" si="51"/>
        <v>https://d0f6bd738d7f1b3e5a7ca70fe4ff75f0.us-east-1.aws.found.io/app/kibana#/discover/Steve-Slow-Train-Analysis-(2080s-and-2083s)?_g=(refreshInterval:(display:Off,pause:!f,section:0,value:0),time:(from:'2017-12-01T15:26:12-0700',mode:absolute,to:'2017-12-01T18:06:27-0700'))&amp;_a=(columns:!('Message%20ID',Summary),filters:!(),index:'emp_*',interval:auto,query:(query_string:(analyze_wildcard:!t,query:'%22rtdc.l.rtdc.4040%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4" customFormat="1" x14ac:dyDescent="0.25">
      <c r="A118" s="230" t="s">
        <v>902</v>
      </c>
      <c r="B118" s="226">
        <v>4039</v>
      </c>
      <c r="C118" s="228" t="s">
        <v>192</v>
      </c>
      <c r="D118" s="228" t="s">
        <v>620</v>
      </c>
      <c r="E118" s="227">
        <v>43070.715590277781</v>
      </c>
      <c r="F118" s="227">
        <v>43070.727337962962</v>
      </c>
      <c r="G118" s="226">
        <v>105</v>
      </c>
      <c r="H118" s="228" t="s">
        <v>494</v>
      </c>
      <c r="I118" s="227">
        <v>43070.753611111111</v>
      </c>
      <c r="J118" s="226">
        <v>0</v>
      </c>
      <c r="K118" s="238" t="str">
        <f t="shared" si="37"/>
        <v>4039/4040</v>
      </c>
      <c r="L118" s="246" t="str">
        <f>VLOOKUP(A118,'Trips&amp;Operators'!$C$1:$G$99911,5,FALSE)</f>
        <v>SAFIEF AEIMEN</v>
      </c>
      <c r="M118" s="225">
        <f t="shared" si="52"/>
        <v>2.6273148148902692E-2</v>
      </c>
      <c r="N118" s="226">
        <f t="shared" si="55"/>
        <v>37.833333334419876</v>
      </c>
      <c r="O118" s="226"/>
      <c r="P118" s="226"/>
      <c r="Q118" s="229"/>
      <c r="R118" s="243"/>
      <c r="S118" s="250">
        <f t="shared" si="56"/>
        <v>1</v>
      </c>
      <c r="T118" s="243" t="str">
        <f t="shared" si="39"/>
        <v>Southbound</v>
      </c>
      <c r="U118" s="24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9" t="str">
        <f t="shared" si="40"/>
        <v>https://d0f6bd738d7f1b3e5a7ca70fe4ff75f0.us-east-1.aws.found.io/app/kibana#/discover/Steve-Slow-Train-Analysis-(2080s-and-2083s)?_g=(refreshInterval:(display:Off,pause:!f,section:0,value:0),time:(from:'2017-12-01T16:10:27-0700',mode:absolute,to:'2017-12-01T19:05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8" s="248" t="str">
        <f>IF(AA118&lt;VLOOKUP(AG118,Variables!$AC$3:$AD$8,2,FALSE),"Y","N")</f>
        <v>N</v>
      </c>
      <c r="X118" s="248">
        <f t="shared" si="57"/>
        <v>1</v>
      </c>
      <c r="Y118" s="248">
        <f t="shared" si="53"/>
        <v>23.291699999999999</v>
      </c>
      <c r="Z118" s="248">
        <f t="shared" si="54"/>
        <v>0.02</v>
      </c>
      <c r="AA118" s="248">
        <f t="shared" si="42"/>
        <v>23.271699999999999</v>
      </c>
      <c r="AB118" s="234" t="e">
        <f>VLOOKUP(A118,Enforcements!$C$7:$K$9,8,0)</f>
        <v>#N/A</v>
      </c>
      <c r="AC118" s="233" t="e">
        <f>VLOOKUP(A118,Enforcements!$C$7:$E$9,3,0)</f>
        <v>#N/A</v>
      </c>
      <c r="AD118" s="244">
        <f t="shared" si="43"/>
        <v>204</v>
      </c>
      <c r="AE118" s="236" t="str">
        <f t="shared" si="44"/>
        <v>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 &amp; aws s3 cp s3://rtdc.mdm.uploadarchive.raw/RTDC4039/ "%USERPROFILE%\AppData\Local\Temp\OnboardLogs"\RTDC4039\2017-12-02 --exclude "*" --recursive --include "*20171202*" &amp; "%USERPROFILE%\Documents\GitHub\mrs-test-scripts\Headless Mode &amp; Sideloading\WalkAndUnGZ.bat" "%USERPROFILE%\AppData\Local\Temp\OnboardLogs"\RTDC4039\2017-12-02</v>
      </c>
      <c r="AF118" s="235" t="str">
        <f t="shared" si="45"/>
        <v>"C:\Program Files (x86)\AstroGrep\AstroGrep.exe" /e /r /s /spath="%USERPROFILE%\AppData\Local\Temp\OnboardLogs" /stypes="app*4039*20171202*" /stext=" 01:.+((SYSTEM_STATE.+slice.+state.+changed )|(ment ac)|(multiple cpu faults)|(system.+state.+changed )|(\[timeout)|(PRM\|1\|D)|(kpr)|(kdp)|(train st.+moving)|(\|lc)|(penalty))"</v>
      </c>
      <c r="AG118" s="245" t="str">
        <f t="shared" si="46"/>
        <v>EC</v>
      </c>
      <c r="AH118" s="237" t="str">
        <f t="shared" si="47"/>
        <v>"%USERPROFILE%\Documents\GitHub\eaglep3\Utilities\RefineRTDCRunTimes.py" --tripid 204-01 --locoid 4039 --swversion DE.1.0.9.0 --startMP 204:232917 --initTime 2017-12-01T17:10:27 --startdatetime 2017-12-01T17:27:22 --delay 105 --endMP 204:200 --enddatetime 2017-12-01T18:05:12 --enforcementcount 0 &gt;&gt;%USERPROFILE%\Documents\GitHub\eaglep3-reporting\EC\2017-12-01-refined-times.txt</v>
      </c>
      <c r="AI118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{"issue":{"subject":"","project_id":79,"tracker_id":40,"status_id":1,"priority_id":2,"assigned_to_id":338,"start_date":"2017-12-01","description":"","custom_fields":[{"id":1,"name":"Subdivision","value":"EC"},{"id":4,"name":"Milepost","value":"0.02"},{"id":17,"name":"Train ID","value":"204-01"},{"id":16,"name":"Locomotive ID","value":"4039"},{"id":130,"name":"Impact","value":""},{"id":150,"name":"Time of Event (Mountain Time)","value":"18:05:12"},{"id":151,"name":"Denver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2"/>
      <c r="AL118" s="232"/>
      <c r="AM118" s="241" t="str">
        <f t="shared" si="49"/>
        <v>start /low /b %USERPROFILE%\Documents\GitHub\eaglep3\Utilities\DownloadLogsFromS3.py --loco 4039 --day 2017-12-01</v>
      </c>
      <c r="AN118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01:05:12"},{"id":29,"name":"Sharepoint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1" t="str">
        <f t="shared" si="51"/>
        <v>https://d0f6bd738d7f1b3e5a7ca70fe4ff75f0.us-east-1.aws.found.io/app/kibana#/discover/Steve-Slow-Train-Analysis-(2080s-and-2083s)?_g=(refreshInterval:(display:Off,pause:!f,section:0,value:0),time:(from:'2017-12-01T16:10:27-0700',mode:absolute,to:'2017-12-01T19:05:12-0700'))&amp;_a=(columns:!('Message%20ID',Summary),filters:!(),index:'emp_*',interval:auto,query:(query_string:(analyze_wildcard:!t,query:'%22rtdc.l.rtdc.4039%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24" customFormat="1" x14ac:dyDescent="0.25">
      <c r="A119" s="230" t="s">
        <v>895</v>
      </c>
      <c r="B119" s="226">
        <v>4024</v>
      </c>
      <c r="C119" s="228" t="s">
        <v>192</v>
      </c>
      <c r="D119" s="228" t="s">
        <v>688</v>
      </c>
      <c r="E119" s="227">
        <v>43070.694513888891</v>
      </c>
      <c r="F119" s="227">
        <v>43070.69809027778</v>
      </c>
      <c r="G119" s="226">
        <v>52</v>
      </c>
      <c r="H119" s="228" t="s">
        <v>1006</v>
      </c>
      <c r="I119" s="227">
        <v>43070.722928240742</v>
      </c>
      <c r="J119" s="226">
        <v>0</v>
      </c>
      <c r="K119" s="238" t="str">
        <f t="shared" si="37"/>
        <v>4023/4024</v>
      </c>
      <c r="L119" s="246" t="str">
        <f>VLOOKUP(A119,'Trips&amp;Operators'!$C$1:$G$99911,5,FALSE)</f>
        <v>BRUDER RICHARD</v>
      </c>
      <c r="M119" s="225">
        <f t="shared" si="52"/>
        <v>2.4837962962919846E-2</v>
      </c>
      <c r="N119" s="226">
        <f t="shared" si="55"/>
        <v>35.766666666604578</v>
      </c>
      <c r="O119" s="226"/>
      <c r="P119" s="226"/>
      <c r="Q119" s="229"/>
      <c r="R119" s="243"/>
      <c r="S119" s="250">
        <f t="shared" si="56"/>
        <v>1</v>
      </c>
      <c r="T119" s="243" t="str">
        <f t="shared" si="39"/>
        <v>NorthBound</v>
      </c>
      <c r="U119" s="24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9" t="str">
        <f t="shared" si="40"/>
        <v>https://d0f6bd738d7f1b3e5a7ca70fe4ff75f0.us-east-1.aws.found.io/app/kibana#/discover/Steve-Slow-Train-Analysis-(2080s-and-2083s)?_g=(refreshInterval:(display:Off,pause:!f,section:0,value:0),time:(from:'2017-12-01T15:40:06-0700',mode:absolute,to:'2017-12-01T18:21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9" s="248" t="str">
        <f>IF(AA119&lt;VLOOKUP(AG119,Variables!$AC$3:$AD$8,2,FALSE),"Y","N")</f>
        <v>N</v>
      </c>
      <c r="X119" s="248">
        <f t="shared" si="57"/>
        <v>1</v>
      </c>
      <c r="Y119" s="248">
        <f t="shared" si="53"/>
        <v>5.2400000000000002E-2</v>
      </c>
      <c r="Z119" s="248">
        <f t="shared" si="54"/>
        <v>23.321200000000001</v>
      </c>
      <c r="AA119" s="248">
        <f t="shared" si="42"/>
        <v>23.268800000000002</v>
      </c>
      <c r="AB119" s="234" t="e">
        <f>VLOOKUP(A119,Enforcements!$C$7:$K$9,8,0)</f>
        <v>#N/A</v>
      </c>
      <c r="AC119" s="233" t="e">
        <f>VLOOKUP(A119,Enforcements!$C$7:$E$9,3,0)</f>
        <v>#N/A</v>
      </c>
      <c r="AD119" s="244">
        <f t="shared" si="43"/>
        <v>205</v>
      </c>
      <c r="AE119" s="236" t="str">
        <f t="shared" si="44"/>
        <v>aws s3 cp s3://rtdc.mdm.uploadarchive.raw/RTDC4024/ "%USERPROFILE%\AppData\Local\Temp\OnboardLogs"\RTDC4024\2017-12-01 --exclude "*" --recursive --include "*20171201*" &amp; "%USERPROFILE%\Documents\GitHub\mrs-test-scripts\Headless Mode &amp; Sideloading\WalkAndUnGZ.bat" "%USERPROFILE%\AppData\Local\Temp\OnboardLogs"\RTDC4024\2017-12-01 &amp; aws s3 cp s3://rtdc.mdm.uploadarchive.raw/RTDC4024/ "%USERPROFILE%\AppData\Local\Temp\OnboardLogs"\RTDC4024\2017-12-02 --exclude "*" --recursive --include "*20171202*" &amp; "%USERPROFILE%\Documents\GitHub\mrs-test-scripts\Headless Mode &amp; Sideloading\WalkAndUnGZ.bat" "%USERPROFILE%\AppData\Local\Temp\OnboardLogs"\RTDC4024\2017-12-02</v>
      </c>
      <c r="AF119" s="235" t="str">
        <f t="shared" si="45"/>
        <v>"C:\Program Files (x86)\AstroGrep\AstroGrep.exe" /e /r /s /spath="%USERPROFILE%\AppData\Local\Temp\OnboardLogs" /stypes="app*4024*20171202*" /stext=" 00:.+((SYSTEM_STATE.+slice.+state.+changed )|(ment ac)|(multiple cpu faults)|(system.+state.+changed )|(\[timeout)|(PRM\|1\|D)|(kpr)|(kdp)|(train st.+moving)|(\|lc)|(penalty))"</v>
      </c>
      <c r="AG119" s="245" t="str">
        <f t="shared" si="46"/>
        <v>EC</v>
      </c>
      <c r="AH119" s="237" t="str">
        <f t="shared" si="47"/>
        <v>"%USERPROFILE%\Documents\GitHub\eaglep3\Utilities\RefineRTDCRunTimes.py" --tripid 205-01 --locoid 4024 --swversion DE.1.0.9.0 --startMP 204:524 --initTime 2017-12-01T16:40:06 --startdatetime 2017-12-01T16:45:15 --delay 52 --endMP 204:233212 --enddatetime 2017-12-01T17:21:01 --enforcementcount 0 &gt;&gt;%USERPROFILE%\Documents\GitHub\eaglep3-reporting\EC\2017-12-01-refined-times.txt</v>
      </c>
      <c r="AI119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{"issue":{"subject":"","project_id":79,"tracker_id":40,"status_id":1,"priority_id":2,"assigned_to_id":338,"start_date":"2017-12-01","description":"","custom_fields":[{"id":1,"name":"Subdivision","value":"EC"},{"id":4,"name":"Milepost","value":"23.3212"},{"id":17,"name":"Train ID","value":"205-01"},{"id":16,"name":"Locomotive ID","value":"4024"},{"id":130,"name":"Impact","value":""},{"id":150,"name":"Time of Event (Mountain Time)","value":"17:21:01"},{"id":151,"name":"Denver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232"/>
      <c r="AL119" s="232"/>
      <c r="AM119" s="241" t="str">
        <f t="shared" si="49"/>
        <v>start /low /b %USERPROFILE%\Documents\GitHub\eaglep3\Utilities\DownloadLogsFromS3.py --loco 4024 --day 2017-12-01</v>
      </c>
      <c r="AN119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00:21:01"},{"id":29,"name":"Sharepoint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1" t="str">
        <f t="shared" si="51"/>
        <v>https://d0f6bd738d7f1b3e5a7ca70fe4ff75f0.us-east-1.aws.found.io/app/kibana#/discover/Steve-Slow-Train-Analysis-(2080s-and-2083s)?_g=(refreshInterval:(display:Off,pause:!f,section:0,value:0),time:(from:'2017-12-01T15:40:06-0700',mode:absolute,to:'2017-12-01T18:21:01-0700'))&amp;_a=(columns:!('Message%20ID',Summary),filters:!(),index:'emp_*',interval:auto,query:(query_string:(analyze_wildcard:!t,query:'%22rtdc.l.rtdc.4024%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230" t="s">
        <v>907</v>
      </c>
      <c r="B120" s="226">
        <v>4023</v>
      </c>
      <c r="C120" s="228" t="s">
        <v>192</v>
      </c>
      <c r="D120" s="228" t="s">
        <v>711</v>
      </c>
      <c r="E120" s="227">
        <v>43070.734155092592</v>
      </c>
      <c r="F120" s="227">
        <v>43070.737673611111</v>
      </c>
      <c r="G120" s="226">
        <v>50</v>
      </c>
      <c r="H120" s="228" t="s">
        <v>717</v>
      </c>
      <c r="I120" s="227">
        <v>43070.76358796296</v>
      </c>
      <c r="J120" s="226">
        <v>0</v>
      </c>
      <c r="K120" s="238" t="str">
        <f t="shared" si="37"/>
        <v>4023/4024</v>
      </c>
      <c r="L120" s="246" t="str">
        <f>VLOOKUP(A120,'Trips&amp;Operators'!$C$1:$G$99911,5,FALSE)</f>
        <v>BRUDER RICHARD</v>
      </c>
      <c r="M120" s="225">
        <f t="shared" si="52"/>
        <v>2.5914351848769002E-2</v>
      </c>
      <c r="N120" s="226">
        <f t="shared" si="55"/>
        <v>37.316666662227362</v>
      </c>
      <c r="O120" s="226"/>
      <c r="P120" s="226"/>
      <c r="Q120" s="229"/>
      <c r="R120" s="243"/>
      <c r="S120" s="250">
        <f t="shared" si="56"/>
        <v>1</v>
      </c>
      <c r="T120" s="243" t="str">
        <f t="shared" si="39"/>
        <v>Southbound</v>
      </c>
      <c r="U120" s="24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9" t="str">
        <f t="shared" si="40"/>
        <v>https://d0f6bd738d7f1b3e5a7ca70fe4ff75f0.us-east-1.aws.found.io/app/kibana#/discover/Steve-Slow-Train-Analysis-(2080s-and-2083s)?_g=(refreshInterval:(display:Off,pause:!f,section:0,value:0),time:(from:'2017-12-01T16:37:11-0700',mode:absolute,to:'2017-12-01T19:19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0" s="248" t="str">
        <f>IF(AA120&lt;VLOOKUP(AG120,Variables!$AC$3:$AD$8,2,FALSE),"Y","N")</f>
        <v>N</v>
      </c>
      <c r="X120" s="248">
        <f t="shared" si="57"/>
        <v>1</v>
      </c>
      <c r="Y120" s="248">
        <f t="shared" si="53"/>
        <v>23.290199999999999</v>
      </c>
      <c r="Z120" s="248">
        <f t="shared" si="54"/>
        <v>2.2700000000000001E-2</v>
      </c>
      <c r="AA120" s="248">
        <f t="shared" si="42"/>
        <v>23.267499999999998</v>
      </c>
      <c r="AB120" s="234" t="e">
        <f>VLOOKUP(A120,Enforcements!$C$7:$K$9,8,0)</f>
        <v>#N/A</v>
      </c>
      <c r="AC120" s="233" t="e">
        <f>VLOOKUP(A120,Enforcements!$C$7:$E$9,3,0)</f>
        <v>#N/A</v>
      </c>
      <c r="AD120" s="244">
        <f t="shared" si="43"/>
        <v>206</v>
      </c>
      <c r="AE120" s="236" t="str">
        <f t="shared" si="44"/>
        <v>aws s3 cp s3://rtdc.mdm.uploadarchive.raw/RTDC4023/ "%USERPROFILE%\AppData\Local\Temp\OnboardLogs"\RTDC4023\2017-12-01 --exclude "*" --recursive --include "*20171201*" &amp; "%USERPROFILE%\Documents\GitHub\mrs-test-scripts\Headless Mode &amp; Sideloading\WalkAndUnGZ.bat" "%USERPROFILE%\AppData\Local\Temp\OnboardLogs"\RTDC4023\2017-12-01 &amp; aws s3 cp s3://rtdc.mdm.uploadarchive.raw/RTDC4023/ "%USERPROFILE%\AppData\Local\Temp\OnboardLogs"\RTDC4023\2017-12-02 --exclude "*" --recursive --include "*20171202*" &amp; "%USERPROFILE%\Documents\GitHub\mrs-test-scripts\Headless Mode &amp; Sideloading\WalkAndUnGZ.bat" "%USERPROFILE%\AppData\Local\Temp\OnboardLogs"\RTDC4023\2017-12-02</v>
      </c>
      <c r="AF120" s="235" t="str">
        <f t="shared" si="45"/>
        <v>"C:\Program Files (x86)\AstroGrep\AstroGrep.exe" /e /r /s /spath="%USERPROFILE%\AppData\Local\Temp\OnboardLogs" /stypes="app*4023*20171202*" /stext=" 01:.+((SYSTEM_STATE.+slice.+state.+changed )|(ment ac)|(multiple cpu faults)|(system.+state.+changed )|(\[timeout)|(PRM\|1\|D)|(kpr)|(kdp)|(train st.+moving)|(\|lc)|(penalty))"</v>
      </c>
      <c r="AG120" s="245" t="str">
        <f t="shared" si="46"/>
        <v>EC</v>
      </c>
      <c r="AH120" s="237" t="str">
        <f t="shared" si="47"/>
        <v>"%USERPROFILE%\Documents\GitHub\eaglep3\Utilities\RefineRTDCRunTimes.py" --tripid 206-01 --locoid 4023 --swversion DE.1.0.9.0 --startMP 204:232902 --initTime 2017-12-01T17:37:11 --startdatetime 2017-12-01T17:42:15 --delay 50 --endMP 204:227 --enddatetime 2017-12-01T18:19:34 --enforcementcount 0 &gt;&gt;%USERPROFILE%\Documents\GitHub\eaglep3-reporting\EC\2017-12-01-refined-times.txt</v>
      </c>
      <c r="AI120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{"issue":{"subject":"","project_id":79,"tracker_id":40,"status_id":1,"priority_id":2,"assigned_to_id":338,"start_date":"2017-12-01","description":"","custom_fields":[{"id":1,"name":"Subdivision","value":"EC"},{"id":4,"name":"Milepost","value":"0.0227"},{"id":17,"name":"Train ID","value":"206-01"},{"id":16,"name":"Locomotive ID","value":"4023"},{"id":130,"name":"Impact","value":""},{"id":150,"name":"Time of Event (Mountain Time)","value":"18:19:34"},{"id":151,"name":"Denver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224"/>
      <c r="AK120" s="232"/>
      <c r="AL120" s="232"/>
      <c r="AM120" s="241" t="str">
        <f t="shared" si="49"/>
        <v>start /low /b %USERPROFILE%\Documents\GitHub\eaglep3\Utilities\DownloadLogsFromS3.py --loco 4023 --day 2017-12-01</v>
      </c>
      <c r="AN120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01:19:34"},{"id":29,"name":"Sharepoint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1" t="str">
        <f t="shared" si="51"/>
        <v>https://d0f6bd738d7f1b3e5a7ca70fe4ff75f0.us-east-1.aws.found.io/app/kibana#/discover/Steve-Slow-Train-Analysis-(2080s-and-2083s)?_g=(refreshInterval:(display:Off,pause:!f,section:0,value:0),time:(from:'2017-12-01T16:37:11-0700',mode:absolute,to:'2017-12-01T19:19:34-0700'))&amp;_a=(columns:!('Message%20ID',Summary),filters:!(),index:'emp_*',interval:auto,query:(query_string:(analyze_wildcard:!t,query:'%22rtdc.l.rtdc.4023%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230" t="s">
        <v>897</v>
      </c>
      <c r="B121" s="226">
        <v>4020</v>
      </c>
      <c r="C121" s="228" t="s">
        <v>192</v>
      </c>
      <c r="D121" s="228" t="s">
        <v>500</v>
      </c>
      <c r="E121" s="227">
        <v>43070.705069444448</v>
      </c>
      <c r="F121" s="227">
        <v>43070.708541666667</v>
      </c>
      <c r="G121" s="226">
        <v>71</v>
      </c>
      <c r="H121" s="228" t="s">
        <v>1007</v>
      </c>
      <c r="I121" s="227">
        <v>43070.7346412037</v>
      </c>
      <c r="J121" s="226">
        <v>0</v>
      </c>
      <c r="K121" s="238" t="str">
        <f t="shared" si="37"/>
        <v>4019/4020</v>
      </c>
      <c r="L121" s="246" t="str">
        <f>VLOOKUP(A121,'Trips&amp;Operators'!$C$1:$G$99911,5,FALSE)</f>
        <v>LEVERE CRAIG</v>
      </c>
      <c r="M121" s="225">
        <f t="shared" si="52"/>
        <v>2.6099537033587694E-2</v>
      </c>
      <c r="N121" s="226">
        <f t="shared" si="55"/>
        <v>37.58333332836628</v>
      </c>
      <c r="O121" s="226"/>
      <c r="P121" s="226"/>
      <c r="Q121" s="229"/>
      <c r="R121" s="243"/>
      <c r="S121" s="250">
        <f t="shared" si="56"/>
        <v>1</v>
      </c>
      <c r="T121" s="243" t="str">
        <f t="shared" si="39"/>
        <v>NorthBound</v>
      </c>
      <c r="U121" s="24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9" t="str">
        <f t="shared" si="40"/>
        <v>https://d0f6bd738d7f1b3e5a7ca70fe4ff75f0.us-east-1.aws.found.io/app/kibana#/discover/Steve-Slow-Train-Analysis-(2080s-and-2083s)?_g=(refreshInterval:(display:Off,pause:!f,section:0,value:0),time:(from:'2017-12-01T15:55:18-0700',mode:absolute,to:'2017-12-01T18:37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1" s="248" t="str">
        <f>IF(AA121&lt;VLOOKUP(AG121,Variables!$AC$3:$AD$8,2,FALSE),"Y","N")</f>
        <v>N</v>
      </c>
      <c r="X121" s="248">
        <f t="shared" si="57"/>
        <v>1</v>
      </c>
      <c r="Y121" s="248">
        <f t="shared" si="53"/>
        <v>5.4399999999999997E-2</v>
      </c>
      <c r="Z121" s="248">
        <f t="shared" si="54"/>
        <v>23.320699999999999</v>
      </c>
      <c r="AA121" s="248">
        <f t="shared" si="42"/>
        <v>23.266299999999998</v>
      </c>
      <c r="AB121" s="234" t="e">
        <f>VLOOKUP(A121,Enforcements!$C$7:$K$9,8,0)</f>
        <v>#N/A</v>
      </c>
      <c r="AC121" s="233" t="e">
        <f>VLOOKUP(A121,Enforcements!$C$7:$E$9,3,0)</f>
        <v>#N/A</v>
      </c>
      <c r="AD121" s="244">
        <f t="shared" si="43"/>
        <v>207</v>
      </c>
      <c r="AE121" s="236" t="str">
        <f t="shared" si="44"/>
        <v>aws s3 cp s3://rtdc.mdm.uploadarchive.raw/RTDC4020/ "%USERPROFILE%\AppData\Local\Temp\OnboardLogs"\RTDC4020\2017-12-01 --exclude "*" --recursive --include "*20171201*" &amp; "%USERPROFILE%\Documents\GitHub\mrs-test-scripts\Headless Mode &amp; Sideloading\WalkAndUnGZ.bat" "%USERPROFILE%\AppData\Local\Temp\OnboardLogs"\RTDC4020\2017-12-01 &amp; aws s3 cp s3://rtdc.mdm.uploadarchive.raw/RTDC4020/ "%USERPROFILE%\AppData\Local\Temp\OnboardLogs"\RTDC4020\2017-12-02 --exclude "*" --recursive --include "*20171202*" &amp; "%USERPROFILE%\Documents\GitHub\mrs-test-scripts\Headless Mode &amp; Sideloading\WalkAndUnGZ.bat" "%USERPROFILE%\AppData\Local\Temp\OnboardLogs"\RTDC4020\2017-12-02</v>
      </c>
      <c r="AF121" s="235" t="str">
        <f t="shared" si="45"/>
        <v>"C:\Program Files (x86)\AstroGrep\AstroGrep.exe" /e /r /s /spath="%USERPROFILE%\AppData\Local\Temp\OnboardLogs" /stypes="app*4020*20171202*" /stext=" 00:.+((SYSTEM_STATE.+slice.+state.+changed )|(ment ac)|(multiple cpu faults)|(system.+state.+changed )|(\[timeout)|(PRM\|1\|D)|(kpr)|(kdp)|(train st.+moving)|(\|lc)|(penalty))"</v>
      </c>
      <c r="AG121" s="245" t="str">
        <f t="shared" si="46"/>
        <v>EC</v>
      </c>
      <c r="AH121" s="237" t="str">
        <f t="shared" si="47"/>
        <v>"%USERPROFILE%\Documents\GitHub\eaglep3\Utilities\RefineRTDCRunTimes.py" --tripid 207-01 --locoid 4020 --swversion DE.1.0.9.0 --startMP 204:544 --initTime 2017-12-01T16:55:18 --startdatetime 2017-12-01T17:00:18 --delay 71 --endMP 204:233207 --enddatetime 2017-12-01T17:37:53 --enforcementcount 0 &gt;&gt;%USERPROFILE%\Documents\GitHub\eaglep3-reporting\EC\2017-12-01-refined-times.txt</v>
      </c>
      <c r="AI121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{"issue":{"subject":"","project_id":79,"tracker_id":40,"status_id":1,"priority_id":2,"assigned_to_id":338,"start_date":"2017-12-01","description":"","custom_fields":[{"id":1,"name":"Subdivision","value":"EC"},{"id":4,"name":"Milepost","value":"23.3207"},{"id":17,"name":"Train ID","value":"207-01"},{"id":16,"name":"Locomotive ID","value":"4020"},{"id":130,"name":"Impact","value":""},{"id":150,"name":"Time of Event (Mountain Time)","value":"17:37:53"},{"id":151,"name":"Denver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224"/>
      <c r="AK121" s="232"/>
      <c r="AL121" s="232"/>
      <c r="AM121" s="241" t="str">
        <f t="shared" si="49"/>
        <v>start /low /b %USERPROFILE%\Documents\GitHub\eaglep3\Utilities\DownloadLogsFromS3.py --loco 4020 --day 2017-12-01</v>
      </c>
      <c r="AN121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00:37:53"},{"id":29,"name":"Sharepoint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1" t="str">
        <f t="shared" si="51"/>
        <v>https://d0f6bd738d7f1b3e5a7ca70fe4ff75f0.us-east-1.aws.found.io/app/kibana#/discover/Steve-Slow-Train-Analysis-(2080s-and-2083s)?_g=(refreshInterval:(display:Off,pause:!f,section:0,value:0),time:(from:'2017-12-01T15:55:18-0700',mode:absolute,to:'2017-12-01T18:37:53-0700'))&amp;_a=(columns:!('Message%20ID',Summary),filters:!(),index:'emp_*',interval:auto,query:(query_string:(analyze_wildcard:!t,query:'%22rtdc.l.rtdc.4020%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230" t="s">
        <v>742</v>
      </c>
      <c r="B122" s="226">
        <v>4019</v>
      </c>
      <c r="C122" s="228" t="s">
        <v>192</v>
      </c>
      <c r="D122" s="228" t="s">
        <v>495</v>
      </c>
      <c r="E122" s="227">
        <v>43070.740995370368</v>
      </c>
      <c r="F122" s="227">
        <v>43070.748206018521</v>
      </c>
      <c r="G122" s="226">
        <v>80</v>
      </c>
      <c r="H122" s="228" t="s">
        <v>1008</v>
      </c>
      <c r="I122" s="227">
        <v>43070.765717592592</v>
      </c>
      <c r="J122" s="226">
        <v>0</v>
      </c>
      <c r="K122" s="238" t="str">
        <f t="shared" si="37"/>
        <v>4019/4020</v>
      </c>
      <c r="L122" s="246" t="str">
        <f>VLOOKUP(A122,'Trips&amp;Operators'!$C$1:$G$99911,5,FALSE)</f>
        <v>LEVERE CRAIG</v>
      </c>
      <c r="M122" s="225">
        <f t="shared" si="52"/>
        <v>1.7511574071249925E-2</v>
      </c>
      <c r="N122" s="226"/>
      <c r="O122" s="226"/>
      <c r="P122" s="226">
        <f>24*60*SUM($M122:$M122)</f>
        <v>25.216666662599891</v>
      </c>
      <c r="Q122" s="229"/>
      <c r="R122" s="243" t="s">
        <v>476</v>
      </c>
      <c r="S122" s="250">
        <f t="shared" si="56"/>
        <v>0.5</v>
      </c>
      <c r="T122" s="243" t="str">
        <f t="shared" si="39"/>
        <v>Southbound</v>
      </c>
      <c r="U122" s="24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6</v>
      </c>
      <c r="V122" s="249" t="str">
        <f t="shared" si="40"/>
        <v>https://d0f6bd738d7f1b3e5a7ca70fe4ff75f0.us-east-1.aws.found.io/app/kibana#/discover/Steve-Slow-Train-Analysis-(2080s-and-2083s)?_g=(refreshInterval:(display:Off,pause:!f,section:0,value:0),time:(from:'2017-12-01T16:47:02-0700',mode:absolute,to:'2017-12-01T19:22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2" s="248" t="str">
        <f>IF(AA122&lt;VLOOKUP(AG122,Variables!$AC$3:$AD$8,2,FALSE),"Y","N")</f>
        <v>Y</v>
      </c>
      <c r="X122" s="248">
        <f t="shared" si="57"/>
        <v>1</v>
      </c>
      <c r="Y122" s="248">
        <f t="shared" si="53"/>
        <v>23.288399999999999</v>
      </c>
      <c r="Z122" s="248">
        <f t="shared" si="54"/>
        <v>5.7385000000000002</v>
      </c>
      <c r="AA122" s="248">
        <f t="shared" si="42"/>
        <v>17.549900000000001</v>
      </c>
      <c r="AB122" s="234" t="e">
        <f>VLOOKUP(A122,Enforcements!$C$7:$K$9,8,0)</f>
        <v>#N/A</v>
      </c>
      <c r="AC122" s="233" t="e">
        <f>VLOOKUP(A122,Enforcements!$C$7:$E$9,3,0)</f>
        <v>#N/A</v>
      </c>
      <c r="AD122" s="244">
        <f t="shared" si="43"/>
        <v>208</v>
      </c>
      <c r="AE122" s="236" t="str">
        <f t="shared" si="44"/>
        <v>aws s3 cp s3://rtdc.mdm.uploadarchive.raw/RTDC4019/ "%USERPROFILE%\AppData\Local\Temp\OnboardLogs"\RTDC4019\2017-12-01 --exclude "*" --recursive --include "*20171201*" &amp; "%USERPROFILE%\Documents\GitHub\mrs-test-scripts\Headless Mode &amp; Sideloading\WalkAndUnGZ.bat" "%USERPROFILE%\AppData\Local\Temp\OnboardLogs"\RTDC4019\2017-12-01 &amp; aws s3 cp s3://rtdc.mdm.uploadarchive.raw/RTDC4019/ "%USERPROFILE%\AppData\Local\Temp\OnboardLogs"\RTDC4019\2017-12-02 --exclude "*" --recursive --include "*20171202*" &amp; "%USERPROFILE%\Documents\GitHub\mrs-test-scripts\Headless Mode &amp; Sideloading\WalkAndUnGZ.bat" "%USERPROFILE%\AppData\Local\Temp\OnboardLogs"\RTDC4019\2017-12-02</v>
      </c>
      <c r="AF122" s="235" t="str">
        <f t="shared" si="45"/>
        <v>"C:\Program Files (x86)\AstroGrep\AstroGrep.exe" /e /r /s /spath="%USERPROFILE%\AppData\Local\Temp\OnboardLogs" /stypes="app*4019*20171202*" /stext=" 01:.+((SYSTEM_STATE.+slice.+state.+changed )|(ment ac)|(multiple cpu faults)|(system.+state.+changed )|(\[timeout)|(PRM\|1\|D)|(kpr)|(kdp)|(train st.+moving)|(\|lc)|(penalty))"</v>
      </c>
      <c r="AG122" s="245" t="str">
        <f t="shared" si="46"/>
        <v>EC</v>
      </c>
      <c r="AH122" s="237" t="str">
        <f t="shared" si="47"/>
        <v>"%USERPROFILE%\Documents\GitHub\eaglep3\Utilities\RefineRTDCRunTimes.py" --tripid 208-01 --locoid 4019 --swversion DE.1.0.9.0 --startMP 204:232884 --initTime 2017-12-01T17:47:02 --startdatetime 2017-12-01T17:57:25 --delay 80 --endMP 204:57385 --enddatetime 2017-12-01T18:22:38 --enforcementcount 0 &gt;&gt;%USERPROFILE%\Documents\GitHub\eaglep3-reporting\EC\2017-12-01-refined-times.txt</v>
      </c>
      <c r="AI122" s="239" t="str">
        <f t="shared" si="48"/>
        <v>echo {"issue":{"subject":"Wi-MAX data drop","project_id":79,"tracker_id":40,"status_id":1,"priority_id":2,"assigned_to_id":338,"start_date":"2017-12-01","description":"","custom_fields":[{"id":1,"name":"Subdivision","value":"EC"},{"id":4,"name":"Milepost","value":"5.7385"},{"id":17,"name":"Train ID","value":"208-01"},{"id":16,"name":"Locomotive ID","value":"4019"},{"id":130,"name":"Impact","value":""},{"id":150,"name":"Time of Event (Mountain Time)","value":"18:22:38"},{"id":151,"name":"Denver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224"/>
      <c r="AK122" s="232"/>
      <c r="AL122" s="232"/>
      <c r="AM122" s="241" t="str">
        <f t="shared" si="49"/>
        <v>start /low /b %USERPROFILE%\Documents\GitHub\eaglep3\Utilities\DownloadLogsFromS3.py --loco 4019 --day 2017-12-01</v>
      </c>
      <c r="AN122" s="242" t="str">
        <f t="shared" si="50"/>
        <v>echo {"issue":{"subject":"Wi-MAX data drop","project_id":30,"tracker_id":4,"status_id":1,"priority_id":1,"assigned_to_id":10,"start_date":"2017-12-02","description":"","custom_fields":[{"id":30,"name":"Category","value":"Issue"},{"id":3,"name":"Functional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01:22:38"},{"id":29,"name":"Sharepoint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1" t="str">
        <f t="shared" si="51"/>
        <v>https://d0f6bd738d7f1b3e5a7ca70fe4ff75f0.us-east-1.aws.found.io/app/kibana#/discover/Steve-Slow-Train-Analysis-(2080s-and-2083s)?_g=(refreshInterval:(display:Off,pause:!f,section:0,value:0),time:(from:'2017-12-01T16:47:02-0700',mode:absolute,to:'2017-12-01T19:22:38-0700'))&amp;_a=(columns:!('Message%20ID',Summary),filters:!(),index:'emp_*',interval:auto,query:(query_string:(analyze_wildcard:!t,query:'%22rtdc.l.rtdc.4019%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230" t="s">
        <v>900</v>
      </c>
      <c r="B123" s="226">
        <v>4006</v>
      </c>
      <c r="C123" s="228" t="s">
        <v>192</v>
      </c>
      <c r="D123" s="228" t="s">
        <v>676</v>
      </c>
      <c r="E123" s="227">
        <v>43070.713113425925</v>
      </c>
      <c r="F123" s="227">
        <v>43070.7190162037</v>
      </c>
      <c r="G123" s="226">
        <v>59</v>
      </c>
      <c r="H123" s="228" t="s">
        <v>1009</v>
      </c>
      <c r="I123" s="227">
        <v>43070.744687500002</v>
      </c>
      <c r="J123" s="226">
        <v>0</v>
      </c>
      <c r="K123" s="238" t="str">
        <f t="shared" si="37"/>
        <v>4005/4006</v>
      </c>
      <c r="L123" s="246" t="str">
        <f>VLOOKUP(A123,'Trips&amp;Operators'!$C$1:$G$99911,5,FALSE)</f>
        <v>FORTUNATO FRANK</v>
      </c>
      <c r="M123" s="225">
        <f t="shared" si="52"/>
        <v>2.567129630187992E-2</v>
      </c>
      <c r="N123" s="226">
        <f>24*60*SUM($M123:$M123)</f>
        <v>36.966666674707085</v>
      </c>
      <c r="O123" s="226"/>
      <c r="P123" s="226"/>
      <c r="Q123" s="229"/>
      <c r="R123" s="243"/>
      <c r="S123" s="250">
        <f t="shared" si="56"/>
        <v>1</v>
      </c>
      <c r="T123" s="243" t="str">
        <f t="shared" si="39"/>
        <v>NorthBound</v>
      </c>
      <c r="U123" s="24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9" t="str">
        <f t="shared" si="40"/>
        <v>https://d0f6bd738d7f1b3e5a7ca70fe4ff75f0.us-east-1.aws.found.io/app/kibana#/discover/Steve-Slow-Train-Analysis-(2080s-and-2083s)?_g=(refreshInterval:(display:Off,pause:!f,section:0,value:0),time:(from:'2017-12-01T16:06:53-0700',mode:absolute,to:'2017-12-01T18:52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3" s="248" t="str">
        <f>IF(AA123&lt;VLOOKUP(AG123,Variables!$AC$3:$AD$8,2,FALSE),"Y","N")</f>
        <v>N</v>
      </c>
      <c r="X123" s="248">
        <f t="shared" si="57"/>
        <v>1</v>
      </c>
      <c r="Y123" s="248">
        <f t="shared" si="53"/>
        <v>5.2600000000000001E-2</v>
      </c>
      <c r="Z123" s="248">
        <f t="shared" si="54"/>
        <v>23.319600000000001</v>
      </c>
      <c r="AA123" s="248">
        <f t="shared" si="42"/>
        <v>23.266999999999999</v>
      </c>
      <c r="AB123" s="234" t="e">
        <f>VLOOKUP(A123,Enforcements!$C$7:$K$9,8,0)</f>
        <v>#N/A</v>
      </c>
      <c r="AC123" s="233" t="e">
        <f>VLOOKUP(A123,Enforcements!$C$7:$E$9,3,0)</f>
        <v>#N/A</v>
      </c>
      <c r="AD123" s="244">
        <f t="shared" si="43"/>
        <v>209</v>
      </c>
      <c r="AE123" s="236" t="str">
        <f t="shared" si="44"/>
        <v>aws s3 cp s3://rtdc.mdm.uploadarchive.raw/RTDC4006/ "%USERPROFILE%\AppData\Local\Temp\OnboardLogs"\RTDC4006\2017-12-01 --exclude "*" --recursive --include "*20171201*" &amp; "%USERPROFILE%\Documents\GitHub\mrs-test-scripts\Headless Mode &amp; Sideloading\WalkAndUnGZ.bat" "%USERPROFILE%\AppData\Local\Temp\OnboardLogs"\RTDC4006\2017-12-01 &amp; aws s3 cp s3://rtdc.mdm.uploadarchive.raw/RTDC4006/ "%USERPROFILE%\AppData\Local\Temp\OnboardLogs"\RTDC4006\2017-12-02 --exclude "*" --recursive --include "*20171202*" &amp; "%USERPROFILE%\Documents\GitHub\mrs-test-scripts\Headless Mode &amp; Sideloading\WalkAndUnGZ.bat" "%USERPROFILE%\AppData\Local\Temp\OnboardLogs"\RTDC4006\2017-12-02</v>
      </c>
      <c r="AF123" s="235" t="str">
        <f t="shared" si="45"/>
        <v>"C:\Program Files (x86)\AstroGrep\AstroGrep.exe" /e /r /s /spath="%USERPROFILE%\AppData\Local\Temp\OnboardLogs" /stypes="app*4006*20171202*" /stext=" 00:.+((SYSTEM_STATE.+slice.+state.+changed )|(ment ac)|(multiple cpu faults)|(system.+state.+changed )|(\[timeout)|(PRM\|1\|D)|(kpr)|(kdp)|(train st.+moving)|(\|lc)|(penalty))"</v>
      </c>
      <c r="AG123" s="245" t="str">
        <f t="shared" si="46"/>
        <v>EC</v>
      </c>
      <c r="AH123" s="237" t="str">
        <f t="shared" si="47"/>
        <v>"%USERPROFILE%\Documents\GitHub\eaglep3\Utilities\RefineRTDCRunTimes.py" --tripid 209-01 --locoid 4006 --swversion DE.1.0.9.0 --startMP 204:526 --initTime 2017-12-01T17:06:53 --startdatetime 2017-12-01T17:15:23 --delay 59 --endMP 204:233196 --enddatetime 2017-12-01T17:52:21 --enforcementcount 0 &gt;&gt;%USERPROFILE%\Documents\GitHub\eaglep3-reporting\EC\2017-12-01-refined-times.txt</v>
      </c>
      <c r="AI123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{"issue":{"subject":"","project_id":79,"tracker_id":40,"status_id":1,"priority_id":2,"assigned_to_id":338,"start_date":"2017-12-01","description":"","custom_fields":[{"id":1,"name":"Subdivision","value":"EC"},{"id":4,"name":"Milepost","value":"23.3196"},{"id":17,"name":"Train ID","value":"209-01"},{"id":16,"name":"Locomotive ID","value":"4006"},{"id":130,"name":"Impact","value":""},{"id":150,"name":"Time of Event (Mountain Time)","value":"17:52:21"},{"id":151,"name":"Denver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4"/>
      <c r="AK123" s="232"/>
      <c r="AL123" s="232"/>
      <c r="AM123" s="241" t="str">
        <f t="shared" si="49"/>
        <v>start /low /b %USERPROFILE%\Documents\GitHub\eaglep3\Utilities\DownloadLogsFromS3.py --loco 4006 --day 2017-12-01</v>
      </c>
      <c r="AN123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00:52:21"},{"id":29,"name":"Sharepoint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1" t="str">
        <f t="shared" si="51"/>
        <v>https://d0f6bd738d7f1b3e5a7ca70fe4ff75f0.us-east-1.aws.found.io/app/kibana#/discover/Steve-Slow-Train-Analysis-(2080s-and-2083s)?_g=(refreshInterval:(display:Off,pause:!f,section:0,value:0),time:(from:'2017-12-01T16:06:53-0700',mode:absolute,to:'2017-12-01T18:52:21-0700'))&amp;_a=(columns:!('Message%20ID',Summary),filters:!(),index:'emp_*',interval:auto,query:(query_string:(analyze_wildcard:!t,query:'%22rtdc.l.rtdc.4006%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24" customFormat="1" x14ac:dyDescent="0.25">
      <c r="A124" s="230" t="s">
        <v>909</v>
      </c>
      <c r="B124" s="226">
        <v>4005</v>
      </c>
      <c r="C124" s="228" t="s">
        <v>192</v>
      </c>
      <c r="D124" s="228" t="s">
        <v>1010</v>
      </c>
      <c r="E124" s="227">
        <v>43070.745868055557</v>
      </c>
      <c r="F124" s="227">
        <v>43070.758750000001</v>
      </c>
      <c r="G124" s="226">
        <v>60</v>
      </c>
      <c r="H124" s="228" t="s">
        <v>424</v>
      </c>
      <c r="I124" s="227">
        <v>43070.785046296296</v>
      </c>
      <c r="J124" s="226">
        <v>0</v>
      </c>
      <c r="K124" s="238" t="str">
        <f t="shared" si="37"/>
        <v>4005/4006</v>
      </c>
      <c r="L124" s="246" t="str">
        <f>VLOOKUP(A124,'Trips&amp;Operators'!$C$1:$G$99911,5,FALSE)</f>
        <v>FORTUNATO FRANK</v>
      </c>
      <c r="M124" s="225">
        <f t="shared" ref="M124:M155" si="58">I124-F124</f>
        <v>2.6296296295186039E-2</v>
      </c>
      <c r="N124" s="226">
        <f>24*60*SUM($M124:$M124)</f>
        <v>37.866666665067896</v>
      </c>
      <c r="O124" s="226"/>
      <c r="P124" s="226"/>
      <c r="Q124" s="229"/>
      <c r="R124" s="243"/>
      <c r="S124" s="250">
        <f t="shared" si="56"/>
        <v>1</v>
      </c>
      <c r="T124" s="243" t="str">
        <f t="shared" si="39"/>
        <v>Southbound</v>
      </c>
      <c r="U124" s="24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9" t="str">
        <f t="shared" si="40"/>
        <v>https://d0f6bd738d7f1b3e5a7ca70fe4ff75f0.us-east-1.aws.found.io/app/kibana#/discover/Steve-Slow-Train-Analysis-(2080s-and-2083s)?_g=(refreshInterval:(display:Off,pause:!f,section:0,value:0),time:(from:'2017-12-01T16:54:03-0700',mode:absolute,to:'2017-12-01T19:50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4" s="248" t="str">
        <f>IF(AA124&lt;VLOOKUP(AG124,Variables!$AC$3:$AD$8,2,FALSE),"Y","N")</f>
        <v>N</v>
      </c>
      <c r="X124" s="248">
        <f t="shared" si="57"/>
        <v>1</v>
      </c>
      <c r="Y124" s="248">
        <f t="shared" ref="Y124:Y150" si="59">RIGHT(D124,LEN(D124)-4)/10000</f>
        <v>23.287500000000001</v>
      </c>
      <c r="Z124" s="248">
        <f t="shared" ref="Z124:Z150" si="60">RIGHT(H124,LEN(H124)-4)/10000</f>
        <v>2.2100000000000002E-2</v>
      </c>
      <c r="AA124" s="248">
        <f t="shared" si="42"/>
        <v>23.265400000000003</v>
      </c>
      <c r="AB124" s="234" t="e">
        <f>VLOOKUP(A124,Enforcements!$C$7:$K$9,8,0)</f>
        <v>#N/A</v>
      </c>
      <c r="AC124" s="233" t="e">
        <f>VLOOKUP(A124,Enforcements!$C$7:$E$9,3,0)</f>
        <v>#N/A</v>
      </c>
      <c r="AD124" s="244">
        <f t="shared" si="43"/>
        <v>210</v>
      </c>
      <c r="AE124" s="236" t="str">
        <f t="shared" si="44"/>
        <v>aws s3 cp s3://rtdc.mdm.uploadarchive.raw/RTDC4005/ "%USERPROFILE%\AppData\Local\Temp\OnboardLogs"\RTDC4005\2017-12-01 --exclude "*" --recursive --include "*20171201*" &amp; "%USERPROFILE%\Documents\GitHub\mrs-test-scripts\Headless Mode &amp; Sideloading\WalkAndUnGZ.bat" "%USERPROFILE%\AppData\Local\Temp\OnboardLogs"\RTDC4005\2017-12-01 &amp; aws s3 cp s3://rtdc.mdm.uploadarchive.raw/RTDC4005/ "%USERPROFILE%\AppData\Local\Temp\OnboardLogs"\RTDC4005\2017-12-02 --exclude "*" --recursive --include "*20171202*" &amp; "%USERPROFILE%\Documents\GitHub\mrs-test-scripts\Headless Mode &amp; Sideloading\WalkAndUnGZ.bat" "%USERPROFILE%\AppData\Local\Temp\OnboardLogs"\RTDC4005\2017-12-02</v>
      </c>
      <c r="AF124" s="235" t="str">
        <f t="shared" si="45"/>
        <v>"C:\Program Files (x86)\AstroGrep\AstroGrep.exe" /e /r /s /spath="%USERPROFILE%\AppData\Local\Temp\OnboardLogs" /stypes="app*4005*20171202*" /stext=" 01:.+((SYSTEM_STATE.+slice.+state.+changed )|(ment ac)|(multiple cpu faults)|(system.+state.+changed )|(\[timeout)|(PRM\|1\|D)|(kpr)|(kdp)|(train st.+moving)|(\|lc)|(penalty))"</v>
      </c>
      <c r="AG124" s="245" t="str">
        <f t="shared" si="46"/>
        <v>EC</v>
      </c>
      <c r="AH124" s="237" t="str">
        <f t="shared" si="47"/>
        <v>"%USERPROFILE%\Documents\GitHub\eaglep3\Utilities\RefineRTDCRunTimes.py" --tripid 210-01 --locoid 4005 --swversion DE.1.0.9.0 --startMP 204:232875 --initTime 2017-12-01T17:54:03 --startdatetime 2017-12-01T18:12:36 --delay 60 --endMP 204:221 --enddatetime 2017-12-01T18:50:28 --enforcementcount 0 &gt;&gt;%USERPROFILE%\Documents\GitHub\eaglep3-reporting\EC\2017-12-01-refined-times.txt</v>
      </c>
      <c r="AI124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{"issue":{"subject":"","project_id":79,"tracker_id":40,"status_id":1,"priority_id":2,"assigned_to_id":338,"start_date":"2017-12-01","description":"","custom_fields":[{"id":1,"name":"Subdivision","value":"EC"},{"id":4,"name":"Milepost","value":"0.0221"},{"id":17,"name":"Train ID","value":"210-01"},{"id":16,"name":"Locomotive ID","value":"4005"},{"id":130,"name":"Impact","value":""},{"id":150,"name":"Time of Event (Mountain Time)","value":"18:50:28"},{"id":151,"name":"Denver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232"/>
      <c r="AL124" s="232"/>
      <c r="AM124" s="241" t="str">
        <f t="shared" si="49"/>
        <v>start /low /b %USERPROFILE%\Documents\GitHub\eaglep3\Utilities\DownloadLogsFromS3.py --loco 4005 --day 2017-12-01</v>
      </c>
      <c r="AN124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01:50:28"},{"id":29,"name":"Sharepoint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1" t="str">
        <f t="shared" si="51"/>
        <v>https://d0f6bd738d7f1b3e5a7ca70fe4ff75f0.us-east-1.aws.found.io/app/kibana#/discover/Steve-Slow-Train-Analysis-(2080s-and-2083s)?_g=(refreshInterval:(display:Off,pause:!f,section:0,value:0),time:(from:'2017-12-01T16:54:03-0700',mode:absolute,to:'2017-12-01T19:50:28-0700'))&amp;_a=(columns:!('Message%20ID',Summary),filters:!(),index:'emp_*',interval:auto,query:(query_string:(analyze_wildcard:!t,query:'%22rtdc.l.rtdc.4005%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230" t="s">
        <v>904</v>
      </c>
      <c r="B125" s="226">
        <v>4046</v>
      </c>
      <c r="C125" s="228" t="s">
        <v>192</v>
      </c>
      <c r="D125" s="228" t="s">
        <v>703</v>
      </c>
      <c r="E125" s="227">
        <v>43070.724918981483</v>
      </c>
      <c r="F125" s="227">
        <v>43070.729351851849</v>
      </c>
      <c r="G125" s="226">
        <v>84</v>
      </c>
      <c r="H125" s="228" t="s">
        <v>624</v>
      </c>
      <c r="I125" s="227">
        <v>43070.754814814813</v>
      </c>
      <c r="J125" s="226">
        <v>0</v>
      </c>
      <c r="K125" s="238" t="str">
        <f t="shared" si="37"/>
        <v>4045/4046</v>
      </c>
      <c r="L125" s="246" t="str">
        <f>VLOOKUP(A125,'Trips&amp;Operators'!$C$1:$G$99911,5,FALSE)</f>
        <v>LEVIN SCOTT</v>
      </c>
      <c r="M125" s="225">
        <f t="shared" si="58"/>
        <v>2.5462962963501923E-2</v>
      </c>
      <c r="N125" s="226">
        <f>24*60*SUM($M125:$M125)</f>
        <v>36.666666667442769</v>
      </c>
      <c r="O125" s="226"/>
      <c r="P125" s="226"/>
      <c r="Q125" s="229"/>
      <c r="R125" s="243"/>
      <c r="S125" s="250">
        <f t="shared" si="56"/>
        <v>1</v>
      </c>
      <c r="T125" s="243" t="str">
        <f t="shared" si="39"/>
        <v>NorthBound</v>
      </c>
      <c r="U125" s="24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9" t="str">
        <f t="shared" si="40"/>
        <v>https://d0f6bd738d7f1b3e5a7ca70fe4ff75f0.us-east-1.aws.found.io/app/kibana#/discover/Steve-Slow-Train-Analysis-(2080s-and-2083s)?_g=(refreshInterval:(display:Off,pause:!f,section:0,value:0),time:(from:'2017-12-01T16:23:53-0700',mode:absolute,to:'2017-12-01T19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5" s="248" t="str">
        <f>IF(AA125&lt;VLOOKUP(AG125,Variables!$AC$3:$AD$8,2,FALSE),"Y","N")</f>
        <v>N</v>
      </c>
      <c r="X125" s="248">
        <f t="shared" si="57"/>
        <v>1</v>
      </c>
      <c r="Y125" s="248">
        <f t="shared" si="59"/>
        <v>4.6600000000000003E-2</v>
      </c>
      <c r="Z125" s="248">
        <f t="shared" si="60"/>
        <v>23.325099999999999</v>
      </c>
      <c r="AA125" s="248">
        <f t="shared" si="42"/>
        <v>23.278499999999998</v>
      </c>
      <c r="AB125" s="234" t="e">
        <f>VLOOKUP(A125,Enforcements!$C$7:$K$9,8,0)</f>
        <v>#N/A</v>
      </c>
      <c r="AC125" s="233" t="e">
        <f>VLOOKUP(A125,Enforcements!$C$7:$E$9,3,0)</f>
        <v>#N/A</v>
      </c>
      <c r="AD125" s="244">
        <f t="shared" si="43"/>
        <v>211</v>
      </c>
      <c r="AE125" s="236" t="str">
        <f t="shared" si="44"/>
        <v>aws s3 cp s3://rtdc.mdm.uploadarchive.raw/RTDC4046/ "%USERPROFILE%\AppData\Local\Temp\OnboardLogs"\RTDC4046\2017-12-01 --exclude "*" --recursive --include "*20171201*" &amp; "%USERPROFILE%\Documents\GitHub\mrs-test-scripts\Headless Mode &amp; Sideloading\WalkAndUnGZ.bat" "%USERPROFILE%\AppData\Local\Temp\OnboardLogs"\RTDC4046\2017-12-01 &amp; aws s3 cp s3://rtdc.mdm.uploadarchive.raw/RTDC4046/ "%USERPROFILE%\AppData\Local\Temp\OnboardLogs"\RTDC4046\2017-12-02 --exclude "*" --recursive --include "*20171202*" &amp; "%USERPROFILE%\Documents\GitHub\mrs-test-scripts\Headless Mode &amp; Sideloading\WalkAndUnGZ.bat" "%USERPROFILE%\AppData\Local\Temp\OnboardLogs"\RTDC4046\2017-12-02</v>
      </c>
      <c r="AF125" s="235" t="str">
        <f t="shared" si="45"/>
        <v>"C:\Program Files (x86)\AstroGrep\AstroGrep.exe" /e /r /s /spath="%USERPROFILE%\AppData\Local\Temp\OnboardLogs" /stypes="app*4046*20171202*" /stext=" 01:.+((SYSTEM_STATE.+slice.+state.+changed )|(ment ac)|(multiple cpu faults)|(system.+state.+changed )|(\[timeout)|(PRM\|1\|D)|(kpr)|(kdp)|(train st.+moving)|(\|lc)|(penalty))"</v>
      </c>
      <c r="AG125" s="245" t="str">
        <f t="shared" si="46"/>
        <v>EC</v>
      </c>
      <c r="AH125" s="237" t="str">
        <f t="shared" si="47"/>
        <v>"%USERPROFILE%\Documents\GitHub\eaglep3\Utilities\RefineRTDCRunTimes.py" --tripid 211-01 --locoid 4046 --swversion DE.1.0.9.0 --startMP 204:466 --initTime 2017-12-01T17:23:53 --startdatetime 2017-12-01T17:30:16 --delay 84 --endMP 204:233251 --enddatetime 2017-12-01T18:06:56 --enforcementcount 0 &gt;&gt;%USERPROFILE%\Documents\GitHub\eaglep3-reporting\EC\2017-12-01-refined-times.txt</v>
      </c>
      <c r="AI125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{"issue":{"subject":"","project_id":79,"tracker_id":40,"status_id":1,"priority_id":2,"assigned_to_id":338,"start_date":"2017-12-01","description":"","custom_fields":[{"id":1,"name":"Subdivision","value":"EC"},{"id":4,"name":"Milepost","value":"23.3251"},{"id":17,"name":"Train ID","value":"211-01"},{"id":16,"name":"Locomotive ID","value":"4046"},{"id":130,"name":"Impact","value":""},{"id":150,"name":"Time of Event (Mountain Time)","value":"18:06:56"},{"id":151,"name":"Denver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4"/>
      <c r="AK125" s="232"/>
      <c r="AL125" s="232"/>
      <c r="AM125" s="241" t="str">
        <f t="shared" si="49"/>
        <v>start /low /b %USERPROFILE%\Documents\GitHub\eaglep3\Utilities\DownloadLogsFromS3.py --loco 4046 --day 2017-12-01</v>
      </c>
      <c r="AN125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01:06:56"},{"id":29,"name":"Sharepoint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1" t="str">
        <f t="shared" si="51"/>
        <v>https://d0f6bd738d7f1b3e5a7ca70fe4ff75f0.us-east-1.aws.found.io/app/kibana#/discover/Steve-Slow-Train-Analysis-(2080s-and-2083s)?_g=(refreshInterval:(display:Off,pause:!f,section:0,value:0),time:(from:'2017-12-01T16:23:53-0700',mode:absolute,to:'2017-12-01T19:06:56-0700'))&amp;_a=(columns:!('Message%20ID',Summary),filters:!(),index:'emp_*',interval:auto,query:(query_string:(analyze_wildcard:!t,query:'%22rtdc.l.rtdc.4046%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24" customFormat="1" x14ac:dyDescent="0.25">
      <c r="A126" s="230" t="s">
        <v>914</v>
      </c>
      <c r="B126" s="226">
        <v>4045</v>
      </c>
      <c r="C126" s="228" t="s">
        <v>192</v>
      </c>
      <c r="D126" s="228" t="s">
        <v>698</v>
      </c>
      <c r="E126" s="227">
        <v>43070.760497685187</v>
      </c>
      <c r="F126" s="227">
        <v>43070.768923611111</v>
      </c>
      <c r="G126" s="226">
        <v>53</v>
      </c>
      <c r="H126" s="228" t="s">
        <v>1011</v>
      </c>
      <c r="I126" s="227">
        <v>43070.795439814814</v>
      </c>
      <c r="J126" s="226">
        <v>0</v>
      </c>
      <c r="K126" s="238" t="str">
        <f t="shared" si="37"/>
        <v>4045/4046</v>
      </c>
      <c r="L126" s="246" t="str">
        <f>VLOOKUP(A126,'Trips&amp;Operators'!$C$1:$G$99911,5,FALSE)</f>
        <v>LEVIN SCOTT</v>
      </c>
      <c r="M126" s="225">
        <f t="shared" si="58"/>
        <v>2.6516203703067731E-2</v>
      </c>
      <c r="N126" s="226">
        <f>24*60*SUM($M126:$M126)</f>
        <v>38.183333332417533</v>
      </c>
      <c r="O126" s="226"/>
      <c r="P126" s="226"/>
      <c r="Q126" s="229"/>
      <c r="R126" s="243"/>
      <c r="S126" s="250">
        <f t="shared" si="56"/>
        <v>1</v>
      </c>
      <c r="T126" s="243" t="str">
        <f t="shared" si="39"/>
        <v>Southbound</v>
      </c>
      <c r="U126" s="24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9" t="str">
        <f t="shared" si="40"/>
        <v>https://d0f6bd738d7f1b3e5a7ca70fe4ff75f0.us-east-1.aws.found.io/app/kibana#/discover/Steve-Slow-Train-Analysis-(2080s-and-2083s)?_g=(refreshInterval:(display:Off,pause:!f,section:0,value:0),time:(from:'2017-12-01T17:15:07-0700',mode:absolute,to:'2017-12-01T20:05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6" s="248" t="str">
        <f>IF(AA126&lt;VLOOKUP(AG126,Variables!$AC$3:$AD$8,2,FALSE),"Y","N")</f>
        <v>N</v>
      </c>
      <c r="X126" s="248">
        <f t="shared" si="57"/>
        <v>1</v>
      </c>
      <c r="Y126" s="248">
        <f t="shared" si="59"/>
        <v>23.2944</v>
      </c>
      <c r="Z126" s="248">
        <f t="shared" si="60"/>
        <v>1.5599999999999999E-2</v>
      </c>
      <c r="AA126" s="248">
        <f t="shared" si="42"/>
        <v>23.2788</v>
      </c>
      <c r="AB126" s="234" t="e">
        <f>VLOOKUP(A126,Enforcements!$C$7:$K$9,8,0)</f>
        <v>#N/A</v>
      </c>
      <c r="AC126" s="233" t="e">
        <f>VLOOKUP(A126,Enforcements!$C$7:$E$9,3,0)</f>
        <v>#N/A</v>
      </c>
      <c r="AD126" s="244">
        <f t="shared" si="43"/>
        <v>212</v>
      </c>
      <c r="AE126" s="236" t="str">
        <f t="shared" si="44"/>
        <v>aws s3 cp s3://rtdc.mdm.uploadarchive.raw/RTDC4045/ "%USERPROFILE%\AppData\Local\Temp\OnboardLogs"\RTDC4045\2017-12-01 --exclude "*" --recursive --include "*20171201*" &amp; "%USERPROFILE%\Documents\GitHub\mrs-test-scripts\Headless Mode &amp; Sideloading\WalkAndUnGZ.bat" "%USERPROFILE%\AppData\Local\Temp\OnboardLogs"\RTDC4045\2017-12-01 &amp; aws s3 cp s3://rtdc.mdm.uploadarchive.raw/RTDC4045/ "%USERPROFILE%\AppData\Local\Temp\OnboardLogs"\RTDC4045\2017-12-02 --exclude "*" --recursive --include "*20171202*" &amp; "%USERPROFILE%\Documents\GitHub\mrs-test-scripts\Headless Mode &amp; Sideloading\WalkAndUnGZ.bat" "%USERPROFILE%\AppData\Local\Temp\OnboardLogs"\RTDC4045\2017-12-02</v>
      </c>
      <c r="AF126" s="235" t="str">
        <f t="shared" si="45"/>
        <v>"C:\Program Files (x86)\AstroGrep\AstroGrep.exe" /e /r /s /spath="%USERPROFILE%\AppData\Local\Temp\OnboardLogs" /stypes="app*4045*20171202*" /stext=" 02:.+((SYSTEM_STATE.+slice.+state.+changed )|(ment ac)|(multiple cpu faults)|(system.+state.+changed )|(\[timeout)|(PRM\|1\|D)|(kpr)|(kdp)|(train st.+moving)|(\|lc)|(penalty))"</v>
      </c>
      <c r="AG126" s="245" t="str">
        <f t="shared" si="46"/>
        <v>EC</v>
      </c>
      <c r="AH126" s="237" t="str">
        <f t="shared" si="47"/>
        <v>"%USERPROFILE%\Documents\GitHub\eaglep3\Utilities\RefineRTDCRunTimes.py" --tripid 212-01 --locoid 4045 --swversion DE.1.0.9.0 --startMP 204:232944 --initTime 2017-12-01T18:15:07 --startdatetime 2017-12-01T18:27:15 --delay 53 --endMP 204:156 --enddatetime 2017-12-01T19:05:26 --enforcementcount 0 &gt;&gt;%USERPROFILE%\Documents\GitHub\eaglep3-reporting\EC\2017-12-01-refined-times.txt</v>
      </c>
      <c r="AI126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{"issue":{"subject":"","project_id":79,"tracker_id":40,"status_id":1,"priority_id":2,"assigned_to_id":338,"start_date":"2017-12-01","description":"","custom_fields":[{"id":1,"name":"Subdivision","value":"EC"},{"id":4,"name":"Milepost","value":"0.0156"},{"id":17,"name":"Train ID","value":"212-01"},{"id":16,"name":"Locomotive ID","value":"4045"},{"id":130,"name":"Impact","value":""},{"id":150,"name":"Time of Event (Mountain Time)","value":"19:05:26"},{"id":151,"name":"Denver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232"/>
      <c r="AL126" s="232"/>
      <c r="AM126" s="241" t="str">
        <f t="shared" si="49"/>
        <v>start /low /b %USERPROFILE%\Documents\GitHub\eaglep3\Utilities\DownloadLogsFromS3.py --loco 4045 --day 2017-12-01</v>
      </c>
      <c r="AN126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02:05:26"},{"id":29,"name":"Sharepoint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1" t="str">
        <f t="shared" si="51"/>
        <v>https://d0f6bd738d7f1b3e5a7ca70fe4ff75f0.us-east-1.aws.found.io/app/kibana#/discover/Steve-Slow-Train-Analysis-(2080s-and-2083s)?_g=(refreshInterval:(display:Off,pause:!f,section:0,value:0),time:(from:'2017-12-01T17:15:07-0700',mode:absolute,to:'2017-12-01T20:05:26-0700'))&amp;_a=(columns:!('Message%20ID',Summary),filters:!(),index:'emp_*',interval:auto,query:(query_string:(analyze_wildcard:!t,query:'%22rtdc.l.rtdc.4045%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230" t="s">
        <v>740</v>
      </c>
      <c r="B127" s="226">
        <v>4002</v>
      </c>
      <c r="C127" s="228" t="s">
        <v>192</v>
      </c>
      <c r="D127" s="228" t="s">
        <v>622</v>
      </c>
      <c r="E127" s="227">
        <v>43070.735879629632</v>
      </c>
      <c r="F127" s="227">
        <v>43070.739907407406</v>
      </c>
      <c r="G127" s="226">
        <v>88</v>
      </c>
      <c r="H127" s="228" t="s">
        <v>687</v>
      </c>
      <c r="I127" s="227">
        <v>43070.765543981484</v>
      </c>
      <c r="J127" s="226">
        <v>0</v>
      </c>
      <c r="K127" s="238" t="str">
        <f t="shared" si="37"/>
        <v>4001/4002</v>
      </c>
      <c r="L127" s="246" t="str">
        <f>VLOOKUP(A127,'Trips&amp;Operators'!$C$1:$G$99911,5,FALSE)</f>
        <v>DAVIDSON DAVID</v>
      </c>
      <c r="M127" s="225">
        <f t="shared" si="58"/>
        <v>2.5636574078816921E-2</v>
      </c>
      <c r="N127" s="226">
        <f>24*60*SUM($M127:$M127)</f>
        <v>36.916666673496366</v>
      </c>
      <c r="O127" s="226"/>
      <c r="P127" s="226"/>
      <c r="Q127" s="229"/>
      <c r="R127" s="243"/>
      <c r="S127" s="250">
        <f t="shared" si="56"/>
        <v>1</v>
      </c>
      <c r="T127" s="243" t="str">
        <f t="shared" si="39"/>
        <v>NorthBound</v>
      </c>
      <c r="U127" s="24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9" t="str">
        <f t="shared" si="40"/>
        <v>https://d0f6bd738d7f1b3e5a7ca70fe4ff75f0.us-east-1.aws.found.io/app/kibana#/discover/Steve-Slow-Train-Analysis-(2080s-and-2083s)?_g=(refreshInterval:(display:Off,pause:!f,section:0,value:0),time:(from:'2017-12-01T16:39:40-0700',mode:absolute,to:'2017-12-01T19:22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7" s="248" t="str">
        <f>IF(AA127&lt;VLOOKUP(AG127,Variables!$AC$3:$AD$8,2,FALSE),"Y","N")</f>
        <v>N</v>
      </c>
      <c r="X127" s="248">
        <f t="shared" si="57"/>
        <v>1</v>
      </c>
      <c r="Y127" s="248">
        <f t="shared" si="59"/>
        <v>4.9700000000000001E-2</v>
      </c>
      <c r="Z127" s="248">
        <f t="shared" si="60"/>
        <v>23.3261</v>
      </c>
      <c r="AA127" s="248">
        <f t="shared" si="42"/>
        <v>23.276399999999999</v>
      </c>
      <c r="AB127" s="234" t="str">
        <f>VLOOKUP(A127,Enforcements!$C$7:$K$9,8,0)</f>
        <v>Speed (6)</v>
      </c>
      <c r="AC127" s="233" t="str">
        <f>VLOOKUP(A127,Enforcements!$C$7:$E$9,3,0)</f>
        <v>PERMANENT SPEED RESTRICTION</v>
      </c>
      <c r="AD127" s="244">
        <f t="shared" si="43"/>
        <v>213</v>
      </c>
      <c r="AE127" s="236" t="str">
        <f t="shared" si="44"/>
        <v>aws s3 cp s3://rtdc.mdm.uploadarchive.raw/RTDC4002/ "%USERPROFILE%\AppData\Local\Temp\OnboardLogs"\RTDC4002\2017-12-01 --exclude "*" --recursive --include "*20171201*" &amp; "%USERPROFILE%\Documents\GitHub\mrs-test-scripts\Headless Mode &amp; Sideloading\WalkAndUnGZ.bat" "%USERPROFILE%\AppData\Local\Temp\OnboardLogs"\RTDC4002\2017-12-01 &amp; aws s3 cp s3://rtdc.mdm.uploadarchive.raw/RTDC4002/ "%USERPROFILE%\AppData\Local\Temp\OnboardLogs"\RTDC4002\2017-12-02 --exclude "*" --recursive --include "*20171202*" &amp; "%USERPROFILE%\Documents\GitHub\mrs-test-scripts\Headless Mode &amp; Sideloading\WalkAndUnGZ.bat" "%USERPROFILE%\AppData\Local\Temp\OnboardLogs"\RTDC4002\2017-12-02</v>
      </c>
      <c r="AF127" s="235" t="str">
        <f t="shared" si="45"/>
        <v>"C:\Program Files (x86)\AstroGrep\AstroGrep.exe" /e /r /s /spath="%USERPROFILE%\AppData\Local\Temp\OnboardLogs" /stypes="app*4002*20171202*" /stext=" 01:.+((SYSTEM_STATE.+slice.+state.+changed )|(ment ac)|(multiple cpu faults)|(system.+state.+changed )|(\[timeout)|(PRM\|1\|D)|(kpr)|(kdp)|(train st.+moving)|(\|lc)|(penalty))"</v>
      </c>
      <c r="AG127" s="245" t="str">
        <f t="shared" si="46"/>
        <v>EC</v>
      </c>
      <c r="AH127" s="237" t="str">
        <f t="shared" si="47"/>
        <v>"%USERPROFILE%\Documents\GitHub\eaglep3\Utilities\RefineRTDCRunTimes.py" --tripid 213-01 --locoid 4002 --swversion DE.1.0.9.0 --startMP 204:497 --initTime 2017-12-01T17:39:40 --startdatetime 2017-12-01T17:45:28 --delay 88 --endMP 204:233261 --enddatetime 2017-12-01T18:22:23 --enforcementcount 0 &gt;&gt;%USERPROFILE%\Documents\GitHub\eaglep3-reporting\EC\2017-12-01-refined-times.txt</v>
      </c>
      <c r="AI127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{"issue":{"subject":"","project_id":79,"tracker_id":40,"status_id":1,"priority_id":2,"assigned_to_id":338,"start_date":"2017-12-01","description":"","custom_fields":[{"id":1,"name":"Subdivision","value":"EC"},{"id":4,"name":"Milepost","value":"23.3261"},{"id":17,"name":"Train ID","value":"213-01"},{"id":16,"name":"Locomotive ID","value":"4002"},{"id":130,"name":"Impact","value":""},{"id":150,"name":"Time of Event (Mountain Time)","value":"18:22:23"},{"id":151,"name":"Denver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4"/>
      <c r="AK127" s="232"/>
      <c r="AL127" s="232"/>
      <c r="AM127" s="241" t="str">
        <f t="shared" si="49"/>
        <v>start /low /b %USERPROFILE%\Documents\GitHub\eaglep3\Utilities\DownloadLogsFromS3.py --loco 4002 --day 2017-12-01</v>
      </c>
      <c r="AN127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01:22:23"},{"id":29,"name":"Sharepoint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1" t="str">
        <f t="shared" si="51"/>
        <v>https://d0f6bd738d7f1b3e5a7ca70fe4ff75f0.us-east-1.aws.found.io/app/kibana#/discover/Steve-Slow-Train-Analysis-(2080s-and-2083s)?_g=(refreshInterval:(display:Off,pause:!f,section:0,value:0),time:(from:'2017-12-01T16:39:40-0700',mode:absolute,to:'2017-12-01T19:22:23-0700'))&amp;_a=(columns:!('Message%20ID',Summary),filters:!(),index:'emp_*',interval:auto,query:(query_string:(analyze_wildcard:!t,query:'%22rtdc.l.rtdc.4002%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230" t="s">
        <v>743</v>
      </c>
      <c r="B128" s="226">
        <v>4001</v>
      </c>
      <c r="C128" s="228" t="s">
        <v>192</v>
      </c>
      <c r="D128" s="228" t="s">
        <v>1012</v>
      </c>
      <c r="E128" s="227">
        <v>43070.794537037036</v>
      </c>
      <c r="F128" s="227">
        <v>43070.795486111114</v>
      </c>
      <c r="G128" s="226">
        <v>39</v>
      </c>
      <c r="H128" s="228" t="s">
        <v>1013</v>
      </c>
      <c r="I128" s="227">
        <v>43070.809166666666</v>
      </c>
      <c r="J128" s="226">
        <v>0</v>
      </c>
      <c r="K128" s="238" t="str">
        <f t="shared" si="37"/>
        <v>4001/4002</v>
      </c>
      <c r="L128" s="246" t="str">
        <f>VLOOKUP(A128,'Trips&amp;Operators'!$C$1:$G$99911,5,FALSE)</f>
        <v>DAVIDSON DAVID</v>
      </c>
      <c r="M128" s="225">
        <f t="shared" si="58"/>
        <v>1.3680555552127771E-2</v>
      </c>
      <c r="N128" s="226"/>
      <c r="O128" s="226"/>
      <c r="P128" s="226">
        <f>24*60*SUM($M128:$M128)</f>
        <v>19.69999999506399</v>
      </c>
      <c r="Q128" s="229"/>
      <c r="R128" s="243" t="s">
        <v>476</v>
      </c>
      <c r="S128" s="250">
        <f>1/IF(AG128="EC",12,1)*SUM(U128:U129)</f>
        <v>1</v>
      </c>
      <c r="T128" s="243" t="str">
        <f t="shared" si="39"/>
        <v>Southbound</v>
      </c>
      <c r="U128" s="24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10</v>
      </c>
      <c r="V128" s="249" t="str">
        <f t="shared" si="40"/>
        <v>https://d0f6bd738d7f1b3e5a7ca70fe4ff75f0.us-east-1.aws.found.io/app/kibana#/discover/Steve-Slow-Train-Analysis-(2080s-and-2083s)?_g=(refreshInterval:(display:Off,pause:!f,section:0,value:0),time:(from:'2017-12-01T18:04:08-0700',mode:absolute,to:'2017-12-01T20:25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8" s="248" t="str">
        <f>IF(AA128&lt;VLOOKUP(AG128,Variables!$AC$3:$AD$8,2,FALSE),"Y","N")</f>
        <v>Y</v>
      </c>
      <c r="X128" s="248">
        <f t="shared" si="57"/>
        <v>1</v>
      </c>
      <c r="Y128" s="248">
        <f t="shared" si="59"/>
        <v>8.6353000000000009</v>
      </c>
      <c r="Z128" s="248">
        <f t="shared" si="60"/>
        <v>2.5399999999999999E-2</v>
      </c>
      <c r="AA128" s="248">
        <f t="shared" si="42"/>
        <v>8.6099000000000014</v>
      </c>
      <c r="AB128" s="234" t="e">
        <f>VLOOKUP(A128,Enforcements!$C$7:$K$9,8,0)</f>
        <v>#N/A</v>
      </c>
      <c r="AC128" s="233" t="e">
        <f>VLOOKUP(A128,Enforcements!$C$7:$E$9,3,0)</f>
        <v>#N/A</v>
      </c>
      <c r="AD128" s="244">
        <f t="shared" si="43"/>
        <v>214</v>
      </c>
      <c r="AE128" s="236" t="str">
        <f t="shared" si="44"/>
        <v>aws s3 cp s3://rtdc.mdm.uploadarchive.raw/RTDC4001/ "%USERPROFILE%\AppData\Local\Temp\OnboardLogs"\RTDC4001\2017-12-01 --exclude "*" --recursive --include "*20171201*" &amp; "%USERPROFILE%\Documents\GitHub\mrs-test-scripts\Headless Mode &amp; Sideloading\WalkAndUnGZ.bat" "%USERPROFILE%\AppData\Local\Temp\OnboardLogs"\RTDC4001\2017-12-01 &amp; aws s3 cp s3://rtdc.mdm.uploadarchive.raw/RTDC4001/ "%USERPROFILE%\AppData\Local\Temp\OnboardLogs"\RTDC4001\2017-12-02 --exclude "*" --recursive --include "*20171202*" &amp; "%USERPROFILE%\Documents\GitHub\mrs-test-scripts\Headless Mode &amp; Sideloading\WalkAndUnGZ.bat" "%USERPROFILE%\AppData\Local\Temp\OnboardLogs"\RTDC4001\2017-12-02</v>
      </c>
      <c r="AF128" s="235" t="str">
        <f t="shared" si="45"/>
        <v>"C:\Program Files (x86)\AstroGrep\AstroGrep.exe" /e /r /s /spath="%USERPROFILE%\AppData\Local\Temp\OnboardLogs" /stypes="app*4001*20171202*" /stext=" 02:.+((SYSTEM_STATE.+slice.+state.+changed )|(ment ac)|(multiple cpu faults)|(system.+state.+changed )|(\[timeout)|(PRM\|1\|D)|(kpr)|(kdp)|(train st.+moving)|(\|lc)|(penalty))"</v>
      </c>
      <c r="AG128" s="245" t="str">
        <f t="shared" si="46"/>
        <v>EC</v>
      </c>
      <c r="AH128" s="237" t="str">
        <f t="shared" si="47"/>
        <v>"%USERPROFILE%\Documents\GitHub\eaglep3\Utilities\RefineRTDCRunTimes.py" --tripid 214-01 --locoid 4001 --swversion DE.1.0.9.0 --startMP 204:86353 --initTime 2017-12-01T19:04:08 --startdatetime 2017-12-01T19:05:30 --delay 39 --endMP 204:254 --enddatetime 2017-12-01T19:25:12 --enforcementcount 0 &gt;&gt;%USERPROFILE%\Documents\GitHub\eaglep3-reporting\EC\2017-12-01-refined-times.txt</v>
      </c>
      <c r="AI128" s="239" t="str">
        <f t="shared" si="48"/>
        <v>echo {"issue":{"subject":"Wi-MAX data drop","project_id":79,"tracker_id":40,"status_id":1,"priority_id":2,"assigned_to_id":338,"start_date":"2017-12-01","description":"","custom_fields":[{"id":1,"name":"Subdivision","value":"EC"},{"id":4,"name":"Milepost","value":"0.0254"},{"id":17,"name":"Train ID","value":"214-01"},{"id":16,"name":"Locomotive ID","value":"4001"},{"id":130,"name":"Impact","value":""},{"id":150,"name":"Time of Event (Mountain Time)","value":"19:25:12"},{"id":151,"name":"Denver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4"/>
      <c r="AK128" s="232"/>
      <c r="AL128" s="232"/>
      <c r="AM128" s="241" t="str">
        <f t="shared" si="49"/>
        <v>start /low /b %USERPROFILE%\Documents\GitHub\eaglep3\Utilities\DownloadLogsFromS3.py --loco 4001 --day 2017-12-01</v>
      </c>
      <c r="AN128" s="242" t="str">
        <f t="shared" si="50"/>
        <v>echo {"issue":{"subject":"Wi-MAX data drop","project_id":30,"tracker_id":4,"status_id":1,"priority_id":1,"assigned_to_id":10,"start_date":"2017-12-02","description":"","custom_fields":[{"id":30,"name":"Category","value":"Issue"},{"id":3,"name":"Functional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02:25:12"},{"id":29,"name":"Sharepoint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1" t="str">
        <f t="shared" si="51"/>
        <v>https://d0f6bd738d7f1b3e5a7ca70fe4ff75f0.us-east-1.aws.found.io/app/kibana#/discover/Steve-Slow-Train-Analysis-(2080s-and-2083s)?_g=(refreshInterval:(display:Off,pause:!f,section:0,value:0),time:(from:'2017-12-01T18:04:08-0700',mode:absolute,to:'2017-12-01T20:25:12-0700'))&amp;_a=(columns:!('Message%20ID',Summary),filters:!(),index:'emp_*',interval:auto,query:(query_string:(analyze_wildcard:!t,query:'%22rtdc.l.rtdc.4001%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4" customFormat="1" x14ac:dyDescent="0.25">
      <c r="A129" s="230" t="s">
        <v>743</v>
      </c>
      <c r="B129" s="226">
        <v>4001</v>
      </c>
      <c r="C129" s="228" t="s">
        <v>192</v>
      </c>
      <c r="D129" s="228" t="s">
        <v>713</v>
      </c>
      <c r="E129" s="227">
        <v>43070.767083333332</v>
      </c>
      <c r="F129" s="227">
        <v>43070.795486111114</v>
      </c>
      <c r="G129" s="226">
        <v>65</v>
      </c>
      <c r="H129" s="228" t="s">
        <v>1014</v>
      </c>
      <c r="I129" s="227">
        <v>43070.809166666666</v>
      </c>
      <c r="J129" s="226">
        <v>0</v>
      </c>
      <c r="K129" s="238" t="str">
        <f t="shared" si="37"/>
        <v>4001/4002</v>
      </c>
      <c r="L129" s="246" t="str">
        <f>VLOOKUP(A129,'Trips&amp;Operators'!$C$1:$G$99911,5,FALSE)</f>
        <v>DAVIDSON DAVID</v>
      </c>
      <c r="M129" s="225">
        <f t="shared" si="58"/>
        <v>1.3680555552127771E-2</v>
      </c>
      <c r="N129" s="226"/>
      <c r="O129" s="226"/>
      <c r="P129" s="226"/>
      <c r="Q129" s="229"/>
      <c r="R129" s="243"/>
      <c r="S129" s="250"/>
      <c r="T129" s="243" t="str">
        <f t="shared" si="39"/>
        <v>Southbound</v>
      </c>
      <c r="U129" s="24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2</v>
      </c>
      <c r="V129" s="249" t="str">
        <f t="shared" si="40"/>
        <v>https://d0f6bd738d7f1b3e5a7ca70fe4ff75f0.us-east-1.aws.found.io/app/kibana#/discover/Steve-Slow-Train-Analysis-(2080s-and-2083s)?_g=(refreshInterval:(display:Off,pause:!f,section:0,value:0),time:(from:'2017-12-01T17:24:36-0700',mode:absolute,to:'2017-12-01T20:25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9" s="248" t="str">
        <f>IF(AA129&lt;VLOOKUP(AG129,Variables!$AC$3:$AD$8,2,FALSE),"Y","N")</f>
        <v>Y</v>
      </c>
      <c r="X129" s="248">
        <f t="shared" si="57"/>
        <v>0</v>
      </c>
      <c r="Y129" s="248">
        <f t="shared" si="59"/>
        <v>23.2942</v>
      </c>
      <c r="Z129" s="248">
        <f t="shared" si="60"/>
        <v>10.215299999999999</v>
      </c>
      <c r="AA129" s="248">
        <f t="shared" si="42"/>
        <v>13.078900000000001</v>
      </c>
      <c r="AB129" s="234" t="e">
        <f>VLOOKUP(A129,Enforcements!$C$7:$K$9,8,0)</f>
        <v>#N/A</v>
      </c>
      <c r="AC129" s="233" t="e">
        <f>VLOOKUP(A129,Enforcements!$C$7:$E$9,3,0)</f>
        <v>#N/A</v>
      </c>
      <c r="AD129" s="244">
        <f t="shared" si="43"/>
        <v>214</v>
      </c>
      <c r="AE129" s="236" t="str">
        <f t="shared" si="44"/>
        <v>aws s3 cp s3://rtdc.mdm.uploadarchive.raw/RTDC4001/ "%USERPROFILE%\AppData\Local\Temp\OnboardLogs"\RTDC4001\2017-12-01 --exclude "*" --recursive --include "*20171201*" &amp; "%USERPROFILE%\Documents\GitHub\mrs-test-scripts\Headless Mode &amp; Sideloading\WalkAndUnGZ.bat" "%USERPROFILE%\AppData\Local\Temp\OnboardLogs"\RTDC4001\2017-12-01 &amp; aws s3 cp s3://rtdc.mdm.uploadarchive.raw/RTDC4001/ "%USERPROFILE%\AppData\Local\Temp\OnboardLogs"\RTDC4001\2017-12-02 --exclude "*" --recursive --include "*20171202*" &amp; "%USERPROFILE%\Documents\GitHub\mrs-test-scripts\Headless Mode &amp; Sideloading\WalkAndUnGZ.bat" "%USERPROFILE%\AppData\Local\Temp\OnboardLogs"\RTDC4001\2017-12-02</v>
      </c>
      <c r="AF129" s="235" t="str">
        <f t="shared" si="45"/>
        <v>"C:\Program Files (x86)\AstroGrep\AstroGrep.exe" /e /r /s /spath="%USERPROFILE%\AppData\Local\Temp\OnboardLogs" /stypes="app*4001*20171202*" /stext=" 02:.+((SYSTEM_STATE.+slice.+state.+changed )|(ment ac)|(multiple cpu faults)|(system.+state.+changed )|(\[timeout)|(PRM\|1\|D)|(kpr)|(kdp)|(train st.+moving)|(\|lc)|(penalty))"</v>
      </c>
      <c r="AG129" s="245" t="str">
        <f t="shared" si="46"/>
        <v>EC</v>
      </c>
      <c r="AH129" s="237" t="str">
        <f t="shared" si="47"/>
        <v>"%USERPROFILE%\Documents\GitHub\eaglep3\Utilities\RefineRTDCRunTimes.py" --tripid 214-01 --locoid 4001 --swversion DE.1.0.9.0 --startMP 204:232942 --initTime 2017-12-01T18:24:36 --startdatetime 2017-12-01T19:05:30 --delay 65 --endMP 204:102153 --enddatetime 2017-12-01T19:25:12 --enforcementcount 0 &gt;&gt;%USERPROFILE%\Documents\GitHub\eaglep3-reporting\EC\2017-12-01-refined-times.txt</v>
      </c>
      <c r="AI129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{"issue":{"subject":"","project_id":79,"tracker_id":40,"status_id":1,"priority_id":2,"assigned_to_id":338,"start_date":"2017-12-01","description":"","custom_fields":[{"id":1,"name":"Subdivision","value":"EC"},{"id":4,"name":"Milepost","value":"10.2153"},{"id":17,"name":"Train ID","value":"214-01"},{"id":16,"name":"Locomotive ID","value":"4001"},{"id":130,"name":"Impact","value":""},{"id":150,"name":"Time of Event (Mountain Time)","value":"19:25:12"},{"id":151,"name":"Denver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2"/>
      <c r="AL129" s="232"/>
      <c r="AM129" s="241" t="str">
        <f t="shared" si="49"/>
        <v>start /low /b %USERPROFILE%\Documents\GitHub\eaglep3\Utilities\DownloadLogsFromS3.py --loco 4001 --day 2017-12-01</v>
      </c>
      <c r="AN129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02:25:12"},{"id":29,"name":"Sharepoint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1" t="str">
        <f t="shared" si="51"/>
        <v>https://d0f6bd738d7f1b3e5a7ca70fe4ff75f0.us-east-1.aws.found.io/app/kibana#/discover/Steve-Slow-Train-Analysis-(2080s-and-2083s)?_g=(refreshInterval:(display:Off,pause:!f,section:0,value:0),time:(from:'2017-12-01T17:24:36-0700',mode:absolute,to:'2017-12-01T20:25:12-0700'))&amp;_a=(columns:!('Message%20ID',Summary),filters:!(),index:'emp_*',interval:auto,query:(query_string:(analyze_wildcard:!t,query:'%22rtdc.l.rtdc.4001%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230" t="s">
        <v>911</v>
      </c>
      <c r="B130" s="226">
        <v>4050</v>
      </c>
      <c r="C130" s="228" t="s">
        <v>192</v>
      </c>
      <c r="D130" s="228" t="s">
        <v>682</v>
      </c>
      <c r="E130" s="227">
        <v>43070.748854166668</v>
      </c>
      <c r="F130" s="227">
        <v>43070.750462962962</v>
      </c>
      <c r="G130" s="226">
        <v>78</v>
      </c>
      <c r="H130" s="228" t="s">
        <v>613</v>
      </c>
      <c r="I130" s="227">
        <v>43070.775069444448</v>
      </c>
      <c r="J130" s="226">
        <v>0</v>
      </c>
      <c r="K130" s="238" t="str">
        <f t="shared" si="37"/>
        <v>4049/4050</v>
      </c>
      <c r="L130" s="246" t="str">
        <f>VLOOKUP(A130,'Trips&amp;Operators'!$C$1:$G$99911,5,FALSE)</f>
        <v>GUNTHIER ERIC</v>
      </c>
      <c r="M130" s="225">
        <f t="shared" si="58"/>
        <v>2.4606481485534459E-2</v>
      </c>
      <c r="N130" s="226">
        <f t="shared" ref="N130:N161" si="61">24*60*SUM($M130:$M130)</f>
        <v>35.433333339169621</v>
      </c>
      <c r="O130" s="226"/>
      <c r="P130" s="226"/>
      <c r="Q130" s="229"/>
      <c r="R130" s="243"/>
      <c r="S130" s="250">
        <f t="shared" ref="S130:S161" si="62">1/IF(AG130="EC",12,1)*SUM(U130:U130)</f>
        <v>1</v>
      </c>
      <c r="T130" s="243" t="str">
        <f t="shared" si="39"/>
        <v>NorthBound</v>
      </c>
      <c r="U130" s="24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9" t="str">
        <f t="shared" si="40"/>
        <v>https://d0f6bd738d7f1b3e5a7ca70fe4ff75f0.us-east-1.aws.found.io/app/kibana#/discover/Steve-Slow-Train-Analysis-(2080s-and-2083s)?_g=(refreshInterval:(display:Off,pause:!f,section:0,value:0),time:(from:'2017-12-01T16:58:21-0700',mode:absolute,to:'2017-12-01T19:36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0" s="248" t="str">
        <f>IF(AA130&lt;VLOOKUP(AG130,Variables!$AC$3:$AD$8,2,FALSE),"Y","N")</f>
        <v>N</v>
      </c>
      <c r="X130" s="248">
        <f t="shared" si="57"/>
        <v>1</v>
      </c>
      <c r="Y130" s="248">
        <f t="shared" si="59"/>
        <v>5.1299999999999998E-2</v>
      </c>
      <c r="Z130" s="248">
        <f t="shared" si="60"/>
        <v>23.325900000000001</v>
      </c>
      <c r="AA130" s="248">
        <f t="shared" si="42"/>
        <v>23.2746</v>
      </c>
      <c r="AB130" s="234" t="e">
        <f>VLOOKUP(A130,Enforcements!$C$7:$K$9,8,0)</f>
        <v>#N/A</v>
      </c>
      <c r="AC130" s="233" t="e">
        <f>VLOOKUP(A130,Enforcements!$C$7:$E$9,3,0)</f>
        <v>#N/A</v>
      </c>
      <c r="AD130" s="244">
        <f t="shared" si="43"/>
        <v>215</v>
      </c>
      <c r="AE130" s="236" t="str">
        <f t="shared" si="44"/>
        <v>aws s3 cp s3://rtdc.mdm.uploadarchive.raw/RTDC4050/ "%USERPROFILE%\AppData\Local\Temp\OnboardLogs"\RTDC4050\2017-12-01 --exclude "*" --recursive --include "*20171201*" &amp; "%USERPROFILE%\Documents\GitHub\mrs-test-scripts\Headless Mode &amp; Sideloading\WalkAndUnGZ.bat" "%USERPROFILE%\AppData\Local\Temp\OnboardLogs"\RTDC4050\2017-12-01 &amp; aws s3 cp s3://rtdc.mdm.uploadarchive.raw/RTDC4050/ "%USERPROFILE%\AppData\Local\Temp\OnboardLogs"\RTDC4050\2017-12-02 --exclude "*" --recursive --include "*20171202*" &amp; "%USERPROFILE%\Documents\GitHub\mrs-test-scripts\Headless Mode &amp; Sideloading\WalkAndUnGZ.bat" "%USERPROFILE%\AppData\Local\Temp\OnboardLogs"\RTDC4050\2017-12-02</v>
      </c>
      <c r="AF130" s="235" t="str">
        <f t="shared" si="45"/>
        <v>"C:\Program Files (x86)\AstroGrep\AstroGrep.exe" /e /r /s /spath="%USERPROFILE%\AppData\Local\Temp\OnboardLogs" /stypes="app*4050*20171202*" /stext=" 01:.+((SYSTEM_STATE.+slice.+state.+changed )|(ment ac)|(multiple cpu faults)|(system.+state.+changed )|(\[timeout)|(PRM\|1\|D)|(kpr)|(kdp)|(train st.+moving)|(\|lc)|(penalty))"</v>
      </c>
      <c r="AG130" s="245" t="str">
        <f t="shared" si="46"/>
        <v>EC</v>
      </c>
      <c r="AH130" s="237" t="str">
        <f t="shared" si="47"/>
        <v>"%USERPROFILE%\Documents\GitHub\eaglep3\Utilities\RefineRTDCRunTimes.py" --tripid 215-01 --locoid 4050 --swversion DE.1.0.9.0 --startMP 204:513 --initTime 2017-12-01T17:58:21 --startdatetime 2017-12-01T18:00:40 --delay 78 --endMP 204:233259 --enddatetime 2017-12-01T18:36:06 --enforcementcount 0 &gt;&gt;%USERPROFILE%\Documents\GitHub\eaglep3-reporting\EC\2017-12-01-refined-times.txt</v>
      </c>
      <c r="AI130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{"issue":{"subject":"","project_id":79,"tracker_id":40,"status_id":1,"priority_id":2,"assigned_to_id":338,"start_date":"2017-12-01","description":"","custom_fields":[{"id":1,"name":"Subdivision","value":"EC"},{"id":4,"name":"Milepost","value":"23.3259"},{"id":17,"name":"Train ID","value":"215-01"},{"id":16,"name":"Locomotive ID","value":"4050"},{"id":130,"name":"Impact","value":""},{"id":150,"name":"Time of Event (Mountain Time)","value":"18:36:06"},{"id":151,"name":"Denver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4"/>
      <c r="AK130" s="232"/>
      <c r="AL130" s="232"/>
      <c r="AM130" s="241" t="str">
        <f t="shared" si="49"/>
        <v>start /low /b %USERPROFILE%\Documents\GitHub\eaglep3\Utilities\DownloadLogsFromS3.py --loco 4050 --day 2017-12-01</v>
      </c>
      <c r="AN130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01:36:06"},{"id":29,"name":"Sharepoint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1" t="str">
        <f t="shared" si="51"/>
        <v>https://d0f6bd738d7f1b3e5a7ca70fe4ff75f0.us-east-1.aws.found.io/app/kibana#/discover/Steve-Slow-Train-Analysis-(2080s-and-2083s)?_g=(refreshInterval:(display:Off,pause:!f,section:0,value:0),time:(from:'2017-12-01T16:58:21-0700',mode:absolute,to:'2017-12-01T19:36:06-0700'))&amp;_a=(columns:!('Message%20ID',Summary),filters:!(),index:'emp_*',interval:auto,query:(query_string:(analyze_wildcard:!t,query:'%22rtdc.l.rtdc.4050%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230" t="s">
        <v>919</v>
      </c>
      <c r="B131" s="226">
        <v>4049</v>
      </c>
      <c r="C131" s="228" t="s">
        <v>192</v>
      </c>
      <c r="D131" s="228" t="s">
        <v>718</v>
      </c>
      <c r="E131" s="227">
        <v>43070.779641203706</v>
      </c>
      <c r="F131" s="227">
        <v>43070.789861111109</v>
      </c>
      <c r="G131" s="226">
        <v>236</v>
      </c>
      <c r="H131" s="228" t="s">
        <v>621</v>
      </c>
      <c r="I131" s="227">
        <v>43070.815497685187</v>
      </c>
      <c r="J131" s="226">
        <v>0</v>
      </c>
      <c r="K131" s="238" t="str">
        <f t="shared" si="37"/>
        <v>4049/4050</v>
      </c>
      <c r="L131" s="246" t="str">
        <f>VLOOKUP(A131,'Trips&amp;Operators'!$C$1:$G$99911,5,FALSE)</f>
        <v>GUNTHIER ERIC</v>
      </c>
      <c r="M131" s="225">
        <f t="shared" si="58"/>
        <v>2.5636574078816921E-2</v>
      </c>
      <c r="N131" s="226">
        <f t="shared" si="61"/>
        <v>36.916666673496366</v>
      </c>
      <c r="O131" s="226"/>
      <c r="P131" s="226"/>
      <c r="Q131" s="229"/>
      <c r="R131" s="243"/>
      <c r="S131" s="250">
        <f t="shared" si="62"/>
        <v>1</v>
      </c>
      <c r="T131" s="243" t="str">
        <f t="shared" si="39"/>
        <v>Southbound</v>
      </c>
      <c r="U131" s="24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9" t="str">
        <f t="shared" si="40"/>
        <v>https://d0f6bd738d7f1b3e5a7ca70fe4ff75f0.us-east-1.aws.found.io/app/kibana#/discover/Steve-Slow-Train-Analysis-(2080s-and-2083s)?_g=(refreshInterval:(display:Off,pause:!f,section:0,value:0),time:(from:'2017-12-01T17:42:41-0700',mode:absolute,to:'2017-12-01T20:34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1" s="248" t="str">
        <f>IF(AA131&lt;VLOOKUP(AG131,Variables!$AC$3:$AD$8,2,FALSE),"Y","N")</f>
        <v>N</v>
      </c>
      <c r="X131" s="248">
        <f t="shared" si="57"/>
        <v>1</v>
      </c>
      <c r="Y131" s="248">
        <f t="shared" si="59"/>
        <v>23.294799999999999</v>
      </c>
      <c r="Z131" s="248">
        <f t="shared" si="60"/>
        <v>2.4199999999999999E-2</v>
      </c>
      <c r="AA131" s="248">
        <f t="shared" si="42"/>
        <v>23.270599999999998</v>
      </c>
      <c r="AB131" s="234" t="e">
        <f>VLOOKUP(A131,Enforcements!$C$7:$K$9,8,0)</f>
        <v>#N/A</v>
      </c>
      <c r="AC131" s="233" t="e">
        <f>VLOOKUP(A131,Enforcements!$C$7:$E$9,3,0)</f>
        <v>#N/A</v>
      </c>
      <c r="AD131" s="244">
        <f t="shared" si="43"/>
        <v>216</v>
      </c>
      <c r="AE131" s="236" t="str">
        <f t="shared" si="44"/>
        <v>aws s3 cp s3://rtdc.mdm.uploadarchive.raw/RTDC4049/ "%USERPROFILE%\AppData\Local\Temp\OnboardLogs"\RTDC4049\2017-12-01 --exclude "*" --recursive --include "*20171201*" &amp; "%USERPROFILE%\Documents\GitHub\mrs-test-scripts\Headless Mode &amp; Sideloading\WalkAndUnGZ.bat" "%USERPROFILE%\AppData\Local\Temp\OnboardLogs"\RTDC4049\2017-12-01 &amp; aws s3 cp s3://rtdc.mdm.uploadarchive.raw/RTDC4049/ "%USERPROFILE%\AppData\Local\Temp\OnboardLogs"\RTDC4049\2017-12-02 --exclude "*" --recursive --include "*20171202*" &amp; "%USERPROFILE%\Documents\GitHub\mrs-test-scripts\Headless Mode &amp; Sideloading\WalkAndUnGZ.bat" "%USERPROFILE%\AppData\Local\Temp\OnboardLogs"\RTDC4049\2017-12-02</v>
      </c>
      <c r="AF131" s="235" t="str">
        <f t="shared" si="45"/>
        <v>"C:\Program Files (x86)\AstroGrep\AstroGrep.exe" /e /r /s /spath="%USERPROFILE%\AppData\Local\Temp\OnboardLogs" /stypes="app*4049*20171202*" /stext=" 02:.+((SYSTEM_STATE.+slice.+state.+changed )|(ment ac)|(multiple cpu faults)|(system.+state.+changed )|(\[timeout)|(PRM\|1\|D)|(kpr)|(kdp)|(train st.+moving)|(\|lc)|(penalty))"</v>
      </c>
      <c r="AG131" s="245" t="str">
        <f t="shared" si="46"/>
        <v>EC</v>
      </c>
      <c r="AH131" s="237" t="str">
        <f t="shared" si="47"/>
        <v>"%USERPROFILE%\Documents\GitHub\eaglep3\Utilities\RefineRTDCRunTimes.py" --tripid 216-01 --locoid 4049 --swversion DE.1.0.9.0 --startMP 204:232948 --initTime 2017-12-01T18:42:41 --startdatetime 2017-12-01T18:57:24 --delay 236 --endMP 204:242 --enddatetime 2017-12-01T19:34:19 --enforcementcount 0 &gt;&gt;%USERPROFILE%\Documents\GitHub\eaglep3-reporting\EC\2017-12-01-refined-times.txt</v>
      </c>
      <c r="AI131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{"issue":{"subject":"","project_id":79,"tracker_id":40,"status_id":1,"priority_id":2,"assigned_to_id":338,"start_date":"2017-12-01","description":"","custom_fields":[{"id":1,"name":"Subdivision","value":"EC"},{"id":4,"name":"Milepost","value":"0.0242"},{"id":17,"name":"Train ID","value":"216-01"},{"id":16,"name":"Locomotive ID","value":"4049"},{"id":130,"name":"Impact","value":""},{"id":150,"name":"Time of Event (Mountain Time)","value":"19:34:19"},{"id":151,"name":"Denver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4"/>
      <c r="AK131" s="232"/>
      <c r="AL131" s="232"/>
      <c r="AM131" s="241" t="str">
        <f t="shared" si="49"/>
        <v>start /low /b %USERPROFILE%\Documents\GitHub\eaglep3\Utilities\DownloadLogsFromS3.py --loco 4049 --day 2017-12-01</v>
      </c>
      <c r="AN131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02:34:19"},{"id":29,"name":"Sharepoint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1" t="str">
        <f t="shared" si="51"/>
        <v>https://d0f6bd738d7f1b3e5a7ca70fe4ff75f0.us-east-1.aws.found.io/app/kibana#/discover/Steve-Slow-Train-Analysis-(2080s-and-2083s)?_g=(refreshInterval:(display:Off,pause:!f,section:0,value:0),time:(from:'2017-12-01T17:42:41-0700',mode:absolute,to:'2017-12-01T20:34:19-0700'))&amp;_a=(columns:!('Message%20ID',Summary),filters:!(),index:'emp_*',interval:auto,query:(query_string:(analyze_wildcard:!t,query:'%22rtdc.l.rtdc.4049%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230" t="s">
        <v>913</v>
      </c>
      <c r="B132" s="226">
        <v>4040</v>
      </c>
      <c r="C132" s="228" t="s">
        <v>192</v>
      </c>
      <c r="D132" s="228" t="s">
        <v>632</v>
      </c>
      <c r="E132" s="227">
        <v>43070.756180555552</v>
      </c>
      <c r="F132" s="227">
        <v>43070.76085648148</v>
      </c>
      <c r="G132" s="226">
        <v>108</v>
      </c>
      <c r="H132" s="228" t="s">
        <v>1015</v>
      </c>
      <c r="I132" s="227">
        <v>43070.786527777775</v>
      </c>
      <c r="J132" s="226">
        <v>0</v>
      </c>
      <c r="K132" s="238" t="str">
        <f t="shared" si="37"/>
        <v>4039/4040</v>
      </c>
      <c r="L132" s="246" t="str">
        <f>VLOOKUP(A132,'Trips&amp;Operators'!$C$1:$G$99911,5,FALSE)</f>
        <v>NICHOLSON WESLEY</v>
      </c>
      <c r="M132" s="225">
        <f t="shared" si="58"/>
        <v>2.5671296294603962E-2</v>
      </c>
      <c r="N132" s="226">
        <f t="shared" si="61"/>
        <v>36.966666664229706</v>
      </c>
      <c r="O132" s="226"/>
      <c r="P132" s="226"/>
      <c r="Q132" s="229"/>
      <c r="R132" s="243"/>
      <c r="S132" s="250">
        <f t="shared" si="62"/>
        <v>1</v>
      </c>
      <c r="T132" s="243" t="str">
        <f t="shared" si="39"/>
        <v>NorthBound</v>
      </c>
      <c r="U132" s="24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9" t="str">
        <f t="shared" si="40"/>
        <v>https://d0f6bd738d7f1b3e5a7ca70fe4ff75f0.us-east-1.aws.found.io/app/kibana#/discover/Steve-Slow-Train-Analysis-(2080s-and-2083s)?_g=(refreshInterval:(display:Off,pause:!f,section:0,value:0),time:(from:'2017-12-01T17:08:54-0700',mode:absolute,to:'2017-12-01T19:52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2" s="248" t="str">
        <f>IF(AA132&lt;VLOOKUP(AG132,Variables!$AC$3:$AD$8,2,FALSE),"Y","N")</f>
        <v>N</v>
      </c>
      <c r="X132" s="248">
        <f t="shared" si="57"/>
        <v>1</v>
      </c>
      <c r="Y132" s="248">
        <f t="shared" si="59"/>
        <v>5.0599999999999999E-2</v>
      </c>
      <c r="Z132" s="248">
        <f t="shared" si="60"/>
        <v>23.318899999999999</v>
      </c>
      <c r="AA132" s="248">
        <f t="shared" si="42"/>
        <v>23.2683</v>
      </c>
      <c r="AB132" s="234" t="e">
        <f>VLOOKUP(A132,Enforcements!$C$7:$K$9,8,0)</f>
        <v>#N/A</v>
      </c>
      <c r="AC132" s="233" t="e">
        <f>VLOOKUP(A132,Enforcements!$C$7:$E$9,3,0)</f>
        <v>#N/A</v>
      </c>
      <c r="AD132" s="244">
        <f t="shared" si="43"/>
        <v>217</v>
      </c>
      <c r="AE132" s="236" t="str">
        <f t="shared" si="44"/>
        <v>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 &amp; aws s3 cp s3://rtdc.mdm.uploadarchive.raw/RTDC4040/ "%USERPROFILE%\AppData\Local\Temp\OnboardLogs"\RTDC4040\2017-12-02 --exclude "*" --recursive --include "*20171202*" &amp; "%USERPROFILE%\Documents\GitHub\mrs-test-scripts\Headless Mode &amp; Sideloading\WalkAndUnGZ.bat" "%USERPROFILE%\AppData\Local\Temp\OnboardLogs"\RTDC4040\2017-12-02</v>
      </c>
      <c r="AF132" s="235" t="str">
        <f t="shared" si="45"/>
        <v>"C:\Program Files (x86)\AstroGrep\AstroGrep.exe" /e /r /s /spath="%USERPROFILE%\AppData\Local\Temp\OnboardLogs" /stypes="app*4040*20171202*" /stext=" 01:.+((SYSTEM_STATE.+slice.+state.+changed )|(ment ac)|(multiple cpu faults)|(system.+state.+changed )|(\[timeout)|(PRM\|1\|D)|(kpr)|(kdp)|(train st.+moving)|(\|lc)|(penalty))"</v>
      </c>
      <c r="AG132" s="245" t="str">
        <f t="shared" si="46"/>
        <v>EC</v>
      </c>
      <c r="AH132" s="237" t="str">
        <f t="shared" si="47"/>
        <v>"%USERPROFILE%\Documents\GitHub\eaglep3\Utilities\RefineRTDCRunTimes.py" --tripid 217-01 --locoid 4040 --swversion DE.1.0.9.0 --startMP 204:506 --initTime 2017-12-01T18:08:54 --startdatetime 2017-12-01T18:15:38 --delay 108 --endMP 204:233189 --enddatetime 2017-12-01T18:52:36 --enforcementcount 0 &gt;&gt;%USERPROFILE%\Documents\GitHub\eaglep3-reporting\EC\2017-12-01-refined-times.txt</v>
      </c>
      <c r="AI132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{"issue":{"subject":"","project_id":79,"tracker_id":40,"status_id":1,"priority_id":2,"assigned_to_id":338,"start_date":"2017-12-01","description":"","custom_fields":[{"id":1,"name":"Subdivision","value":"EC"},{"id":4,"name":"Milepost","value":"23.3189"},{"id":17,"name":"Train ID","value":"217-01"},{"id":16,"name":"Locomotive ID","value":"4040"},{"id":130,"name":"Impact","value":""},{"id":150,"name":"Time of Event (Mountain Time)","value":"18:52:36"},{"id":151,"name":"Denver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4"/>
      <c r="AK132" s="232"/>
      <c r="AL132" s="232"/>
      <c r="AM132" s="241" t="str">
        <f t="shared" si="49"/>
        <v>start /low /b %USERPROFILE%\Documents\GitHub\eaglep3\Utilities\DownloadLogsFromS3.py --loco 4040 --day 2017-12-01</v>
      </c>
      <c r="AN132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01:52:36"},{"id":29,"name":"Sharepoint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1" t="str">
        <f t="shared" si="51"/>
        <v>https://d0f6bd738d7f1b3e5a7ca70fe4ff75f0.us-east-1.aws.found.io/app/kibana#/discover/Steve-Slow-Train-Analysis-(2080s-and-2083s)?_g=(refreshInterval:(display:Off,pause:!f,section:0,value:0),time:(from:'2017-12-01T17:08:54-0700',mode:absolute,to:'2017-12-01T19:52:36-0700'))&amp;_a=(columns:!('Message%20ID',Summary),filters:!(),index:'emp_*',interval:auto,query:(query_string:(analyze_wildcard:!t,query:'%22rtdc.l.rtdc.4040%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230" t="s">
        <v>923</v>
      </c>
      <c r="B133" s="226">
        <v>4039</v>
      </c>
      <c r="C133" s="228" t="s">
        <v>192</v>
      </c>
      <c r="D133" s="228" t="s">
        <v>509</v>
      </c>
      <c r="E133" s="227">
        <v>43070.795497685183</v>
      </c>
      <c r="F133" s="227">
        <v>43070.80023148148</v>
      </c>
      <c r="G133" s="226">
        <v>121</v>
      </c>
      <c r="H133" s="228" t="s">
        <v>1016</v>
      </c>
      <c r="I133" s="227">
        <v>43070.82712962963</v>
      </c>
      <c r="J133" s="226">
        <v>0</v>
      </c>
      <c r="K133" s="238" t="str">
        <f t="shared" si="37"/>
        <v>4039/4040</v>
      </c>
      <c r="L133" s="246" t="str">
        <f>VLOOKUP(A133,'Trips&amp;Operators'!$C$1:$G$99911,5,FALSE)</f>
        <v>NICHOLSON WESLEY</v>
      </c>
      <c r="M133" s="225">
        <f t="shared" si="58"/>
        <v>2.6898148149484769E-2</v>
      </c>
      <c r="N133" s="226">
        <f t="shared" si="61"/>
        <v>38.733333335258067</v>
      </c>
      <c r="O133" s="226"/>
      <c r="P133" s="226"/>
      <c r="Q133" s="229"/>
      <c r="R133" s="243"/>
      <c r="S133" s="250">
        <f t="shared" si="62"/>
        <v>1</v>
      </c>
      <c r="T133" s="243" t="str">
        <f t="shared" si="39"/>
        <v>Southbound</v>
      </c>
      <c r="U133" s="24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9" t="str">
        <f t="shared" si="40"/>
        <v>https://d0f6bd738d7f1b3e5a7ca70fe4ff75f0.us-east-1.aws.found.io/app/kibana#/discover/Steve-Slow-Train-Analysis-(2080s-and-2083s)?_g=(refreshInterval:(display:Off,pause:!f,section:0,value:0),time:(from:'2017-12-01T18:05:31-0700',mode:absolute,to:'2017-12-01T20:51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3" s="248" t="str">
        <f>IF(AA133&lt;VLOOKUP(AG133,Variables!$AC$3:$AD$8,2,FALSE),"Y","N")</f>
        <v>N</v>
      </c>
      <c r="X133" s="248">
        <f t="shared" si="57"/>
        <v>1</v>
      </c>
      <c r="Y133" s="248">
        <f t="shared" si="59"/>
        <v>23.2879</v>
      </c>
      <c r="Z133" s="248">
        <f t="shared" si="60"/>
        <v>2.3800000000000002E-2</v>
      </c>
      <c r="AA133" s="248">
        <f t="shared" si="42"/>
        <v>23.264099999999999</v>
      </c>
      <c r="AB133" s="234" t="e">
        <f>VLOOKUP(A133,Enforcements!$C$7:$K$9,8,0)</f>
        <v>#N/A</v>
      </c>
      <c r="AC133" s="233" t="e">
        <f>VLOOKUP(A133,Enforcements!$C$7:$E$9,3,0)</f>
        <v>#N/A</v>
      </c>
      <c r="AD133" s="244">
        <f t="shared" si="43"/>
        <v>218</v>
      </c>
      <c r="AE133" s="236" t="str">
        <f t="shared" si="44"/>
        <v>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 &amp; aws s3 cp s3://rtdc.mdm.uploadarchive.raw/RTDC4039/ "%USERPROFILE%\AppData\Local\Temp\OnboardLogs"\RTDC4039\2017-12-02 --exclude "*" --recursive --include "*20171202*" &amp; "%USERPROFILE%\Documents\GitHub\mrs-test-scripts\Headless Mode &amp; Sideloading\WalkAndUnGZ.bat" "%USERPROFILE%\AppData\Local\Temp\OnboardLogs"\RTDC4039\2017-12-02</v>
      </c>
      <c r="AF133" s="235" t="str">
        <f t="shared" si="45"/>
        <v>"C:\Program Files (x86)\AstroGrep\AstroGrep.exe" /e /r /s /spath="%USERPROFILE%\AppData\Local\Temp\OnboardLogs" /stypes="app*4039*20171202*" /stext=" 02:.+((SYSTEM_STATE.+slice.+state.+changed )|(ment ac)|(multiple cpu faults)|(system.+state.+changed )|(\[timeout)|(PRM\|1\|D)|(kpr)|(kdp)|(train st.+moving)|(\|lc)|(penalty))"</v>
      </c>
      <c r="AG133" s="245" t="str">
        <f t="shared" si="46"/>
        <v>EC</v>
      </c>
      <c r="AH133" s="237" t="str">
        <f t="shared" si="47"/>
        <v>"%USERPROFILE%\Documents\GitHub\eaglep3\Utilities\RefineRTDCRunTimes.py" --tripid 218-01 --locoid 4039 --swversion DE.1.0.9.0 --startMP 204:232879 --initTime 2017-12-01T19:05:31 --startdatetime 2017-12-01T19:12:20 --delay 121 --endMP 204:238 --enddatetime 2017-12-01T19:51:04 --enforcementcount 0 &gt;&gt;%USERPROFILE%\Documents\GitHub\eaglep3-reporting\EC\2017-12-01-refined-times.txt</v>
      </c>
      <c r="AI133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{"issue":{"subject":"","project_id":79,"tracker_id":40,"status_id":1,"priority_id":2,"assigned_to_id":338,"start_date":"2017-12-01","description":"","custom_fields":[{"id":1,"name":"Subdivision","value":"EC"},{"id":4,"name":"Milepost","value":"0.0238"},{"id":17,"name":"Train ID","value":"218-01"},{"id":16,"name":"Locomotive ID","value":"4039"},{"id":130,"name":"Impact","value":""},{"id":150,"name":"Time of Event (Mountain Time)","value":"19:51:04"},{"id":151,"name":"Denver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4"/>
      <c r="AK133" s="232"/>
      <c r="AL133" s="232"/>
      <c r="AM133" s="241" t="str">
        <f t="shared" si="49"/>
        <v>start /low /b %USERPROFILE%\Documents\GitHub\eaglep3\Utilities\DownloadLogsFromS3.py --loco 4039 --day 2017-12-01</v>
      </c>
      <c r="AN133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02:51:04"},{"id":29,"name":"Sharepoint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1" t="str">
        <f t="shared" si="51"/>
        <v>https://d0f6bd738d7f1b3e5a7ca70fe4ff75f0.us-east-1.aws.found.io/app/kibana#/discover/Steve-Slow-Train-Analysis-(2080s-and-2083s)?_g=(refreshInterval:(display:Off,pause:!f,section:0,value:0),time:(from:'2017-12-01T18:05:31-0700',mode:absolute,to:'2017-12-01T20:51:04-0700'))&amp;_a=(columns:!('Message%20ID',Summary),filters:!(),index:'emp_*',interval:auto,query:(query_string:(analyze_wildcard:!t,query:'%22rtdc.l.rtdc.4039%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230" t="s">
        <v>915</v>
      </c>
      <c r="B134" s="226">
        <v>4024</v>
      </c>
      <c r="C134" s="228" t="s">
        <v>192</v>
      </c>
      <c r="D134" s="228" t="s">
        <v>676</v>
      </c>
      <c r="E134" s="227">
        <v>43070.764803240738</v>
      </c>
      <c r="F134" s="227">
        <v>43070.770983796298</v>
      </c>
      <c r="G134" s="226">
        <v>122</v>
      </c>
      <c r="H134" s="228" t="s">
        <v>720</v>
      </c>
      <c r="I134" s="227">
        <v>43070.795868055553</v>
      </c>
      <c r="J134" s="226">
        <v>0</v>
      </c>
      <c r="K134" s="238" t="str">
        <f t="shared" si="37"/>
        <v>4023/4024</v>
      </c>
      <c r="L134" s="246" t="str">
        <f>VLOOKUP(A134,'Trips&amp;Operators'!$C$1:$G$99911,5,FALSE)</f>
        <v>ELBAUM MIKE</v>
      </c>
      <c r="M134" s="225">
        <f t="shared" si="58"/>
        <v>2.488425925548654E-2</v>
      </c>
      <c r="N134" s="226">
        <f t="shared" si="61"/>
        <v>35.833333327900618</v>
      </c>
      <c r="O134" s="226"/>
      <c r="P134" s="226"/>
      <c r="Q134" s="229"/>
      <c r="R134" s="243"/>
      <c r="S134" s="250">
        <f t="shared" si="62"/>
        <v>1</v>
      </c>
      <c r="T134" s="243" t="str">
        <f t="shared" si="39"/>
        <v>NorthBound</v>
      </c>
      <c r="U134" s="24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9" t="str">
        <f t="shared" si="40"/>
        <v>https://d0f6bd738d7f1b3e5a7ca70fe4ff75f0.us-east-1.aws.found.io/app/kibana#/discover/Steve-Slow-Train-Analysis-(2080s-and-2083s)?_g=(refreshInterval:(display:Off,pause:!f,section:0,value:0),time:(from:'2017-12-01T17:21:19-0700',mode:absolute,to:'2017-12-01T20:06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4" s="248" t="str">
        <f>IF(AA134&lt;VLOOKUP(AG134,Variables!$AC$3:$AD$8,2,FALSE),"Y","N")</f>
        <v>N</v>
      </c>
      <c r="X134" s="248">
        <f t="shared" si="57"/>
        <v>1</v>
      </c>
      <c r="Y134" s="248">
        <f t="shared" si="59"/>
        <v>5.2600000000000001E-2</v>
      </c>
      <c r="Z134" s="248">
        <f t="shared" si="60"/>
        <v>23.3264</v>
      </c>
      <c r="AA134" s="248">
        <f t="shared" si="42"/>
        <v>23.273799999999998</v>
      </c>
      <c r="AB134" s="234" t="e">
        <f>VLOOKUP(A134,Enforcements!$C$7:$K$9,8,0)</f>
        <v>#N/A</v>
      </c>
      <c r="AC134" s="233" t="e">
        <f>VLOOKUP(A134,Enforcements!$C$7:$E$9,3,0)</f>
        <v>#N/A</v>
      </c>
      <c r="AD134" s="244">
        <f t="shared" si="43"/>
        <v>219</v>
      </c>
      <c r="AE134" s="236" t="str">
        <f t="shared" si="44"/>
        <v>aws s3 cp s3://rtdc.mdm.uploadarchive.raw/RTDC4024/ "%USERPROFILE%\AppData\Local\Temp\OnboardLogs"\RTDC4024\2017-12-01 --exclude "*" --recursive --include "*20171201*" &amp; "%USERPROFILE%\Documents\GitHub\mrs-test-scripts\Headless Mode &amp; Sideloading\WalkAndUnGZ.bat" "%USERPROFILE%\AppData\Local\Temp\OnboardLogs"\RTDC4024\2017-12-01 &amp; aws s3 cp s3://rtdc.mdm.uploadarchive.raw/RTDC4024/ "%USERPROFILE%\AppData\Local\Temp\OnboardLogs"\RTDC4024\2017-12-02 --exclude "*" --recursive --include "*20171202*" &amp; "%USERPROFILE%\Documents\GitHub\mrs-test-scripts\Headless Mode &amp; Sideloading\WalkAndUnGZ.bat" "%USERPROFILE%\AppData\Local\Temp\OnboardLogs"\RTDC4024\2017-12-02</v>
      </c>
      <c r="AF134" s="235" t="str">
        <f t="shared" si="45"/>
        <v>"C:\Program Files (x86)\AstroGrep\AstroGrep.exe" /e /r /s /spath="%USERPROFILE%\AppData\Local\Temp\OnboardLogs" /stypes="app*4024*20171202*" /stext=" 02:.+((SYSTEM_STATE.+slice.+state.+changed )|(ment ac)|(multiple cpu faults)|(system.+state.+changed )|(\[timeout)|(PRM\|1\|D)|(kpr)|(kdp)|(train st.+moving)|(\|lc)|(penalty))"</v>
      </c>
      <c r="AG134" s="245" t="str">
        <f t="shared" si="46"/>
        <v>EC</v>
      </c>
      <c r="AH134" s="237" t="str">
        <f t="shared" si="47"/>
        <v>"%USERPROFILE%\Documents\GitHub\eaglep3\Utilities\RefineRTDCRunTimes.py" --tripid 219-01 --locoid 4024 --swversion DE.1.0.9.0 --startMP 204:526 --initTime 2017-12-01T18:21:19 --startdatetime 2017-12-01T18:30:13 --delay 122 --endMP 204:233264 --enddatetime 2017-12-01T19:06:03 --enforcementcount 0 &gt;&gt;%USERPROFILE%\Documents\GitHub\eaglep3-reporting\EC\2017-12-01-refined-times.txt</v>
      </c>
      <c r="AI134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{"issue":{"subject":"","project_id":79,"tracker_id":40,"status_id":1,"priority_id":2,"assigned_to_id":338,"start_date":"2017-12-01","description":"","custom_fields":[{"id":1,"name":"Subdivision","value":"EC"},{"id":4,"name":"Milepost","value":"23.3264"},{"id":17,"name":"Train ID","value":"219-01"},{"id":16,"name":"Locomotive ID","value":"4024"},{"id":130,"name":"Impact","value":""},{"id":150,"name":"Time of Event (Mountain Time)","value":"19:06:03"},{"id":151,"name":"Denver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4"/>
      <c r="AK134" s="232"/>
      <c r="AL134" s="232"/>
      <c r="AM134" s="241" t="str">
        <f t="shared" si="49"/>
        <v>start /low /b %USERPROFILE%\Documents\GitHub\eaglep3\Utilities\DownloadLogsFromS3.py --loco 4024 --day 2017-12-01</v>
      </c>
      <c r="AN134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02:06:03"},{"id":29,"name":"Sharepoint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1" t="str">
        <f t="shared" si="51"/>
        <v>https://d0f6bd738d7f1b3e5a7ca70fe4ff75f0.us-east-1.aws.found.io/app/kibana#/discover/Steve-Slow-Train-Analysis-(2080s-and-2083s)?_g=(refreshInterval:(display:Off,pause:!f,section:0,value:0),time:(from:'2017-12-01T17:21:19-0700',mode:absolute,to:'2017-12-01T20:06:03-0700'))&amp;_a=(columns:!('Message%20ID',Summary),filters:!(),index:'emp_*',interval:auto,query:(query_string:(analyze_wildcard:!t,query:'%22rtdc.l.rtdc.4024%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230" t="s">
        <v>924</v>
      </c>
      <c r="B135" s="226">
        <v>4023</v>
      </c>
      <c r="C135" s="228" t="s">
        <v>192</v>
      </c>
      <c r="D135" s="228" t="s">
        <v>626</v>
      </c>
      <c r="E135" s="227">
        <v>43070.7969212963</v>
      </c>
      <c r="F135" s="227">
        <v>43070.810590277775</v>
      </c>
      <c r="G135" s="226">
        <v>68</v>
      </c>
      <c r="H135" s="228" t="s">
        <v>1013</v>
      </c>
      <c r="I135" s="227">
        <v>43070.835810185185</v>
      </c>
      <c r="J135" s="226">
        <v>0</v>
      </c>
      <c r="K135" s="238" t="str">
        <f t="shared" si="37"/>
        <v>4023/4024</v>
      </c>
      <c r="L135" s="246" t="str">
        <f>VLOOKUP(A135,'Trips&amp;Operators'!$C$1:$G$99911,5,FALSE)</f>
        <v>ELBAUM MIKE</v>
      </c>
      <c r="M135" s="225">
        <f t="shared" si="58"/>
        <v>2.5219907409336884E-2</v>
      </c>
      <c r="N135" s="226">
        <f t="shared" si="61"/>
        <v>36.316666669445112</v>
      </c>
      <c r="O135" s="226"/>
      <c r="P135" s="226"/>
      <c r="Q135" s="229"/>
      <c r="R135" s="243"/>
      <c r="S135" s="250">
        <f t="shared" si="62"/>
        <v>1</v>
      </c>
      <c r="T135" s="243" t="str">
        <f t="shared" si="39"/>
        <v>Southbound</v>
      </c>
      <c r="U135" s="24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9" t="str">
        <f t="shared" si="40"/>
        <v>https://d0f6bd738d7f1b3e5a7ca70fe4ff75f0.us-east-1.aws.found.io/app/kibana#/discover/Steve-Slow-Train-Analysis-(2080s-and-2083s)?_g=(refreshInterval:(display:Off,pause:!f,section:0,value:0),time:(from:'2017-12-01T18:07:34-0700',mode:absolute,to:'2017-12-01T21:03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5" s="248" t="str">
        <f>IF(AA135&lt;VLOOKUP(AG135,Variables!$AC$3:$AD$8,2,FALSE),"Y","N")</f>
        <v>N</v>
      </c>
      <c r="X135" s="248">
        <f t="shared" si="57"/>
        <v>1</v>
      </c>
      <c r="Y135" s="248">
        <f t="shared" si="59"/>
        <v>23.293800000000001</v>
      </c>
      <c r="Z135" s="248">
        <f t="shared" si="60"/>
        <v>2.5399999999999999E-2</v>
      </c>
      <c r="AA135" s="248">
        <f t="shared" si="42"/>
        <v>23.2684</v>
      </c>
      <c r="AB135" s="234" t="e">
        <f>VLOOKUP(A135,Enforcements!$C$7:$K$9,8,0)</f>
        <v>#N/A</v>
      </c>
      <c r="AC135" s="233" t="e">
        <f>VLOOKUP(A135,Enforcements!$C$7:$E$9,3,0)</f>
        <v>#N/A</v>
      </c>
      <c r="AD135" s="244">
        <f t="shared" si="43"/>
        <v>220</v>
      </c>
      <c r="AE135" s="236" t="str">
        <f t="shared" si="44"/>
        <v>aws s3 cp s3://rtdc.mdm.uploadarchive.raw/RTDC4023/ "%USERPROFILE%\AppData\Local\Temp\OnboardLogs"\RTDC4023\2017-12-01 --exclude "*" --recursive --include "*20171201*" &amp; "%USERPROFILE%\Documents\GitHub\mrs-test-scripts\Headless Mode &amp; Sideloading\WalkAndUnGZ.bat" "%USERPROFILE%\AppData\Local\Temp\OnboardLogs"\RTDC4023\2017-12-01 &amp; aws s3 cp s3://rtdc.mdm.uploadarchive.raw/RTDC4023/ "%USERPROFILE%\AppData\Local\Temp\OnboardLogs"\RTDC4023\2017-12-02 --exclude "*" --recursive --include "*20171202*" &amp; "%USERPROFILE%\Documents\GitHub\mrs-test-scripts\Headless Mode &amp; Sideloading\WalkAndUnGZ.bat" "%USERPROFILE%\AppData\Local\Temp\OnboardLogs"\RTDC4023\2017-12-02</v>
      </c>
      <c r="AF135" s="235" t="str">
        <f t="shared" si="45"/>
        <v>"C:\Program Files (x86)\AstroGrep\AstroGrep.exe" /e /r /s /spath="%USERPROFILE%\AppData\Local\Temp\OnboardLogs" /stypes="app*4023*20171202*" /stext=" 03:.+((SYSTEM_STATE.+slice.+state.+changed )|(ment ac)|(multiple cpu faults)|(system.+state.+changed )|(\[timeout)|(PRM\|1\|D)|(kpr)|(kdp)|(train st.+moving)|(\|lc)|(penalty))"</v>
      </c>
      <c r="AG135" s="245" t="str">
        <f t="shared" si="46"/>
        <v>EC</v>
      </c>
      <c r="AH135" s="237" t="str">
        <f t="shared" si="47"/>
        <v>"%USERPROFILE%\Documents\GitHub\eaglep3\Utilities\RefineRTDCRunTimes.py" --tripid 220-01 --locoid 4023 --swversion DE.1.0.9.0 --startMP 204:232938 --initTime 2017-12-01T19:07:34 --startdatetime 2017-12-01T19:27:15 --delay 68 --endMP 204:254 --enddatetime 2017-12-01T20:03:34 --enforcementcount 0 &gt;&gt;%USERPROFILE%\Documents\GitHub\eaglep3-reporting\EC\2017-12-01-refined-times.txt</v>
      </c>
      <c r="AI135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{"issue":{"subject":"","project_id":79,"tracker_id":40,"status_id":1,"priority_id":2,"assigned_to_id":338,"start_date":"2017-12-01","description":"","custom_fields":[{"id":1,"name":"Subdivision","value":"EC"},{"id":4,"name":"Milepost","value":"0.0254"},{"id":17,"name":"Train ID","value":"220-01"},{"id":16,"name":"Locomotive ID","value":"4023"},{"id":130,"name":"Impact","value":""},{"id":150,"name":"Time of Event (Mountain Time)","value":"20:03:34"},{"id":151,"name":"Denver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4"/>
      <c r="AK135" s="232"/>
      <c r="AL135" s="232"/>
      <c r="AM135" s="241" t="str">
        <f t="shared" si="49"/>
        <v>start /low /b %USERPROFILE%\Documents\GitHub\eaglep3\Utilities\DownloadLogsFromS3.py --loco 4023 --day 2017-12-01</v>
      </c>
      <c r="AN135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03:03:34"},{"id":29,"name":"Sharepoint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1" t="str">
        <f t="shared" si="51"/>
        <v>https://d0f6bd738d7f1b3e5a7ca70fe4ff75f0.us-east-1.aws.found.io/app/kibana#/discover/Steve-Slow-Train-Analysis-(2080s-and-2083s)?_g=(refreshInterval:(display:Off,pause:!f,section:0,value:0),time:(from:'2017-12-01T18:07:34-0700',mode:absolute,to:'2017-12-01T21:03:34-0700'))&amp;_a=(columns:!('Message%20ID',Summary),filters:!(),index:'emp_*',interval:auto,query:(query_string:(analyze_wildcard:!t,query:'%22rtdc.l.rtdc.4023%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230" t="s">
        <v>920</v>
      </c>
      <c r="B136" s="226">
        <v>4006</v>
      </c>
      <c r="C136" s="228" t="s">
        <v>192</v>
      </c>
      <c r="D136" s="228" t="s">
        <v>617</v>
      </c>
      <c r="E136" s="227">
        <v>43070.788726851853</v>
      </c>
      <c r="F136" s="227">
        <v>43070.791828703703</v>
      </c>
      <c r="G136" s="226">
        <v>64</v>
      </c>
      <c r="H136" s="228" t="s">
        <v>471</v>
      </c>
      <c r="I136" s="227">
        <v>43070.816689814812</v>
      </c>
      <c r="J136" s="226">
        <v>0</v>
      </c>
      <c r="K136" s="238" t="str">
        <f t="shared" si="37"/>
        <v>4005/4006</v>
      </c>
      <c r="L136" s="246" t="str">
        <f>VLOOKUP(A136,'Trips&amp;Operators'!$C$1:$G$99911,5,FALSE)</f>
        <v>ZEWDU DEREJE</v>
      </c>
      <c r="M136" s="225">
        <f t="shared" si="58"/>
        <v>2.4861111109203193E-2</v>
      </c>
      <c r="N136" s="226">
        <f t="shared" si="61"/>
        <v>35.799999997252598</v>
      </c>
      <c r="O136" s="226"/>
      <c r="P136" s="226"/>
      <c r="Q136" s="229"/>
      <c r="R136" s="243"/>
      <c r="S136" s="250">
        <f t="shared" si="62"/>
        <v>1</v>
      </c>
      <c r="T136" s="243" t="str">
        <f t="shared" si="39"/>
        <v>NorthBound</v>
      </c>
      <c r="U136" s="24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9" t="str">
        <f t="shared" si="40"/>
        <v>https://d0f6bd738d7f1b3e5a7ca70fe4ff75f0.us-east-1.aws.found.io/app/kibana#/discover/Steve-Slow-Train-Analysis-(2080s-and-2083s)?_g=(refreshInterval:(display:Off,pause:!f,section:0,value:0),time:(from:'2017-12-01T17:55:46-0700',mode:absolute,to:'2017-12-01T20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6" s="248" t="str">
        <f>IF(AA136&lt;VLOOKUP(AG136,Variables!$AC$3:$AD$8,2,FALSE),"Y","N")</f>
        <v>N</v>
      </c>
      <c r="X136" s="248">
        <f t="shared" si="57"/>
        <v>1</v>
      </c>
      <c r="Y136" s="248">
        <f t="shared" si="59"/>
        <v>5.0900000000000001E-2</v>
      </c>
      <c r="Z136" s="248">
        <f t="shared" si="60"/>
        <v>23.324400000000001</v>
      </c>
      <c r="AA136" s="248">
        <f t="shared" si="42"/>
        <v>23.273500000000002</v>
      </c>
      <c r="AB136" s="234" t="e">
        <f>VLOOKUP(A136,Enforcements!$C$7:$K$9,8,0)</f>
        <v>#N/A</v>
      </c>
      <c r="AC136" s="233" t="e">
        <f>VLOOKUP(A136,Enforcements!$C$7:$E$9,3,0)</f>
        <v>#N/A</v>
      </c>
      <c r="AD136" s="244">
        <f t="shared" si="43"/>
        <v>221</v>
      </c>
      <c r="AE136" s="236" t="str">
        <f t="shared" si="44"/>
        <v>aws s3 cp s3://rtdc.mdm.uploadarchive.raw/RTDC4006/ "%USERPROFILE%\AppData\Local\Temp\OnboardLogs"\RTDC4006\2017-12-01 --exclude "*" --recursive --include "*20171201*" &amp; "%USERPROFILE%\Documents\GitHub\mrs-test-scripts\Headless Mode &amp; Sideloading\WalkAndUnGZ.bat" "%USERPROFILE%\AppData\Local\Temp\OnboardLogs"\RTDC4006\2017-12-01 &amp; aws s3 cp s3://rtdc.mdm.uploadarchive.raw/RTDC4006/ "%USERPROFILE%\AppData\Local\Temp\OnboardLogs"\RTDC4006\2017-12-02 --exclude "*" --recursive --include "*20171202*" &amp; "%USERPROFILE%\Documents\GitHub\mrs-test-scripts\Headless Mode &amp; Sideloading\WalkAndUnGZ.bat" "%USERPROFILE%\AppData\Local\Temp\OnboardLogs"\RTDC4006\2017-12-02</v>
      </c>
      <c r="AF136" s="235" t="str">
        <f t="shared" si="45"/>
        <v>"C:\Program Files (x86)\AstroGrep\AstroGrep.exe" /e /r /s /spath="%USERPROFILE%\AppData\Local\Temp\OnboardLogs" /stypes="app*4006*20171202*" /stext=" 02:.+((SYSTEM_STATE.+slice.+state.+changed )|(ment ac)|(multiple cpu faults)|(system.+state.+changed )|(\[timeout)|(PRM\|1\|D)|(kpr)|(kdp)|(train st.+moving)|(\|lc)|(penalty))"</v>
      </c>
      <c r="AG136" s="245" t="str">
        <f t="shared" si="46"/>
        <v>EC</v>
      </c>
      <c r="AH136" s="237" t="str">
        <f t="shared" si="47"/>
        <v>"%USERPROFILE%\Documents\GitHub\eaglep3\Utilities\RefineRTDCRunTimes.py" --tripid 221-01 --locoid 4006 --swversion DE.1.0.9.0 --startMP 204:509 --initTime 2017-12-01T18:55:46 --startdatetime 2017-12-01T19:00:14 --delay 64 --endMP 204:233244 --enddatetime 2017-12-01T19:36:02 --enforcementcount 0 &gt;&gt;%USERPROFILE%\Documents\GitHub\eaglep3-reporting\EC\2017-12-01-refined-times.txt</v>
      </c>
      <c r="AI136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{"issue":{"subject":"","project_id":79,"tracker_id":40,"status_id":1,"priority_id":2,"assigned_to_id":338,"start_date":"2017-12-01","description":"","custom_fields":[{"id":1,"name":"Subdivision","value":"EC"},{"id":4,"name":"Milepost","value":"23.3244"},{"id":17,"name":"Train ID","value":"221-01"},{"id":16,"name":"Locomotive ID","value":"4006"},{"id":130,"name":"Impact","value":""},{"id":150,"name":"Time of Event (Mountain Time)","value":"19:36:02"},{"id":151,"name":"Denver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4"/>
      <c r="AK136" s="232"/>
      <c r="AL136" s="232"/>
      <c r="AM136" s="241" t="str">
        <f t="shared" si="49"/>
        <v>start /low /b %USERPROFILE%\Documents\GitHub\eaglep3\Utilities\DownloadLogsFromS3.py --loco 4006 --day 2017-12-01</v>
      </c>
      <c r="AN136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02:36:02"},{"id":29,"name":"Sharepoint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1" t="str">
        <f t="shared" si="51"/>
        <v>https://d0f6bd738d7f1b3e5a7ca70fe4ff75f0.us-east-1.aws.found.io/app/kibana#/discover/Steve-Slow-Train-Analysis-(2080s-and-2083s)?_g=(refreshInterval:(display:Off,pause:!f,section:0,value:0),time:(from:'2017-12-01T17:55:46-0700',mode:absolute,to:'2017-12-01T20:36:02-0700'))&amp;_a=(columns:!('Message%20ID',Summary),filters:!(),index:'emp_*',interval:auto,query:(query_string:(analyze_wildcard:!t,query:'%22rtdc.l.rtdc.4006%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24" customFormat="1" x14ac:dyDescent="0.25">
      <c r="A137" s="230" t="s">
        <v>928</v>
      </c>
      <c r="B137" s="226">
        <v>4005</v>
      </c>
      <c r="C137" s="228" t="s">
        <v>192</v>
      </c>
      <c r="D137" s="228" t="s">
        <v>568</v>
      </c>
      <c r="E137" s="227">
        <v>43070.82712962963</v>
      </c>
      <c r="F137" s="227">
        <v>43070.831412037034</v>
      </c>
      <c r="G137" s="226">
        <v>98</v>
      </c>
      <c r="H137" s="228" t="s">
        <v>420</v>
      </c>
      <c r="I137" s="227">
        <v>43070.86078703704</v>
      </c>
      <c r="J137" s="226">
        <v>0</v>
      </c>
      <c r="K137" s="238" t="str">
        <f t="shared" si="37"/>
        <v>4005/4006</v>
      </c>
      <c r="L137" s="246" t="str">
        <f>VLOOKUP(A137,'Trips&amp;Operators'!$C$1:$G$99911,5,FALSE)</f>
        <v>ZEWDU DEREJE</v>
      </c>
      <c r="M137" s="225">
        <f t="shared" si="58"/>
        <v>2.9375000005529728E-2</v>
      </c>
      <c r="N137" s="226">
        <f t="shared" si="61"/>
        <v>42.300000007962808</v>
      </c>
      <c r="O137" s="226"/>
      <c r="P137" s="226"/>
      <c r="Q137" s="229"/>
      <c r="R137" s="243"/>
      <c r="S137" s="250">
        <f t="shared" si="62"/>
        <v>1</v>
      </c>
      <c r="T137" s="243" t="str">
        <f t="shared" si="39"/>
        <v>Southbound</v>
      </c>
      <c r="U137" s="24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9" t="str">
        <f t="shared" si="40"/>
        <v>https://d0f6bd738d7f1b3e5a7ca70fe4ff75f0.us-east-1.aws.found.io/app/kibana#/discover/Steve-Slow-Train-Analysis-(2080s-and-2083s)?_g=(refreshInterval:(display:Off,pause:!f,section:0,value:0),time:(from:'2017-12-01T18:51:04-0700',mode:absolute,to:'2017-12-01T21:39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7" s="248" t="str">
        <f>IF(AA137&lt;VLOOKUP(AG137,Variables!$AC$3:$AD$8,2,FALSE),"Y","N")</f>
        <v>N</v>
      </c>
      <c r="X137" s="248">
        <f t="shared" si="57"/>
        <v>1</v>
      </c>
      <c r="Y137" s="248">
        <f t="shared" si="59"/>
        <v>23.293600000000001</v>
      </c>
      <c r="Z137" s="248">
        <f t="shared" si="60"/>
        <v>2.29E-2</v>
      </c>
      <c r="AA137" s="248">
        <f t="shared" si="42"/>
        <v>23.270700000000001</v>
      </c>
      <c r="AB137" s="234" t="e">
        <f>VLOOKUP(A137,Enforcements!$C$7:$K$9,8,0)</f>
        <v>#N/A</v>
      </c>
      <c r="AC137" s="233" t="e">
        <f>VLOOKUP(A137,Enforcements!$C$7:$E$9,3,0)</f>
        <v>#N/A</v>
      </c>
      <c r="AD137" s="244">
        <f t="shared" si="43"/>
        <v>222</v>
      </c>
      <c r="AE137" s="236" t="str">
        <f t="shared" si="44"/>
        <v>aws s3 cp s3://rtdc.mdm.uploadarchive.raw/RTDC4005/ "%USERPROFILE%\AppData\Local\Temp\OnboardLogs"\RTDC4005\2017-12-01 --exclude "*" --recursive --include "*20171201*" &amp; "%USERPROFILE%\Documents\GitHub\mrs-test-scripts\Headless Mode &amp; Sideloading\WalkAndUnGZ.bat" "%USERPROFILE%\AppData\Local\Temp\OnboardLogs"\RTDC4005\2017-12-01 &amp; aws s3 cp s3://rtdc.mdm.uploadarchive.raw/RTDC4005/ "%USERPROFILE%\AppData\Local\Temp\OnboardLogs"\RTDC4005\2017-12-02 --exclude "*" --recursive --include "*20171202*" &amp; "%USERPROFILE%\Documents\GitHub\mrs-test-scripts\Headless Mode &amp; Sideloading\WalkAndUnGZ.bat" "%USERPROFILE%\AppData\Local\Temp\OnboardLogs"\RTDC4005\2017-12-02</v>
      </c>
      <c r="AF137" s="235" t="str">
        <f t="shared" si="45"/>
        <v>"C:\Program Files (x86)\AstroGrep\AstroGrep.exe" /e /r /s /spath="%USERPROFILE%\AppData\Local\Temp\OnboardLogs" /stypes="app*4005*20171202*" /stext=" 03:.+((SYSTEM_STATE.+slice.+state.+changed )|(ment ac)|(multiple cpu faults)|(system.+state.+changed )|(\[timeout)|(PRM\|1\|D)|(kpr)|(kdp)|(train st.+moving)|(\|lc)|(penalty))"</v>
      </c>
      <c r="AG137" s="245" t="str">
        <f t="shared" si="46"/>
        <v>EC</v>
      </c>
      <c r="AH137" s="237" t="str">
        <f t="shared" si="47"/>
        <v>"%USERPROFILE%\Documents\GitHub\eaglep3\Utilities\RefineRTDCRunTimes.py" --tripid 222-01 --locoid 4005 --swversion DE.1.0.9.0 --startMP 204:232936 --initTime 2017-12-01T19:51:04 --startdatetime 2017-12-01T19:57:14 --delay 98 --endMP 204:229 --enddatetime 2017-12-01T20:39:32 --enforcementcount 0 &gt;&gt;%USERPROFILE%\Documents\GitHub\eaglep3-reporting\EC\2017-12-01-refined-times.txt</v>
      </c>
      <c r="AI137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{"issue":{"subject":"","project_id":79,"tracker_id":40,"status_id":1,"priority_id":2,"assigned_to_id":338,"start_date":"2017-12-01","description":"","custom_fields":[{"id":1,"name":"Subdivision","value":"EC"},{"id":4,"name":"Milepost","value":"0.0229"},{"id":17,"name":"Train ID","value":"222-01"},{"id":16,"name":"Locomotive ID","value":"4005"},{"id":130,"name":"Impact","value":""},{"id":150,"name":"Time of Event (Mountain Time)","value":"20:39:32"},{"id":151,"name":"Denver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232"/>
      <c r="AL137" s="232"/>
      <c r="AM137" s="241" t="str">
        <f t="shared" si="49"/>
        <v>start /low /b %USERPROFILE%\Documents\GitHub\eaglep3\Utilities\DownloadLogsFromS3.py --loco 4005 --day 2017-12-01</v>
      </c>
      <c r="AN137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03:39:32"},{"id":29,"name":"Sharepoint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1" t="str">
        <f t="shared" si="51"/>
        <v>https://d0f6bd738d7f1b3e5a7ca70fe4ff75f0.us-east-1.aws.found.io/app/kibana#/discover/Steve-Slow-Train-Analysis-(2080s-and-2083s)?_g=(refreshInterval:(display:Off,pause:!f,section:0,value:0),time:(from:'2017-12-01T18:51:04-0700',mode:absolute,to:'2017-12-01T21:39:32-0700'))&amp;_a=(columns:!('Message%20ID',Summary),filters:!(),index:'emp_*',interval:auto,query:(query_string:(analyze_wildcard:!t,query:'%22rtdc.l.rtdc.4005%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24" customFormat="1" x14ac:dyDescent="0.25">
      <c r="A138" s="230" t="s">
        <v>926</v>
      </c>
      <c r="B138" s="226">
        <v>4002</v>
      </c>
      <c r="C138" s="228" t="s">
        <v>192</v>
      </c>
      <c r="D138" s="228" t="s">
        <v>617</v>
      </c>
      <c r="E138" s="227">
        <v>43070.81046296296</v>
      </c>
      <c r="F138" s="227">
        <v>43070.812696759262</v>
      </c>
      <c r="G138" s="226">
        <v>54</v>
      </c>
      <c r="H138" s="228" t="s">
        <v>699</v>
      </c>
      <c r="I138" s="227">
        <v>43070.837916666664</v>
      </c>
      <c r="J138" s="226">
        <v>0</v>
      </c>
      <c r="K138" s="238" t="str">
        <f t="shared" si="37"/>
        <v>4001/4002</v>
      </c>
      <c r="L138" s="246" t="str">
        <f>VLOOKUP(A138,'Trips&amp;Operators'!$C$1:$G$99911,5,FALSE)</f>
        <v>DAVIDSON DAVID</v>
      </c>
      <c r="M138" s="225">
        <f t="shared" si="58"/>
        <v>2.5219907402060926E-2</v>
      </c>
      <c r="N138" s="226">
        <f t="shared" si="61"/>
        <v>36.316666658967733</v>
      </c>
      <c r="O138" s="226"/>
      <c r="P138" s="226"/>
      <c r="Q138" s="229"/>
      <c r="R138" s="243"/>
      <c r="S138" s="250">
        <f t="shared" si="62"/>
        <v>1</v>
      </c>
      <c r="T138" s="243" t="str">
        <f t="shared" si="39"/>
        <v>NorthBound</v>
      </c>
      <c r="U138" s="24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9" t="str">
        <f t="shared" si="40"/>
        <v>https://d0f6bd738d7f1b3e5a7ca70fe4ff75f0.us-east-1.aws.found.io/app/kibana#/discover/Steve-Slow-Train-Analysis-(2080s-and-2083s)?_g=(refreshInterval:(display:Off,pause:!f,section:0,value:0),time:(from:'2017-12-01T18:27:04-0700',mode:absolute,to:'2017-12-01T21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8" s="248" t="str">
        <f>IF(AA138&lt;VLOOKUP(AG138,Variables!$AC$3:$AD$8,2,FALSE),"Y","N")</f>
        <v>N</v>
      </c>
      <c r="X138" s="248">
        <f t="shared" si="57"/>
        <v>1</v>
      </c>
      <c r="Y138" s="248">
        <f t="shared" si="59"/>
        <v>5.0900000000000001E-2</v>
      </c>
      <c r="Z138" s="248">
        <f t="shared" si="60"/>
        <v>23.322700000000001</v>
      </c>
      <c r="AA138" s="248">
        <f t="shared" si="42"/>
        <v>23.271800000000002</v>
      </c>
      <c r="AB138" s="234" t="e">
        <f>VLOOKUP(A138,Enforcements!$C$7:$K$9,8,0)</f>
        <v>#N/A</v>
      </c>
      <c r="AC138" s="233" t="e">
        <f>VLOOKUP(A138,Enforcements!$C$7:$E$9,3,0)</f>
        <v>#N/A</v>
      </c>
      <c r="AD138" s="244">
        <f t="shared" si="43"/>
        <v>223</v>
      </c>
      <c r="AE138" s="236" t="str">
        <f t="shared" si="44"/>
        <v>aws s3 cp s3://rtdc.mdm.uploadarchive.raw/RTDC4002/ "%USERPROFILE%\AppData\Local\Temp\OnboardLogs"\RTDC4002\2017-12-01 --exclude "*" --recursive --include "*20171201*" &amp; "%USERPROFILE%\Documents\GitHub\mrs-test-scripts\Headless Mode &amp; Sideloading\WalkAndUnGZ.bat" "%USERPROFILE%\AppData\Local\Temp\OnboardLogs"\RTDC4002\2017-12-01 &amp; aws s3 cp s3://rtdc.mdm.uploadarchive.raw/RTDC4002/ "%USERPROFILE%\AppData\Local\Temp\OnboardLogs"\RTDC4002\2017-12-02 --exclude "*" --recursive --include "*20171202*" &amp; "%USERPROFILE%\Documents\GitHub\mrs-test-scripts\Headless Mode &amp; Sideloading\WalkAndUnGZ.bat" "%USERPROFILE%\AppData\Local\Temp\OnboardLogs"\RTDC4002\2017-12-02</v>
      </c>
      <c r="AF138" s="235" t="str">
        <f t="shared" si="45"/>
        <v>"C:\Program Files (x86)\AstroGrep\AstroGrep.exe" /e /r /s /spath="%USERPROFILE%\AppData\Local\Temp\OnboardLogs" /stypes="app*4002*20171202*" /stext=" 03:.+((SYSTEM_STATE.+slice.+state.+changed )|(ment ac)|(multiple cpu faults)|(system.+state.+changed )|(\[timeout)|(PRM\|1\|D)|(kpr)|(kdp)|(train st.+moving)|(\|lc)|(penalty))"</v>
      </c>
      <c r="AG138" s="245" t="str">
        <f t="shared" si="46"/>
        <v>EC</v>
      </c>
      <c r="AH138" s="237" t="str">
        <f t="shared" si="47"/>
        <v>"%USERPROFILE%\Documents\GitHub\eaglep3\Utilities\RefineRTDCRunTimes.py" --tripid 223-01 --locoid 4002 --swversion DE.1.0.9.0 --startMP 204:509 --initTime 2017-12-01T19:27:04 --startdatetime 2017-12-01T19:30:17 --delay 54 --endMP 204:233227 --enddatetime 2017-12-01T20:06:36 --enforcementcount 0 &gt;&gt;%USERPROFILE%\Documents\GitHub\eaglep3-reporting\EC\2017-12-01-refined-times.txt</v>
      </c>
      <c r="AI138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{"issue":{"subject":"","project_id":79,"tracker_id":40,"status_id":1,"priority_id":2,"assigned_to_id":338,"start_date":"2017-12-01","description":"","custom_fields":[{"id":1,"name":"Subdivision","value":"EC"},{"id":4,"name":"Milepost","value":"23.3227"},{"id":17,"name":"Train ID","value":"223-01"},{"id":16,"name":"Locomotive ID","value":"4002"},{"id":130,"name":"Impact","value":""},{"id":150,"name":"Time of Event (Mountain Time)","value":"20:06:36"},{"id":151,"name":"Denver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232"/>
      <c r="AL138" s="232"/>
      <c r="AM138" s="241" t="str">
        <f t="shared" si="49"/>
        <v>start /low /b %USERPROFILE%\Documents\GitHub\eaglep3\Utilities\DownloadLogsFromS3.py --loco 4002 --day 2017-12-01</v>
      </c>
      <c r="AN138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03:06:36"},{"id":29,"name":"Sharepoint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1" t="str">
        <f t="shared" si="51"/>
        <v>https://d0f6bd738d7f1b3e5a7ca70fe4ff75f0.us-east-1.aws.found.io/app/kibana#/discover/Steve-Slow-Train-Analysis-(2080s-and-2083s)?_g=(refreshInterval:(display:Off,pause:!f,section:0,value:0),time:(from:'2017-12-01T18:27:04-0700',mode:absolute,to:'2017-12-01T21:06:36-0700'))&amp;_a=(columns:!('Message%20ID',Summary),filters:!(),index:'emp_*',interval:auto,query:(query_string:(analyze_wildcard:!t,query:'%22rtdc.l.rtdc.4002%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24" customFormat="1" x14ac:dyDescent="0.25">
      <c r="A139" s="230" t="s">
        <v>932</v>
      </c>
      <c r="B139" s="226">
        <v>4001</v>
      </c>
      <c r="C139" s="228" t="s">
        <v>192</v>
      </c>
      <c r="D139" s="228" t="s">
        <v>638</v>
      </c>
      <c r="E139" s="227">
        <v>43070.84033564815</v>
      </c>
      <c r="F139" s="227">
        <v>43070.852326388886</v>
      </c>
      <c r="G139" s="226">
        <v>51</v>
      </c>
      <c r="H139" s="228" t="s">
        <v>696</v>
      </c>
      <c r="I139" s="227">
        <v>43070.880127314813</v>
      </c>
      <c r="J139" s="226">
        <v>0</v>
      </c>
      <c r="K139" s="238" t="str">
        <f t="shared" si="37"/>
        <v>4001/4002</v>
      </c>
      <c r="L139" s="246" t="str">
        <f>VLOOKUP(A139,'Trips&amp;Operators'!$C$1:$G$99911,5,FALSE)</f>
        <v>DAVIDSON DAVID</v>
      </c>
      <c r="M139" s="225">
        <f t="shared" si="58"/>
        <v>2.7800925927294884E-2</v>
      </c>
      <c r="N139" s="226">
        <f t="shared" si="61"/>
        <v>40.033333335304633</v>
      </c>
      <c r="O139" s="226"/>
      <c r="P139" s="226"/>
      <c r="Q139" s="229"/>
      <c r="R139" s="243"/>
      <c r="S139" s="250">
        <f t="shared" si="62"/>
        <v>1</v>
      </c>
      <c r="T139" s="243" t="str">
        <f t="shared" si="39"/>
        <v>Southbound</v>
      </c>
      <c r="U139" s="24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9" t="str">
        <f t="shared" si="40"/>
        <v>https://d0f6bd738d7f1b3e5a7ca70fe4ff75f0.us-east-1.aws.found.io/app/kibana#/discover/Steve-Slow-Train-Analysis-(2080s-and-2083s)?_g=(refreshInterval:(display:Off,pause:!f,section:0,value:0),time:(from:'2017-12-01T19:10:05-0700',mode:absolute,to:'2017-12-01T22:07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9" s="248" t="str">
        <f>IF(AA139&lt;VLOOKUP(AG139,Variables!$AC$3:$AD$8,2,FALSE),"Y","N")</f>
        <v>N</v>
      </c>
      <c r="X139" s="248">
        <f t="shared" si="57"/>
        <v>1</v>
      </c>
      <c r="Y139" s="248">
        <f t="shared" si="59"/>
        <v>23.292300000000001</v>
      </c>
      <c r="Z139" s="248">
        <f t="shared" si="60"/>
        <v>2.1999999999999999E-2</v>
      </c>
      <c r="AA139" s="248">
        <f t="shared" si="42"/>
        <v>23.270300000000002</v>
      </c>
      <c r="AB139" s="234" t="e">
        <f>VLOOKUP(A139,Enforcements!$C$7:$K$9,8,0)</f>
        <v>#N/A</v>
      </c>
      <c r="AC139" s="233" t="e">
        <f>VLOOKUP(A139,Enforcements!$C$7:$E$9,3,0)</f>
        <v>#N/A</v>
      </c>
      <c r="AD139" s="244">
        <f t="shared" si="43"/>
        <v>224</v>
      </c>
      <c r="AE139" s="236" t="str">
        <f t="shared" si="44"/>
        <v>aws s3 cp s3://rtdc.mdm.uploadarchive.raw/RTDC4001/ "%USERPROFILE%\AppData\Local\Temp\OnboardLogs"\RTDC4001\2017-12-01 --exclude "*" --recursive --include "*20171201*" &amp; "%USERPROFILE%\Documents\GitHub\mrs-test-scripts\Headless Mode &amp; Sideloading\WalkAndUnGZ.bat" "%USERPROFILE%\AppData\Local\Temp\OnboardLogs"\RTDC4001\2017-12-01 &amp; aws s3 cp s3://rtdc.mdm.uploadarchive.raw/RTDC4001/ "%USERPROFILE%\AppData\Local\Temp\OnboardLogs"\RTDC4001\2017-12-02 --exclude "*" --recursive --include "*20171202*" &amp; "%USERPROFILE%\Documents\GitHub\mrs-test-scripts\Headless Mode &amp; Sideloading\WalkAndUnGZ.bat" "%USERPROFILE%\AppData\Local\Temp\OnboardLogs"\RTDC4001\2017-12-02</v>
      </c>
      <c r="AF139" s="235" t="str">
        <f t="shared" si="45"/>
        <v>"C:\Program Files (x86)\AstroGrep\AstroGrep.exe" /e /r /s /spath="%USERPROFILE%\AppData\Local\Temp\OnboardLogs" /stypes="app*4001*20171202*" /stext=" 04:.+((SYSTEM_STATE.+slice.+state.+changed )|(ment ac)|(multiple cpu faults)|(system.+state.+changed )|(\[timeout)|(PRM\|1\|D)|(kpr)|(kdp)|(train st.+moving)|(\|lc)|(penalty))"</v>
      </c>
      <c r="AG139" s="245" t="str">
        <f t="shared" si="46"/>
        <v>EC</v>
      </c>
      <c r="AH139" s="237" t="str">
        <f t="shared" si="47"/>
        <v>"%USERPROFILE%\Documents\GitHub\eaglep3\Utilities\RefineRTDCRunTimes.py" --tripid 224-01 --locoid 4001 --swversion DE.1.0.9.0 --startMP 204:232923 --initTime 2017-12-01T20:10:05 --startdatetime 2017-12-01T20:27:21 --delay 51 --endMP 204:220 --enddatetime 2017-12-01T21:07:23 --enforcementcount 0 &gt;&gt;%USERPROFILE%\Documents\GitHub\eaglep3-reporting\EC\2017-12-01-refined-times.txt</v>
      </c>
      <c r="AI139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{"issue":{"subject":"","project_id":79,"tracker_id":40,"status_id":1,"priority_id":2,"assigned_to_id":338,"start_date":"2017-12-01","description":"","custom_fields":[{"id":1,"name":"Subdivision","value":"EC"},{"id":4,"name":"Milepost","value":"0.022"},{"id":17,"name":"Train ID","value":"224-01"},{"id":16,"name":"Locomotive ID","value":"4001"},{"id":130,"name":"Impact","value":""},{"id":150,"name":"Time of Event (Mountain Time)","value":"21:07:23"},{"id":151,"name":"Denver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2"/>
      <c r="AL139" s="232"/>
      <c r="AM139" s="241" t="str">
        <f t="shared" si="49"/>
        <v>start /low /b %USERPROFILE%\Documents\GitHub\eaglep3\Utilities\DownloadLogsFromS3.py --loco 4001 --day 2017-12-01</v>
      </c>
      <c r="AN139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04:07:23"},{"id":29,"name":"Sharepoint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1" t="str">
        <f t="shared" si="51"/>
        <v>https://d0f6bd738d7f1b3e5a7ca70fe4ff75f0.us-east-1.aws.found.io/app/kibana#/discover/Steve-Slow-Train-Analysis-(2080s-and-2083s)?_g=(refreshInterval:(display:Off,pause:!f,section:0,value:0),time:(from:'2017-12-01T19:10:05-0700',mode:absolute,to:'2017-12-01T22:07:23-0700'))&amp;_a=(columns:!('Message%20ID',Summary),filters:!(),index:'emp_*',interval:auto,query:(query_string:(analyze_wildcard:!t,query:'%22rtdc.l.rtdc.4001%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230" t="s">
        <v>929</v>
      </c>
      <c r="B140" s="226">
        <v>4040</v>
      </c>
      <c r="C140" s="228" t="s">
        <v>192</v>
      </c>
      <c r="D140" s="228" t="s">
        <v>724</v>
      </c>
      <c r="E140" s="227">
        <v>43070.82917824074</v>
      </c>
      <c r="F140" s="227">
        <v>43070.833553240744</v>
      </c>
      <c r="G140" s="226">
        <v>76</v>
      </c>
      <c r="H140" s="228" t="s">
        <v>1017</v>
      </c>
      <c r="I140" s="227">
        <v>43070.860763888886</v>
      </c>
      <c r="J140" s="226">
        <v>0</v>
      </c>
      <c r="K140" s="238" t="str">
        <f t="shared" si="37"/>
        <v>4039/4040</v>
      </c>
      <c r="L140" s="246" t="str">
        <f>VLOOKUP(A140,'Trips&amp;Operators'!$C$1:$G$99911,5,FALSE)</f>
        <v>NICHOLSON WESLEY</v>
      </c>
      <c r="M140" s="225">
        <f t="shared" si="58"/>
        <v>2.7210648142499849E-2</v>
      </c>
      <c r="N140" s="226">
        <f t="shared" si="61"/>
        <v>39.183333325199783</v>
      </c>
      <c r="O140" s="226"/>
      <c r="P140" s="226"/>
      <c r="Q140" s="229"/>
      <c r="R140" s="243"/>
      <c r="S140" s="250">
        <f t="shared" si="62"/>
        <v>1</v>
      </c>
      <c r="T140" s="243" t="str">
        <f t="shared" si="39"/>
        <v>NorthBound</v>
      </c>
      <c r="U140" s="24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9" t="str">
        <f t="shared" si="40"/>
        <v>https://d0f6bd738d7f1b3e5a7ca70fe4ff75f0.us-east-1.aws.found.io/app/kibana#/discover/Steve-Slow-Train-Analysis-(2080s-and-2083s)?_g=(refreshInterval:(display:Off,pause:!f,section:0,value:0),time:(from:'2017-12-01T18:54:01-0700',mode:absolute,to:'2017-12-01T21:39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0" s="248" t="str">
        <f>IF(AA140&lt;VLOOKUP(AG140,Variables!$AC$3:$AD$8,2,FALSE),"Y","N")</f>
        <v>N</v>
      </c>
      <c r="X140" s="248">
        <f t="shared" si="57"/>
        <v>1</v>
      </c>
      <c r="Y140" s="248">
        <f t="shared" si="59"/>
        <v>5.6800000000000003E-2</v>
      </c>
      <c r="Z140" s="248">
        <f t="shared" si="60"/>
        <v>23.3187</v>
      </c>
      <c r="AA140" s="248">
        <f t="shared" si="42"/>
        <v>23.261900000000001</v>
      </c>
      <c r="AB140" s="234" t="e">
        <f>VLOOKUP(A140,Enforcements!$C$7:$K$9,8,0)</f>
        <v>#N/A</v>
      </c>
      <c r="AC140" s="233" t="e">
        <f>VLOOKUP(A140,Enforcements!$C$7:$E$9,3,0)</f>
        <v>#N/A</v>
      </c>
      <c r="AD140" s="244">
        <f t="shared" si="43"/>
        <v>225</v>
      </c>
      <c r="AE140" s="236" t="str">
        <f t="shared" si="44"/>
        <v>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 &amp; aws s3 cp s3://rtdc.mdm.uploadarchive.raw/RTDC4040/ "%USERPROFILE%\AppData\Local\Temp\OnboardLogs"\RTDC4040\2017-12-02 --exclude "*" --recursive --include "*20171202*" &amp; "%USERPROFILE%\Documents\GitHub\mrs-test-scripts\Headless Mode &amp; Sideloading\WalkAndUnGZ.bat" "%USERPROFILE%\AppData\Local\Temp\OnboardLogs"\RTDC4040\2017-12-02</v>
      </c>
      <c r="AF140" s="235" t="str">
        <f t="shared" si="45"/>
        <v>"C:\Program Files (x86)\AstroGrep\AstroGrep.exe" /e /r /s /spath="%USERPROFILE%\AppData\Local\Temp\OnboardLogs" /stypes="app*4040*20171202*" /stext=" 03:.+((SYSTEM_STATE.+slice.+state.+changed )|(ment ac)|(multiple cpu faults)|(system.+state.+changed )|(\[timeout)|(PRM\|1\|D)|(kpr)|(kdp)|(train st.+moving)|(\|lc)|(penalty))"</v>
      </c>
      <c r="AG140" s="245" t="str">
        <f t="shared" si="46"/>
        <v>EC</v>
      </c>
      <c r="AH140" s="237" t="str">
        <f t="shared" si="47"/>
        <v>"%USERPROFILE%\Documents\GitHub\eaglep3\Utilities\RefineRTDCRunTimes.py" --tripid 225-01 --locoid 4040 --swversion DE.1.0.9.0 --startMP 204:568 --initTime 2017-12-01T19:54:01 --startdatetime 2017-12-01T20:00:19 --delay 76 --endMP 204:233187 --enddatetime 2017-12-01T20:39:30 --enforcementcount 0 &gt;&gt;%USERPROFILE%\Documents\GitHub\eaglep3-reporting\EC\2017-12-01-refined-times.txt</v>
      </c>
      <c r="AI140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{"issue":{"subject":"","project_id":79,"tracker_id":40,"status_id":1,"priority_id":2,"assigned_to_id":338,"start_date":"2017-12-01","description":"","custom_fields":[{"id":1,"name":"Subdivision","value":"EC"},{"id":4,"name":"Milepost","value":"23.3187"},{"id":17,"name":"Train ID","value":"225-01"},{"id":16,"name":"Locomotive ID","value":"4040"},{"id":130,"name":"Impact","value":""},{"id":150,"name":"Time of Event (Mountain Time)","value":"20:39:30"},{"id":151,"name":"Denver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4"/>
      <c r="AK140" s="232"/>
      <c r="AL140" s="232"/>
      <c r="AM140" s="241" t="str">
        <f t="shared" si="49"/>
        <v>start /low /b %USERPROFILE%\Documents\GitHub\eaglep3\Utilities\DownloadLogsFromS3.py --loco 4040 --day 2017-12-01</v>
      </c>
      <c r="AN140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03:39:30"},{"id":29,"name":"Sharepoint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1" t="str">
        <f t="shared" si="51"/>
        <v>https://d0f6bd738d7f1b3e5a7ca70fe4ff75f0.us-east-1.aws.found.io/app/kibana#/discover/Steve-Slow-Train-Analysis-(2080s-and-2083s)?_g=(refreshInterval:(display:Off,pause:!f,section:0,value:0),time:(from:'2017-12-01T18:54:01-0700',mode:absolute,to:'2017-12-01T21:39:30-0700'))&amp;_a=(columns:!('Message%20ID',Summary),filters:!(),index:'emp_*',interval:auto,query:(query_string:(analyze_wildcard:!t,query:'%22rtdc.l.rtdc.4040%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230" t="s">
        <v>934</v>
      </c>
      <c r="B141" s="226">
        <v>4039</v>
      </c>
      <c r="C141" s="228" t="s">
        <v>192</v>
      </c>
      <c r="D141" s="228" t="s">
        <v>664</v>
      </c>
      <c r="E141" s="227">
        <v>43070.863854166666</v>
      </c>
      <c r="F141" s="227">
        <v>43070.873136574075</v>
      </c>
      <c r="G141" s="226">
        <v>108</v>
      </c>
      <c r="H141" s="228" t="s">
        <v>1018</v>
      </c>
      <c r="I141" s="227">
        <v>43070.901400462964</v>
      </c>
      <c r="J141" s="226">
        <v>0</v>
      </c>
      <c r="K141" s="238" t="str">
        <f t="shared" ref="K141:K204" si="63">IF(ISEVEN(B141),(B141-1)&amp;"/"&amp;B141,B141&amp;"/"&amp;(B141+1))</f>
        <v>4039/4040</v>
      </c>
      <c r="L141" s="246" t="str">
        <f>VLOOKUP(A141,'Trips&amp;Operators'!$C$1:$G$99911,5,FALSE)</f>
        <v>NICHOLSON WESLEY</v>
      </c>
      <c r="M141" s="225">
        <f t="shared" si="58"/>
        <v>2.8263888889341615E-2</v>
      </c>
      <c r="N141" s="226">
        <f t="shared" si="61"/>
        <v>40.700000000651926</v>
      </c>
      <c r="O141" s="226"/>
      <c r="P141" s="226"/>
      <c r="Q141" s="229"/>
      <c r="R141" s="243"/>
      <c r="S141" s="250">
        <f t="shared" si="62"/>
        <v>1</v>
      </c>
      <c r="T141" s="243" t="str">
        <f t="shared" ref="T141:T204" si="64">IF(ISEVEN(LEFT(AD141,4)),"Southbound","NorthBound")</f>
        <v>Southbound</v>
      </c>
      <c r="U141" s="24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9" t="str">
        <f t="shared" ref="V141:V204" si="6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-12-01T19:43:57-0700',mode:absolute,to:'2017-12-01T22:38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1" s="248" t="str">
        <f>IF(AA141&lt;VLOOKUP(AG141,Variables!$AC$3:$AD$8,2,FALSE),"Y","N")</f>
        <v>N</v>
      </c>
      <c r="X141" s="248">
        <f t="shared" ref="X141:X150" si="66">VALUE(LEFT(AD141,4))-VALUE(LEFT(AD140,4))</f>
        <v>1</v>
      </c>
      <c r="Y141" s="248">
        <f t="shared" si="59"/>
        <v>23.2864</v>
      </c>
      <c r="Z141" s="248">
        <f t="shared" si="60"/>
        <v>2.4E-2</v>
      </c>
      <c r="AA141" s="248">
        <f t="shared" ref="AA141:AA204" si="67">ABS(Z141-Y141)</f>
        <v>23.2624</v>
      </c>
      <c r="AB141" s="234" t="e">
        <f>VLOOKUP(A141,Enforcements!$C$7:$K$9,8,0)</f>
        <v>#N/A</v>
      </c>
      <c r="AC141" s="233" t="e">
        <f>VLOOKUP(A141,Enforcements!$C$7:$E$9,3,0)</f>
        <v>#N/A</v>
      </c>
      <c r="AD141" s="244">
        <f t="shared" ref="AD141:AD204" si="68">VALUE(LEFT(A141,LEN(A141)-3))</f>
        <v>226</v>
      </c>
      <c r="AE141" s="236" t="str">
        <f t="shared" ref="AE141:AE204" si="6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 &amp; aws s3 cp s3://rtdc.mdm.uploadarchive.raw/RTDC4039/ "%USERPROFILE%\AppData\Local\Temp\OnboardLogs"\RTDC4039\2017-12-02 --exclude "*" --recursive --include "*20171202*" &amp; "%USERPROFILE%\Documents\GitHub\mrs-test-scripts\Headless Mode &amp; Sideloading\WalkAndUnGZ.bat" "%USERPROFILE%\AppData\Local\Temp\OnboardLogs"\RTDC4039\2017-12-02</v>
      </c>
      <c r="AF141" s="235" t="str">
        <f t="shared" ref="AF141:AF204" si="7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/stypes="app*4039*20171202*" /stext=" 04:.+((SYSTEM_STATE.+slice.+state.+changed )|(ment ac)|(multiple cpu faults)|(system.+state.+changed )|(\[timeout)|(PRM\|1\|D)|(kpr)|(kdp)|(train st.+moving)|(\|lc)|(penalty))"</v>
      </c>
      <c r="AG141" s="245" t="str">
        <f t="shared" ref="AG141:AG204" si="71">DetSubdiv(A141)</f>
        <v>EC</v>
      </c>
      <c r="AH141" s="237" t="str">
        <f t="shared" si="47"/>
        <v>"%USERPROFILE%\Documents\GitHub\eaglep3\Utilities\RefineRTDCRunTimes.py" --tripid 226-01 --locoid 4039 --swversion DE.1.0.9.0 --startMP 204:232864 --initTime 2017-12-01T20:43:57 --startdatetime 2017-12-01T20:57:19 --delay 108 --endMP 204:240 --enddatetime 2017-12-01T21:38:01 --enforcementcount 0 &gt;&gt;%USERPROFILE%\Documents\GitHub\eaglep3-reporting\EC\2017-12-01-refined-times.txt</v>
      </c>
      <c r="AI141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{"issue":{"subject":"","project_id":79,"tracker_id":40,"status_id":1,"priority_id":2,"assigned_to_id":338,"start_date":"2017-12-01","description":"","custom_fields":[{"id":1,"name":"Subdivision","value":"EC"},{"id":4,"name":"Milepost","value":"0.024"},{"id":17,"name":"Train ID","value":"226-01"},{"id":16,"name":"Locomotive ID","value":"4039"},{"id":130,"name":"Impact","value":""},{"id":150,"name":"Time of Event (Mountain Time)","value":"21:38:01"},{"id":151,"name":"Denver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4"/>
      <c r="AK141" s="232"/>
      <c r="AL141" s="232"/>
      <c r="AM141" s="241" t="str">
        <f t="shared" si="49"/>
        <v>start /low /b %USERPROFILE%\Documents\GitHub\eaglep3\Utilities\DownloadLogsFromS3.py --loco 4039 --day 2017-12-01</v>
      </c>
      <c r="AN141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04:38:01"},{"id":29,"name":"Sharepoint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1" t="str">
        <f t="shared" si="51"/>
        <v>https://d0f6bd738d7f1b3e5a7ca70fe4ff75f0.us-east-1.aws.found.io/app/kibana#/discover/Steve-Slow-Train-Analysis-(2080s-and-2083s)?_g=(refreshInterval:(display:Off,pause:!f,section:0,value:0),time:(from:'2017-12-01T19:43:57-0700',mode:absolute,to:'2017-12-01T22:38:01-0700'))&amp;_a=(columns:!('Message%20ID',Summary),filters:!(),index:'emp_*',interval:auto,query:(query_string:(analyze_wildcard:!t,query:'%22rtdc.l.rtdc.4039%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230" t="s">
        <v>931</v>
      </c>
      <c r="B142" s="226">
        <v>4024</v>
      </c>
      <c r="C142" s="228" t="s">
        <v>192</v>
      </c>
      <c r="D142" s="228" t="s">
        <v>501</v>
      </c>
      <c r="E142" s="227">
        <v>43070.836898148147</v>
      </c>
      <c r="F142" s="227">
        <v>43070.854317129626</v>
      </c>
      <c r="G142" s="226">
        <v>99</v>
      </c>
      <c r="H142" s="228" t="s">
        <v>609</v>
      </c>
      <c r="I142" s="227">
        <v>43070.878483796296</v>
      </c>
      <c r="J142" s="226">
        <v>0</v>
      </c>
      <c r="K142" s="238" t="str">
        <f t="shared" si="63"/>
        <v>4023/4024</v>
      </c>
      <c r="L142" s="246" t="str">
        <f>VLOOKUP(A142,'Trips&amp;Operators'!$C$1:$G$99911,5,FALSE)</f>
        <v>ELBAUM MIKE</v>
      </c>
      <c r="M142" s="225">
        <f t="shared" si="58"/>
        <v>2.4166666669771075E-2</v>
      </c>
      <c r="N142" s="226">
        <f t="shared" si="61"/>
        <v>34.800000004470348</v>
      </c>
      <c r="O142" s="226"/>
      <c r="P142" s="226"/>
      <c r="Q142" s="229"/>
      <c r="R142" s="243"/>
      <c r="S142" s="250">
        <f t="shared" si="62"/>
        <v>1</v>
      </c>
      <c r="T142" s="243" t="str">
        <f t="shared" si="64"/>
        <v>NorthBound</v>
      </c>
      <c r="U142" s="24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9" t="str">
        <f t="shared" si="65"/>
        <v>https://d0f6bd738d7f1b3e5a7ca70fe4ff75f0.us-east-1.aws.found.io/app/kibana#/discover/Steve-Slow-Train-Analysis-(2080s-and-2083s)?_g=(refreshInterval:(display:Off,pause:!f,section:0,value:0),time:(from:'2017-12-01T19:05:08-0700',mode:absolute,to:'2017-12-01T22:05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2" s="248" t="str">
        <f>IF(AA142&lt;VLOOKUP(AG142,Variables!$AC$3:$AD$8,2,FALSE),"Y","N")</f>
        <v>N</v>
      </c>
      <c r="X142" s="248">
        <f t="shared" si="66"/>
        <v>1</v>
      </c>
      <c r="Y142" s="248">
        <f t="shared" si="59"/>
        <v>5.5100000000000003E-2</v>
      </c>
      <c r="Z142" s="248">
        <f t="shared" si="60"/>
        <v>23.327000000000002</v>
      </c>
      <c r="AA142" s="248">
        <f t="shared" si="67"/>
        <v>23.271900000000002</v>
      </c>
      <c r="AB142" s="234" t="e">
        <f>VLOOKUP(A142,Enforcements!$C$7:$K$9,8,0)</f>
        <v>#N/A</v>
      </c>
      <c r="AC142" s="233" t="e">
        <f>VLOOKUP(A142,Enforcements!$C$7:$E$9,3,0)</f>
        <v>#N/A</v>
      </c>
      <c r="AD142" s="244">
        <f t="shared" si="68"/>
        <v>227</v>
      </c>
      <c r="AE142" s="236" t="str">
        <f t="shared" si="69"/>
        <v>aws s3 cp s3://rtdc.mdm.uploadarchive.raw/RTDC4024/ "%USERPROFILE%\AppData\Local\Temp\OnboardLogs"\RTDC4024\2017-12-01 --exclude "*" --recursive --include "*20171201*" &amp; "%USERPROFILE%\Documents\GitHub\mrs-test-scripts\Headless Mode &amp; Sideloading\WalkAndUnGZ.bat" "%USERPROFILE%\AppData\Local\Temp\OnboardLogs"\RTDC4024\2017-12-01 &amp; aws s3 cp s3://rtdc.mdm.uploadarchive.raw/RTDC4024/ "%USERPROFILE%\AppData\Local\Temp\OnboardLogs"\RTDC4024\2017-12-02 --exclude "*" --recursive --include "*20171202*" &amp; "%USERPROFILE%\Documents\GitHub\mrs-test-scripts\Headless Mode &amp; Sideloading\WalkAndUnGZ.bat" "%USERPROFILE%\AppData\Local\Temp\OnboardLogs"\RTDC4024\2017-12-02</v>
      </c>
      <c r="AF142" s="235" t="str">
        <f t="shared" si="70"/>
        <v>"C:\Program Files (x86)\AstroGrep\AstroGrep.exe" /e /r /s /spath="%USERPROFILE%\AppData\Local\Temp\OnboardLogs" /stypes="app*4024*20171202*" /stext=" 04:.+((SYSTEM_STATE.+slice.+state.+changed )|(ment ac)|(multiple cpu faults)|(system.+state.+changed )|(\[timeout)|(PRM\|1\|D)|(kpr)|(kdp)|(train st.+moving)|(\|lc)|(penalty))"</v>
      </c>
      <c r="AG142" s="245" t="str">
        <f t="shared" si="71"/>
        <v>EC</v>
      </c>
      <c r="AH142" s="237" t="str">
        <f t="shared" si="47"/>
        <v>"%USERPROFILE%\Documents\GitHub\eaglep3\Utilities\RefineRTDCRunTimes.py" --tripid 227-01 --locoid 4024 --swversion DE.1.0.9.0 --startMP 204:551 --initTime 2017-12-01T20:05:08 --startdatetime 2017-12-01T20:30:13 --delay 99 --endMP 204:233270 --enddatetime 2017-12-01T21:05:01 --enforcementcount 0 &gt;&gt;%USERPROFILE%\Documents\GitHub\eaglep3-reporting\EC\2017-12-01-refined-times.txt</v>
      </c>
      <c r="AI142" s="239" t="str">
        <f t="shared" si="48"/>
        <v>echo {"issue":{"subject":"","project_id":79,"tracker_id":40,"status_id":1,"priority_id":2,"assigned_to_id":338,"start_date":"2017-12-01","description":"","custom_fields":[{"id":1,"name":"Subdivision","value":"EC"},{"id":4,"name":"Milepost","value":"23.327"},{"id":17,"name":"Train ID","value":"227-01"},{"id":16,"name":"Locomotive ID","value":"4024"},{"id":130,"name":"Impact","value":""},{"id":150,"name":"Time of Event (Mountain Time)","value":"21:05:01"},{"id":151,"name":"Denver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4"/>
      <c r="AK142" s="232"/>
      <c r="AL142" s="232"/>
      <c r="AM142" s="241" t="str">
        <f t="shared" si="49"/>
        <v>start /low /b %USERPROFILE%\Documents\GitHub\eaglep3\Utilities\DownloadLogsFromS3.py --loco 4024 --day 2017-12-01</v>
      </c>
      <c r="AN142" s="242" t="str">
        <f t="shared" si="50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04:05:01"},{"id":29,"name":"Sharepoint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1" t="str">
        <f t="shared" si="51"/>
        <v>https://d0f6bd738d7f1b3e5a7ca70fe4ff75f0.us-east-1.aws.found.io/app/kibana#/discover/Steve-Slow-Train-Analysis-(2080s-and-2083s)?_g=(refreshInterval:(display:Off,pause:!f,section:0,value:0),time:(from:'2017-12-01T19:05:08-0700',mode:absolute,to:'2017-12-01T22:05:01-0700'))&amp;_a=(columns:!('Message%20ID',Summary),filters:!(),index:'emp_*',interval:auto,query:(query_string:(analyze_wildcard:!t,query:'%22rtdc.l.rtdc.4024%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24" customFormat="1" x14ac:dyDescent="0.25">
      <c r="A143" s="230" t="s">
        <v>937</v>
      </c>
      <c r="B143" s="226">
        <v>4023</v>
      </c>
      <c r="C143" s="228" t="s">
        <v>192</v>
      </c>
      <c r="D143" s="228" t="s">
        <v>1019</v>
      </c>
      <c r="E143" s="227">
        <v>43070.87945601852</v>
      </c>
      <c r="F143" s="227">
        <v>43070.893923611111</v>
      </c>
      <c r="G143" s="226">
        <v>57</v>
      </c>
      <c r="H143" s="228" t="s">
        <v>721</v>
      </c>
      <c r="I143" s="227">
        <v>43070.919907407406</v>
      </c>
      <c r="J143" s="226">
        <v>0</v>
      </c>
      <c r="K143" s="238" t="str">
        <f t="shared" si="63"/>
        <v>4023/4024</v>
      </c>
      <c r="L143" s="246" t="str">
        <f>VLOOKUP(A143,'Trips&amp;Operators'!$C$1:$G$99911,5,FALSE)</f>
        <v>ELBAUM MIKE</v>
      </c>
      <c r="M143" s="225">
        <f t="shared" si="58"/>
        <v>2.5983796294895001E-2</v>
      </c>
      <c r="N143" s="226">
        <f t="shared" si="61"/>
        <v>37.416666664648801</v>
      </c>
      <c r="O143" s="226"/>
      <c r="P143" s="226"/>
      <c r="Q143" s="229"/>
      <c r="R143" s="243"/>
      <c r="S143" s="250">
        <f t="shared" si="62"/>
        <v>1</v>
      </c>
      <c r="T143" s="243" t="str">
        <f t="shared" si="64"/>
        <v>Southbound</v>
      </c>
      <c r="U143" s="24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9" t="str">
        <f t="shared" si="65"/>
        <v>https://d0f6bd738d7f1b3e5a7ca70fe4ff75f0.us-east-1.aws.found.io/app/kibana#/discover/Steve-Slow-Train-Analysis-(2080s-and-2083s)?_g=(refreshInterval:(display:Off,pause:!f,section:0,value:0),time:(from:'2017-12-01T20:06:25-0700',mode:absolute,to:'2017-12-01T23:04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3" s="248" t="str">
        <f>IF(AA143&lt;VLOOKUP(AG143,Variables!$AC$3:$AD$8,2,FALSE),"Y","N")</f>
        <v>N</v>
      </c>
      <c r="X143" s="248">
        <f t="shared" si="66"/>
        <v>1</v>
      </c>
      <c r="Y143" s="248">
        <f t="shared" si="59"/>
        <v>23.294499999999999</v>
      </c>
      <c r="Z143" s="248">
        <f t="shared" si="60"/>
        <v>2.6499999999999999E-2</v>
      </c>
      <c r="AA143" s="248">
        <f t="shared" si="67"/>
        <v>23.268000000000001</v>
      </c>
      <c r="AB143" s="234" t="e">
        <f>VLOOKUP(A143,Enforcements!$C$7:$K$9,8,0)</f>
        <v>#N/A</v>
      </c>
      <c r="AC143" s="233" t="e">
        <f>VLOOKUP(A143,Enforcements!$C$7:$E$9,3,0)</f>
        <v>#N/A</v>
      </c>
      <c r="AD143" s="244">
        <f t="shared" si="68"/>
        <v>228</v>
      </c>
      <c r="AE143" s="236" t="str">
        <f t="shared" si="69"/>
        <v>aws s3 cp s3://rtdc.mdm.uploadarchive.raw/RTDC4023/ "%USERPROFILE%\AppData\Local\Temp\OnboardLogs"\RTDC4023\2017-12-01 --exclude "*" --recursive --include "*20171201*" &amp; "%USERPROFILE%\Documents\GitHub\mrs-test-scripts\Headless Mode &amp; Sideloading\WalkAndUnGZ.bat" "%USERPROFILE%\AppData\Local\Temp\OnboardLogs"\RTDC4023\2017-12-01 &amp; aws s3 cp s3://rtdc.mdm.uploadarchive.raw/RTDC4023/ "%USERPROFILE%\AppData\Local\Temp\OnboardLogs"\RTDC4023\2017-12-02 --exclude "*" --recursive --include "*20171202*" &amp; "%USERPROFILE%\Documents\GitHub\mrs-test-scripts\Headless Mode &amp; Sideloading\WalkAndUnGZ.bat" "%USERPROFILE%\AppData\Local\Temp\OnboardLogs"\RTDC4023\2017-12-02</v>
      </c>
      <c r="AF143" s="235" t="str">
        <f t="shared" si="70"/>
        <v>"C:\Program Files (x86)\AstroGrep\AstroGrep.exe" /e /r /s /spath="%USERPROFILE%\AppData\Local\Temp\OnboardLogs" /stypes="app*4023*20171202*" /stext=" 05:.+((SYSTEM_STATE.+slice.+state.+changed )|(ment ac)|(multiple cpu faults)|(system.+state.+changed )|(\[timeout)|(PRM\|1\|D)|(kpr)|(kdp)|(train st.+moving)|(\|lc)|(penalty))"</v>
      </c>
      <c r="AG143" s="245" t="str">
        <f t="shared" si="71"/>
        <v>EC</v>
      </c>
      <c r="AH143" s="237" t="str">
        <f t="shared" ref="AH143:AH208" si="72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228-01 --locoid 4023 --swversion DE.1.0.9.0 --startMP 204:232945 --initTime 2017-12-01T21:06:25 --startdatetime 2017-12-01T21:27:15 --delay 57 --endMP 204:265 --enddatetime 2017-12-01T22:04:40 --enforcementcount 0 &gt;&gt;%USERPROFILE%\Documents\GitHub\eaglep3-reporting\EC\2017-12-01-refined-times.txt</v>
      </c>
      <c r="AI143" s="239" t="str">
        <f t="shared" ref="AI143:AI208" si="73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{"issue":{"subject":"","project_id":79,"tracker_id":40,"status_id":1,"priority_id":2,"assigned_to_id":338,"start_date":"2017-12-01","description":"","custom_fields":[{"id":1,"name":"Subdivision","value":"EC"},{"id":4,"name":"Milepost","value":"0.0265"},{"id":17,"name":"Train ID","value":"228-01"},{"id":16,"name":"Locomotive ID","value":"4023"},{"id":130,"name":"Impact","value":""},{"id":150,"name":"Time of Event (Mountain Time)","value":"22:04:40"},{"id":151,"name":"Denver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2"/>
      <c r="AL143" s="232"/>
      <c r="AM143" s="241" t="str">
        <f t="shared" ref="AM143:AM208" si="74">"start /low /b "&amp;dls3logs&amp;" --loco "&amp;B143&amp;" --day "&amp;TEXT(F143,"YYYY-MM-DD")</f>
        <v>start /low /b %USERPROFILE%\Documents\GitHub\eaglep3\Utilities\DownloadLogsFromS3.py --loco 4023 --day 2017-12-01</v>
      </c>
      <c r="AN143" s="242" t="str">
        <f t="shared" ref="AN143:AN208" si="75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05:04:40"},{"id":29,"name":"Sharepoint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1" t="str">
        <f t="shared" ref="AO143:AO208" si="76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-12-01T20:06:25-0700',mode:absolute,to:'2017-12-01T23:04:40-0700'))&amp;_a=(columns:!('Message%20ID',Summary),filters:!(),index:'emp_*',interval:auto,query:(query_string:(analyze_wildcard:!t,query:'%22rtdc.l.rtdc.4023%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230" t="s">
        <v>935</v>
      </c>
      <c r="B144" s="226">
        <v>4006</v>
      </c>
      <c r="C144" s="228" t="s">
        <v>192</v>
      </c>
      <c r="D144" s="228" t="s">
        <v>502</v>
      </c>
      <c r="E144" s="227">
        <v>43070.871053240742</v>
      </c>
      <c r="F144" s="227">
        <v>43070.875462962962</v>
      </c>
      <c r="G144" s="226">
        <v>91</v>
      </c>
      <c r="H144" s="228" t="s">
        <v>720</v>
      </c>
      <c r="I144" s="227">
        <v>43070.901400462964</v>
      </c>
      <c r="J144" s="226">
        <v>0</v>
      </c>
      <c r="K144" s="238" t="str">
        <f t="shared" si="63"/>
        <v>4005/4006</v>
      </c>
      <c r="L144" s="246" t="str">
        <f>VLOOKUP(A144,'Trips&amp;Operators'!$C$1:$G$99911,5,FALSE)</f>
        <v>ANDERS STEVEN</v>
      </c>
      <c r="M144" s="225">
        <f t="shared" si="58"/>
        <v>2.5937500002328306E-2</v>
      </c>
      <c r="N144" s="226">
        <f t="shared" si="61"/>
        <v>37.350000003352761</v>
      </c>
      <c r="O144" s="226"/>
      <c r="P144" s="226"/>
      <c r="Q144" s="229"/>
      <c r="R144" s="243" t="s">
        <v>581</v>
      </c>
      <c r="S144" s="250">
        <f t="shared" si="62"/>
        <v>1</v>
      </c>
      <c r="T144" s="243" t="str">
        <f t="shared" si="64"/>
        <v>NorthBound</v>
      </c>
      <c r="U144" s="24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9" t="str">
        <f t="shared" si="65"/>
        <v>https://d0f6bd738d7f1b3e5a7ca70fe4ff75f0.us-east-1.aws.found.io/app/kibana#/discover/Steve-Slow-Train-Analysis-(2080s-and-2083s)?_g=(refreshInterval:(display:Off,pause:!f,section:0,value:0),time:(from:'2017-12-01T19:54:19-0700',mode:absolute,to:'2017-12-01T22:38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4" s="248" t="str">
        <f>IF(AA144&lt;VLOOKUP(AG144,Variables!$AC$3:$AD$8,2,FALSE),"Y","N")</f>
        <v>N</v>
      </c>
      <c r="X144" s="248">
        <f t="shared" si="66"/>
        <v>1</v>
      </c>
      <c r="Y144" s="248">
        <f t="shared" si="59"/>
        <v>5.1999999999999998E-2</v>
      </c>
      <c r="Z144" s="248">
        <f t="shared" si="60"/>
        <v>23.3264</v>
      </c>
      <c r="AA144" s="248">
        <f t="shared" si="67"/>
        <v>23.2744</v>
      </c>
      <c r="AB144" s="234" t="e">
        <f>VLOOKUP(A144,Enforcements!$C$7:$K$9,8,0)</f>
        <v>#N/A</v>
      </c>
      <c r="AC144" s="233" t="e">
        <f>VLOOKUP(A144,Enforcements!$C$7:$E$9,3,0)</f>
        <v>#N/A</v>
      </c>
      <c r="AD144" s="244">
        <f t="shared" si="68"/>
        <v>229</v>
      </c>
      <c r="AE144" s="236" t="str">
        <f t="shared" si="69"/>
        <v>aws s3 cp s3://rtdc.mdm.uploadarchive.raw/RTDC4006/ "%USERPROFILE%\AppData\Local\Temp\OnboardLogs"\RTDC4006\2017-12-01 --exclude "*" --recursive --include "*20171201*" &amp; "%USERPROFILE%\Documents\GitHub\mrs-test-scripts\Headless Mode &amp; Sideloading\WalkAndUnGZ.bat" "%USERPROFILE%\AppData\Local\Temp\OnboardLogs"\RTDC4006\2017-12-01 &amp; aws s3 cp s3://rtdc.mdm.uploadarchive.raw/RTDC4006/ "%USERPROFILE%\AppData\Local\Temp\OnboardLogs"\RTDC4006\2017-12-02 --exclude "*" --recursive --include "*20171202*" &amp; "%USERPROFILE%\Documents\GitHub\mrs-test-scripts\Headless Mode &amp; Sideloading\WalkAndUnGZ.bat" "%USERPROFILE%\AppData\Local\Temp\OnboardLogs"\RTDC4006\2017-12-02</v>
      </c>
      <c r="AF144" s="235" t="str">
        <f t="shared" si="70"/>
        <v>"C:\Program Files (x86)\AstroGrep\AstroGrep.exe" /e /r /s /spath="%USERPROFILE%\AppData\Local\Temp\OnboardLogs" /stypes="app*4006*20171202*" /stext=" 04:.+((SYSTEM_STATE.+slice.+state.+changed )|(ment ac)|(multiple cpu faults)|(system.+state.+changed )|(\[timeout)|(PRM\|1\|D)|(kpr)|(kdp)|(train st.+moving)|(\|lc)|(penalty))"</v>
      </c>
      <c r="AG144" s="245" t="str">
        <f t="shared" si="71"/>
        <v>EC</v>
      </c>
      <c r="AH144" s="237" t="str">
        <f t="shared" si="72"/>
        <v>"%USERPROFILE%\Documents\GitHub\eaglep3\Utilities\RefineRTDCRunTimes.py" --tripid 229-01 --locoid 4006 --swversion DE.1.0.9.0 --startMP 204:520 --initTime 2017-12-01T20:54:19 --startdatetime 2017-12-01T21:00:40 --delay 91 --endMP 204:233264 --enddatetime 2017-12-01T21:38:01 --enforcementcount 0 &gt;&gt;%USERPROFILE%\Documents\GitHub\eaglep3-reporting\EC\2017-12-01-refined-times.txt</v>
      </c>
      <c r="AI144" s="239" t="str">
        <f t="shared" si="73"/>
        <v>echo {"issue":{"subject":"Brief Wi-MAX data drop caused unhealthy banner","project_id":79,"tracker_id":40,"status_id":1,"priority_id":2,"assigned_to_id":338,"start_date":"2017-12-01","description":"","custom_fields":[{"id":1,"name":"Subdivision","value":"EC"},{"id":4,"name":"Milepost","value":"23.3264"},{"id":17,"name":"Train ID","value":"229-01"},{"id":16,"name":"Locomotive ID","value":"4006"},{"id":130,"name":"Impact","value":""},{"id":150,"name":"Time of Event (Mountain Time)","value":"21:38:01"},{"id":151,"name":"Denver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224"/>
      <c r="AK144" s="232"/>
      <c r="AL144" s="232"/>
      <c r="AM144" s="241" t="str">
        <f t="shared" si="74"/>
        <v>start /low /b %USERPROFILE%\Documents\GitHub\eaglep3\Utilities\DownloadLogsFromS3.py --loco 4006 --day 2017-12-01</v>
      </c>
      <c r="AN144" s="242" t="str">
        <f t="shared" si="75"/>
        <v>echo {"issue":{"subject":"Brief Wi-MAX data drop caused unhealthy banner","project_id":30,"tracker_id":4,"status_id":1,"priority_id":1,"assigned_to_id":10,"start_date":"2017-12-02","description":"","custom_fields":[{"id":30,"name":"Category","value":"Issue"},{"id":3,"name":"Functional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04:38:01"},{"id":29,"name":"Sharepoint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1" t="str">
        <f t="shared" si="76"/>
        <v>https://d0f6bd738d7f1b3e5a7ca70fe4ff75f0.us-east-1.aws.found.io/app/kibana#/discover/Steve-Slow-Train-Analysis-(2080s-and-2083s)?_g=(refreshInterval:(display:Off,pause:!f,section:0,value:0),time:(from:'2017-12-01T19:54:19-0700',mode:absolute,to:'2017-12-01T22:38:01-0700'))&amp;_a=(columns:!('Message%20ID',Summary),filters:!(),index:'emp_*',interval:auto,query:(query_string:(analyze_wildcard:!t,query:'%22rtdc.l.rtdc.4006%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24" customFormat="1" x14ac:dyDescent="0.25">
      <c r="A145" s="230" t="s">
        <v>940</v>
      </c>
      <c r="B145" s="226">
        <v>4005</v>
      </c>
      <c r="C145" s="228" t="s">
        <v>192</v>
      </c>
      <c r="D145" s="228" t="s">
        <v>601</v>
      </c>
      <c r="E145" s="227">
        <v>43070.91201388889</v>
      </c>
      <c r="F145" s="227">
        <v>43070.914849537039</v>
      </c>
      <c r="G145" s="226">
        <v>78</v>
      </c>
      <c r="H145" s="228" t="s">
        <v>615</v>
      </c>
      <c r="I145" s="227">
        <v>43070.943067129629</v>
      </c>
      <c r="J145" s="226">
        <v>0</v>
      </c>
      <c r="K145" s="238" t="str">
        <f t="shared" si="63"/>
        <v>4005/4006</v>
      </c>
      <c r="L145" s="246" t="str">
        <f>VLOOKUP(A145,'Trips&amp;Operators'!$C$1:$G$99911,5,FALSE)</f>
        <v>ANDERS STEVEN</v>
      </c>
      <c r="M145" s="225">
        <f t="shared" si="58"/>
        <v>2.8217592589498963E-2</v>
      </c>
      <c r="N145" s="226">
        <f t="shared" si="61"/>
        <v>40.633333328878507</v>
      </c>
      <c r="O145" s="226"/>
      <c r="P145" s="226"/>
      <c r="Q145" s="229"/>
      <c r="R145" s="243"/>
      <c r="S145" s="250">
        <f t="shared" si="62"/>
        <v>1</v>
      </c>
      <c r="T145" s="243" t="str">
        <f t="shared" si="64"/>
        <v>Southbound</v>
      </c>
      <c r="U145" s="24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9" t="str">
        <f t="shared" si="65"/>
        <v>https://d0f6bd738d7f1b3e5a7ca70fe4ff75f0.us-east-1.aws.found.io/app/kibana#/discover/Steve-Slow-Train-Analysis-(2080s-and-2083s)?_g=(refreshInterval:(display:Off,pause:!f,section:0,value:0),time:(from:'2017-12-01T20:53:18-0700',mode:absolute,to:'2017-12-01T23:38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5" s="248" t="str">
        <f>IF(AA145&lt;VLOOKUP(AG145,Variables!$AC$3:$AD$8,2,FALSE),"Y","N")</f>
        <v>N</v>
      </c>
      <c r="X145" s="248">
        <f t="shared" si="66"/>
        <v>1</v>
      </c>
      <c r="Y145" s="248">
        <f t="shared" si="59"/>
        <v>23.2943</v>
      </c>
      <c r="Z145" s="248">
        <f t="shared" si="60"/>
        <v>2.1100000000000001E-2</v>
      </c>
      <c r="AA145" s="248">
        <f t="shared" si="67"/>
        <v>23.273199999999999</v>
      </c>
      <c r="AB145" s="234" t="e">
        <f>VLOOKUP(A145,Enforcements!$C$7:$K$9,8,0)</f>
        <v>#N/A</v>
      </c>
      <c r="AC145" s="233" t="e">
        <f>VLOOKUP(A145,Enforcements!$C$7:$E$9,3,0)</f>
        <v>#N/A</v>
      </c>
      <c r="AD145" s="244">
        <f t="shared" si="68"/>
        <v>230</v>
      </c>
      <c r="AE145" s="236" t="str">
        <f t="shared" si="69"/>
        <v>aws s3 cp s3://rtdc.mdm.uploadarchive.raw/RTDC4005/ "%USERPROFILE%\AppData\Local\Temp\OnboardLogs"\RTDC4005\2017-12-01 --exclude "*" --recursive --include "*20171201*" &amp; "%USERPROFILE%\Documents\GitHub\mrs-test-scripts\Headless Mode &amp; Sideloading\WalkAndUnGZ.bat" "%USERPROFILE%\AppData\Local\Temp\OnboardLogs"\RTDC4005\2017-12-01 &amp; aws s3 cp s3://rtdc.mdm.uploadarchive.raw/RTDC4005/ "%USERPROFILE%\AppData\Local\Temp\OnboardLogs"\RTDC4005\2017-12-02 --exclude "*" --recursive --include "*20171202*" &amp; "%USERPROFILE%\Documents\GitHub\mrs-test-scripts\Headless Mode &amp; Sideloading\WalkAndUnGZ.bat" "%USERPROFILE%\AppData\Local\Temp\OnboardLogs"\RTDC4005\2017-12-02</v>
      </c>
      <c r="AF145" s="235" t="str">
        <f t="shared" si="70"/>
        <v>"C:\Program Files (x86)\AstroGrep\AstroGrep.exe" /e /r /s /spath="%USERPROFILE%\AppData\Local\Temp\OnboardLogs" /stypes="app*4005*20171202*" /stext=" 05:.+((SYSTEM_STATE.+slice.+state.+changed )|(ment ac)|(multiple cpu faults)|(system.+state.+changed )|(\[timeout)|(PRM\|1\|D)|(kpr)|(kdp)|(train st.+moving)|(\|lc)|(penalty))"</v>
      </c>
      <c r="AG145" s="245" t="str">
        <f t="shared" si="71"/>
        <v>EC</v>
      </c>
      <c r="AH145" s="237" t="str">
        <f t="shared" si="72"/>
        <v>"%USERPROFILE%\Documents\GitHub\eaglep3\Utilities\RefineRTDCRunTimes.py" --tripid 230-01 --locoid 4005 --swversion DE.1.0.9.0 --startMP 204:232943 --initTime 2017-12-01T21:53:18 --startdatetime 2017-12-01T21:57:23 --delay 78 --endMP 204:211 --enddatetime 2017-12-01T22:38:01 --enforcementcount 0 &gt;&gt;%USERPROFILE%\Documents\GitHub\eaglep3-reporting\EC\2017-12-01-refined-times.txt</v>
      </c>
      <c r="AI145" s="239" t="str">
        <f t="shared" si="73"/>
        <v>echo {"issue":{"subject":"","project_id":79,"tracker_id":40,"status_id":1,"priority_id":2,"assigned_to_id":338,"start_date":"2017-12-01","description":"","custom_fields":[{"id":1,"name":"Subdivision","value":"EC"},{"id":4,"name":"Milepost","value":"0.0211"},{"id":17,"name":"Train ID","value":"230-01"},{"id":16,"name":"Locomotive ID","value":"4005"},{"id":130,"name":"Impact","value":""},{"id":150,"name":"Time of Event (Mountain Time)","value":"22:38:01"},{"id":151,"name":"Denver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2"/>
      <c r="AL145" s="232"/>
      <c r="AM145" s="241" t="str">
        <f t="shared" si="74"/>
        <v>start /low /b %USERPROFILE%\Documents\GitHub\eaglep3\Utilities\DownloadLogsFromS3.py --loco 4005 --day 2017-12-01</v>
      </c>
      <c r="AN145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05:38:01"},{"id":29,"name":"Sharepoint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1" t="str">
        <f t="shared" si="76"/>
        <v>https://d0f6bd738d7f1b3e5a7ca70fe4ff75f0.us-east-1.aws.found.io/app/kibana#/discover/Steve-Slow-Train-Analysis-(2080s-and-2083s)?_g=(refreshInterval:(display:Off,pause:!f,section:0,value:0),time:(from:'2017-12-01T20:53:18-0700',mode:absolute,to:'2017-12-01T23:38:01-0700'))&amp;_a=(columns:!('Message%20ID',Summary),filters:!(),index:'emp_*',interval:auto,query:(query_string:(analyze_wildcard:!t,query:'%22rtdc.l.rtdc.4005%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230" t="s">
        <v>938</v>
      </c>
      <c r="B146" s="226">
        <v>4002</v>
      </c>
      <c r="C146" s="228" t="s">
        <v>192</v>
      </c>
      <c r="D146" s="228" t="s">
        <v>469</v>
      </c>
      <c r="E146" s="227">
        <v>43070.881678240738</v>
      </c>
      <c r="F146" s="227">
        <v>43070.896053240744</v>
      </c>
      <c r="G146" s="226">
        <v>54</v>
      </c>
      <c r="H146" s="228" t="s">
        <v>633</v>
      </c>
      <c r="I146" s="227">
        <v>43070.922488425924</v>
      </c>
      <c r="J146" s="226">
        <v>0</v>
      </c>
      <c r="K146" s="238" t="str">
        <f t="shared" si="63"/>
        <v>4001/4002</v>
      </c>
      <c r="L146" s="246" t="str">
        <f>VLOOKUP(A146,'Trips&amp;Operators'!$C$1:$G$99911,5,FALSE)</f>
        <v>DAVIDSON DAVID</v>
      </c>
      <c r="M146" s="225">
        <f t="shared" si="58"/>
        <v>2.643518518016208E-2</v>
      </c>
      <c r="N146" s="226">
        <f t="shared" si="61"/>
        <v>38.066666659433395</v>
      </c>
      <c r="O146" s="226"/>
      <c r="P146" s="226"/>
      <c r="Q146" s="229"/>
      <c r="R146" s="243"/>
      <c r="S146" s="250">
        <f t="shared" si="62"/>
        <v>1</v>
      </c>
      <c r="T146" s="243" t="str">
        <f t="shared" si="64"/>
        <v>NorthBound</v>
      </c>
      <c r="U146" s="24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9" t="str">
        <f t="shared" si="65"/>
        <v>https://d0f6bd738d7f1b3e5a7ca70fe4ff75f0.us-east-1.aws.found.io/app/kibana#/discover/Steve-Slow-Train-Analysis-(2080s-and-2083s)?_g=(refreshInterval:(display:Off,pause:!f,section:0,value:0),time:(from:'2017-12-01T20:09:37-0700',mode:absolute,to:'2017-12-01T23:08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6" s="248" t="str">
        <f>IF(AA146&lt;VLOOKUP(AG146,Variables!$AC$3:$AD$8,2,FALSE),"Y","N")</f>
        <v>N</v>
      </c>
      <c r="X146" s="248">
        <f t="shared" si="66"/>
        <v>1</v>
      </c>
      <c r="Y146" s="248">
        <f t="shared" si="59"/>
        <v>5.33E-2</v>
      </c>
      <c r="Z146" s="248">
        <f t="shared" si="60"/>
        <v>23.327400000000001</v>
      </c>
      <c r="AA146" s="248">
        <f t="shared" si="67"/>
        <v>23.274100000000001</v>
      </c>
      <c r="AB146" s="234" t="e">
        <f>VLOOKUP(A146,Enforcements!$C$7:$K$9,8,0)</f>
        <v>#N/A</v>
      </c>
      <c r="AC146" s="233" t="e">
        <f>VLOOKUP(A146,Enforcements!$C$7:$E$9,3,0)</f>
        <v>#N/A</v>
      </c>
      <c r="AD146" s="244">
        <f t="shared" si="68"/>
        <v>231</v>
      </c>
      <c r="AE146" s="236" t="str">
        <f t="shared" si="69"/>
        <v>aws s3 cp s3://rtdc.mdm.uploadarchive.raw/RTDC4002/ "%USERPROFILE%\AppData\Local\Temp\OnboardLogs"\RTDC4002\2017-12-01 --exclude "*" --recursive --include "*20171201*" &amp; "%USERPROFILE%\Documents\GitHub\mrs-test-scripts\Headless Mode &amp; Sideloading\WalkAndUnGZ.bat" "%USERPROFILE%\AppData\Local\Temp\OnboardLogs"\RTDC4002\2017-12-01 &amp; aws s3 cp s3://rtdc.mdm.uploadarchive.raw/RTDC4002/ "%USERPROFILE%\AppData\Local\Temp\OnboardLogs"\RTDC4002\2017-12-02 --exclude "*" --recursive --include "*20171202*" &amp; "%USERPROFILE%\Documents\GitHub\mrs-test-scripts\Headless Mode &amp; Sideloading\WalkAndUnGZ.bat" "%USERPROFILE%\AppData\Local\Temp\OnboardLogs"\RTDC4002\2017-12-02</v>
      </c>
      <c r="AF146" s="235" t="str">
        <f t="shared" si="70"/>
        <v>"C:\Program Files (x86)\AstroGrep\AstroGrep.exe" /e /r /s /spath="%USERPROFILE%\AppData\Local\Temp\OnboardLogs" /stypes="app*4002*20171202*" /stext=" 05:.+((SYSTEM_STATE.+slice.+state.+changed )|(ment ac)|(multiple cpu faults)|(system.+state.+changed )|(\[timeout)|(PRM\|1\|D)|(kpr)|(kdp)|(train st.+moving)|(\|lc)|(penalty))"</v>
      </c>
      <c r="AG146" s="245" t="str">
        <f t="shared" si="71"/>
        <v>EC</v>
      </c>
      <c r="AH146" s="237" t="str">
        <f t="shared" si="72"/>
        <v>"%USERPROFILE%\Documents\GitHub\eaglep3\Utilities\RefineRTDCRunTimes.py" --tripid 231-01 --locoid 4002 --swversion DE.1.0.9.0 --startMP 204:533 --initTime 2017-12-01T21:09:37 --startdatetime 2017-12-01T21:30:19 --delay 54 --endMP 204:233274 --enddatetime 2017-12-01T22:08:23 --enforcementcount 0 &gt;&gt;%USERPROFILE%\Documents\GitHub\eaglep3-reporting\EC\2017-12-01-refined-times.txt</v>
      </c>
      <c r="AI146" s="239" t="str">
        <f t="shared" si="73"/>
        <v>echo {"issue":{"subject":"","project_id":79,"tracker_id":40,"status_id":1,"priority_id":2,"assigned_to_id":338,"start_date":"2017-12-01","description":"","custom_fields":[{"id":1,"name":"Subdivision","value":"EC"},{"id":4,"name":"Milepost","value":"23.3274"},{"id":17,"name":"Train ID","value":"231-01"},{"id":16,"name":"Locomotive ID","value":"4002"},{"id":130,"name":"Impact","value":""},{"id":150,"name":"Time of Event (Mountain Time)","value":"22:08:23"},{"id":151,"name":"Denver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4"/>
      <c r="AK146" s="232"/>
      <c r="AL146" s="232"/>
      <c r="AM146" s="241" t="str">
        <f t="shared" si="74"/>
        <v>start /low /b %USERPROFILE%\Documents\GitHub\eaglep3\Utilities\DownloadLogsFromS3.py --loco 4002 --day 2017-12-01</v>
      </c>
      <c r="AN146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05:08:23"},{"id":29,"name":"Sharepoint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1" t="str">
        <f t="shared" si="76"/>
        <v>https://d0f6bd738d7f1b3e5a7ca70fe4ff75f0.us-east-1.aws.found.io/app/kibana#/discover/Steve-Slow-Train-Analysis-(2080s-and-2083s)?_g=(refreshInterval:(display:Off,pause:!f,section:0,value:0),time:(from:'2017-12-01T20:09:37-0700',mode:absolute,to:'2017-12-01T23:08:23-0700'))&amp;_a=(columns:!('Message%20ID',Summary),filters:!(),index:'emp_*',interval:auto,query:(query_string:(analyze_wildcard:!t,query:'%22rtdc.l.rtdc.4002%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24" customFormat="1" x14ac:dyDescent="0.25">
      <c r="A147" s="230" t="s">
        <v>943</v>
      </c>
      <c r="B147" s="226">
        <v>4001</v>
      </c>
      <c r="C147" s="228" t="s">
        <v>192</v>
      </c>
      <c r="D147" s="228" t="s">
        <v>640</v>
      </c>
      <c r="E147" s="227">
        <v>43070.923854166664</v>
      </c>
      <c r="F147" s="227">
        <v>43070.935624999998</v>
      </c>
      <c r="G147" s="226">
        <v>53</v>
      </c>
      <c r="H147" s="228" t="s">
        <v>717</v>
      </c>
      <c r="I147" s="227">
        <v>43070.963900462964</v>
      </c>
      <c r="J147" s="226">
        <v>0</v>
      </c>
      <c r="K147" s="238" t="str">
        <f t="shared" si="63"/>
        <v>4001/4002</v>
      </c>
      <c r="L147" s="246" t="str">
        <f>VLOOKUP(A147,'Trips&amp;Operators'!$C$1:$G$99911,5,FALSE)</f>
        <v>DAVIDSON DAVID</v>
      </c>
      <c r="M147" s="225">
        <f t="shared" si="58"/>
        <v>2.8275462966121268E-2</v>
      </c>
      <c r="N147" s="226">
        <f t="shared" si="61"/>
        <v>40.716666671214625</v>
      </c>
      <c r="O147" s="226"/>
      <c r="P147" s="226"/>
      <c r="Q147" s="229"/>
      <c r="R147" s="243"/>
      <c r="S147" s="250">
        <f t="shared" si="62"/>
        <v>1</v>
      </c>
      <c r="T147" s="243" t="str">
        <f t="shared" si="64"/>
        <v>Southbound</v>
      </c>
      <c r="U147" s="24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9" t="str">
        <f t="shared" si="65"/>
        <v>https://d0f6bd738d7f1b3e5a7ca70fe4ff75f0.us-east-1.aws.found.io/app/kibana#/discover/Steve-Slow-Train-Analysis-(2080s-and-2083s)?_g=(refreshInterval:(display:Off,pause:!f,section:0,value:0),time:(from:'2017-12-01T21:10:21-0700',mode:absolute,to:'2017-12-02T00:08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7" s="248" t="str">
        <f>IF(AA147&lt;VLOOKUP(AG147,Variables!$AC$3:$AD$8,2,FALSE),"Y","N")</f>
        <v>N</v>
      </c>
      <c r="X147" s="248">
        <f t="shared" si="66"/>
        <v>1</v>
      </c>
      <c r="Y147" s="248">
        <f t="shared" si="59"/>
        <v>23.294899999999998</v>
      </c>
      <c r="Z147" s="248">
        <f t="shared" si="60"/>
        <v>2.2700000000000001E-2</v>
      </c>
      <c r="AA147" s="248">
        <f t="shared" si="67"/>
        <v>23.272199999999998</v>
      </c>
      <c r="AB147" s="234" t="e">
        <f>VLOOKUP(A147,Enforcements!$C$7:$K$9,8,0)</f>
        <v>#N/A</v>
      </c>
      <c r="AC147" s="233" t="e">
        <f>VLOOKUP(A147,Enforcements!$C$7:$E$9,3,0)</f>
        <v>#N/A</v>
      </c>
      <c r="AD147" s="244">
        <f t="shared" si="68"/>
        <v>232</v>
      </c>
      <c r="AE147" s="236" t="str">
        <f t="shared" si="69"/>
        <v>aws s3 cp s3://rtdc.mdm.uploadarchive.raw/RTDC4001/ "%USERPROFILE%\AppData\Local\Temp\OnboardLogs"\RTDC4001\2017-12-01 --exclude "*" --recursive --include "*20171201*" &amp; "%USERPROFILE%\Documents\GitHub\mrs-test-scripts\Headless Mode &amp; Sideloading\WalkAndUnGZ.bat" "%USERPROFILE%\AppData\Local\Temp\OnboardLogs"\RTDC4001\2017-12-01 &amp; aws s3 cp s3://rtdc.mdm.uploadarchive.raw/RTDC4001/ "%USERPROFILE%\AppData\Local\Temp\OnboardLogs"\RTDC4001\2017-12-02 --exclude "*" --recursive --include "*20171202*" &amp; "%USERPROFILE%\Documents\GitHub\mrs-test-scripts\Headless Mode &amp; Sideloading\WalkAndUnGZ.bat" "%USERPROFILE%\AppData\Local\Temp\OnboardLogs"\RTDC4001\2017-12-02</v>
      </c>
      <c r="AF147" s="235" t="str">
        <f t="shared" si="70"/>
        <v>"C:\Program Files (x86)\AstroGrep\AstroGrep.exe" /e /r /s /spath="%USERPROFILE%\AppData\Local\Temp\OnboardLogs" /stypes="app*4001*20171202*" /stext=" 06:.+((SYSTEM_STATE.+slice.+state.+changed )|(ment ac)|(multiple cpu faults)|(system.+state.+changed )|(\[timeout)|(PRM\|1\|D)|(kpr)|(kdp)|(train st.+moving)|(\|lc)|(penalty))"</v>
      </c>
      <c r="AG147" s="245" t="str">
        <f t="shared" si="71"/>
        <v>EC</v>
      </c>
      <c r="AH147" s="237" t="str">
        <f t="shared" si="72"/>
        <v>"%USERPROFILE%\Documents\GitHub\eaglep3\Utilities\RefineRTDCRunTimes.py" --tripid 232-01 --locoid 4001 --swversion DE.1.0.9.0 --startMP 204:232949 --initTime 2017-12-01T22:10:21 --startdatetime 2017-12-01T22:27:18 --delay 53 --endMP 204:227 --enddatetime 2017-12-01T23:08:01 --enforcementcount 0 &gt;&gt;%USERPROFILE%\Documents\GitHub\eaglep3-reporting\EC\2017-12-01-refined-times.txt</v>
      </c>
      <c r="AI147" s="239" t="str">
        <f t="shared" si="73"/>
        <v>echo {"issue":{"subject":"","project_id":79,"tracker_id":40,"status_id":1,"priority_id":2,"assigned_to_id":338,"start_date":"2017-12-01","description":"","custom_fields":[{"id":1,"name":"Subdivision","value":"EC"},{"id":4,"name":"Milepost","value":"0.0227"},{"id":17,"name":"Train ID","value":"232-01"},{"id":16,"name":"Locomotive ID","value":"4001"},{"id":130,"name":"Impact","value":""},{"id":150,"name":"Time of Event (Mountain Time)","value":"23:08:01"},{"id":151,"name":"Denver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232"/>
      <c r="AL147" s="232"/>
      <c r="AM147" s="241" t="str">
        <f t="shared" si="74"/>
        <v>start /low /b %USERPROFILE%\Documents\GitHub\eaglep3\Utilities\DownloadLogsFromS3.py --loco 4001 --day 2017-12-01</v>
      </c>
      <c r="AN147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06:08:01"},{"id":29,"name":"Sharepoint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1" t="str">
        <f t="shared" si="76"/>
        <v>https://d0f6bd738d7f1b3e5a7ca70fe4ff75f0.us-east-1.aws.found.io/app/kibana#/discover/Steve-Slow-Train-Analysis-(2080s-and-2083s)?_g=(refreshInterval:(display:Off,pause:!f,section:0,value:0),time:(from:'2017-12-01T21:10:21-0700',mode:absolute,to:'2017-12-02T00:08:01-0700'))&amp;_a=(columns:!('Message%20ID',Summary),filters:!(),index:'emp_*',interval:auto,query:(query_string:(analyze_wildcard:!t,query:'%22rtdc.l.rtdc.4001%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230" t="s">
        <v>939</v>
      </c>
      <c r="B148" s="226">
        <v>4040</v>
      </c>
      <c r="C148" s="228" t="s">
        <v>192</v>
      </c>
      <c r="D148" s="228" t="s">
        <v>723</v>
      </c>
      <c r="E148" s="227">
        <v>43070.91101851852</v>
      </c>
      <c r="F148" s="227">
        <v>43070.916932870372</v>
      </c>
      <c r="G148" s="226">
        <v>107</v>
      </c>
      <c r="H148" s="228" t="s">
        <v>1009</v>
      </c>
      <c r="I148" s="227">
        <v>43070.944953703707</v>
      </c>
      <c r="J148" s="226">
        <v>0</v>
      </c>
      <c r="K148" s="238" t="str">
        <f t="shared" si="63"/>
        <v>4039/4040</v>
      </c>
      <c r="L148" s="246" t="str">
        <f>VLOOKUP(A148,'Trips&amp;Operators'!$C$1:$G$99911,5,FALSE)</f>
        <v>NICHOLSON WESLEY</v>
      </c>
      <c r="M148" s="225">
        <f t="shared" si="58"/>
        <v>2.8020833335176576E-2</v>
      </c>
      <c r="N148" s="226">
        <f t="shared" si="61"/>
        <v>40.350000002654269</v>
      </c>
      <c r="O148" s="226"/>
      <c r="P148" s="226"/>
      <c r="Q148" s="229"/>
      <c r="R148" s="243"/>
      <c r="S148" s="250">
        <f t="shared" si="62"/>
        <v>1</v>
      </c>
      <c r="T148" s="243" t="str">
        <f t="shared" si="64"/>
        <v>NorthBound</v>
      </c>
      <c r="U148" s="24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9" t="str">
        <f t="shared" si="65"/>
        <v>https://d0f6bd738d7f1b3e5a7ca70fe4ff75f0.us-east-1.aws.found.io/app/kibana#/discover/Steve-Slow-Train-Analysis-(2080s-and-2083s)?_g=(refreshInterval:(display:Off,pause:!f,section:0,value:0),time:(from:'2017-12-01T20:51:52-0700',mode:absolute,to:'2017-12-01T23:40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8" s="248" t="str">
        <f>IF(AA148&lt;VLOOKUP(AG148,Variables!$AC$3:$AD$8,2,FALSE),"Y","N")</f>
        <v>N</v>
      </c>
      <c r="X148" s="248">
        <f t="shared" si="66"/>
        <v>1</v>
      </c>
      <c r="Y148" s="248">
        <f t="shared" si="59"/>
        <v>5.28E-2</v>
      </c>
      <c r="Z148" s="248">
        <f t="shared" si="60"/>
        <v>23.319600000000001</v>
      </c>
      <c r="AA148" s="248">
        <f t="shared" si="67"/>
        <v>23.2668</v>
      </c>
      <c r="AB148" s="234" t="e">
        <f>VLOOKUP(A148,Enforcements!$C$7:$K$9,8,0)</f>
        <v>#N/A</v>
      </c>
      <c r="AC148" s="233" t="e">
        <f>VLOOKUP(A148,Enforcements!$C$7:$E$9,3,0)</f>
        <v>#N/A</v>
      </c>
      <c r="AD148" s="244">
        <f t="shared" si="68"/>
        <v>233</v>
      </c>
      <c r="AE148" s="236" t="str">
        <f t="shared" si="69"/>
        <v>aws s3 cp s3://rtdc.mdm.uploadarchive.raw/RTDC4040/ "%USERPROFILE%\AppData\Local\Temp\OnboardLogs"\RTDC4040\2017-12-01 --exclude "*" --recursive --include "*20171201*" &amp; "%USERPROFILE%\Documents\GitHub\mrs-test-scripts\Headless Mode &amp; Sideloading\WalkAndUnGZ.bat" "%USERPROFILE%\AppData\Local\Temp\OnboardLogs"\RTDC4040\2017-12-01 &amp; aws s3 cp s3://rtdc.mdm.uploadarchive.raw/RTDC4040/ "%USERPROFILE%\AppData\Local\Temp\OnboardLogs"\RTDC4040\2017-12-02 --exclude "*" --recursive --include "*20171202*" &amp; "%USERPROFILE%\Documents\GitHub\mrs-test-scripts\Headless Mode &amp; Sideloading\WalkAndUnGZ.bat" "%USERPROFILE%\AppData\Local\Temp\OnboardLogs"\RTDC4040\2017-12-02</v>
      </c>
      <c r="AF148" s="235" t="str">
        <f t="shared" si="70"/>
        <v>"C:\Program Files (x86)\AstroGrep\AstroGrep.exe" /e /r /s /spath="%USERPROFILE%\AppData\Local\Temp\OnboardLogs" /stypes="app*4040*20171202*" /stext=" 05:.+((SYSTEM_STATE.+slice.+state.+changed )|(ment ac)|(multiple cpu faults)|(system.+state.+changed )|(\[timeout)|(PRM\|1\|D)|(kpr)|(kdp)|(train st.+moving)|(\|lc)|(penalty))"</v>
      </c>
      <c r="AG148" s="245" t="str">
        <f t="shared" si="71"/>
        <v>EC</v>
      </c>
      <c r="AH148" s="237" t="str">
        <f t="shared" si="72"/>
        <v>"%USERPROFILE%\Documents\GitHub\eaglep3\Utilities\RefineRTDCRunTimes.py" --tripid 233-01 --locoid 4040 --swversion DE.1.0.9.0 --startMP 204:528 --initTime 2017-12-01T21:51:52 --startdatetime 2017-12-01T22:00:23 --delay 107 --endMP 204:233196 --enddatetime 2017-12-01T22:40:44 --enforcementcount 0 &gt;&gt;%USERPROFILE%\Documents\GitHub\eaglep3-reporting\EC\2017-12-01-refined-times.txt</v>
      </c>
      <c r="AI148" s="239" t="str">
        <f t="shared" si="73"/>
        <v>echo {"issue":{"subject":"","project_id":79,"tracker_id":40,"status_id":1,"priority_id":2,"assigned_to_id":338,"start_date":"2017-12-01","description":"","custom_fields":[{"id":1,"name":"Subdivision","value":"EC"},{"id":4,"name":"Milepost","value":"23.3196"},{"id":17,"name":"Train ID","value":"233-01"},{"id":16,"name":"Locomotive ID","value":"4040"},{"id":130,"name":"Impact","value":""},{"id":150,"name":"Time of Event (Mountain Time)","value":"22:40:44"},{"id":151,"name":"Denver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224"/>
      <c r="AK148" s="232"/>
      <c r="AL148" s="232"/>
      <c r="AM148" s="241" t="str">
        <f t="shared" si="74"/>
        <v>start /low /b %USERPROFILE%\Documents\GitHub\eaglep3\Utilities\DownloadLogsFromS3.py --loco 4040 --day 2017-12-01</v>
      </c>
      <c r="AN148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05:40:44"},{"id":29,"name":"Sharepoint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1" t="str">
        <f t="shared" si="76"/>
        <v>https://d0f6bd738d7f1b3e5a7ca70fe4ff75f0.us-east-1.aws.found.io/app/kibana#/discover/Steve-Slow-Train-Analysis-(2080s-and-2083s)?_g=(refreshInterval:(display:Off,pause:!f,section:0,value:0),time:(from:'2017-12-01T20:51:52-0700',mode:absolute,to:'2017-12-01T23:40:44-0700'))&amp;_a=(columns:!('Message%20ID',Summary),filters:!(),index:'emp_*',interval:auto,query:(query_string:(analyze_wildcard:!t,query:'%22rtdc.l.rtdc.4040%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230" t="s">
        <v>945</v>
      </c>
      <c r="B149" s="226">
        <v>4039</v>
      </c>
      <c r="C149" s="228" t="s">
        <v>192</v>
      </c>
      <c r="D149" s="228" t="s">
        <v>1020</v>
      </c>
      <c r="E149" s="227">
        <v>43070.952256944445</v>
      </c>
      <c r="F149" s="227">
        <v>43070.95653935185</v>
      </c>
      <c r="G149" s="226">
        <v>88</v>
      </c>
      <c r="H149" s="228" t="s">
        <v>503</v>
      </c>
      <c r="I149" s="227">
        <v>43070.985081018516</v>
      </c>
      <c r="J149" s="226">
        <v>0</v>
      </c>
      <c r="K149" s="238" t="str">
        <f t="shared" si="63"/>
        <v>4039/4040</v>
      </c>
      <c r="L149" s="246" t="str">
        <f>VLOOKUP(A149,'Trips&amp;Operators'!$C$1:$G$99911,5,FALSE)</f>
        <v>NICHOLSON WESLEY</v>
      </c>
      <c r="M149" s="225">
        <f t="shared" si="58"/>
        <v>2.8541666666569654E-2</v>
      </c>
      <c r="N149" s="226">
        <f t="shared" si="61"/>
        <v>41.099999999860302</v>
      </c>
      <c r="O149" s="226"/>
      <c r="P149" s="226"/>
      <c r="Q149" s="229"/>
      <c r="R149" s="243"/>
      <c r="S149" s="250">
        <f t="shared" si="62"/>
        <v>1</v>
      </c>
      <c r="T149" s="243" t="str">
        <f t="shared" si="64"/>
        <v>Southbound</v>
      </c>
      <c r="U149" s="24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9" t="str">
        <f t="shared" si="65"/>
        <v>https://d0f6bd738d7f1b3e5a7ca70fe4ff75f0.us-east-1.aws.found.io/app/kibana#/discover/Steve-Slow-Train-Analysis-(2080s-and-2083s)?_g=(refreshInterval:(display:Off,pause:!f,section:0,value:0),time:(from:'2017-12-01T21:51:15-0700',mode:absolute,to:'2017-12-02T00:38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9" s="248" t="str">
        <f>IF(AA149&lt;VLOOKUP(AG149,Variables!$AC$3:$AD$8,2,FALSE),"Y","N")</f>
        <v>N</v>
      </c>
      <c r="X149" s="248">
        <f t="shared" si="66"/>
        <v>1</v>
      </c>
      <c r="Y149" s="248">
        <f t="shared" si="59"/>
        <v>23.286999999999999</v>
      </c>
      <c r="Z149" s="248">
        <f t="shared" si="60"/>
        <v>2.3599999999999999E-2</v>
      </c>
      <c r="AA149" s="248">
        <f t="shared" si="67"/>
        <v>23.263400000000001</v>
      </c>
      <c r="AB149" s="234" t="e">
        <f>VLOOKUP(A149,Enforcements!$C$7:$K$9,8,0)</f>
        <v>#N/A</v>
      </c>
      <c r="AC149" s="233" t="e">
        <f>VLOOKUP(A149,Enforcements!$C$7:$E$9,3,0)</f>
        <v>#N/A</v>
      </c>
      <c r="AD149" s="244">
        <f t="shared" si="68"/>
        <v>234</v>
      </c>
      <c r="AE149" s="236" t="str">
        <f t="shared" si="69"/>
        <v>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 &amp; aws s3 cp s3://rtdc.mdm.uploadarchive.raw/RTDC4039/ "%USERPROFILE%\AppData\Local\Temp\OnboardLogs"\RTDC4039\2017-12-02 --exclude "*" --recursive --include "*20171202*" &amp; "%USERPROFILE%\Documents\GitHub\mrs-test-scripts\Headless Mode &amp; Sideloading\WalkAndUnGZ.bat" "%USERPROFILE%\AppData\Local\Temp\OnboardLogs"\RTDC4039\2017-12-02</v>
      </c>
      <c r="AF149" s="235" t="str">
        <f t="shared" si="70"/>
        <v>"C:\Program Files (x86)\AstroGrep\AstroGrep.exe" /e /r /s /spath="%USERPROFILE%\AppData\Local\Temp\OnboardLogs" /stypes="app*4039*20171202*" /stext=" 06:.+((SYSTEM_STATE.+slice.+state.+changed )|(ment ac)|(multiple cpu faults)|(system.+state.+changed )|(\[timeout)|(PRM\|1\|D)|(kpr)|(kdp)|(train st.+moving)|(\|lc)|(penalty))"</v>
      </c>
      <c r="AG149" s="245" t="str">
        <f t="shared" si="71"/>
        <v>EC</v>
      </c>
      <c r="AH149" s="237" t="str">
        <f t="shared" si="72"/>
        <v>"%USERPROFILE%\Documents\GitHub\eaglep3\Utilities\RefineRTDCRunTimes.py" --tripid 234-01 --locoid 4039 --swversion DE.1.0.9.0 --startMP 204:232870 --initTime 2017-12-01T22:51:15 --startdatetime 2017-12-01T22:57:25 --delay 88 --endMP 204:236 --enddatetime 2017-12-01T23:38:31 --enforcementcount 0 &gt;&gt;%USERPROFILE%\Documents\GitHub\eaglep3-reporting\EC\2017-12-01-refined-times.txt</v>
      </c>
      <c r="AI149" s="239" t="str">
        <f t="shared" si="73"/>
        <v>echo {"issue":{"subject":"","project_id":79,"tracker_id":40,"status_id":1,"priority_id":2,"assigned_to_id":338,"start_date":"2017-12-01","description":"","custom_fields":[{"id":1,"name":"Subdivision","value":"EC"},{"id":4,"name":"Milepost","value":"0.0236"},{"id":17,"name":"Train ID","value":"234-01"},{"id":16,"name":"Locomotive ID","value":"4039"},{"id":130,"name":"Impact","value":""},{"id":150,"name":"Time of Event (Mountain Time)","value":"23:38:31"},{"id":151,"name":"Denver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4"/>
      <c r="AK149" s="232"/>
      <c r="AL149" s="232"/>
      <c r="AM149" s="241" t="str">
        <f t="shared" si="74"/>
        <v>start /low /b %USERPROFILE%\Documents\GitHub\eaglep3\Utilities\DownloadLogsFromS3.py --loco 4039 --day 2017-12-01</v>
      </c>
      <c r="AN149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06:38:31"},{"id":29,"name":"Sharepoint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1" t="str">
        <f t="shared" si="76"/>
        <v>https://d0f6bd738d7f1b3e5a7ca70fe4ff75f0.us-east-1.aws.found.io/app/kibana#/discover/Steve-Slow-Train-Analysis-(2080s-and-2083s)?_g=(refreshInterval:(display:Off,pause:!f,section:0,value:0),time:(from:'2017-12-01T21:51:15-0700',mode:absolute,to:'2017-12-02T00:38:31-0700'))&amp;_a=(columns:!('Message%20ID',Summary),filters:!(),index:'emp_*',interval:auto,query:(query_string:(analyze_wildcard:!t,query:'%22rtdc.l.rtdc.4039%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230" t="s">
        <v>942</v>
      </c>
      <c r="B150" s="226">
        <v>4024</v>
      </c>
      <c r="C150" s="228" t="s">
        <v>192</v>
      </c>
      <c r="D150" s="228" t="s">
        <v>1021</v>
      </c>
      <c r="E150" s="227">
        <v>43070.921122685184</v>
      </c>
      <c r="F150" s="227">
        <v>43070.937638888892</v>
      </c>
      <c r="G150" s="226">
        <v>52</v>
      </c>
      <c r="H150" s="228" t="s">
        <v>719</v>
      </c>
      <c r="I150" s="227">
        <v>43070.964305555557</v>
      </c>
      <c r="J150" s="226">
        <v>0</v>
      </c>
      <c r="K150" s="238" t="str">
        <f t="shared" si="63"/>
        <v>4023/4024</v>
      </c>
      <c r="L150" s="246" t="str">
        <f>VLOOKUP(A150,'Trips&amp;Operators'!$C$1:$G$99911,5,FALSE)</f>
        <v>ELBAUM MIKE</v>
      </c>
      <c r="M150" s="225">
        <f t="shared" si="58"/>
        <v>2.6666666664823424E-2</v>
      </c>
      <c r="N150" s="226">
        <f t="shared" si="61"/>
        <v>38.399999997345731</v>
      </c>
      <c r="O150" s="226"/>
      <c r="P150" s="226"/>
      <c r="Q150" s="229"/>
      <c r="R150" s="243"/>
      <c r="S150" s="250">
        <f t="shared" si="62"/>
        <v>1</v>
      </c>
      <c r="T150" s="243" t="str">
        <f t="shared" si="64"/>
        <v>NorthBound</v>
      </c>
      <c r="U150" s="24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9" t="str">
        <f t="shared" si="65"/>
        <v>https://d0f6bd738d7f1b3e5a7ca70fe4ff75f0.us-east-1.aws.found.io/app/kibana#/discover/Steve-Slow-Train-Analysis-(2080s-and-2083s)?_g=(refreshInterval:(display:Off,pause:!f,section:0,value:0),time:(from:'2017-12-01T21:06:25-0700',mode:absolute,to:'2017-12-02T00:08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0" s="248" t="str">
        <f>IF(AA150&lt;VLOOKUP(AG150,Variables!$AC$3:$AD$8,2,FALSE),"Y","N")</f>
        <v>N</v>
      </c>
      <c r="X150" s="248">
        <f t="shared" si="66"/>
        <v>1</v>
      </c>
      <c r="Y150" s="248">
        <f t="shared" si="59"/>
        <v>5.57E-2</v>
      </c>
      <c r="Z150" s="248">
        <f t="shared" si="60"/>
        <v>23.3276</v>
      </c>
      <c r="AA150" s="248">
        <f t="shared" si="67"/>
        <v>23.271899999999999</v>
      </c>
      <c r="AB150" s="234" t="e">
        <f>VLOOKUP(A150,Enforcements!$C$7:$K$9,8,0)</f>
        <v>#N/A</v>
      </c>
      <c r="AC150" s="233" t="e">
        <f>VLOOKUP(A150,Enforcements!$C$7:$E$9,3,0)</f>
        <v>#N/A</v>
      </c>
      <c r="AD150" s="244">
        <f t="shared" si="68"/>
        <v>235</v>
      </c>
      <c r="AE150" s="236" t="str">
        <f t="shared" si="69"/>
        <v>aws s3 cp s3://rtdc.mdm.uploadarchive.raw/RTDC4024/ "%USERPROFILE%\AppData\Local\Temp\OnboardLogs"\RTDC4024\2017-12-01 --exclude "*" --recursive --include "*20171201*" &amp; "%USERPROFILE%\Documents\GitHub\mrs-test-scripts\Headless Mode &amp; Sideloading\WalkAndUnGZ.bat" "%USERPROFILE%\AppData\Local\Temp\OnboardLogs"\RTDC4024\2017-12-01 &amp; aws s3 cp s3://rtdc.mdm.uploadarchive.raw/RTDC4024/ "%USERPROFILE%\AppData\Local\Temp\OnboardLogs"\RTDC4024\2017-12-02 --exclude "*" --recursive --include "*20171202*" &amp; "%USERPROFILE%\Documents\GitHub\mrs-test-scripts\Headless Mode &amp; Sideloading\WalkAndUnGZ.bat" "%USERPROFILE%\AppData\Local\Temp\OnboardLogs"\RTDC4024\2017-12-02</v>
      </c>
      <c r="AF150" s="235" t="str">
        <f t="shared" si="70"/>
        <v>"C:\Program Files (x86)\AstroGrep\AstroGrep.exe" /e /r /s /spath="%USERPROFILE%\AppData\Local\Temp\OnboardLogs" /stypes="app*4024*20171202*" /stext=" 06:.+((SYSTEM_STATE.+slice.+state.+changed )|(ment ac)|(multiple cpu faults)|(system.+state.+changed )|(\[timeout)|(PRM\|1\|D)|(kpr)|(kdp)|(train st.+moving)|(\|lc)|(penalty))"</v>
      </c>
      <c r="AG150" s="245" t="str">
        <f t="shared" si="71"/>
        <v>EC</v>
      </c>
      <c r="AH150" s="237" t="str">
        <f t="shared" si="72"/>
        <v>"%USERPROFILE%\Documents\GitHub\eaglep3\Utilities\RefineRTDCRunTimes.py" --tripid 235-01 --locoid 4024 --swversion DE.1.0.9.0 --startMP 204:557 --initTime 2017-12-01T22:06:25 --startdatetime 2017-12-01T22:30:12 --delay 52 --endMP 204:233276 --enddatetime 2017-12-01T23:08:36 --enforcementcount 0 &gt;&gt;%USERPROFILE%\Documents\GitHub\eaglep3-reporting\EC\2017-12-01-refined-times.txt</v>
      </c>
      <c r="AI150" s="239" t="str">
        <f t="shared" si="73"/>
        <v>echo {"issue":{"subject":"","project_id":79,"tracker_id":40,"status_id":1,"priority_id":2,"assigned_to_id":338,"start_date":"2017-12-01","description":"","custom_fields":[{"id":1,"name":"Subdivision","value":"EC"},{"id":4,"name":"Milepost","value":"23.3276"},{"id":17,"name":"Train ID","value":"235-01"},{"id":16,"name":"Locomotive ID","value":"4024"},{"id":130,"name":"Impact","value":""},{"id":150,"name":"Time of Event (Mountain Time)","value":"23:08:36"},{"id":151,"name":"Denver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4"/>
      <c r="AK150" s="232"/>
      <c r="AL150" s="232"/>
      <c r="AM150" s="241" t="str">
        <f t="shared" si="74"/>
        <v>start /low /b %USERPROFILE%\Documents\GitHub\eaglep3\Utilities\DownloadLogsFromS3.py --loco 4024 --day 2017-12-01</v>
      </c>
      <c r="AN150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06:08:36"},{"id":29,"name":"Sharepoint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1" t="str">
        <f t="shared" si="76"/>
        <v>https://d0f6bd738d7f1b3e5a7ca70fe4ff75f0.us-east-1.aws.found.io/app/kibana#/discover/Steve-Slow-Train-Analysis-(2080s-and-2083s)?_g=(refreshInterval:(display:Off,pause:!f,section:0,value:0),time:(from:'2017-12-01T21:06:25-0700',mode:absolute,to:'2017-12-02T00:08:36-0700'))&amp;_a=(columns:!('Message%20ID',Summary),filters:!(),index:'emp_*',interval:auto,query:(query_string:(analyze_wildcard:!t,query:'%22rtdc.l.rtdc.4024%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24" customFormat="1" x14ac:dyDescent="0.25">
      <c r="A151" s="230" t="s">
        <v>948</v>
      </c>
      <c r="B151" s="226">
        <v>4023</v>
      </c>
      <c r="C151" s="228" t="s">
        <v>192</v>
      </c>
      <c r="D151" s="228" t="s">
        <v>1021</v>
      </c>
      <c r="E151" s="227">
        <v>43070.921122685184</v>
      </c>
      <c r="F151" s="227">
        <v>43070.97724537037</v>
      </c>
      <c r="G151" s="226">
        <v>52</v>
      </c>
      <c r="H151" s="228" t="s">
        <v>719</v>
      </c>
      <c r="I151" s="227">
        <v>43071.002812500003</v>
      </c>
      <c r="J151" s="226">
        <v>0</v>
      </c>
      <c r="K151" s="238" t="str">
        <f t="shared" si="63"/>
        <v>4023/4024</v>
      </c>
      <c r="L151" s="246" t="str">
        <f>VLOOKUP(A151,'Trips&amp;Operators'!$C$1:$G$99911,5,FALSE)</f>
        <v>ELBAUM MIKE</v>
      </c>
      <c r="M151" s="225">
        <f t="shared" si="58"/>
        <v>2.5567129632690921E-2</v>
      </c>
      <c r="N151" s="226">
        <f t="shared" si="61"/>
        <v>36.816666671074927</v>
      </c>
      <c r="O151" s="226"/>
      <c r="P151" s="226"/>
      <c r="Q151" s="229"/>
      <c r="R151" s="243"/>
      <c r="S151" s="250">
        <f t="shared" si="62"/>
        <v>1</v>
      </c>
      <c r="T151" s="243" t="str">
        <f t="shared" si="64"/>
        <v>Southbound</v>
      </c>
      <c r="U151" s="24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9" t="str">
        <f t="shared" si="65"/>
        <v>https://d0f6bd738d7f1b3e5a7ca70fe4ff75f0.us-east-1.aws.found.io/app/kibana#/discover/Steve-Slow-Train-Analysis-(2080s-and-2083s)?_g=(refreshInterval:(display:Off,pause:!f,section:0,value:0),time:(from:'2017-12-01T21:06:25-0700',mode:absolute,to:'2017-12-02T01:04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1" s="248" t="str">
        <f>IF(AA151&lt;VLOOKUP(AG151,Variables!$AC$3:$AD$8,2,FALSE),"Y","N")</f>
        <v>N</v>
      </c>
      <c r="X151" s="248">
        <f t="shared" ref="X151:X154" si="77">VALUE(LEFT(AD151,4))-VALUE(LEFT(AD150,4))</f>
        <v>1</v>
      </c>
      <c r="Y151" s="248">
        <v>23.286999999999999</v>
      </c>
      <c r="Z151" s="248">
        <v>2.3599999999999999E-2</v>
      </c>
      <c r="AA151" s="248">
        <f t="shared" si="67"/>
        <v>23.263400000000001</v>
      </c>
      <c r="AB151" s="234" t="e">
        <f>VLOOKUP(A151,Enforcements!$C$7:$K$9,8,0)</f>
        <v>#N/A</v>
      </c>
      <c r="AC151" s="233" t="e">
        <f>VLOOKUP(A151,Enforcements!$C$7:$E$9,3,0)</f>
        <v>#N/A</v>
      </c>
      <c r="AD151" s="244">
        <f t="shared" si="68"/>
        <v>236</v>
      </c>
      <c r="AE151" s="236" t="str">
        <f t="shared" si="69"/>
        <v>aws s3 cp s3://rtdc.mdm.uploadarchive.raw/RTDC4023/ "%USERPROFILE%\AppData\Local\Temp\OnboardLogs"\RTDC4023\2017-12-01 --exclude "*" --recursive --include "*20171201*" &amp; "%USERPROFILE%\Documents\GitHub\mrs-test-scripts\Headless Mode &amp; Sideloading\WalkAndUnGZ.bat" "%USERPROFILE%\AppData\Local\Temp\OnboardLogs"\RTDC4023\2017-12-01 &amp; aws s3 cp s3://rtdc.mdm.uploadarchive.raw/RTDC4023/ "%USERPROFILE%\AppData\Local\Temp\OnboardLogs"\RTDC4023\2017-12-02 --exclude "*" --recursive --include "*20171202*" &amp; "%USERPROFILE%\Documents\GitHub\mrs-test-scripts\Headless Mode &amp; Sideloading\WalkAndUnGZ.bat" "%USERPROFILE%\AppData\Local\Temp\OnboardLogs"\RTDC4023\2017-12-02</v>
      </c>
      <c r="AF151" s="235" t="str">
        <f t="shared" si="70"/>
        <v>"C:\Program Files (x86)\AstroGrep\AstroGrep.exe" /e /r /s /spath="%USERPROFILE%\AppData\Local\Temp\OnboardLogs" /stypes="app*4023*20171202*" /stext=" 07:.+((SYSTEM_STATE.+slice.+state.+changed )|(ment ac)|(multiple cpu faults)|(system.+state.+changed )|(\[timeout)|(PRM\|1\|D)|(kpr)|(kdp)|(train st.+moving)|(\|lc)|(penalty))"</v>
      </c>
      <c r="AG151" s="245" t="str">
        <f t="shared" si="71"/>
        <v>EC</v>
      </c>
      <c r="AH151" s="237" t="str">
        <f t="shared" ref="AH151" si="78">refinertdcruntimes&amp;" --tripid "&amp;A151&amp;" --locoid "&amp;B151&amp;" --swversion "&amp;C151&amp;" --startMP "&amp;D151&amp;" --initTime "&amp;TEXT(E151,"yyyy-mm-ddTHH:MM:SS")&amp;" --startdatetime "&amp;TEXT(F151,"yyyy-mm-ddTHH:MM:SS")&amp;" --delay "&amp;G151&amp;" --endMP "&amp;H151&amp;" --enddatetime "&amp;TEXT(I151,"yyyy-mm-ddTHH:MM:SS")&amp;" --enforcementcount "&amp;J151&amp;IF(outputrefinedruntimes," &gt;&gt;"&amp;RefinedRTDCRunTimesOutputFile,"")</f>
        <v>"%USERPROFILE%\Documents\GitHub\eaglep3\Utilities\RefineRTDCRunTimes.py" --tripid 236-01 --locoid 4023 --swversion DE.1.0.9.0 --startMP 204:557 --initTime 2017-12-01T22:06:25 --startdatetime 2017-12-01T23:27:14 --delay 52 --endMP 204:233276 --enddatetime 2017-12-02T00:04:03 --enforcementcount 0 &gt;&gt;%USERPROFILE%\Documents\GitHub\eaglep3-reporting\EC\2017-12-01-refined-times.txt</v>
      </c>
      <c r="AI151" s="239" t="str">
        <f t="shared" ref="AI151" si="79">"echo {""issue"":{""subject"":"""&amp;R151&amp;""",""project_id"":79,""tracker_id"":40,""status_id"":"&amp;redmine_status&amp;",""priority_id"":"&amp;redmine_priority&amp;",""assigned_to_id"":"&amp;redmine_assignee&amp;",""start_date"":"""&amp;TEXT(I151,"YYYY-mm-dd")&amp;""",""description"":"""&amp;AJ151&amp;""",""custom_fields"":[{""id"":1,""name"":""Subdivision"",""value"":"""&amp;AG151&amp;"""},{""id"":4,""name"":""Milepost"",""value"":"""&amp;Z151&amp;"""},{""id"":17,""name"":""Train ID"",""value"":"""&amp;A151&amp;"""},{""id"":16,""name"":""Locomotive ID"",""value"":"""&amp;B151&amp;"""},{""id"":130,""name"":""Impact"",""value"":"""&amp;AK151&amp;"""},{""id"":150,""name"":""Time of Event (Mountain Time)"",""value"":"""&amp;TEXT(I151,"hh:mm:ss")&amp;"""},{""id"":151,""name"":""Denver Issue ID"",""value"":"""&amp;"""},{""id"":178,""name"":""Operational Impact"",""value"":"""&amp;redmine_op_impact&amp;"""},{""id"":179,""name"":""Denver Segment Assigned"",""value"":"""&amp;AL151&amp;"""}]}}"&amp;"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{"issue":{"subject":"","project_id":79,"tracker_id":40,"status_id":1,"priority_id":2,"assigned_to_id":338,"start_date":"2017-12-02","description":"","custom_fields":[{"id":1,"name":"Subdivision","value":"EC"},{"id":4,"name":"Milepost","value":"0.0236"},{"id":17,"name":"Train ID","value":"236-01"},{"id":16,"name":"Locomotive ID","value":"4023"},{"id":130,"name":"Impact","value":""},{"id":150,"name":"Time of Event (Mountain Time)","value":"00:04:03"},{"id":151,"name":"Denver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232"/>
      <c r="AL151" s="232"/>
      <c r="AM151" s="241" t="str">
        <f t="shared" ref="AM151" si="80">"start /low /b "&amp;dls3logs&amp;" --loco "&amp;B151&amp;" --day "&amp;TEXT(F151,"YYYY-MM-DD")</f>
        <v>start /low /b %USERPROFILE%\Documents\GitHub\eaglep3\Utilities\DownloadLogsFromS3.py --loco 4023 --day 2017-12-01</v>
      </c>
      <c r="AN151" s="242" t="str">
        <f t="shared" ref="AN151" si="81">"echo {""issue"":{""subject"":"""&amp;R151&amp;""",""project_id"":30,""tracker_id"":4,""status_id"":"&amp;redmine_status_wcr&amp;",""priority_id"":"&amp;redmine_priority_wcr&amp;",""assigned_to_id"":"&amp;redmine_assignee_wcr&amp;",""start_date"":"""&amp;TEXT(I151-utc_offset/24,"YYYY-mm-dd")&amp;""",""description"":"""&amp;AJ151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07:04:03"},{"id":29,"name":"Sharepoint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1" t="str">
        <f t="shared" ref="AO151" si="82"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Message%20ID',Summary),filters:!(),index:'emp_*',interval:auto,query:"&amp;"(query_string:(analyze_wildcard:!t,query:'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-12-01T21:06:25-0700',mode:absolute,to:'2017-12-02T01:04:03-0700'))&amp;_a=(columns:!('Message%20ID',Summary),filters:!(),index:'emp_*',interval:auto,query:(query_string:(analyze_wildcard:!t,query:'%22rtdc.l.rtdc.4023%22')),sort:!(Time.ISO8601,asc))</v>
      </c>
    </row>
    <row r="152" spans="1:91" s="20" customFormat="1" x14ac:dyDescent="0.25">
      <c r="A152" s="230" t="s">
        <v>946</v>
      </c>
      <c r="B152" s="226">
        <v>4006</v>
      </c>
      <c r="C152" s="228" t="s">
        <v>192</v>
      </c>
      <c r="D152" s="228" t="s">
        <v>504</v>
      </c>
      <c r="E152" s="227">
        <v>43070.956435185188</v>
      </c>
      <c r="F152" s="227">
        <v>43070.958657407406</v>
      </c>
      <c r="G152" s="226">
        <v>69</v>
      </c>
      <c r="H152" s="228" t="s">
        <v>471</v>
      </c>
      <c r="I152" s="227">
        <v>43070.986134259256</v>
      </c>
      <c r="J152" s="226">
        <v>0</v>
      </c>
      <c r="K152" s="238" t="str">
        <f t="shared" si="63"/>
        <v>4005/4006</v>
      </c>
      <c r="L152" s="246" t="str">
        <f>VLOOKUP(A152,'Trips&amp;Operators'!$C$1:$G$99911,5,FALSE)</f>
        <v>ANDERS STEVEN</v>
      </c>
      <c r="M152" s="225">
        <f t="shared" si="58"/>
        <v>2.7476851850224193E-2</v>
      </c>
      <c r="N152" s="226">
        <f t="shared" si="61"/>
        <v>39.566666664322838</v>
      </c>
      <c r="O152" s="226"/>
      <c r="P152" s="226"/>
      <c r="Q152" s="229"/>
      <c r="R152" s="243"/>
      <c r="S152" s="250">
        <f t="shared" si="62"/>
        <v>1</v>
      </c>
      <c r="T152" s="243" t="str">
        <f t="shared" si="64"/>
        <v>NorthBound</v>
      </c>
      <c r="U152" s="24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9" t="str">
        <f t="shared" si="65"/>
        <v>https://d0f6bd738d7f1b3e5a7ca70fe4ff75f0.us-east-1.aws.found.io/app/kibana#/discover/Steve-Slow-Train-Analysis-(2080s-and-2083s)?_g=(refreshInterval:(display:Off,pause:!f,section:0,value:0),time:(from:'2017-12-01T21:57:16-0700',mode:absolute,to:'2017-12-02T00:40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2" s="248" t="str">
        <f>IF(AA152&lt;VLOOKUP(AG152,Variables!$AC$3:$AD$8,2,FALSE),"Y","N")</f>
        <v>N</v>
      </c>
      <c r="X152" s="248">
        <f t="shared" si="77"/>
        <v>1</v>
      </c>
      <c r="Y152" s="248">
        <f t="shared" ref="Y152:Y159" si="83">RIGHT(D152,LEN(D152)-4)/10000</f>
        <v>5.1700000000000003E-2</v>
      </c>
      <c r="Z152" s="248">
        <f t="shared" ref="Z152:Z159" si="84">RIGHT(H152,LEN(H152)-4)/10000</f>
        <v>23.324400000000001</v>
      </c>
      <c r="AA152" s="248">
        <f t="shared" si="67"/>
        <v>23.2727</v>
      </c>
      <c r="AB152" s="234" t="e">
        <f>VLOOKUP(A152,Enforcements!$C$7:$K$9,8,0)</f>
        <v>#N/A</v>
      </c>
      <c r="AC152" s="233" t="e">
        <f>VLOOKUP(A152,Enforcements!$C$7:$E$9,3,0)</f>
        <v>#N/A</v>
      </c>
      <c r="AD152" s="244">
        <f t="shared" si="68"/>
        <v>237</v>
      </c>
      <c r="AE152" s="236" t="str">
        <f t="shared" si="69"/>
        <v>aws s3 cp s3://rtdc.mdm.uploadarchive.raw/RTDC4006/ "%USERPROFILE%\AppData\Local\Temp\OnboardLogs"\RTDC4006\2017-12-01 --exclude "*" --recursive --include "*20171201*" &amp; "%USERPROFILE%\Documents\GitHub\mrs-test-scripts\Headless Mode &amp; Sideloading\WalkAndUnGZ.bat" "%USERPROFILE%\AppData\Local\Temp\OnboardLogs"\RTDC4006\2017-12-01 &amp; aws s3 cp s3://rtdc.mdm.uploadarchive.raw/RTDC4006/ "%USERPROFILE%\AppData\Local\Temp\OnboardLogs"\RTDC4006\2017-12-02 --exclude "*" --recursive --include "*20171202*" &amp; "%USERPROFILE%\Documents\GitHub\mrs-test-scripts\Headless Mode &amp; Sideloading\WalkAndUnGZ.bat" "%USERPROFILE%\AppData\Local\Temp\OnboardLogs"\RTDC4006\2017-12-02</v>
      </c>
      <c r="AF152" s="235" t="str">
        <f t="shared" si="70"/>
        <v>"C:\Program Files (x86)\AstroGrep\AstroGrep.exe" /e /r /s /spath="%USERPROFILE%\AppData\Local\Temp\OnboardLogs" /stypes="app*4006*20171202*" /stext=" 06:.+((SYSTEM_STATE.+slice.+state.+changed )|(ment ac)|(multiple cpu faults)|(system.+state.+changed )|(\[timeout)|(PRM\|1\|D)|(kpr)|(kdp)|(train st.+moving)|(\|lc)|(penalty))"</v>
      </c>
      <c r="AG152" s="245" t="str">
        <f t="shared" si="71"/>
        <v>EC</v>
      </c>
      <c r="AH152" s="237" t="str">
        <f t="shared" si="72"/>
        <v>"%USERPROFILE%\Documents\GitHub\eaglep3\Utilities\RefineRTDCRunTimes.py" --tripid 237-01 --locoid 4006 --swversion DE.1.0.9.0 --startMP 204:517 --initTime 2017-12-01T22:57:16 --startdatetime 2017-12-01T23:00:28 --delay 69 --endMP 204:233244 --enddatetime 2017-12-01T23:40:02 --enforcementcount 0 &gt;&gt;%USERPROFILE%\Documents\GitHub\eaglep3-reporting\EC\2017-12-01-refined-times.txt</v>
      </c>
      <c r="AI152" s="239" t="str">
        <f t="shared" si="73"/>
        <v>echo {"issue":{"subject":"","project_id":79,"tracker_id":40,"status_id":1,"priority_id":2,"assigned_to_id":338,"start_date":"2017-12-01","description":"","custom_fields":[{"id":1,"name":"Subdivision","value":"EC"},{"id":4,"name":"Milepost","value":"23.3244"},{"id":17,"name":"Train ID","value":"237-01"},{"id":16,"name":"Locomotive ID","value":"4006"},{"id":130,"name":"Impact","value":""},{"id":150,"name":"Time of Event (Mountain Time)","value":"23:40:02"},{"id":151,"name":"Denver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4"/>
      <c r="AK152" s="232"/>
      <c r="AL152" s="232"/>
      <c r="AM152" s="241" t="str">
        <f t="shared" si="74"/>
        <v>start /low /b %USERPROFILE%\Documents\GitHub\eaglep3\Utilities\DownloadLogsFromS3.py --loco 4006 --day 2017-12-01</v>
      </c>
      <c r="AN152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06:40:02"},{"id":29,"name":"Sharepoint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1" t="str">
        <f t="shared" si="76"/>
        <v>https://d0f6bd738d7f1b3e5a7ca70fe4ff75f0.us-east-1.aws.found.io/app/kibana#/discover/Steve-Slow-Train-Analysis-(2080s-and-2083s)?_g=(refreshInterval:(display:Off,pause:!f,section:0,value:0),time:(from:'2017-12-01T21:57:16-0700',mode:absolute,to:'2017-12-02T00:40:02-0700'))&amp;_a=(columns:!('Message%20ID',Summary),filters:!(),index:'emp_*',interval:auto,query:(query_string:(analyze_wildcard:!t,query:'%22rtdc.l.rtdc.4006%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230" t="s">
        <v>951</v>
      </c>
      <c r="B153" s="226">
        <v>4005</v>
      </c>
      <c r="C153" s="228" t="s">
        <v>192</v>
      </c>
      <c r="D153" s="228" t="s">
        <v>716</v>
      </c>
      <c r="E153" s="227">
        <v>43070.991655092592</v>
      </c>
      <c r="F153" s="227">
        <v>43070.998310185183</v>
      </c>
      <c r="G153" s="226">
        <v>47</v>
      </c>
      <c r="H153" s="228" t="s">
        <v>1022</v>
      </c>
      <c r="I153" s="227">
        <v>43071.024409722224</v>
      </c>
      <c r="J153" s="226">
        <v>0</v>
      </c>
      <c r="K153" s="238" t="str">
        <f t="shared" si="63"/>
        <v>4005/4006</v>
      </c>
      <c r="L153" s="246" t="str">
        <f>VLOOKUP(A153,'Trips&amp;Operators'!$C$1:$G$99911,5,FALSE)</f>
        <v>ANDERS STEVEN</v>
      </c>
      <c r="M153" s="225">
        <f t="shared" si="58"/>
        <v>2.6099537040863652E-2</v>
      </c>
      <c r="N153" s="226">
        <f t="shared" si="61"/>
        <v>37.583333338843659</v>
      </c>
      <c r="O153" s="226"/>
      <c r="P153" s="226"/>
      <c r="Q153" s="229"/>
      <c r="R153" s="243"/>
      <c r="S153" s="250">
        <f t="shared" si="62"/>
        <v>1</v>
      </c>
      <c r="T153" s="243" t="str">
        <f t="shared" si="64"/>
        <v>Southbound</v>
      </c>
      <c r="U153" s="24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9" t="str">
        <f t="shared" si="65"/>
        <v>https://d0f6bd738d7f1b3e5a7ca70fe4ff75f0.us-east-1.aws.found.io/app/kibana#/discover/Steve-Slow-Train-Analysis-(2080s-and-2083s)?_g=(refreshInterval:(display:Off,pause:!f,section:0,value:0),time:(from:'2017-12-01T22:47:59-0700',mode:absolute,to:'2017-12-02T01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3" s="248" t="str">
        <f>IF(AA153&lt;VLOOKUP(AG153,Variables!$AC$3:$AD$8,2,FALSE),"Y","N")</f>
        <v>N</v>
      </c>
      <c r="X153" s="248">
        <f t="shared" si="77"/>
        <v>1</v>
      </c>
      <c r="Y153" s="248">
        <f t="shared" si="83"/>
        <v>23.292100000000001</v>
      </c>
      <c r="Z153" s="248">
        <f t="shared" si="84"/>
        <v>2.4299999999999999E-2</v>
      </c>
      <c r="AA153" s="248">
        <f t="shared" si="67"/>
        <v>23.267800000000001</v>
      </c>
      <c r="AB153" s="234" t="e">
        <f>VLOOKUP(A153,Enforcements!$C$7:$K$9,8,0)</f>
        <v>#N/A</v>
      </c>
      <c r="AC153" s="233" t="e">
        <f>VLOOKUP(A153,Enforcements!$C$7:$E$9,3,0)</f>
        <v>#N/A</v>
      </c>
      <c r="AD153" s="244">
        <f t="shared" si="68"/>
        <v>238</v>
      </c>
      <c r="AE153" s="236" t="str">
        <f t="shared" si="69"/>
        <v>aws s3 cp s3://rtdc.mdm.uploadarchive.raw/RTDC4005/ "%USERPROFILE%\AppData\Local\Temp\OnboardLogs"\RTDC4005\2017-12-01 --exclude "*" --recursive --include "*20171201*" &amp; "%USERPROFILE%\Documents\GitHub\mrs-test-scripts\Headless Mode &amp; Sideloading\WalkAndUnGZ.bat" "%USERPROFILE%\AppData\Local\Temp\OnboardLogs"\RTDC4005\2017-12-01 &amp; aws s3 cp s3://rtdc.mdm.uploadarchive.raw/RTDC4005/ "%USERPROFILE%\AppData\Local\Temp\OnboardLogs"\RTDC4005\2017-12-02 --exclude "*" --recursive --include "*20171202*" &amp; "%USERPROFILE%\Documents\GitHub\mrs-test-scripts\Headless Mode &amp; Sideloading\WalkAndUnGZ.bat" "%USERPROFILE%\AppData\Local\Temp\OnboardLogs"\RTDC4005\2017-12-02</v>
      </c>
      <c r="AF153" s="235" t="str">
        <f t="shared" si="70"/>
        <v>"C:\Program Files (x86)\AstroGrep\AstroGrep.exe" /e /r /s /spath="%USERPROFILE%\AppData\Local\Temp\OnboardLogs" /stypes="app*4005*20171202*" /stext=" 07:.+((SYSTEM_STATE.+slice.+state.+changed )|(ment ac)|(multiple cpu faults)|(system.+state.+changed )|(\[timeout)|(PRM\|1\|D)|(kpr)|(kdp)|(train st.+moving)|(\|lc)|(penalty))"</v>
      </c>
      <c r="AG153" s="245" t="str">
        <f t="shared" si="71"/>
        <v>EC</v>
      </c>
      <c r="AH153" s="237" t="str">
        <f t="shared" si="72"/>
        <v>"%USERPROFILE%\Documents\GitHub\eaglep3\Utilities\RefineRTDCRunTimes.py" --tripid 238-01 --locoid 4005 --swversion DE.1.0.9.0 --startMP 204:232921 --initTime 2017-12-01T23:47:59 --startdatetime 2017-12-01T23:57:34 --delay 47 --endMP 204:243 --enddatetime 2017-12-02T00:35:09 --enforcementcount 0 &gt;&gt;%USERPROFILE%\Documents\GitHub\eaglep3-reporting\EC\2017-12-01-refined-times.txt</v>
      </c>
      <c r="AI153" s="239" t="str">
        <f t="shared" si="73"/>
        <v>echo {"issue":{"subject":"","project_id":79,"tracker_id":40,"status_id":1,"priority_id":2,"assigned_to_id":338,"start_date":"2017-12-02","description":"","custom_fields":[{"id":1,"name":"Subdivision","value":"EC"},{"id":4,"name":"Milepost","value":"0.0243"},{"id":17,"name":"Train ID","value":"238-01"},{"id":16,"name":"Locomotive ID","value":"4005"},{"id":130,"name":"Impact","value":""},{"id":150,"name":"Time of Event (Mountain Time)","value":"00:35:09"},{"id":151,"name":"Denver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4"/>
      <c r="AK153" s="232"/>
      <c r="AL153" s="232"/>
      <c r="AM153" s="241" t="str">
        <f t="shared" si="74"/>
        <v>start /low /b %USERPROFILE%\Documents\GitHub\eaglep3\Utilities\DownloadLogsFromS3.py --loco 4005 --day 2017-12-01</v>
      </c>
      <c r="AN153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07:35:09"},{"id":29,"name":"Sharepoint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1" t="str">
        <f t="shared" si="76"/>
        <v>https://d0f6bd738d7f1b3e5a7ca70fe4ff75f0.us-east-1.aws.found.io/app/kibana#/discover/Steve-Slow-Train-Analysis-(2080s-and-2083s)?_g=(refreshInterval:(display:Off,pause:!f,section:0,value:0),time:(from:'2017-12-01T22:47:59-0700',mode:absolute,to:'2017-12-02T01:35:09-0700'))&amp;_a=(columns:!('Message%20ID',Summary),filters:!(),index:'emp_*',interval:auto,query:(query_string:(analyze_wildcard:!t,query:'%22rtdc.l.rtdc.4005%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230" t="s">
        <v>947</v>
      </c>
      <c r="B154" s="226">
        <v>4002</v>
      </c>
      <c r="C154" s="228" t="s">
        <v>192</v>
      </c>
      <c r="D154" s="228" t="s">
        <v>470</v>
      </c>
      <c r="E154" s="227">
        <v>43070.972627314812</v>
      </c>
      <c r="F154" s="227">
        <v>43070.979421296295</v>
      </c>
      <c r="G154" s="226">
        <v>53</v>
      </c>
      <c r="H154" s="228" t="s">
        <v>618</v>
      </c>
      <c r="I154" s="227">
        <v>43071.005578703705</v>
      </c>
      <c r="J154" s="226">
        <v>0</v>
      </c>
      <c r="K154" s="238" t="str">
        <f t="shared" si="63"/>
        <v>4001/4002</v>
      </c>
      <c r="L154" s="246" t="str">
        <f>VLOOKUP(A154,'Trips&amp;Operators'!$C$1:$G$99911,5,FALSE)</f>
        <v>DAVIDSON DAVID</v>
      </c>
      <c r="M154" s="225">
        <f t="shared" si="58"/>
        <v>2.6157407410209998E-2</v>
      </c>
      <c r="N154" s="226">
        <f t="shared" si="61"/>
        <v>37.666666670702398</v>
      </c>
      <c r="O154" s="226"/>
      <c r="P154" s="226"/>
      <c r="Q154" s="229"/>
      <c r="R154" s="243"/>
      <c r="S154" s="250">
        <f t="shared" si="62"/>
        <v>1</v>
      </c>
      <c r="T154" s="243" t="str">
        <f t="shared" si="64"/>
        <v>NorthBound</v>
      </c>
      <c r="U154" s="24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9" t="str">
        <f t="shared" si="65"/>
        <v>https://d0f6bd738d7f1b3e5a7ca70fe4ff75f0.us-east-1.aws.found.io/app/kibana#/discover/Steve-Slow-Train-Analysis-(2080s-and-2083s)?_g=(refreshInterval:(display:Off,pause:!f,section:0,value:0),time:(from:'2017-12-01T22:20:35-0700',mode:absolute,to:'2017-12-02T01:08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4" s="248" t="str">
        <f>IF(AA154&lt;VLOOKUP(AG154,Variables!$AC$3:$AD$8,2,FALSE),"Y","N")</f>
        <v>N</v>
      </c>
      <c r="X154" s="248">
        <f t="shared" si="77"/>
        <v>1</v>
      </c>
      <c r="Y154" s="248">
        <f t="shared" si="83"/>
        <v>5.3699999999999998E-2</v>
      </c>
      <c r="Z154" s="248">
        <f t="shared" si="84"/>
        <v>23.322099999999999</v>
      </c>
      <c r="AA154" s="248">
        <f t="shared" si="67"/>
        <v>23.2684</v>
      </c>
      <c r="AB154" s="234" t="e">
        <f>VLOOKUP(A154,Enforcements!$C$7:$K$9,8,0)</f>
        <v>#N/A</v>
      </c>
      <c r="AC154" s="233" t="e">
        <f>VLOOKUP(A154,Enforcements!$C$7:$E$9,3,0)</f>
        <v>#N/A</v>
      </c>
      <c r="AD154" s="244">
        <f t="shared" si="68"/>
        <v>239</v>
      </c>
      <c r="AE154" s="236" t="str">
        <f t="shared" si="69"/>
        <v>aws s3 cp s3://rtdc.mdm.uploadarchive.raw/RTDC4002/ "%USERPROFILE%\AppData\Local\Temp\OnboardLogs"\RTDC4002\2017-12-01 --exclude "*" --recursive --include "*20171201*" &amp; "%USERPROFILE%\Documents\GitHub\mrs-test-scripts\Headless Mode &amp; Sideloading\WalkAndUnGZ.bat" "%USERPROFILE%\AppData\Local\Temp\OnboardLogs"\RTDC4002\2017-12-01 &amp; aws s3 cp s3://rtdc.mdm.uploadarchive.raw/RTDC4002/ "%USERPROFILE%\AppData\Local\Temp\OnboardLogs"\RTDC4002\2017-12-02 --exclude "*" --recursive --include "*20171202*" &amp; "%USERPROFILE%\Documents\GitHub\mrs-test-scripts\Headless Mode &amp; Sideloading\WalkAndUnGZ.bat" "%USERPROFILE%\AppData\Local\Temp\OnboardLogs"\RTDC4002\2017-12-02</v>
      </c>
      <c r="AF154" s="235" t="str">
        <f t="shared" si="70"/>
        <v>"C:\Program Files (x86)\AstroGrep\AstroGrep.exe" /e /r /s /spath="%USERPROFILE%\AppData\Local\Temp\OnboardLogs" /stypes="app*4002*20171202*" /stext=" 07:.+((SYSTEM_STATE.+slice.+state.+changed )|(ment ac)|(multiple cpu faults)|(system.+state.+changed )|(\[timeout)|(PRM\|1\|D)|(kpr)|(kdp)|(train st.+moving)|(\|lc)|(penalty))"</v>
      </c>
      <c r="AG154" s="245" t="str">
        <f t="shared" si="71"/>
        <v>EC</v>
      </c>
      <c r="AH154" s="237" t="str">
        <f t="shared" si="72"/>
        <v>"%USERPROFILE%\Documents\GitHub\eaglep3\Utilities\RefineRTDCRunTimes.py" --tripid 239-01 --locoid 4002 --swversion DE.1.0.9.0 --startMP 204:537 --initTime 2017-12-01T23:20:35 --startdatetime 2017-12-01T23:30:22 --delay 53 --endMP 204:233221 --enddatetime 2017-12-02T00:08:02 --enforcementcount 0 &gt;&gt;%USERPROFILE%\Documents\GitHub\eaglep3-reporting\EC\2017-12-01-refined-times.txt</v>
      </c>
      <c r="AI154" s="239" t="str">
        <f t="shared" si="73"/>
        <v>echo {"issue":{"subject":"","project_id":79,"tracker_id":40,"status_id":1,"priority_id":2,"assigned_to_id":338,"start_date":"2017-12-02","description":"","custom_fields":[{"id":1,"name":"Subdivision","value":"EC"},{"id":4,"name":"Milepost","value":"23.3221"},{"id":17,"name":"Train ID","value":"239-01"},{"id":16,"name":"Locomotive ID","value":"4002"},{"id":130,"name":"Impact","value":""},{"id":150,"name":"Time of Event (Mountain Time)","value":"00:08:02"},{"id":151,"name":"Denver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224"/>
      <c r="AK154" s="232"/>
      <c r="AL154" s="232"/>
      <c r="AM154" s="241" t="str">
        <f t="shared" si="74"/>
        <v>start /low /b %USERPROFILE%\Documents\GitHub\eaglep3\Utilities\DownloadLogsFromS3.py --loco 4002 --day 2017-12-01</v>
      </c>
      <c r="AN154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07:08:02"},{"id":29,"name":"Sharepoint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1" t="str">
        <f t="shared" si="76"/>
        <v>https://d0f6bd738d7f1b3e5a7ca70fe4ff75f0.us-east-1.aws.found.io/app/kibana#/discover/Steve-Slow-Train-Analysis-(2080s-and-2083s)?_g=(refreshInterval:(display:Off,pause:!f,section:0,value:0),time:(from:'2017-12-01T22:20:35-0700',mode:absolute,to:'2017-12-02T01:08:02-0700'))&amp;_a=(columns:!('Message%20ID',Summary),filters:!(),index:'emp_*',interval:auto,query:(query_string:(analyze_wildcard:!t,query:'%22rtdc.l.rtdc.4002%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230" t="s">
        <v>953</v>
      </c>
      <c r="B155" s="226">
        <v>4001</v>
      </c>
      <c r="C155" s="228" t="s">
        <v>192</v>
      </c>
      <c r="D155" s="228" t="s">
        <v>554</v>
      </c>
      <c r="E155" s="227">
        <v>43071.009120370371</v>
      </c>
      <c r="F155" s="227">
        <v>43071.01898148148</v>
      </c>
      <c r="G155" s="226">
        <v>60</v>
      </c>
      <c r="H155" s="228" t="s">
        <v>420</v>
      </c>
      <c r="I155" s="227">
        <v>43071.045856481483</v>
      </c>
      <c r="J155" s="226">
        <v>0</v>
      </c>
      <c r="K155" s="238" t="str">
        <f t="shared" si="63"/>
        <v>4001/4002</v>
      </c>
      <c r="L155" s="246" t="str">
        <f>VLOOKUP(A155,'Trips&amp;Operators'!$C$1:$G$99911,5,FALSE)</f>
        <v>DAVIDSON DAVID</v>
      </c>
      <c r="M155" s="225">
        <f t="shared" si="58"/>
        <v>2.6875000003201421E-2</v>
      </c>
      <c r="N155" s="226">
        <f t="shared" si="61"/>
        <v>38.700000004610047</v>
      </c>
      <c r="O155" s="226"/>
      <c r="P155" s="226"/>
      <c r="Q155" s="229"/>
      <c r="R155" s="243"/>
      <c r="S155" s="250">
        <f t="shared" si="62"/>
        <v>1</v>
      </c>
      <c r="T155" s="243" t="str">
        <f t="shared" si="64"/>
        <v>Southbound</v>
      </c>
      <c r="U155" s="24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9" t="str">
        <f t="shared" si="65"/>
        <v>https://d0f6bd738d7f1b3e5a7ca70fe4ff75f0.us-east-1.aws.found.io/app/kibana#/discover/Steve-Slow-Train-Analysis-(2080s-and-2083s)?_g=(refreshInterval:(display:Off,pause:!f,section:0,value:0),time:(from:'2017-12-01T23:13:08-0700',mode:absolute,to:'2017-12-02T02:06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5" s="248" t="str">
        <f>IF(AA155&lt;VLOOKUP(AG155,Variables!$AC$3:$AD$8,2,FALSE),"Y","N")</f>
        <v>N</v>
      </c>
      <c r="X155" s="248">
        <f t="shared" ref="X155:X186" si="85">VALUE(LEFT(AD155,4))-VALUE(LEFT(AD154,4))</f>
        <v>1</v>
      </c>
      <c r="Y155" s="248">
        <f t="shared" si="83"/>
        <v>23.295300000000001</v>
      </c>
      <c r="Z155" s="248">
        <f t="shared" si="84"/>
        <v>2.29E-2</v>
      </c>
      <c r="AA155" s="248">
        <f t="shared" si="67"/>
        <v>23.272400000000001</v>
      </c>
      <c r="AB155" s="234" t="e">
        <f>VLOOKUP(A155,Enforcements!$C$7:$K$9,8,0)</f>
        <v>#N/A</v>
      </c>
      <c r="AC155" s="233" t="e">
        <f>VLOOKUP(A155,Enforcements!$C$7:$E$9,3,0)</f>
        <v>#N/A</v>
      </c>
      <c r="AD155" s="244">
        <f t="shared" si="68"/>
        <v>240</v>
      </c>
      <c r="AE155" s="236" t="str">
        <f t="shared" si="69"/>
        <v>aws s3 cp s3://rtdc.mdm.uploadarchive.raw/RTDC4001/ "%USERPROFILE%\AppData\Local\Temp\OnboardLogs"\RTDC4001\2017-12-02 --exclude "*" --recursive --include "*20171202*" &amp; "%USERPROFILE%\Documents\GitHub\mrs-test-scripts\Headless Mode &amp; Sideloading\WalkAndUnGZ.bat" "%USERPROFILE%\AppData\Local\Temp\OnboardLogs"\RTDC4001\2017-12-02 &amp; aws s3 cp s3://rtdc.mdm.uploadarchive.raw/RTDC4001/ "%USERPROFILE%\AppData\Local\Temp\OnboardLogs"\RTDC4001\2017-12-03 --exclude "*" --recursive --include "*20171203*" &amp; "%USERPROFILE%\Documents\GitHub\mrs-test-scripts\Headless Mode &amp; Sideloading\WalkAndUnGZ.bat" "%USERPROFILE%\AppData\Local\Temp\OnboardLogs"\RTDC4001\2017-12-03</v>
      </c>
      <c r="AF155" s="235" t="str">
        <f t="shared" si="70"/>
        <v>"C:\Program Files (x86)\AstroGrep\AstroGrep.exe" /e /r /s /spath="%USERPROFILE%\AppData\Local\Temp\OnboardLogs" /stypes="app*4001*20171202*" /stext=" 08:.+((SYSTEM_STATE.+slice.+state.+changed )|(ment ac)|(multiple cpu faults)|(system.+state.+changed )|(\[timeout)|(PRM\|1\|D)|(kpr)|(kdp)|(train st.+moving)|(\|lc)|(penalty))"</v>
      </c>
      <c r="AG155" s="245" t="str">
        <f t="shared" si="71"/>
        <v>EC</v>
      </c>
      <c r="AH155" s="237" t="str">
        <f t="shared" si="72"/>
        <v>"%USERPROFILE%\Documents\GitHub\eaglep3\Utilities\RefineRTDCRunTimes.py" --tripid 240-01 --locoid 4001 --swversion DE.1.0.9.0 --startMP 204:232953 --initTime 2017-12-02T00:13:08 --startdatetime 2017-12-02T00:27:20 --delay 60 --endMP 204:229 --enddatetime 2017-12-02T01:06:02 --enforcementcount 0 &gt;&gt;%USERPROFILE%\Documents\GitHub\eaglep3-reporting\EC\2017-12-01-refined-times.txt</v>
      </c>
      <c r="AI155" s="239" t="str">
        <f t="shared" si="73"/>
        <v>echo {"issue":{"subject":"","project_id":79,"tracker_id":40,"status_id":1,"priority_id":2,"assigned_to_id":338,"start_date":"2017-12-02","description":"","custom_fields":[{"id":1,"name":"Subdivision","value":"EC"},{"id":4,"name":"Milepost","value":"0.0229"},{"id":17,"name":"Train ID","value":"240-01"},{"id":16,"name":"Locomotive ID","value":"4001"},{"id":130,"name":"Impact","value":""},{"id":150,"name":"Time of Event (Mountain Time)","value":"01:06:02"},{"id":151,"name":"Denver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4"/>
      <c r="AK155" s="232"/>
      <c r="AL155" s="232"/>
      <c r="AM155" s="241" t="str">
        <f t="shared" si="74"/>
        <v>start /low /b %USERPROFILE%\Documents\GitHub\eaglep3\Utilities\DownloadLogsFromS3.py --loco 4001 --day 2017-12-02</v>
      </c>
      <c r="AN155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08:06:02"},{"id":29,"name":"Sharepoint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1" t="str">
        <f t="shared" si="76"/>
        <v>https://d0f6bd738d7f1b3e5a7ca70fe4ff75f0.us-east-1.aws.found.io/app/kibana#/discover/Steve-Slow-Train-Analysis-(2080s-and-2083s)?_g=(refreshInterval:(display:Off,pause:!f,section:0,value:0),time:(from:'2017-12-01T23:13:08-0700',mode:absolute,to:'2017-12-02T02:06:02-0700'))&amp;_a=(columns:!('Message%20ID',Summary),filters:!(),index:'emp_*',interval:auto,query:(query_string:(analyze_wildcard:!t,query:'%22rtdc.l.rtdc.4001%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230" t="s">
        <v>950</v>
      </c>
      <c r="B156" s="226">
        <v>4040</v>
      </c>
      <c r="C156" s="228" t="s">
        <v>192</v>
      </c>
      <c r="D156" s="228" t="s">
        <v>1023</v>
      </c>
      <c r="E156" s="227">
        <v>43070.994525462964</v>
      </c>
      <c r="F156" s="227">
        <v>43071.000208333331</v>
      </c>
      <c r="G156" s="226">
        <v>74</v>
      </c>
      <c r="H156" s="228" t="s">
        <v>569</v>
      </c>
      <c r="I156" s="227">
        <v>43071.026782407411</v>
      </c>
      <c r="J156" s="226">
        <v>0</v>
      </c>
      <c r="K156" s="238" t="str">
        <f t="shared" si="63"/>
        <v>4039/4040</v>
      </c>
      <c r="L156" s="246" t="str">
        <f>VLOOKUP(A156,'Trips&amp;Operators'!$C$1:$G$99911,5,FALSE)</f>
        <v>NICHOLSON WESLEY</v>
      </c>
      <c r="M156" s="225">
        <f t="shared" ref="M156:M187" si="86">I156-F156</f>
        <v>2.6574074079690035E-2</v>
      </c>
      <c r="N156" s="226">
        <f t="shared" si="61"/>
        <v>38.266666674753651</v>
      </c>
      <c r="O156" s="226"/>
      <c r="P156" s="226"/>
      <c r="Q156" s="229"/>
      <c r="R156" s="243"/>
      <c r="S156" s="250">
        <f t="shared" si="62"/>
        <v>1</v>
      </c>
      <c r="T156" s="243" t="str">
        <f t="shared" si="64"/>
        <v>NorthBound</v>
      </c>
      <c r="U156" s="24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9" t="str">
        <f t="shared" si="65"/>
        <v>https://d0f6bd738d7f1b3e5a7ca70fe4ff75f0.us-east-1.aws.found.io/app/kibana#/discover/Steve-Slow-Train-Analysis-(2080s-and-2083s)?_g=(refreshInterval:(display:Off,pause:!f,section:0,value:0),time:(from:'2017-12-01T22:52:07-0700',mode:absolute,to:'2017-12-02T01:38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6" s="248" t="str">
        <f>IF(AA156&lt;VLOOKUP(AG156,Variables!$AC$3:$AD$8,2,FALSE),"Y","N")</f>
        <v>N</v>
      </c>
      <c r="X156" s="248">
        <f t="shared" si="85"/>
        <v>1</v>
      </c>
      <c r="Y156" s="248">
        <f t="shared" si="83"/>
        <v>5.3499999999999999E-2</v>
      </c>
      <c r="Z156" s="248">
        <f t="shared" si="84"/>
        <v>23.318300000000001</v>
      </c>
      <c r="AA156" s="248">
        <f t="shared" si="67"/>
        <v>23.264800000000001</v>
      </c>
      <c r="AB156" s="234" t="e">
        <f>VLOOKUP(A156,Enforcements!$C$7:$K$9,8,0)</f>
        <v>#N/A</v>
      </c>
      <c r="AC156" s="233" t="e">
        <f>VLOOKUP(A156,Enforcements!$C$7:$E$9,3,0)</f>
        <v>#N/A</v>
      </c>
      <c r="AD156" s="244">
        <f t="shared" si="68"/>
        <v>241</v>
      </c>
      <c r="AE156" s="236" t="str">
        <f t="shared" si="69"/>
        <v>aws s3 cp s3://rtdc.mdm.uploadarchive.raw/RTDC4040/ "%USERPROFILE%\AppData\Local\Temp\OnboardLogs"\RTDC4040\2017-12-02 --exclude "*" --recursive --include "*20171202*" &amp; "%USERPROFILE%\Documents\GitHub\mrs-test-scripts\Headless Mode &amp; Sideloading\WalkAndUnGZ.bat" "%USERPROFILE%\AppData\Local\Temp\OnboardLogs"\RTDC4040\2017-12-02 &amp; aws s3 cp s3://rtdc.mdm.uploadarchive.raw/RTDC4040/ "%USERPROFILE%\AppData\Local\Temp\OnboardLogs"\RTDC4040\2017-12-03 --exclude "*" --recursive --include "*20171203*" &amp; "%USERPROFILE%\Documents\GitHub\mrs-test-scripts\Headless Mode &amp; Sideloading\WalkAndUnGZ.bat" "%USERPROFILE%\AppData\Local\Temp\OnboardLogs"\RTDC4040\2017-12-03</v>
      </c>
      <c r="AF156" s="235" t="str">
        <f t="shared" si="70"/>
        <v>"C:\Program Files (x86)\AstroGrep\AstroGrep.exe" /e /r /s /spath="%USERPROFILE%\AppData\Local\Temp\OnboardLogs" /stypes="app*4040*20171202*" /stext=" 07:.+((SYSTEM_STATE.+slice.+state.+changed )|(ment ac)|(multiple cpu faults)|(system.+state.+changed )|(\[timeout)|(PRM\|1\|D)|(kpr)|(kdp)|(train st.+moving)|(\|lc)|(penalty))"</v>
      </c>
      <c r="AG156" s="245" t="str">
        <f t="shared" si="71"/>
        <v>EC</v>
      </c>
      <c r="AH156" s="237" t="str">
        <f t="shared" si="72"/>
        <v>"%USERPROFILE%\Documents\GitHub\eaglep3\Utilities\RefineRTDCRunTimes.py" --tripid 241-01 --locoid 4040 --swversion DE.1.0.9.0 --startMP 204:535 --initTime 2017-12-01T23:52:07 --startdatetime 2017-12-02T00:00:18 --delay 74 --endMP 204:233183 --enddatetime 2017-12-02T00:38:34 --enforcementcount 0 &gt;&gt;%USERPROFILE%\Documents\GitHub\eaglep3-reporting\EC\2017-12-01-refined-times.txt</v>
      </c>
      <c r="AI156" s="239" t="str">
        <f t="shared" si="73"/>
        <v>echo {"issue":{"subject":"","project_id":79,"tracker_id":40,"status_id":1,"priority_id":2,"assigned_to_id":338,"start_date":"2017-12-02","description":"","custom_fields":[{"id":1,"name":"Subdivision","value":"EC"},{"id":4,"name":"Milepost","value":"23.3183"},{"id":17,"name":"Train ID","value":"241-01"},{"id":16,"name":"Locomotive ID","value":"4040"},{"id":130,"name":"Impact","value":""},{"id":150,"name":"Time of Event (Mountain Time)","value":"00:38:34"},{"id":151,"name":"Denver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224"/>
      <c r="AK156" s="232"/>
      <c r="AL156" s="232"/>
      <c r="AM156" s="241" t="str">
        <f t="shared" si="74"/>
        <v>start /low /b %USERPROFILE%\Documents\GitHub\eaglep3\Utilities\DownloadLogsFromS3.py --loco 4040 --day 2017-12-02</v>
      </c>
      <c r="AN156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07:38:34"},{"id":29,"name":"Sharepoint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1" t="str">
        <f t="shared" si="76"/>
        <v>https://d0f6bd738d7f1b3e5a7ca70fe4ff75f0.us-east-1.aws.found.io/app/kibana#/discover/Steve-Slow-Train-Analysis-(2080s-and-2083s)?_g=(refreshInterval:(display:Off,pause:!f,section:0,value:0),time:(from:'2017-12-01T22:52:07-0700',mode:absolute,to:'2017-12-02T01:38:34-0700'))&amp;_a=(columns:!('Message%20ID',Summary),filters:!(),index:'emp_*',interval:auto,query:(query_string:(analyze_wildcard:!t,query:'%22rtdc.l.rtdc.4040%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230" t="s">
        <v>955</v>
      </c>
      <c r="B157" s="226">
        <v>4039</v>
      </c>
      <c r="C157" s="228" t="s">
        <v>192</v>
      </c>
      <c r="D157" s="228" t="s">
        <v>1024</v>
      </c>
      <c r="E157" s="227">
        <v>43071.035439814812</v>
      </c>
      <c r="F157" s="227">
        <v>43071.039930555555</v>
      </c>
      <c r="G157" s="226">
        <v>104</v>
      </c>
      <c r="H157" s="228" t="s">
        <v>630</v>
      </c>
      <c r="I157" s="227">
        <v>43071.067997685182</v>
      </c>
      <c r="J157" s="226">
        <v>0</v>
      </c>
      <c r="K157" s="238" t="str">
        <f t="shared" si="63"/>
        <v>4039/4040</v>
      </c>
      <c r="L157" s="246" t="str">
        <f>VLOOKUP(A157,'Trips&amp;Operators'!$C$1:$G$99911,5,FALSE)</f>
        <v>NICHOLSON WESLEY</v>
      </c>
      <c r="M157" s="225">
        <f t="shared" si="86"/>
        <v>2.806712962774327E-2</v>
      </c>
      <c r="N157" s="226">
        <f t="shared" si="61"/>
        <v>40.416666663950309</v>
      </c>
      <c r="O157" s="226"/>
      <c r="P157" s="226"/>
      <c r="Q157" s="229"/>
      <c r="R157" s="243"/>
      <c r="S157" s="250">
        <f t="shared" si="62"/>
        <v>1</v>
      </c>
      <c r="T157" s="243" t="str">
        <f t="shared" si="64"/>
        <v>Southbound</v>
      </c>
      <c r="U157" s="24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9" t="str">
        <f t="shared" si="65"/>
        <v>https://d0f6bd738d7f1b3e5a7ca70fe4ff75f0.us-east-1.aws.found.io/app/kibana#/discover/Steve-Slow-Train-Analysis-(2080s-and-2083s)?_g=(refreshInterval:(display:Off,pause:!f,section:0,value:0),time:(from:'2017-12-01T23:51:02-0700',mode:absolute,to:'2017-12-02T02:37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7" s="248" t="str">
        <f>IF(AA157&lt;VLOOKUP(AG157,Variables!$AC$3:$AD$8,2,FALSE),"Y","N")</f>
        <v>N</v>
      </c>
      <c r="X157" s="248">
        <f t="shared" si="85"/>
        <v>1</v>
      </c>
      <c r="Y157" s="248">
        <f t="shared" si="83"/>
        <v>23.288699999999999</v>
      </c>
      <c r="Z157" s="248">
        <f t="shared" si="84"/>
        <v>2.5100000000000001E-2</v>
      </c>
      <c r="AA157" s="248">
        <f t="shared" si="67"/>
        <v>23.2636</v>
      </c>
      <c r="AB157" s="234" t="e">
        <f>VLOOKUP(A157,Enforcements!$C$7:$K$9,8,0)</f>
        <v>#N/A</v>
      </c>
      <c r="AC157" s="233" t="e">
        <f>VLOOKUP(A157,Enforcements!$C$7:$E$9,3,0)</f>
        <v>#N/A</v>
      </c>
      <c r="AD157" s="244">
        <f t="shared" si="68"/>
        <v>242</v>
      </c>
      <c r="AE157" s="236" t="str">
        <f t="shared" si="69"/>
        <v>aws s3 cp s3://rtdc.mdm.uploadarchive.raw/RTDC4039/ "%USERPROFILE%\AppData\Local\Temp\OnboardLogs"\RTDC4039\2017-12-02 --exclude "*" --recursive --include "*20171202*" &amp; "%USERPROFILE%\Documents\GitHub\mrs-test-scripts\Headless Mode &amp; Sideloading\WalkAndUnGZ.bat" "%USERPROFILE%\AppData\Local\Temp\OnboardLogs"\RTDC4039\2017-12-02 &amp; aws s3 cp s3://rtdc.mdm.uploadarchive.raw/RTDC4039/ "%USERPROFILE%\AppData\Local\Temp\OnboardLogs"\RTDC4039\2017-12-03 --exclude "*" --recursive --include "*20171203*" &amp; "%USERPROFILE%\Documents\GitHub\mrs-test-scripts\Headless Mode &amp; Sideloading\WalkAndUnGZ.bat" "%USERPROFILE%\AppData\Local\Temp\OnboardLogs"\RTDC4039\2017-12-03</v>
      </c>
      <c r="AF157" s="235" t="str">
        <f t="shared" si="70"/>
        <v>"C:\Program Files (x86)\AstroGrep\AstroGrep.exe" /e /r /s /spath="%USERPROFILE%\AppData\Local\Temp\OnboardLogs" /stypes="app*4039*20171202*" /stext=" 08:.+((SYSTEM_STATE.+slice.+state.+changed )|(ment ac)|(multiple cpu faults)|(system.+state.+changed )|(\[timeout)|(PRM\|1\|D)|(kpr)|(kdp)|(train st.+moving)|(\|lc)|(penalty))"</v>
      </c>
      <c r="AG157" s="245" t="str">
        <f t="shared" si="71"/>
        <v>EC</v>
      </c>
      <c r="AH157" s="237" t="str">
        <f t="shared" si="72"/>
        <v>"%USERPROFILE%\Documents\GitHub\eaglep3\Utilities\RefineRTDCRunTimes.py" --tripid 242-01 --locoid 4039 --swversion DE.1.0.9.0 --startMP 204:232887 --initTime 2017-12-02T00:51:02 --startdatetime 2017-12-02T00:57:30 --delay 104 --endMP 204:251 --enddatetime 2017-12-02T01:37:55 --enforcementcount 0 &gt;&gt;%USERPROFILE%\Documents\GitHub\eaglep3-reporting\EC\2017-12-01-refined-times.txt</v>
      </c>
      <c r="AI157" s="239" t="str">
        <f t="shared" si="73"/>
        <v>echo {"issue":{"subject":"","project_id":79,"tracker_id":40,"status_id":1,"priority_id":2,"assigned_to_id":338,"start_date":"2017-12-02","description":"","custom_fields":[{"id":1,"name":"Subdivision","value":"EC"},{"id":4,"name":"Milepost","value":"0.0251"},{"id":17,"name":"Train ID","value":"242-01"},{"id":16,"name":"Locomotive ID","value":"4039"},{"id":130,"name":"Impact","value":""},{"id":150,"name":"Time of Event (Mountain Time)","value":"01:37:55"},{"id":151,"name":"Denver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224"/>
      <c r="AK157" s="232"/>
      <c r="AL157" s="232"/>
      <c r="AM157" s="241" t="str">
        <f t="shared" si="74"/>
        <v>start /low /b %USERPROFILE%\Documents\GitHub\eaglep3\Utilities\DownloadLogsFromS3.py --loco 4039 --day 2017-12-02</v>
      </c>
      <c r="AN157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08:37:55"},{"id":29,"name":"Sharepoint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1" t="str">
        <f t="shared" si="76"/>
        <v>https://d0f6bd738d7f1b3e5a7ca70fe4ff75f0.us-east-1.aws.found.io/app/kibana#/discover/Steve-Slow-Train-Analysis-(2080s-and-2083s)?_g=(refreshInterval:(display:Off,pause:!f,section:0,value:0),time:(from:'2017-12-01T23:51:02-0700',mode:absolute,to:'2017-12-02T02:37:55-0700'))&amp;_a=(columns:!('Message%20ID',Summary),filters:!(),index:'emp_*',interval:auto,query:(query_string:(analyze_wildcard:!t,query:'%22rtdc.l.rtdc.4039%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4" customFormat="1" x14ac:dyDescent="0.25">
      <c r="A158" s="230" t="s">
        <v>952</v>
      </c>
      <c r="B158" s="226">
        <v>4024</v>
      </c>
      <c r="C158" s="228" t="s">
        <v>192</v>
      </c>
      <c r="D158" s="228" t="s">
        <v>722</v>
      </c>
      <c r="E158" s="227">
        <v>43071.006805555553</v>
      </c>
      <c r="F158" s="227">
        <v>43071.020983796298</v>
      </c>
      <c r="G158" s="226">
        <v>53</v>
      </c>
      <c r="H158" s="228" t="s">
        <v>720</v>
      </c>
      <c r="I158" s="227">
        <v>43071.046030092592</v>
      </c>
      <c r="J158" s="226">
        <v>0</v>
      </c>
      <c r="K158" s="238" t="str">
        <f t="shared" si="63"/>
        <v>4023/4024</v>
      </c>
      <c r="L158" s="246" t="str">
        <f>VLOOKUP(A158,'Trips&amp;Operators'!$C$1:$G$99911,5,FALSE)</f>
        <v>ELBAUM MIKE</v>
      </c>
      <c r="M158" s="225">
        <f t="shared" si="86"/>
        <v>2.5046296294021886E-2</v>
      </c>
      <c r="N158" s="226">
        <f t="shared" si="61"/>
        <v>36.066666663391516</v>
      </c>
      <c r="O158" s="226"/>
      <c r="P158" s="226"/>
      <c r="Q158" s="229"/>
      <c r="R158" s="243"/>
      <c r="S158" s="250">
        <f t="shared" si="62"/>
        <v>1</v>
      </c>
      <c r="T158" s="243" t="str">
        <f t="shared" si="64"/>
        <v>NorthBound</v>
      </c>
      <c r="U158" s="24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9" t="str">
        <f t="shared" si="65"/>
        <v>https://d0f6bd738d7f1b3e5a7ca70fe4ff75f0.us-east-1.aws.found.io/app/kibana#/discover/Steve-Slow-Train-Analysis-(2080s-and-2083s)?_g=(refreshInterval:(display:Off,pause:!f,section:0,value:0),time:(from:'2017-12-01T23:09:48-0700',mode:absolute,to:'2017-12-02T02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8" s="248" t="str">
        <f>IF(AA158&lt;VLOOKUP(AG158,Variables!$AC$3:$AD$8,2,FALSE),"Y","N")</f>
        <v>N</v>
      </c>
      <c r="X158" s="248">
        <f t="shared" si="85"/>
        <v>1</v>
      </c>
      <c r="Y158" s="248">
        <f t="shared" si="83"/>
        <v>5.7299999999999997E-2</v>
      </c>
      <c r="Z158" s="248">
        <f t="shared" si="84"/>
        <v>23.3264</v>
      </c>
      <c r="AA158" s="248">
        <f t="shared" si="67"/>
        <v>23.269099999999998</v>
      </c>
      <c r="AB158" s="234" t="e">
        <f>VLOOKUP(A158,Enforcements!$C$7:$K$9,8,0)</f>
        <v>#N/A</v>
      </c>
      <c r="AC158" s="233" t="e">
        <f>VLOOKUP(A158,Enforcements!$C$7:$E$9,3,0)</f>
        <v>#N/A</v>
      </c>
      <c r="AD158" s="244">
        <f t="shared" si="68"/>
        <v>243</v>
      </c>
      <c r="AE158" s="236" t="str">
        <f t="shared" si="69"/>
        <v>aws s3 cp s3://rtdc.mdm.uploadarchive.raw/RTDC4024/ "%USERPROFILE%\AppData\Local\Temp\OnboardLogs"\RTDC4024\2017-12-02 --exclude "*" --recursive --include "*20171202*" &amp; "%USERPROFILE%\Documents\GitHub\mrs-test-scripts\Headless Mode &amp; Sideloading\WalkAndUnGZ.bat" "%USERPROFILE%\AppData\Local\Temp\OnboardLogs"\RTDC4024\2017-12-02 &amp; aws s3 cp s3://rtdc.mdm.uploadarchive.raw/RTDC4024/ "%USERPROFILE%\AppData\Local\Temp\OnboardLogs"\RTDC4024\2017-12-03 --exclude "*" --recursive --include "*20171203*" &amp; "%USERPROFILE%\Documents\GitHub\mrs-test-scripts\Headless Mode &amp; Sideloading\WalkAndUnGZ.bat" "%USERPROFILE%\AppData\Local\Temp\OnboardLogs"\RTDC4024\2017-12-03</v>
      </c>
      <c r="AF158" s="235" t="str">
        <f t="shared" si="70"/>
        <v>"C:\Program Files (x86)\AstroGrep\AstroGrep.exe" /e /r /s /spath="%USERPROFILE%\AppData\Local\Temp\OnboardLogs" /stypes="app*4024*20171202*" /stext=" 08:.+((SYSTEM_STATE.+slice.+state.+changed )|(ment ac)|(multiple cpu faults)|(system.+state.+changed )|(\[timeout)|(PRM\|1\|D)|(kpr)|(kdp)|(train st.+moving)|(\|lc)|(penalty))"</v>
      </c>
      <c r="AG158" s="245" t="str">
        <f t="shared" si="71"/>
        <v>EC</v>
      </c>
      <c r="AH158" s="237" t="str">
        <f t="shared" si="72"/>
        <v>"%USERPROFILE%\Documents\GitHub\eaglep3\Utilities\RefineRTDCRunTimes.py" --tripid 243-01 --locoid 4024 --swversion DE.1.0.9.0 --startMP 204:573 --initTime 2017-12-02T00:09:48 --startdatetime 2017-12-02T00:30:13 --delay 53 --endMP 204:233264 --enddatetime 2017-12-02T01:06:17 --enforcementcount 0 &gt;&gt;%USERPROFILE%\Documents\GitHub\eaglep3-reporting\EC\2017-12-01-refined-times.txt</v>
      </c>
      <c r="AI158" s="239" t="str">
        <f t="shared" si="73"/>
        <v>echo {"issue":{"subject":"","project_id":79,"tracker_id":40,"status_id":1,"priority_id":2,"assigned_to_id":338,"start_date":"2017-12-02","description":"","custom_fields":[{"id":1,"name":"Subdivision","value":"EC"},{"id":4,"name":"Milepost","value":"23.3264"},{"id":17,"name":"Train ID","value":"243-01"},{"id":16,"name":"Locomotive ID","value":"4024"},{"id":130,"name":"Impact","value":""},{"id":150,"name":"Time of Event (Mountain Time)","value":"01:06:17"},{"id":151,"name":"Denver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2"/>
      <c r="AL158" s="232"/>
      <c r="AM158" s="241" t="str">
        <f t="shared" si="74"/>
        <v>start /low /b %USERPROFILE%\Documents\GitHub\eaglep3\Utilities\DownloadLogsFromS3.py --loco 4024 --day 2017-12-02</v>
      </c>
      <c r="AN158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08:06:17"},{"id":29,"name":"Sharepoint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1" t="str">
        <f t="shared" si="76"/>
        <v>https://d0f6bd738d7f1b3e5a7ca70fe4ff75f0.us-east-1.aws.found.io/app/kibana#/discover/Steve-Slow-Train-Analysis-(2080s-and-2083s)?_g=(refreshInterval:(display:Off,pause:!f,section:0,value:0),time:(from:'2017-12-01T23:09:48-0700',mode:absolute,to:'2017-12-02T02:06:17-0700'))&amp;_a=(columns:!('Message%20ID',Summary),filters:!(),index:'emp_*',interval:auto,query:(query_string:(analyze_wildcard:!t,query:'%22rtdc.l.rtdc.4024%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4" customFormat="1" x14ac:dyDescent="0.25">
      <c r="A159" s="230" t="s">
        <v>956</v>
      </c>
      <c r="B159" s="226">
        <v>4023</v>
      </c>
      <c r="C159" s="228" t="s">
        <v>192</v>
      </c>
      <c r="D159" s="228" t="s">
        <v>713</v>
      </c>
      <c r="E159" s="227">
        <v>43071.047789351855</v>
      </c>
      <c r="F159" s="227">
        <v>43071.060578703706</v>
      </c>
      <c r="G159" s="226">
        <v>52</v>
      </c>
      <c r="H159" s="228" t="s">
        <v>691</v>
      </c>
      <c r="I159" s="227">
        <v>43071.085833333331</v>
      </c>
      <c r="J159" s="226">
        <v>0</v>
      </c>
      <c r="K159" s="238" t="str">
        <f t="shared" si="63"/>
        <v>4023/4024</v>
      </c>
      <c r="L159" s="246" t="str">
        <f>VLOOKUP(A159,'Trips&amp;Operators'!$C$1:$G$99911,5,FALSE)</f>
        <v>ELBAUM MIKE</v>
      </c>
      <c r="M159" s="225">
        <f t="shared" si="86"/>
        <v>2.5254629625123926E-2</v>
      </c>
      <c r="N159" s="226">
        <f t="shared" si="61"/>
        <v>36.366666660178453</v>
      </c>
      <c r="O159" s="226"/>
      <c r="P159" s="226"/>
      <c r="Q159" s="229"/>
      <c r="R159" s="243"/>
      <c r="S159" s="250">
        <f t="shared" si="62"/>
        <v>1</v>
      </c>
      <c r="T159" s="243" t="str">
        <f t="shared" si="64"/>
        <v>Southbound</v>
      </c>
      <c r="U159" s="24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9" t="str">
        <f t="shared" si="65"/>
        <v>https://d0f6bd738d7f1b3e5a7ca70fe4ff75f0.us-east-1.aws.found.io/app/kibana#/discover/Steve-Slow-Train-Analysis-(2080s-and-2083s)?_g=(refreshInterval:(display:Off,pause:!f,section:0,value:0),time:(from:'2017-12-02T00:08:49-0700',mode:absolute,to:'2017-12-02T03:03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9" s="248" t="str">
        <f>IF(AA159&lt;VLOOKUP(AG159,Variables!$AC$3:$AD$8,2,FALSE),"Y","N")</f>
        <v>N</v>
      </c>
      <c r="X159" s="248">
        <f t="shared" si="85"/>
        <v>1</v>
      </c>
      <c r="Y159" s="248">
        <f t="shared" si="83"/>
        <v>23.2942</v>
      </c>
      <c r="Z159" s="248">
        <f t="shared" si="84"/>
        <v>2.6200000000000001E-2</v>
      </c>
      <c r="AA159" s="248">
        <f t="shared" si="67"/>
        <v>23.268000000000001</v>
      </c>
      <c r="AB159" s="234" t="e">
        <f>VLOOKUP(A159,Enforcements!$C$7:$K$9,8,0)</f>
        <v>#N/A</v>
      </c>
      <c r="AC159" s="233" t="e">
        <f>VLOOKUP(A159,Enforcements!$C$7:$E$9,3,0)</f>
        <v>#N/A</v>
      </c>
      <c r="AD159" s="244">
        <f t="shared" si="68"/>
        <v>244</v>
      </c>
      <c r="AE159" s="236" t="str">
        <f t="shared" si="69"/>
        <v>aws s3 cp s3://rtdc.mdm.uploadarchive.raw/RTDC4023/ "%USERPROFILE%\AppData\Local\Temp\OnboardLogs"\RTDC4023\2017-12-02 --exclude "*" --recursive --include "*20171202*" &amp; "%USERPROFILE%\Documents\GitHub\mrs-test-scripts\Headless Mode &amp; Sideloading\WalkAndUnGZ.bat" "%USERPROFILE%\AppData\Local\Temp\OnboardLogs"\RTDC4023\2017-12-02 &amp; aws s3 cp s3://rtdc.mdm.uploadarchive.raw/RTDC4023/ "%USERPROFILE%\AppData\Local\Temp\OnboardLogs"\RTDC4023\2017-12-03 --exclude "*" --recursive --include "*20171203*" &amp; "%USERPROFILE%\Documents\GitHub\mrs-test-scripts\Headless Mode &amp; Sideloading\WalkAndUnGZ.bat" "%USERPROFILE%\AppData\Local\Temp\OnboardLogs"\RTDC4023\2017-12-03</v>
      </c>
      <c r="AF159" s="235" t="str">
        <f t="shared" si="70"/>
        <v>"C:\Program Files (x86)\AstroGrep\AstroGrep.exe" /e /r /s /spath="%USERPROFILE%\AppData\Local\Temp\OnboardLogs" /stypes="app*4023*20171202*" /stext=" 09:.+((SYSTEM_STATE.+slice.+state.+changed )|(ment ac)|(multiple cpu faults)|(system.+state.+changed )|(\[timeout)|(PRM\|1\|D)|(kpr)|(kdp)|(train st.+moving)|(\|lc)|(penalty))"</v>
      </c>
      <c r="AG159" s="245" t="str">
        <f t="shared" si="71"/>
        <v>EC</v>
      </c>
      <c r="AH159" s="237" t="str">
        <f t="shared" si="72"/>
        <v>"%USERPROFILE%\Documents\GitHub\eaglep3\Utilities\RefineRTDCRunTimes.py" --tripid 244-01 --locoid 4023 --swversion DE.1.0.9.0 --startMP 204:232942 --initTime 2017-12-02T01:08:49 --startdatetime 2017-12-02T01:27:14 --delay 52 --endMP 204:262 --enddatetime 2017-12-02T02:03:36 --enforcementcount 0 &gt;&gt;%USERPROFILE%\Documents\GitHub\eaglep3-reporting\EC\2017-12-01-refined-times.txt</v>
      </c>
      <c r="AI159" s="239" t="str">
        <f t="shared" si="73"/>
        <v>echo {"issue":{"subject":"","project_id":79,"tracker_id":40,"status_id":1,"priority_id":2,"assigned_to_id":338,"start_date":"2017-12-02","description":"","custom_fields":[{"id":1,"name":"Subdivision","value":"EC"},{"id":4,"name":"Milepost","value":"0.0262"},{"id":17,"name":"Train ID","value":"244-01"},{"id":16,"name":"Locomotive ID","value":"4023"},{"id":130,"name":"Impact","value":""},{"id":150,"name":"Time of Event (Mountain Time)","value":"02:03:36"},{"id":151,"name":"Denver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2"/>
      <c r="AL159" s="232"/>
      <c r="AM159" s="241" t="str">
        <f t="shared" si="74"/>
        <v>start /low /b %USERPROFILE%\Documents\GitHub\eaglep3\Utilities\DownloadLogsFromS3.py --loco 4023 --day 2017-12-02</v>
      </c>
      <c r="AN159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09:03:36"},{"id":29,"name":"Sharepoint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1" t="str">
        <f t="shared" si="76"/>
        <v>https://d0f6bd738d7f1b3e5a7ca70fe4ff75f0.us-east-1.aws.found.io/app/kibana#/discover/Steve-Slow-Train-Analysis-(2080s-and-2083s)?_g=(refreshInterval:(display:Off,pause:!f,section:0,value:0),time:(from:'2017-12-02T00:08:49-0700',mode:absolute,to:'2017-12-02T03:03:36-0700'))&amp;_a=(columns:!('Message%20ID',Summary),filters:!(),index:'emp_*',interval:auto,query:(query_string:(analyze_wildcard:!t,query:'%22rtdc.l.rtdc.4023%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4" customFormat="1" x14ac:dyDescent="0.25">
      <c r="A160" s="230" t="s">
        <v>954</v>
      </c>
      <c r="B160" s="226">
        <v>4006</v>
      </c>
      <c r="C160" s="228" t="s">
        <v>192</v>
      </c>
      <c r="D160" s="228" t="s">
        <v>713</v>
      </c>
      <c r="E160" s="227">
        <v>43071.047789351855</v>
      </c>
      <c r="F160" s="227">
        <v>43071.042534722219</v>
      </c>
      <c r="G160" s="226">
        <v>52</v>
      </c>
      <c r="H160" s="228" t="s">
        <v>691</v>
      </c>
      <c r="I160" s="227">
        <v>43071.069131944445</v>
      </c>
      <c r="J160" s="226">
        <v>0</v>
      </c>
      <c r="K160" s="238" t="str">
        <f t="shared" si="63"/>
        <v>4005/4006</v>
      </c>
      <c r="L160" s="246" t="str">
        <f>VLOOKUP(A160,'Trips&amp;Operators'!$C$1:$G$99911,5,FALSE)</f>
        <v>ANDERS STEVEN</v>
      </c>
      <c r="M160" s="225">
        <f t="shared" si="86"/>
        <v>2.6597222225973383E-2</v>
      </c>
      <c r="N160" s="226">
        <f t="shared" si="61"/>
        <v>38.300000005401671</v>
      </c>
      <c r="O160" s="226"/>
      <c r="P160" s="226"/>
      <c r="Q160" s="229"/>
      <c r="R160" s="243"/>
      <c r="S160" s="250">
        <f t="shared" si="62"/>
        <v>1</v>
      </c>
      <c r="T160" s="243" t="str">
        <f t="shared" si="64"/>
        <v>NorthBound</v>
      </c>
      <c r="U160" s="24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49" t="str">
        <f t="shared" si="65"/>
        <v>https://d0f6bd738d7f1b3e5a7ca70fe4ff75f0.us-east-1.aws.found.io/app/kibana#/discover/Steve-Slow-Train-Analysis-(2080s-and-2083s)?_g=(refreshInterval:(display:Off,pause:!f,section:0,value:0),time:(from:'2017-12-02T00:08:49-0700',mode:absolute,to:'2017-12-02T02:39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0" s="248" t="str">
        <f>IF(AA160&lt;VLOOKUP(AG160,Variables!$AC$3:$AD$8,2,FALSE),"Y","N")</f>
        <v>N</v>
      </c>
      <c r="X160" s="248">
        <f t="shared" si="85"/>
        <v>1</v>
      </c>
      <c r="Y160" s="248">
        <v>5.7299999999999997E-2</v>
      </c>
      <c r="Z160" s="248">
        <v>23.3264</v>
      </c>
      <c r="AA160" s="248">
        <f t="shared" si="67"/>
        <v>23.269099999999998</v>
      </c>
      <c r="AB160" s="234" t="e">
        <f>VLOOKUP(A160,Enforcements!$C$7:$K$9,8,0)</f>
        <v>#N/A</v>
      </c>
      <c r="AC160" s="233" t="e">
        <f>VLOOKUP(A160,Enforcements!$C$7:$E$9,3,0)</f>
        <v>#N/A</v>
      </c>
      <c r="AD160" s="244">
        <f t="shared" si="68"/>
        <v>245</v>
      </c>
      <c r="AE160" s="236" t="str">
        <f t="shared" si="69"/>
        <v>aws s3 cp s3://rtdc.mdm.uploadarchive.raw/RTDC4006/ "%USERPROFILE%\AppData\Local\Temp\OnboardLogs"\RTDC4006\2017-12-02 --exclude "*" --recursive --include "*20171202*" &amp; "%USERPROFILE%\Documents\GitHub\mrs-test-scripts\Headless Mode &amp; Sideloading\WalkAndUnGZ.bat" "%USERPROFILE%\AppData\Local\Temp\OnboardLogs"\RTDC4006\2017-12-02 &amp; aws s3 cp s3://rtdc.mdm.uploadarchive.raw/RTDC4006/ "%USERPROFILE%\AppData\Local\Temp\OnboardLogs"\RTDC4006\2017-12-03 --exclude "*" --recursive --include "*20171203*" &amp; "%USERPROFILE%\Documents\GitHub\mrs-test-scripts\Headless Mode &amp; Sideloading\WalkAndUnGZ.bat" "%USERPROFILE%\AppData\Local\Temp\OnboardLogs"\RTDC4006\2017-12-03</v>
      </c>
      <c r="AF160" s="235" t="str">
        <f t="shared" si="70"/>
        <v>"C:\Program Files (x86)\AstroGrep\AstroGrep.exe" /e /r /s /spath="%USERPROFILE%\AppData\Local\Temp\OnboardLogs" /stypes="app*4006*20171202*" /stext=" 08:.+((SYSTEM_STATE.+slice.+state.+changed )|(ment ac)|(multiple cpu faults)|(system.+state.+changed )|(\[timeout)|(PRM\|1\|D)|(kpr)|(kdp)|(train st.+moving)|(\|lc)|(penalty))"</v>
      </c>
      <c r="AG160" s="245" t="str">
        <f t="shared" si="71"/>
        <v>EC</v>
      </c>
      <c r="AH160" s="237" t="str">
        <f t="shared" ref="AH160" si="87"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245-01 --locoid 4006 --swversion DE.1.0.9.0 --startMP 204:232942 --initTime 2017-12-02T01:08:49 --startdatetime 2017-12-02T01:01:15 --delay 52 --endMP 204:262 --enddatetime 2017-12-02T01:39:33 --enforcementcount 0 &gt;&gt;%USERPROFILE%\Documents\GitHub\eaglep3-reporting\EC\2017-12-01-refined-times.txt</v>
      </c>
      <c r="AI160" s="239" t="str">
        <f t="shared" ref="AI160" si="88"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{"issue":{"subject":"","project_id":79,"tracker_id":40,"status_id":1,"priority_id":2,"assigned_to_id":338,"start_date":"2017-12-02","description":"","custom_fields":[{"id":1,"name":"Subdivision","value":"EC"},{"id":4,"name":"Milepost","value":"23.3264"},{"id":17,"name":"Train ID","value":"245-01"},{"id":16,"name":"Locomotive ID","value":"4006"},{"id":130,"name":"Impact","value":""},{"id":150,"name":"Time of Event (Mountain Time)","value":"01:39:33"},{"id":151,"name":"Denver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2"/>
      <c r="AL160" s="232"/>
      <c r="AM160" s="241" t="str">
        <f t="shared" ref="AM160" si="89">"start /low /b "&amp;dls3logs&amp;" --loco "&amp;B160&amp;" --day "&amp;TEXT(F160,"YYYY-MM-DD")</f>
        <v>start /low /b %USERPROFILE%\Documents\GitHub\eaglep3\Utilities\DownloadLogsFromS3.py --loco 4006 --day 2017-12-02</v>
      </c>
      <c r="AN160" s="242" t="str">
        <f t="shared" ref="AN160" si="90">"echo {""issue"":{""subject"":"""&amp;R160&amp;""",""project_id"":30,""tracker_id"":4,""status_id"":"&amp;redmine_status_wcr&amp;",""priority_id"":"&amp;redmine_priority_wcr&amp;",""assigned_to_id"":"&amp;redmine_assignee_wcr&amp;",""start_date"":"""&amp;TEXT(I160-utc_offset/24,"YYYY-mm-dd")&amp;""",""description"":"""&amp;AJ160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08:39:33"},{"id":29,"name":"Sharepoint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1" t="str">
        <f t="shared" ref="AO160" si="91"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Message%20ID',Summary),filters:!(),index:'emp_*',interval:auto,query:"&amp;"(query_string:(analyze_wildcard:!t,query:'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-12-02T00:08:49-0700',mode:absolute,to:'2017-12-02T02:39:33-0700'))&amp;_a=(columns:!('Message%20ID',Summary),filters:!(),index:'emp_*',interval:auto,query:(query_string:(analyze_wildcard:!t,query:'%22rtdc.l.rtdc.4006%22')),sort:!(Time.ISO8601,asc))</v>
      </c>
    </row>
    <row r="161" spans="1:91" s="224" customFormat="1" x14ac:dyDescent="0.25">
      <c r="A161" s="230" t="s">
        <v>959</v>
      </c>
      <c r="B161" s="226">
        <v>4005</v>
      </c>
      <c r="C161" s="228" t="s">
        <v>192</v>
      </c>
      <c r="D161" s="228" t="s">
        <v>716</v>
      </c>
      <c r="E161" s="227">
        <v>43071.073321759257</v>
      </c>
      <c r="F161" s="227">
        <v>43071.081886574073</v>
      </c>
      <c r="G161" s="226">
        <v>104</v>
      </c>
      <c r="H161" s="228" t="s">
        <v>1016</v>
      </c>
      <c r="I161" s="227">
        <v>43071.10974537037</v>
      </c>
      <c r="J161" s="226">
        <v>0</v>
      </c>
      <c r="K161" s="238" t="str">
        <f t="shared" si="63"/>
        <v>4005/4006</v>
      </c>
      <c r="L161" s="246" t="str">
        <f>VLOOKUP(A161,'Trips&amp;Operators'!$C$1:$G$99911,5,FALSE)</f>
        <v>ANDERS STEVEN</v>
      </c>
      <c r="M161" s="225">
        <f t="shared" si="86"/>
        <v>2.7858796296641231E-2</v>
      </c>
      <c r="N161" s="226">
        <f t="shared" si="61"/>
        <v>40.116666667163372</v>
      </c>
      <c r="O161" s="226"/>
      <c r="P161" s="226"/>
      <c r="Q161" s="229"/>
      <c r="R161" s="243"/>
      <c r="S161" s="250">
        <f t="shared" si="62"/>
        <v>1</v>
      </c>
      <c r="T161" s="243" t="str">
        <f t="shared" si="64"/>
        <v>Southbound</v>
      </c>
      <c r="U161" s="24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49" t="str">
        <f t="shared" si="65"/>
        <v>https://d0f6bd738d7f1b3e5a7ca70fe4ff75f0.us-east-1.aws.found.io/app/kibana#/discover/Steve-Slow-Train-Analysis-(2080s-and-2083s)?_g=(refreshInterval:(display:Off,pause:!f,section:0,value:0),time:(from:'2017-12-02T00:45:35-0700',mode:absolute,to:'2017-12-02T03:38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1" s="248" t="str">
        <f>IF(AA161&lt;VLOOKUP(AG161,Variables!$AC$3:$AD$8,2,FALSE),"Y","N")</f>
        <v>N</v>
      </c>
      <c r="X161" s="248">
        <f t="shared" si="85"/>
        <v>1</v>
      </c>
      <c r="Y161" s="248">
        <f t="shared" ref="Y161:Y192" si="92">RIGHT(D161,LEN(D161)-4)/10000</f>
        <v>23.292100000000001</v>
      </c>
      <c r="Z161" s="248">
        <f t="shared" ref="Z161:Z192" si="93">RIGHT(H161,LEN(H161)-4)/10000</f>
        <v>2.3800000000000002E-2</v>
      </c>
      <c r="AA161" s="248">
        <f t="shared" si="67"/>
        <v>23.2683</v>
      </c>
      <c r="AB161" s="234" t="e">
        <f>VLOOKUP(A161,Enforcements!$C$7:$K$9,8,0)</f>
        <v>#N/A</v>
      </c>
      <c r="AC161" s="233" t="e">
        <f>VLOOKUP(A161,Enforcements!$C$7:$E$9,3,0)</f>
        <v>#N/A</v>
      </c>
      <c r="AD161" s="244">
        <f t="shared" si="68"/>
        <v>246</v>
      </c>
      <c r="AE161" s="236" t="str">
        <f t="shared" si="69"/>
        <v>aws s3 cp s3://rtdc.mdm.uploadarchive.raw/RTDC4005/ "%USERPROFILE%\AppData\Local\Temp\OnboardLogs"\RTDC4005\2017-12-02 --exclude "*" --recursive --include "*20171202*" &amp; "%USERPROFILE%\Documents\GitHub\mrs-test-scripts\Headless Mode &amp; Sideloading\WalkAndUnGZ.bat" "%USERPROFILE%\AppData\Local\Temp\OnboardLogs"\RTDC4005\2017-12-02 &amp; aws s3 cp s3://rtdc.mdm.uploadarchive.raw/RTDC4005/ "%USERPROFILE%\AppData\Local\Temp\OnboardLogs"\RTDC4005\2017-12-03 --exclude "*" --recursive --include "*20171203*" &amp; "%USERPROFILE%\Documents\GitHub\mrs-test-scripts\Headless Mode &amp; Sideloading\WalkAndUnGZ.bat" "%USERPROFILE%\AppData\Local\Temp\OnboardLogs"\RTDC4005\2017-12-03</v>
      </c>
      <c r="AF161" s="235" t="str">
        <f t="shared" si="70"/>
        <v>"C:\Program Files (x86)\AstroGrep\AstroGrep.exe" /e /r /s /spath="%USERPROFILE%\AppData\Local\Temp\OnboardLogs" /stypes="app*4005*20171202*" /stext=" 09:.+((SYSTEM_STATE.+slice.+state.+changed )|(ment ac)|(multiple cpu faults)|(system.+state.+changed )|(\[timeout)|(PRM\|1\|D)|(kpr)|(kdp)|(train st.+moving)|(\|lc)|(penalty))"</v>
      </c>
      <c r="AG161" s="245" t="str">
        <f t="shared" si="71"/>
        <v>EC</v>
      </c>
      <c r="AH161" s="237" t="str">
        <f t="shared" si="72"/>
        <v>"%USERPROFILE%\Documents\GitHub\eaglep3\Utilities\RefineRTDCRunTimes.py" --tripid 246-01 --locoid 4005 --swversion DE.1.0.9.0 --startMP 204:232921 --initTime 2017-12-02T01:45:35 --startdatetime 2017-12-02T01:57:55 --delay 104 --endMP 204:238 --enddatetime 2017-12-02T02:38:02 --enforcementcount 0 &gt;&gt;%USERPROFILE%\Documents\GitHub\eaglep3-reporting\EC\2017-12-01-refined-times.txt</v>
      </c>
      <c r="AI161" s="239" t="str">
        <f t="shared" si="73"/>
        <v>echo {"issue":{"subject":"","project_id":79,"tracker_id":40,"status_id":1,"priority_id":2,"assigned_to_id":338,"start_date":"2017-12-02","description":"","custom_fields":[{"id":1,"name":"Subdivision","value":"EC"},{"id":4,"name":"Milepost","value":"0.0238"},{"id":17,"name":"Train ID","value":"246-01"},{"id":16,"name":"Locomotive ID","value":"4005"},{"id":130,"name":"Impact","value":""},{"id":150,"name":"Time of Event (Mountain Time)","value":"02:38:02"},{"id":151,"name":"Denver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2"/>
      <c r="AL161" s="232"/>
      <c r="AM161" s="241" t="str">
        <f t="shared" si="74"/>
        <v>start /low /b %USERPROFILE%\Documents\GitHub\eaglep3\Utilities\DownloadLogsFromS3.py --loco 4005 --day 2017-12-02</v>
      </c>
      <c r="AN161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09:38:02"},{"id":29,"name":"Sharepoint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1" t="str">
        <f t="shared" si="76"/>
        <v>https://d0f6bd738d7f1b3e5a7ca70fe4ff75f0.us-east-1.aws.found.io/app/kibana#/discover/Steve-Slow-Train-Analysis-(2080s-and-2083s)?_g=(refreshInterval:(display:Off,pause:!f,section:0,value:0),time:(from:'2017-12-02T00:45:35-0700',mode:absolute,to:'2017-12-02T03:38:02-0700'))&amp;_a=(columns:!('Message%20ID',Summary),filters:!(),index:'emp_*',interval:auto,query:(query_string:(analyze_wildcard:!t,query:'%22rtdc.l.rtdc.4005%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230" t="s">
        <v>728</v>
      </c>
      <c r="B162" s="226">
        <v>4015</v>
      </c>
      <c r="C162" s="228" t="s">
        <v>192</v>
      </c>
      <c r="D162" s="228" t="s">
        <v>1045</v>
      </c>
      <c r="E162" s="227">
        <v>43070.209710648145</v>
      </c>
      <c r="F162" s="227">
        <v>43070.211597222224</v>
      </c>
      <c r="G162" s="226">
        <v>87</v>
      </c>
      <c r="H162" s="228" t="s">
        <v>650</v>
      </c>
      <c r="I162" s="227">
        <v>43070.226678240739</v>
      </c>
      <c r="J162" s="226">
        <v>0</v>
      </c>
      <c r="K162" s="238" t="str">
        <f t="shared" si="63"/>
        <v>4015/4016</v>
      </c>
      <c r="L162" s="246" t="str">
        <f>VLOOKUP(A162,'Trips&amp;Operators'!$C$1:$G$99911,5,FALSE)</f>
        <v>WILLIAMS DONTE</v>
      </c>
      <c r="M162" s="225">
        <f t="shared" si="86"/>
        <v>1.5081018515047617E-2</v>
      </c>
      <c r="N162" s="226">
        <f t="shared" ref="N162:N193" si="94">24*60*SUM($M162:$M162)</f>
        <v>21.716666661668569</v>
      </c>
      <c r="O162" s="226"/>
      <c r="P162" s="226"/>
      <c r="Q162" s="229"/>
      <c r="R162" s="243"/>
      <c r="S162" s="250">
        <f t="shared" ref="S162:S193" si="95">1/IF(AG162="EC",12,1)*SUM(U162:U162)</f>
        <v>1</v>
      </c>
      <c r="T162" s="243" t="str">
        <f t="shared" si="64"/>
        <v>Southbound</v>
      </c>
      <c r="U162" s="24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9" t="str">
        <f t="shared" si="65"/>
        <v>https://d0f6bd738d7f1b3e5a7ca70fe4ff75f0.us-east-1.aws.found.io/app/kibana#/discover/Steve-Slow-Train-Analysis-(2080s-and-2083s)?_g=(refreshInterval:(display:Off,pause:!f,section:0,value:0),time:(from:'2017-12-01T04:01:59-0700',mode:absolute,to:'2017-12-01T06:26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2" s="248" t="str">
        <f>IF(AA162&lt;VLOOKUP(AG162,Variables!$AC$3:$AD$8,2,FALSE),"Y","N")</f>
        <v>N</v>
      </c>
      <c r="X162" s="248">
        <f t="shared" si="85"/>
        <v>554</v>
      </c>
      <c r="Y162" s="248">
        <f t="shared" si="92"/>
        <v>5.8628</v>
      </c>
      <c r="Z162" s="248">
        <f t="shared" si="93"/>
        <v>1.5699999999999999E-2</v>
      </c>
      <c r="AA162" s="248">
        <f t="shared" si="67"/>
        <v>5.8471000000000002</v>
      </c>
      <c r="AB162" s="234" t="e">
        <f>VLOOKUP(A162,Enforcements!$C$7:$K$9,8,0)</f>
        <v>#N/A</v>
      </c>
      <c r="AC162" s="233" t="e">
        <f>VLOOKUP(A162,Enforcements!$C$7:$E$9,3,0)</f>
        <v>#N/A</v>
      </c>
      <c r="AD162" s="244">
        <f t="shared" si="68"/>
        <v>800</v>
      </c>
      <c r="AE162" s="236" t="str">
        <f t="shared" si="69"/>
        <v>aws s3 cp s3://rtdc.mdm.uploadarchive.raw/RTDC4015/ "%USERPROFILE%\AppData\Local\Temp\OnboardLogs"\RTDC4015\2017-12-01 --exclude "*" --recursive --include "*20171201*" &amp; "%USERPROFILE%\Documents\GitHub\mrs-test-scripts\Headless Mode &amp; Sideloading\WalkAndUnGZ.bat" "%USERPROFILE%\AppData\Local\Temp\OnboardLogs"\RTDC4015\2017-12-01 &amp; aws s3 cp s3://rtdc.mdm.uploadarchive.raw/RTDC4015/ "%USERPROFILE%\AppData\Local\Temp\OnboardLogs"\RTDC4015\2017-12-02 --exclude "*" --recursive --include "*20171202*" &amp; "%USERPROFILE%\Documents\GitHub\mrs-test-scripts\Headless Mode &amp; Sideloading\WalkAndUnGZ.bat" "%USERPROFILE%\AppData\Local\Temp\OnboardLogs"\RTDC4015\2017-12-02</v>
      </c>
      <c r="AF162" s="235" t="str">
        <f t="shared" si="70"/>
        <v>"C:\Program Files (x86)\AstroGrep\AstroGrep.exe" /e /r /s /spath="%USERPROFILE%\AppData\Local\Temp\OnboardLogs" /stypes="app*4015*20171201*" /stext=" 12:.+((SYSTEM_STATE.+slice.+state.+changed )|(ment ac)|(multiple cpu faults)|(system.+state.+changed )|(\[timeout)|(PRM\|1\|D)|(kpr)|(kdp)|(train st.+moving)|(\|lc)|(penalty))"</v>
      </c>
      <c r="AG162" s="245" t="str">
        <f t="shared" si="71"/>
        <v>NW</v>
      </c>
      <c r="AH162" s="237" t="str">
        <f t="shared" si="72"/>
        <v>"%USERPROFILE%\Documents\GitHub\eaglep3\Utilities\RefineRTDCRunTimes.py" --tripid 800-01 --locoid 4015 --swversion DE.1.0.9.0 --startMP 300:58628 --initTime 2017-12-01T05:01:59 --startdatetime 2017-12-01T05:04:42 --delay 87 --endMP 204:157 --enddatetime 2017-12-01T05:26:25 --enforcementcount 0 &gt;&gt;%USERPROFILE%\Documents\GitHub\eaglep3-reporting\EC\2017-12-01-refined-times.txt</v>
      </c>
      <c r="AI162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{"issue":{"subject":"","project_id":79,"tracker_id":40,"status_id":1,"priority_id":2,"assigned_to_id":338,"start_date":"2017-12-01","description":"","custom_fields":[{"id":1,"name":"Subdivision","value":"NW"},{"id":4,"name":"Milepost","value":"0.0157"},{"id":17,"name":"Train ID","value":"800-01"},{"id":16,"name":"Locomotive ID","value":"4015"},{"id":130,"name":"Impact","value":""},{"id":150,"name":"Time of Event (Mountain Time)","value":"05:26:25"},{"id":151,"name":"Denver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224"/>
      <c r="AK162" s="232"/>
      <c r="AL162" s="232"/>
      <c r="AM162" s="241" t="str">
        <f t="shared" si="74"/>
        <v>start /low /b %USERPROFILE%\Documents\GitHub\eaglep3\Utilities\DownloadLogsFromS3.py --loco 4015 --day 2017-12-01</v>
      </c>
      <c r="AN162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12:26:25"},{"id":29,"name":"Sharepoint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1" t="str">
        <f t="shared" si="76"/>
        <v>https://d0f6bd738d7f1b3e5a7ca70fe4ff75f0.us-east-1.aws.found.io/app/kibana#/discover/Steve-Slow-Train-Analysis-(2080s-and-2083s)?_g=(refreshInterval:(display:Off,pause:!f,section:0,value:0),time:(from:'2017-12-01T04:01:59-0700',mode:absolute,to:'2017-12-01T06:26:25-0700'))&amp;_a=(columns:!('Message%20ID',Summary),filters:!(),index:'emp_*',interval:auto,query:(query_string:(analyze_wildcard:!t,query:'%22rtdc.l.rtdc.4015%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24" customFormat="1" x14ac:dyDescent="0.25">
      <c r="A163" s="230" t="s">
        <v>774</v>
      </c>
      <c r="B163" s="226">
        <v>4016</v>
      </c>
      <c r="C163" s="228" t="s">
        <v>192</v>
      </c>
      <c r="D163" s="228" t="s">
        <v>1046</v>
      </c>
      <c r="E163" s="227">
        <v>43070.233564814815</v>
      </c>
      <c r="F163" s="227">
        <v>43070.235648148147</v>
      </c>
      <c r="G163" s="226">
        <v>64</v>
      </c>
      <c r="H163" s="228" t="s">
        <v>579</v>
      </c>
      <c r="I163" s="227">
        <v>43070.246377314812</v>
      </c>
      <c r="J163" s="226">
        <v>0</v>
      </c>
      <c r="K163" s="238" t="str">
        <f t="shared" si="63"/>
        <v>4015/4016</v>
      </c>
      <c r="L163" s="246" t="str">
        <f>VLOOKUP(A163,'Trips&amp;Operators'!$C$1:$G$99911,5,FALSE)</f>
        <v>WILLIAMS DONTE</v>
      </c>
      <c r="M163" s="225">
        <f t="shared" si="86"/>
        <v>1.0729166664532386E-2</v>
      </c>
      <c r="N163" s="226">
        <f t="shared" si="94"/>
        <v>15.449999996926636</v>
      </c>
      <c r="O163" s="226"/>
      <c r="P163" s="226"/>
      <c r="Q163" s="229"/>
      <c r="R163" s="243"/>
      <c r="S163" s="250">
        <f t="shared" si="95"/>
        <v>1</v>
      </c>
      <c r="T163" s="243" t="str">
        <f t="shared" si="64"/>
        <v>NorthBound</v>
      </c>
      <c r="U163" s="24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9" t="str">
        <f t="shared" si="65"/>
        <v>https://d0f6bd738d7f1b3e5a7ca70fe4ff75f0.us-east-1.aws.found.io/app/kibana#/discover/Steve-Slow-Train-Analysis-(2080s-and-2083s)?_g=(refreshInterval:(display:Off,pause:!f,section:0,value:0),time:(from:'2017-12-01T04:36:20-0700',mode:absolute,to:'2017-12-01T06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3" s="248" t="str">
        <f>IF(AA163&lt;VLOOKUP(AG163,Variables!$AC$3:$AD$8,2,FALSE),"Y","N")</f>
        <v>N</v>
      </c>
      <c r="X163" s="248">
        <f t="shared" si="85"/>
        <v>1</v>
      </c>
      <c r="Y163" s="248">
        <f t="shared" si="92"/>
        <v>4.3900000000000002E-2</v>
      </c>
      <c r="Z163" s="248">
        <f t="shared" si="93"/>
        <v>5.8945999999999996</v>
      </c>
      <c r="AA163" s="248">
        <f t="shared" si="67"/>
        <v>5.8506999999999998</v>
      </c>
      <c r="AB163" s="234" t="e">
        <f>VLOOKUP(A163,Enforcements!$C$7:$K$9,8,0)</f>
        <v>#N/A</v>
      </c>
      <c r="AC163" s="233" t="e">
        <f>VLOOKUP(A163,Enforcements!$C$7:$E$9,3,0)</f>
        <v>#N/A</v>
      </c>
      <c r="AD163" s="244">
        <f t="shared" si="68"/>
        <v>801</v>
      </c>
      <c r="AE163" s="236" t="str">
        <f t="shared" si="69"/>
        <v>aws s3 cp s3://rtdc.mdm.uploadarchive.raw/RTDC4016/ "%USERPROFILE%\AppData\Local\Temp\OnboardLogs"\RTDC4016\2017-12-01 --exclude "*" --recursive --include "*20171201*" &amp; "%USERPROFILE%\Documents\GitHub\mrs-test-scripts\Headless Mode &amp; Sideloading\WalkAndUnGZ.bat" "%USERPROFILE%\AppData\Local\Temp\OnboardLogs"\RTDC4016\2017-12-01 &amp; aws s3 cp s3://rtdc.mdm.uploadarchive.raw/RTDC4016/ "%USERPROFILE%\AppData\Local\Temp\OnboardLogs"\RTDC4016\2017-12-02 --exclude "*" --recursive --include "*20171202*" &amp; "%USERPROFILE%\Documents\GitHub\mrs-test-scripts\Headless Mode &amp; Sideloading\WalkAndUnGZ.bat" "%USERPROFILE%\AppData\Local\Temp\OnboardLogs"\RTDC4016\2017-12-02</v>
      </c>
      <c r="AF163" s="235" t="str">
        <f t="shared" si="70"/>
        <v>"C:\Program Files (x86)\AstroGrep\AstroGrep.exe" /e /r /s /spath="%USERPROFILE%\AppData\Local\Temp\OnboardLogs" /stypes="app*4016*20171201*" /stext=" 12:.+((SYSTEM_STATE.+slice.+state.+changed )|(ment ac)|(multiple cpu faults)|(system.+state.+changed )|(\[timeout)|(PRM\|1\|D)|(kpr)|(kdp)|(train st.+moving)|(\|lc)|(penalty))"</v>
      </c>
      <c r="AG163" s="245" t="str">
        <f t="shared" si="71"/>
        <v>NW</v>
      </c>
      <c r="AH163" s="237" t="str">
        <f t="shared" si="72"/>
        <v>"%USERPROFILE%\Documents\GitHub\eaglep3\Utilities\RefineRTDCRunTimes.py" --tripid 801-01 --locoid 4016 --swversion DE.1.0.9.0 --startMP 204:439 --initTime 2017-12-01T05:36:20 --startdatetime 2017-12-01T05:39:20 --delay 64 --endMP 300:58946 --enddatetime 2017-12-01T05:54:47 --enforcementcount 0 &gt;&gt;%USERPROFILE%\Documents\GitHub\eaglep3-reporting\EC\2017-12-01-refined-times.txt</v>
      </c>
      <c r="AI163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{"issue":{"subject":"","project_id":79,"tracker_id":40,"status_id":1,"priority_id":2,"assigned_to_id":338,"start_date":"2017-12-01","description":"","custom_fields":[{"id":1,"name":"Subdivision","value":"NW"},{"id":4,"name":"Milepost","value":"5.8946"},{"id":17,"name":"Train ID","value":"801-01"},{"id":16,"name":"Locomotive ID","value":"4016"},{"id":130,"name":"Impact","value":""},{"id":150,"name":"Time of Event (Mountain Time)","value":"05:54:47"},{"id":151,"name":"Denver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232"/>
      <c r="AL163" s="232"/>
      <c r="AM163" s="241" t="str">
        <f t="shared" si="74"/>
        <v>start /low /b %USERPROFILE%\Documents\GitHub\eaglep3\Utilities\DownloadLogsFromS3.py --loco 4016 --day 2017-12-01</v>
      </c>
      <c r="AN163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12:54:47"},{"id":29,"name":"Sharepoint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1" t="str">
        <f t="shared" si="76"/>
        <v>https://d0f6bd738d7f1b3e5a7ca70fe4ff75f0.us-east-1.aws.found.io/app/kibana#/discover/Steve-Slow-Train-Analysis-(2080s-and-2083s)?_g=(refreshInterval:(display:Off,pause:!f,section:0,value:0),time:(from:'2017-12-01T04:36:20-0700',mode:absolute,to:'2017-12-01T06:54:47-0700'))&amp;_a=(columns:!('Message%20ID',Summary),filters:!(),index:'emp_*',interval:auto,query:(query_string:(analyze_wildcard:!t,query:'%22rtdc.l.rtdc.4016%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230" t="s">
        <v>778</v>
      </c>
      <c r="B164" s="226">
        <v>4015</v>
      </c>
      <c r="C164" s="228" t="s">
        <v>192</v>
      </c>
      <c r="D164" s="228" t="s">
        <v>1047</v>
      </c>
      <c r="E164" s="227">
        <v>43070.247256944444</v>
      </c>
      <c r="F164" s="227">
        <v>43070.258333333331</v>
      </c>
      <c r="G164" s="226">
        <v>81</v>
      </c>
      <c r="H164" s="228" t="s">
        <v>1048</v>
      </c>
      <c r="I164" s="227">
        <v>43070.268287037034</v>
      </c>
      <c r="J164" s="226">
        <v>0</v>
      </c>
      <c r="K164" s="238" t="str">
        <f t="shared" si="63"/>
        <v>4015/4016</v>
      </c>
      <c r="L164" s="246" t="str">
        <f>VLOOKUP(A164,'Trips&amp;Operators'!$C$1:$G$99911,5,FALSE)</f>
        <v>WILLIAMS DONTE</v>
      </c>
      <c r="M164" s="225">
        <f t="shared" si="86"/>
        <v>9.9537037021946162E-3</v>
      </c>
      <c r="N164" s="226">
        <f t="shared" si="94"/>
        <v>14.333333331160247</v>
      </c>
      <c r="O164" s="226"/>
      <c r="P164" s="226"/>
      <c r="Q164" s="229"/>
      <c r="R164" s="243"/>
      <c r="S164" s="250">
        <f t="shared" si="95"/>
        <v>1</v>
      </c>
      <c r="T164" s="243" t="str">
        <f t="shared" si="64"/>
        <v>Southbound</v>
      </c>
      <c r="U164" s="24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9" t="str">
        <f t="shared" si="65"/>
        <v>https://d0f6bd738d7f1b3e5a7ca70fe4ff75f0.us-east-1.aws.found.io/app/kibana#/discover/Steve-Slow-Train-Analysis-(2080s-and-2083s)?_g=(refreshInterval:(display:Off,pause:!f,section:0,value:0),time:(from:'2017-12-01T04:56:03-0700',mode:absolute,to:'2017-12-01T07:26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4" s="248" t="str">
        <f>IF(AA164&lt;VLOOKUP(AG164,Variables!$AC$3:$AD$8,2,FALSE),"Y","N")</f>
        <v>N</v>
      </c>
      <c r="X164" s="248">
        <f t="shared" si="85"/>
        <v>1</v>
      </c>
      <c r="Y164" s="248">
        <f t="shared" si="92"/>
        <v>5.8624999999999998</v>
      </c>
      <c r="Z164" s="248">
        <f t="shared" si="93"/>
        <v>1.11E-2</v>
      </c>
      <c r="AA164" s="248">
        <f t="shared" si="67"/>
        <v>5.8513999999999999</v>
      </c>
      <c r="AB164" s="234" t="e">
        <f>VLOOKUP(A164,Enforcements!$C$7:$K$9,8,0)</f>
        <v>#N/A</v>
      </c>
      <c r="AC164" s="233" t="e">
        <f>VLOOKUP(A164,Enforcements!$C$7:$E$9,3,0)</f>
        <v>#N/A</v>
      </c>
      <c r="AD164" s="244">
        <f t="shared" si="68"/>
        <v>802</v>
      </c>
      <c r="AE164" s="236" t="str">
        <f t="shared" si="69"/>
        <v>aws s3 cp s3://rtdc.mdm.uploadarchive.raw/RTDC4015/ "%USERPROFILE%\AppData\Local\Temp\OnboardLogs"\RTDC4015\2017-12-01 --exclude "*" --recursive --include "*20171201*" &amp; "%USERPROFILE%\Documents\GitHub\mrs-test-scripts\Headless Mode &amp; Sideloading\WalkAndUnGZ.bat" "%USERPROFILE%\AppData\Local\Temp\OnboardLogs"\RTDC4015\2017-12-01 &amp; aws s3 cp s3://rtdc.mdm.uploadarchive.raw/RTDC4015/ "%USERPROFILE%\AppData\Local\Temp\OnboardLogs"\RTDC4015\2017-12-02 --exclude "*" --recursive --include "*20171202*" &amp; "%USERPROFILE%\Documents\GitHub\mrs-test-scripts\Headless Mode &amp; Sideloading\WalkAndUnGZ.bat" "%USERPROFILE%\AppData\Local\Temp\OnboardLogs"\RTDC4015\2017-12-02</v>
      </c>
      <c r="AF164" s="235" t="str">
        <f t="shared" si="70"/>
        <v>"C:\Program Files (x86)\AstroGrep\AstroGrep.exe" /e /r /s /spath="%USERPROFILE%\AppData\Local\Temp\OnboardLogs" /stypes="app*4015*20171201*" /stext=" 13:.+((SYSTEM_STATE.+slice.+state.+changed )|(ment ac)|(multiple cpu faults)|(system.+state.+changed )|(\[timeout)|(PRM\|1\|D)|(kpr)|(kdp)|(train st.+moving)|(\|lc)|(penalty))"</v>
      </c>
      <c r="AG164" s="245" t="str">
        <f t="shared" si="71"/>
        <v>NW</v>
      </c>
      <c r="AH164" s="237" t="str">
        <f t="shared" si="72"/>
        <v>"%USERPROFILE%\Documents\GitHub\eaglep3\Utilities\RefineRTDCRunTimes.py" --tripid 802-01 --locoid 4015 --swversion DE.1.0.9.0 --startMP 300:58625 --initTime 2017-12-01T05:56:03 --startdatetime 2017-12-01T06:12:00 --delay 81 --endMP 204:111 --enddatetime 2017-12-01T06:26:20 --enforcementcount 0 &gt;&gt;%USERPROFILE%\Documents\GitHub\eaglep3-reporting\EC\2017-12-01-refined-times.txt</v>
      </c>
      <c r="AI164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{"issue":{"subject":"","project_id":79,"tracker_id":40,"status_id":1,"priority_id":2,"assigned_to_id":338,"start_date":"2017-12-01","description":"","custom_fields":[{"id":1,"name":"Subdivision","value":"NW"},{"id":4,"name":"Milepost","value":"0.0111"},{"id":17,"name":"Train ID","value":"802-01"},{"id":16,"name":"Locomotive ID","value":"4015"},{"id":130,"name":"Impact","value":""},{"id":150,"name":"Time of Event (Mountain Time)","value":"06:26:20"},{"id":151,"name":"Denver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224"/>
      <c r="AK164" s="232"/>
      <c r="AL164" s="232"/>
      <c r="AM164" s="241" t="str">
        <f t="shared" si="74"/>
        <v>start /low /b %USERPROFILE%\Documents\GitHub\eaglep3\Utilities\DownloadLogsFromS3.py --loco 4015 --day 2017-12-01</v>
      </c>
      <c r="AN164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13:26:20"},{"id":29,"name":"Sharepoint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1" t="str">
        <f t="shared" si="76"/>
        <v>https://d0f6bd738d7f1b3e5a7ca70fe4ff75f0.us-east-1.aws.found.io/app/kibana#/discover/Steve-Slow-Train-Analysis-(2080s-and-2083s)?_g=(refreshInterval:(display:Off,pause:!f,section:0,value:0),time:(from:'2017-12-01T04:56:03-0700',mode:absolute,to:'2017-12-01T07:26:20-0700'))&amp;_a=(columns:!('Message%20ID',Summary),filters:!(),index:'emp_*',interval:auto,query:(query_string:(analyze_wildcard:!t,query:'%22rtdc.l.rtdc.4015%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230" t="s">
        <v>779</v>
      </c>
      <c r="B165" s="226">
        <v>4022</v>
      </c>
      <c r="C165" s="228" t="s">
        <v>192</v>
      </c>
      <c r="D165" s="228" t="s">
        <v>1049</v>
      </c>
      <c r="E165" s="227">
        <v>43070.25439814815</v>
      </c>
      <c r="F165" s="227">
        <v>43070.256412037037</v>
      </c>
      <c r="G165" s="226">
        <v>64</v>
      </c>
      <c r="H165" s="228" t="s">
        <v>1050</v>
      </c>
      <c r="I165" s="227">
        <v>43070.266562500001</v>
      </c>
      <c r="J165" s="226">
        <v>0</v>
      </c>
      <c r="K165" s="238" t="str">
        <f t="shared" si="63"/>
        <v>4021/4022</v>
      </c>
      <c r="L165" s="246" t="str">
        <f>VLOOKUP(A165,'Trips&amp;Operators'!$C$1:$G$99911,5,FALSE)</f>
        <v>BIRENBAUM THOMAS</v>
      </c>
      <c r="M165" s="225">
        <f t="shared" si="86"/>
        <v>1.0150462963792961E-2</v>
      </c>
      <c r="N165" s="226">
        <f t="shared" si="94"/>
        <v>14.616666667861864</v>
      </c>
      <c r="O165" s="226"/>
      <c r="P165" s="226"/>
      <c r="Q165" s="229"/>
      <c r="R165" s="243"/>
      <c r="S165" s="250">
        <f t="shared" si="95"/>
        <v>1</v>
      </c>
      <c r="T165" s="243" t="str">
        <f t="shared" si="64"/>
        <v>NorthBound</v>
      </c>
      <c r="U165" s="24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9" t="str">
        <f t="shared" si="65"/>
        <v>https://d0f6bd738d7f1b3e5a7ca70fe4ff75f0.us-east-1.aws.found.io/app/kibana#/discover/Steve-Slow-Train-Analysis-(2080s-and-2083s)?_g=(refreshInterval:(display:Off,pause:!f,section:0,value:0),time:(from:'2017-12-01T05:06:20-0700',mode:absolute,to:'2017-12-01T07:23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5" s="248" t="str">
        <f>IF(AA165&lt;VLOOKUP(AG165,Variables!$AC$3:$AD$8,2,FALSE),"Y","N")</f>
        <v>N</v>
      </c>
      <c r="X165" s="248">
        <f t="shared" si="85"/>
        <v>1</v>
      </c>
      <c r="Y165" s="248">
        <f t="shared" si="92"/>
        <v>4.1000000000000002E-2</v>
      </c>
      <c r="Z165" s="248">
        <f t="shared" si="93"/>
        <v>5.8936999999999999</v>
      </c>
      <c r="AA165" s="248">
        <f t="shared" si="67"/>
        <v>5.8526999999999996</v>
      </c>
      <c r="AB165" s="234" t="e">
        <f>VLOOKUP(A165,Enforcements!$C$7:$K$9,8,0)</f>
        <v>#N/A</v>
      </c>
      <c r="AC165" s="233" t="e">
        <f>VLOOKUP(A165,Enforcements!$C$7:$E$9,3,0)</f>
        <v>#N/A</v>
      </c>
      <c r="AD165" s="244">
        <f t="shared" si="68"/>
        <v>803</v>
      </c>
      <c r="AE165" s="236" t="str">
        <f t="shared" si="69"/>
        <v>aws s3 cp s3://rtdc.mdm.uploadarchive.raw/RTDC4022/ "%USERPROFILE%\AppData\Local\Temp\OnboardLogs"\RTDC4022\2017-12-01 --exclude "*" --recursive --include "*20171201*" &amp; "%USERPROFILE%\Documents\GitHub\mrs-test-scripts\Headless Mode &amp; Sideloading\WalkAndUnGZ.bat" "%USERPROFILE%\AppData\Local\Temp\OnboardLogs"\RTDC4022\2017-12-01 &amp; 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</v>
      </c>
      <c r="AF165" s="235" t="str">
        <f t="shared" si="70"/>
        <v>"C:\Program Files (x86)\AstroGrep\AstroGrep.exe" /e /r /s /spath="%USERPROFILE%\AppData\Local\Temp\OnboardLogs" /stypes="app*4022*20171201*" /stext=" 13:.+((SYSTEM_STATE.+slice.+state.+changed )|(ment ac)|(multiple cpu faults)|(system.+state.+changed )|(\[timeout)|(PRM\|1\|D)|(kpr)|(kdp)|(train st.+moving)|(\|lc)|(penalty))"</v>
      </c>
      <c r="AG165" s="245" t="str">
        <f t="shared" si="71"/>
        <v>NW</v>
      </c>
      <c r="AH165" s="237" t="str">
        <f t="shared" si="72"/>
        <v>"%USERPROFILE%\Documents\GitHub\eaglep3\Utilities\RefineRTDCRunTimes.py" --tripid 803-01 --locoid 4022 --swversion DE.1.0.9.0 --startMP 204:410 --initTime 2017-12-01T06:06:20 --startdatetime 2017-12-01T06:09:14 --delay 64 --endMP 300:58937 --enddatetime 2017-12-01T06:23:51 --enforcementcount 0 &gt;&gt;%USERPROFILE%\Documents\GitHub\eaglep3-reporting\EC\2017-12-01-refined-times.txt</v>
      </c>
      <c r="AI165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{"issue":{"subject":"","project_id":79,"tracker_id":40,"status_id":1,"priority_id":2,"assigned_to_id":338,"start_date":"2017-12-01","description":"","custom_fields":[{"id":1,"name":"Subdivision","value":"NW"},{"id":4,"name":"Milepost","value":"5.8937"},{"id":17,"name":"Train ID","value":"803-01"},{"id":16,"name":"Locomotive ID","value":"4022"},{"id":130,"name":"Impact","value":""},{"id":150,"name":"Time of Event (Mountain Time)","value":"06:23:51"},{"id":151,"name":"Denver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4"/>
      <c r="AK165" s="232"/>
      <c r="AL165" s="232"/>
      <c r="AM165" s="241" t="str">
        <f t="shared" si="74"/>
        <v>start /low /b %USERPROFILE%\Documents\GitHub\eaglep3\Utilities\DownloadLogsFromS3.py --loco 4022 --day 2017-12-01</v>
      </c>
      <c r="AN165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13:23:51"},{"id":29,"name":"Sharepoint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1" t="str">
        <f t="shared" si="76"/>
        <v>https://d0f6bd738d7f1b3e5a7ca70fe4ff75f0.us-east-1.aws.found.io/app/kibana#/discover/Steve-Slow-Train-Analysis-(2080s-and-2083s)?_g=(refreshInterval:(display:Off,pause:!f,section:0,value:0),time:(from:'2017-12-01T05:06:20-0700',mode:absolute,to:'2017-12-01T07:23:51-0700'))&amp;_a=(columns:!('Message%20ID',Summary),filters:!(),index:'emp_*',interval:auto,query:(query_string:(analyze_wildcard:!t,query:'%22rtdc.l.rtdc.4022%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230" t="s">
        <v>785</v>
      </c>
      <c r="B166" s="226">
        <v>4021</v>
      </c>
      <c r="C166" s="228" t="s">
        <v>192</v>
      </c>
      <c r="D166" s="228" t="s">
        <v>1051</v>
      </c>
      <c r="E166" s="227">
        <v>43070.267627314817</v>
      </c>
      <c r="F166" s="227">
        <v>43070.279861111114</v>
      </c>
      <c r="G166" s="226">
        <v>58</v>
      </c>
      <c r="H166" s="228" t="s">
        <v>1052</v>
      </c>
      <c r="I166" s="227">
        <v>43070.287812499999</v>
      </c>
      <c r="J166" s="226">
        <v>0</v>
      </c>
      <c r="K166" s="238" t="str">
        <f t="shared" si="63"/>
        <v>4021/4022</v>
      </c>
      <c r="L166" s="246" t="str">
        <f>VLOOKUP(A166,'Trips&amp;Operators'!$C$1:$G$99911,5,FALSE)</f>
        <v>BIRENBAUM THOMAS</v>
      </c>
      <c r="M166" s="225">
        <f t="shared" si="86"/>
        <v>7.9513888849760406E-3</v>
      </c>
      <c r="N166" s="226">
        <f t="shared" si="94"/>
        <v>11.449999994365498</v>
      </c>
      <c r="O166" s="226"/>
      <c r="P166" s="226"/>
      <c r="Q166" s="229"/>
      <c r="R166" s="243"/>
      <c r="S166" s="250">
        <f t="shared" si="95"/>
        <v>1</v>
      </c>
      <c r="T166" s="243" t="str">
        <f t="shared" si="64"/>
        <v>Southbound</v>
      </c>
      <c r="U166" s="24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9" t="str">
        <f t="shared" si="65"/>
        <v>https://d0f6bd738d7f1b3e5a7ca70fe4ff75f0.us-east-1.aws.found.io/app/kibana#/discover/Steve-Slow-Train-Analysis-(2080s-and-2083s)?_g=(refreshInterval:(display:Off,pause:!f,section:0,value:0),time:(from:'2017-12-01T05:25:23-0700',mode:absolute,to:'2017-12-01T07:54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6" s="248" t="str">
        <f>IF(AA166&lt;VLOOKUP(AG166,Variables!$AC$3:$AD$8,2,FALSE),"Y","N")</f>
        <v>N</v>
      </c>
      <c r="X166" s="248">
        <f t="shared" si="85"/>
        <v>1</v>
      </c>
      <c r="Y166" s="248">
        <f t="shared" si="92"/>
        <v>5.8620999999999999</v>
      </c>
      <c r="Z166" s="248">
        <f t="shared" si="93"/>
        <v>1.35E-2</v>
      </c>
      <c r="AA166" s="248">
        <f t="shared" si="67"/>
        <v>5.8486000000000002</v>
      </c>
      <c r="AB166" s="234" t="e">
        <f>VLOOKUP(A166,Enforcements!$C$7:$K$9,8,0)</f>
        <v>#N/A</v>
      </c>
      <c r="AC166" s="233" t="e">
        <f>VLOOKUP(A166,Enforcements!$C$7:$E$9,3,0)</f>
        <v>#N/A</v>
      </c>
      <c r="AD166" s="244">
        <f t="shared" si="68"/>
        <v>804</v>
      </c>
      <c r="AE166" s="236" t="str">
        <f t="shared" si="69"/>
        <v>aws s3 cp s3://rtdc.mdm.uploadarchive.raw/RTDC4021/ "%USERPROFILE%\AppData\Local\Temp\OnboardLogs"\RTDC4021\2017-12-01 --exclude "*" --recursive --include "*20171201*" &amp; "%USERPROFILE%\Documents\GitHub\mrs-test-scripts\Headless Mode &amp; Sideloading\WalkAndUnGZ.bat" "%USERPROFILE%\AppData\Local\Temp\OnboardLogs"\RTDC4021\2017-12-01 &amp; 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</v>
      </c>
      <c r="AF166" s="235" t="str">
        <f t="shared" si="70"/>
        <v>"C:\Program Files (x86)\AstroGrep\AstroGrep.exe" /e /r /s /spath="%USERPROFILE%\AppData\Local\Temp\OnboardLogs" /stypes="app*4021*20171201*" /stext=" 13:.+((SYSTEM_STATE.+slice.+state.+changed )|(ment ac)|(multiple cpu faults)|(system.+state.+changed )|(\[timeout)|(PRM\|1\|D)|(kpr)|(kdp)|(train st.+moving)|(\|lc)|(penalty))"</v>
      </c>
      <c r="AG166" s="245" t="str">
        <f t="shared" si="71"/>
        <v>NW</v>
      </c>
      <c r="AH166" s="237" t="str">
        <f t="shared" si="72"/>
        <v>"%USERPROFILE%\Documents\GitHub\eaglep3\Utilities\RefineRTDCRunTimes.py" --tripid 804-01 --locoid 4021 --swversion DE.1.0.9.0 --startMP 300:58621 --initTime 2017-12-01T06:25:23 --startdatetime 2017-12-01T06:43:00 --delay 58 --endMP 204:135 --enddatetime 2017-12-01T06:54:27 --enforcementcount 0 &gt;&gt;%USERPROFILE%\Documents\GitHub\eaglep3-reporting\EC\2017-12-01-refined-times.txt</v>
      </c>
      <c r="AI166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{"issue":{"subject":"","project_id":79,"tracker_id":40,"status_id":1,"priority_id":2,"assigned_to_id":338,"start_date":"2017-12-01","description":"","custom_fields":[{"id":1,"name":"Subdivision","value":"NW"},{"id":4,"name":"Milepost","value":"0.0135"},{"id":17,"name":"Train ID","value":"804-01"},{"id":16,"name":"Locomotive ID","value":"4021"},{"id":130,"name":"Impact","value":""},{"id":150,"name":"Time of Event (Mountain Time)","value":"06:54:27"},{"id":151,"name":"Denver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4"/>
      <c r="AK166" s="232"/>
      <c r="AL166" s="232"/>
      <c r="AM166" s="241" t="str">
        <f t="shared" si="74"/>
        <v>start /low /b %USERPROFILE%\Documents\GitHub\eaglep3\Utilities\DownloadLogsFromS3.py --loco 4021 --day 2017-12-01</v>
      </c>
      <c r="AN166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13:54:27"},{"id":29,"name":"Sharepoint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1" t="str">
        <f t="shared" si="76"/>
        <v>https://d0f6bd738d7f1b3e5a7ca70fe4ff75f0.us-east-1.aws.found.io/app/kibana#/discover/Steve-Slow-Train-Analysis-(2080s-and-2083s)?_g=(refreshInterval:(display:Off,pause:!f,section:0,value:0),time:(from:'2017-12-01T05:25:23-0700',mode:absolute,to:'2017-12-01T07:54:27-0700'))&amp;_a=(columns:!('Message%20ID',Summary),filters:!(),index:'emp_*',interval:auto,query:(query_string:(analyze_wildcard:!t,query:'%22rtdc.l.rtdc.4021%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24" customFormat="1" x14ac:dyDescent="0.25">
      <c r="A167" s="230" t="s">
        <v>786</v>
      </c>
      <c r="B167" s="226">
        <v>4016</v>
      </c>
      <c r="C167" s="228" t="s">
        <v>192</v>
      </c>
      <c r="D167" s="228" t="s">
        <v>651</v>
      </c>
      <c r="E167" s="227">
        <v>43070.274826388886</v>
      </c>
      <c r="F167" s="227">
        <v>43070.277268518519</v>
      </c>
      <c r="G167" s="226">
        <v>57</v>
      </c>
      <c r="H167" s="228" t="s">
        <v>702</v>
      </c>
      <c r="I167" s="227">
        <v>43070.287812499999</v>
      </c>
      <c r="J167" s="226">
        <v>0</v>
      </c>
      <c r="K167" s="238" t="str">
        <f t="shared" si="63"/>
        <v>4015/4016</v>
      </c>
      <c r="L167" s="246" t="str">
        <f>VLOOKUP(A167,'Trips&amp;Operators'!$C$1:$G$99911,5,FALSE)</f>
        <v>WILLIAMS DONTE</v>
      </c>
      <c r="M167" s="225">
        <f t="shared" si="86"/>
        <v>1.0543981479713693E-2</v>
      </c>
      <c r="N167" s="226">
        <f t="shared" si="94"/>
        <v>15.183333330787718</v>
      </c>
      <c r="O167" s="226"/>
      <c r="P167" s="226"/>
      <c r="Q167" s="229"/>
      <c r="R167" s="243"/>
      <c r="S167" s="250">
        <f t="shared" si="95"/>
        <v>1</v>
      </c>
      <c r="T167" s="243" t="str">
        <f t="shared" si="64"/>
        <v>NorthBound</v>
      </c>
      <c r="U167" s="24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9" t="str">
        <f t="shared" si="65"/>
        <v>https://d0f6bd738d7f1b3e5a7ca70fe4ff75f0.us-east-1.aws.found.io/app/kibana#/discover/Steve-Slow-Train-Analysis-(2080s-and-2083s)?_g=(refreshInterval:(display:Off,pause:!f,section:0,value:0),time:(from:'2017-12-01T05:35:45-0700',mode:absolute,to:'2017-12-01T07:54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7" s="248" t="str">
        <f>IF(AA167&lt;VLOOKUP(AG167,Variables!$AC$3:$AD$8,2,FALSE),"Y","N")</f>
        <v>N</v>
      </c>
      <c r="X167" s="248">
        <f t="shared" si="85"/>
        <v>1</v>
      </c>
      <c r="Y167" s="248">
        <f t="shared" si="92"/>
        <v>4.2099999999999999E-2</v>
      </c>
      <c r="Z167" s="248">
        <f t="shared" si="93"/>
        <v>5.8925999999999998</v>
      </c>
      <c r="AA167" s="248">
        <f t="shared" si="67"/>
        <v>5.8505000000000003</v>
      </c>
      <c r="AB167" s="234" t="e">
        <f>VLOOKUP(A167,Enforcements!$C$7:$K$9,8,0)</f>
        <v>#N/A</v>
      </c>
      <c r="AC167" s="233" t="e">
        <f>VLOOKUP(A167,Enforcements!$C$7:$E$9,3,0)</f>
        <v>#N/A</v>
      </c>
      <c r="AD167" s="244">
        <f t="shared" si="68"/>
        <v>805</v>
      </c>
      <c r="AE167" s="236" t="str">
        <f t="shared" si="69"/>
        <v>aws s3 cp s3://rtdc.mdm.uploadarchive.raw/RTDC4016/ "%USERPROFILE%\AppData\Local\Temp\OnboardLogs"\RTDC4016\2017-12-01 --exclude "*" --recursive --include "*20171201*" &amp; "%USERPROFILE%\Documents\GitHub\mrs-test-scripts\Headless Mode &amp; Sideloading\WalkAndUnGZ.bat" "%USERPROFILE%\AppData\Local\Temp\OnboardLogs"\RTDC4016\2017-12-01 &amp; aws s3 cp s3://rtdc.mdm.uploadarchive.raw/RTDC4016/ "%USERPROFILE%\AppData\Local\Temp\OnboardLogs"\RTDC4016\2017-12-02 --exclude "*" --recursive --include "*20171202*" &amp; "%USERPROFILE%\Documents\GitHub\mrs-test-scripts\Headless Mode &amp; Sideloading\WalkAndUnGZ.bat" "%USERPROFILE%\AppData\Local\Temp\OnboardLogs"\RTDC4016\2017-12-02</v>
      </c>
      <c r="AF167" s="235" t="str">
        <f t="shared" si="70"/>
        <v>"C:\Program Files (x86)\AstroGrep\AstroGrep.exe" /e /r /s /spath="%USERPROFILE%\AppData\Local\Temp\OnboardLogs" /stypes="app*4016*20171201*" /stext=" 13:.+((SYSTEM_STATE.+slice.+state.+changed )|(ment ac)|(multiple cpu faults)|(system.+state.+changed )|(\[timeout)|(PRM\|1\|D)|(kpr)|(kdp)|(train st.+moving)|(\|lc)|(penalty))"</v>
      </c>
      <c r="AG167" s="245" t="str">
        <f t="shared" si="71"/>
        <v>NW</v>
      </c>
      <c r="AH167" s="237" t="str">
        <f t="shared" si="72"/>
        <v>"%USERPROFILE%\Documents\GitHub\eaglep3\Utilities\RefineRTDCRunTimes.py" --tripid 805-01 --locoid 4016 --swversion DE.1.0.9.0 --startMP 204:421 --initTime 2017-12-01T06:35:45 --startdatetime 2017-12-01T06:39:16 --delay 57 --endMP 300:58926 --enddatetime 2017-12-01T06:54:27 --enforcementcount 0 &gt;&gt;%USERPROFILE%\Documents\GitHub\eaglep3-reporting\EC\2017-12-01-refined-times.txt</v>
      </c>
      <c r="AI167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{"issue":{"subject":"","project_id":79,"tracker_id":40,"status_id":1,"priority_id":2,"assigned_to_id":338,"start_date":"2017-12-01","description":"","custom_fields":[{"id":1,"name":"Subdivision","value":"NW"},{"id":4,"name":"Milepost","value":"5.8926"},{"id":17,"name":"Train ID","value":"805-01"},{"id":16,"name":"Locomotive ID","value":"4016"},{"id":130,"name":"Impact","value":""},{"id":150,"name":"Time of Event (Mountain Time)","value":"06:54:27"},{"id":151,"name":"Denver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232"/>
      <c r="AL167" s="232"/>
      <c r="AM167" s="241" t="str">
        <f t="shared" si="74"/>
        <v>start /low /b %USERPROFILE%\Documents\GitHub\eaglep3\Utilities\DownloadLogsFromS3.py --loco 4016 --day 2017-12-01</v>
      </c>
      <c r="AN167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13:54:27"},{"id":29,"name":"Sharepoint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1" t="str">
        <f t="shared" si="76"/>
        <v>https://d0f6bd738d7f1b3e5a7ca70fe4ff75f0.us-east-1.aws.found.io/app/kibana#/discover/Steve-Slow-Train-Analysis-(2080s-and-2083s)?_g=(refreshInterval:(display:Off,pause:!f,section:0,value:0),time:(from:'2017-12-01T05:35:45-0700',mode:absolute,to:'2017-12-01T07:54:27-0700'))&amp;_a=(columns:!('Message%20ID',Summary),filters:!(),index:'emp_*',interval:auto,query:(query_string:(analyze_wildcard:!t,query:'%22rtdc.l.rtdc.4016%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4" customFormat="1" x14ac:dyDescent="0.25">
      <c r="A168" s="230" t="s">
        <v>790</v>
      </c>
      <c r="B168" s="226">
        <v>4015</v>
      </c>
      <c r="C168" s="228" t="s">
        <v>192</v>
      </c>
      <c r="D168" s="228" t="s">
        <v>657</v>
      </c>
      <c r="E168" s="227">
        <v>43070.288715277777</v>
      </c>
      <c r="F168" s="227">
        <v>43070.3</v>
      </c>
      <c r="G168" s="226">
        <v>72</v>
      </c>
      <c r="H168" s="228" t="s">
        <v>649</v>
      </c>
      <c r="I168" s="227">
        <v>43070.309444444443</v>
      </c>
      <c r="J168" s="226">
        <v>0</v>
      </c>
      <c r="K168" s="238" t="str">
        <f t="shared" si="63"/>
        <v>4015/4016</v>
      </c>
      <c r="L168" s="246" t="str">
        <f>VLOOKUP(A168,'Trips&amp;Operators'!$C$1:$G$99911,5,FALSE)</f>
        <v>WILLIAMS DONTE</v>
      </c>
      <c r="M168" s="225">
        <f t="shared" si="86"/>
        <v>9.444444440305233E-3</v>
      </c>
      <c r="N168" s="226">
        <f t="shared" si="94"/>
        <v>13.599999994039536</v>
      </c>
      <c r="O168" s="226"/>
      <c r="P168" s="226"/>
      <c r="Q168" s="229"/>
      <c r="R168" s="243"/>
      <c r="S168" s="250">
        <f t="shared" si="95"/>
        <v>1</v>
      </c>
      <c r="T168" s="243" t="str">
        <f t="shared" si="64"/>
        <v>Southbound</v>
      </c>
      <c r="U168" s="24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9" t="str">
        <f t="shared" si="65"/>
        <v>https://d0f6bd738d7f1b3e5a7ca70fe4ff75f0.us-east-1.aws.found.io/app/kibana#/discover/Steve-Slow-Train-Analysis-(2080s-and-2083s)?_g=(refreshInterval:(display:Off,pause:!f,section:0,value:0),time:(from:'2017-12-01T05:55:45-0700',mode:absolute,to:'2017-12-01T08:25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8" s="248" t="str">
        <f>IF(AA168&lt;VLOOKUP(AG168,Variables!$AC$3:$AD$8,2,FALSE),"Y","N")</f>
        <v>N</v>
      </c>
      <c r="X168" s="248">
        <f t="shared" si="85"/>
        <v>1</v>
      </c>
      <c r="Y168" s="248">
        <f t="shared" si="92"/>
        <v>5.8613</v>
      </c>
      <c r="Z168" s="248">
        <f t="shared" si="93"/>
        <v>1.3299999999999999E-2</v>
      </c>
      <c r="AA168" s="248">
        <f t="shared" si="67"/>
        <v>5.8479999999999999</v>
      </c>
      <c r="AB168" s="234" t="e">
        <f>VLOOKUP(A168,Enforcements!$C$7:$K$9,8,0)</f>
        <v>#N/A</v>
      </c>
      <c r="AC168" s="233" t="e">
        <f>VLOOKUP(A168,Enforcements!$C$7:$E$9,3,0)</f>
        <v>#N/A</v>
      </c>
      <c r="AD168" s="244">
        <f t="shared" si="68"/>
        <v>806</v>
      </c>
      <c r="AE168" s="236" t="str">
        <f t="shared" si="69"/>
        <v>aws s3 cp s3://rtdc.mdm.uploadarchive.raw/RTDC4015/ "%USERPROFILE%\AppData\Local\Temp\OnboardLogs"\RTDC4015\2017-12-01 --exclude "*" --recursive --include "*20171201*" &amp; "%USERPROFILE%\Documents\GitHub\mrs-test-scripts\Headless Mode &amp; Sideloading\WalkAndUnGZ.bat" "%USERPROFILE%\AppData\Local\Temp\OnboardLogs"\RTDC4015\2017-12-01 &amp; aws s3 cp s3://rtdc.mdm.uploadarchive.raw/RTDC4015/ "%USERPROFILE%\AppData\Local\Temp\OnboardLogs"\RTDC4015\2017-12-02 --exclude "*" --recursive --include "*20171202*" &amp; "%USERPROFILE%\Documents\GitHub\mrs-test-scripts\Headless Mode &amp; Sideloading\WalkAndUnGZ.bat" "%USERPROFILE%\AppData\Local\Temp\OnboardLogs"\RTDC4015\2017-12-02</v>
      </c>
      <c r="AF168" s="235" t="str">
        <f t="shared" si="70"/>
        <v>"C:\Program Files (x86)\AstroGrep\AstroGrep.exe" /e /r /s /spath="%USERPROFILE%\AppData\Local\Temp\OnboardLogs" /stypes="app*4015*20171201*" /stext=" 14:.+((SYSTEM_STATE.+slice.+state.+changed )|(ment ac)|(multiple cpu faults)|(system.+state.+changed )|(\[timeout)|(PRM\|1\|D)|(kpr)|(kdp)|(train st.+moving)|(\|lc)|(penalty))"</v>
      </c>
      <c r="AG168" s="245" t="str">
        <f t="shared" si="71"/>
        <v>NW</v>
      </c>
      <c r="AH168" s="237" t="str">
        <f t="shared" si="72"/>
        <v>"%USERPROFILE%\Documents\GitHub\eaglep3\Utilities\RefineRTDCRunTimes.py" --tripid 806-01 --locoid 4015 --swversion DE.1.0.9.0 --startMP 300:58613 --initTime 2017-12-01T06:55:45 --startdatetime 2017-12-01T07:12:00 --delay 72 --endMP 204:133 --enddatetime 2017-12-01T07:25:36 --enforcementcount 0 &gt;&gt;%USERPROFILE%\Documents\GitHub\eaglep3-reporting\EC\2017-12-01-refined-times.txt</v>
      </c>
      <c r="AI168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{"issue":{"subject":"","project_id":79,"tracker_id":40,"status_id":1,"priority_id":2,"assigned_to_id":338,"start_date":"2017-12-01","description":"","custom_fields":[{"id":1,"name":"Subdivision","value":"NW"},{"id":4,"name":"Milepost","value":"0.0133"},{"id":17,"name":"Train ID","value":"806-01"},{"id":16,"name":"Locomotive ID","value":"4015"},{"id":130,"name":"Impact","value":""},{"id":150,"name":"Time of Event (Mountain Time)","value":"07:25:36"},{"id":151,"name":"Denver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2"/>
      <c r="AL168" s="232"/>
      <c r="AM168" s="241" t="str">
        <f t="shared" si="74"/>
        <v>start /low /b %USERPROFILE%\Documents\GitHub\eaglep3\Utilities\DownloadLogsFromS3.py --loco 4015 --day 2017-12-01</v>
      </c>
      <c r="AN168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14:25:36"},{"id":29,"name":"Sharepoint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1" t="str">
        <f t="shared" si="76"/>
        <v>https://d0f6bd738d7f1b3e5a7ca70fe4ff75f0.us-east-1.aws.found.io/app/kibana#/discover/Steve-Slow-Train-Analysis-(2080s-and-2083s)?_g=(refreshInterval:(display:Off,pause:!f,section:0,value:0),time:(from:'2017-12-01T05:55:45-0700',mode:absolute,to:'2017-12-01T08:25:36-0700'))&amp;_a=(columns:!('Message%20ID',Summary),filters:!(),index:'emp_*',interval:auto,query:(query_string:(analyze_wildcard:!t,query:'%22rtdc.l.rtdc.4015%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230" t="s">
        <v>791</v>
      </c>
      <c r="B169" s="226">
        <v>4022</v>
      </c>
      <c r="C169" s="228" t="s">
        <v>192</v>
      </c>
      <c r="D169" s="228" t="s">
        <v>651</v>
      </c>
      <c r="E169" s="227">
        <v>43070.289236111108</v>
      </c>
      <c r="F169" s="227">
        <v>43070.298136574071</v>
      </c>
      <c r="G169" s="226">
        <v>48</v>
      </c>
      <c r="H169" s="228" t="s">
        <v>705</v>
      </c>
      <c r="I169" s="227">
        <v>43070.308449074073</v>
      </c>
      <c r="J169" s="226">
        <v>0</v>
      </c>
      <c r="K169" s="238" t="str">
        <f t="shared" si="63"/>
        <v>4021/4022</v>
      </c>
      <c r="L169" s="246" t="str">
        <f>VLOOKUP(A169,'Trips&amp;Operators'!$C$1:$G$99911,5,FALSE)</f>
        <v>BIRENBAUM THOMAS</v>
      </c>
      <c r="M169" s="225">
        <f t="shared" si="86"/>
        <v>1.0312500002328306E-2</v>
      </c>
      <c r="N169" s="226">
        <f t="shared" si="94"/>
        <v>14.850000003352761</v>
      </c>
      <c r="O169" s="226"/>
      <c r="P169" s="226"/>
      <c r="Q169" s="229"/>
      <c r="R169" s="243"/>
      <c r="S169" s="250">
        <f t="shared" si="95"/>
        <v>1</v>
      </c>
      <c r="T169" s="243" t="str">
        <f t="shared" si="64"/>
        <v>NorthBound</v>
      </c>
      <c r="U169" s="24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9" t="str">
        <f t="shared" si="65"/>
        <v>https://d0f6bd738d7f1b3e5a7ca70fe4ff75f0.us-east-1.aws.found.io/app/kibana#/discover/Steve-Slow-Train-Analysis-(2080s-and-2083s)?_g=(refreshInterval:(display:Off,pause:!f,section:0,value:0),time:(from:'2017-12-01T05:56:30-0700',mode:absolute,to:'2017-12-01T08:24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9" s="248" t="str">
        <f>IF(AA169&lt;VLOOKUP(AG169,Variables!$AC$3:$AD$8,2,FALSE),"Y","N")</f>
        <v>N</v>
      </c>
      <c r="X169" s="248">
        <f t="shared" si="85"/>
        <v>1</v>
      </c>
      <c r="Y169" s="248">
        <f t="shared" si="92"/>
        <v>4.2099999999999999E-2</v>
      </c>
      <c r="Z169" s="248">
        <f t="shared" si="93"/>
        <v>5.8921999999999999</v>
      </c>
      <c r="AA169" s="248">
        <f t="shared" si="67"/>
        <v>5.8501000000000003</v>
      </c>
      <c r="AB169" s="234" t="e">
        <f>VLOOKUP(A169,Enforcements!$C$7:$K$9,8,0)</f>
        <v>#N/A</v>
      </c>
      <c r="AC169" s="233" t="e">
        <f>VLOOKUP(A169,Enforcements!$C$7:$E$9,3,0)</f>
        <v>#N/A</v>
      </c>
      <c r="AD169" s="244">
        <f t="shared" si="68"/>
        <v>807</v>
      </c>
      <c r="AE169" s="236" t="str">
        <f t="shared" si="69"/>
        <v>aws s3 cp s3://rtdc.mdm.uploadarchive.raw/RTDC4022/ "%USERPROFILE%\AppData\Local\Temp\OnboardLogs"\RTDC4022\2017-12-01 --exclude "*" --recursive --include "*20171201*" &amp; "%USERPROFILE%\Documents\GitHub\mrs-test-scripts\Headless Mode &amp; Sideloading\WalkAndUnGZ.bat" "%USERPROFILE%\AppData\Local\Temp\OnboardLogs"\RTDC4022\2017-12-01 &amp; 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</v>
      </c>
      <c r="AF169" s="235" t="str">
        <f t="shared" si="70"/>
        <v>"C:\Program Files (x86)\AstroGrep\AstroGrep.exe" /e /r /s /spath="%USERPROFILE%\AppData\Local\Temp\OnboardLogs" /stypes="app*4022*20171201*" /stext=" 14:.+((SYSTEM_STATE.+slice.+state.+changed )|(ment ac)|(multiple cpu faults)|(system.+state.+changed )|(\[timeout)|(PRM\|1\|D)|(kpr)|(kdp)|(train st.+moving)|(\|lc)|(penalty))"</v>
      </c>
      <c r="AG169" s="245" t="str">
        <f t="shared" si="71"/>
        <v>NW</v>
      </c>
      <c r="AH169" s="237" t="str">
        <f t="shared" si="72"/>
        <v>"%USERPROFILE%\Documents\GitHub\eaglep3\Utilities\RefineRTDCRunTimes.py" --tripid 807-01 --locoid 4022 --swversion DE.1.0.9.0 --startMP 204:421 --initTime 2017-12-01T06:56:30 --startdatetime 2017-12-01T07:09:19 --delay 48 --endMP 300:58922 --enddatetime 2017-12-01T07:24:10 --enforcementcount 0 &gt;&gt;%USERPROFILE%\Documents\GitHub\eaglep3-reporting\EC\2017-12-01-refined-times.txt</v>
      </c>
      <c r="AI169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{"issue":{"subject":"","project_id":79,"tracker_id":40,"status_id":1,"priority_id":2,"assigned_to_id":338,"start_date":"2017-12-01","description":"","custom_fields":[{"id":1,"name":"Subdivision","value":"NW"},{"id":4,"name":"Milepost","value":"5.8922"},{"id":17,"name":"Train ID","value":"807-01"},{"id":16,"name":"Locomotive ID","value":"4022"},{"id":130,"name":"Impact","value":""},{"id":150,"name":"Time of Event (Mountain Time)","value":"07:24:10"},{"id":151,"name":"Denver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4"/>
      <c r="AK169" s="232"/>
      <c r="AL169" s="232"/>
      <c r="AM169" s="241" t="str">
        <f t="shared" si="74"/>
        <v>start /low /b %USERPROFILE%\Documents\GitHub\eaglep3\Utilities\DownloadLogsFromS3.py --loco 4022 --day 2017-12-01</v>
      </c>
      <c r="AN169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14:24:10"},{"id":29,"name":"Sharepoint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1" t="str">
        <f t="shared" si="76"/>
        <v>https://d0f6bd738d7f1b3e5a7ca70fe4ff75f0.us-east-1.aws.found.io/app/kibana#/discover/Steve-Slow-Train-Analysis-(2080s-and-2083s)?_g=(refreshInterval:(display:Off,pause:!f,section:0,value:0),time:(from:'2017-12-01T05:56:30-0700',mode:absolute,to:'2017-12-01T08:24:10-0700'))&amp;_a=(columns:!('Message%20ID',Summary),filters:!(),index:'emp_*',interval:auto,query:(query_string:(analyze_wildcard:!t,query:'%22rtdc.l.rtdc.4022%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230" t="s">
        <v>796</v>
      </c>
      <c r="B170" s="226">
        <v>4021</v>
      </c>
      <c r="C170" s="228" t="s">
        <v>192</v>
      </c>
      <c r="D170" s="228" t="s">
        <v>704</v>
      </c>
      <c r="E170" s="227">
        <v>43070.309652777774</v>
      </c>
      <c r="F170" s="227">
        <v>43070.320833333331</v>
      </c>
      <c r="G170" s="226">
        <v>53</v>
      </c>
      <c r="H170" s="228" t="s">
        <v>1053</v>
      </c>
      <c r="I170" s="227">
        <v>43070.329479166663</v>
      </c>
      <c r="J170" s="226">
        <v>0</v>
      </c>
      <c r="K170" s="238" t="str">
        <f t="shared" si="63"/>
        <v>4021/4022</v>
      </c>
      <c r="L170" s="246" t="str">
        <f>VLOOKUP(A170,'Trips&amp;Operators'!$C$1:$G$99911,5,FALSE)</f>
        <v>BIRENBAUM THOMAS</v>
      </c>
      <c r="M170" s="225">
        <f t="shared" si="86"/>
        <v>8.6458333316841163E-3</v>
      </c>
      <c r="N170" s="226">
        <f t="shared" si="94"/>
        <v>12.449999997625127</v>
      </c>
      <c r="O170" s="226"/>
      <c r="P170" s="226"/>
      <c r="Q170" s="229"/>
      <c r="R170" s="243"/>
      <c r="S170" s="250">
        <f t="shared" si="95"/>
        <v>1</v>
      </c>
      <c r="T170" s="243" t="str">
        <f t="shared" si="64"/>
        <v>Southbound</v>
      </c>
      <c r="U170" s="24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9" t="str">
        <f t="shared" si="65"/>
        <v>https://d0f6bd738d7f1b3e5a7ca70fe4ff75f0.us-east-1.aws.found.io/app/kibana#/discover/Steve-Slow-Train-Analysis-(2080s-and-2083s)?_g=(refreshInterval:(display:Off,pause:!f,section:0,value:0),time:(from:'2017-12-01T06:25:54-0700',mode:absolute,to:'2017-12-01T08:54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0" s="248" t="str">
        <f>IF(AA170&lt;VLOOKUP(AG170,Variables!$AC$3:$AD$8,2,FALSE),"Y","N")</f>
        <v>N</v>
      </c>
      <c r="X170" s="248">
        <f t="shared" si="85"/>
        <v>1</v>
      </c>
      <c r="Y170" s="248">
        <f t="shared" si="92"/>
        <v>5.8604000000000003</v>
      </c>
      <c r="Z170" s="248">
        <f t="shared" si="93"/>
        <v>1.06E-2</v>
      </c>
      <c r="AA170" s="248">
        <f t="shared" si="67"/>
        <v>5.8498000000000001</v>
      </c>
      <c r="AB170" s="234" t="e">
        <f>VLOOKUP(A170,Enforcements!$C$7:$K$9,8,0)</f>
        <v>#N/A</v>
      </c>
      <c r="AC170" s="233" t="e">
        <f>VLOOKUP(A170,Enforcements!$C$7:$E$9,3,0)</f>
        <v>#N/A</v>
      </c>
      <c r="AD170" s="244">
        <f t="shared" si="68"/>
        <v>808</v>
      </c>
      <c r="AE170" s="236" t="str">
        <f t="shared" si="69"/>
        <v>aws s3 cp s3://rtdc.mdm.uploadarchive.raw/RTDC4021/ "%USERPROFILE%\AppData\Local\Temp\OnboardLogs"\RTDC4021\2017-12-01 --exclude "*" --recursive --include "*20171201*" &amp; "%USERPROFILE%\Documents\GitHub\mrs-test-scripts\Headless Mode &amp; Sideloading\WalkAndUnGZ.bat" "%USERPROFILE%\AppData\Local\Temp\OnboardLogs"\RTDC4021\2017-12-01 &amp; 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</v>
      </c>
      <c r="AF170" s="235" t="str">
        <f t="shared" si="70"/>
        <v>"C:\Program Files (x86)\AstroGrep\AstroGrep.exe" /e /r /s /spath="%USERPROFILE%\AppData\Local\Temp\OnboardLogs" /stypes="app*4021*20171201*" /stext=" 14:.+((SYSTEM_STATE.+slice.+state.+changed )|(ment ac)|(multiple cpu faults)|(system.+state.+changed )|(\[timeout)|(PRM\|1\|D)|(kpr)|(kdp)|(train st.+moving)|(\|lc)|(penalty))"</v>
      </c>
      <c r="AG170" s="245" t="str">
        <f t="shared" si="71"/>
        <v>NW</v>
      </c>
      <c r="AH170" s="237" t="str">
        <f t="shared" si="72"/>
        <v>"%USERPROFILE%\Documents\GitHub\eaglep3\Utilities\RefineRTDCRunTimes.py" --tripid 808-01 --locoid 4021 --swversion DE.1.0.9.0 --startMP 300:58604 --initTime 2017-12-01T07:25:54 --startdatetime 2017-12-01T07:42:00 --delay 53 --endMP 204:106 --enddatetime 2017-12-01T07:54:27 --enforcementcount 0 &gt;&gt;%USERPROFILE%\Documents\GitHub\eaglep3-reporting\EC\2017-12-01-refined-times.txt</v>
      </c>
      <c r="AI170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{"issue":{"subject":"","project_id":79,"tracker_id":40,"status_id":1,"priority_id":2,"assigned_to_id":338,"start_date":"2017-12-01","description":"","custom_fields":[{"id":1,"name":"Subdivision","value":"NW"},{"id":4,"name":"Milepost","value":"0.0106"},{"id":17,"name":"Train ID","value":"808-01"},{"id":16,"name":"Locomotive ID","value":"4021"},{"id":130,"name":"Impact","value":""},{"id":150,"name":"Time of Event (Mountain Time)","value":"07:54:27"},{"id":151,"name":"Denver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4"/>
      <c r="AK170" s="232"/>
      <c r="AL170" s="232"/>
      <c r="AM170" s="241" t="str">
        <f t="shared" si="74"/>
        <v>start /low /b %USERPROFILE%\Documents\GitHub\eaglep3\Utilities\DownloadLogsFromS3.py --loco 4021 --day 2017-12-01</v>
      </c>
      <c r="AN170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14:54:27"},{"id":29,"name":"Sharepoint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1" t="str">
        <f t="shared" si="76"/>
        <v>https://d0f6bd738d7f1b3e5a7ca70fe4ff75f0.us-east-1.aws.found.io/app/kibana#/discover/Steve-Slow-Train-Analysis-(2080s-and-2083s)?_g=(refreshInterval:(display:Off,pause:!f,section:0,value:0),time:(from:'2017-12-01T06:25:54-0700',mode:absolute,to:'2017-12-01T08:54:27-0700'))&amp;_a=(columns:!('Message%20ID',Summary),filters:!(),index:'emp_*',interval:auto,query:(query_string:(analyze_wildcard:!t,query:'%22rtdc.l.rtdc.4021%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230" t="s">
        <v>798</v>
      </c>
      <c r="B171" s="226">
        <v>4016</v>
      </c>
      <c r="C171" s="228" t="s">
        <v>192</v>
      </c>
      <c r="D171" s="228" t="s">
        <v>614</v>
      </c>
      <c r="E171" s="227">
        <v>43070.31658564815</v>
      </c>
      <c r="F171" s="227">
        <v>43070.319039351853</v>
      </c>
      <c r="G171" s="226">
        <v>67</v>
      </c>
      <c r="H171" s="228" t="s">
        <v>1054</v>
      </c>
      <c r="I171" s="227">
        <v>43070.329652777778</v>
      </c>
      <c r="J171" s="226">
        <v>0</v>
      </c>
      <c r="K171" s="238" t="str">
        <f t="shared" si="63"/>
        <v>4015/4016</v>
      </c>
      <c r="L171" s="246" t="str">
        <f>VLOOKUP(A171,'Trips&amp;Operators'!$C$1:$G$99911,5,FALSE)</f>
        <v>WILLIAMS DONTE</v>
      </c>
      <c r="M171" s="225">
        <f t="shared" si="86"/>
        <v>1.0613425925839692E-2</v>
      </c>
      <c r="N171" s="226">
        <f t="shared" si="94"/>
        <v>15.283333333209157</v>
      </c>
      <c r="O171" s="226"/>
      <c r="P171" s="226"/>
      <c r="Q171" s="229"/>
      <c r="R171" s="243"/>
      <c r="S171" s="250">
        <f t="shared" si="95"/>
        <v>1</v>
      </c>
      <c r="T171" s="243" t="str">
        <f t="shared" si="64"/>
        <v>NorthBound</v>
      </c>
      <c r="U171" s="24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9" t="str">
        <f t="shared" si="65"/>
        <v>https://d0f6bd738d7f1b3e5a7ca70fe4ff75f0.us-east-1.aws.found.io/app/kibana#/discover/Steve-Slow-Train-Analysis-(2080s-and-2083s)?_g=(refreshInterval:(display:Off,pause:!f,section:0,value:0),time:(from:'2017-12-01T06:35:53-0700',mode:absolute,to:'2017-12-01T08:54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1" s="248" t="str">
        <f>IF(AA171&lt;VLOOKUP(AG171,Variables!$AC$3:$AD$8,2,FALSE),"Y","N")</f>
        <v>N</v>
      </c>
      <c r="X171" s="248">
        <f t="shared" si="85"/>
        <v>1</v>
      </c>
      <c r="Y171" s="248">
        <f t="shared" si="92"/>
        <v>4.3700000000000003E-2</v>
      </c>
      <c r="Z171" s="248">
        <f t="shared" si="93"/>
        <v>5.8952</v>
      </c>
      <c r="AA171" s="248">
        <f t="shared" si="67"/>
        <v>5.8514999999999997</v>
      </c>
      <c r="AB171" s="234" t="e">
        <f>VLOOKUP(A171,Enforcements!$C$7:$K$9,8,0)</f>
        <v>#N/A</v>
      </c>
      <c r="AC171" s="233" t="e">
        <f>VLOOKUP(A171,Enforcements!$C$7:$E$9,3,0)</f>
        <v>#N/A</v>
      </c>
      <c r="AD171" s="244">
        <f t="shared" si="68"/>
        <v>809</v>
      </c>
      <c r="AE171" s="236" t="str">
        <f t="shared" si="69"/>
        <v>aws s3 cp s3://rtdc.mdm.uploadarchive.raw/RTDC4016/ "%USERPROFILE%\AppData\Local\Temp\OnboardLogs"\RTDC4016\2017-12-01 --exclude "*" --recursive --include "*20171201*" &amp; "%USERPROFILE%\Documents\GitHub\mrs-test-scripts\Headless Mode &amp; Sideloading\WalkAndUnGZ.bat" "%USERPROFILE%\AppData\Local\Temp\OnboardLogs"\RTDC4016\2017-12-01 &amp; aws s3 cp s3://rtdc.mdm.uploadarchive.raw/RTDC4016/ "%USERPROFILE%\AppData\Local\Temp\OnboardLogs"\RTDC4016\2017-12-02 --exclude "*" --recursive --include "*20171202*" &amp; "%USERPROFILE%\Documents\GitHub\mrs-test-scripts\Headless Mode &amp; Sideloading\WalkAndUnGZ.bat" "%USERPROFILE%\AppData\Local\Temp\OnboardLogs"\RTDC4016\2017-12-02</v>
      </c>
      <c r="AF171" s="235" t="str">
        <f t="shared" si="70"/>
        <v>"C:\Program Files (x86)\AstroGrep\AstroGrep.exe" /e /r /s /spath="%USERPROFILE%\AppData\Local\Temp\OnboardLogs" /stypes="app*4016*20171201*" /stext=" 14:.+((SYSTEM_STATE.+slice.+state.+changed )|(ment ac)|(multiple cpu faults)|(system.+state.+changed )|(\[timeout)|(PRM\|1\|D)|(kpr)|(kdp)|(train st.+moving)|(\|lc)|(penalty))"</v>
      </c>
      <c r="AG171" s="245" t="str">
        <f t="shared" si="71"/>
        <v>NW</v>
      </c>
      <c r="AH171" s="237" t="str">
        <f t="shared" si="72"/>
        <v>"%USERPROFILE%\Documents\GitHub\eaglep3\Utilities\RefineRTDCRunTimes.py" --tripid 809-01 --locoid 4016 --swversion DE.1.0.9.0 --startMP 204:437 --initTime 2017-12-01T07:35:53 --startdatetime 2017-12-01T07:39:25 --delay 67 --endMP 300:58952 --enddatetime 2017-12-01T07:54:42 --enforcementcount 0 &gt;&gt;%USERPROFILE%\Documents\GitHub\eaglep3-reporting\EC\2017-12-01-refined-times.txt</v>
      </c>
      <c r="AI171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{"issue":{"subject":"","project_id":79,"tracker_id":40,"status_id":1,"priority_id":2,"assigned_to_id":338,"start_date":"2017-12-01","description":"","custom_fields":[{"id":1,"name":"Subdivision","value":"NW"},{"id":4,"name":"Milepost","value":"5.8952"},{"id":17,"name":"Train ID","value":"809-01"},{"id":16,"name":"Locomotive ID","value":"4016"},{"id":130,"name":"Impact","value":""},{"id":150,"name":"Time of Event (Mountain Time)","value":"07:54:42"},{"id":151,"name":"Denver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4"/>
      <c r="AK171" s="232"/>
      <c r="AL171" s="232"/>
      <c r="AM171" s="241" t="str">
        <f t="shared" si="74"/>
        <v>start /low /b %USERPROFILE%\Documents\GitHub\eaglep3\Utilities\DownloadLogsFromS3.py --loco 4016 --day 2017-12-01</v>
      </c>
      <c r="AN171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14:54:42"},{"id":29,"name":"Sharepoint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1" t="str">
        <f t="shared" si="76"/>
        <v>https://d0f6bd738d7f1b3e5a7ca70fe4ff75f0.us-east-1.aws.found.io/app/kibana#/discover/Steve-Slow-Train-Analysis-(2080s-and-2083s)?_g=(refreshInterval:(display:Off,pause:!f,section:0,value:0),time:(from:'2017-12-01T06:35:53-0700',mode:absolute,to:'2017-12-01T08:54:42-0700'))&amp;_a=(columns:!('Message%20ID',Summary),filters:!(),index:'emp_*',interval:auto,query:(query_string:(analyze_wildcard:!t,query:'%22rtdc.l.rtdc.4016%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230" t="s">
        <v>802</v>
      </c>
      <c r="B172" s="226">
        <v>4015</v>
      </c>
      <c r="C172" s="228" t="s">
        <v>192</v>
      </c>
      <c r="D172" s="228" t="s">
        <v>1055</v>
      </c>
      <c r="E172" s="227">
        <v>43070.330509259256</v>
      </c>
      <c r="F172" s="227">
        <v>43070.341666666667</v>
      </c>
      <c r="G172" s="226">
        <v>56</v>
      </c>
      <c r="H172" s="228" t="s">
        <v>645</v>
      </c>
      <c r="I172" s="227">
        <v>43070.351064814815</v>
      </c>
      <c r="J172" s="226">
        <v>0</v>
      </c>
      <c r="K172" s="238" t="str">
        <f t="shared" si="63"/>
        <v>4015/4016</v>
      </c>
      <c r="L172" s="246" t="str">
        <f>VLOOKUP(A172,'Trips&amp;Operators'!$C$1:$G$99911,5,FALSE)</f>
        <v>WILLIAMS DONTE</v>
      </c>
      <c r="M172" s="225">
        <f t="shared" si="86"/>
        <v>9.3981481477385387E-3</v>
      </c>
      <c r="N172" s="226">
        <f t="shared" si="94"/>
        <v>13.533333332743496</v>
      </c>
      <c r="O172" s="226"/>
      <c r="P172" s="226"/>
      <c r="Q172" s="229"/>
      <c r="R172" s="243"/>
      <c r="S172" s="250">
        <f t="shared" si="95"/>
        <v>1</v>
      </c>
      <c r="T172" s="243" t="str">
        <f t="shared" si="64"/>
        <v>Southbound</v>
      </c>
      <c r="U172" s="24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9" t="str">
        <f t="shared" si="65"/>
        <v>https://d0f6bd738d7f1b3e5a7ca70fe4ff75f0.us-east-1.aws.found.io/app/kibana#/discover/Steve-Slow-Train-Analysis-(2080s-and-2083s)?_g=(refreshInterval:(display:Off,pause:!f,section:0,value:0),time:(from:'2017-12-01T06:55:56-0700',mode:absolute,to:'2017-12-01T09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2" s="248" t="str">
        <f>IF(AA172&lt;VLOOKUP(AG172,Variables!$AC$3:$AD$8,2,FALSE),"Y","N")</f>
        <v>N</v>
      </c>
      <c r="X172" s="248">
        <f t="shared" si="85"/>
        <v>1</v>
      </c>
      <c r="Y172" s="248">
        <f t="shared" si="92"/>
        <v>5.8634000000000004</v>
      </c>
      <c r="Z172" s="248">
        <f t="shared" si="93"/>
        <v>1.3100000000000001E-2</v>
      </c>
      <c r="AA172" s="248">
        <f t="shared" si="67"/>
        <v>5.8503000000000007</v>
      </c>
      <c r="AB172" s="234" t="e">
        <f>VLOOKUP(A172,Enforcements!$C$7:$K$9,8,0)</f>
        <v>#N/A</v>
      </c>
      <c r="AC172" s="233" t="e">
        <f>VLOOKUP(A172,Enforcements!$C$7:$E$9,3,0)</f>
        <v>#N/A</v>
      </c>
      <c r="AD172" s="244">
        <f t="shared" si="68"/>
        <v>810</v>
      </c>
      <c r="AE172" s="236" t="str">
        <f t="shared" si="69"/>
        <v>aws s3 cp s3://rtdc.mdm.uploadarchive.raw/RTDC4015/ "%USERPROFILE%\AppData\Local\Temp\OnboardLogs"\RTDC4015\2017-12-01 --exclude "*" --recursive --include "*20171201*" &amp; "%USERPROFILE%\Documents\GitHub\mrs-test-scripts\Headless Mode &amp; Sideloading\WalkAndUnGZ.bat" "%USERPROFILE%\AppData\Local\Temp\OnboardLogs"\RTDC4015\2017-12-01 &amp; aws s3 cp s3://rtdc.mdm.uploadarchive.raw/RTDC4015/ "%USERPROFILE%\AppData\Local\Temp\OnboardLogs"\RTDC4015\2017-12-02 --exclude "*" --recursive --include "*20171202*" &amp; "%USERPROFILE%\Documents\GitHub\mrs-test-scripts\Headless Mode &amp; Sideloading\WalkAndUnGZ.bat" "%USERPROFILE%\AppData\Local\Temp\OnboardLogs"\RTDC4015\2017-12-02</v>
      </c>
      <c r="AF172" s="235" t="str">
        <f t="shared" si="70"/>
        <v>"C:\Program Files (x86)\AstroGrep\AstroGrep.exe" /e /r /s /spath="%USERPROFILE%\AppData\Local\Temp\OnboardLogs" /stypes="app*4015*20171201*" /stext=" 15:.+((SYSTEM_STATE.+slice.+state.+changed )|(ment ac)|(multiple cpu faults)|(system.+state.+changed )|(\[timeout)|(PRM\|1\|D)|(kpr)|(kdp)|(train st.+moving)|(\|lc)|(penalty))"</v>
      </c>
      <c r="AG172" s="245" t="str">
        <f t="shared" si="71"/>
        <v>NW</v>
      </c>
      <c r="AH172" s="237" t="str">
        <f t="shared" si="72"/>
        <v>"%USERPROFILE%\Documents\GitHub\eaglep3\Utilities\RefineRTDCRunTimes.py" --tripid 810-01 --locoid 4015 --swversion DE.1.0.9.0 --startMP 300:58634 --initTime 2017-12-01T07:55:56 --startdatetime 2017-12-01T08:12:00 --delay 56 --endMP 204:131 --enddatetime 2017-12-01T08:25:32 --enforcementcount 0 &gt;&gt;%USERPROFILE%\Documents\GitHub\eaglep3-reporting\EC\2017-12-01-refined-times.txt</v>
      </c>
      <c r="AI172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{"issue":{"subject":"","project_id":79,"tracker_id":40,"status_id":1,"priority_id":2,"assigned_to_id":338,"start_date":"2017-12-01","description":"","custom_fields":[{"id":1,"name":"Subdivision","value":"NW"},{"id":4,"name":"Milepost","value":"0.0131"},{"id":17,"name":"Train ID","value":"810-01"},{"id":16,"name":"Locomotive ID","value":"4015"},{"id":130,"name":"Impact","value":""},{"id":150,"name":"Time of Event (Mountain Time)","value":"08:25:32"},{"id":151,"name":"Denver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4"/>
      <c r="AK172" s="232"/>
      <c r="AL172" s="232"/>
      <c r="AM172" s="241" t="str">
        <f t="shared" si="74"/>
        <v>start /low /b %USERPROFILE%\Documents\GitHub\eaglep3\Utilities\DownloadLogsFromS3.py --loco 4015 --day 2017-12-01</v>
      </c>
      <c r="AN172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15:25:32"},{"id":29,"name":"Sharepoint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1" t="str">
        <f t="shared" si="76"/>
        <v>https://d0f6bd738d7f1b3e5a7ca70fe4ff75f0.us-east-1.aws.found.io/app/kibana#/discover/Steve-Slow-Train-Analysis-(2080s-and-2083s)?_g=(refreshInterval:(display:Off,pause:!f,section:0,value:0),time:(from:'2017-12-01T06:55:56-0700',mode:absolute,to:'2017-12-01T09:25:32-0700'))&amp;_a=(columns:!('Message%20ID',Summary),filters:!(),index:'emp_*',interval:auto,query:(query_string:(analyze_wildcard:!t,query:'%22rtdc.l.rtdc.4015%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230" t="s">
        <v>803</v>
      </c>
      <c r="B173" s="226">
        <v>4022</v>
      </c>
      <c r="C173" s="228" t="s">
        <v>192</v>
      </c>
      <c r="D173" s="228" t="s">
        <v>1056</v>
      </c>
      <c r="E173" s="227">
        <v>43070.330752314818</v>
      </c>
      <c r="F173" s="227">
        <v>43070.339733796296</v>
      </c>
      <c r="G173" s="226">
        <v>48</v>
      </c>
      <c r="H173" s="228" t="s">
        <v>1057</v>
      </c>
      <c r="I173" s="227">
        <v>43070.349780092591</v>
      </c>
      <c r="J173" s="226">
        <v>0</v>
      </c>
      <c r="K173" s="238" t="str">
        <f t="shared" si="63"/>
        <v>4021/4022</v>
      </c>
      <c r="L173" s="246" t="str">
        <f>VLOOKUP(A173,'Trips&amp;Operators'!$C$1:$G$99911,5,FALSE)</f>
        <v>BIRENBAUM THOMAS</v>
      </c>
      <c r="M173" s="225">
        <f t="shared" si="86"/>
        <v>1.0046296294603962E-2</v>
      </c>
      <c r="N173" s="226">
        <f t="shared" si="94"/>
        <v>14.466666664229706</v>
      </c>
      <c r="O173" s="226"/>
      <c r="P173" s="226"/>
      <c r="Q173" s="229"/>
      <c r="R173" s="243"/>
      <c r="S173" s="250">
        <f t="shared" si="95"/>
        <v>1</v>
      </c>
      <c r="T173" s="243" t="str">
        <f t="shared" si="64"/>
        <v>NorthBound</v>
      </c>
      <c r="U173" s="24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9" t="str">
        <f t="shared" si="65"/>
        <v>https://d0f6bd738d7f1b3e5a7ca70fe4ff75f0.us-east-1.aws.found.io/app/kibana#/discover/Steve-Slow-Train-Analysis-(2080s-and-2083s)?_g=(refreshInterval:(display:Off,pause:!f,section:0,value:0),time:(from:'2017-12-01T06:56:17-0700',mode:absolute,to:'2017-12-01T09:23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3" s="248" t="str">
        <f>IF(AA173&lt;VLOOKUP(AG173,Variables!$AC$3:$AD$8,2,FALSE),"Y","N")</f>
        <v>N</v>
      </c>
      <c r="X173" s="248">
        <f t="shared" si="85"/>
        <v>1</v>
      </c>
      <c r="Y173" s="248">
        <f t="shared" si="92"/>
        <v>4.0300000000000002E-2</v>
      </c>
      <c r="Z173" s="248">
        <f t="shared" si="93"/>
        <v>5.8943000000000003</v>
      </c>
      <c r="AA173" s="248">
        <f t="shared" si="67"/>
        <v>5.8540000000000001</v>
      </c>
      <c r="AB173" s="234" t="e">
        <f>VLOOKUP(A173,Enforcements!$C$7:$K$9,8,0)</f>
        <v>#N/A</v>
      </c>
      <c r="AC173" s="233" t="e">
        <f>VLOOKUP(A173,Enforcements!$C$7:$E$9,3,0)</f>
        <v>#N/A</v>
      </c>
      <c r="AD173" s="244">
        <f t="shared" si="68"/>
        <v>811</v>
      </c>
      <c r="AE173" s="236" t="str">
        <f t="shared" si="69"/>
        <v>aws s3 cp s3://rtdc.mdm.uploadarchive.raw/RTDC4022/ "%USERPROFILE%\AppData\Local\Temp\OnboardLogs"\RTDC4022\2017-12-01 --exclude "*" --recursive --include "*20171201*" &amp; "%USERPROFILE%\Documents\GitHub\mrs-test-scripts\Headless Mode &amp; Sideloading\WalkAndUnGZ.bat" "%USERPROFILE%\AppData\Local\Temp\OnboardLogs"\RTDC4022\2017-12-01 &amp; 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</v>
      </c>
      <c r="AF173" s="235" t="str">
        <f t="shared" si="70"/>
        <v>"C:\Program Files (x86)\AstroGrep\AstroGrep.exe" /e /r /s /spath="%USERPROFILE%\AppData\Local\Temp\OnboardLogs" /stypes="app*4022*20171201*" /stext=" 15:.+((SYSTEM_STATE.+slice.+state.+changed )|(ment ac)|(multiple cpu faults)|(system.+state.+changed )|(\[timeout)|(PRM\|1\|D)|(kpr)|(kdp)|(train st.+moving)|(\|lc)|(penalty))"</v>
      </c>
      <c r="AG173" s="245" t="str">
        <f t="shared" si="71"/>
        <v>NW</v>
      </c>
      <c r="AH173" s="237" t="str">
        <f t="shared" si="72"/>
        <v>"%USERPROFILE%\Documents\GitHub\eaglep3\Utilities\RefineRTDCRunTimes.py" --tripid 811-01 --locoid 4022 --swversion DE.1.0.9.0 --startMP 204:403 --initTime 2017-12-01T07:56:17 --startdatetime 2017-12-01T08:09:13 --delay 48 --endMP 300:58943 --enddatetime 2017-12-01T08:23:41 --enforcementcount 0 &gt;&gt;%USERPROFILE%\Documents\GitHub\eaglep3-reporting\EC\2017-12-01-refined-times.txt</v>
      </c>
      <c r="AI173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{"issue":{"subject":"","project_id":79,"tracker_id":40,"status_id":1,"priority_id":2,"assigned_to_id":338,"start_date":"2017-12-01","description":"","custom_fields":[{"id":1,"name":"Subdivision","value":"NW"},{"id":4,"name":"Milepost","value":"5.8943"},{"id":17,"name":"Train ID","value":"811-01"},{"id":16,"name":"Locomotive ID","value":"4022"},{"id":130,"name":"Impact","value":""},{"id":150,"name":"Time of Event (Mountain Time)","value":"08:23:41"},{"id":151,"name":"Denver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4"/>
      <c r="AK173" s="232"/>
      <c r="AL173" s="232"/>
      <c r="AM173" s="241" t="str">
        <f t="shared" si="74"/>
        <v>start /low /b %USERPROFILE%\Documents\GitHub\eaglep3\Utilities\DownloadLogsFromS3.py --loco 4022 --day 2017-12-01</v>
      </c>
      <c r="AN173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15:23:41"},{"id":29,"name":"Sharepoint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1" t="str">
        <f t="shared" si="76"/>
        <v>https://d0f6bd738d7f1b3e5a7ca70fe4ff75f0.us-east-1.aws.found.io/app/kibana#/discover/Steve-Slow-Train-Analysis-(2080s-and-2083s)?_g=(refreshInterval:(display:Off,pause:!f,section:0,value:0),time:(from:'2017-12-01T06:56:17-0700',mode:absolute,to:'2017-12-01T09:23:41-0700'))&amp;_a=(columns:!('Message%20ID',Summary),filters:!(),index:'emp_*',interval:auto,query:(query_string:(analyze_wildcard:!t,query:'%22rtdc.l.rtdc.4022%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230" t="s">
        <v>808</v>
      </c>
      <c r="B174" s="226">
        <v>4021</v>
      </c>
      <c r="C174" s="228" t="s">
        <v>192</v>
      </c>
      <c r="D174" s="228" t="s">
        <v>1045</v>
      </c>
      <c r="E174" s="227">
        <v>43070.351342592592</v>
      </c>
      <c r="F174" s="227">
        <v>43070.362500000003</v>
      </c>
      <c r="G174" s="226">
        <v>52</v>
      </c>
      <c r="H174" s="228" t="s">
        <v>1052</v>
      </c>
      <c r="I174" s="227">
        <v>43070.371192129627</v>
      </c>
      <c r="J174" s="226">
        <v>0</v>
      </c>
      <c r="K174" s="238" t="str">
        <f t="shared" si="63"/>
        <v>4021/4022</v>
      </c>
      <c r="L174" s="246" t="str">
        <f>VLOOKUP(A174,'Trips&amp;Operators'!$C$1:$G$99911,5,FALSE)</f>
        <v>BIRENBAUM THOMAS</v>
      </c>
      <c r="M174" s="225">
        <f t="shared" si="86"/>
        <v>8.6921296242508106E-3</v>
      </c>
      <c r="N174" s="226">
        <f t="shared" si="94"/>
        <v>12.516666658921167</v>
      </c>
      <c r="O174" s="226"/>
      <c r="P174" s="226"/>
      <c r="Q174" s="229"/>
      <c r="R174" s="243"/>
      <c r="S174" s="250">
        <f t="shared" si="95"/>
        <v>1</v>
      </c>
      <c r="T174" s="243" t="str">
        <f t="shared" si="64"/>
        <v>Southbound</v>
      </c>
      <c r="U174" s="24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9" t="str">
        <f t="shared" si="65"/>
        <v>https://d0f6bd738d7f1b3e5a7ca70fe4ff75f0.us-east-1.aws.found.io/app/kibana#/discover/Steve-Slow-Train-Analysis-(2080s-and-2083s)?_g=(refreshInterval:(display:Off,pause:!f,section:0,value:0),time:(from:'2017-12-01T07:25:56-0700',mode:absolute,to:'2017-12-01T09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4" s="248" t="str">
        <f>IF(AA174&lt;VLOOKUP(AG174,Variables!$AC$3:$AD$8,2,FALSE),"Y","N")</f>
        <v>N</v>
      </c>
      <c r="X174" s="248">
        <f t="shared" si="85"/>
        <v>1</v>
      </c>
      <c r="Y174" s="248">
        <f t="shared" si="92"/>
        <v>5.8628</v>
      </c>
      <c r="Z174" s="248">
        <f t="shared" si="93"/>
        <v>1.35E-2</v>
      </c>
      <c r="AA174" s="248">
        <f t="shared" si="67"/>
        <v>5.8493000000000004</v>
      </c>
      <c r="AB174" s="234" t="e">
        <f>VLOOKUP(A174,Enforcements!$C$7:$K$9,8,0)</f>
        <v>#N/A</v>
      </c>
      <c r="AC174" s="233" t="e">
        <f>VLOOKUP(A174,Enforcements!$C$7:$E$9,3,0)</f>
        <v>#N/A</v>
      </c>
      <c r="AD174" s="244">
        <f t="shared" si="68"/>
        <v>812</v>
      </c>
      <c r="AE174" s="236" t="str">
        <f t="shared" si="69"/>
        <v>aws s3 cp s3://rtdc.mdm.uploadarchive.raw/RTDC4021/ "%USERPROFILE%\AppData\Local\Temp\OnboardLogs"\RTDC4021\2017-12-01 --exclude "*" --recursive --include "*20171201*" &amp; "%USERPROFILE%\Documents\GitHub\mrs-test-scripts\Headless Mode &amp; Sideloading\WalkAndUnGZ.bat" "%USERPROFILE%\AppData\Local\Temp\OnboardLogs"\RTDC4021\2017-12-01 &amp; 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</v>
      </c>
      <c r="AF174" s="235" t="str">
        <f t="shared" si="70"/>
        <v>"C:\Program Files (x86)\AstroGrep\AstroGrep.exe" /e /r /s /spath="%USERPROFILE%\AppData\Local\Temp\OnboardLogs" /stypes="app*4021*20171201*" /stext=" 15:.+((SYSTEM_STATE.+slice.+state.+changed )|(ment ac)|(multiple cpu faults)|(system.+state.+changed )|(\[timeout)|(PRM\|1\|D)|(kpr)|(kdp)|(train st.+moving)|(\|lc)|(penalty))"</v>
      </c>
      <c r="AG174" s="245" t="str">
        <f t="shared" si="71"/>
        <v>NW</v>
      </c>
      <c r="AH174" s="237" t="str">
        <f t="shared" si="72"/>
        <v>"%USERPROFILE%\Documents\GitHub\eaglep3\Utilities\RefineRTDCRunTimes.py" --tripid 812-01 --locoid 4021 --swversion DE.1.0.9.0 --startMP 300:58628 --initTime 2017-12-01T08:25:56 --startdatetime 2017-12-01T08:42:00 --delay 52 --endMP 204:135 --enddatetime 2017-12-01T08:54:31 --enforcementcount 0 &gt;&gt;%USERPROFILE%\Documents\GitHub\eaglep3-reporting\EC\2017-12-01-refined-times.txt</v>
      </c>
      <c r="AI174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{"issue":{"subject":"","project_id":79,"tracker_id":40,"status_id":1,"priority_id":2,"assigned_to_id":338,"start_date":"2017-12-01","description":"","custom_fields":[{"id":1,"name":"Subdivision","value":"NW"},{"id":4,"name":"Milepost","value":"0.0135"},{"id":17,"name":"Train ID","value":"812-01"},{"id":16,"name":"Locomotive ID","value":"4021"},{"id":130,"name":"Impact","value":""},{"id":150,"name":"Time of Event (Mountain Time)","value":"08:54:31"},{"id":151,"name":"Denver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4"/>
      <c r="AK174" s="232"/>
      <c r="AL174" s="232"/>
      <c r="AM174" s="241" t="str">
        <f t="shared" si="74"/>
        <v>start /low /b %USERPROFILE%\Documents\GitHub\eaglep3\Utilities\DownloadLogsFromS3.py --loco 4021 --day 2017-12-01</v>
      </c>
      <c r="AN174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15:54:31"},{"id":29,"name":"Sharepoint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1" t="str">
        <f t="shared" si="76"/>
        <v>https://d0f6bd738d7f1b3e5a7ca70fe4ff75f0.us-east-1.aws.found.io/app/kibana#/discover/Steve-Slow-Train-Analysis-(2080s-and-2083s)?_g=(refreshInterval:(display:Off,pause:!f,section:0,value:0),time:(from:'2017-12-01T07:25:56-0700',mode:absolute,to:'2017-12-01T09:54:31-0700'))&amp;_a=(columns:!('Message%20ID',Summary),filters:!(),index:'emp_*',interval:auto,query:(query_string:(analyze_wildcard:!t,query:'%22rtdc.l.rtdc.4021%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4" customFormat="1" x14ac:dyDescent="0.25">
      <c r="A175" s="230" t="s">
        <v>815</v>
      </c>
      <c r="B175" s="226">
        <v>4022</v>
      </c>
      <c r="C175" s="228" t="s">
        <v>192</v>
      </c>
      <c r="D175" s="228" t="s">
        <v>1058</v>
      </c>
      <c r="E175" s="227">
        <v>43070.372465277775</v>
      </c>
      <c r="F175" s="227">
        <v>43070.381435185183</v>
      </c>
      <c r="G175" s="226">
        <v>61</v>
      </c>
      <c r="H175" s="228" t="s">
        <v>653</v>
      </c>
      <c r="I175" s="227">
        <v>43070.390833333331</v>
      </c>
      <c r="J175" s="226">
        <v>0</v>
      </c>
      <c r="K175" s="238" t="str">
        <f t="shared" si="63"/>
        <v>4021/4022</v>
      </c>
      <c r="L175" s="246" t="str">
        <f>VLOOKUP(A175,'Trips&amp;Operators'!$C$1:$G$99911,5,FALSE)</f>
        <v>BIRENBAUM THOMAS</v>
      </c>
      <c r="M175" s="225">
        <f t="shared" si="86"/>
        <v>9.3981481477385387E-3</v>
      </c>
      <c r="N175" s="226">
        <f t="shared" si="94"/>
        <v>13.533333332743496</v>
      </c>
      <c r="O175" s="226"/>
      <c r="P175" s="226"/>
      <c r="Q175" s="229"/>
      <c r="R175" s="243"/>
      <c r="S175" s="250">
        <f t="shared" si="95"/>
        <v>1</v>
      </c>
      <c r="T175" s="243" t="str">
        <f t="shared" si="64"/>
        <v>NorthBound</v>
      </c>
      <c r="U175" s="24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9" t="str">
        <f t="shared" si="65"/>
        <v>https://d0f6bd738d7f1b3e5a7ca70fe4ff75f0.us-east-1.aws.found.io/app/kibana#/discover/Steve-Slow-Train-Analysis-(2080s-and-2083s)?_g=(refreshInterval:(display:Off,pause:!f,section:0,value:0),time:(from:'2017-12-01T07:56:21-0700',mode:absolute,to:'2017-12-01T10:22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5" s="248" t="str">
        <f>IF(AA175&lt;VLOOKUP(AG175,Variables!$AC$3:$AD$8,2,FALSE),"Y","N")</f>
        <v>N</v>
      </c>
      <c r="X175" s="248">
        <f t="shared" si="85"/>
        <v>1</v>
      </c>
      <c r="Y175" s="248">
        <f t="shared" si="92"/>
        <v>4.1500000000000002E-2</v>
      </c>
      <c r="Z175" s="248">
        <f t="shared" si="93"/>
        <v>5.8930999999999996</v>
      </c>
      <c r="AA175" s="248">
        <f t="shared" si="67"/>
        <v>5.8515999999999995</v>
      </c>
      <c r="AB175" s="234" t="e">
        <f>VLOOKUP(A175,Enforcements!$C$7:$K$9,8,0)</f>
        <v>#N/A</v>
      </c>
      <c r="AC175" s="233" t="e">
        <f>VLOOKUP(A175,Enforcements!$C$7:$E$9,3,0)</f>
        <v>#N/A</v>
      </c>
      <c r="AD175" s="244">
        <f t="shared" si="68"/>
        <v>813</v>
      </c>
      <c r="AE175" s="236" t="str">
        <f t="shared" si="69"/>
        <v>aws s3 cp s3://rtdc.mdm.uploadarchive.raw/RTDC4022/ "%USERPROFILE%\AppData\Local\Temp\OnboardLogs"\RTDC4022\2017-12-01 --exclude "*" --recursive --include "*20171201*" &amp; "%USERPROFILE%\Documents\GitHub\mrs-test-scripts\Headless Mode &amp; Sideloading\WalkAndUnGZ.bat" "%USERPROFILE%\AppData\Local\Temp\OnboardLogs"\RTDC4022\2017-12-01 &amp; 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</v>
      </c>
      <c r="AF175" s="235" t="str">
        <f t="shared" si="70"/>
        <v>"C:\Program Files (x86)\AstroGrep\AstroGrep.exe" /e /r /s /spath="%USERPROFILE%\AppData\Local\Temp\OnboardLogs" /stypes="app*4022*20171201*" /stext=" 16:.+((SYSTEM_STATE.+slice.+state.+changed )|(ment ac)|(multiple cpu faults)|(system.+state.+changed )|(\[timeout)|(PRM\|1\|D)|(kpr)|(kdp)|(train st.+moving)|(\|lc)|(penalty))"</v>
      </c>
      <c r="AG175" s="245" t="str">
        <f t="shared" si="71"/>
        <v>NW</v>
      </c>
      <c r="AH175" s="237" t="str">
        <f t="shared" si="72"/>
        <v>"%USERPROFILE%\Documents\GitHub\eaglep3\Utilities\RefineRTDCRunTimes.py" --tripid 813-01 --locoid 4022 --swversion DE.1.0.9.0 --startMP 204:415 --initTime 2017-12-01T08:56:21 --startdatetime 2017-12-01T09:09:16 --delay 61 --endMP 300:58931 --enddatetime 2017-12-01T09:22:48 --enforcementcount 0 &gt;&gt;%USERPROFILE%\Documents\GitHub\eaglep3-reporting\EC\2017-12-01-refined-times.txt</v>
      </c>
      <c r="AI175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{"issue":{"subject":"","project_id":79,"tracker_id":40,"status_id":1,"priority_id":2,"assigned_to_id":338,"start_date":"2017-12-01","description":"","custom_fields":[{"id":1,"name":"Subdivision","value":"NW"},{"id":4,"name":"Milepost","value":"5.8931"},{"id":17,"name":"Train ID","value":"813-01"},{"id":16,"name":"Locomotive ID","value":"4022"},{"id":130,"name":"Impact","value":""},{"id":150,"name":"Time of Event (Mountain Time)","value":"09:22:48"},{"id":151,"name":"Denver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2"/>
      <c r="AL175" s="232"/>
      <c r="AM175" s="241" t="str">
        <f t="shared" si="74"/>
        <v>start /low /b %USERPROFILE%\Documents\GitHub\eaglep3\Utilities\DownloadLogsFromS3.py --loco 4022 --day 2017-12-01</v>
      </c>
      <c r="AN175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16:22:48"},{"id":29,"name":"Sharepoint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1" t="str">
        <f t="shared" si="76"/>
        <v>https://d0f6bd738d7f1b3e5a7ca70fe4ff75f0.us-east-1.aws.found.io/app/kibana#/discover/Steve-Slow-Train-Analysis-(2080s-and-2083s)?_g=(refreshInterval:(display:Off,pause:!f,section:0,value:0),time:(from:'2017-12-01T07:56:21-0700',mode:absolute,to:'2017-12-01T10:22:48-0700'))&amp;_a=(columns:!('Message%20ID',Summary),filters:!(),index:'emp_*',interval:auto,query:(query_string:(analyze_wildcard:!t,query:'%22rtdc.l.rtdc.4022%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230" t="s">
        <v>819</v>
      </c>
      <c r="B176" s="226">
        <v>4021</v>
      </c>
      <c r="C176" s="228" t="s">
        <v>192</v>
      </c>
      <c r="D176" s="228" t="s">
        <v>654</v>
      </c>
      <c r="E176" s="227">
        <v>43070.391944444447</v>
      </c>
      <c r="F176" s="227">
        <v>43070.404166666667</v>
      </c>
      <c r="G176" s="226">
        <v>48</v>
      </c>
      <c r="H176" s="228" t="s">
        <v>650</v>
      </c>
      <c r="I176" s="227">
        <v>43070.412847222222</v>
      </c>
      <c r="J176" s="226">
        <v>0</v>
      </c>
      <c r="K176" s="238" t="str">
        <f t="shared" si="63"/>
        <v>4021/4022</v>
      </c>
      <c r="L176" s="246" t="str">
        <f>VLOOKUP(A176,'Trips&amp;Operators'!$C$1:$G$99911,5,FALSE)</f>
        <v>BIRENBAUM THOMAS</v>
      </c>
      <c r="M176" s="225">
        <f t="shared" si="86"/>
        <v>8.6805555547471158E-3</v>
      </c>
      <c r="N176" s="226">
        <f t="shared" si="94"/>
        <v>12.499999998835847</v>
      </c>
      <c r="O176" s="226"/>
      <c r="P176" s="226"/>
      <c r="Q176" s="229"/>
      <c r="R176" s="243"/>
      <c r="S176" s="250">
        <f t="shared" si="95"/>
        <v>1</v>
      </c>
      <c r="T176" s="243" t="str">
        <f t="shared" si="64"/>
        <v>Southbound</v>
      </c>
      <c r="U176" s="24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9" t="str">
        <f t="shared" si="65"/>
        <v>https://d0f6bd738d7f1b3e5a7ca70fe4ff75f0.us-east-1.aws.found.io/app/kibana#/discover/Steve-Slow-Train-Analysis-(2080s-and-2083s)?_g=(refreshInterval:(display:Off,pause:!f,section:0,value:0),time:(from:'2017-12-01T08:24:24-0700',mode:absolute,to:'2017-12-01T10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6" s="248" t="str">
        <f>IF(AA176&lt;VLOOKUP(AG176,Variables!$AC$3:$AD$8,2,FALSE),"Y","N")</f>
        <v>N</v>
      </c>
      <c r="X176" s="248">
        <f t="shared" si="85"/>
        <v>1</v>
      </c>
      <c r="Y176" s="248">
        <f t="shared" si="92"/>
        <v>5.8624000000000001</v>
      </c>
      <c r="Z176" s="248">
        <f t="shared" si="93"/>
        <v>1.5699999999999999E-2</v>
      </c>
      <c r="AA176" s="248">
        <f t="shared" si="67"/>
        <v>5.8467000000000002</v>
      </c>
      <c r="AB176" s="234" t="e">
        <f>VLOOKUP(A176,Enforcements!$C$7:$K$9,8,0)</f>
        <v>#N/A</v>
      </c>
      <c r="AC176" s="233" t="e">
        <f>VLOOKUP(A176,Enforcements!$C$7:$E$9,3,0)</f>
        <v>#N/A</v>
      </c>
      <c r="AD176" s="244">
        <f t="shared" si="68"/>
        <v>814</v>
      </c>
      <c r="AE176" s="236" t="str">
        <f t="shared" si="69"/>
        <v>aws s3 cp s3://rtdc.mdm.uploadarchive.raw/RTDC4021/ "%USERPROFILE%\AppData\Local\Temp\OnboardLogs"\RTDC4021\2017-12-01 --exclude "*" --recursive --include "*20171201*" &amp; "%USERPROFILE%\Documents\GitHub\mrs-test-scripts\Headless Mode &amp; Sideloading\WalkAndUnGZ.bat" "%USERPROFILE%\AppData\Local\Temp\OnboardLogs"\RTDC4021\2017-12-01 &amp; 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</v>
      </c>
      <c r="AF176" s="235" t="str">
        <f t="shared" si="70"/>
        <v>"C:\Program Files (x86)\AstroGrep\AstroGrep.exe" /e /r /s /spath="%USERPROFILE%\AppData\Local\Temp\OnboardLogs" /stypes="app*4021*20171201*" /stext=" 16:.+((SYSTEM_STATE.+slice.+state.+changed )|(ment ac)|(multiple cpu faults)|(system.+state.+changed )|(\[timeout)|(PRM\|1\|D)|(kpr)|(kdp)|(train st.+moving)|(\|lc)|(penalty))"</v>
      </c>
      <c r="AG176" s="245" t="str">
        <f t="shared" si="71"/>
        <v>NW</v>
      </c>
      <c r="AH176" s="237" t="str">
        <f t="shared" si="72"/>
        <v>"%USERPROFILE%\Documents\GitHub\eaglep3\Utilities\RefineRTDCRunTimes.py" --tripid 814-01 --locoid 4021 --swversion DE.1.0.9.0 --startMP 300:58624 --initTime 2017-12-01T09:24:24 --startdatetime 2017-12-01T09:42:00 --delay 48 --endMP 204:157 --enddatetime 2017-12-01T09:54:30 --enforcementcount 0 &gt;&gt;%USERPROFILE%\Documents\GitHub\eaglep3-reporting\EC\2017-12-01-refined-times.txt</v>
      </c>
      <c r="AI176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{"issue":{"subject":"","project_id":79,"tracker_id":40,"status_id":1,"priority_id":2,"assigned_to_id":338,"start_date":"2017-12-01","description":"","custom_fields":[{"id":1,"name":"Subdivision","value":"NW"},{"id":4,"name":"Milepost","value":"0.0157"},{"id":17,"name":"Train ID","value":"814-01"},{"id":16,"name":"Locomotive ID","value":"4021"},{"id":130,"name":"Impact","value":""},{"id":150,"name":"Time of Event (Mountain Time)","value":"09:54:30"},{"id":151,"name":"Denver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4"/>
      <c r="AK176" s="232"/>
      <c r="AL176" s="232"/>
      <c r="AM176" s="241" t="str">
        <f t="shared" si="74"/>
        <v>start /low /b %USERPROFILE%\Documents\GitHub\eaglep3\Utilities\DownloadLogsFromS3.py --loco 4021 --day 2017-12-01</v>
      </c>
      <c r="AN176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16:54:30"},{"id":29,"name":"Sharepoint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1" t="str">
        <f t="shared" si="76"/>
        <v>https://d0f6bd738d7f1b3e5a7ca70fe4ff75f0.us-east-1.aws.found.io/app/kibana#/discover/Steve-Slow-Train-Analysis-(2080s-and-2083s)?_g=(refreshInterval:(display:Off,pause:!f,section:0,value:0),time:(from:'2017-12-01T08:24:24-0700',mode:absolute,to:'2017-12-01T10:54:30-0700'))&amp;_a=(columns:!('Message%20ID',Summary),filters:!(),index:'emp_*',interval:auto,query:(query_string:(analyze_wildcard:!t,query:'%22rtdc.l.rtdc.4021%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230" t="s">
        <v>824</v>
      </c>
      <c r="B177" s="226">
        <v>4022</v>
      </c>
      <c r="C177" s="228" t="s">
        <v>192</v>
      </c>
      <c r="D177" s="228" t="s">
        <v>611</v>
      </c>
      <c r="E177" s="227">
        <v>43070.4140625</v>
      </c>
      <c r="F177" s="227">
        <v>43070.423067129632</v>
      </c>
      <c r="G177" s="226">
        <v>49</v>
      </c>
      <c r="H177" s="228" t="s">
        <v>1050</v>
      </c>
      <c r="I177" s="227">
        <v>43070.432534722226</v>
      </c>
      <c r="J177" s="226">
        <v>0</v>
      </c>
      <c r="K177" s="238" t="str">
        <f t="shared" si="63"/>
        <v>4021/4022</v>
      </c>
      <c r="L177" s="246" t="str">
        <f>VLOOKUP(A177,'Trips&amp;Operators'!$C$1:$G$99911,5,FALSE)</f>
        <v>BIRENBAUM THOMAS</v>
      </c>
      <c r="M177" s="225">
        <f t="shared" si="86"/>
        <v>9.4675925938645378E-3</v>
      </c>
      <c r="N177" s="226">
        <f t="shared" si="94"/>
        <v>13.633333335164934</v>
      </c>
      <c r="O177" s="226"/>
      <c r="P177" s="226"/>
      <c r="Q177" s="229"/>
      <c r="R177" s="243"/>
      <c r="S177" s="250">
        <f t="shared" si="95"/>
        <v>1</v>
      </c>
      <c r="T177" s="243" t="str">
        <f t="shared" si="64"/>
        <v>NorthBound</v>
      </c>
      <c r="U177" s="24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9" t="str">
        <f t="shared" si="65"/>
        <v>https://d0f6bd738d7f1b3e5a7ca70fe4ff75f0.us-east-1.aws.found.io/app/kibana#/discover/Steve-Slow-Train-Analysis-(2080s-and-2083s)?_g=(refreshInterval:(display:Off,pause:!f,section:0,value:0),time:(from:'2017-12-01T08:56:15-0700',mode:absolute,to:'2017-12-01T11:22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7" s="248" t="str">
        <f>IF(AA177&lt;VLOOKUP(AG177,Variables!$AC$3:$AD$8,2,FALSE),"Y","N")</f>
        <v>N</v>
      </c>
      <c r="X177" s="248">
        <f t="shared" si="85"/>
        <v>1</v>
      </c>
      <c r="Y177" s="248">
        <f t="shared" si="92"/>
        <v>4.5699999999999998E-2</v>
      </c>
      <c r="Z177" s="248">
        <f t="shared" si="93"/>
        <v>5.8936999999999999</v>
      </c>
      <c r="AA177" s="248">
        <f t="shared" si="67"/>
        <v>5.8479999999999999</v>
      </c>
      <c r="AB177" s="234" t="e">
        <f>VLOOKUP(A177,Enforcements!$C$7:$K$9,8,0)</f>
        <v>#N/A</v>
      </c>
      <c r="AC177" s="233" t="e">
        <f>VLOOKUP(A177,Enforcements!$C$7:$E$9,3,0)</f>
        <v>#N/A</v>
      </c>
      <c r="AD177" s="244">
        <f t="shared" si="68"/>
        <v>815</v>
      </c>
      <c r="AE177" s="236" t="str">
        <f t="shared" si="69"/>
        <v>aws s3 cp s3://rtdc.mdm.uploadarchive.raw/RTDC4022/ "%USERPROFILE%\AppData\Local\Temp\OnboardLogs"\RTDC4022\2017-12-01 --exclude "*" --recursive --include "*20171201*" &amp; "%USERPROFILE%\Documents\GitHub\mrs-test-scripts\Headless Mode &amp; Sideloading\WalkAndUnGZ.bat" "%USERPROFILE%\AppData\Local\Temp\OnboardLogs"\RTDC4022\2017-12-01 &amp; 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</v>
      </c>
      <c r="AF177" s="235" t="str">
        <f t="shared" si="70"/>
        <v>"C:\Program Files (x86)\AstroGrep\AstroGrep.exe" /e /r /s /spath="%USERPROFILE%\AppData\Local\Temp\OnboardLogs" /stypes="app*4022*20171201*" /stext=" 17:.+((SYSTEM_STATE.+slice.+state.+changed )|(ment ac)|(multiple cpu faults)|(system.+state.+changed )|(\[timeout)|(PRM\|1\|D)|(kpr)|(kdp)|(train st.+moving)|(\|lc)|(penalty))"</v>
      </c>
      <c r="AG177" s="245" t="str">
        <f t="shared" si="71"/>
        <v>NW</v>
      </c>
      <c r="AH177" s="237" t="str">
        <f t="shared" si="72"/>
        <v>"%USERPROFILE%\Documents\GitHub\eaglep3\Utilities\RefineRTDCRunTimes.py" --tripid 815-01 --locoid 4022 --swversion DE.1.0.9.0 --startMP 204:457 --initTime 2017-12-01T09:56:15 --startdatetime 2017-12-01T10:09:13 --delay 49 --endMP 300:58937 --enddatetime 2017-12-01T10:22:51 --enforcementcount 0 &gt;&gt;%USERPROFILE%\Documents\GitHub\eaglep3-reporting\EC\2017-12-01-refined-times.txt</v>
      </c>
      <c r="AI177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{"issue":{"subject":"","project_id":79,"tracker_id":40,"status_id":1,"priority_id":2,"assigned_to_id":338,"start_date":"2017-12-01","description":"","custom_fields":[{"id":1,"name":"Subdivision","value":"NW"},{"id":4,"name":"Milepost","value":"5.8937"},{"id":17,"name":"Train ID","value":"815-01"},{"id":16,"name":"Locomotive ID","value":"4022"},{"id":130,"name":"Impact","value":""},{"id":150,"name":"Time of Event (Mountain Time)","value":"10:22:51"},{"id":151,"name":"Denver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4"/>
      <c r="AK177" s="232"/>
      <c r="AL177" s="232"/>
      <c r="AM177" s="241" t="str">
        <f t="shared" si="74"/>
        <v>start /low /b %USERPROFILE%\Documents\GitHub\eaglep3\Utilities\DownloadLogsFromS3.py --loco 4022 --day 2017-12-01</v>
      </c>
      <c r="AN177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17:22:51"},{"id":29,"name":"Sharepoint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1" t="str">
        <f t="shared" si="76"/>
        <v>https://d0f6bd738d7f1b3e5a7ca70fe4ff75f0.us-east-1.aws.found.io/app/kibana#/discover/Steve-Slow-Train-Analysis-(2080s-and-2083s)?_g=(refreshInterval:(display:Off,pause:!f,section:0,value:0),time:(from:'2017-12-01T08:56:15-0700',mode:absolute,to:'2017-12-01T11:22:51-0700'))&amp;_a=(columns:!('Message%20ID',Summary),filters:!(),index:'emp_*',interval:auto,query:(query_string:(analyze_wildcard:!t,query:'%22rtdc.l.rtdc.4022%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230" t="s">
        <v>731</v>
      </c>
      <c r="B178" s="226">
        <v>4021</v>
      </c>
      <c r="C178" s="228" t="s">
        <v>192</v>
      </c>
      <c r="D178" s="228" t="s">
        <v>660</v>
      </c>
      <c r="E178" s="227">
        <v>43070.43372685185</v>
      </c>
      <c r="F178" s="227">
        <v>43070.445833333331</v>
      </c>
      <c r="G178" s="226">
        <v>48</v>
      </c>
      <c r="H178" s="228" t="s">
        <v>1052</v>
      </c>
      <c r="I178" s="227">
        <v>43070.45648148148</v>
      </c>
      <c r="J178" s="226">
        <v>0</v>
      </c>
      <c r="K178" s="238" t="str">
        <f t="shared" si="63"/>
        <v>4021/4022</v>
      </c>
      <c r="L178" s="246" t="str">
        <f>VLOOKUP(A178,'Trips&amp;Operators'!$C$1:$G$99911,5,FALSE)</f>
        <v>BIRENBAUM THOMAS</v>
      </c>
      <c r="M178" s="225">
        <f t="shared" si="86"/>
        <v>1.0648148148902692E-2</v>
      </c>
      <c r="N178" s="226">
        <f t="shared" si="94"/>
        <v>15.333333334419876</v>
      </c>
      <c r="O178" s="226"/>
      <c r="P178" s="226"/>
      <c r="Q178" s="229"/>
      <c r="R178" s="243"/>
      <c r="S178" s="250">
        <f t="shared" si="95"/>
        <v>1</v>
      </c>
      <c r="T178" s="243" t="str">
        <f t="shared" si="64"/>
        <v>Southbound</v>
      </c>
      <c r="U178" s="24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9" t="str">
        <f t="shared" si="65"/>
        <v>https://d0f6bd738d7f1b3e5a7ca70fe4ff75f0.us-east-1.aws.found.io/app/kibana#/discover/Steve-Slow-Train-Analysis-(2080s-and-2083s)?_g=(refreshInterval:(display:Off,pause:!f,section:0,value:0),time:(from:'2017-12-01T09:24:34-0700',mode:absolute,to:'2017-12-01T11:57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8" s="248" t="str">
        <f>IF(AA178&lt;VLOOKUP(AG178,Variables!$AC$3:$AD$8,2,FALSE),"Y","N")</f>
        <v>N</v>
      </c>
      <c r="X178" s="248">
        <f t="shared" si="85"/>
        <v>1</v>
      </c>
      <c r="Y178" s="248">
        <f t="shared" si="92"/>
        <v>5.8605999999999998</v>
      </c>
      <c r="Z178" s="248">
        <f t="shared" si="93"/>
        <v>1.35E-2</v>
      </c>
      <c r="AA178" s="248">
        <f t="shared" si="67"/>
        <v>5.8471000000000002</v>
      </c>
      <c r="AB178" s="234" t="e">
        <f>VLOOKUP(A178,Enforcements!$C$7:$K$9,8,0)</f>
        <v>#N/A</v>
      </c>
      <c r="AC178" s="233" t="e">
        <f>VLOOKUP(A178,Enforcements!$C$7:$E$9,3,0)</f>
        <v>#N/A</v>
      </c>
      <c r="AD178" s="244">
        <f t="shared" si="68"/>
        <v>816</v>
      </c>
      <c r="AE178" s="236" t="str">
        <f t="shared" si="69"/>
        <v>aws s3 cp s3://rtdc.mdm.uploadarchive.raw/RTDC4021/ "%USERPROFILE%\AppData\Local\Temp\OnboardLogs"\RTDC4021\2017-12-01 --exclude "*" --recursive --include "*20171201*" &amp; "%USERPROFILE%\Documents\GitHub\mrs-test-scripts\Headless Mode &amp; Sideloading\WalkAndUnGZ.bat" "%USERPROFILE%\AppData\Local\Temp\OnboardLogs"\RTDC4021\2017-12-01 &amp; 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</v>
      </c>
      <c r="AF178" s="235" t="str">
        <f t="shared" si="70"/>
        <v>"C:\Program Files (x86)\AstroGrep\AstroGrep.exe" /e /r /s /spath="%USERPROFILE%\AppData\Local\Temp\OnboardLogs" /stypes="app*4021*20171201*" /stext=" 17:.+((SYSTEM_STATE.+slice.+state.+changed )|(ment ac)|(multiple cpu faults)|(system.+state.+changed )|(\[timeout)|(PRM\|1\|D)|(kpr)|(kdp)|(train st.+moving)|(\|lc)|(penalty))"</v>
      </c>
      <c r="AG178" s="245" t="str">
        <f t="shared" si="71"/>
        <v>NW</v>
      </c>
      <c r="AH178" s="237" t="str">
        <f t="shared" si="72"/>
        <v>"%USERPROFILE%\Documents\GitHub\eaglep3\Utilities\RefineRTDCRunTimes.py" --tripid 816-01 --locoid 4021 --swversion DE.1.0.9.0 --startMP 300:58606 --initTime 2017-12-01T10:24:34 --startdatetime 2017-12-01T10:42:00 --delay 48 --endMP 204:135 --enddatetime 2017-12-01T10:57:20 --enforcementcount 0 &gt;&gt;%USERPROFILE%\Documents\GitHub\eaglep3-reporting\EC\2017-12-01-refined-times.txt</v>
      </c>
      <c r="AI178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{"issue":{"subject":"","project_id":79,"tracker_id":40,"status_id":1,"priority_id":2,"assigned_to_id":338,"start_date":"2017-12-01","description":"","custom_fields":[{"id":1,"name":"Subdivision","value":"NW"},{"id":4,"name":"Milepost","value":"0.0135"},{"id":17,"name":"Train ID","value":"816-01"},{"id":16,"name":"Locomotive ID","value":"4021"},{"id":130,"name":"Impact","value":""},{"id":150,"name":"Time of Event (Mountain Time)","value":"10:57:20"},{"id":151,"name":"Denver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4"/>
      <c r="AK178" s="232"/>
      <c r="AL178" s="232"/>
      <c r="AM178" s="241" t="str">
        <f t="shared" si="74"/>
        <v>start /low /b %USERPROFILE%\Documents\GitHub\eaglep3\Utilities\DownloadLogsFromS3.py --loco 4021 --day 2017-12-01</v>
      </c>
      <c r="AN178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17:57:20"},{"id":29,"name":"Sharepoint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1" t="str">
        <f t="shared" si="76"/>
        <v>https://d0f6bd738d7f1b3e5a7ca70fe4ff75f0.us-east-1.aws.found.io/app/kibana#/discover/Steve-Slow-Train-Analysis-(2080s-and-2083s)?_g=(refreshInterval:(display:Off,pause:!f,section:0,value:0),time:(from:'2017-12-01T09:24:34-0700',mode:absolute,to:'2017-12-01T11:57:20-0700'))&amp;_a=(columns:!('Message%20ID',Summary),filters:!(),index:'emp_*',interval:auto,query:(query_string:(analyze_wildcard:!t,query:'%22rtdc.l.rtdc.4021%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230" t="s">
        <v>833</v>
      </c>
      <c r="B179" s="226">
        <v>4022</v>
      </c>
      <c r="C179" s="228" t="s">
        <v>192</v>
      </c>
      <c r="D179" s="228" t="s">
        <v>489</v>
      </c>
      <c r="E179" s="227">
        <v>43070.458067129628</v>
      </c>
      <c r="F179" s="227">
        <v>43070.464722222219</v>
      </c>
      <c r="G179" s="226">
        <v>49</v>
      </c>
      <c r="H179" s="228" t="s">
        <v>578</v>
      </c>
      <c r="I179" s="227">
        <v>43070.47378472222</v>
      </c>
      <c r="J179" s="226">
        <v>0</v>
      </c>
      <c r="K179" s="238" t="str">
        <f t="shared" si="63"/>
        <v>4021/4022</v>
      </c>
      <c r="L179" s="246" t="str">
        <f>VLOOKUP(A179,'Trips&amp;Operators'!$C$1:$G$99911,5,FALSE)</f>
        <v>BIRENBAUM THOMAS</v>
      </c>
      <c r="M179" s="225">
        <f t="shared" si="86"/>
        <v>9.0625000011641532E-3</v>
      </c>
      <c r="N179" s="226">
        <f t="shared" si="94"/>
        <v>13.050000001676381</v>
      </c>
      <c r="O179" s="226"/>
      <c r="P179" s="226"/>
      <c r="Q179" s="229"/>
      <c r="R179" s="243"/>
      <c r="S179" s="250">
        <f t="shared" si="95"/>
        <v>1</v>
      </c>
      <c r="T179" s="243" t="str">
        <f t="shared" si="64"/>
        <v>NorthBound</v>
      </c>
      <c r="U179" s="24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9" t="str">
        <f t="shared" si="65"/>
        <v>https://d0f6bd738d7f1b3e5a7ca70fe4ff75f0.us-east-1.aws.found.io/app/kibana#/discover/Steve-Slow-Train-Analysis-(2080s-and-2083s)?_g=(refreshInterval:(display:Off,pause:!f,section:0,value:0),time:(from:'2017-12-01T09:59:37-0700',mode:absolute,to:'2017-12-01T12:22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79" s="248" t="str">
        <f>IF(AA179&lt;VLOOKUP(AG179,Variables!$AC$3:$AD$8,2,FALSE),"Y","N")</f>
        <v>N</v>
      </c>
      <c r="X179" s="248">
        <f t="shared" si="85"/>
        <v>1</v>
      </c>
      <c r="Y179" s="248">
        <f t="shared" si="92"/>
        <v>4.3499999999999997E-2</v>
      </c>
      <c r="Z179" s="248">
        <f t="shared" si="93"/>
        <v>5.8935000000000004</v>
      </c>
      <c r="AA179" s="248">
        <f t="shared" si="67"/>
        <v>5.8500000000000005</v>
      </c>
      <c r="AB179" s="234" t="e">
        <f>VLOOKUP(A179,Enforcements!$C$7:$K$9,8,0)</f>
        <v>#N/A</v>
      </c>
      <c r="AC179" s="233" t="e">
        <f>VLOOKUP(A179,Enforcements!$C$7:$E$9,3,0)</f>
        <v>#N/A</v>
      </c>
      <c r="AD179" s="244">
        <f t="shared" si="68"/>
        <v>817</v>
      </c>
      <c r="AE179" s="236" t="str">
        <f t="shared" si="69"/>
        <v>aws s3 cp s3://rtdc.mdm.uploadarchive.raw/RTDC4022/ "%USERPROFILE%\AppData\Local\Temp\OnboardLogs"\RTDC4022\2017-12-01 --exclude "*" --recursive --include "*20171201*" &amp; "%USERPROFILE%\Documents\GitHub\mrs-test-scripts\Headless Mode &amp; Sideloading\WalkAndUnGZ.bat" "%USERPROFILE%\AppData\Local\Temp\OnboardLogs"\RTDC4022\2017-12-01 &amp; 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</v>
      </c>
      <c r="AF179" s="235" t="str">
        <f t="shared" si="70"/>
        <v>"C:\Program Files (x86)\AstroGrep\AstroGrep.exe" /e /r /s /spath="%USERPROFILE%\AppData\Local\Temp\OnboardLogs" /stypes="app*4022*20171201*" /stext=" 18:.+((SYSTEM_STATE.+slice.+state.+changed )|(ment ac)|(multiple cpu faults)|(system.+state.+changed )|(\[timeout)|(PRM\|1\|D)|(kpr)|(kdp)|(train st.+moving)|(\|lc)|(penalty))"</v>
      </c>
      <c r="AG179" s="245" t="str">
        <f t="shared" si="71"/>
        <v>NW</v>
      </c>
      <c r="AH179" s="237" t="str">
        <f t="shared" si="72"/>
        <v>"%USERPROFILE%\Documents\GitHub\eaglep3\Utilities\RefineRTDCRunTimes.py" --tripid 817-01 --locoid 4022 --swversion DE.1.0.9.0 --startMP 204:435 --initTime 2017-12-01T10:59:37 --startdatetime 2017-12-01T11:09:12 --delay 49 --endMP 300:58935 --enddatetime 2017-12-01T11:22:15 --enforcementcount 0 &gt;&gt;%USERPROFILE%\Documents\GitHub\eaglep3-reporting\EC\2017-12-01-refined-times.txt</v>
      </c>
      <c r="AI179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{"issue":{"subject":"","project_id":79,"tracker_id":40,"status_id":1,"priority_id":2,"assigned_to_id":338,"start_date":"2017-12-01","description":"","custom_fields":[{"id":1,"name":"Subdivision","value":"NW"},{"id":4,"name":"Milepost","value":"5.8935"},{"id":17,"name":"Train ID","value":"817-01"},{"id":16,"name":"Locomotive ID","value":"4022"},{"id":130,"name":"Impact","value":""},{"id":150,"name":"Time of Event (Mountain Time)","value":"11:22:15"},{"id":151,"name":"Denver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4"/>
      <c r="AK179" s="232"/>
      <c r="AL179" s="232"/>
      <c r="AM179" s="241" t="str">
        <f t="shared" si="74"/>
        <v>start /low /b %USERPROFILE%\Documents\GitHub\eaglep3\Utilities\DownloadLogsFromS3.py --loco 4022 --day 2017-12-01</v>
      </c>
      <c r="AN179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18:22:15"},{"id":29,"name":"Sharepoint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1" t="str">
        <f t="shared" si="76"/>
        <v>https://d0f6bd738d7f1b3e5a7ca70fe4ff75f0.us-east-1.aws.found.io/app/kibana#/discover/Steve-Slow-Train-Analysis-(2080s-and-2083s)?_g=(refreshInterval:(display:Off,pause:!f,section:0,value:0),time:(from:'2017-12-01T09:59:37-0700',mode:absolute,to:'2017-12-01T12:22:15-0700'))&amp;_a=(columns:!('Message%20ID',Summary),filters:!(),index:'emp_*',interval:auto,query:(query_string:(analyze_wildcard:!t,query:'%22rtdc.l.rtdc.4022%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24" customFormat="1" x14ac:dyDescent="0.25">
      <c r="A180" s="230" t="s">
        <v>837</v>
      </c>
      <c r="B180" s="226">
        <v>4021</v>
      </c>
      <c r="C180" s="228" t="s">
        <v>192</v>
      </c>
      <c r="D180" s="228" t="s">
        <v>662</v>
      </c>
      <c r="E180" s="227">
        <v>43070.474814814814</v>
      </c>
      <c r="F180" s="227">
        <v>43070.487500000003</v>
      </c>
      <c r="G180" s="226">
        <v>52</v>
      </c>
      <c r="H180" s="228" t="s">
        <v>1052</v>
      </c>
      <c r="I180" s="227">
        <v>43070.496238425927</v>
      </c>
      <c r="J180" s="226">
        <v>0</v>
      </c>
      <c r="K180" s="238" t="str">
        <f t="shared" si="63"/>
        <v>4021/4022</v>
      </c>
      <c r="L180" s="246" t="str">
        <f>VLOOKUP(A180,'Trips&amp;Operators'!$C$1:$G$99911,5,FALSE)</f>
        <v>BIRENBAUM THOMAS</v>
      </c>
      <c r="M180" s="225">
        <f t="shared" si="86"/>
        <v>8.7384259240934625E-3</v>
      </c>
      <c r="N180" s="226">
        <f t="shared" si="94"/>
        <v>12.583333330694586</v>
      </c>
      <c r="O180" s="226"/>
      <c r="P180" s="226"/>
      <c r="Q180" s="229"/>
      <c r="R180" s="243"/>
      <c r="S180" s="250">
        <f t="shared" si="95"/>
        <v>1</v>
      </c>
      <c r="T180" s="243" t="str">
        <f t="shared" si="64"/>
        <v>Southbound</v>
      </c>
      <c r="U180" s="24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9" t="str">
        <f t="shared" si="65"/>
        <v>https://d0f6bd738d7f1b3e5a7ca70fe4ff75f0.us-east-1.aws.found.io/app/kibana#/discover/Steve-Slow-Train-Analysis-(2080s-and-2083s)?_g=(refreshInterval:(display:Off,pause:!f,section:0,value:0),time:(from:'2017-12-01T10:23:44-0700',mode:absolute,to:'2017-12-01T12:54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0" s="248" t="str">
        <f>IF(AA180&lt;VLOOKUP(AG180,Variables!$AC$3:$AD$8,2,FALSE),"Y","N")</f>
        <v>N</v>
      </c>
      <c r="X180" s="248">
        <f t="shared" si="85"/>
        <v>1</v>
      </c>
      <c r="Y180" s="248">
        <f t="shared" si="92"/>
        <v>5.8611000000000004</v>
      </c>
      <c r="Z180" s="248">
        <f t="shared" si="93"/>
        <v>1.35E-2</v>
      </c>
      <c r="AA180" s="248">
        <f t="shared" si="67"/>
        <v>5.8476000000000008</v>
      </c>
      <c r="AB180" s="234" t="e">
        <f>VLOOKUP(A180,Enforcements!$C$7:$K$9,8,0)</f>
        <v>#N/A</v>
      </c>
      <c r="AC180" s="233" t="e">
        <f>VLOOKUP(A180,Enforcements!$C$7:$E$9,3,0)</f>
        <v>#N/A</v>
      </c>
      <c r="AD180" s="244">
        <f t="shared" si="68"/>
        <v>818</v>
      </c>
      <c r="AE180" s="236" t="str">
        <f t="shared" si="69"/>
        <v>aws s3 cp s3://rtdc.mdm.uploadarchive.raw/RTDC4021/ "%USERPROFILE%\AppData\Local\Temp\OnboardLogs"\RTDC4021\2017-12-01 --exclude "*" --recursive --include "*20171201*" &amp; "%USERPROFILE%\Documents\GitHub\mrs-test-scripts\Headless Mode &amp; Sideloading\WalkAndUnGZ.bat" "%USERPROFILE%\AppData\Local\Temp\OnboardLogs"\RTDC4021\2017-12-01 &amp; 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</v>
      </c>
      <c r="AF180" s="235" t="str">
        <f t="shared" si="70"/>
        <v>"C:\Program Files (x86)\AstroGrep\AstroGrep.exe" /e /r /s /spath="%USERPROFILE%\AppData\Local\Temp\OnboardLogs" /stypes="app*4021*20171201*" /stext=" 18:.+((SYSTEM_STATE.+slice.+state.+changed )|(ment ac)|(multiple cpu faults)|(system.+state.+changed )|(\[timeout)|(PRM\|1\|D)|(kpr)|(kdp)|(train st.+moving)|(\|lc)|(penalty))"</v>
      </c>
      <c r="AG180" s="245" t="str">
        <f t="shared" si="71"/>
        <v>NW</v>
      </c>
      <c r="AH180" s="237" t="str">
        <f t="shared" si="72"/>
        <v>"%USERPROFILE%\Documents\GitHub\eaglep3\Utilities\RefineRTDCRunTimes.py" --tripid 818-01 --locoid 4021 --swversion DE.1.0.9.0 --startMP 300:58611 --initTime 2017-12-01T11:23:44 --startdatetime 2017-12-01T11:42:00 --delay 52 --endMP 204:135 --enddatetime 2017-12-01T11:54:35 --enforcementcount 0 &gt;&gt;%USERPROFILE%\Documents\GitHub\eaglep3-reporting\EC\2017-12-01-refined-times.txt</v>
      </c>
      <c r="AI180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{"issue":{"subject":"","project_id":79,"tracker_id":40,"status_id":1,"priority_id":2,"assigned_to_id":338,"start_date":"2017-12-01","description":"","custom_fields":[{"id":1,"name":"Subdivision","value":"NW"},{"id":4,"name":"Milepost","value":"0.0135"},{"id":17,"name":"Train ID","value":"818-01"},{"id":16,"name":"Locomotive ID","value":"4021"},{"id":130,"name":"Impact","value":""},{"id":150,"name":"Time of Event (Mountain Time)","value":"11:54:35"},{"id":151,"name":"Denver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232"/>
      <c r="AL180" s="232"/>
      <c r="AM180" s="241" t="str">
        <f t="shared" si="74"/>
        <v>start /low /b %USERPROFILE%\Documents\GitHub\eaglep3\Utilities\DownloadLogsFromS3.py --loco 4021 --day 2017-12-01</v>
      </c>
      <c r="AN180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18:54:35"},{"id":29,"name":"Sharepoint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1" t="str">
        <f t="shared" si="76"/>
        <v>https://d0f6bd738d7f1b3e5a7ca70fe4ff75f0.us-east-1.aws.found.io/app/kibana#/discover/Steve-Slow-Train-Analysis-(2080s-and-2083s)?_g=(refreshInterval:(display:Off,pause:!f,section:0,value:0),time:(from:'2017-12-01T10:23:44-0700',mode:absolute,to:'2017-12-01T12:54:35-0700'))&amp;_a=(columns:!('Message%20ID',Summary),filters:!(),index:'emp_*',interval:auto,query:(query_string:(analyze_wildcard:!t,query:'%22rtdc.l.rtdc.4021%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24" customFormat="1" x14ac:dyDescent="0.25">
      <c r="A181" s="230" t="s">
        <v>847</v>
      </c>
      <c r="B181" s="226">
        <v>4022</v>
      </c>
      <c r="C181" s="228" t="s">
        <v>192</v>
      </c>
      <c r="D181" s="228" t="s">
        <v>701</v>
      </c>
      <c r="E181" s="227">
        <v>43070.497534722221</v>
      </c>
      <c r="F181" s="227">
        <v>43070.506388888891</v>
      </c>
      <c r="G181" s="226">
        <v>51</v>
      </c>
      <c r="H181" s="228" t="s">
        <v>1059</v>
      </c>
      <c r="I181" s="227">
        <v>43070.515949074077</v>
      </c>
      <c r="J181" s="226">
        <v>0</v>
      </c>
      <c r="K181" s="238" t="str">
        <f t="shared" si="63"/>
        <v>4021/4022</v>
      </c>
      <c r="L181" s="246" t="str">
        <f>VLOOKUP(A181,'Trips&amp;Operators'!$C$1:$G$99911,5,FALSE)</f>
        <v>BIRENBAUM THOMAS</v>
      </c>
      <c r="M181" s="225">
        <f t="shared" si="86"/>
        <v>9.560185186273884E-3</v>
      </c>
      <c r="N181" s="226">
        <f t="shared" si="94"/>
        <v>13.766666668234393</v>
      </c>
      <c r="O181" s="226"/>
      <c r="P181" s="226"/>
      <c r="Q181" s="229"/>
      <c r="R181" s="243"/>
      <c r="S181" s="250">
        <f t="shared" si="95"/>
        <v>1</v>
      </c>
      <c r="T181" s="243" t="str">
        <f t="shared" si="64"/>
        <v>NorthBound</v>
      </c>
      <c r="U181" s="24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9" t="str">
        <f t="shared" si="65"/>
        <v>https://d0f6bd738d7f1b3e5a7ca70fe4ff75f0.us-east-1.aws.found.io/app/kibana#/discover/Steve-Slow-Train-Analysis-(2080s-and-2083s)?_g=(refreshInterval:(display:Off,pause:!f,section:0,value:0),time:(from:'2017-12-01T10:56:27-0700',mode:absolute,to:'2017-12-01T13:22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1" s="248" t="str">
        <f>IF(AA181&lt;VLOOKUP(AG181,Variables!$AC$3:$AD$8,2,FALSE),"Y","N")</f>
        <v>N</v>
      </c>
      <c r="X181" s="248">
        <f t="shared" si="85"/>
        <v>1</v>
      </c>
      <c r="Y181" s="248">
        <f t="shared" si="92"/>
        <v>4.4200000000000003E-2</v>
      </c>
      <c r="Z181" s="248">
        <f t="shared" si="93"/>
        <v>5.8940999999999999</v>
      </c>
      <c r="AA181" s="248">
        <f t="shared" si="67"/>
        <v>5.8498999999999999</v>
      </c>
      <c r="AB181" s="234" t="e">
        <f>VLOOKUP(A181,Enforcements!$C$7:$K$9,8,0)</f>
        <v>#N/A</v>
      </c>
      <c r="AC181" s="233" t="e">
        <f>VLOOKUP(A181,Enforcements!$C$7:$E$9,3,0)</f>
        <v>#N/A</v>
      </c>
      <c r="AD181" s="244">
        <f t="shared" si="68"/>
        <v>819</v>
      </c>
      <c r="AE181" s="236" t="str">
        <f t="shared" si="69"/>
        <v>aws s3 cp s3://rtdc.mdm.uploadarchive.raw/RTDC4022/ "%USERPROFILE%\AppData\Local\Temp\OnboardLogs"\RTDC4022\2017-12-01 --exclude "*" --recursive --include "*20171201*" &amp; "%USERPROFILE%\Documents\GitHub\mrs-test-scripts\Headless Mode &amp; Sideloading\WalkAndUnGZ.bat" "%USERPROFILE%\AppData\Local\Temp\OnboardLogs"\RTDC4022\2017-12-01 &amp; 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</v>
      </c>
      <c r="AF181" s="235" t="str">
        <f t="shared" si="70"/>
        <v>"C:\Program Files (x86)\AstroGrep\AstroGrep.exe" /e /r /s /spath="%USERPROFILE%\AppData\Local\Temp\OnboardLogs" /stypes="app*4022*20171201*" /stext=" 19:.+((SYSTEM_STATE.+slice.+state.+changed )|(ment ac)|(multiple cpu faults)|(system.+state.+changed )|(\[timeout)|(PRM\|1\|D)|(kpr)|(kdp)|(train st.+moving)|(\|lc)|(penalty))"</v>
      </c>
      <c r="AG181" s="245" t="str">
        <f t="shared" si="71"/>
        <v>NW</v>
      </c>
      <c r="AH181" s="237" t="str">
        <f t="shared" si="72"/>
        <v>"%USERPROFILE%\Documents\GitHub\eaglep3\Utilities\RefineRTDCRunTimes.py" --tripid 819-01 --locoid 4022 --swversion DE.1.0.9.0 --startMP 204:442 --initTime 2017-12-01T11:56:27 --startdatetime 2017-12-01T12:09:12 --delay 51 --endMP 300:58941 --enddatetime 2017-12-01T12:22:58 --enforcementcount 0 &gt;&gt;%USERPROFILE%\Documents\GitHub\eaglep3-reporting\EC\2017-12-01-refined-times.txt</v>
      </c>
      <c r="AI181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{"issue":{"subject":"","project_id":79,"tracker_id":40,"status_id":1,"priority_id":2,"assigned_to_id":338,"start_date":"2017-12-01","description":"","custom_fields":[{"id":1,"name":"Subdivision","value":"NW"},{"id":4,"name":"Milepost","value":"5.8941"},{"id":17,"name":"Train ID","value":"819-01"},{"id":16,"name":"Locomotive ID","value":"4022"},{"id":130,"name":"Impact","value":""},{"id":150,"name":"Time of Event (Mountain Time)","value":"12:22:58"},{"id":151,"name":"Denver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232"/>
      <c r="AL181" s="232"/>
      <c r="AM181" s="241" t="str">
        <f t="shared" si="74"/>
        <v>start /low /b %USERPROFILE%\Documents\GitHub\eaglep3\Utilities\DownloadLogsFromS3.py --loco 4022 --day 2017-12-01</v>
      </c>
      <c r="AN181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19:22:58"},{"id":29,"name":"Sharepoint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1" t="str">
        <f t="shared" si="76"/>
        <v>https://d0f6bd738d7f1b3e5a7ca70fe4ff75f0.us-east-1.aws.found.io/app/kibana#/discover/Steve-Slow-Train-Analysis-(2080s-and-2083s)?_g=(refreshInterval:(display:Off,pause:!f,section:0,value:0),time:(from:'2017-12-01T10:56:27-0700',mode:absolute,to:'2017-12-01T13:22:58-0700'))&amp;_a=(columns:!('Message%20ID',Summary),filters:!(),index:'emp_*',interval:auto,query:(query_string:(analyze_wildcard:!t,query:'%22rtdc.l.rtdc.4022%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24" customFormat="1" x14ac:dyDescent="0.25">
      <c r="A182" s="230" t="s">
        <v>852</v>
      </c>
      <c r="B182" s="226">
        <v>4021</v>
      </c>
      <c r="C182" s="228" t="s">
        <v>192</v>
      </c>
      <c r="D182" s="228" t="s">
        <v>1045</v>
      </c>
      <c r="E182" s="227">
        <v>43070.51699074074</v>
      </c>
      <c r="F182" s="227">
        <v>43070.529166666667</v>
      </c>
      <c r="G182" s="226">
        <v>48</v>
      </c>
      <c r="H182" s="228" t="s">
        <v>1060</v>
      </c>
      <c r="I182" s="227">
        <v>43070.537800925929</v>
      </c>
      <c r="J182" s="226">
        <v>0</v>
      </c>
      <c r="K182" s="238" t="str">
        <f t="shared" si="63"/>
        <v>4021/4022</v>
      </c>
      <c r="L182" s="246" t="str">
        <f>VLOOKUP(A182,'Trips&amp;Operators'!$C$1:$G$99911,5,FALSE)</f>
        <v>BIRENBAUM THOMAS</v>
      </c>
      <c r="M182" s="225">
        <f t="shared" si="86"/>
        <v>8.6342592621804215E-3</v>
      </c>
      <c r="N182" s="226">
        <f t="shared" si="94"/>
        <v>12.433333337539807</v>
      </c>
      <c r="O182" s="226"/>
      <c r="P182" s="226"/>
      <c r="Q182" s="229"/>
      <c r="R182" s="243"/>
      <c r="S182" s="250">
        <f t="shared" si="95"/>
        <v>1</v>
      </c>
      <c r="T182" s="243" t="str">
        <f t="shared" si="64"/>
        <v>Southbound</v>
      </c>
      <c r="U182" s="24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9" t="str">
        <f t="shared" si="65"/>
        <v>https://d0f6bd738d7f1b3e5a7ca70fe4ff75f0.us-east-1.aws.found.io/app/kibana#/discover/Steve-Slow-Train-Analysis-(2080s-and-2083s)?_g=(refreshInterval:(display:Off,pause:!f,section:0,value:0),time:(from:'2017-12-01T11:24:28-0700',mode:absolute,to:'2017-12-01T13:54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2" s="248" t="str">
        <f>IF(AA182&lt;VLOOKUP(AG182,Variables!$AC$3:$AD$8,2,FALSE),"Y","N")</f>
        <v>N</v>
      </c>
      <c r="X182" s="248">
        <f t="shared" si="85"/>
        <v>1</v>
      </c>
      <c r="Y182" s="248">
        <f t="shared" si="92"/>
        <v>5.8628</v>
      </c>
      <c r="Z182" s="248">
        <f t="shared" si="93"/>
        <v>1.46E-2</v>
      </c>
      <c r="AA182" s="248">
        <f t="shared" si="67"/>
        <v>5.8482000000000003</v>
      </c>
      <c r="AB182" s="234" t="e">
        <f>VLOOKUP(A182,Enforcements!$C$7:$K$9,8,0)</f>
        <v>#N/A</v>
      </c>
      <c r="AC182" s="233" t="e">
        <f>VLOOKUP(A182,Enforcements!$C$7:$E$9,3,0)</f>
        <v>#N/A</v>
      </c>
      <c r="AD182" s="244">
        <f t="shared" si="68"/>
        <v>820</v>
      </c>
      <c r="AE182" s="236" t="str">
        <f t="shared" si="69"/>
        <v>aws s3 cp s3://rtdc.mdm.uploadarchive.raw/RTDC4021/ "%USERPROFILE%\AppData\Local\Temp\OnboardLogs"\RTDC4021\2017-12-01 --exclude "*" --recursive --include "*20171201*" &amp; "%USERPROFILE%\Documents\GitHub\mrs-test-scripts\Headless Mode &amp; Sideloading\WalkAndUnGZ.bat" "%USERPROFILE%\AppData\Local\Temp\OnboardLogs"\RTDC4021\2017-12-01 &amp; 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</v>
      </c>
      <c r="AF182" s="235" t="str">
        <f t="shared" si="70"/>
        <v>"C:\Program Files (x86)\AstroGrep\AstroGrep.exe" /e /r /s /spath="%USERPROFILE%\AppData\Local\Temp\OnboardLogs" /stypes="app*4021*20171201*" /stext=" 19:.+((SYSTEM_STATE.+slice.+state.+changed )|(ment ac)|(multiple cpu faults)|(system.+state.+changed )|(\[timeout)|(PRM\|1\|D)|(kpr)|(kdp)|(train st.+moving)|(\|lc)|(penalty))"</v>
      </c>
      <c r="AG182" s="245" t="str">
        <f t="shared" si="71"/>
        <v>NW</v>
      </c>
      <c r="AH182" s="237" t="str">
        <f t="shared" si="72"/>
        <v>"%USERPROFILE%\Documents\GitHub\eaglep3\Utilities\RefineRTDCRunTimes.py" --tripid 820-01 --locoid 4021 --swversion DE.1.0.9.0 --startMP 300:58628 --initTime 2017-12-01T12:24:28 --startdatetime 2017-12-01T12:42:00 --delay 48 --endMP 204:146 --enddatetime 2017-12-01T12:54:26 --enforcementcount 0 &gt;&gt;%USERPROFILE%\Documents\GitHub\eaglep3-reporting\EC\2017-12-01-refined-times.txt</v>
      </c>
      <c r="AI182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{"issue":{"subject":"","project_id":79,"tracker_id":40,"status_id":1,"priority_id":2,"assigned_to_id":338,"start_date":"2017-12-01","description":"","custom_fields":[{"id":1,"name":"Subdivision","value":"NW"},{"id":4,"name":"Milepost","value":"0.0146"},{"id":17,"name":"Train ID","value":"820-01"},{"id":16,"name":"Locomotive ID","value":"4021"},{"id":130,"name":"Impact","value":""},{"id":150,"name":"Time of Event (Mountain Time)","value":"12:54:26"},{"id":151,"name":"Denver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232"/>
      <c r="AL182" s="232"/>
      <c r="AM182" s="241" t="str">
        <f t="shared" si="74"/>
        <v>start /low /b %USERPROFILE%\Documents\GitHub\eaglep3\Utilities\DownloadLogsFromS3.py --loco 4021 --day 2017-12-01</v>
      </c>
      <c r="AN182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19:54:26"},{"id":29,"name":"Sharepoint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1" t="str">
        <f t="shared" si="76"/>
        <v>https://d0f6bd738d7f1b3e5a7ca70fe4ff75f0.us-east-1.aws.found.io/app/kibana#/discover/Steve-Slow-Train-Analysis-(2080s-and-2083s)?_g=(refreshInterval:(display:Off,pause:!f,section:0,value:0),time:(from:'2017-12-01T11:24:28-0700',mode:absolute,to:'2017-12-01T13:54:26-0700'))&amp;_a=(columns:!('Message%20ID',Summary),filters:!(),index:'emp_*',interval:auto,query:(query_string:(analyze_wildcard:!t,query:'%22rtdc.l.rtdc.4021%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230" t="s">
        <v>857</v>
      </c>
      <c r="B183" s="226">
        <v>4022</v>
      </c>
      <c r="C183" s="228" t="s">
        <v>192</v>
      </c>
      <c r="D183" s="228" t="s">
        <v>491</v>
      </c>
      <c r="E183" s="227">
        <v>43070.539710648147</v>
      </c>
      <c r="F183" s="227">
        <v>43070.548402777778</v>
      </c>
      <c r="G183" s="226">
        <v>97</v>
      </c>
      <c r="H183" s="228" t="s">
        <v>1061</v>
      </c>
      <c r="I183" s="227">
        <v>43070.558171296296</v>
      </c>
      <c r="J183" s="226">
        <v>0</v>
      </c>
      <c r="K183" s="238" t="str">
        <f t="shared" si="63"/>
        <v>4021/4022</v>
      </c>
      <c r="L183" s="246" t="str">
        <f>VLOOKUP(A183,'Trips&amp;Operators'!$C$1:$G$99911,5,FALSE)</f>
        <v>BERLING GARY</v>
      </c>
      <c r="M183" s="225">
        <f t="shared" si="86"/>
        <v>9.7685185173759237E-3</v>
      </c>
      <c r="N183" s="226">
        <f t="shared" si="94"/>
        <v>14.06666666502133</v>
      </c>
      <c r="O183" s="226"/>
      <c r="P183" s="226"/>
      <c r="Q183" s="229"/>
      <c r="R183" s="243"/>
      <c r="S183" s="250">
        <f t="shared" si="95"/>
        <v>1</v>
      </c>
      <c r="T183" s="243" t="str">
        <f t="shared" si="64"/>
        <v>NorthBound</v>
      </c>
      <c r="U183" s="24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9" t="str">
        <f t="shared" si="65"/>
        <v>https://d0f6bd738d7f1b3e5a7ca70fe4ff75f0.us-east-1.aws.found.io/app/kibana#/discover/Steve-Slow-Train-Analysis-(2080s-and-2083s)?_g=(refreshInterval:(display:Off,pause:!f,section:0,value:0),time:(from:'2017-12-01T11:57:11-0700',mode:absolute,to:'2017-12-01T14:23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3" s="248" t="str">
        <f>IF(AA183&lt;VLOOKUP(AG183,Variables!$AC$3:$AD$8,2,FALSE),"Y","N")</f>
        <v>N</v>
      </c>
      <c r="X183" s="248">
        <f t="shared" si="85"/>
        <v>1</v>
      </c>
      <c r="Y183" s="248">
        <f t="shared" si="92"/>
        <v>4.6399999999999997E-2</v>
      </c>
      <c r="Z183" s="248">
        <f t="shared" si="93"/>
        <v>5.9006999999999996</v>
      </c>
      <c r="AA183" s="248">
        <f t="shared" si="67"/>
        <v>5.8542999999999994</v>
      </c>
      <c r="AB183" s="234" t="e">
        <f>VLOOKUP(A183,Enforcements!$C$7:$K$9,8,0)</f>
        <v>#N/A</v>
      </c>
      <c r="AC183" s="233" t="e">
        <f>VLOOKUP(A183,Enforcements!$C$7:$E$9,3,0)</f>
        <v>#N/A</v>
      </c>
      <c r="AD183" s="244">
        <f t="shared" si="68"/>
        <v>821</v>
      </c>
      <c r="AE183" s="236" t="str">
        <f t="shared" si="69"/>
        <v>aws s3 cp s3://rtdc.mdm.uploadarchive.raw/RTDC4022/ "%USERPROFILE%\AppData\Local\Temp\OnboardLogs"\RTDC4022\2017-12-01 --exclude "*" --recursive --include "*20171201*" &amp; "%USERPROFILE%\Documents\GitHub\mrs-test-scripts\Headless Mode &amp; Sideloading\WalkAndUnGZ.bat" "%USERPROFILE%\AppData\Local\Temp\OnboardLogs"\RTDC4022\2017-12-01 &amp; 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</v>
      </c>
      <c r="AF183" s="235" t="str">
        <f t="shared" si="70"/>
        <v>"C:\Program Files (x86)\AstroGrep\AstroGrep.exe" /e /r /s /spath="%USERPROFILE%\AppData\Local\Temp\OnboardLogs" /stypes="app*4022*20171201*" /stext=" 20:.+((SYSTEM_STATE.+slice.+state.+changed )|(ment ac)|(multiple cpu faults)|(system.+state.+changed )|(\[timeout)|(PRM\|1\|D)|(kpr)|(kdp)|(train st.+moving)|(\|lc)|(penalty))"</v>
      </c>
      <c r="AG183" s="245" t="str">
        <f t="shared" si="71"/>
        <v>NW</v>
      </c>
      <c r="AH183" s="237" t="str">
        <f t="shared" si="72"/>
        <v>"%USERPROFILE%\Documents\GitHub\eaglep3\Utilities\RefineRTDCRunTimes.py" --tripid 821-01 --locoid 4022 --swversion DE.1.0.9.0 --startMP 204:464 --initTime 2017-12-01T12:57:11 --startdatetime 2017-12-01T13:09:42 --delay 97 --endMP 300:59007 --enddatetime 2017-12-01T13:23:46 --enforcementcount 0 &gt;&gt;%USERPROFILE%\Documents\GitHub\eaglep3-reporting\EC\2017-12-01-refined-times.txt</v>
      </c>
      <c r="AI183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{"issue":{"subject":"","project_id":79,"tracker_id":40,"status_id":1,"priority_id":2,"assigned_to_id":338,"start_date":"2017-12-01","description":"","custom_fields":[{"id":1,"name":"Subdivision","value":"NW"},{"id":4,"name":"Milepost","value":"5.9007"},{"id":17,"name":"Train ID","value":"821-01"},{"id":16,"name":"Locomotive ID","value":"4022"},{"id":130,"name":"Impact","value":""},{"id":150,"name":"Time of Event (Mountain Time)","value":"13:23:46"},{"id":151,"name":"Denver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4"/>
      <c r="AK183" s="232"/>
      <c r="AL183" s="232"/>
      <c r="AM183" s="241" t="str">
        <f t="shared" si="74"/>
        <v>start /low /b %USERPROFILE%\Documents\GitHub\eaglep3\Utilities\DownloadLogsFromS3.py --loco 4022 --day 2017-12-01</v>
      </c>
      <c r="AN183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20:23:46"},{"id":29,"name":"Sharepoint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1" t="str">
        <f t="shared" si="76"/>
        <v>https://d0f6bd738d7f1b3e5a7ca70fe4ff75f0.us-east-1.aws.found.io/app/kibana#/discover/Steve-Slow-Train-Analysis-(2080s-and-2083s)?_g=(refreshInterval:(display:Off,pause:!f,section:0,value:0),time:(from:'2017-12-01T11:57:11-0700',mode:absolute,to:'2017-12-01T14:23:46-0700'))&amp;_a=(columns:!('Message%20ID',Summary),filters:!(),index:'emp_*',interval:auto,query:(query_string:(analyze_wildcard:!t,query:'%22rtdc.l.rtdc.4022%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230" t="s">
        <v>732</v>
      </c>
      <c r="B184" s="226">
        <v>4021</v>
      </c>
      <c r="C184" s="228" t="s">
        <v>192</v>
      </c>
      <c r="D184" s="228" t="s">
        <v>1062</v>
      </c>
      <c r="E184" s="227">
        <v>43070.560069444444</v>
      </c>
      <c r="F184" s="227">
        <v>43070.570833333331</v>
      </c>
      <c r="G184" s="226">
        <v>105</v>
      </c>
      <c r="H184" s="228" t="s">
        <v>1063</v>
      </c>
      <c r="I184" s="227">
        <v>43070.580625000002</v>
      </c>
      <c r="J184" s="226">
        <v>0</v>
      </c>
      <c r="K184" s="238" t="str">
        <f t="shared" si="63"/>
        <v>4021/4022</v>
      </c>
      <c r="L184" s="246" t="str">
        <f>VLOOKUP(A184,'Trips&amp;Operators'!$C$1:$G$99911,5,FALSE)</f>
        <v>BERLING GARY</v>
      </c>
      <c r="M184" s="225">
        <f t="shared" si="86"/>
        <v>9.7916666709352285E-3</v>
      </c>
      <c r="N184" s="226">
        <f t="shared" si="94"/>
        <v>14.100000006146729</v>
      </c>
      <c r="O184" s="226"/>
      <c r="P184" s="226"/>
      <c r="Q184" s="229"/>
      <c r="R184" s="243"/>
      <c r="S184" s="250">
        <f t="shared" si="95"/>
        <v>1</v>
      </c>
      <c r="T184" s="243" t="str">
        <f t="shared" si="64"/>
        <v>Southbound</v>
      </c>
      <c r="U184" s="24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9" t="str">
        <f t="shared" si="65"/>
        <v>https://d0f6bd738d7f1b3e5a7ca70fe4ff75f0.us-east-1.aws.found.io/app/kibana#/discover/Steve-Slow-Train-Analysis-(2080s-and-2083s)?_g=(refreshInterval:(display:Off,pause:!f,section:0,value:0),time:(from:'2017-12-01T12:26:30-0700',mode:absolute,to:'2017-12-01T14:56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4" s="248" t="str">
        <f>IF(AA184&lt;VLOOKUP(AG184,Variables!$AC$3:$AD$8,2,FALSE),"Y","N")</f>
        <v>N</v>
      </c>
      <c r="X184" s="248">
        <f t="shared" si="85"/>
        <v>1</v>
      </c>
      <c r="Y184" s="248">
        <f t="shared" si="92"/>
        <v>5.8686999999999996</v>
      </c>
      <c r="Z184" s="248">
        <f t="shared" si="93"/>
        <v>1.55E-2</v>
      </c>
      <c r="AA184" s="248">
        <f t="shared" si="67"/>
        <v>5.8531999999999993</v>
      </c>
      <c r="AB184" s="234" t="e">
        <f>VLOOKUP(A184,Enforcements!$C$7:$K$9,8,0)</f>
        <v>#N/A</v>
      </c>
      <c r="AC184" s="233" t="e">
        <f>VLOOKUP(A184,Enforcements!$C$7:$E$9,3,0)</f>
        <v>#N/A</v>
      </c>
      <c r="AD184" s="244">
        <f t="shared" si="68"/>
        <v>822</v>
      </c>
      <c r="AE184" s="236" t="str">
        <f t="shared" si="69"/>
        <v>aws s3 cp s3://rtdc.mdm.uploadarchive.raw/RTDC4021/ "%USERPROFILE%\AppData\Local\Temp\OnboardLogs"\RTDC4021\2017-12-01 --exclude "*" --recursive --include "*20171201*" &amp; "%USERPROFILE%\Documents\GitHub\mrs-test-scripts\Headless Mode &amp; Sideloading\WalkAndUnGZ.bat" "%USERPROFILE%\AppData\Local\Temp\OnboardLogs"\RTDC4021\2017-12-01 &amp; 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</v>
      </c>
      <c r="AF184" s="235" t="str">
        <f t="shared" si="70"/>
        <v>"C:\Program Files (x86)\AstroGrep\AstroGrep.exe" /e /r /s /spath="%USERPROFILE%\AppData\Local\Temp\OnboardLogs" /stypes="app*4021*20171201*" /stext=" 20:.+((SYSTEM_STATE.+slice.+state.+changed )|(ment ac)|(multiple cpu faults)|(system.+state.+changed )|(\[timeout)|(PRM\|1\|D)|(kpr)|(kdp)|(train st.+moving)|(\|lc)|(penalty))"</v>
      </c>
      <c r="AG184" s="245" t="str">
        <f t="shared" si="71"/>
        <v>NW</v>
      </c>
      <c r="AH184" s="237" t="str">
        <f t="shared" si="72"/>
        <v>"%USERPROFILE%\Documents\GitHub\eaglep3\Utilities\RefineRTDCRunTimes.py" --tripid 822-01 --locoid 4021 --swversion DE.1.0.9.0 --startMP 300:58687 --initTime 2017-12-01T13:26:30 --startdatetime 2017-12-01T13:42:00 --delay 105 --endMP 204:155 --enddatetime 2017-12-01T13:56:06 --enforcementcount 0 &gt;&gt;%USERPROFILE%\Documents\GitHub\eaglep3-reporting\EC\2017-12-01-refined-times.txt</v>
      </c>
      <c r="AI184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{"issue":{"subject":"","project_id":79,"tracker_id":40,"status_id":1,"priority_id":2,"assigned_to_id":338,"start_date":"2017-12-01","description":"","custom_fields":[{"id":1,"name":"Subdivision","value":"NW"},{"id":4,"name":"Milepost","value":"0.0155"},{"id":17,"name":"Train ID","value":"822-01"},{"id":16,"name":"Locomotive ID","value":"4021"},{"id":130,"name":"Impact","value":""},{"id":150,"name":"Time of Event (Mountain Time)","value":"13:56:06"},{"id":151,"name":"Denver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224"/>
      <c r="AK184" s="232"/>
      <c r="AL184" s="232"/>
      <c r="AM184" s="241" t="str">
        <f t="shared" si="74"/>
        <v>start /low /b %USERPROFILE%\Documents\GitHub\eaglep3\Utilities\DownloadLogsFromS3.py --loco 4021 --day 2017-12-01</v>
      </c>
      <c r="AN184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20:56:06"},{"id":29,"name":"Sharepoint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1" t="str">
        <f t="shared" si="76"/>
        <v>https://d0f6bd738d7f1b3e5a7ca70fe4ff75f0.us-east-1.aws.found.io/app/kibana#/discover/Steve-Slow-Train-Analysis-(2080s-and-2083s)?_g=(refreshInterval:(display:Off,pause:!f,section:0,value:0),time:(from:'2017-12-01T12:26:30-0700',mode:absolute,to:'2017-12-01T14:56:06-0700'))&amp;_a=(columns:!('Message%20ID',Summary),filters:!(),index:'emp_*',interval:auto,query:(query_string:(analyze_wildcard:!t,query:'%22rtdc.l.rtdc.4021%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230" t="s">
        <v>864</v>
      </c>
      <c r="B185" s="226">
        <v>4022</v>
      </c>
      <c r="C185" s="228" t="s">
        <v>192</v>
      </c>
      <c r="D185" s="228" t="s">
        <v>474</v>
      </c>
      <c r="E185" s="227">
        <v>43070.586446759262</v>
      </c>
      <c r="F185" s="227">
        <v>43070.589733796296</v>
      </c>
      <c r="G185" s="226">
        <v>77</v>
      </c>
      <c r="H185" s="228" t="s">
        <v>646</v>
      </c>
      <c r="I185" s="227">
        <v>43070.600347222222</v>
      </c>
      <c r="J185" s="226">
        <v>0</v>
      </c>
      <c r="K185" s="238" t="str">
        <f t="shared" si="63"/>
        <v>4021/4022</v>
      </c>
      <c r="L185" s="246" t="str">
        <f>VLOOKUP(A185,'Trips&amp;Operators'!$C$1:$G$99911,5,FALSE)</f>
        <v>BERLING GARY</v>
      </c>
      <c r="M185" s="225">
        <f t="shared" si="86"/>
        <v>1.0613425925839692E-2</v>
      </c>
      <c r="N185" s="226">
        <f t="shared" si="94"/>
        <v>15.283333333209157</v>
      </c>
      <c r="O185" s="226"/>
      <c r="P185" s="226"/>
      <c r="Q185" s="229"/>
      <c r="R185" s="243"/>
      <c r="S185" s="250">
        <f t="shared" si="95"/>
        <v>1</v>
      </c>
      <c r="T185" s="243" t="str">
        <f t="shared" si="64"/>
        <v>NorthBound</v>
      </c>
      <c r="U185" s="24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9" t="str">
        <f t="shared" si="65"/>
        <v>https://d0f6bd738d7f1b3e5a7ca70fe4ff75f0.us-east-1.aws.found.io/app/kibana#/discover/Steve-Slow-Train-Analysis-(2080s-and-2083s)?_g=(refreshInterval:(display:Off,pause:!f,section:0,value:0),time:(from:'2017-12-01T13:04:29-0700',mode:absolute,to:'2017-12-01T15:24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5" s="248" t="str">
        <f>IF(AA185&lt;VLOOKUP(AG185,Variables!$AC$3:$AD$8,2,FALSE),"Y","N")</f>
        <v>N</v>
      </c>
      <c r="X185" s="248">
        <f t="shared" si="85"/>
        <v>1</v>
      </c>
      <c r="Y185" s="248">
        <f t="shared" si="92"/>
        <v>4.4999999999999998E-2</v>
      </c>
      <c r="Z185" s="248">
        <f t="shared" si="93"/>
        <v>5.8968999999999996</v>
      </c>
      <c r="AA185" s="248">
        <f t="shared" si="67"/>
        <v>5.8518999999999997</v>
      </c>
      <c r="AB185" s="234" t="e">
        <f>VLOOKUP(A185,Enforcements!$C$7:$K$9,8,0)</f>
        <v>#N/A</v>
      </c>
      <c r="AC185" s="233" t="e">
        <f>VLOOKUP(A185,Enforcements!$C$7:$E$9,3,0)</f>
        <v>#N/A</v>
      </c>
      <c r="AD185" s="244">
        <f t="shared" si="68"/>
        <v>823</v>
      </c>
      <c r="AE185" s="236" t="str">
        <f t="shared" si="69"/>
        <v>aws s3 cp s3://rtdc.mdm.uploadarchive.raw/RTDC4022/ "%USERPROFILE%\AppData\Local\Temp\OnboardLogs"\RTDC4022\2017-12-01 --exclude "*" --recursive --include "*20171201*" &amp; "%USERPROFILE%\Documents\GitHub\mrs-test-scripts\Headless Mode &amp; Sideloading\WalkAndUnGZ.bat" "%USERPROFILE%\AppData\Local\Temp\OnboardLogs"\RTDC4022\2017-12-01 &amp; 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</v>
      </c>
      <c r="AF185" s="235" t="str">
        <f t="shared" si="70"/>
        <v>"C:\Program Files (x86)\AstroGrep\AstroGrep.exe" /e /r /s /spath="%USERPROFILE%\AppData\Local\Temp\OnboardLogs" /stypes="app*4022*20171201*" /stext=" 21:.+((SYSTEM_STATE.+slice.+state.+changed )|(ment ac)|(multiple cpu faults)|(system.+state.+changed )|(\[timeout)|(PRM\|1\|D)|(kpr)|(kdp)|(train st.+moving)|(\|lc)|(penalty))"</v>
      </c>
      <c r="AG185" s="245" t="str">
        <f t="shared" si="71"/>
        <v>NW</v>
      </c>
      <c r="AH185" s="237" t="str">
        <f t="shared" si="72"/>
        <v>"%USERPROFILE%\Documents\GitHub\eaglep3\Utilities\RefineRTDCRunTimes.py" --tripid 823-01 --locoid 4022 --swversion DE.1.0.9.0 --startMP 204:450 --initTime 2017-12-01T14:04:29 --startdatetime 2017-12-01T14:09:13 --delay 77 --endMP 300:58969 --enddatetime 2017-12-01T14:24:30 --enforcementcount 0 &gt;&gt;%USERPROFILE%\Documents\GitHub\eaglep3-reporting\EC\2017-12-01-refined-times.txt</v>
      </c>
      <c r="AI185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{"issue":{"subject":"","project_id":79,"tracker_id":40,"status_id":1,"priority_id":2,"assigned_to_id":338,"start_date":"2017-12-01","description":"","custom_fields":[{"id":1,"name":"Subdivision","value":"NW"},{"id":4,"name":"Milepost","value":"5.8969"},{"id":17,"name":"Train ID","value":"823-01"},{"id":16,"name":"Locomotive ID","value":"4022"},{"id":130,"name":"Impact","value":""},{"id":150,"name":"Time of Event (Mountain Time)","value":"14:24:30"},{"id":151,"name":"Denver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4"/>
      <c r="AK185" s="232"/>
      <c r="AL185" s="232"/>
      <c r="AM185" s="241" t="str">
        <f t="shared" si="74"/>
        <v>start /low /b %USERPROFILE%\Documents\GitHub\eaglep3\Utilities\DownloadLogsFromS3.py --loco 4022 --day 2017-12-01</v>
      </c>
      <c r="AN185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21:24:30"},{"id":29,"name":"Sharepoint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1" t="str">
        <f t="shared" si="76"/>
        <v>https://d0f6bd738d7f1b3e5a7ca70fe4ff75f0.us-east-1.aws.found.io/app/kibana#/discover/Steve-Slow-Train-Analysis-(2080s-and-2083s)?_g=(refreshInterval:(display:Off,pause:!f,section:0,value:0),time:(from:'2017-12-01T13:04:29-0700',mode:absolute,to:'2017-12-01T15:24:30-0700'))&amp;_a=(columns:!('Message%20ID',Summary),filters:!(),index:'emp_*',interval:auto,query:(query_string:(analyze_wildcard:!t,query:'%22rtdc.l.rtdc.4022%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230" t="s">
        <v>869</v>
      </c>
      <c r="B186" s="226">
        <v>4021</v>
      </c>
      <c r="C186" s="228" t="s">
        <v>192</v>
      </c>
      <c r="D186" s="228" t="s">
        <v>1064</v>
      </c>
      <c r="E186" s="227">
        <v>43070.601539351854</v>
      </c>
      <c r="F186" s="227">
        <v>43070.612500000003</v>
      </c>
      <c r="G186" s="226">
        <v>88</v>
      </c>
      <c r="H186" s="228" t="s">
        <v>506</v>
      </c>
      <c r="I186" s="227">
        <v>43070.621666666666</v>
      </c>
      <c r="J186" s="226">
        <v>0</v>
      </c>
      <c r="K186" s="238" t="str">
        <f t="shared" si="63"/>
        <v>4021/4022</v>
      </c>
      <c r="L186" s="246" t="str">
        <f>VLOOKUP(A186,'Trips&amp;Operators'!$C$1:$G$99911,5,FALSE)</f>
        <v>BERLING GARY</v>
      </c>
      <c r="M186" s="225">
        <f t="shared" si="86"/>
        <v>9.1666666630771942E-3</v>
      </c>
      <c r="N186" s="226">
        <f t="shared" si="94"/>
        <v>13.19999999483116</v>
      </c>
      <c r="O186" s="226"/>
      <c r="P186" s="226"/>
      <c r="Q186" s="229"/>
      <c r="R186" s="243"/>
      <c r="S186" s="250">
        <f t="shared" si="95"/>
        <v>1</v>
      </c>
      <c r="T186" s="243" t="str">
        <f t="shared" si="64"/>
        <v>Southbound</v>
      </c>
      <c r="U186" s="24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9" t="str">
        <f t="shared" si="65"/>
        <v>https://d0f6bd738d7f1b3e5a7ca70fe4ff75f0.us-east-1.aws.found.io/app/kibana#/discover/Steve-Slow-Train-Analysis-(2080s-and-2083s)?_g=(refreshInterval:(display:Off,pause:!f,section:0,value:0),time:(from:'2017-12-01T13:26:13-0700',mode:absolute,to:'2017-12-01T15:55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6" s="248" t="str">
        <f>IF(AA186&lt;VLOOKUP(AG186,Variables!$AC$3:$AD$8,2,FALSE),"Y","N")</f>
        <v>N</v>
      </c>
      <c r="X186" s="248">
        <f t="shared" si="85"/>
        <v>1</v>
      </c>
      <c r="Y186" s="248">
        <f t="shared" si="92"/>
        <v>5.867</v>
      </c>
      <c r="Z186" s="248">
        <f t="shared" si="93"/>
        <v>1.2800000000000001E-2</v>
      </c>
      <c r="AA186" s="248">
        <f t="shared" si="67"/>
        <v>5.8541999999999996</v>
      </c>
      <c r="AB186" s="234" t="e">
        <f>VLOOKUP(A186,Enforcements!$C$7:$K$9,8,0)</f>
        <v>#N/A</v>
      </c>
      <c r="AC186" s="233" t="e">
        <f>VLOOKUP(A186,Enforcements!$C$7:$E$9,3,0)</f>
        <v>#N/A</v>
      </c>
      <c r="AD186" s="244">
        <f t="shared" si="68"/>
        <v>824</v>
      </c>
      <c r="AE186" s="236" t="str">
        <f t="shared" si="69"/>
        <v>aws s3 cp s3://rtdc.mdm.uploadarchive.raw/RTDC4021/ "%USERPROFILE%\AppData\Local\Temp\OnboardLogs"\RTDC4021\2017-12-01 --exclude "*" --recursive --include "*20171201*" &amp; "%USERPROFILE%\Documents\GitHub\mrs-test-scripts\Headless Mode &amp; Sideloading\WalkAndUnGZ.bat" "%USERPROFILE%\AppData\Local\Temp\OnboardLogs"\RTDC4021\2017-12-01 &amp; 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</v>
      </c>
      <c r="AF186" s="235" t="str">
        <f t="shared" si="70"/>
        <v>"C:\Program Files (x86)\AstroGrep\AstroGrep.exe" /e /r /s /spath="%USERPROFILE%\AppData\Local\Temp\OnboardLogs" /stypes="app*4021*20171201*" /stext=" 21:.+((SYSTEM_STATE.+slice.+state.+changed )|(ment ac)|(multiple cpu faults)|(system.+state.+changed )|(\[timeout)|(PRM\|1\|D)|(kpr)|(kdp)|(train st.+moving)|(\|lc)|(penalty))"</v>
      </c>
      <c r="AG186" s="245" t="str">
        <f t="shared" si="71"/>
        <v>NW</v>
      </c>
      <c r="AH186" s="237" t="str">
        <f t="shared" si="72"/>
        <v>"%USERPROFILE%\Documents\GitHub\eaglep3\Utilities\RefineRTDCRunTimes.py" --tripid 824-01 --locoid 4021 --swversion DE.1.0.9.0 --startMP 300:58670 --initTime 2017-12-01T14:26:13 --startdatetime 2017-12-01T14:42:00 --delay 88 --endMP 204:128 --enddatetime 2017-12-01T14:55:12 --enforcementcount 0 &gt;&gt;%USERPROFILE%\Documents\GitHub\eaglep3-reporting\EC\2017-12-01-refined-times.txt</v>
      </c>
      <c r="AI186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{"issue":{"subject":"","project_id":79,"tracker_id":40,"status_id":1,"priority_id":2,"assigned_to_id":338,"start_date":"2017-12-01","description":"","custom_fields":[{"id":1,"name":"Subdivision","value":"NW"},{"id":4,"name":"Milepost","value":"0.0128"},{"id":17,"name":"Train ID","value":"824-01"},{"id":16,"name":"Locomotive ID","value":"4021"},{"id":130,"name":"Impact","value":""},{"id":150,"name":"Time of Event (Mountain Time)","value":"14:55:12"},{"id":151,"name":"Denver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224"/>
      <c r="AK186" s="232"/>
      <c r="AL186" s="232"/>
      <c r="AM186" s="241" t="str">
        <f t="shared" si="74"/>
        <v>start /low /b %USERPROFILE%\Documents\GitHub\eaglep3\Utilities\DownloadLogsFromS3.py --loco 4021 --day 2017-12-01</v>
      </c>
      <c r="AN186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21:55:12"},{"id":29,"name":"Sharepoint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1" t="str">
        <f t="shared" si="76"/>
        <v>https://d0f6bd738d7f1b3e5a7ca70fe4ff75f0.us-east-1.aws.found.io/app/kibana#/discover/Steve-Slow-Train-Analysis-(2080s-and-2083s)?_g=(refreshInterval:(display:Off,pause:!f,section:0,value:0),time:(from:'2017-12-01T13:26:13-0700',mode:absolute,to:'2017-12-01T15:55:12-0700'))&amp;_a=(columns:!('Message%20ID',Summary),filters:!(),index:'emp_*',interval:auto,query:(query_string:(analyze_wildcard:!t,query:'%22rtdc.l.rtdc.4021%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230" t="s">
        <v>873</v>
      </c>
      <c r="B187" s="226">
        <v>4022</v>
      </c>
      <c r="C187" s="228" t="s">
        <v>192</v>
      </c>
      <c r="D187" s="228" t="s">
        <v>1065</v>
      </c>
      <c r="E187" s="227">
        <v>43070.62667824074</v>
      </c>
      <c r="F187" s="227">
        <v>43070.63140046296</v>
      </c>
      <c r="G187" s="226">
        <v>78</v>
      </c>
      <c r="H187" s="228" t="s">
        <v>1066</v>
      </c>
      <c r="I187" s="227">
        <v>43070.641539351855</v>
      </c>
      <c r="J187" s="226">
        <v>0</v>
      </c>
      <c r="K187" s="238" t="str">
        <f t="shared" si="63"/>
        <v>4021/4022</v>
      </c>
      <c r="L187" s="246" t="str">
        <f>VLOOKUP(A187,'Trips&amp;Operators'!$C$1:$G$99911,5,FALSE)</f>
        <v>BERLING GARY</v>
      </c>
      <c r="M187" s="225">
        <f t="shared" si="86"/>
        <v>1.0138888894289266E-2</v>
      </c>
      <c r="N187" s="226">
        <f t="shared" si="94"/>
        <v>14.600000007776543</v>
      </c>
      <c r="O187" s="226"/>
      <c r="P187" s="226"/>
      <c r="Q187" s="229"/>
      <c r="R187" s="243"/>
      <c r="S187" s="250">
        <f t="shared" si="95"/>
        <v>1</v>
      </c>
      <c r="T187" s="243" t="str">
        <f t="shared" si="64"/>
        <v>NorthBound</v>
      </c>
      <c r="U187" s="24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9" t="str">
        <f t="shared" si="65"/>
        <v>https://d0f6bd738d7f1b3e5a7ca70fe4ff75f0.us-east-1.aws.found.io/app/kibana#/discover/Steve-Slow-Train-Analysis-(2080s-and-2083s)?_g=(refreshInterval:(display:Off,pause:!f,section:0,value:0),time:(from:'2017-12-01T14:02:25-0700',mode:absolute,to:'2017-12-01T16:23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7" s="248" t="str">
        <f>IF(AA187&lt;VLOOKUP(AG187,Variables!$AC$3:$AD$8,2,FALSE),"Y","N")</f>
        <v>N</v>
      </c>
      <c r="X187" s="248">
        <f t="shared" ref="X187:X218" si="96">VALUE(LEFT(AD187,4))-VALUE(LEFT(AD186,4))</f>
        <v>1</v>
      </c>
      <c r="Y187" s="248">
        <f t="shared" si="92"/>
        <v>4.0399999999999998E-2</v>
      </c>
      <c r="Z187" s="248">
        <f t="shared" si="93"/>
        <v>5.9005000000000001</v>
      </c>
      <c r="AA187" s="248">
        <f t="shared" si="67"/>
        <v>5.8601000000000001</v>
      </c>
      <c r="AB187" s="234" t="e">
        <f>VLOOKUP(A187,Enforcements!$C$7:$K$9,8,0)</f>
        <v>#N/A</v>
      </c>
      <c r="AC187" s="233" t="e">
        <f>VLOOKUP(A187,Enforcements!$C$7:$E$9,3,0)</f>
        <v>#N/A</v>
      </c>
      <c r="AD187" s="244">
        <f t="shared" si="68"/>
        <v>825</v>
      </c>
      <c r="AE187" s="236" t="str">
        <f t="shared" si="69"/>
        <v>aws s3 cp s3://rtdc.mdm.uploadarchive.raw/RTDC4022/ "%USERPROFILE%\AppData\Local\Temp\OnboardLogs"\RTDC4022\2017-12-01 --exclude "*" --recursive --include "*20171201*" &amp; "%USERPROFILE%\Documents\GitHub\mrs-test-scripts\Headless Mode &amp; Sideloading\WalkAndUnGZ.bat" "%USERPROFILE%\AppData\Local\Temp\OnboardLogs"\RTDC4022\2017-12-01 &amp; 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</v>
      </c>
      <c r="AF187" s="235" t="str">
        <f t="shared" si="70"/>
        <v>"C:\Program Files (x86)\AstroGrep\AstroGrep.exe" /e /r /s /spath="%USERPROFILE%\AppData\Local\Temp\OnboardLogs" /stypes="app*4022*20171201*" /stext=" 22:.+((SYSTEM_STATE.+slice.+state.+changed )|(ment ac)|(multiple cpu faults)|(system.+state.+changed )|(\[timeout)|(PRM\|1\|D)|(kpr)|(kdp)|(train st.+moving)|(\|lc)|(penalty))"</v>
      </c>
      <c r="AG187" s="245" t="str">
        <f t="shared" si="71"/>
        <v>NW</v>
      </c>
      <c r="AH187" s="237" t="str">
        <f t="shared" si="72"/>
        <v>"%USERPROFILE%\Documents\GitHub\eaglep3\Utilities\RefineRTDCRunTimes.py" --tripid 825-01 --locoid 4022 --swversion DE.1.0.9.0 --startMP 204:404 --initTime 2017-12-01T15:02:25 --startdatetime 2017-12-01T15:09:13 --delay 78 --endMP 300:59005 --enddatetime 2017-12-01T15:23:49 --enforcementcount 0 &gt;&gt;%USERPROFILE%\Documents\GitHub\eaglep3-reporting\EC\2017-12-01-refined-times.txt</v>
      </c>
      <c r="AI187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{"issue":{"subject":"","project_id":79,"tracker_id":40,"status_id":1,"priority_id":2,"assigned_to_id":338,"start_date":"2017-12-01","description":"","custom_fields":[{"id":1,"name":"Subdivision","value":"NW"},{"id":4,"name":"Milepost","value":"5.9005"},{"id":17,"name":"Train ID","value":"825-01"},{"id":16,"name":"Locomotive ID","value":"4022"},{"id":130,"name":"Impact","value":""},{"id":150,"name":"Time of Event (Mountain Time)","value":"15:23:49"},{"id":151,"name":"Denver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4"/>
      <c r="AK187" s="232"/>
      <c r="AL187" s="232"/>
      <c r="AM187" s="241" t="str">
        <f t="shared" si="74"/>
        <v>start /low /b %USERPROFILE%\Documents\GitHub\eaglep3\Utilities\DownloadLogsFromS3.py --loco 4022 --day 2017-12-01</v>
      </c>
      <c r="AN187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22:23:49"},{"id":29,"name":"Sharepoint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1" t="str">
        <f t="shared" si="76"/>
        <v>https://d0f6bd738d7f1b3e5a7ca70fe4ff75f0.us-east-1.aws.found.io/app/kibana#/discover/Steve-Slow-Train-Analysis-(2080s-and-2083s)?_g=(refreshInterval:(display:Off,pause:!f,section:0,value:0),time:(from:'2017-12-01T14:02:25-0700',mode:absolute,to:'2017-12-01T16:23:49-0700'))&amp;_a=(columns:!('Message%20ID',Summary),filters:!(),index:'emp_*',interval:auto,query:(query_string:(analyze_wildcard:!t,query:'%22rtdc.l.rtdc.4022%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230" t="s">
        <v>879</v>
      </c>
      <c r="B188" s="226">
        <v>4021</v>
      </c>
      <c r="C188" s="228" t="s">
        <v>192</v>
      </c>
      <c r="D188" s="228" t="s">
        <v>1067</v>
      </c>
      <c r="E188" s="227">
        <v>43070.642789351848</v>
      </c>
      <c r="F188" s="227">
        <v>43070.654166666667</v>
      </c>
      <c r="G188" s="226">
        <v>86</v>
      </c>
      <c r="H188" s="228" t="s">
        <v>508</v>
      </c>
      <c r="I188" s="227">
        <v>43070.662939814814</v>
      </c>
      <c r="J188" s="226">
        <v>0</v>
      </c>
      <c r="K188" s="238" t="str">
        <f t="shared" si="63"/>
        <v>4021/4022</v>
      </c>
      <c r="L188" s="246" t="str">
        <f>VLOOKUP(A188,'Trips&amp;Operators'!$C$1:$G$99911,5,FALSE)</f>
        <v>BERLING GARY</v>
      </c>
      <c r="M188" s="225">
        <f t="shared" ref="M188:M219" si="97">I188-F188</f>
        <v>8.7731481471564621E-3</v>
      </c>
      <c r="N188" s="226">
        <f t="shared" si="94"/>
        <v>12.633333331905305</v>
      </c>
      <c r="O188" s="226"/>
      <c r="P188" s="226"/>
      <c r="Q188" s="229"/>
      <c r="R188" s="243"/>
      <c r="S188" s="250">
        <f t="shared" si="95"/>
        <v>1</v>
      </c>
      <c r="T188" s="243" t="str">
        <f t="shared" si="64"/>
        <v>Southbound</v>
      </c>
      <c r="U188" s="24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9" t="str">
        <f t="shared" si="65"/>
        <v>https://d0f6bd738d7f1b3e5a7ca70fe4ff75f0.us-east-1.aws.found.io/app/kibana#/discover/Steve-Slow-Train-Analysis-(2080s-and-2083s)?_g=(refreshInterval:(display:Off,pause:!f,section:0,value:0),time:(from:'2017-12-01T14:25:37-0700',mode:absolute,to:'2017-12-01T16:54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8" s="248" t="str">
        <f>IF(AA188&lt;VLOOKUP(AG188,Variables!$AC$3:$AD$8,2,FALSE),"Y","N")</f>
        <v>N</v>
      </c>
      <c r="X188" s="248">
        <f t="shared" si="96"/>
        <v>1</v>
      </c>
      <c r="Y188" s="248">
        <f t="shared" si="92"/>
        <v>5.8689999999999998</v>
      </c>
      <c r="Z188" s="248">
        <f t="shared" si="93"/>
        <v>1.4200000000000001E-2</v>
      </c>
      <c r="AA188" s="248">
        <f t="shared" si="67"/>
        <v>5.8548</v>
      </c>
      <c r="AB188" s="234" t="e">
        <f>VLOOKUP(A188,Enforcements!$C$7:$K$9,8,0)</f>
        <v>#N/A</v>
      </c>
      <c r="AC188" s="233" t="e">
        <f>VLOOKUP(A188,Enforcements!$C$7:$E$9,3,0)</f>
        <v>#N/A</v>
      </c>
      <c r="AD188" s="244">
        <f t="shared" si="68"/>
        <v>826</v>
      </c>
      <c r="AE188" s="236" t="str">
        <f t="shared" si="69"/>
        <v>aws s3 cp s3://rtdc.mdm.uploadarchive.raw/RTDC4021/ "%USERPROFILE%\AppData\Local\Temp\OnboardLogs"\RTDC4021\2017-12-01 --exclude "*" --recursive --include "*20171201*" &amp; "%USERPROFILE%\Documents\GitHub\mrs-test-scripts\Headless Mode &amp; Sideloading\WalkAndUnGZ.bat" "%USERPROFILE%\AppData\Local\Temp\OnboardLogs"\RTDC4021\2017-12-01 &amp; 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</v>
      </c>
      <c r="AF188" s="235" t="str">
        <f t="shared" si="70"/>
        <v>"C:\Program Files (x86)\AstroGrep\AstroGrep.exe" /e /r /s /spath="%USERPROFILE%\AppData\Local\Temp\OnboardLogs" /stypes="app*4021*20171201*" /stext=" 22:.+((SYSTEM_STATE.+slice.+state.+changed )|(ment ac)|(multiple cpu faults)|(system.+state.+changed )|(\[timeout)|(PRM\|1\|D)|(kpr)|(kdp)|(train st.+moving)|(\|lc)|(penalty))"</v>
      </c>
      <c r="AG188" s="245" t="str">
        <f t="shared" si="71"/>
        <v>NW</v>
      </c>
      <c r="AH188" s="237" t="str">
        <f t="shared" si="72"/>
        <v>"%USERPROFILE%\Documents\GitHub\eaglep3\Utilities\RefineRTDCRunTimes.py" --tripid 826-01 --locoid 4021 --swversion DE.1.0.9.0 --startMP 300:58690 --initTime 2017-12-01T15:25:37 --startdatetime 2017-12-01T15:42:00 --delay 86 --endMP 204:142 --enddatetime 2017-12-01T15:54:38 --enforcementcount 0 &gt;&gt;%USERPROFILE%\Documents\GitHub\eaglep3-reporting\EC\2017-12-01-refined-times.txt</v>
      </c>
      <c r="AI188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{"issue":{"subject":"","project_id":79,"tracker_id":40,"status_id":1,"priority_id":2,"assigned_to_id":338,"start_date":"2017-12-01","description":"","custom_fields":[{"id":1,"name":"Subdivision","value":"NW"},{"id":4,"name":"Milepost","value":"0.0142"},{"id":17,"name":"Train ID","value":"826-01"},{"id":16,"name":"Locomotive ID","value":"4021"},{"id":130,"name":"Impact","value":""},{"id":150,"name":"Time of Event (Mountain Time)","value":"15:54:38"},{"id":151,"name":"Denver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4"/>
      <c r="AK188" s="232"/>
      <c r="AL188" s="232"/>
      <c r="AM188" s="241" t="str">
        <f t="shared" si="74"/>
        <v>start /low /b %USERPROFILE%\Documents\GitHub\eaglep3\Utilities\DownloadLogsFromS3.py --loco 4021 --day 2017-12-01</v>
      </c>
      <c r="AN188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22:54:38"},{"id":29,"name":"Sharepoint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1" t="str">
        <f t="shared" si="76"/>
        <v>https://d0f6bd738d7f1b3e5a7ca70fe4ff75f0.us-east-1.aws.found.io/app/kibana#/discover/Steve-Slow-Train-Analysis-(2080s-and-2083s)?_g=(refreshInterval:(display:Off,pause:!f,section:0,value:0),time:(from:'2017-12-01T14:25:37-0700',mode:absolute,to:'2017-12-01T16:54:38-0700'))&amp;_a=(columns:!('Message%20ID',Summary),filters:!(),index:'emp_*',interval:auto,query:(query_string:(analyze_wildcard:!t,query:'%22rtdc.l.rtdc.4021%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230" t="s">
        <v>880</v>
      </c>
      <c r="B189" s="226">
        <v>4016</v>
      </c>
      <c r="C189" s="228" t="s">
        <v>192</v>
      </c>
      <c r="D189" s="228" t="s">
        <v>701</v>
      </c>
      <c r="E189" s="227">
        <v>43070.649745370371</v>
      </c>
      <c r="F189" s="227">
        <v>43070.652557870373</v>
      </c>
      <c r="G189" s="226">
        <v>87</v>
      </c>
      <c r="H189" s="228" t="s">
        <v>1068</v>
      </c>
      <c r="I189" s="227">
        <v>43070.662604166668</v>
      </c>
      <c r="J189" s="226">
        <v>0</v>
      </c>
      <c r="K189" s="238" t="str">
        <f t="shared" si="63"/>
        <v>4015/4016</v>
      </c>
      <c r="L189" s="246" t="str">
        <f>VLOOKUP(A189,'Trips&amp;Operators'!$C$1:$G$99911,5,FALSE)</f>
        <v>SMITH MICHAEL</v>
      </c>
      <c r="M189" s="225">
        <f t="shared" si="97"/>
        <v>1.0046296294603962E-2</v>
      </c>
      <c r="N189" s="226">
        <f t="shared" si="94"/>
        <v>14.466666664229706</v>
      </c>
      <c r="O189" s="226"/>
      <c r="P189" s="226"/>
      <c r="Q189" s="229"/>
      <c r="R189" s="243"/>
      <c r="S189" s="250">
        <f t="shared" si="95"/>
        <v>1</v>
      </c>
      <c r="T189" s="243" t="str">
        <f t="shared" si="64"/>
        <v>NorthBound</v>
      </c>
      <c r="U189" s="24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9" t="str">
        <f t="shared" si="65"/>
        <v>https://d0f6bd738d7f1b3e5a7ca70fe4ff75f0.us-east-1.aws.found.io/app/kibana#/discover/Steve-Slow-Train-Analysis-(2080s-and-2083s)?_g=(refreshInterval:(display:Off,pause:!f,section:0,value:0),time:(from:'2017-12-01T14:35:38-0700',mode:absolute,to:'2017-12-01T16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9" s="248" t="str">
        <f>IF(AA189&lt;VLOOKUP(AG189,Variables!$AC$3:$AD$8,2,FALSE),"Y","N")</f>
        <v>N</v>
      </c>
      <c r="X189" s="248">
        <f t="shared" si="96"/>
        <v>1</v>
      </c>
      <c r="Y189" s="248">
        <f t="shared" si="92"/>
        <v>4.4200000000000003E-2</v>
      </c>
      <c r="Z189" s="248">
        <f t="shared" si="93"/>
        <v>5.8992000000000004</v>
      </c>
      <c r="AA189" s="248">
        <f t="shared" si="67"/>
        <v>5.8550000000000004</v>
      </c>
      <c r="AB189" s="234" t="e">
        <f>VLOOKUP(A189,Enforcements!$C$7:$K$9,8,0)</f>
        <v>#N/A</v>
      </c>
      <c r="AC189" s="233" t="e">
        <f>VLOOKUP(A189,Enforcements!$C$7:$E$9,3,0)</f>
        <v>#N/A</v>
      </c>
      <c r="AD189" s="244">
        <f t="shared" si="68"/>
        <v>827</v>
      </c>
      <c r="AE189" s="236" t="str">
        <f t="shared" si="69"/>
        <v>aws s3 cp s3://rtdc.mdm.uploadarchive.raw/RTDC4016/ "%USERPROFILE%\AppData\Local\Temp\OnboardLogs"\RTDC4016\2017-12-01 --exclude "*" --recursive --include "*20171201*" &amp; "%USERPROFILE%\Documents\GitHub\mrs-test-scripts\Headless Mode &amp; Sideloading\WalkAndUnGZ.bat" "%USERPROFILE%\AppData\Local\Temp\OnboardLogs"\RTDC4016\2017-12-01 &amp; aws s3 cp s3://rtdc.mdm.uploadarchive.raw/RTDC4016/ "%USERPROFILE%\AppData\Local\Temp\OnboardLogs"\RTDC4016\2017-12-02 --exclude "*" --recursive --include "*20171202*" &amp; "%USERPROFILE%\Documents\GitHub\mrs-test-scripts\Headless Mode &amp; Sideloading\WalkAndUnGZ.bat" "%USERPROFILE%\AppData\Local\Temp\OnboardLogs"\RTDC4016\2017-12-02</v>
      </c>
      <c r="AF189" s="235" t="str">
        <f t="shared" si="70"/>
        <v>"C:\Program Files (x86)\AstroGrep\AstroGrep.exe" /e /r /s /spath="%USERPROFILE%\AppData\Local\Temp\OnboardLogs" /stypes="app*4016*20171201*" /stext=" 22:.+((SYSTEM_STATE.+slice.+state.+changed )|(ment ac)|(multiple cpu faults)|(system.+state.+changed )|(\[timeout)|(PRM\|1\|D)|(kpr)|(kdp)|(train st.+moving)|(\|lc)|(penalty))"</v>
      </c>
      <c r="AG189" s="245" t="str">
        <f t="shared" si="71"/>
        <v>NW</v>
      </c>
      <c r="AH189" s="237" t="str">
        <f t="shared" si="72"/>
        <v>"%USERPROFILE%\Documents\GitHub\eaglep3\Utilities\RefineRTDCRunTimes.py" --tripid 827-01 --locoid 4016 --swversion DE.1.0.9.0 --startMP 204:442 --initTime 2017-12-01T15:35:38 --startdatetime 2017-12-01T15:39:41 --delay 87 --endMP 300:58992 --enddatetime 2017-12-01T15:54:09 --enforcementcount 0 &gt;&gt;%USERPROFILE%\Documents\GitHub\eaglep3-reporting\EC\2017-12-01-refined-times.txt</v>
      </c>
      <c r="AI189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{"issue":{"subject":"","project_id":79,"tracker_id":40,"status_id":1,"priority_id":2,"assigned_to_id":338,"start_date":"2017-12-01","description":"","custom_fields":[{"id":1,"name":"Subdivision","value":"NW"},{"id":4,"name":"Milepost","value":"5.8992"},{"id":17,"name":"Train ID","value":"827-01"},{"id":16,"name":"Locomotive ID","value":"4016"},{"id":130,"name":"Impact","value":""},{"id":150,"name":"Time of Event (Mountain Time)","value":"15:54:09"},{"id":151,"name":"Denver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4"/>
      <c r="AK189" s="232"/>
      <c r="AL189" s="232"/>
      <c r="AM189" s="241" t="str">
        <f t="shared" si="74"/>
        <v>start /low /b %USERPROFILE%\Documents\GitHub\eaglep3\Utilities\DownloadLogsFromS3.py --loco 4016 --day 2017-12-01</v>
      </c>
      <c r="AN189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22:54:09"},{"id":29,"name":"Sharepoint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1" t="str">
        <f t="shared" si="76"/>
        <v>https://d0f6bd738d7f1b3e5a7ca70fe4ff75f0.us-east-1.aws.found.io/app/kibana#/discover/Steve-Slow-Train-Analysis-(2080s-and-2083s)?_g=(refreshInterval:(display:Off,pause:!f,section:0,value:0),time:(from:'2017-12-01T14:35:38-0700',mode:absolute,to:'2017-12-01T16:54:09-0700'))&amp;_a=(columns:!('Message%20ID',Summary),filters:!(),index:'emp_*',interval:auto,query:(query_string:(analyze_wildcard:!t,query:'%22rtdc.l.rtdc.4016%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230" t="s">
        <v>883</v>
      </c>
      <c r="B190" s="226">
        <v>4015</v>
      </c>
      <c r="C190" s="228" t="s">
        <v>192</v>
      </c>
      <c r="D190" s="228" t="s">
        <v>707</v>
      </c>
      <c r="E190" s="227">
        <v>43070.665370370371</v>
      </c>
      <c r="F190" s="227">
        <v>43070.667187500003</v>
      </c>
      <c r="G190" s="226">
        <v>71</v>
      </c>
      <c r="H190" s="228" t="s">
        <v>649</v>
      </c>
      <c r="I190" s="227">
        <v>43070.684074074074</v>
      </c>
      <c r="J190" s="226">
        <v>0</v>
      </c>
      <c r="K190" s="238" t="str">
        <f t="shared" si="63"/>
        <v>4015/4016</v>
      </c>
      <c r="L190" s="246" t="str">
        <f>VLOOKUP(A190,'Trips&amp;Operators'!$C$1:$G$99911,5,FALSE)</f>
        <v>SMITH MICHAEL</v>
      </c>
      <c r="M190" s="225">
        <f t="shared" si="97"/>
        <v>1.6886574070667848E-2</v>
      </c>
      <c r="N190" s="226">
        <f t="shared" si="94"/>
        <v>24.316666661761701</v>
      </c>
      <c r="O190" s="226"/>
      <c r="P190" s="226"/>
      <c r="Q190" s="229"/>
      <c r="R190" s="243"/>
      <c r="S190" s="250">
        <f t="shared" si="95"/>
        <v>1</v>
      </c>
      <c r="T190" s="243" t="str">
        <f t="shared" si="64"/>
        <v>Southbound</v>
      </c>
      <c r="U190" s="24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9" t="str">
        <f t="shared" si="65"/>
        <v>https://d0f6bd738d7f1b3e5a7ca70fe4ff75f0.us-east-1.aws.found.io/app/kibana#/discover/Steve-Slow-Train-Analysis-(2080s-and-2083s)?_g=(refreshInterval:(display:Off,pause:!f,section:0,value:0),time:(from:'2017-12-01T14:58:08-0700',mode:absolute,to:'2017-12-01T17:25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0" s="248" t="str">
        <f>IF(AA190&lt;VLOOKUP(AG190,Variables!$AC$3:$AD$8,2,FALSE),"Y","N")</f>
        <v>N</v>
      </c>
      <c r="X190" s="248">
        <f t="shared" si="96"/>
        <v>1</v>
      </c>
      <c r="Y190" s="248">
        <f t="shared" si="92"/>
        <v>5.8673000000000002</v>
      </c>
      <c r="Z190" s="248">
        <f t="shared" si="93"/>
        <v>1.3299999999999999E-2</v>
      </c>
      <c r="AA190" s="248">
        <f t="shared" si="67"/>
        <v>5.8540000000000001</v>
      </c>
      <c r="AB190" s="234" t="e">
        <f>VLOOKUP(A190,Enforcements!$C$7:$K$9,8,0)</f>
        <v>#N/A</v>
      </c>
      <c r="AC190" s="233" t="e">
        <f>VLOOKUP(A190,Enforcements!$C$7:$E$9,3,0)</f>
        <v>#N/A</v>
      </c>
      <c r="AD190" s="244">
        <f t="shared" si="68"/>
        <v>828</v>
      </c>
      <c r="AE190" s="236" t="str">
        <f t="shared" si="69"/>
        <v>aws s3 cp s3://rtdc.mdm.uploadarchive.raw/RTDC4015/ "%USERPROFILE%\AppData\Local\Temp\OnboardLogs"\RTDC4015\2017-12-01 --exclude "*" --recursive --include "*20171201*" &amp; "%USERPROFILE%\Documents\GitHub\mrs-test-scripts\Headless Mode &amp; Sideloading\WalkAndUnGZ.bat" "%USERPROFILE%\AppData\Local\Temp\OnboardLogs"\RTDC4015\2017-12-01 &amp; aws s3 cp s3://rtdc.mdm.uploadarchive.raw/RTDC4015/ "%USERPROFILE%\AppData\Local\Temp\OnboardLogs"\RTDC4015\2017-12-02 --exclude "*" --recursive --include "*20171202*" &amp; "%USERPROFILE%\Documents\GitHub\mrs-test-scripts\Headless Mode &amp; Sideloading\WalkAndUnGZ.bat" "%USERPROFILE%\AppData\Local\Temp\OnboardLogs"\RTDC4015\2017-12-02</v>
      </c>
      <c r="AF190" s="235" t="str">
        <f t="shared" si="70"/>
        <v>"C:\Program Files (x86)\AstroGrep\AstroGrep.exe" /e /r /s /spath="%USERPROFILE%\AppData\Local\Temp\OnboardLogs" /stypes="app*4015*20171201*" /stext=" 23:.+((SYSTEM_STATE.+slice.+state.+changed )|(ment ac)|(multiple cpu faults)|(system.+state.+changed )|(\[timeout)|(PRM\|1\|D)|(kpr)|(kdp)|(train st.+moving)|(\|lc)|(penalty))"</v>
      </c>
      <c r="AG190" s="245" t="str">
        <f t="shared" si="71"/>
        <v>NW</v>
      </c>
      <c r="AH190" s="237" t="str">
        <f t="shared" si="72"/>
        <v>"%USERPROFILE%\Documents\GitHub\eaglep3\Utilities\RefineRTDCRunTimes.py" --tripid 828-01 --locoid 4015 --swversion DE.1.0.9.0 --startMP 300:58673 --initTime 2017-12-01T15:58:08 --startdatetime 2017-12-01T16:00:45 --delay 71 --endMP 204:133 --enddatetime 2017-12-01T16:25:04 --enforcementcount 0 &gt;&gt;%USERPROFILE%\Documents\GitHub\eaglep3-reporting\EC\2017-12-01-refined-times.txt</v>
      </c>
      <c r="AI190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{"issue":{"subject":"","project_id":79,"tracker_id":40,"status_id":1,"priority_id":2,"assigned_to_id":338,"start_date":"2017-12-01","description":"","custom_fields":[{"id":1,"name":"Subdivision","value":"NW"},{"id":4,"name":"Milepost","value":"0.0133"},{"id":17,"name":"Train ID","value":"828-01"},{"id":16,"name":"Locomotive ID","value":"4015"},{"id":130,"name":"Impact","value":""},{"id":150,"name":"Time of Event (Mountain Time)","value":"16:25:04"},{"id":151,"name":"Denver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4"/>
      <c r="AK190" s="232"/>
      <c r="AL190" s="232"/>
      <c r="AM190" s="241" t="str">
        <f t="shared" si="74"/>
        <v>start /low /b %USERPROFILE%\Documents\GitHub\eaglep3\Utilities\DownloadLogsFromS3.py --loco 4015 --day 2017-12-01</v>
      </c>
      <c r="AN190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23:25:04"},{"id":29,"name":"Sharepoint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1" t="str">
        <f t="shared" si="76"/>
        <v>https://d0f6bd738d7f1b3e5a7ca70fe4ff75f0.us-east-1.aws.found.io/app/kibana#/discover/Steve-Slow-Train-Analysis-(2080s-and-2083s)?_g=(refreshInterval:(display:Off,pause:!f,section:0,value:0),time:(from:'2017-12-01T14:58:08-0700',mode:absolute,to:'2017-12-01T17:25:04-0700'))&amp;_a=(columns:!('Message%20ID',Summary),filters:!(),index:'emp_*',interval:auto,query:(query_string:(analyze_wildcard:!t,query:'%22rtdc.l.rtdc.4015%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230" t="s">
        <v>884</v>
      </c>
      <c r="B191" s="226">
        <v>4022</v>
      </c>
      <c r="C191" s="228" t="s">
        <v>192</v>
      </c>
      <c r="D191" s="228" t="s">
        <v>575</v>
      </c>
      <c r="E191" s="227">
        <v>43070.66783564815</v>
      </c>
      <c r="F191" s="227">
        <v>43070.673217592594</v>
      </c>
      <c r="G191" s="226">
        <v>88</v>
      </c>
      <c r="H191" s="228" t="s">
        <v>708</v>
      </c>
      <c r="I191" s="227">
        <v>43070.684178240743</v>
      </c>
      <c r="J191" s="226">
        <v>0</v>
      </c>
      <c r="K191" s="238" t="str">
        <f t="shared" si="63"/>
        <v>4021/4022</v>
      </c>
      <c r="L191" s="246" t="str">
        <f>VLOOKUP(A191,'Trips&amp;Operators'!$C$1:$G$99911,5,FALSE)</f>
        <v>BERLING GARY</v>
      </c>
      <c r="M191" s="225">
        <f t="shared" si="97"/>
        <v>1.096064814919373E-2</v>
      </c>
      <c r="N191" s="226">
        <f t="shared" si="94"/>
        <v>15.783333334838971</v>
      </c>
      <c r="O191" s="226"/>
      <c r="P191" s="226"/>
      <c r="Q191" s="229"/>
      <c r="R191" s="243"/>
      <c r="S191" s="250">
        <f t="shared" si="95"/>
        <v>1</v>
      </c>
      <c r="T191" s="243" t="str">
        <f t="shared" si="64"/>
        <v>NorthBound</v>
      </c>
      <c r="U191" s="24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9" t="str">
        <f t="shared" si="65"/>
        <v>https://d0f6bd738d7f1b3e5a7ca70fe4ff75f0.us-east-1.aws.found.io/app/kibana#/discover/Steve-Slow-Train-Analysis-(2080s-and-2083s)?_g=(refreshInterval:(display:Off,pause:!f,section:0,value:0),time:(from:'2017-12-01T15:01:41-0700',mode:absolute,to:'2017-12-01T17:25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1" s="248" t="str">
        <f>IF(AA191&lt;VLOOKUP(AG191,Variables!$AC$3:$AD$8,2,FALSE),"Y","N")</f>
        <v>N</v>
      </c>
      <c r="X191" s="248">
        <f t="shared" si="96"/>
        <v>1</v>
      </c>
      <c r="Y191" s="248">
        <f t="shared" si="92"/>
        <v>4.3299999999999998E-2</v>
      </c>
      <c r="Z191" s="248">
        <f t="shared" si="93"/>
        <v>5.8975999999999997</v>
      </c>
      <c r="AA191" s="248">
        <f t="shared" si="67"/>
        <v>5.8542999999999994</v>
      </c>
      <c r="AB191" s="234" t="e">
        <f>VLOOKUP(A191,Enforcements!$C$7:$K$9,8,0)</f>
        <v>#N/A</v>
      </c>
      <c r="AC191" s="233" t="e">
        <f>VLOOKUP(A191,Enforcements!$C$7:$E$9,3,0)</f>
        <v>#N/A</v>
      </c>
      <c r="AD191" s="244">
        <f t="shared" si="68"/>
        <v>829</v>
      </c>
      <c r="AE191" s="236" t="str">
        <f t="shared" si="69"/>
        <v>aws s3 cp s3://rtdc.mdm.uploadarchive.raw/RTDC4022/ "%USERPROFILE%\AppData\Local\Temp\OnboardLogs"\RTDC4022\2017-12-01 --exclude "*" --recursive --include "*20171201*" &amp; "%USERPROFILE%\Documents\GitHub\mrs-test-scripts\Headless Mode &amp; Sideloading\WalkAndUnGZ.bat" "%USERPROFILE%\AppData\Local\Temp\OnboardLogs"\RTDC4022\2017-12-01 &amp; 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</v>
      </c>
      <c r="AF191" s="235" t="str">
        <f t="shared" si="70"/>
        <v>"C:\Program Files (x86)\AstroGrep\AstroGrep.exe" /e /r /s /spath="%USERPROFILE%\AppData\Local\Temp\OnboardLogs" /stypes="app*4022*20171201*" /stext=" 23:.+((SYSTEM_STATE.+slice.+state.+changed )|(ment ac)|(multiple cpu faults)|(system.+state.+changed )|(\[timeout)|(PRM\|1\|D)|(kpr)|(kdp)|(train st.+moving)|(\|lc)|(penalty))"</v>
      </c>
      <c r="AG191" s="245" t="str">
        <f t="shared" si="71"/>
        <v>NW</v>
      </c>
      <c r="AH191" s="237" t="str">
        <f t="shared" si="72"/>
        <v>"%USERPROFILE%\Documents\GitHub\eaglep3\Utilities\RefineRTDCRunTimes.py" --tripid 829-01 --locoid 4022 --swversion DE.1.0.9.0 --startMP 204:433 --initTime 2017-12-01T16:01:41 --startdatetime 2017-12-01T16:09:26 --delay 88 --endMP 300:58976 --enddatetime 2017-12-01T16:25:13 --enforcementcount 0 &gt;&gt;%USERPROFILE%\Documents\GitHub\eaglep3-reporting\EC\2017-12-01-refined-times.txt</v>
      </c>
      <c r="AI191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{"issue":{"subject":"","project_id":79,"tracker_id":40,"status_id":1,"priority_id":2,"assigned_to_id":338,"start_date":"2017-12-01","description":"","custom_fields":[{"id":1,"name":"Subdivision","value":"NW"},{"id":4,"name":"Milepost","value":"5.8976"},{"id":17,"name":"Train ID","value":"829-01"},{"id":16,"name":"Locomotive ID","value":"4022"},{"id":130,"name":"Impact","value":""},{"id":150,"name":"Time of Event (Mountain Time)","value":"16:25:13"},{"id":151,"name":"Denver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4"/>
      <c r="AK191" s="232"/>
      <c r="AL191" s="232"/>
      <c r="AM191" s="241" t="str">
        <f t="shared" si="74"/>
        <v>start /low /b %USERPROFILE%\Documents\GitHub\eaglep3\Utilities\DownloadLogsFromS3.py --loco 4022 --day 2017-12-01</v>
      </c>
      <c r="AN191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23:25:13"},{"id":29,"name":"Sharepoint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1" t="str">
        <f t="shared" si="76"/>
        <v>https://d0f6bd738d7f1b3e5a7ca70fe4ff75f0.us-east-1.aws.found.io/app/kibana#/discover/Steve-Slow-Train-Analysis-(2080s-and-2083s)?_g=(refreshInterval:(display:Off,pause:!f,section:0,value:0),time:(from:'2017-12-01T15:01:41-0700',mode:absolute,to:'2017-12-01T17:25:13-0700'))&amp;_a=(columns:!('Message%20ID',Summary),filters:!(),index:'emp_*',interval:auto,query:(query_string:(analyze_wildcard:!t,query:'%22rtdc.l.rtdc.4022%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230" t="s">
        <v>893</v>
      </c>
      <c r="B192" s="226">
        <v>4021</v>
      </c>
      <c r="C192" s="228" t="s">
        <v>192</v>
      </c>
      <c r="D192" s="228" t="s">
        <v>706</v>
      </c>
      <c r="E192" s="227">
        <v>43070.686296296299</v>
      </c>
      <c r="F192" s="227">
        <v>43070.695833333331</v>
      </c>
      <c r="G192" s="226">
        <v>88</v>
      </c>
      <c r="H192" s="228" t="s">
        <v>492</v>
      </c>
      <c r="I192" s="227">
        <v>43070.705034722225</v>
      </c>
      <c r="J192" s="226">
        <v>0</v>
      </c>
      <c r="K192" s="238" t="str">
        <f t="shared" si="63"/>
        <v>4021/4022</v>
      </c>
      <c r="L192" s="246" t="str">
        <f>VLOOKUP(A192,'Trips&amp;Operators'!$C$1:$G$99911,5,FALSE)</f>
        <v>BERLING GARY</v>
      </c>
      <c r="M192" s="225">
        <f t="shared" si="97"/>
        <v>9.2013888934161514E-3</v>
      </c>
      <c r="N192" s="226">
        <f t="shared" si="94"/>
        <v>13.250000006519258</v>
      </c>
      <c r="O192" s="226"/>
      <c r="P192" s="226"/>
      <c r="Q192" s="229"/>
      <c r="R192" s="243"/>
      <c r="S192" s="250">
        <f t="shared" si="95"/>
        <v>1</v>
      </c>
      <c r="T192" s="243" t="str">
        <f t="shared" si="64"/>
        <v>Southbound</v>
      </c>
      <c r="U192" s="24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9" t="str">
        <f t="shared" si="65"/>
        <v>https://d0f6bd738d7f1b3e5a7ca70fe4ff75f0.us-east-1.aws.found.io/app/kibana#/discover/Steve-Slow-Train-Analysis-(2080s-and-2083s)?_g=(refreshInterval:(display:Off,pause:!f,section:0,value:0),time:(from:'2017-12-01T15:28:16-0700',mode:absolute,to:'2017-12-01T17:55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2" s="248" t="str">
        <f>IF(AA192&lt;VLOOKUP(AG192,Variables!$AC$3:$AD$8,2,FALSE),"Y","N")</f>
        <v>N</v>
      </c>
      <c r="X192" s="248">
        <f t="shared" si="96"/>
        <v>1</v>
      </c>
      <c r="Y192" s="248">
        <f t="shared" si="92"/>
        <v>5.8662000000000001</v>
      </c>
      <c r="Z192" s="248">
        <f t="shared" si="93"/>
        <v>1.38E-2</v>
      </c>
      <c r="AA192" s="248">
        <f t="shared" si="67"/>
        <v>5.8524000000000003</v>
      </c>
      <c r="AB192" s="234" t="e">
        <f>VLOOKUP(A192,Enforcements!$C$7:$K$9,8,0)</f>
        <v>#N/A</v>
      </c>
      <c r="AC192" s="233" t="e">
        <f>VLOOKUP(A192,Enforcements!$C$7:$E$9,3,0)</f>
        <v>#N/A</v>
      </c>
      <c r="AD192" s="244">
        <f t="shared" si="68"/>
        <v>830</v>
      </c>
      <c r="AE192" s="236" t="str">
        <f t="shared" si="69"/>
        <v>aws s3 cp s3://rtdc.mdm.uploadarchive.raw/RTDC4021/ "%USERPROFILE%\AppData\Local\Temp\OnboardLogs"\RTDC4021\2017-12-01 --exclude "*" --recursive --include "*20171201*" &amp; "%USERPROFILE%\Documents\GitHub\mrs-test-scripts\Headless Mode &amp; Sideloading\WalkAndUnGZ.bat" "%USERPROFILE%\AppData\Local\Temp\OnboardLogs"\RTDC4021\2017-12-01 &amp; 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</v>
      </c>
      <c r="AF192" s="235" t="str">
        <f t="shared" si="70"/>
        <v>"C:\Program Files (x86)\AstroGrep\AstroGrep.exe" /e /r /s /spath="%USERPROFILE%\AppData\Local\Temp\OnboardLogs" /stypes="app*4021*20171201*" /stext=" 23:.+((SYSTEM_STATE.+slice.+state.+changed )|(ment ac)|(multiple cpu faults)|(system.+state.+changed )|(\[timeout)|(PRM\|1\|D)|(kpr)|(kdp)|(train st.+moving)|(\|lc)|(penalty))"</v>
      </c>
      <c r="AG192" s="245" t="str">
        <f t="shared" si="71"/>
        <v>NW</v>
      </c>
      <c r="AH192" s="237" t="str">
        <f t="shared" si="72"/>
        <v>"%USERPROFILE%\Documents\GitHub\eaglep3\Utilities\RefineRTDCRunTimes.py" --tripid 830-01 --locoid 4021 --swversion DE.1.0.9.0 --startMP 300:58662 --initTime 2017-12-01T16:28:16 --startdatetime 2017-12-01T16:42:00 --delay 88 --endMP 204:138 --enddatetime 2017-12-01T16:55:15 --enforcementcount 0 &gt;&gt;%USERPROFILE%\Documents\GitHub\eaglep3-reporting\EC\2017-12-01-refined-times.txt</v>
      </c>
      <c r="AI192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{"issue":{"subject":"","project_id":79,"tracker_id":40,"status_id":1,"priority_id":2,"assigned_to_id":338,"start_date":"2017-12-01","description":"","custom_fields":[{"id":1,"name":"Subdivision","value":"NW"},{"id":4,"name":"Milepost","value":"0.0138"},{"id":17,"name":"Train ID","value":"830-01"},{"id":16,"name":"Locomotive ID","value":"4021"},{"id":130,"name":"Impact","value":""},{"id":150,"name":"Time of Event (Mountain Time)","value":"16:55:15"},{"id":151,"name":"Denver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4"/>
      <c r="AK192" s="232"/>
      <c r="AL192" s="232"/>
      <c r="AM192" s="241" t="str">
        <f t="shared" si="74"/>
        <v>start /low /b %USERPROFILE%\Documents\GitHub\eaglep3\Utilities\DownloadLogsFromS3.py --loco 4021 --day 2017-12-01</v>
      </c>
      <c r="AN192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23:55:15"},{"id":29,"name":"Sharepoint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1" t="str">
        <f t="shared" si="76"/>
        <v>https://d0f6bd738d7f1b3e5a7ca70fe4ff75f0.us-east-1.aws.found.io/app/kibana#/discover/Steve-Slow-Train-Analysis-(2080s-and-2083s)?_g=(refreshInterval:(display:Off,pause:!f,section:0,value:0),time:(from:'2017-12-01T15:28:16-0700',mode:absolute,to:'2017-12-01T17:55:15-0700'))&amp;_a=(columns:!('Message%20ID',Summary),filters:!(),index:'emp_*',interval:auto,query:(query_string:(analyze_wildcard:!t,query:'%22rtdc.l.rtdc.4021%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230" t="s">
        <v>892</v>
      </c>
      <c r="B193" s="226">
        <v>4016</v>
      </c>
      <c r="C193" s="228" t="s">
        <v>192</v>
      </c>
      <c r="D193" s="228" t="s">
        <v>575</v>
      </c>
      <c r="E193" s="227">
        <v>43070.685787037037</v>
      </c>
      <c r="F193" s="227">
        <v>43070.693981481483</v>
      </c>
      <c r="G193" s="226">
        <v>72</v>
      </c>
      <c r="H193" s="228" t="s">
        <v>1050</v>
      </c>
      <c r="I193" s="227">
        <v>43070.704525462963</v>
      </c>
      <c r="J193" s="226">
        <v>0</v>
      </c>
      <c r="K193" s="238" t="str">
        <f t="shared" si="63"/>
        <v>4015/4016</v>
      </c>
      <c r="L193" s="246" t="str">
        <f>VLOOKUP(A193,'Trips&amp;Operators'!$C$1:$G$99911,5,FALSE)</f>
        <v>SMITH MICHAEL</v>
      </c>
      <c r="M193" s="225">
        <f t="shared" si="97"/>
        <v>1.0543981479713693E-2</v>
      </c>
      <c r="N193" s="226">
        <f t="shared" si="94"/>
        <v>15.183333330787718</v>
      </c>
      <c r="O193" s="226"/>
      <c r="P193" s="226"/>
      <c r="Q193" s="229"/>
      <c r="R193" s="243"/>
      <c r="S193" s="250">
        <f t="shared" si="95"/>
        <v>1</v>
      </c>
      <c r="T193" s="243" t="str">
        <f t="shared" si="64"/>
        <v>NorthBound</v>
      </c>
      <c r="U193" s="24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9" t="str">
        <f t="shared" si="65"/>
        <v>https://d0f6bd738d7f1b3e5a7ca70fe4ff75f0.us-east-1.aws.found.io/app/kibana#/discover/Steve-Slow-Train-Analysis-(2080s-and-2083s)?_g=(refreshInterval:(display:Off,pause:!f,section:0,value:0),time:(from:'2017-12-01T15:27:32-0700',mode:absolute,to:'2017-12-01T17:54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3" s="248" t="str">
        <f>IF(AA193&lt;VLOOKUP(AG193,Variables!$AC$3:$AD$8,2,FALSE),"Y","N")</f>
        <v>N</v>
      </c>
      <c r="X193" s="248">
        <f t="shared" si="96"/>
        <v>1</v>
      </c>
      <c r="Y193" s="248">
        <f t="shared" ref="Y193:Y224" si="98">RIGHT(D193,LEN(D193)-4)/10000</f>
        <v>4.3299999999999998E-2</v>
      </c>
      <c r="Z193" s="248">
        <f t="shared" ref="Z193:Z224" si="99">RIGHT(H193,LEN(H193)-4)/10000</f>
        <v>5.8936999999999999</v>
      </c>
      <c r="AA193" s="248">
        <f t="shared" si="67"/>
        <v>5.8503999999999996</v>
      </c>
      <c r="AB193" s="234" t="e">
        <f>VLOOKUP(A193,Enforcements!$C$7:$K$9,8,0)</f>
        <v>#N/A</v>
      </c>
      <c r="AC193" s="233" t="e">
        <f>VLOOKUP(A193,Enforcements!$C$7:$E$9,3,0)</f>
        <v>#N/A</v>
      </c>
      <c r="AD193" s="244">
        <f t="shared" si="68"/>
        <v>831</v>
      </c>
      <c r="AE193" s="236" t="str">
        <f t="shared" si="69"/>
        <v>aws s3 cp s3://rtdc.mdm.uploadarchive.raw/RTDC4016/ "%USERPROFILE%\AppData\Local\Temp\OnboardLogs"\RTDC4016\2017-12-01 --exclude "*" --recursive --include "*20171201*" &amp; "%USERPROFILE%\Documents\GitHub\mrs-test-scripts\Headless Mode &amp; Sideloading\WalkAndUnGZ.bat" "%USERPROFILE%\AppData\Local\Temp\OnboardLogs"\RTDC4016\2017-12-01 &amp; aws s3 cp s3://rtdc.mdm.uploadarchive.raw/RTDC4016/ "%USERPROFILE%\AppData\Local\Temp\OnboardLogs"\RTDC4016\2017-12-02 --exclude "*" --recursive --include "*20171202*" &amp; "%USERPROFILE%\Documents\GitHub\mrs-test-scripts\Headless Mode &amp; Sideloading\WalkAndUnGZ.bat" "%USERPROFILE%\AppData\Local\Temp\OnboardLogs"\RTDC4016\2017-12-02</v>
      </c>
      <c r="AF193" s="235" t="str">
        <f t="shared" si="70"/>
        <v>"C:\Program Files (x86)\AstroGrep\AstroGrep.exe" /e /r /s /spath="%USERPROFILE%\AppData\Local\Temp\OnboardLogs" /stypes="app*4016*20171201*" /stext=" 23:.+((SYSTEM_STATE.+slice.+state.+changed )|(ment ac)|(multiple cpu faults)|(system.+state.+changed )|(\[timeout)|(PRM\|1\|D)|(kpr)|(kdp)|(train st.+moving)|(\|lc)|(penalty))"</v>
      </c>
      <c r="AG193" s="245" t="str">
        <f t="shared" si="71"/>
        <v>NW</v>
      </c>
      <c r="AH193" s="237" t="str">
        <f t="shared" si="72"/>
        <v>"%USERPROFILE%\Documents\GitHub\eaglep3\Utilities\RefineRTDCRunTimes.py" --tripid 831-01 --locoid 4016 --swversion DE.1.0.9.0 --startMP 204:433 --initTime 2017-12-01T16:27:32 --startdatetime 2017-12-01T16:39:20 --delay 72 --endMP 300:58937 --enddatetime 2017-12-01T16:54:31 --enforcementcount 0 &gt;&gt;%USERPROFILE%\Documents\GitHub\eaglep3-reporting\EC\2017-12-01-refined-times.txt</v>
      </c>
      <c r="AI193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{"issue":{"subject":"","project_id":79,"tracker_id":40,"status_id":1,"priority_id":2,"assigned_to_id":338,"start_date":"2017-12-01","description":"","custom_fields":[{"id":1,"name":"Subdivision","value":"NW"},{"id":4,"name":"Milepost","value":"5.8937"},{"id":17,"name":"Train ID","value":"831-01"},{"id":16,"name":"Locomotive ID","value":"4016"},{"id":130,"name":"Impact","value":""},{"id":150,"name":"Time of Event (Mountain Time)","value":"16:54:31"},{"id":151,"name":"Denver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4"/>
      <c r="AK193" s="232"/>
      <c r="AL193" s="232"/>
      <c r="AM193" s="241" t="str">
        <f t="shared" si="74"/>
        <v>start /low /b %USERPROFILE%\Documents\GitHub\eaglep3\Utilities\DownloadLogsFromS3.py --loco 4016 --day 2017-12-01</v>
      </c>
      <c r="AN193" s="242" t="str">
        <f t="shared" si="75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23:54:31"},{"id":29,"name":"Sharepoint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1" t="str">
        <f t="shared" si="76"/>
        <v>https://d0f6bd738d7f1b3e5a7ca70fe4ff75f0.us-east-1.aws.found.io/app/kibana#/discover/Steve-Slow-Train-Analysis-(2080s-and-2083s)?_g=(refreshInterval:(display:Off,pause:!f,section:0,value:0),time:(from:'2017-12-01T15:27:32-0700',mode:absolute,to:'2017-12-01T17:54:31-0700'))&amp;_a=(columns:!('Message%20ID',Summary),filters:!(),index:'emp_*',interval:auto,query:(query_string:(analyze_wildcard:!t,query:'%22rtdc.l.rtdc.4016%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230" t="s">
        <v>898</v>
      </c>
      <c r="B194" s="226">
        <v>4015</v>
      </c>
      <c r="C194" s="228" t="s">
        <v>192</v>
      </c>
      <c r="D194" s="228" t="s">
        <v>1069</v>
      </c>
      <c r="E194" s="227">
        <v>43070.70584490741</v>
      </c>
      <c r="F194" s="227">
        <v>43070.716666666667</v>
      </c>
      <c r="G194" s="226">
        <v>82</v>
      </c>
      <c r="H194" s="228" t="s">
        <v>492</v>
      </c>
      <c r="I194" s="227">
        <v>43070.726261574076</v>
      </c>
      <c r="J194" s="226">
        <v>0</v>
      </c>
      <c r="K194" s="238" t="str">
        <f t="shared" si="63"/>
        <v>4015/4016</v>
      </c>
      <c r="L194" s="246" t="str">
        <f>VLOOKUP(A194,'Trips&amp;Operators'!$C$1:$G$99911,5,FALSE)</f>
        <v>SMITH MICHAEL</v>
      </c>
      <c r="M194" s="225">
        <f t="shared" si="97"/>
        <v>9.5949074093368836E-3</v>
      </c>
      <c r="N194" s="226">
        <f t="shared" ref="N194:N225" si="100">24*60*SUM($M194:$M194)</f>
        <v>13.816666669445112</v>
      </c>
      <c r="O194" s="226"/>
      <c r="P194" s="226"/>
      <c r="Q194" s="229"/>
      <c r="R194" s="243"/>
      <c r="S194" s="250">
        <f t="shared" ref="S194:S225" si="101">1/IF(AG194="EC",12,1)*SUM(U194:U194)</f>
        <v>1</v>
      </c>
      <c r="T194" s="243" t="str">
        <f t="shared" si="64"/>
        <v>Southbound</v>
      </c>
      <c r="U194" s="24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9" t="str">
        <f t="shared" si="65"/>
        <v>https://d0f6bd738d7f1b3e5a7ca70fe4ff75f0.us-east-1.aws.found.io/app/kibana#/discover/Steve-Slow-Train-Analysis-(2080s-and-2083s)?_g=(refreshInterval:(display:Off,pause:!f,section:0,value:0),time:(from:'2017-12-01T15:56:25-0700',mode:absolute,to:'2017-12-01T18:25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4" s="248" t="str">
        <f>IF(AA194&lt;VLOOKUP(AG194,Variables!$AC$3:$AD$8,2,FALSE),"Y","N")</f>
        <v>N</v>
      </c>
      <c r="X194" s="248">
        <f t="shared" si="96"/>
        <v>1</v>
      </c>
      <c r="Y194" s="248">
        <f t="shared" si="98"/>
        <v>5.8630000000000004</v>
      </c>
      <c r="Z194" s="248">
        <f t="shared" si="99"/>
        <v>1.38E-2</v>
      </c>
      <c r="AA194" s="248">
        <f t="shared" si="67"/>
        <v>5.8492000000000006</v>
      </c>
      <c r="AB194" s="234" t="e">
        <f>VLOOKUP(A194,Enforcements!$C$7:$K$9,8,0)</f>
        <v>#N/A</v>
      </c>
      <c r="AC194" s="233" t="e">
        <f>VLOOKUP(A194,Enforcements!$C$7:$E$9,3,0)</f>
        <v>#N/A</v>
      </c>
      <c r="AD194" s="244">
        <f t="shared" si="68"/>
        <v>832</v>
      </c>
      <c r="AE194" s="236" t="str">
        <f t="shared" si="69"/>
        <v>aws s3 cp s3://rtdc.mdm.uploadarchive.raw/RTDC4015/ "%USERPROFILE%\AppData\Local\Temp\OnboardLogs"\RTDC4015\2017-12-01 --exclude "*" --recursive --include "*20171201*" &amp; "%USERPROFILE%\Documents\GitHub\mrs-test-scripts\Headless Mode &amp; Sideloading\WalkAndUnGZ.bat" "%USERPROFILE%\AppData\Local\Temp\OnboardLogs"\RTDC4015\2017-12-01 &amp; aws s3 cp s3://rtdc.mdm.uploadarchive.raw/RTDC4015/ "%USERPROFILE%\AppData\Local\Temp\OnboardLogs"\RTDC4015\2017-12-02 --exclude "*" --recursive --include "*20171202*" &amp; "%USERPROFILE%\Documents\GitHub\mrs-test-scripts\Headless Mode &amp; Sideloading\WalkAndUnGZ.bat" "%USERPROFILE%\AppData\Local\Temp\OnboardLogs"\RTDC4015\2017-12-02</v>
      </c>
      <c r="AF194" s="235" t="str">
        <f t="shared" si="70"/>
        <v>"C:\Program Files (x86)\AstroGrep\AstroGrep.exe" /e /r /s /spath="%USERPROFILE%\AppData\Local\Temp\OnboardLogs" /stypes="app*4015*20171202*" /stext=" 00:.+((SYSTEM_STATE.+slice.+state.+changed )|(ment ac)|(multiple cpu faults)|(system.+state.+changed )|(\[timeout)|(PRM\|1\|D)|(kpr)|(kdp)|(train st.+moving)|(\|lc)|(penalty))"</v>
      </c>
      <c r="AG194" s="245" t="str">
        <f t="shared" si="71"/>
        <v>NW</v>
      </c>
      <c r="AH194" s="237" t="str">
        <f t="shared" si="72"/>
        <v>"%USERPROFILE%\Documents\GitHub\eaglep3\Utilities\RefineRTDCRunTimes.py" --tripid 832-01 --locoid 4015 --swversion DE.1.0.9.0 --startMP 300:58630 --initTime 2017-12-01T16:56:25 --startdatetime 2017-12-01T17:12:00 --delay 82 --endMP 204:138 --enddatetime 2017-12-01T17:25:49 --enforcementcount 0 &gt;&gt;%USERPROFILE%\Documents\GitHub\eaglep3-reporting\EC\2017-12-01-refined-times.txt</v>
      </c>
      <c r="AI194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{"issue":{"subject":"","project_id":79,"tracker_id":40,"status_id":1,"priority_id":2,"assigned_to_id":338,"start_date":"2017-12-01","description":"","custom_fields":[{"id":1,"name":"Subdivision","value":"NW"},{"id":4,"name":"Milepost","value":"0.0138"},{"id":17,"name":"Train ID","value":"832-01"},{"id":16,"name":"Locomotive ID","value":"4015"},{"id":130,"name":"Impact","value":""},{"id":150,"name":"Time of Event (Mountain Time)","value":"17:25:49"},{"id":151,"name":"Denver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4"/>
      <c r="AK194" s="232"/>
      <c r="AL194" s="232"/>
      <c r="AM194" s="241" t="str">
        <f t="shared" si="74"/>
        <v>start /low /b %USERPROFILE%\Documents\GitHub\eaglep3\Utilities\DownloadLogsFromS3.py --loco 4015 --day 2017-12-01</v>
      </c>
      <c r="AN194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00:25:49"},{"id":29,"name":"Sharepoint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1" t="str">
        <f t="shared" si="76"/>
        <v>https://d0f6bd738d7f1b3e5a7ca70fe4ff75f0.us-east-1.aws.found.io/app/kibana#/discover/Steve-Slow-Train-Analysis-(2080s-and-2083s)?_g=(refreshInterval:(display:Off,pause:!f,section:0,value:0),time:(from:'2017-12-01T15:56:25-0700',mode:absolute,to:'2017-12-01T18:25:49-0700'))&amp;_a=(columns:!('Message%20ID',Summary),filters:!(),index:'emp_*',interval:auto,query:(query_string:(analyze_wildcard:!t,query:'%22rtdc.l.rtdc.4015%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230" t="s">
        <v>899</v>
      </c>
      <c r="B195" s="226">
        <v>4022</v>
      </c>
      <c r="C195" s="228" t="s">
        <v>192</v>
      </c>
      <c r="D195" s="228" t="s">
        <v>1070</v>
      </c>
      <c r="E195" s="227">
        <v>43070.7112037037</v>
      </c>
      <c r="F195" s="227">
        <v>43070.71503472222</v>
      </c>
      <c r="G195" s="226">
        <v>68</v>
      </c>
      <c r="H195" s="228" t="s">
        <v>709</v>
      </c>
      <c r="I195" s="227">
        <v>43070.72583333333</v>
      </c>
      <c r="J195" s="226">
        <v>0</v>
      </c>
      <c r="K195" s="238" t="str">
        <f t="shared" si="63"/>
        <v>4021/4022</v>
      </c>
      <c r="L195" s="246" t="str">
        <f>VLOOKUP(A195,'Trips&amp;Operators'!$C$1:$G$99911,5,FALSE)</f>
        <v>BERLING GARY</v>
      </c>
      <c r="M195" s="225">
        <f t="shared" si="97"/>
        <v>1.0798611110658385E-2</v>
      </c>
      <c r="N195" s="226">
        <f t="shared" si="100"/>
        <v>15.549999999348074</v>
      </c>
      <c r="O195" s="226"/>
      <c r="P195" s="226"/>
      <c r="Q195" s="229"/>
      <c r="R195" s="243"/>
      <c r="S195" s="250">
        <f t="shared" si="101"/>
        <v>1</v>
      </c>
      <c r="T195" s="243" t="str">
        <f t="shared" si="64"/>
        <v>NorthBound</v>
      </c>
      <c r="U195" s="24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9" t="str">
        <f t="shared" si="65"/>
        <v>https://d0f6bd738d7f1b3e5a7ca70fe4ff75f0.us-east-1.aws.found.io/app/kibana#/discover/Steve-Slow-Train-Analysis-(2080s-and-2083s)?_g=(refreshInterval:(display:Off,pause:!f,section:0,value:0),time:(from:'2017-12-01T16:04:08-0700',mode:absolute,to:'2017-12-01T18:25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5" s="248" t="str">
        <f>IF(AA195&lt;VLOOKUP(AG195,Variables!$AC$3:$AD$8,2,FALSE),"Y","N")</f>
        <v>N</v>
      </c>
      <c r="X195" s="248">
        <f t="shared" si="96"/>
        <v>1</v>
      </c>
      <c r="Y195" s="248">
        <f t="shared" si="98"/>
        <v>4.19E-2</v>
      </c>
      <c r="Z195" s="248">
        <f t="shared" si="99"/>
        <v>5.8994999999999997</v>
      </c>
      <c r="AA195" s="248">
        <f t="shared" si="67"/>
        <v>5.8575999999999997</v>
      </c>
      <c r="AB195" s="234" t="e">
        <f>VLOOKUP(A195,Enforcements!$C$7:$K$9,8,0)</f>
        <v>#N/A</v>
      </c>
      <c r="AC195" s="233" t="e">
        <f>VLOOKUP(A195,Enforcements!$C$7:$E$9,3,0)</f>
        <v>#N/A</v>
      </c>
      <c r="AD195" s="244">
        <f t="shared" si="68"/>
        <v>833</v>
      </c>
      <c r="AE195" s="236" t="str">
        <f t="shared" si="69"/>
        <v>aws s3 cp s3://rtdc.mdm.uploadarchive.raw/RTDC4022/ "%USERPROFILE%\AppData\Local\Temp\OnboardLogs"\RTDC4022\2017-12-01 --exclude "*" --recursive --include "*20171201*" &amp; "%USERPROFILE%\Documents\GitHub\mrs-test-scripts\Headless Mode &amp; Sideloading\WalkAndUnGZ.bat" "%USERPROFILE%\AppData\Local\Temp\OnboardLogs"\RTDC4022\2017-12-01 &amp; 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</v>
      </c>
      <c r="AF195" s="235" t="str">
        <f t="shared" si="70"/>
        <v>"C:\Program Files (x86)\AstroGrep\AstroGrep.exe" /e /r /s /spath="%USERPROFILE%\AppData\Local\Temp\OnboardLogs" /stypes="app*4022*20171202*" /stext=" 00:.+((SYSTEM_STATE.+slice.+state.+changed )|(ment ac)|(multiple cpu faults)|(system.+state.+changed )|(\[timeout)|(PRM\|1\|D)|(kpr)|(kdp)|(train st.+moving)|(\|lc)|(penalty))"</v>
      </c>
      <c r="AG195" s="245" t="str">
        <f t="shared" si="71"/>
        <v>NW</v>
      </c>
      <c r="AH195" s="237" t="str">
        <f t="shared" si="72"/>
        <v>"%USERPROFILE%\Documents\GitHub\eaglep3\Utilities\RefineRTDCRunTimes.py" --tripid 833-01 --locoid 4022 --swversion DE.1.0.9.0 --startMP 204:419 --initTime 2017-12-01T17:04:08 --startdatetime 2017-12-01T17:09:39 --delay 68 --endMP 300:58995 --enddatetime 2017-12-01T17:25:12 --enforcementcount 0 &gt;&gt;%USERPROFILE%\Documents\GitHub\eaglep3-reporting\EC\2017-12-01-refined-times.txt</v>
      </c>
      <c r="AI195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{"issue":{"subject":"","project_id":79,"tracker_id":40,"status_id":1,"priority_id":2,"assigned_to_id":338,"start_date":"2017-12-01","description":"","custom_fields":[{"id":1,"name":"Subdivision","value":"NW"},{"id":4,"name":"Milepost","value":"5.8995"},{"id":17,"name":"Train ID","value":"833-01"},{"id":16,"name":"Locomotive ID","value":"4022"},{"id":130,"name":"Impact","value":""},{"id":150,"name":"Time of Event (Mountain Time)","value":"17:25:12"},{"id":151,"name":"Denver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4"/>
      <c r="AK195" s="232"/>
      <c r="AL195" s="232"/>
      <c r="AM195" s="241" t="str">
        <f t="shared" si="74"/>
        <v>start /low /b %USERPROFILE%\Documents\GitHub\eaglep3\Utilities\DownloadLogsFromS3.py --loco 4022 --day 2017-12-01</v>
      </c>
      <c r="AN195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00:25:12"},{"id":29,"name":"Sharepoint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1" t="str">
        <f t="shared" si="76"/>
        <v>https://d0f6bd738d7f1b3e5a7ca70fe4ff75f0.us-east-1.aws.found.io/app/kibana#/discover/Steve-Slow-Train-Analysis-(2080s-and-2083s)?_g=(refreshInterval:(display:Off,pause:!f,section:0,value:0),time:(from:'2017-12-01T16:04:08-0700',mode:absolute,to:'2017-12-01T18:25:12-0700'))&amp;_a=(columns:!('Message%20ID',Summary),filters:!(),index:'emp_*',interval:auto,query:(query_string:(analyze_wildcard:!t,query:'%22rtdc.l.rtdc.4022%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230" t="s">
        <v>905</v>
      </c>
      <c r="B196" s="226">
        <v>4021</v>
      </c>
      <c r="C196" s="228" t="s">
        <v>192</v>
      </c>
      <c r="D196" s="228" t="s">
        <v>576</v>
      </c>
      <c r="E196" s="227">
        <v>43070.727754629632</v>
      </c>
      <c r="F196" s="227">
        <v>43070.737500000003</v>
      </c>
      <c r="G196" s="226">
        <v>102</v>
      </c>
      <c r="H196" s="228" t="s">
        <v>652</v>
      </c>
      <c r="I196" s="227">
        <v>43070.746620370373</v>
      </c>
      <c r="J196" s="226">
        <v>0</v>
      </c>
      <c r="K196" s="238" t="str">
        <f t="shared" si="63"/>
        <v>4021/4022</v>
      </c>
      <c r="L196" s="246" t="str">
        <f>VLOOKUP(A196,'Trips&amp;Operators'!$C$1:$G$99911,5,FALSE)</f>
        <v>BERLING GARY</v>
      </c>
      <c r="M196" s="225">
        <f t="shared" si="97"/>
        <v>9.1203703705104999E-3</v>
      </c>
      <c r="N196" s="226">
        <f t="shared" si="100"/>
        <v>13.13333333353512</v>
      </c>
      <c r="O196" s="226"/>
      <c r="P196" s="226"/>
      <c r="Q196" s="229"/>
      <c r="R196" s="243"/>
      <c r="S196" s="250">
        <f t="shared" si="101"/>
        <v>1</v>
      </c>
      <c r="T196" s="243" t="str">
        <f t="shared" si="64"/>
        <v>Southbound</v>
      </c>
      <c r="U196" s="24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9" t="str">
        <f t="shared" si="65"/>
        <v>https://d0f6bd738d7f1b3e5a7ca70fe4ff75f0.us-east-1.aws.found.io/app/kibana#/discover/Steve-Slow-Train-Analysis-(2080s-and-2083s)?_g=(refreshInterval:(display:Off,pause:!f,section:0,value:0),time:(from:'2017-12-01T16:27:58-0700',mode:absolute,to:'2017-12-01T18:55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6" s="248" t="str">
        <f>IF(AA196&lt;VLOOKUP(AG196,Variables!$AC$3:$AD$8,2,FALSE),"Y","N")</f>
        <v>N</v>
      </c>
      <c r="X196" s="248">
        <f t="shared" si="96"/>
        <v>1</v>
      </c>
      <c r="Y196" s="248">
        <f t="shared" si="98"/>
        <v>5.8666</v>
      </c>
      <c r="Z196" s="248">
        <f t="shared" si="99"/>
        <v>1.4E-2</v>
      </c>
      <c r="AA196" s="248">
        <f t="shared" si="67"/>
        <v>5.8525999999999998</v>
      </c>
      <c r="AB196" s="234" t="e">
        <f>VLOOKUP(A196,Enforcements!$C$7:$K$9,8,0)</f>
        <v>#N/A</v>
      </c>
      <c r="AC196" s="233" t="e">
        <f>VLOOKUP(A196,Enforcements!$C$7:$E$9,3,0)</f>
        <v>#N/A</v>
      </c>
      <c r="AD196" s="244">
        <f t="shared" si="68"/>
        <v>834</v>
      </c>
      <c r="AE196" s="236" t="str">
        <f t="shared" si="69"/>
        <v>aws s3 cp s3://rtdc.mdm.uploadarchive.raw/RTDC4021/ "%USERPROFILE%\AppData\Local\Temp\OnboardLogs"\RTDC4021\2017-12-01 --exclude "*" --recursive --include "*20171201*" &amp; "%USERPROFILE%\Documents\GitHub\mrs-test-scripts\Headless Mode &amp; Sideloading\WalkAndUnGZ.bat" "%USERPROFILE%\AppData\Local\Temp\OnboardLogs"\RTDC4021\2017-12-01 &amp; 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</v>
      </c>
      <c r="AF196" s="235" t="str">
        <f t="shared" si="70"/>
        <v>"C:\Program Files (x86)\AstroGrep\AstroGrep.exe" /e /r /s /spath="%USERPROFILE%\AppData\Local\Temp\OnboardLogs" /stypes="app*4021*20171202*" /stext=" 00:.+((SYSTEM_STATE.+slice.+state.+changed )|(ment ac)|(multiple cpu faults)|(system.+state.+changed )|(\[timeout)|(PRM\|1\|D)|(kpr)|(kdp)|(train st.+moving)|(\|lc)|(penalty))"</v>
      </c>
      <c r="AG196" s="245" t="str">
        <f t="shared" si="71"/>
        <v>NW</v>
      </c>
      <c r="AH196" s="237" t="str">
        <f t="shared" si="72"/>
        <v>"%USERPROFILE%\Documents\GitHub\eaglep3\Utilities\RefineRTDCRunTimes.py" --tripid 834-01 --locoid 4021 --swversion DE.1.0.9.0 --startMP 300:58666 --initTime 2017-12-01T17:27:58 --startdatetime 2017-12-01T17:42:00 --delay 102 --endMP 204:140 --enddatetime 2017-12-01T17:55:08 --enforcementcount 0 &gt;&gt;%USERPROFILE%\Documents\GitHub\eaglep3-reporting\EC\2017-12-01-refined-times.txt</v>
      </c>
      <c r="AI196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{"issue":{"subject":"","project_id":79,"tracker_id":40,"status_id":1,"priority_id":2,"assigned_to_id":338,"start_date":"2017-12-01","description":"","custom_fields":[{"id":1,"name":"Subdivision","value":"NW"},{"id":4,"name":"Milepost","value":"0.014"},{"id":17,"name":"Train ID","value":"834-01"},{"id":16,"name":"Locomotive ID","value":"4021"},{"id":130,"name":"Impact","value":""},{"id":150,"name":"Time of Event (Mountain Time)","value":"17:55:08"},{"id":151,"name":"Denver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4"/>
      <c r="AK196" s="232"/>
      <c r="AL196" s="232"/>
      <c r="AM196" s="241" t="str">
        <f t="shared" si="74"/>
        <v>start /low /b %USERPROFILE%\Documents\GitHub\eaglep3\Utilities\DownloadLogsFromS3.py --loco 4021 --day 2017-12-01</v>
      </c>
      <c r="AN196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00:55:08"},{"id":29,"name":"Sharepoint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1" t="str">
        <f t="shared" si="76"/>
        <v>https://d0f6bd738d7f1b3e5a7ca70fe4ff75f0.us-east-1.aws.found.io/app/kibana#/discover/Steve-Slow-Train-Analysis-(2080s-and-2083s)?_g=(refreshInterval:(display:Off,pause:!f,section:0,value:0),time:(from:'2017-12-01T16:27:58-0700',mode:absolute,to:'2017-12-01T18:55:08-0700'))&amp;_a=(columns:!('Message%20ID',Summary),filters:!(),index:'emp_*',interval:auto,query:(query_string:(analyze_wildcard:!t,query:'%22rtdc.l.rtdc.4021%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230" t="s">
        <v>906</v>
      </c>
      <c r="B197" s="226">
        <v>4016</v>
      </c>
      <c r="C197" s="228" t="s">
        <v>192</v>
      </c>
      <c r="D197" s="228" t="s">
        <v>1046</v>
      </c>
      <c r="E197" s="227">
        <v>43070.728171296294</v>
      </c>
      <c r="F197" s="227">
        <v>43070.736504629633</v>
      </c>
      <c r="G197" s="226">
        <v>111</v>
      </c>
      <c r="H197" s="228" t="s">
        <v>1071</v>
      </c>
      <c r="I197" s="227">
        <v>43070.746562499997</v>
      </c>
      <c r="J197" s="226">
        <v>0</v>
      </c>
      <c r="K197" s="238" t="str">
        <f t="shared" si="63"/>
        <v>4015/4016</v>
      </c>
      <c r="L197" s="246" t="str">
        <f>VLOOKUP(A197,'Trips&amp;Operators'!$C$1:$G$99911,5,FALSE)</f>
        <v>SMITH MICHAEL</v>
      </c>
      <c r="M197" s="225">
        <f t="shared" si="97"/>
        <v>1.0057870364107657E-2</v>
      </c>
      <c r="N197" s="226">
        <f t="shared" si="100"/>
        <v>14.483333324315026</v>
      </c>
      <c r="O197" s="226"/>
      <c r="P197" s="226"/>
      <c r="Q197" s="229"/>
      <c r="R197" s="243"/>
      <c r="S197" s="250">
        <f t="shared" si="101"/>
        <v>1</v>
      </c>
      <c r="T197" s="243" t="str">
        <f t="shared" si="64"/>
        <v>NorthBound</v>
      </c>
      <c r="U197" s="24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9" t="str">
        <f t="shared" si="65"/>
        <v>https://d0f6bd738d7f1b3e5a7ca70fe4ff75f0.us-east-1.aws.found.io/app/kibana#/discover/Steve-Slow-Train-Analysis-(2080s-and-2083s)?_g=(refreshInterval:(display:Off,pause:!f,section:0,value:0),time:(from:'2017-12-01T16:28:34-0700',mode:absolute,to:'2017-12-01T18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7" s="248" t="str">
        <f>IF(AA197&lt;VLOOKUP(AG197,Variables!$AC$3:$AD$8,2,FALSE),"Y","N")</f>
        <v>N</v>
      </c>
      <c r="X197" s="248">
        <f t="shared" si="96"/>
        <v>1</v>
      </c>
      <c r="Y197" s="248">
        <f t="shared" si="98"/>
        <v>4.3900000000000002E-2</v>
      </c>
      <c r="Z197" s="248">
        <f t="shared" si="99"/>
        <v>5.8948</v>
      </c>
      <c r="AA197" s="248">
        <f t="shared" si="67"/>
        <v>5.8509000000000002</v>
      </c>
      <c r="AB197" s="234" t="e">
        <f>VLOOKUP(A197,Enforcements!$C$7:$K$9,8,0)</f>
        <v>#N/A</v>
      </c>
      <c r="AC197" s="233" t="e">
        <f>VLOOKUP(A197,Enforcements!$C$7:$E$9,3,0)</f>
        <v>#N/A</v>
      </c>
      <c r="AD197" s="244">
        <f t="shared" si="68"/>
        <v>835</v>
      </c>
      <c r="AE197" s="236" t="str">
        <f t="shared" si="69"/>
        <v>aws s3 cp s3://rtdc.mdm.uploadarchive.raw/RTDC4016/ "%USERPROFILE%\AppData\Local\Temp\OnboardLogs"\RTDC4016\2017-12-01 --exclude "*" --recursive --include "*20171201*" &amp; "%USERPROFILE%\Documents\GitHub\mrs-test-scripts\Headless Mode &amp; Sideloading\WalkAndUnGZ.bat" "%USERPROFILE%\AppData\Local\Temp\OnboardLogs"\RTDC4016\2017-12-01 &amp; aws s3 cp s3://rtdc.mdm.uploadarchive.raw/RTDC4016/ "%USERPROFILE%\AppData\Local\Temp\OnboardLogs"\RTDC4016\2017-12-02 --exclude "*" --recursive --include "*20171202*" &amp; "%USERPROFILE%\Documents\GitHub\mrs-test-scripts\Headless Mode &amp; Sideloading\WalkAndUnGZ.bat" "%USERPROFILE%\AppData\Local\Temp\OnboardLogs"\RTDC4016\2017-12-02</v>
      </c>
      <c r="AF197" s="235" t="str">
        <f t="shared" si="70"/>
        <v>"C:\Program Files (x86)\AstroGrep\AstroGrep.exe" /e /r /s /spath="%USERPROFILE%\AppData\Local\Temp\OnboardLogs" /stypes="app*4016*20171202*" /stext=" 00:.+((SYSTEM_STATE.+slice.+state.+changed )|(ment ac)|(multiple cpu faults)|(system.+state.+changed )|(\[timeout)|(PRM\|1\|D)|(kpr)|(kdp)|(train st.+moving)|(\|lc)|(penalty))"</v>
      </c>
      <c r="AG197" s="245" t="str">
        <f t="shared" si="71"/>
        <v>NW</v>
      </c>
      <c r="AH197" s="237" t="str">
        <f t="shared" si="72"/>
        <v>"%USERPROFILE%\Documents\GitHub\eaglep3\Utilities\RefineRTDCRunTimes.py" --tripid 835-01 --locoid 4016 --swversion DE.1.0.9.0 --startMP 204:439 --initTime 2017-12-01T17:28:34 --startdatetime 2017-12-01T17:40:34 --delay 111 --endMP 300:58948 --enddatetime 2017-12-01T17:55:03 --enforcementcount 0 &gt;&gt;%USERPROFILE%\Documents\GitHub\eaglep3-reporting\EC\2017-12-01-refined-times.txt</v>
      </c>
      <c r="AI197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{"issue":{"subject":"","project_id":79,"tracker_id":40,"status_id":1,"priority_id":2,"assigned_to_id":338,"start_date":"2017-12-01","description":"","custom_fields":[{"id":1,"name":"Subdivision","value":"NW"},{"id":4,"name":"Milepost","value":"5.8948"},{"id":17,"name":"Train ID","value":"835-01"},{"id":16,"name":"Locomotive ID","value":"4016"},{"id":130,"name":"Impact","value":""},{"id":150,"name":"Time of Event (Mountain Time)","value":"17:55:03"},{"id":151,"name":"Denver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4"/>
      <c r="AK197" s="232"/>
      <c r="AL197" s="232"/>
      <c r="AM197" s="241" t="str">
        <f t="shared" si="74"/>
        <v>start /low /b %USERPROFILE%\Documents\GitHub\eaglep3\Utilities\DownloadLogsFromS3.py --loco 4016 --day 2017-12-01</v>
      </c>
      <c r="AN197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00:55:03"},{"id":29,"name":"Sharepoint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1" t="str">
        <f t="shared" si="76"/>
        <v>https://d0f6bd738d7f1b3e5a7ca70fe4ff75f0.us-east-1.aws.found.io/app/kibana#/discover/Steve-Slow-Train-Analysis-(2080s-and-2083s)?_g=(refreshInterval:(display:Off,pause:!f,section:0,value:0),time:(from:'2017-12-01T16:28:34-0700',mode:absolute,to:'2017-12-01T18:55:03-0700'))&amp;_a=(columns:!('Message%20ID',Summary),filters:!(),index:'emp_*',interval:auto,query:(query_string:(analyze_wildcard:!t,query:'%22rtdc.l.rtdc.4016%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230" t="s">
        <v>910</v>
      </c>
      <c r="B198" s="226">
        <v>4015</v>
      </c>
      <c r="C198" s="228" t="s">
        <v>192</v>
      </c>
      <c r="D198" s="228" t="s">
        <v>648</v>
      </c>
      <c r="E198" s="227">
        <v>43070.74759259259</v>
      </c>
      <c r="F198" s="227">
        <v>43070.758333333331</v>
      </c>
      <c r="G198" s="226">
        <v>80</v>
      </c>
      <c r="H198" s="228" t="s">
        <v>508</v>
      </c>
      <c r="I198" s="227">
        <v>43070.768229166664</v>
      </c>
      <c r="J198" s="226">
        <v>0</v>
      </c>
      <c r="K198" s="238" t="str">
        <f t="shared" si="63"/>
        <v>4015/4016</v>
      </c>
      <c r="L198" s="246" t="str">
        <f>VLOOKUP(A198,'Trips&amp;Operators'!$C$1:$G$99911,5,FALSE)</f>
        <v>SMITH MICHAEL</v>
      </c>
      <c r="M198" s="225">
        <f t="shared" si="97"/>
        <v>9.8958333328482695E-3</v>
      </c>
      <c r="N198" s="226">
        <f t="shared" si="100"/>
        <v>14.249999999301508</v>
      </c>
      <c r="O198" s="226"/>
      <c r="P198" s="226"/>
      <c r="Q198" s="229"/>
      <c r="R198" s="243"/>
      <c r="S198" s="250">
        <f t="shared" si="101"/>
        <v>1</v>
      </c>
      <c r="T198" s="243" t="str">
        <f t="shared" si="64"/>
        <v>Southbound</v>
      </c>
      <c r="U198" s="24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9" t="str">
        <f t="shared" si="65"/>
        <v>https://d0f6bd738d7f1b3e5a7ca70fe4ff75f0.us-east-1.aws.found.io/app/kibana#/discover/Steve-Slow-Train-Analysis-(2080s-and-2083s)?_g=(refreshInterval:(display:Off,pause:!f,section:0,value:0),time:(from:'2017-12-01T16:56:32-0700',mode:absolute,to:'2017-12-01T19:26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8" s="248" t="str">
        <f>IF(AA198&lt;VLOOKUP(AG198,Variables!$AC$3:$AD$8,2,FALSE),"Y","N")</f>
        <v>N</v>
      </c>
      <c r="X198" s="248">
        <f t="shared" si="96"/>
        <v>1</v>
      </c>
      <c r="Y198" s="248">
        <f t="shared" si="98"/>
        <v>5.8638000000000003</v>
      </c>
      <c r="Z198" s="248">
        <f t="shared" si="99"/>
        <v>1.4200000000000001E-2</v>
      </c>
      <c r="AA198" s="248">
        <f t="shared" si="67"/>
        <v>5.8496000000000006</v>
      </c>
      <c r="AB198" s="234" t="e">
        <f>VLOOKUP(A198,Enforcements!$C$7:$K$9,8,0)</f>
        <v>#N/A</v>
      </c>
      <c r="AC198" s="233" t="e">
        <f>VLOOKUP(A198,Enforcements!$C$7:$E$9,3,0)</f>
        <v>#N/A</v>
      </c>
      <c r="AD198" s="244">
        <f t="shared" si="68"/>
        <v>836</v>
      </c>
      <c r="AE198" s="236" t="str">
        <f t="shared" si="69"/>
        <v>aws s3 cp s3://rtdc.mdm.uploadarchive.raw/RTDC4015/ "%USERPROFILE%\AppData\Local\Temp\OnboardLogs"\RTDC4015\2017-12-01 --exclude "*" --recursive --include "*20171201*" &amp; "%USERPROFILE%\Documents\GitHub\mrs-test-scripts\Headless Mode &amp; Sideloading\WalkAndUnGZ.bat" "%USERPROFILE%\AppData\Local\Temp\OnboardLogs"\RTDC4015\2017-12-01 &amp; aws s3 cp s3://rtdc.mdm.uploadarchive.raw/RTDC4015/ "%USERPROFILE%\AppData\Local\Temp\OnboardLogs"\RTDC4015\2017-12-02 --exclude "*" --recursive --include "*20171202*" &amp; "%USERPROFILE%\Documents\GitHub\mrs-test-scripts\Headless Mode &amp; Sideloading\WalkAndUnGZ.bat" "%USERPROFILE%\AppData\Local\Temp\OnboardLogs"\RTDC4015\2017-12-02</v>
      </c>
      <c r="AF198" s="235" t="str">
        <f t="shared" si="70"/>
        <v>"C:\Program Files (x86)\AstroGrep\AstroGrep.exe" /e /r /s /spath="%USERPROFILE%\AppData\Local\Temp\OnboardLogs" /stypes="app*4015*20171202*" /stext=" 01:.+((SYSTEM_STATE.+slice.+state.+changed )|(ment ac)|(multiple cpu faults)|(system.+state.+changed )|(\[timeout)|(PRM\|1\|D)|(kpr)|(kdp)|(train st.+moving)|(\|lc)|(penalty))"</v>
      </c>
      <c r="AG198" s="245" t="str">
        <f t="shared" si="71"/>
        <v>NW</v>
      </c>
      <c r="AH198" s="237" t="str">
        <f t="shared" si="72"/>
        <v>"%USERPROFILE%\Documents\GitHub\eaglep3\Utilities\RefineRTDCRunTimes.py" --tripid 836-01 --locoid 4015 --swversion DE.1.0.9.0 --startMP 300:58638 --initTime 2017-12-01T17:56:32 --startdatetime 2017-12-01T18:12:00 --delay 80 --endMP 204:142 --enddatetime 2017-12-01T18:26:15 --enforcementcount 0 &gt;&gt;%USERPROFILE%\Documents\GitHub\eaglep3-reporting\EC\2017-12-01-refined-times.txt</v>
      </c>
      <c r="AI198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{"issue":{"subject":"","project_id":79,"tracker_id":40,"status_id":1,"priority_id":2,"assigned_to_id":338,"start_date":"2017-12-01","description":"","custom_fields":[{"id":1,"name":"Subdivision","value":"NW"},{"id":4,"name":"Milepost","value":"0.0142"},{"id":17,"name":"Train ID","value":"836-01"},{"id":16,"name":"Locomotive ID","value":"4015"},{"id":130,"name":"Impact","value":""},{"id":150,"name":"Time of Event (Mountain Time)","value":"18:26:15"},{"id":151,"name":"Denver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4"/>
      <c r="AK198" s="232"/>
      <c r="AL198" s="232"/>
      <c r="AM198" s="241" t="str">
        <f t="shared" si="74"/>
        <v>start /low /b %USERPROFILE%\Documents\GitHub\eaglep3\Utilities\DownloadLogsFromS3.py --loco 4015 --day 2017-12-01</v>
      </c>
      <c r="AN198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01:26:15"},{"id":29,"name":"Sharepoint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1" t="str">
        <f t="shared" si="76"/>
        <v>https://d0f6bd738d7f1b3e5a7ca70fe4ff75f0.us-east-1.aws.found.io/app/kibana#/discover/Steve-Slow-Train-Analysis-(2080s-and-2083s)?_g=(refreshInterval:(display:Off,pause:!f,section:0,value:0),time:(from:'2017-12-01T16:56:32-0700',mode:absolute,to:'2017-12-01T19:26:15-0700'))&amp;_a=(columns:!('Message%20ID',Summary),filters:!(),index:'emp_*',interval:auto,query:(query_string:(analyze_wildcard:!t,query:'%22rtdc.l.rtdc.4015%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230" t="s">
        <v>912</v>
      </c>
      <c r="B199" s="226">
        <v>4022</v>
      </c>
      <c r="C199" s="228" t="s">
        <v>192</v>
      </c>
      <c r="D199" s="228" t="s">
        <v>575</v>
      </c>
      <c r="E199" s="227">
        <v>43070.753518518519</v>
      </c>
      <c r="F199" s="227">
        <v>43070.756666666668</v>
      </c>
      <c r="G199" s="226">
        <v>93</v>
      </c>
      <c r="H199" s="228" t="s">
        <v>1072</v>
      </c>
      <c r="I199" s="227">
        <v>43070.767222222225</v>
      </c>
      <c r="J199" s="226">
        <v>0</v>
      </c>
      <c r="K199" s="238" t="str">
        <f t="shared" si="63"/>
        <v>4021/4022</v>
      </c>
      <c r="L199" s="246" t="str">
        <f>VLOOKUP(A199,'Trips&amp;Operators'!$C$1:$G$99911,5,FALSE)</f>
        <v>BERLING GARY</v>
      </c>
      <c r="M199" s="225">
        <f t="shared" si="97"/>
        <v>1.0555555556493346E-2</v>
      </c>
      <c r="N199" s="226">
        <f t="shared" si="100"/>
        <v>15.200000001350418</v>
      </c>
      <c r="O199" s="226"/>
      <c r="P199" s="226"/>
      <c r="Q199" s="229"/>
      <c r="R199" s="243"/>
      <c r="S199" s="250">
        <f t="shared" si="101"/>
        <v>1</v>
      </c>
      <c r="T199" s="243" t="str">
        <f t="shared" si="64"/>
        <v>NorthBound</v>
      </c>
      <c r="U199" s="24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9" t="str">
        <f t="shared" si="65"/>
        <v>https://d0f6bd738d7f1b3e5a7ca70fe4ff75f0.us-east-1.aws.found.io/app/kibana#/discover/Steve-Slow-Train-Analysis-(2080s-and-2083s)?_g=(refreshInterval:(display:Off,pause:!f,section:0,value:0),time:(from:'2017-12-01T17:05:04-0700',mode:absolute,to:'2017-12-01T19:24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9" s="248" t="str">
        <f>IF(AA199&lt;VLOOKUP(AG199,Variables!$AC$3:$AD$8,2,FALSE),"Y","N")</f>
        <v>N</v>
      </c>
      <c r="X199" s="248">
        <f t="shared" si="96"/>
        <v>1</v>
      </c>
      <c r="Y199" s="248">
        <f t="shared" si="98"/>
        <v>4.3299999999999998E-2</v>
      </c>
      <c r="Z199" s="248">
        <f t="shared" si="99"/>
        <v>5.8983999999999996</v>
      </c>
      <c r="AA199" s="248">
        <f t="shared" si="67"/>
        <v>5.8550999999999993</v>
      </c>
      <c r="AB199" s="234" t="e">
        <f>VLOOKUP(A199,Enforcements!$C$7:$K$9,8,0)</f>
        <v>#N/A</v>
      </c>
      <c r="AC199" s="233" t="e">
        <f>VLOOKUP(A199,Enforcements!$C$7:$E$9,3,0)</f>
        <v>#N/A</v>
      </c>
      <c r="AD199" s="244">
        <f t="shared" si="68"/>
        <v>837</v>
      </c>
      <c r="AE199" s="236" t="str">
        <f t="shared" si="69"/>
        <v>aws s3 cp s3://rtdc.mdm.uploadarchive.raw/RTDC4022/ "%USERPROFILE%\AppData\Local\Temp\OnboardLogs"\RTDC4022\2017-12-01 --exclude "*" --recursive --include "*20171201*" &amp; "%USERPROFILE%\Documents\GitHub\mrs-test-scripts\Headless Mode &amp; Sideloading\WalkAndUnGZ.bat" "%USERPROFILE%\AppData\Local\Temp\OnboardLogs"\RTDC4022\2017-12-01 &amp; 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</v>
      </c>
      <c r="AF199" s="235" t="str">
        <f t="shared" si="70"/>
        <v>"C:\Program Files (x86)\AstroGrep\AstroGrep.exe" /e /r /s /spath="%USERPROFILE%\AppData\Local\Temp\OnboardLogs" /stypes="app*4022*20171202*" /stext=" 01:.+((SYSTEM_STATE.+slice.+state.+changed )|(ment ac)|(multiple cpu faults)|(system.+state.+changed )|(\[timeout)|(PRM\|1\|D)|(kpr)|(kdp)|(train st.+moving)|(\|lc)|(penalty))"</v>
      </c>
      <c r="AG199" s="245" t="str">
        <f t="shared" si="71"/>
        <v>NW</v>
      </c>
      <c r="AH199" s="237" t="str">
        <f t="shared" si="72"/>
        <v>"%USERPROFILE%\Documents\GitHub\eaglep3\Utilities\RefineRTDCRunTimes.py" --tripid 837-01 --locoid 4022 --swversion DE.1.0.9.0 --startMP 204:433 --initTime 2017-12-01T18:05:04 --startdatetime 2017-12-01T18:09:36 --delay 93 --endMP 300:58984 --enddatetime 2017-12-01T18:24:48 --enforcementcount 0 &gt;&gt;%USERPROFILE%\Documents\GitHub\eaglep3-reporting\EC\2017-12-01-refined-times.txt</v>
      </c>
      <c r="AI199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{"issue":{"subject":"","project_id":79,"tracker_id":40,"status_id":1,"priority_id":2,"assigned_to_id":338,"start_date":"2017-12-01","description":"","custom_fields":[{"id":1,"name":"Subdivision","value":"NW"},{"id":4,"name":"Milepost","value":"5.8984"},{"id":17,"name":"Train ID","value":"837-01"},{"id":16,"name":"Locomotive ID","value":"4022"},{"id":130,"name":"Impact","value":""},{"id":150,"name":"Time of Event (Mountain Time)","value":"18:24:48"},{"id":151,"name":"Denver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4"/>
      <c r="AK199" s="232"/>
      <c r="AL199" s="232"/>
      <c r="AM199" s="241" t="str">
        <f t="shared" si="74"/>
        <v>start /low /b %USERPROFILE%\Documents\GitHub\eaglep3\Utilities\DownloadLogsFromS3.py --loco 4022 --day 2017-12-01</v>
      </c>
      <c r="AN199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01:24:48"},{"id":29,"name":"Sharepoint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1" t="str">
        <f t="shared" si="76"/>
        <v>https://d0f6bd738d7f1b3e5a7ca70fe4ff75f0.us-east-1.aws.found.io/app/kibana#/discover/Steve-Slow-Train-Analysis-(2080s-and-2083s)?_g=(refreshInterval:(display:Off,pause:!f,section:0,value:0),time:(from:'2017-12-01T17:05:04-0700',mode:absolute,to:'2017-12-01T19:24:48-0700'))&amp;_a=(columns:!('Message%20ID',Summary),filters:!(),index:'emp_*',interval:auto,query:(query_string:(analyze_wildcard:!t,query:'%22rtdc.l.rtdc.4022%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230" t="s">
        <v>916</v>
      </c>
      <c r="B200" s="226">
        <v>4021</v>
      </c>
      <c r="C200" s="228" t="s">
        <v>192</v>
      </c>
      <c r="D200" s="228" t="s">
        <v>706</v>
      </c>
      <c r="E200" s="227">
        <v>43070.768645833334</v>
      </c>
      <c r="F200" s="227">
        <v>43070.779166666667</v>
      </c>
      <c r="G200" s="226">
        <v>62</v>
      </c>
      <c r="H200" s="228" t="s">
        <v>659</v>
      </c>
      <c r="I200" s="227">
        <v>43070.789305555554</v>
      </c>
      <c r="J200" s="226">
        <v>0</v>
      </c>
      <c r="K200" s="238" t="str">
        <f t="shared" si="63"/>
        <v>4021/4022</v>
      </c>
      <c r="L200" s="246" t="str">
        <f>VLOOKUP(A200,'Trips&amp;Operators'!$C$1:$G$99911,5,FALSE)</f>
        <v>BERLING GARY</v>
      </c>
      <c r="M200" s="225">
        <f t="shared" si="97"/>
        <v>1.0138888887013309E-2</v>
      </c>
      <c r="N200" s="226">
        <f t="shared" si="100"/>
        <v>14.599999997299165</v>
      </c>
      <c r="O200" s="226"/>
      <c r="P200" s="226"/>
      <c r="Q200" s="229"/>
      <c r="R200" s="243"/>
      <c r="S200" s="250">
        <f t="shared" si="101"/>
        <v>1</v>
      </c>
      <c r="T200" s="243" t="str">
        <f t="shared" si="64"/>
        <v>Southbound</v>
      </c>
      <c r="U200" s="24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9" t="str">
        <f t="shared" si="65"/>
        <v>https://d0f6bd738d7f1b3e5a7ca70fe4ff75f0.us-east-1.aws.found.io/app/kibana#/discover/Steve-Slow-Train-Analysis-(2080s-and-2083s)?_g=(refreshInterval:(display:Off,pause:!f,section:0,value:0),time:(from:'2017-12-01T17:26:51-0700',mode:absolute,to:'2017-12-01T19:56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0" s="248" t="str">
        <f>IF(AA200&lt;VLOOKUP(AG200,Variables!$AC$3:$AD$8,2,FALSE),"Y","N")</f>
        <v>N</v>
      </c>
      <c r="X200" s="248">
        <f t="shared" si="96"/>
        <v>1</v>
      </c>
      <c r="Y200" s="248">
        <f t="shared" si="98"/>
        <v>5.8662000000000001</v>
      </c>
      <c r="Z200" s="248">
        <f t="shared" si="99"/>
        <v>1.44E-2</v>
      </c>
      <c r="AA200" s="248">
        <f t="shared" si="67"/>
        <v>5.8517999999999999</v>
      </c>
      <c r="AB200" s="234" t="e">
        <f>VLOOKUP(A200,Enforcements!$C$7:$K$9,8,0)</f>
        <v>#N/A</v>
      </c>
      <c r="AC200" s="233" t="e">
        <f>VLOOKUP(A200,Enforcements!$C$7:$E$9,3,0)</f>
        <v>#N/A</v>
      </c>
      <c r="AD200" s="244">
        <f t="shared" si="68"/>
        <v>838</v>
      </c>
      <c r="AE200" s="236" t="str">
        <f t="shared" si="69"/>
        <v>aws s3 cp s3://rtdc.mdm.uploadarchive.raw/RTDC4021/ "%USERPROFILE%\AppData\Local\Temp\OnboardLogs"\RTDC4021\2017-12-01 --exclude "*" --recursive --include "*20171201*" &amp; "%USERPROFILE%\Documents\GitHub\mrs-test-scripts\Headless Mode &amp; Sideloading\WalkAndUnGZ.bat" "%USERPROFILE%\AppData\Local\Temp\OnboardLogs"\RTDC4021\2017-12-01 &amp; 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</v>
      </c>
      <c r="AF200" s="235" t="str">
        <f t="shared" si="70"/>
        <v>"C:\Program Files (x86)\AstroGrep\AstroGrep.exe" /e /r /s /spath="%USERPROFILE%\AppData\Local\Temp\OnboardLogs" /stypes="app*4021*20171202*" /stext=" 01:.+((SYSTEM_STATE.+slice.+state.+changed )|(ment ac)|(multiple cpu faults)|(system.+state.+changed )|(\[timeout)|(PRM\|1\|D)|(kpr)|(kdp)|(train st.+moving)|(\|lc)|(penalty))"</v>
      </c>
      <c r="AG200" s="245" t="str">
        <f t="shared" si="71"/>
        <v>NW</v>
      </c>
      <c r="AH200" s="237" t="str">
        <f t="shared" si="72"/>
        <v>"%USERPROFILE%\Documents\GitHub\eaglep3\Utilities\RefineRTDCRunTimes.py" --tripid 838-01 --locoid 4021 --swversion DE.1.0.9.0 --startMP 300:58662 --initTime 2017-12-01T18:26:51 --startdatetime 2017-12-01T18:42:00 --delay 62 --endMP 204:144 --enddatetime 2017-12-01T18:56:36 --enforcementcount 0 &gt;&gt;%USERPROFILE%\Documents\GitHub\eaglep3-reporting\EC\2017-12-01-refined-times.txt</v>
      </c>
      <c r="AI200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{"issue":{"subject":"","project_id":79,"tracker_id":40,"status_id":1,"priority_id":2,"assigned_to_id":338,"start_date":"2017-12-01","description":"","custom_fields":[{"id":1,"name":"Subdivision","value":"NW"},{"id":4,"name":"Milepost","value":"0.0144"},{"id":17,"name":"Train ID","value":"838-01"},{"id":16,"name":"Locomotive ID","value":"4021"},{"id":130,"name":"Impact","value":""},{"id":150,"name":"Time of Event (Mountain Time)","value":"18:56:36"},{"id":151,"name":"Denver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4"/>
      <c r="AK200" s="232"/>
      <c r="AL200" s="232"/>
      <c r="AM200" s="241" t="str">
        <f t="shared" si="74"/>
        <v>start /low /b %USERPROFILE%\Documents\GitHub\eaglep3\Utilities\DownloadLogsFromS3.py --loco 4021 --day 2017-12-01</v>
      </c>
      <c r="AN200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01:56:36"},{"id":29,"name":"Sharepoint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1" t="str">
        <f t="shared" si="76"/>
        <v>https://d0f6bd738d7f1b3e5a7ca70fe4ff75f0.us-east-1.aws.found.io/app/kibana#/discover/Steve-Slow-Train-Analysis-(2080s-and-2083s)?_g=(refreshInterval:(display:Off,pause:!f,section:0,value:0),time:(from:'2017-12-01T17:26:51-0700',mode:absolute,to:'2017-12-01T19:56:36-0700'))&amp;_a=(columns:!('Message%20ID',Summary),filters:!(),index:'emp_*',interval:auto,query:(query_string:(analyze_wildcard:!t,query:'%22rtdc.l.rtdc.4021%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230" t="s">
        <v>917</v>
      </c>
      <c r="B201" s="226">
        <v>4016</v>
      </c>
      <c r="C201" s="228" t="s">
        <v>192</v>
      </c>
      <c r="D201" s="228" t="s">
        <v>575</v>
      </c>
      <c r="E201" s="227">
        <v>43070.770370370374</v>
      </c>
      <c r="F201" s="227">
        <v>43070.777870370373</v>
      </c>
      <c r="G201" s="226">
        <v>69</v>
      </c>
      <c r="H201" s="228" t="s">
        <v>577</v>
      </c>
      <c r="I201" s="227">
        <v>43070.788831018515</v>
      </c>
      <c r="J201" s="226">
        <v>0</v>
      </c>
      <c r="K201" s="238" t="str">
        <f t="shared" si="63"/>
        <v>4015/4016</v>
      </c>
      <c r="L201" s="246" t="str">
        <f>VLOOKUP(A201,'Trips&amp;Operators'!$C$1:$G$99911,5,FALSE)</f>
        <v>SMITH MICHAEL</v>
      </c>
      <c r="M201" s="225">
        <f t="shared" si="97"/>
        <v>1.0960648141917773E-2</v>
      </c>
      <c r="N201" s="226">
        <f t="shared" si="100"/>
        <v>15.783333324361593</v>
      </c>
      <c r="O201" s="226"/>
      <c r="P201" s="226"/>
      <c r="Q201" s="229"/>
      <c r="R201" s="243"/>
      <c r="S201" s="250">
        <f t="shared" si="101"/>
        <v>1</v>
      </c>
      <c r="T201" s="243" t="str">
        <f t="shared" si="64"/>
        <v>NorthBound</v>
      </c>
      <c r="U201" s="24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9" t="str">
        <f t="shared" si="65"/>
        <v>https://d0f6bd738d7f1b3e5a7ca70fe4ff75f0.us-east-1.aws.found.io/app/kibana#/discover/Steve-Slow-Train-Analysis-(2080s-and-2083s)?_g=(refreshInterval:(display:Off,pause:!f,section:0,value:0),time:(from:'2017-12-01T17:29:20-0700',mode:absolute,to:'2017-12-01T19:55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1" s="248" t="str">
        <f>IF(AA201&lt;VLOOKUP(AG201,Variables!$AC$3:$AD$8,2,FALSE),"Y","N")</f>
        <v>N</v>
      </c>
      <c r="X201" s="248">
        <f t="shared" si="96"/>
        <v>1</v>
      </c>
      <c r="Y201" s="248">
        <f t="shared" si="98"/>
        <v>4.3299999999999998E-2</v>
      </c>
      <c r="Z201" s="248">
        <f t="shared" si="99"/>
        <v>5.8949999999999996</v>
      </c>
      <c r="AA201" s="248">
        <f t="shared" si="67"/>
        <v>5.8516999999999992</v>
      </c>
      <c r="AB201" s="234" t="e">
        <f>VLOOKUP(A201,Enforcements!$C$7:$K$9,8,0)</f>
        <v>#N/A</v>
      </c>
      <c r="AC201" s="233" t="e">
        <f>VLOOKUP(A201,Enforcements!$C$7:$E$9,3,0)</f>
        <v>#N/A</v>
      </c>
      <c r="AD201" s="244">
        <f t="shared" si="68"/>
        <v>839</v>
      </c>
      <c r="AE201" s="236" t="str">
        <f t="shared" si="69"/>
        <v>aws s3 cp s3://rtdc.mdm.uploadarchive.raw/RTDC4016/ "%USERPROFILE%\AppData\Local\Temp\OnboardLogs"\RTDC4016\2017-12-01 --exclude "*" --recursive --include "*20171201*" &amp; "%USERPROFILE%\Documents\GitHub\mrs-test-scripts\Headless Mode &amp; Sideloading\WalkAndUnGZ.bat" "%USERPROFILE%\AppData\Local\Temp\OnboardLogs"\RTDC4016\2017-12-01 &amp; aws s3 cp s3://rtdc.mdm.uploadarchive.raw/RTDC4016/ "%USERPROFILE%\AppData\Local\Temp\OnboardLogs"\RTDC4016\2017-12-02 --exclude "*" --recursive --include "*20171202*" &amp; "%USERPROFILE%\Documents\GitHub\mrs-test-scripts\Headless Mode &amp; Sideloading\WalkAndUnGZ.bat" "%USERPROFILE%\AppData\Local\Temp\OnboardLogs"\RTDC4016\2017-12-02</v>
      </c>
      <c r="AF201" s="235" t="str">
        <f t="shared" si="70"/>
        <v>"C:\Program Files (x86)\AstroGrep\AstroGrep.exe" /e /r /s /spath="%USERPROFILE%\AppData\Local\Temp\OnboardLogs" /stypes="app*4016*20171202*" /stext=" 01:.+((SYSTEM_STATE.+slice.+state.+changed )|(ment ac)|(multiple cpu faults)|(system.+state.+changed )|(\[timeout)|(PRM\|1\|D)|(kpr)|(kdp)|(train st.+moving)|(\|lc)|(penalty))"</v>
      </c>
      <c r="AG201" s="245" t="str">
        <f t="shared" si="71"/>
        <v>NW</v>
      </c>
      <c r="AH201" s="237" t="str">
        <f t="shared" si="72"/>
        <v>"%USERPROFILE%\Documents\GitHub\eaglep3\Utilities\RefineRTDCRunTimes.py" --tripid 839-01 --locoid 4016 --swversion DE.1.0.9.0 --startMP 204:433 --initTime 2017-12-01T18:29:20 --startdatetime 2017-12-01T18:40:08 --delay 69 --endMP 300:58950 --enddatetime 2017-12-01T18:55:55 --enforcementcount 0 &gt;&gt;%USERPROFILE%\Documents\GitHub\eaglep3-reporting\EC\2017-12-01-refined-times.txt</v>
      </c>
      <c r="AI201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{"issue":{"subject":"","project_id":79,"tracker_id":40,"status_id":1,"priority_id":2,"assigned_to_id":338,"start_date":"2017-12-01","description":"","custom_fields":[{"id":1,"name":"Subdivision","value":"NW"},{"id":4,"name":"Milepost","value":"5.895"},{"id":17,"name":"Train ID","value":"839-01"},{"id":16,"name":"Locomotive ID","value":"4016"},{"id":130,"name":"Impact","value":""},{"id":150,"name":"Time of Event (Mountain Time)","value":"18:55:55"},{"id":151,"name":"Denver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4"/>
      <c r="AK201" s="232"/>
      <c r="AL201" s="232"/>
      <c r="AM201" s="241" t="str">
        <f t="shared" si="74"/>
        <v>start /low /b %USERPROFILE%\Documents\GitHub\eaglep3\Utilities\DownloadLogsFromS3.py --loco 4016 --day 2017-12-01</v>
      </c>
      <c r="AN201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01:55:55"},{"id":29,"name":"Sharepoint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1" t="str">
        <f t="shared" si="76"/>
        <v>https://d0f6bd738d7f1b3e5a7ca70fe4ff75f0.us-east-1.aws.found.io/app/kibana#/discover/Steve-Slow-Train-Analysis-(2080s-and-2083s)?_g=(refreshInterval:(display:Off,pause:!f,section:0,value:0),time:(from:'2017-12-01T17:29:20-0700',mode:absolute,to:'2017-12-01T19:55:55-0700'))&amp;_a=(columns:!('Message%20ID',Summary),filters:!(),index:'emp_*',interval:auto,query:(query_string:(analyze_wildcard:!t,query:'%22rtdc.l.rtdc.4016%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230" t="s">
        <v>927</v>
      </c>
      <c r="B202" s="226">
        <v>4021</v>
      </c>
      <c r="C202" s="228" t="s">
        <v>192</v>
      </c>
      <c r="D202" s="228" t="s">
        <v>1064</v>
      </c>
      <c r="E202" s="227">
        <v>43070.810740740744</v>
      </c>
      <c r="F202" s="227">
        <v>43070.820833333331</v>
      </c>
      <c r="G202" s="226">
        <v>91</v>
      </c>
      <c r="H202" s="228" t="s">
        <v>647</v>
      </c>
      <c r="I202" s="227">
        <v>43070.830497685187</v>
      </c>
      <c r="J202" s="226">
        <v>0</v>
      </c>
      <c r="K202" s="238" t="str">
        <f t="shared" si="63"/>
        <v>4021/4022</v>
      </c>
      <c r="L202" s="246" t="str">
        <f>VLOOKUP(A202,'Trips&amp;Operators'!$C$1:$G$99911,5,FALSE)</f>
        <v>BERLING GARY</v>
      </c>
      <c r="M202" s="225">
        <f t="shared" si="97"/>
        <v>9.6643518554628827E-3</v>
      </c>
      <c r="N202" s="226">
        <f t="shared" si="100"/>
        <v>13.916666671866551</v>
      </c>
      <c r="O202" s="226"/>
      <c r="P202" s="226"/>
      <c r="Q202" s="229"/>
      <c r="R202" s="243"/>
      <c r="S202" s="250">
        <f t="shared" si="101"/>
        <v>1</v>
      </c>
      <c r="T202" s="243" t="str">
        <f t="shared" si="64"/>
        <v>Southbound</v>
      </c>
      <c r="U202" s="24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9" t="str">
        <f t="shared" si="65"/>
        <v>https://d0f6bd738d7f1b3e5a7ca70fe4ff75f0.us-east-1.aws.found.io/app/kibana#/discover/Steve-Slow-Train-Analysis-(2080s-and-2083s)?_g=(refreshInterval:(display:Off,pause:!f,section:0,value:0),time:(from:'2017-12-01T18:27:28-0700',mode:absolute,to:'2017-12-01T20:55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2" s="248" t="str">
        <f>IF(AA202&lt;VLOOKUP(AG202,Variables!$AC$3:$AD$8,2,FALSE),"Y","N")</f>
        <v>N</v>
      </c>
      <c r="X202" s="248">
        <f t="shared" si="96"/>
        <v>1</v>
      </c>
      <c r="Y202" s="248">
        <f t="shared" si="98"/>
        <v>5.867</v>
      </c>
      <c r="Z202" s="248">
        <f t="shared" si="99"/>
        <v>1.4800000000000001E-2</v>
      </c>
      <c r="AA202" s="248">
        <f t="shared" si="67"/>
        <v>5.8521999999999998</v>
      </c>
      <c r="AB202" s="234" t="e">
        <f>VLOOKUP(A202,Enforcements!$C$7:$K$9,8,0)</f>
        <v>#N/A</v>
      </c>
      <c r="AC202" s="233" t="e">
        <f>VLOOKUP(A202,Enforcements!$C$7:$E$9,3,0)</f>
        <v>#N/A</v>
      </c>
      <c r="AD202" s="244">
        <f t="shared" si="68"/>
        <v>840</v>
      </c>
      <c r="AE202" s="236" t="str">
        <f t="shared" si="69"/>
        <v>aws s3 cp s3://rtdc.mdm.uploadarchive.raw/RTDC4021/ "%USERPROFILE%\AppData\Local\Temp\OnboardLogs"\RTDC4021\2017-12-01 --exclude "*" --recursive --include "*20171201*" &amp; "%USERPROFILE%\Documents\GitHub\mrs-test-scripts\Headless Mode &amp; Sideloading\WalkAndUnGZ.bat" "%USERPROFILE%\AppData\Local\Temp\OnboardLogs"\RTDC4021\2017-12-01 &amp; 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</v>
      </c>
      <c r="AF202" s="235" t="str">
        <f t="shared" si="70"/>
        <v>"C:\Program Files (x86)\AstroGrep\AstroGrep.exe" /e /r /s /spath="%USERPROFILE%\AppData\Local\Temp\OnboardLogs" /stypes="app*4021*20171202*" /stext=" 02:.+((SYSTEM_STATE.+slice.+state.+changed )|(ment ac)|(multiple cpu faults)|(system.+state.+changed )|(\[timeout)|(PRM\|1\|D)|(kpr)|(kdp)|(train st.+moving)|(\|lc)|(penalty))"</v>
      </c>
      <c r="AG202" s="245" t="str">
        <f t="shared" si="71"/>
        <v>NW</v>
      </c>
      <c r="AH202" s="237" t="str">
        <f t="shared" si="72"/>
        <v>"%USERPROFILE%\Documents\GitHub\eaglep3\Utilities\RefineRTDCRunTimes.py" --tripid 840-01 --locoid 4021 --swversion DE.1.0.9.0 --startMP 300:58670 --initTime 2017-12-01T19:27:28 --startdatetime 2017-12-01T19:42:00 --delay 91 --endMP 204:148 --enddatetime 2017-12-01T19:55:55 --enforcementcount 0 &gt;&gt;%USERPROFILE%\Documents\GitHub\eaglep3-reporting\EC\2017-12-01-refined-times.txt</v>
      </c>
      <c r="AI202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{"issue":{"subject":"","project_id":79,"tracker_id":40,"status_id":1,"priority_id":2,"assigned_to_id":338,"start_date":"2017-12-01","description":"","custom_fields":[{"id":1,"name":"Subdivision","value":"NW"},{"id":4,"name":"Milepost","value":"0.0148"},{"id":17,"name":"Train ID","value":"840-01"},{"id":16,"name":"Locomotive ID","value":"4021"},{"id":130,"name":"Impact","value":""},{"id":150,"name":"Time of Event (Mountain Time)","value":"19:55:55"},{"id":151,"name":"Denver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4"/>
      <c r="AK202" s="232"/>
      <c r="AL202" s="232"/>
      <c r="AM202" s="241" t="str">
        <f t="shared" si="74"/>
        <v>start /low /b %USERPROFILE%\Documents\GitHub\eaglep3\Utilities\DownloadLogsFromS3.py --loco 4021 --day 2017-12-01</v>
      </c>
      <c r="AN202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02:55:55"},{"id":29,"name":"Sharepoint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1" t="str">
        <f t="shared" si="76"/>
        <v>https://d0f6bd738d7f1b3e5a7ca70fe4ff75f0.us-east-1.aws.found.io/app/kibana#/discover/Steve-Slow-Train-Analysis-(2080s-and-2083s)?_g=(refreshInterval:(display:Off,pause:!f,section:0,value:0),time:(from:'2017-12-01T18:27:28-0700',mode:absolute,to:'2017-12-01T20:55:55-0700'))&amp;_a=(columns:!('Message%20ID',Summary),filters:!(),index:'emp_*',interval:auto,query:(query_string:(analyze_wildcard:!t,query:'%22rtdc.l.rtdc.4021%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230" t="s">
        <v>922</v>
      </c>
      <c r="B203" s="226">
        <v>4022</v>
      </c>
      <c r="C203" s="228" t="s">
        <v>192</v>
      </c>
      <c r="D203" s="228" t="s">
        <v>1073</v>
      </c>
      <c r="E203" s="227">
        <v>43070.794479166667</v>
      </c>
      <c r="F203" s="227">
        <v>43070.798125000001</v>
      </c>
      <c r="G203" s="226">
        <v>59</v>
      </c>
      <c r="H203" s="228" t="s">
        <v>1074</v>
      </c>
      <c r="I203" s="227">
        <v>43070.808425925927</v>
      </c>
      <c r="J203" s="226">
        <v>0</v>
      </c>
      <c r="K203" s="238" t="str">
        <f t="shared" si="63"/>
        <v>4021/4022</v>
      </c>
      <c r="L203" s="246" t="str">
        <f>VLOOKUP(A203,'Trips&amp;Operators'!$C$1:$G$99911,5,FALSE)</f>
        <v>BERLING GARY</v>
      </c>
      <c r="M203" s="225">
        <f t="shared" si="97"/>
        <v>1.0300925925548654E-2</v>
      </c>
      <c r="N203" s="226">
        <f t="shared" si="100"/>
        <v>14.833333332790062</v>
      </c>
      <c r="O203" s="226"/>
      <c r="P203" s="226"/>
      <c r="Q203" s="229"/>
      <c r="R203" s="243"/>
      <c r="S203" s="250">
        <f t="shared" si="101"/>
        <v>1</v>
      </c>
      <c r="T203" s="243" t="str">
        <f t="shared" si="64"/>
        <v>NorthBound</v>
      </c>
      <c r="U203" s="24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9" t="str">
        <f t="shared" si="65"/>
        <v>https://d0f6bd738d7f1b3e5a7ca70fe4ff75f0.us-east-1.aws.found.io/app/kibana#/discover/Steve-Slow-Train-Analysis-(2080s-and-2083s)?_g=(refreshInterval:(display:Off,pause:!f,section:0,value:0),time:(from:'2017-12-01T18:04:03-0700',mode:absolute,to:'2017-12-01T20:24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3" s="248" t="str">
        <f>IF(AA203&lt;VLOOKUP(AG203,Variables!$AC$3:$AD$8,2,FALSE),"Y","N")</f>
        <v>N</v>
      </c>
      <c r="X203" s="248">
        <f t="shared" si="96"/>
        <v>1</v>
      </c>
      <c r="Y203" s="248">
        <f t="shared" si="98"/>
        <v>4.2299999999999997E-2</v>
      </c>
      <c r="Z203" s="248">
        <f t="shared" si="99"/>
        <v>5.8982000000000001</v>
      </c>
      <c r="AA203" s="248">
        <f t="shared" si="67"/>
        <v>5.8559000000000001</v>
      </c>
      <c r="AB203" s="234" t="e">
        <f>VLOOKUP(A203,Enforcements!$C$7:$K$9,8,0)</f>
        <v>#N/A</v>
      </c>
      <c r="AC203" s="233" t="e">
        <f>VLOOKUP(A203,Enforcements!$C$7:$E$9,3,0)</f>
        <v>#N/A</v>
      </c>
      <c r="AD203" s="244">
        <f t="shared" si="68"/>
        <v>841</v>
      </c>
      <c r="AE203" s="236" t="str">
        <f t="shared" si="69"/>
        <v>aws s3 cp s3://rtdc.mdm.uploadarchive.raw/RTDC4022/ "%USERPROFILE%\AppData\Local\Temp\OnboardLogs"\RTDC4022\2017-12-01 --exclude "*" --recursive --include "*20171201*" &amp; "%USERPROFILE%\Documents\GitHub\mrs-test-scripts\Headless Mode &amp; Sideloading\WalkAndUnGZ.bat" "%USERPROFILE%\AppData\Local\Temp\OnboardLogs"\RTDC4022\2017-12-01 &amp; 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</v>
      </c>
      <c r="AF203" s="235" t="str">
        <f t="shared" si="70"/>
        <v>"C:\Program Files (x86)\AstroGrep\AstroGrep.exe" /e /r /s /spath="%USERPROFILE%\AppData\Local\Temp\OnboardLogs" /stypes="app*4022*20171202*" /stext=" 02:.+((SYSTEM_STATE.+slice.+state.+changed )|(ment ac)|(multiple cpu faults)|(system.+state.+changed )|(\[timeout)|(PRM\|1\|D)|(kpr)|(kdp)|(train st.+moving)|(\|lc)|(penalty))"</v>
      </c>
      <c r="AG203" s="245" t="str">
        <f t="shared" si="71"/>
        <v>NW</v>
      </c>
      <c r="AH203" s="237" t="str">
        <f t="shared" si="72"/>
        <v>"%USERPROFILE%\Documents\GitHub\eaglep3\Utilities\RefineRTDCRunTimes.py" --tripid 841-01 --locoid 4022 --swversion DE.1.0.9.0 --startMP 204:423 --initTime 2017-12-01T19:04:03 --startdatetime 2017-12-01T19:09:18 --delay 59 --endMP 300:58982 --enddatetime 2017-12-01T19:24:08 --enforcementcount 0 &gt;&gt;%USERPROFILE%\Documents\GitHub\eaglep3-reporting\EC\2017-12-01-refined-times.txt</v>
      </c>
      <c r="AI203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{"issue":{"subject":"","project_id":79,"tracker_id":40,"status_id":1,"priority_id":2,"assigned_to_id":338,"start_date":"2017-12-01","description":"","custom_fields":[{"id":1,"name":"Subdivision","value":"NW"},{"id":4,"name":"Milepost","value":"5.8982"},{"id":17,"name":"Train ID","value":"841-01"},{"id":16,"name":"Locomotive ID","value":"4022"},{"id":130,"name":"Impact","value":""},{"id":150,"name":"Time of Event (Mountain Time)","value":"19:24:08"},{"id":151,"name":"Denver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4"/>
      <c r="AK203" s="232"/>
      <c r="AL203" s="232"/>
      <c r="AM203" s="241" t="str">
        <f t="shared" si="74"/>
        <v>start /low /b %USERPROFILE%\Documents\GitHub\eaglep3\Utilities\DownloadLogsFromS3.py --loco 4022 --day 2017-12-01</v>
      </c>
      <c r="AN203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02:24:08"},{"id":29,"name":"Sharepoint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1" t="str">
        <f t="shared" si="76"/>
        <v>https://d0f6bd738d7f1b3e5a7ca70fe4ff75f0.us-east-1.aws.found.io/app/kibana#/discover/Steve-Slow-Train-Analysis-(2080s-and-2083s)?_g=(refreshInterval:(display:Off,pause:!f,section:0,value:0),time:(from:'2017-12-01T18:04:03-0700',mode:absolute,to:'2017-12-01T20:24:08-0700'))&amp;_a=(columns:!('Message%20ID',Summary),filters:!(),index:'emp_*',interval:auto,query:(query_string:(analyze_wildcard:!t,query:'%22rtdc.l.rtdc.4022%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230" t="s">
        <v>933</v>
      </c>
      <c r="B204" s="226">
        <v>4021</v>
      </c>
      <c r="C204" s="228" t="s">
        <v>192</v>
      </c>
      <c r="D204" s="228" t="s">
        <v>706</v>
      </c>
      <c r="E204" s="227">
        <v>43070.851354166669</v>
      </c>
      <c r="F204" s="227">
        <v>43070.862500000003</v>
      </c>
      <c r="G204" s="226">
        <v>63</v>
      </c>
      <c r="H204" s="228" t="s">
        <v>1075</v>
      </c>
      <c r="I204" s="227">
        <v>43070.871539351851</v>
      </c>
      <c r="J204" s="226">
        <v>0</v>
      </c>
      <c r="K204" s="238" t="str">
        <f t="shared" si="63"/>
        <v>4021/4022</v>
      </c>
      <c r="L204" s="246" t="str">
        <f>VLOOKUP(A204,'Trips&amp;Operators'!$C$1:$G$99911,5,FALSE)</f>
        <v>BERLING GARY</v>
      </c>
      <c r="M204" s="225">
        <f t="shared" si="97"/>
        <v>9.0393518476048484E-3</v>
      </c>
      <c r="N204" s="226">
        <f t="shared" si="100"/>
        <v>13.016666660550982</v>
      </c>
      <c r="O204" s="226"/>
      <c r="P204" s="226"/>
      <c r="Q204" s="229"/>
      <c r="R204" s="243"/>
      <c r="S204" s="250">
        <f t="shared" si="101"/>
        <v>1</v>
      </c>
      <c r="T204" s="243" t="str">
        <f t="shared" si="64"/>
        <v>Southbound</v>
      </c>
      <c r="U204" s="24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9" t="str">
        <f t="shared" si="65"/>
        <v>https://d0f6bd738d7f1b3e5a7ca70fe4ff75f0.us-east-1.aws.found.io/app/kibana#/discover/Steve-Slow-Train-Analysis-(2080s-and-2083s)?_g=(refreshInterval:(display:Off,pause:!f,section:0,value:0),time:(from:'2017-12-01T19:25:57-0700',mode:absolute,to:'2017-12-01T21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4" s="248" t="str">
        <f>IF(AA204&lt;VLOOKUP(AG204,Variables!$AC$3:$AD$8,2,FALSE),"Y","N")</f>
        <v>N</v>
      </c>
      <c r="X204" s="248">
        <f t="shared" si="96"/>
        <v>1</v>
      </c>
      <c r="Y204" s="248">
        <f t="shared" si="98"/>
        <v>5.8662000000000001</v>
      </c>
      <c r="Z204" s="248">
        <f t="shared" si="99"/>
        <v>1.5100000000000001E-2</v>
      </c>
      <c r="AA204" s="248">
        <f t="shared" si="67"/>
        <v>5.8510999999999997</v>
      </c>
      <c r="AB204" s="234" t="e">
        <f>VLOOKUP(A204,Enforcements!$C$7:$K$9,8,0)</f>
        <v>#N/A</v>
      </c>
      <c r="AC204" s="233" t="e">
        <f>VLOOKUP(A204,Enforcements!$C$7:$E$9,3,0)</f>
        <v>#N/A</v>
      </c>
      <c r="AD204" s="244">
        <f t="shared" si="68"/>
        <v>842</v>
      </c>
      <c r="AE204" s="236" t="str">
        <f t="shared" si="69"/>
        <v>aws s3 cp s3://rtdc.mdm.uploadarchive.raw/RTDC4021/ "%USERPROFILE%\AppData\Local\Temp\OnboardLogs"\RTDC4021\2017-12-01 --exclude "*" --recursive --include "*20171201*" &amp; "%USERPROFILE%\Documents\GitHub\mrs-test-scripts\Headless Mode &amp; Sideloading\WalkAndUnGZ.bat" "%USERPROFILE%\AppData\Local\Temp\OnboardLogs"\RTDC4021\2017-12-01 &amp; 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</v>
      </c>
      <c r="AF204" s="235" t="str">
        <f t="shared" si="70"/>
        <v>"C:\Program Files (x86)\AstroGrep\AstroGrep.exe" /e /r /s /spath="%USERPROFILE%\AppData\Local\Temp\OnboardLogs" /stypes="app*4021*20171202*" /stext=" 03:.+((SYSTEM_STATE.+slice.+state.+changed )|(ment ac)|(multiple cpu faults)|(system.+state.+changed )|(\[timeout)|(PRM\|1\|D)|(kpr)|(kdp)|(train st.+moving)|(\|lc)|(penalty))"</v>
      </c>
      <c r="AG204" s="245" t="str">
        <f t="shared" si="71"/>
        <v>NW</v>
      </c>
      <c r="AH204" s="237" t="str">
        <f t="shared" si="72"/>
        <v>"%USERPROFILE%\Documents\GitHub\eaglep3\Utilities\RefineRTDCRunTimes.py" --tripid 842-01 --locoid 4021 --swversion DE.1.0.9.0 --startMP 300:58662 --initTime 2017-12-01T20:25:57 --startdatetime 2017-12-01T20:42:00 --delay 63 --endMP 204:151 --enddatetime 2017-12-01T20:55:01 --enforcementcount 0 &gt;&gt;%USERPROFILE%\Documents\GitHub\eaglep3-reporting\EC\2017-12-01-refined-times.txt</v>
      </c>
      <c r="AI204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{"issue":{"subject":"","project_id":79,"tracker_id":40,"status_id":1,"priority_id":2,"assigned_to_id":338,"start_date":"2017-12-01","description":"","custom_fields":[{"id":1,"name":"Subdivision","value":"NW"},{"id":4,"name":"Milepost","value":"0.0151"},{"id":17,"name":"Train ID","value":"842-01"},{"id":16,"name":"Locomotive ID","value":"4021"},{"id":130,"name":"Impact","value":""},{"id":150,"name":"Time of Event (Mountain Time)","value":"20:55:01"},{"id":151,"name":"Denver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4"/>
      <c r="AK204" s="232"/>
      <c r="AL204" s="232"/>
      <c r="AM204" s="241" t="str">
        <f t="shared" si="74"/>
        <v>start /low /b %USERPROFILE%\Documents\GitHub\eaglep3\Utilities\DownloadLogsFromS3.py --loco 4021 --day 2017-12-01</v>
      </c>
      <c r="AN204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03:55:01"},{"id":29,"name":"Sharepoint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1" t="str">
        <f t="shared" si="76"/>
        <v>https://d0f6bd738d7f1b3e5a7ca70fe4ff75f0.us-east-1.aws.found.io/app/kibana#/discover/Steve-Slow-Train-Analysis-(2080s-and-2083s)?_g=(refreshInterval:(display:Off,pause:!f,section:0,value:0),time:(from:'2017-12-01T19:25:57-0700',mode:absolute,to:'2017-12-01T21:55:01-0700'))&amp;_a=(columns:!('Message%20ID',Summary),filters:!(),index:'emp_*',interval:auto,query:(query_string:(analyze_wildcard:!t,query:'%22rtdc.l.rtdc.4021%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230" t="s">
        <v>930</v>
      </c>
      <c r="B205" s="226">
        <v>4022</v>
      </c>
      <c r="C205" s="228" t="s">
        <v>192</v>
      </c>
      <c r="D205" s="228" t="s">
        <v>556</v>
      </c>
      <c r="E205" s="227">
        <v>43070.837071759262</v>
      </c>
      <c r="F205" s="227">
        <v>43070.839745370373</v>
      </c>
      <c r="G205" s="226">
        <v>74</v>
      </c>
      <c r="H205" s="228" t="s">
        <v>1072</v>
      </c>
      <c r="I205" s="227">
        <v>43070.850416666668</v>
      </c>
      <c r="J205" s="226">
        <v>0</v>
      </c>
      <c r="K205" s="238" t="str">
        <f t="shared" ref="K205:K234" si="102">IF(ISEVEN(B205),(B205-1)&amp;"/"&amp;B205,B205&amp;"/"&amp;(B205+1))</f>
        <v>4021/4022</v>
      </c>
      <c r="L205" s="246" t="str">
        <f>VLOOKUP(A205,'Trips&amp;Operators'!$C$1:$G$99911,5,FALSE)</f>
        <v>BERLING GARY</v>
      </c>
      <c r="M205" s="225">
        <f t="shared" si="97"/>
        <v>1.0671296295186039E-2</v>
      </c>
      <c r="N205" s="226">
        <f t="shared" si="100"/>
        <v>15.366666665067896</v>
      </c>
      <c r="O205" s="226"/>
      <c r="P205" s="226"/>
      <c r="Q205" s="229"/>
      <c r="R205" s="243"/>
      <c r="S205" s="250">
        <f t="shared" si="101"/>
        <v>1</v>
      </c>
      <c r="T205" s="243" t="str">
        <f t="shared" ref="T205:T234" si="103">IF(ISEVEN(LEFT(AD205,4)),"Southbound","NorthBound")</f>
        <v>NorthBound</v>
      </c>
      <c r="U205" s="24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9" t="str">
        <f t="shared" ref="V205:V234" si="10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-12-01T19:05:23-0700',mode:absolute,to:'2017-12-01T21:24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5" s="248" t="str">
        <f>IF(AA205&lt;VLOOKUP(AG205,Variables!$AC$3:$AD$8,2,FALSE),"Y","N")</f>
        <v>N</v>
      </c>
      <c r="X205" s="248">
        <f t="shared" si="96"/>
        <v>1</v>
      </c>
      <c r="Y205" s="248">
        <f t="shared" si="98"/>
        <v>4.5999999999999999E-2</v>
      </c>
      <c r="Z205" s="248">
        <f t="shared" si="99"/>
        <v>5.8983999999999996</v>
      </c>
      <c r="AA205" s="248">
        <f t="shared" ref="AA205:AA268" si="105">ABS(Z205-Y205)</f>
        <v>5.8523999999999994</v>
      </c>
      <c r="AB205" s="234" t="e">
        <f>VLOOKUP(A205,Enforcements!$C$7:$K$9,8,0)</f>
        <v>#N/A</v>
      </c>
      <c r="AC205" s="233" t="e">
        <f>VLOOKUP(A205,Enforcements!$C$7:$E$9,3,0)</f>
        <v>#N/A</v>
      </c>
      <c r="AD205" s="244">
        <f t="shared" ref="AD205:AD234" si="106">VALUE(LEFT(A205,LEN(A205)-3))</f>
        <v>843</v>
      </c>
      <c r="AE205" s="236" t="str">
        <f t="shared" ref="AE205:AE234" si="10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s3://rtdc.mdm.uploadarchive.raw/RTDC4022/ "%USERPROFILE%\AppData\Local\Temp\OnboardLogs"\RTDC4022\2017-12-01 --exclude "*" --recursive --include "*20171201*" &amp; "%USERPROFILE%\Documents\GitHub\mrs-test-scripts\Headless Mode &amp; Sideloading\WalkAndUnGZ.bat" "%USERPROFILE%\AppData\Local\Temp\OnboardLogs"\RTDC4022\2017-12-01 &amp; 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</v>
      </c>
      <c r="AF205" s="235" t="str">
        <f t="shared" ref="AF205:AF234" si="108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/stypes="app*4022*20171202*" /stext=" 03:.+((SYSTEM_STATE.+slice.+state.+changed )|(ment ac)|(multiple cpu faults)|(system.+state.+changed )|(\[timeout)|(PRM\|1\|D)|(kpr)|(kdp)|(train st.+moving)|(\|lc)|(penalty))"</v>
      </c>
      <c r="AG205" s="245" t="str">
        <f t="shared" ref="AG205:AG234" si="109">DetSubdiv(A205)</f>
        <v>NW</v>
      </c>
      <c r="AH205" s="237" t="str">
        <f t="shared" si="72"/>
        <v>"%USERPROFILE%\Documents\GitHub\eaglep3\Utilities\RefineRTDCRunTimes.py" --tripid 843-01 --locoid 4022 --swversion DE.1.0.9.0 --startMP 204:460 --initTime 2017-12-01T20:05:23 --startdatetime 2017-12-01T20:09:14 --delay 74 --endMP 300:58984 --enddatetime 2017-12-01T20:24:36 --enforcementcount 0 &gt;&gt;%USERPROFILE%\Documents\GitHub\eaglep3-reporting\EC\2017-12-01-refined-times.txt</v>
      </c>
      <c r="AI205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{"issue":{"subject":"","project_id":79,"tracker_id":40,"status_id":1,"priority_id":2,"assigned_to_id":338,"start_date":"2017-12-01","description":"","custom_fields":[{"id":1,"name":"Subdivision","value":"NW"},{"id":4,"name":"Milepost","value":"5.8984"},{"id":17,"name":"Train ID","value":"843-01"},{"id":16,"name":"Locomotive ID","value":"4022"},{"id":130,"name":"Impact","value":""},{"id":150,"name":"Time of Event (Mountain Time)","value":"20:24:36"},{"id":151,"name":"Denver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4"/>
      <c r="AK205" s="232"/>
      <c r="AL205" s="232"/>
      <c r="AM205" s="241" t="str">
        <f t="shared" si="74"/>
        <v>start /low /b %USERPROFILE%\Documents\GitHub\eaglep3\Utilities\DownloadLogsFromS3.py --loco 4022 --day 2017-12-01</v>
      </c>
      <c r="AN205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03:24:36"},{"id":29,"name":"Sharepoint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1" t="str">
        <f t="shared" si="76"/>
        <v>https://d0f6bd738d7f1b3e5a7ca70fe4ff75f0.us-east-1.aws.found.io/app/kibana#/discover/Steve-Slow-Train-Analysis-(2080s-and-2083s)?_g=(refreshInterval:(display:Off,pause:!f,section:0,value:0),time:(from:'2017-12-01T19:05:23-0700',mode:absolute,to:'2017-12-01T21:24:36-0700'))&amp;_a=(columns:!('Message%20ID',Summary),filters:!(),index:'emp_*',interval:auto,query:(query_string:(analyze_wildcard:!t,query:'%22rtdc.l.rtdc.4022%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230" t="s">
        <v>746</v>
      </c>
      <c r="B206" s="226">
        <v>4021</v>
      </c>
      <c r="C206" s="228" t="s">
        <v>192</v>
      </c>
      <c r="D206" s="228" t="s">
        <v>700</v>
      </c>
      <c r="E206" s="227">
        <v>43070.893437500003</v>
      </c>
      <c r="F206" s="227">
        <v>43070.904166666667</v>
      </c>
      <c r="G206" s="226">
        <v>69</v>
      </c>
      <c r="H206" s="228" t="s">
        <v>426</v>
      </c>
      <c r="I206" s="227">
        <v>43070.914259259262</v>
      </c>
      <c r="J206" s="226">
        <v>0</v>
      </c>
      <c r="K206" s="238" t="str">
        <f t="shared" si="102"/>
        <v>4021/4022</v>
      </c>
      <c r="L206" s="246" t="str">
        <f>VLOOKUP(A206,'Trips&amp;Operators'!$C$1:$G$99911,5,FALSE)</f>
        <v>SMITH MICHAEL</v>
      </c>
      <c r="M206" s="225">
        <f t="shared" si="97"/>
        <v>1.0092592594446614E-2</v>
      </c>
      <c r="N206" s="226">
        <f t="shared" si="100"/>
        <v>14.533333336003125</v>
      </c>
      <c r="O206" s="226"/>
      <c r="P206" s="226"/>
      <c r="Q206" s="229"/>
      <c r="R206" s="243"/>
      <c r="S206" s="250">
        <f t="shared" si="101"/>
        <v>1</v>
      </c>
      <c r="T206" s="243" t="str">
        <f t="shared" si="103"/>
        <v>Southbound</v>
      </c>
      <c r="U206" s="24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9" t="str">
        <f t="shared" si="104"/>
        <v>https://d0f6bd738d7f1b3e5a7ca70fe4ff75f0.us-east-1.aws.found.io/app/kibana#/discover/Steve-Slow-Train-Analysis-(2080s-and-2083s)?_g=(refreshInterval:(display:Off,pause:!f,section:0,value:0),time:(from:'2017-12-01T20:26:33-0700',mode:absolute,to:'2017-12-01T22:56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6" s="248" t="str">
        <f>IF(AA206&lt;VLOOKUP(AG206,Variables!$AC$3:$AD$8,2,FALSE),"Y","N")</f>
        <v>N</v>
      </c>
      <c r="X206" s="248">
        <f t="shared" si="96"/>
        <v>1</v>
      </c>
      <c r="Y206" s="248">
        <f t="shared" si="98"/>
        <v>5.8616999999999999</v>
      </c>
      <c r="Z206" s="248">
        <f t="shared" si="99"/>
        <v>1.49E-2</v>
      </c>
      <c r="AA206" s="248">
        <f t="shared" si="105"/>
        <v>5.8468</v>
      </c>
      <c r="AB206" s="234" t="e">
        <f>VLOOKUP(A206,Enforcements!$C$7:$K$9,8,0)</f>
        <v>#N/A</v>
      </c>
      <c r="AC206" s="233" t="e">
        <f>VLOOKUP(A206,Enforcements!$C$7:$E$9,3,0)</f>
        <v>#N/A</v>
      </c>
      <c r="AD206" s="244">
        <f t="shared" si="106"/>
        <v>844</v>
      </c>
      <c r="AE206" s="236" t="str">
        <f t="shared" si="107"/>
        <v>aws s3 cp s3://rtdc.mdm.uploadarchive.raw/RTDC4021/ "%USERPROFILE%\AppData\Local\Temp\OnboardLogs"\RTDC4021\2017-12-01 --exclude "*" --recursive --include "*20171201*" &amp; "%USERPROFILE%\Documents\GitHub\mrs-test-scripts\Headless Mode &amp; Sideloading\WalkAndUnGZ.bat" "%USERPROFILE%\AppData\Local\Temp\OnboardLogs"\RTDC4021\2017-12-01 &amp; 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</v>
      </c>
      <c r="AF206" s="235" t="str">
        <f t="shared" si="108"/>
        <v>"C:\Program Files (x86)\AstroGrep\AstroGrep.exe" /e /r /s /spath="%USERPROFILE%\AppData\Local\Temp\OnboardLogs" /stypes="app*4021*20171202*" /stext=" 04:.+((SYSTEM_STATE.+slice.+state.+changed )|(ment ac)|(multiple cpu faults)|(system.+state.+changed )|(\[timeout)|(PRM\|1\|D)|(kpr)|(kdp)|(train st.+moving)|(\|lc)|(penalty))"</v>
      </c>
      <c r="AG206" s="245" t="str">
        <f t="shared" si="109"/>
        <v>NW</v>
      </c>
      <c r="AH206" s="237" t="str">
        <f t="shared" si="72"/>
        <v>"%USERPROFILE%\Documents\GitHub\eaglep3\Utilities\RefineRTDCRunTimes.py" --tripid 844-01 --locoid 4021 --swversion DE.1.0.9.0 --startMP 300:58617 --initTime 2017-12-01T21:26:33 --startdatetime 2017-12-01T21:42:00 --delay 69 --endMP 204:149 --enddatetime 2017-12-01T21:56:32 --enforcementcount 0 &gt;&gt;%USERPROFILE%\Documents\GitHub\eaglep3-reporting\EC\2017-12-01-refined-times.txt</v>
      </c>
      <c r="AI206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{"issue":{"subject":"","project_id":79,"tracker_id":40,"status_id":1,"priority_id":2,"assigned_to_id":338,"start_date":"2017-12-01","description":"","custom_fields":[{"id":1,"name":"Subdivision","value":"NW"},{"id":4,"name":"Milepost","value":"0.0149"},{"id":17,"name":"Train ID","value":"844-01"},{"id":16,"name":"Locomotive ID","value":"4021"},{"id":130,"name":"Impact","value":""},{"id":150,"name":"Time of Event (Mountain Time)","value":"21:56:32"},{"id":151,"name":"Denver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4"/>
      <c r="AK206" s="232"/>
      <c r="AL206" s="232"/>
      <c r="AM206" s="241" t="str">
        <f t="shared" si="74"/>
        <v>start /low /b %USERPROFILE%\Documents\GitHub\eaglep3\Utilities\DownloadLogsFromS3.py --loco 4021 --day 2017-12-01</v>
      </c>
      <c r="AN206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04:56:32"},{"id":29,"name":"Sharepoint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1" t="str">
        <f t="shared" si="76"/>
        <v>https://d0f6bd738d7f1b3e5a7ca70fe4ff75f0.us-east-1.aws.found.io/app/kibana#/discover/Steve-Slow-Train-Analysis-(2080s-and-2083s)?_g=(refreshInterval:(display:Off,pause:!f,section:0,value:0),time:(from:'2017-12-01T20:26:33-0700',mode:absolute,to:'2017-12-01T22:56:32-0700'))&amp;_a=(columns:!('Message%20ID',Summary),filters:!(),index:'emp_*',interval:auto,query:(query_string:(analyze_wildcard:!t,query:'%22rtdc.l.rtdc.4021%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24" customFormat="1" x14ac:dyDescent="0.25">
      <c r="A207" s="230" t="s">
        <v>936</v>
      </c>
      <c r="B207" s="226">
        <v>4022</v>
      </c>
      <c r="C207" s="228" t="s">
        <v>192</v>
      </c>
      <c r="D207" s="228" t="s">
        <v>655</v>
      </c>
      <c r="E207" s="227">
        <v>43070.876134259262</v>
      </c>
      <c r="F207" s="227">
        <v>43070.881469907406</v>
      </c>
      <c r="G207" s="226">
        <v>75</v>
      </c>
      <c r="H207" s="228" t="s">
        <v>658</v>
      </c>
      <c r="I207" s="227">
        <v>43070.891608796293</v>
      </c>
      <c r="J207" s="226">
        <v>0</v>
      </c>
      <c r="K207" s="238" t="str">
        <f t="shared" si="102"/>
        <v>4021/4022</v>
      </c>
      <c r="L207" s="246" t="str">
        <f>VLOOKUP(A207,'Trips&amp;Operators'!$C$1:$G$99911,5,FALSE)</f>
        <v>SMITH MICHAEL</v>
      </c>
      <c r="M207" s="225">
        <f t="shared" si="97"/>
        <v>1.0138888887013309E-2</v>
      </c>
      <c r="N207" s="226">
        <f t="shared" si="100"/>
        <v>14.599999997299165</v>
      </c>
      <c r="O207" s="226"/>
      <c r="P207" s="226"/>
      <c r="Q207" s="229"/>
      <c r="R207" s="243"/>
      <c r="S207" s="250">
        <f t="shared" si="101"/>
        <v>1</v>
      </c>
      <c r="T207" s="243" t="str">
        <f t="shared" si="103"/>
        <v>NorthBound</v>
      </c>
      <c r="U207" s="24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9" t="str">
        <f t="shared" si="104"/>
        <v>https://d0f6bd738d7f1b3e5a7ca70fe4ff75f0.us-east-1.aws.found.io/app/kibana#/discover/Steve-Slow-Train-Analysis-(2080s-and-2083s)?_g=(refreshInterval:(display:Off,pause:!f,section:0,value:0),time:(from:'2017-12-01T20:01:38-0700',mode:absolute,to:'2017-12-01T22:23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7" s="248" t="str">
        <f>IF(AA207&lt;VLOOKUP(AG207,Variables!$AC$3:$AD$8,2,FALSE),"Y","N")</f>
        <v>N</v>
      </c>
      <c r="X207" s="248">
        <f t="shared" si="96"/>
        <v>1</v>
      </c>
      <c r="Y207" s="248">
        <f t="shared" si="98"/>
        <v>4.41E-2</v>
      </c>
      <c r="Z207" s="248">
        <f t="shared" si="99"/>
        <v>5.8924000000000003</v>
      </c>
      <c r="AA207" s="248">
        <f t="shared" si="105"/>
        <v>5.8483000000000001</v>
      </c>
      <c r="AB207" s="234" t="e">
        <f>VLOOKUP(A207,Enforcements!$C$7:$K$9,8,0)</f>
        <v>#N/A</v>
      </c>
      <c r="AC207" s="233" t="e">
        <f>VLOOKUP(A207,Enforcements!$C$7:$E$9,3,0)</f>
        <v>#N/A</v>
      </c>
      <c r="AD207" s="244">
        <f t="shared" si="106"/>
        <v>845</v>
      </c>
      <c r="AE207" s="236" t="str">
        <f t="shared" si="107"/>
        <v>aws s3 cp s3://rtdc.mdm.uploadarchive.raw/RTDC4022/ "%USERPROFILE%\AppData\Local\Temp\OnboardLogs"\RTDC4022\2017-12-01 --exclude "*" --recursive --include "*20171201*" &amp; "%USERPROFILE%\Documents\GitHub\mrs-test-scripts\Headless Mode &amp; Sideloading\WalkAndUnGZ.bat" "%USERPROFILE%\AppData\Local\Temp\OnboardLogs"\RTDC4022\2017-12-01 &amp; 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</v>
      </c>
      <c r="AF207" s="235" t="str">
        <f t="shared" si="108"/>
        <v>"C:\Program Files (x86)\AstroGrep\AstroGrep.exe" /e /r /s /spath="%USERPROFILE%\AppData\Local\Temp\OnboardLogs" /stypes="app*4022*20171202*" /stext=" 04:.+((SYSTEM_STATE.+slice.+state.+changed )|(ment ac)|(multiple cpu faults)|(system.+state.+changed )|(\[timeout)|(PRM\|1\|D)|(kpr)|(kdp)|(train st.+moving)|(\|lc)|(penalty))"</v>
      </c>
      <c r="AG207" s="245" t="str">
        <f t="shared" si="109"/>
        <v>NW</v>
      </c>
      <c r="AH207" s="237" t="str">
        <f t="shared" si="72"/>
        <v>"%USERPROFILE%\Documents\GitHub\eaglep3\Utilities\RefineRTDCRunTimes.py" --tripid 845-01 --locoid 4022 --swversion DE.1.0.9.0 --startMP 204:441 --initTime 2017-12-01T21:01:38 --startdatetime 2017-12-01T21:09:19 --delay 75 --endMP 300:58924 --enddatetime 2017-12-01T21:23:55 --enforcementcount 0 &gt;&gt;%USERPROFILE%\Documents\GitHub\eaglep3-reporting\EC\2017-12-01-refined-times.txt</v>
      </c>
      <c r="AI207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{"issue":{"subject":"","project_id":79,"tracker_id":40,"status_id":1,"priority_id":2,"assigned_to_id":338,"start_date":"2017-12-01","description":"","custom_fields":[{"id":1,"name":"Subdivision","value":"NW"},{"id":4,"name":"Milepost","value":"5.8924"},{"id":17,"name":"Train ID","value":"845-01"},{"id":16,"name":"Locomotive ID","value":"4022"},{"id":130,"name":"Impact","value":""},{"id":150,"name":"Time of Event (Mountain Time)","value":"21:23:55"},{"id":151,"name":"Denver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232"/>
      <c r="AL207" s="232"/>
      <c r="AM207" s="241" t="str">
        <f t="shared" si="74"/>
        <v>start /low /b %USERPROFILE%\Documents\GitHub\eaglep3\Utilities\DownloadLogsFromS3.py --loco 4022 --day 2017-12-01</v>
      </c>
      <c r="AN207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04:23:55"},{"id":29,"name":"Sharepoint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1" t="str">
        <f t="shared" si="76"/>
        <v>https://d0f6bd738d7f1b3e5a7ca70fe4ff75f0.us-east-1.aws.found.io/app/kibana#/discover/Steve-Slow-Train-Analysis-(2080s-and-2083s)?_g=(refreshInterval:(display:Off,pause:!f,section:0,value:0),time:(from:'2017-12-01T20:01:38-0700',mode:absolute,to:'2017-12-01T22:23:55-0700'))&amp;_a=(columns:!('Message%20ID',Summary),filters:!(),index:'emp_*',interval:auto,query:(query_string:(analyze_wildcard:!t,query:'%22rtdc.l.rtdc.4022%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230" t="s">
        <v>944</v>
      </c>
      <c r="B208" s="226">
        <v>4021</v>
      </c>
      <c r="C208" s="228" t="s">
        <v>192</v>
      </c>
      <c r="D208" s="228" t="s">
        <v>505</v>
      </c>
      <c r="E208" s="227">
        <v>43070.936006944445</v>
      </c>
      <c r="F208" s="227">
        <v>43070.945833333331</v>
      </c>
      <c r="G208" s="226">
        <v>73</v>
      </c>
      <c r="H208" s="228" t="s">
        <v>508</v>
      </c>
      <c r="I208" s="227">
        <v>43070.954884259256</v>
      </c>
      <c r="J208" s="226">
        <v>0</v>
      </c>
      <c r="K208" s="238" t="str">
        <f t="shared" si="102"/>
        <v>4021/4022</v>
      </c>
      <c r="L208" s="246" t="str">
        <f>VLOOKUP(A208,'Trips&amp;Operators'!$C$1:$G$99911,5,FALSE)</f>
        <v>SMITH MICHAEL</v>
      </c>
      <c r="M208" s="225">
        <f t="shared" si="97"/>
        <v>9.0509259243845008E-3</v>
      </c>
      <c r="N208" s="226">
        <f t="shared" si="100"/>
        <v>13.033333331113681</v>
      </c>
      <c r="O208" s="226"/>
      <c r="P208" s="226"/>
      <c r="Q208" s="229"/>
      <c r="R208" s="243"/>
      <c r="S208" s="250">
        <f t="shared" si="101"/>
        <v>1</v>
      </c>
      <c r="T208" s="243" t="str">
        <f t="shared" si="103"/>
        <v>Southbound</v>
      </c>
      <c r="U208" s="24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9" t="str">
        <f t="shared" si="104"/>
        <v>https://d0f6bd738d7f1b3e5a7ca70fe4ff75f0.us-east-1.aws.found.io/app/kibana#/discover/Steve-Slow-Train-Analysis-(2080s-and-2083s)?_g=(refreshInterval:(display:Off,pause:!f,section:0,value:0),time:(from:'2017-12-01T21:27:51-0700',mode:absolute,to:'2017-12-01T23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8" s="248" t="str">
        <f>IF(AA208&lt;VLOOKUP(AG208,Variables!$AC$3:$AD$8,2,FALSE),"Y","N")</f>
        <v>N</v>
      </c>
      <c r="X208" s="248">
        <f t="shared" si="96"/>
        <v>1</v>
      </c>
      <c r="Y208" s="248">
        <f t="shared" si="98"/>
        <v>5.8632</v>
      </c>
      <c r="Z208" s="248">
        <f t="shared" si="99"/>
        <v>1.4200000000000001E-2</v>
      </c>
      <c r="AA208" s="248">
        <f t="shared" si="105"/>
        <v>5.8490000000000002</v>
      </c>
      <c r="AB208" s="234" t="e">
        <f>VLOOKUP(A208,Enforcements!$C$7:$K$9,8,0)</f>
        <v>#N/A</v>
      </c>
      <c r="AC208" s="233" t="e">
        <f>VLOOKUP(A208,Enforcements!$C$7:$E$9,3,0)</f>
        <v>#N/A</v>
      </c>
      <c r="AD208" s="244">
        <f t="shared" si="106"/>
        <v>846</v>
      </c>
      <c r="AE208" s="236" t="str">
        <f t="shared" si="107"/>
        <v>aws s3 cp s3://rtdc.mdm.uploadarchive.raw/RTDC4021/ "%USERPROFILE%\AppData\Local\Temp\OnboardLogs"\RTDC4021\2017-12-01 --exclude "*" --recursive --include "*20171201*" &amp; "%USERPROFILE%\Documents\GitHub\mrs-test-scripts\Headless Mode &amp; Sideloading\WalkAndUnGZ.bat" "%USERPROFILE%\AppData\Local\Temp\OnboardLogs"\RTDC4021\2017-12-01 &amp; 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</v>
      </c>
      <c r="AF208" s="235" t="str">
        <f t="shared" si="108"/>
        <v>"C:\Program Files (x86)\AstroGrep\AstroGrep.exe" /e /r /s /spath="%USERPROFILE%\AppData\Local\Temp\OnboardLogs" /stypes="app*4021*20171202*" /stext=" 05:.+((SYSTEM_STATE.+slice.+state.+changed )|(ment ac)|(multiple cpu faults)|(system.+state.+changed )|(\[timeout)|(PRM\|1\|D)|(kpr)|(kdp)|(train st.+moving)|(\|lc)|(penalty))"</v>
      </c>
      <c r="AG208" s="245" t="str">
        <f t="shared" si="109"/>
        <v>NW</v>
      </c>
      <c r="AH208" s="237" t="str">
        <f t="shared" si="72"/>
        <v>"%USERPROFILE%\Documents\GitHub\eaglep3\Utilities\RefineRTDCRunTimes.py" --tripid 846-01 --locoid 4021 --swversion DE.1.0.9.0 --startMP 300:58632 --initTime 2017-12-01T22:27:51 --startdatetime 2017-12-01T22:42:00 --delay 73 --endMP 204:142 --enddatetime 2017-12-01T22:55:02 --enforcementcount 0 &gt;&gt;%USERPROFILE%\Documents\GitHub\eaglep3-reporting\EC\2017-12-01-refined-times.txt</v>
      </c>
      <c r="AI208" s="239" t="str">
        <f t="shared" si="73"/>
        <v>echo {"issue":{"subject":"","project_id":79,"tracker_id":40,"status_id":1,"priority_id":2,"assigned_to_id":338,"start_date":"2017-12-01","description":"","custom_fields":[{"id":1,"name":"Subdivision","value":"NW"},{"id":4,"name":"Milepost","value":"0.0142"},{"id":17,"name":"Train ID","value":"846-01"},{"id":16,"name":"Locomotive ID","value":"4021"},{"id":130,"name":"Impact","value":""},{"id":150,"name":"Time of Event (Mountain Time)","value":"22:55:02"},{"id":151,"name":"Denver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4"/>
      <c r="AK208" s="232"/>
      <c r="AL208" s="232"/>
      <c r="AM208" s="241" t="str">
        <f t="shared" si="74"/>
        <v>start /low /b %USERPROFILE%\Documents\GitHub\eaglep3\Utilities\DownloadLogsFromS3.py --loco 4021 --day 2017-12-01</v>
      </c>
      <c r="AN208" s="242" t="str">
        <f t="shared" si="75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05:55:02"},{"id":29,"name":"Sharepoint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1" t="str">
        <f t="shared" si="76"/>
        <v>https://d0f6bd738d7f1b3e5a7ca70fe4ff75f0.us-east-1.aws.found.io/app/kibana#/discover/Steve-Slow-Train-Analysis-(2080s-and-2083s)?_g=(refreshInterval:(display:Off,pause:!f,section:0,value:0),time:(from:'2017-12-01T21:27:51-0700',mode:absolute,to:'2017-12-01T23:55:02-0700'))&amp;_a=(columns:!('Message%20ID',Summary),filters:!(),index:'emp_*',interval:auto,query:(query_string:(analyze_wildcard:!t,query:'%22rtdc.l.rtdc.4021%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230" t="s">
        <v>941</v>
      </c>
      <c r="B209" s="226">
        <v>4022</v>
      </c>
      <c r="C209" s="228" t="s">
        <v>192</v>
      </c>
      <c r="D209" s="228" t="s">
        <v>611</v>
      </c>
      <c r="E209" s="227">
        <v>43070.916990740741</v>
      </c>
      <c r="F209" s="227">
        <v>43070.945833333331</v>
      </c>
      <c r="G209" s="226">
        <v>75</v>
      </c>
      <c r="H209" s="228" t="s">
        <v>1057</v>
      </c>
      <c r="I209" s="227">
        <v>43070.954884259256</v>
      </c>
      <c r="J209" s="226">
        <v>0</v>
      </c>
      <c r="K209" s="238" t="str">
        <f t="shared" si="102"/>
        <v>4021/4022</v>
      </c>
      <c r="L209" s="246" t="str">
        <f>VLOOKUP(A209,'Trips&amp;Operators'!$C$1:$G$99911,5,FALSE)</f>
        <v>SMITH MICHAEL</v>
      </c>
      <c r="M209" s="225">
        <f t="shared" si="97"/>
        <v>9.0509259243845008E-3</v>
      </c>
      <c r="N209" s="226">
        <f t="shared" si="100"/>
        <v>13.033333331113681</v>
      </c>
      <c r="O209" s="226"/>
      <c r="P209" s="226"/>
      <c r="Q209" s="229"/>
      <c r="R209" s="243"/>
      <c r="S209" s="250">
        <f t="shared" si="101"/>
        <v>1</v>
      </c>
      <c r="T209" s="243" t="str">
        <f t="shared" si="103"/>
        <v>NorthBound</v>
      </c>
      <c r="U209" s="24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9" t="str">
        <f t="shared" si="104"/>
        <v>https://d0f6bd738d7f1b3e5a7ca70fe4ff75f0.us-east-1.aws.found.io/app/kibana#/discover/Steve-Slow-Train-Analysis-(2080s-and-2083s)?_g=(refreshInterval:(display:Off,pause:!f,section:0,value:0),time:(from:'2017-12-01T21:00:28-0700',mode:absolute,to:'2017-12-01T23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9" s="248" t="str">
        <f>IF(AA209&lt;VLOOKUP(AG209,Variables!$AC$3:$AD$8,2,FALSE),"Y","N")</f>
        <v>N</v>
      </c>
      <c r="X209" s="248">
        <f t="shared" si="96"/>
        <v>1</v>
      </c>
      <c r="Y209" s="248">
        <f t="shared" si="98"/>
        <v>4.5699999999999998E-2</v>
      </c>
      <c r="Z209" s="248">
        <f t="shared" si="99"/>
        <v>5.8943000000000003</v>
      </c>
      <c r="AA209" s="248">
        <f t="shared" si="105"/>
        <v>5.8486000000000002</v>
      </c>
      <c r="AB209" s="234" t="e">
        <f>VLOOKUP(A209,Enforcements!$C$7:$K$9,8,0)</f>
        <v>#N/A</v>
      </c>
      <c r="AC209" s="233" t="e">
        <f>VLOOKUP(A209,Enforcements!$C$7:$E$9,3,0)</f>
        <v>#N/A</v>
      </c>
      <c r="AD209" s="244">
        <f t="shared" si="106"/>
        <v>847</v>
      </c>
      <c r="AE209" s="236" t="str">
        <f t="shared" si="107"/>
        <v>aws s3 cp s3://rtdc.mdm.uploadarchive.raw/RTDC4022/ "%USERPROFILE%\AppData\Local\Temp\OnboardLogs"\RTDC4022\2017-12-01 --exclude "*" --recursive --include "*20171201*" &amp; "%USERPROFILE%\Documents\GitHub\mrs-test-scripts\Headless Mode &amp; Sideloading\WalkAndUnGZ.bat" "%USERPROFILE%\AppData\Local\Temp\OnboardLogs"\RTDC4022\2017-12-01 &amp; 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</v>
      </c>
      <c r="AF209" s="235" t="str">
        <f t="shared" si="108"/>
        <v>"C:\Program Files (x86)\AstroGrep\AstroGrep.exe" /e /r /s /spath="%USERPROFILE%\AppData\Local\Temp\OnboardLogs" /stypes="app*4022*20171202*" /stext=" 05:.+((SYSTEM_STATE.+slice.+state.+changed )|(ment ac)|(multiple cpu faults)|(system.+state.+changed )|(\[timeout)|(PRM\|1\|D)|(kpr)|(kdp)|(train st.+moving)|(\|lc)|(penalty))"</v>
      </c>
      <c r="AG209" s="245" t="str">
        <f t="shared" si="109"/>
        <v>NW</v>
      </c>
      <c r="AH209" s="237" t="str">
        <f t="shared" ref="AH209:AH234" si="110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847-01 --locoid 4022 --swversion DE.1.0.9.0 --startMP 204:457 --initTime 2017-12-01T22:00:28 --startdatetime 2017-12-01T22:42:00 --delay 75 --endMP 300:58943 --enddatetime 2017-12-01T22:55:02 --enforcementcount 0 &gt;&gt;%USERPROFILE%\Documents\GitHub\eaglep3-reporting\EC\2017-12-01-refined-times.txt</v>
      </c>
      <c r="AI209" s="239" t="str">
        <f t="shared" ref="AI209:AI234" si="111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{"issue":{"subject":"","project_id":79,"tracker_id":40,"status_id":1,"priority_id":2,"assigned_to_id":338,"start_date":"2017-12-01","description":"","custom_fields":[{"id":1,"name":"Subdivision","value":"NW"},{"id":4,"name":"Milepost","value":"5.8943"},{"id":17,"name":"Train ID","value":"847-01"},{"id":16,"name":"Locomotive ID","value":"4022"},{"id":130,"name":"Impact","value":""},{"id":150,"name":"Time of Event (Mountain Time)","value":"22:55:02"},{"id":151,"name":"Denver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4"/>
      <c r="AK209" s="232"/>
      <c r="AL209" s="232"/>
      <c r="AM209" s="241" t="str">
        <f t="shared" ref="AM209:AM234" si="112">"start /low /b "&amp;dls3logs&amp;" --loco "&amp;B209&amp;" --day "&amp;TEXT(F209,"YYYY-MM-DD")</f>
        <v>start /low /b %USERPROFILE%\Documents\GitHub\eaglep3\Utilities\DownloadLogsFromS3.py --loco 4022 --day 2017-12-01</v>
      </c>
      <c r="AN209" s="242" t="str">
        <f t="shared" ref="AN209:AN234" si="113">"echo {""issue"":{""subject"":"""&amp;R209&amp;""",""project_id"":30,""tracker_id"":4,""status_id"":"&amp;redmine_status_wcr&amp;",""priority_id"":"&amp;redmine_priority_wcr&amp;",""assigned_to_id"":"&amp;redmine_assignee_wcr&amp;",""start_date"":"""&amp;TEXT(I209-utc_offset/24,"YYYY-mm-dd")&amp;""",""description"":"""&amp;AJ209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05:55:02"},{"id":29,"name":"Sharepoint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1" t="str">
        <f t="shared" ref="AO209:AO234" si="114"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Message%20ID',Summary),filters:!(),index:'emp_*',interval:auto,query:"&amp;"(query_string:(analyze_wildcard:!t,query:'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-12-01T21:00:28-0700',mode:absolute,to:'2017-12-01T23:55:02-0700'))&amp;_a=(columns:!('Message%20ID',Summary),filters:!(),index:'emp_*',interval:auto,query:(query_string:(analyze_wildcard:!t,query:'%22rtdc.l.rtdc.4022%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230" t="s">
        <v>747</v>
      </c>
      <c r="B210" s="226">
        <v>4022</v>
      </c>
      <c r="C210" s="228" t="s">
        <v>192</v>
      </c>
      <c r="D210" s="228" t="s">
        <v>466</v>
      </c>
      <c r="E210" s="227">
        <v>43070.957280092596</v>
      </c>
      <c r="F210" s="227">
        <v>43070.964907407404</v>
      </c>
      <c r="G210" s="226">
        <v>62</v>
      </c>
      <c r="H210" s="228" t="s">
        <v>661</v>
      </c>
      <c r="I210" s="227">
        <v>43070.975925925923</v>
      </c>
      <c r="J210" s="226">
        <v>0</v>
      </c>
      <c r="K210" s="238" t="str">
        <f t="shared" si="102"/>
        <v>4021/4022</v>
      </c>
      <c r="L210" s="246" t="str">
        <f>VLOOKUP(A210,'Trips&amp;Operators'!$C$1:$G$99911,5,FALSE)</f>
        <v>SMITH MICHAEL</v>
      </c>
      <c r="M210" s="225">
        <f t="shared" si="97"/>
        <v>1.1018518518540077E-2</v>
      </c>
      <c r="N210" s="226">
        <f t="shared" si="100"/>
        <v>15.866666666697711</v>
      </c>
      <c r="O210" s="226"/>
      <c r="P210" s="226"/>
      <c r="Q210" s="229"/>
      <c r="R210" s="243"/>
      <c r="S210" s="250">
        <f t="shared" si="101"/>
        <v>1</v>
      </c>
      <c r="T210" s="243" t="str">
        <f t="shared" si="103"/>
        <v>NorthBound</v>
      </c>
      <c r="U210" s="24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9" t="str">
        <f t="shared" si="104"/>
        <v>https://d0f6bd738d7f1b3e5a7ca70fe4ff75f0.us-east-1.aws.found.io/app/kibana#/discover/Steve-Slow-Train-Analysis-(2080s-and-2083s)?_g=(refreshInterval:(display:Off,pause:!f,section:0,value:0),time:(from:'2017-12-01T21:58:29-0700',mode:absolute,to:'2017-12-02T00:25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0" s="248" t="str">
        <f>IF(AA210&lt;VLOOKUP(AG210,Variables!$AC$3:$AD$8,2,FALSE),"Y","N")</f>
        <v>N</v>
      </c>
      <c r="X210" s="248">
        <f t="shared" si="96"/>
        <v>2</v>
      </c>
      <c r="Y210" s="248">
        <f t="shared" si="98"/>
        <v>4.4600000000000001E-2</v>
      </c>
      <c r="Z210" s="248">
        <f t="shared" si="99"/>
        <v>5.8939000000000004</v>
      </c>
      <c r="AA210" s="248">
        <f t="shared" si="105"/>
        <v>5.8493000000000004</v>
      </c>
      <c r="AB210" s="234" t="e">
        <f>VLOOKUP(A210,Enforcements!$C$7:$K$9,8,0)</f>
        <v>#N/A</v>
      </c>
      <c r="AC210" s="233" t="e">
        <f>VLOOKUP(A210,Enforcements!$C$7:$E$9,3,0)</f>
        <v>#N/A</v>
      </c>
      <c r="AD210" s="244">
        <f t="shared" si="106"/>
        <v>849</v>
      </c>
      <c r="AE210" s="236" t="str">
        <f t="shared" si="107"/>
        <v>aws s3 cp s3://rtdc.mdm.uploadarchive.raw/RTDC4022/ "%USERPROFILE%\AppData\Local\Temp\OnboardLogs"\RTDC4022\2017-12-01 --exclude "*" --recursive --include "*20171201*" &amp; "%USERPROFILE%\Documents\GitHub\mrs-test-scripts\Headless Mode &amp; Sideloading\WalkAndUnGZ.bat" "%USERPROFILE%\AppData\Local\Temp\OnboardLogs"\RTDC4022\2017-12-01 &amp; 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</v>
      </c>
      <c r="AF210" s="235" t="str">
        <f t="shared" si="108"/>
        <v>"C:\Program Files (x86)\AstroGrep\AstroGrep.exe" /e /r /s /spath="%USERPROFILE%\AppData\Local\Temp\OnboardLogs" /stypes="app*4022*20171202*" /stext=" 06:.+((SYSTEM_STATE.+slice.+state.+changed )|(ment ac)|(multiple cpu faults)|(system.+state.+changed )|(\[timeout)|(PRM\|1\|D)|(kpr)|(kdp)|(train st.+moving)|(\|lc)|(penalty))"</v>
      </c>
      <c r="AG210" s="245" t="str">
        <f t="shared" si="109"/>
        <v>NW</v>
      </c>
      <c r="AH210" s="237" t="str">
        <f t="shared" si="110"/>
        <v>"%USERPROFILE%\Documents\GitHub\eaglep3\Utilities\RefineRTDCRunTimes.py" --tripid 849-01 --locoid 4022 --swversion DE.1.0.9.0 --startMP 204:446 --initTime 2017-12-01T22:58:29 --startdatetime 2017-12-01T23:09:28 --delay 62 --endMP 300:58939 --enddatetime 2017-12-01T23:25:20 --enforcementcount 0 &gt;&gt;%USERPROFILE%\Documents\GitHub\eaglep3-reporting\EC\2017-12-01-refined-times.txt</v>
      </c>
      <c r="AI210" s="239" t="str">
        <f t="shared" si="111"/>
        <v>echo {"issue":{"subject":"","project_id":79,"tracker_id":40,"status_id":1,"priority_id":2,"assigned_to_id":338,"start_date":"2017-12-01","description":"","custom_fields":[{"id":1,"name":"Subdivision","value":"NW"},{"id":4,"name":"Milepost","value":"5.8939"},{"id":17,"name":"Train ID","value":"849-01"},{"id":16,"name":"Locomotive ID","value":"4022"},{"id":130,"name":"Impact","value":""},{"id":150,"name":"Time of Event (Mountain Time)","value":"23:25:20"},{"id":151,"name":"Denver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4"/>
      <c r="AK210" s="232"/>
      <c r="AL210" s="232"/>
      <c r="AM210" s="241" t="str">
        <f t="shared" si="112"/>
        <v>start /low /b %USERPROFILE%\Documents\GitHub\eaglep3\Utilities\DownloadLogsFromS3.py --loco 4022 --day 2017-12-01</v>
      </c>
      <c r="AN210" s="242" t="str">
        <f t="shared" si="1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06:25:20"},{"id":29,"name":"Sharepoint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1" t="str">
        <f t="shared" si="114"/>
        <v>https://d0f6bd738d7f1b3e5a7ca70fe4ff75f0.us-east-1.aws.found.io/app/kibana#/discover/Steve-Slow-Train-Analysis-(2080s-and-2083s)?_g=(refreshInterval:(display:Off,pause:!f,section:0,value:0),time:(from:'2017-12-01T21:58:29-0700',mode:absolute,to:'2017-12-02T00:25:20-0700'))&amp;_a=(columns:!('Message%20ID',Summary),filters:!(),index:'emp_*',interval:auto,query:(query_string:(analyze_wildcard:!t,query:'%22rtdc.l.rtdc.4022%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230" t="s">
        <v>748</v>
      </c>
      <c r="B211" s="226">
        <v>4025</v>
      </c>
      <c r="C211" s="228" t="s">
        <v>192</v>
      </c>
      <c r="D211" s="228" t="s">
        <v>1025</v>
      </c>
      <c r="E211" s="227">
        <v>43070.115324074075</v>
      </c>
      <c r="F211" s="227">
        <v>43070.11824074074</v>
      </c>
      <c r="G211" s="226">
        <v>47</v>
      </c>
      <c r="H211" s="228" t="s">
        <v>564</v>
      </c>
      <c r="I211" s="227">
        <v>43070.122187499997</v>
      </c>
      <c r="J211" s="226">
        <v>0</v>
      </c>
      <c r="K211" s="238" t="str">
        <f t="shared" si="102"/>
        <v>4025/4026</v>
      </c>
      <c r="L211" s="246" t="str">
        <f>VLOOKUP(A211,'Trips&amp;Operators'!$C$1:$G$99911,5,FALSE)</f>
        <v>YORK EDGAR</v>
      </c>
      <c r="M211" s="225">
        <f t="shared" si="97"/>
        <v>3.9467592578148469E-3</v>
      </c>
      <c r="N211" s="226">
        <f t="shared" si="100"/>
        <v>5.6833333312533796</v>
      </c>
      <c r="O211" s="226"/>
      <c r="P211" s="226"/>
      <c r="Q211" s="229"/>
      <c r="R211" s="243"/>
      <c r="S211" s="250">
        <f t="shared" si="101"/>
        <v>1</v>
      </c>
      <c r="T211" s="243" t="str">
        <f t="shared" si="103"/>
        <v>Southbound</v>
      </c>
      <c r="U211" s="24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9" t="str">
        <f t="shared" si="104"/>
        <v>https://d0f6bd738d7f1b3e5a7ca70fe4ff75f0.us-east-1.aws.found.io/app/kibana#/discover/Steve-Slow-Train-Analysis-(2080s-and-2083s)?_g=(refreshInterval:(display:Off,pause:!f,section:0,value:0),time:(from:'2017-12-01T01:46:04-0700',mode:absolute,to:'2017-12-01T03:55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1" s="248" t="str">
        <f>IF(AA211&lt;VLOOKUP(AG211,Variables!$AC$3:$AD$8,2,FALSE),"Y","N")</f>
        <v>Y</v>
      </c>
      <c r="X211" s="248">
        <f t="shared" si="96"/>
        <v>-549</v>
      </c>
      <c r="Y211" s="248">
        <f t="shared" si="98"/>
        <v>1.909</v>
      </c>
      <c r="Z211" s="248">
        <f t="shared" si="99"/>
        <v>1.6E-2</v>
      </c>
      <c r="AA211" s="248">
        <f t="shared" si="105"/>
        <v>1.893</v>
      </c>
      <c r="AB211" s="234" t="e">
        <f>VLOOKUP(A211,Enforcements!$C$7:$K$9,8,0)</f>
        <v>#N/A</v>
      </c>
      <c r="AC211" s="233" t="e">
        <f>VLOOKUP(A211,Enforcements!$C$7:$E$9,3,0)</f>
        <v>#N/A</v>
      </c>
      <c r="AD211" s="244">
        <f t="shared" si="106"/>
        <v>300</v>
      </c>
      <c r="AE211" s="236" t="str">
        <f t="shared" si="107"/>
        <v>aws s3 cp s3://rtdc.mdm.uploadarchive.raw/RTDC4025/ "%USERPROFILE%\AppData\Local\Temp\OnboardLogs"\RTDC4025\2017-12-01 --exclude "*" --recursive --include "*20171201*" &amp; "%USERPROFILE%\Documents\GitHub\mrs-test-scripts\Headless Mode &amp; Sideloading\WalkAndUnGZ.bat" "%USERPROFILE%\AppData\Local\Temp\OnboardLogs"\RTDC4025\2017-12-01 &amp; aws s3 cp s3://rtdc.mdm.uploadarchive.raw/RTDC4025/ "%USERPROFILE%\AppData\Local\Temp\OnboardLogs"\RTDC4025\2017-12-02 --exclude "*" --recursive --include "*20171202*" &amp; "%USERPROFILE%\Documents\GitHub\mrs-test-scripts\Headless Mode &amp; Sideloading\WalkAndUnGZ.bat" "%USERPROFILE%\AppData\Local\Temp\OnboardLogs"\RTDC4025\2017-12-02</v>
      </c>
      <c r="AF211" s="235" t="str">
        <f t="shared" si="108"/>
        <v>"C:\Program Files (x86)\AstroGrep\AstroGrep.exe" /e /r /s /spath="%USERPROFILE%\AppData\Local\Temp\OnboardLogs" /stypes="app*4025*20171201*" /stext=" 09:.+((SYSTEM_STATE.+slice.+state.+changed )|(ment ac)|(multiple cpu faults)|(system.+state.+changed )|(\[timeout)|(PRM\|1\|D)|(kpr)|(kdp)|(train st.+moving)|(\|lc)|(penalty))"</v>
      </c>
      <c r="AG211" s="245" t="str">
        <f t="shared" si="109"/>
        <v>Other</v>
      </c>
      <c r="AH211" s="237" t="str">
        <f t="shared" si="110"/>
        <v>"%USERPROFILE%\Documents\GitHub\eaglep3\Utilities\RefineRTDCRunTimes.py" --tripid 300-01 --locoid 4025 --swversion DE.1.0.9.0 --startMP 300:19090 --initTime 2017-12-01T02:46:04 --startdatetime 2017-12-01T02:50:16 --delay 47 --endMP 204:160 --enddatetime 2017-12-01T02:55:57 --enforcementcount 0 &gt;&gt;%USERPROFILE%\Documents\GitHub\eaglep3-reporting\EC\2017-12-01-refined-times.txt</v>
      </c>
      <c r="AI211" s="239" t="str">
        <f t="shared" si="111"/>
        <v>echo {"issue":{"subject":"","project_id":79,"tracker_id":40,"status_id":1,"priority_id":2,"assigned_to_id":338,"start_date":"2017-12-01","description":"","custom_fields":[{"id":1,"name":"Subdivision","value":"Other"},{"id":4,"name":"Milepost","value":"0.016"},{"id":17,"name":"Train ID","value":"300-01"},{"id":16,"name":"Locomotive ID","value":"4025"},{"id":130,"name":"Impact","value":""},{"id":150,"name":"Time of Event (Mountain Time)","value":"02:55:57"},{"id":151,"name":"Denver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4"/>
      <c r="AK211" s="232"/>
      <c r="AL211" s="232"/>
      <c r="AM211" s="241" t="str">
        <f t="shared" si="112"/>
        <v>start /low /b %USERPROFILE%\Documents\GitHub\eaglep3\Utilities\DownloadLogsFromS3.py --loco 4025 --day 2017-12-01</v>
      </c>
      <c r="AN211" s="242" t="str">
        <f t="shared" si="1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09:55:57"},{"id":29,"name":"Sharepoint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1" t="str">
        <f t="shared" si="114"/>
        <v>https://d0f6bd738d7f1b3e5a7ca70fe4ff75f0.us-east-1.aws.found.io/app/kibana#/discover/Steve-Slow-Train-Analysis-(2080s-and-2083s)?_g=(refreshInterval:(display:Off,pause:!f,section:0,value:0),time:(from:'2017-12-01T01:46:04-0700',mode:absolute,to:'2017-12-01T03:55:57-0700'))&amp;_a=(columns:!('Message%20ID',Summary),filters:!(),index:'emp_*',interval:auto,query:(query_string:(analyze_wildcard:!t,query:'%22rtdc.l.rtdc.4025%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230" t="s">
        <v>918</v>
      </c>
      <c r="B212" s="226">
        <v>4020</v>
      </c>
      <c r="C212" s="228" t="s">
        <v>192</v>
      </c>
      <c r="D212" s="228" t="s">
        <v>558</v>
      </c>
      <c r="E212" s="227">
        <v>43070.780902777777</v>
      </c>
      <c r="F212" s="227">
        <v>43070.782500000001</v>
      </c>
      <c r="G212" s="226">
        <v>67</v>
      </c>
      <c r="H212" s="228" t="s">
        <v>437</v>
      </c>
      <c r="I212" s="227">
        <v>43070.790069444447</v>
      </c>
      <c r="J212" s="226">
        <v>0</v>
      </c>
      <c r="K212" s="238" t="str">
        <f t="shared" si="102"/>
        <v>4019/4020</v>
      </c>
      <c r="L212" s="246" t="str">
        <f>VLOOKUP(A212,'Trips&amp;Operators'!$C$1:$G$99911,5,FALSE)</f>
        <v>LEVERE CRAIG</v>
      </c>
      <c r="M212" s="225">
        <f t="shared" si="97"/>
        <v>7.5694444458349608E-3</v>
      </c>
      <c r="N212" s="226">
        <f t="shared" si="100"/>
        <v>10.900000002002344</v>
      </c>
      <c r="O212" s="226"/>
      <c r="P212" s="226"/>
      <c r="Q212" s="229"/>
      <c r="R212" s="243"/>
      <c r="S212" s="250">
        <f t="shared" si="101"/>
        <v>1</v>
      </c>
      <c r="T212" s="243" t="str">
        <f t="shared" si="103"/>
        <v>NorthBound</v>
      </c>
      <c r="U212" s="24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9" t="str">
        <f t="shared" si="104"/>
        <v>https://d0f6bd738d7f1b3e5a7ca70fe4ff75f0.us-east-1.aws.found.io/app/kibana#/discover/Steve-Slow-Train-Analysis-(2080s-and-2083s)?_g=(refreshInterval:(display:Off,pause:!f,section:0,value:0),time:(from:'2017-12-01T17:44:30-0700',mode:absolute,to:'2017-12-01T19:57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2" s="248" t="str">
        <f>IF(AA212&lt;VLOOKUP(AG212,Variables!$AC$3:$AD$8,2,FALSE),"Y","N")</f>
        <v>Y</v>
      </c>
      <c r="X212" s="248">
        <f t="shared" si="96"/>
        <v>1</v>
      </c>
      <c r="Y212" s="248">
        <f t="shared" si="98"/>
        <v>5.5300000000000002E-2</v>
      </c>
      <c r="Z212" s="248">
        <f t="shared" si="99"/>
        <v>2.3346</v>
      </c>
      <c r="AA212" s="248">
        <f t="shared" si="105"/>
        <v>2.2793000000000001</v>
      </c>
      <c r="AB212" s="234" t="e">
        <f>VLOOKUP(A212,Enforcements!$C$7:$K$9,8,0)</f>
        <v>#N/A</v>
      </c>
      <c r="AC212" s="233" t="e">
        <f>VLOOKUP(A212,Enforcements!$C$7:$E$9,3,0)</f>
        <v>#N/A</v>
      </c>
      <c r="AD212" s="244">
        <f t="shared" si="106"/>
        <v>301</v>
      </c>
      <c r="AE212" s="236" t="str">
        <f t="shared" si="107"/>
        <v>aws s3 cp s3://rtdc.mdm.uploadarchive.raw/RTDC4020/ "%USERPROFILE%\AppData\Local\Temp\OnboardLogs"\RTDC4020\2017-12-01 --exclude "*" --recursive --include "*20171201*" &amp; "%USERPROFILE%\Documents\GitHub\mrs-test-scripts\Headless Mode &amp; Sideloading\WalkAndUnGZ.bat" "%USERPROFILE%\AppData\Local\Temp\OnboardLogs"\RTDC4020\2017-12-01 &amp; aws s3 cp s3://rtdc.mdm.uploadarchive.raw/RTDC4020/ "%USERPROFILE%\AppData\Local\Temp\OnboardLogs"\RTDC4020\2017-12-02 --exclude "*" --recursive --include "*20171202*" &amp; "%USERPROFILE%\Documents\GitHub\mrs-test-scripts\Headless Mode &amp; Sideloading\WalkAndUnGZ.bat" "%USERPROFILE%\AppData\Local\Temp\OnboardLogs"\RTDC4020\2017-12-02</v>
      </c>
      <c r="AF212" s="235" t="str">
        <f t="shared" si="108"/>
        <v>"C:\Program Files (x86)\AstroGrep\AstroGrep.exe" /e /r /s /spath="%USERPROFILE%\AppData\Local\Temp\OnboardLogs" /stypes="app*4020*20171202*" /stext=" 01:.+((SYSTEM_STATE.+slice.+state.+changed )|(ment ac)|(multiple cpu faults)|(system.+state.+changed )|(\[timeout)|(PRM\|1\|D)|(kpr)|(kdp)|(train st.+moving)|(\|lc)|(penalty))"</v>
      </c>
      <c r="AG212" s="245" t="str">
        <f t="shared" si="109"/>
        <v>Other</v>
      </c>
      <c r="AH212" s="237" t="str">
        <f t="shared" si="110"/>
        <v>"%USERPROFILE%\Documents\GitHub\eaglep3\Utilities\RefineRTDCRunTimes.py" --tripid 301-01 --locoid 4020 --swversion DE.1.0.9.0 --startMP 204:553 --initTime 2017-12-01T18:44:30 --startdatetime 2017-12-01T18:46:48 --delay 67 --endMP 300:23346 --enddatetime 2017-12-01T18:57:42 --enforcementcount 0 &gt;&gt;%USERPROFILE%\Documents\GitHub\eaglep3-reporting\EC\2017-12-01-refined-times.txt</v>
      </c>
      <c r="AI212" s="239" t="str">
        <f t="shared" si="111"/>
        <v>echo {"issue":{"subject":"","project_id":79,"tracker_id":40,"status_id":1,"priority_id":2,"assigned_to_id":338,"start_date":"2017-12-01","description":"","custom_fields":[{"id":1,"name":"Subdivision","value":"Other"},{"id":4,"name":"Milepost","value":"2.3346"},{"id":17,"name":"Train ID","value":"301-01"},{"id":16,"name":"Locomotive ID","value":"4020"},{"id":130,"name":"Impact","value":""},{"id":150,"name":"Time of Event (Mountain Time)","value":"18:57:42"},{"id":151,"name":"Denver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4"/>
      <c r="AK212" s="232"/>
      <c r="AL212" s="232"/>
      <c r="AM212" s="241" t="str">
        <f t="shared" si="112"/>
        <v>start /low /b %USERPROFILE%\Documents\GitHub\eaglep3\Utilities\DownloadLogsFromS3.py --loco 4020 --day 2017-12-01</v>
      </c>
      <c r="AN212" s="242" t="str">
        <f t="shared" si="1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01:57:42"},{"id":29,"name":"Sharepoint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1" t="str">
        <f t="shared" si="114"/>
        <v>https://d0f6bd738d7f1b3e5a7ca70fe4ff75f0.us-east-1.aws.found.io/app/kibana#/discover/Steve-Slow-Train-Analysis-(2080s-and-2083s)?_g=(refreshInterval:(display:Off,pause:!f,section:0,value:0),time:(from:'2017-12-01T17:44:30-0700',mode:absolute,to:'2017-12-01T19:57:42-0700'))&amp;_a=(columns:!('Message%20ID',Summary),filters:!(),index:'emp_*',interval:auto,query:(query_string:(analyze_wildcard:!t,query:'%22rtdc.l.rtdc.4020%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230" t="s">
        <v>751</v>
      </c>
      <c r="B213" s="226">
        <v>4001</v>
      </c>
      <c r="C213" s="228" t="s">
        <v>192</v>
      </c>
      <c r="D213" s="228" t="s">
        <v>1026</v>
      </c>
      <c r="E213" s="227">
        <v>43070.139097222222</v>
      </c>
      <c r="F213" s="227">
        <v>43070.14329861111</v>
      </c>
      <c r="G213" s="226">
        <v>69</v>
      </c>
      <c r="H213" s="228" t="s">
        <v>435</v>
      </c>
      <c r="I213" s="227">
        <v>43070.148182870369</v>
      </c>
      <c r="J213" s="226">
        <v>0</v>
      </c>
      <c r="K213" s="238" t="str">
        <f t="shared" si="102"/>
        <v>4001/4002</v>
      </c>
      <c r="L213" s="246" t="str">
        <f>VLOOKUP(A213,'Trips&amp;Operators'!$C$1:$G$99911,5,FALSE)</f>
        <v>MAELZER KURT</v>
      </c>
      <c r="M213" s="225">
        <f t="shared" si="97"/>
        <v>4.8842592586879618E-3</v>
      </c>
      <c r="N213" s="226">
        <f t="shared" si="100"/>
        <v>7.0333333325106651</v>
      </c>
      <c r="O213" s="226"/>
      <c r="P213" s="226"/>
      <c r="Q213" s="229"/>
      <c r="R213" s="243"/>
      <c r="S213" s="250">
        <f t="shared" si="101"/>
        <v>1</v>
      </c>
      <c r="T213" s="243" t="str">
        <f t="shared" si="103"/>
        <v>Southbound</v>
      </c>
      <c r="U213" s="24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49" t="str">
        <f t="shared" si="104"/>
        <v>https://d0f6bd738d7f1b3e5a7ca70fe4ff75f0.us-east-1.aws.found.io/app/kibana#/discover/Steve-Slow-Train-Analysis-(2080s-and-2083s)?_g=(refreshInterval:(display:Off,pause:!f,section:0,value:0),time:(from:'2017-12-01T02:20:18-0700',mode:absolute,to:'2017-12-01T04:33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3" s="248" t="str">
        <f>IF(AA213&lt;VLOOKUP(AG213,Variables!$AC$3:$AD$8,2,FALSE),"Y","N")</f>
        <v>Y</v>
      </c>
      <c r="X213" s="248">
        <f t="shared" si="96"/>
        <v>1</v>
      </c>
      <c r="Y213" s="248">
        <f t="shared" si="98"/>
        <v>1.9530000000000001</v>
      </c>
      <c r="Z213" s="248">
        <f t="shared" si="99"/>
        <v>1.8700000000000001E-2</v>
      </c>
      <c r="AA213" s="248">
        <f t="shared" si="105"/>
        <v>1.9343000000000001</v>
      </c>
      <c r="AB213" s="234" t="e">
        <f>VLOOKUP(A213,Enforcements!$C$7:$K$9,8,0)</f>
        <v>#N/A</v>
      </c>
      <c r="AC213" s="233" t="e">
        <f>VLOOKUP(A213,Enforcements!$C$7:$E$9,3,0)</f>
        <v>#N/A</v>
      </c>
      <c r="AD213" s="244">
        <f t="shared" si="106"/>
        <v>302</v>
      </c>
      <c r="AE213" s="236" t="str">
        <f t="shared" si="107"/>
        <v>aws s3 cp s3://rtdc.mdm.uploadarchive.raw/RTDC4001/ "%USERPROFILE%\AppData\Local\Temp\OnboardLogs"\RTDC4001\2017-12-01 --exclude "*" --recursive --include "*20171201*" &amp; "%USERPROFILE%\Documents\GitHub\mrs-test-scripts\Headless Mode &amp; Sideloading\WalkAndUnGZ.bat" "%USERPROFILE%\AppData\Local\Temp\OnboardLogs"\RTDC4001\2017-12-01 &amp; aws s3 cp s3://rtdc.mdm.uploadarchive.raw/RTDC4001/ "%USERPROFILE%\AppData\Local\Temp\OnboardLogs"\RTDC4001\2017-12-02 --exclude "*" --recursive --include "*20171202*" &amp; "%USERPROFILE%\Documents\GitHub\mrs-test-scripts\Headless Mode &amp; Sideloading\WalkAndUnGZ.bat" "%USERPROFILE%\AppData\Local\Temp\OnboardLogs"\RTDC4001\2017-12-02</v>
      </c>
      <c r="AF213" s="235" t="str">
        <f t="shared" si="108"/>
        <v>"C:\Program Files (x86)\AstroGrep\AstroGrep.exe" /e /r /s /spath="%USERPROFILE%\AppData\Local\Temp\OnboardLogs" /stypes="app*4001*20171201*" /stext=" 10:.+((SYSTEM_STATE.+slice.+state.+changed )|(ment ac)|(multiple cpu faults)|(system.+state.+changed )|(\[timeout)|(PRM\|1\|D)|(kpr)|(kdp)|(train st.+moving)|(\|lc)|(penalty))"</v>
      </c>
      <c r="AG213" s="245" t="str">
        <f t="shared" si="109"/>
        <v>Other</v>
      </c>
      <c r="AH213" s="237" t="str">
        <f t="shared" si="110"/>
        <v>"%USERPROFILE%\Documents\GitHub\eaglep3\Utilities\RefineRTDCRunTimes.py" --tripid 302-01 --locoid 4001 --swversion DE.1.0.9.0 --startMP 300:19530 --initTime 2017-12-01T03:20:18 --startdatetime 2017-12-01T03:26:21 --delay 69 --endMP 204:187 --enddatetime 2017-12-01T03:33:23 --enforcementcount 0 &gt;&gt;%USERPROFILE%\Documents\GitHub\eaglep3-reporting\EC\2017-12-01-refined-times.txt</v>
      </c>
      <c r="AI213" s="239" t="str">
        <f t="shared" si="111"/>
        <v>echo {"issue":{"subject":"","project_id":79,"tracker_id":40,"status_id":1,"priority_id":2,"assigned_to_id":338,"start_date":"2017-12-01","description":"","custom_fields":[{"id":1,"name":"Subdivision","value":"Other"},{"id":4,"name":"Milepost","value":"0.0187"},{"id":17,"name":"Train ID","value":"302-01"},{"id":16,"name":"Locomotive ID","value":"4001"},{"id":130,"name":"Impact","value":""},{"id":150,"name":"Time of Event (Mountain Time)","value":"03:33:23"},{"id":151,"name":"Denver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224"/>
      <c r="AK213" s="232"/>
      <c r="AL213" s="232"/>
      <c r="AM213" s="241" t="str">
        <f t="shared" si="112"/>
        <v>start /low /b %USERPROFILE%\Documents\GitHub\eaglep3\Utilities\DownloadLogsFromS3.py --loco 4001 --day 2017-12-01</v>
      </c>
      <c r="AN213" s="242" t="str">
        <f t="shared" si="1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10:33:23"},{"id":29,"name":"Sharepoint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1" t="str">
        <f t="shared" si="114"/>
        <v>https://d0f6bd738d7f1b3e5a7ca70fe4ff75f0.us-east-1.aws.found.io/app/kibana#/discover/Steve-Slow-Train-Analysis-(2080s-and-2083s)?_g=(refreshInterval:(display:Off,pause:!f,section:0,value:0),time:(from:'2017-12-01T02:20:18-0700',mode:absolute,to:'2017-12-01T04:33:23-0700'))&amp;_a=(columns:!('Message%20ID',Summary),filters:!(),index:'emp_*',interval:auto,query:(query_string:(analyze_wildcard:!t,query:'%22rtdc.l.rtdc.4001%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230" t="s">
        <v>925</v>
      </c>
      <c r="B214" s="226">
        <v>4046</v>
      </c>
      <c r="C214" s="228" t="s">
        <v>192</v>
      </c>
      <c r="D214" s="228" t="s">
        <v>421</v>
      </c>
      <c r="E214" s="227">
        <v>43070.797407407408</v>
      </c>
      <c r="F214" s="227">
        <v>43070.799386574072</v>
      </c>
      <c r="G214" s="226">
        <v>63</v>
      </c>
      <c r="H214" s="228" t="s">
        <v>437</v>
      </c>
      <c r="I214" s="227">
        <v>43070.804722222223</v>
      </c>
      <c r="J214" s="226">
        <v>0</v>
      </c>
      <c r="K214" s="238" t="str">
        <f t="shared" si="102"/>
        <v>4045/4046</v>
      </c>
      <c r="L214" s="246" t="str">
        <f>VLOOKUP(A214,'Trips&amp;Operators'!$C$1:$G$99911,5,FALSE)</f>
        <v>LEVIN SCOTT</v>
      </c>
      <c r="M214" s="225">
        <f t="shared" si="97"/>
        <v>5.3356481512309983E-3</v>
      </c>
      <c r="N214" s="226">
        <f t="shared" si="100"/>
        <v>7.6833333377726376</v>
      </c>
      <c r="O214" s="226"/>
      <c r="P214" s="226"/>
      <c r="Q214" s="229"/>
      <c r="R214" s="243"/>
      <c r="S214" s="250">
        <f t="shared" si="101"/>
        <v>1</v>
      </c>
      <c r="T214" s="243" t="str">
        <f t="shared" si="103"/>
        <v>NorthBound</v>
      </c>
      <c r="U214" s="24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49" t="str">
        <f t="shared" si="104"/>
        <v>https://d0f6bd738d7f1b3e5a7ca70fe4ff75f0.us-east-1.aws.found.io/app/kibana#/discover/Steve-Slow-Train-Analysis-(2080s-and-2083s)?_g=(refreshInterval:(display:Off,pause:!f,section:0,value:0),time:(from:'2017-12-01T18:08:16-0700',mode:absolute,to:'2017-12-01T20:18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4" s="248" t="str">
        <f>IF(AA214&lt;VLOOKUP(AG214,Variables!$AC$3:$AD$8,2,FALSE),"Y","N")</f>
        <v>Y</v>
      </c>
      <c r="X214" s="248">
        <f t="shared" si="96"/>
        <v>1</v>
      </c>
      <c r="Y214" s="248">
        <f t="shared" si="98"/>
        <v>4.7500000000000001E-2</v>
      </c>
      <c r="Z214" s="248">
        <f t="shared" si="99"/>
        <v>2.3346</v>
      </c>
      <c r="AA214" s="248">
        <f t="shared" si="105"/>
        <v>2.2871000000000001</v>
      </c>
      <c r="AB214" s="234" t="e">
        <f>VLOOKUP(A214,Enforcements!$C$7:$K$9,8,0)</f>
        <v>#N/A</v>
      </c>
      <c r="AC214" s="233" t="e">
        <f>VLOOKUP(A214,Enforcements!$C$7:$E$9,3,0)</f>
        <v>#N/A</v>
      </c>
      <c r="AD214" s="244">
        <f t="shared" si="106"/>
        <v>303</v>
      </c>
      <c r="AE214" s="236" t="str">
        <f t="shared" si="107"/>
        <v>aws s3 cp s3://rtdc.mdm.uploadarchive.raw/RTDC4046/ "%USERPROFILE%\AppData\Local\Temp\OnboardLogs"\RTDC4046\2017-12-01 --exclude "*" --recursive --include "*20171201*" &amp; "%USERPROFILE%\Documents\GitHub\mrs-test-scripts\Headless Mode &amp; Sideloading\WalkAndUnGZ.bat" "%USERPROFILE%\AppData\Local\Temp\OnboardLogs"\RTDC4046\2017-12-01 &amp; aws s3 cp s3://rtdc.mdm.uploadarchive.raw/RTDC4046/ "%USERPROFILE%\AppData\Local\Temp\OnboardLogs"\RTDC4046\2017-12-02 --exclude "*" --recursive --include "*20171202*" &amp; "%USERPROFILE%\Documents\GitHub\mrs-test-scripts\Headless Mode &amp; Sideloading\WalkAndUnGZ.bat" "%USERPROFILE%\AppData\Local\Temp\OnboardLogs"\RTDC4046\2017-12-02</v>
      </c>
      <c r="AF214" s="235" t="str">
        <f t="shared" si="108"/>
        <v>"C:\Program Files (x86)\AstroGrep\AstroGrep.exe" /e /r /s /spath="%USERPROFILE%\AppData\Local\Temp\OnboardLogs" /stypes="app*4046*20171202*" /stext=" 02:.+((SYSTEM_STATE.+slice.+state.+changed )|(ment ac)|(multiple cpu faults)|(system.+state.+changed )|(\[timeout)|(PRM\|1\|D)|(kpr)|(kdp)|(train st.+moving)|(\|lc)|(penalty))"</v>
      </c>
      <c r="AG214" s="245" t="str">
        <f t="shared" si="109"/>
        <v>Other</v>
      </c>
      <c r="AH214" s="237" t="str">
        <f t="shared" si="110"/>
        <v>"%USERPROFILE%\Documents\GitHub\eaglep3\Utilities\RefineRTDCRunTimes.py" --tripid 303-01 --locoid 4046 --swversion DE.1.0.9.0 --startMP 204:475 --initTime 2017-12-01T19:08:16 --startdatetime 2017-12-01T19:11:07 --delay 63 --endMP 300:23346 --enddatetime 2017-12-01T19:18:48 --enforcementcount 0 &gt;&gt;%USERPROFILE%\Documents\GitHub\eaglep3-reporting\EC\2017-12-01-refined-times.txt</v>
      </c>
      <c r="AI214" s="239" t="str">
        <f t="shared" si="111"/>
        <v>echo {"issue":{"subject":"","project_id":79,"tracker_id":40,"status_id":1,"priority_id":2,"assigned_to_id":338,"start_date":"2017-12-01","description":"","custom_fields":[{"id":1,"name":"Subdivision","value":"Other"},{"id":4,"name":"Milepost","value":"2.3346"},{"id":17,"name":"Train ID","value":"303-01"},{"id":16,"name":"Locomotive ID","value":"4046"},{"id":130,"name":"Impact","value":""},{"id":150,"name":"Time of Event (Mountain Time)","value":"19:18:48"},{"id":151,"name":"Denver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224"/>
      <c r="AK214" s="232"/>
      <c r="AL214" s="232"/>
      <c r="AM214" s="241" t="str">
        <f t="shared" si="112"/>
        <v>start /low /b %USERPROFILE%\Documents\GitHub\eaglep3\Utilities\DownloadLogsFromS3.py --loco 4046 --day 2017-12-01</v>
      </c>
      <c r="AN214" s="242" t="str">
        <f t="shared" si="1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02:18:48"},{"id":29,"name":"Sharepoint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1" t="str">
        <f t="shared" si="114"/>
        <v>https://d0f6bd738d7f1b3e5a7ca70fe4ff75f0.us-east-1.aws.found.io/app/kibana#/discover/Steve-Slow-Train-Analysis-(2080s-and-2083s)?_g=(refreshInterval:(display:Off,pause:!f,section:0,value:0),time:(from:'2017-12-01T18:08:16-0700',mode:absolute,to:'2017-12-01T20:18:48-0700'))&amp;_a=(columns:!('Message%20ID',Summary),filters:!(),index:'emp_*',interval:auto,query:(query_string:(analyze_wildcard:!t,query:'%22rtdc.l.rtdc.4046%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24" customFormat="1" x14ac:dyDescent="0.25">
      <c r="A215" s="230" t="s">
        <v>754</v>
      </c>
      <c r="B215" s="226">
        <v>4039</v>
      </c>
      <c r="C215" s="228" t="s">
        <v>192</v>
      </c>
      <c r="D215" s="228" t="s">
        <v>1027</v>
      </c>
      <c r="E215" s="227">
        <v>43070.160381944443</v>
      </c>
      <c r="F215" s="227">
        <v>43070.164097222223</v>
      </c>
      <c r="G215" s="226">
        <v>96</v>
      </c>
      <c r="H215" s="228" t="s">
        <v>631</v>
      </c>
      <c r="I215" s="227">
        <v>43070.169363425928</v>
      </c>
      <c r="J215" s="226">
        <v>0</v>
      </c>
      <c r="K215" s="238" t="str">
        <f t="shared" si="102"/>
        <v>4039/4040</v>
      </c>
      <c r="L215" s="246" t="str">
        <f>VLOOKUP(A215,'Trips&amp;Operators'!$C$1:$G$99911,5,FALSE)</f>
        <v>PAGE MARCUS</v>
      </c>
      <c r="M215" s="225">
        <f t="shared" si="97"/>
        <v>5.2662037051049992E-3</v>
      </c>
      <c r="N215" s="226">
        <f t="shared" si="100"/>
        <v>7.5833333353511989</v>
      </c>
      <c r="O215" s="226"/>
      <c r="P215" s="226"/>
      <c r="Q215" s="229"/>
      <c r="R215" s="243"/>
      <c r="S215" s="250">
        <f t="shared" si="101"/>
        <v>1</v>
      </c>
      <c r="T215" s="243" t="str">
        <f t="shared" si="103"/>
        <v>Southbound</v>
      </c>
      <c r="U215" s="24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49" t="str">
        <f t="shared" si="104"/>
        <v>https://d0f6bd738d7f1b3e5a7ca70fe4ff75f0.us-east-1.aws.found.io/app/kibana#/discover/Steve-Slow-Train-Analysis-(2080s-and-2083s)?_g=(refreshInterval:(display:Off,pause:!f,section:0,value:0),time:(from:'2017-12-01T02:50:57-0700',mode:absolute,to:'2017-12-01T05:03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5" s="248" t="str">
        <f>IF(AA215&lt;VLOOKUP(AG215,Variables!$AC$3:$AD$8,2,FALSE),"Y","N")</f>
        <v>Y</v>
      </c>
      <c r="X215" s="248">
        <f t="shared" si="96"/>
        <v>1</v>
      </c>
      <c r="Y215" s="248">
        <f t="shared" si="98"/>
        <v>2.3435999999999999</v>
      </c>
      <c r="Z215" s="248">
        <f t="shared" si="99"/>
        <v>1.9400000000000001E-2</v>
      </c>
      <c r="AA215" s="248">
        <f t="shared" si="105"/>
        <v>2.3241999999999998</v>
      </c>
      <c r="AB215" s="234" t="e">
        <f>VLOOKUP(A215,Enforcements!$C$7:$K$9,8,0)</f>
        <v>#N/A</v>
      </c>
      <c r="AC215" s="233" t="e">
        <f>VLOOKUP(A215,Enforcements!$C$7:$E$9,3,0)</f>
        <v>#N/A</v>
      </c>
      <c r="AD215" s="244">
        <f t="shared" si="106"/>
        <v>304</v>
      </c>
      <c r="AE215" s="236" t="str">
        <f t="shared" si="107"/>
        <v>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 &amp; aws s3 cp s3://rtdc.mdm.uploadarchive.raw/RTDC4039/ "%USERPROFILE%\AppData\Local\Temp\OnboardLogs"\RTDC4039\2017-12-02 --exclude "*" --recursive --include "*20171202*" &amp; "%USERPROFILE%\Documents\GitHub\mrs-test-scripts\Headless Mode &amp; Sideloading\WalkAndUnGZ.bat" "%USERPROFILE%\AppData\Local\Temp\OnboardLogs"\RTDC4039\2017-12-02</v>
      </c>
      <c r="AF215" s="235" t="str">
        <f t="shared" si="108"/>
        <v>"C:\Program Files (x86)\AstroGrep\AstroGrep.exe" /e /r /s /spath="%USERPROFILE%\AppData\Local\Temp\OnboardLogs" /stypes="app*4039*20171201*" /stext=" 11:.+((SYSTEM_STATE.+slice.+state.+changed )|(ment ac)|(multiple cpu faults)|(system.+state.+changed )|(\[timeout)|(PRM\|1\|D)|(kpr)|(kdp)|(train st.+moving)|(\|lc)|(penalty))"</v>
      </c>
      <c r="AG215" s="245" t="str">
        <f t="shared" si="109"/>
        <v>Other</v>
      </c>
      <c r="AH215" s="237" t="str">
        <f t="shared" si="110"/>
        <v>"%USERPROFILE%\Documents\GitHub\eaglep3\Utilities\RefineRTDCRunTimes.py" --tripid 304-01 --locoid 4039 --swversion DE.1.0.9.0 --startMP 300:23436 --initTime 2017-12-01T03:50:57 --startdatetime 2017-12-01T03:56:18 --delay 96 --endMP 204:194 --enddatetime 2017-12-01T04:03:53 --enforcementcount 0 &gt;&gt;%USERPROFILE%\Documents\GitHub\eaglep3-reporting\EC\2017-12-01-refined-times.txt</v>
      </c>
      <c r="AI215" s="239" t="str">
        <f t="shared" si="111"/>
        <v>echo {"issue":{"subject":"","project_id":79,"tracker_id":40,"status_id":1,"priority_id":2,"assigned_to_id":338,"start_date":"2017-12-01","description":"","custom_fields":[{"id":1,"name":"Subdivision","value":"Other"},{"id":4,"name":"Milepost","value":"0.0194"},{"id":17,"name":"Train ID","value":"304-01"},{"id":16,"name":"Locomotive ID","value":"4039"},{"id":130,"name":"Impact","value":""},{"id":150,"name":"Time of Event (Mountain Time)","value":"04:03:53"},{"id":151,"name":"Denver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232"/>
      <c r="AL215" s="232"/>
      <c r="AM215" s="241" t="str">
        <f t="shared" si="112"/>
        <v>start /low /b %USERPROFILE%\Documents\GitHub\eaglep3\Utilities\DownloadLogsFromS3.py --loco 4039 --day 2017-12-01</v>
      </c>
      <c r="AN215" s="242" t="str">
        <f t="shared" si="1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11:03:53"},{"id":29,"name":"Sharepoint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1" t="str">
        <f t="shared" si="114"/>
        <v>https://d0f6bd738d7f1b3e5a7ca70fe4ff75f0.us-east-1.aws.found.io/app/kibana#/discover/Steve-Slow-Train-Analysis-(2080s-and-2083s)?_g=(refreshInterval:(display:Off,pause:!f,section:0,value:0),time:(from:'2017-12-01T02:50:57-0700',mode:absolute,to:'2017-12-01T05:03:53-0700'))&amp;_a=(columns:!('Message%20ID',Summary),filters:!(),index:'emp_*',interval:auto,query:(query_string:(analyze_wildcard:!t,query:'%22rtdc.l.rtdc.4039%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230" t="s">
        <v>745</v>
      </c>
      <c r="B216" s="226">
        <v>4050</v>
      </c>
      <c r="C216" s="228" t="s">
        <v>192</v>
      </c>
      <c r="D216" s="228" t="s">
        <v>608</v>
      </c>
      <c r="E216" s="227">
        <v>43070.815810185188</v>
      </c>
      <c r="F216" s="227">
        <v>43070.823842592596</v>
      </c>
      <c r="G216" s="226">
        <v>57</v>
      </c>
      <c r="H216" s="228" t="s">
        <v>1028</v>
      </c>
      <c r="I216" s="227">
        <v>43070.830601851849</v>
      </c>
      <c r="J216" s="226">
        <v>0</v>
      </c>
      <c r="K216" s="238" t="str">
        <f t="shared" si="102"/>
        <v>4049/4050</v>
      </c>
      <c r="L216" s="246" t="str">
        <f>VLOOKUP(A216,'Trips&amp;Operators'!$C$1:$G$99911,5,FALSE)</f>
        <v>HOLCOMB KAMDEN</v>
      </c>
      <c r="M216" s="225">
        <f t="shared" si="97"/>
        <v>6.7592592531582341E-3</v>
      </c>
      <c r="N216" s="226">
        <f t="shared" si="100"/>
        <v>9.733333324547857</v>
      </c>
      <c r="O216" s="226"/>
      <c r="P216" s="226"/>
      <c r="Q216" s="229"/>
      <c r="R216" s="243"/>
      <c r="S216" s="250">
        <f t="shared" si="101"/>
        <v>1</v>
      </c>
      <c r="T216" s="243" t="str">
        <f t="shared" si="103"/>
        <v>NorthBound</v>
      </c>
      <c r="U216" s="24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49" t="str">
        <f t="shared" si="104"/>
        <v>https://d0f6bd738d7f1b3e5a7ca70fe4ff75f0.us-east-1.aws.found.io/app/kibana#/discover/Steve-Slow-Train-Analysis-(2080s-and-2083s)?_g=(refreshInterval:(display:Off,pause:!f,section:0,value:0),time:(from:'2017-12-01T18:34:46-0700',mode:absolute,to:'2017-12-01T20:56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6" s="248" t="str">
        <f>IF(AA216&lt;VLOOKUP(AG216,Variables!$AC$3:$AD$8,2,FALSE),"Y","N")</f>
        <v>Y</v>
      </c>
      <c r="X216" s="248">
        <f t="shared" si="96"/>
        <v>1</v>
      </c>
      <c r="Y216" s="248">
        <f t="shared" si="98"/>
        <v>5.4899999999999997E-2</v>
      </c>
      <c r="Z216" s="248">
        <f t="shared" si="99"/>
        <v>2.3289</v>
      </c>
      <c r="AA216" s="248">
        <f t="shared" si="105"/>
        <v>2.274</v>
      </c>
      <c r="AB216" s="234" t="e">
        <f>VLOOKUP(A216,Enforcements!$C$7:$K$9,8,0)</f>
        <v>#N/A</v>
      </c>
      <c r="AC216" s="233" t="e">
        <f>VLOOKUP(A216,Enforcements!$C$7:$E$9,3,0)</f>
        <v>#N/A</v>
      </c>
      <c r="AD216" s="244">
        <f t="shared" si="106"/>
        <v>305</v>
      </c>
      <c r="AE216" s="236" t="str">
        <f t="shared" si="107"/>
        <v>aws s3 cp s3://rtdc.mdm.uploadarchive.raw/RTDC4050/ "%USERPROFILE%\AppData\Local\Temp\OnboardLogs"\RTDC4050\2017-12-01 --exclude "*" --recursive --include "*20171201*" &amp; "%USERPROFILE%\Documents\GitHub\mrs-test-scripts\Headless Mode &amp; Sideloading\WalkAndUnGZ.bat" "%USERPROFILE%\AppData\Local\Temp\OnboardLogs"\RTDC4050\2017-12-01 &amp; aws s3 cp s3://rtdc.mdm.uploadarchive.raw/RTDC4050/ "%USERPROFILE%\AppData\Local\Temp\OnboardLogs"\RTDC4050\2017-12-02 --exclude "*" --recursive --include "*20171202*" &amp; "%USERPROFILE%\Documents\GitHub\mrs-test-scripts\Headless Mode &amp; Sideloading\WalkAndUnGZ.bat" "%USERPROFILE%\AppData\Local\Temp\OnboardLogs"\RTDC4050\2017-12-02</v>
      </c>
      <c r="AF216" s="235" t="str">
        <f t="shared" si="108"/>
        <v>"C:\Program Files (x86)\AstroGrep\AstroGrep.exe" /e /r /s /spath="%USERPROFILE%\AppData\Local\Temp\OnboardLogs" /stypes="app*4050*20171202*" /stext=" 02:.+((SYSTEM_STATE.+slice.+state.+changed )|(ment ac)|(multiple cpu faults)|(system.+state.+changed )|(\[timeout)|(PRM\|1\|D)|(kpr)|(kdp)|(train st.+moving)|(\|lc)|(penalty))"</v>
      </c>
      <c r="AG216" s="245" t="str">
        <f t="shared" si="109"/>
        <v>Other</v>
      </c>
      <c r="AH216" s="237" t="str">
        <f t="shared" si="110"/>
        <v>"%USERPROFILE%\Documents\GitHub\eaglep3\Utilities\RefineRTDCRunTimes.py" --tripid 305-01 --locoid 4050 --swversion DE.1.0.9.0 --startMP 204:549 --initTime 2017-12-01T19:34:46 --startdatetime 2017-12-01T19:46:20 --delay 57 --endMP 300:23289 --enddatetime 2017-12-01T19:56:04 --enforcementcount 0 &gt;&gt;%USERPROFILE%\Documents\GitHub\eaglep3-reporting\EC\2017-12-01-refined-times.txt</v>
      </c>
      <c r="AI216" s="239" t="str">
        <f t="shared" si="111"/>
        <v>echo {"issue":{"subject":"","project_id":79,"tracker_id":40,"status_id":1,"priority_id":2,"assigned_to_id":338,"start_date":"2017-12-01","description":"","custom_fields":[{"id":1,"name":"Subdivision","value":"Other"},{"id":4,"name":"Milepost","value":"2.3289"},{"id":17,"name":"Train ID","value":"305-01"},{"id":16,"name":"Locomotive ID","value":"4050"},{"id":130,"name":"Impact","value":""},{"id":150,"name":"Time of Event (Mountain Time)","value":"19:56:04"},{"id":151,"name":"Denver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4"/>
      <c r="AK216" s="232"/>
      <c r="AL216" s="232"/>
      <c r="AM216" s="241" t="str">
        <f t="shared" si="112"/>
        <v>start /low /b %USERPROFILE%\Documents\GitHub\eaglep3\Utilities\DownloadLogsFromS3.py --loco 4050 --day 2017-12-01</v>
      </c>
      <c r="AN216" s="242" t="str">
        <f t="shared" si="1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02:56:04"},{"id":29,"name":"Sharepoint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1" t="str">
        <f t="shared" si="114"/>
        <v>https://d0f6bd738d7f1b3e5a7ca70fe4ff75f0.us-east-1.aws.found.io/app/kibana#/discover/Steve-Slow-Train-Analysis-(2080s-and-2083s)?_g=(refreshInterval:(display:Off,pause:!f,section:0,value:0),time:(from:'2017-12-01T18:34:46-0700',mode:absolute,to:'2017-12-01T20:56:04-0700'))&amp;_a=(columns:!('Message%20ID',Summary),filters:!(),index:'emp_*',interval:auto,query:(query_string:(analyze_wildcard:!t,query:'%22rtdc.l.rtdc.4050%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230" t="s">
        <v>757</v>
      </c>
      <c r="B217" s="226">
        <v>4023</v>
      </c>
      <c r="C217" s="228" t="s">
        <v>192</v>
      </c>
      <c r="D217" s="228" t="s">
        <v>1029</v>
      </c>
      <c r="E217" s="227">
        <v>43070.171944444446</v>
      </c>
      <c r="F217" s="227">
        <v>43070.175937499997</v>
      </c>
      <c r="G217" s="226">
        <v>64</v>
      </c>
      <c r="H217" s="228" t="s">
        <v>435</v>
      </c>
      <c r="I217" s="227">
        <v>43070.181504629632</v>
      </c>
      <c r="J217" s="226">
        <v>0</v>
      </c>
      <c r="K217" s="238" t="str">
        <f t="shared" si="102"/>
        <v>4023/4024</v>
      </c>
      <c r="L217" s="246" t="str">
        <f>VLOOKUP(A217,'Trips&amp;Operators'!$C$1:$G$99911,5,FALSE)</f>
        <v>LONG FULLER</v>
      </c>
      <c r="M217" s="225">
        <f t="shared" si="97"/>
        <v>5.5671296358923428E-3</v>
      </c>
      <c r="N217" s="226">
        <f t="shared" si="100"/>
        <v>8.0166666756849736</v>
      </c>
      <c r="O217" s="226"/>
      <c r="P217" s="226"/>
      <c r="Q217" s="229"/>
      <c r="R217" s="243"/>
      <c r="S217" s="250">
        <f t="shared" si="101"/>
        <v>1</v>
      </c>
      <c r="T217" s="243" t="str">
        <f t="shared" si="103"/>
        <v>Southbound</v>
      </c>
      <c r="U217" s="24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49" t="str">
        <f t="shared" si="104"/>
        <v>https://d0f6bd738d7f1b3e5a7ca70fe4ff75f0.us-east-1.aws.found.io/app/kibana#/discover/Steve-Slow-Train-Analysis-(2080s-and-2083s)?_g=(refreshInterval:(display:Off,pause:!f,section:0,value:0),time:(from:'2017-12-01T03:07:36-0700',mode:absolute,to:'2017-12-01T05:21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7" s="248" t="str">
        <f>IF(AA217&lt;VLOOKUP(AG217,Variables!$AC$3:$AD$8,2,FALSE),"Y","N")</f>
        <v>Y</v>
      </c>
      <c r="X217" s="248">
        <f t="shared" si="96"/>
        <v>1</v>
      </c>
      <c r="Y217" s="248">
        <f t="shared" si="98"/>
        <v>2.3607999999999998</v>
      </c>
      <c r="Z217" s="248">
        <f t="shared" si="99"/>
        <v>1.8700000000000001E-2</v>
      </c>
      <c r="AA217" s="248">
        <f t="shared" si="105"/>
        <v>2.3420999999999998</v>
      </c>
      <c r="AB217" s="234" t="e">
        <f>VLOOKUP(A217,Enforcements!$C$7:$K$9,8,0)</f>
        <v>#N/A</v>
      </c>
      <c r="AC217" s="233" t="e">
        <f>VLOOKUP(A217,Enforcements!$C$7:$E$9,3,0)</f>
        <v>#N/A</v>
      </c>
      <c r="AD217" s="244">
        <f t="shared" si="106"/>
        <v>306</v>
      </c>
      <c r="AE217" s="236" t="str">
        <f t="shared" si="107"/>
        <v>aws s3 cp s3://rtdc.mdm.uploadarchive.raw/RTDC4023/ "%USERPROFILE%\AppData\Local\Temp\OnboardLogs"\RTDC4023\2017-12-01 --exclude "*" --recursive --include "*20171201*" &amp; "%USERPROFILE%\Documents\GitHub\mrs-test-scripts\Headless Mode &amp; Sideloading\WalkAndUnGZ.bat" "%USERPROFILE%\AppData\Local\Temp\OnboardLogs"\RTDC4023\2017-12-01 &amp; aws s3 cp s3://rtdc.mdm.uploadarchive.raw/RTDC4023/ "%USERPROFILE%\AppData\Local\Temp\OnboardLogs"\RTDC4023\2017-12-02 --exclude "*" --recursive --include "*20171202*" &amp; "%USERPROFILE%\Documents\GitHub\mrs-test-scripts\Headless Mode &amp; Sideloading\WalkAndUnGZ.bat" "%USERPROFILE%\AppData\Local\Temp\OnboardLogs"\RTDC4023\2017-12-02</v>
      </c>
      <c r="AF217" s="235" t="str">
        <f t="shared" si="108"/>
        <v>"C:\Program Files (x86)\AstroGrep\AstroGrep.exe" /e /r /s /spath="%USERPROFILE%\AppData\Local\Temp\OnboardLogs" /stypes="app*4023*20171201*" /stext=" 11:.+((SYSTEM_STATE.+slice.+state.+changed )|(ment ac)|(multiple cpu faults)|(system.+state.+changed )|(\[timeout)|(PRM\|1\|D)|(kpr)|(kdp)|(train st.+moving)|(\|lc)|(penalty))"</v>
      </c>
      <c r="AG217" s="245" t="str">
        <f t="shared" si="109"/>
        <v>Other</v>
      </c>
      <c r="AH217" s="237" t="str">
        <f t="shared" si="110"/>
        <v>"%USERPROFILE%\Documents\GitHub\eaglep3\Utilities\RefineRTDCRunTimes.py" --tripid 306-01 --locoid 4023 --swversion DE.1.0.9.0 --startMP 300:23608 --initTime 2017-12-01T04:07:36 --startdatetime 2017-12-01T04:13:21 --delay 64 --endMP 204:187 --enddatetime 2017-12-01T04:21:22 --enforcementcount 0 &gt;&gt;%USERPROFILE%\Documents\GitHub\eaglep3-reporting\EC\2017-12-01-refined-times.txt</v>
      </c>
      <c r="AI217" s="239" t="str">
        <f t="shared" si="111"/>
        <v>echo {"issue":{"subject":"","project_id":79,"tracker_id":40,"status_id":1,"priority_id":2,"assigned_to_id":338,"start_date":"2017-12-01","description":"","custom_fields":[{"id":1,"name":"Subdivision","value":"Other"},{"id":4,"name":"Milepost","value":"0.0187"},{"id":17,"name":"Train ID","value":"306-01"},{"id":16,"name":"Locomotive ID","value":"4023"},{"id":130,"name":"Impact","value":""},{"id":150,"name":"Time of Event (Mountain Time)","value":"04:21:22"},{"id":151,"name":"Denver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4"/>
      <c r="AK217" s="232"/>
      <c r="AL217" s="232"/>
      <c r="AM217" s="241" t="str">
        <f t="shared" si="112"/>
        <v>start /low /b %USERPROFILE%\Documents\GitHub\eaglep3\Utilities\DownloadLogsFromS3.py --loco 4023 --day 2017-12-01</v>
      </c>
      <c r="AN217" s="242" t="str">
        <f t="shared" si="1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11:21:22"},{"id":29,"name":"Sharepoint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1" t="str">
        <f t="shared" si="114"/>
        <v>https://d0f6bd738d7f1b3e5a7ca70fe4ff75f0.us-east-1.aws.found.io/app/kibana#/discover/Steve-Slow-Train-Analysis-(2080s-and-2083s)?_g=(refreshInterval:(display:Off,pause:!f,section:0,value:0),time:(from:'2017-12-01T03:07:36-0700',mode:absolute,to:'2017-12-01T05:21:22-0700'))&amp;_a=(columns:!('Message%20ID',Summary),filters:!(),index:'emp_*',interval:auto,query:(query_string:(analyze_wildcard:!t,query:'%22rtdc.l.rtdc.4023%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230" t="s">
        <v>957</v>
      </c>
      <c r="B218" s="226">
        <v>4002</v>
      </c>
      <c r="C218" s="228" t="s">
        <v>192</v>
      </c>
      <c r="D218" s="228" t="s">
        <v>688</v>
      </c>
      <c r="E218" s="227">
        <v>43071.048611111109</v>
      </c>
      <c r="F218" s="227">
        <v>43071.050243055557</v>
      </c>
      <c r="G218" s="226">
        <v>65</v>
      </c>
      <c r="H218" s="228" t="s">
        <v>570</v>
      </c>
      <c r="I218" s="227">
        <v>43071.060011574074</v>
      </c>
      <c r="J218" s="226">
        <v>0</v>
      </c>
      <c r="K218" s="238" t="str">
        <f t="shared" si="102"/>
        <v>4001/4002</v>
      </c>
      <c r="L218" s="246" t="str">
        <f>VLOOKUP(A218,'Trips&amp;Operators'!$C$1:$G$99911,5,FALSE)</f>
        <v>DAVIDSON DAVID</v>
      </c>
      <c r="M218" s="225">
        <f t="shared" si="97"/>
        <v>9.7685185173759237E-3</v>
      </c>
      <c r="N218" s="226">
        <f t="shared" si="100"/>
        <v>14.06666666502133</v>
      </c>
      <c r="O218" s="226"/>
      <c r="P218" s="226"/>
      <c r="Q218" s="229"/>
      <c r="R218" s="243"/>
      <c r="S218" s="250">
        <f t="shared" si="101"/>
        <v>1</v>
      </c>
      <c r="T218" s="243" t="str">
        <f t="shared" si="103"/>
        <v>NorthBound</v>
      </c>
      <c r="U218" s="24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49" t="str">
        <f t="shared" si="104"/>
        <v>https://d0f6bd738d7f1b3e5a7ca70fe4ff75f0.us-east-1.aws.found.io/app/kibana#/discover/Steve-Slow-Train-Analysis-(2080s-and-2083s)?_g=(refreshInterval:(display:Off,pause:!f,section:0,value:0),time:(from:'2017-12-02T00:10:00-0700',mode:absolute,to:'2017-12-02T02:26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8" s="248" t="str">
        <f>IF(AA218&lt;VLOOKUP(AG218,Variables!$AC$3:$AD$8,2,FALSE),"Y","N")</f>
        <v>Y</v>
      </c>
      <c r="X218" s="248">
        <f t="shared" si="96"/>
        <v>1</v>
      </c>
      <c r="Y218" s="248">
        <f t="shared" si="98"/>
        <v>5.2400000000000002E-2</v>
      </c>
      <c r="Z218" s="248">
        <f t="shared" si="99"/>
        <v>2.3302</v>
      </c>
      <c r="AA218" s="248">
        <f t="shared" si="105"/>
        <v>2.2778</v>
      </c>
      <c r="AB218" s="234" t="e">
        <f>VLOOKUP(A218,Enforcements!$C$7:$K$9,8,0)</f>
        <v>#N/A</v>
      </c>
      <c r="AC218" s="233" t="e">
        <f>VLOOKUP(A218,Enforcements!$C$7:$E$9,3,0)</f>
        <v>#N/A</v>
      </c>
      <c r="AD218" s="244">
        <f t="shared" si="106"/>
        <v>307</v>
      </c>
      <c r="AE218" s="236" t="str">
        <f t="shared" si="107"/>
        <v>aws s3 cp s3://rtdc.mdm.uploadarchive.raw/RTDC4002/ "%USERPROFILE%\AppData\Local\Temp\OnboardLogs"\RTDC4002\2017-12-02 --exclude "*" --recursive --include "*20171202*" &amp; "%USERPROFILE%\Documents\GitHub\mrs-test-scripts\Headless Mode &amp; Sideloading\WalkAndUnGZ.bat" "%USERPROFILE%\AppData\Local\Temp\OnboardLogs"\RTDC4002\2017-12-02 &amp; aws s3 cp s3://rtdc.mdm.uploadarchive.raw/RTDC4002/ "%USERPROFILE%\AppData\Local\Temp\OnboardLogs"\RTDC4002\2017-12-03 --exclude "*" --recursive --include "*20171203*" &amp; "%USERPROFILE%\Documents\GitHub\mrs-test-scripts\Headless Mode &amp; Sideloading\WalkAndUnGZ.bat" "%USERPROFILE%\AppData\Local\Temp\OnboardLogs"\RTDC4002\2017-12-03</v>
      </c>
      <c r="AF218" s="235" t="str">
        <f t="shared" si="108"/>
        <v>"C:\Program Files (x86)\AstroGrep\AstroGrep.exe" /e /r /s /spath="%USERPROFILE%\AppData\Local\Temp\OnboardLogs" /stypes="app*4002*20171202*" /stext=" 08:.+((SYSTEM_STATE.+slice.+state.+changed )|(ment ac)|(multiple cpu faults)|(system.+state.+changed )|(\[timeout)|(PRM\|1\|D)|(kpr)|(kdp)|(train st.+moving)|(\|lc)|(penalty))"</v>
      </c>
      <c r="AG218" s="245" t="str">
        <f t="shared" si="109"/>
        <v>Other</v>
      </c>
      <c r="AH218" s="237" t="str">
        <f t="shared" si="110"/>
        <v>"%USERPROFILE%\Documents\GitHub\eaglep3\Utilities\RefineRTDCRunTimes.py" --tripid 307-01 --locoid 4002 --swversion DE.1.0.9.0 --startMP 204:524 --initTime 2017-12-02T01:10:00 --startdatetime 2017-12-02T01:12:21 --delay 65 --endMP 300:23302 --enddatetime 2017-12-02T01:26:25 --enforcementcount 0 &gt;&gt;%USERPROFILE%\Documents\GitHub\eaglep3-reporting\EC\2017-12-01-refined-times.txt</v>
      </c>
      <c r="AI218" s="239" t="str">
        <f t="shared" si="111"/>
        <v>echo {"issue":{"subject":"","project_id":79,"tracker_id":40,"status_id":1,"priority_id":2,"assigned_to_id":338,"start_date":"2017-12-02","description":"","custom_fields":[{"id":1,"name":"Subdivision","value":"Other"},{"id":4,"name":"Milepost","value":"2.3302"},{"id":17,"name":"Train ID","value":"307-01"},{"id":16,"name":"Locomotive ID","value":"4002"},{"id":130,"name":"Impact","value":""},{"id":150,"name":"Time of Event (Mountain Time)","value":"01:26:25"},{"id":151,"name":"Denver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224"/>
      <c r="AK218" s="232"/>
      <c r="AL218" s="232"/>
      <c r="AM218" s="241" t="str">
        <f t="shared" si="112"/>
        <v>start /low /b %USERPROFILE%\Documents\GitHub\eaglep3\Utilities\DownloadLogsFromS3.py --loco 4002 --day 2017-12-02</v>
      </c>
      <c r="AN218" s="242" t="str">
        <f t="shared" si="1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08:26:25"},{"id":29,"name":"Sharepoint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1" t="str">
        <f t="shared" si="114"/>
        <v>https://d0f6bd738d7f1b3e5a7ca70fe4ff75f0.us-east-1.aws.found.io/app/kibana#/discover/Steve-Slow-Train-Analysis-(2080s-and-2083s)?_g=(refreshInterval:(display:Off,pause:!f,section:0,value:0),time:(from:'2017-12-02T00:10:00-0700',mode:absolute,to:'2017-12-02T02:26:25-0700'))&amp;_a=(columns:!('Message%20ID',Summary),filters:!(),index:'emp_*',interval:auto,query:(query_string:(analyze_wildcard:!t,query:'%22rtdc.l.rtdc.4002%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25">
      <c r="A219" s="230" t="s">
        <v>759</v>
      </c>
      <c r="B219" s="226">
        <v>4019</v>
      </c>
      <c r="C219" s="228" t="s">
        <v>192</v>
      </c>
      <c r="D219" s="228" t="s">
        <v>1030</v>
      </c>
      <c r="E219" s="227">
        <v>43070.177615740744</v>
      </c>
      <c r="F219" s="227">
        <v>43070.180844907409</v>
      </c>
      <c r="G219" s="226">
        <v>85</v>
      </c>
      <c r="H219" s="228" t="s">
        <v>422</v>
      </c>
      <c r="I219" s="227">
        <v>43070.186469907407</v>
      </c>
      <c r="J219" s="226">
        <v>0</v>
      </c>
      <c r="K219" s="238" t="str">
        <f t="shared" si="102"/>
        <v>4019/4020</v>
      </c>
      <c r="L219" s="246" t="str">
        <f>VLOOKUP(A219,'Trips&amp;Operators'!$C$1:$G$99911,5,FALSE)</f>
        <v>LOPES KIMBERLY</v>
      </c>
      <c r="M219" s="225">
        <f t="shared" si="97"/>
        <v>5.6249999979627319E-3</v>
      </c>
      <c r="N219" s="226">
        <f t="shared" si="100"/>
        <v>8.0999999970663339</v>
      </c>
      <c r="O219" s="226"/>
      <c r="P219" s="226"/>
      <c r="Q219" s="229"/>
      <c r="R219" s="243"/>
      <c r="S219" s="250">
        <f t="shared" si="101"/>
        <v>1</v>
      </c>
      <c r="T219" s="243" t="str">
        <f t="shared" si="103"/>
        <v>Southbound</v>
      </c>
      <c r="U219" s="24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49" t="str">
        <f t="shared" si="104"/>
        <v>https://d0f6bd738d7f1b3e5a7ca70fe4ff75f0.us-east-1.aws.found.io/app/kibana#/discover/Steve-Slow-Train-Analysis-(2080s-and-2083s)?_g=(refreshInterval:(display:Off,pause:!f,section:0,value:0),time:(from:'2017-12-01T03:15:46-0700',mode:absolute,to:'2017-12-01T05:28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9" s="248" t="str">
        <f>IF(AA219&lt;VLOOKUP(AG219,Variables!$AC$3:$AD$8,2,FALSE),"Y","N")</f>
        <v>Y</v>
      </c>
      <c r="X219" s="248">
        <f t="shared" ref="X219:X234" si="115">VALUE(LEFT(AD219,4))-VALUE(LEFT(AD218,4))</f>
        <v>1</v>
      </c>
      <c r="Y219" s="248">
        <f t="shared" si="98"/>
        <v>2.3428</v>
      </c>
      <c r="Z219" s="248">
        <f t="shared" si="99"/>
        <v>2.18E-2</v>
      </c>
      <c r="AA219" s="248">
        <f t="shared" si="105"/>
        <v>2.3210000000000002</v>
      </c>
      <c r="AB219" s="234" t="e">
        <f>VLOOKUP(A219,Enforcements!$C$7:$K$9,8,0)</f>
        <v>#N/A</v>
      </c>
      <c r="AC219" s="233" t="e">
        <f>VLOOKUP(A219,Enforcements!$C$7:$E$9,3,0)</f>
        <v>#N/A</v>
      </c>
      <c r="AD219" s="244">
        <f t="shared" si="106"/>
        <v>308</v>
      </c>
      <c r="AE219" s="236" t="str">
        <f t="shared" si="107"/>
        <v>aws s3 cp s3://rtdc.mdm.uploadarchive.raw/RTDC4019/ "%USERPROFILE%\AppData\Local\Temp\OnboardLogs"\RTDC4019\2017-12-01 --exclude "*" --recursive --include "*20171201*" &amp; "%USERPROFILE%\Documents\GitHub\mrs-test-scripts\Headless Mode &amp; Sideloading\WalkAndUnGZ.bat" "%USERPROFILE%\AppData\Local\Temp\OnboardLogs"\RTDC4019\2017-12-01 &amp; aws s3 cp s3://rtdc.mdm.uploadarchive.raw/RTDC4019/ "%USERPROFILE%\AppData\Local\Temp\OnboardLogs"\RTDC4019\2017-12-02 --exclude "*" --recursive --include "*20171202*" &amp; "%USERPROFILE%\Documents\GitHub\mrs-test-scripts\Headless Mode &amp; Sideloading\WalkAndUnGZ.bat" "%USERPROFILE%\AppData\Local\Temp\OnboardLogs"\RTDC4019\2017-12-02</v>
      </c>
      <c r="AF219" s="235" t="str">
        <f t="shared" si="108"/>
        <v>"C:\Program Files (x86)\AstroGrep\AstroGrep.exe" /e /r /s /spath="%USERPROFILE%\AppData\Local\Temp\OnboardLogs" /stypes="app*4019*20171201*" /stext=" 11:.+((SYSTEM_STATE.+slice.+state.+changed )|(ment ac)|(multiple cpu faults)|(system.+state.+changed )|(\[timeout)|(PRM\|1\|D)|(kpr)|(kdp)|(train st.+moving)|(\|lc)|(penalty))"</v>
      </c>
      <c r="AG219" s="245" t="str">
        <f t="shared" si="109"/>
        <v>Other</v>
      </c>
      <c r="AH219" s="237" t="str">
        <f t="shared" si="110"/>
        <v>"%USERPROFILE%\Documents\GitHub\eaglep3\Utilities\RefineRTDCRunTimes.py" --tripid 308-01 --locoid 4019 --swversion DE.1.0.9.0 --startMP 300:23428 --initTime 2017-12-01T04:15:46 --startdatetime 2017-12-01T04:20:25 --delay 85 --endMP 204:218 --enddatetime 2017-12-01T04:28:31 --enforcementcount 0 &gt;&gt;%USERPROFILE%\Documents\GitHub\eaglep3-reporting\EC\2017-12-01-refined-times.txt</v>
      </c>
      <c r="AI219" s="239" t="str">
        <f t="shared" si="111"/>
        <v>echo {"issue":{"subject":"","project_id":79,"tracker_id":40,"status_id":1,"priority_id":2,"assigned_to_id":338,"start_date":"2017-12-01","description":"","custom_fields":[{"id":1,"name":"Subdivision","value":"Other"},{"id":4,"name":"Milepost","value":"0.0218"},{"id":17,"name":"Train ID","value":"308-01"},{"id":16,"name":"Locomotive ID","value":"4019"},{"id":130,"name":"Impact","value":""},{"id":150,"name":"Time of Event (Mountain Time)","value":"04:28:31"},{"id":151,"name":"Denver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224"/>
      <c r="AK219" s="232"/>
      <c r="AL219" s="232"/>
      <c r="AM219" s="241" t="str">
        <f t="shared" si="112"/>
        <v>start /low /b %USERPROFILE%\Documents\GitHub\eaglep3\Utilities\DownloadLogsFromS3.py --loco 4019 --day 2017-12-01</v>
      </c>
      <c r="AN219" s="242" t="str">
        <f t="shared" si="1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11:28:31"},{"id":29,"name":"Sharepoint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1" t="str">
        <f t="shared" si="114"/>
        <v>https://d0f6bd738d7f1b3e5a7ca70fe4ff75f0.us-east-1.aws.found.io/app/kibana#/discover/Steve-Slow-Train-Analysis-(2080s-and-2083s)?_g=(refreshInterval:(display:Off,pause:!f,section:0,value:0),time:(from:'2017-12-01T03:15:46-0700',mode:absolute,to:'2017-12-01T05:28:31-0700'))&amp;_a=(columns:!('Message%20ID',Summary),filters:!(),index:'emp_*',interval:auto,query:(query_string:(analyze_wildcard:!t,query:'%22rtdc.l.rtdc.4019%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25">
      <c r="A220" s="230" t="s">
        <v>958</v>
      </c>
      <c r="B220" s="226">
        <v>4040</v>
      </c>
      <c r="C220" s="228" t="s">
        <v>192</v>
      </c>
      <c r="D220" s="228" t="s">
        <v>636</v>
      </c>
      <c r="E220" s="227">
        <v>43071.070451388892</v>
      </c>
      <c r="F220" s="227">
        <v>43071.07234953704</v>
      </c>
      <c r="G220" s="226">
        <v>77</v>
      </c>
      <c r="H220" s="228" t="s">
        <v>473</v>
      </c>
      <c r="I220" s="227">
        <v>43071.081944444442</v>
      </c>
      <c r="J220" s="226">
        <v>0</v>
      </c>
      <c r="K220" s="238" t="str">
        <f t="shared" si="102"/>
        <v>4039/4040</v>
      </c>
      <c r="L220" s="246" t="str">
        <f>VLOOKUP(A220,'Trips&amp;Operators'!$C$1:$G$99911,5,FALSE)</f>
        <v>NICHOLSON WESLEY</v>
      </c>
      <c r="M220" s="225">
        <f t="shared" ref="M220:M234" si="116">I220-F220</f>
        <v>9.594907402060926E-3</v>
      </c>
      <c r="N220" s="226">
        <f t="shared" si="100"/>
        <v>13.816666658967733</v>
      </c>
      <c r="O220" s="226"/>
      <c r="P220" s="226"/>
      <c r="Q220" s="229"/>
      <c r="R220" s="243"/>
      <c r="S220" s="250">
        <f t="shared" si="101"/>
        <v>1</v>
      </c>
      <c r="T220" s="243" t="str">
        <f t="shared" si="103"/>
        <v>NorthBound</v>
      </c>
      <c r="U220" s="24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49" t="str">
        <f t="shared" si="104"/>
        <v>https://d0f6bd738d7f1b3e5a7ca70fe4ff75f0.us-east-1.aws.found.io/app/kibana#/discover/Steve-Slow-Train-Analysis-(2080s-and-2083s)?_g=(refreshInterval:(display:Off,pause:!f,section:0,value:0),time:(from:'2017-12-02T00:41:27-0700',mode:absolute,to:'2017-12-02T02:58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0" s="248" t="str">
        <f>IF(AA220&lt;VLOOKUP(AG220,Variables!$AC$3:$AD$8,2,FALSE),"Y","N")</f>
        <v>Y</v>
      </c>
      <c r="X220" s="248">
        <f t="shared" si="115"/>
        <v>1</v>
      </c>
      <c r="Y220" s="248">
        <f t="shared" si="98"/>
        <v>5.5500000000000001E-2</v>
      </c>
      <c r="Z220" s="248">
        <f t="shared" si="99"/>
        <v>2.3306</v>
      </c>
      <c r="AA220" s="248">
        <f t="shared" si="105"/>
        <v>2.2751000000000001</v>
      </c>
      <c r="AB220" s="234" t="e">
        <f>VLOOKUP(A220,Enforcements!$C$7:$K$9,8,0)</f>
        <v>#N/A</v>
      </c>
      <c r="AC220" s="233" t="e">
        <f>VLOOKUP(A220,Enforcements!$C$7:$E$9,3,0)</f>
        <v>#N/A</v>
      </c>
      <c r="AD220" s="244">
        <f t="shared" si="106"/>
        <v>309</v>
      </c>
      <c r="AE220" s="236" t="str">
        <f t="shared" si="107"/>
        <v>aws s3 cp s3://rtdc.mdm.uploadarchive.raw/RTDC4040/ "%USERPROFILE%\AppData\Local\Temp\OnboardLogs"\RTDC4040\2017-12-02 --exclude "*" --recursive --include "*20171202*" &amp; "%USERPROFILE%\Documents\GitHub\mrs-test-scripts\Headless Mode &amp; Sideloading\WalkAndUnGZ.bat" "%USERPROFILE%\AppData\Local\Temp\OnboardLogs"\RTDC4040\2017-12-02 &amp; aws s3 cp s3://rtdc.mdm.uploadarchive.raw/RTDC4040/ "%USERPROFILE%\AppData\Local\Temp\OnboardLogs"\RTDC4040\2017-12-03 --exclude "*" --recursive --include "*20171203*" &amp; "%USERPROFILE%\Documents\GitHub\mrs-test-scripts\Headless Mode &amp; Sideloading\WalkAndUnGZ.bat" "%USERPROFILE%\AppData\Local\Temp\OnboardLogs"\RTDC4040\2017-12-03</v>
      </c>
      <c r="AF220" s="235" t="str">
        <f t="shared" si="108"/>
        <v>"C:\Program Files (x86)\AstroGrep\AstroGrep.exe" /e /r /s /spath="%USERPROFILE%\AppData\Local\Temp\OnboardLogs" /stypes="app*4040*20171202*" /stext=" 08:.+((SYSTEM_STATE.+slice.+state.+changed )|(ment ac)|(multiple cpu faults)|(system.+state.+changed )|(\[timeout)|(PRM\|1\|D)|(kpr)|(kdp)|(train st.+moving)|(\|lc)|(penalty))"</v>
      </c>
      <c r="AG220" s="245" t="str">
        <f t="shared" si="109"/>
        <v>Other</v>
      </c>
      <c r="AH220" s="237" t="str">
        <f t="shared" si="110"/>
        <v>"%USERPROFILE%\Documents\GitHub\eaglep3\Utilities\RefineRTDCRunTimes.py" --tripid 309-01 --locoid 4040 --swversion DE.1.0.9.0 --startMP 204:555 --initTime 2017-12-02T01:41:27 --startdatetime 2017-12-02T01:44:11 --delay 77 --endMP 300:23306 --enddatetime 2017-12-02T01:58:00 --enforcementcount 0 &gt;&gt;%USERPROFILE%\Documents\GitHub\eaglep3-reporting\EC\2017-12-01-refined-times.txt</v>
      </c>
      <c r="AI220" s="239" t="str">
        <f t="shared" si="111"/>
        <v>echo {"issue":{"subject":"","project_id":79,"tracker_id":40,"status_id":1,"priority_id":2,"assigned_to_id":338,"start_date":"2017-12-02","description":"","custom_fields":[{"id":1,"name":"Subdivision","value":"Other"},{"id":4,"name":"Milepost","value":"2.3306"},{"id":17,"name":"Train ID","value":"309-01"},{"id":16,"name":"Locomotive ID","value":"4040"},{"id":130,"name":"Impact","value":""},{"id":150,"name":"Time of Event (Mountain Time)","value":"01:58:00"},{"id":151,"name":"Denver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4"/>
      <c r="AK220" s="232"/>
      <c r="AL220" s="232"/>
      <c r="AM220" s="241" t="str">
        <f t="shared" si="112"/>
        <v>start /low /b %USERPROFILE%\Documents\GitHub\eaglep3\Utilities\DownloadLogsFromS3.py --loco 4040 --day 2017-12-02</v>
      </c>
      <c r="AN220" s="242" t="str">
        <f t="shared" si="1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08:58:00"},{"id":29,"name":"Sharepoint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1" t="str">
        <f t="shared" si="114"/>
        <v>https://d0f6bd738d7f1b3e5a7ca70fe4ff75f0.us-east-1.aws.found.io/app/kibana#/discover/Steve-Slow-Train-Analysis-(2080s-and-2083s)?_g=(refreshInterval:(display:Off,pause:!f,section:0,value:0),time:(from:'2017-12-02T00:41:27-0700',mode:absolute,to:'2017-12-02T02:58:00-0700'))&amp;_a=(columns:!('Message%20ID',Summary),filters:!(),index:'emp_*',interval:auto,query:(query_string:(analyze_wildcard:!t,query:'%22rtdc.l.rtdc.4040%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25">
      <c r="A221" s="230" t="s">
        <v>764</v>
      </c>
      <c r="B221" s="226">
        <v>4045</v>
      </c>
      <c r="C221" s="228" t="s">
        <v>192</v>
      </c>
      <c r="D221" s="228" t="s">
        <v>1031</v>
      </c>
      <c r="E221" s="227">
        <v>43070.1955787037</v>
      </c>
      <c r="F221" s="227">
        <v>43070.198171296295</v>
      </c>
      <c r="G221" s="226">
        <v>60</v>
      </c>
      <c r="H221" s="228" t="s">
        <v>422</v>
      </c>
      <c r="I221" s="227">
        <v>43070.203541666669</v>
      </c>
      <c r="J221" s="226">
        <v>0</v>
      </c>
      <c r="K221" s="238" t="str">
        <f t="shared" si="102"/>
        <v>4045/4046</v>
      </c>
      <c r="L221" s="246" t="str">
        <f>VLOOKUP(A221,'Trips&amp;Operators'!$C$1:$G$99911,5,FALSE)</f>
        <v>MACDONALD THOMAS</v>
      </c>
      <c r="M221" s="225">
        <f t="shared" si="116"/>
        <v>5.3703703742939979E-3</v>
      </c>
      <c r="N221" s="226">
        <f t="shared" si="100"/>
        <v>7.733333338983357</v>
      </c>
      <c r="O221" s="226"/>
      <c r="P221" s="226"/>
      <c r="Q221" s="229"/>
      <c r="R221" s="243"/>
      <c r="S221" s="250">
        <f t="shared" si="101"/>
        <v>1</v>
      </c>
      <c r="T221" s="243" t="str">
        <f t="shared" si="103"/>
        <v>Southbound</v>
      </c>
      <c r="U221" s="24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9" t="str">
        <f t="shared" si="104"/>
        <v>https://d0f6bd738d7f1b3e5a7ca70fe4ff75f0.us-east-1.aws.found.io/app/kibana#/discover/Steve-Slow-Train-Analysis-(2080s-and-2083s)?_g=(refreshInterval:(display:Off,pause:!f,section:0,value:0),time:(from:'2017-12-01T03:41:38-0700',mode:absolute,to:'2017-12-01T05:53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1" s="248" t="str">
        <f>IF(AA221&lt;VLOOKUP(AG221,Variables!$AC$3:$AD$8,2,FALSE),"Y","N")</f>
        <v>Y</v>
      </c>
      <c r="X221" s="248">
        <f t="shared" si="115"/>
        <v>1</v>
      </c>
      <c r="Y221" s="248">
        <f t="shared" si="98"/>
        <v>2.3334000000000001</v>
      </c>
      <c r="Z221" s="248">
        <f t="shared" si="99"/>
        <v>2.18E-2</v>
      </c>
      <c r="AA221" s="248">
        <f t="shared" si="105"/>
        <v>2.3116000000000003</v>
      </c>
      <c r="AB221" s="234" t="e">
        <f>VLOOKUP(A221,Enforcements!$C$7:$K$9,8,0)</f>
        <v>#N/A</v>
      </c>
      <c r="AC221" s="233" t="e">
        <f>VLOOKUP(A221,Enforcements!$C$7:$E$9,3,0)</f>
        <v>#N/A</v>
      </c>
      <c r="AD221" s="244">
        <f t="shared" si="106"/>
        <v>310</v>
      </c>
      <c r="AE221" s="236" t="str">
        <f t="shared" si="107"/>
        <v>aws s3 cp s3://rtdc.mdm.uploadarchive.raw/RTDC4045/ "%USERPROFILE%\AppData\Local\Temp\OnboardLogs"\RTDC4045\2017-12-01 --exclude "*" --recursive --include "*20171201*" &amp; "%USERPROFILE%\Documents\GitHub\mrs-test-scripts\Headless Mode &amp; Sideloading\WalkAndUnGZ.bat" "%USERPROFILE%\AppData\Local\Temp\OnboardLogs"\RTDC4045\2017-12-01 &amp; aws s3 cp s3://rtdc.mdm.uploadarchive.raw/RTDC4045/ "%USERPROFILE%\AppData\Local\Temp\OnboardLogs"\RTDC4045\2017-12-02 --exclude "*" --recursive --include "*20171202*" &amp; "%USERPROFILE%\Documents\GitHub\mrs-test-scripts\Headless Mode &amp; Sideloading\WalkAndUnGZ.bat" "%USERPROFILE%\AppData\Local\Temp\OnboardLogs"\RTDC4045\2017-12-02</v>
      </c>
      <c r="AF221" s="235" t="str">
        <f t="shared" si="108"/>
        <v>"C:\Program Files (x86)\AstroGrep\AstroGrep.exe" /e /r /s /spath="%USERPROFILE%\AppData\Local\Temp\OnboardLogs" /stypes="app*4045*20171201*" /stext=" 11:.+((SYSTEM_STATE.+slice.+state.+changed )|(ment ac)|(multiple cpu faults)|(system.+state.+changed )|(\[timeout)|(PRM\|1\|D)|(kpr)|(kdp)|(train st.+moving)|(\|lc)|(penalty))"</v>
      </c>
      <c r="AG221" s="245" t="str">
        <f t="shared" si="109"/>
        <v>Other</v>
      </c>
      <c r="AH221" s="237" t="str">
        <f t="shared" si="110"/>
        <v>"%USERPROFILE%\Documents\GitHub\eaglep3\Utilities\RefineRTDCRunTimes.py" --tripid 310-01 --locoid 4045 --swversion DE.1.0.9.0 --startMP 300:23334 --initTime 2017-12-01T04:41:38 --startdatetime 2017-12-01T04:45:22 --delay 60 --endMP 204:218 --enddatetime 2017-12-01T04:53:06 --enforcementcount 0 &gt;&gt;%USERPROFILE%\Documents\GitHub\eaglep3-reporting\EC\2017-12-01-refined-times.txt</v>
      </c>
      <c r="AI221" s="239" t="str">
        <f t="shared" si="111"/>
        <v>echo {"issue":{"subject":"","project_id":79,"tracker_id":40,"status_id":1,"priority_id":2,"assigned_to_id":338,"start_date":"2017-12-01","description":"","custom_fields":[{"id":1,"name":"Subdivision","value":"Other"},{"id":4,"name":"Milepost","value":"0.0218"},{"id":17,"name":"Train ID","value":"310-01"},{"id":16,"name":"Locomotive ID","value":"4045"},{"id":130,"name":"Impact","value":""},{"id":150,"name":"Time of Event (Mountain Time)","value":"04:53:06"},{"id":151,"name":"Denver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4"/>
      <c r="AK221" s="232"/>
      <c r="AL221" s="232"/>
      <c r="AM221" s="241" t="str">
        <f t="shared" si="112"/>
        <v>start /low /b %USERPROFILE%\Documents\GitHub\eaglep3\Utilities\DownloadLogsFromS3.py --loco 4045 --day 2017-12-01</v>
      </c>
      <c r="AN221" s="242" t="str">
        <f t="shared" si="1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11:53:06"},{"id":29,"name":"Sharepoint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1" t="str">
        <f t="shared" si="114"/>
        <v>https://d0f6bd738d7f1b3e5a7ca70fe4ff75f0.us-east-1.aws.found.io/app/kibana#/discover/Steve-Slow-Train-Analysis-(2080s-and-2083s)?_g=(refreshInterval:(display:Off,pause:!f,section:0,value:0),time:(from:'2017-12-01T03:41:38-0700',mode:absolute,to:'2017-12-01T05:53:06-0700'))&amp;_a=(columns:!('Message%20ID',Summary),filters:!(),index:'emp_*',interval:auto,query:(query_string:(analyze_wildcard:!t,query:'%22rtdc.l.rtdc.4045%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25">
      <c r="A222" s="230" t="s">
        <v>771</v>
      </c>
      <c r="B222" s="226">
        <v>4049</v>
      </c>
      <c r="C222" s="228" t="s">
        <v>192</v>
      </c>
      <c r="D222" s="228" t="s">
        <v>1032</v>
      </c>
      <c r="E222" s="227">
        <v>43070.218900462962</v>
      </c>
      <c r="F222" s="227">
        <v>43070.222604166665</v>
      </c>
      <c r="G222" s="226">
        <v>87</v>
      </c>
      <c r="H222" s="228" t="s">
        <v>675</v>
      </c>
      <c r="I222" s="227">
        <v>43070.228472222225</v>
      </c>
      <c r="J222" s="226">
        <v>0</v>
      </c>
      <c r="K222" s="238" t="str">
        <f t="shared" si="102"/>
        <v>4049/4050</v>
      </c>
      <c r="L222" s="246" t="str">
        <f>VLOOKUP(A222,'Trips&amp;Operators'!$C$1:$G$99911,5,FALSE)</f>
        <v>NICHOLAS PLOYSA</v>
      </c>
      <c r="M222" s="225">
        <f t="shared" si="116"/>
        <v>5.8680555594037287E-3</v>
      </c>
      <c r="N222" s="226">
        <f t="shared" si="100"/>
        <v>8.4500000055413693</v>
      </c>
      <c r="O222" s="226"/>
      <c r="P222" s="226"/>
      <c r="Q222" s="229"/>
      <c r="R222" s="243"/>
      <c r="S222" s="250">
        <f t="shared" si="101"/>
        <v>1</v>
      </c>
      <c r="T222" s="243" t="str">
        <f t="shared" si="103"/>
        <v>Southbound</v>
      </c>
      <c r="U222" s="24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49" t="str">
        <f t="shared" si="104"/>
        <v>https://d0f6bd738d7f1b3e5a7ca70fe4ff75f0.us-east-1.aws.found.io/app/kibana#/discover/Steve-Slow-Train-Analysis-(2080s-and-2083s)?_g=(refreshInterval:(display:Off,pause:!f,section:0,value:0),time:(from:'2017-12-01T04:15:13-0700',mode:absolute,to:'2017-12-01T06:29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2" s="248" t="str">
        <f>IF(AA222&lt;VLOOKUP(AG222,Variables!$AC$3:$AD$8,2,FALSE),"Y","N")</f>
        <v>Y</v>
      </c>
      <c r="X222" s="248">
        <f t="shared" si="115"/>
        <v>2</v>
      </c>
      <c r="Y222" s="248">
        <f t="shared" si="98"/>
        <v>2.3714</v>
      </c>
      <c r="Z222" s="248">
        <f t="shared" si="99"/>
        <v>1.89E-2</v>
      </c>
      <c r="AA222" s="248">
        <f t="shared" si="105"/>
        <v>2.3525</v>
      </c>
      <c r="AB222" s="234" t="e">
        <f>VLOOKUP(A222,Enforcements!$C$7:$K$9,8,0)</f>
        <v>#N/A</v>
      </c>
      <c r="AC222" s="233" t="e">
        <f>VLOOKUP(A222,Enforcements!$C$7:$E$9,3,0)</f>
        <v>#N/A</v>
      </c>
      <c r="AD222" s="244">
        <f t="shared" si="106"/>
        <v>312</v>
      </c>
      <c r="AE222" s="236" t="str">
        <f t="shared" si="107"/>
        <v>aws s3 cp s3://rtdc.mdm.uploadarchive.raw/RTDC4049/ "%USERPROFILE%\AppData\Local\Temp\OnboardLogs"\RTDC4049\2017-12-01 --exclude "*" --recursive --include "*20171201*" &amp; "%USERPROFILE%\Documents\GitHub\mrs-test-scripts\Headless Mode &amp; Sideloading\WalkAndUnGZ.bat" "%USERPROFILE%\AppData\Local\Temp\OnboardLogs"\RTDC4049\2017-12-01 &amp; aws s3 cp s3://rtdc.mdm.uploadarchive.raw/RTDC4049/ "%USERPROFILE%\AppData\Local\Temp\OnboardLogs"\RTDC4049\2017-12-02 --exclude "*" --recursive --include "*20171202*" &amp; "%USERPROFILE%\Documents\GitHub\mrs-test-scripts\Headless Mode &amp; Sideloading\WalkAndUnGZ.bat" "%USERPROFILE%\AppData\Local\Temp\OnboardLogs"\RTDC4049\2017-12-02</v>
      </c>
      <c r="AF222" s="235" t="str">
        <f t="shared" si="108"/>
        <v>"C:\Program Files (x86)\AstroGrep\AstroGrep.exe" /e /r /s /spath="%USERPROFILE%\AppData\Local\Temp\OnboardLogs" /stypes="app*4049*20171201*" /stext=" 12:.+((SYSTEM_STATE.+slice.+state.+changed )|(ment ac)|(multiple cpu faults)|(system.+state.+changed )|(\[timeout)|(PRM\|1\|D)|(kpr)|(kdp)|(train st.+moving)|(\|lc)|(penalty))"</v>
      </c>
      <c r="AG222" s="245" t="str">
        <f t="shared" si="109"/>
        <v>Other</v>
      </c>
      <c r="AH222" s="237" t="str">
        <f t="shared" si="110"/>
        <v>"%USERPROFILE%\Documents\GitHub\eaglep3\Utilities\RefineRTDCRunTimes.py" --tripid 312-01 --locoid 4049 --swversion DE.1.0.9.0 --startMP 300:23714 --initTime 2017-12-01T05:15:13 --startdatetime 2017-12-01T05:20:33 --delay 87 --endMP 204:189 --enddatetime 2017-12-01T05:29:00 --enforcementcount 0 &gt;&gt;%USERPROFILE%\Documents\GitHub\eaglep3-reporting\EC\2017-12-01-refined-times.txt</v>
      </c>
      <c r="AI222" s="239" t="str">
        <f t="shared" si="111"/>
        <v>echo {"issue":{"subject":"","project_id":79,"tracker_id":40,"status_id":1,"priority_id":2,"assigned_to_id":338,"start_date":"2017-12-01","description":"","custom_fields":[{"id":1,"name":"Subdivision","value":"Other"},{"id":4,"name":"Milepost","value":"0.0189"},{"id":17,"name":"Train ID","value":"312-01"},{"id":16,"name":"Locomotive ID","value":"4049"},{"id":130,"name":"Impact","value":""},{"id":150,"name":"Time of Event (Mountain Time)","value":"05:29:00"},{"id":151,"name":"Denver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224"/>
      <c r="AK222" s="232"/>
      <c r="AL222" s="232"/>
      <c r="AM222" s="241" t="str">
        <f t="shared" si="112"/>
        <v>start /low /b %USERPROFILE%\Documents\GitHub\eaglep3\Utilities\DownloadLogsFromS3.py --loco 4049 --day 2017-12-01</v>
      </c>
      <c r="AN222" s="242" t="str">
        <f t="shared" si="1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12:29:00"},{"id":29,"name":"Sharepoint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1" t="str">
        <f t="shared" si="114"/>
        <v>https://d0f6bd738d7f1b3e5a7ca70fe4ff75f0.us-east-1.aws.found.io/app/kibana#/discover/Steve-Slow-Train-Analysis-(2080s-and-2083s)?_g=(refreshInterval:(display:Off,pause:!f,section:0,value:0),time:(from:'2017-12-01T04:15:13-0700',mode:absolute,to:'2017-12-01T06:29:00-0700'))&amp;_a=(columns:!('Message%20ID',Summary),filters:!(),index:'emp_*',interval:auto,query:(query_string:(analyze_wildcard:!t,query:'%22rtdc.l.rtdc.4049%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24" customFormat="1" x14ac:dyDescent="0.25">
      <c r="A223" s="230" t="s">
        <v>765</v>
      </c>
      <c r="B223" s="226">
        <v>4016</v>
      </c>
      <c r="C223" s="228" t="s">
        <v>192</v>
      </c>
      <c r="D223" s="228" t="s">
        <v>1076</v>
      </c>
      <c r="E223" s="227">
        <v>43070.19767361111</v>
      </c>
      <c r="F223" s="227">
        <v>43070.202789351853</v>
      </c>
      <c r="G223" s="226">
        <v>100</v>
      </c>
      <c r="H223" s="228" t="s">
        <v>577</v>
      </c>
      <c r="I223" s="227">
        <v>43070.208622685182</v>
      </c>
      <c r="J223" s="226">
        <v>0</v>
      </c>
      <c r="K223" s="238" t="str">
        <f t="shared" si="102"/>
        <v>4015/4016</v>
      </c>
      <c r="L223" s="246" t="str">
        <f>VLOOKUP(A223,'Trips&amp;Operators'!$C$1:$G$99911,5,FALSE)</f>
        <v>WILLIAMS DONTE</v>
      </c>
      <c r="M223" s="225">
        <f t="shared" si="116"/>
        <v>5.8333333290647715E-3</v>
      </c>
      <c r="N223" s="226">
        <f t="shared" si="100"/>
        <v>8.399999993853271</v>
      </c>
      <c r="O223" s="226"/>
      <c r="P223" s="226"/>
      <c r="Q223" s="229"/>
      <c r="R223" s="243"/>
      <c r="S223" s="250">
        <f t="shared" si="101"/>
        <v>0</v>
      </c>
      <c r="T223" s="243" t="str">
        <f t="shared" si="103"/>
        <v>NorthBound</v>
      </c>
      <c r="U223" s="24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49" t="str">
        <f t="shared" si="104"/>
        <v>https://d0f6bd738d7f1b3e5a7ca70fe4ff75f0.us-east-1.aws.found.io/app/kibana#/discover/Steve-Slow-Train-Analysis-(2080s-and-2083s)?_g=(refreshInterval:(display:Off,pause:!f,section:0,value:0),time:(from:'2017-12-01T03:44:39-0700',mode:absolute,to:'2017-12-01T06:00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3" s="248" t="str">
        <f>IF(AA223&lt;VLOOKUP(AG223,Variables!$AC$3:$AD$8,2,FALSE),"Y","N")</f>
        <v>Y</v>
      </c>
      <c r="X223" s="248">
        <f t="shared" si="115"/>
        <v>589</v>
      </c>
      <c r="Y223" s="248">
        <f t="shared" si="98"/>
        <v>2.9952999999999999</v>
      </c>
      <c r="Z223" s="248">
        <f t="shared" si="99"/>
        <v>5.8949999999999996</v>
      </c>
      <c r="AA223" s="248">
        <f t="shared" si="105"/>
        <v>2.8996999999999997</v>
      </c>
      <c r="AB223" s="234" t="e">
        <f>VLOOKUP(A223,Enforcements!$C$7:$K$9,8,0)</f>
        <v>#N/A</v>
      </c>
      <c r="AC223" s="233" t="e">
        <f>VLOOKUP(A223,Enforcements!$C$7:$E$9,3,0)</f>
        <v>#N/A</v>
      </c>
      <c r="AD223" s="244">
        <f t="shared" si="106"/>
        <v>901</v>
      </c>
      <c r="AE223" s="236" t="str">
        <f t="shared" si="107"/>
        <v>aws s3 cp s3://rtdc.mdm.uploadarchive.raw/RTDC4016/ "%USERPROFILE%\AppData\Local\Temp\OnboardLogs"\RTDC4016\2017-12-01 --exclude "*" --recursive --include "*20171201*" &amp; "%USERPROFILE%\Documents\GitHub\mrs-test-scripts\Headless Mode &amp; Sideloading\WalkAndUnGZ.bat" "%USERPROFILE%\AppData\Local\Temp\OnboardLogs"\RTDC4016\2017-12-01 &amp; aws s3 cp s3://rtdc.mdm.uploadarchive.raw/RTDC4016/ "%USERPROFILE%\AppData\Local\Temp\OnboardLogs"\RTDC4016\2017-12-02 --exclude "*" --recursive --include "*20171202*" &amp; "%USERPROFILE%\Documents\GitHub\mrs-test-scripts\Headless Mode &amp; Sideloading\WalkAndUnGZ.bat" "%USERPROFILE%\AppData\Local\Temp\OnboardLogs"\RTDC4016\2017-12-02</v>
      </c>
      <c r="AF223" s="235" t="str">
        <f t="shared" si="108"/>
        <v>"C:\Program Files (x86)\AstroGrep\AstroGrep.exe" /e /r /s /spath="%USERPROFILE%\AppData\Local\Temp\OnboardLogs" /stypes="app*4016*20171201*" /stext=" 12:.+((SYSTEM_STATE.+slice.+state.+changed )|(ment ac)|(multiple cpu faults)|(system.+state.+changed )|(\[timeout)|(PRM\|1\|D)|(kpr)|(kdp)|(train st.+moving)|(\|lc)|(penalty))"</v>
      </c>
      <c r="AG223" s="245" t="str">
        <f t="shared" si="109"/>
        <v>Other</v>
      </c>
      <c r="AH223" s="237" t="str">
        <f t="shared" si="110"/>
        <v>"%USERPROFILE%\Documents\GitHub\eaglep3\Utilities\RefineRTDCRunTimes.py" --tripid 901-01 --locoid 4016 --swversion DE.1.0.9.0 --startMP 300:29953 --initTime 2017-12-01T04:44:39 --startdatetime 2017-12-01T04:52:01 --delay 100 --endMP 300:58950 --enddatetime 2017-12-01T05:00:25 --enforcementcount 0 &gt;&gt;%USERPROFILE%\Documents\GitHub\eaglep3-reporting\EC\2017-12-01-refined-times.txt</v>
      </c>
      <c r="AI223" s="239" t="str">
        <f t="shared" si="111"/>
        <v>echo {"issue":{"subject":"","project_id":79,"tracker_id":40,"status_id":1,"priority_id":2,"assigned_to_id":338,"start_date":"2017-12-01","description":"","custom_fields":[{"id":1,"name":"Subdivision","value":"Other"},{"id":4,"name":"Milepost","value":"5.895"},{"id":17,"name":"Train ID","value":"901-01"},{"id":16,"name":"Locomotive ID","value":"4016"},{"id":130,"name":"Impact","value":""},{"id":150,"name":"Time of Event (Mountain Time)","value":"05:00:25"},{"id":151,"name":"Denver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232"/>
      <c r="AL223" s="232"/>
      <c r="AM223" s="241" t="str">
        <f t="shared" si="112"/>
        <v>start /low /b %USERPROFILE%\Documents\GitHub\eaglep3\Utilities\DownloadLogsFromS3.py --loco 4016 --day 2017-12-01</v>
      </c>
      <c r="AN223" s="242" t="str">
        <f t="shared" si="1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12:00:25"},{"id":29,"name":"Sharepoint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231" t="str">
        <f t="shared" si="114"/>
        <v>https://d0f6bd738d7f1b3e5a7ca70fe4ff75f0.us-east-1.aws.found.io/app/kibana#/discover/Steve-Slow-Train-Analysis-(2080s-and-2083s)?_g=(refreshInterval:(display:Off,pause:!f,section:0,value:0),time:(from:'2017-12-01T03:44:39-0700',mode:absolute,to:'2017-12-01T06:00:25-0700'))&amp;_a=(columns:!('Message%20ID',Summary),filters:!(),index:'emp_*',interval:auto,query:(query_string:(analyze_wildcard:!t,query:'%22rtdc.l.rtdc.4016%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 s="230" t="s">
        <v>777</v>
      </c>
      <c r="B224" s="226">
        <v>4021</v>
      </c>
      <c r="C224" s="228" t="s">
        <v>192</v>
      </c>
      <c r="D224" s="228" t="s">
        <v>1077</v>
      </c>
      <c r="E224" s="227">
        <v>43070.245486111111</v>
      </c>
      <c r="F224" s="227">
        <v>43070.248055555552</v>
      </c>
      <c r="G224" s="226">
        <v>61</v>
      </c>
      <c r="H224" s="228" t="s">
        <v>1078</v>
      </c>
      <c r="I224" s="227">
        <v>43070.253113425926</v>
      </c>
      <c r="J224" s="226">
        <v>0</v>
      </c>
      <c r="K224" s="238" t="str">
        <f t="shared" si="102"/>
        <v>4021/4022</v>
      </c>
      <c r="L224" s="246" t="str">
        <f>VLOOKUP(A224,'Trips&amp;Operators'!$C$1:$G$99911,5,FALSE)</f>
        <v>BIRENBAUM THOMAS</v>
      </c>
      <c r="M224" s="225">
        <f t="shared" si="116"/>
        <v>5.0578703740029596E-3</v>
      </c>
      <c r="N224" s="226">
        <f t="shared" si="100"/>
        <v>7.2833333385642618</v>
      </c>
      <c r="O224" s="226"/>
      <c r="P224" s="226"/>
      <c r="Q224" s="229"/>
      <c r="R224" s="243"/>
      <c r="S224" s="250">
        <f t="shared" si="101"/>
        <v>1</v>
      </c>
      <c r="T224" s="243" t="str">
        <f t="shared" si="103"/>
        <v>Southbound</v>
      </c>
      <c r="U224" s="24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249" t="str">
        <f t="shared" si="104"/>
        <v>https://d0f6bd738d7f1b3e5a7ca70fe4ff75f0.us-east-1.aws.found.io/app/kibana#/discover/Steve-Slow-Train-Analysis-(2080s-and-2083s)?_g=(refreshInterval:(display:Off,pause:!f,section:0,value:0),time:(from:'2017-12-01T04:53:30-0700',mode:absolute,to:'2017-12-01T07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4" s="248" t="str">
        <f>IF(AA224&lt;VLOOKUP(AG224,Variables!$AC$3:$AD$8,2,FALSE),"Y","N")</f>
        <v>Y</v>
      </c>
      <c r="X224" s="248">
        <f t="shared" si="115"/>
        <v>1</v>
      </c>
      <c r="Y224" s="248">
        <f t="shared" si="98"/>
        <v>2.3214000000000001</v>
      </c>
      <c r="Z224" s="248">
        <f t="shared" si="99"/>
        <v>1.0800000000000001E-2</v>
      </c>
      <c r="AA224" s="248">
        <f t="shared" si="105"/>
        <v>2.3106</v>
      </c>
      <c r="AB224" s="234" t="e">
        <f>VLOOKUP(A224,Enforcements!$C$7:$K$9,8,0)</f>
        <v>#N/A</v>
      </c>
      <c r="AC224" s="233" t="e">
        <f>VLOOKUP(A224,Enforcements!$C$7:$E$9,3,0)</f>
        <v>#N/A</v>
      </c>
      <c r="AD224" s="244">
        <f t="shared" si="106"/>
        <v>902</v>
      </c>
      <c r="AE224" s="236" t="str">
        <f t="shared" si="107"/>
        <v>aws s3 cp s3://rtdc.mdm.uploadarchive.raw/RTDC4021/ "%USERPROFILE%\AppData\Local\Temp\OnboardLogs"\RTDC4021\2017-12-01 --exclude "*" --recursive --include "*20171201*" &amp; "%USERPROFILE%\Documents\GitHub\mrs-test-scripts\Headless Mode &amp; Sideloading\WalkAndUnGZ.bat" "%USERPROFILE%\AppData\Local\Temp\OnboardLogs"\RTDC4021\2017-12-01 &amp; 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</v>
      </c>
      <c r="AF224" s="235" t="str">
        <f t="shared" si="108"/>
        <v>"C:\Program Files (x86)\AstroGrep\AstroGrep.exe" /e /r /s /spath="%USERPROFILE%\AppData\Local\Temp\OnboardLogs" /stypes="app*4021*20171201*" /stext=" 13:.+((SYSTEM_STATE.+slice.+state.+changed )|(ment ac)|(multiple cpu faults)|(system.+state.+changed )|(\[timeout)|(PRM\|1\|D)|(kpr)|(kdp)|(train st.+moving)|(\|lc)|(penalty))"</v>
      </c>
      <c r="AG224" s="245" t="str">
        <f t="shared" si="109"/>
        <v>Other</v>
      </c>
      <c r="AH224" s="237" t="str">
        <f t="shared" si="110"/>
        <v>"%USERPROFILE%\Documents\GitHub\eaglep3\Utilities\RefineRTDCRunTimes.py" --tripid 902-01 --locoid 4021 --swversion DE.1.0.9.0 --startMP 300:23214 --initTime 2017-12-01T05:53:30 --startdatetime 2017-12-01T05:57:12 --delay 61 --endMP 204:108 --enddatetime 2017-12-01T06:04:29 --enforcementcount 0 &gt;&gt;%USERPROFILE%\Documents\GitHub\eaglep3-reporting\EC\2017-12-01-refined-times.txt</v>
      </c>
      <c r="AI224" s="239" t="str">
        <f t="shared" si="111"/>
        <v>echo {"issue":{"subject":"","project_id":79,"tracker_id":40,"status_id":1,"priority_id":2,"assigned_to_id":338,"start_date":"2017-12-01","description":"","custom_fields":[{"id":1,"name":"Subdivision","value":"Other"},{"id":4,"name":"Milepost","value":"0.0108"},{"id":17,"name":"Train ID","value":"902-01"},{"id":16,"name":"Locomotive ID","value":"4021"},{"id":130,"name":"Impact","value":""},{"id":150,"name":"Time of Event (Mountain Time)","value":"06:04:29"},{"id":151,"name":"Denver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224"/>
      <c r="AK224" s="232"/>
      <c r="AL224" s="232"/>
      <c r="AM224" s="241" t="str">
        <f t="shared" si="112"/>
        <v>start /low /b %USERPROFILE%\Documents\GitHub\eaglep3\Utilities\DownloadLogsFromS3.py --loco 4021 --day 2017-12-01</v>
      </c>
      <c r="AN224" s="242" t="str">
        <f t="shared" si="1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13:04:29"},{"id":29,"name":"Sharepoint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231" t="str">
        <f t="shared" si="114"/>
        <v>https://d0f6bd738d7f1b3e5a7ca70fe4ff75f0.us-east-1.aws.found.io/app/kibana#/discover/Steve-Slow-Train-Analysis-(2080s-and-2083s)?_g=(refreshInterval:(display:Off,pause:!f,section:0,value:0),time:(from:'2017-12-01T04:53:30-0700',mode:absolute,to:'2017-12-01T07:04:29-0700'))&amp;_a=(columns:!('Message%20ID',Summary),filters:!(),index:'emp_*',interval:auto,query:(query_string:(analyze_wildcard:!t,query:'%22rtdc.l.rtdc.4021%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25">
      <c r="A225" s="230" t="s">
        <v>809</v>
      </c>
      <c r="B225" s="226">
        <v>4016</v>
      </c>
      <c r="C225" s="228" t="s">
        <v>192</v>
      </c>
      <c r="D225" s="228" t="s">
        <v>1079</v>
      </c>
      <c r="E225" s="227">
        <v>43070.353182870371</v>
      </c>
      <c r="F225" s="227">
        <v>43070.356423611112</v>
      </c>
      <c r="G225" s="226">
        <v>59</v>
      </c>
      <c r="H225" s="228" t="s">
        <v>1080</v>
      </c>
      <c r="I225" s="227">
        <v>43070.362708333334</v>
      </c>
      <c r="J225" s="226">
        <v>0</v>
      </c>
      <c r="K225" s="238" t="str">
        <f t="shared" si="102"/>
        <v>4015/4016</v>
      </c>
      <c r="L225" s="246" t="str">
        <f>VLOOKUP(A225,'Trips&amp;Operators'!$C$1:$G$99911,5,FALSE)</f>
        <v>WILLIAMS DONTE</v>
      </c>
      <c r="M225" s="225">
        <f t="shared" si="116"/>
        <v>6.284722221607808E-3</v>
      </c>
      <c r="N225" s="226">
        <f t="shared" si="100"/>
        <v>9.0499999991152436</v>
      </c>
      <c r="O225" s="226"/>
      <c r="P225" s="226"/>
      <c r="Q225" s="229"/>
      <c r="R225" s="243"/>
      <c r="S225" s="250">
        <f t="shared" si="101"/>
        <v>1</v>
      </c>
      <c r="T225" s="243" t="str">
        <f t="shared" si="103"/>
        <v>NorthBound</v>
      </c>
      <c r="U225" s="24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249" t="str">
        <f t="shared" si="104"/>
        <v>https://d0f6bd738d7f1b3e5a7ca70fe4ff75f0.us-east-1.aws.found.io/app/kibana#/discover/Steve-Slow-Train-Analysis-(2080s-and-2083s)?_g=(refreshInterval:(display:Off,pause:!f,section:0,value:0),time:(from:'2017-12-01T07:28:35-0700',mode:absolute,to:'2017-12-01T09:42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5" s="248" t="str">
        <f>IF(AA225&lt;VLOOKUP(AG225,Variables!$AC$3:$AD$8,2,FALSE),"Y","N")</f>
        <v>Y</v>
      </c>
      <c r="X225" s="248">
        <f t="shared" si="115"/>
        <v>1</v>
      </c>
      <c r="Y225" s="248">
        <f t="shared" ref="Y225:Y234" si="117">RIGHT(D225,LEN(D225)-4)/10000</f>
        <v>4.0099999999999997E-2</v>
      </c>
      <c r="Z225" s="248">
        <f t="shared" ref="Z225:Z234" si="118">RIGHT(H225,LEN(H225)-4)/10000</f>
        <v>2.4256000000000002</v>
      </c>
      <c r="AA225" s="248">
        <f t="shared" si="105"/>
        <v>2.3855000000000004</v>
      </c>
      <c r="AB225" s="234" t="e">
        <f>VLOOKUP(A225,Enforcements!$C$7:$K$9,8,0)</f>
        <v>#N/A</v>
      </c>
      <c r="AC225" s="233" t="e">
        <f>VLOOKUP(A225,Enforcements!$C$7:$E$9,3,0)</f>
        <v>#N/A</v>
      </c>
      <c r="AD225" s="244">
        <f t="shared" si="106"/>
        <v>903</v>
      </c>
      <c r="AE225" s="236" t="str">
        <f t="shared" si="107"/>
        <v>aws s3 cp s3://rtdc.mdm.uploadarchive.raw/RTDC4016/ "%USERPROFILE%\AppData\Local\Temp\OnboardLogs"\RTDC4016\2017-12-01 --exclude "*" --recursive --include "*20171201*" &amp; "%USERPROFILE%\Documents\GitHub\mrs-test-scripts\Headless Mode &amp; Sideloading\WalkAndUnGZ.bat" "%USERPROFILE%\AppData\Local\Temp\OnboardLogs"\RTDC4016\2017-12-01 &amp; aws s3 cp s3://rtdc.mdm.uploadarchive.raw/RTDC4016/ "%USERPROFILE%\AppData\Local\Temp\OnboardLogs"\RTDC4016\2017-12-02 --exclude "*" --recursive --include "*20171202*" &amp; "%USERPROFILE%\Documents\GitHub\mrs-test-scripts\Headless Mode &amp; Sideloading\WalkAndUnGZ.bat" "%USERPROFILE%\AppData\Local\Temp\OnboardLogs"\RTDC4016\2017-12-02</v>
      </c>
      <c r="AF225" s="235" t="str">
        <f t="shared" si="108"/>
        <v>"C:\Program Files (x86)\AstroGrep\AstroGrep.exe" /e /r /s /spath="%USERPROFILE%\AppData\Local\Temp\OnboardLogs" /stypes="app*4016*20171201*" /stext=" 15:.+((SYSTEM_STATE.+slice.+state.+changed )|(ment ac)|(multiple cpu faults)|(system.+state.+changed )|(\[timeout)|(PRM\|1\|D)|(kpr)|(kdp)|(train st.+moving)|(\|lc)|(penalty))"</v>
      </c>
      <c r="AG225" s="245" t="str">
        <f t="shared" si="109"/>
        <v>Other</v>
      </c>
      <c r="AH225" s="237" t="str">
        <f t="shared" si="110"/>
        <v>"%USERPROFILE%\Documents\GitHub\eaglep3\Utilities\RefineRTDCRunTimes.py" --tripid 903-01 --locoid 4016 --swversion DE.1.0.9.0 --startMP 204:401 --initTime 2017-12-01T08:28:35 --startdatetime 2017-12-01T08:33:15 --delay 59 --endMP 300:24256 --enddatetime 2017-12-01T08:42:18 --enforcementcount 0 &gt;&gt;%USERPROFILE%\Documents\GitHub\eaglep3-reporting\EC\2017-12-01-refined-times.txt</v>
      </c>
      <c r="AI225" s="239" t="str">
        <f t="shared" si="111"/>
        <v>echo {"issue":{"subject":"","project_id":79,"tracker_id":40,"status_id":1,"priority_id":2,"assigned_to_id":338,"start_date":"2017-12-01","description":"","custom_fields":[{"id":1,"name":"Subdivision","value":"Other"},{"id":4,"name":"Milepost","value":"2.4256"},{"id":17,"name":"Train ID","value":"903-01"},{"id":16,"name":"Locomotive ID","value":"4016"},{"id":130,"name":"Impact","value":""},{"id":150,"name":"Time of Event (Mountain Time)","value":"08:42:18"},{"id":151,"name":"Denver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224"/>
      <c r="AK225" s="232"/>
      <c r="AL225" s="232"/>
      <c r="AM225" s="241" t="str">
        <f t="shared" si="112"/>
        <v>start /low /b %USERPROFILE%\Documents\GitHub\eaglep3\Utilities\DownloadLogsFromS3.py --loco 4016 --day 2017-12-01</v>
      </c>
      <c r="AN225" s="242" t="str">
        <f t="shared" si="1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15:42:18"},{"id":29,"name":"Sharepoint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231" t="str">
        <f t="shared" si="114"/>
        <v>https://d0f6bd738d7f1b3e5a7ca70fe4ff75f0.us-east-1.aws.found.io/app/kibana#/discover/Steve-Slow-Train-Analysis-(2080s-and-2083s)?_g=(refreshInterval:(display:Off,pause:!f,section:0,value:0),time:(from:'2017-12-01T07:28:35-0700',mode:absolute,to:'2017-12-01T09:42:18-0700'))&amp;_a=(columns:!('Message%20ID',Summary),filters:!(),index:'emp_*',interval:auto,query:(query_string:(analyze_wildcard:!t,query:'%22rtdc.l.rtdc.4016%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25">
      <c r="A226" s="230" t="s">
        <v>877</v>
      </c>
      <c r="B226" s="226">
        <v>4015</v>
      </c>
      <c r="C226" s="228" t="s">
        <v>192</v>
      </c>
      <c r="D226" s="228" t="s">
        <v>1081</v>
      </c>
      <c r="E226" s="227">
        <v>43070.639976851853</v>
      </c>
      <c r="F226" s="227">
        <v>43070.642152777778</v>
      </c>
      <c r="G226" s="226">
        <v>69</v>
      </c>
      <c r="H226" s="228" t="s">
        <v>507</v>
      </c>
      <c r="I226" s="227">
        <v>43070.647488425922</v>
      </c>
      <c r="J226" s="226">
        <v>0</v>
      </c>
      <c r="K226" s="238" t="str">
        <f t="shared" si="102"/>
        <v>4015/4016</v>
      </c>
      <c r="L226" s="246" t="str">
        <f>VLOOKUP(A226,'Trips&amp;Operators'!$C$1:$G$99911,5,FALSE)</f>
        <v>SMITH MICHAEL</v>
      </c>
      <c r="M226" s="225">
        <f t="shared" si="116"/>
        <v>5.3356481439550407E-3</v>
      </c>
      <c r="N226" s="226">
        <f t="shared" ref="N226:N234" si="119">24*60*SUM($M226:$M226)</f>
        <v>7.6833333272952586</v>
      </c>
      <c r="O226" s="226"/>
      <c r="P226" s="226"/>
      <c r="Q226" s="229"/>
      <c r="R226" s="243"/>
      <c r="S226" s="250">
        <f t="shared" ref="S226:S234" si="120">1/IF(AG226="EC",12,1)*SUM(U226:U226)</f>
        <v>1</v>
      </c>
      <c r="T226" s="243" t="str">
        <f t="shared" si="103"/>
        <v>Southbound</v>
      </c>
      <c r="U226" s="24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249" t="str">
        <f t="shared" si="104"/>
        <v>https://d0f6bd738d7f1b3e5a7ca70fe4ff75f0.us-east-1.aws.found.io/app/kibana#/discover/Steve-Slow-Train-Analysis-(2080s-and-2083s)?_g=(refreshInterval:(display:Off,pause:!f,section:0,value:0),time:(from:'2017-12-01T14:21:34-0700',mode:absolute,to:'2017-12-01T16:32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6" s="248" t="str">
        <f>IF(AA226&lt;VLOOKUP(AG226,Variables!$AC$3:$AD$8,2,FALSE),"Y","N")</f>
        <v>Y</v>
      </c>
      <c r="X226" s="248">
        <f t="shared" si="115"/>
        <v>1</v>
      </c>
      <c r="Y226" s="248">
        <f t="shared" si="117"/>
        <v>2.3405999999999998</v>
      </c>
      <c r="Z226" s="248">
        <f t="shared" si="118"/>
        <v>1.5299999999999999E-2</v>
      </c>
      <c r="AA226" s="248">
        <f t="shared" si="105"/>
        <v>2.3252999999999999</v>
      </c>
      <c r="AB226" s="234" t="e">
        <f>VLOOKUP(A226,Enforcements!$C$7:$K$9,8,0)</f>
        <v>#N/A</v>
      </c>
      <c r="AC226" s="233" t="e">
        <f>VLOOKUP(A226,Enforcements!$C$7:$E$9,3,0)</f>
        <v>#N/A</v>
      </c>
      <c r="AD226" s="244">
        <f t="shared" si="106"/>
        <v>904</v>
      </c>
      <c r="AE226" s="236" t="str">
        <f t="shared" si="107"/>
        <v>aws s3 cp s3://rtdc.mdm.uploadarchive.raw/RTDC4015/ "%USERPROFILE%\AppData\Local\Temp\OnboardLogs"\RTDC4015\2017-12-01 --exclude "*" --recursive --include "*20171201*" &amp; "%USERPROFILE%\Documents\GitHub\mrs-test-scripts\Headless Mode &amp; Sideloading\WalkAndUnGZ.bat" "%USERPROFILE%\AppData\Local\Temp\OnboardLogs"\RTDC4015\2017-12-01 &amp; aws s3 cp s3://rtdc.mdm.uploadarchive.raw/RTDC4015/ "%USERPROFILE%\AppData\Local\Temp\OnboardLogs"\RTDC4015\2017-12-02 --exclude "*" --recursive --include "*20171202*" &amp; "%USERPROFILE%\Documents\GitHub\mrs-test-scripts\Headless Mode &amp; Sideloading\WalkAndUnGZ.bat" "%USERPROFILE%\AppData\Local\Temp\OnboardLogs"\RTDC4015\2017-12-02</v>
      </c>
      <c r="AF226" s="235" t="str">
        <f t="shared" si="108"/>
        <v>"C:\Program Files (x86)\AstroGrep\AstroGrep.exe" /e /r /s /spath="%USERPROFILE%\AppData\Local\Temp\OnboardLogs" /stypes="app*4015*20171201*" /stext=" 22:.+((SYSTEM_STATE.+slice.+state.+changed )|(ment ac)|(multiple cpu faults)|(system.+state.+changed )|(\[timeout)|(PRM\|1\|D)|(kpr)|(kdp)|(train st.+moving)|(\|lc)|(penalty))"</v>
      </c>
      <c r="AG226" s="245" t="str">
        <f t="shared" si="109"/>
        <v>Other</v>
      </c>
      <c r="AH226" s="237" t="str">
        <f t="shared" si="110"/>
        <v>"%USERPROFILE%\Documents\GitHub\eaglep3\Utilities\RefineRTDCRunTimes.py" --tripid 904-01 --locoid 4015 --swversion DE.1.0.9.0 --startMP 300:23406 --initTime 2017-12-01T15:21:34 --startdatetime 2017-12-01T15:24:42 --delay 69 --endMP 204:153 --enddatetime 2017-12-01T15:32:23 --enforcementcount 0 &gt;&gt;%USERPROFILE%\Documents\GitHub\eaglep3-reporting\EC\2017-12-01-refined-times.txt</v>
      </c>
      <c r="AI226" s="239" t="str">
        <f t="shared" si="111"/>
        <v>echo {"issue":{"subject":"","project_id":79,"tracker_id":40,"status_id":1,"priority_id":2,"assigned_to_id":338,"start_date":"2017-12-01","description":"","custom_fields":[{"id":1,"name":"Subdivision","value":"Other"},{"id":4,"name":"Milepost","value":"0.0153"},{"id":17,"name":"Train ID","value":"904-01"},{"id":16,"name":"Locomotive ID","value":"4015"},{"id":130,"name":"Impact","value":""},{"id":150,"name":"Time of Event (Mountain Time)","value":"15:32:23"},{"id":151,"name":"Denver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224"/>
      <c r="AK226" s="232"/>
      <c r="AL226" s="232"/>
      <c r="AM226" s="241" t="str">
        <f t="shared" si="112"/>
        <v>start /low /b %USERPROFILE%\Documents\GitHub\eaglep3\Utilities\DownloadLogsFromS3.py --loco 4015 --day 2017-12-01</v>
      </c>
      <c r="AN226" s="242" t="str">
        <f t="shared" si="1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22:32:23"},{"id":29,"name":"Sharepoint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231" t="str">
        <f t="shared" si="114"/>
        <v>https://d0f6bd738d7f1b3e5a7ca70fe4ff75f0.us-east-1.aws.found.io/app/kibana#/discover/Steve-Slow-Train-Analysis-(2080s-and-2083s)?_g=(refreshInterval:(display:Off,pause:!f,section:0,value:0),time:(from:'2017-12-01T14:21:34-0700',mode:absolute,to:'2017-12-01T16:32:23-0700'))&amp;_a=(columns:!('Message%20ID',Summary),filters:!(),index:'emp_*',interval:auto,query:(query_string:(analyze_wildcard:!t,query:'%22rtdc.l.rtdc.4015%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230" t="s">
        <v>921</v>
      </c>
      <c r="B227" s="226">
        <v>4015</v>
      </c>
      <c r="C227" s="228" t="s">
        <v>192</v>
      </c>
      <c r="D227" s="228" t="s">
        <v>1082</v>
      </c>
      <c r="E227" s="227">
        <v>43070.790277777778</v>
      </c>
      <c r="F227" s="227">
        <v>43070.792037037034</v>
      </c>
      <c r="G227" s="226">
        <v>57</v>
      </c>
      <c r="H227" s="228" t="s">
        <v>1083</v>
      </c>
      <c r="I227" s="227">
        <v>43070.802083333336</v>
      </c>
      <c r="J227" s="226">
        <v>0</v>
      </c>
      <c r="K227" s="238" t="str">
        <f t="shared" si="102"/>
        <v>4015/4016</v>
      </c>
      <c r="L227" s="246" t="str">
        <f>VLOOKUP(A227,'Trips&amp;Operators'!$C$1:$G$99911,5,FALSE)</f>
        <v>SMITH MICHAEL</v>
      </c>
      <c r="M227" s="225">
        <f t="shared" si="116"/>
        <v>1.004629630187992E-2</v>
      </c>
      <c r="N227" s="226">
        <f t="shared" si="119"/>
        <v>14.466666674707085</v>
      </c>
      <c r="O227" s="226"/>
      <c r="P227" s="226"/>
      <c r="Q227" s="229"/>
      <c r="R227" s="243"/>
      <c r="S227" s="250">
        <f t="shared" si="120"/>
        <v>0</v>
      </c>
      <c r="T227" s="243" t="str">
        <f t="shared" si="103"/>
        <v>Southbound</v>
      </c>
      <c r="U227" s="24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49" t="str">
        <f t="shared" si="104"/>
        <v>https://d0f6bd738d7f1b3e5a7ca70fe4ff75f0.us-east-1.aws.found.io/app/kibana#/discover/Steve-Slow-Train-Analysis-(2080s-and-2083s)?_g=(refreshInterval:(display:Off,pause:!f,section:0,value:0),time:(from:'2017-12-01T17:58:00-0700',mode:absolute,to:'2017-12-01T20:15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7" s="248" t="str">
        <f>IF(AA227&lt;VLOOKUP(AG227,Variables!$AC$3:$AD$8,2,FALSE),"Y","N")</f>
        <v>Y</v>
      </c>
      <c r="X227" s="248">
        <f t="shared" si="115"/>
        <v>2</v>
      </c>
      <c r="Y227" s="248">
        <f t="shared" si="117"/>
        <v>5.8640999999999996</v>
      </c>
      <c r="Z227" s="248">
        <f t="shared" si="118"/>
        <v>2.8797000000000001</v>
      </c>
      <c r="AA227" s="248">
        <f t="shared" si="105"/>
        <v>2.9843999999999995</v>
      </c>
      <c r="AB227" s="234" t="e">
        <f>VLOOKUP(A227,Enforcements!$C$7:$K$9,8,0)</f>
        <v>#N/A</v>
      </c>
      <c r="AC227" s="233" t="e">
        <f>VLOOKUP(A227,Enforcements!$C$7:$E$9,3,0)</f>
        <v>#N/A</v>
      </c>
      <c r="AD227" s="244">
        <f t="shared" si="106"/>
        <v>906</v>
      </c>
      <c r="AE227" s="236" t="str">
        <f t="shared" si="107"/>
        <v>aws s3 cp s3://rtdc.mdm.uploadarchive.raw/RTDC4015/ "%USERPROFILE%\AppData\Local\Temp\OnboardLogs"\RTDC4015\2017-12-01 --exclude "*" --recursive --include "*20171201*" &amp; "%USERPROFILE%\Documents\GitHub\mrs-test-scripts\Headless Mode &amp; Sideloading\WalkAndUnGZ.bat" "%USERPROFILE%\AppData\Local\Temp\OnboardLogs"\RTDC4015\2017-12-01 &amp; aws s3 cp s3://rtdc.mdm.uploadarchive.raw/RTDC4015/ "%USERPROFILE%\AppData\Local\Temp\OnboardLogs"\RTDC4015\2017-12-02 --exclude "*" --recursive --include "*20171202*" &amp; "%USERPROFILE%\Documents\GitHub\mrs-test-scripts\Headless Mode &amp; Sideloading\WalkAndUnGZ.bat" "%USERPROFILE%\AppData\Local\Temp\OnboardLogs"\RTDC4015\2017-12-02</v>
      </c>
      <c r="AF227" s="235" t="str">
        <f t="shared" si="108"/>
        <v>"C:\Program Files (x86)\AstroGrep\AstroGrep.exe" /e /r /s /spath="%USERPROFILE%\AppData\Local\Temp\OnboardLogs" /stypes="app*4015*20171202*" /stext=" 02:.+((SYSTEM_STATE.+slice.+state.+changed )|(ment ac)|(multiple cpu faults)|(system.+state.+changed )|(\[timeout)|(PRM\|1\|D)|(kpr)|(kdp)|(train st.+moving)|(\|lc)|(penalty))"</v>
      </c>
      <c r="AG227" s="245" t="str">
        <f t="shared" si="109"/>
        <v>Other</v>
      </c>
      <c r="AH227" s="237" t="str">
        <f t="shared" si="110"/>
        <v>"%USERPROFILE%\Documents\GitHub\eaglep3\Utilities\RefineRTDCRunTimes.py" --tripid 906-01 --locoid 4015 --swversion DE.1.0.9.0 --startMP 300:58641 --initTime 2017-12-01T18:58:00 --startdatetime 2017-12-01T19:00:32 --delay 57 --endMP 300:28797 --enddatetime 2017-12-01T19:15:00 --enforcementcount 0 &gt;&gt;%USERPROFILE%\Documents\GitHub\eaglep3-reporting\EC\2017-12-01-refined-times.txt</v>
      </c>
      <c r="AI227" s="239" t="str">
        <f t="shared" si="111"/>
        <v>echo {"issue":{"subject":"","project_id":79,"tracker_id":40,"status_id":1,"priority_id":2,"assigned_to_id":338,"start_date":"2017-12-01","description":"","custom_fields":[{"id":1,"name":"Subdivision","value":"Other"},{"id":4,"name":"Milepost","value":"2.8797"},{"id":17,"name":"Train ID","value":"906-01"},{"id":16,"name":"Locomotive ID","value":"4015"},{"id":130,"name":"Impact","value":""},{"id":150,"name":"Time of Event (Mountain Time)","value":"19:15:00"},{"id":151,"name":"Denver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7" s="224"/>
      <c r="AK227" s="232"/>
      <c r="AL227" s="232"/>
      <c r="AM227" s="241" t="str">
        <f t="shared" si="112"/>
        <v>start /low /b %USERPROFILE%\Documents\GitHub\eaglep3\Utilities\DownloadLogsFromS3.py --loco 4015 --day 2017-12-01</v>
      </c>
      <c r="AN227" s="242" t="str">
        <f t="shared" si="1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02:15:00"},{"id":29,"name":"Sharepoint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231" t="str">
        <f t="shared" si="114"/>
        <v>https://d0f6bd738d7f1b3e5a7ca70fe4ff75f0.us-east-1.aws.found.io/app/kibana#/discover/Steve-Slow-Train-Analysis-(2080s-and-2083s)?_g=(refreshInterval:(display:Off,pause:!f,section:0,value:0),time:(from:'2017-12-01T17:58:00-0700',mode:absolute,to:'2017-12-01T20:15:00-0700'))&amp;_a=(columns:!('Message%20ID',Summary),filters:!(),index:'emp_*',interval:auto,query:(query_string:(analyze_wildcard:!t,query:'%22rtdc.l.rtdc.4015%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25">
      <c r="A228" s="230" t="s">
        <v>752</v>
      </c>
      <c r="B228" s="226">
        <v>4025</v>
      </c>
      <c r="C228" s="228" t="s">
        <v>192</v>
      </c>
      <c r="D228" s="228" t="s">
        <v>644</v>
      </c>
      <c r="E228" s="227">
        <v>43070.141770833332</v>
      </c>
      <c r="F228" s="227">
        <v>43070.143217592595</v>
      </c>
      <c r="G228" s="226">
        <v>69</v>
      </c>
      <c r="H228" s="228" t="s">
        <v>1033</v>
      </c>
      <c r="I228" s="227">
        <v>43070.144247685188</v>
      </c>
      <c r="J228" s="226">
        <v>0</v>
      </c>
      <c r="K228" s="238" t="str">
        <f t="shared" si="102"/>
        <v>4025/4026</v>
      </c>
      <c r="L228" s="246" t="str">
        <f>VLOOKUP(A228,'Trips&amp;Operators'!$C$1:$G$99911,5,FALSE)</f>
        <v>SPECTOR MICHAEL</v>
      </c>
      <c r="M228" s="225">
        <f t="shared" si="116"/>
        <v>1.0300925932824612E-3</v>
      </c>
      <c r="N228" s="226">
        <f t="shared" si="119"/>
        <v>1.4833333343267441</v>
      </c>
      <c r="O228" s="226"/>
      <c r="P228" s="226"/>
      <c r="Q228" s="229"/>
      <c r="R228" s="243"/>
      <c r="S228" s="250">
        <f t="shared" si="120"/>
        <v>0</v>
      </c>
      <c r="T228" s="243" t="str">
        <f t="shared" si="103"/>
        <v>Southbound</v>
      </c>
      <c r="U228" s="24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49" t="str">
        <f t="shared" si="104"/>
        <v>https://d0f6bd738d7f1b3e5a7ca70fe4ff75f0.us-east-1.aws.found.io/app/kibana#/discover/Steve-Slow-Train-Analysis-(2080s-and-2083s)?_g=(refreshInterval:(display:Off,pause:!f,section:0,value:0),time:(from:'2017-12-01T02:24:09-0700',mode:absolute,to:'2017-12-01T04:27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8" s="248" t="str">
        <f>IF(AA228&lt;VLOOKUP(AG228,Variables!$AC$3:$AD$8,2,FALSE),"Y","N")</f>
        <v>Y</v>
      </c>
      <c r="X228" s="248">
        <f t="shared" si="115"/>
        <v>-856</v>
      </c>
      <c r="Y228" s="248">
        <f t="shared" si="117"/>
        <v>0.32269999999999999</v>
      </c>
      <c r="Z228" s="248">
        <f t="shared" si="118"/>
        <v>0.11749999999999999</v>
      </c>
      <c r="AA228" s="248">
        <f t="shared" si="105"/>
        <v>0.20519999999999999</v>
      </c>
      <c r="AB228" s="234" t="e">
        <f>VLOOKUP(A228,Enforcements!$C$7:$K$9,8,0)</f>
        <v>#N/A</v>
      </c>
      <c r="AC228" s="233" t="e">
        <f>VLOOKUP(A228,Enforcements!$C$7:$E$9,3,0)</f>
        <v>#N/A</v>
      </c>
      <c r="AD228" s="244">
        <f t="shared" si="106"/>
        <v>50</v>
      </c>
      <c r="AE228" s="236" t="str">
        <f t="shared" si="107"/>
        <v>aws s3 cp s3://rtdc.mdm.uploadarchive.raw/RTDC4025/ "%USERPROFILE%\AppData\Local\Temp\OnboardLogs"\RTDC4025\2017-12-01 --exclude "*" --recursive --include "*20171201*" &amp; "%USERPROFILE%\Documents\GitHub\mrs-test-scripts\Headless Mode &amp; Sideloading\WalkAndUnGZ.bat" "%USERPROFILE%\AppData\Local\Temp\OnboardLogs"\RTDC4025\2017-12-01 &amp; aws s3 cp s3://rtdc.mdm.uploadarchive.raw/RTDC4025/ "%USERPROFILE%\AppData\Local\Temp\OnboardLogs"\RTDC4025\2017-12-02 --exclude "*" --recursive --include "*20171202*" &amp; "%USERPROFILE%\Documents\GitHub\mrs-test-scripts\Headless Mode &amp; Sideloading\WalkAndUnGZ.bat" "%USERPROFILE%\AppData\Local\Temp\OnboardLogs"\RTDC4025\2017-12-02</v>
      </c>
      <c r="AF228" s="235" t="str">
        <f t="shared" si="108"/>
        <v>"C:\Program Files (x86)\AstroGrep\AstroGrep.exe" /e /r /s /spath="%USERPROFILE%\AppData\Local\Temp\OnboardLogs" /stypes="app*4025*20171201*" /stext=" 10:.+((SYSTEM_STATE.+slice.+state.+changed )|(ment ac)|(multiple cpu faults)|(system.+state.+changed )|(\[timeout)|(PRM\|1\|D)|(kpr)|(kdp)|(train st.+moving)|(\|lc)|(penalty))"</v>
      </c>
      <c r="AG228" s="245" t="str">
        <f t="shared" si="109"/>
        <v>Shuttle/Test</v>
      </c>
      <c r="AH228" s="237" t="str">
        <f t="shared" si="110"/>
        <v>"%USERPROFILE%\Documents\GitHub\eaglep3\Utilities\RefineRTDCRunTimes.py" --tripid 50-01 --locoid 4025 --swversion DE.1.0.9.0 --startMP 204:3227 --initTime 2017-12-01T03:24:09 --startdatetime 2017-12-01T03:26:14 --delay 69 --endMP 204:1175 --enddatetime 2017-12-01T03:27:43 --enforcementcount 0 &gt;&gt;%USERPROFILE%\Documents\GitHub\eaglep3-reporting\EC\2017-12-01-refined-times.txt</v>
      </c>
      <c r="AI228" s="239" t="str">
        <f t="shared" si="111"/>
        <v>echo {"issue":{"subject":"","project_id":79,"tracker_id":40,"status_id":1,"priority_id":2,"assigned_to_id":338,"start_date":"2017-12-01","description":"","custom_fields":[{"id":1,"name":"Subdivision","value":"Shuttle/Test"},{"id":4,"name":"Milepost","value":"0.1175"},{"id":17,"name":"Train ID","value":"50-01"},{"id":16,"name":"Locomotive ID","value":"4025"},{"id":130,"name":"Impact","value":""},{"id":150,"name":"Time of Event (Mountain Time)","value":"03:27:43"},{"id":151,"name":"Denver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8" s="224"/>
      <c r="AK228" s="232"/>
      <c r="AL228" s="232"/>
      <c r="AM228" s="241" t="str">
        <f t="shared" si="112"/>
        <v>start /low /b %USERPROFILE%\Documents\GitHub\eaglep3\Utilities\DownloadLogsFromS3.py --loco 4025 --day 2017-12-01</v>
      </c>
      <c r="AN228" s="242" t="str">
        <f t="shared" si="1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10:27:43"},{"id":29,"name":"Sharepoint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231" t="str">
        <f t="shared" si="114"/>
        <v>https://d0f6bd738d7f1b3e5a7ca70fe4ff75f0.us-east-1.aws.found.io/app/kibana#/discover/Steve-Slow-Train-Analysis-(2080s-and-2083s)?_g=(refreshInterval:(display:Off,pause:!f,section:0,value:0),time:(from:'2017-12-01T02:24:09-0700',mode:absolute,to:'2017-12-01T04:27:43-0700'))&amp;_a=(columns:!('Message%20ID',Summary),filters:!(),index:'emp_*',interval:auto,query:(query_string:(analyze_wildcard:!t,query:'%22rtdc.l.rtdc.4025%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 s="230" t="s">
        <v>749</v>
      </c>
      <c r="B229" s="226">
        <v>4026</v>
      </c>
      <c r="C229" s="228" t="s">
        <v>192</v>
      </c>
      <c r="D229" s="228" t="s">
        <v>1034</v>
      </c>
      <c r="E229" s="227">
        <v>43070.126585648148</v>
      </c>
      <c r="F229" s="227">
        <v>43070.139699074076</v>
      </c>
      <c r="G229" s="226">
        <v>137</v>
      </c>
      <c r="H229" s="228" t="s">
        <v>1035</v>
      </c>
      <c r="I229" s="227">
        <v>43070.140787037039</v>
      </c>
      <c r="J229" s="226">
        <v>0</v>
      </c>
      <c r="K229" s="238" t="str">
        <f t="shared" si="102"/>
        <v>4025/4026</v>
      </c>
      <c r="L229" s="246" t="str">
        <f>VLOOKUP(A229,'Trips&amp;Operators'!$C$1:$G$99911,5,FALSE)</f>
        <v>SPECTOR MICHAEL</v>
      </c>
      <c r="M229" s="225">
        <f t="shared" si="116"/>
        <v>1.0879629626288079E-3</v>
      </c>
      <c r="N229" s="226">
        <f t="shared" si="119"/>
        <v>1.5666666661854833</v>
      </c>
      <c r="O229" s="226"/>
      <c r="P229" s="226"/>
      <c r="Q229" s="229"/>
      <c r="R229" s="243"/>
      <c r="S229" s="250">
        <f t="shared" si="120"/>
        <v>0</v>
      </c>
      <c r="T229" s="243" t="str">
        <f t="shared" si="103"/>
        <v>NorthBound</v>
      </c>
      <c r="U229" s="247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49" t="str">
        <f t="shared" si="104"/>
        <v>https://d0f6bd738d7f1b3e5a7ca70fe4ff75f0.us-east-1.aws.found.io/app/kibana#/discover/Steve-Slow-Train-Analysis-(2080s-and-2083s)?_g=(refreshInterval:(display:Off,pause:!f,section:0,value:0),time:(from:'2017-12-01T02:02:17-0700',mode:absolute,to:'2017-12-01T04:22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9" s="248" t="str">
        <f>IF(AA229&lt;VLOOKUP(AG229,Variables!$AC$3:$AD$8,2,FALSE),"Y","N")</f>
        <v>Y</v>
      </c>
      <c r="X229" s="248">
        <f t="shared" si="115"/>
        <v>1</v>
      </c>
      <c r="Y229" s="248">
        <f t="shared" si="117"/>
        <v>4.1799999999999997E-2</v>
      </c>
      <c r="Z229" s="248">
        <f t="shared" si="118"/>
        <v>0.35560000000000003</v>
      </c>
      <c r="AA229" s="248">
        <f t="shared" si="105"/>
        <v>0.31380000000000002</v>
      </c>
      <c r="AB229" s="234" t="e">
        <f>VLOOKUP(A229,Enforcements!$C$7:$K$9,8,0)</f>
        <v>#N/A</v>
      </c>
      <c r="AC229" s="233" t="e">
        <f>VLOOKUP(A229,Enforcements!$C$7:$E$9,3,0)</f>
        <v>#N/A</v>
      </c>
      <c r="AD229" s="244">
        <f t="shared" si="106"/>
        <v>51</v>
      </c>
      <c r="AE229" s="236" t="str">
        <f t="shared" si="107"/>
        <v>aws s3 cp s3://rtdc.mdm.uploadarchive.raw/RTDC4026/ "%USERPROFILE%\AppData\Local\Temp\OnboardLogs"\RTDC4026\2017-12-01 --exclude "*" --recursive --include "*20171201*" &amp; "%USERPROFILE%\Documents\GitHub\mrs-test-scripts\Headless Mode &amp; Sideloading\WalkAndUnGZ.bat" "%USERPROFILE%\AppData\Local\Temp\OnboardLogs"\RTDC4026\2017-12-01 &amp; aws s3 cp s3://rtdc.mdm.uploadarchive.raw/RTDC4026/ "%USERPROFILE%\AppData\Local\Temp\OnboardLogs"\RTDC4026\2017-12-02 --exclude "*" --recursive --include "*20171202*" &amp; "%USERPROFILE%\Documents\GitHub\mrs-test-scripts\Headless Mode &amp; Sideloading\WalkAndUnGZ.bat" "%USERPROFILE%\AppData\Local\Temp\OnboardLogs"\RTDC4026\2017-12-02</v>
      </c>
      <c r="AF229" s="235" t="str">
        <f t="shared" si="108"/>
        <v>"C:\Program Files (x86)\AstroGrep\AstroGrep.exe" /e /r /s /spath="%USERPROFILE%\AppData\Local\Temp\OnboardLogs" /stypes="app*4026*20171201*" /stext=" 10:.+((SYSTEM_STATE.+slice.+state.+changed )|(ment ac)|(multiple cpu faults)|(system.+state.+changed )|(\[timeout)|(PRM\|1\|D)|(kpr)|(kdp)|(train st.+moving)|(\|lc)|(penalty))"</v>
      </c>
      <c r="AG229" s="245" t="str">
        <f t="shared" si="109"/>
        <v>Shuttle/Test</v>
      </c>
      <c r="AH229" s="237" t="str">
        <f t="shared" si="110"/>
        <v>"%USERPROFILE%\Documents\GitHub\eaglep3\Utilities\RefineRTDCRunTimes.py" --tripid 51-01 --locoid 4026 --swversion DE.1.0.9.0 --startMP 204:418 --initTime 2017-12-01T03:02:17 --startdatetime 2017-12-01T03:21:10 --delay 137 --endMP 204:3556 --enddatetime 2017-12-01T03:22:44 --enforcementcount 0 &gt;&gt;%USERPROFILE%\Documents\GitHub\eaglep3-reporting\EC\2017-12-01-refined-times.txt</v>
      </c>
      <c r="AI229" s="239" t="str">
        <f t="shared" si="111"/>
        <v>echo {"issue":{"subject":"","project_id":79,"tracker_id":40,"status_id":1,"priority_id":2,"assigned_to_id":338,"start_date":"2017-12-01","description":"","custom_fields":[{"id":1,"name":"Subdivision","value":"Shuttle/Test"},{"id":4,"name":"Milepost","value":"0.3556"},{"id":17,"name":"Train ID","value":"51-01"},{"id":16,"name":"Locomotive ID","value":"4026"},{"id":130,"name":"Impact","value":""},{"id":150,"name":"Time of Event (Mountain Time)","value":"03:22:44"},{"id":151,"name":"Denver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9" s="224"/>
      <c r="AK229" s="232"/>
      <c r="AL229" s="232"/>
      <c r="AM229" s="241" t="str">
        <f t="shared" si="112"/>
        <v>start /low /b %USERPROFILE%\Documents\GitHub\eaglep3\Utilities\DownloadLogsFromS3.py --loco 4026 --day 2017-12-01</v>
      </c>
      <c r="AN229" s="242" t="str">
        <f t="shared" si="1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10:22:44"},{"id":29,"name":"Sharepoint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231" t="str">
        <f t="shared" si="114"/>
        <v>https://d0f6bd738d7f1b3e5a7ca70fe4ff75f0.us-east-1.aws.found.io/app/kibana#/discover/Steve-Slow-Train-Analysis-(2080s-and-2083s)?_g=(refreshInterval:(display:Off,pause:!f,section:0,value:0),time:(from:'2017-12-01T02:02:17-0700',mode:absolute,to:'2017-12-01T04:22:44-0700'))&amp;_a=(columns:!('Message%20ID',Summary),filters:!(),index:'emp_*',interval:auto,query:(query_string:(analyze_wildcard:!t,query:'%22rtdc.l.rtdc.4026%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 s="230" t="s">
        <v>749</v>
      </c>
      <c r="B230" s="226">
        <v>4057</v>
      </c>
      <c r="C230" s="228" t="s">
        <v>192</v>
      </c>
      <c r="D230" s="228" t="s">
        <v>1036</v>
      </c>
      <c r="E230" s="227">
        <v>43070.447199074071</v>
      </c>
      <c r="F230" s="227">
        <v>43070.450601851851</v>
      </c>
      <c r="G230" s="226">
        <v>57</v>
      </c>
      <c r="H230" s="228" t="s">
        <v>1037</v>
      </c>
      <c r="I230" s="227">
        <v>43070.454664351855</v>
      </c>
      <c r="J230" s="226">
        <v>0</v>
      </c>
      <c r="K230" s="238" t="str">
        <f t="shared" si="102"/>
        <v>4057/4058</v>
      </c>
      <c r="L230" s="246" t="str">
        <f>VLOOKUP(A230,'Trips&amp;Operators'!$C$1:$G$99911,5,FALSE)</f>
        <v>SPECTOR MICHAEL</v>
      </c>
      <c r="M230" s="225">
        <f t="shared" si="116"/>
        <v>4.062500003783498E-3</v>
      </c>
      <c r="N230" s="226">
        <f t="shared" si="119"/>
        <v>5.8500000054482371</v>
      </c>
      <c r="O230" s="226"/>
      <c r="P230" s="226"/>
      <c r="Q230" s="229"/>
      <c r="R230" s="243"/>
      <c r="S230" s="250">
        <f t="shared" si="120"/>
        <v>0</v>
      </c>
      <c r="T230" s="243" t="str">
        <f t="shared" si="103"/>
        <v>NorthBound</v>
      </c>
      <c r="U230" s="247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49" t="str">
        <f t="shared" si="104"/>
        <v>https://d0f6bd738d7f1b3e5a7ca70fe4ff75f0.us-east-1.aws.found.io/app/kibana#/discover/Steve-Slow-Train-Analysis-(2080s-and-2083s)?_g=(refreshInterval:(display:Off,pause:!f,section:0,value:0),time:(from:'2017-12-01T09:43:58-0700',mode:absolute,to:'2017-12-01T11:54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0" s="248" t="str">
        <f>IF(AA230&lt;VLOOKUP(AG230,Variables!$AC$3:$AD$8,2,FALSE),"Y","N")</f>
        <v>Y</v>
      </c>
      <c r="X230" s="248">
        <f t="shared" si="115"/>
        <v>0</v>
      </c>
      <c r="Y230" s="248">
        <f t="shared" si="117"/>
        <v>1.9594</v>
      </c>
      <c r="Z230" s="248">
        <f t="shared" si="118"/>
        <v>6.7000000000000004E-2</v>
      </c>
      <c r="AA230" s="248">
        <f t="shared" si="105"/>
        <v>1.8924000000000001</v>
      </c>
      <c r="AB230" s="234" t="e">
        <f>VLOOKUP(A230,Enforcements!$C$7:$K$9,8,0)</f>
        <v>#N/A</v>
      </c>
      <c r="AC230" s="233" t="e">
        <f>VLOOKUP(A230,Enforcements!$C$7:$E$9,3,0)</f>
        <v>#N/A</v>
      </c>
      <c r="AD230" s="244">
        <f t="shared" si="106"/>
        <v>51</v>
      </c>
      <c r="AE230" s="236" t="str">
        <f t="shared" si="107"/>
        <v>aws s3 cp s3://rtdc.mdm.uploadarchive.raw/RTDC4057/ "%USERPROFILE%\AppData\Local\Temp\OnboardLogs"\RTDC4057\2017-12-01 --exclude "*" --recursive --include "*20171201*" &amp; "%USERPROFILE%\Documents\GitHub\mrs-test-scripts\Headless Mode &amp; Sideloading\WalkAndUnGZ.bat" "%USERPROFILE%\AppData\Local\Temp\OnboardLogs"\RTDC4057\2017-12-01 &amp; aws s3 cp s3://rtdc.mdm.uploadarchive.raw/RTDC4057/ "%USERPROFILE%\AppData\Local\Temp\OnboardLogs"\RTDC4057\2017-12-02 --exclude "*" --recursive --include "*20171202*" &amp; "%USERPROFILE%\Documents\GitHub\mrs-test-scripts\Headless Mode &amp; Sideloading\WalkAndUnGZ.bat" "%USERPROFILE%\AppData\Local\Temp\OnboardLogs"\RTDC4057\2017-12-02</v>
      </c>
      <c r="AF230" s="235" t="str">
        <f t="shared" si="108"/>
        <v>"C:\Program Files (x86)\AstroGrep\AstroGrep.exe" /e /r /s /spath="%USERPROFILE%\AppData\Local\Temp\OnboardLogs" /stypes="app*4057*20171201*" /stext=" 17:.+((SYSTEM_STATE.+slice.+state.+changed )|(ment ac)|(multiple cpu faults)|(system.+state.+changed )|(\[timeout)|(PRM\|1\|D)|(kpr)|(kdp)|(train st.+moving)|(\|lc)|(penalty))"</v>
      </c>
      <c r="AG230" s="245" t="str">
        <f t="shared" si="109"/>
        <v>Shuttle/Test</v>
      </c>
      <c r="AH230" s="237" t="str">
        <f t="shared" si="110"/>
        <v>"%USERPROFILE%\Documents\GitHub\eaglep3\Utilities\RefineRTDCRunTimes.py" --tripid 51-01 --locoid 4057 --swversion DE.1.0.9.0 --startMP 300:19594 --initTime 2017-12-01T10:43:58 --startdatetime 2017-12-01T10:48:52 --delay 57 --endMP 204:670 --enddatetime 2017-12-01T10:54:43 --enforcementcount 0 &gt;&gt;%USERPROFILE%\Documents\GitHub\eaglep3-reporting\EC\2017-12-01-refined-times.txt</v>
      </c>
      <c r="AI230" s="239" t="str">
        <f t="shared" si="111"/>
        <v>echo {"issue":{"subject":"","project_id":79,"tracker_id":40,"status_id":1,"priority_id":2,"assigned_to_id":338,"start_date":"2017-12-01","description":"","custom_fields":[{"id":1,"name":"Subdivision","value":"Shuttle/Test"},{"id":4,"name":"Milepost","value":"0.067"},{"id":17,"name":"Train ID","value":"51-01"},{"id":16,"name":"Locomotive ID","value":"4057"},{"id":130,"name":"Impact","value":""},{"id":150,"name":"Time of Event (Mountain Time)","value":"10:54:43"},{"id":151,"name":"Denver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0" s="224"/>
      <c r="AK230" s="232"/>
      <c r="AL230" s="232"/>
      <c r="AM230" s="241" t="str">
        <f t="shared" si="112"/>
        <v>start /low /b %USERPROFILE%\Documents\GitHub\eaglep3\Utilities\DownloadLogsFromS3.py --loco 4057 --day 2017-12-01</v>
      </c>
      <c r="AN230" s="242" t="str">
        <f t="shared" si="1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17:54:43"},{"id":29,"name":"Sharepoint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231" t="str">
        <f t="shared" si="114"/>
        <v>https://d0f6bd738d7f1b3e5a7ca70fe4ff75f0.us-east-1.aws.found.io/app/kibana#/discover/Steve-Slow-Train-Analysis-(2080s-and-2083s)?_g=(refreshInterval:(display:Off,pause:!f,section:0,value:0),time:(from:'2017-12-01T09:43:58-0700',mode:absolute,to:'2017-12-01T11:54:43-0700'))&amp;_a=(columns:!('Message%20ID',Summary),filters:!(),index:'emp_*',interval:auto,query:(query_string:(analyze_wildcard:!t,query:'%22rtdc.l.rtdc.4057%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25">
      <c r="A231" s="230" t="s">
        <v>749</v>
      </c>
      <c r="B231" s="226">
        <v>4058</v>
      </c>
      <c r="C231" s="228" t="s">
        <v>192</v>
      </c>
      <c r="D231" s="228" t="s">
        <v>1038</v>
      </c>
      <c r="E231" s="227">
        <v>43070.478564814817</v>
      </c>
      <c r="F231" s="227">
        <v>43070.480520833335</v>
      </c>
      <c r="G231" s="226">
        <v>105</v>
      </c>
      <c r="H231" s="228" t="s">
        <v>1039</v>
      </c>
      <c r="I231" s="227">
        <v>43070.486157407409</v>
      </c>
      <c r="J231" s="226">
        <v>0</v>
      </c>
      <c r="K231" s="238" t="str">
        <f t="shared" si="102"/>
        <v>4057/4058</v>
      </c>
      <c r="L231" s="246" t="str">
        <f>VLOOKUP(A231,'Trips&amp;Operators'!$C$1:$G$99911,5,FALSE)</f>
        <v>SPECTOR MICHAEL</v>
      </c>
      <c r="M231" s="225">
        <f t="shared" si="116"/>
        <v>5.6365740747423843E-3</v>
      </c>
      <c r="N231" s="226">
        <f t="shared" si="119"/>
        <v>8.1166666676290333</v>
      </c>
      <c r="O231" s="226"/>
      <c r="P231" s="226"/>
      <c r="Q231" s="229"/>
      <c r="R231" s="243"/>
      <c r="S231" s="250">
        <f t="shared" si="120"/>
        <v>1</v>
      </c>
      <c r="T231" s="243" t="str">
        <f t="shared" si="103"/>
        <v>NorthBound</v>
      </c>
      <c r="U231" s="247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249" t="str">
        <f t="shared" si="104"/>
        <v>https://d0f6bd738d7f1b3e5a7ca70fe4ff75f0.us-east-1.aws.found.io/app/kibana#/discover/Steve-Slow-Train-Analysis-(2080s-and-2083s)?_g=(refreshInterval:(display:Off,pause:!f,section:0,value:0),time:(from:'2017-12-01T10:29:08-0700',mode:absolute,to:'2017-12-01T12:40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1" s="248" t="str">
        <f>IF(AA231&lt;VLOOKUP(AG231,Variables!$AC$3:$AD$8,2,FALSE),"Y","N")</f>
        <v>Y</v>
      </c>
      <c r="X231" s="248">
        <f t="shared" si="115"/>
        <v>0</v>
      </c>
      <c r="Y231" s="248">
        <f t="shared" si="117"/>
        <v>9.74E-2</v>
      </c>
      <c r="Z231" s="248">
        <f t="shared" si="118"/>
        <v>2.4253999999999998</v>
      </c>
      <c r="AA231" s="248">
        <f t="shared" si="105"/>
        <v>2.3279999999999998</v>
      </c>
      <c r="AB231" s="234" t="e">
        <f>VLOOKUP(A231,Enforcements!$C$7:$K$9,8,0)</f>
        <v>#N/A</v>
      </c>
      <c r="AC231" s="233" t="e">
        <f>VLOOKUP(A231,Enforcements!$C$7:$E$9,3,0)</f>
        <v>#N/A</v>
      </c>
      <c r="AD231" s="244">
        <f t="shared" si="106"/>
        <v>51</v>
      </c>
      <c r="AE231" s="236" t="str">
        <f t="shared" si="107"/>
        <v>aws s3 cp s3://rtdc.mdm.uploadarchive.raw/RTDC4058/ "%USERPROFILE%\AppData\Local\Temp\OnboardLogs"\RTDC4058\2017-12-01 --exclude "*" --recursive --include "*20171201*" &amp; "%USERPROFILE%\Documents\GitHub\mrs-test-scripts\Headless Mode &amp; Sideloading\WalkAndUnGZ.bat" "%USERPROFILE%\AppData\Local\Temp\OnboardLogs"\RTDC4058\2017-12-01 &amp; aws s3 cp s3://rtdc.mdm.uploadarchive.raw/RTDC4058/ "%USERPROFILE%\AppData\Local\Temp\OnboardLogs"\RTDC4058\2017-12-02 --exclude "*" --recursive --include "*20171202*" &amp; "%USERPROFILE%\Documents\GitHub\mrs-test-scripts\Headless Mode &amp; Sideloading\WalkAndUnGZ.bat" "%USERPROFILE%\AppData\Local\Temp\OnboardLogs"\RTDC4058\2017-12-02</v>
      </c>
      <c r="AF231" s="235" t="str">
        <f t="shared" si="108"/>
        <v>"C:\Program Files (x86)\AstroGrep\AstroGrep.exe" /e /r /s /spath="%USERPROFILE%\AppData\Local\Temp\OnboardLogs" /stypes="app*4058*20171201*" /stext=" 18:.+((SYSTEM_STATE.+slice.+state.+changed )|(ment ac)|(multiple cpu faults)|(system.+state.+changed )|(\[timeout)|(PRM\|1\|D)|(kpr)|(kdp)|(train st.+moving)|(\|lc)|(penalty))"</v>
      </c>
      <c r="AG231" s="245" t="str">
        <f t="shared" si="109"/>
        <v>Shuttle/Test</v>
      </c>
      <c r="AH231" s="237" t="str">
        <f t="shared" si="110"/>
        <v>"%USERPROFILE%\Documents\GitHub\eaglep3\Utilities\RefineRTDCRunTimes.py" --tripid 51-01 --locoid 4058 --swversion DE.1.0.9.0 --startMP 204:974 --initTime 2017-12-01T11:29:08 --startdatetime 2017-12-01T11:31:57 --delay 105 --endMP 300:24254 --enddatetime 2017-12-01T11:40:04 --enforcementcount 0 &gt;&gt;%USERPROFILE%\Documents\GitHub\eaglep3-reporting\EC\2017-12-01-refined-times.txt</v>
      </c>
      <c r="AI231" s="239" t="str">
        <f t="shared" si="111"/>
        <v>echo {"issue":{"subject":"","project_id":79,"tracker_id":40,"status_id":1,"priority_id":2,"assigned_to_id":338,"start_date":"2017-12-01","description":"","custom_fields":[{"id":1,"name":"Subdivision","value":"Shuttle/Test"},{"id":4,"name":"Milepost","value":"2.4254"},{"id":17,"name":"Train ID","value":"51-01"},{"id":16,"name":"Locomotive ID","value":"4058"},{"id":130,"name":"Impact","value":""},{"id":150,"name":"Time of Event (Mountain Time)","value":"11:40:04"},{"id":151,"name":"Denver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1" s="224"/>
      <c r="AK231" s="232"/>
      <c r="AL231" s="232"/>
      <c r="AM231" s="241" t="str">
        <f t="shared" si="112"/>
        <v>start /low /b %USERPROFILE%\Documents\GitHub\eaglep3\Utilities\DownloadLogsFromS3.py --loco 4058 --day 2017-12-01</v>
      </c>
      <c r="AN231" s="242" t="str">
        <f t="shared" si="1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18:40:04"},{"id":29,"name":"Sharepoint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231" t="str">
        <f t="shared" si="114"/>
        <v>https://d0f6bd738d7f1b3e5a7ca70fe4ff75f0.us-east-1.aws.found.io/app/kibana#/discover/Steve-Slow-Train-Analysis-(2080s-and-2083s)?_g=(refreshInterval:(display:Off,pause:!f,section:0,value:0),time:(from:'2017-12-01T10:29:08-0700',mode:absolute,to:'2017-12-01T12:40:04-0700'))&amp;_a=(columns:!('Message%20ID',Summary),filters:!(),index:'emp_*',interval:auto,query:(query_string:(analyze_wildcard:!t,query:'%22rtdc.l.rtdc.4058%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230" t="s">
        <v>908</v>
      </c>
      <c r="B232" s="226">
        <v>4057</v>
      </c>
      <c r="C232" s="228" t="s">
        <v>192</v>
      </c>
      <c r="D232" s="228" t="s">
        <v>1040</v>
      </c>
      <c r="E232" s="227">
        <v>43070.740289351852</v>
      </c>
      <c r="F232" s="227">
        <v>43070.745196759257</v>
      </c>
      <c r="G232" s="226">
        <v>306</v>
      </c>
      <c r="H232" s="228" t="s">
        <v>1041</v>
      </c>
      <c r="I232" s="227">
        <v>43070.754814814813</v>
      </c>
      <c r="J232" s="226">
        <v>0</v>
      </c>
      <c r="K232" s="238" t="str">
        <f t="shared" si="102"/>
        <v>4057/4058</v>
      </c>
      <c r="L232" s="246" t="str">
        <f>VLOOKUP(A232,'Trips&amp;Operators'!$C$1:$G$99911,5,FALSE)</f>
        <v>DELGADO DIANAH</v>
      </c>
      <c r="M232" s="225">
        <f t="shared" si="116"/>
        <v>9.6180555556202307E-3</v>
      </c>
      <c r="N232" s="226">
        <f t="shared" si="119"/>
        <v>13.850000000093132</v>
      </c>
      <c r="O232" s="226"/>
      <c r="P232" s="226"/>
      <c r="Q232" s="229"/>
      <c r="R232" s="243"/>
      <c r="S232" s="250">
        <f t="shared" si="120"/>
        <v>1</v>
      </c>
      <c r="T232" s="243" t="str">
        <f t="shared" si="103"/>
        <v>Southbound</v>
      </c>
      <c r="U232" s="247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49" t="str">
        <f t="shared" si="104"/>
        <v>https://d0f6bd738d7f1b3e5a7ca70fe4ff75f0.us-east-1.aws.found.io/app/kibana#/discover/Steve-Slow-Train-Analysis-(2080s-and-2083s)?_g=(refreshInterval:(display:Off,pause:!f,section:0,value:0),time:(from:'2017-12-01T16:46:01-0700',mode:absolute,to:'2017-12-01T19:06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32" s="248" t="str">
        <f>IF(AA232&lt;VLOOKUP(AG232,Variables!$AC$3:$AD$8,2,FALSE),"Y","N")</f>
        <v>Y</v>
      </c>
      <c r="X232" s="248">
        <f t="shared" si="115"/>
        <v>1</v>
      </c>
      <c r="Y232" s="248">
        <f t="shared" si="117"/>
        <v>2.2561</v>
      </c>
      <c r="Z232" s="248">
        <f t="shared" si="118"/>
        <v>0.15640000000000001</v>
      </c>
      <c r="AA232" s="248">
        <f t="shared" si="105"/>
        <v>2.0996999999999999</v>
      </c>
      <c r="AB232" s="234" t="e">
        <f>VLOOKUP(A232,Enforcements!$C$7:$K$9,8,0)</f>
        <v>#N/A</v>
      </c>
      <c r="AC232" s="233" t="e">
        <f>VLOOKUP(A232,Enforcements!$C$7:$E$9,3,0)</f>
        <v>#N/A</v>
      </c>
      <c r="AD232" s="244">
        <f t="shared" si="106"/>
        <v>52</v>
      </c>
      <c r="AE232" s="236" t="str">
        <f t="shared" si="107"/>
        <v>aws s3 cp s3://rtdc.mdm.uploadarchive.raw/RTDC4057/ "%USERPROFILE%\AppData\Local\Temp\OnboardLogs"\RTDC4057\2017-12-01 --exclude "*" --recursive --include "*20171201*" &amp; "%USERPROFILE%\Documents\GitHub\mrs-test-scripts\Headless Mode &amp; Sideloading\WalkAndUnGZ.bat" "%USERPROFILE%\AppData\Local\Temp\OnboardLogs"\RTDC4057\2017-12-01 &amp; aws s3 cp s3://rtdc.mdm.uploadarchive.raw/RTDC4057/ "%USERPROFILE%\AppData\Local\Temp\OnboardLogs"\RTDC4057\2017-12-02 --exclude "*" --recursive --include "*20171202*" &amp; "%USERPROFILE%\Documents\GitHub\mrs-test-scripts\Headless Mode &amp; Sideloading\WalkAndUnGZ.bat" "%USERPROFILE%\AppData\Local\Temp\OnboardLogs"\RTDC4057\2017-12-02</v>
      </c>
      <c r="AF232" s="235" t="str">
        <f t="shared" si="108"/>
        <v>"C:\Program Files (x86)\AstroGrep\AstroGrep.exe" /e /r /s /spath="%USERPROFILE%\AppData\Local\Temp\OnboardLogs" /stypes="app*4057*20171202*" /stext=" 01:.+((SYSTEM_STATE.+slice.+state.+changed )|(ment ac)|(multiple cpu faults)|(system.+state.+changed )|(\[timeout)|(PRM\|1\|D)|(kpr)|(kdp)|(train st.+moving)|(\|lc)|(penalty))"</v>
      </c>
      <c r="AG232" s="245" t="str">
        <f t="shared" si="109"/>
        <v>Shuttle/Test</v>
      </c>
      <c r="AH232" s="237" t="str">
        <f t="shared" si="110"/>
        <v>"%USERPROFILE%\Documents\GitHub\eaglep3\Utilities\RefineRTDCRunTimes.py" --tripid 52-01 --locoid 4057 --swversion DE.1.0.9.0 --startMP 300:22561 --initTime 2017-12-01T17:46:01 --startdatetime 2017-12-01T17:53:05 --delay 306 --endMP 204:1564 --enddatetime 2017-12-01T18:06:56 --enforcementcount 0 &gt;&gt;%USERPROFILE%\Documents\GitHub\eaglep3-reporting\EC\2017-12-01-refined-times.txt</v>
      </c>
      <c r="AI232" s="239" t="str">
        <f t="shared" si="111"/>
        <v>echo {"issue":{"subject":"","project_id":79,"tracker_id":40,"status_id":1,"priority_id":2,"assigned_to_id":338,"start_date":"2017-12-01","description":"","custom_fields":[{"id":1,"name":"Subdivision","value":"Shuttle/Test"},{"id":4,"name":"Milepost","value":"0.1564"},{"id":17,"name":"Train ID","value":"52-01"},{"id":16,"name":"Locomotive ID","value":"4057"},{"id":130,"name":"Impact","value":""},{"id":150,"name":"Time of Event (Mountain Time)","value":"18:06:56"},{"id":151,"name":"Denver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2" s="224"/>
      <c r="AK232" s="232"/>
      <c r="AL232" s="232"/>
      <c r="AM232" s="241" t="str">
        <f t="shared" si="112"/>
        <v>start /low /b %USERPROFILE%\Documents\GitHub\eaglep3\Utilities\DownloadLogsFromS3.py --loco 4057 --day 2017-12-01</v>
      </c>
      <c r="AN232" s="242" t="str">
        <f t="shared" si="1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01:06:56"},{"id":29,"name":"Sharepoint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231" t="str">
        <f t="shared" si="114"/>
        <v>https://d0f6bd738d7f1b3e5a7ca70fe4ff75f0.us-east-1.aws.found.io/app/kibana#/discover/Steve-Slow-Train-Analysis-(2080s-and-2083s)?_g=(refreshInterval:(display:Off,pause:!f,section:0,value:0),time:(from:'2017-12-01T16:46:01-0700',mode:absolute,to:'2017-12-01T19:06:56-0700'))&amp;_a=(columns:!('Message%20ID',Summary),filters:!(),index:'emp_*',interval:auto,query:(query_string:(analyze_wildcard:!t,query:'%22rtdc.l.rtdc.4057%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24" customFormat="1" x14ac:dyDescent="0.25">
      <c r="A233" s="230" t="s">
        <v>888</v>
      </c>
      <c r="B233" s="226">
        <v>4026</v>
      </c>
      <c r="C233" s="228" t="s">
        <v>192</v>
      </c>
      <c r="D233" s="228" t="s">
        <v>1042</v>
      </c>
      <c r="E233" s="227">
        <v>43070.684513888889</v>
      </c>
      <c r="F233" s="227">
        <v>43070.686712962961</v>
      </c>
      <c r="G233" s="226">
        <v>68</v>
      </c>
      <c r="H233" s="228" t="s">
        <v>1043</v>
      </c>
      <c r="I233" s="227">
        <v>43070.697627314818</v>
      </c>
      <c r="J233" s="226">
        <v>0</v>
      </c>
      <c r="K233" s="238" t="str">
        <f t="shared" si="102"/>
        <v>4025/4026</v>
      </c>
      <c r="L233" s="246" t="str">
        <f>VLOOKUP(A233,'Trips&amp;Operators'!$C$1:$G$99911,5,FALSE)</f>
        <v>DE LA ROSA ALEX</v>
      </c>
      <c r="M233" s="225">
        <f t="shared" si="116"/>
        <v>1.0914351856627036E-2</v>
      </c>
      <c r="N233" s="226">
        <f t="shared" si="119"/>
        <v>15.716666673542932</v>
      </c>
      <c r="O233" s="226"/>
      <c r="P233" s="226"/>
      <c r="Q233" s="229"/>
      <c r="R233" s="243"/>
      <c r="S233" s="250">
        <f t="shared" si="120"/>
        <v>1</v>
      </c>
      <c r="T233" s="243" t="str">
        <f t="shared" si="103"/>
        <v>NorthBound</v>
      </c>
      <c r="U233" s="247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49" t="str">
        <f t="shared" si="104"/>
        <v>https://d0f6bd738d7f1b3e5a7ca70fe4ff75f0.us-east-1.aws.found.io/app/kibana#/discover/Steve-Slow-Train-Analysis-(2080s-and-2083s)?_g=(refreshInterval:(display:Off,pause:!f,section:0,value:0),time:(from:'2017-12-01T15:25:42-0700',mode:absolute,to:'2017-12-01T17:44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3" s="248" t="str">
        <f>IF(AA233&lt;VLOOKUP(AG233,Variables!$AC$3:$AD$8,2,FALSE),"Y","N")</f>
        <v>Y</v>
      </c>
      <c r="X233" s="248">
        <f t="shared" si="115"/>
        <v>23</v>
      </c>
      <c r="Y233" s="248">
        <f t="shared" si="117"/>
        <v>0.15</v>
      </c>
      <c r="Z233" s="248">
        <f t="shared" si="118"/>
        <v>2.3315999999999999</v>
      </c>
      <c r="AA233" s="248">
        <f t="shared" si="105"/>
        <v>2.1816</v>
      </c>
      <c r="AB233" s="234" t="e">
        <f>VLOOKUP(A233,Enforcements!$C$7:$K$9,8,0)</f>
        <v>#N/A</v>
      </c>
      <c r="AC233" s="233" t="e">
        <f>VLOOKUP(A233,Enforcements!$C$7:$E$9,3,0)</f>
        <v>#N/A</v>
      </c>
      <c r="AD233" s="244">
        <f t="shared" si="106"/>
        <v>75</v>
      </c>
      <c r="AE233" s="236" t="str">
        <f t="shared" si="107"/>
        <v>aws s3 cp s3://rtdc.mdm.uploadarchive.raw/RTDC4026/ "%USERPROFILE%\AppData\Local\Temp\OnboardLogs"\RTDC4026\2017-12-01 --exclude "*" --recursive --include "*20171201*" &amp; "%USERPROFILE%\Documents\GitHub\mrs-test-scripts\Headless Mode &amp; Sideloading\WalkAndUnGZ.bat" "%USERPROFILE%\AppData\Local\Temp\OnboardLogs"\RTDC4026\2017-12-01 &amp; aws s3 cp s3://rtdc.mdm.uploadarchive.raw/RTDC4026/ "%USERPROFILE%\AppData\Local\Temp\OnboardLogs"\RTDC4026\2017-12-02 --exclude "*" --recursive --include "*20171202*" &amp; "%USERPROFILE%\Documents\GitHub\mrs-test-scripts\Headless Mode &amp; Sideloading\WalkAndUnGZ.bat" "%USERPROFILE%\AppData\Local\Temp\OnboardLogs"\RTDC4026\2017-12-02</v>
      </c>
      <c r="AF233" s="235" t="str">
        <f t="shared" si="108"/>
        <v>"C:\Program Files (x86)\AstroGrep\AstroGrep.exe" /e /r /s /spath="%USERPROFILE%\AppData\Local\Temp\OnboardLogs" /stypes="app*4026*20171201*" /stext=" 23:.+((SYSTEM_STATE.+slice.+state.+changed )|(ment ac)|(multiple cpu faults)|(system.+state.+changed )|(\[timeout)|(PRM\|1\|D)|(kpr)|(kdp)|(train st.+moving)|(\|lc)|(penalty))"</v>
      </c>
      <c r="AG233" s="245" t="str">
        <f t="shared" si="109"/>
        <v>Shuttle/Test</v>
      </c>
      <c r="AH233" s="237" t="str">
        <f t="shared" si="110"/>
        <v>"%USERPROFILE%\Documents\GitHub\eaglep3\Utilities\RefineRTDCRunTimes.py" --tripid 75-01 --locoid 4026 --swversion DE.1.0.9.0 --startMP 204:1500 --initTime 2017-12-01T16:25:42 --startdatetime 2017-12-01T16:28:52 --delay 68 --endMP 300:23316 --enddatetime 2017-12-01T16:44:35 --enforcementcount 0 &gt;&gt;%USERPROFILE%\Documents\GitHub\eaglep3-reporting\EC\2017-12-01-refined-times.txt</v>
      </c>
      <c r="AI233" s="239" t="str">
        <f t="shared" si="111"/>
        <v>echo {"issue":{"subject":"","project_id":79,"tracker_id":40,"status_id":1,"priority_id":2,"assigned_to_id":338,"start_date":"2017-12-01","description":"","custom_fields":[{"id":1,"name":"Subdivision","value":"Shuttle/Test"},{"id":4,"name":"Milepost","value":"2.3316"},{"id":17,"name":"Train ID","value":"75-01"},{"id":16,"name":"Locomotive ID","value":"4026"},{"id":130,"name":"Impact","value":""},{"id":150,"name":"Time of Event (Mountain Time)","value":"16:44:35"},{"id":151,"name":"Denver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3" s="232"/>
      <c r="AL233" s="232"/>
      <c r="AM233" s="241" t="str">
        <f t="shared" si="112"/>
        <v>start /low /b %USERPROFILE%\Documents\GitHub\eaglep3\Utilities\DownloadLogsFromS3.py --loco 4026 --day 2017-12-01</v>
      </c>
      <c r="AN233" s="242" t="str">
        <f t="shared" si="113"/>
        <v>echo {"issue":{"subject":"","project_id":30,"tracker_id":4,"status_id":1,"priority_id":1,"assigned_to_id":10,"start_date":"2017-12-01","description":"","custom_fields":[{"id":30,"name":"Category","value":"Issue"},{"id":3,"name":"Functional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UTC","value":"2017-12-01 23:44:35"},{"id":29,"name":"Sharepoint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231" t="str">
        <f t="shared" si="114"/>
        <v>https://d0f6bd738d7f1b3e5a7ca70fe4ff75f0.us-east-1.aws.found.io/app/kibana#/discover/Steve-Slow-Train-Analysis-(2080s-and-2083s)?_g=(refreshInterval:(display:Off,pause:!f,section:0,value:0),time:(from:'2017-12-01T15:25:42-0700',mode:absolute,to:'2017-12-01T17:44:35-0700'))&amp;_a=(columns:!('Message%20ID',Summary),filters:!(),index:'emp_*',interval:auto,query:(query_string:(analyze_wildcard:!t,query:'%22rtdc.l.rtdc.4026%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 s="230" t="s">
        <v>903</v>
      </c>
      <c r="B234" s="226">
        <v>4036</v>
      </c>
      <c r="C234" s="228" t="s">
        <v>192</v>
      </c>
      <c r="D234" s="228" t="s">
        <v>1044</v>
      </c>
      <c r="E234" s="227">
        <v>43070.72142361111</v>
      </c>
      <c r="F234" s="227">
        <v>43070.726261574076</v>
      </c>
      <c r="G234" s="226">
        <v>210</v>
      </c>
      <c r="H234" s="228" t="s">
        <v>726</v>
      </c>
      <c r="I234" s="227">
        <v>43070.749212962961</v>
      </c>
      <c r="J234" s="226">
        <v>0</v>
      </c>
      <c r="K234" s="238" t="str">
        <f t="shared" si="102"/>
        <v>4035/4036</v>
      </c>
      <c r="L234" s="246" t="str">
        <f>VLOOKUP(A234,'Trips&amp;Operators'!$C$1:$G$99911,5,FALSE)</f>
        <v>GONZALEZ ARMANDO</v>
      </c>
      <c r="M234" s="225">
        <f t="shared" si="116"/>
        <v>2.2951388884393964E-2</v>
      </c>
      <c r="N234" s="226">
        <f t="shared" si="119"/>
        <v>33.049999993527308</v>
      </c>
      <c r="O234" s="226"/>
      <c r="P234" s="226"/>
      <c r="Q234" s="229"/>
      <c r="R234" s="243"/>
      <c r="S234" s="250">
        <f t="shared" si="120"/>
        <v>1</v>
      </c>
      <c r="T234" s="243" t="str">
        <f t="shared" si="103"/>
        <v>NorthBound</v>
      </c>
      <c r="U234" s="247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49" t="str">
        <f t="shared" si="104"/>
        <v>https://d0f6bd738d7f1b3e5a7ca70fe4ff75f0.us-east-1.aws.found.io/app/kibana#/discover/Steve-Slow-Train-Analysis-(2080s-and-2083s)?_g=(refreshInterval:(display:Off,pause:!f,section:0,value:0),time:(from:'2017-12-01T16:18:51-0700',mode:absolute,to:'2017-12-01T18:58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4036%22')),sort:!(Time.ISO8601,asc))</v>
      </c>
      <c r="W234" s="248" t="str">
        <f>IF(AA234&lt;VLOOKUP(AG234,Variables!$AC$3:$AD$8,2,FALSE),"Y","N")</f>
        <v>Y</v>
      </c>
      <c r="X234" s="248">
        <f t="shared" si="115"/>
        <v>2</v>
      </c>
      <c r="Y234" s="248">
        <f t="shared" si="117"/>
        <v>0.11559999999999999</v>
      </c>
      <c r="Z234" s="248">
        <f t="shared" si="118"/>
        <v>2.3308</v>
      </c>
      <c r="AA234" s="248">
        <f t="shared" si="105"/>
        <v>2.2151999999999998</v>
      </c>
      <c r="AB234" s="234" t="e">
        <f>VLOOKUP(A234,Enforcements!$C$7:$K$9,8,0)</f>
        <v>#N/A</v>
      </c>
      <c r="AC234" s="233" t="e">
        <f>VLOOKUP(A234,Enforcements!$C$7:$E$9,3,0)</f>
        <v>#N/A</v>
      </c>
      <c r="AD234" s="244">
        <f t="shared" si="106"/>
        <v>77</v>
      </c>
      <c r="AE234" s="236" t="str">
        <f t="shared" si="107"/>
        <v>aws s3 cp s3://rtdc.mdm.uploadarchive.raw/RTDC4036/ "%USERPROFILE%\AppData\Local\Temp\OnboardLogs"\RTDC4036\2017-12-01 --exclude "*" --recursive --include "*20171201*" &amp; "%USERPROFILE%\Documents\GitHub\mrs-test-scripts\Headless Mode &amp; Sideloading\WalkAndUnGZ.bat" "%USERPROFILE%\AppData\Local\Temp\OnboardLogs"\RTDC4036\2017-12-01 &amp; aws s3 cp s3://rtdc.mdm.uploadarchive.raw/RTDC4036/ "%USERPROFILE%\AppData\Local\Temp\OnboardLogs"\RTDC4036\2017-12-02 --exclude "*" --recursive --include "*20171202*" &amp; "%USERPROFILE%\Documents\GitHub\mrs-test-scripts\Headless Mode &amp; Sideloading\WalkAndUnGZ.bat" "%USERPROFILE%\AppData\Local\Temp\OnboardLogs"\RTDC4036\2017-12-02</v>
      </c>
      <c r="AF234" s="235" t="str">
        <f t="shared" si="108"/>
        <v>"C:\Program Files (x86)\AstroGrep\AstroGrep.exe" /e /r /s /spath="%USERPROFILE%\AppData\Local\Temp\OnboardLogs" /stypes="app*4036*20171202*" /stext=" 00:.+((SYSTEM_STATE.+slice.+state.+changed )|(ment ac)|(multiple cpu faults)|(system.+state.+changed )|(\[timeout)|(PRM\|1\|D)|(kpr)|(kdp)|(train st.+moving)|(\|lc)|(penalty))"</v>
      </c>
      <c r="AG234" s="245" t="str">
        <f t="shared" si="109"/>
        <v>Shuttle/Test</v>
      </c>
      <c r="AH234" s="237" t="str">
        <f t="shared" si="110"/>
        <v>"%USERPROFILE%\Documents\GitHub\eaglep3\Utilities\RefineRTDCRunTimes.py" --tripid 77-01 --locoid 4036 --swversion DE.1.0.9.0 --startMP 204:1156 --initTime 2017-12-01T17:18:51 --startdatetime 2017-12-01T17:25:49 --delay 210 --endMP 300:23308 --enddatetime 2017-12-01T17:58:52 --enforcementcount 0 &gt;&gt;%USERPROFILE%\Documents\GitHub\eaglep3-reporting\EC\2017-12-01-refined-times.txt</v>
      </c>
      <c r="AI234" s="239" t="str">
        <f t="shared" si="111"/>
        <v>echo {"issue":{"subject":"","project_id":79,"tracker_id":40,"status_id":1,"priority_id":2,"assigned_to_id":338,"start_date":"2017-12-01","description":"","custom_fields":[{"id":1,"name":"Subdivision","value":"Shuttle/Test"},{"id":4,"name":"Milepost","value":"2.3308"},{"id":17,"name":"Train ID","value":"77-01"},{"id":16,"name":"Locomotive ID","value":"4036"},{"id":130,"name":"Impact","value":""},{"id":150,"name":"Time of Event (Mountain Time)","value":"17:58:52"},{"id":151,"name":"Denver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4" s="224"/>
      <c r="AK234" s="232"/>
      <c r="AL234" s="232"/>
      <c r="AM234" s="241" t="str">
        <f t="shared" si="112"/>
        <v>start /low /b %USERPROFILE%\Documents\GitHub\eaglep3\Utilities\DownloadLogsFromS3.py --loco 4036 --day 2017-12-01</v>
      </c>
      <c r="AN234" s="242" t="str">
        <f t="shared" si="113"/>
        <v>echo {"issue":{"subject":"","project_id":30,"tracker_id":4,"status_id":1,"priority_id":1,"assigned_to_id":10,"start_date":"2017-12-02","description":"","custom_fields":[{"id":30,"name":"Category","value":"Issue"},{"id":3,"name":"Functional Component","value":"Onboard"},{"id":31,"name":"Version","value":"N/A"},{"id":8,"name":"Reporting RR","value":"WABTEC"},{"id":27,"name":"Locomotive ID","value":"4036"},{"id":20,"name":"RR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UTC","value":"2017-12-02 00:58:52"},{"id":29,"name":"Sharepoint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231" t="str">
        <f t="shared" si="114"/>
        <v>https://d0f6bd738d7f1b3e5a7ca70fe4ff75f0.us-east-1.aws.found.io/app/kibana#/discover/Steve-Slow-Train-Analysis-(2080s-and-2083s)?_g=(refreshInterval:(display:Off,pause:!f,section:0,value:0),time:(from:'2017-12-01T16:18:51-0700',mode:absolute,to:'2017-12-01T18:58:52-0700'))&amp;_a=(columns:!('Message%20ID',Summary),filters:!(),index:'emp_*',interval:auto,query:(query_string:(analyze_wildcard:!t,query:'%22rtdc.l.rtdc.4036%22')),sort:!(Time.ISO8601,asc))</v>
      </c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24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M401"/>
      <c r="AO401"/>
    </row>
    <row r="402" spans="1:91" s="20" customFormat="1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91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91" s="20" customFormat="1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s="20" customFormat="1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s="20" customFormat="1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M419"/>
      <c r="AO419"/>
    </row>
    <row r="420" spans="1:91" s="20" customFormat="1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91" s="20" customFormat="1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91" s="20" customFormat="1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  <row r="427" spans="1:91" s="20" customFormat="1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s="20" customFormat="1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s="20" customFormat="1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M439"/>
      <c r="AO439"/>
    </row>
    <row r="440" spans="1:91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s="20" customFormat="1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M442"/>
      <c r="AO442"/>
    </row>
    <row r="443" spans="1:91" s="20" customFormat="1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s="20" customFormat="1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s="20" customFormat="1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s="20" customFormat="1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M453"/>
      <c r="AO453"/>
    </row>
    <row r="454" spans="1:91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s="20" customFormat="1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s="20" customFormat="1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s="20" customFormat="1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s="20" customFormat="1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s="20" customFormat="1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:91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91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91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91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91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91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91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91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91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s="20" customFormat="1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:91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91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91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s="20" customFormat="1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:91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91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M505"/>
      <c r="AO505"/>
    </row>
    <row r="506" spans="1:91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M506"/>
      <c r="AO506"/>
    </row>
    <row r="507" spans="1:91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M509"/>
      <c r="AO509"/>
    </row>
    <row r="510" spans="1:91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41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41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41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41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41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41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</sheetData>
  <autoFilter ref="A12:AG513">
    <sortState ref="A13:AG513">
      <sortCondition ref="AG13:AG234"/>
      <sortCondition ref="AD13:AD234"/>
    </sortState>
  </autoFilter>
  <sortState ref="A13:AN418">
    <sortCondition ref="AG13:AG418"/>
    <sortCondition ref="AD13:AD418"/>
  </sortState>
  <mergeCells count="1">
    <mergeCell ref="A11:P11"/>
  </mergeCells>
  <conditionalFormatting sqref="W11:W12 W519:X1048576 W13:X234">
    <cfRule type="cellIs" dxfId="10" priority="465" operator="equal">
      <formula>"Y"</formula>
    </cfRule>
  </conditionalFormatting>
  <conditionalFormatting sqref="X519:X1048576 X13:X234">
    <cfRule type="cellIs" dxfId="9" priority="448" operator="greaterThan">
      <formula>1</formula>
    </cfRule>
  </conditionalFormatting>
  <conditionalFormatting sqref="X519:X1048576 X12:X234">
    <cfRule type="cellIs" dxfId="8" priority="445" operator="equal">
      <formula>0</formula>
    </cfRule>
  </conditionalFormatting>
  <conditionalFormatting sqref="A13:S234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AK13:AK234</xm:sqref>
        </x14:dataValidation>
        <x14:dataValidation type="list" allowBlank="1" showInputMessage="1" showErrorMessage="1">
          <x14:formula1>
            <xm:f>'Redmine List Values'!$C$2:$C$15</xm:f>
          </x14:formula1>
          <xm:sqref>AL13:AL234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32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7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6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1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COUNTIF($O$7:$O$144,"=Y")</f>
        <v>6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COUNTA($O$7:$O$144)-O2</f>
        <v>8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25">
      <c r="A5" s="251" t="str">
        <f>"Eagle P3 Braking Events - "&amp;TEXT(Variables!$A$2,"YYYY-mm-dd")</f>
        <v>Eagle P3 Braking Events - 2017-12-01</v>
      </c>
      <c r="B5" s="251"/>
      <c r="C5" s="251"/>
      <c r="D5" s="251"/>
      <c r="E5" s="251"/>
      <c r="F5" s="251"/>
      <c r="G5" s="251"/>
      <c r="H5" s="251"/>
      <c r="I5" s="251"/>
      <c r="J5" s="251"/>
      <c r="K5" s="251"/>
      <c r="L5" s="251"/>
      <c r="M5" s="251"/>
      <c r="N5" s="251"/>
      <c r="O5" s="251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25">
      <c r="A7" s="31">
        <v>43070.425706018519</v>
      </c>
      <c r="B7" s="30" t="s">
        <v>729</v>
      </c>
      <c r="C7" s="30" t="s">
        <v>730</v>
      </c>
      <c r="D7" s="30" t="s">
        <v>49</v>
      </c>
      <c r="E7" s="30" t="s">
        <v>183</v>
      </c>
      <c r="F7" s="42">
        <v>240</v>
      </c>
      <c r="G7" s="42">
        <v>348</v>
      </c>
      <c r="H7" s="42">
        <v>35629</v>
      </c>
      <c r="I7" s="42">
        <v>34808</v>
      </c>
      <c r="J7" s="30" t="s">
        <v>184</v>
      </c>
      <c r="K7" s="42">
        <v>33257</v>
      </c>
      <c r="L7" s="131" t="s">
        <v>51</v>
      </c>
      <c r="M7" s="132">
        <f t="shared" ref="M7:M20" si="0">CONVERT((I7-K7)/10000,"mi","ft")*IF(L7="Increasing Mileposts (1)",-1,1)</f>
        <v>818.928</v>
      </c>
      <c r="N7" s="133" t="str">
        <f>VLOOKUP(C7,'Trips&amp;Operators'!$C$1:$G$99911,5,FALSE)</f>
        <v>MACDONALD THOMAS</v>
      </c>
      <c r="O7" s="175" t="s">
        <v>178</v>
      </c>
      <c r="P7" s="240" t="s">
        <v>344</v>
      </c>
      <c r="Q7" s="30"/>
      <c r="R7" s="81" t="str">
        <f>VLOOKUP(C7,'Train Runs'!$A$13:$AE$10172,31,0)</f>
        <v>aws s3 cp s3://rtdc.mdm.uploadarchive.raw/RTDC4045/ "%USERPROFILE%\AppData\Local\Temp\OnboardLogs"\RTDC4045\2017-12-01 --exclude "*" --recursive --include "*20171201*" &amp; "%USERPROFILE%\Documents\GitHub\mrs-test-scripts\Headless Mode &amp; Sideloading\WalkAndUnGZ.bat" "%USERPROFILE%\AppData\Local\Temp\OnboardLogs"\RTDC4045\2017-12-01 &amp; aws s3 cp s3://rtdc.mdm.uploadarchive.raw/RTDC4045/ "%USERPROFILE%\AppData\Local\Temp\OnboardLogs"\RTDC4045\2017-12-02 --exclude "*" --recursive --include "*20171202*" &amp; "%USERPROFILE%\Documents\GitHub\mrs-test-scripts\Headless Mode &amp; Sideloading\WalkAndUnGZ.bat" "%USERPROFILE%\AppData\Local\Temp\OnboardLogs"\RTDC4045\2017-12-02</v>
      </c>
      <c r="S7" s="84" t="str">
        <f>VLOOKUP(C7,'Train Runs'!$A$13:$AE$10172,22,0)</f>
        <v>https://d0f6bd738d7f1b3e5a7ca70fe4ff75f0.us-east-1.aws.found.io/app/kibana#/discover/Steve-Slow-Train-Analysis-(2080s-and-2083s)?_g=(refreshInterval:(display:Off,pause:!f,section:0,value:0),time:(from:'2017-12-01T08:40:25-0700',mode:absolute,to:'2017-12-01T11:22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7" s="86" t="str">
        <f t="shared" ref="T7:T20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/stypes="*4045*201712011*" /stext=" 17:.+((SYSTEM_STATE.+slice.+state.+changed )|(ment ac)|(multiple cpu faults)|(system.+state.+changed )|(\[timeout)|(PRM\|1\|D)|(kpr)|(kdp)|(train st.+moving)|(\|lc)|(penalty))"</v>
      </c>
      <c r="U7" s="9" t="str">
        <f t="shared" ref="U7:U20" si="2">MID(B7,13,4)</f>
        <v>4045</v>
      </c>
      <c r="V7" s="31">
        <f t="shared" ref="V7:V20" si="3">A7-utc_offset/24</f>
        <v>43070.717372685183</v>
      </c>
      <c r="W7" s="45" t="str">
        <f t="shared" ref="W7:W20" si="4">DetSubdiv(C7)</f>
        <v>EC</v>
      </c>
      <c r="X7" s="22">
        <f t="shared" ref="X7:X20" si="5">VALUE(LEFT(C7,LEN(C7)-3))</f>
        <v>142</v>
      </c>
      <c r="Y7" s="96" t="str">
        <f t="shared" ref="Y7:Y2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Arrival","project_id":79,"tracker_id":40,"status_id":1,"priority_id":2,"assigned_to_id":338,"start_date":"2017-12-01","description":"","custom_fields":[{"id":1,"name":"Subdivision","value":"EC"},{"id":4,"name":"Milepost","value":"3.3257"},{"id":17,"name":"Train ID","value":"142-01"},{"id":16,"name":"Locomotive ID","value":"4045"},{"id":130,"name":"Impact","value":""},{"id":150,"name":"Time of Event (Mountain Time)","value":"10:13:01"},{"id":151,"name":"Denver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20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/c/Users/stu/AppData/Local/Temp/OnboardLogs/RTDC4045 --include="*4045*201712011*"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"%USERPROFILE%\AppData\Local\Temp\OnboardLogs"\RTDC4045\*4045*201712011* &gt;&gt; 2017-12-01-SliceDisagreementCheck.txt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4045 --day 2017-12-01</v>
      </c>
    </row>
    <row r="8" spans="1:32" s="1" customFormat="1" x14ac:dyDescent="0.25">
      <c r="A8" s="31">
        <v>43070.190763888888</v>
      </c>
      <c r="B8" s="30" t="s">
        <v>513</v>
      </c>
      <c r="C8" s="30" t="s">
        <v>727</v>
      </c>
      <c r="D8" s="30" t="s">
        <v>49</v>
      </c>
      <c r="E8" s="30" t="s">
        <v>183</v>
      </c>
      <c r="F8" s="42">
        <v>180</v>
      </c>
      <c r="G8" s="42">
        <v>232</v>
      </c>
      <c r="H8" s="42">
        <v>63760</v>
      </c>
      <c r="I8" s="42">
        <v>63351</v>
      </c>
      <c r="J8" s="30" t="s">
        <v>184</v>
      </c>
      <c r="K8" s="42">
        <v>63309</v>
      </c>
      <c r="L8" s="131" t="s">
        <v>51</v>
      </c>
      <c r="M8" s="132">
        <f t="shared" si="0"/>
        <v>22.175999999999998</v>
      </c>
      <c r="N8" s="133" t="str">
        <f>VLOOKUP(C8,'Trips&amp;Operators'!$C$1:$G$99911,5,FALSE)</f>
        <v>YORK EDGAR</v>
      </c>
      <c r="O8" s="175" t="s">
        <v>178</v>
      </c>
      <c r="P8" s="240" t="s">
        <v>344</v>
      </c>
      <c r="Q8" s="30"/>
      <c r="R8" s="81" t="str">
        <f>VLOOKUP(C8,'Train Runs'!$A$13:$AE$10172,31,0)</f>
        <v>aws s3 cp s3://rtdc.mdm.uploadarchive.raw/RTDC4005/ "%USERPROFILE%\AppData\Local\Temp\OnboardLogs"\RTDC4005\2017-12-01 --exclude "*" --recursive --include "*20171201*" &amp; "%USERPROFILE%\Documents\GitHub\mrs-test-scripts\Headless Mode &amp; Sideloading\WalkAndUnGZ.bat" "%USERPROFILE%\AppData\Local\Temp\OnboardLogs"\RTDC4005\2017-12-01 &amp; aws s3 cp s3://rtdc.mdm.uploadarchive.raw/RTDC4005/ "%USERPROFILE%\AppData\Local\Temp\OnboardLogs"\RTDC4005\2017-12-02 --exclude "*" --recursive --include "*20171202*" &amp; "%USERPROFILE%\Documents\GitHub\mrs-test-scripts\Headless Mode &amp; Sideloading\WalkAndUnGZ.bat" "%USERPROFILE%\AppData\Local\Temp\OnboardLogs"\RTDC4005\2017-12-02</v>
      </c>
      <c r="S8" s="84" t="str">
        <f>VLOOKUP(C8,'Train Runs'!$A$13:$AE$10172,22,0)</f>
        <v>https://d0f6bd738d7f1b3e5a7ca70fe4ff75f0.us-east-1.aws.found.io/app/kibana#/discover/Steve-Slow-Train-Analysis-(2080s-and-2083s)?_g=(refreshInterval:(display:Off,pause:!f,section:0,value:0),time:(from:'2017-12-01T03:05:07-0700',mode:absolute,to:'2017-12-01T05:49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8" s="86" t="str">
        <f t="shared" si="1"/>
        <v>"C:\Program Files (x86)\AstroGrep\AstroGrep.exe" /e /r /s /spath="%USERPROFILE%\AppData\Local\Temp\OnboardLogs" /stypes="*4005*201712011*" /stext=" 11:.+((SYSTEM_STATE.+slice.+state.+changed )|(ment ac)|(multiple cpu faults)|(system.+state.+changed )|(\[timeout)|(PRM\|1\|D)|(kpr)|(kdp)|(train st.+moving)|(\|lc)|(penalty))"</v>
      </c>
      <c r="U8" s="9" t="str">
        <f t="shared" si="2"/>
        <v>4005</v>
      </c>
      <c r="V8" s="31">
        <f t="shared" si="3"/>
        <v>43070.482430555552</v>
      </c>
      <c r="W8" s="45" t="str">
        <f t="shared" si="4"/>
        <v>EC</v>
      </c>
      <c r="X8" s="229">
        <f t="shared" si="5"/>
        <v>102</v>
      </c>
      <c r="Y8" s="239" t="str">
        <f t="shared" si="6"/>
        <v>echo {"issue":{"subject":"Early Arrival","project_id":79,"tracker_id":40,"status_id":1,"priority_id":2,"assigned_to_id":338,"start_date":"2017-12-01","description":"","custom_fields":[{"id":1,"name":"Subdivision","value":"EC"},{"id":4,"name":"Milepost","value":"6.3309"},{"id":17,"name":"Train ID","value":"102-01"},{"id":16,"name":"Locomotive ID","value":"4005"},{"id":130,"name":"Impact","value":""},{"id":150,"name":"Time of Event (Mountain Time)","value":"04:34:42"},{"id":151,"name":"Denver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2"/>
      <c r="AB8" s="232"/>
      <c r="AC8" s="115" t="str">
        <f t="shared" si="7"/>
        <v>grep -hrE -A400 "Enforcement Action" /c/Users/stu/AppData/Local/Temp/OnboardLogs/RTDC4005 --include="*4005*201712011*"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"%USERPROFILE%\AppData\Local\Temp\OnboardLogs"\RTDC4005\*4005*201712011* &gt;&gt; 2017-12-01-SliceDisagreementCheck.txt</v>
      </c>
      <c r="AE8" s="144" t="str">
        <f t="shared" ref="AE8:AE20" si="9">"start /low /b "&amp;dls3logs&amp;" --loco "&amp;U8&amp;" --day "&amp;TEXT(V8,"YYYY-MM-DD")</f>
        <v>start /low /b %USERPROFILE%\Documents\GitHub\eaglep3\Utilities\DownloadLogsFromS3.py --loco 4005 --day 2017-12-01</v>
      </c>
    </row>
    <row r="9" spans="1:32" s="1" customFormat="1" x14ac:dyDescent="0.25">
      <c r="A9" s="31">
        <v>43070.741562499999</v>
      </c>
      <c r="B9" s="30" t="s">
        <v>477</v>
      </c>
      <c r="C9" s="30" t="s">
        <v>740</v>
      </c>
      <c r="D9" s="30" t="s">
        <v>95</v>
      </c>
      <c r="E9" s="30" t="s">
        <v>190</v>
      </c>
      <c r="F9" s="42">
        <v>200</v>
      </c>
      <c r="G9" s="42">
        <v>256</v>
      </c>
      <c r="H9" s="42">
        <v>5294</v>
      </c>
      <c r="I9" s="42">
        <v>5895</v>
      </c>
      <c r="J9" s="30" t="s">
        <v>191</v>
      </c>
      <c r="K9" s="42">
        <v>4677</v>
      </c>
      <c r="L9" s="131" t="s">
        <v>50</v>
      </c>
      <c r="M9" s="132">
        <f t="shared" si="0"/>
        <v>-643.10400000000004</v>
      </c>
      <c r="N9" s="133" t="str">
        <f>VLOOKUP(C9,'Trips&amp;Operators'!$C$1:$G$99911,5,FALSE)</f>
        <v>DAVIDSON DAVID</v>
      </c>
      <c r="O9" s="175" t="s">
        <v>178</v>
      </c>
      <c r="P9" s="240"/>
      <c r="Q9" s="30"/>
      <c r="R9" s="81" t="str">
        <f>VLOOKUP(C9,'Train Runs'!$A$13:$AE$10172,31,0)</f>
        <v>aws s3 cp s3://rtdc.mdm.uploadarchive.raw/RTDC4002/ "%USERPROFILE%\AppData\Local\Temp\OnboardLogs"\RTDC4002\2017-12-01 --exclude "*" --recursive --include "*20171201*" &amp; "%USERPROFILE%\Documents\GitHub\mrs-test-scripts\Headless Mode &amp; Sideloading\WalkAndUnGZ.bat" "%USERPROFILE%\AppData\Local\Temp\OnboardLogs"\RTDC4002\2017-12-01 &amp; aws s3 cp s3://rtdc.mdm.uploadarchive.raw/RTDC4002/ "%USERPROFILE%\AppData\Local\Temp\OnboardLogs"\RTDC4002\2017-12-02 --exclude "*" --recursive --include "*20171202*" &amp; "%USERPROFILE%\Documents\GitHub\mrs-test-scripts\Headless Mode &amp; Sideloading\WalkAndUnGZ.bat" "%USERPROFILE%\AppData\Local\Temp\OnboardLogs"\RTDC4002\2017-12-02</v>
      </c>
      <c r="S9" s="84" t="str">
        <f>VLOOKUP(C9,'Train Runs'!$A$13:$AE$10172,22,0)</f>
        <v>https://d0f6bd738d7f1b3e5a7ca70fe4ff75f0.us-east-1.aws.found.io/app/kibana#/discover/Steve-Slow-Train-Analysis-(2080s-and-2083s)?_g=(refreshInterval:(display:Off,pause:!f,section:0,value:0),time:(from:'2017-12-01T16:39:40-0700',mode:absolute,to:'2017-12-01T19:22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9" s="86" t="str">
        <f t="shared" si="1"/>
        <v>"C:\Program Files (x86)\AstroGrep\AstroGrep.exe" /e /r /s /spath="%USERPROFILE%\AppData\Local\Temp\OnboardLogs" /stypes="*4002*201712020*" /stext=" 00:.+((SYSTEM_STATE.+slice.+state.+changed )|(ment ac)|(multiple cpu faults)|(system.+state.+changed )|(\[timeout)|(PRM\|1\|D)|(kpr)|(kdp)|(train st.+moving)|(\|lc)|(penalty))"</v>
      </c>
      <c r="U9" s="9" t="str">
        <f t="shared" si="2"/>
        <v>4002</v>
      </c>
      <c r="V9" s="31">
        <f t="shared" si="3"/>
        <v>43071.033229166664</v>
      </c>
      <c r="W9" s="45" t="str">
        <f t="shared" si="4"/>
        <v>EC</v>
      </c>
      <c r="X9" s="229">
        <f t="shared" si="5"/>
        <v>213</v>
      </c>
      <c r="Y9" s="239" t="str">
        <f t="shared" si="6"/>
        <v>echo {"issue":{"subject":"","project_id":79,"tracker_id":40,"status_id":1,"priority_id":2,"assigned_to_id":338,"start_date":"2017-12-01","description":"","custom_fields":[{"id":1,"name":"Subdivision","value":"EC"},{"id":4,"name":"Milepost","value":"0.4677"},{"id":17,"name":"Train ID","value":"213-01"},{"id":16,"name":"Locomotive ID","value":"4002"},{"id":130,"name":"Impact","value":""},{"id":150,"name":"Time of Event (Mountain Time)","value":"17:47:51"},{"id":151,"name":"Denver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2"/>
      <c r="AB9" s="232"/>
      <c r="AC9" s="115" t="str">
        <f t="shared" si="7"/>
        <v>grep -hrE -A400 "Enforcement Action" /c/Users/stu/AppData/Local/Temp/OnboardLogs/RTDC4002 --include="*4002*201712020*"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"%USERPROFILE%\AppData\Local\Temp\OnboardLogs"\RTDC4002\*4002*201712020* &gt;&gt; 2017-12-01-SliceDisagreementCheck.txt</v>
      </c>
      <c r="AE9" s="144" t="str">
        <f t="shared" si="9"/>
        <v>start /low /b %USERPROFILE%\Documents\GitHub\eaglep3\Utilities\DownloadLogsFromS3.py --loco 4002 --day 2017-12-02</v>
      </c>
    </row>
    <row r="10" spans="1:32" x14ac:dyDescent="0.25">
      <c r="A10" s="31">
        <v>43070.197743055556</v>
      </c>
      <c r="B10" s="30" t="s">
        <v>513</v>
      </c>
      <c r="C10" s="30" t="s">
        <v>727</v>
      </c>
      <c r="D10" s="30" t="s">
        <v>49</v>
      </c>
      <c r="E10" s="30" t="s">
        <v>190</v>
      </c>
      <c r="F10" s="42">
        <v>450</v>
      </c>
      <c r="G10" s="42">
        <v>500</v>
      </c>
      <c r="H10" s="42">
        <v>17367</v>
      </c>
      <c r="I10" s="42">
        <v>14327</v>
      </c>
      <c r="J10" s="30" t="s">
        <v>191</v>
      </c>
      <c r="K10" s="42">
        <v>15167</v>
      </c>
      <c r="L10" s="131" t="s">
        <v>51</v>
      </c>
      <c r="M10" s="132">
        <f t="shared" si="0"/>
        <v>-443.52</v>
      </c>
      <c r="N10" s="133" t="str">
        <f>VLOOKUP(C10,'Trips&amp;Operators'!$C$1:$G$99911,5,FALSE)</f>
        <v>YORK EDGAR</v>
      </c>
      <c r="O10" s="175" t="s">
        <v>178</v>
      </c>
      <c r="P10" s="240"/>
      <c r="Q10" s="30"/>
      <c r="R10" s="81" t="str">
        <f>VLOOKUP(C10,'Train Runs'!$A$13:$AE$10172,31,0)</f>
        <v>aws s3 cp s3://rtdc.mdm.uploadarchive.raw/RTDC4005/ "%USERPROFILE%\AppData\Local\Temp\OnboardLogs"\RTDC4005\2017-12-01 --exclude "*" --recursive --include "*20171201*" &amp; "%USERPROFILE%\Documents\GitHub\mrs-test-scripts\Headless Mode &amp; Sideloading\WalkAndUnGZ.bat" "%USERPROFILE%\AppData\Local\Temp\OnboardLogs"\RTDC4005\2017-12-01 &amp; aws s3 cp s3://rtdc.mdm.uploadarchive.raw/RTDC4005/ "%USERPROFILE%\AppData\Local\Temp\OnboardLogs"\RTDC4005\2017-12-02 --exclude "*" --recursive --include "*20171202*" &amp; "%USERPROFILE%\Documents\GitHub\mrs-test-scripts\Headless Mode &amp; Sideloading\WalkAndUnGZ.bat" "%USERPROFILE%\AppData\Local\Temp\OnboardLogs"\RTDC4005\2017-12-02</v>
      </c>
      <c r="S10" s="84" t="str">
        <f>VLOOKUP(C10,'Train Runs'!$A$13:$AE$10172,22,0)</f>
        <v>https://d0f6bd738d7f1b3e5a7ca70fe4ff75f0.us-east-1.aws.found.io/app/kibana#/discover/Steve-Slow-Train-Analysis-(2080s-and-2083s)?_g=(refreshInterval:(display:Off,pause:!f,section:0,value:0),time:(from:'2017-12-01T03:05:07-0700',mode:absolute,to:'2017-12-01T05:49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0" s="86" t="str">
        <f t="shared" si="1"/>
        <v>"C:\Program Files (x86)\AstroGrep\AstroGrep.exe" /e /r /s /spath="%USERPROFILE%\AppData\Local\Temp\OnboardLogs" /stypes="*4005*201712011*" /stext=" 11:.+((SYSTEM_STATE.+slice.+state.+changed )|(ment ac)|(multiple cpu faults)|(system.+state.+changed )|(\[timeout)|(PRM\|1\|D)|(kpr)|(kdp)|(train st.+moving)|(\|lc)|(penalty))"</v>
      </c>
      <c r="U10" s="9" t="str">
        <f t="shared" si="2"/>
        <v>4005</v>
      </c>
      <c r="V10" s="31">
        <f t="shared" si="3"/>
        <v>43070.48940972222</v>
      </c>
      <c r="W10" s="45" t="str">
        <f t="shared" si="4"/>
        <v>EC</v>
      </c>
      <c r="X10" s="229">
        <f t="shared" si="5"/>
        <v>102</v>
      </c>
      <c r="Y10" s="239" t="str">
        <f t="shared" si="6"/>
        <v>echo {"issue":{"subject":"","project_id":79,"tracker_id":40,"status_id":1,"priority_id":2,"assigned_to_id":338,"start_date":"2017-12-01","description":"","custom_fields":[{"id":1,"name":"Subdivision","value":"EC"},{"id":4,"name":"Milepost","value":"1.5167"},{"id":17,"name":"Train ID","value":"102-01"},{"id":16,"name":"Locomotive ID","value":"4005"},{"id":130,"name":"Impact","value":""},{"id":150,"name":"Time of Event (Mountain Time)","value":"04:44:45"},{"id":151,"name":"Denver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2"/>
      <c r="AB10" s="232"/>
      <c r="AC10" s="115" t="str">
        <f t="shared" si="7"/>
        <v>grep -hrE -A400 "Enforcement Action" /c/Users/stu/AppData/Local/Temp/OnboardLogs/RTDC4005 --include="*4005*201712011*"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"%USERPROFILE%\AppData\Local\Temp\OnboardLogs"\RTDC4005\*4005*201712011* &gt;&gt; 2017-12-01-SliceDisagreementCheck.txt</v>
      </c>
      <c r="AE10" s="144" t="str">
        <f t="shared" si="9"/>
        <v>start /low /b %USERPROFILE%\Documents\GitHub\eaglep3\Utilities\DownloadLogsFromS3.py --loco 4005 --day 2017-12-01</v>
      </c>
      <c r="AF10" s="1"/>
    </row>
    <row r="11" spans="1:32" x14ac:dyDescent="0.25">
      <c r="A11" s="31">
        <v>43070.648506944446</v>
      </c>
      <c r="B11" s="30" t="s">
        <v>518</v>
      </c>
      <c r="C11" s="30" t="s">
        <v>737</v>
      </c>
      <c r="D11" s="30" t="s">
        <v>49</v>
      </c>
      <c r="E11" s="30" t="s">
        <v>190</v>
      </c>
      <c r="F11" s="42">
        <v>400</v>
      </c>
      <c r="G11" s="42">
        <v>498</v>
      </c>
      <c r="H11" s="42">
        <v>17110</v>
      </c>
      <c r="I11" s="42">
        <v>18004</v>
      </c>
      <c r="J11" s="30" t="s">
        <v>191</v>
      </c>
      <c r="K11" s="42">
        <v>17867</v>
      </c>
      <c r="L11" s="131" t="s">
        <v>50</v>
      </c>
      <c r="M11" s="132">
        <f t="shared" si="0"/>
        <v>-72.335999999999999</v>
      </c>
      <c r="N11" s="133" t="str">
        <f>VLOOKUP(C11,'Trips&amp;Operators'!$C$1:$G$99911,5,FALSE)</f>
        <v>FORTUNATO FRANK</v>
      </c>
      <c r="O11" s="175" t="s">
        <v>178</v>
      </c>
      <c r="P11" s="240"/>
      <c r="Q11" s="30"/>
      <c r="R11" s="81" t="str">
        <f>VLOOKUP(C11,'Train Runs'!$A$13:$AE$10172,31,0)</f>
        <v>aws s3 cp s3://rtdc.mdm.uploadarchive.raw/RTDC4006/ "%USERPROFILE%\AppData\Local\Temp\OnboardLogs"\RTDC4006\2017-12-01 --exclude "*" --recursive --include "*20171201*" &amp; "%USERPROFILE%\Documents\GitHub\mrs-test-scripts\Headless Mode &amp; Sideloading\WalkAndUnGZ.bat" "%USERPROFILE%\AppData\Local\Temp\OnboardLogs"\RTDC4006\2017-12-01 &amp; aws s3 cp s3://rtdc.mdm.uploadarchive.raw/RTDC4006/ "%USERPROFILE%\AppData\Local\Temp\OnboardLogs"\RTDC4006\2017-12-02 --exclude "*" --recursive --include "*20171202*" &amp; "%USERPROFILE%\Documents\GitHub\mrs-test-scripts\Headless Mode &amp; Sideloading\WalkAndUnGZ.bat" "%USERPROFILE%\AppData\Local\Temp\OnboardLogs"\RTDC4006\2017-12-02</v>
      </c>
      <c r="S11" s="84" t="str">
        <f>VLOOKUP(C11,'Train Runs'!$A$13:$AE$10172,22,0)</f>
        <v>https://d0f6bd738d7f1b3e5a7ca70fe4ff75f0.us-east-1.aws.found.io/app/kibana#/discover/Steve-Slow-Train-Analysis-(2080s-and-2083s)?_g=(refreshInterval:(display:Off,pause:!f,section:0,value:0),time:(from:'2017-12-01T14:25:54-0700',mode:absolute,to:'2017-12-01T17:07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1" s="86" t="str">
        <f t="shared" si="1"/>
        <v>"C:\Program Files (x86)\AstroGrep\AstroGrep.exe" /e /r /s /spath="%USERPROFILE%\AppData\Local\Temp\OnboardLogs" /stypes="*4006*201712012*" /stext=" 22:.+((SYSTEM_STATE.+slice.+state.+changed )|(ment ac)|(multiple cpu faults)|(system.+state.+changed )|(\[timeout)|(PRM\|1\|D)|(kpr)|(kdp)|(train st.+moving)|(\|lc)|(penalty))"</v>
      </c>
      <c r="U11" s="9" t="str">
        <f t="shared" si="2"/>
        <v>4006</v>
      </c>
      <c r="V11" s="31">
        <f t="shared" si="3"/>
        <v>43070.94017361111</v>
      </c>
      <c r="W11" s="45" t="str">
        <f t="shared" si="4"/>
        <v>EC</v>
      </c>
      <c r="X11" s="229">
        <f t="shared" si="5"/>
        <v>195</v>
      </c>
      <c r="Y11" s="239" t="str">
        <f t="shared" si="6"/>
        <v>echo {"issue":{"subject":"","project_id":79,"tracker_id":40,"status_id":1,"priority_id":2,"assigned_to_id":338,"start_date":"2017-12-01","description":"","custom_fields":[{"id":1,"name":"Subdivision","value":"EC"},{"id":4,"name":"Milepost","value":"1.7867"},{"id":17,"name":"Train ID","value":"195-01"},{"id":16,"name":"Locomotive ID","value":"4006"},{"id":130,"name":"Impact","value":""},{"id":150,"name":"Time of Event (Mountain Time)","value":"15:33:51"},{"id":151,"name":"Denver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2"/>
      <c r="AB11" s="232"/>
      <c r="AC11" s="115" t="str">
        <f t="shared" si="7"/>
        <v>grep -hrE -A400 "Enforcement Action" /c/Users/stu/AppData/Local/Temp/OnboardLogs/RTDC4006 --include="*4006*201712012*"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"%USERPROFILE%\AppData\Local\Temp\OnboardLogs"\RTDC4006\*4006*201712012* &gt;&gt; 2017-12-01-SliceDisagreementCheck.txt</v>
      </c>
      <c r="AE11" s="144" t="str">
        <f t="shared" si="9"/>
        <v>start /low /b %USERPROFILE%\Documents\GitHub\eaglep3\Utilities\DownloadLogsFromS3.py --loco 4006 --day 2017-12-01</v>
      </c>
      <c r="AF11" s="1"/>
    </row>
    <row r="12" spans="1:32" x14ac:dyDescent="0.25">
      <c r="A12" s="31">
        <v>43070.596192129633</v>
      </c>
      <c r="B12" s="30" t="s">
        <v>583</v>
      </c>
      <c r="C12" s="30" t="s">
        <v>735</v>
      </c>
      <c r="D12" s="30" t="s">
        <v>49</v>
      </c>
      <c r="E12" s="30" t="s">
        <v>355</v>
      </c>
      <c r="F12" s="42">
        <v>0</v>
      </c>
      <c r="G12" s="42">
        <v>595</v>
      </c>
      <c r="H12" s="42">
        <v>82188</v>
      </c>
      <c r="I12" s="42">
        <v>79496</v>
      </c>
      <c r="J12" s="30" t="s">
        <v>356</v>
      </c>
      <c r="K12" s="42">
        <v>81751</v>
      </c>
      <c r="L12" s="131" t="s">
        <v>51</v>
      </c>
      <c r="M12" s="132">
        <f t="shared" si="0"/>
        <v>-1190.6400000000001</v>
      </c>
      <c r="N12" s="133" t="str">
        <f>VLOOKUP(C12,'Trips&amp;Operators'!$C$1:$G$99911,5,FALSE)</f>
        <v>SAFIEF AEIMEN</v>
      </c>
      <c r="O12" s="175" t="s">
        <v>349</v>
      </c>
      <c r="P12" s="240" t="s">
        <v>476</v>
      </c>
      <c r="Q12" s="30"/>
      <c r="R12" s="81" t="str">
        <f>VLOOKUP(C12,'Train Runs'!$A$13:$AE$10172,31,0)</f>
        <v>aws s3 cp s3://rtdc.mdm.uploadarchive.raw/RTDC4039/ "%USERPROFILE%\AppData\Local\Temp\OnboardLogs"\RTDC4039\2017-12-01 --exclude "*" --recursive --include "*20171201*" &amp; "%USERPROFILE%\Documents\GitHub\mrs-test-scripts\Headless Mode &amp; Sideloading\WalkAndUnGZ.bat" "%USERPROFILE%\AppData\Local\Temp\OnboardLogs"\RTDC4039\2017-12-01 &amp; aws s3 cp s3://rtdc.mdm.uploadarchive.raw/RTDC4039/ "%USERPROFILE%\AppData\Local\Temp\OnboardLogs"\RTDC4039\2017-12-02 --exclude "*" --recursive --include "*20171202*" &amp; "%USERPROFILE%\Documents\GitHub\mrs-test-scripts\Headless Mode &amp; Sideloading\WalkAndUnGZ.bat" "%USERPROFILE%\AppData\Local\Temp\OnboardLogs"\RTDC4039\2017-12-02</v>
      </c>
      <c r="S12" s="84" t="str">
        <f>VLOOKUP(C12,'Train Runs'!$A$13:$AE$10172,22,0)</f>
        <v>https://d0f6bd738d7f1b3e5a7ca70fe4ff75f0.us-east-1.aws.found.io/app/kibana#/discover/Steve-Slow-Train-Analysis-(2080s-and-2083s)?_g=(refreshInterval:(display:Off,pause:!f,section:0,value:0),time:(from:'2017-12-01T12:38:07-0700',mode:absolute,to:'2017-12-01T15:37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2" s="86" t="str">
        <f t="shared" si="1"/>
        <v>"C:\Program Files (x86)\AstroGrep\AstroGrep.exe" /e /r /s /spath="%USERPROFILE%\AppData\Local\Temp\OnboardLogs" /stypes="*4039*201712012*" /stext=" 21:.+((SYSTEM_STATE.+slice.+state.+changed )|(ment ac)|(multiple cpu faults)|(system.+state.+changed )|(\[timeout)|(PRM\|1\|D)|(kpr)|(kdp)|(train st.+moving)|(\|lc)|(penalty))"</v>
      </c>
      <c r="U12" s="9" t="str">
        <f t="shared" si="2"/>
        <v>4039</v>
      </c>
      <c r="V12" s="31">
        <f t="shared" si="3"/>
        <v>43070.887858796297</v>
      </c>
      <c r="W12" s="45" t="str">
        <f t="shared" si="4"/>
        <v>EC</v>
      </c>
      <c r="X12" s="229">
        <f t="shared" si="5"/>
        <v>176</v>
      </c>
      <c r="Y12" s="239" t="str">
        <f t="shared" si="6"/>
        <v>echo {"issue":{"subject":"Wi-MAX data drop","project_id":79,"tracker_id":40,"status_id":1,"priority_id":2,"assigned_to_id":338,"start_date":"2017-12-01","description":"","custom_fields":[{"id":1,"name":"Subdivision","value":"EC"},{"id":4,"name":"Milepost","value":"8.1751"},{"id":17,"name":"Train ID","value":"176-01"},{"id":16,"name":"Locomotive ID","value":"4039"},{"id":130,"name":"Impact","value":""},{"id":150,"name":"Time of Event (Mountain Time)","value":"14:18:31"},{"id":151,"name":"Denver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2"/>
      <c r="AB12" s="232"/>
      <c r="AC12" s="115" t="str">
        <f t="shared" si="7"/>
        <v>grep -hrE -A400 "Enforcement Action" /c/Users/stu/AppData/Local/Temp/OnboardLogs/RTDC4039 --include="*4039*201712012*"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"%USERPROFILE%\AppData\Local\Temp\OnboardLogs"\RTDC4039\*4039*201712012* &gt;&gt; 2017-12-01-SliceDisagreementCheck.txt</v>
      </c>
      <c r="AE12" s="144" t="str">
        <f t="shared" si="9"/>
        <v>start /low /b %USERPROFILE%\Documents\GitHub\eaglep3\Utilities\DownloadLogsFromS3.py --loco 4039 --day 2017-12-01</v>
      </c>
      <c r="AF12" s="1"/>
    </row>
    <row r="13" spans="1:32" x14ac:dyDescent="0.25">
      <c r="A13" s="31">
        <v>43070.627500000002</v>
      </c>
      <c r="B13" s="30" t="s">
        <v>513</v>
      </c>
      <c r="C13" s="30" t="s">
        <v>736</v>
      </c>
      <c r="D13" s="30" t="s">
        <v>49</v>
      </c>
      <c r="E13" s="30" t="s">
        <v>355</v>
      </c>
      <c r="F13" s="42">
        <v>0</v>
      </c>
      <c r="G13" s="42">
        <v>550</v>
      </c>
      <c r="H13" s="42">
        <v>82760</v>
      </c>
      <c r="I13" s="42">
        <v>80883</v>
      </c>
      <c r="J13" s="30" t="s">
        <v>356</v>
      </c>
      <c r="K13" s="42">
        <v>81751</v>
      </c>
      <c r="L13" s="131" t="s">
        <v>51</v>
      </c>
      <c r="M13" s="132">
        <f t="shared" si="0"/>
        <v>-458.30399999999997</v>
      </c>
      <c r="N13" s="133" t="str">
        <f>VLOOKUP(C13,'Trips&amp;Operators'!$C$1:$G$99911,5,FALSE)</f>
        <v>FORTUNATO FRANK</v>
      </c>
      <c r="O13" s="175" t="s">
        <v>349</v>
      </c>
      <c r="P13" s="240" t="s">
        <v>476</v>
      </c>
      <c r="Q13" s="30"/>
      <c r="R13" s="81" t="str">
        <f>VLOOKUP(C13,'Train Runs'!$A$13:$AE$10172,31,0)</f>
        <v>aws s3 cp s3://rtdc.mdm.uploadarchive.raw/RTDC4005/ "%USERPROFILE%\AppData\Local\Temp\OnboardLogs"\RTDC4005\2017-12-01 --exclude "*" --recursive --include "*20171201*" &amp; "%USERPROFILE%\Documents\GitHub\mrs-test-scripts\Headless Mode &amp; Sideloading\WalkAndUnGZ.bat" "%USERPROFILE%\AppData\Local\Temp\OnboardLogs"\RTDC4005\2017-12-01 &amp; aws s3 cp s3://rtdc.mdm.uploadarchive.raw/RTDC4005/ "%USERPROFILE%\AppData\Local\Temp\OnboardLogs"\RTDC4005\2017-12-02 --exclude "*" --recursive --include "*20171202*" &amp; "%USERPROFILE%\Documents\GitHub\mrs-test-scripts\Headless Mode &amp; Sideloading\WalkAndUnGZ.bat" "%USERPROFILE%\AppData\Local\Temp\OnboardLogs"\RTDC4005\2017-12-02</v>
      </c>
      <c r="S13" s="84" t="str">
        <f>VLOOKUP(C13,'Train Runs'!$A$13:$AE$10172,22,0)</f>
        <v>https://d0f6bd738d7f1b3e5a7ca70fe4ff75f0.us-east-1.aws.found.io/app/kibana#/discover/Steve-Slow-Train-Analysis-(2080s-and-2083s)?_g=(refreshInterval:(display:Off,pause:!f,section:0,value:0),time:(from:'2017-12-01T13:38:08-0700',mode:absolute,to:'2017-12-01T16:23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3" s="86" t="str">
        <f t="shared" si="1"/>
        <v>"C:\Program Files (x86)\AstroGrep\AstroGrep.exe" /e /r /s /spath="%USERPROFILE%\AppData\Local\Temp\OnboardLogs" /stypes="*4005*201712012*" /stext=" 22:.+((SYSTEM_STATE.+slice.+state.+changed )|(ment ac)|(multiple cpu faults)|(system.+state.+changed )|(\[timeout)|(PRM\|1\|D)|(kpr)|(kdp)|(train st.+moving)|(\|lc)|(penalty))"</v>
      </c>
      <c r="U13" s="9" t="str">
        <f t="shared" si="2"/>
        <v>4005</v>
      </c>
      <c r="V13" s="31">
        <f t="shared" si="3"/>
        <v>43070.919166666667</v>
      </c>
      <c r="W13" s="45" t="str">
        <f t="shared" si="4"/>
        <v>EC</v>
      </c>
      <c r="X13" s="229">
        <f t="shared" si="5"/>
        <v>182</v>
      </c>
      <c r="Y13" s="239" t="str">
        <f t="shared" si="6"/>
        <v>echo {"issue":{"subject":"Wi-MAX data drop","project_id":79,"tracker_id":40,"status_id":1,"priority_id":2,"assigned_to_id":338,"start_date":"2017-12-01","description":"","custom_fields":[{"id":1,"name":"Subdivision","value":"EC"},{"id":4,"name":"Milepost","value":"8.1751"},{"id":17,"name":"Train ID","value":"182-01"},{"id":16,"name":"Locomotive ID","value":"4005"},{"id":130,"name":"Impact","value":""},{"id":150,"name":"Time of Event (Mountain Time)","value":"15:03:36"},{"id":151,"name":"Denver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2"/>
      <c r="AB13" s="232"/>
      <c r="AC13" s="115" t="str">
        <f t="shared" si="7"/>
        <v>grep -hrE -A400 "Enforcement Action" /c/Users/stu/AppData/Local/Temp/OnboardLogs/RTDC4005 --include="*4005*201712012*"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"%USERPROFILE%\AppData\Local\Temp\OnboardLogs"\RTDC4005\*4005*201712012* &gt;&gt; 2017-12-01-SliceDisagreementCheck.txt</v>
      </c>
      <c r="AE13" s="144" t="str">
        <f t="shared" si="9"/>
        <v>start /low /b %USERPROFILE%\Documents\GitHub\eaglep3\Utilities\DownloadLogsFromS3.py --loco 4005 --day 2017-12-01</v>
      </c>
      <c r="AF13" s="1"/>
    </row>
    <row r="14" spans="1:32" x14ac:dyDescent="0.25">
      <c r="A14" s="31">
        <v>43070.681458333333</v>
      </c>
      <c r="B14" s="30" t="s">
        <v>738</v>
      </c>
      <c r="C14" s="30" t="s">
        <v>739</v>
      </c>
      <c r="D14" s="30" t="s">
        <v>49</v>
      </c>
      <c r="E14" s="30" t="s">
        <v>355</v>
      </c>
      <c r="F14" s="42">
        <v>0</v>
      </c>
      <c r="G14" s="42">
        <v>150</v>
      </c>
      <c r="H14" s="42">
        <v>227940</v>
      </c>
      <c r="I14" s="42">
        <v>228149</v>
      </c>
      <c r="J14" s="30" t="s">
        <v>356</v>
      </c>
      <c r="K14" s="42">
        <v>228572</v>
      </c>
      <c r="L14" s="131" t="s">
        <v>50</v>
      </c>
      <c r="M14" s="132">
        <f t="shared" si="0"/>
        <v>223.34399999999999</v>
      </c>
      <c r="N14" s="133" t="str">
        <f>VLOOKUP(C14,'Trips&amp;Operators'!$C$1:$G$99911,5,FALSE)</f>
        <v>LEVIN SCOTT</v>
      </c>
      <c r="O14" s="175" t="s">
        <v>178</v>
      </c>
      <c r="P14" s="240" t="s">
        <v>1098</v>
      </c>
      <c r="Q14" s="30"/>
      <c r="R14" s="81" t="str">
        <f>VLOOKUP(C14,'Train Runs'!$A$13:$AE$10172,31,0)</f>
        <v>aws s3 cp s3://rtdc.mdm.uploadarchive.raw/RTDC4046/ "%USERPROFILE%\AppData\Local\Temp\OnboardLogs"\RTDC4046\2017-12-01 --exclude "*" --recursive --include "*20171201*" &amp; "%USERPROFILE%\Documents\GitHub\mrs-test-scripts\Headless Mode &amp; Sideloading\WalkAndUnGZ.bat" "%USERPROFILE%\AppData\Local\Temp\OnboardLogs"\RTDC4046\2017-12-01 &amp; aws s3 cp s3://rtdc.mdm.uploadarchive.raw/RTDC4046/ "%USERPROFILE%\AppData\Local\Temp\OnboardLogs"\RTDC4046\2017-12-02 --exclude "*" --recursive --include "*20171202*" &amp; "%USERPROFILE%\Documents\GitHub\mrs-test-scripts\Headless Mode &amp; Sideloading\WalkAndUnGZ.bat" "%USERPROFILE%\AppData\Local\Temp\OnboardLogs"\RTDC4046\2017-12-02</v>
      </c>
      <c r="S14" s="84" t="str">
        <f>VLOOKUP(C14,'Train Runs'!$A$13:$AE$10172,22,0)</f>
        <v>https://d0f6bd738d7f1b3e5a7ca70fe4ff75f0.us-east-1.aws.found.io/app/kibana#/discover/Steve-Slow-Train-Analysis-(2080s-and-2083s)?_g=(refreshInterval:(display:Off,pause:!f,section:0,value:0),time:(from:'2017-12-01T14:40:39-0700',mode:absolute,to:'2017-12-01T17:26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4" s="86" t="str">
        <f t="shared" si="1"/>
        <v>"C:\Program Files (x86)\AstroGrep\AstroGrep.exe" /e /r /s /spath="%USERPROFILE%\AppData\Local\Temp\OnboardLogs" /stypes="*4046*201712012*" /stext=" 23:.+((SYSTEM_STATE.+slice.+state.+changed )|(ment ac)|(multiple cpu faults)|(system.+state.+changed )|(\[timeout)|(PRM\|1\|D)|(kpr)|(kdp)|(train st.+moving)|(\|lc)|(penalty))"</v>
      </c>
      <c r="U14" s="9" t="str">
        <f t="shared" si="2"/>
        <v>4046</v>
      </c>
      <c r="V14" s="31">
        <f t="shared" si="3"/>
        <v>43070.973124999997</v>
      </c>
      <c r="W14" s="45" t="str">
        <f t="shared" si="4"/>
        <v>EC</v>
      </c>
      <c r="X14" s="229">
        <f t="shared" si="5"/>
        <v>197</v>
      </c>
      <c r="Y14" s="239" t="str">
        <f t="shared" si="6"/>
        <v>echo {"issue":{"subject":"DIA 4N STOP","project_id":79,"tracker_id":40,"status_id":1,"priority_id":2,"assigned_to_id":338,"start_date":"2017-12-01","description":"","custom_fields":[{"id":1,"name":"Subdivision","value":"EC"},{"id":4,"name":"Milepost","value":"22.8572"},{"id":17,"name":"Train ID","value":"197-01"},{"id":16,"name":"Locomotive ID","value":"4046"},{"id":130,"name":"Impact","value":""},{"id":150,"name":"Time of Event (Mountain Time)","value":"16:21:18"},{"id":151,"name":"Denver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2"/>
      <c r="AB14" s="232"/>
      <c r="AC14" s="115" t="str">
        <f t="shared" si="7"/>
        <v>grep -hrE -A400 "Enforcement Action" /c/Users/stu/AppData/Local/Temp/OnboardLogs/RTDC4046 --include="*4046*201712012*"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"%USERPROFILE%\AppData\Local\Temp\OnboardLogs"\RTDC4046\*4046*201712012* &gt;&gt; 2017-12-01-SliceDisagreementCheck.txt</v>
      </c>
      <c r="AE14" s="144" t="str">
        <f t="shared" si="9"/>
        <v>start /low /b %USERPROFILE%\Documents\GitHub\eaglep3\Utilities\DownloadLogsFromS3.py --loco 4046 --day 2017-12-01</v>
      </c>
      <c r="AF14" s="1"/>
    </row>
    <row r="15" spans="1:32" x14ac:dyDescent="0.25">
      <c r="A15" s="31">
        <v>43070.765706018516</v>
      </c>
      <c r="B15" s="30" t="s">
        <v>741</v>
      </c>
      <c r="C15" s="30" t="s">
        <v>742</v>
      </c>
      <c r="D15" s="30" t="s">
        <v>49</v>
      </c>
      <c r="E15" s="30" t="s">
        <v>408</v>
      </c>
      <c r="F15" s="42">
        <v>0</v>
      </c>
      <c r="G15" s="42">
        <v>290</v>
      </c>
      <c r="H15" s="42">
        <v>58083</v>
      </c>
      <c r="I15" s="42">
        <v>57356</v>
      </c>
      <c r="J15" s="30" t="s">
        <v>409</v>
      </c>
      <c r="K15" s="42">
        <v>57801</v>
      </c>
      <c r="L15" s="131" t="s">
        <v>51</v>
      </c>
      <c r="M15" s="132">
        <f t="shared" si="0"/>
        <v>-234.96</v>
      </c>
      <c r="N15" s="133" t="str">
        <f>VLOOKUP(C15,'Trips&amp;Operators'!$C$1:$G$99911,5,FALSE)</f>
        <v>LEVERE CRAIG</v>
      </c>
      <c r="O15" s="175" t="s">
        <v>349</v>
      </c>
      <c r="P15" s="240" t="s">
        <v>476</v>
      </c>
      <c r="Q15" s="30"/>
      <c r="R15" s="81" t="str">
        <f>VLOOKUP(C15,'Train Runs'!$A$13:$AE$10172,31,0)</f>
        <v>aws s3 cp s3://rtdc.mdm.uploadarchive.raw/RTDC4019/ "%USERPROFILE%\AppData\Local\Temp\OnboardLogs"\RTDC4019\2017-12-01 --exclude "*" --recursive --include "*20171201*" &amp; "%USERPROFILE%\Documents\GitHub\mrs-test-scripts\Headless Mode &amp; Sideloading\WalkAndUnGZ.bat" "%USERPROFILE%\AppData\Local\Temp\OnboardLogs"\RTDC4019\2017-12-01 &amp; aws s3 cp s3://rtdc.mdm.uploadarchive.raw/RTDC4019/ "%USERPROFILE%\AppData\Local\Temp\OnboardLogs"\RTDC4019\2017-12-02 --exclude "*" --recursive --include "*20171202*" &amp; "%USERPROFILE%\Documents\GitHub\mrs-test-scripts\Headless Mode &amp; Sideloading\WalkAndUnGZ.bat" "%USERPROFILE%\AppData\Local\Temp\OnboardLogs"\RTDC4019\2017-12-02</v>
      </c>
      <c r="S15" s="84" t="str">
        <f>VLOOKUP(C15,'Train Runs'!$A$13:$AE$10172,22,0)</f>
        <v>https://d0f6bd738d7f1b3e5a7ca70fe4ff75f0.us-east-1.aws.found.io/app/kibana#/discover/Steve-Slow-Train-Analysis-(2080s-and-2083s)?_g=(refreshInterval:(display:Off,pause:!f,section:0,value:0),time:(from:'2017-12-01T16:47:02-0700',mode:absolute,to:'2017-12-01T19:22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5" s="86" t="str">
        <f t="shared" si="1"/>
        <v>"C:\Program Files (x86)\AstroGrep\AstroGrep.exe" /e /r /s /spath="%USERPROFILE%\AppData\Local\Temp\OnboardLogs" /stypes="*4019*201712020*" /stext=" 01:.+((SYSTEM_STATE.+slice.+state.+changed )|(ment ac)|(multiple cpu faults)|(system.+state.+changed )|(\[timeout)|(PRM\|1\|D)|(kpr)|(kdp)|(train st.+moving)|(\|lc)|(penalty))"</v>
      </c>
      <c r="U15" s="9" t="str">
        <f t="shared" si="2"/>
        <v>4019</v>
      </c>
      <c r="V15" s="31">
        <f t="shared" si="3"/>
        <v>43071.05737268518</v>
      </c>
      <c r="W15" s="45" t="str">
        <f t="shared" si="4"/>
        <v>EC</v>
      </c>
      <c r="X15" s="229">
        <f t="shared" si="5"/>
        <v>208</v>
      </c>
      <c r="Y15" s="239" t="str">
        <f t="shared" si="6"/>
        <v>echo {"issue":{"subject":"Wi-MAX data drop","project_id":79,"tracker_id":40,"status_id":1,"priority_id":2,"assigned_to_id":338,"start_date":"2017-12-01","description":"","custom_fields":[{"id":1,"name":"Subdivision","value":"EC"},{"id":4,"name":"Milepost","value":"5.7801"},{"id":17,"name":"Train ID","value":"208-01"},{"id":16,"name":"Locomotive ID","value":"4019"},{"id":130,"name":"Impact","value":""},{"id":150,"name":"Time of Event (Mountain Time)","value":"18:22:37"},{"id":151,"name":"Denver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2"/>
      <c r="AB15" s="232"/>
      <c r="AC15" s="115" t="str">
        <f t="shared" si="7"/>
        <v>grep -hrE -A400 "Enforcement Action" /c/Users/stu/AppData/Local/Temp/OnboardLogs/RTDC4019 --include="*4019*201712020*"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"%USERPROFILE%\AppData\Local\Temp\OnboardLogs"\RTDC4019\*4019*201712020* &gt;&gt; 2017-12-01-SliceDisagreementCheck.txt</v>
      </c>
      <c r="AE15" s="144" t="str">
        <f t="shared" si="9"/>
        <v>start /low /b %USERPROFILE%\Documents\GitHub\eaglep3\Utilities\DownloadLogsFromS3.py --loco 4019 --day 2017-12-02</v>
      </c>
      <c r="AF15" s="1"/>
    </row>
    <row r="16" spans="1:32" x14ac:dyDescent="0.25">
      <c r="A16" s="31">
        <v>43070.79210648148</v>
      </c>
      <c r="B16" s="30" t="s">
        <v>478</v>
      </c>
      <c r="C16" s="30" t="s">
        <v>743</v>
      </c>
      <c r="D16" s="30" t="s">
        <v>49</v>
      </c>
      <c r="E16" s="30" t="s">
        <v>408</v>
      </c>
      <c r="F16" s="42">
        <v>0</v>
      </c>
      <c r="G16" s="42">
        <v>619</v>
      </c>
      <c r="H16" s="42">
        <v>105234</v>
      </c>
      <c r="I16" s="42">
        <v>102173</v>
      </c>
      <c r="J16" s="30" t="s">
        <v>409</v>
      </c>
      <c r="K16" s="42">
        <v>104776</v>
      </c>
      <c r="L16" s="131" t="s">
        <v>51</v>
      </c>
      <c r="M16" s="132">
        <f t="shared" si="0"/>
        <v>-1374.3839999999998</v>
      </c>
      <c r="N16" s="133" t="str">
        <f>VLOOKUP(C16,'Trips&amp;Operators'!$C$1:$G$99911,5,FALSE)</f>
        <v>DAVIDSON DAVID</v>
      </c>
      <c r="O16" s="175" t="s">
        <v>349</v>
      </c>
      <c r="P16" s="240" t="s">
        <v>476</v>
      </c>
      <c r="Q16" s="30"/>
      <c r="R16" s="81" t="str">
        <f>VLOOKUP(C16,'Train Runs'!$A$13:$AE$10172,31,0)</f>
        <v>aws s3 cp s3://rtdc.mdm.uploadarchive.raw/RTDC4001/ "%USERPROFILE%\AppData\Local\Temp\OnboardLogs"\RTDC4001\2017-12-01 --exclude "*" --recursive --include "*20171201*" &amp; "%USERPROFILE%\Documents\GitHub\mrs-test-scripts\Headless Mode &amp; Sideloading\WalkAndUnGZ.bat" "%USERPROFILE%\AppData\Local\Temp\OnboardLogs"\RTDC4001\2017-12-01 &amp; aws s3 cp s3://rtdc.mdm.uploadarchive.raw/RTDC4001/ "%USERPROFILE%\AppData\Local\Temp\OnboardLogs"\RTDC4001\2017-12-02 --exclude "*" --recursive --include "*20171202*" &amp; "%USERPROFILE%\Documents\GitHub\mrs-test-scripts\Headless Mode &amp; Sideloading\WalkAndUnGZ.bat" "%USERPROFILE%\AppData\Local\Temp\OnboardLogs"\RTDC4001\2017-12-02</v>
      </c>
      <c r="S16" s="84" t="str">
        <f>VLOOKUP(C16,'Train Runs'!$A$13:$AE$10172,22,0)</f>
        <v>https://d0f6bd738d7f1b3e5a7ca70fe4ff75f0.us-east-1.aws.found.io/app/kibana#/discover/Steve-Slow-Train-Analysis-(2080s-and-2083s)?_g=(refreshInterval:(display:Off,pause:!f,section:0,value:0),time:(from:'2017-12-01T18:04:08-0700',mode:absolute,to:'2017-12-01T20:25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6" s="86" t="str">
        <f t="shared" si="1"/>
        <v>"C:\Program Files (x86)\AstroGrep\AstroGrep.exe" /e /r /s /spath="%USERPROFILE%\AppData\Local\Temp\OnboardLogs" /stypes="*4001*201712020*" /stext=" 02:.+((SYSTEM_STATE.+slice.+state.+changed )|(ment ac)|(multiple cpu faults)|(system.+state.+changed )|(\[timeout)|(PRM\|1\|D)|(kpr)|(kdp)|(train st.+moving)|(\|lc)|(penalty))"</v>
      </c>
      <c r="U16" s="9" t="str">
        <f t="shared" si="2"/>
        <v>4001</v>
      </c>
      <c r="V16" s="31">
        <f t="shared" si="3"/>
        <v>43071.083773148144</v>
      </c>
      <c r="W16" s="45" t="str">
        <f t="shared" si="4"/>
        <v>EC</v>
      </c>
      <c r="X16" s="229">
        <f t="shared" si="5"/>
        <v>214</v>
      </c>
      <c r="Y16" s="239" t="str">
        <f t="shared" si="6"/>
        <v>echo {"issue":{"subject":"Wi-MAX data drop","project_id":79,"tracker_id":40,"status_id":1,"priority_id":2,"assigned_to_id":338,"start_date":"2017-12-01","description":"","custom_fields":[{"id":1,"name":"Subdivision","value":"EC"},{"id":4,"name":"Milepost","value":"10.4776"},{"id":17,"name":"Train ID","value":"214-01"},{"id":16,"name":"Locomotive ID","value":"4001"},{"id":130,"name":"Impact","value":""},{"id":150,"name":"Time of Event (Mountain Time)","value":"19:00:38"},{"id":151,"name":"Denver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2"/>
      <c r="AB16" s="232"/>
      <c r="AC16" s="115" t="str">
        <f t="shared" si="7"/>
        <v>grep -hrE -A400 "Enforcement Action" /c/Users/stu/AppData/Local/Temp/OnboardLogs/RTDC4001 --include="*4001*201712020*"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"%USERPROFILE%\AppData\Local\Temp\OnboardLogs"\RTDC4001\*4001*201712020* &gt;&gt; 2017-12-01-SliceDisagreementCheck.txt</v>
      </c>
      <c r="AE16" s="144" t="str">
        <f t="shared" si="9"/>
        <v>start /low /b %USERPROFILE%\Documents\GitHub\eaglep3\Utilities\DownloadLogsFromS3.py --loco 4001 --day 2017-12-02</v>
      </c>
      <c r="AF16" s="1"/>
    </row>
    <row r="17" spans="1:32" x14ac:dyDescent="0.25">
      <c r="A17" s="31">
        <v>43070.967638888891</v>
      </c>
      <c r="B17" s="30" t="s">
        <v>375</v>
      </c>
      <c r="C17" s="30" t="s">
        <v>747</v>
      </c>
      <c r="D17" s="30" t="s">
        <v>49</v>
      </c>
      <c r="E17" s="30" t="s">
        <v>183</v>
      </c>
      <c r="F17" s="42">
        <v>0</v>
      </c>
      <c r="G17" s="42">
        <v>355</v>
      </c>
      <c r="H17" s="42">
        <v>10399</v>
      </c>
      <c r="I17" s="42">
        <v>11209</v>
      </c>
      <c r="J17" s="30" t="s">
        <v>184</v>
      </c>
      <c r="K17" s="42">
        <v>10714</v>
      </c>
      <c r="L17" s="131" t="s">
        <v>50</v>
      </c>
      <c r="M17" s="132">
        <f t="shared" si="0"/>
        <v>-261.36</v>
      </c>
      <c r="N17" s="133" t="str">
        <f>VLOOKUP(C17,'Trips&amp;Operators'!$C$1:$G$99911,5,FALSE)</f>
        <v>SMITH MICHAEL</v>
      </c>
      <c r="O17" s="175" t="s">
        <v>178</v>
      </c>
      <c r="P17" s="240" t="s">
        <v>344</v>
      </c>
      <c r="Q17" s="30"/>
      <c r="R17" s="81" t="str">
        <f>VLOOKUP(C17,'Train Runs'!$A$13:$AE$10172,31,0)</f>
        <v>aws s3 cp s3://rtdc.mdm.uploadarchive.raw/RTDC4022/ "%USERPROFILE%\AppData\Local\Temp\OnboardLogs"\RTDC4022\2017-12-01 --exclude "*" --recursive --include "*20171201*" &amp; "%USERPROFILE%\Documents\GitHub\mrs-test-scripts\Headless Mode &amp; Sideloading\WalkAndUnGZ.bat" "%USERPROFILE%\AppData\Local\Temp\OnboardLogs"\RTDC4022\2017-12-01 &amp; aws s3 cp s3://rtdc.mdm.uploadarchive.raw/RTDC4022/ "%USERPROFILE%\AppData\Local\Temp\OnboardLogs"\RTDC4022\2017-12-02 --exclude "*" --recursive --include "*20171202*" &amp; "%USERPROFILE%\Documents\GitHub\mrs-test-scripts\Headless Mode &amp; Sideloading\WalkAndUnGZ.bat" "%USERPROFILE%\AppData\Local\Temp\OnboardLogs"\RTDC4022\2017-12-02</v>
      </c>
      <c r="S17" s="84" t="str">
        <f>VLOOKUP(C17,'Train Runs'!$A$13:$AE$10172,22,0)</f>
        <v>https://d0f6bd738d7f1b3e5a7ca70fe4ff75f0.us-east-1.aws.found.io/app/kibana#/discover/Steve-Slow-Train-Analysis-(2080s-and-2083s)?_g=(refreshInterval:(display:Off,pause:!f,section:0,value:0),time:(from:'2017-12-01T21:58:29-0700',mode:absolute,to:'2017-12-02T00:25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7" s="86" t="str">
        <f t="shared" si="1"/>
        <v>"C:\Program Files (x86)\AstroGrep\AstroGrep.exe" /e /r /s /spath="%USERPROFILE%\AppData\Local\Temp\OnboardLogs" /stypes="*4022*201712020*" /stext=" 06:.+((SYSTEM_STATE.+slice.+state.+changed )|(ment ac)|(multiple cpu faults)|(system.+state.+changed )|(\[timeout)|(PRM\|1\|D)|(kpr)|(kdp)|(train st.+moving)|(\|lc)|(penalty))"</v>
      </c>
      <c r="U17" s="9" t="str">
        <f t="shared" si="2"/>
        <v>4022</v>
      </c>
      <c r="V17" s="31">
        <f t="shared" si="3"/>
        <v>43071.259305555555</v>
      </c>
      <c r="W17" s="45" t="str">
        <f t="shared" si="4"/>
        <v>NW</v>
      </c>
      <c r="X17" s="229">
        <f t="shared" si="5"/>
        <v>849</v>
      </c>
      <c r="Y17" s="239" t="str">
        <f t="shared" si="6"/>
        <v>echo {"issue":{"subject":"Early Arrival","project_id":79,"tracker_id":40,"status_id":1,"priority_id":2,"assigned_to_id":338,"start_date":"2017-12-01","description":"","custom_fields":[{"id":1,"name":"Subdivision","value":"NW"},{"id":4,"name":"Milepost","value":"1.0714"},{"id":17,"name":"Train ID","value":"849-01"},{"id":16,"name":"Locomotive ID","value":"4022"},{"id":130,"name":"Impact","value":""},{"id":150,"name":"Time of Event (Mountain Time)","value":"23:13:24"},{"id":151,"name":"Denver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2"/>
      <c r="AB17" s="232"/>
      <c r="AC17" s="115" t="str">
        <f t="shared" si="7"/>
        <v>grep -hrE -A400 "Enforcement Action" /c/Users/stu/AppData/Local/Temp/OnboardLogs/RTDC4022 --include="*4022*201712020*"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"%USERPROFILE%\AppData\Local\Temp\OnboardLogs"\RTDC4022\*4022*201712020* &gt;&gt; 2017-12-01-SliceDisagreementCheck.txt</v>
      </c>
      <c r="AE17" s="144" t="str">
        <f t="shared" si="9"/>
        <v>start /low /b %USERPROFILE%\Documents\GitHub\eaglep3\Utilities\DownloadLogsFromS3.py --loco 4022 --day 2017-12-02</v>
      </c>
      <c r="AF17" s="1"/>
    </row>
    <row r="18" spans="1:32" x14ac:dyDescent="0.25">
      <c r="A18" s="31">
        <v>43070.910219907404</v>
      </c>
      <c r="B18" s="30" t="s">
        <v>441</v>
      </c>
      <c r="C18" s="30" t="s">
        <v>746</v>
      </c>
      <c r="D18" s="30" t="s">
        <v>49</v>
      </c>
      <c r="E18" s="30" t="s">
        <v>355</v>
      </c>
      <c r="F18" s="42">
        <v>0</v>
      </c>
      <c r="G18" s="42">
        <v>305</v>
      </c>
      <c r="H18" s="42">
        <v>11206</v>
      </c>
      <c r="I18" s="42">
        <v>10469</v>
      </c>
      <c r="J18" s="30" t="s">
        <v>356</v>
      </c>
      <c r="K18" s="42">
        <v>11016</v>
      </c>
      <c r="L18" s="131" t="s">
        <v>51</v>
      </c>
      <c r="M18" s="132">
        <f t="shared" si="0"/>
        <v>-288.81599999999997</v>
      </c>
      <c r="N18" s="133" t="str">
        <f>VLOOKUP(C18,'Trips&amp;Operators'!$C$1:$G$99911,5,FALSE)</f>
        <v>SMITH MICHAEL</v>
      </c>
      <c r="O18" s="175" t="s">
        <v>349</v>
      </c>
      <c r="P18" s="240" t="s">
        <v>1099</v>
      </c>
      <c r="Q18" s="30"/>
      <c r="R18" s="81" t="str">
        <f>VLOOKUP(C18,'Train Runs'!$A$13:$AE$10172,31,0)</f>
        <v>aws s3 cp s3://rtdc.mdm.uploadarchive.raw/RTDC4021/ "%USERPROFILE%\AppData\Local\Temp\OnboardLogs"\RTDC4021\2017-12-01 --exclude "*" --recursive --include "*20171201*" &amp; "%USERPROFILE%\Documents\GitHub\mrs-test-scripts\Headless Mode &amp; Sideloading\WalkAndUnGZ.bat" "%USERPROFILE%\AppData\Local\Temp\OnboardLogs"\RTDC4021\2017-12-01 &amp; 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</v>
      </c>
      <c r="S18" s="84" t="str">
        <f>VLOOKUP(C18,'Train Runs'!$A$13:$AE$10172,22,0)</f>
        <v>https://d0f6bd738d7f1b3e5a7ca70fe4ff75f0.us-east-1.aws.found.io/app/kibana#/discover/Steve-Slow-Train-Analysis-(2080s-and-2083s)?_g=(refreshInterval:(display:Off,pause:!f,section:0,value:0),time:(from:'2017-12-01T20:26:33-0700',mode:absolute,to:'2017-12-01T22:56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8" s="86" t="str">
        <f t="shared" si="1"/>
        <v>"C:\Program Files (x86)\AstroGrep\AstroGrep.exe" /e /r /s /spath="%USERPROFILE%\AppData\Local\Temp\OnboardLogs" /stypes="*4021*201712020*" /stext=" 04:.+((SYSTEM_STATE.+slice.+state.+changed )|(ment ac)|(multiple cpu faults)|(system.+state.+changed )|(\[timeout)|(PRM\|1\|D)|(kpr)|(kdp)|(train st.+moving)|(\|lc)|(penalty))"</v>
      </c>
      <c r="U18" s="9" t="str">
        <f t="shared" si="2"/>
        <v>4021</v>
      </c>
      <c r="V18" s="31">
        <f t="shared" si="3"/>
        <v>43071.201886574068</v>
      </c>
      <c r="W18" s="45" t="str">
        <f t="shared" si="4"/>
        <v>NW</v>
      </c>
      <c r="X18" s="229">
        <f t="shared" si="5"/>
        <v>844</v>
      </c>
      <c r="Y18" s="239" t="str">
        <f t="shared" si="6"/>
        <v>echo {"issue":{"subject":"Wi-MAX data drop, also caused unhealthy xing banner","project_id":79,"tracker_id":40,"status_id":1,"priority_id":2,"assigned_to_id":338,"start_date":"2017-12-01","description":"","custom_fields":[{"id":1,"name":"Subdivision","value":"NW"},{"id":4,"name":"Milepost","value":"1.1016"},{"id":17,"name":"Train ID","value":"844-01"},{"id":16,"name":"Locomotive ID","value":"4021"},{"id":130,"name":"Impact","value":""},{"id":150,"name":"Time of Event (Mountain Time)","value":"21:50:43"},{"id":151,"name":"Denver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2"/>
      <c r="AB18" s="232"/>
      <c r="AC18" s="115" t="str">
        <f t="shared" si="7"/>
        <v>grep -hrE -A400 "Enforcement Action" /c/Users/stu/AppData/Local/Temp/OnboardLogs/RTDC4021 --include="*4021*201712020*"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"%USERPROFILE%\AppData\Local\Temp\OnboardLogs"\RTDC4021\*4021*201712020* &gt;&gt; 2017-12-01-SliceDisagreementCheck.txt</v>
      </c>
      <c r="AE18" s="144" t="str">
        <f t="shared" si="9"/>
        <v>start /low /b %USERPROFILE%\Documents\GitHub\eaglep3\Utilities\DownloadLogsFromS3.py --loco 4021 --day 2017-12-02</v>
      </c>
      <c r="AF18" s="1"/>
    </row>
    <row r="19" spans="1:32" x14ac:dyDescent="0.25">
      <c r="A19" s="31">
        <v>43070.574212962965</v>
      </c>
      <c r="B19" s="30" t="s">
        <v>441</v>
      </c>
      <c r="C19" s="30" t="s">
        <v>732</v>
      </c>
      <c r="D19" s="30" t="s">
        <v>49</v>
      </c>
      <c r="E19" s="30" t="s">
        <v>355</v>
      </c>
      <c r="F19" s="42">
        <v>0</v>
      </c>
      <c r="G19" s="42">
        <v>358</v>
      </c>
      <c r="H19" s="42">
        <v>38569</v>
      </c>
      <c r="I19" s="42">
        <v>37671</v>
      </c>
      <c r="J19" s="30" t="s">
        <v>356</v>
      </c>
      <c r="K19" s="42">
        <v>37618</v>
      </c>
      <c r="L19" s="131" t="s">
        <v>51</v>
      </c>
      <c r="M19" s="132">
        <f t="shared" si="0"/>
        <v>27.984000000000002</v>
      </c>
      <c r="N19" s="133" t="str">
        <f>VLOOKUP(C19,'Trips&amp;Operators'!$C$1:$G$99911,5,FALSE)</f>
        <v>BERLING GARY</v>
      </c>
      <c r="O19" s="175" t="s">
        <v>349</v>
      </c>
      <c r="P19" s="240" t="s">
        <v>476</v>
      </c>
      <c r="Q19" s="30"/>
      <c r="R19" s="81" t="str">
        <f>VLOOKUP(C19,'Train Runs'!$A$13:$AE$10172,31,0)</f>
        <v>aws s3 cp s3://rtdc.mdm.uploadarchive.raw/RTDC4021/ "%USERPROFILE%\AppData\Local\Temp\OnboardLogs"\RTDC4021\2017-12-01 --exclude "*" --recursive --include "*20171201*" &amp; "%USERPROFILE%\Documents\GitHub\mrs-test-scripts\Headless Mode &amp; Sideloading\WalkAndUnGZ.bat" "%USERPROFILE%\AppData\Local\Temp\OnboardLogs"\RTDC4021\2017-12-01 &amp; aws s3 cp s3://rtdc.mdm.uploadarchive.raw/RTDC4021/ "%USERPROFILE%\AppData\Local\Temp\OnboardLogs"\RTDC4021\2017-12-02 --exclude "*" --recursive --include "*20171202*" &amp; "%USERPROFILE%\Documents\GitHub\mrs-test-scripts\Headless Mode &amp; Sideloading\WalkAndUnGZ.bat" "%USERPROFILE%\AppData\Local\Temp\OnboardLogs"\RTDC4021\2017-12-02</v>
      </c>
      <c r="S19" s="84" t="str">
        <f>VLOOKUP(C19,'Train Runs'!$A$13:$AE$10172,22,0)</f>
        <v>https://d0f6bd738d7f1b3e5a7ca70fe4ff75f0.us-east-1.aws.found.io/app/kibana#/discover/Steve-Slow-Train-Analysis-(2080s-and-2083s)?_g=(refreshInterval:(display:Off,pause:!f,section:0,value:0),time:(from:'2017-12-01T12:26:30-0700',mode:absolute,to:'2017-12-01T14:56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9" s="86" t="str">
        <f t="shared" si="1"/>
        <v>"C:\Program Files (x86)\AstroGrep\AstroGrep.exe" /e /r /s /spath="%USERPROFILE%\AppData\Local\Temp\OnboardLogs" /stypes="*4021*201712012*" /stext=" 20:.+((SYSTEM_STATE.+slice.+state.+changed )|(ment ac)|(multiple cpu faults)|(system.+state.+changed )|(\[timeout)|(PRM\|1\|D)|(kpr)|(kdp)|(train st.+moving)|(\|lc)|(penalty))"</v>
      </c>
      <c r="U19" s="9" t="str">
        <f t="shared" si="2"/>
        <v>4021</v>
      </c>
      <c r="V19" s="31">
        <f t="shared" si="3"/>
        <v>43070.865879629629</v>
      </c>
      <c r="W19" s="45" t="str">
        <f t="shared" si="4"/>
        <v>NW</v>
      </c>
      <c r="X19" s="229">
        <f t="shared" si="5"/>
        <v>822</v>
      </c>
      <c r="Y19" s="239" t="str">
        <f t="shared" si="6"/>
        <v>echo {"issue":{"subject":"Wi-MAX data drop","project_id":79,"tracker_id":40,"status_id":1,"priority_id":2,"assigned_to_id":338,"start_date":"2017-12-01","description":"","custom_fields":[{"id":1,"name":"Subdivision","value":"NW"},{"id":4,"name":"Milepost","value":"3.7618"},{"id":17,"name":"Train ID","value":"822-01"},{"id":16,"name":"Locomotive ID","value":"4021"},{"id":130,"name":"Impact","value":""},{"id":150,"name":"Time of Event (Mountain Time)","value":"13:46:52"},{"id":151,"name":"Denver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2"/>
      <c r="AB19" s="232"/>
      <c r="AC19" s="115" t="str">
        <f t="shared" si="7"/>
        <v>grep -hrE -A400 "Enforcement Action" /c/Users/stu/AppData/Local/Temp/OnboardLogs/RTDC4021 --include="*4021*201712012*"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"%USERPROFILE%\AppData\Local\Temp\OnboardLogs"\RTDC4021\*4021*201712012* &gt;&gt; 2017-12-01-SliceDisagreementCheck.txt</v>
      </c>
      <c r="AE19" s="144" t="str">
        <f t="shared" si="9"/>
        <v>start /low /b %USERPROFILE%\Documents\GitHub\eaglep3\Utilities\DownloadLogsFromS3.py --loco 4021 --day 2017-12-01</v>
      </c>
      <c r="AF19" s="1"/>
    </row>
    <row r="20" spans="1:32" x14ac:dyDescent="0.25">
      <c r="A20" s="31">
        <v>43070.826064814813</v>
      </c>
      <c r="B20" s="30" t="s">
        <v>744</v>
      </c>
      <c r="C20" s="30" t="s">
        <v>745</v>
      </c>
      <c r="D20" s="30" t="s">
        <v>95</v>
      </c>
      <c r="E20" s="30" t="s">
        <v>190</v>
      </c>
      <c r="F20" s="42">
        <v>200</v>
      </c>
      <c r="G20" s="42">
        <v>255</v>
      </c>
      <c r="H20" s="42">
        <v>6153</v>
      </c>
      <c r="I20" s="42">
        <v>7327</v>
      </c>
      <c r="J20" s="30" t="s">
        <v>191</v>
      </c>
      <c r="K20" s="42">
        <v>4790</v>
      </c>
      <c r="L20" s="131" t="s">
        <v>50</v>
      </c>
      <c r="M20" s="132">
        <f t="shared" si="0"/>
        <v>-1339.5359999999998</v>
      </c>
      <c r="N20" s="133" t="str">
        <f>VLOOKUP(C20,'Trips&amp;Operators'!$C$1:$G$99911,5,FALSE)</f>
        <v>HOLCOMB KAMDEN</v>
      </c>
      <c r="O20" s="175" t="s">
        <v>178</v>
      </c>
      <c r="P20" s="240"/>
      <c r="Q20" s="30"/>
      <c r="R20" s="81" t="str">
        <f>VLOOKUP(C20,'Train Runs'!$A$13:$AE$10172,31,0)</f>
        <v>aws s3 cp s3://rtdc.mdm.uploadarchive.raw/RTDC4050/ "%USERPROFILE%\AppData\Local\Temp\OnboardLogs"\RTDC4050\2017-12-01 --exclude "*" --recursive --include "*20171201*" &amp; "%USERPROFILE%\Documents\GitHub\mrs-test-scripts\Headless Mode &amp; Sideloading\WalkAndUnGZ.bat" "%USERPROFILE%\AppData\Local\Temp\OnboardLogs"\RTDC4050\2017-12-01 &amp; aws s3 cp s3://rtdc.mdm.uploadarchive.raw/RTDC4050/ "%USERPROFILE%\AppData\Local\Temp\OnboardLogs"\RTDC4050\2017-12-02 --exclude "*" --recursive --include "*20171202*" &amp; "%USERPROFILE%\Documents\GitHub\mrs-test-scripts\Headless Mode &amp; Sideloading\WalkAndUnGZ.bat" "%USERPROFILE%\AppData\Local\Temp\OnboardLogs"\RTDC4050\2017-12-02</v>
      </c>
      <c r="S20" s="84" t="str">
        <f>VLOOKUP(C20,'Train Runs'!$A$13:$AE$10172,22,0)</f>
        <v>https://d0f6bd738d7f1b3e5a7ca70fe4ff75f0.us-east-1.aws.found.io/app/kibana#/discover/Steve-Slow-Train-Analysis-(2080s-and-2083s)?_g=(refreshInterval:(display:Off,pause:!f,section:0,value:0),time:(from:'2017-12-01T18:34:46-0700',mode:absolute,to:'2017-12-01T20:56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0" s="86" t="str">
        <f t="shared" si="1"/>
        <v>"C:\Program Files (x86)\AstroGrep\AstroGrep.exe" /e /r /s /spath="%USERPROFILE%\AppData\Local\Temp\OnboardLogs" /stypes="*4050*201712020*" /stext=" 02:.+((SYSTEM_STATE.+slice.+state.+changed )|(ment ac)|(multiple cpu faults)|(system.+state.+changed )|(\[timeout)|(PRM\|1\|D)|(kpr)|(kdp)|(train st.+moving)|(\|lc)|(penalty))"</v>
      </c>
      <c r="U20" s="9" t="str">
        <f t="shared" si="2"/>
        <v>4050</v>
      </c>
      <c r="V20" s="31">
        <f t="shared" si="3"/>
        <v>43071.117731481478</v>
      </c>
      <c r="W20" s="45" t="str">
        <f t="shared" si="4"/>
        <v>Other</v>
      </c>
      <c r="X20" s="229">
        <f t="shared" si="5"/>
        <v>305</v>
      </c>
      <c r="Y20" s="239" t="str">
        <f t="shared" si="6"/>
        <v>echo {"issue":{"subject":"","project_id":79,"tracker_id":40,"status_id":1,"priority_id":2,"assigned_to_id":338,"start_date":"2017-12-01","description":"","custom_fields":[{"id":1,"name":"Subdivision","value":"Other"},{"id":4,"name":"Milepost","value":"0.479"},{"id":17,"name":"Train ID","value":"305-01"},{"id":16,"name":"Locomotive ID","value":"4050"},{"id":130,"name":"Impact","value":""},{"id":150,"name":"Time of Event (Mountain Time)","value":"19:49:32"},{"id":151,"name":"Denver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2"/>
      <c r="AB20" s="232"/>
      <c r="AC20" s="115" t="str">
        <f t="shared" si="7"/>
        <v>grep -hrE -A400 "Enforcement Action" /c/Users/stu/AppData/Local/Temp/OnboardLogs/RTDC4050 --include="*4050*201712020*"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"%USERPROFILE%\AppData\Local\Temp\OnboardLogs"\RTDC4050\*4050*201712020* &gt;&gt; 2017-12-01-SliceDisagreementCheck.txt</v>
      </c>
      <c r="AE20" s="144" t="str">
        <f t="shared" si="9"/>
        <v>start /low /b %USERPROFILE%\Documents\GitHub\eaglep3\Utilities\DownloadLogsFromS3.py --loco 4050 --day 2017-12-02</v>
      </c>
      <c r="AF20" s="1"/>
    </row>
    <row r="21" spans="1:32" x14ac:dyDescent="0.25">
      <c r="A21"/>
      <c r="D21"/>
      <c r="E21"/>
      <c r="F21"/>
      <c r="G21"/>
      <c r="H21"/>
      <c r="I21"/>
      <c r="J21"/>
      <c r="K21"/>
      <c r="L21"/>
      <c r="M21"/>
      <c r="N21"/>
      <c r="O21"/>
      <c r="P21"/>
      <c r="R21"/>
      <c r="S21"/>
      <c r="T21"/>
      <c r="V21"/>
      <c r="X21"/>
      <c r="Z21"/>
      <c r="AC21"/>
      <c r="AE21"/>
    </row>
    <row r="22" spans="1:32" x14ac:dyDescent="0.25">
      <c r="A22"/>
      <c r="D22"/>
      <c r="E22"/>
      <c r="F22"/>
      <c r="G22"/>
      <c r="H22"/>
      <c r="I22"/>
      <c r="J22"/>
      <c r="K22"/>
      <c r="L22"/>
      <c r="M22"/>
      <c r="N22"/>
      <c r="O22"/>
      <c r="P22"/>
      <c r="R22"/>
      <c r="S22"/>
      <c r="T22"/>
      <c r="V22"/>
      <c r="X22"/>
      <c r="Z22"/>
      <c r="AC22"/>
      <c r="AE22"/>
    </row>
    <row r="23" spans="1:32" x14ac:dyDescent="0.25">
      <c r="A23"/>
      <c r="D23"/>
      <c r="E23"/>
      <c r="F23"/>
      <c r="G23"/>
      <c r="H23"/>
      <c r="I23"/>
      <c r="J23"/>
      <c r="K23"/>
      <c r="L23"/>
      <c r="M23"/>
      <c r="N23"/>
      <c r="O23"/>
      <c r="P23"/>
      <c r="R23"/>
      <c r="S23"/>
      <c r="T23"/>
      <c r="V23"/>
      <c r="X23"/>
      <c r="Z23"/>
      <c r="AC23"/>
      <c r="AE23"/>
    </row>
    <row r="24" spans="1:32" x14ac:dyDescent="0.25">
      <c r="A24"/>
      <c r="D24"/>
      <c r="E24"/>
      <c r="F24"/>
      <c r="G24"/>
      <c r="H24"/>
      <c r="I24"/>
      <c r="J24"/>
      <c r="K24"/>
      <c r="L24"/>
      <c r="M24"/>
      <c r="N24"/>
      <c r="O24"/>
      <c r="P24"/>
      <c r="R24"/>
      <c r="S24"/>
      <c r="T24"/>
      <c r="V24"/>
      <c r="X24"/>
      <c r="Z24"/>
      <c r="AC24"/>
      <c r="AE24"/>
    </row>
    <row r="25" spans="1:32" x14ac:dyDescent="0.25">
      <c r="A25"/>
      <c r="D25"/>
      <c r="E25"/>
      <c r="F25"/>
      <c r="G25"/>
      <c r="H25"/>
      <c r="I25"/>
      <c r="J25"/>
      <c r="K25"/>
      <c r="L25"/>
      <c r="M25"/>
      <c r="N25"/>
      <c r="O25"/>
      <c r="P25"/>
      <c r="R25"/>
      <c r="S25"/>
      <c r="T25"/>
      <c r="V25"/>
      <c r="X25"/>
      <c r="Z25"/>
      <c r="AC25"/>
      <c r="AE25"/>
    </row>
    <row r="26" spans="1:32" x14ac:dyDescent="0.25">
      <c r="A26"/>
      <c r="D26"/>
      <c r="E26"/>
      <c r="F26"/>
      <c r="G26"/>
      <c r="H26"/>
      <c r="I26"/>
      <c r="J26"/>
      <c r="K26"/>
      <c r="L26"/>
      <c r="M26"/>
      <c r="N26"/>
      <c r="O26"/>
      <c r="P26"/>
      <c r="R26"/>
      <c r="S26"/>
      <c r="T26"/>
      <c r="V26"/>
      <c r="X26"/>
      <c r="Z26"/>
      <c r="AC26"/>
      <c r="AE26"/>
    </row>
    <row r="27" spans="1:32" x14ac:dyDescent="0.25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X27"/>
      <c r="Z27"/>
      <c r="AC27"/>
      <c r="AE27"/>
    </row>
    <row r="28" spans="1:32" x14ac:dyDescent="0.25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X28"/>
      <c r="Z28"/>
      <c r="AC28"/>
      <c r="AE28"/>
    </row>
    <row r="29" spans="1:32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</sheetData>
  <autoFilter ref="A6:AC15">
    <sortState ref="A7:AC20">
      <sortCondition ref="W7:W20"/>
      <sortCondition ref="E7:E20"/>
      <sortCondition ref="K7:K20"/>
      <sortCondition ref="F7:F20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33:O1048576 O7:O20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0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AA7:AA20</xm:sqref>
        </x14:dataValidation>
        <x14:dataValidation type="list" allowBlank="1" showInputMessage="1" showErrorMessage="1">
          <x14:formula1>
            <xm:f>'Redmine List Values'!$C$2:$C$15</xm:f>
          </x14:formula1>
          <xm:sqref>AB7:AB20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5" x14ac:dyDescent="0.25"/>
  <cols>
    <col min="1" max="1" width="8" style="195" customWidth="1"/>
    <col min="2" max="2" width="9.140625" style="2" customWidth="1"/>
    <col min="3" max="3" width="8" style="88" bestFit="1" customWidth="1"/>
    <col min="4" max="4" width="11.28515625" style="138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8" customWidth="1"/>
    <col min="10" max="10" width="9.140625" customWidth="1"/>
  </cols>
  <sheetData>
    <row r="1" spans="1:10" s="20" customFormat="1" x14ac:dyDescent="0.25">
      <c r="A1" s="195"/>
      <c r="B1" s="252" t="str">
        <f>"Trips that did not appear in PTC Data "&amp;TEXT(Variables!$A$2,"YYYY-mm-dd")</f>
        <v>Trips that did not appear in PTC Data 2017-12-01</v>
      </c>
      <c r="C1" s="252"/>
      <c r="D1" s="252"/>
      <c r="E1" s="252"/>
      <c r="F1" s="252"/>
      <c r="I1" s="188"/>
    </row>
    <row r="2" spans="1:10" s="23" customFormat="1" ht="45" x14ac:dyDescent="0.25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25">
      <c r="A3" s="197"/>
      <c r="B3" s="42" t="str">
        <f>A3&amp;"-"&amp;IF(DAY(Variables!$A$2)&lt;10,0,"")&amp;DAY(Variables!$A$2)</f>
        <v>-01</v>
      </c>
      <c r="C3" s="134"/>
      <c r="D3" s="223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" s="30" t="e">
        <f>VLOOKUP(B3,'Train Runs'!$A$13:$A$100169,1,FALSE)</f>
        <v>#N/A</v>
      </c>
    </row>
    <row r="4" spans="1:10" x14ac:dyDescent="0.25">
      <c r="A4" s="197"/>
      <c r="B4" s="42" t="str">
        <f>A4&amp;"-"&amp;IF(DAY(Variables!$A$2)&lt;10,0,"")&amp;DAY(Variables!$A$2)</f>
        <v>-01</v>
      </c>
      <c r="C4" s="134"/>
      <c r="D4" s="152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" s="30" t="e">
        <f>VLOOKUP(B4,'Train Runs'!$A$13:$A$100169,1,FALSE)</f>
        <v>#N/A</v>
      </c>
    </row>
    <row r="5" spans="1:10" x14ac:dyDescent="0.25">
      <c r="A5" s="197"/>
      <c r="B5" s="42" t="str">
        <f>A5&amp;"-"&amp;IF(DAY(Variables!$A$2)&lt;10,0,"")&amp;DAY(Variables!$A$2)</f>
        <v>-01</v>
      </c>
      <c r="C5" s="134"/>
      <c r="D5" s="152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" s="30" t="e">
        <f>VLOOKUP(B5,'Train Runs'!$A$13:$A$100169,1,FALSE)</f>
        <v>#N/A</v>
      </c>
    </row>
    <row r="6" spans="1:10" x14ac:dyDescent="0.25">
      <c r="A6" s="197"/>
      <c r="B6" s="42" t="str">
        <f>A6&amp;"-"&amp;IF(DAY(Variables!$A$2)&lt;10,0,"")&amp;DAY(Variables!$A$2)</f>
        <v>-01</v>
      </c>
      <c r="C6" s="134"/>
      <c r="D6" s="152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" s="30" t="e">
        <f>VLOOKUP(B6,'Train Runs'!$A$13:$A$100169,1,FALSE)</f>
        <v>#N/A</v>
      </c>
    </row>
    <row r="7" spans="1:10" x14ac:dyDescent="0.25">
      <c r="A7" s="197"/>
      <c r="B7" s="42" t="str">
        <f>A7&amp;"-"&amp;IF(DAY(Variables!$A$2)&lt;10,0,"")&amp;DAY(Variables!$A$2)</f>
        <v>-01</v>
      </c>
      <c r="C7" s="134"/>
      <c r="D7" s="152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" s="30" t="e">
        <f>VLOOKUP(B7,'Train Runs'!$A$13:$A$100169,1,FALSE)</f>
        <v>#N/A</v>
      </c>
    </row>
    <row r="8" spans="1:10" x14ac:dyDescent="0.25">
      <c r="A8" s="197"/>
      <c r="B8" s="42" t="str">
        <f>A8&amp;"-"&amp;IF(DAY(Variables!$A$2)&lt;10,0,"")&amp;DAY(Variables!$A$2)</f>
        <v>-01</v>
      </c>
      <c r="C8" s="134"/>
      <c r="D8" s="152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" s="30" t="e">
        <f>VLOOKUP(B8,'Train Runs'!$A$13:$A$100169,1,FALSE)</f>
        <v>#N/A</v>
      </c>
    </row>
    <row r="9" spans="1:10" x14ac:dyDescent="0.25">
      <c r="A9" s="197"/>
      <c r="B9" s="42" t="str">
        <f>A9&amp;"-"&amp;IF(DAY(Variables!$A$2)&lt;10,0,"")&amp;DAY(Variables!$A$2)</f>
        <v>-01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" s="30" t="e">
        <f>VLOOKUP(B9,'Train Runs'!$A$13:$A$100169,1,FALSE)</f>
        <v>#N/A</v>
      </c>
    </row>
    <row r="10" spans="1:10" x14ac:dyDescent="0.25">
      <c r="A10" s="197"/>
      <c r="B10" s="42" t="str">
        <f>A10&amp;"-"&amp;IF(DAY(Variables!$A$2)&lt;10,0,"")&amp;DAY(Variables!$A$2)</f>
        <v>-01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" s="30" t="e">
        <f>VLOOKUP(B10,'Train Runs'!$A$13:$A$100169,1,FALSE)</f>
        <v>#N/A</v>
      </c>
    </row>
    <row r="11" spans="1:10" x14ac:dyDescent="0.25">
      <c r="A11" s="197"/>
      <c r="B11" s="42" t="str">
        <f>A11&amp;"-"&amp;IF(DAY(Variables!$A$2)&lt;10,0,"")&amp;DAY(Variables!$A$2)</f>
        <v>-01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" s="30" t="e">
        <f>VLOOKUP(B11,'Train Runs'!$A$13:$A$100169,1,FALSE)</f>
        <v>#N/A</v>
      </c>
    </row>
    <row r="12" spans="1:10" x14ac:dyDescent="0.25">
      <c r="A12" s="197"/>
      <c r="B12" s="42" t="str">
        <f>A12&amp;"-"&amp;IF(DAY(Variables!$A$2)&lt;10,0,"")&amp;DAY(Variables!$A$2)</f>
        <v>-01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2" s="30" t="e">
        <f>VLOOKUP(B12,'Train Runs'!$A$13:$A$100169,1,FALSE)</f>
        <v>#N/A</v>
      </c>
    </row>
    <row r="13" spans="1:10" x14ac:dyDescent="0.25">
      <c r="A13" s="197"/>
      <c r="B13" s="42" t="str">
        <f>A13&amp;"-"&amp;IF(DAY(Variables!$A$2)&lt;10,0,"")&amp;DAY(Variables!$A$2)</f>
        <v>-01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3" s="30" t="e">
        <f>VLOOKUP(B13,'Train Runs'!$A$13:$A$100169,1,FALSE)</f>
        <v>#N/A</v>
      </c>
    </row>
    <row r="14" spans="1:10" x14ac:dyDescent="0.25">
      <c r="A14" s="197"/>
      <c r="B14" s="42" t="str">
        <f>A14&amp;"-"&amp;IF(DAY(Variables!$A$2)&lt;10,0,"")&amp;DAY(Variables!$A$2)</f>
        <v>-01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4" s="30" t="e">
        <f>VLOOKUP(B14,'Train Runs'!$A$13:$A$100169,1,FALSE)</f>
        <v>#N/A</v>
      </c>
    </row>
    <row r="15" spans="1:10" x14ac:dyDescent="0.25">
      <c r="A15" s="197"/>
      <c r="B15" s="42" t="str">
        <f>A15&amp;"-"&amp;IF(DAY(Variables!$A$2)&lt;10,0,"")&amp;DAY(Variables!$A$2)</f>
        <v>-01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5" s="30" t="e">
        <f>VLOOKUP(B15,'Train Runs'!$A$13:$A$100169,1,FALSE)</f>
        <v>#N/A</v>
      </c>
    </row>
    <row r="16" spans="1:10" x14ac:dyDescent="0.25">
      <c r="A16" s="197"/>
      <c r="B16" s="42" t="str">
        <f>A16&amp;"-"&amp;IF(DAY(Variables!$A$2)&lt;10,0,"")&amp;DAY(Variables!$A$2)</f>
        <v>-01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6" s="30" t="e">
        <f>VLOOKUP(B16,'Train Runs'!$A$13:$A$100169,1,FALSE)</f>
        <v>#N/A</v>
      </c>
    </row>
    <row r="17" spans="1:10" x14ac:dyDescent="0.25">
      <c r="A17" s="197"/>
      <c r="B17" s="42" t="str">
        <f>A17&amp;"-"&amp;IF(DAY(Variables!$A$2)&lt;10,0,"")&amp;DAY(Variables!$A$2)</f>
        <v>-01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7" s="30" t="e">
        <f>VLOOKUP(B17,'Train Runs'!$A$13:$A$100169,1,FALSE)</f>
        <v>#N/A</v>
      </c>
    </row>
    <row r="18" spans="1:10" x14ac:dyDescent="0.25">
      <c r="A18" s="197"/>
      <c r="B18" s="42" t="str">
        <f>A18&amp;"-"&amp;IF(DAY(Variables!$A$2)&lt;10,0,"")&amp;DAY(Variables!$A$2)</f>
        <v>-01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8" s="30" t="e">
        <f>VLOOKUP(B18,'Train Runs'!$A$13:$A$100169,1,FALSE)</f>
        <v>#N/A</v>
      </c>
    </row>
    <row r="19" spans="1:10" x14ac:dyDescent="0.25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25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25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25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25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25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25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25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25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25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25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25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25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25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25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25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25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25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25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25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25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25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25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25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25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25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25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25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25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25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25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25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25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25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25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25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25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25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25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25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25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25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25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25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25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25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25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25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25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25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25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25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25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25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25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25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3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7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25">
      <c r="A2" s="8">
        <v>43070.048460648148</v>
      </c>
      <c r="B2" s="20" t="s">
        <v>582</v>
      </c>
      <c r="C2" s="20" t="s">
        <v>596</v>
      </c>
      <c r="D2" s="137">
        <v>890000</v>
      </c>
      <c r="E2" s="20" t="s">
        <v>345</v>
      </c>
      <c r="F2" s="20" t="s">
        <v>346</v>
      </c>
      <c r="G2" s="8" t="str">
        <f>E2&amp;" "&amp;F2</f>
        <v>LOZA FIDEL</v>
      </c>
      <c r="H2" t="str">
        <f>MID(B2,13,4)</f>
        <v>4034</v>
      </c>
    </row>
    <row r="3" spans="1:8" x14ac:dyDescent="0.25">
      <c r="A3" s="8">
        <v>43070.055868055555</v>
      </c>
      <c r="B3" s="20" t="s">
        <v>510</v>
      </c>
      <c r="C3" s="20" t="s">
        <v>597</v>
      </c>
      <c r="D3" s="137">
        <v>3320000</v>
      </c>
      <c r="E3" s="20" t="s">
        <v>361</v>
      </c>
      <c r="F3" s="20" t="s">
        <v>362</v>
      </c>
      <c r="G3" s="8" t="str">
        <f t="shared" ref="G3:G66" si="0">E3&amp;" "&amp;F3</f>
        <v>NICHOLSON WESLEY</v>
      </c>
      <c r="H3" s="20" t="str">
        <f t="shared" ref="H3:H66" si="1">MID(B3,13,4)</f>
        <v>4031</v>
      </c>
    </row>
    <row r="4" spans="1:8" x14ac:dyDescent="0.25">
      <c r="A4" s="8">
        <v>43070.066574074073</v>
      </c>
      <c r="B4" s="20" t="s">
        <v>585</v>
      </c>
      <c r="C4" s="20" t="s">
        <v>598</v>
      </c>
      <c r="D4" s="137">
        <v>3340000</v>
      </c>
      <c r="E4" s="20" t="s">
        <v>412</v>
      </c>
      <c r="F4" s="20" t="s">
        <v>413</v>
      </c>
      <c r="G4" s="8" t="str">
        <f t="shared" si="0"/>
        <v>ELBAUM MIKE</v>
      </c>
      <c r="H4" s="20" t="str">
        <f t="shared" si="1"/>
        <v>4014</v>
      </c>
    </row>
    <row r="5" spans="1:8" x14ac:dyDescent="0.25">
      <c r="A5" s="8">
        <v>43070.092013888891</v>
      </c>
      <c r="B5" s="20" t="s">
        <v>511</v>
      </c>
      <c r="C5" s="20" t="s">
        <v>599</v>
      </c>
      <c r="D5" s="137">
        <v>3320000</v>
      </c>
      <c r="E5" s="20" t="s">
        <v>361</v>
      </c>
      <c r="F5" s="20" t="s">
        <v>362</v>
      </c>
      <c r="G5" s="8" t="str">
        <f t="shared" si="0"/>
        <v>NICHOLSON WESLEY</v>
      </c>
      <c r="H5" s="20" t="str">
        <f t="shared" si="1"/>
        <v>4032</v>
      </c>
    </row>
    <row r="6" spans="1:8" x14ac:dyDescent="0.25">
      <c r="A6" s="8">
        <v>43070.114849537036</v>
      </c>
      <c r="B6" s="20" t="s">
        <v>427</v>
      </c>
      <c r="C6" s="20" t="s">
        <v>748</v>
      </c>
      <c r="D6" s="137">
        <v>1830000</v>
      </c>
      <c r="E6" s="20" t="s">
        <v>347</v>
      </c>
      <c r="F6" s="20" t="s">
        <v>348</v>
      </c>
      <c r="G6" s="8" t="str">
        <f t="shared" si="0"/>
        <v>YORK EDGAR</v>
      </c>
      <c r="H6" s="20" t="str">
        <f t="shared" si="1"/>
        <v>4025</v>
      </c>
    </row>
    <row r="7" spans="1:8" x14ac:dyDescent="0.25">
      <c r="A7" s="8">
        <v>43070.115671296298</v>
      </c>
      <c r="B7" s="20" t="s">
        <v>427</v>
      </c>
      <c r="C7" s="20" t="s">
        <v>748</v>
      </c>
      <c r="D7" s="137">
        <v>1830000</v>
      </c>
      <c r="E7" s="20" t="s">
        <v>347</v>
      </c>
      <c r="F7" s="20" t="s">
        <v>348</v>
      </c>
      <c r="G7" s="8" t="str">
        <f t="shared" si="0"/>
        <v>YORK EDGAR</v>
      </c>
      <c r="H7" s="20" t="str">
        <f t="shared" si="1"/>
        <v>4025</v>
      </c>
    </row>
    <row r="8" spans="1:8" x14ac:dyDescent="0.25">
      <c r="A8" s="8">
        <v>43070.127812500003</v>
      </c>
      <c r="B8" s="20" t="s">
        <v>428</v>
      </c>
      <c r="C8" s="20" t="s">
        <v>749</v>
      </c>
      <c r="D8" s="137">
        <v>1090000</v>
      </c>
      <c r="E8" s="20" t="s">
        <v>444</v>
      </c>
      <c r="F8" s="20" t="s">
        <v>353</v>
      </c>
      <c r="G8" s="8" t="str">
        <f t="shared" si="0"/>
        <v>SPECTOR MICHAEL</v>
      </c>
      <c r="H8" s="20" t="str">
        <f t="shared" si="1"/>
        <v>4026</v>
      </c>
    </row>
    <row r="9" spans="1:8" ht="15.75" thickBot="1" x14ac:dyDescent="0.3">
      <c r="A9" s="24">
        <v>43070.130636574075</v>
      </c>
      <c r="B9" s="20" t="s">
        <v>518</v>
      </c>
      <c r="C9" s="20" t="s">
        <v>750</v>
      </c>
      <c r="D9" s="137">
        <v>1830000</v>
      </c>
      <c r="E9" s="20" t="s">
        <v>347</v>
      </c>
      <c r="F9" s="20" t="s">
        <v>348</v>
      </c>
      <c r="G9" s="8" t="str">
        <f t="shared" si="0"/>
        <v>YORK EDGAR</v>
      </c>
      <c r="H9" s="20" t="str">
        <f t="shared" si="1"/>
        <v>4006</v>
      </c>
    </row>
    <row r="10" spans="1:8" x14ac:dyDescent="0.25">
      <c r="A10" s="8">
        <v>43070.139687499999</v>
      </c>
      <c r="B10" s="20" t="s">
        <v>478</v>
      </c>
      <c r="C10" s="20" t="s">
        <v>751</v>
      </c>
      <c r="D10" s="137">
        <v>2010000</v>
      </c>
      <c r="E10" s="20" t="s">
        <v>588</v>
      </c>
      <c r="F10" s="20" t="s">
        <v>589</v>
      </c>
      <c r="G10" s="8" t="str">
        <f t="shared" si="0"/>
        <v>MAELZER KURT</v>
      </c>
      <c r="H10" s="20" t="str">
        <f t="shared" si="1"/>
        <v>4001</v>
      </c>
    </row>
    <row r="11" spans="1:8" x14ac:dyDescent="0.25">
      <c r="A11" s="8">
        <v>43070.142256944448</v>
      </c>
      <c r="B11" s="20" t="s">
        <v>427</v>
      </c>
      <c r="C11" s="20" t="s">
        <v>752</v>
      </c>
      <c r="D11" s="137">
        <v>1090000</v>
      </c>
      <c r="E11" s="20" t="s">
        <v>444</v>
      </c>
      <c r="F11" s="20" t="s">
        <v>353</v>
      </c>
      <c r="G11" s="8" t="str">
        <f t="shared" si="0"/>
        <v>SPECTOR MICHAEL</v>
      </c>
      <c r="H11" s="20" t="str">
        <f t="shared" si="1"/>
        <v>4025</v>
      </c>
    </row>
    <row r="12" spans="1:8" x14ac:dyDescent="0.25">
      <c r="A12" s="8">
        <v>43070.150381944448</v>
      </c>
      <c r="B12" s="20" t="s">
        <v>477</v>
      </c>
      <c r="C12" s="20" t="s">
        <v>753</v>
      </c>
      <c r="D12" s="137">
        <v>2010000</v>
      </c>
      <c r="E12" s="20" t="s">
        <v>588</v>
      </c>
      <c r="F12" s="20" t="s">
        <v>589</v>
      </c>
      <c r="G12" s="8" t="str">
        <f t="shared" si="0"/>
        <v>MAELZER KURT</v>
      </c>
      <c r="H12" s="20" t="str">
        <f t="shared" si="1"/>
        <v>4002</v>
      </c>
    </row>
    <row r="13" spans="1:8" x14ac:dyDescent="0.25">
      <c r="A13" s="8">
        <v>43070.161249999997</v>
      </c>
      <c r="B13" s="20" t="s">
        <v>583</v>
      </c>
      <c r="C13" s="20" t="s">
        <v>754</v>
      </c>
      <c r="D13" s="137">
        <v>3260000</v>
      </c>
      <c r="E13" s="20" t="s">
        <v>755</v>
      </c>
      <c r="F13" s="20" t="s">
        <v>756</v>
      </c>
      <c r="G13" s="8" t="str">
        <f t="shared" si="0"/>
        <v>PAGE MARCUS</v>
      </c>
      <c r="H13" s="20" t="str">
        <f t="shared" si="1"/>
        <v>4039</v>
      </c>
    </row>
    <row r="14" spans="1:8" x14ac:dyDescent="0.25">
      <c r="A14" s="8">
        <v>43070.171122685184</v>
      </c>
      <c r="B14" s="20" t="s">
        <v>513</v>
      </c>
      <c r="C14" s="20" t="s">
        <v>727</v>
      </c>
      <c r="D14" s="137">
        <v>1830000</v>
      </c>
      <c r="E14" s="20" t="s">
        <v>347</v>
      </c>
      <c r="F14" s="20" t="s">
        <v>348</v>
      </c>
      <c r="G14" s="8" t="str">
        <f t="shared" si="0"/>
        <v>YORK EDGAR</v>
      </c>
      <c r="H14" s="20" t="str">
        <f t="shared" si="1"/>
        <v>4005</v>
      </c>
    </row>
    <row r="15" spans="1:8" x14ac:dyDescent="0.25">
      <c r="A15" s="8">
        <v>43070.172465277778</v>
      </c>
      <c r="B15" s="20" t="s">
        <v>586</v>
      </c>
      <c r="C15" s="20" t="s">
        <v>757</v>
      </c>
      <c r="D15" s="137">
        <v>3840000</v>
      </c>
      <c r="E15" s="20" t="s">
        <v>446</v>
      </c>
      <c r="F15" s="20" t="s">
        <v>447</v>
      </c>
      <c r="G15" s="8" t="str">
        <f t="shared" si="0"/>
        <v>LONG FULLER</v>
      </c>
      <c r="H15" s="20" t="str">
        <f t="shared" si="1"/>
        <v>4023</v>
      </c>
    </row>
    <row r="16" spans="1:8" x14ac:dyDescent="0.25">
      <c r="A16" s="8">
        <v>43070.174791666665</v>
      </c>
      <c r="B16" s="20" t="s">
        <v>584</v>
      </c>
      <c r="C16" s="20" t="s">
        <v>758</v>
      </c>
      <c r="D16" s="137">
        <v>3260000</v>
      </c>
      <c r="E16" s="20" t="s">
        <v>755</v>
      </c>
      <c r="F16" s="20" t="s">
        <v>756</v>
      </c>
      <c r="G16" s="8" t="str">
        <f t="shared" si="0"/>
        <v>PAGE MARCUS</v>
      </c>
      <c r="H16" s="20" t="str">
        <f t="shared" si="1"/>
        <v>4040</v>
      </c>
    </row>
    <row r="17" spans="1:8" x14ac:dyDescent="0.25">
      <c r="A17" s="8">
        <v>43070.178356481483</v>
      </c>
      <c r="B17" s="20" t="s">
        <v>741</v>
      </c>
      <c r="C17" s="20" t="s">
        <v>759</v>
      </c>
      <c r="D17" s="137">
        <v>2440000</v>
      </c>
      <c r="E17" s="20" t="s">
        <v>516</v>
      </c>
      <c r="F17" s="20" t="s">
        <v>517</v>
      </c>
      <c r="G17" s="8" t="str">
        <f t="shared" si="0"/>
        <v>LOPES KIMBERLY</v>
      </c>
      <c r="H17" s="20" t="str">
        <f t="shared" si="1"/>
        <v>4019</v>
      </c>
    </row>
    <row r="18" spans="1:8" x14ac:dyDescent="0.25">
      <c r="A18" s="8">
        <v>43070.184166666666</v>
      </c>
      <c r="B18" s="20" t="s">
        <v>587</v>
      </c>
      <c r="C18" s="20" t="s">
        <v>760</v>
      </c>
      <c r="D18" s="137">
        <v>3840000</v>
      </c>
      <c r="E18" s="20" t="s">
        <v>446</v>
      </c>
      <c r="F18" s="20" t="s">
        <v>447</v>
      </c>
      <c r="G18" s="8" t="str">
        <f t="shared" si="0"/>
        <v>LONG FULLER</v>
      </c>
      <c r="H18" s="20" t="str">
        <f t="shared" si="1"/>
        <v>4024</v>
      </c>
    </row>
    <row r="19" spans="1:8" x14ac:dyDescent="0.25">
      <c r="A19" s="8">
        <v>43070.185740740744</v>
      </c>
      <c r="B19" s="20" t="s">
        <v>478</v>
      </c>
      <c r="C19" s="20" t="s">
        <v>761</v>
      </c>
      <c r="D19" s="137">
        <v>2010000</v>
      </c>
      <c r="E19" s="20" t="s">
        <v>588</v>
      </c>
      <c r="F19" s="20" t="s">
        <v>589</v>
      </c>
      <c r="G19" s="8" t="str">
        <f t="shared" si="0"/>
        <v>MAELZER KURT</v>
      </c>
      <c r="H19" s="20" t="str">
        <f t="shared" si="1"/>
        <v>4001</v>
      </c>
    </row>
    <row r="20" spans="1:8" x14ac:dyDescent="0.25">
      <c r="A20" s="8">
        <v>43070.189074074071</v>
      </c>
      <c r="B20" s="20" t="s">
        <v>762</v>
      </c>
      <c r="C20" s="20" t="s">
        <v>763</v>
      </c>
      <c r="D20" s="137">
        <v>2440000</v>
      </c>
      <c r="E20" s="20" t="s">
        <v>516</v>
      </c>
      <c r="F20" s="20" t="s">
        <v>517</v>
      </c>
      <c r="G20" s="8" t="str">
        <f t="shared" si="0"/>
        <v>LOPES KIMBERLY</v>
      </c>
      <c r="H20" s="20" t="str">
        <f t="shared" si="1"/>
        <v>4020</v>
      </c>
    </row>
    <row r="21" spans="1:8" x14ac:dyDescent="0.25">
      <c r="A21" s="8">
        <v>43070.196076388886</v>
      </c>
      <c r="B21" s="20" t="s">
        <v>729</v>
      </c>
      <c r="C21" s="20" t="s">
        <v>764</v>
      </c>
      <c r="D21" s="137">
        <v>2560000</v>
      </c>
      <c r="E21" s="20" t="s">
        <v>666</v>
      </c>
      <c r="F21" s="20" t="s">
        <v>667</v>
      </c>
      <c r="G21" s="8" t="str">
        <f t="shared" si="0"/>
        <v>MACDONALD THOMAS</v>
      </c>
      <c r="H21" s="20" t="str">
        <f t="shared" si="1"/>
        <v>4045</v>
      </c>
    </row>
    <row r="22" spans="1:8" x14ac:dyDescent="0.25">
      <c r="A22" s="26">
        <v>43070.198599537034</v>
      </c>
      <c r="B22" s="20" t="s">
        <v>668</v>
      </c>
      <c r="C22" s="20" t="s">
        <v>765</v>
      </c>
      <c r="D22" s="137">
        <v>3040000</v>
      </c>
      <c r="E22" s="20" t="s">
        <v>366</v>
      </c>
      <c r="F22" s="20" t="s">
        <v>429</v>
      </c>
      <c r="G22" s="8" t="str">
        <f t="shared" si="0"/>
        <v>WILLIAMS DONTE</v>
      </c>
      <c r="H22" s="20" t="str">
        <f t="shared" si="1"/>
        <v>4016</v>
      </c>
    </row>
    <row r="23" spans="1:8" x14ac:dyDescent="0.25">
      <c r="A23" s="8">
        <v>43070.202256944445</v>
      </c>
      <c r="B23" s="20" t="s">
        <v>518</v>
      </c>
      <c r="C23" s="20" t="s">
        <v>766</v>
      </c>
      <c r="D23" s="137">
        <v>1830000</v>
      </c>
      <c r="E23" s="20" t="s">
        <v>347</v>
      </c>
      <c r="F23" s="20" t="s">
        <v>348</v>
      </c>
      <c r="G23" s="8" t="str">
        <f t="shared" si="0"/>
        <v>YORK EDGAR</v>
      </c>
      <c r="H23" s="20" t="str">
        <f t="shared" si="1"/>
        <v>4006</v>
      </c>
    </row>
    <row r="24" spans="1:8" x14ac:dyDescent="0.25">
      <c r="A24" s="8">
        <v>43070.205740740741</v>
      </c>
      <c r="B24" s="20" t="s">
        <v>738</v>
      </c>
      <c r="C24" s="20" t="s">
        <v>767</v>
      </c>
      <c r="D24" s="137">
        <v>2560000</v>
      </c>
      <c r="E24" s="20" t="s">
        <v>666</v>
      </c>
      <c r="F24" s="20" t="s">
        <v>667</v>
      </c>
      <c r="G24" s="8" t="str">
        <f t="shared" si="0"/>
        <v>MACDONALD THOMAS</v>
      </c>
      <c r="H24" s="20" t="str">
        <f t="shared" si="1"/>
        <v>4046</v>
      </c>
    </row>
    <row r="25" spans="1:8" x14ac:dyDescent="0.25">
      <c r="A25" s="8">
        <v>43070.209849537037</v>
      </c>
      <c r="B25" s="20" t="s">
        <v>583</v>
      </c>
      <c r="C25" s="20" t="s">
        <v>768</v>
      </c>
      <c r="D25" s="137">
        <v>3260000</v>
      </c>
      <c r="E25" s="20" t="s">
        <v>755</v>
      </c>
      <c r="F25" s="20" t="s">
        <v>756</v>
      </c>
      <c r="G25" s="8" t="str">
        <f t="shared" si="0"/>
        <v>PAGE MARCUS</v>
      </c>
      <c r="H25" s="20" t="str">
        <f t="shared" si="1"/>
        <v>4039</v>
      </c>
    </row>
    <row r="26" spans="1:8" x14ac:dyDescent="0.25">
      <c r="A26" s="8">
        <v>43070.210497685184</v>
      </c>
      <c r="B26" s="20" t="s">
        <v>665</v>
      </c>
      <c r="C26" s="20" t="s">
        <v>728</v>
      </c>
      <c r="D26" s="137">
        <v>3040000</v>
      </c>
      <c r="E26" s="20" t="s">
        <v>366</v>
      </c>
      <c r="F26" s="20" t="s">
        <v>429</v>
      </c>
      <c r="G26" s="8" t="str">
        <f t="shared" si="0"/>
        <v>WILLIAMS DONTE</v>
      </c>
      <c r="H26" s="20" t="str">
        <f t="shared" si="1"/>
        <v>4015</v>
      </c>
    </row>
    <row r="27" spans="1:8" x14ac:dyDescent="0.25">
      <c r="A27" s="8">
        <v>43070.21334490741</v>
      </c>
      <c r="B27" s="20" t="s">
        <v>586</v>
      </c>
      <c r="C27" s="20" t="s">
        <v>769</v>
      </c>
      <c r="D27" s="137">
        <v>3840000</v>
      </c>
      <c r="E27" s="20" t="s">
        <v>446</v>
      </c>
      <c r="F27" s="20" t="s">
        <v>447</v>
      </c>
      <c r="G27" s="8" t="str">
        <f t="shared" si="0"/>
        <v>LONG FULLER</v>
      </c>
      <c r="H27" s="20" t="str">
        <f t="shared" si="1"/>
        <v>4023</v>
      </c>
    </row>
    <row r="28" spans="1:8" x14ac:dyDescent="0.25">
      <c r="A28" s="8">
        <v>43070.218321759261</v>
      </c>
      <c r="B28" s="20" t="s">
        <v>733</v>
      </c>
      <c r="C28" s="20" t="s">
        <v>770</v>
      </c>
      <c r="D28" s="137">
        <v>3790000</v>
      </c>
      <c r="E28" s="20" t="s">
        <v>442</v>
      </c>
      <c r="F28" s="20" t="s">
        <v>443</v>
      </c>
      <c r="G28" s="8" t="str">
        <f t="shared" si="0"/>
        <v>NICHOLAS PLOYSA</v>
      </c>
      <c r="H28" s="20" t="str">
        <f t="shared" si="1"/>
        <v>4049</v>
      </c>
    </row>
    <row r="29" spans="1:8" x14ac:dyDescent="0.25">
      <c r="A29" s="8">
        <v>43070.219675925924</v>
      </c>
      <c r="B29" s="20" t="s">
        <v>733</v>
      </c>
      <c r="C29" s="20" t="s">
        <v>771</v>
      </c>
      <c r="D29" s="137">
        <v>3790000</v>
      </c>
      <c r="E29" s="20" t="s">
        <v>442</v>
      </c>
      <c r="F29" s="20" t="s">
        <v>443</v>
      </c>
      <c r="G29" s="8" t="str">
        <f t="shared" si="0"/>
        <v>NICHOLAS PLOYSA</v>
      </c>
      <c r="H29" s="20" t="str">
        <f t="shared" si="1"/>
        <v>4049</v>
      </c>
    </row>
    <row r="30" spans="1:8" x14ac:dyDescent="0.25">
      <c r="A30" s="8">
        <v>43070.226574074077</v>
      </c>
      <c r="B30" s="20" t="s">
        <v>477</v>
      </c>
      <c r="C30" s="20" t="s">
        <v>772</v>
      </c>
      <c r="D30" s="137">
        <v>2010000</v>
      </c>
      <c r="E30" s="20" t="s">
        <v>588</v>
      </c>
      <c r="F30" s="20" t="s">
        <v>589</v>
      </c>
      <c r="G30" s="8" t="str">
        <f t="shared" si="0"/>
        <v>MAELZER KURT</v>
      </c>
      <c r="H30" s="20" t="str">
        <f t="shared" si="1"/>
        <v>4002</v>
      </c>
    </row>
    <row r="31" spans="1:8" x14ac:dyDescent="0.25">
      <c r="A31" s="8">
        <v>43070.231620370374</v>
      </c>
      <c r="B31" s="20" t="s">
        <v>744</v>
      </c>
      <c r="C31" s="20" t="s">
        <v>770</v>
      </c>
      <c r="D31" s="137">
        <v>3790000</v>
      </c>
      <c r="E31" s="20" t="s">
        <v>442</v>
      </c>
      <c r="F31" s="20" t="s">
        <v>443</v>
      </c>
      <c r="G31" s="8" t="str">
        <f t="shared" si="0"/>
        <v>NICHOLAS PLOYSA</v>
      </c>
      <c r="H31" s="20" t="str">
        <f t="shared" si="1"/>
        <v>4050</v>
      </c>
    </row>
    <row r="32" spans="1:8" x14ac:dyDescent="0.25">
      <c r="A32" s="8">
        <v>43070.233472222222</v>
      </c>
      <c r="B32" s="20" t="s">
        <v>741</v>
      </c>
      <c r="C32" s="20" t="s">
        <v>773</v>
      </c>
      <c r="D32" s="137">
        <v>2440000</v>
      </c>
      <c r="E32" s="20" t="s">
        <v>516</v>
      </c>
      <c r="F32" s="20" t="s">
        <v>517</v>
      </c>
      <c r="G32" s="8" t="str">
        <f t="shared" si="0"/>
        <v>LOPES KIMBERLY</v>
      </c>
      <c r="H32" s="20" t="str">
        <f t="shared" si="1"/>
        <v>4019</v>
      </c>
    </row>
    <row r="33" spans="1:8" x14ac:dyDescent="0.25">
      <c r="A33" s="8">
        <v>43070.234097222223</v>
      </c>
      <c r="B33" s="20" t="s">
        <v>668</v>
      </c>
      <c r="C33" s="20" t="s">
        <v>774</v>
      </c>
      <c r="D33" s="137">
        <v>3040000</v>
      </c>
      <c r="E33" s="20" t="s">
        <v>366</v>
      </c>
      <c r="F33" s="20" t="s">
        <v>429</v>
      </c>
      <c r="G33" s="8" t="str">
        <f t="shared" si="0"/>
        <v>WILLIAMS DONTE</v>
      </c>
      <c r="H33" s="20" t="str">
        <f t="shared" si="1"/>
        <v>4016</v>
      </c>
    </row>
    <row r="34" spans="1:8" x14ac:dyDescent="0.25">
      <c r="A34" s="8">
        <v>43070.236273148148</v>
      </c>
      <c r="B34" s="20" t="s">
        <v>513</v>
      </c>
      <c r="C34" s="20" t="s">
        <v>775</v>
      </c>
      <c r="D34" s="137">
        <v>1830000</v>
      </c>
      <c r="E34" s="20" t="s">
        <v>347</v>
      </c>
      <c r="F34" s="20" t="s">
        <v>348</v>
      </c>
      <c r="G34" s="8" t="str">
        <f t="shared" si="0"/>
        <v>YORK EDGAR</v>
      </c>
      <c r="H34" s="20" t="str">
        <f t="shared" si="1"/>
        <v>4005</v>
      </c>
    </row>
    <row r="35" spans="1:8" x14ac:dyDescent="0.25">
      <c r="A35" s="8">
        <v>43070.244571759256</v>
      </c>
      <c r="B35" s="20" t="s">
        <v>584</v>
      </c>
      <c r="C35" s="20" t="s">
        <v>776</v>
      </c>
      <c r="D35" s="137">
        <v>3260000</v>
      </c>
      <c r="E35" s="20" t="s">
        <v>755</v>
      </c>
      <c r="F35" s="20" t="s">
        <v>756</v>
      </c>
      <c r="G35" s="8" t="str">
        <f t="shared" si="0"/>
        <v>PAGE MARCUS</v>
      </c>
      <c r="H35" s="20" t="str">
        <f t="shared" si="1"/>
        <v>4040</v>
      </c>
    </row>
    <row r="36" spans="1:8" x14ac:dyDescent="0.25">
      <c r="A36" s="8">
        <v>43070.245972222219</v>
      </c>
      <c r="B36" s="20" t="s">
        <v>441</v>
      </c>
      <c r="C36" s="20" t="s">
        <v>777</v>
      </c>
      <c r="D36" s="137">
        <v>3030000</v>
      </c>
      <c r="E36" s="20" t="s">
        <v>672</v>
      </c>
      <c r="F36" s="20" t="s">
        <v>667</v>
      </c>
      <c r="G36" s="8" t="str">
        <f t="shared" si="0"/>
        <v>BIRENBAUM THOMAS</v>
      </c>
      <c r="H36" s="20" t="str">
        <f t="shared" si="1"/>
        <v>4021</v>
      </c>
    </row>
    <row r="37" spans="1:8" x14ac:dyDescent="0.25">
      <c r="A37" s="8">
        <v>43070.247974537036</v>
      </c>
      <c r="B37" s="20" t="s">
        <v>665</v>
      </c>
      <c r="C37" s="20" t="s">
        <v>778</v>
      </c>
      <c r="D37" s="137">
        <v>3040000</v>
      </c>
      <c r="E37" s="20" t="s">
        <v>366</v>
      </c>
      <c r="F37" s="20" t="s">
        <v>429</v>
      </c>
      <c r="G37" s="8" t="str">
        <f t="shared" si="0"/>
        <v>WILLIAMS DONTE</v>
      </c>
      <c r="H37" s="20" t="str">
        <f t="shared" si="1"/>
        <v>4015</v>
      </c>
    </row>
    <row r="38" spans="1:8" x14ac:dyDescent="0.25">
      <c r="A38" s="8">
        <v>43070.254918981482</v>
      </c>
      <c r="B38" s="20" t="s">
        <v>375</v>
      </c>
      <c r="C38" s="20" t="s">
        <v>779</v>
      </c>
      <c r="D38" s="137">
        <v>3030000</v>
      </c>
      <c r="E38" s="20" t="s">
        <v>672</v>
      </c>
      <c r="F38" s="20" t="s">
        <v>667</v>
      </c>
      <c r="G38" s="8" t="str">
        <f t="shared" si="0"/>
        <v>BIRENBAUM THOMAS</v>
      </c>
      <c r="H38" s="20" t="str">
        <f t="shared" si="1"/>
        <v>4022</v>
      </c>
    </row>
    <row r="39" spans="1:8" x14ac:dyDescent="0.25">
      <c r="A39" s="8">
        <v>43070.255543981482</v>
      </c>
      <c r="B39" s="20" t="s">
        <v>587</v>
      </c>
      <c r="C39" s="20" t="s">
        <v>780</v>
      </c>
      <c r="D39" s="137">
        <v>3840000</v>
      </c>
      <c r="E39" s="20" t="s">
        <v>446</v>
      </c>
      <c r="F39" s="20" t="s">
        <v>447</v>
      </c>
      <c r="G39" s="8" t="str">
        <f t="shared" si="0"/>
        <v>LONG FULLER</v>
      </c>
      <c r="H39" s="20" t="str">
        <f t="shared" si="1"/>
        <v>4024</v>
      </c>
    </row>
    <row r="40" spans="1:8" x14ac:dyDescent="0.25">
      <c r="A40" s="8">
        <v>43070.256018518521</v>
      </c>
      <c r="B40" s="25" t="s">
        <v>729</v>
      </c>
      <c r="C40" s="20" t="s">
        <v>781</v>
      </c>
      <c r="D40" s="137">
        <v>2560000</v>
      </c>
      <c r="E40" s="20" t="s">
        <v>666</v>
      </c>
      <c r="F40" s="20" t="s">
        <v>667</v>
      </c>
      <c r="G40" s="8" t="str">
        <f t="shared" si="0"/>
        <v>MACDONALD THOMAS</v>
      </c>
      <c r="H40" s="20" t="str">
        <f t="shared" si="1"/>
        <v>4045</v>
      </c>
    </row>
    <row r="41" spans="1:8" x14ac:dyDescent="0.25">
      <c r="A41" s="8">
        <v>43070.261990740742</v>
      </c>
      <c r="B41" s="20" t="s">
        <v>478</v>
      </c>
      <c r="C41" s="20" t="s">
        <v>782</v>
      </c>
      <c r="D41" s="137">
        <v>2010000</v>
      </c>
      <c r="E41" s="20" t="s">
        <v>588</v>
      </c>
      <c r="F41" s="20" t="s">
        <v>589</v>
      </c>
      <c r="G41" s="8" t="str">
        <f t="shared" si="0"/>
        <v>MAELZER KURT</v>
      </c>
      <c r="H41" s="20" t="str">
        <f t="shared" si="1"/>
        <v>4001</v>
      </c>
    </row>
    <row r="42" spans="1:8" x14ac:dyDescent="0.25">
      <c r="A42" s="8">
        <v>43070.265497685185</v>
      </c>
      <c r="B42" s="20" t="s">
        <v>762</v>
      </c>
      <c r="C42" s="20" t="s">
        <v>783</v>
      </c>
      <c r="D42" s="137">
        <v>2440000</v>
      </c>
      <c r="E42" s="20" t="s">
        <v>516</v>
      </c>
      <c r="F42" s="20" t="s">
        <v>517</v>
      </c>
      <c r="G42" s="8" t="str">
        <f t="shared" si="0"/>
        <v>LOPES KIMBERLY</v>
      </c>
      <c r="H42" s="20" t="str">
        <f t="shared" si="1"/>
        <v>4020</v>
      </c>
    </row>
    <row r="43" spans="1:8" x14ac:dyDescent="0.25">
      <c r="A43" s="8">
        <v>43070.267974537041</v>
      </c>
      <c r="B43" s="20" t="s">
        <v>733</v>
      </c>
      <c r="C43" s="20" t="s">
        <v>784</v>
      </c>
      <c r="D43" s="137">
        <v>3790000</v>
      </c>
      <c r="E43" s="20" t="s">
        <v>442</v>
      </c>
      <c r="F43" s="20" t="s">
        <v>443</v>
      </c>
      <c r="G43" s="8" t="str">
        <f t="shared" si="0"/>
        <v>NICHOLAS PLOYSA</v>
      </c>
      <c r="H43" s="20" t="str">
        <f t="shared" si="1"/>
        <v>4049</v>
      </c>
    </row>
    <row r="44" spans="1:8" x14ac:dyDescent="0.25">
      <c r="A44" s="8">
        <v>43070.268090277779</v>
      </c>
      <c r="B44" s="20" t="s">
        <v>441</v>
      </c>
      <c r="C44" s="20" t="s">
        <v>785</v>
      </c>
      <c r="D44" s="137">
        <v>3030000</v>
      </c>
      <c r="E44" s="20" t="s">
        <v>672</v>
      </c>
      <c r="F44" s="20" t="s">
        <v>667</v>
      </c>
      <c r="G44" s="8" t="str">
        <f t="shared" si="0"/>
        <v>BIRENBAUM THOMAS</v>
      </c>
      <c r="H44" s="20" t="str">
        <f t="shared" si="1"/>
        <v>4021</v>
      </c>
    </row>
    <row r="45" spans="1:8" x14ac:dyDescent="0.25">
      <c r="A45" s="8">
        <v>43070.275254629632</v>
      </c>
      <c r="B45" s="20" t="s">
        <v>668</v>
      </c>
      <c r="C45" s="20" t="s">
        <v>786</v>
      </c>
      <c r="D45" s="137">
        <v>3040000</v>
      </c>
      <c r="E45" s="20" t="s">
        <v>366</v>
      </c>
      <c r="F45" s="20" t="s">
        <v>429</v>
      </c>
      <c r="G45" s="8" t="str">
        <f t="shared" si="0"/>
        <v>WILLIAMS DONTE</v>
      </c>
      <c r="H45" s="20" t="str">
        <f t="shared" si="1"/>
        <v>4016</v>
      </c>
    </row>
    <row r="46" spans="1:8" x14ac:dyDescent="0.25">
      <c r="A46" s="8">
        <v>43070.276782407411</v>
      </c>
      <c r="B46" s="20" t="s">
        <v>518</v>
      </c>
      <c r="C46" s="20" t="s">
        <v>787</v>
      </c>
      <c r="D46" s="137">
        <v>1830000</v>
      </c>
      <c r="E46" s="20" t="s">
        <v>347</v>
      </c>
      <c r="F46" s="20" t="s">
        <v>348</v>
      </c>
      <c r="G46" s="8" t="str">
        <f t="shared" si="0"/>
        <v>YORK EDGAR</v>
      </c>
      <c r="H46" s="20" t="str">
        <f t="shared" si="1"/>
        <v>4006</v>
      </c>
    </row>
    <row r="47" spans="1:8" x14ac:dyDescent="0.25">
      <c r="A47" s="8">
        <v>43070.283900462964</v>
      </c>
      <c r="B47" s="20" t="s">
        <v>583</v>
      </c>
      <c r="C47" s="20" t="s">
        <v>788</v>
      </c>
      <c r="D47" s="137">
        <v>3260000</v>
      </c>
      <c r="E47" s="20" t="s">
        <v>755</v>
      </c>
      <c r="F47" s="20" t="s">
        <v>756</v>
      </c>
      <c r="G47" s="8" t="str">
        <f t="shared" si="0"/>
        <v>PAGE MARCUS</v>
      </c>
      <c r="H47" s="20" t="str">
        <f t="shared" si="1"/>
        <v>4039</v>
      </c>
    </row>
    <row r="48" spans="1:8" x14ac:dyDescent="0.25">
      <c r="A48" s="8">
        <v>43070.287245370368</v>
      </c>
      <c r="B48" s="20" t="s">
        <v>586</v>
      </c>
      <c r="C48" s="20" t="s">
        <v>789</v>
      </c>
      <c r="D48" s="137">
        <v>3840000</v>
      </c>
      <c r="E48" s="20" t="s">
        <v>446</v>
      </c>
      <c r="F48" s="20" t="s">
        <v>447</v>
      </c>
      <c r="G48" s="8" t="str">
        <f t="shared" si="0"/>
        <v>LONG FULLER</v>
      </c>
      <c r="H48" s="20" t="str">
        <f t="shared" si="1"/>
        <v>4023</v>
      </c>
    </row>
    <row r="49" spans="1:8" x14ac:dyDescent="0.25">
      <c r="A49" s="8">
        <v>43070.289293981485</v>
      </c>
      <c r="B49" s="20" t="s">
        <v>665</v>
      </c>
      <c r="C49" s="20" t="s">
        <v>790</v>
      </c>
      <c r="D49" s="137">
        <v>3040000</v>
      </c>
      <c r="E49" s="20" t="s">
        <v>366</v>
      </c>
      <c r="F49" s="20" t="s">
        <v>429</v>
      </c>
      <c r="G49" s="8" t="str">
        <f t="shared" si="0"/>
        <v>WILLIAMS DONTE</v>
      </c>
      <c r="H49" s="20" t="str">
        <f t="shared" si="1"/>
        <v>4015</v>
      </c>
    </row>
    <row r="50" spans="1:8" x14ac:dyDescent="0.25">
      <c r="A50" s="8">
        <v>43070.289571759262</v>
      </c>
      <c r="B50" s="20" t="s">
        <v>375</v>
      </c>
      <c r="C50" s="20" t="s">
        <v>791</v>
      </c>
      <c r="D50" s="137">
        <v>3030000</v>
      </c>
      <c r="E50" s="20" t="s">
        <v>672</v>
      </c>
      <c r="F50" s="20" t="s">
        <v>667</v>
      </c>
      <c r="G50" s="8" t="str">
        <f t="shared" si="0"/>
        <v>BIRENBAUM THOMAS</v>
      </c>
      <c r="H50" s="20" t="str">
        <f t="shared" si="1"/>
        <v>4022</v>
      </c>
    </row>
    <row r="51" spans="1:8" x14ac:dyDescent="0.25">
      <c r="A51" s="8">
        <v>43070.289629629631</v>
      </c>
      <c r="B51" s="20" t="s">
        <v>738</v>
      </c>
      <c r="C51" s="20" t="s">
        <v>792</v>
      </c>
      <c r="D51" s="137">
        <v>2560000</v>
      </c>
      <c r="E51" s="20" t="s">
        <v>666</v>
      </c>
      <c r="F51" s="20" t="s">
        <v>667</v>
      </c>
      <c r="G51" s="8" t="str">
        <f t="shared" si="0"/>
        <v>MACDONALD THOMAS</v>
      </c>
      <c r="H51" s="20" t="str">
        <f t="shared" si="1"/>
        <v>4046</v>
      </c>
    </row>
    <row r="52" spans="1:8" x14ac:dyDescent="0.25">
      <c r="A52" s="8">
        <v>43070.297743055555</v>
      </c>
      <c r="B52" s="20" t="s">
        <v>477</v>
      </c>
      <c r="C52" s="20" t="s">
        <v>793</v>
      </c>
      <c r="D52" s="137">
        <v>2010000</v>
      </c>
      <c r="E52" s="20" t="s">
        <v>588</v>
      </c>
      <c r="F52" s="20" t="s">
        <v>589</v>
      </c>
      <c r="G52" s="8" t="str">
        <f t="shared" si="0"/>
        <v>MAELZER KURT</v>
      </c>
      <c r="H52" s="20" t="str">
        <f t="shared" si="1"/>
        <v>4002</v>
      </c>
    </row>
    <row r="53" spans="1:8" x14ac:dyDescent="0.25">
      <c r="A53" s="8">
        <v>43070.308125000003</v>
      </c>
      <c r="B53" s="20" t="s">
        <v>513</v>
      </c>
      <c r="C53" s="20" t="s">
        <v>794</v>
      </c>
      <c r="D53" s="137">
        <v>1830000</v>
      </c>
      <c r="E53" s="20" t="s">
        <v>347</v>
      </c>
      <c r="F53" s="20" t="s">
        <v>348</v>
      </c>
      <c r="G53" s="8" t="str">
        <f t="shared" si="0"/>
        <v>YORK EDGAR</v>
      </c>
      <c r="H53" s="20" t="str">
        <f t="shared" si="1"/>
        <v>4005</v>
      </c>
    </row>
    <row r="54" spans="1:8" x14ac:dyDescent="0.25">
      <c r="A54" s="8">
        <v>43070.308182870373</v>
      </c>
      <c r="B54" s="20" t="s">
        <v>741</v>
      </c>
      <c r="C54" s="20" t="s">
        <v>795</v>
      </c>
      <c r="D54" s="137">
        <v>2440000</v>
      </c>
      <c r="E54" s="20" t="s">
        <v>516</v>
      </c>
      <c r="F54" s="20" t="s">
        <v>517</v>
      </c>
      <c r="G54" s="8" t="str">
        <f t="shared" si="0"/>
        <v>LOPES KIMBERLY</v>
      </c>
      <c r="H54" s="20" t="str">
        <f t="shared" si="1"/>
        <v>4019</v>
      </c>
    </row>
    <row r="55" spans="1:8" x14ac:dyDescent="0.25">
      <c r="A55" s="8">
        <v>43070.310057870367</v>
      </c>
      <c r="B55" s="20" t="s">
        <v>441</v>
      </c>
      <c r="C55" s="20" t="s">
        <v>796</v>
      </c>
      <c r="D55" s="137">
        <v>3030000</v>
      </c>
      <c r="E55" s="20" t="s">
        <v>672</v>
      </c>
      <c r="F55" s="20" t="s">
        <v>667</v>
      </c>
      <c r="G55" s="8" t="str">
        <f t="shared" si="0"/>
        <v>BIRENBAUM THOMAS</v>
      </c>
      <c r="H55" s="20" t="str">
        <f t="shared" si="1"/>
        <v>4021</v>
      </c>
    </row>
    <row r="56" spans="1:8" x14ac:dyDescent="0.25">
      <c r="A56" s="8">
        <v>43070.310613425929</v>
      </c>
      <c r="B56" s="20" t="s">
        <v>744</v>
      </c>
      <c r="C56" s="20" t="s">
        <v>797</v>
      </c>
      <c r="D56" s="137">
        <v>3790000</v>
      </c>
      <c r="E56" s="20" t="s">
        <v>442</v>
      </c>
      <c r="F56" s="20" t="s">
        <v>443</v>
      </c>
      <c r="G56" s="8" t="str">
        <f t="shared" si="0"/>
        <v>NICHOLAS PLOYSA</v>
      </c>
      <c r="H56" s="20" t="str">
        <f t="shared" si="1"/>
        <v>4050</v>
      </c>
    </row>
    <row r="57" spans="1:8" x14ac:dyDescent="0.25">
      <c r="A57" s="8">
        <v>43070.317094907405</v>
      </c>
      <c r="B57" s="20" t="s">
        <v>668</v>
      </c>
      <c r="C57" s="20" t="s">
        <v>798</v>
      </c>
      <c r="D57" s="137">
        <v>3040000</v>
      </c>
      <c r="E57" s="20" t="s">
        <v>366</v>
      </c>
      <c r="F57" s="20" t="s">
        <v>429</v>
      </c>
      <c r="G57" s="8" t="str">
        <f t="shared" si="0"/>
        <v>WILLIAMS DONTE</v>
      </c>
      <c r="H57" s="20" t="str">
        <f t="shared" si="1"/>
        <v>4016</v>
      </c>
    </row>
    <row r="58" spans="1:8" x14ac:dyDescent="0.25">
      <c r="A58" s="8">
        <v>43070.31827546296</v>
      </c>
      <c r="B58" s="20" t="s">
        <v>584</v>
      </c>
      <c r="C58" s="20" t="s">
        <v>799</v>
      </c>
      <c r="D58" s="137">
        <v>1110000</v>
      </c>
      <c r="E58" s="20" t="s">
        <v>590</v>
      </c>
      <c r="F58" s="20" t="s">
        <v>591</v>
      </c>
      <c r="G58" s="8" t="str">
        <f t="shared" si="0"/>
        <v>STARKS ANGELINA</v>
      </c>
      <c r="H58" s="20" t="str">
        <f t="shared" si="1"/>
        <v>4040</v>
      </c>
    </row>
    <row r="59" spans="1:8" x14ac:dyDescent="0.25">
      <c r="A59" s="8">
        <v>43070.32953703704</v>
      </c>
      <c r="B59" s="20" t="s">
        <v>587</v>
      </c>
      <c r="C59" s="20" t="s">
        <v>800</v>
      </c>
      <c r="D59" s="137">
        <v>3840000</v>
      </c>
      <c r="E59" s="20" t="s">
        <v>446</v>
      </c>
      <c r="F59" s="20" t="s">
        <v>447</v>
      </c>
      <c r="G59" s="8" t="str">
        <f t="shared" si="0"/>
        <v>LONG FULLER</v>
      </c>
      <c r="H59" s="20" t="str">
        <f t="shared" si="1"/>
        <v>4024</v>
      </c>
    </row>
    <row r="60" spans="1:8" x14ac:dyDescent="0.25">
      <c r="A60" s="8">
        <v>43070.329953703702</v>
      </c>
      <c r="B60" s="20" t="s">
        <v>729</v>
      </c>
      <c r="C60" s="20" t="s">
        <v>801</v>
      </c>
      <c r="D60" s="137">
        <v>2560000</v>
      </c>
      <c r="E60" s="20" t="s">
        <v>666</v>
      </c>
      <c r="F60" s="20" t="s">
        <v>667</v>
      </c>
      <c r="G60" s="8" t="str">
        <f t="shared" si="0"/>
        <v>MACDONALD THOMAS</v>
      </c>
      <c r="H60" s="20" t="str">
        <f t="shared" si="1"/>
        <v>4045</v>
      </c>
    </row>
    <row r="61" spans="1:8" x14ac:dyDescent="0.25">
      <c r="A61" s="8">
        <v>43070.330914351849</v>
      </c>
      <c r="B61" s="20" t="s">
        <v>665</v>
      </c>
      <c r="C61" s="20" t="s">
        <v>802</v>
      </c>
      <c r="D61" s="137">
        <v>3040000</v>
      </c>
      <c r="E61" s="20" t="s">
        <v>366</v>
      </c>
      <c r="F61" s="20" t="s">
        <v>429</v>
      </c>
      <c r="G61" s="8" t="str">
        <f t="shared" si="0"/>
        <v>WILLIAMS DONTE</v>
      </c>
      <c r="H61" s="20" t="str">
        <f t="shared" si="1"/>
        <v>4015</v>
      </c>
    </row>
    <row r="62" spans="1:8" x14ac:dyDescent="0.25">
      <c r="A62" s="8">
        <v>43070.331087962964</v>
      </c>
      <c r="B62" s="20" t="s">
        <v>375</v>
      </c>
      <c r="C62" s="20" t="s">
        <v>803</v>
      </c>
      <c r="D62" s="137">
        <v>3030000</v>
      </c>
      <c r="E62" s="20" t="s">
        <v>672</v>
      </c>
      <c r="F62" s="20" t="s">
        <v>667</v>
      </c>
      <c r="G62" s="8" t="str">
        <f t="shared" si="0"/>
        <v>BIRENBAUM THOMAS</v>
      </c>
      <c r="H62" s="20" t="str">
        <f t="shared" si="1"/>
        <v>4022</v>
      </c>
    </row>
    <row r="63" spans="1:8" x14ac:dyDescent="0.25">
      <c r="A63" s="8">
        <v>43070.332418981481</v>
      </c>
      <c r="B63" s="20" t="s">
        <v>478</v>
      </c>
      <c r="C63" s="20" t="s">
        <v>804</v>
      </c>
      <c r="D63" s="137">
        <v>2010000</v>
      </c>
      <c r="E63" s="20" t="s">
        <v>588</v>
      </c>
      <c r="F63" s="20" t="s">
        <v>589</v>
      </c>
      <c r="G63" s="8" t="str">
        <f t="shared" si="0"/>
        <v>MAELZER KURT</v>
      </c>
      <c r="H63" s="20" t="str">
        <f t="shared" si="1"/>
        <v>4001</v>
      </c>
    </row>
    <row r="64" spans="1:8" x14ac:dyDescent="0.25">
      <c r="A64" s="26">
        <v>43070.338009259256</v>
      </c>
      <c r="B64" s="20" t="s">
        <v>733</v>
      </c>
      <c r="C64" s="20" t="s">
        <v>805</v>
      </c>
      <c r="D64" s="137">
        <v>3790000</v>
      </c>
      <c r="E64" s="20" t="s">
        <v>442</v>
      </c>
      <c r="F64" s="20" t="s">
        <v>443</v>
      </c>
      <c r="G64" s="8" t="str">
        <f t="shared" si="0"/>
        <v>NICHOLAS PLOYSA</v>
      </c>
      <c r="H64" s="20" t="str">
        <f t="shared" si="1"/>
        <v>4049</v>
      </c>
    </row>
    <row r="65" spans="1:8" x14ac:dyDescent="0.25">
      <c r="A65" s="8">
        <v>43070.338692129626</v>
      </c>
      <c r="B65" s="20" t="s">
        <v>762</v>
      </c>
      <c r="C65" s="20" t="s">
        <v>806</v>
      </c>
      <c r="D65" s="137">
        <v>2440000</v>
      </c>
      <c r="E65" s="20" t="s">
        <v>516</v>
      </c>
      <c r="F65" s="20" t="s">
        <v>517</v>
      </c>
      <c r="G65" s="8" t="str">
        <f t="shared" si="0"/>
        <v>LOPES KIMBERLY</v>
      </c>
      <c r="H65" s="20" t="str">
        <f t="shared" si="1"/>
        <v>4020</v>
      </c>
    </row>
    <row r="66" spans="1:8" x14ac:dyDescent="0.25">
      <c r="A66" s="8">
        <v>43070.348576388889</v>
      </c>
      <c r="B66" s="20" t="s">
        <v>518</v>
      </c>
      <c r="C66" s="20" t="s">
        <v>807</v>
      </c>
      <c r="D66" s="137">
        <v>1830000</v>
      </c>
      <c r="E66" s="20" t="s">
        <v>347</v>
      </c>
      <c r="F66" s="20" t="s">
        <v>348</v>
      </c>
      <c r="G66" s="8" t="str">
        <f t="shared" si="0"/>
        <v>YORK EDGAR</v>
      </c>
      <c r="H66" s="20" t="str">
        <f t="shared" si="1"/>
        <v>4006</v>
      </c>
    </row>
    <row r="67" spans="1:8" x14ac:dyDescent="0.25">
      <c r="A67" s="8">
        <v>43070.351736111108</v>
      </c>
      <c r="B67" s="20" t="s">
        <v>441</v>
      </c>
      <c r="C67" s="20" t="s">
        <v>808</v>
      </c>
      <c r="D67" s="137">
        <v>3030000</v>
      </c>
      <c r="E67" s="20" t="s">
        <v>672</v>
      </c>
      <c r="F67" s="20" t="s">
        <v>667</v>
      </c>
      <c r="G67" s="8" t="str">
        <f t="shared" ref="G67:G130" si="2">E67&amp;" "&amp;F67</f>
        <v>BIRENBAUM THOMAS</v>
      </c>
      <c r="H67" s="20" t="str">
        <f t="shared" ref="H67:H130" si="3">MID(B67,13,4)</f>
        <v>4021</v>
      </c>
    </row>
    <row r="68" spans="1:8" x14ac:dyDescent="0.25">
      <c r="A68" s="8">
        <v>43070.35365740741</v>
      </c>
      <c r="B68" s="20" t="s">
        <v>668</v>
      </c>
      <c r="C68" s="20" t="s">
        <v>809</v>
      </c>
      <c r="D68" s="137">
        <v>3040000</v>
      </c>
      <c r="E68" s="20" t="s">
        <v>366</v>
      </c>
      <c r="F68" s="20" t="s">
        <v>429</v>
      </c>
      <c r="G68" s="8" t="str">
        <f t="shared" si="2"/>
        <v>WILLIAMS DONTE</v>
      </c>
      <c r="H68" s="20" t="str">
        <f t="shared" si="3"/>
        <v>4016</v>
      </c>
    </row>
    <row r="69" spans="1:8" x14ac:dyDescent="0.25">
      <c r="A69" s="8">
        <v>43070.35832175926</v>
      </c>
      <c r="B69" s="20" t="s">
        <v>583</v>
      </c>
      <c r="C69" s="20" t="s">
        <v>810</v>
      </c>
      <c r="D69" s="137">
        <v>1110000</v>
      </c>
      <c r="E69" s="20" t="s">
        <v>590</v>
      </c>
      <c r="F69" s="20" t="s">
        <v>591</v>
      </c>
      <c r="G69" s="8" t="str">
        <f t="shared" si="2"/>
        <v>STARKS ANGELINA</v>
      </c>
      <c r="H69" s="20" t="str">
        <f t="shared" si="3"/>
        <v>4039</v>
      </c>
    </row>
    <row r="70" spans="1:8" x14ac:dyDescent="0.25">
      <c r="A70" s="8">
        <v>43070.359652777777</v>
      </c>
      <c r="B70" s="20" t="s">
        <v>586</v>
      </c>
      <c r="C70" s="20" t="s">
        <v>811</v>
      </c>
      <c r="D70" s="137">
        <v>3840000</v>
      </c>
      <c r="E70" s="20" t="s">
        <v>446</v>
      </c>
      <c r="F70" s="20" t="s">
        <v>447</v>
      </c>
      <c r="G70" s="8" t="str">
        <f t="shared" si="2"/>
        <v>LONG FULLER</v>
      </c>
      <c r="H70" s="20" t="str">
        <f t="shared" si="3"/>
        <v>4023</v>
      </c>
    </row>
    <row r="71" spans="1:8" x14ac:dyDescent="0.25">
      <c r="A71" s="8">
        <v>43070.363402777781</v>
      </c>
      <c r="B71" s="20" t="s">
        <v>738</v>
      </c>
      <c r="C71" s="20" t="s">
        <v>812</v>
      </c>
      <c r="D71" s="137">
        <v>2560000</v>
      </c>
      <c r="E71" s="20" t="s">
        <v>666</v>
      </c>
      <c r="F71" s="20" t="s">
        <v>667</v>
      </c>
      <c r="G71" s="8" t="str">
        <f t="shared" si="2"/>
        <v>MACDONALD THOMAS</v>
      </c>
      <c r="H71" s="20" t="str">
        <f t="shared" si="3"/>
        <v>4046</v>
      </c>
    </row>
    <row r="72" spans="1:8" x14ac:dyDescent="0.25">
      <c r="A72" s="8">
        <v>43070.370393518519</v>
      </c>
      <c r="B72" s="20" t="s">
        <v>741</v>
      </c>
      <c r="C72" s="20" t="s">
        <v>813</v>
      </c>
      <c r="D72" s="137">
        <v>2440000</v>
      </c>
      <c r="E72" s="20" t="s">
        <v>516</v>
      </c>
      <c r="F72" s="20" t="s">
        <v>517</v>
      </c>
      <c r="G72" s="8" t="str">
        <f t="shared" si="2"/>
        <v>LOPES KIMBERLY</v>
      </c>
      <c r="H72" s="20" t="str">
        <f t="shared" si="3"/>
        <v>4019</v>
      </c>
    </row>
    <row r="73" spans="1:8" x14ac:dyDescent="0.25">
      <c r="A73" s="8">
        <v>43070.371863425928</v>
      </c>
      <c r="B73" s="20" t="s">
        <v>477</v>
      </c>
      <c r="C73" s="20" t="s">
        <v>814</v>
      </c>
      <c r="D73" s="137">
        <v>2010000</v>
      </c>
      <c r="E73" s="20" t="s">
        <v>588</v>
      </c>
      <c r="F73" s="20" t="s">
        <v>589</v>
      </c>
      <c r="G73" s="8" t="str">
        <f t="shared" si="2"/>
        <v>MAELZER KURT</v>
      </c>
      <c r="H73" s="20" t="str">
        <f t="shared" si="3"/>
        <v>4002</v>
      </c>
    </row>
    <row r="74" spans="1:8" x14ac:dyDescent="0.25">
      <c r="A74" s="8">
        <v>43070.37290509259</v>
      </c>
      <c r="B74" s="20" t="s">
        <v>375</v>
      </c>
      <c r="C74" s="20" t="s">
        <v>815</v>
      </c>
      <c r="D74" s="137">
        <v>3030000</v>
      </c>
      <c r="E74" s="20" t="s">
        <v>672</v>
      </c>
      <c r="F74" s="20" t="s">
        <v>667</v>
      </c>
      <c r="G74" s="8" t="str">
        <f t="shared" si="2"/>
        <v>BIRENBAUM THOMAS</v>
      </c>
      <c r="H74" s="20" t="str">
        <f t="shared" si="3"/>
        <v>4022</v>
      </c>
    </row>
    <row r="75" spans="1:8" x14ac:dyDescent="0.25">
      <c r="A75" s="8">
        <v>43070.379421296297</v>
      </c>
      <c r="B75" s="20" t="s">
        <v>513</v>
      </c>
      <c r="C75" s="20" t="s">
        <v>816</v>
      </c>
      <c r="D75" s="137">
        <v>1830000</v>
      </c>
      <c r="E75" s="20" t="s">
        <v>347</v>
      </c>
      <c r="F75" s="20" t="s">
        <v>348</v>
      </c>
      <c r="G75" s="8" t="str">
        <f t="shared" si="2"/>
        <v>YORK EDGAR</v>
      </c>
      <c r="H75" s="20" t="str">
        <f t="shared" si="3"/>
        <v>4005</v>
      </c>
    </row>
    <row r="76" spans="1:8" x14ac:dyDescent="0.25">
      <c r="A76" s="8">
        <v>43070.38008101852</v>
      </c>
      <c r="B76" s="20" t="s">
        <v>744</v>
      </c>
      <c r="C76" s="20" t="s">
        <v>817</v>
      </c>
      <c r="D76" s="137">
        <v>3790000</v>
      </c>
      <c r="E76" s="20" t="s">
        <v>442</v>
      </c>
      <c r="F76" s="20" t="s">
        <v>443</v>
      </c>
      <c r="G76" s="8" t="str">
        <f t="shared" si="2"/>
        <v>NICHOLAS PLOYSA</v>
      </c>
      <c r="H76" s="20" t="str">
        <f t="shared" si="3"/>
        <v>4050</v>
      </c>
    </row>
    <row r="77" spans="1:8" x14ac:dyDescent="0.25">
      <c r="A77" s="8">
        <v>43070.392256944448</v>
      </c>
      <c r="B77" s="20" t="s">
        <v>584</v>
      </c>
      <c r="C77" s="20" t="s">
        <v>818</v>
      </c>
      <c r="D77" s="137">
        <v>3260000</v>
      </c>
      <c r="E77" s="20" t="s">
        <v>755</v>
      </c>
      <c r="F77" s="20" t="s">
        <v>756</v>
      </c>
      <c r="G77" s="8" t="str">
        <f t="shared" si="2"/>
        <v>PAGE MARCUS</v>
      </c>
      <c r="H77" s="20" t="str">
        <f t="shared" si="3"/>
        <v>4040</v>
      </c>
    </row>
    <row r="78" spans="1:8" x14ac:dyDescent="0.25">
      <c r="A78" s="8">
        <v>43070.392291666663</v>
      </c>
      <c r="B78" s="20" t="s">
        <v>441</v>
      </c>
      <c r="C78" s="20" t="s">
        <v>819</v>
      </c>
      <c r="D78" s="137">
        <v>3030000</v>
      </c>
      <c r="E78" s="20" t="s">
        <v>672</v>
      </c>
      <c r="F78" s="20" t="s">
        <v>667</v>
      </c>
      <c r="G78" s="8" t="str">
        <f t="shared" si="2"/>
        <v>BIRENBAUM THOMAS</v>
      </c>
      <c r="H78" s="20" t="str">
        <f t="shared" si="3"/>
        <v>4021</v>
      </c>
    </row>
    <row r="79" spans="1:8" x14ac:dyDescent="0.25">
      <c r="A79" s="8">
        <v>43070.402291666665</v>
      </c>
      <c r="B79" s="20" t="s">
        <v>587</v>
      </c>
      <c r="C79" s="20" t="s">
        <v>820</v>
      </c>
      <c r="D79" s="137">
        <v>3840000</v>
      </c>
      <c r="E79" s="20" t="s">
        <v>446</v>
      </c>
      <c r="F79" s="20" t="s">
        <v>447</v>
      </c>
      <c r="G79" s="8" t="str">
        <f t="shared" si="2"/>
        <v>LONG FULLER</v>
      </c>
      <c r="H79" s="20" t="str">
        <f t="shared" si="3"/>
        <v>4024</v>
      </c>
    </row>
    <row r="80" spans="1:8" x14ac:dyDescent="0.25">
      <c r="A80" s="8">
        <v>43070.403541666667</v>
      </c>
      <c r="B80" s="20" t="s">
        <v>729</v>
      </c>
      <c r="C80" s="20" t="s">
        <v>730</v>
      </c>
      <c r="D80" s="137">
        <v>2560000</v>
      </c>
      <c r="E80" s="20" t="s">
        <v>666</v>
      </c>
      <c r="F80" s="20" t="s">
        <v>667</v>
      </c>
      <c r="G80" s="8" t="str">
        <f t="shared" si="2"/>
        <v>MACDONALD THOMAS</v>
      </c>
      <c r="H80" s="20" t="str">
        <f t="shared" si="3"/>
        <v>4045</v>
      </c>
    </row>
    <row r="81" spans="1:8" x14ac:dyDescent="0.25">
      <c r="A81" s="8">
        <v>43070.406342592592</v>
      </c>
      <c r="B81" s="20" t="s">
        <v>478</v>
      </c>
      <c r="C81" s="20" t="s">
        <v>821</v>
      </c>
      <c r="D81" s="137">
        <v>2010000</v>
      </c>
      <c r="E81" s="20" t="s">
        <v>588</v>
      </c>
      <c r="F81" s="20" t="s">
        <v>589</v>
      </c>
      <c r="G81" s="8" t="str">
        <f t="shared" si="2"/>
        <v>MAELZER KURT</v>
      </c>
      <c r="H81" s="20" t="str">
        <f t="shared" si="3"/>
        <v>4001</v>
      </c>
    </row>
    <row r="82" spans="1:8" x14ac:dyDescent="0.25">
      <c r="A82" s="8">
        <v>43070.411226851851</v>
      </c>
      <c r="B82" s="20" t="s">
        <v>762</v>
      </c>
      <c r="C82" s="20" t="s">
        <v>822</v>
      </c>
      <c r="D82" s="137">
        <v>2440000</v>
      </c>
      <c r="E82" s="20" t="s">
        <v>516</v>
      </c>
      <c r="F82" s="20" t="s">
        <v>517</v>
      </c>
      <c r="G82" s="8" t="str">
        <f t="shared" si="2"/>
        <v>LOPES KIMBERLY</v>
      </c>
      <c r="H82" s="20" t="str">
        <f t="shared" si="3"/>
        <v>4020</v>
      </c>
    </row>
    <row r="83" spans="1:8" x14ac:dyDescent="0.25">
      <c r="A83" s="8">
        <v>43070.412523148145</v>
      </c>
      <c r="B83" s="20" t="s">
        <v>733</v>
      </c>
      <c r="C83" s="20" t="s">
        <v>823</v>
      </c>
      <c r="D83" s="137">
        <v>3790000</v>
      </c>
      <c r="E83" s="20" t="s">
        <v>442</v>
      </c>
      <c r="F83" s="20" t="s">
        <v>443</v>
      </c>
      <c r="G83" s="8" t="str">
        <f t="shared" si="2"/>
        <v>NICHOLAS PLOYSA</v>
      </c>
      <c r="H83" s="20" t="str">
        <f t="shared" si="3"/>
        <v>4049</v>
      </c>
    </row>
    <row r="84" spans="1:8" x14ac:dyDescent="0.25">
      <c r="A84" s="8">
        <v>43070.414409722223</v>
      </c>
      <c r="B84" s="20" t="s">
        <v>375</v>
      </c>
      <c r="C84" s="20" t="s">
        <v>824</v>
      </c>
      <c r="D84" s="137">
        <v>3030000</v>
      </c>
      <c r="E84" s="20" t="s">
        <v>672</v>
      </c>
      <c r="F84" s="20" t="s">
        <v>667</v>
      </c>
      <c r="G84" s="8" t="str">
        <f t="shared" si="2"/>
        <v>BIRENBAUM THOMAS</v>
      </c>
      <c r="H84" s="20" t="str">
        <f t="shared" si="3"/>
        <v>4022</v>
      </c>
    </row>
    <row r="85" spans="1:8" x14ac:dyDescent="0.25">
      <c r="A85" s="8">
        <v>43070.423101851855</v>
      </c>
      <c r="B85" s="20" t="s">
        <v>518</v>
      </c>
      <c r="C85" s="20" t="s">
        <v>825</v>
      </c>
      <c r="D85" s="137">
        <v>3040000</v>
      </c>
      <c r="E85" s="20" t="s">
        <v>366</v>
      </c>
      <c r="F85" s="20" t="s">
        <v>429</v>
      </c>
      <c r="G85" s="8" t="str">
        <f t="shared" si="2"/>
        <v>WILLIAMS DONTE</v>
      </c>
      <c r="H85" s="20" t="str">
        <f t="shared" si="3"/>
        <v>4006</v>
      </c>
    </row>
    <row r="86" spans="1:8" x14ac:dyDescent="0.25">
      <c r="A86" s="8">
        <v>43070.430868055555</v>
      </c>
      <c r="B86" s="20" t="s">
        <v>583</v>
      </c>
      <c r="C86" s="20" t="s">
        <v>826</v>
      </c>
      <c r="D86" s="137">
        <v>3260000</v>
      </c>
      <c r="E86" s="20" t="s">
        <v>755</v>
      </c>
      <c r="F86" s="20" t="s">
        <v>756</v>
      </c>
      <c r="G86" s="8" t="str">
        <f t="shared" si="2"/>
        <v>PAGE MARCUS</v>
      </c>
      <c r="H86" s="20" t="str">
        <f t="shared" si="3"/>
        <v>4039</v>
      </c>
    </row>
    <row r="87" spans="1:8" x14ac:dyDescent="0.25">
      <c r="A87" s="8">
        <v>43070.43408564815</v>
      </c>
      <c r="B87" s="20" t="s">
        <v>441</v>
      </c>
      <c r="C87" s="20" t="s">
        <v>731</v>
      </c>
      <c r="D87" s="137">
        <v>3030000</v>
      </c>
      <c r="E87" s="20" t="s">
        <v>672</v>
      </c>
      <c r="F87" s="20" t="s">
        <v>667</v>
      </c>
      <c r="G87" s="8" t="str">
        <f t="shared" si="2"/>
        <v>BIRENBAUM THOMAS</v>
      </c>
      <c r="H87" s="20" t="str">
        <f t="shared" si="3"/>
        <v>4021</v>
      </c>
    </row>
    <row r="88" spans="1:8" x14ac:dyDescent="0.25">
      <c r="A88" s="8">
        <v>43070.434421296297</v>
      </c>
      <c r="B88" s="20" t="s">
        <v>586</v>
      </c>
      <c r="C88" s="20" t="s">
        <v>827</v>
      </c>
      <c r="D88" s="137">
        <v>3840000</v>
      </c>
      <c r="E88" s="20" t="s">
        <v>446</v>
      </c>
      <c r="F88" s="20" t="s">
        <v>447</v>
      </c>
      <c r="G88" s="8" t="str">
        <f t="shared" si="2"/>
        <v>LONG FULLER</v>
      </c>
      <c r="H88" s="20" t="str">
        <f t="shared" si="3"/>
        <v>4023</v>
      </c>
    </row>
    <row r="89" spans="1:8" x14ac:dyDescent="0.25">
      <c r="A89" s="8">
        <v>43070.43644675926</v>
      </c>
      <c r="B89" s="20" t="s">
        <v>738</v>
      </c>
      <c r="C89" s="20" t="s">
        <v>828</v>
      </c>
      <c r="D89" s="137">
        <v>2560000</v>
      </c>
      <c r="E89" s="20" t="s">
        <v>666</v>
      </c>
      <c r="F89" s="20" t="s">
        <v>667</v>
      </c>
      <c r="G89" s="8" t="str">
        <f t="shared" si="2"/>
        <v>MACDONALD THOMAS</v>
      </c>
      <c r="H89" s="20" t="str">
        <f t="shared" si="3"/>
        <v>4046</v>
      </c>
    </row>
    <row r="90" spans="1:8" x14ac:dyDescent="0.25">
      <c r="A90" s="8">
        <v>43070.445729166669</v>
      </c>
      <c r="B90" s="20" t="s">
        <v>829</v>
      </c>
      <c r="C90" s="20" t="s">
        <v>749</v>
      </c>
      <c r="D90" s="137">
        <v>2040000</v>
      </c>
      <c r="E90" s="20" t="s">
        <v>383</v>
      </c>
      <c r="F90" s="20" t="s">
        <v>384</v>
      </c>
      <c r="G90" s="8" t="str">
        <f t="shared" si="2"/>
        <v>MOSES BRADLEY</v>
      </c>
      <c r="H90" s="20" t="str">
        <f t="shared" si="3"/>
        <v>4057</v>
      </c>
    </row>
    <row r="91" spans="1:8" x14ac:dyDescent="0.25">
      <c r="A91" s="8">
        <v>43070.445810185185</v>
      </c>
      <c r="B91" s="20" t="s">
        <v>477</v>
      </c>
      <c r="C91" s="20" t="s">
        <v>830</v>
      </c>
      <c r="D91" s="137">
        <v>2550000</v>
      </c>
      <c r="E91" s="20" t="s">
        <v>592</v>
      </c>
      <c r="F91" s="20" t="s">
        <v>593</v>
      </c>
      <c r="G91" s="8" t="str">
        <f t="shared" si="2"/>
        <v>BADERTSCHER DIANE</v>
      </c>
      <c r="H91" s="20" t="str">
        <f t="shared" si="3"/>
        <v>4002</v>
      </c>
    </row>
    <row r="92" spans="1:8" x14ac:dyDescent="0.25">
      <c r="A92" s="8">
        <v>43070.446574074071</v>
      </c>
      <c r="B92" s="20" t="s">
        <v>829</v>
      </c>
      <c r="C92" s="20" t="s">
        <v>749</v>
      </c>
      <c r="D92" s="137">
        <v>2040000</v>
      </c>
      <c r="E92" s="20" t="s">
        <v>383</v>
      </c>
      <c r="F92" s="20" t="s">
        <v>384</v>
      </c>
      <c r="G92" s="8" t="str">
        <f t="shared" si="2"/>
        <v>MOSES BRADLEY</v>
      </c>
      <c r="H92" s="20" t="str">
        <f t="shared" si="3"/>
        <v>4057</v>
      </c>
    </row>
    <row r="93" spans="1:8" x14ac:dyDescent="0.25">
      <c r="A93" s="8">
        <v>43070.447546296295</v>
      </c>
      <c r="B93" s="20" t="s">
        <v>829</v>
      </c>
      <c r="C93" s="20" t="s">
        <v>749</v>
      </c>
      <c r="D93" s="137">
        <v>2040000</v>
      </c>
      <c r="E93" s="20" t="s">
        <v>383</v>
      </c>
      <c r="F93" s="20" t="s">
        <v>384</v>
      </c>
      <c r="G93" s="8" t="str">
        <f t="shared" si="2"/>
        <v>MOSES BRADLEY</v>
      </c>
      <c r="H93" s="20" t="str">
        <f t="shared" si="3"/>
        <v>4057</v>
      </c>
    </row>
    <row r="94" spans="1:8" x14ac:dyDescent="0.25">
      <c r="A94" s="8">
        <v>43070.45045138889</v>
      </c>
      <c r="B94" s="20" t="s">
        <v>741</v>
      </c>
      <c r="C94" s="20" t="s">
        <v>831</v>
      </c>
      <c r="D94" s="137">
        <v>2440000</v>
      </c>
      <c r="E94" s="20" t="s">
        <v>516</v>
      </c>
      <c r="F94" s="20" t="s">
        <v>517</v>
      </c>
      <c r="G94" s="8" t="str">
        <f t="shared" si="2"/>
        <v>LOPES KIMBERLY</v>
      </c>
      <c r="H94" s="20" t="str">
        <f t="shared" si="3"/>
        <v>4019</v>
      </c>
    </row>
    <row r="95" spans="1:8" x14ac:dyDescent="0.25">
      <c r="A95" s="8">
        <v>43070.454988425925</v>
      </c>
      <c r="B95" s="20" t="s">
        <v>744</v>
      </c>
      <c r="C95" s="20" t="s">
        <v>832</v>
      </c>
      <c r="D95" s="137">
        <v>3790000</v>
      </c>
      <c r="E95" s="20" t="s">
        <v>442</v>
      </c>
      <c r="F95" s="20" t="s">
        <v>443</v>
      </c>
      <c r="G95" s="8" t="str">
        <f t="shared" si="2"/>
        <v>NICHOLAS PLOYSA</v>
      </c>
      <c r="H95" s="20" t="str">
        <f t="shared" si="3"/>
        <v>4050</v>
      </c>
    </row>
    <row r="96" spans="1:8" x14ac:dyDescent="0.25">
      <c r="A96" s="8">
        <v>43070.458414351851</v>
      </c>
      <c r="B96" s="20" t="s">
        <v>375</v>
      </c>
      <c r="C96" s="20" t="s">
        <v>833</v>
      </c>
      <c r="D96" s="137">
        <v>3030000</v>
      </c>
      <c r="E96" s="20" t="s">
        <v>672</v>
      </c>
      <c r="F96" s="20" t="s">
        <v>667</v>
      </c>
      <c r="G96" s="8" t="str">
        <f t="shared" si="2"/>
        <v>BIRENBAUM THOMAS</v>
      </c>
      <c r="H96" s="20" t="str">
        <f t="shared" si="3"/>
        <v>4022</v>
      </c>
    </row>
    <row r="97" spans="1:8" x14ac:dyDescent="0.25">
      <c r="A97" s="8">
        <v>43070.463368055556</v>
      </c>
      <c r="B97" s="20" t="s">
        <v>513</v>
      </c>
      <c r="C97" s="20" t="s">
        <v>834</v>
      </c>
      <c r="D97" s="137">
        <v>3040000</v>
      </c>
      <c r="E97" s="20" t="s">
        <v>366</v>
      </c>
      <c r="F97" s="20" t="s">
        <v>429</v>
      </c>
      <c r="G97" s="8" t="str">
        <f t="shared" si="2"/>
        <v>WILLIAMS DONTE</v>
      </c>
      <c r="H97" s="20" t="str">
        <f t="shared" si="3"/>
        <v>4005</v>
      </c>
    </row>
    <row r="98" spans="1:8" x14ac:dyDescent="0.25">
      <c r="A98" s="8">
        <v>43070.465983796297</v>
      </c>
      <c r="B98" s="20" t="s">
        <v>584</v>
      </c>
      <c r="C98" s="20" t="s">
        <v>835</v>
      </c>
      <c r="D98" s="137">
        <v>2630000</v>
      </c>
      <c r="E98" s="20" t="s">
        <v>669</v>
      </c>
      <c r="F98" s="20" t="s">
        <v>670</v>
      </c>
      <c r="G98" s="8" t="str">
        <f t="shared" si="2"/>
        <v>SAFIEF AEIMEN</v>
      </c>
      <c r="H98" s="20" t="str">
        <f t="shared" si="3"/>
        <v>4040</v>
      </c>
    </row>
    <row r="99" spans="1:8" x14ac:dyDescent="0.25">
      <c r="A99" s="8">
        <v>43070.474999999999</v>
      </c>
      <c r="B99" s="20" t="s">
        <v>729</v>
      </c>
      <c r="C99" s="20" t="s">
        <v>836</v>
      </c>
      <c r="D99" s="137">
        <v>2560000</v>
      </c>
      <c r="E99" s="20" t="s">
        <v>666</v>
      </c>
      <c r="F99" s="20" t="s">
        <v>667</v>
      </c>
      <c r="G99" s="8" t="str">
        <f t="shared" si="2"/>
        <v>MACDONALD THOMAS</v>
      </c>
      <c r="H99" s="20" t="str">
        <f t="shared" si="3"/>
        <v>4045</v>
      </c>
    </row>
    <row r="100" spans="1:8" x14ac:dyDescent="0.25">
      <c r="A100" s="8">
        <v>43070.475208333337</v>
      </c>
      <c r="B100" s="20" t="s">
        <v>441</v>
      </c>
      <c r="C100" s="20" t="s">
        <v>837</v>
      </c>
      <c r="D100" s="137">
        <v>3030000</v>
      </c>
      <c r="E100" s="20" t="s">
        <v>672</v>
      </c>
      <c r="F100" s="20" t="s">
        <v>667</v>
      </c>
      <c r="G100" s="8" t="str">
        <f t="shared" si="2"/>
        <v>BIRENBAUM THOMAS</v>
      </c>
      <c r="H100" s="20" t="str">
        <f t="shared" si="3"/>
        <v>4021</v>
      </c>
    </row>
    <row r="101" spans="1:8" x14ac:dyDescent="0.25">
      <c r="A101" s="8">
        <v>43070.476782407408</v>
      </c>
      <c r="B101" s="20" t="s">
        <v>587</v>
      </c>
      <c r="C101" s="20" t="s">
        <v>838</v>
      </c>
      <c r="D101" s="137">
        <v>1770000</v>
      </c>
      <c r="E101" s="20" t="s">
        <v>480</v>
      </c>
      <c r="F101" s="20" t="s">
        <v>481</v>
      </c>
      <c r="G101" s="8" t="str">
        <f t="shared" si="2"/>
        <v>BRUDER RICHARD</v>
      </c>
      <c r="H101" s="20" t="str">
        <f t="shared" si="3"/>
        <v>4024</v>
      </c>
    </row>
    <row r="102" spans="1:8" x14ac:dyDescent="0.25">
      <c r="A102" s="8">
        <v>43070.479317129626</v>
      </c>
      <c r="B102" s="20" t="s">
        <v>479</v>
      </c>
      <c r="C102" s="20" t="s">
        <v>749</v>
      </c>
      <c r="D102" s="137">
        <v>1100000</v>
      </c>
      <c r="E102" s="20" t="s">
        <v>839</v>
      </c>
      <c r="F102" s="20" t="s">
        <v>840</v>
      </c>
      <c r="G102" s="8" t="str">
        <f t="shared" si="2"/>
        <v>GEBRETEKLE DAGNEW</v>
      </c>
      <c r="H102" s="20" t="str">
        <f t="shared" si="3"/>
        <v>4058</v>
      </c>
    </row>
    <row r="103" spans="1:8" x14ac:dyDescent="0.25">
      <c r="A103" s="8">
        <v>43070.483807870369</v>
      </c>
      <c r="B103" s="20" t="s">
        <v>478</v>
      </c>
      <c r="C103" s="20" t="s">
        <v>841</v>
      </c>
      <c r="D103" s="137">
        <v>2550000</v>
      </c>
      <c r="E103" s="20" t="s">
        <v>592</v>
      </c>
      <c r="F103" s="20" t="s">
        <v>593</v>
      </c>
      <c r="G103" s="8" t="str">
        <f t="shared" si="2"/>
        <v>BADERTSCHER DIANE</v>
      </c>
      <c r="H103" s="20" t="str">
        <f t="shared" si="3"/>
        <v>4001</v>
      </c>
    </row>
    <row r="104" spans="1:8" x14ac:dyDescent="0.25">
      <c r="A104" s="8">
        <v>43070.486030092594</v>
      </c>
      <c r="B104" s="20" t="s">
        <v>762</v>
      </c>
      <c r="C104" s="20" t="s">
        <v>842</v>
      </c>
      <c r="D104" s="137">
        <v>1180000</v>
      </c>
      <c r="E104" s="20" t="s">
        <v>843</v>
      </c>
      <c r="F104" s="20" t="s">
        <v>844</v>
      </c>
      <c r="G104" s="8" t="str">
        <f t="shared" si="2"/>
        <v>LEVERE CRAIG</v>
      </c>
      <c r="H104" s="20" t="str">
        <f t="shared" si="3"/>
        <v>4020</v>
      </c>
    </row>
    <row r="105" spans="1:8" x14ac:dyDescent="0.25">
      <c r="A105" s="8">
        <v>43070.487372685187</v>
      </c>
      <c r="B105" s="20" t="s">
        <v>733</v>
      </c>
      <c r="C105" s="20" t="s">
        <v>845</v>
      </c>
      <c r="D105" s="137">
        <v>3790000</v>
      </c>
      <c r="E105" s="20" t="s">
        <v>442</v>
      </c>
      <c r="F105" s="20" t="s">
        <v>443</v>
      </c>
      <c r="G105" s="8" t="str">
        <f t="shared" si="2"/>
        <v>NICHOLAS PLOYSA</v>
      </c>
      <c r="H105" s="20" t="str">
        <f t="shared" si="3"/>
        <v>4049</v>
      </c>
    </row>
    <row r="106" spans="1:8" x14ac:dyDescent="0.25">
      <c r="A106" s="8">
        <v>43070.49726851852</v>
      </c>
      <c r="B106" s="20" t="s">
        <v>518</v>
      </c>
      <c r="C106" s="20" t="s">
        <v>846</v>
      </c>
      <c r="D106" s="137">
        <v>3000000</v>
      </c>
      <c r="E106" s="20" t="s">
        <v>519</v>
      </c>
      <c r="F106" s="20" t="s">
        <v>520</v>
      </c>
      <c r="G106" s="8" t="str">
        <f t="shared" si="2"/>
        <v>FORTUNATO FRANK</v>
      </c>
      <c r="H106" s="20" t="str">
        <f t="shared" si="3"/>
        <v>4006</v>
      </c>
    </row>
    <row r="107" spans="1:8" x14ac:dyDescent="0.25">
      <c r="A107" s="8">
        <v>43070.497916666667</v>
      </c>
      <c r="B107" s="20" t="s">
        <v>375</v>
      </c>
      <c r="C107" s="20" t="s">
        <v>847</v>
      </c>
      <c r="D107" s="137">
        <v>3030000</v>
      </c>
      <c r="E107" s="20" t="s">
        <v>672</v>
      </c>
      <c r="F107" s="20" t="s">
        <v>667</v>
      </c>
      <c r="G107" s="8" t="str">
        <f t="shared" si="2"/>
        <v>BIRENBAUM THOMAS</v>
      </c>
      <c r="H107" s="20" t="str">
        <f t="shared" si="3"/>
        <v>4022</v>
      </c>
    </row>
    <row r="108" spans="1:8" x14ac:dyDescent="0.25">
      <c r="A108" s="8">
        <v>43070.500925925924</v>
      </c>
      <c r="B108" s="20" t="s">
        <v>583</v>
      </c>
      <c r="C108" s="20" t="s">
        <v>848</v>
      </c>
      <c r="D108" s="137">
        <v>2630000</v>
      </c>
      <c r="E108" s="20" t="s">
        <v>669</v>
      </c>
      <c r="F108" s="20" t="s">
        <v>670</v>
      </c>
      <c r="G108" s="8" t="str">
        <f t="shared" si="2"/>
        <v>SAFIEF AEIMEN</v>
      </c>
      <c r="H108" s="20" t="str">
        <f t="shared" si="3"/>
        <v>4039</v>
      </c>
    </row>
    <row r="109" spans="1:8" x14ac:dyDescent="0.25">
      <c r="A109" s="8">
        <v>43070.508344907408</v>
      </c>
      <c r="B109" s="20" t="s">
        <v>738</v>
      </c>
      <c r="C109" s="20" t="s">
        <v>849</v>
      </c>
      <c r="D109" s="137">
        <v>1300000</v>
      </c>
      <c r="E109" s="20" t="s">
        <v>482</v>
      </c>
      <c r="F109" s="20" t="s">
        <v>483</v>
      </c>
      <c r="G109" s="8" t="str">
        <f t="shared" si="2"/>
        <v>LEVIN SCOTT</v>
      </c>
      <c r="H109" s="20" t="str">
        <f t="shared" si="3"/>
        <v>4046</v>
      </c>
    </row>
    <row r="110" spans="1:8" x14ac:dyDescent="0.25">
      <c r="A110" s="8">
        <v>43070.516319444447</v>
      </c>
      <c r="B110" s="20" t="s">
        <v>586</v>
      </c>
      <c r="C110" s="20" t="s">
        <v>850</v>
      </c>
      <c r="D110" s="137">
        <v>1770000</v>
      </c>
      <c r="E110" s="20" t="s">
        <v>480</v>
      </c>
      <c r="F110" s="20" t="s">
        <v>481</v>
      </c>
      <c r="G110" s="8" t="str">
        <f t="shared" si="2"/>
        <v>BRUDER RICHARD</v>
      </c>
      <c r="H110" s="20" t="str">
        <f t="shared" si="3"/>
        <v>4023</v>
      </c>
    </row>
    <row r="111" spans="1:8" x14ac:dyDescent="0.25">
      <c r="A111" s="8">
        <v>43070.517175925925</v>
      </c>
      <c r="B111" s="20" t="s">
        <v>477</v>
      </c>
      <c r="C111" s="20" t="s">
        <v>851</v>
      </c>
      <c r="D111" s="137">
        <v>2550000</v>
      </c>
      <c r="E111" s="20" t="s">
        <v>592</v>
      </c>
      <c r="F111" s="20" t="s">
        <v>593</v>
      </c>
      <c r="G111" s="8" t="str">
        <f t="shared" si="2"/>
        <v>BADERTSCHER DIANE</v>
      </c>
      <c r="H111" s="20" t="str">
        <f t="shared" si="3"/>
        <v>4002</v>
      </c>
    </row>
    <row r="112" spans="1:8" x14ac:dyDescent="0.25">
      <c r="A112" s="8">
        <v>43070.517337962963</v>
      </c>
      <c r="B112" s="20" t="s">
        <v>441</v>
      </c>
      <c r="C112" s="20" t="s">
        <v>852</v>
      </c>
      <c r="D112" s="137">
        <v>3030000</v>
      </c>
      <c r="E112" s="20" t="s">
        <v>672</v>
      </c>
      <c r="F112" s="20" t="s">
        <v>667</v>
      </c>
      <c r="G112" s="8" t="str">
        <f t="shared" si="2"/>
        <v>BIRENBAUM THOMAS</v>
      </c>
      <c r="H112" s="20" t="str">
        <f t="shared" si="3"/>
        <v>4021</v>
      </c>
    </row>
    <row r="113" spans="1:8" x14ac:dyDescent="0.25">
      <c r="A113" s="8">
        <v>43070.523495370369</v>
      </c>
      <c r="B113" s="20" t="s">
        <v>741</v>
      </c>
      <c r="C113" s="20" t="s">
        <v>853</v>
      </c>
      <c r="D113" s="137">
        <v>1180000</v>
      </c>
      <c r="E113" s="20" t="s">
        <v>843</v>
      </c>
      <c r="F113" s="20" t="s">
        <v>844</v>
      </c>
      <c r="G113" s="8" t="str">
        <f t="shared" si="2"/>
        <v>LEVERE CRAIG</v>
      </c>
      <c r="H113" s="20" t="str">
        <f t="shared" si="3"/>
        <v>4019</v>
      </c>
    </row>
    <row r="114" spans="1:8" x14ac:dyDescent="0.25">
      <c r="A114" s="8">
        <v>43070.527094907404</v>
      </c>
      <c r="B114" s="20" t="s">
        <v>513</v>
      </c>
      <c r="C114" s="20" t="s">
        <v>854</v>
      </c>
      <c r="D114" s="137">
        <v>3000000</v>
      </c>
      <c r="E114" s="20" t="s">
        <v>519</v>
      </c>
      <c r="F114" s="20" t="s">
        <v>520</v>
      </c>
      <c r="G114" s="8" t="str">
        <f t="shared" si="2"/>
        <v>FORTUNATO FRANK</v>
      </c>
      <c r="H114" s="20" t="str">
        <f t="shared" si="3"/>
        <v>4005</v>
      </c>
    </row>
    <row r="115" spans="1:8" x14ac:dyDescent="0.25">
      <c r="A115" s="8">
        <v>43070.528865740744</v>
      </c>
      <c r="B115" s="20" t="s">
        <v>744</v>
      </c>
      <c r="C115" s="20" t="s">
        <v>855</v>
      </c>
      <c r="D115" s="137">
        <v>2420000</v>
      </c>
      <c r="E115" s="20" t="s">
        <v>523</v>
      </c>
      <c r="F115" s="20" t="s">
        <v>524</v>
      </c>
      <c r="G115" s="8" t="str">
        <f t="shared" si="2"/>
        <v>HOLCOMB KAMDEN</v>
      </c>
      <c r="H115" s="20" t="str">
        <f t="shared" si="3"/>
        <v>4050</v>
      </c>
    </row>
    <row r="116" spans="1:8" x14ac:dyDescent="0.25">
      <c r="A116" s="8">
        <v>43070.539375</v>
      </c>
      <c r="B116" s="20" t="s">
        <v>584</v>
      </c>
      <c r="C116" s="20" t="s">
        <v>856</v>
      </c>
      <c r="D116" s="137">
        <v>2630000</v>
      </c>
      <c r="E116" s="20" t="s">
        <v>669</v>
      </c>
      <c r="F116" s="20" t="s">
        <v>670</v>
      </c>
      <c r="G116" s="8" t="str">
        <f t="shared" si="2"/>
        <v>SAFIEF AEIMEN</v>
      </c>
      <c r="H116" s="20" t="str">
        <f t="shared" si="3"/>
        <v>4040</v>
      </c>
    </row>
    <row r="117" spans="1:8" x14ac:dyDescent="0.25">
      <c r="A117" s="8">
        <v>43070.540543981479</v>
      </c>
      <c r="B117" s="20" t="s">
        <v>375</v>
      </c>
      <c r="C117" s="20" t="s">
        <v>857</v>
      </c>
      <c r="D117" s="137">
        <v>2350000</v>
      </c>
      <c r="E117" s="20" t="s">
        <v>521</v>
      </c>
      <c r="F117" s="20" t="s">
        <v>522</v>
      </c>
      <c r="G117" s="8" t="str">
        <f t="shared" si="2"/>
        <v>BERLING GARY</v>
      </c>
      <c r="H117" s="20" t="str">
        <f t="shared" si="3"/>
        <v>4022</v>
      </c>
    </row>
    <row r="118" spans="1:8" x14ac:dyDescent="0.25">
      <c r="A118" s="8">
        <v>43070.54314814815</v>
      </c>
      <c r="B118" s="20" t="s">
        <v>729</v>
      </c>
      <c r="C118" s="20" t="s">
        <v>858</v>
      </c>
      <c r="D118" s="137">
        <v>1300000</v>
      </c>
      <c r="E118" s="20" t="s">
        <v>482</v>
      </c>
      <c r="F118" s="20" t="s">
        <v>483</v>
      </c>
      <c r="G118" s="8" t="str">
        <f t="shared" si="2"/>
        <v>LEVIN SCOTT</v>
      </c>
      <c r="H118" s="20" t="str">
        <f t="shared" si="3"/>
        <v>4045</v>
      </c>
    </row>
    <row r="119" spans="1:8" x14ac:dyDescent="0.25">
      <c r="A119" s="8">
        <v>43070.549143518518</v>
      </c>
      <c r="B119" s="20" t="s">
        <v>587</v>
      </c>
      <c r="C119" s="20" t="s">
        <v>859</v>
      </c>
      <c r="D119" s="137">
        <v>1770000</v>
      </c>
      <c r="E119" s="20" t="s">
        <v>480</v>
      </c>
      <c r="F119" s="20" t="s">
        <v>481</v>
      </c>
      <c r="G119" s="8" t="str">
        <f t="shared" si="2"/>
        <v>BRUDER RICHARD</v>
      </c>
      <c r="H119" s="20" t="str">
        <f t="shared" si="3"/>
        <v>4024</v>
      </c>
    </row>
    <row r="120" spans="1:8" x14ac:dyDescent="0.25">
      <c r="A120" s="8">
        <v>43070.553900462961</v>
      </c>
      <c r="B120" s="20" t="s">
        <v>478</v>
      </c>
      <c r="C120" s="20" t="s">
        <v>860</v>
      </c>
      <c r="D120" s="137">
        <v>2550000</v>
      </c>
      <c r="E120" s="20" t="s">
        <v>592</v>
      </c>
      <c r="F120" s="20" t="s">
        <v>593</v>
      </c>
      <c r="G120" s="8" t="str">
        <f t="shared" si="2"/>
        <v>BADERTSCHER DIANE</v>
      </c>
      <c r="H120" s="20" t="str">
        <f t="shared" si="3"/>
        <v>4001</v>
      </c>
    </row>
    <row r="121" spans="1:8" x14ac:dyDescent="0.25">
      <c r="A121" s="8">
        <v>43070.557245370372</v>
      </c>
      <c r="B121" s="20" t="s">
        <v>762</v>
      </c>
      <c r="C121" s="20" t="s">
        <v>861</v>
      </c>
      <c r="D121" s="137">
        <v>1180000</v>
      </c>
      <c r="E121" s="20" t="s">
        <v>843</v>
      </c>
      <c r="F121" s="20" t="s">
        <v>844</v>
      </c>
      <c r="G121" s="8" t="str">
        <f t="shared" si="2"/>
        <v>LEVERE CRAIG</v>
      </c>
      <c r="H121" s="20" t="str">
        <f t="shared" si="3"/>
        <v>4020</v>
      </c>
    </row>
    <row r="122" spans="1:8" x14ac:dyDescent="0.25">
      <c r="A122" s="8">
        <v>43070.561041666668</v>
      </c>
      <c r="B122" s="25" t="s">
        <v>441</v>
      </c>
      <c r="C122" s="20" t="s">
        <v>732</v>
      </c>
      <c r="D122" s="137">
        <v>2350000</v>
      </c>
      <c r="E122" s="20" t="s">
        <v>521</v>
      </c>
      <c r="F122" s="20" t="s">
        <v>522</v>
      </c>
      <c r="G122" s="8" t="str">
        <f t="shared" si="2"/>
        <v>BERLING GARY</v>
      </c>
      <c r="H122" s="20" t="str">
        <f t="shared" si="3"/>
        <v>4021</v>
      </c>
    </row>
    <row r="123" spans="1:8" x14ac:dyDescent="0.25">
      <c r="A123" s="8">
        <v>43070.568333333336</v>
      </c>
      <c r="B123" s="20" t="s">
        <v>518</v>
      </c>
      <c r="C123" s="20" t="s">
        <v>862</v>
      </c>
      <c r="D123" s="137">
        <v>3000000</v>
      </c>
      <c r="E123" s="20" t="s">
        <v>519</v>
      </c>
      <c r="F123" s="20" t="s">
        <v>520</v>
      </c>
      <c r="G123" s="8" t="str">
        <f t="shared" si="2"/>
        <v>FORTUNATO FRANK</v>
      </c>
      <c r="H123" s="20" t="str">
        <f t="shared" si="3"/>
        <v>4006</v>
      </c>
    </row>
    <row r="124" spans="1:8" x14ac:dyDescent="0.25">
      <c r="A124" s="8">
        <v>43070.56858796296</v>
      </c>
      <c r="B124" s="20" t="s">
        <v>583</v>
      </c>
      <c r="C124" s="20" t="s">
        <v>735</v>
      </c>
      <c r="D124" s="137">
        <v>2630000</v>
      </c>
      <c r="E124" s="20" t="s">
        <v>669</v>
      </c>
      <c r="F124" s="20" t="s">
        <v>670</v>
      </c>
      <c r="G124" s="8" t="str">
        <f t="shared" si="2"/>
        <v>SAFIEF AEIMEN</v>
      </c>
      <c r="H124" s="20" t="str">
        <f t="shared" si="3"/>
        <v>4039</v>
      </c>
    </row>
    <row r="125" spans="1:8" x14ac:dyDescent="0.25">
      <c r="A125" s="8">
        <v>43070.568726851852</v>
      </c>
      <c r="B125" s="20" t="s">
        <v>733</v>
      </c>
      <c r="C125" s="20" t="s">
        <v>734</v>
      </c>
      <c r="D125" s="137">
        <v>2420000</v>
      </c>
      <c r="E125" s="20" t="s">
        <v>523</v>
      </c>
      <c r="F125" s="20" t="s">
        <v>524</v>
      </c>
      <c r="G125" s="8" t="str">
        <f t="shared" si="2"/>
        <v>HOLCOMB KAMDEN</v>
      </c>
      <c r="H125" s="20" t="str">
        <f t="shared" si="3"/>
        <v>4049</v>
      </c>
    </row>
    <row r="126" spans="1:8" x14ac:dyDescent="0.25">
      <c r="A126" s="8">
        <v>43070.580543981479</v>
      </c>
      <c r="B126" s="20" t="s">
        <v>738</v>
      </c>
      <c r="C126" s="20" t="s">
        <v>863</v>
      </c>
      <c r="D126" s="137">
        <v>1300000</v>
      </c>
      <c r="E126" s="20" t="s">
        <v>482</v>
      </c>
      <c r="F126" s="20" t="s">
        <v>483</v>
      </c>
      <c r="G126" s="8" t="str">
        <f t="shared" si="2"/>
        <v>LEVIN SCOTT</v>
      </c>
      <c r="H126" s="20" t="str">
        <f t="shared" si="3"/>
        <v>4046</v>
      </c>
    </row>
    <row r="127" spans="1:8" x14ac:dyDescent="0.25">
      <c r="A127" s="8">
        <v>43070.587094907409</v>
      </c>
      <c r="B127" s="20" t="s">
        <v>375</v>
      </c>
      <c r="C127" s="20" t="s">
        <v>864</v>
      </c>
      <c r="D127" s="137">
        <v>2350000</v>
      </c>
      <c r="E127" s="20" t="s">
        <v>521</v>
      </c>
      <c r="F127" s="20" t="s">
        <v>522</v>
      </c>
      <c r="G127" s="8" t="str">
        <f t="shared" si="2"/>
        <v>BERLING GARY</v>
      </c>
      <c r="H127" s="20" t="str">
        <f t="shared" si="3"/>
        <v>4022</v>
      </c>
    </row>
    <row r="128" spans="1:8" x14ac:dyDescent="0.25">
      <c r="A128" s="8">
        <v>43070.588761574072</v>
      </c>
      <c r="B128" s="20" t="s">
        <v>586</v>
      </c>
      <c r="C128" s="20" t="s">
        <v>865</v>
      </c>
      <c r="D128" s="137">
        <v>1770000</v>
      </c>
      <c r="E128" s="20" t="s">
        <v>480</v>
      </c>
      <c r="F128" s="20" t="s">
        <v>481</v>
      </c>
      <c r="G128" s="8" t="str">
        <f t="shared" si="2"/>
        <v>BRUDER RICHARD</v>
      </c>
      <c r="H128" s="20" t="str">
        <f t="shared" si="3"/>
        <v>4023</v>
      </c>
    </row>
    <row r="129" spans="1:8" x14ac:dyDescent="0.25">
      <c r="A129" s="8">
        <v>43070.590590277781</v>
      </c>
      <c r="B129" s="20" t="s">
        <v>477</v>
      </c>
      <c r="C129" s="20" t="s">
        <v>866</v>
      </c>
      <c r="D129" s="137">
        <v>2040000</v>
      </c>
      <c r="E129" s="20" t="s">
        <v>383</v>
      </c>
      <c r="F129" s="20" t="s">
        <v>384</v>
      </c>
      <c r="G129" s="8" t="str">
        <f t="shared" si="2"/>
        <v>MOSES BRADLEY</v>
      </c>
      <c r="H129" s="20" t="str">
        <f t="shared" si="3"/>
        <v>4002</v>
      </c>
    </row>
    <row r="130" spans="1:8" x14ac:dyDescent="0.25">
      <c r="A130" s="8">
        <v>43070.596979166665</v>
      </c>
      <c r="B130" s="20" t="s">
        <v>741</v>
      </c>
      <c r="C130" s="20" t="s">
        <v>867</v>
      </c>
      <c r="D130" s="137">
        <v>1180000</v>
      </c>
      <c r="E130" s="20" t="s">
        <v>843</v>
      </c>
      <c r="F130" s="20" t="s">
        <v>844</v>
      </c>
      <c r="G130" s="8" t="str">
        <f t="shared" si="2"/>
        <v>LEVERE CRAIG</v>
      </c>
      <c r="H130" s="20" t="str">
        <f t="shared" si="3"/>
        <v>4019</v>
      </c>
    </row>
    <row r="131" spans="1:8" x14ac:dyDescent="0.25">
      <c r="A131" s="8">
        <v>43070.59888888889</v>
      </c>
      <c r="B131" s="20" t="s">
        <v>583</v>
      </c>
      <c r="C131" s="20" t="s">
        <v>735</v>
      </c>
      <c r="D131" s="137">
        <v>2630000</v>
      </c>
      <c r="E131" s="20" t="s">
        <v>669</v>
      </c>
      <c r="F131" s="20" t="s">
        <v>670</v>
      </c>
      <c r="G131" s="8" t="str">
        <f t="shared" ref="G131:G194" si="4">E131&amp;" "&amp;F131</f>
        <v>SAFIEF AEIMEN</v>
      </c>
      <c r="H131" s="20" t="str">
        <f t="shared" ref="H131:H194" si="5">MID(B131,13,4)</f>
        <v>4039</v>
      </c>
    </row>
    <row r="132" spans="1:8" x14ac:dyDescent="0.25">
      <c r="A132" s="8">
        <v>43070.599131944444</v>
      </c>
      <c r="B132" s="20" t="s">
        <v>744</v>
      </c>
      <c r="C132" s="20" t="s">
        <v>868</v>
      </c>
      <c r="D132" s="137">
        <v>2420000</v>
      </c>
      <c r="E132" s="20" t="s">
        <v>523</v>
      </c>
      <c r="F132" s="20" t="s">
        <v>524</v>
      </c>
      <c r="G132" s="8" t="str">
        <f t="shared" si="4"/>
        <v>HOLCOMB KAMDEN</v>
      </c>
      <c r="H132" s="20" t="str">
        <f t="shared" si="5"/>
        <v>4050</v>
      </c>
    </row>
    <row r="133" spans="1:8" x14ac:dyDescent="0.25">
      <c r="A133" s="8">
        <v>43070.602326388886</v>
      </c>
      <c r="B133" s="20" t="s">
        <v>441</v>
      </c>
      <c r="C133" s="20" t="s">
        <v>869</v>
      </c>
      <c r="D133" s="137">
        <v>2350000</v>
      </c>
      <c r="E133" s="20" t="s">
        <v>521</v>
      </c>
      <c r="F133" s="20" t="s">
        <v>522</v>
      </c>
      <c r="G133" s="8" t="str">
        <f t="shared" si="4"/>
        <v>BERLING GARY</v>
      </c>
      <c r="H133" s="20" t="str">
        <f t="shared" si="5"/>
        <v>4021</v>
      </c>
    </row>
    <row r="134" spans="1:8" x14ac:dyDescent="0.25">
      <c r="A134" s="8">
        <v>43070.610324074078</v>
      </c>
      <c r="B134" s="20" t="s">
        <v>513</v>
      </c>
      <c r="C134" s="20" t="s">
        <v>736</v>
      </c>
      <c r="D134" s="137">
        <v>3000000</v>
      </c>
      <c r="E134" s="20" t="s">
        <v>519</v>
      </c>
      <c r="F134" s="20" t="s">
        <v>520</v>
      </c>
      <c r="G134" s="8" t="str">
        <f t="shared" si="4"/>
        <v>FORTUNATO FRANK</v>
      </c>
      <c r="H134" s="20" t="str">
        <f t="shared" si="5"/>
        <v>4005</v>
      </c>
    </row>
    <row r="135" spans="1:8" x14ac:dyDescent="0.25">
      <c r="A135" s="8">
        <v>43070.612627314818</v>
      </c>
      <c r="B135" s="20" t="s">
        <v>584</v>
      </c>
      <c r="C135" s="20" t="s">
        <v>870</v>
      </c>
      <c r="D135" s="137">
        <v>2630000</v>
      </c>
      <c r="E135" s="20" t="s">
        <v>669</v>
      </c>
      <c r="F135" s="20" t="s">
        <v>670</v>
      </c>
      <c r="G135" s="8" t="str">
        <f t="shared" si="4"/>
        <v>SAFIEF AEIMEN</v>
      </c>
      <c r="H135" s="20" t="str">
        <f t="shared" si="5"/>
        <v>4040</v>
      </c>
    </row>
    <row r="136" spans="1:8" x14ac:dyDescent="0.25">
      <c r="A136" s="8">
        <v>43070.616226851853</v>
      </c>
      <c r="B136" s="20" t="s">
        <v>729</v>
      </c>
      <c r="C136" s="20" t="s">
        <v>871</v>
      </c>
      <c r="D136" s="137">
        <v>1300000</v>
      </c>
      <c r="E136" s="20" t="s">
        <v>482</v>
      </c>
      <c r="F136" s="20" t="s">
        <v>483</v>
      </c>
      <c r="G136" s="8" t="str">
        <f t="shared" si="4"/>
        <v>LEVIN SCOTT</v>
      </c>
      <c r="H136" s="20" t="str">
        <f t="shared" si="5"/>
        <v>4045</v>
      </c>
    </row>
    <row r="137" spans="1:8" x14ac:dyDescent="0.25">
      <c r="A137" s="8">
        <v>43070.622060185182</v>
      </c>
      <c r="B137" s="20" t="s">
        <v>587</v>
      </c>
      <c r="C137" s="20" t="s">
        <v>872</v>
      </c>
      <c r="D137" s="137">
        <v>1770000</v>
      </c>
      <c r="E137" s="20" t="s">
        <v>480</v>
      </c>
      <c r="F137" s="20" t="s">
        <v>481</v>
      </c>
      <c r="G137" s="8" t="str">
        <f t="shared" si="4"/>
        <v>BRUDER RICHARD</v>
      </c>
      <c r="H137" s="20" t="str">
        <f t="shared" si="5"/>
        <v>4024</v>
      </c>
    </row>
    <row r="138" spans="1:8" x14ac:dyDescent="0.25">
      <c r="A138" s="8">
        <v>43070.627337962964</v>
      </c>
      <c r="B138" s="20" t="s">
        <v>375</v>
      </c>
      <c r="C138" s="20" t="s">
        <v>873</v>
      </c>
      <c r="D138" s="137">
        <v>2350000</v>
      </c>
      <c r="E138" s="20" t="s">
        <v>521</v>
      </c>
      <c r="F138" s="20" t="s">
        <v>522</v>
      </c>
      <c r="G138" s="8" t="str">
        <f t="shared" si="4"/>
        <v>BERLING GARY</v>
      </c>
      <c r="H138" s="20" t="str">
        <f t="shared" si="5"/>
        <v>4022</v>
      </c>
    </row>
    <row r="139" spans="1:8" x14ac:dyDescent="0.25">
      <c r="A139" s="8">
        <v>43070.63082175926</v>
      </c>
      <c r="B139" s="20" t="s">
        <v>762</v>
      </c>
      <c r="C139" s="20" t="s">
        <v>874</v>
      </c>
      <c r="D139" s="137">
        <v>1180000</v>
      </c>
      <c r="E139" s="20" t="s">
        <v>843</v>
      </c>
      <c r="F139" s="20" t="s">
        <v>844</v>
      </c>
      <c r="G139" s="8" t="str">
        <f t="shared" si="4"/>
        <v>LEVERE CRAIG</v>
      </c>
      <c r="H139" s="20" t="str">
        <f t="shared" si="5"/>
        <v>4020</v>
      </c>
    </row>
    <row r="140" spans="1:8" x14ac:dyDescent="0.25">
      <c r="A140" s="8">
        <v>43070.630844907406</v>
      </c>
      <c r="B140" s="20" t="s">
        <v>513</v>
      </c>
      <c r="C140" s="20" t="s">
        <v>736</v>
      </c>
      <c r="D140" s="137">
        <v>3000000</v>
      </c>
      <c r="E140" s="20" t="s">
        <v>519</v>
      </c>
      <c r="F140" s="20" t="s">
        <v>520</v>
      </c>
      <c r="G140" s="8" t="str">
        <f t="shared" si="4"/>
        <v>FORTUNATO FRANK</v>
      </c>
      <c r="H140" s="20" t="str">
        <f t="shared" si="5"/>
        <v>4005</v>
      </c>
    </row>
    <row r="141" spans="1:8" x14ac:dyDescent="0.25">
      <c r="A141" s="8">
        <v>43070.632141203707</v>
      </c>
      <c r="B141" s="20" t="s">
        <v>478</v>
      </c>
      <c r="C141" s="20" t="s">
        <v>875</v>
      </c>
      <c r="D141" s="137">
        <v>2040000</v>
      </c>
      <c r="E141" s="20" t="s">
        <v>383</v>
      </c>
      <c r="F141" s="20" t="s">
        <v>384</v>
      </c>
      <c r="G141" s="8" t="str">
        <f t="shared" si="4"/>
        <v>MOSES BRADLEY</v>
      </c>
      <c r="H141" s="20" t="str">
        <f t="shared" si="5"/>
        <v>4001</v>
      </c>
    </row>
    <row r="142" spans="1:8" x14ac:dyDescent="0.25">
      <c r="A142" s="8">
        <v>43070.639560185184</v>
      </c>
      <c r="B142" s="20" t="s">
        <v>733</v>
      </c>
      <c r="C142" s="20" t="s">
        <v>876</v>
      </c>
      <c r="D142" s="137">
        <v>2420000</v>
      </c>
      <c r="E142" s="20" t="s">
        <v>523</v>
      </c>
      <c r="F142" s="20" t="s">
        <v>524</v>
      </c>
      <c r="G142" s="8" t="str">
        <f t="shared" si="4"/>
        <v>HOLCOMB KAMDEN</v>
      </c>
      <c r="H142" s="20" t="str">
        <f t="shared" si="5"/>
        <v>4049</v>
      </c>
    </row>
    <row r="143" spans="1:8" x14ac:dyDescent="0.25">
      <c r="A143" s="8">
        <v>43070.640555555554</v>
      </c>
      <c r="B143" s="20" t="s">
        <v>665</v>
      </c>
      <c r="C143" s="20" t="s">
        <v>877</v>
      </c>
      <c r="D143" s="137">
        <v>2230000</v>
      </c>
      <c r="E143" s="20" t="s">
        <v>671</v>
      </c>
      <c r="F143" s="20" t="s">
        <v>353</v>
      </c>
      <c r="G143" s="8" t="str">
        <f t="shared" si="4"/>
        <v>SMITH MICHAEL</v>
      </c>
      <c r="H143" s="20" t="str">
        <f t="shared" si="5"/>
        <v>4015</v>
      </c>
    </row>
    <row r="144" spans="1:8" x14ac:dyDescent="0.25">
      <c r="A144" s="8">
        <v>43070.643136574072</v>
      </c>
      <c r="B144" s="20" t="s">
        <v>583</v>
      </c>
      <c r="C144" s="20" t="s">
        <v>878</v>
      </c>
      <c r="D144" s="137">
        <v>2630000</v>
      </c>
      <c r="E144" s="20" t="s">
        <v>669</v>
      </c>
      <c r="F144" s="20" t="s">
        <v>670</v>
      </c>
      <c r="G144" s="8" t="str">
        <f t="shared" si="4"/>
        <v>SAFIEF AEIMEN</v>
      </c>
      <c r="H144" s="20" t="str">
        <f t="shared" si="5"/>
        <v>4039</v>
      </c>
    </row>
    <row r="145" spans="1:8" x14ac:dyDescent="0.25">
      <c r="A145" s="8">
        <v>43070.643287037034</v>
      </c>
      <c r="B145" s="20" t="s">
        <v>441</v>
      </c>
      <c r="C145" s="20" t="s">
        <v>879</v>
      </c>
      <c r="D145" s="137">
        <v>2350000</v>
      </c>
      <c r="E145" s="20" t="s">
        <v>521</v>
      </c>
      <c r="F145" s="20" t="s">
        <v>522</v>
      </c>
      <c r="G145" s="8" t="str">
        <f t="shared" si="4"/>
        <v>BERLING GARY</v>
      </c>
      <c r="H145" s="20" t="str">
        <f t="shared" si="5"/>
        <v>4021</v>
      </c>
    </row>
    <row r="146" spans="1:8" x14ac:dyDescent="0.25">
      <c r="A146" s="8">
        <v>43070.64335648148</v>
      </c>
      <c r="B146" s="20" t="s">
        <v>518</v>
      </c>
      <c r="C146" s="20" t="s">
        <v>737</v>
      </c>
      <c r="D146" s="137">
        <v>3000000</v>
      </c>
      <c r="E146" s="20" t="s">
        <v>519</v>
      </c>
      <c r="F146" s="20" t="s">
        <v>520</v>
      </c>
      <c r="G146" s="8" t="str">
        <f t="shared" si="4"/>
        <v>FORTUNATO FRANK</v>
      </c>
      <c r="H146" s="20" t="str">
        <f t="shared" si="5"/>
        <v>4006</v>
      </c>
    </row>
    <row r="147" spans="1:8" x14ac:dyDescent="0.25">
      <c r="A147" s="8">
        <v>43070.650520833333</v>
      </c>
      <c r="B147" s="20" t="s">
        <v>668</v>
      </c>
      <c r="C147" s="20" t="s">
        <v>880</v>
      </c>
      <c r="D147" s="137">
        <v>2230000</v>
      </c>
      <c r="E147" s="20" t="s">
        <v>671</v>
      </c>
      <c r="F147" s="20" t="s">
        <v>353</v>
      </c>
      <c r="G147" s="8" t="str">
        <f t="shared" si="4"/>
        <v>SMITH MICHAEL</v>
      </c>
      <c r="H147" s="20" t="str">
        <f t="shared" si="5"/>
        <v>4016</v>
      </c>
    </row>
    <row r="148" spans="1:8" x14ac:dyDescent="0.25">
      <c r="A148" s="8">
        <v>43070.653645833336</v>
      </c>
      <c r="B148" s="20" t="s">
        <v>738</v>
      </c>
      <c r="C148" s="20" t="s">
        <v>739</v>
      </c>
      <c r="D148" s="137">
        <v>1300000</v>
      </c>
      <c r="E148" s="20" t="s">
        <v>482</v>
      </c>
      <c r="F148" s="20" t="s">
        <v>483</v>
      </c>
      <c r="G148" s="8" t="str">
        <f t="shared" si="4"/>
        <v>LEVIN SCOTT</v>
      </c>
      <c r="H148" s="20" t="str">
        <f t="shared" si="5"/>
        <v>4046</v>
      </c>
    </row>
    <row r="149" spans="1:8" x14ac:dyDescent="0.25">
      <c r="A149" s="8">
        <v>43070.661990740744</v>
      </c>
      <c r="B149" s="20" t="s">
        <v>586</v>
      </c>
      <c r="C149" s="20" t="s">
        <v>881</v>
      </c>
      <c r="D149" s="137">
        <v>1770000</v>
      </c>
      <c r="E149" s="20" t="s">
        <v>480</v>
      </c>
      <c r="F149" s="20" t="s">
        <v>481</v>
      </c>
      <c r="G149" s="8" t="str">
        <f t="shared" si="4"/>
        <v>BRUDER RICHARD</v>
      </c>
      <c r="H149" s="20" t="str">
        <f t="shared" si="5"/>
        <v>4023</v>
      </c>
    </row>
    <row r="150" spans="1:8" x14ac:dyDescent="0.25">
      <c r="A150" s="8">
        <v>43070.663599537038</v>
      </c>
      <c r="B150" s="20" t="s">
        <v>477</v>
      </c>
      <c r="C150" s="20" t="s">
        <v>882</v>
      </c>
      <c r="D150" s="137">
        <v>2550000</v>
      </c>
      <c r="E150" s="20" t="s">
        <v>592</v>
      </c>
      <c r="F150" s="20" t="s">
        <v>593</v>
      </c>
      <c r="G150" s="8" t="str">
        <f t="shared" si="4"/>
        <v>BADERTSCHER DIANE</v>
      </c>
      <c r="H150" s="20" t="str">
        <f t="shared" si="5"/>
        <v>4002</v>
      </c>
    </row>
    <row r="151" spans="1:8" x14ac:dyDescent="0.25">
      <c r="A151" s="8">
        <v>43070.665972222225</v>
      </c>
      <c r="B151" s="20" t="s">
        <v>665</v>
      </c>
      <c r="C151" s="20" t="s">
        <v>883</v>
      </c>
      <c r="D151" s="137">
        <v>2230000</v>
      </c>
      <c r="E151" s="20" t="s">
        <v>671</v>
      </c>
      <c r="F151" s="20" t="s">
        <v>353</v>
      </c>
      <c r="G151" s="8" t="str">
        <f t="shared" si="4"/>
        <v>SMITH MICHAEL</v>
      </c>
      <c r="H151" s="20" t="str">
        <f t="shared" si="5"/>
        <v>4015</v>
      </c>
    </row>
    <row r="152" spans="1:8" x14ac:dyDescent="0.25">
      <c r="A152" s="8">
        <v>43070.668564814812</v>
      </c>
      <c r="B152" s="20" t="s">
        <v>375</v>
      </c>
      <c r="C152" s="20" t="s">
        <v>884</v>
      </c>
      <c r="D152" s="137">
        <v>2350000</v>
      </c>
      <c r="E152" s="20" t="s">
        <v>521</v>
      </c>
      <c r="F152" s="20" t="s">
        <v>522</v>
      </c>
      <c r="G152" s="8" t="str">
        <f t="shared" si="4"/>
        <v>BERLING GARY</v>
      </c>
      <c r="H152" s="20" t="str">
        <f t="shared" si="5"/>
        <v>4022</v>
      </c>
    </row>
    <row r="153" spans="1:8" x14ac:dyDescent="0.25">
      <c r="A153" s="8">
        <v>43070.671307870369</v>
      </c>
      <c r="B153" s="20" t="s">
        <v>741</v>
      </c>
      <c r="C153" s="20" t="s">
        <v>885</v>
      </c>
      <c r="D153" s="137">
        <v>1180000</v>
      </c>
      <c r="E153" s="20" t="s">
        <v>843</v>
      </c>
      <c r="F153" s="20" t="s">
        <v>844</v>
      </c>
      <c r="G153" s="8" t="str">
        <f t="shared" si="4"/>
        <v>LEVERE CRAIG</v>
      </c>
      <c r="H153" s="20" t="str">
        <f t="shared" si="5"/>
        <v>4019</v>
      </c>
    </row>
    <row r="154" spans="1:8" x14ac:dyDescent="0.25">
      <c r="A154" s="8">
        <v>43070.673472222225</v>
      </c>
      <c r="B154" s="20" t="s">
        <v>513</v>
      </c>
      <c r="C154" s="20" t="s">
        <v>886</v>
      </c>
      <c r="D154" s="137">
        <v>3000000</v>
      </c>
      <c r="E154" s="20" t="s">
        <v>519</v>
      </c>
      <c r="F154" s="20" t="s">
        <v>520</v>
      </c>
      <c r="G154" s="8" t="str">
        <f t="shared" si="4"/>
        <v>FORTUNATO FRANK</v>
      </c>
      <c r="H154" s="20" t="str">
        <f t="shared" si="5"/>
        <v>4005</v>
      </c>
    </row>
    <row r="155" spans="1:8" x14ac:dyDescent="0.25">
      <c r="A155" s="8">
        <v>43070.675740740742</v>
      </c>
      <c r="B155" s="20" t="s">
        <v>744</v>
      </c>
      <c r="C155" s="20" t="s">
        <v>887</v>
      </c>
      <c r="D155" s="137">
        <v>2420000</v>
      </c>
      <c r="E155" s="20" t="s">
        <v>523</v>
      </c>
      <c r="F155" s="20" t="s">
        <v>524</v>
      </c>
      <c r="G155" s="8" t="str">
        <f t="shared" si="4"/>
        <v>HOLCOMB KAMDEN</v>
      </c>
      <c r="H155" s="20" t="str">
        <f t="shared" si="5"/>
        <v>4050</v>
      </c>
    </row>
    <row r="156" spans="1:8" x14ac:dyDescent="0.25">
      <c r="A156" s="8">
        <v>43070.685046296298</v>
      </c>
      <c r="B156" s="20" t="s">
        <v>428</v>
      </c>
      <c r="C156" s="20" t="s">
        <v>888</v>
      </c>
      <c r="D156" s="137">
        <v>1780000</v>
      </c>
      <c r="E156" s="20" t="s">
        <v>889</v>
      </c>
      <c r="F156" s="20" t="s">
        <v>890</v>
      </c>
      <c r="G156" s="8" t="str">
        <f t="shared" si="4"/>
        <v>DE LA ROSA ALEX</v>
      </c>
      <c r="H156" s="20" t="str">
        <f t="shared" si="5"/>
        <v>4026</v>
      </c>
    </row>
    <row r="157" spans="1:8" x14ac:dyDescent="0.25">
      <c r="A157" s="8">
        <v>43070.686145833337</v>
      </c>
      <c r="B157" s="20" t="s">
        <v>584</v>
      </c>
      <c r="C157" s="20" t="s">
        <v>891</v>
      </c>
      <c r="D157" s="137">
        <v>2630000</v>
      </c>
      <c r="E157" s="20" t="s">
        <v>669</v>
      </c>
      <c r="F157" s="20" t="s">
        <v>670</v>
      </c>
      <c r="G157" s="8" t="str">
        <f t="shared" si="4"/>
        <v>SAFIEF AEIMEN</v>
      </c>
      <c r="H157" s="20" t="str">
        <f t="shared" si="5"/>
        <v>4040</v>
      </c>
    </row>
    <row r="158" spans="1:8" x14ac:dyDescent="0.25">
      <c r="A158" s="8">
        <v>43070.686388888891</v>
      </c>
      <c r="B158" s="20" t="s">
        <v>668</v>
      </c>
      <c r="C158" s="20" t="s">
        <v>892</v>
      </c>
      <c r="D158" s="137">
        <v>2230000</v>
      </c>
      <c r="E158" s="20" t="s">
        <v>671</v>
      </c>
      <c r="F158" s="20" t="s">
        <v>353</v>
      </c>
      <c r="G158" s="8" t="str">
        <f t="shared" si="4"/>
        <v>SMITH MICHAEL</v>
      </c>
      <c r="H158" s="20" t="str">
        <f t="shared" si="5"/>
        <v>4016</v>
      </c>
    </row>
    <row r="159" spans="1:8" x14ac:dyDescent="0.25">
      <c r="A159" s="8">
        <v>43070.687025462961</v>
      </c>
      <c r="B159" s="20" t="s">
        <v>441</v>
      </c>
      <c r="C159" s="20" t="s">
        <v>893</v>
      </c>
      <c r="D159" s="137">
        <v>2350000</v>
      </c>
      <c r="E159" s="20" t="s">
        <v>521</v>
      </c>
      <c r="F159" s="20" t="s">
        <v>522</v>
      </c>
      <c r="G159" s="8" t="str">
        <f t="shared" si="4"/>
        <v>BERLING GARY</v>
      </c>
      <c r="H159" s="20" t="str">
        <f t="shared" si="5"/>
        <v>4021</v>
      </c>
    </row>
    <row r="160" spans="1:8" x14ac:dyDescent="0.25">
      <c r="A160" s="8">
        <v>43070.693622685183</v>
      </c>
      <c r="B160" s="20" t="s">
        <v>729</v>
      </c>
      <c r="C160" s="20" t="s">
        <v>894</v>
      </c>
      <c r="D160" s="137">
        <v>1300000</v>
      </c>
      <c r="E160" s="20" t="s">
        <v>482</v>
      </c>
      <c r="F160" s="20" t="s">
        <v>483</v>
      </c>
      <c r="G160" s="8" t="str">
        <f t="shared" si="4"/>
        <v>LEVIN SCOTT</v>
      </c>
      <c r="H160" s="20" t="str">
        <f t="shared" si="5"/>
        <v>4045</v>
      </c>
    </row>
    <row r="161" spans="1:8" x14ac:dyDescent="0.25">
      <c r="A161" s="8">
        <v>43070.694907407407</v>
      </c>
      <c r="B161" s="20" t="s">
        <v>587</v>
      </c>
      <c r="C161" s="20" t="s">
        <v>895</v>
      </c>
      <c r="D161" s="137">
        <v>1770000</v>
      </c>
      <c r="E161" s="20" t="s">
        <v>480</v>
      </c>
      <c r="F161" s="20" t="s">
        <v>481</v>
      </c>
      <c r="G161" s="8" t="str">
        <f t="shared" si="4"/>
        <v>BRUDER RICHARD</v>
      </c>
      <c r="H161" s="20" t="str">
        <f t="shared" si="5"/>
        <v>4024</v>
      </c>
    </row>
    <row r="162" spans="1:8" x14ac:dyDescent="0.25">
      <c r="A162" s="8">
        <v>43070.703657407408</v>
      </c>
      <c r="B162" s="20" t="s">
        <v>478</v>
      </c>
      <c r="C162" s="20" t="s">
        <v>896</v>
      </c>
      <c r="D162" s="137">
        <v>2550000</v>
      </c>
      <c r="E162" s="20" t="s">
        <v>592</v>
      </c>
      <c r="F162" s="20" t="s">
        <v>593</v>
      </c>
      <c r="G162" s="8" t="str">
        <f t="shared" si="4"/>
        <v>BADERTSCHER DIANE</v>
      </c>
      <c r="H162" s="20" t="str">
        <f t="shared" si="5"/>
        <v>4001</v>
      </c>
    </row>
    <row r="163" spans="1:8" x14ac:dyDescent="0.25">
      <c r="A163" s="8">
        <v>43070.705625000002</v>
      </c>
      <c r="B163" s="20" t="s">
        <v>762</v>
      </c>
      <c r="C163" s="20" t="s">
        <v>897</v>
      </c>
      <c r="D163" s="137">
        <v>1180000</v>
      </c>
      <c r="E163" s="20" t="s">
        <v>843</v>
      </c>
      <c r="F163" s="20" t="s">
        <v>844</v>
      </c>
      <c r="G163" s="8" t="str">
        <f t="shared" si="4"/>
        <v>LEVERE CRAIG</v>
      </c>
      <c r="H163" s="20" t="str">
        <f t="shared" si="5"/>
        <v>4020</v>
      </c>
    </row>
    <row r="164" spans="1:8" x14ac:dyDescent="0.25">
      <c r="A164" s="8">
        <v>43070.706574074073</v>
      </c>
      <c r="B164" s="20" t="s">
        <v>665</v>
      </c>
      <c r="C164" s="20" t="s">
        <v>898</v>
      </c>
      <c r="D164" s="137">
        <v>2230000</v>
      </c>
      <c r="E164" s="20" t="s">
        <v>671</v>
      </c>
      <c r="F164" s="20" t="s">
        <v>353</v>
      </c>
      <c r="G164" s="8" t="str">
        <f t="shared" si="4"/>
        <v>SMITH MICHAEL</v>
      </c>
      <c r="H164" s="20" t="str">
        <f t="shared" si="5"/>
        <v>4015</v>
      </c>
    </row>
    <row r="165" spans="1:8" x14ac:dyDescent="0.25">
      <c r="A165" s="8">
        <v>43070.711701388886</v>
      </c>
      <c r="B165" s="20" t="s">
        <v>375</v>
      </c>
      <c r="C165" s="20" t="s">
        <v>899</v>
      </c>
      <c r="D165" s="137">
        <v>2350000</v>
      </c>
      <c r="E165" s="20" t="s">
        <v>521</v>
      </c>
      <c r="F165" s="20" t="s">
        <v>522</v>
      </c>
      <c r="G165" s="8" t="str">
        <f t="shared" si="4"/>
        <v>BERLING GARY</v>
      </c>
      <c r="H165" s="20" t="str">
        <f t="shared" si="5"/>
        <v>4022</v>
      </c>
    </row>
    <row r="166" spans="1:8" x14ac:dyDescent="0.25">
      <c r="A166" s="8">
        <v>43070.713587962964</v>
      </c>
      <c r="B166" s="20" t="s">
        <v>518</v>
      </c>
      <c r="C166" s="20" t="s">
        <v>900</v>
      </c>
      <c r="D166" s="137">
        <v>3000000</v>
      </c>
      <c r="E166" s="20" t="s">
        <v>519</v>
      </c>
      <c r="F166" s="20" t="s">
        <v>520</v>
      </c>
      <c r="G166" s="8" t="str">
        <f t="shared" si="4"/>
        <v>FORTUNATO FRANK</v>
      </c>
      <c r="H166" s="20" t="str">
        <f t="shared" si="5"/>
        <v>4006</v>
      </c>
    </row>
    <row r="167" spans="1:8" x14ac:dyDescent="0.25">
      <c r="A167" s="8">
        <v>43070.715428240743</v>
      </c>
      <c r="B167" s="20" t="s">
        <v>733</v>
      </c>
      <c r="C167" s="20" t="s">
        <v>901</v>
      </c>
      <c r="D167" s="137">
        <v>2420000</v>
      </c>
      <c r="E167" s="20" t="s">
        <v>523</v>
      </c>
      <c r="F167" s="20" t="s">
        <v>524</v>
      </c>
      <c r="G167" s="8" t="str">
        <f t="shared" si="4"/>
        <v>HOLCOMB KAMDEN</v>
      </c>
      <c r="H167" s="20" t="str">
        <f t="shared" si="5"/>
        <v>4049</v>
      </c>
    </row>
    <row r="168" spans="1:8" x14ac:dyDescent="0.25">
      <c r="A168" s="8">
        <v>43070.716516203705</v>
      </c>
      <c r="B168" s="20" t="s">
        <v>583</v>
      </c>
      <c r="C168" s="20" t="s">
        <v>902</v>
      </c>
      <c r="D168" s="137">
        <v>2630000</v>
      </c>
      <c r="E168" s="20" t="s">
        <v>669</v>
      </c>
      <c r="F168" s="20" t="s">
        <v>670</v>
      </c>
      <c r="G168" s="8" t="str">
        <f t="shared" si="4"/>
        <v>SAFIEF AEIMEN</v>
      </c>
      <c r="H168" s="20" t="str">
        <f t="shared" si="5"/>
        <v>4039</v>
      </c>
    </row>
    <row r="169" spans="1:8" x14ac:dyDescent="0.25">
      <c r="A169" s="8">
        <v>43070.723483796297</v>
      </c>
      <c r="B169" s="20" t="s">
        <v>364</v>
      </c>
      <c r="C169" s="20" t="s">
        <v>903</v>
      </c>
      <c r="D169" s="137">
        <v>3330000</v>
      </c>
      <c r="E169" s="20" t="s">
        <v>673</v>
      </c>
      <c r="F169" s="20" t="s">
        <v>674</v>
      </c>
      <c r="G169" s="8" t="str">
        <f t="shared" si="4"/>
        <v>GONZALEZ ARMANDO</v>
      </c>
      <c r="H169" s="20" t="str">
        <f t="shared" si="5"/>
        <v>4036</v>
      </c>
    </row>
    <row r="170" spans="1:8" x14ac:dyDescent="0.25">
      <c r="A170" s="8">
        <v>43070.725671296299</v>
      </c>
      <c r="B170" s="20" t="s">
        <v>738</v>
      </c>
      <c r="C170" s="20" t="s">
        <v>904</v>
      </c>
      <c r="D170" s="137">
        <v>1300000</v>
      </c>
      <c r="E170" s="20" t="s">
        <v>482</v>
      </c>
      <c r="F170" s="20" t="s">
        <v>483</v>
      </c>
      <c r="G170" s="8" t="str">
        <f t="shared" si="4"/>
        <v>LEVIN SCOTT</v>
      </c>
      <c r="H170" s="20" t="str">
        <f t="shared" si="5"/>
        <v>4046</v>
      </c>
    </row>
    <row r="171" spans="1:8" x14ac:dyDescent="0.25">
      <c r="A171" s="8">
        <v>43070.728715277779</v>
      </c>
      <c r="B171" s="20" t="s">
        <v>441</v>
      </c>
      <c r="C171" s="20" t="s">
        <v>905</v>
      </c>
      <c r="D171" s="137">
        <v>2350000</v>
      </c>
      <c r="E171" s="20" t="s">
        <v>521</v>
      </c>
      <c r="F171" s="20" t="s">
        <v>522</v>
      </c>
      <c r="G171" s="8" t="str">
        <f t="shared" si="4"/>
        <v>BERLING GARY</v>
      </c>
      <c r="H171" s="20" t="str">
        <f t="shared" si="5"/>
        <v>4021</v>
      </c>
    </row>
    <row r="172" spans="1:8" x14ac:dyDescent="0.25">
      <c r="A172" s="8">
        <v>43070.729189814818</v>
      </c>
      <c r="B172" s="20" t="s">
        <v>668</v>
      </c>
      <c r="C172" s="20" t="s">
        <v>906</v>
      </c>
      <c r="D172" s="137">
        <v>2230000</v>
      </c>
      <c r="E172" s="20" t="s">
        <v>671</v>
      </c>
      <c r="F172" s="20" t="s">
        <v>353</v>
      </c>
      <c r="G172" s="8" t="str">
        <f t="shared" si="4"/>
        <v>SMITH MICHAEL</v>
      </c>
      <c r="H172" s="20" t="str">
        <f t="shared" si="5"/>
        <v>4016</v>
      </c>
    </row>
    <row r="173" spans="1:8" x14ac:dyDescent="0.25">
      <c r="A173" s="8">
        <v>43070.734525462962</v>
      </c>
      <c r="B173" s="20" t="s">
        <v>586</v>
      </c>
      <c r="C173" s="20" t="s">
        <v>907</v>
      </c>
      <c r="D173" s="137">
        <v>1770000</v>
      </c>
      <c r="E173" s="20" t="s">
        <v>480</v>
      </c>
      <c r="F173" s="20" t="s">
        <v>481</v>
      </c>
      <c r="G173" s="8" t="str">
        <f t="shared" si="4"/>
        <v>BRUDER RICHARD</v>
      </c>
      <c r="H173" s="20" t="str">
        <f t="shared" si="5"/>
        <v>4023</v>
      </c>
    </row>
    <row r="174" spans="1:8" x14ac:dyDescent="0.25">
      <c r="A174" s="8">
        <v>43070.736666666664</v>
      </c>
      <c r="B174" s="20" t="s">
        <v>477</v>
      </c>
      <c r="C174" s="20" t="s">
        <v>740</v>
      </c>
      <c r="D174" s="137">
        <v>2600000</v>
      </c>
      <c r="E174" s="20" t="s">
        <v>445</v>
      </c>
      <c r="F174" s="20" t="s">
        <v>414</v>
      </c>
      <c r="G174" s="8" t="str">
        <f t="shared" si="4"/>
        <v>DAVIDSON DAVID</v>
      </c>
      <c r="H174" s="20" t="str">
        <f t="shared" si="5"/>
        <v>4002</v>
      </c>
    </row>
    <row r="175" spans="1:8" x14ac:dyDescent="0.25">
      <c r="A175" s="8">
        <v>43070.741655092592</v>
      </c>
      <c r="B175" s="20" t="s">
        <v>741</v>
      </c>
      <c r="C175" s="20" t="s">
        <v>742</v>
      </c>
      <c r="D175" s="137">
        <v>1180000</v>
      </c>
      <c r="E175" s="20" t="s">
        <v>843</v>
      </c>
      <c r="F175" s="20" t="s">
        <v>844</v>
      </c>
      <c r="G175" s="8" t="str">
        <f t="shared" si="4"/>
        <v>LEVERE CRAIG</v>
      </c>
      <c r="H175" s="20" t="str">
        <f t="shared" si="5"/>
        <v>4019</v>
      </c>
    </row>
    <row r="176" spans="1:8" x14ac:dyDescent="0.25">
      <c r="A176" s="8">
        <v>43070.74359953704</v>
      </c>
      <c r="B176" s="20" t="s">
        <v>829</v>
      </c>
      <c r="C176" s="20" t="s">
        <v>908</v>
      </c>
      <c r="D176" s="137">
        <v>2370000</v>
      </c>
      <c r="E176" s="20" t="s">
        <v>594</v>
      </c>
      <c r="F176" s="20" t="s">
        <v>595</v>
      </c>
      <c r="G176" s="8" t="str">
        <f t="shared" si="4"/>
        <v>DELGADO DIANAH</v>
      </c>
      <c r="H176" s="20" t="str">
        <f t="shared" si="5"/>
        <v>4057</v>
      </c>
    </row>
    <row r="177" spans="1:8" x14ac:dyDescent="0.25">
      <c r="A177" s="8">
        <v>43070.746354166666</v>
      </c>
      <c r="B177" s="20" t="s">
        <v>513</v>
      </c>
      <c r="C177" s="20" t="s">
        <v>909</v>
      </c>
      <c r="D177" s="137">
        <v>3000000</v>
      </c>
      <c r="E177" s="20" t="s">
        <v>519</v>
      </c>
      <c r="F177" s="20" t="s">
        <v>520</v>
      </c>
      <c r="G177" s="8" t="str">
        <f t="shared" si="4"/>
        <v>FORTUNATO FRANK</v>
      </c>
      <c r="H177" s="20" t="str">
        <f t="shared" si="5"/>
        <v>4005</v>
      </c>
    </row>
    <row r="178" spans="1:8" x14ac:dyDescent="0.25">
      <c r="A178" s="8">
        <v>43070.748298611114</v>
      </c>
      <c r="B178" s="20" t="s">
        <v>665</v>
      </c>
      <c r="C178" s="20" t="s">
        <v>910</v>
      </c>
      <c r="D178" s="137">
        <v>2230000</v>
      </c>
      <c r="E178" s="20" t="s">
        <v>671</v>
      </c>
      <c r="F178" s="20" t="s">
        <v>353</v>
      </c>
      <c r="G178" s="8" t="str">
        <f t="shared" si="4"/>
        <v>SMITH MICHAEL</v>
      </c>
      <c r="H178" s="20" t="str">
        <f t="shared" si="5"/>
        <v>4015</v>
      </c>
    </row>
    <row r="179" spans="1:8" x14ac:dyDescent="0.25">
      <c r="A179" s="8">
        <v>43070.749548611115</v>
      </c>
      <c r="B179" s="20" t="s">
        <v>744</v>
      </c>
      <c r="C179" s="20" t="s">
        <v>911</v>
      </c>
      <c r="D179" s="137">
        <v>3500000</v>
      </c>
      <c r="E179" s="20" t="s">
        <v>369</v>
      </c>
      <c r="F179" s="20" t="s">
        <v>370</v>
      </c>
      <c r="G179" s="8" t="str">
        <f t="shared" si="4"/>
        <v>GUNTHIER ERIC</v>
      </c>
      <c r="H179" s="20" t="str">
        <f t="shared" si="5"/>
        <v>4050</v>
      </c>
    </row>
    <row r="180" spans="1:8" x14ac:dyDescent="0.25">
      <c r="A180" s="8">
        <v>43070.754270833335</v>
      </c>
      <c r="B180" s="20" t="s">
        <v>375</v>
      </c>
      <c r="C180" s="20" t="s">
        <v>912</v>
      </c>
      <c r="D180" s="137">
        <v>2350000</v>
      </c>
      <c r="E180" s="20" t="s">
        <v>521</v>
      </c>
      <c r="F180" s="20" t="s">
        <v>522</v>
      </c>
      <c r="G180" s="8" t="str">
        <f t="shared" si="4"/>
        <v>BERLING GARY</v>
      </c>
      <c r="H180" s="20" t="str">
        <f t="shared" si="5"/>
        <v>4022</v>
      </c>
    </row>
    <row r="181" spans="1:8" x14ac:dyDescent="0.25">
      <c r="A181" s="8">
        <v>43070.756828703707</v>
      </c>
      <c r="B181" s="20" t="s">
        <v>584</v>
      </c>
      <c r="C181" s="20" t="s">
        <v>913</v>
      </c>
      <c r="D181" s="137">
        <v>3320000</v>
      </c>
      <c r="E181" s="20" t="s">
        <v>361</v>
      </c>
      <c r="F181" s="20" t="s">
        <v>362</v>
      </c>
      <c r="G181" s="8" t="str">
        <f t="shared" si="4"/>
        <v>NICHOLSON WESLEY</v>
      </c>
      <c r="H181" s="20" t="str">
        <f t="shared" si="5"/>
        <v>4040</v>
      </c>
    </row>
    <row r="182" spans="1:8" x14ac:dyDescent="0.25">
      <c r="A182" s="8">
        <v>43070.760891203703</v>
      </c>
      <c r="B182" s="20" t="s">
        <v>729</v>
      </c>
      <c r="C182" s="20" t="s">
        <v>914</v>
      </c>
      <c r="D182" s="137">
        <v>1300000</v>
      </c>
      <c r="E182" s="20" t="s">
        <v>482</v>
      </c>
      <c r="F182" s="20" t="s">
        <v>483</v>
      </c>
      <c r="G182" s="8" t="str">
        <f t="shared" si="4"/>
        <v>LEVIN SCOTT</v>
      </c>
      <c r="H182" s="20" t="str">
        <f t="shared" si="5"/>
        <v>4045</v>
      </c>
    </row>
    <row r="183" spans="1:8" x14ac:dyDescent="0.25">
      <c r="A183" s="8">
        <v>43070.765868055554</v>
      </c>
      <c r="B183" s="20" t="s">
        <v>587</v>
      </c>
      <c r="C183" s="20" t="s">
        <v>915</v>
      </c>
      <c r="D183" s="137">
        <v>3340000</v>
      </c>
      <c r="E183" s="20" t="s">
        <v>412</v>
      </c>
      <c r="F183" s="20" t="s">
        <v>413</v>
      </c>
      <c r="G183" s="8" t="str">
        <f t="shared" si="4"/>
        <v>ELBAUM MIKE</v>
      </c>
      <c r="H183" s="20" t="str">
        <f t="shared" si="5"/>
        <v>4024</v>
      </c>
    </row>
    <row r="184" spans="1:8" x14ac:dyDescent="0.25">
      <c r="A184" s="8">
        <v>43070.767604166664</v>
      </c>
      <c r="B184" s="20" t="s">
        <v>478</v>
      </c>
      <c r="C184" s="20" t="s">
        <v>743</v>
      </c>
      <c r="D184" s="137">
        <v>2600000</v>
      </c>
      <c r="E184" s="20" t="s">
        <v>445</v>
      </c>
      <c r="F184" s="20" t="s">
        <v>414</v>
      </c>
      <c r="G184" s="8" t="str">
        <f t="shared" si="4"/>
        <v>DAVIDSON DAVID</v>
      </c>
      <c r="H184" s="20" t="str">
        <f t="shared" si="5"/>
        <v>4001</v>
      </c>
    </row>
    <row r="185" spans="1:8" x14ac:dyDescent="0.25">
      <c r="A185" s="8">
        <v>43070.769155092596</v>
      </c>
      <c r="B185" s="20" t="s">
        <v>441</v>
      </c>
      <c r="C185" s="20" t="s">
        <v>916</v>
      </c>
      <c r="D185" s="137">
        <v>2350000</v>
      </c>
      <c r="E185" s="20" t="s">
        <v>521</v>
      </c>
      <c r="F185" s="20" t="s">
        <v>522</v>
      </c>
      <c r="G185" s="8" t="str">
        <f t="shared" si="4"/>
        <v>BERLING GARY</v>
      </c>
      <c r="H185" s="20" t="str">
        <f t="shared" si="5"/>
        <v>4021</v>
      </c>
    </row>
    <row r="186" spans="1:8" x14ac:dyDescent="0.25">
      <c r="A186" s="8">
        <v>43070.770821759259</v>
      </c>
      <c r="B186" s="20" t="s">
        <v>668</v>
      </c>
      <c r="C186" s="20" t="s">
        <v>917</v>
      </c>
      <c r="D186" s="137">
        <v>2230000</v>
      </c>
      <c r="E186" s="20" t="s">
        <v>671</v>
      </c>
      <c r="F186" s="20" t="s">
        <v>353</v>
      </c>
      <c r="G186" s="8" t="str">
        <f t="shared" si="4"/>
        <v>SMITH MICHAEL</v>
      </c>
      <c r="H186" s="20" t="str">
        <f t="shared" si="5"/>
        <v>4016</v>
      </c>
    </row>
    <row r="187" spans="1:8" x14ac:dyDescent="0.25">
      <c r="A187" s="8">
        <v>43070.781365740739</v>
      </c>
      <c r="B187" s="20" t="s">
        <v>762</v>
      </c>
      <c r="C187" s="20" t="s">
        <v>918</v>
      </c>
      <c r="D187" s="137">
        <v>1180000</v>
      </c>
      <c r="E187" s="20" t="s">
        <v>843</v>
      </c>
      <c r="F187" s="20" t="s">
        <v>844</v>
      </c>
      <c r="G187" s="8" t="str">
        <f t="shared" si="4"/>
        <v>LEVERE CRAIG</v>
      </c>
      <c r="H187" s="20" t="str">
        <f t="shared" si="5"/>
        <v>4020</v>
      </c>
    </row>
    <row r="188" spans="1:8" x14ac:dyDescent="0.25">
      <c r="A188" s="8">
        <v>43070.782083333332</v>
      </c>
      <c r="B188" s="20" t="s">
        <v>733</v>
      </c>
      <c r="C188" s="20" t="s">
        <v>919</v>
      </c>
      <c r="D188" s="137">
        <v>3500000</v>
      </c>
      <c r="E188" s="20" t="s">
        <v>369</v>
      </c>
      <c r="F188" s="20" t="s">
        <v>370</v>
      </c>
      <c r="G188" s="8" t="str">
        <f t="shared" si="4"/>
        <v>GUNTHIER ERIC</v>
      </c>
      <c r="H188" s="20" t="str">
        <f t="shared" si="5"/>
        <v>4049</v>
      </c>
    </row>
    <row r="189" spans="1:8" x14ac:dyDescent="0.25">
      <c r="A189" s="8">
        <v>43070.789247685185</v>
      </c>
      <c r="B189" s="20" t="s">
        <v>518</v>
      </c>
      <c r="C189" s="20" t="s">
        <v>920</v>
      </c>
      <c r="D189" s="137">
        <v>3130000</v>
      </c>
      <c r="E189" s="20" t="s">
        <v>486</v>
      </c>
      <c r="F189" s="20" t="s">
        <v>487</v>
      </c>
      <c r="G189" s="8" t="str">
        <f t="shared" si="4"/>
        <v>ZEWDU DEREJE</v>
      </c>
      <c r="H189" s="20" t="str">
        <f t="shared" si="5"/>
        <v>4006</v>
      </c>
    </row>
    <row r="190" spans="1:8" x14ac:dyDescent="0.25">
      <c r="A190" s="8">
        <v>43070.790717592594</v>
      </c>
      <c r="B190" s="20" t="s">
        <v>665</v>
      </c>
      <c r="C190" s="20" t="s">
        <v>921</v>
      </c>
      <c r="D190" s="137">
        <v>2230000</v>
      </c>
      <c r="E190" s="20" t="s">
        <v>671</v>
      </c>
      <c r="F190" s="20" t="s">
        <v>353</v>
      </c>
      <c r="G190" s="8" t="str">
        <f t="shared" si="4"/>
        <v>SMITH MICHAEL</v>
      </c>
      <c r="H190" s="20" t="str">
        <f t="shared" si="5"/>
        <v>4015</v>
      </c>
    </row>
    <row r="191" spans="1:8" x14ac:dyDescent="0.25">
      <c r="A191" s="8">
        <v>43070.794768518521</v>
      </c>
      <c r="B191" s="20" t="s">
        <v>478</v>
      </c>
      <c r="C191" s="20" t="s">
        <v>743</v>
      </c>
      <c r="D191" s="137">
        <v>2600000</v>
      </c>
      <c r="E191" s="20" t="s">
        <v>445</v>
      </c>
      <c r="F191" s="20" t="s">
        <v>414</v>
      </c>
      <c r="G191" s="8" t="str">
        <f t="shared" si="4"/>
        <v>DAVIDSON DAVID</v>
      </c>
      <c r="H191" s="20" t="str">
        <f t="shared" si="5"/>
        <v>4001</v>
      </c>
    </row>
    <row r="192" spans="1:8" x14ac:dyDescent="0.25">
      <c r="A192" s="8">
        <v>43070.794918981483</v>
      </c>
      <c r="B192" s="20" t="s">
        <v>375</v>
      </c>
      <c r="C192" s="20" t="s">
        <v>922</v>
      </c>
      <c r="D192" s="137">
        <v>2350000</v>
      </c>
      <c r="E192" s="20" t="s">
        <v>521</v>
      </c>
      <c r="F192" s="20" t="s">
        <v>522</v>
      </c>
      <c r="G192" s="8" t="str">
        <f t="shared" si="4"/>
        <v>BERLING GARY</v>
      </c>
      <c r="H192" s="20" t="str">
        <f t="shared" si="5"/>
        <v>4022</v>
      </c>
    </row>
    <row r="193" spans="1:8" x14ac:dyDescent="0.25">
      <c r="A193" s="8">
        <v>43070.796643518515</v>
      </c>
      <c r="B193" s="20" t="s">
        <v>583</v>
      </c>
      <c r="C193" s="20" t="s">
        <v>923</v>
      </c>
      <c r="D193" s="137">
        <v>3320000</v>
      </c>
      <c r="E193" s="20" t="s">
        <v>361</v>
      </c>
      <c r="F193" s="20" t="s">
        <v>362</v>
      </c>
      <c r="G193" s="8" t="str">
        <f t="shared" si="4"/>
        <v>NICHOLSON WESLEY</v>
      </c>
      <c r="H193" s="20" t="str">
        <f t="shared" si="5"/>
        <v>4039</v>
      </c>
    </row>
    <row r="194" spans="1:8" x14ac:dyDescent="0.25">
      <c r="A194" s="8">
        <v>43070.797430555554</v>
      </c>
      <c r="B194" s="20" t="s">
        <v>586</v>
      </c>
      <c r="C194" s="20" t="s">
        <v>924</v>
      </c>
      <c r="D194" s="137">
        <v>3340000</v>
      </c>
      <c r="E194" s="20" t="s">
        <v>412</v>
      </c>
      <c r="F194" s="20" t="s">
        <v>413</v>
      </c>
      <c r="G194" s="8" t="str">
        <f t="shared" si="4"/>
        <v>ELBAUM MIKE</v>
      </c>
      <c r="H194" s="20" t="str">
        <f t="shared" si="5"/>
        <v>4023</v>
      </c>
    </row>
    <row r="195" spans="1:8" x14ac:dyDescent="0.25">
      <c r="A195" s="8">
        <v>43070.797847222224</v>
      </c>
      <c r="B195" s="20" t="s">
        <v>738</v>
      </c>
      <c r="C195" s="20" t="s">
        <v>925</v>
      </c>
      <c r="D195" s="137">
        <v>1300000</v>
      </c>
      <c r="E195" s="20" t="s">
        <v>482</v>
      </c>
      <c r="F195" s="20" t="s">
        <v>483</v>
      </c>
      <c r="G195" s="8" t="str">
        <f t="shared" ref="G195:G258" si="6">E195&amp;" "&amp;F195</f>
        <v>LEVIN SCOTT</v>
      </c>
      <c r="H195" s="20" t="str">
        <f t="shared" ref="H195:H258" si="7">MID(B195,13,4)</f>
        <v>4046</v>
      </c>
    </row>
    <row r="196" spans="1:8" x14ac:dyDescent="0.25">
      <c r="A196" s="8">
        <v>43070.810833333337</v>
      </c>
      <c r="B196" s="20" t="s">
        <v>477</v>
      </c>
      <c r="C196" s="20" t="s">
        <v>926</v>
      </c>
      <c r="D196" s="137">
        <v>2600000</v>
      </c>
      <c r="E196" s="20" t="s">
        <v>445</v>
      </c>
      <c r="F196" s="20" t="s">
        <v>414</v>
      </c>
      <c r="G196" s="8" t="str">
        <f t="shared" si="6"/>
        <v>DAVIDSON DAVID</v>
      </c>
      <c r="H196" s="20" t="str">
        <f t="shared" si="7"/>
        <v>4002</v>
      </c>
    </row>
    <row r="197" spans="1:8" x14ac:dyDescent="0.25">
      <c r="A197" s="8">
        <v>43070.811562499999</v>
      </c>
      <c r="B197" s="20" t="s">
        <v>441</v>
      </c>
      <c r="C197" s="20" t="s">
        <v>927</v>
      </c>
      <c r="D197" s="137">
        <v>2350000</v>
      </c>
      <c r="E197" s="20" t="s">
        <v>521</v>
      </c>
      <c r="F197" s="20" t="s">
        <v>522</v>
      </c>
      <c r="G197" s="8" t="str">
        <f t="shared" si="6"/>
        <v>BERLING GARY</v>
      </c>
      <c r="H197" s="20" t="str">
        <f t="shared" si="7"/>
        <v>4021</v>
      </c>
    </row>
    <row r="198" spans="1:8" x14ac:dyDescent="0.25">
      <c r="A198" s="8">
        <v>43070.816192129627</v>
      </c>
      <c r="B198" s="20" t="s">
        <v>744</v>
      </c>
      <c r="C198" s="20" t="s">
        <v>745</v>
      </c>
      <c r="D198" s="137">
        <v>2420000</v>
      </c>
      <c r="E198" s="20" t="s">
        <v>523</v>
      </c>
      <c r="F198" s="20" t="s">
        <v>524</v>
      </c>
      <c r="G198" s="8" t="str">
        <f t="shared" si="6"/>
        <v>HOLCOMB KAMDEN</v>
      </c>
      <c r="H198" s="20" t="str">
        <f t="shared" si="7"/>
        <v>4050</v>
      </c>
    </row>
    <row r="199" spans="1:8" x14ac:dyDescent="0.25">
      <c r="A199" s="8">
        <v>43070.8278587963</v>
      </c>
      <c r="B199" s="20" t="s">
        <v>513</v>
      </c>
      <c r="C199" s="20" t="s">
        <v>928</v>
      </c>
      <c r="D199" s="137">
        <v>3130000</v>
      </c>
      <c r="E199" s="20" t="s">
        <v>486</v>
      </c>
      <c r="F199" s="20" t="s">
        <v>487</v>
      </c>
      <c r="G199" s="8" t="str">
        <f t="shared" si="6"/>
        <v>ZEWDU DEREJE</v>
      </c>
      <c r="H199" s="20" t="str">
        <f t="shared" si="7"/>
        <v>4005</v>
      </c>
    </row>
    <row r="200" spans="1:8" x14ac:dyDescent="0.25">
      <c r="A200" s="8">
        <v>43070.829826388886</v>
      </c>
      <c r="B200" s="20" t="s">
        <v>584</v>
      </c>
      <c r="C200" s="20" t="s">
        <v>929</v>
      </c>
      <c r="D200" s="137">
        <v>3320000</v>
      </c>
      <c r="E200" s="20" t="s">
        <v>361</v>
      </c>
      <c r="F200" s="20" t="s">
        <v>362</v>
      </c>
      <c r="G200" s="8" t="str">
        <f t="shared" si="6"/>
        <v>NICHOLSON WESLEY</v>
      </c>
      <c r="H200" s="20" t="str">
        <f t="shared" si="7"/>
        <v>4040</v>
      </c>
    </row>
    <row r="201" spans="1:8" x14ac:dyDescent="0.25">
      <c r="A201" s="8">
        <v>43070.837650462963</v>
      </c>
      <c r="B201" s="20" t="s">
        <v>375</v>
      </c>
      <c r="C201" s="20" t="s">
        <v>930</v>
      </c>
      <c r="D201" s="137">
        <v>2350000</v>
      </c>
      <c r="E201" s="20" t="s">
        <v>521</v>
      </c>
      <c r="F201" s="20" t="s">
        <v>522</v>
      </c>
      <c r="G201" s="8" t="str">
        <f t="shared" si="6"/>
        <v>BERLING GARY</v>
      </c>
      <c r="H201" s="20" t="str">
        <f t="shared" si="7"/>
        <v>4022</v>
      </c>
    </row>
    <row r="202" spans="1:8" x14ac:dyDescent="0.25">
      <c r="A202" s="26">
        <v>43070.837789351855</v>
      </c>
      <c r="B202" s="20" t="s">
        <v>587</v>
      </c>
      <c r="C202" s="20" t="s">
        <v>931</v>
      </c>
      <c r="D202" s="137">
        <v>3340000</v>
      </c>
      <c r="E202" s="20" t="s">
        <v>412</v>
      </c>
      <c r="F202" s="20" t="s">
        <v>413</v>
      </c>
      <c r="G202" s="8" t="str">
        <f t="shared" si="6"/>
        <v>ELBAUM MIKE</v>
      </c>
      <c r="H202" s="20" t="str">
        <f t="shared" si="7"/>
        <v>4024</v>
      </c>
    </row>
    <row r="203" spans="1:8" x14ac:dyDescent="0.25">
      <c r="A203" s="8">
        <v>43070.840717592589</v>
      </c>
      <c r="B203" s="20" t="s">
        <v>478</v>
      </c>
      <c r="C203" s="20" t="s">
        <v>932</v>
      </c>
      <c r="D203" s="137">
        <v>2600000</v>
      </c>
      <c r="E203" s="20" t="s">
        <v>445</v>
      </c>
      <c r="F203" s="20" t="s">
        <v>414</v>
      </c>
      <c r="G203" s="8" t="str">
        <f t="shared" si="6"/>
        <v>DAVIDSON DAVID</v>
      </c>
      <c r="H203" s="20" t="str">
        <f t="shared" si="7"/>
        <v>4001</v>
      </c>
    </row>
    <row r="204" spans="1:8" x14ac:dyDescent="0.25">
      <c r="A204" s="8">
        <v>43070.851863425924</v>
      </c>
      <c r="B204" s="20" t="s">
        <v>441</v>
      </c>
      <c r="C204" s="20" t="s">
        <v>933</v>
      </c>
      <c r="D204" s="137">
        <v>2350000</v>
      </c>
      <c r="E204" s="20" t="s">
        <v>521</v>
      </c>
      <c r="F204" s="20" t="s">
        <v>522</v>
      </c>
      <c r="G204" s="8" t="str">
        <f t="shared" si="6"/>
        <v>BERLING GARY</v>
      </c>
      <c r="H204" s="20" t="str">
        <f t="shared" si="7"/>
        <v>4021</v>
      </c>
    </row>
    <row r="205" spans="1:8" x14ac:dyDescent="0.25">
      <c r="A205" s="8">
        <v>43070.864745370367</v>
      </c>
      <c r="B205" s="20" t="s">
        <v>583</v>
      </c>
      <c r="C205" s="20" t="s">
        <v>934</v>
      </c>
      <c r="D205" s="137">
        <v>3320000</v>
      </c>
      <c r="E205" s="20" t="s">
        <v>361</v>
      </c>
      <c r="F205" s="20" t="s">
        <v>362</v>
      </c>
      <c r="G205" s="8" t="str">
        <f t="shared" si="6"/>
        <v>NICHOLSON WESLEY</v>
      </c>
      <c r="H205" s="20" t="str">
        <f t="shared" si="7"/>
        <v>4039</v>
      </c>
    </row>
    <row r="206" spans="1:8" x14ac:dyDescent="0.25">
      <c r="A206" s="8">
        <v>43070.871874999997</v>
      </c>
      <c r="B206" s="20" t="s">
        <v>518</v>
      </c>
      <c r="C206" s="20" t="s">
        <v>935</v>
      </c>
      <c r="D206" s="137">
        <v>3310000</v>
      </c>
      <c r="E206" s="20" t="s">
        <v>484</v>
      </c>
      <c r="F206" s="20" t="s">
        <v>485</v>
      </c>
      <c r="G206" s="8" t="str">
        <f t="shared" si="6"/>
        <v>ANDERS STEVEN</v>
      </c>
      <c r="H206" s="20" t="str">
        <f t="shared" si="7"/>
        <v>4006</v>
      </c>
    </row>
    <row r="207" spans="1:8" x14ac:dyDescent="0.25">
      <c r="A207" s="8">
        <v>43070.876770833333</v>
      </c>
      <c r="B207" s="20" t="s">
        <v>375</v>
      </c>
      <c r="C207" s="20" t="s">
        <v>936</v>
      </c>
      <c r="D207" s="137">
        <v>2230000</v>
      </c>
      <c r="E207" s="20" t="s">
        <v>671</v>
      </c>
      <c r="F207" s="20" t="s">
        <v>353</v>
      </c>
      <c r="G207" s="8" t="str">
        <f t="shared" si="6"/>
        <v>SMITH MICHAEL</v>
      </c>
      <c r="H207" s="20" t="str">
        <f t="shared" si="7"/>
        <v>4022</v>
      </c>
    </row>
    <row r="208" spans="1:8" x14ac:dyDescent="0.25">
      <c r="A208" s="8">
        <v>43070.879895833335</v>
      </c>
      <c r="B208" s="20" t="s">
        <v>586</v>
      </c>
      <c r="C208" s="20" t="s">
        <v>937</v>
      </c>
      <c r="D208" s="137">
        <v>3340000</v>
      </c>
      <c r="E208" s="20" t="s">
        <v>412</v>
      </c>
      <c r="F208" s="20" t="s">
        <v>413</v>
      </c>
      <c r="G208" s="8" t="str">
        <f t="shared" si="6"/>
        <v>ELBAUM MIKE</v>
      </c>
      <c r="H208" s="20" t="str">
        <f t="shared" si="7"/>
        <v>4023</v>
      </c>
    </row>
    <row r="209" spans="1:8" x14ac:dyDescent="0.25">
      <c r="A209" s="8">
        <v>43070.882060185184</v>
      </c>
      <c r="B209" s="20" t="s">
        <v>477</v>
      </c>
      <c r="C209" s="20" t="s">
        <v>938</v>
      </c>
      <c r="D209" s="137">
        <v>2600000</v>
      </c>
      <c r="E209" s="20" t="s">
        <v>445</v>
      </c>
      <c r="F209" s="20" t="s">
        <v>414</v>
      </c>
      <c r="G209" s="8" t="str">
        <f t="shared" si="6"/>
        <v>DAVIDSON DAVID</v>
      </c>
      <c r="H209" s="20" t="str">
        <f t="shared" si="7"/>
        <v>4002</v>
      </c>
    </row>
    <row r="210" spans="1:8" x14ac:dyDescent="0.25">
      <c r="A210" s="8">
        <v>43070.89402777778</v>
      </c>
      <c r="B210" s="20" t="s">
        <v>441</v>
      </c>
      <c r="C210" s="20" t="s">
        <v>746</v>
      </c>
      <c r="D210" s="137">
        <v>2230000</v>
      </c>
      <c r="E210" s="20" t="s">
        <v>671</v>
      </c>
      <c r="F210" s="20" t="s">
        <v>353</v>
      </c>
      <c r="G210" s="8" t="str">
        <f t="shared" si="6"/>
        <v>SMITH MICHAEL</v>
      </c>
      <c r="H210" s="20" t="str">
        <f t="shared" si="7"/>
        <v>4021</v>
      </c>
    </row>
    <row r="211" spans="1:8" x14ac:dyDescent="0.25">
      <c r="A211" s="8">
        <v>43070.911504629628</v>
      </c>
      <c r="B211" s="20" t="s">
        <v>584</v>
      </c>
      <c r="C211" s="20" t="s">
        <v>939</v>
      </c>
      <c r="D211" s="137">
        <v>3320000</v>
      </c>
      <c r="E211" s="20" t="s">
        <v>361</v>
      </c>
      <c r="F211" s="20" t="s">
        <v>362</v>
      </c>
      <c r="G211" s="8" t="str">
        <f t="shared" si="6"/>
        <v>NICHOLSON WESLEY</v>
      </c>
      <c r="H211" s="20" t="str">
        <f t="shared" si="7"/>
        <v>4040</v>
      </c>
    </row>
    <row r="212" spans="1:8" x14ac:dyDescent="0.25">
      <c r="A212" s="8">
        <v>43070.912685185183</v>
      </c>
      <c r="B212" s="20" t="s">
        <v>513</v>
      </c>
      <c r="C212" s="20" t="s">
        <v>940</v>
      </c>
      <c r="D212" s="137">
        <v>3310000</v>
      </c>
      <c r="E212" s="20" t="s">
        <v>484</v>
      </c>
      <c r="F212" s="20" t="s">
        <v>485</v>
      </c>
      <c r="G212" s="8" t="str">
        <f t="shared" si="6"/>
        <v>ANDERS STEVEN</v>
      </c>
      <c r="H212" s="20" t="str">
        <f t="shared" si="7"/>
        <v>4005</v>
      </c>
    </row>
    <row r="213" spans="1:8" x14ac:dyDescent="0.25">
      <c r="A213" s="8">
        <v>43070.917638888888</v>
      </c>
      <c r="B213" s="20" t="s">
        <v>375</v>
      </c>
      <c r="C213" s="20" t="s">
        <v>941</v>
      </c>
      <c r="D213" s="137">
        <v>2230000</v>
      </c>
      <c r="E213" s="20" t="s">
        <v>671</v>
      </c>
      <c r="F213" s="20" t="s">
        <v>353</v>
      </c>
      <c r="G213" s="8" t="str">
        <f t="shared" si="6"/>
        <v>SMITH MICHAEL</v>
      </c>
      <c r="H213" s="20" t="str">
        <f t="shared" si="7"/>
        <v>4022</v>
      </c>
    </row>
    <row r="214" spans="1:8" x14ac:dyDescent="0.25">
      <c r="A214" s="8">
        <v>43070.921516203707</v>
      </c>
      <c r="B214" s="20" t="s">
        <v>587</v>
      </c>
      <c r="C214" s="20" t="s">
        <v>942</v>
      </c>
      <c r="D214" s="137">
        <v>3340000</v>
      </c>
      <c r="E214" s="20" t="s">
        <v>412</v>
      </c>
      <c r="F214" s="20" t="s">
        <v>413</v>
      </c>
      <c r="G214" s="8" t="str">
        <f t="shared" si="6"/>
        <v>ELBAUM MIKE</v>
      </c>
      <c r="H214" s="20" t="str">
        <f t="shared" si="7"/>
        <v>4024</v>
      </c>
    </row>
    <row r="215" spans="1:8" x14ac:dyDescent="0.25">
      <c r="A215" s="8">
        <v>43070.924259259256</v>
      </c>
      <c r="B215" s="20" t="s">
        <v>478</v>
      </c>
      <c r="C215" s="20" t="s">
        <v>943</v>
      </c>
      <c r="D215" s="137">
        <v>2600000</v>
      </c>
      <c r="E215" s="20" t="s">
        <v>445</v>
      </c>
      <c r="F215" s="20" t="s">
        <v>414</v>
      </c>
      <c r="G215" s="8" t="str">
        <f t="shared" si="6"/>
        <v>DAVIDSON DAVID</v>
      </c>
      <c r="H215" s="20" t="str">
        <f t="shared" si="7"/>
        <v>4001</v>
      </c>
    </row>
    <row r="216" spans="1:8" x14ac:dyDescent="0.25">
      <c r="A216" s="8">
        <v>43070.93582175926</v>
      </c>
      <c r="B216" s="20" t="s">
        <v>441</v>
      </c>
      <c r="C216" s="20" t="s">
        <v>941</v>
      </c>
      <c r="D216" s="137">
        <v>2230000</v>
      </c>
      <c r="E216" s="20" t="s">
        <v>671</v>
      </c>
      <c r="F216" s="20" t="s">
        <v>353</v>
      </c>
      <c r="G216" s="8" t="str">
        <f t="shared" si="6"/>
        <v>SMITH MICHAEL</v>
      </c>
      <c r="H216" s="20" t="str">
        <f t="shared" si="7"/>
        <v>4021</v>
      </c>
    </row>
    <row r="217" spans="1:8" x14ac:dyDescent="0.25">
      <c r="A217" s="8">
        <v>43070.936631944445</v>
      </c>
      <c r="B217" s="20" t="s">
        <v>441</v>
      </c>
      <c r="C217" s="20" t="s">
        <v>944</v>
      </c>
      <c r="D217" s="137">
        <v>2230000</v>
      </c>
      <c r="E217" s="20" t="s">
        <v>671</v>
      </c>
      <c r="F217" s="20" t="s">
        <v>353</v>
      </c>
      <c r="G217" s="8" t="str">
        <f t="shared" si="6"/>
        <v>SMITH MICHAEL</v>
      </c>
      <c r="H217" s="20" t="str">
        <f t="shared" si="7"/>
        <v>4021</v>
      </c>
    </row>
    <row r="218" spans="1:8" x14ac:dyDescent="0.25">
      <c r="A218" s="8">
        <v>43070.953020833331</v>
      </c>
      <c r="B218" s="20" t="s">
        <v>583</v>
      </c>
      <c r="C218" s="20" t="s">
        <v>945</v>
      </c>
      <c r="D218" s="137">
        <v>3320000</v>
      </c>
      <c r="E218" s="20" t="s">
        <v>361</v>
      </c>
      <c r="F218" s="20" t="s">
        <v>362</v>
      </c>
      <c r="G218" s="8" t="str">
        <f t="shared" si="6"/>
        <v>NICHOLSON WESLEY</v>
      </c>
      <c r="H218" s="20" t="str">
        <f t="shared" si="7"/>
        <v>4039</v>
      </c>
    </row>
    <row r="219" spans="1:8" x14ac:dyDescent="0.25">
      <c r="A219" s="8">
        <v>43070.957025462965</v>
      </c>
      <c r="B219" s="20" t="s">
        <v>518</v>
      </c>
      <c r="C219" s="20" t="s">
        <v>946</v>
      </c>
      <c r="D219" s="137">
        <v>3310000</v>
      </c>
      <c r="E219" s="20" t="s">
        <v>484</v>
      </c>
      <c r="F219" s="20" t="s">
        <v>485</v>
      </c>
      <c r="G219" s="8" t="str">
        <f t="shared" si="6"/>
        <v>ANDERS STEVEN</v>
      </c>
      <c r="H219" s="20" t="str">
        <f t="shared" si="7"/>
        <v>4006</v>
      </c>
    </row>
    <row r="220" spans="1:8" x14ac:dyDescent="0.25">
      <c r="A220" s="8">
        <v>43070.957777777781</v>
      </c>
      <c r="B220" s="20" t="s">
        <v>375</v>
      </c>
      <c r="C220" s="20" t="s">
        <v>747</v>
      </c>
      <c r="D220" s="137">
        <v>2230000</v>
      </c>
      <c r="E220" s="20" t="s">
        <v>671</v>
      </c>
      <c r="F220" s="20" t="s">
        <v>353</v>
      </c>
      <c r="G220" s="8" t="str">
        <f t="shared" si="6"/>
        <v>SMITH MICHAEL</v>
      </c>
      <c r="H220" s="20" t="str">
        <f t="shared" si="7"/>
        <v>4022</v>
      </c>
    </row>
    <row r="221" spans="1:8" x14ac:dyDescent="0.25">
      <c r="A221" s="8">
        <v>43070.972997685189</v>
      </c>
      <c r="B221" s="20" t="s">
        <v>477</v>
      </c>
      <c r="C221" s="20" t="s">
        <v>947</v>
      </c>
      <c r="D221" s="137">
        <v>2600000</v>
      </c>
      <c r="E221" s="20" t="s">
        <v>445</v>
      </c>
      <c r="F221" s="20" t="s">
        <v>414</v>
      </c>
      <c r="G221" s="8" t="str">
        <f t="shared" si="6"/>
        <v>DAVIDSON DAVID</v>
      </c>
      <c r="H221" s="20" t="str">
        <f t="shared" si="7"/>
        <v>4002</v>
      </c>
    </row>
    <row r="222" spans="1:8" x14ac:dyDescent="0.25">
      <c r="A222" s="8">
        <v>43070.973275462966</v>
      </c>
      <c r="B222" s="20" t="s">
        <v>586</v>
      </c>
      <c r="C222" s="20" t="s">
        <v>948</v>
      </c>
      <c r="D222" s="137">
        <v>3340000</v>
      </c>
      <c r="E222" s="20" t="s">
        <v>412</v>
      </c>
      <c r="F222" s="20" t="s">
        <v>413</v>
      </c>
      <c r="G222" s="8" t="str">
        <f t="shared" si="6"/>
        <v>ELBAUM MIKE</v>
      </c>
      <c r="H222" s="20" t="str">
        <f t="shared" si="7"/>
        <v>4023</v>
      </c>
    </row>
    <row r="223" spans="1:8" x14ac:dyDescent="0.25">
      <c r="A223" s="8">
        <v>43070.977719907409</v>
      </c>
      <c r="B223" s="20" t="s">
        <v>441</v>
      </c>
      <c r="C223" s="20" t="s">
        <v>949</v>
      </c>
      <c r="D223" s="137">
        <v>2230000</v>
      </c>
      <c r="E223" s="20" t="s">
        <v>671</v>
      </c>
      <c r="F223" s="20" t="s">
        <v>353</v>
      </c>
      <c r="G223" s="8" t="str">
        <f t="shared" si="6"/>
        <v>SMITH MICHAEL</v>
      </c>
      <c r="H223" s="20" t="str">
        <f t="shared" si="7"/>
        <v>4021</v>
      </c>
    </row>
    <row r="224" spans="1:8" x14ac:dyDescent="0.25">
      <c r="A224" s="8">
        <v>43070.990393518521</v>
      </c>
      <c r="B224" t="s">
        <v>583</v>
      </c>
      <c r="C224" t="s">
        <v>950</v>
      </c>
      <c r="D224" s="137">
        <v>3320000</v>
      </c>
      <c r="E224" t="s">
        <v>361</v>
      </c>
      <c r="F224" s="20" t="s">
        <v>362</v>
      </c>
      <c r="G224" s="8" t="str">
        <f t="shared" si="6"/>
        <v>NICHOLSON WESLEY</v>
      </c>
      <c r="H224" s="20" t="str">
        <f t="shared" si="7"/>
        <v>4039</v>
      </c>
    </row>
    <row r="225" spans="1:8" x14ac:dyDescent="0.25">
      <c r="A225" s="8">
        <v>43070.991979166669</v>
      </c>
      <c r="B225" t="s">
        <v>513</v>
      </c>
      <c r="C225" t="s">
        <v>951</v>
      </c>
      <c r="D225" s="137">
        <v>3310000</v>
      </c>
      <c r="E225" t="s">
        <v>484</v>
      </c>
      <c r="F225" s="20" t="s">
        <v>485</v>
      </c>
      <c r="G225" s="8" t="str">
        <f t="shared" si="6"/>
        <v>ANDERS STEVEN</v>
      </c>
      <c r="H225" s="20" t="str">
        <f t="shared" si="7"/>
        <v>4005</v>
      </c>
    </row>
    <row r="226" spans="1:8" x14ac:dyDescent="0.25">
      <c r="A226" s="8">
        <v>43070.995081018518</v>
      </c>
      <c r="B226" t="s">
        <v>584</v>
      </c>
      <c r="C226" t="s">
        <v>950</v>
      </c>
      <c r="D226" s="137">
        <v>3320000</v>
      </c>
      <c r="E226" t="s">
        <v>361</v>
      </c>
      <c r="F226" s="20" t="s">
        <v>362</v>
      </c>
      <c r="G226" s="8" t="str">
        <f t="shared" si="6"/>
        <v>NICHOLSON WESLEY</v>
      </c>
      <c r="H226" s="20" t="str">
        <f t="shared" si="7"/>
        <v>4040</v>
      </c>
    </row>
    <row r="227" spans="1:8" x14ac:dyDescent="0.25">
      <c r="A227" s="8">
        <v>43071.007210648146</v>
      </c>
      <c r="B227" t="s">
        <v>587</v>
      </c>
      <c r="C227" t="s">
        <v>952</v>
      </c>
      <c r="D227" s="137">
        <v>3340000</v>
      </c>
      <c r="E227" t="s">
        <v>412</v>
      </c>
      <c r="F227" s="20" t="s">
        <v>413</v>
      </c>
      <c r="G227" s="8" t="str">
        <f t="shared" si="6"/>
        <v>ELBAUM MIKE</v>
      </c>
      <c r="H227" s="20" t="str">
        <f t="shared" si="7"/>
        <v>4024</v>
      </c>
    </row>
    <row r="228" spans="1:8" x14ac:dyDescent="0.25">
      <c r="A228" s="8">
        <v>43071.00953703704</v>
      </c>
      <c r="B228" t="s">
        <v>478</v>
      </c>
      <c r="C228" t="s">
        <v>953</v>
      </c>
      <c r="D228" s="137">
        <v>2600000</v>
      </c>
      <c r="E228" t="s">
        <v>445</v>
      </c>
      <c r="F228" s="20" t="s">
        <v>414</v>
      </c>
      <c r="G228" s="8" t="str">
        <f t="shared" si="6"/>
        <v>DAVIDSON DAVID</v>
      </c>
      <c r="H228" s="20" t="str">
        <f t="shared" si="7"/>
        <v>4001</v>
      </c>
    </row>
    <row r="229" spans="1:8" x14ac:dyDescent="0.25">
      <c r="A229" s="8">
        <v>43071.026516203703</v>
      </c>
      <c r="B229" t="s">
        <v>518</v>
      </c>
      <c r="C229" t="s">
        <v>954</v>
      </c>
      <c r="D229" s="137">
        <v>3310000</v>
      </c>
      <c r="E229" t="s">
        <v>484</v>
      </c>
      <c r="F229" s="20" t="s">
        <v>485</v>
      </c>
      <c r="G229" s="8" t="str">
        <f t="shared" si="6"/>
        <v>ANDERS STEVEN</v>
      </c>
      <c r="H229" s="20" t="str">
        <f t="shared" si="7"/>
        <v>4006</v>
      </c>
    </row>
    <row r="230" spans="1:8" x14ac:dyDescent="0.25">
      <c r="A230" s="8">
        <v>43071.036261574074</v>
      </c>
      <c r="B230" t="s">
        <v>583</v>
      </c>
      <c r="C230" t="s">
        <v>955</v>
      </c>
      <c r="D230" s="137">
        <v>3320000</v>
      </c>
      <c r="E230" t="s">
        <v>361</v>
      </c>
      <c r="F230" s="20" t="s">
        <v>362</v>
      </c>
      <c r="G230" s="8" t="str">
        <f t="shared" si="6"/>
        <v>NICHOLSON WESLEY</v>
      </c>
      <c r="H230" s="20" t="str">
        <f t="shared" si="7"/>
        <v>4039</v>
      </c>
    </row>
    <row r="231" spans="1:8" x14ac:dyDescent="0.25">
      <c r="A231" s="8">
        <v>43071.048171296294</v>
      </c>
      <c r="B231" t="s">
        <v>586</v>
      </c>
      <c r="C231" t="s">
        <v>956</v>
      </c>
      <c r="D231" s="137">
        <v>3340000</v>
      </c>
      <c r="E231" t="s">
        <v>412</v>
      </c>
      <c r="F231" s="20" t="s">
        <v>413</v>
      </c>
      <c r="G231" s="8" t="str">
        <f t="shared" si="6"/>
        <v>ELBAUM MIKE</v>
      </c>
      <c r="H231" s="20" t="str">
        <f t="shared" si="7"/>
        <v>4023</v>
      </c>
    </row>
    <row r="232" spans="1:8" x14ac:dyDescent="0.25">
      <c r="A232" s="8">
        <v>43071.049143518518</v>
      </c>
      <c r="B232" t="s">
        <v>477</v>
      </c>
      <c r="C232" t="s">
        <v>957</v>
      </c>
      <c r="D232" s="137">
        <v>2600000</v>
      </c>
      <c r="E232" t="s">
        <v>445</v>
      </c>
      <c r="F232" s="20" t="s">
        <v>414</v>
      </c>
      <c r="G232" s="8" t="str">
        <f t="shared" si="6"/>
        <v>DAVIDSON DAVID</v>
      </c>
      <c r="H232" s="20" t="str">
        <f t="shared" si="7"/>
        <v>4002</v>
      </c>
    </row>
    <row r="233" spans="1:8" x14ac:dyDescent="0.25">
      <c r="A233" s="8">
        <v>43071.071076388886</v>
      </c>
      <c r="B233" t="s">
        <v>584</v>
      </c>
      <c r="C233" t="s">
        <v>958</v>
      </c>
      <c r="D233" s="137">
        <v>3320000</v>
      </c>
      <c r="E233" t="s">
        <v>361</v>
      </c>
      <c r="F233" s="20" t="s">
        <v>362</v>
      </c>
      <c r="G233" s="8" t="str">
        <f t="shared" si="6"/>
        <v>NICHOLSON WESLEY</v>
      </c>
      <c r="H233" s="20" t="str">
        <f t="shared" si="7"/>
        <v>4040</v>
      </c>
    </row>
    <row r="234" spans="1:8" x14ac:dyDescent="0.25">
      <c r="A234" s="8">
        <v>43071.074247685188</v>
      </c>
      <c r="B234" t="s">
        <v>513</v>
      </c>
      <c r="C234" t="s">
        <v>959</v>
      </c>
      <c r="D234" s="137">
        <v>3310000</v>
      </c>
      <c r="E234" t="s">
        <v>484</v>
      </c>
      <c r="F234" s="20" t="s">
        <v>485</v>
      </c>
      <c r="G234" s="8" t="str">
        <f t="shared" si="6"/>
        <v>ANDERS STEVEN</v>
      </c>
      <c r="H234" s="20" t="str">
        <f t="shared" si="7"/>
        <v>4005</v>
      </c>
    </row>
    <row r="235" spans="1:8" x14ac:dyDescent="0.25">
      <c r="A235" s="8">
        <v>43071.112384259257</v>
      </c>
      <c r="B235" t="s">
        <v>518</v>
      </c>
      <c r="C235" t="s">
        <v>960</v>
      </c>
      <c r="D235" s="137">
        <v>3310000</v>
      </c>
      <c r="E235" t="s">
        <v>484</v>
      </c>
      <c r="F235" s="20" t="s">
        <v>485</v>
      </c>
      <c r="G235" s="8" t="str">
        <f t="shared" si="6"/>
        <v>ANDERS STEVEN</v>
      </c>
      <c r="H235" s="20" t="str">
        <f t="shared" si="7"/>
        <v>4006</v>
      </c>
    </row>
    <row r="236" spans="1:8" x14ac:dyDescent="0.25">
      <c r="A236" s="8">
        <v>43070.055868055555</v>
      </c>
      <c r="B236" t="s">
        <v>510</v>
      </c>
      <c r="C236" t="s">
        <v>597</v>
      </c>
      <c r="D236" s="137">
        <v>3320000</v>
      </c>
      <c r="E236" t="s">
        <v>361</v>
      </c>
      <c r="F236" s="20" t="s">
        <v>362</v>
      </c>
      <c r="G236" s="8" t="str">
        <f t="shared" si="6"/>
        <v>NICHOLSON WESLEY</v>
      </c>
      <c r="H236" s="20" t="str">
        <f t="shared" si="7"/>
        <v>4031</v>
      </c>
    </row>
    <row r="237" spans="1:8" x14ac:dyDescent="0.25">
      <c r="A237" s="8">
        <v>43070.066574074073</v>
      </c>
      <c r="B237" t="s">
        <v>585</v>
      </c>
      <c r="C237" t="s">
        <v>598</v>
      </c>
      <c r="D237" s="137">
        <v>3340000</v>
      </c>
      <c r="E237" t="s">
        <v>412</v>
      </c>
      <c r="F237" s="20" t="s">
        <v>413</v>
      </c>
      <c r="G237" s="8" t="str">
        <f t="shared" si="6"/>
        <v>ELBAUM MIKE</v>
      </c>
      <c r="H237" s="20" t="str">
        <f t="shared" si="7"/>
        <v>4014</v>
      </c>
    </row>
    <row r="238" spans="1:8" x14ac:dyDescent="0.25">
      <c r="A238" s="8">
        <v>43070.092013888891</v>
      </c>
      <c r="B238" t="s">
        <v>511</v>
      </c>
      <c r="C238" t="s">
        <v>599</v>
      </c>
      <c r="D238" s="137">
        <v>3320000</v>
      </c>
      <c r="E238" t="s">
        <v>361</v>
      </c>
      <c r="F238" s="20" t="s">
        <v>362</v>
      </c>
      <c r="G238" s="8" t="str">
        <f t="shared" si="6"/>
        <v>NICHOLSON WESLEY</v>
      </c>
      <c r="H238" s="20" t="str">
        <f t="shared" si="7"/>
        <v>4032</v>
      </c>
    </row>
    <row r="239" spans="1:8" x14ac:dyDescent="0.25">
      <c r="A239" s="8">
        <v>43068.838437500002</v>
      </c>
      <c r="B239" t="s">
        <v>511</v>
      </c>
      <c r="C239" t="s">
        <v>512</v>
      </c>
      <c r="D239" s="137">
        <v>3810000</v>
      </c>
      <c r="E239" t="s">
        <v>448</v>
      </c>
      <c r="F239" s="20" t="s">
        <v>449</v>
      </c>
      <c r="G239" s="8" t="str">
        <f t="shared" si="6"/>
        <v>LORI SANTOS</v>
      </c>
      <c r="H239" s="20" t="str">
        <f t="shared" si="7"/>
        <v>4032</v>
      </c>
    </row>
    <row r="240" spans="1:8" x14ac:dyDescent="0.25">
      <c r="A240" s="8">
        <v>43068.849236111113</v>
      </c>
      <c r="B240" t="s">
        <v>427</v>
      </c>
      <c r="C240" t="s">
        <v>525</v>
      </c>
      <c r="D240" s="137">
        <v>3220000</v>
      </c>
      <c r="E240" t="s">
        <v>371</v>
      </c>
      <c r="F240" s="20" t="s">
        <v>372</v>
      </c>
      <c r="G240" s="8" t="str">
        <f t="shared" si="6"/>
        <v>RESPASS AARON</v>
      </c>
      <c r="H240" s="20" t="str">
        <f t="shared" si="7"/>
        <v>4025</v>
      </c>
    </row>
    <row r="241" spans="1:8" x14ac:dyDescent="0.25">
      <c r="A241" s="8">
        <v>43068.851145833331</v>
      </c>
      <c r="B241" t="s">
        <v>518</v>
      </c>
      <c r="C241" t="s">
        <v>526</v>
      </c>
      <c r="D241" s="137">
        <v>3310000</v>
      </c>
      <c r="E241" t="s">
        <v>484</v>
      </c>
      <c r="F241" s="20" t="s">
        <v>485</v>
      </c>
      <c r="G241" s="8" t="str">
        <f t="shared" si="6"/>
        <v>ANDERS STEVEN</v>
      </c>
      <c r="H241" s="20" t="str">
        <f t="shared" si="7"/>
        <v>4006</v>
      </c>
    </row>
    <row r="242" spans="1:8" x14ac:dyDescent="0.25">
      <c r="A242" s="8">
        <v>43068.852337962962</v>
      </c>
      <c r="B242" t="s">
        <v>510</v>
      </c>
      <c r="C242" t="s">
        <v>527</v>
      </c>
      <c r="D242" s="137">
        <v>3810000</v>
      </c>
      <c r="E242" t="s">
        <v>448</v>
      </c>
      <c r="F242" s="20" t="s">
        <v>449</v>
      </c>
      <c r="G242" s="8" t="str">
        <f t="shared" si="6"/>
        <v>LORI SANTOS</v>
      </c>
      <c r="H242" s="20" t="str">
        <f t="shared" si="7"/>
        <v>4031</v>
      </c>
    </row>
    <row r="243" spans="1:8" x14ac:dyDescent="0.25">
      <c r="A243" s="8">
        <v>43068.865358796298</v>
      </c>
      <c r="B243" t="s">
        <v>375</v>
      </c>
      <c r="C243" t="s">
        <v>528</v>
      </c>
      <c r="D243" s="137">
        <v>3320000</v>
      </c>
      <c r="E243" t="s">
        <v>361</v>
      </c>
      <c r="F243" s="20" t="s">
        <v>362</v>
      </c>
      <c r="G243" s="8" t="str">
        <f t="shared" si="6"/>
        <v>NICHOLSON WESLEY</v>
      </c>
      <c r="H243" s="20" t="str">
        <f t="shared" si="7"/>
        <v>4022</v>
      </c>
    </row>
    <row r="244" spans="1:8" x14ac:dyDescent="0.25">
      <c r="A244" s="8">
        <v>43068.871365740742</v>
      </c>
      <c r="B244" t="s">
        <v>478</v>
      </c>
      <c r="C244" t="s">
        <v>529</v>
      </c>
      <c r="D244" s="137">
        <v>890000</v>
      </c>
      <c r="E244" t="s">
        <v>345</v>
      </c>
      <c r="F244" s="20" t="s">
        <v>346</v>
      </c>
      <c r="G244" s="8" t="str">
        <f t="shared" si="6"/>
        <v>LOZA FIDEL</v>
      </c>
      <c r="H244" s="20" t="str">
        <f t="shared" si="7"/>
        <v>4001</v>
      </c>
    </row>
    <row r="245" spans="1:8" x14ac:dyDescent="0.25">
      <c r="A245" s="8">
        <v>43068.878553240742</v>
      </c>
      <c r="B245" t="s">
        <v>511</v>
      </c>
      <c r="C245" t="s">
        <v>530</v>
      </c>
      <c r="D245" s="137">
        <v>2000000</v>
      </c>
      <c r="E245" t="s">
        <v>381</v>
      </c>
      <c r="F245" s="20" t="s">
        <v>382</v>
      </c>
      <c r="G245" s="8" t="str">
        <f t="shared" si="6"/>
        <v>STAMBAUGH JAMES</v>
      </c>
      <c r="H245" s="20" t="str">
        <f t="shared" si="7"/>
        <v>4032</v>
      </c>
    </row>
    <row r="246" spans="1:8" x14ac:dyDescent="0.25">
      <c r="A246" s="8">
        <v>43068.890370370369</v>
      </c>
      <c r="B246" t="s">
        <v>428</v>
      </c>
      <c r="C246" t="s">
        <v>531</v>
      </c>
      <c r="D246" s="137">
        <v>3220000</v>
      </c>
      <c r="E246" t="s">
        <v>371</v>
      </c>
      <c r="F246" s="20" t="s">
        <v>372</v>
      </c>
      <c r="G246" s="8" t="str">
        <f t="shared" si="6"/>
        <v>RESPASS AARON</v>
      </c>
      <c r="H246" s="20" t="str">
        <f t="shared" si="7"/>
        <v>4026</v>
      </c>
    </row>
    <row r="247" spans="1:8" x14ac:dyDescent="0.25">
      <c r="A247" s="8">
        <v>43068.891817129632</v>
      </c>
      <c r="B247" t="s">
        <v>513</v>
      </c>
      <c r="C247" t="s">
        <v>514</v>
      </c>
      <c r="D247" s="137">
        <v>3310000</v>
      </c>
      <c r="E247" t="s">
        <v>484</v>
      </c>
      <c r="F247" s="20" t="s">
        <v>485</v>
      </c>
      <c r="G247" s="8" t="str">
        <f t="shared" si="6"/>
        <v>ANDERS STEVEN</v>
      </c>
      <c r="H247" s="20" t="str">
        <f t="shared" si="7"/>
        <v>4005</v>
      </c>
    </row>
    <row r="248" spans="1:8" x14ac:dyDescent="0.25">
      <c r="A248" s="8">
        <v>43068.893067129633</v>
      </c>
      <c r="B248" t="s">
        <v>510</v>
      </c>
      <c r="C248" t="s">
        <v>532</v>
      </c>
      <c r="D248" s="137">
        <v>2000000</v>
      </c>
      <c r="E248" t="s">
        <v>381</v>
      </c>
      <c r="F248" s="20" t="s">
        <v>382</v>
      </c>
      <c r="G248" s="8" t="str">
        <f t="shared" si="6"/>
        <v>STAMBAUGH JAMES</v>
      </c>
      <c r="H248" s="20" t="str">
        <f t="shared" si="7"/>
        <v>4031</v>
      </c>
    </row>
    <row r="249" spans="1:8" x14ac:dyDescent="0.25">
      <c r="A249" s="8">
        <v>43068.904988425929</v>
      </c>
      <c r="B249" t="s">
        <v>477</v>
      </c>
      <c r="C249" t="s">
        <v>533</v>
      </c>
      <c r="D249" s="137">
        <v>890000</v>
      </c>
      <c r="E249" t="s">
        <v>345</v>
      </c>
      <c r="F249" s="20" t="s">
        <v>346</v>
      </c>
      <c r="G249" s="8" t="str">
        <f t="shared" si="6"/>
        <v>LOZA FIDEL</v>
      </c>
      <c r="H249" s="20" t="str">
        <f t="shared" si="7"/>
        <v>4002</v>
      </c>
    </row>
    <row r="250" spans="1:8" x14ac:dyDescent="0.25">
      <c r="A250" s="8">
        <v>43068.913229166668</v>
      </c>
      <c r="B250" t="s">
        <v>441</v>
      </c>
      <c r="C250" t="s">
        <v>534</v>
      </c>
      <c r="D250" s="137">
        <v>3320000</v>
      </c>
      <c r="E250" t="s">
        <v>361</v>
      </c>
      <c r="F250" s="20" t="s">
        <v>362</v>
      </c>
      <c r="G250" s="8" t="str">
        <f t="shared" si="6"/>
        <v>NICHOLSON WESLEY</v>
      </c>
      <c r="H250" s="20" t="str">
        <f t="shared" si="7"/>
        <v>4021</v>
      </c>
    </row>
    <row r="251" spans="1:8" x14ac:dyDescent="0.25">
      <c r="A251" s="8">
        <v>43068.921585648146</v>
      </c>
      <c r="B251" t="s">
        <v>511</v>
      </c>
      <c r="C251" t="s">
        <v>535</v>
      </c>
      <c r="D251" s="137">
        <v>2000000</v>
      </c>
      <c r="E251" t="s">
        <v>381</v>
      </c>
      <c r="F251" s="20" t="s">
        <v>382</v>
      </c>
      <c r="G251" s="8" t="str">
        <f t="shared" si="6"/>
        <v>STAMBAUGH JAMES</v>
      </c>
      <c r="H251" s="20" t="str">
        <f t="shared" si="7"/>
        <v>4032</v>
      </c>
    </row>
    <row r="252" spans="1:8" x14ac:dyDescent="0.25">
      <c r="A252" s="8">
        <v>43068.932928240742</v>
      </c>
      <c r="B252" t="s">
        <v>427</v>
      </c>
      <c r="C252" t="s">
        <v>536</v>
      </c>
      <c r="D252" s="137">
        <v>3220000</v>
      </c>
      <c r="E252" t="s">
        <v>371</v>
      </c>
      <c r="F252" s="20" t="s">
        <v>372</v>
      </c>
      <c r="G252" s="8" t="str">
        <f t="shared" si="6"/>
        <v>RESPASS AARON</v>
      </c>
      <c r="H252" s="20" t="str">
        <f t="shared" si="7"/>
        <v>4025</v>
      </c>
    </row>
    <row r="253" spans="1:8" x14ac:dyDescent="0.25">
      <c r="A253" s="8">
        <v>43068.933634259258</v>
      </c>
      <c r="B253" t="s">
        <v>510</v>
      </c>
      <c r="C253" t="s">
        <v>537</v>
      </c>
      <c r="D253" s="137">
        <v>2000000</v>
      </c>
      <c r="E253" t="s">
        <v>381</v>
      </c>
      <c r="F253" s="20" t="s">
        <v>382</v>
      </c>
      <c r="G253" s="8" t="str">
        <f t="shared" si="6"/>
        <v>STAMBAUGH JAMES</v>
      </c>
      <c r="H253" s="20" t="str">
        <f t="shared" si="7"/>
        <v>4031</v>
      </c>
    </row>
    <row r="254" spans="1:8" x14ac:dyDescent="0.25">
      <c r="A254" s="8">
        <v>43068.936041666668</v>
      </c>
      <c r="B254" t="s">
        <v>518</v>
      </c>
      <c r="C254" t="s">
        <v>538</v>
      </c>
      <c r="D254" s="137">
        <v>3310000</v>
      </c>
      <c r="E254" t="s">
        <v>484</v>
      </c>
      <c r="F254" s="20" t="s">
        <v>485</v>
      </c>
      <c r="G254" s="8" t="str">
        <f t="shared" si="6"/>
        <v>ANDERS STEVEN</v>
      </c>
      <c r="H254" s="20" t="str">
        <f t="shared" si="7"/>
        <v>4006</v>
      </c>
    </row>
    <row r="255" spans="1:8" x14ac:dyDescent="0.25">
      <c r="A255" s="8">
        <v>43068.945405092592</v>
      </c>
      <c r="B255" t="s">
        <v>375</v>
      </c>
      <c r="C255" t="s">
        <v>539</v>
      </c>
      <c r="D255" s="137">
        <v>3320000</v>
      </c>
      <c r="E255" t="s">
        <v>361</v>
      </c>
      <c r="F255" s="20" t="s">
        <v>362</v>
      </c>
      <c r="G255" s="8" t="str">
        <f t="shared" si="6"/>
        <v>NICHOLSON WESLEY</v>
      </c>
      <c r="H255" s="20" t="str">
        <f t="shared" si="7"/>
        <v>4022</v>
      </c>
    </row>
    <row r="256" spans="1:8" x14ac:dyDescent="0.25">
      <c r="A256" s="8">
        <v>43068.952187499999</v>
      </c>
      <c r="B256" t="s">
        <v>478</v>
      </c>
      <c r="C256" t="s">
        <v>540</v>
      </c>
      <c r="D256" s="137">
        <v>890000</v>
      </c>
      <c r="E256" t="s">
        <v>345</v>
      </c>
      <c r="F256" s="20" t="s">
        <v>346</v>
      </c>
      <c r="G256" s="8" t="str">
        <f t="shared" si="6"/>
        <v>LOZA FIDEL</v>
      </c>
      <c r="H256" s="20" t="str">
        <f t="shared" si="7"/>
        <v>4001</v>
      </c>
    </row>
    <row r="257" spans="1:8" x14ac:dyDescent="0.25">
      <c r="A257" s="8">
        <v>43068.961168981485</v>
      </c>
      <c r="B257" t="s">
        <v>511</v>
      </c>
      <c r="C257" t="s">
        <v>541</v>
      </c>
      <c r="D257" s="137">
        <v>2000000</v>
      </c>
      <c r="E257" t="s">
        <v>381</v>
      </c>
      <c r="F257" s="20" t="s">
        <v>382</v>
      </c>
      <c r="G257" s="8" t="str">
        <f t="shared" si="6"/>
        <v>STAMBAUGH JAMES</v>
      </c>
      <c r="H257" s="20" t="str">
        <f t="shared" si="7"/>
        <v>4032</v>
      </c>
    </row>
    <row r="258" spans="1:8" x14ac:dyDescent="0.25">
      <c r="A258" s="8">
        <v>43068.974456018521</v>
      </c>
      <c r="B258" t="s">
        <v>428</v>
      </c>
      <c r="C258" t="s">
        <v>542</v>
      </c>
      <c r="D258" s="137">
        <v>3220000</v>
      </c>
      <c r="E258" t="s">
        <v>371</v>
      </c>
      <c r="F258" s="20" t="s">
        <v>372</v>
      </c>
      <c r="G258" s="8" t="str">
        <f t="shared" si="6"/>
        <v>RESPASS AARON</v>
      </c>
      <c r="H258" s="20" t="str">
        <f t="shared" si="7"/>
        <v>4026</v>
      </c>
    </row>
    <row r="259" spans="1:8" x14ac:dyDescent="0.25">
      <c r="A259" s="8">
        <v>43068.975543981483</v>
      </c>
      <c r="B259" t="s">
        <v>510</v>
      </c>
      <c r="C259" t="s">
        <v>543</v>
      </c>
      <c r="D259" s="137">
        <v>2000000</v>
      </c>
      <c r="E259" t="s">
        <v>381</v>
      </c>
      <c r="F259" s="20" t="s">
        <v>382</v>
      </c>
      <c r="G259" s="8" t="str">
        <f t="shared" ref="G259:G313" si="8">E259&amp;" "&amp;F259</f>
        <v>STAMBAUGH JAMES</v>
      </c>
      <c r="H259" s="20" t="str">
        <f t="shared" ref="H259:H313" si="9">MID(B259,13,4)</f>
        <v>4031</v>
      </c>
    </row>
    <row r="260" spans="1:8" x14ac:dyDescent="0.25">
      <c r="A260" s="8">
        <v>43068.975706018522</v>
      </c>
      <c r="B260" t="s">
        <v>513</v>
      </c>
      <c r="C260" t="s">
        <v>544</v>
      </c>
      <c r="D260" s="137">
        <v>3310000</v>
      </c>
      <c r="E260" t="s">
        <v>484</v>
      </c>
      <c r="F260" s="20" t="s">
        <v>485</v>
      </c>
      <c r="G260" s="8" t="str">
        <f t="shared" si="8"/>
        <v>ANDERS STEVEN</v>
      </c>
      <c r="H260" s="20" t="str">
        <f t="shared" si="9"/>
        <v>4005</v>
      </c>
    </row>
    <row r="261" spans="1:8" x14ac:dyDescent="0.25">
      <c r="A261" s="8">
        <v>43068.986145833333</v>
      </c>
      <c r="B261" t="s">
        <v>477</v>
      </c>
      <c r="C261" t="s">
        <v>545</v>
      </c>
      <c r="D261" s="137">
        <v>890000</v>
      </c>
      <c r="E261" t="s">
        <v>345</v>
      </c>
      <c r="F261" s="20" t="s">
        <v>346</v>
      </c>
      <c r="G261" s="8" t="str">
        <f t="shared" si="8"/>
        <v>LOZA FIDEL</v>
      </c>
      <c r="H261" s="20" t="str">
        <f t="shared" si="9"/>
        <v>4002</v>
      </c>
    </row>
    <row r="262" spans="1:8" x14ac:dyDescent="0.25">
      <c r="A262" s="8">
        <v>43068.990578703706</v>
      </c>
      <c r="B262" t="s">
        <v>441</v>
      </c>
      <c r="C262" t="s">
        <v>546</v>
      </c>
      <c r="D262" s="137">
        <v>3320000</v>
      </c>
      <c r="E262" t="s">
        <v>361</v>
      </c>
      <c r="F262" s="20" t="s">
        <v>362</v>
      </c>
      <c r="G262" s="8" t="str">
        <f t="shared" si="8"/>
        <v>NICHOLSON WESLEY</v>
      </c>
      <c r="H262" s="20" t="str">
        <f t="shared" si="9"/>
        <v>4021</v>
      </c>
    </row>
    <row r="263" spans="1:8" x14ac:dyDescent="0.25">
      <c r="A263" s="8">
        <v>43069.015138888892</v>
      </c>
      <c r="B263" t="s">
        <v>427</v>
      </c>
      <c r="C263" t="s">
        <v>547</v>
      </c>
      <c r="D263" s="137">
        <v>3220000</v>
      </c>
      <c r="E263" t="s">
        <v>371</v>
      </c>
      <c r="F263" s="20" t="s">
        <v>372</v>
      </c>
      <c r="G263" s="8" t="str">
        <f t="shared" si="8"/>
        <v>RESPASS AARON</v>
      </c>
      <c r="H263" s="20" t="str">
        <f t="shared" si="9"/>
        <v>4025</v>
      </c>
    </row>
    <row r="264" spans="1:8" x14ac:dyDescent="0.25">
      <c r="A264" s="8">
        <v>43069.019780092596</v>
      </c>
      <c r="B264" t="s">
        <v>518</v>
      </c>
      <c r="C264" t="s">
        <v>548</v>
      </c>
      <c r="D264" s="137">
        <v>3310000</v>
      </c>
      <c r="E264" t="s">
        <v>484</v>
      </c>
      <c r="F264" s="20" t="s">
        <v>485</v>
      </c>
      <c r="G264" s="8" t="str">
        <f t="shared" si="8"/>
        <v>ANDERS STEVEN</v>
      </c>
      <c r="H264" s="20" t="str">
        <f t="shared" si="9"/>
        <v>4006</v>
      </c>
    </row>
    <row r="265" spans="1:8" x14ac:dyDescent="0.25">
      <c r="A265" s="8">
        <v>43069.029178240744</v>
      </c>
      <c r="B265" t="s">
        <v>375</v>
      </c>
      <c r="C265" t="s">
        <v>549</v>
      </c>
      <c r="D265" s="137">
        <v>3320000</v>
      </c>
      <c r="E265" t="s">
        <v>361</v>
      </c>
      <c r="F265" s="20" t="s">
        <v>362</v>
      </c>
      <c r="G265" s="8" t="str">
        <f t="shared" si="8"/>
        <v>NICHOLSON WESLEY</v>
      </c>
      <c r="H265" s="20" t="str">
        <f t="shared" si="9"/>
        <v>4022</v>
      </c>
    </row>
    <row r="266" spans="1:8" x14ac:dyDescent="0.25">
      <c r="A266" s="8">
        <v>43069.038206018522</v>
      </c>
      <c r="B266" t="s">
        <v>478</v>
      </c>
      <c r="C266" t="s">
        <v>550</v>
      </c>
      <c r="D266" s="137">
        <v>890000</v>
      </c>
      <c r="E266" t="s">
        <v>345</v>
      </c>
      <c r="F266" s="20" t="s">
        <v>346</v>
      </c>
      <c r="G266" s="8" t="str">
        <f t="shared" si="8"/>
        <v>LOZA FIDEL</v>
      </c>
      <c r="H266" s="20" t="str">
        <f t="shared" si="9"/>
        <v>4001</v>
      </c>
    </row>
    <row r="267" spans="1:8" x14ac:dyDescent="0.25">
      <c r="A267" s="8">
        <v>43069.046111111114</v>
      </c>
      <c r="B267" t="s">
        <v>428</v>
      </c>
      <c r="C267" t="s">
        <v>551</v>
      </c>
      <c r="D267" s="137">
        <v>3220000</v>
      </c>
      <c r="E267" t="s">
        <v>371</v>
      </c>
      <c r="F267" s="20" t="s">
        <v>372</v>
      </c>
      <c r="G267" s="8" t="str">
        <f t="shared" si="8"/>
        <v>RESPASS AARON</v>
      </c>
      <c r="H267" s="20" t="str">
        <f t="shared" si="9"/>
        <v>4026</v>
      </c>
    </row>
    <row r="268" spans="1:8" x14ac:dyDescent="0.25">
      <c r="A268" s="8">
        <v>43069.050173611111</v>
      </c>
      <c r="B268" t="s">
        <v>513</v>
      </c>
      <c r="C268" t="s">
        <v>515</v>
      </c>
      <c r="D268" s="137">
        <v>3310000</v>
      </c>
      <c r="E268" t="s">
        <v>484</v>
      </c>
      <c r="F268" s="20" t="s">
        <v>485</v>
      </c>
      <c r="G268" s="8" t="str">
        <f t="shared" si="8"/>
        <v>ANDERS STEVEN</v>
      </c>
      <c r="H268" s="20" t="str">
        <f t="shared" si="9"/>
        <v>4005</v>
      </c>
    </row>
    <row r="269" spans="1:8" x14ac:dyDescent="0.25">
      <c r="A269" s="8">
        <v>43069.067777777775</v>
      </c>
      <c r="B269" t="s">
        <v>477</v>
      </c>
      <c r="C269" t="s">
        <v>552</v>
      </c>
      <c r="D269" s="137">
        <v>890000</v>
      </c>
      <c r="E269" t="s">
        <v>345</v>
      </c>
      <c r="F269" s="20" t="s">
        <v>346</v>
      </c>
      <c r="G269" s="8" t="str">
        <f t="shared" si="8"/>
        <v>LOZA FIDEL</v>
      </c>
      <c r="H269" s="20" t="str">
        <f t="shared" si="9"/>
        <v>4002</v>
      </c>
    </row>
    <row r="270" spans="1:8" x14ac:dyDescent="0.25">
      <c r="A270" s="8">
        <v>43069.090451388889</v>
      </c>
      <c r="B270" t="s">
        <v>518</v>
      </c>
      <c r="C270" t="s">
        <v>553</v>
      </c>
      <c r="D270" s="137">
        <v>3310000</v>
      </c>
      <c r="E270" t="s">
        <v>484</v>
      </c>
      <c r="F270" s="20" t="s">
        <v>485</v>
      </c>
      <c r="G270" s="8" t="str">
        <f t="shared" si="8"/>
        <v>ANDERS STEVEN</v>
      </c>
      <c r="H270" s="20" t="str">
        <f t="shared" si="9"/>
        <v>4006</v>
      </c>
    </row>
    <row r="271" spans="1:8" x14ac:dyDescent="0.25">
      <c r="A271" s="8">
        <v>43069.091400462959</v>
      </c>
      <c r="B271" t="s">
        <v>518</v>
      </c>
      <c r="C271" t="s">
        <v>553</v>
      </c>
      <c r="D271" s="137">
        <v>3310000</v>
      </c>
      <c r="E271" t="s">
        <v>484</v>
      </c>
      <c r="F271" s="20" t="s">
        <v>485</v>
      </c>
      <c r="G271" s="8" t="str">
        <f t="shared" si="8"/>
        <v>ANDERS STEVEN</v>
      </c>
      <c r="H271" s="20" t="str">
        <f t="shared" si="9"/>
        <v>4006</v>
      </c>
    </row>
    <row r="272" spans="1:8" x14ac:dyDescent="0.25">
      <c r="A272" s="8">
        <v>43066.934120370373</v>
      </c>
      <c r="B272" t="s">
        <v>352</v>
      </c>
      <c r="C272" t="s">
        <v>450</v>
      </c>
      <c r="D272" s="137">
        <v>2000000</v>
      </c>
      <c r="E272" t="s">
        <v>381</v>
      </c>
      <c r="F272" s="20" t="s">
        <v>382</v>
      </c>
      <c r="G272" s="8" t="str">
        <f t="shared" si="8"/>
        <v>STAMBAUGH JAMES</v>
      </c>
      <c r="H272" s="20" t="str">
        <f t="shared" si="9"/>
        <v>4055</v>
      </c>
    </row>
    <row r="273" spans="1:8" x14ac:dyDescent="0.25">
      <c r="A273" s="8">
        <v>43066.945567129631</v>
      </c>
      <c r="B273" t="s">
        <v>358</v>
      </c>
      <c r="C273" t="s">
        <v>451</v>
      </c>
      <c r="D273" s="137">
        <v>3340000</v>
      </c>
      <c r="E273" t="s">
        <v>412</v>
      </c>
      <c r="F273" s="20" t="s">
        <v>413</v>
      </c>
      <c r="G273" s="8" t="str">
        <f t="shared" si="8"/>
        <v>ELBAUM MIKE</v>
      </c>
      <c r="H273" s="20" t="str">
        <f t="shared" si="9"/>
        <v>4018</v>
      </c>
    </row>
    <row r="274" spans="1:8" x14ac:dyDescent="0.25">
      <c r="A274" s="8">
        <v>43066.946863425925</v>
      </c>
      <c r="B274" t="s">
        <v>439</v>
      </c>
      <c r="C274" t="s">
        <v>452</v>
      </c>
      <c r="D274" s="137">
        <v>3500000</v>
      </c>
      <c r="E274" t="s">
        <v>369</v>
      </c>
      <c r="F274" s="20" t="s">
        <v>370</v>
      </c>
      <c r="G274" s="8" t="str">
        <f t="shared" si="8"/>
        <v>GUNTHIER ERIC</v>
      </c>
      <c r="H274" s="20" t="str">
        <f t="shared" si="9"/>
        <v>4043</v>
      </c>
    </row>
    <row r="275" spans="1:8" x14ac:dyDescent="0.25">
      <c r="A275" s="8">
        <v>43066.962430555555</v>
      </c>
      <c r="B275" t="s">
        <v>417</v>
      </c>
      <c r="C275" t="s">
        <v>453</v>
      </c>
      <c r="D275" s="137">
        <v>2000000</v>
      </c>
      <c r="E275" t="s">
        <v>381</v>
      </c>
      <c r="F275" s="20" t="s">
        <v>382</v>
      </c>
      <c r="G275" s="8" t="str">
        <f t="shared" si="8"/>
        <v>STAMBAUGH JAMES</v>
      </c>
      <c r="H275" s="20" t="str">
        <f t="shared" si="9"/>
        <v>4056</v>
      </c>
    </row>
    <row r="276" spans="1:8" x14ac:dyDescent="0.25">
      <c r="A276" s="8">
        <v>43066.969027777777</v>
      </c>
      <c r="B276" t="s">
        <v>375</v>
      </c>
      <c r="C276" t="s">
        <v>454</v>
      </c>
      <c r="D276" s="137">
        <v>890000</v>
      </c>
      <c r="E276" t="s">
        <v>345</v>
      </c>
      <c r="F276" s="20" t="s">
        <v>346</v>
      </c>
      <c r="G276" s="8" t="str">
        <f t="shared" si="8"/>
        <v>LOZA FIDEL</v>
      </c>
      <c r="H276" s="20" t="str">
        <f t="shared" si="9"/>
        <v>4022</v>
      </c>
    </row>
    <row r="277" spans="1:8" x14ac:dyDescent="0.25">
      <c r="A277" s="8">
        <v>43066.974097222221</v>
      </c>
      <c r="B277" t="s">
        <v>427</v>
      </c>
      <c r="C277" t="s">
        <v>455</v>
      </c>
      <c r="D277" s="137">
        <v>3040000</v>
      </c>
      <c r="E277" t="s">
        <v>366</v>
      </c>
      <c r="F277" s="20" t="s">
        <v>429</v>
      </c>
      <c r="G277" s="8" t="str">
        <f t="shared" si="8"/>
        <v>WILLIAMS DONTE</v>
      </c>
      <c r="H277" s="20" t="str">
        <f t="shared" si="9"/>
        <v>4025</v>
      </c>
    </row>
    <row r="278" spans="1:8" x14ac:dyDescent="0.25">
      <c r="A278" s="8">
        <v>43066.974907407406</v>
      </c>
      <c r="B278" t="s">
        <v>352</v>
      </c>
      <c r="C278" t="s">
        <v>456</v>
      </c>
      <c r="D278" s="137">
        <v>2000000</v>
      </c>
      <c r="E278" t="s">
        <v>381</v>
      </c>
      <c r="F278" s="20" t="s">
        <v>382</v>
      </c>
      <c r="G278" s="8" t="str">
        <f t="shared" si="8"/>
        <v>STAMBAUGH JAMES</v>
      </c>
      <c r="H278" s="20" t="str">
        <f t="shared" si="9"/>
        <v>4055</v>
      </c>
    </row>
    <row r="279" spans="1:8" x14ac:dyDescent="0.25">
      <c r="A279" s="8">
        <v>43066.986979166664</v>
      </c>
      <c r="B279" t="s">
        <v>360</v>
      </c>
      <c r="C279" t="s">
        <v>457</v>
      </c>
      <c r="D279" s="137">
        <v>3340000</v>
      </c>
      <c r="E279" t="s">
        <v>412</v>
      </c>
      <c r="F279" s="20" t="s">
        <v>413</v>
      </c>
      <c r="G279" s="8" t="str">
        <f t="shared" si="8"/>
        <v>ELBAUM MIKE</v>
      </c>
      <c r="H279" s="20" t="str">
        <f t="shared" si="9"/>
        <v>4017</v>
      </c>
    </row>
    <row r="280" spans="1:8" x14ac:dyDescent="0.25">
      <c r="A280" s="8">
        <v>43066.992754629631</v>
      </c>
      <c r="B280" t="s">
        <v>438</v>
      </c>
      <c r="C280" t="s">
        <v>458</v>
      </c>
      <c r="D280" s="137">
        <v>3220000</v>
      </c>
      <c r="E280" t="s">
        <v>371</v>
      </c>
      <c r="F280" s="20" t="s">
        <v>372</v>
      </c>
      <c r="G280" s="8" t="str">
        <f t="shared" si="8"/>
        <v>RESPASS AARON</v>
      </c>
      <c r="H280" s="20" t="str">
        <f t="shared" si="9"/>
        <v>4044</v>
      </c>
    </row>
    <row r="281" spans="1:8" x14ac:dyDescent="0.25">
      <c r="A281" s="8">
        <v>43067.015798611108</v>
      </c>
      <c r="B281" t="s">
        <v>441</v>
      </c>
      <c r="C281" t="s">
        <v>459</v>
      </c>
      <c r="D281" s="137">
        <v>890000</v>
      </c>
      <c r="E281" t="s">
        <v>345</v>
      </c>
      <c r="F281" s="20" t="s">
        <v>346</v>
      </c>
      <c r="G281" s="8" t="str">
        <f t="shared" si="8"/>
        <v>LOZA FIDEL</v>
      </c>
      <c r="H281" s="20" t="str">
        <f t="shared" si="9"/>
        <v>4021</v>
      </c>
    </row>
    <row r="282" spans="1:8" x14ac:dyDescent="0.25">
      <c r="A282" s="8">
        <v>43067.017256944448</v>
      </c>
      <c r="B282" t="s">
        <v>428</v>
      </c>
      <c r="C282" t="s">
        <v>460</v>
      </c>
      <c r="D282" s="137">
        <v>3040000</v>
      </c>
      <c r="E282" t="s">
        <v>366</v>
      </c>
      <c r="F282" s="20" t="s">
        <v>429</v>
      </c>
      <c r="G282" s="8" t="str">
        <f t="shared" si="8"/>
        <v>WILLIAMS DONTE</v>
      </c>
      <c r="H282" s="20" t="str">
        <f t="shared" si="9"/>
        <v>4026</v>
      </c>
    </row>
    <row r="283" spans="1:8" x14ac:dyDescent="0.25">
      <c r="A283" s="8">
        <v>43067.025405092594</v>
      </c>
      <c r="B283" t="s">
        <v>358</v>
      </c>
      <c r="C283" t="s">
        <v>461</v>
      </c>
      <c r="D283" s="137">
        <v>3340000</v>
      </c>
      <c r="E283" t="s">
        <v>412</v>
      </c>
      <c r="F283" s="20" t="s">
        <v>413</v>
      </c>
      <c r="G283" s="8" t="str">
        <f t="shared" si="8"/>
        <v>ELBAUM MIKE</v>
      </c>
      <c r="H283" s="20" t="str">
        <f t="shared" si="9"/>
        <v>4018</v>
      </c>
    </row>
    <row r="284" spans="1:8" x14ac:dyDescent="0.25">
      <c r="A284" s="8">
        <v>43067.035092592596</v>
      </c>
      <c r="B284" t="s">
        <v>439</v>
      </c>
      <c r="C284" t="s">
        <v>462</v>
      </c>
      <c r="D284" s="137">
        <v>3220000</v>
      </c>
      <c r="E284" t="s">
        <v>371</v>
      </c>
      <c r="F284" s="20" t="s">
        <v>372</v>
      </c>
      <c r="G284" s="8" t="str">
        <f t="shared" si="8"/>
        <v>RESPASS AARON</v>
      </c>
      <c r="H284" s="20" t="str">
        <f t="shared" si="9"/>
        <v>4043</v>
      </c>
    </row>
    <row r="285" spans="1:8" x14ac:dyDescent="0.25">
      <c r="A285" s="8">
        <v>43067.0469212963</v>
      </c>
      <c r="B285" t="s">
        <v>375</v>
      </c>
      <c r="C285" t="s">
        <v>440</v>
      </c>
      <c r="D285" s="137">
        <v>890000</v>
      </c>
      <c r="E285" t="s">
        <v>345</v>
      </c>
      <c r="F285" s="20" t="s">
        <v>346</v>
      </c>
      <c r="G285" s="8" t="str">
        <f t="shared" si="8"/>
        <v>LOZA FIDEL</v>
      </c>
      <c r="H285" s="20" t="str">
        <f t="shared" si="9"/>
        <v>4022</v>
      </c>
    </row>
    <row r="286" spans="1:8" x14ac:dyDescent="0.25">
      <c r="A286" s="8">
        <v>43067.056122685186</v>
      </c>
      <c r="B286" t="s">
        <v>427</v>
      </c>
      <c r="C286" t="s">
        <v>463</v>
      </c>
      <c r="D286" s="137">
        <v>3040000</v>
      </c>
      <c r="E286" t="s">
        <v>366</v>
      </c>
      <c r="F286" s="20" t="s">
        <v>429</v>
      </c>
      <c r="G286" s="8" t="str">
        <f t="shared" si="8"/>
        <v>WILLIAMS DONTE</v>
      </c>
      <c r="H286" s="20" t="str">
        <f t="shared" si="9"/>
        <v>4025</v>
      </c>
    </row>
    <row r="287" spans="1:8" x14ac:dyDescent="0.25">
      <c r="A287" s="8">
        <v>43067.066620370373</v>
      </c>
      <c r="B287" t="s">
        <v>438</v>
      </c>
      <c r="C287" t="s">
        <v>464</v>
      </c>
      <c r="D287" s="137">
        <v>3220000</v>
      </c>
      <c r="E287" t="s">
        <v>371</v>
      </c>
      <c r="F287" s="20" t="s">
        <v>372</v>
      </c>
      <c r="G287" s="8" t="str">
        <f t="shared" si="8"/>
        <v>RESPASS AARON</v>
      </c>
      <c r="H287" s="20" t="str">
        <f t="shared" si="9"/>
        <v>4044</v>
      </c>
    </row>
    <row r="288" spans="1:8" x14ac:dyDescent="0.25">
      <c r="A288" s="8">
        <v>43067.08871527778</v>
      </c>
      <c r="B288" t="s">
        <v>428</v>
      </c>
      <c r="C288" t="s">
        <v>465</v>
      </c>
      <c r="D288" s="137">
        <v>3040000</v>
      </c>
      <c r="E288" t="s">
        <v>366</v>
      </c>
      <c r="F288" s="20" t="s">
        <v>429</v>
      </c>
      <c r="G288" s="8" t="str">
        <f t="shared" si="8"/>
        <v>WILLIAMS DONTE</v>
      </c>
      <c r="H288" s="20" t="str">
        <f t="shared" si="9"/>
        <v>4026</v>
      </c>
    </row>
    <row r="289" spans="1:8" x14ac:dyDescent="0.25">
      <c r="A289" s="8">
        <v>43039.891932870371</v>
      </c>
      <c r="B289" t="s">
        <v>365</v>
      </c>
      <c r="C289" t="s">
        <v>385</v>
      </c>
      <c r="D289" s="137">
        <v>2040000</v>
      </c>
      <c r="E289" t="s">
        <v>383</v>
      </c>
      <c r="F289" s="20" t="s">
        <v>384</v>
      </c>
      <c r="G289" s="8" t="str">
        <f t="shared" si="8"/>
        <v>MOSES BRADLEY</v>
      </c>
      <c r="H289" s="20" t="str">
        <f t="shared" si="9"/>
        <v>4035</v>
      </c>
    </row>
    <row r="290" spans="1:8" x14ac:dyDescent="0.25">
      <c r="A290" s="8">
        <v>43039.893888888888</v>
      </c>
      <c r="B290" t="s">
        <v>376</v>
      </c>
      <c r="C290" t="s">
        <v>386</v>
      </c>
      <c r="D290" s="137">
        <v>2000000</v>
      </c>
      <c r="E290" t="s">
        <v>381</v>
      </c>
      <c r="F290" s="20" t="s">
        <v>382</v>
      </c>
      <c r="G290" s="8" t="str">
        <f t="shared" si="8"/>
        <v>STAMBAUGH JAMES</v>
      </c>
      <c r="H290" s="20" t="str">
        <f t="shared" si="9"/>
        <v>4061</v>
      </c>
    </row>
    <row r="291" spans="1:8" x14ac:dyDescent="0.25">
      <c r="A291" s="8">
        <v>43039.904629629629</v>
      </c>
      <c r="B291" t="s">
        <v>367</v>
      </c>
      <c r="C291" t="s">
        <v>387</v>
      </c>
      <c r="D291" s="137">
        <v>3320000</v>
      </c>
      <c r="E291" t="s">
        <v>361</v>
      </c>
      <c r="F291" s="20" t="s">
        <v>362</v>
      </c>
      <c r="G291" s="8" t="str">
        <f t="shared" si="8"/>
        <v>NICHOLSON WESLEY</v>
      </c>
      <c r="H291" s="20" t="str">
        <f t="shared" si="9"/>
        <v>4012</v>
      </c>
    </row>
    <row r="292" spans="1:8" x14ac:dyDescent="0.25">
      <c r="A292" s="8">
        <v>43039.90934027778</v>
      </c>
      <c r="B292" t="s">
        <v>359</v>
      </c>
      <c r="C292" t="s">
        <v>388</v>
      </c>
      <c r="D292" s="137">
        <v>3500000</v>
      </c>
      <c r="E292" t="s">
        <v>369</v>
      </c>
      <c r="F292" s="20" t="s">
        <v>370</v>
      </c>
      <c r="G292" s="8" t="str">
        <f t="shared" si="8"/>
        <v>GUNTHIER ERIC</v>
      </c>
      <c r="H292" s="20" t="str">
        <f t="shared" si="9"/>
        <v>4007</v>
      </c>
    </row>
    <row r="293" spans="1:8" x14ac:dyDescent="0.25">
      <c r="A293" s="8">
        <v>43039.915127314816</v>
      </c>
      <c r="B293" t="s">
        <v>374</v>
      </c>
      <c r="C293" t="s">
        <v>389</v>
      </c>
      <c r="D293" s="137">
        <v>3220000</v>
      </c>
      <c r="E293" t="s">
        <v>371</v>
      </c>
      <c r="F293" s="20" t="s">
        <v>372</v>
      </c>
      <c r="G293" s="8" t="str">
        <f t="shared" si="8"/>
        <v>RESPASS AARON</v>
      </c>
      <c r="H293" s="20" t="str">
        <f t="shared" si="9"/>
        <v>4062</v>
      </c>
    </row>
    <row r="294" spans="1:8" x14ac:dyDescent="0.25">
      <c r="A294" s="8">
        <v>43039.926076388889</v>
      </c>
      <c r="B294" t="s">
        <v>377</v>
      </c>
      <c r="C294" t="s">
        <v>378</v>
      </c>
      <c r="D294" s="137">
        <v>3670000</v>
      </c>
      <c r="E294" t="s">
        <v>373</v>
      </c>
      <c r="F294" s="20" t="s">
        <v>366</v>
      </c>
      <c r="G294" s="8" t="str">
        <f t="shared" si="8"/>
        <v>ANDREA WILLIAMS</v>
      </c>
      <c r="H294" s="20" t="str">
        <f t="shared" si="9"/>
        <v>4029</v>
      </c>
    </row>
    <row r="295" spans="1:8" x14ac:dyDescent="0.25">
      <c r="A295" s="8">
        <v>43039.936041666668</v>
      </c>
      <c r="B295" t="s">
        <v>364</v>
      </c>
      <c r="C295" t="s">
        <v>390</v>
      </c>
      <c r="D295" s="137">
        <v>2040000</v>
      </c>
      <c r="E295" t="s">
        <v>383</v>
      </c>
      <c r="F295" s="20" t="s">
        <v>384</v>
      </c>
      <c r="G295" s="8" t="str">
        <f t="shared" si="8"/>
        <v>MOSES BRADLEY</v>
      </c>
      <c r="H295" s="20" t="str">
        <f t="shared" si="9"/>
        <v>4036</v>
      </c>
    </row>
    <row r="296" spans="1:8" x14ac:dyDescent="0.25">
      <c r="A296" s="8">
        <v>43039.945428240739</v>
      </c>
      <c r="B296" t="s">
        <v>376</v>
      </c>
      <c r="C296" t="s">
        <v>391</v>
      </c>
      <c r="D296" s="137">
        <v>3220000</v>
      </c>
      <c r="E296" t="s">
        <v>371</v>
      </c>
      <c r="F296" s="20" t="s">
        <v>372</v>
      </c>
      <c r="G296" s="8" t="str">
        <f t="shared" si="8"/>
        <v>RESPASS AARON</v>
      </c>
      <c r="H296" s="20" t="str">
        <f t="shared" si="9"/>
        <v>4061</v>
      </c>
    </row>
    <row r="297" spans="1:8" x14ac:dyDescent="0.25">
      <c r="A297" s="8">
        <v>43039.951365740744</v>
      </c>
      <c r="B297" t="s">
        <v>357</v>
      </c>
      <c r="C297" t="s">
        <v>392</v>
      </c>
      <c r="D297" s="137">
        <v>3500000</v>
      </c>
      <c r="E297" t="s">
        <v>369</v>
      </c>
      <c r="F297" s="20" t="s">
        <v>370</v>
      </c>
      <c r="G297" s="8" t="str">
        <f t="shared" si="8"/>
        <v>GUNTHIER ERIC</v>
      </c>
      <c r="H297" s="20" t="str">
        <f t="shared" si="9"/>
        <v>4008</v>
      </c>
    </row>
    <row r="298" spans="1:8" x14ac:dyDescent="0.25">
      <c r="A298" s="8">
        <v>43039.95175925926</v>
      </c>
      <c r="B298" t="s">
        <v>368</v>
      </c>
      <c r="C298" t="s">
        <v>393</v>
      </c>
      <c r="D298" s="137">
        <v>3320000</v>
      </c>
      <c r="E298" t="s">
        <v>361</v>
      </c>
      <c r="F298" s="20" t="s">
        <v>362</v>
      </c>
      <c r="G298" s="8" t="str">
        <f t="shared" si="8"/>
        <v>NICHOLSON WESLEY</v>
      </c>
      <c r="H298" s="20" t="str">
        <f t="shared" si="9"/>
        <v>4011</v>
      </c>
    </row>
    <row r="299" spans="1:8" x14ac:dyDescent="0.25">
      <c r="A299" s="8">
        <v>43039.962673611109</v>
      </c>
      <c r="B299" t="s">
        <v>374</v>
      </c>
      <c r="C299" t="s">
        <v>394</v>
      </c>
      <c r="D299" s="137">
        <v>2000000</v>
      </c>
      <c r="E299" t="s">
        <v>381</v>
      </c>
      <c r="F299" s="20" t="s">
        <v>382</v>
      </c>
      <c r="G299" s="8" t="str">
        <f t="shared" si="8"/>
        <v>STAMBAUGH JAMES</v>
      </c>
      <c r="H299" s="20" t="str">
        <f t="shared" si="9"/>
        <v>4062</v>
      </c>
    </row>
    <row r="300" spans="1:8" x14ac:dyDescent="0.25">
      <c r="A300" s="8">
        <v>43039.966550925928</v>
      </c>
      <c r="B300" t="s">
        <v>380</v>
      </c>
      <c r="C300" t="s">
        <v>395</v>
      </c>
      <c r="D300" s="137">
        <v>3670000</v>
      </c>
      <c r="E300" t="s">
        <v>373</v>
      </c>
      <c r="F300" s="20" t="s">
        <v>366</v>
      </c>
      <c r="G300" s="8" t="str">
        <f t="shared" si="8"/>
        <v>ANDREA WILLIAMS</v>
      </c>
      <c r="H300" s="20" t="str">
        <f t="shared" si="9"/>
        <v>4030</v>
      </c>
    </row>
    <row r="301" spans="1:8" x14ac:dyDescent="0.25">
      <c r="A301" s="8">
        <v>43039.974039351851</v>
      </c>
      <c r="B301" t="s">
        <v>365</v>
      </c>
      <c r="C301" t="s">
        <v>396</v>
      </c>
      <c r="D301" s="137">
        <v>2040000</v>
      </c>
      <c r="E301" t="s">
        <v>383</v>
      </c>
      <c r="F301" s="20" t="s">
        <v>384</v>
      </c>
      <c r="G301" s="8" t="str">
        <f t="shared" si="8"/>
        <v>MOSES BRADLEY</v>
      </c>
      <c r="H301" s="20" t="str">
        <f t="shared" si="9"/>
        <v>4035</v>
      </c>
    </row>
    <row r="302" spans="1:8" x14ac:dyDescent="0.25">
      <c r="A302" s="8">
        <v>43039.975474537037</v>
      </c>
      <c r="B302" t="s">
        <v>376</v>
      </c>
      <c r="C302" t="s">
        <v>397</v>
      </c>
      <c r="D302" s="137">
        <v>2000000</v>
      </c>
      <c r="E302" t="s">
        <v>381</v>
      </c>
      <c r="F302" s="20" t="s">
        <v>382</v>
      </c>
      <c r="G302" s="8" t="str">
        <f t="shared" si="8"/>
        <v>STAMBAUGH JAMES</v>
      </c>
      <c r="H302" s="20" t="str">
        <f t="shared" si="9"/>
        <v>4061</v>
      </c>
    </row>
    <row r="303" spans="1:8" x14ac:dyDescent="0.25">
      <c r="A303" s="8">
        <v>43039.989895833336</v>
      </c>
      <c r="B303" t="s">
        <v>359</v>
      </c>
      <c r="C303" t="s">
        <v>379</v>
      </c>
      <c r="D303" s="137">
        <v>3500000</v>
      </c>
      <c r="E303" t="s">
        <v>369</v>
      </c>
      <c r="F303" s="20" t="s">
        <v>370</v>
      </c>
      <c r="G303" s="8" t="str">
        <f t="shared" si="8"/>
        <v>GUNTHIER ERIC</v>
      </c>
      <c r="H303" s="20" t="str">
        <f t="shared" si="9"/>
        <v>4007</v>
      </c>
    </row>
    <row r="304" spans="1:8" x14ac:dyDescent="0.25">
      <c r="A304" s="8">
        <v>43039.991041666668</v>
      </c>
      <c r="B304" t="s">
        <v>367</v>
      </c>
      <c r="C304" t="s">
        <v>398</v>
      </c>
      <c r="D304" s="137">
        <v>3320000</v>
      </c>
      <c r="E304" t="s">
        <v>361</v>
      </c>
      <c r="F304" s="20" t="s">
        <v>362</v>
      </c>
      <c r="G304" s="8" t="str">
        <f t="shared" si="8"/>
        <v>NICHOLSON WESLEY</v>
      </c>
      <c r="H304" s="20" t="str">
        <f t="shared" si="9"/>
        <v>4012</v>
      </c>
    </row>
    <row r="305" spans="1:8" x14ac:dyDescent="0.25">
      <c r="A305" s="8">
        <v>43040.010729166665</v>
      </c>
      <c r="B305" t="s">
        <v>377</v>
      </c>
      <c r="C305" t="s">
        <v>399</v>
      </c>
      <c r="D305" s="137">
        <v>3670000</v>
      </c>
      <c r="E305" t="s">
        <v>373</v>
      </c>
      <c r="F305" s="20" t="s">
        <v>366</v>
      </c>
      <c r="G305" s="8" t="str">
        <f t="shared" si="8"/>
        <v>ANDREA WILLIAMS</v>
      </c>
      <c r="H305" s="20" t="str">
        <f t="shared" si="9"/>
        <v>4029</v>
      </c>
    </row>
    <row r="306" spans="1:8" x14ac:dyDescent="0.25">
      <c r="A306" s="8">
        <v>43040.017592592594</v>
      </c>
      <c r="B306" t="s">
        <v>364</v>
      </c>
      <c r="C306" t="s">
        <v>400</v>
      </c>
      <c r="D306" s="137">
        <v>2040000</v>
      </c>
      <c r="E306" t="s">
        <v>383</v>
      </c>
      <c r="F306" s="20" t="s">
        <v>384</v>
      </c>
      <c r="G306" s="8" t="str">
        <f t="shared" si="8"/>
        <v>MOSES BRADLEY</v>
      </c>
      <c r="H306" s="20" t="str">
        <f t="shared" si="9"/>
        <v>4036</v>
      </c>
    </row>
    <row r="307" spans="1:8" x14ac:dyDescent="0.25">
      <c r="A307" s="8">
        <v>43040.028287037036</v>
      </c>
      <c r="B307" t="s">
        <v>357</v>
      </c>
      <c r="C307" t="s">
        <v>401</v>
      </c>
      <c r="D307" s="137">
        <v>3500000</v>
      </c>
      <c r="E307" t="s">
        <v>369</v>
      </c>
      <c r="F307" s="20" t="s">
        <v>370</v>
      </c>
      <c r="G307" s="8" t="str">
        <f t="shared" si="8"/>
        <v>GUNTHIER ERIC</v>
      </c>
      <c r="H307" s="20" t="str">
        <f t="shared" si="9"/>
        <v>4008</v>
      </c>
    </row>
    <row r="308" spans="1:8" x14ac:dyDescent="0.25">
      <c r="A308" s="8">
        <v>43040.031851851854</v>
      </c>
      <c r="B308" t="s">
        <v>368</v>
      </c>
      <c r="C308" t="s">
        <v>402</v>
      </c>
      <c r="D308" s="137">
        <v>3320000</v>
      </c>
      <c r="E308" t="s">
        <v>361</v>
      </c>
      <c r="F308" s="20" t="s">
        <v>362</v>
      </c>
      <c r="G308" s="8" t="str">
        <f t="shared" si="8"/>
        <v>NICHOLSON WESLEY</v>
      </c>
      <c r="H308" s="20" t="str">
        <f t="shared" si="9"/>
        <v>4011</v>
      </c>
    </row>
    <row r="309" spans="1:8" x14ac:dyDescent="0.25">
      <c r="A309" s="8">
        <v>43040.047708333332</v>
      </c>
      <c r="B309" t="s">
        <v>380</v>
      </c>
      <c r="C309" t="s">
        <v>403</v>
      </c>
      <c r="D309" s="137">
        <v>3670000</v>
      </c>
      <c r="E309" t="s">
        <v>373</v>
      </c>
      <c r="F309" s="20" t="s">
        <v>366</v>
      </c>
      <c r="G309" s="8" t="str">
        <f t="shared" si="8"/>
        <v>ANDREA WILLIAMS</v>
      </c>
      <c r="H309" s="20" t="str">
        <f t="shared" si="9"/>
        <v>4030</v>
      </c>
    </row>
    <row r="310" spans="1:8" x14ac:dyDescent="0.25">
      <c r="A310" s="8">
        <v>43040.057928240742</v>
      </c>
      <c r="B310" t="s">
        <v>365</v>
      </c>
      <c r="C310" t="s">
        <v>404</v>
      </c>
      <c r="D310" s="137">
        <v>2040000</v>
      </c>
      <c r="E310" t="s">
        <v>383</v>
      </c>
      <c r="F310" s="20" t="s">
        <v>384</v>
      </c>
      <c r="G310" s="8" t="str">
        <f t="shared" si="8"/>
        <v>MOSES BRADLEY</v>
      </c>
      <c r="H310" s="20" t="str">
        <f t="shared" si="9"/>
        <v>4035</v>
      </c>
    </row>
    <row r="311" spans="1:8" x14ac:dyDescent="0.25">
      <c r="A311" s="8">
        <v>43040.072083333333</v>
      </c>
      <c r="B311" t="s">
        <v>367</v>
      </c>
      <c r="C311" t="s">
        <v>405</v>
      </c>
      <c r="D311" s="137">
        <v>3320000</v>
      </c>
      <c r="E311" t="s">
        <v>361</v>
      </c>
      <c r="F311" s="20" t="s">
        <v>362</v>
      </c>
      <c r="G311" s="8" t="str">
        <f t="shared" si="8"/>
        <v>NICHOLSON WESLEY</v>
      </c>
      <c r="H311" s="20" t="str">
        <f t="shared" si="9"/>
        <v>4012</v>
      </c>
    </row>
    <row r="312" spans="1:8" x14ac:dyDescent="0.25">
      <c r="A312" s="8">
        <v>43040.088807870372</v>
      </c>
      <c r="B312" t="s">
        <v>364</v>
      </c>
      <c r="C312" t="s">
        <v>406</v>
      </c>
      <c r="D312" s="137">
        <v>2040000</v>
      </c>
      <c r="E312" t="s">
        <v>383</v>
      </c>
      <c r="F312" s="20" t="s">
        <v>384</v>
      </c>
      <c r="G312" s="8" t="str">
        <f t="shared" si="8"/>
        <v>MOSES BRADLEY</v>
      </c>
      <c r="H312" s="20" t="str">
        <f t="shared" si="9"/>
        <v>4036</v>
      </c>
    </row>
    <row r="313" spans="1:8" x14ac:dyDescent="0.25">
      <c r="A313" s="8">
        <v>43028.111273148148</v>
      </c>
      <c r="B313" t="s">
        <v>352</v>
      </c>
      <c r="C313" t="s">
        <v>363</v>
      </c>
      <c r="D313" s="137">
        <v>1830000</v>
      </c>
      <c r="E313" t="s">
        <v>347</v>
      </c>
      <c r="F313" s="20" t="s">
        <v>348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R29"/>
    </sheetView>
  </sheetViews>
  <sheetFormatPr defaultColWidth="9.140625" defaultRowHeight="15" x14ac:dyDescent="0.25"/>
  <cols>
    <col min="1" max="1" width="22.5703125" style="140" customWidth="1"/>
    <col min="2" max="2" width="8.42578125" style="140" bestFit="1" customWidth="1"/>
    <col min="3" max="3" width="12.5703125" style="140" bestFit="1" customWidth="1"/>
    <col min="4" max="4" width="18.5703125" style="130" bestFit="1" customWidth="1"/>
    <col min="5" max="5" width="9.85546875" style="140" bestFit="1" customWidth="1"/>
    <col min="6" max="6" width="9" style="140" bestFit="1" customWidth="1"/>
    <col min="7" max="7" width="8.85546875" style="140" bestFit="1" customWidth="1"/>
    <col min="8" max="8" width="14" style="140" bestFit="1" customWidth="1"/>
    <col min="9" max="9" width="21.140625" style="140" bestFit="1" customWidth="1"/>
    <col min="10" max="10" width="8.7109375" style="140" bestFit="1" customWidth="1"/>
    <col min="11" max="11" width="11.28515625" style="140" bestFit="1" customWidth="1"/>
    <col min="12" max="12" width="11" style="140" bestFit="1" customWidth="1"/>
    <col min="13" max="13" width="11.28515625" style="140" bestFit="1" customWidth="1"/>
    <col min="14" max="14" width="13.7109375" style="140" bestFit="1" customWidth="1"/>
    <col min="15" max="15" width="14.85546875" style="140" bestFit="1" customWidth="1"/>
    <col min="16" max="16" width="16.7109375" style="140" bestFit="1" customWidth="1"/>
    <col min="17" max="17" width="9.42578125" style="110" bestFit="1" customWidth="1"/>
    <col min="18" max="16384" width="9.140625" style="110"/>
  </cols>
  <sheetData>
    <row r="1" spans="1:20" s="111" customFormat="1" x14ac:dyDescent="0.25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157</v>
      </c>
      <c r="K1" s="217" t="s">
        <v>155</v>
      </c>
      <c r="L1" s="217" t="s">
        <v>150</v>
      </c>
      <c r="M1" s="217" t="s">
        <v>160</v>
      </c>
      <c r="N1" s="217" t="s">
        <v>334</v>
      </c>
      <c r="O1" s="217" t="s">
        <v>154</v>
      </c>
      <c r="P1" s="217" t="s">
        <v>161</v>
      </c>
      <c r="Q1" s="217" t="s">
        <v>335</v>
      </c>
      <c r="R1" s="217" t="s">
        <v>158</v>
      </c>
      <c r="S1"/>
      <c r="T1"/>
    </row>
    <row r="2" spans="1:20" x14ac:dyDescent="0.25">
      <c r="A2" s="195">
        <v>35.71</v>
      </c>
      <c r="B2" s="195">
        <v>0.02</v>
      </c>
      <c r="C2" s="195">
        <v>20.76</v>
      </c>
      <c r="D2" s="8">
        <v>43070</v>
      </c>
      <c r="E2" s="195">
        <v>0.54</v>
      </c>
      <c r="F2" s="195" t="s">
        <v>411</v>
      </c>
      <c r="G2" s="195">
        <v>259.02999999999997</v>
      </c>
      <c r="H2" s="195">
        <v>0</v>
      </c>
      <c r="I2" s="195">
        <v>0</v>
      </c>
      <c r="J2" s="195">
        <v>1015.36</v>
      </c>
      <c r="K2" s="195" t="s">
        <v>410</v>
      </c>
      <c r="L2" s="195">
        <v>35.71</v>
      </c>
      <c r="M2" s="195">
        <v>1512111600</v>
      </c>
      <c r="N2" s="195">
        <v>0</v>
      </c>
      <c r="O2" s="195">
        <v>3.46</v>
      </c>
      <c r="P2" s="195">
        <v>199</v>
      </c>
      <c r="Q2" s="195">
        <v>3.97</v>
      </c>
      <c r="R2" s="195">
        <v>0.88</v>
      </c>
      <c r="S2"/>
      <c r="T2"/>
    </row>
    <row r="3" spans="1:20" x14ac:dyDescent="0.25">
      <c r="A3" s="195">
        <v>34.840000000000003</v>
      </c>
      <c r="B3" s="195">
        <v>7.0000000000000007E-2</v>
      </c>
      <c r="C3" s="195">
        <v>20.38</v>
      </c>
      <c r="D3" s="8">
        <v>43070.041666666664</v>
      </c>
      <c r="E3" s="195">
        <v>0.55000000000000004</v>
      </c>
      <c r="F3" s="195" t="s">
        <v>411</v>
      </c>
      <c r="G3" s="195">
        <v>259.27999999999997</v>
      </c>
      <c r="H3" s="195">
        <v>0</v>
      </c>
      <c r="I3" s="195">
        <v>0</v>
      </c>
      <c r="J3" s="195">
        <v>1014.35</v>
      </c>
      <c r="K3" s="195" t="s">
        <v>410</v>
      </c>
      <c r="L3" s="195">
        <v>34.840000000000003</v>
      </c>
      <c r="M3" s="195">
        <v>1512115200</v>
      </c>
      <c r="N3" s="195">
        <v>0</v>
      </c>
      <c r="O3" s="195">
        <v>3.23</v>
      </c>
      <c r="P3" s="195">
        <v>211</v>
      </c>
      <c r="Q3" s="195">
        <v>3.78</v>
      </c>
      <c r="R3" s="195">
        <v>0.56000000000000005</v>
      </c>
      <c r="S3"/>
      <c r="T3"/>
    </row>
    <row r="4" spans="1:20" x14ac:dyDescent="0.25">
      <c r="A4" s="195">
        <v>35.9</v>
      </c>
      <c r="B4" s="195">
        <v>0.05</v>
      </c>
      <c r="C4" s="195">
        <v>19.13</v>
      </c>
      <c r="D4" s="8">
        <v>43070.083333333336</v>
      </c>
      <c r="E4" s="195">
        <v>0.5</v>
      </c>
      <c r="F4" s="195" t="s">
        <v>411</v>
      </c>
      <c r="G4" s="195">
        <v>259.67</v>
      </c>
      <c r="H4" s="195">
        <v>0</v>
      </c>
      <c r="I4" s="195">
        <v>0</v>
      </c>
      <c r="J4" s="195">
        <v>1013.72</v>
      </c>
      <c r="K4" s="195" t="s">
        <v>410</v>
      </c>
      <c r="L4" s="195">
        <v>35.9</v>
      </c>
      <c r="M4" s="195">
        <v>1512118800</v>
      </c>
      <c r="N4" s="195">
        <v>0</v>
      </c>
      <c r="O4" s="195">
        <v>3.31</v>
      </c>
      <c r="P4" s="195">
        <v>183</v>
      </c>
      <c r="Q4" s="195">
        <v>4.93</v>
      </c>
      <c r="R4" s="195">
        <v>1.1000000000000001</v>
      </c>
      <c r="S4"/>
      <c r="T4"/>
    </row>
    <row r="5" spans="1:20" x14ac:dyDescent="0.25">
      <c r="A5" s="195">
        <v>37.32</v>
      </c>
      <c r="B5" s="195">
        <v>0.09</v>
      </c>
      <c r="C5" s="195">
        <v>18.190000000000001</v>
      </c>
      <c r="D5" s="8">
        <v>43070.125</v>
      </c>
      <c r="E5" s="195">
        <v>0.45</v>
      </c>
      <c r="F5" s="195" t="s">
        <v>411</v>
      </c>
      <c r="G5" s="195">
        <v>259.8</v>
      </c>
      <c r="H5" s="195">
        <v>0</v>
      </c>
      <c r="I5" s="195">
        <v>0</v>
      </c>
      <c r="J5" s="195">
        <v>1014.69</v>
      </c>
      <c r="K5" s="195" t="s">
        <v>410</v>
      </c>
      <c r="L5" s="195">
        <v>37.32</v>
      </c>
      <c r="M5" s="195">
        <v>1512122400</v>
      </c>
      <c r="N5" s="195">
        <v>0</v>
      </c>
      <c r="O5" s="195">
        <v>2.62</v>
      </c>
      <c r="P5" s="195">
        <v>206</v>
      </c>
      <c r="Q5" s="195">
        <v>5.55</v>
      </c>
      <c r="R5" s="195">
        <v>1.75</v>
      </c>
      <c r="S5"/>
      <c r="T5"/>
    </row>
    <row r="6" spans="1:20" x14ac:dyDescent="0.25">
      <c r="A6" s="195">
        <v>37.35</v>
      </c>
      <c r="B6" s="195">
        <v>7.0000000000000007E-2</v>
      </c>
      <c r="C6" s="195">
        <v>17.899999999999999</v>
      </c>
      <c r="D6" s="8">
        <v>43070.166666666664</v>
      </c>
      <c r="E6" s="195">
        <v>0.45</v>
      </c>
      <c r="F6" s="195" t="s">
        <v>411</v>
      </c>
      <c r="G6" s="195">
        <v>260.17</v>
      </c>
      <c r="H6" s="195">
        <v>0</v>
      </c>
      <c r="I6" s="195">
        <v>0</v>
      </c>
      <c r="J6" s="195">
        <v>1014.01</v>
      </c>
      <c r="K6" s="195" t="s">
        <v>410</v>
      </c>
      <c r="L6" s="195">
        <v>37.35</v>
      </c>
      <c r="M6" s="195">
        <v>1512126000</v>
      </c>
      <c r="N6" s="195">
        <v>0</v>
      </c>
      <c r="O6" s="195">
        <v>6.39</v>
      </c>
      <c r="P6" s="195">
        <v>208</v>
      </c>
      <c r="Q6" s="195">
        <v>4.58</v>
      </c>
      <c r="R6" s="195">
        <v>1.37</v>
      </c>
      <c r="S6"/>
      <c r="T6"/>
    </row>
    <row r="7" spans="1:20" x14ac:dyDescent="0.25">
      <c r="A7" s="195">
        <v>36.93</v>
      </c>
      <c r="B7" s="195">
        <v>0.09</v>
      </c>
      <c r="C7" s="195">
        <v>17.98</v>
      </c>
      <c r="D7" s="8">
        <v>43070.208333333336</v>
      </c>
      <c r="E7" s="195">
        <v>0.46</v>
      </c>
      <c r="F7" s="195" t="s">
        <v>411</v>
      </c>
      <c r="G7" s="195">
        <v>259.39</v>
      </c>
      <c r="H7" s="195">
        <v>0</v>
      </c>
      <c r="I7" s="195">
        <v>0</v>
      </c>
      <c r="J7" s="195">
        <v>1013.8</v>
      </c>
      <c r="K7" s="195" t="s">
        <v>410</v>
      </c>
      <c r="L7" s="195">
        <v>36.93</v>
      </c>
      <c r="M7" s="195">
        <v>1512129600</v>
      </c>
      <c r="N7" s="195">
        <v>0</v>
      </c>
      <c r="O7" s="195">
        <v>2.78</v>
      </c>
      <c r="P7" s="195">
        <v>163</v>
      </c>
      <c r="Q7" s="195">
        <v>5.34</v>
      </c>
      <c r="R7" s="195">
        <v>1.18</v>
      </c>
      <c r="S7"/>
      <c r="T7"/>
    </row>
    <row r="8" spans="1:20" x14ac:dyDescent="0.25">
      <c r="A8" s="195">
        <v>37.44</v>
      </c>
      <c r="B8" s="195">
        <v>0.1</v>
      </c>
      <c r="C8" s="195">
        <v>17.91</v>
      </c>
      <c r="D8" s="8">
        <v>43070.25</v>
      </c>
      <c r="E8" s="195">
        <v>0.45</v>
      </c>
      <c r="F8" s="195" t="s">
        <v>411</v>
      </c>
      <c r="G8" s="195">
        <v>259.13</v>
      </c>
      <c r="H8" s="195">
        <v>0</v>
      </c>
      <c r="I8" s="195">
        <v>0</v>
      </c>
      <c r="J8" s="195">
        <v>1014.67</v>
      </c>
      <c r="K8" s="195" t="s">
        <v>410</v>
      </c>
      <c r="L8" s="195">
        <v>37.44</v>
      </c>
      <c r="M8" s="195">
        <v>1512133200</v>
      </c>
      <c r="N8" s="195">
        <v>0</v>
      </c>
      <c r="O8" s="195">
        <v>4.99</v>
      </c>
      <c r="P8" s="195">
        <v>197</v>
      </c>
      <c r="Q8" s="195">
        <v>5.26</v>
      </c>
      <c r="R8" s="195">
        <v>1.51</v>
      </c>
      <c r="S8"/>
      <c r="T8"/>
    </row>
    <row r="9" spans="1:20" x14ac:dyDescent="0.25">
      <c r="A9" s="195">
        <v>35.67</v>
      </c>
      <c r="B9" s="195">
        <v>0.12</v>
      </c>
      <c r="C9" s="195">
        <v>18.670000000000002</v>
      </c>
      <c r="D9" s="8">
        <v>43070.291666666664</v>
      </c>
      <c r="E9" s="195">
        <v>0.5</v>
      </c>
      <c r="F9" s="195" t="s">
        <v>411</v>
      </c>
      <c r="G9" s="195">
        <v>258.75</v>
      </c>
      <c r="H9" s="195">
        <v>0</v>
      </c>
      <c r="I9" s="195">
        <v>0</v>
      </c>
      <c r="J9" s="195">
        <v>1016.04</v>
      </c>
      <c r="K9" s="195" t="s">
        <v>410</v>
      </c>
      <c r="L9" s="195">
        <v>35.67</v>
      </c>
      <c r="M9" s="195">
        <v>1512136800</v>
      </c>
      <c r="N9" s="195">
        <v>0</v>
      </c>
      <c r="O9" s="195">
        <v>3.04</v>
      </c>
      <c r="P9" s="195">
        <v>157</v>
      </c>
      <c r="Q9" s="195">
        <v>4.72</v>
      </c>
      <c r="R9" s="195">
        <v>0.86</v>
      </c>
      <c r="S9"/>
      <c r="T9"/>
    </row>
    <row r="10" spans="1:20" x14ac:dyDescent="0.25">
      <c r="A10" s="195">
        <v>38.340000000000003</v>
      </c>
      <c r="B10" s="195">
        <v>0.05</v>
      </c>
      <c r="C10" s="195">
        <v>19.98</v>
      </c>
      <c r="D10" s="8">
        <v>43070.333333333336</v>
      </c>
      <c r="E10" s="195">
        <v>0.47</v>
      </c>
      <c r="F10" s="195" t="s">
        <v>430</v>
      </c>
      <c r="G10" s="195">
        <v>258.36</v>
      </c>
      <c r="H10" s="195">
        <v>0</v>
      </c>
      <c r="I10" s="195">
        <v>0</v>
      </c>
      <c r="J10" s="195">
        <v>1015.42</v>
      </c>
      <c r="K10" s="195" t="s">
        <v>410</v>
      </c>
      <c r="L10" s="195">
        <v>38.340000000000003</v>
      </c>
      <c r="M10" s="195">
        <v>1512140400</v>
      </c>
      <c r="N10" s="195">
        <v>1</v>
      </c>
      <c r="O10" s="195">
        <v>3.51</v>
      </c>
      <c r="P10" s="195">
        <v>185</v>
      </c>
      <c r="Q10" s="195">
        <v>5.0599999999999996</v>
      </c>
      <c r="R10" s="195">
        <v>1.0900000000000001</v>
      </c>
      <c r="S10"/>
      <c r="T10"/>
    </row>
    <row r="11" spans="1:20" x14ac:dyDescent="0.25">
      <c r="A11" s="195">
        <v>44.99</v>
      </c>
      <c r="B11" s="195">
        <v>0.08</v>
      </c>
      <c r="C11" s="195">
        <v>21.81</v>
      </c>
      <c r="D11" s="8">
        <v>43070.375</v>
      </c>
      <c r="E11" s="195">
        <v>0.39</v>
      </c>
      <c r="F11" s="195" t="s">
        <v>430</v>
      </c>
      <c r="G11" s="195">
        <v>257.85000000000002</v>
      </c>
      <c r="H11" s="195">
        <v>0</v>
      </c>
      <c r="I11" s="195">
        <v>0</v>
      </c>
      <c r="J11" s="195">
        <v>1015.14</v>
      </c>
      <c r="K11" s="195" t="s">
        <v>410</v>
      </c>
      <c r="L11" s="195">
        <v>44.99</v>
      </c>
      <c r="M11" s="195">
        <v>1512144000</v>
      </c>
      <c r="N11" s="195">
        <v>1</v>
      </c>
      <c r="O11" s="195">
        <v>3.95</v>
      </c>
      <c r="P11" s="195">
        <v>193</v>
      </c>
      <c r="Q11" s="195">
        <v>4.71</v>
      </c>
      <c r="R11" s="195">
        <v>1.36</v>
      </c>
      <c r="S11"/>
      <c r="T11"/>
    </row>
    <row r="12" spans="1:20" x14ac:dyDescent="0.25">
      <c r="A12" s="195">
        <v>53.43</v>
      </c>
      <c r="B12" s="195">
        <v>0.08</v>
      </c>
      <c r="C12" s="195">
        <v>22.72</v>
      </c>
      <c r="D12" s="8">
        <v>43070.416666666664</v>
      </c>
      <c r="E12" s="195">
        <v>0.3</v>
      </c>
      <c r="F12" s="195" t="s">
        <v>430</v>
      </c>
      <c r="G12" s="195">
        <v>257.33</v>
      </c>
      <c r="H12" s="195">
        <v>0</v>
      </c>
      <c r="I12" s="195">
        <v>0</v>
      </c>
      <c r="J12" s="195">
        <v>1013.66</v>
      </c>
      <c r="K12" s="195" t="s">
        <v>410</v>
      </c>
      <c r="L12" s="195">
        <v>53.43</v>
      </c>
      <c r="M12" s="195">
        <v>1512147600</v>
      </c>
      <c r="N12" s="195">
        <v>2</v>
      </c>
      <c r="O12" s="195">
        <v>3.95</v>
      </c>
      <c r="P12" s="195">
        <v>154</v>
      </c>
      <c r="Q12" s="195">
        <v>5.39</v>
      </c>
      <c r="R12" s="195">
        <v>0.77</v>
      </c>
      <c r="S12"/>
      <c r="T12"/>
    </row>
    <row r="13" spans="1:20" x14ac:dyDescent="0.25">
      <c r="A13" s="195">
        <v>58.69</v>
      </c>
      <c r="B13" s="195">
        <v>0.14000000000000001</v>
      </c>
      <c r="C13" s="195">
        <v>23.28</v>
      </c>
      <c r="D13" s="8">
        <v>43070.458333333336</v>
      </c>
      <c r="E13" s="195">
        <v>0.25</v>
      </c>
      <c r="F13" s="195" t="s">
        <v>430</v>
      </c>
      <c r="G13" s="195">
        <v>257.85000000000002</v>
      </c>
      <c r="H13" s="195">
        <v>0</v>
      </c>
      <c r="I13" s="195">
        <v>0</v>
      </c>
      <c r="J13" s="195">
        <v>1012.83</v>
      </c>
      <c r="K13" s="195" t="s">
        <v>410</v>
      </c>
      <c r="L13" s="195">
        <v>58.69</v>
      </c>
      <c r="M13" s="195">
        <v>1512151200</v>
      </c>
      <c r="N13" s="195">
        <v>2</v>
      </c>
      <c r="O13" s="195">
        <v>3.06</v>
      </c>
      <c r="P13" s="195">
        <v>62</v>
      </c>
      <c r="Q13" s="195">
        <v>7.27</v>
      </c>
      <c r="R13" s="195">
        <v>1.07</v>
      </c>
      <c r="S13"/>
      <c r="T13"/>
    </row>
    <row r="14" spans="1:20" x14ac:dyDescent="0.25">
      <c r="A14" s="195">
        <v>60.68</v>
      </c>
      <c r="B14" s="195">
        <v>0.47</v>
      </c>
      <c r="C14" s="195">
        <v>24.69</v>
      </c>
      <c r="D14" s="8">
        <v>43070.5</v>
      </c>
      <c r="E14" s="195">
        <v>0.25</v>
      </c>
      <c r="F14" s="195" t="s">
        <v>961</v>
      </c>
      <c r="G14" s="195">
        <v>257.45999999999998</v>
      </c>
      <c r="H14" s="195">
        <v>0</v>
      </c>
      <c r="I14" s="195">
        <v>0</v>
      </c>
      <c r="J14" s="195">
        <v>1012.39</v>
      </c>
      <c r="K14" s="195" t="s">
        <v>962</v>
      </c>
      <c r="L14" s="195">
        <v>60.68</v>
      </c>
      <c r="M14" s="195">
        <v>1512154800</v>
      </c>
      <c r="N14" s="195">
        <v>2</v>
      </c>
      <c r="O14" s="195">
        <v>4.16</v>
      </c>
      <c r="P14" s="195">
        <v>27</v>
      </c>
      <c r="Q14" s="195">
        <v>11.04</v>
      </c>
      <c r="R14" s="195">
        <v>2.87</v>
      </c>
      <c r="S14"/>
      <c r="T14"/>
    </row>
    <row r="15" spans="1:20" x14ac:dyDescent="0.25">
      <c r="A15" s="195">
        <v>60.18</v>
      </c>
      <c r="B15" s="195">
        <v>0.54</v>
      </c>
      <c r="C15" s="195">
        <v>25.52</v>
      </c>
      <c r="D15" s="8">
        <v>43070.541666666664</v>
      </c>
      <c r="E15" s="195">
        <v>0.26</v>
      </c>
      <c r="F15" s="195" t="s">
        <v>961</v>
      </c>
      <c r="G15" s="195">
        <v>257.08</v>
      </c>
      <c r="H15" s="195">
        <v>0</v>
      </c>
      <c r="I15" s="195">
        <v>0</v>
      </c>
      <c r="J15" s="195">
        <v>1012.23</v>
      </c>
      <c r="K15" s="195" t="s">
        <v>962</v>
      </c>
      <c r="L15" s="195">
        <v>60.18</v>
      </c>
      <c r="M15" s="195">
        <v>1512158400</v>
      </c>
      <c r="N15" s="195">
        <v>2</v>
      </c>
      <c r="O15" s="195">
        <v>4.16</v>
      </c>
      <c r="P15" s="195">
        <v>26</v>
      </c>
      <c r="Q15" s="195">
        <v>11.32</v>
      </c>
      <c r="R15" s="195">
        <v>4.3</v>
      </c>
      <c r="S15"/>
      <c r="T15"/>
    </row>
    <row r="16" spans="1:20" x14ac:dyDescent="0.25">
      <c r="A16" s="195">
        <v>57.66</v>
      </c>
      <c r="B16" s="195">
        <v>0.42</v>
      </c>
      <c r="C16" s="195">
        <v>23.97</v>
      </c>
      <c r="D16" s="8">
        <v>43070.583333333336</v>
      </c>
      <c r="E16" s="195">
        <v>0.27</v>
      </c>
      <c r="F16" s="195" t="s">
        <v>961</v>
      </c>
      <c r="G16" s="195">
        <v>257.08999999999997</v>
      </c>
      <c r="H16" s="195">
        <v>0</v>
      </c>
      <c r="I16" s="195">
        <v>0</v>
      </c>
      <c r="J16" s="195">
        <v>1011.83</v>
      </c>
      <c r="K16" s="195" t="s">
        <v>962</v>
      </c>
      <c r="L16" s="195">
        <v>57.66</v>
      </c>
      <c r="M16" s="195">
        <v>1512162000</v>
      </c>
      <c r="N16" s="195">
        <v>1</v>
      </c>
      <c r="O16" s="195">
        <v>3.95</v>
      </c>
      <c r="P16" s="195">
        <v>62</v>
      </c>
      <c r="Q16" s="195">
        <v>10.51</v>
      </c>
      <c r="R16" s="195">
        <v>4.5</v>
      </c>
      <c r="S16"/>
      <c r="T16"/>
    </row>
    <row r="17" spans="1:20" x14ac:dyDescent="0.25">
      <c r="A17" s="195">
        <v>56.33</v>
      </c>
      <c r="B17" s="195">
        <v>0.64</v>
      </c>
      <c r="C17" s="195">
        <v>23.12</v>
      </c>
      <c r="D17" s="8">
        <v>43070.625</v>
      </c>
      <c r="E17" s="195">
        <v>0.27</v>
      </c>
      <c r="F17" s="195" t="s">
        <v>961</v>
      </c>
      <c r="G17" s="195">
        <v>257.48</v>
      </c>
      <c r="H17" s="195">
        <v>0</v>
      </c>
      <c r="I17" s="195">
        <v>0</v>
      </c>
      <c r="J17" s="195">
        <v>1012.92</v>
      </c>
      <c r="K17" s="195" t="s">
        <v>963</v>
      </c>
      <c r="L17" s="195">
        <v>56.33</v>
      </c>
      <c r="M17" s="195">
        <v>1512165600</v>
      </c>
      <c r="N17" s="195">
        <v>1</v>
      </c>
      <c r="O17" s="195">
        <v>4.0599999999999996</v>
      </c>
      <c r="P17" s="195">
        <v>52</v>
      </c>
      <c r="Q17" s="195">
        <v>8.9</v>
      </c>
      <c r="R17" s="195">
        <v>3.3</v>
      </c>
      <c r="S17"/>
      <c r="T17"/>
    </row>
    <row r="18" spans="1:20" x14ac:dyDescent="0.25">
      <c r="A18" s="195">
        <v>54.82</v>
      </c>
      <c r="B18" s="195">
        <v>0.53</v>
      </c>
      <c r="C18" s="195">
        <v>22.37</v>
      </c>
      <c r="D18" s="8">
        <v>43070.666666666664</v>
      </c>
      <c r="E18" s="195">
        <v>0.28000000000000003</v>
      </c>
      <c r="F18" s="195" t="s">
        <v>961</v>
      </c>
      <c r="G18" s="195">
        <v>258.39</v>
      </c>
      <c r="H18" s="195">
        <v>0</v>
      </c>
      <c r="I18" s="195">
        <v>0</v>
      </c>
      <c r="J18" s="195">
        <v>1013.93</v>
      </c>
      <c r="K18" s="195" t="s">
        <v>962</v>
      </c>
      <c r="L18" s="195">
        <v>54.82</v>
      </c>
      <c r="M18" s="195">
        <v>1512169200</v>
      </c>
      <c r="N18" s="195">
        <v>0</v>
      </c>
      <c r="O18" s="195">
        <v>4.16</v>
      </c>
      <c r="P18" s="195">
        <v>70</v>
      </c>
      <c r="Q18" s="195">
        <v>5.96</v>
      </c>
      <c r="R18" s="195">
        <v>2.25</v>
      </c>
      <c r="S18"/>
      <c r="T18"/>
    </row>
    <row r="19" spans="1:20" x14ac:dyDescent="0.25">
      <c r="A19" s="195">
        <v>50.97</v>
      </c>
      <c r="B19" s="195">
        <v>0.45</v>
      </c>
      <c r="C19" s="195">
        <v>21.73</v>
      </c>
      <c r="D19" s="8">
        <v>43070.708333333336</v>
      </c>
      <c r="E19" s="195">
        <v>0.31</v>
      </c>
      <c r="F19" s="195" t="s">
        <v>964</v>
      </c>
      <c r="G19" s="195">
        <v>258.26</v>
      </c>
      <c r="H19" s="195">
        <v>0</v>
      </c>
      <c r="I19" s="195">
        <v>0</v>
      </c>
      <c r="J19" s="195">
        <v>1015.3</v>
      </c>
      <c r="K19" s="195" t="s">
        <v>962</v>
      </c>
      <c r="L19" s="195">
        <v>50.97</v>
      </c>
      <c r="M19" s="195">
        <v>1512172800</v>
      </c>
      <c r="N19" s="195">
        <v>0</v>
      </c>
      <c r="O19" s="195">
        <v>4.16</v>
      </c>
      <c r="P19" s="195">
        <v>82</v>
      </c>
      <c r="Q19" s="195">
        <v>5.34</v>
      </c>
      <c r="R19" s="195">
        <v>1.52</v>
      </c>
      <c r="S19"/>
      <c r="T19"/>
    </row>
    <row r="20" spans="1:20" x14ac:dyDescent="0.25">
      <c r="A20" s="195">
        <v>47.92</v>
      </c>
      <c r="B20" s="195">
        <v>0.46</v>
      </c>
      <c r="C20" s="195">
        <v>21.61</v>
      </c>
      <c r="D20" s="8">
        <v>43070.75</v>
      </c>
      <c r="E20" s="195">
        <v>0.35</v>
      </c>
      <c r="F20" s="195" t="s">
        <v>964</v>
      </c>
      <c r="G20" s="195">
        <v>257.36</v>
      </c>
      <c r="H20" s="195">
        <v>0</v>
      </c>
      <c r="I20" s="195">
        <v>0</v>
      </c>
      <c r="J20" s="195">
        <v>1017.04</v>
      </c>
      <c r="K20" s="195" t="s">
        <v>962</v>
      </c>
      <c r="L20" s="195">
        <v>47.92</v>
      </c>
      <c r="M20" s="195">
        <v>1512176400</v>
      </c>
      <c r="N20" s="195">
        <v>0</v>
      </c>
      <c r="O20" s="195">
        <v>3.33</v>
      </c>
      <c r="P20" s="195">
        <v>118</v>
      </c>
      <c r="Q20" s="195">
        <v>5.38</v>
      </c>
      <c r="R20" s="195">
        <v>1.46</v>
      </c>
      <c r="S20"/>
      <c r="T20"/>
    </row>
    <row r="21" spans="1:20" x14ac:dyDescent="0.25">
      <c r="A21" s="195">
        <v>45.65</v>
      </c>
      <c r="B21" s="195">
        <v>0.44</v>
      </c>
      <c r="C21" s="195">
        <v>21.76</v>
      </c>
      <c r="D21" s="8">
        <v>43070.791666666664</v>
      </c>
      <c r="E21" s="195">
        <v>0.38</v>
      </c>
      <c r="F21" s="195" t="s">
        <v>964</v>
      </c>
      <c r="G21" s="195">
        <v>255.93</v>
      </c>
      <c r="H21" s="195">
        <v>0</v>
      </c>
      <c r="I21" s="195">
        <v>0</v>
      </c>
      <c r="J21" s="195">
        <v>1018.26</v>
      </c>
      <c r="K21" s="195" t="s">
        <v>962</v>
      </c>
      <c r="L21" s="195">
        <v>45.65</v>
      </c>
      <c r="M21" s="195">
        <v>1512180000</v>
      </c>
      <c r="N21" s="195">
        <v>0</v>
      </c>
      <c r="O21" s="195">
        <v>4.5</v>
      </c>
      <c r="P21" s="195">
        <v>135</v>
      </c>
      <c r="Q21" s="195">
        <v>4.17</v>
      </c>
      <c r="R21" s="195">
        <v>1.1499999999999999</v>
      </c>
      <c r="S21"/>
      <c r="T21"/>
    </row>
    <row r="22" spans="1:20" x14ac:dyDescent="0.25">
      <c r="A22" s="195">
        <v>42.54</v>
      </c>
      <c r="B22" s="195">
        <v>0.28999999999999998</v>
      </c>
      <c r="C22" s="195">
        <v>22.12</v>
      </c>
      <c r="D22" s="8">
        <v>43070.833333333336</v>
      </c>
      <c r="E22" s="195">
        <v>0.44</v>
      </c>
      <c r="F22" s="195" t="s">
        <v>964</v>
      </c>
      <c r="G22" s="195">
        <v>254.36</v>
      </c>
      <c r="H22" s="195">
        <v>0</v>
      </c>
      <c r="I22" s="195">
        <v>0</v>
      </c>
      <c r="J22" s="195">
        <v>1018.98</v>
      </c>
      <c r="K22" s="195" t="s">
        <v>962</v>
      </c>
      <c r="L22" s="195">
        <v>42.54</v>
      </c>
      <c r="M22" s="195">
        <v>1512183600</v>
      </c>
      <c r="N22" s="195">
        <v>0</v>
      </c>
      <c r="O22" s="195">
        <v>2.62</v>
      </c>
      <c r="P22" s="195">
        <v>141</v>
      </c>
      <c r="Q22" s="195">
        <v>3.71</v>
      </c>
      <c r="R22" s="195">
        <v>1.38</v>
      </c>
      <c r="S22"/>
      <c r="T22"/>
    </row>
    <row r="23" spans="1:20" x14ac:dyDescent="0.25">
      <c r="A23" s="195">
        <v>40.36</v>
      </c>
      <c r="B23" s="195">
        <v>0.08</v>
      </c>
      <c r="C23" s="195">
        <v>22.3</v>
      </c>
      <c r="D23" s="8">
        <v>43070.875</v>
      </c>
      <c r="E23" s="195">
        <v>0.48</v>
      </c>
      <c r="F23" s="195" t="s">
        <v>411</v>
      </c>
      <c r="G23" s="195">
        <v>252.51</v>
      </c>
      <c r="H23" s="195">
        <v>0</v>
      </c>
      <c r="I23" s="195">
        <v>0</v>
      </c>
      <c r="J23" s="195">
        <v>1018.6</v>
      </c>
      <c r="K23" s="195" t="s">
        <v>410</v>
      </c>
      <c r="L23" s="195">
        <v>40.36</v>
      </c>
      <c r="M23" s="195">
        <v>1512187200</v>
      </c>
      <c r="N23" s="195">
        <v>0</v>
      </c>
      <c r="O23" s="195">
        <v>2.0699999999999998</v>
      </c>
      <c r="P23" s="195">
        <v>159</v>
      </c>
      <c r="Q23" s="195">
        <v>2.81</v>
      </c>
      <c r="R23" s="195">
        <v>0.91</v>
      </c>
      <c r="S23"/>
      <c r="T23"/>
    </row>
    <row r="24" spans="1:20" x14ac:dyDescent="0.25">
      <c r="A24" s="195">
        <v>37.729999999999997</v>
      </c>
      <c r="B24" s="195">
        <v>0.2</v>
      </c>
      <c r="C24" s="195">
        <v>22.16</v>
      </c>
      <c r="D24" s="8">
        <v>43070.916666666664</v>
      </c>
      <c r="E24" s="195">
        <v>0.53</v>
      </c>
      <c r="F24" s="195" t="s">
        <v>411</v>
      </c>
      <c r="G24" s="195">
        <v>250.65</v>
      </c>
      <c r="H24" s="195">
        <v>0</v>
      </c>
      <c r="I24" s="195">
        <v>0</v>
      </c>
      <c r="J24" s="195">
        <v>1018.41</v>
      </c>
      <c r="K24" s="195" t="s">
        <v>410</v>
      </c>
      <c r="L24" s="195">
        <v>37.729999999999997</v>
      </c>
      <c r="M24" s="195">
        <v>1512190800</v>
      </c>
      <c r="N24" s="195">
        <v>0</v>
      </c>
      <c r="O24" s="195">
        <v>2.77</v>
      </c>
      <c r="P24" s="195">
        <v>141</v>
      </c>
      <c r="Q24" s="195">
        <v>2.52</v>
      </c>
      <c r="R24" s="195">
        <v>0.76</v>
      </c>
      <c r="S24"/>
      <c r="T24"/>
    </row>
    <row r="25" spans="1:20" x14ac:dyDescent="0.25">
      <c r="A25" s="195">
        <v>36.71</v>
      </c>
      <c r="B25" s="195">
        <v>0.3</v>
      </c>
      <c r="C25" s="195">
        <v>22.08</v>
      </c>
      <c r="D25" s="8">
        <v>43070.958333333336</v>
      </c>
      <c r="E25" s="195">
        <v>0.55000000000000004</v>
      </c>
      <c r="F25" s="195" t="s">
        <v>964</v>
      </c>
      <c r="G25" s="195">
        <v>249.31</v>
      </c>
      <c r="H25" s="195">
        <v>0</v>
      </c>
      <c r="I25" s="195">
        <v>0</v>
      </c>
      <c r="J25" s="195">
        <v>1017.92</v>
      </c>
      <c r="K25" s="195" t="s">
        <v>962</v>
      </c>
      <c r="L25" s="195">
        <v>36.71</v>
      </c>
      <c r="M25" s="195">
        <v>1512194400</v>
      </c>
      <c r="N25" s="195">
        <v>0</v>
      </c>
      <c r="O25" s="195">
        <v>2.39</v>
      </c>
      <c r="P25" s="195">
        <v>143</v>
      </c>
      <c r="Q25" s="195">
        <v>3.24</v>
      </c>
      <c r="R25" s="195">
        <v>0.79</v>
      </c>
      <c r="S25"/>
      <c r="T25"/>
    </row>
    <row r="26" spans="1:20" x14ac:dyDescent="0.25">
      <c r="A26" s="195">
        <v>36.22</v>
      </c>
      <c r="B26" s="195">
        <v>0.24</v>
      </c>
      <c r="C26" s="195">
        <v>22.02</v>
      </c>
      <c r="D26" s="8">
        <v>43071</v>
      </c>
      <c r="E26" s="195">
        <v>0.56000000000000005</v>
      </c>
      <c r="F26" s="195" t="s">
        <v>411</v>
      </c>
      <c r="G26" s="195">
        <v>248.9</v>
      </c>
      <c r="H26" s="195">
        <v>0</v>
      </c>
      <c r="I26" s="195">
        <v>0</v>
      </c>
      <c r="J26" s="195">
        <v>1017.54</v>
      </c>
      <c r="K26" s="195" t="s">
        <v>410</v>
      </c>
      <c r="L26" s="195">
        <v>36.22</v>
      </c>
      <c r="M26" s="195">
        <v>1512198000</v>
      </c>
      <c r="N26" s="195">
        <v>0</v>
      </c>
      <c r="O26" s="195">
        <v>2.93</v>
      </c>
      <c r="P26" s="195">
        <v>168</v>
      </c>
      <c r="Q26" s="195">
        <v>3.71</v>
      </c>
      <c r="R26" s="195">
        <v>1.1499999999999999</v>
      </c>
      <c r="S26"/>
      <c r="T26"/>
    </row>
    <row r="27" spans="1:20" x14ac:dyDescent="0.25">
      <c r="A27" s="195">
        <v>35</v>
      </c>
      <c r="B27" s="195">
        <v>0.31</v>
      </c>
      <c r="C27" s="195">
        <v>22.02</v>
      </c>
      <c r="D27" s="8">
        <v>43071.041666666664</v>
      </c>
      <c r="E27" s="195">
        <v>0.59</v>
      </c>
      <c r="F27" s="195" t="s">
        <v>964</v>
      </c>
      <c r="G27" s="195">
        <v>249.03</v>
      </c>
      <c r="H27" s="195">
        <v>0</v>
      </c>
      <c r="I27" s="195">
        <v>0</v>
      </c>
      <c r="J27" s="195">
        <v>1017.34</v>
      </c>
      <c r="K27" s="195" t="s">
        <v>962</v>
      </c>
      <c r="L27" s="195">
        <v>35</v>
      </c>
      <c r="M27" s="195">
        <v>1512201600</v>
      </c>
      <c r="N27" s="195">
        <v>0</v>
      </c>
      <c r="O27" s="195">
        <v>2.9</v>
      </c>
      <c r="P27" s="195">
        <v>183</v>
      </c>
      <c r="Q27" s="195">
        <v>3.34</v>
      </c>
      <c r="R27" s="195">
        <v>1.05</v>
      </c>
      <c r="S27"/>
      <c r="T27"/>
    </row>
    <row r="28" spans="1:20" x14ac:dyDescent="0.25">
      <c r="A28" s="195">
        <v>33.92</v>
      </c>
      <c r="B28" s="195">
        <v>0.27</v>
      </c>
      <c r="C28" s="195">
        <v>22.03</v>
      </c>
      <c r="D28" s="8">
        <v>43071.083333333336</v>
      </c>
      <c r="E28" s="195">
        <v>0.61</v>
      </c>
      <c r="F28" s="195" t="s">
        <v>964</v>
      </c>
      <c r="G28" s="195">
        <v>249.17</v>
      </c>
      <c r="H28" s="195">
        <v>0</v>
      </c>
      <c r="I28" s="195">
        <v>0</v>
      </c>
      <c r="J28" s="195">
        <v>1018.42</v>
      </c>
      <c r="K28" s="195" t="s">
        <v>962</v>
      </c>
      <c r="L28" s="195">
        <v>33.92</v>
      </c>
      <c r="M28" s="195">
        <v>1512205200</v>
      </c>
      <c r="N28" s="195">
        <v>0</v>
      </c>
      <c r="O28" s="195">
        <v>2.6</v>
      </c>
      <c r="P28" s="195">
        <v>173</v>
      </c>
      <c r="Q28" s="195">
        <v>3.25</v>
      </c>
      <c r="R28" s="195">
        <v>1.34</v>
      </c>
      <c r="S28"/>
      <c r="T28"/>
    </row>
    <row r="29" spans="1:20" x14ac:dyDescent="0.25">
      <c r="A29" s="195">
        <v>34.44</v>
      </c>
      <c r="B29" s="195">
        <v>0.32</v>
      </c>
      <c r="C29" s="195">
        <v>21.93</v>
      </c>
      <c r="D29" s="8">
        <v>43071.125</v>
      </c>
      <c r="E29" s="195">
        <v>0.6</v>
      </c>
      <c r="F29" s="195" t="s">
        <v>964</v>
      </c>
      <c r="G29" s="195">
        <v>249.3</v>
      </c>
      <c r="H29" s="195">
        <v>0</v>
      </c>
      <c r="I29" s="195">
        <v>0</v>
      </c>
      <c r="J29" s="195">
        <v>1018.66</v>
      </c>
      <c r="K29" s="195" t="s">
        <v>962</v>
      </c>
      <c r="L29" s="195">
        <v>34.44</v>
      </c>
      <c r="M29" s="195">
        <v>1512208800</v>
      </c>
      <c r="N29" s="195">
        <v>0</v>
      </c>
      <c r="O29" s="195">
        <v>4.55</v>
      </c>
      <c r="P29" s="195">
        <v>197</v>
      </c>
      <c r="Q29" s="195">
        <v>3.71</v>
      </c>
      <c r="R29" s="195">
        <v>1.89</v>
      </c>
      <c r="S29"/>
      <c r="T29"/>
    </row>
    <row r="30" spans="1:20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25">
      <c r="A31" s="140" t="s">
        <v>179</v>
      </c>
    </row>
    <row r="33" spans="1:1" x14ac:dyDescent="0.25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>
      <selection activeCell="D13" sqref="D1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39" bestFit="1" customWidth="1"/>
    <col min="11" max="11" width="15.28515625" style="139" hidden="1" customWidth="1"/>
    <col min="12" max="12" width="13.5703125" style="139" hidden="1" customWidth="1"/>
    <col min="13" max="13" width="9" style="153" bestFit="1" customWidth="1"/>
    <col min="14" max="17" width="9.140625" style="139"/>
    <col min="20" max="24" width="9.140625" style="153"/>
    <col min="29" max="29" width="12.42578125" customWidth="1"/>
    <col min="30" max="30" width="9.140625" style="167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.75" thickBot="1" x14ac:dyDescent="0.3">
      <c r="A2" s="12">
        <v>43070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25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25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350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25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25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25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25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25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25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25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25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25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25">
      <c r="C18" t="s">
        <v>1084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25">
      <c r="C19" t="s">
        <v>663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25">
      <c r="C20" t="s">
        <v>1085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25">
      <c r="C21" t="s">
        <v>1086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25">
      <c r="C22" t="s">
        <v>1087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25">
      <c r="C23" t="s">
        <v>1088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25">
      <c r="C24" t="s">
        <v>1089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25">
      <c r="C25" t="s">
        <v>1090</v>
      </c>
      <c r="J25" s="139" t="s">
        <v>144</v>
      </c>
      <c r="M25" s="153" t="b">
        <v>1</v>
      </c>
    </row>
    <row r="26" spans="3:24" x14ac:dyDescent="0.25">
      <c r="C26" t="s">
        <v>1091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%USERPROFILE%\Documents\GitHub\eaglep3-reporting\EC\2017-12-01-refined-times.txt</v>
      </c>
    </row>
    <row r="27" spans="3:24" x14ac:dyDescent="0.25">
      <c r="C27" t="s">
        <v>1092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%USERPROFILE%\Documents\GitHub\eaglep3-reporting\EC\2017-12-01-Enforcements.txt</v>
      </c>
    </row>
    <row r="28" spans="3:24" x14ac:dyDescent="0.25">
      <c r="C28" t="s">
        <v>1093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%USERPROFILE%\Documents\GitHub\eaglep3-reporting\EC\2017-12-01-Runs-refined.txt</v>
      </c>
    </row>
    <row r="29" spans="3:24" x14ac:dyDescent="0.25">
      <c r="C29" t="s">
        <v>1094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%USERPROFILE%\Documents\GitHub\eaglep3-reporting\EC\2017-12-01-Trips.txt</v>
      </c>
    </row>
    <row r="30" spans="3:24" x14ac:dyDescent="0.25">
      <c r="C30" t="s">
        <v>1095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%USERPROFILE%\Documents\GitHub\eaglep3-reporting\EC\2017-12-01-Weather.txt</v>
      </c>
    </row>
    <row r="31" spans="3:24" x14ac:dyDescent="0.25">
      <c r="C31" t="s">
        <v>1096</v>
      </c>
      <c r="J31" s="139" t="s">
        <v>188</v>
      </c>
      <c r="M31" s="153" t="s">
        <v>189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7" bestFit="1" customWidth="1"/>
    <col min="9" max="10" width="9.140625" style="187"/>
    <col min="11" max="16384" width="9.140625" style="93"/>
  </cols>
  <sheetData>
    <row r="1" spans="1:11" x14ac:dyDescent="0.25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354</v>
      </c>
      <c r="J1" s="167" t="s">
        <v>330</v>
      </c>
    </row>
    <row r="2" spans="1:11" x14ac:dyDescent="0.25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25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25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25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25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25">
      <c r="A7" s="93" t="s">
        <v>130</v>
      </c>
      <c r="C7" s="93" t="s">
        <v>131</v>
      </c>
    </row>
    <row r="8" spans="1:11" x14ac:dyDescent="0.25">
      <c r="C8" s="93" t="s">
        <v>132</v>
      </c>
    </row>
    <row r="9" spans="1:11" x14ac:dyDescent="0.25">
      <c r="C9" s="94" t="s">
        <v>165</v>
      </c>
    </row>
    <row r="10" spans="1:11" x14ac:dyDescent="0.25">
      <c r="C10" s="93" t="s">
        <v>133</v>
      </c>
    </row>
    <row r="11" spans="1:11" x14ac:dyDescent="0.25">
      <c r="C11" s="93" t="s">
        <v>134</v>
      </c>
    </row>
    <row r="12" spans="1:11" x14ac:dyDescent="0.25">
      <c r="C12" s="93" t="s">
        <v>135</v>
      </c>
    </row>
    <row r="13" spans="1:11" x14ac:dyDescent="0.25">
      <c r="C13" s="93" t="s">
        <v>136</v>
      </c>
    </row>
    <row r="14" spans="1:11" x14ac:dyDescent="0.25">
      <c r="C14" s="94" t="s">
        <v>166</v>
      </c>
    </row>
    <row r="15" spans="1:11" x14ac:dyDescent="0.25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25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25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25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25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25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25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25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25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25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25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25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25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25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25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25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25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25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25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25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25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25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25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25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25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25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25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25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25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25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25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25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25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25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25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25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25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25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25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25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25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25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25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25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25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25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25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25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25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25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25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25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25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25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25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25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25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25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25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25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25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25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25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25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25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25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25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25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25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25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25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25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25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25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25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25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25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25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25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25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25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25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25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25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25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25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25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25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25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25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25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25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25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25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25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25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25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25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25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25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2017-12-04T16:32:08Z</dcterms:modified>
</cp:coreProperties>
</file>