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Trips'!$A$2:$J$40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X160" i="1"/>
  <c r="X161" i="1"/>
  <c r="X162" i="1"/>
  <c r="X163" i="1"/>
  <c r="X156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R9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P58" i="1" s="1"/>
  <c r="V58" i="1"/>
  <c r="S8" i="3" s="1"/>
  <c r="Y58" i="1"/>
  <c r="Z58" i="1"/>
  <c r="AB58" i="1"/>
  <c r="AC58" i="1"/>
  <c r="AD58" i="1"/>
  <c r="AE58" i="1"/>
  <c r="R8" i="3" s="1"/>
  <c r="AF58" i="1"/>
  <c r="AH58" i="1"/>
  <c r="AM58" i="1"/>
  <c r="AN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7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/>
  <c r="V77" i="1"/>
  <c r="Y77" i="1"/>
  <c r="Z77" i="1"/>
  <c r="AA77" i="1"/>
  <c r="AB77" i="1"/>
  <c r="AC77" i="1"/>
  <c r="AD77" i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17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18" i="3" s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K95" i="1"/>
  <c r="L95" i="1"/>
  <c r="M95" i="1"/>
  <c r="N95" i="1" s="1"/>
  <c r="V95" i="1"/>
  <c r="S12" i="3" s="1"/>
  <c r="Y95" i="1"/>
  <c r="Z95" i="1"/>
  <c r="AB95" i="1"/>
  <c r="AC95" i="1"/>
  <c r="AD95" i="1"/>
  <c r="AE95" i="1"/>
  <c r="R12" i="3" s="1"/>
  <c r="AF95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1" i="1"/>
  <c r="AM111" i="1"/>
  <c r="AN111" i="1"/>
  <c r="K176" i="1"/>
  <c r="L176" i="1"/>
  <c r="M176" i="1"/>
  <c r="N176" i="1" s="1"/>
  <c r="V176" i="1"/>
  <c r="Y176" i="1"/>
  <c r="Z176" i="1"/>
  <c r="AB176" i="1"/>
  <c r="AC176" i="1"/>
  <c r="AD176" i="1"/>
  <c r="AE176" i="1"/>
  <c r="R23" i="3" s="1"/>
  <c r="AF176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K178" i="1"/>
  <c r="L178" i="1"/>
  <c r="M178" i="1"/>
  <c r="N178" i="1" s="1"/>
  <c r="V178" i="1"/>
  <c r="S22" i="3" s="1"/>
  <c r="Y178" i="1"/>
  <c r="Z178" i="1"/>
  <c r="AB178" i="1"/>
  <c r="AC178" i="1"/>
  <c r="AD178" i="1"/>
  <c r="AE178" i="1"/>
  <c r="R22" i="3" s="1"/>
  <c r="AF178" i="1"/>
  <c r="AH114" i="1"/>
  <c r="AM114" i="1"/>
  <c r="AN11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8" i="1"/>
  <c r="AM118" i="1"/>
  <c r="AN118" i="1"/>
  <c r="K182" i="1"/>
  <c r="L182" i="1"/>
  <c r="M182" i="1"/>
  <c r="N182" i="1" s="1"/>
  <c r="V182" i="1"/>
  <c r="S24" i="3" s="1"/>
  <c r="Y182" i="1"/>
  <c r="Z182" i="1"/>
  <c r="AB182" i="1"/>
  <c r="AC182" i="1"/>
  <c r="AD182" i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M125" i="1"/>
  <c r="AN125" i="1"/>
  <c r="K97" i="1"/>
  <c r="L97" i="1"/>
  <c r="M97" i="1"/>
  <c r="N97" i="1" s="1"/>
  <c r="V97" i="1"/>
  <c r="S19" i="3" s="1"/>
  <c r="Y97" i="1"/>
  <c r="Z97" i="1"/>
  <c r="AB97" i="1"/>
  <c r="AC97" i="1"/>
  <c r="AD97" i="1"/>
  <c r="AE97" i="1"/>
  <c r="R19" i="3" s="1"/>
  <c r="AF97" i="1"/>
  <c r="AH126" i="1"/>
  <c r="AM126" i="1"/>
  <c r="AN126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8" i="1"/>
  <c r="AM128" i="1"/>
  <c r="AN128" i="1"/>
  <c r="K191" i="1"/>
  <c r="L191" i="1"/>
  <c r="M191" i="1"/>
  <c r="N191" i="1" s="1"/>
  <c r="V191" i="1"/>
  <c r="S21" i="3" s="1"/>
  <c r="Y191" i="1"/>
  <c r="Z191" i="1"/>
  <c r="AA191" i="1" s="1"/>
  <c r="AB191" i="1"/>
  <c r="AC191" i="1"/>
  <c r="AD191" i="1"/>
  <c r="T191" i="1" s="1"/>
  <c r="AE191" i="1"/>
  <c r="R21" i="3" s="1"/>
  <c r="AF191" i="1"/>
  <c r="AH129" i="1"/>
  <c r="AM129" i="1"/>
  <c r="AN12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8" i="1"/>
  <c r="AM138" i="1"/>
  <c r="AN13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V106" i="1"/>
  <c r="S16" i="3" s="1"/>
  <c r="Y106" i="1"/>
  <c r="Z106" i="1"/>
  <c r="AB106" i="1"/>
  <c r="AC106" i="1"/>
  <c r="AD106" i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5" i="1"/>
  <c r="AM145" i="1"/>
  <c r="AN145" i="1"/>
  <c r="AH146" i="1"/>
  <c r="AM146" i="1"/>
  <c r="AN146" i="1"/>
  <c r="K111" i="1"/>
  <c r="L111" i="1"/>
  <c r="M111" i="1"/>
  <c r="P111" i="1" s="1"/>
  <c r="V111" i="1"/>
  <c r="AB111" i="1"/>
  <c r="AC111" i="1"/>
  <c r="AD111" i="1"/>
  <c r="X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S13" i="3" s="1"/>
  <c r="Y117" i="1"/>
  <c r="Z117" i="1"/>
  <c r="AB117" i="1"/>
  <c r="AC117" i="1"/>
  <c r="AD117" i="1"/>
  <c r="T117" i="1" s="1"/>
  <c r="AE117" i="1"/>
  <c r="R15" i="3" s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69" i="1"/>
  <c r="AM169" i="1"/>
  <c r="AN169" i="1"/>
  <c r="K136" i="1"/>
  <c r="L136" i="1"/>
  <c r="M136" i="1"/>
  <c r="N136" i="1"/>
  <c r="V136" i="1"/>
  <c r="Y136" i="1"/>
  <c r="Z136" i="1"/>
  <c r="AB136" i="1"/>
  <c r="AC136" i="1"/>
  <c r="AD136" i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4" i="1"/>
  <c r="AM174" i="1"/>
  <c r="AN174" i="1"/>
  <c r="K141" i="1"/>
  <c r="L141" i="1"/>
  <c r="M141" i="1"/>
  <c r="N141" i="1" s="1"/>
  <c r="V141" i="1"/>
  <c r="S11" i="3" s="1"/>
  <c r="Y141" i="1"/>
  <c r="Z141" i="1"/>
  <c r="AB141" i="1"/>
  <c r="AC141" i="1"/>
  <c r="AD141" i="1"/>
  <c r="AE141" i="1"/>
  <c r="R11" i="3" s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V143" i="1"/>
  <c r="S20" i="3" s="1"/>
  <c r="Y143" i="1"/>
  <c r="Z143" i="1"/>
  <c r="AA143" i="1" s="1"/>
  <c r="AB143" i="1"/>
  <c r="AC143" i="1"/>
  <c r="AD143" i="1"/>
  <c r="T143" i="1" s="1"/>
  <c r="AE143" i="1"/>
  <c r="R20" i="3" s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89" i="1"/>
  <c r="AM189" i="1"/>
  <c r="AN189" i="1"/>
  <c r="K156" i="1"/>
  <c r="L156" i="1"/>
  <c r="M156" i="1"/>
  <c r="N156" i="1" s="1"/>
  <c r="V156" i="1"/>
  <c r="S10" i="3" s="1"/>
  <c r="Y156" i="1"/>
  <c r="Z156" i="1"/>
  <c r="AA156" i="1" s="1"/>
  <c r="AB156" i="1"/>
  <c r="AC156" i="1"/>
  <c r="AD156" i="1"/>
  <c r="T156" i="1" s="1"/>
  <c r="AE156" i="1"/>
  <c r="R10" i="3" s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1" i="1"/>
  <c r="AM191" i="1"/>
  <c r="AN191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T196" i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X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X199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S27" i="3" s="1"/>
  <c r="Y200" i="1"/>
  <c r="Z200" i="1"/>
  <c r="AB200" i="1"/>
  <c r="AC200" i="1"/>
  <c r="AD200" i="1"/>
  <c r="T200" i="1" s="1"/>
  <c r="AE200" i="1"/>
  <c r="R27" i="3" s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S28" i="3" s="1"/>
  <c r="Y205" i="1"/>
  <c r="Z205" i="1"/>
  <c r="AB205" i="1"/>
  <c r="AC205" i="1"/>
  <c r="AD205" i="1"/>
  <c r="T205" i="1" s="1"/>
  <c r="AE205" i="1"/>
  <c r="R25" i="3" s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M27" i="3"/>
  <c r="U27" i="3"/>
  <c r="T27" i="3" s="1"/>
  <c r="V27" i="3"/>
  <c r="X27" i="3"/>
  <c r="M25" i="3"/>
  <c r="U25" i="3"/>
  <c r="AD9" i="3" s="1"/>
  <c r="V25" i="3"/>
  <c r="X25" i="3"/>
  <c r="M28" i="3"/>
  <c r="U28" i="3"/>
  <c r="AC28" i="3" s="1"/>
  <c r="V28" i="3"/>
  <c r="X28" i="3"/>
  <c r="M9" i="3"/>
  <c r="S9" i="3"/>
  <c r="U9" i="3"/>
  <c r="T9" i="3" s="1"/>
  <c r="V9" i="3"/>
  <c r="X9" i="3"/>
  <c r="M7" i="3"/>
  <c r="S7" i="3"/>
  <c r="U7" i="3"/>
  <c r="T7" i="3" s="1"/>
  <c r="V7" i="3"/>
  <c r="X7" i="3"/>
  <c r="M8" i="3"/>
  <c r="U8" i="3"/>
  <c r="V8" i="3"/>
  <c r="X8" i="3"/>
  <c r="M17" i="3"/>
  <c r="S17" i="3"/>
  <c r="U17" i="3"/>
  <c r="AC17" i="3" s="1"/>
  <c r="V17" i="3"/>
  <c r="X17" i="3"/>
  <c r="M12" i="3"/>
  <c r="U12" i="3"/>
  <c r="T12" i="3" s="1"/>
  <c r="V12" i="3"/>
  <c r="X12" i="3"/>
  <c r="M18" i="3"/>
  <c r="R18" i="3"/>
  <c r="U18" i="3"/>
  <c r="T18" i="3" s="1"/>
  <c r="V18" i="3"/>
  <c r="X18" i="3"/>
  <c r="M19" i="3"/>
  <c r="U19" i="3"/>
  <c r="V19" i="3"/>
  <c r="X19" i="3"/>
  <c r="M23" i="3"/>
  <c r="S23" i="3"/>
  <c r="U23" i="3"/>
  <c r="AC23" i="3" s="1"/>
  <c r="V23" i="3"/>
  <c r="X23" i="3"/>
  <c r="M22" i="3"/>
  <c r="U22" i="3"/>
  <c r="T22" i="3" s="1"/>
  <c r="V22" i="3"/>
  <c r="X22" i="3"/>
  <c r="M16" i="3"/>
  <c r="R16" i="3"/>
  <c r="U16" i="3"/>
  <c r="T16" i="3" s="1"/>
  <c r="V16" i="3"/>
  <c r="X16" i="3"/>
  <c r="M13" i="3"/>
  <c r="U13" i="3"/>
  <c r="V13" i="3"/>
  <c r="X13" i="3"/>
  <c r="M14" i="3"/>
  <c r="U14" i="3"/>
  <c r="AC14" i="3" s="1"/>
  <c r="V14" i="3"/>
  <c r="X14" i="3"/>
  <c r="M15" i="3"/>
  <c r="U15" i="3"/>
  <c r="AD15" i="3" s="1"/>
  <c r="V15" i="3"/>
  <c r="X15" i="3"/>
  <c r="AD23" i="3"/>
  <c r="M24" i="3"/>
  <c r="R24" i="3"/>
  <c r="U24" i="3"/>
  <c r="T24" i="3" s="1"/>
  <c r="V24" i="3"/>
  <c r="X24" i="3"/>
  <c r="M11" i="3"/>
  <c r="U11" i="3"/>
  <c r="V11" i="3"/>
  <c r="X11" i="3"/>
  <c r="M20" i="3"/>
  <c r="U20" i="3"/>
  <c r="AC20" i="3" s="1"/>
  <c r="V20" i="3"/>
  <c r="X20" i="3"/>
  <c r="M21" i="3"/>
  <c r="U21" i="3"/>
  <c r="V21" i="3"/>
  <c r="X21" i="3"/>
  <c r="M10" i="3"/>
  <c r="U10" i="3"/>
  <c r="T10" i="3" s="1"/>
  <c r="V10" i="3"/>
  <c r="X10" i="3"/>
  <c r="AG24" i="1"/>
  <c r="AG19" i="1"/>
  <c r="AG35" i="1"/>
  <c r="AG26" i="1"/>
  <c r="AG42" i="1"/>
  <c r="AG29" i="1"/>
  <c r="AG56" i="1"/>
  <c r="AG37" i="1"/>
  <c r="AG59" i="1"/>
  <c r="AG17" i="1"/>
  <c r="AG48" i="1"/>
  <c r="AG62" i="1"/>
  <c r="AG78" i="1"/>
  <c r="AG94" i="1"/>
  <c r="AG68" i="1"/>
  <c r="AG91" i="1"/>
  <c r="AG172" i="1"/>
  <c r="AG69" i="1"/>
  <c r="AG89" i="1"/>
  <c r="AG96" i="1"/>
  <c r="AG98" i="1"/>
  <c r="AG83" i="1"/>
  <c r="AG164" i="1"/>
  <c r="AG81" i="1"/>
  <c r="AG178" i="1"/>
  <c r="AG208" i="1"/>
  <c r="AG169" i="1"/>
  <c r="AG188" i="1"/>
  <c r="AG110" i="1"/>
  <c r="AG125" i="1"/>
  <c r="AG141" i="1"/>
  <c r="AG179" i="1"/>
  <c r="AG100" i="1"/>
  <c r="AG79" i="1"/>
  <c r="AG120" i="1"/>
  <c r="AG144" i="1"/>
  <c r="AG115" i="1"/>
  <c r="AG132" i="1"/>
  <c r="AG155" i="1"/>
  <c r="AG203" i="1"/>
  <c r="AG103" i="1"/>
  <c r="AG126" i="1"/>
  <c r="AG146" i="1"/>
  <c r="AG145" i="1"/>
  <c r="AG201" i="1"/>
  <c r="AG197" i="1"/>
  <c r="AG210" i="1"/>
  <c r="AG185" i="1"/>
  <c r="AG157" i="1"/>
  <c r="AG206" i="1"/>
  <c r="AG32" i="1"/>
  <c r="AG31" i="1"/>
  <c r="AG30" i="1"/>
  <c r="AG50" i="1"/>
  <c r="AG41" i="1"/>
  <c r="AG51" i="1"/>
  <c r="AG67" i="1"/>
  <c r="AG47" i="1"/>
  <c r="AG66" i="1"/>
  <c r="AG86" i="1"/>
  <c r="AG43" i="1"/>
  <c r="AG92" i="1"/>
  <c r="AG53" i="1"/>
  <c r="AG88" i="1"/>
  <c r="AG182" i="1"/>
  <c r="AG45" i="1"/>
  <c r="AG163" i="1"/>
  <c r="AG159" i="1"/>
  <c r="AG191" i="1"/>
  <c r="AG160" i="1"/>
  <c r="AG97" i="1"/>
  <c r="AG117" i="1"/>
  <c r="AG137" i="1"/>
  <c r="AG180" i="1"/>
  <c r="AG209" i="1"/>
  <c r="AG119" i="1"/>
  <c r="AG148" i="1"/>
  <c r="AG130" i="1"/>
  <c r="AG151" i="1"/>
  <c r="AG207" i="1"/>
  <c r="AG111" i="1"/>
  <c r="AG142" i="1"/>
  <c r="AG153" i="1"/>
  <c r="AG139" i="1"/>
  <c r="AG215" i="1"/>
  <c r="AG193" i="1"/>
  <c r="AG150" i="1"/>
  <c r="AG205" i="1"/>
  <c r="AG16" i="1"/>
  <c r="AG15" i="1"/>
  <c r="AG14" i="1"/>
  <c r="AG34" i="1"/>
  <c r="AG21" i="1"/>
  <c r="AG60" i="1"/>
  <c r="AG52" i="1"/>
  <c r="AG71" i="1"/>
  <c r="AG49" i="1"/>
  <c r="AG70" i="1"/>
  <c r="AG90" i="1"/>
  <c r="AG75" i="1"/>
  <c r="AG93" i="1"/>
  <c r="AG61" i="1"/>
  <c r="AG168" i="1"/>
  <c r="AG186" i="1"/>
  <c r="AG72" i="1"/>
  <c r="AG165" i="1"/>
  <c r="AG176" i="1"/>
  <c r="AG192" i="1"/>
  <c r="AG173" i="1"/>
  <c r="AG104" i="1"/>
  <c r="AG121" i="1"/>
  <c r="AG57" i="1"/>
  <c r="AG181" i="1"/>
  <c r="AG108" i="1"/>
  <c r="AG134" i="1"/>
  <c r="AG152" i="1"/>
  <c r="AG131" i="1"/>
  <c r="AG158" i="1"/>
  <c r="AG213" i="1"/>
  <c r="AG112" i="1"/>
  <c r="AG184" i="1"/>
  <c r="AG154" i="1"/>
  <c r="AG196" i="1"/>
  <c r="AG122" i="1"/>
  <c r="AG194" i="1"/>
  <c r="AG156" i="1"/>
  <c r="AG216" i="1"/>
  <c r="AG20" i="1"/>
  <c r="AG23" i="1"/>
  <c r="AG18" i="1"/>
  <c r="AG39" i="1"/>
  <c r="AG64" i="1"/>
  <c r="AG25" i="1"/>
  <c r="AG74" i="1"/>
  <c r="AG76" i="1"/>
  <c r="AG73" i="1"/>
  <c r="AG189" i="1"/>
  <c r="AG167" i="1"/>
  <c r="AG107" i="1"/>
  <c r="AG106" i="1"/>
  <c r="AG65" i="1"/>
  <c r="AG105" i="1"/>
  <c r="AG114" i="1"/>
  <c r="AG195" i="1"/>
  <c r="AG127" i="1"/>
  <c r="AG200" i="1"/>
  <c r="AG140" i="1"/>
  <c r="AG28" i="1"/>
  <c r="AG27" i="1"/>
  <c r="AG22" i="1"/>
  <c r="AG46" i="1"/>
  <c r="AG40" i="1"/>
  <c r="AG36" i="1"/>
  <c r="AG63" i="1"/>
  <c r="AG58" i="1"/>
  <c r="AG82" i="1"/>
  <c r="AG166" i="1"/>
  <c r="AG44" i="1"/>
  <c r="AG87" i="1"/>
  <c r="AG175" i="1"/>
  <c r="AG170" i="1"/>
  <c r="AG113" i="1"/>
  <c r="AG80" i="1"/>
  <c r="AG136" i="1"/>
  <c r="AG147" i="1"/>
  <c r="AG109" i="1"/>
  <c r="AG138" i="1"/>
  <c r="AG214" i="1"/>
  <c r="AG123" i="1"/>
  <c r="AG212" i="1"/>
  <c r="AG38" i="1"/>
  <c r="AG55" i="1"/>
  <c r="AG54" i="1"/>
  <c r="AG162" i="1"/>
  <c r="AG95" i="1"/>
  <c r="AG171" i="1"/>
  <c r="AG84" i="1"/>
  <c r="AG177" i="1"/>
  <c r="AG174" i="1"/>
  <c r="AG129" i="1"/>
  <c r="AG99" i="1"/>
  <c r="AG135" i="1"/>
  <c r="AG143" i="1"/>
  <c r="AG183" i="1"/>
  <c r="AG124" i="1"/>
  <c r="AG198" i="1"/>
  <c r="AG161" i="1"/>
  <c r="AG211" i="1"/>
  <c r="AG77" i="1"/>
  <c r="AG102" i="1"/>
  <c r="AG190" i="1"/>
  <c r="AG187" i="1"/>
  <c r="AG133" i="1"/>
  <c r="AG101" i="1"/>
  <c r="AG116" i="1"/>
  <c r="AG199" i="1"/>
  <c r="AG128" i="1"/>
  <c r="AG149" i="1"/>
  <c r="AG204" i="1"/>
  <c r="AG33" i="1"/>
  <c r="AG85" i="1"/>
  <c r="AG118" i="1"/>
  <c r="AG202" i="1"/>
  <c r="W13" i="3"/>
  <c r="W22" i="3"/>
  <c r="W28" i="3"/>
  <c r="W20" i="3"/>
  <c r="W18" i="3"/>
  <c r="W25" i="3"/>
  <c r="W11" i="3"/>
  <c r="W21" i="3"/>
  <c r="W17" i="3"/>
  <c r="W15" i="3"/>
  <c r="W16" i="3"/>
  <c r="W8" i="3"/>
  <c r="W9" i="3"/>
  <c r="W24" i="3"/>
  <c r="W23" i="3"/>
  <c r="W27" i="3"/>
  <c r="W19" i="3"/>
  <c r="W12" i="3"/>
  <c r="W10" i="3"/>
  <c r="W14" i="3"/>
  <c r="W7" i="3"/>
  <c r="AA200" i="1" l="1"/>
  <c r="AA132" i="1"/>
  <c r="AA128" i="1"/>
  <c r="AA97" i="1"/>
  <c r="AA187" i="1"/>
  <c r="AA178" i="1"/>
  <c r="X172" i="1"/>
  <c r="AA27" i="1"/>
  <c r="AA23" i="1"/>
  <c r="X176" i="1"/>
  <c r="X141" i="1"/>
  <c r="X187" i="1"/>
  <c r="AD27" i="3"/>
  <c r="AD17" i="3"/>
  <c r="AC27" i="3"/>
  <c r="X145" i="1"/>
  <c r="AA120" i="1"/>
  <c r="AA114" i="1"/>
  <c r="AA63" i="1"/>
  <c r="S15" i="3"/>
  <c r="R28" i="3"/>
  <c r="AA86" i="1"/>
  <c r="W86" i="1" s="1"/>
  <c r="AA67" i="1"/>
  <c r="X16" i="1"/>
  <c r="S14" i="3"/>
  <c r="AA206" i="1"/>
  <c r="X201" i="1"/>
  <c r="AA157" i="1"/>
  <c r="AA147" i="1"/>
  <c r="T145" i="1"/>
  <c r="AA125" i="1"/>
  <c r="AA119" i="1"/>
  <c r="AA113" i="1"/>
  <c r="AA107" i="1"/>
  <c r="W107" i="1" s="1"/>
  <c r="AA208" i="1"/>
  <c r="X98" i="1"/>
  <c r="X95" i="1"/>
  <c r="AA91" i="1"/>
  <c r="W91" i="1" s="1"/>
  <c r="AA89" i="1"/>
  <c r="AA87" i="1"/>
  <c r="AA82" i="1"/>
  <c r="AA57" i="1"/>
  <c r="W57" i="1" s="1"/>
  <c r="AA55" i="1"/>
  <c r="X28" i="1"/>
  <c r="AC18" i="3"/>
  <c r="X200" i="1"/>
  <c r="AA202" i="1"/>
  <c r="AA106" i="1"/>
  <c r="AA101" i="1"/>
  <c r="W101" i="1" s="1"/>
  <c r="AA192" i="1"/>
  <c r="AA168" i="1"/>
  <c r="AA162" i="1"/>
  <c r="X68" i="1"/>
  <c r="AA66" i="1"/>
  <c r="AA47" i="1"/>
  <c r="AA37" i="1"/>
  <c r="AA35" i="1"/>
  <c r="W35" i="1" s="1"/>
  <c r="AA16" i="1"/>
  <c r="R13" i="3"/>
  <c r="AA39" i="1"/>
  <c r="AD25" i="3"/>
  <c r="X204" i="1"/>
  <c r="AE27" i="3"/>
  <c r="R14" i="3"/>
  <c r="AC16" i="3"/>
  <c r="AA214" i="1"/>
  <c r="AA212" i="1"/>
  <c r="X207" i="1"/>
  <c r="X193" i="1"/>
  <c r="AA158" i="1"/>
  <c r="AA155" i="1"/>
  <c r="AA141" i="1"/>
  <c r="AA136" i="1"/>
  <c r="X114" i="1"/>
  <c r="X186" i="1"/>
  <c r="AA96" i="1"/>
  <c r="AA170" i="1"/>
  <c r="AA95" i="1"/>
  <c r="AA165" i="1"/>
  <c r="X88" i="1"/>
  <c r="X75" i="1"/>
  <c r="AA73" i="1"/>
  <c r="AA71" i="1"/>
  <c r="X64" i="1"/>
  <c r="AA49" i="1"/>
  <c r="W49" i="1" s="1"/>
  <c r="X38" i="1"/>
  <c r="X32" i="1"/>
  <c r="AA30" i="1"/>
  <c r="AA28" i="1"/>
  <c r="W28" i="1" s="1"/>
  <c r="T28" i="1"/>
  <c r="AD12" i="3"/>
  <c r="AA204" i="1"/>
  <c r="X74" i="1"/>
  <c r="X50" i="1"/>
  <c r="AA33" i="1"/>
  <c r="AA31" i="1"/>
  <c r="AE19" i="3"/>
  <c r="S25" i="3"/>
  <c r="T155" i="1"/>
  <c r="U155" i="1" s="1"/>
  <c r="S155" i="1" s="1"/>
  <c r="AA138" i="1"/>
  <c r="X133" i="1"/>
  <c r="X108" i="1"/>
  <c r="X189" i="1"/>
  <c r="AA186" i="1"/>
  <c r="T176" i="1"/>
  <c r="T95" i="1"/>
  <c r="X164" i="1"/>
  <c r="X87" i="1"/>
  <c r="AA70" i="1"/>
  <c r="T68" i="1"/>
  <c r="X51" i="1"/>
  <c r="AA26" i="1"/>
  <c r="AA15" i="1"/>
  <c r="AA213" i="1"/>
  <c r="X216" i="1"/>
  <c r="AA210" i="1"/>
  <c r="X152" i="1"/>
  <c r="AA150" i="1"/>
  <c r="X144" i="1"/>
  <c r="AA144" i="1"/>
  <c r="AA137" i="1"/>
  <c r="AA133" i="1"/>
  <c r="X127" i="1"/>
  <c r="AA118" i="1"/>
  <c r="X117" i="1"/>
  <c r="AA115" i="1"/>
  <c r="AA108" i="1"/>
  <c r="W108" i="1" s="1"/>
  <c r="X209" i="1"/>
  <c r="AA190" i="1"/>
  <c r="T187" i="1"/>
  <c r="X179" i="1"/>
  <c r="AA179" i="1"/>
  <c r="AA163" i="1"/>
  <c r="X92" i="1"/>
  <c r="X91" i="1"/>
  <c r="X90" i="1"/>
  <c r="X80" i="1"/>
  <c r="AA75" i="1"/>
  <c r="AA61" i="1"/>
  <c r="X60" i="1"/>
  <c r="AA52" i="1"/>
  <c r="T50" i="1"/>
  <c r="X48" i="1"/>
  <c r="X47" i="1"/>
  <c r="AA36" i="1"/>
  <c r="AA32" i="1"/>
  <c r="AA198" i="1"/>
  <c r="W198" i="1" s="1"/>
  <c r="AA194" i="1"/>
  <c r="AA151" i="1"/>
  <c r="AA167" i="1"/>
  <c r="W167" i="1" s="1"/>
  <c r="X86" i="1"/>
  <c r="AA64" i="1"/>
  <c r="T64" i="1"/>
  <c r="AA62" i="1"/>
  <c r="W62" i="1" s="1"/>
  <c r="AA59" i="1"/>
  <c r="AA46" i="1"/>
  <c r="AA43" i="1"/>
  <c r="X24" i="1"/>
  <c r="X134" i="1"/>
  <c r="AA134" i="1"/>
  <c r="AA131" i="1"/>
  <c r="AA129" i="1"/>
  <c r="W129" i="1" s="1"/>
  <c r="AA122" i="1"/>
  <c r="AA117" i="1"/>
  <c r="AA116" i="1"/>
  <c r="T114" i="1"/>
  <c r="U114" i="1" s="1"/>
  <c r="S114" i="1" s="1"/>
  <c r="AA104" i="1"/>
  <c r="AA102" i="1"/>
  <c r="AA99" i="1"/>
  <c r="X190" i="1"/>
  <c r="X188" i="1"/>
  <c r="X180" i="1"/>
  <c r="AA79" i="1"/>
  <c r="AA74" i="1"/>
  <c r="X72" i="1"/>
  <c r="AA51" i="1"/>
  <c r="AA29" i="1"/>
  <c r="X205" i="1"/>
  <c r="AA199" i="1"/>
  <c r="T133" i="1"/>
  <c r="T111" i="1"/>
  <c r="T108" i="1"/>
  <c r="U108" i="1" s="1"/>
  <c r="S108" i="1" s="1"/>
  <c r="X99" i="1"/>
  <c r="T98" i="1"/>
  <c r="X191" i="1"/>
  <c r="AA171" i="1"/>
  <c r="W171" i="1" s="1"/>
  <c r="AA166" i="1"/>
  <c r="T164" i="1"/>
  <c r="AA78" i="1"/>
  <c r="AA69" i="1"/>
  <c r="W69" i="1" s="1"/>
  <c r="X44" i="1"/>
  <c r="X39" i="1"/>
  <c r="T32" i="1"/>
  <c r="AA21" i="1"/>
  <c r="W21" i="1" s="1"/>
  <c r="AA19" i="1"/>
  <c r="X148" i="1"/>
  <c r="T148" i="1"/>
  <c r="T130" i="1"/>
  <c r="U130" i="1" s="1"/>
  <c r="S130" i="1" s="1"/>
  <c r="X130" i="1"/>
  <c r="X118" i="1"/>
  <c r="X119" i="1"/>
  <c r="T100" i="1"/>
  <c r="X100" i="1"/>
  <c r="T177" i="1"/>
  <c r="X177" i="1"/>
  <c r="X169" i="1"/>
  <c r="T169" i="1"/>
  <c r="X215" i="1"/>
  <c r="T211" i="1"/>
  <c r="U211" i="1" s="1"/>
  <c r="S211" i="1" s="1"/>
  <c r="X211" i="1"/>
  <c r="X149" i="1"/>
  <c r="T118" i="1"/>
  <c r="T184" i="1"/>
  <c r="X184" i="1"/>
  <c r="AA207" i="1"/>
  <c r="X203" i="1"/>
  <c r="T152" i="1"/>
  <c r="AA148" i="1"/>
  <c r="W148" i="1" s="1"/>
  <c r="T139" i="1"/>
  <c r="X139" i="1"/>
  <c r="T123" i="1"/>
  <c r="U123" i="1" s="1"/>
  <c r="S123" i="1" s="1"/>
  <c r="X123" i="1"/>
  <c r="T135" i="1"/>
  <c r="X135" i="1"/>
  <c r="X129" i="1"/>
  <c r="T113" i="1"/>
  <c r="U113" i="1" s="1"/>
  <c r="S113" i="1" s="1"/>
  <c r="AA209" i="1"/>
  <c r="T186" i="1"/>
  <c r="AA182" i="1"/>
  <c r="X96" i="1"/>
  <c r="AA176" i="1"/>
  <c r="T175" i="1"/>
  <c r="X175" i="1"/>
  <c r="T40" i="1"/>
  <c r="X40" i="1"/>
  <c r="X153" i="1"/>
  <c r="X131" i="1"/>
  <c r="X56" i="1"/>
  <c r="T56" i="1"/>
  <c r="AA205" i="1"/>
  <c r="AA203" i="1"/>
  <c r="AA196" i="1"/>
  <c r="W196" i="1" s="1"/>
  <c r="AA146" i="1"/>
  <c r="AA142" i="1"/>
  <c r="AA130" i="1"/>
  <c r="W130" i="1" s="1"/>
  <c r="AA183" i="1"/>
  <c r="T96" i="1"/>
  <c r="AA177" i="1"/>
  <c r="AA93" i="1"/>
  <c r="X82" i="1"/>
  <c r="T75" i="1"/>
  <c r="X20" i="1"/>
  <c r="T20" i="1"/>
  <c r="U20" i="1" s="1"/>
  <c r="S20" i="1" s="1"/>
  <c r="AA175" i="1"/>
  <c r="AA174" i="1"/>
  <c r="AA94" i="1"/>
  <c r="AA85" i="1"/>
  <c r="W85" i="1" s="1"/>
  <c r="AA81" i="1"/>
  <c r="X71" i="1"/>
  <c r="AA65" i="1"/>
  <c r="AA56" i="1"/>
  <c r="W56" i="1" s="1"/>
  <c r="AA54" i="1"/>
  <c r="AA40" i="1"/>
  <c r="AA34" i="1"/>
  <c r="AA20" i="1"/>
  <c r="AA18" i="1"/>
  <c r="AA159" i="1"/>
  <c r="AA83" i="1"/>
  <c r="X46" i="1"/>
  <c r="AA41" i="1"/>
  <c r="T38" i="1"/>
  <c r="AA25" i="1"/>
  <c r="AA154" i="1"/>
  <c r="W154" i="1" s="1"/>
  <c r="AA126" i="1"/>
  <c r="AA121" i="1"/>
  <c r="X115" i="1"/>
  <c r="AA112" i="1"/>
  <c r="W112" i="1" s="1"/>
  <c r="AA110" i="1"/>
  <c r="AA105" i="1"/>
  <c r="AA98" i="1"/>
  <c r="AA185" i="1"/>
  <c r="W185" i="1" s="1"/>
  <c r="AA181" i="1"/>
  <c r="AA92" i="1"/>
  <c r="AA90" i="1"/>
  <c r="W90" i="1" s="1"/>
  <c r="AA88" i="1"/>
  <c r="X76" i="1"/>
  <c r="AA60" i="1"/>
  <c r="AA58" i="1"/>
  <c r="W58" i="1" s="1"/>
  <c r="AA53" i="1"/>
  <c r="X52" i="1"/>
  <c r="AA38" i="1"/>
  <c r="X36" i="1"/>
  <c r="AA24" i="1"/>
  <c r="AA22" i="1"/>
  <c r="AI212" i="1"/>
  <c r="AI211" i="1"/>
  <c r="U216" i="1"/>
  <c r="S216" i="1" s="1"/>
  <c r="AI216" i="1"/>
  <c r="AI208" i="1"/>
  <c r="W206" i="1"/>
  <c r="AI207" i="1"/>
  <c r="U205" i="1"/>
  <c r="S205" i="1" s="1"/>
  <c r="AI206" i="1"/>
  <c r="U204" i="1"/>
  <c r="S204" i="1" s="1"/>
  <c r="AI192" i="1"/>
  <c r="AI191" i="1"/>
  <c r="U157" i="1"/>
  <c r="S157" i="1" s="1"/>
  <c r="AI190" i="1"/>
  <c r="U156" i="1"/>
  <c r="S156" i="1" s="1"/>
  <c r="AI184" i="1"/>
  <c r="AI158" i="1"/>
  <c r="AI122" i="1"/>
  <c r="AI97" i="1"/>
  <c r="AI196" i="1"/>
  <c r="AI195" i="1"/>
  <c r="U193" i="1"/>
  <c r="S193" i="1" s="1"/>
  <c r="AI194" i="1"/>
  <c r="AI183" i="1"/>
  <c r="U149" i="1"/>
  <c r="S149" i="1" s="1"/>
  <c r="AI174" i="1"/>
  <c r="U122" i="1"/>
  <c r="S122" i="1" s="1"/>
  <c r="AI210" i="1"/>
  <c r="U210" i="1"/>
  <c r="S210" i="1" s="1"/>
  <c r="AI215" i="1"/>
  <c r="U214" i="1"/>
  <c r="S214" i="1" s="1"/>
  <c r="AI214" i="1"/>
  <c r="AI200" i="1"/>
  <c r="AI199" i="1"/>
  <c r="U197" i="1"/>
  <c r="S197" i="1" s="1"/>
  <c r="U196" i="1"/>
  <c r="S196" i="1" s="1"/>
  <c r="AI198" i="1"/>
  <c r="AI173" i="1"/>
  <c r="U139" i="1"/>
  <c r="S139" i="1" s="1"/>
  <c r="AI204" i="1"/>
  <c r="AI203" i="1"/>
  <c r="U200" i="1"/>
  <c r="S200" i="1" s="1"/>
  <c r="AI202" i="1"/>
  <c r="AI188" i="1"/>
  <c r="AI187" i="1"/>
  <c r="U153" i="1"/>
  <c r="S153" i="1" s="1"/>
  <c r="AI179" i="1"/>
  <c r="U145" i="1"/>
  <c r="S145" i="1" s="1"/>
  <c r="AI172" i="1"/>
  <c r="U138" i="1"/>
  <c r="S138" i="1" s="1"/>
  <c r="AI121" i="1"/>
  <c r="U184" i="1"/>
  <c r="S184" i="1" s="1"/>
  <c r="AI180" i="1"/>
  <c r="AI176" i="1"/>
  <c r="U142" i="1"/>
  <c r="S142" i="1" s="1"/>
  <c r="AI162" i="1"/>
  <c r="AI161" i="1"/>
  <c r="AI160" i="1"/>
  <c r="U126" i="1"/>
  <c r="S126" i="1" s="1"/>
  <c r="AI148" i="1"/>
  <c r="AI147" i="1"/>
  <c r="U111" i="1"/>
  <c r="S111" i="1" s="1"/>
  <c r="AI144" i="1"/>
  <c r="U109" i="1"/>
  <c r="S109" i="1" s="1"/>
  <c r="AI136" i="1"/>
  <c r="U103" i="1"/>
  <c r="S103" i="1" s="1"/>
  <c r="AI120" i="1"/>
  <c r="U183" i="1"/>
  <c r="S183" i="1" s="1"/>
  <c r="U213" i="1"/>
  <c r="S213" i="1" s="1"/>
  <c r="AI213" i="1"/>
  <c r="AI209" i="1"/>
  <c r="U203" i="1"/>
  <c r="S203" i="1" s="1"/>
  <c r="AI205" i="1"/>
  <c r="U199" i="1"/>
  <c r="S199" i="1" s="1"/>
  <c r="AI201" i="1"/>
  <c r="U195" i="1"/>
  <c r="S195" i="1" s="1"/>
  <c r="AI197" i="1"/>
  <c r="U158" i="1"/>
  <c r="S158" i="1" s="1"/>
  <c r="AI193" i="1"/>
  <c r="AI189" i="1"/>
  <c r="AI185" i="1"/>
  <c r="U147" i="1"/>
  <c r="S147" i="1" s="1"/>
  <c r="W147" i="1"/>
  <c r="AI181" i="1"/>
  <c r="U143" i="1"/>
  <c r="S143" i="1" s="1"/>
  <c r="AI177" i="1"/>
  <c r="AI166" i="1"/>
  <c r="AI165" i="1"/>
  <c r="AI164" i="1"/>
  <c r="AI152" i="1"/>
  <c r="AI151" i="1"/>
  <c r="AI150" i="1"/>
  <c r="U152" i="1"/>
  <c r="S152" i="1" s="1"/>
  <c r="AI186" i="1"/>
  <c r="U148" i="1"/>
  <c r="S148" i="1" s="1"/>
  <c r="AI182" i="1"/>
  <c r="U144" i="1"/>
  <c r="S144" i="1" s="1"/>
  <c r="AI178" i="1"/>
  <c r="AI170" i="1"/>
  <c r="W136" i="1"/>
  <c r="AI169" i="1"/>
  <c r="U135" i="1"/>
  <c r="S135" i="1" s="1"/>
  <c r="U134" i="1"/>
  <c r="S134" i="1"/>
  <c r="AI168" i="1"/>
  <c r="AI156" i="1"/>
  <c r="W120" i="1"/>
  <c r="AI155" i="1"/>
  <c r="U119" i="1"/>
  <c r="S119" i="1" s="1"/>
  <c r="U118" i="1"/>
  <c r="S118" i="1" s="1"/>
  <c r="AI154" i="1"/>
  <c r="AI140" i="1"/>
  <c r="U105" i="1"/>
  <c r="S105" i="1" s="1"/>
  <c r="AI79" i="1"/>
  <c r="U79" i="1"/>
  <c r="S79" i="1" s="1"/>
  <c r="AI143" i="1"/>
  <c r="AI139" i="1"/>
  <c r="U209" i="1"/>
  <c r="S209" i="1" s="1"/>
  <c r="AI134" i="1"/>
  <c r="AI133" i="1"/>
  <c r="U100" i="1"/>
  <c r="S100" i="1" s="1"/>
  <c r="AI132" i="1"/>
  <c r="U99" i="1"/>
  <c r="S99" i="1" s="1"/>
  <c r="AI118" i="1"/>
  <c r="W181" i="1"/>
  <c r="AI117" i="1"/>
  <c r="U180" i="1"/>
  <c r="S180" i="1" s="1"/>
  <c r="AI116" i="1"/>
  <c r="U179" i="1"/>
  <c r="S179" i="1" s="1"/>
  <c r="AI80" i="1"/>
  <c r="U80" i="1"/>
  <c r="S80" i="1" s="1"/>
  <c r="AI65" i="1"/>
  <c r="U65" i="1"/>
  <c r="S65" i="1" s="1"/>
  <c r="AI57" i="1"/>
  <c r="U57" i="1"/>
  <c r="S57" i="1" s="1"/>
  <c r="AI175" i="1"/>
  <c r="AI171" i="1"/>
  <c r="U133" i="1"/>
  <c r="S133" i="1" s="1"/>
  <c r="AI167" i="1"/>
  <c r="U129" i="1"/>
  <c r="S129" i="1" s="1"/>
  <c r="AI163" i="1"/>
  <c r="AI159" i="1"/>
  <c r="W125" i="1"/>
  <c r="AI157" i="1"/>
  <c r="U117" i="1"/>
  <c r="S117" i="1" s="1"/>
  <c r="AI153" i="1"/>
  <c r="AI149" i="1"/>
  <c r="AI145" i="1"/>
  <c r="AI141" i="1"/>
  <c r="AI137" i="1"/>
  <c r="AI126" i="1"/>
  <c r="AI125" i="1"/>
  <c r="U188" i="1"/>
  <c r="S188" i="1" s="1"/>
  <c r="U187" i="1"/>
  <c r="S187" i="1" s="1"/>
  <c r="AI124" i="1"/>
  <c r="AI110" i="1"/>
  <c r="AI106" i="1"/>
  <c r="U169" i="1"/>
  <c r="S169" i="1" s="1"/>
  <c r="AI96" i="1"/>
  <c r="U160" i="1"/>
  <c r="S160" i="1" s="1"/>
  <c r="AI146" i="1"/>
  <c r="U107" i="1"/>
  <c r="S107" i="1" s="1"/>
  <c r="AI142" i="1"/>
  <c r="U208" i="1"/>
  <c r="S208" i="1" s="1"/>
  <c r="AI138" i="1"/>
  <c r="W208" i="1"/>
  <c r="AI130" i="1"/>
  <c r="AI129" i="1"/>
  <c r="U191" i="1"/>
  <c r="S191" i="1" s="1"/>
  <c r="U190" i="1"/>
  <c r="S190" i="1" s="1"/>
  <c r="AI128" i="1"/>
  <c r="AI114" i="1"/>
  <c r="AI113" i="1"/>
  <c r="U177" i="1"/>
  <c r="S177" i="1" s="1"/>
  <c r="U176" i="1"/>
  <c r="S176" i="1" s="1"/>
  <c r="AI112" i="1"/>
  <c r="AI95" i="1"/>
  <c r="U159" i="1"/>
  <c r="S159" i="1" s="1"/>
  <c r="AI81" i="1"/>
  <c r="AI107" i="1"/>
  <c r="AI103" i="1"/>
  <c r="AI101" i="1"/>
  <c r="AI100" i="1"/>
  <c r="U164" i="1"/>
  <c r="S164" i="1" s="1"/>
  <c r="AI99" i="1"/>
  <c r="U163" i="1"/>
  <c r="S163" i="1" s="1"/>
  <c r="AI85" i="1"/>
  <c r="AI84" i="1"/>
  <c r="AI83" i="1"/>
  <c r="U83" i="1"/>
  <c r="S83" i="1" s="1"/>
  <c r="AI72" i="1"/>
  <c r="U72" i="1"/>
  <c r="S72" i="1" s="1"/>
  <c r="AI45" i="1"/>
  <c r="AI135" i="1"/>
  <c r="U98" i="1"/>
  <c r="S98" i="1" s="1"/>
  <c r="AI131" i="1"/>
  <c r="U189" i="1"/>
  <c r="S189" i="1" s="1"/>
  <c r="AI127" i="1"/>
  <c r="U186" i="1"/>
  <c r="S186" i="1" s="1"/>
  <c r="AI123" i="1"/>
  <c r="AI119" i="1"/>
  <c r="U96" i="1"/>
  <c r="S96" i="1"/>
  <c r="AI115" i="1"/>
  <c r="U175" i="1"/>
  <c r="S175" i="1" s="1"/>
  <c r="AI111" i="1"/>
  <c r="AI108" i="1"/>
  <c r="U168" i="1"/>
  <c r="S168" i="1" s="1"/>
  <c r="AI104" i="1"/>
  <c r="AI89" i="1"/>
  <c r="AI88" i="1"/>
  <c r="U87" i="1"/>
  <c r="S87" i="1" s="1"/>
  <c r="AI87" i="1"/>
  <c r="AI73" i="1"/>
  <c r="AI69" i="1"/>
  <c r="AI61" i="1"/>
  <c r="U61" i="1"/>
  <c r="S61" i="1" s="1"/>
  <c r="AI53" i="1"/>
  <c r="U53" i="1"/>
  <c r="S53" i="1" s="1"/>
  <c r="AI44" i="1"/>
  <c r="U44" i="1"/>
  <c r="S44" i="1" s="1"/>
  <c r="U172" i="1"/>
  <c r="S172" i="1" s="1"/>
  <c r="AI109" i="1"/>
  <c r="U95" i="1"/>
  <c r="S95" i="1" s="1"/>
  <c r="AI105" i="1"/>
  <c r="AI93" i="1"/>
  <c r="W93" i="1"/>
  <c r="AI92" i="1"/>
  <c r="U92" i="1"/>
  <c r="S92" i="1" s="1"/>
  <c r="U91" i="1"/>
  <c r="S91" i="1" s="1"/>
  <c r="AI91" i="1"/>
  <c r="AI77" i="1"/>
  <c r="W77" i="1"/>
  <c r="AI76" i="1"/>
  <c r="U76" i="1"/>
  <c r="S76" i="1" s="1"/>
  <c r="U75" i="1"/>
  <c r="S75" i="1" s="1"/>
  <c r="AI75" i="1"/>
  <c r="AI68" i="1"/>
  <c r="U68" i="1"/>
  <c r="S68" i="1" s="1"/>
  <c r="AI43" i="1"/>
  <c r="U43" i="1"/>
  <c r="S43" i="1" s="1"/>
  <c r="U166" i="1"/>
  <c r="S166" i="1" s="1"/>
  <c r="AI102" i="1"/>
  <c r="AI98" i="1"/>
  <c r="AI94" i="1"/>
  <c r="U90" i="1"/>
  <c r="S90" i="1" s="1"/>
  <c r="AI90" i="1"/>
  <c r="U86" i="1"/>
  <c r="S86" i="1" s="1"/>
  <c r="AI86" i="1"/>
  <c r="AI82" i="1"/>
  <c r="AI78" i="1"/>
  <c r="U74" i="1"/>
  <c r="S74" i="1" s="1"/>
  <c r="AI74" i="1"/>
  <c r="AI70" i="1"/>
  <c r="W70" i="1"/>
  <c r="AI66" i="1"/>
  <c r="AI62" i="1"/>
  <c r="AI58" i="1"/>
  <c r="AI54" i="1"/>
  <c r="AI49" i="1"/>
  <c r="AI48" i="1"/>
  <c r="AI47" i="1"/>
  <c r="U47" i="1"/>
  <c r="S47" i="1" s="1"/>
  <c r="AI33" i="1"/>
  <c r="U33" i="1"/>
  <c r="S33" i="1" s="1"/>
  <c r="AI25" i="1"/>
  <c r="U25" i="1"/>
  <c r="S25" i="1" s="1"/>
  <c r="AI17" i="1"/>
  <c r="U17" i="1"/>
  <c r="S17" i="1" s="1"/>
  <c r="U71" i="1"/>
  <c r="S71" i="1" s="1"/>
  <c r="AI71" i="1"/>
  <c r="U67" i="1"/>
  <c r="S67" i="1" s="1"/>
  <c r="AI67" i="1"/>
  <c r="U63" i="1"/>
  <c r="S63" i="1" s="1"/>
  <c r="AI63" i="1"/>
  <c r="U59" i="1"/>
  <c r="AI59" i="1"/>
  <c r="U55" i="1"/>
  <c r="S55" i="1" s="1"/>
  <c r="AI55" i="1"/>
  <c r="AI52" i="1"/>
  <c r="U52" i="1"/>
  <c r="S52" i="1" s="1"/>
  <c r="U51" i="1"/>
  <c r="S51" i="1" s="1"/>
  <c r="AI51" i="1"/>
  <c r="AI37" i="1"/>
  <c r="AI36" i="1"/>
  <c r="U64" i="1"/>
  <c r="S64" i="1" s="1"/>
  <c r="AI64" i="1"/>
  <c r="U60" i="1"/>
  <c r="AI60" i="1"/>
  <c r="U56" i="1"/>
  <c r="S56" i="1" s="1"/>
  <c r="AI56" i="1"/>
  <c r="AI41" i="1"/>
  <c r="AI40" i="1"/>
  <c r="U40" i="1"/>
  <c r="S40" i="1" s="1"/>
  <c r="U39" i="1"/>
  <c r="S39" i="1" s="1"/>
  <c r="AI39" i="1"/>
  <c r="AI29" i="1"/>
  <c r="U29" i="1"/>
  <c r="S29" i="1" s="1"/>
  <c r="AI21" i="1"/>
  <c r="U21" i="1"/>
  <c r="S21" i="1" s="1"/>
  <c r="U50" i="1"/>
  <c r="S50" i="1" s="1"/>
  <c r="AI50" i="1"/>
  <c r="U46" i="1"/>
  <c r="S46" i="1" s="1"/>
  <c r="AI46" i="1"/>
  <c r="AI42" i="1"/>
  <c r="U38" i="1"/>
  <c r="S38" i="1" s="1"/>
  <c r="AI38" i="1"/>
  <c r="AI34" i="1"/>
  <c r="AI30" i="1"/>
  <c r="AI26" i="1"/>
  <c r="AI22" i="1"/>
  <c r="AI18" i="1"/>
  <c r="AI14" i="1"/>
  <c r="U35" i="1"/>
  <c r="S35" i="1" s="1"/>
  <c r="AI35" i="1"/>
  <c r="U31" i="1"/>
  <c r="S31" i="1" s="1"/>
  <c r="AI31" i="1"/>
  <c r="U27" i="1"/>
  <c r="S27" i="1" s="1"/>
  <c r="AI27" i="1"/>
  <c r="W27" i="1"/>
  <c r="U23" i="1"/>
  <c r="S23" i="1" s="1"/>
  <c r="AI23" i="1"/>
  <c r="U19" i="1"/>
  <c r="S19" i="1" s="1"/>
  <c r="AI19" i="1"/>
  <c r="W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195" i="1"/>
  <c r="W151" i="1"/>
  <c r="W212" i="1"/>
  <c r="W216" i="1"/>
  <c r="W203" i="1"/>
  <c r="W141" i="1"/>
  <c r="W114" i="1"/>
  <c r="W200" i="1"/>
  <c r="W155" i="1"/>
  <c r="W214" i="1"/>
  <c r="W207" i="1"/>
  <c r="W202" i="1"/>
  <c r="W194" i="1"/>
  <c r="W156" i="1"/>
  <c r="W152" i="1"/>
  <c r="W143" i="1"/>
  <c r="W213" i="1"/>
  <c r="W210" i="1"/>
  <c r="W204" i="1"/>
  <c r="W199" i="1"/>
  <c r="W158" i="1"/>
  <c r="T202" i="1"/>
  <c r="U202" i="1" s="1"/>
  <c r="S202" i="1" s="1"/>
  <c r="X202" i="1"/>
  <c r="AA215" i="1"/>
  <c r="W215" i="1" s="1"/>
  <c r="X213" i="1"/>
  <c r="T212" i="1"/>
  <c r="U212" i="1" s="1"/>
  <c r="S212" i="1" s="1"/>
  <c r="X212" i="1"/>
  <c r="AA197" i="1"/>
  <c r="W197" i="1" s="1"/>
  <c r="X195" i="1"/>
  <c r="T194" i="1"/>
  <c r="U194" i="1" s="1"/>
  <c r="S194" i="1" s="1"/>
  <c r="X194" i="1"/>
  <c r="T151" i="1"/>
  <c r="U151" i="1" s="1"/>
  <c r="S151" i="1" s="1"/>
  <c r="X151" i="1"/>
  <c r="W132" i="1"/>
  <c r="W122" i="1"/>
  <c r="W121" i="1"/>
  <c r="W117" i="1"/>
  <c r="W113" i="1"/>
  <c r="T112" i="1"/>
  <c r="U112" i="1" s="1"/>
  <c r="S112" i="1" s="1"/>
  <c r="W110" i="1"/>
  <c r="W209" i="1"/>
  <c r="X102" i="1"/>
  <c r="T102" i="1"/>
  <c r="U102" i="1" s="1"/>
  <c r="S102" i="1" s="1"/>
  <c r="W182" i="1"/>
  <c r="W168" i="1"/>
  <c r="W51" i="1"/>
  <c r="AA201" i="1"/>
  <c r="W201" i="1" s="1"/>
  <c r="T198" i="1"/>
  <c r="U198" i="1" s="1"/>
  <c r="S198" i="1" s="1"/>
  <c r="X198" i="1"/>
  <c r="AA153" i="1"/>
  <c r="W153" i="1" s="1"/>
  <c r="W146" i="1"/>
  <c r="AA145" i="1"/>
  <c r="W145" i="1" s="1"/>
  <c r="W134" i="1"/>
  <c r="W128" i="1"/>
  <c r="W126" i="1"/>
  <c r="AA124" i="1"/>
  <c r="W124" i="1" s="1"/>
  <c r="X121" i="1"/>
  <c r="T121" i="1"/>
  <c r="U121" i="1" s="1"/>
  <c r="S121" i="1" s="1"/>
  <c r="X122" i="1"/>
  <c r="W115" i="1"/>
  <c r="W176" i="1"/>
  <c r="W71" i="1"/>
  <c r="T215" i="1"/>
  <c r="U215" i="1" s="1"/>
  <c r="S215" i="1" s="1"/>
  <c r="X210" i="1"/>
  <c r="T207" i="1"/>
  <c r="U207" i="1" s="1"/>
  <c r="S207" i="1" s="1"/>
  <c r="W205" i="1"/>
  <c r="T201" i="1"/>
  <c r="U201" i="1" s="1"/>
  <c r="S201" i="1" s="1"/>
  <c r="W157" i="1"/>
  <c r="T154" i="1"/>
  <c r="U154" i="1" s="1"/>
  <c r="S154" i="1" s="1"/>
  <c r="X154" i="1"/>
  <c r="W150" i="1"/>
  <c r="T146" i="1"/>
  <c r="U146" i="1" s="1"/>
  <c r="S146" i="1" s="1"/>
  <c r="X146" i="1"/>
  <c r="W144" i="1"/>
  <c r="W138" i="1"/>
  <c r="W137" i="1"/>
  <c r="W133" i="1"/>
  <c r="T128" i="1"/>
  <c r="U128" i="1" s="1"/>
  <c r="S128" i="1" s="1"/>
  <c r="X128" i="1"/>
  <c r="W116" i="1"/>
  <c r="T104" i="1"/>
  <c r="U104" i="1" s="1"/>
  <c r="S104" i="1" s="1"/>
  <c r="X104" i="1"/>
  <c r="X208" i="1"/>
  <c r="W183" i="1"/>
  <c r="X173" i="1"/>
  <c r="T173" i="1"/>
  <c r="U173" i="1" s="1"/>
  <c r="S173" i="1" s="1"/>
  <c r="X214" i="1"/>
  <c r="AA211" i="1"/>
  <c r="W211" i="1" s="1"/>
  <c r="T206" i="1"/>
  <c r="U206" i="1" s="1"/>
  <c r="S206" i="1" s="1"/>
  <c r="X206" i="1"/>
  <c r="X196" i="1"/>
  <c r="AA193" i="1"/>
  <c r="W193" i="1" s="1"/>
  <c r="T150" i="1"/>
  <c r="U150" i="1" s="1"/>
  <c r="S150" i="1" s="1"/>
  <c r="X150" i="1"/>
  <c r="AA149" i="1"/>
  <c r="W149" i="1" s="1"/>
  <c r="W142" i="1"/>
  <c r="AA140" i="1"/>
  <c r="W140" i="1" s="1"/>
  <c r="X137" i="1"/>
  <c r="T137" i="1"/>
  <c r="U137" i="1" s="1"/>
  <c r="S137" i="1" s="1"/>
  <c r="X138" i="1"/>
  <c r="W131" i="1"/>
  <c r="T127" i="1"/>
  <c r="U127" i="1" s="1"/>
  <c r="S127" i="1" s="1"/>
  <c r="W118" i="1"/>
  <c r="W190" i="1"/>
  <c r="W186" i="1"/>
  <c r="T174" i="1"/>
  <c r="U174" i="1" s="1"/>
  <c r="S174" i="1" s="1"/>
  <c r="X174" i="1"/>
  <c r="X84" i="1"/>
  <c r="T84" i="1"/>
  <c r="U84" i="1" s="1"/>
  <c r="S84" i="1" s="1"/>
  <c r="W135" i="1"/>
  <c r="T132" i="1"/>
  <c r="U132" i="1" s="1"/>
  <c r="S132" i="1" s="1"/>
  <c r="X132" i="1"/>
  <c r="T131" i="1"/>
  <c r="U131" i="1" s="1"/>
  <c r="S131" i="1" s="1"/>
  <c r="W119" i="1"/>
  <c r="T116" i="1"/>
  <c r="U116" i="1" s="1"/>
  <c r="S116" i="1" s="1"/>
  <c r="X116" i="1"/>
  <c r="T115" i="1"/>
  <c r="U115" i="1" s="1"/>
  <c r="S115" i="1" s="1"/>
  <c r="W106" i="1"/>
  <c r="W105" i="1"/>
  <c r="W98" i="1"/>
  <c r="W191" i="1"/>
  <c r="W189" i="1"/>
  <c r="W187" i="1"/>
  <c r="X182" i="1"/>
  <c r="T182" i="1"/>
  <c r="U182" i="1" s="1"/>
  <c r="S182" i="1" s="1"/>
  <c r="X183" i="1"/>
  <c r="T170" i="1"/>
  <c r="U170" i="1" s="1"/>
  <c r="S170" i="1" s="1"/>
  <c r="X170" i="1"/>
  <c r="W162" i="1"/>
  <c r="W82" i="1"/>
  <c r="W81" i="1"/>
  <c r="W66" i="1"/>
  <c r="X19" i="1"/>
  <c r="T18" i="1"/>
  <c r="U18" i="1" s="1"/>
  <c r="S18" i="1" s="1"/>
  <c r="X18" i="1"/>
  <c r="X142" i="1"/>
  <c r="T141" i="1"/>
  <c r="U141" i="1" s="1"/>
  <c r="S141" i="1" s="1"/>
  <c r="AA139" i="1"/>
  <c r="W139" i="1" s="1"/>
  <c r="T136" i="1"/>
  <c r="U136" i="1" s="1"/>
  <c r="S136" i="1" s="1"/>
  <c r="X136" i="1"/>
  <c r="X126" i="1"/>
  <c r="T125" i="1"/>
  <c r="U125" i="1" s="1"/>
  <c r="S125" i="1" s="1"/>
  <c r="AA123" i="1"/>
  <c r="W123" i="1" s="1"/>
  <c r="T120" i="1"/>
  <c r="U120" i="1" s="1"/>
  <c r="S120" i="1" s="1"/>
  <c r="X120" i="1"/>
  <c r="T106" i="1"/>
  <c r="U106" i="1" s="1"/>
  <c r="S106" i="1" s="1"/>
  <c r="X106" i="1"/>
  <c r="X107" i="1"/>
  <c r="W99" i="1"/>
  <c r="W192" i="1"/>
  <c r="W97" i="1"/>
  <c r="W96" i="1"/>
  <c r="W177" i="1"/>
  <c r="W175" i="1"/>
  <c r="W172" i="1"/>
  <c r="W87" i="1"/>
  <c r="X78" i="1"/>
  <c r="T78" i="1"/>
  <c r="U78" i="1" s="1"/>
  <c r="S78" i="1" s="1"/>
  <c r="X79" i="1"/>
  <c r="W54" i="1"/>
  <c r="W46" i="1"/>
  <c r="W38" i="1"/>
  <c r="X147" i="1"/>
  <c r="X143" i="1"/>
  <c r="T140" i="1"/>
  <c r="U140" i="1" s="1"/>
  <c r="S140" i="1" s="1"/>
  <c r="X140" i="1"/>
  <c r="AA127" i="1"/>
  <c r="W127" i="1" s="1"/>
  <c r="T124" i="1"/>
  <c r="U124" i="1" s="1"/>
  <c r="S124" i="1" s="1"/>
  <c r="X124" i="1"/>
  <c r="AA111" i="1"/>
  <c r="W111" i="1" s="1"/>
  <c r="T110" i="1"/>
  <c r="U110" i="1" s="1"/>
  <c r="S110" i="1" s="1"/>
  <c r="AA109" i="1"/>
  <c r="W109" i="1" s="1"/>
  <c r="W104" i="1"/>
  <c r="AA103" i="1"/>
  <c r="W103" i="1" s="1"/>
  <c r="W102" i="1"/>
  <c r="T97" i="1"/>
  <c r="U97" i="1" s="1"/>
  <c r="S97" i="1" s="1"/>
  <c r="X97" i="1"/>
  <c r="W179" i="1"/>
  <c r="W178" i="1"/>
  <c r="W174" i="1"/>
  <c r="W95" i="1"/>
  <c r="W83" i="1"/>
  <c r="AA188" i="1"/>
  <c r="W188" i="1" s="1"/>
  <c r="T185" i="1"/>
  <c r="U185" i="1" s="1"/>
  <c r="S185" i="1" s="1"/>
  <c r="X185" i="1"/>
  <c r="AA173" i="1"/>
  <c r="W173" i="1" s="1"/>
  <c r="W170" i="1"/>
  <c r="AA169" i="1"/>
  <c r="W169" i="1" s="1"/>
  <c r="W166" i="1"/>
  <c r="T165" i="1"/>
  <c r="U165" i="1" s="1"/>
  <c r="S165" i="1" s="1"/>
  <c r="X165" i="1"/>
  <c r="W89" i="1"/>
  <c r="W79" i="1"/>
  <c r="W78" i="1"/>
  <c r="W74" i="1"/>
  <c r="W67" i="1"/>
  <c r="W63" i="1"/>
  <c r="W61" i="1"/>
  <c r="W55" i="1"/>
  <c r="W53" i="1"/>
  <c r="W41" i="1"/>
  <c r="W36" i="1"/>
  <c r="X109" i="1"/>
  <c r="X105" i="1"/>
  <c r="X103" i="1"/>
  <c r="AA100" i="1"/>
  <c r="W100" i="1" s="1"/>
  <c r="T192" i="1"/>
  <c r="U192" i="1" s="1"/>
  <c r="S192" i="1" s="1"/>
  <c r="X192" i="1"/>
  <c r="AA180" i="1"/>
  <c r="W180" i="1" s="1"/>
  <c r="T178" i="1"/>
  <c r="U178" i="1" s="1"/>
  <c r="S178" i="1" s="1"/>
  <c r="X178" i="1"/>
  <c r="T167" i="1"/>
  <c r="U167" i="1" s="1"/>
  <c r="S167" i="1" s="1"/>
  <c r="X167" i="1"/>
  <c r="W159" i="1"/>
  <c r="W94" i="1"/>
  <c r="T85" i="1"/>
  <c r="U85" i="1" s="1"/>
  <c r="S85" i="1" s="1"/>
  <c r="X85" i="1"/>
  <c r="W73" i="1"/>
  <c r="T66" i="1"/>
  <c r="U66" i="1" s="1"/>
  <c r="S66" i="1" s="1"/>
  <c r="X66" i="1"/>
  <c r="X67" i="1"/>
  <c r="W59" i="1"/>
  <c r="T101" i="1"/>
  <c r="U101" i="1" s="1"/>
  <c r="S101" i="1" s="1"/>
  <c r="X101" i="1"/>
  <c r="AA184" i="1"/>
  <c r="W184" i="1" s="1"/>
  <c r="T181" i="1"/>
  <c r="U181" i="1" s="1"/>
  <c r="S181" i="1" s="1"/>
  <c r="X181" i="1"/>
  <c r="T171" i="1"/>
  <c r="U171" i="1" s="1"/>
  <c r="S171" i="1" s="1"/>
  <c r="X171" i="1"/>
  <c r="X166" i="1"/>
  <c r="W165" i="1"/>
  <c r="W163" i="1"/>
  <c r="AA161" i="1"/>
  <c r="W161" i="1" s="1"/>
  <c r="X94" i="1"/>
  <c r="T94" i="1"/>
  <c r="U94" i="1" s="1"/>
  <c r="S94" i="1" s="1"/>
  <c r="W88" i="1"/>
  <c r="W75" i="1"/>
  <c r="W23" i="1"/>
  <c r="W92" i="1"/>
  <c r="T89" i="1"/>
  <c r="U89" i="1" s="1"/>
  <c r="S89" i="1" s="1"/>
  <c r="X89" i="1"/>
  <c r="T88" i="1"/>
  <c r="U88" i="1" s="1"/>
  <c r="S88" i="1" s="1"/>
  <c r="W76" i="1"/>
  <c r="T73" i="1"/>
  <c r="U73" i="1" s="1"/>
  <c r="S73" i="1" s="1"/>
  <c r="X73" i="1"/>
  <c r="T69" i="1"/>
  <c r="U69" i="1" s="1"/>
  <c r="S69" i="1" s="1"/>
  <c r="X69" i="1"/>
  <c r="AA68" i="1"/>
  <c r="W68" i="1" s="1"/>
  <c r="W64" i="1"/>
  <c r="X63" i="1"/>
  <c r="T62" i="1"/>
  <c r="U62" i="1" s="1"/>
  <c r="S62" i="1" s="1"/>
  <c r="X62" i="1"/>
  <c r="X55" i="1"/>
  <c r="T54" i="1"/>
  <c r="U54" i="1" s="1"/>
  <c r="S54" i="1" s="1"/>
  <c r="X54" i="1"/>
  <c r="W39" i="1"/>
  <c r="W37" i="1"/>
  <c r="W33" i="1"/>
  <c r="W15" i="1"/>
  <c r="T162" i="1"/>
  <c r="U162" i="1" s="1"/>
  <c r="S162" i="1" s="1"/>
  <c r="AA160" i="1"/>
  <c r="W160" i="1" s="1"/>
  <c r="T93" i="1"/>
  <c r="U93" i="1" s="1"/>
  <c r="S93" i="1" s="1"/>
  <c r="X93" i="1"/>
  <c r="X83" i="1"/>
  <c r="T82" i="1"/>
  <c r="U82" i="1" s="1"/>
  <c r="S82" i="1" s="1"/>
  <c r="AA80" i="1"/>
  <c r="W80" i="1" s="1"/>
  <c r="T77" i="1"/>
  <c r="U77" i="1" s="1"/>
  <c r="S77" i="1" s="1"/>
  <c r="X77" i="1"/>
  <c r="T70" i="1"/>
  <c r="U70" i="1" s="1"/>
  <c r="S70" i="1" s="1"/>
  <c r="X70" i="1"/>
  <c r="W65" i="1"/>
  <c r="T49" i="1"/>
  <c r="U49" i="1" s="1"/>
  <c r="S49" i="1" s="1"/>
  <c r="X49" i="1"/>
  <c r="W43" i="1"/>
  <c r="W42" i="1"/>
  <c r="T34" i="1"/>
  <c r="U34" i="1" s="1"/>
  <c r="S34" i="1" s="1"/>
  <c r="X34" i="1"/>
  <c r="X35" i="1"/>
  <c r="W25" i="1"/>
  <c r="W20" i="1"/>
  <c r="X168" i="1"/>
  <c r="AA164" i="1"/>
  <c r="W164" i="1" s="1"/>
  <c r="T161" i="1"/>
  <c r="U161" i="1" s="1"/>
  <c r="S161" i="1" s="1"/>
  <c r="AA84" i="1"/>
  <c r="W84" i="1" s="1"/>
  <c r="T81" i="1"/>
  <c r="U81" i="1" s="1"/>
  <c r="S81" i="1" s="1"/>
  <c r="X81" i="1"/>
  <c r="AA72" i="1"/>
  <c r="W72" i="1" s="1"/>
  <c r="W60" i="1"/>
  <c r="X59" i="1"/>
  <c r="T58" i="1"/>
  <c r="U58" i="1" s="1"/>
  <c r="S58" i="1" s="1"/>
  <c r="X58" i="1"/>
  <c r="W52" i="1"/>
  <c r="W50" i="1"/>
  <c r="T48" i="1"/>
  <c r="U48" i="1" s="1"/>
  <c r="S48" i="1" s="1"/>
  <c r="W47" i="1"/>
  <c r="AA45" i="1"/>
  <c r="W45" i="1" s="1"/>
  <c r="X42" i="1"/>
  <c r="T42" i="1"/>
  <c r="U42" i="1" s="1"/>
  <c r="S42" i="1" s="1"/>
  <c r="X43" i="1"/>
  <c r="W31" i="1"/>
  <c r="X27" i="1"/>
  <c r="T26" i="1"/>
  <c r="U26" i="1" s="1"/>
  <c r="S26" i="1" s="1"/>
  <c r="X26" i="1"/>
  <c r="X65" i="1"/>
  <c r="X61" i="1"/>
  <c r="X57" i="1"/>
  <c r="X53" i="1"/>
  <c r="W40" i="1"/>
  <c r="T37" i="1"/>
  <c r="U37" i="1" s="1"/>
  <c r="S37" i="1" s="1"/>
  <c r="X37" i="1"/>
  <c r="T36" i="1"/>
  <c r="U36" i="1" s="1"/>
  <c r="S36" i="1" s="1"/>
  <c r="W30" i="1"/>
  <c r="W22" i="1"/>
  <c r="W14" i="1"/>
  <c r="AA44" i="1"/>
  <c r="W44" i="1" s="1"/>
  <c r="T41" i="1"/>
  <c r="U41" i="1" s="1"/>
  <c r="S41" i="1" s="1"/>
  <c r="X41" i="1"/>
  <c r="W32" i="1"/>
  <c r="X31" i="1"/>
  <c r="T30" i="1"/>
  <c r="U30" i="1" s="1"/>
  <c r="S30" i="1" s="1"/>
  <c r="X30" i="1"/>
  <c r="W29" i="1"/>
  <c r="W24" i="1"/>
  <c r="X23" i="1"/>
  <c r="T22" i="1"/>
  <c r="U22" i="1" s="1"/>
  <c r="S22" i="1" s="1"/>
  <c r="X22" i="1"/>
  <c r="W16" i="1"/>
  <c r="X15" i="1"/>
  <c r="T14" i="1"/>
  <c r="U14" i="1" s="1"/>
  <c r="S14" i="1" s="1"/>
  <c r="AA48" i="1"/>
  <c r="W48" i="1" s="1"/>
  <c r="T45" i="1"/>
  <c r="U45" i="1" s="1"/>
  <c r="S45" i="1" s="1"/>
  <c r="X45" i="1"/>
  <c r="W34" i="1"/>
  <c r="W26" i="1"/>
  <c r="W18" i="1"/>
  <c r="AA17" i="1"/>
  <c r="W17" i="1" s="1"/>
  <c r="X33" i="1"/>
  <c r="X29" i="1"/>
  <c r="X25" i="1"/>
  <c r="X21" i="1"/>
  <c r="X17" i="1"/>
  <c r="AD21" i="3"/>
  <c r="AC15" i="3"/>
  <c r="T15" i="3"/>
  <c r="AC13" i="3"/>
  <c r="AD20" i="3"/>
  <c r="AD16" i="3"/>
  <c r="AC7" i="3"/>
  <c r="AD11" i="3"/>
  <c r="AC21" i="3"/>
  <c r="T21" i="3"/>
  <c r="AC11" i="3"/>
  <c r="AD24" i="3"/>
  <c r="AE23" i="3"/>
  <c r="AD19" i="3"/>
  <c r="AD13" i="3"/>
  <c r="AD8" i="3"/>
  <c r="AE15" i="3"/>
  <c r="AE11" i="3"/>
  <c r="AD28" i="3"/>
  <c r="AC24" i="3"/>
  <c r="AC12" i="3"/>
  <c r="AC9" i="3"/>
  <c r="AC10" i="3"/>
  <c r="AC22" i="3"/>
  <c r="AC19" i="3"/>
  <c r="AE14" i="3"/>
  <c r="T17" i="3"/>
  <c r="AE10" i="3"/>
  <c r="T28" i="3"/>
  <c r="Y16" i="3"/>
  <c r="Y18" i="3"/>
  <c r="Y7" i="3"/>
  <c r="Y27" i="3"/>
  <c r="Y15" i="3"/>
  <c r="Y20" i="3"/>
  <c r="Y14" i="3"/>
  <c r="Y23" i="3"/>
  <c r="Y17" i="3"/>
  <c r="Y28" i="3"/>
  <c r="Y10" i="3"/>
  <c r="Y24" i="3"/>
  <c r="Y21" i="3"/>
  <c r="Y22" i="3"/>
  <c r="Y12" i="3"/>
  <c r="Y9" i="3"/>
  <c r="Y11" i="3"/>
  <c r="Y13" i="3"/>
  <c r="Y19" i="3"/>
  <c r="Y8" i="3"/>
  <c r="Y25" i="3"/>
  <c r="AC8" i="3"/>
  <c r="AC25" i="3"/>
  <c r="AD22" i="3"/>
  <c r="T13" i="3"/>
  <c r="AD18" i="3"/>
  <c r="T19" i="3"/>
  <c r="AD14" i="3"/>
  <c r="AE13" i="3"/>
  <c r="T8" i="3"/>
  <c r="AD10" i="3"/>
  <c r="AE9" i="3"/>
  <c r="T25" i="3"/>
  <c r="T20" i="3"/>
  <c r="AE22" i="3"/>
  <c r="T14" i="3"/>
  <c r="AE18" i="3"/>
  <c r="T23" i="3"/>
  <c r="AE25" i="3"/>
  <c r="T11" i="3"/>
  <c r="AE21" i="3"/>
  <c r="AE17" i="3"/>
  <c r="AE28" i="3"/>
  <c r="AE24" i="3"/>
  <c r="AE20" i="3"/>
  <c r="AE16" i="3"/>
  <c r="AE12" i="3"/>
  <c r="AE8" i="3"/>
  <c r="R26" i="3"/>
  <c r="M26" i="3"/>
  <c r="S26" i="3"/>
  <c r="U26" i="3"/>
  <c r="T26" i="3" s="1"/>
  <c r="V26" i="3"/>
  <c r="X26" i="3"/>
  <c r="W26" i="3"/>
  <c r="AE26" i="3" l="1"/>
  <c r="AD26" i="3"/>
  <c r="AC26" i="3"/>
  <c r="Y2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27" i="3" s="1"/>
  <c r="G23" i="4"/>
  <c r="G24" i="4"/>
  <c r="G25" i="4"/>
  <c r="G26" i="4"/>
  <c r="G27" i="4"/>
  <c r="G28" i="4"/>
  <c r="G29" i="4"/>
  <c r="N9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7" i="3" s="1"/>
  <c r="G78" i="4"/>
  <c r="G79" i="4"/>
  <c r="G80" i="4"/>
  <c r="G81" i="4"/>
  <c r="G82" i="4"/>
  <c r="N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7" i="3" s="1"/>
  <c r="G113" i="4"/>
  <c r="G114" i="4"/>
  <c r="G115" i="4"/>
  <c r="N18" i="3" s="1"/>
  <c r="G116" i="4"/>
  <c r="G117" i="4"/>
  <c r="G118" i="4"/>
  <c r="G119" i="4"/>
  <c r="G120" i="4"/>
  <c r="N12" i="3" s="1"/>
  <c r="G121" i="4"/>
  <c r="N19" i="3" s="1"/>
  <c r="G122" i="4"/>
  <c r="G123" i="4"/>
  <c r="N23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22" i="3" s="1"/>
  <c r="G137" i="4"/>
  <c r="G138" i="4"/>
  <c r="G139" i="4"/>
  <c r="G140" i="4"/>
  <c r="G141" i="4"/>
  <c r="G142" i="4"/>
  <c r="G143" i="4"/>
  <c r="N16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24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11" i="3" s="1"/>
  <c r="G193" i="4"/>
  <c r="G194" i="4"/>
  <c r="G195" i="4"/>
  <c r="G196" i="4"/>
  <c r="G197" i="4"/>
  <c r="G198" i="4"/>
  <c r="N20" i="3" s="1"/>
  <c r="G199" i="4"/>
  <c r="G200" i="4"/>
  <c r="G201" i="4"/>
  <c r="G202" i="4"/>
  <c r="G203" i="4"/>
  <c r="G204" i="4"/>
  <c r="G205" i="4"/>
  <c r="N21" i="3" s="1"/>
  <c r="G206" i="4"/>
  <c r="G207" i="4"/>
  <c r="G208" i="4"/>
  <c r="G209" i="4"/>
  <c r="G210" i="4"/>
  <c r="G211" i="4"/>
  <c r="G212" i="4"/>
  <c r="N26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N10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13" i="3"/>
  <c r="N15" i="3"/>
  <c r="N28" i="3"/>
  <c r="N2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<sst xmlns="http://schemas.openxmlformats.org/spreadsheetml/2006/main" count="2673" uniqueCount="991">
  <si>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</si>
  <si>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</si>
  <si>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</si>
  <si>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</si>
  <si>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</si>
  <si>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</si>
  <si>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</si>
  <si>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</si>
  <si>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</si>
  <si>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</si>
  <si>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</si>
  <si>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</si>
  <si>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</si>
  <si>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</si>
  <si>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</si>
  <si>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</si>
  <si>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</si>
  <si>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</si>
  <si>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</si>
  <si>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</si>
  <si>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</si>
  <si>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</si>
  <si>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</si>
  <si>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</si>
  <si>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</si>
  <si>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</si>
  <si>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</si>
  <si>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</si>
  <si>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</si>
  <si>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</si>
  <si>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</si>
  <si>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</si>
  <si>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</si>
  <si>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</si>
  <si>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</si>
  <si>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</si>
  <si>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</si>
  <si>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</si>
  <si>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</si>
  <si>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</si>
  <si>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</si>
  <si>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</si>
  <si>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</si>
  <si>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</si>
  <si>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</si>
  <si>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</si>
  <si>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</si>
  <si>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</si>
  <si>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</si>
  <si>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</si>
  <si>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</si>
  <si>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</si>
  <si>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</si>
  <si>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</si>
  <si>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</si>
  <si>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</si>
  <si>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</si>
  <si>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</si>
  <si>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</si>
  <si>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</si>
  <si>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</si>
  <si>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</si>
  <si>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</si>
  <si>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</si>
  <si>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</si>
  <si>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</si>
  <si>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</si>
  <si>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</si>
  <si>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</si>
  <si>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</si>
  <si>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</si>
  <si>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</si>
  <si>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</si>
  <si>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</si>
  <si>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</si>
  <si>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</si>
  <si>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</si>
  <si>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</si>
  <si>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</si>
  <si>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</si>
  <si>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</si>
  <si>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</si>
  <si>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</si>
  <si>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</si>
  <si>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</si>
  <si>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</si>
  <si>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</si>
  <si>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</si>
  <si>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</si>
  <si>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</si>
  <si>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</si>
  <si>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</si>
  <si>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</si>
  <si>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</si>
  <si>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</si>
  <si>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</si>
  <si>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</si>
  <si>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</si>
  <si>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</si>
  <si>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</si>
  <si>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</si>
  <si>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</si>
  <si>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</si>
  <si>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</si>
  <si>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</si>
  <si>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</si>
  <si>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</si>
  <si>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</si>
  <si>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</si>
  <si>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</si>
  <si>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</si>
  <si>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</si>
  <si>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</si>
  <si>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</si>
  <si>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</si>
  <si>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</si>
  <si>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</si>
  <si>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</si>
  <si>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</si>
  <si>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</si>
  <si>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</si>
  <si>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</si>
  <si>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</si>
  <si>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</si>
  <si>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</si>
  <si>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</si>
  <si>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</si>
  <si>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</si>
  <si>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</si>
  <si>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</si>
  <si>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</si>
  <si>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</si>
  <si>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</si>
  <si>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</si>
  <si>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</si>
  <si>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</si>
  <si>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</si>
  <si>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</si>
  <si>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</si>
  <si>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</si>
  <si>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</si>
  <si>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</si>
  <si>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</si>
  <si>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</si>
  <si>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</si>
  <si>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</si>
  <si>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</si>
  <si>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</si>
  <si>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</si>
  <si>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</si>
  <si>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</si>
  <si>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</si>
  <si>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</si>
  <si>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</si>
  <si>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</si>
  <si>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</si>
  <si>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</si>
  <si>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</si>
  <si>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</si>
  <si>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</si>
  <si>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</si>
  <si>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</si>
  <si>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</si>
  <si>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</si>
  <si>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</si>
  <si>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</si>
  <si>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</si>
  <si>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</si>
  <si>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</si>
  <si>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</si>
  <si>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</si>
  <si>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</si>
  <si>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</si>
  <si>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</si>
  <si>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</si>
  <si>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</si>
  <si>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</si>
  <si>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</si>
  <si>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</si>
  <si>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</si>
  <si>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</si>
  <si>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</si>
  <si>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</si>
  <si>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</si>
  <si>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</si>
  <si>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</si>
  <si>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</si>
  <si>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</si>
  <si>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</si>
  <si>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</si>
  <si>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</si>
  <si>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</si>
  <si>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</si>
  <si>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</si>
  <si>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</si>
  <si>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</si>
  <si>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</si>
  <si>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</si>
  <si>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</si>
  <si>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</si>
  <si>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</si>
  <si>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</si>
  <si>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</si>
  <si>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</si>
  <si>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</si>
  <si>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</si>
  <si>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</si>
  <si>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</si>
  <si>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</si>
  <si>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</si>
  <si>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</si>
  <si>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</si>
  <si>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</si>
  <si>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</si>
  <si>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</si>
  <si>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</si>
  <si>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</si>
  <si>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</si>
  <si>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</si>
  <si>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</si>
  <si>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</si>
  <si>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</si>
  <si>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</si>
  <si>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</si>
  <si>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</si>
  <si>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</si>
  <si>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</si>
  <si>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</si>
  <si>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</si>
  <si>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</si>
  <si>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</si>
  <si>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</si>
  <si>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</si>
  <si>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</si>
  <si>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</si>
  <si>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</si>
  <si>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</si>
  <si>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</si>
  <si>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</si>
  <si>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</si>
  <si>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</si>
  <si>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</si>
  <si>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</si>
  <si>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</si>
  <si>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</si>
  <si>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</si>
  <si>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</si>
  <si>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</si>
  <si>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</si>
  <si>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</si>
  <si>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</si>
  <si>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</si>
  <si>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</si>
  <si>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</si>
  <si>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</si>
  <si>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</si>
  <si>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</si>
  <si>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</si>
  <si>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</si>
  <si>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</si>
  <si>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</si>
  <si>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</si>
  <si>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</si>
  <si>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</si>
  <si>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</si>
  <si>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</si>
  <si>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</si>
  <si>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</si>
  <si>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</si>
  <si>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</si>
  <si>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</si>
  <si>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</si>
  <si>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</si>
  <si>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</si>
  <si>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</si>
  <si>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</si>
  <si>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</si>
  <si>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</si>
  <si>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</si>
  <si>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</si>
  <si>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</si>
  <si>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</si>
  <si>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</si>
  <si>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</si>
  <si>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</si>
  <si>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</si>
  <si>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</si>
  <si>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</si>
  <si>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</si>
  <si>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</si>
  <si>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</si>
  <si>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</si>
  <si>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</si>
  <si>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</si>
  <si>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</si>
  <si>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</si>
  <si>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</si>
  <si>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</si>
  <si>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</si>
  <si>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</si>
  <si>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</si>
  <si>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</si>
  <si>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</si>
  <si>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</si>
  <si>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</si>
  <si>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</si>
  <si>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</si>
  <si>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</si>
  <si>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</si>
  <si>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</si>
  <si>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</si>
  <si>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</si>
  <si>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</si>
  <si>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</si>
  <si>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</si>
  <si>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</si>
  <si>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</si>
  <si>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</si>
  <si>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</si>
  <si>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</si>
  <si>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</si>
  <si>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</si>
  <si>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</si>
  <si>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</si>
  <si>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</si>
  <si>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</si>
  <si>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</si>
  <si>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</si>
  <si>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</si>
  <si>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</si>
  <si>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</si>
  <si>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</si>
  <si>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</si>
  <si>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</si>
  <si>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</si>
  <si>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</si>
  <si>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</si>
  <si>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</si>
  <si>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</si>
  <si>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</si>
  <si>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</si>
  <si>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</si>
  <si>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</si>
  <si>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</si>
  <si>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</si>
  <si>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</si>
  <si>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</si>
  <si>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</si>
  <si>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</si>
  <si>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</si>
  <si>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</si>
  <si>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</si>
  <si>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</si>
  <si>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</si>
  <si>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</si>
  <si>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</si>
  <si>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</si>
  <si>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</si>
  <si>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</si>
  <si>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</si>
  <si>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</si>
  <si>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</si>
  <si>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</si>
  <si>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</si>
  <si>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</si>
  <si>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</si>
  <si>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</si>
  <si>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</si>
  <si>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</si>
  <si>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</si>
  <si>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</si>
  <si>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</si>
  <si>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</si>
  <si>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</si>
  <si>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</si>
  <si>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</si>
  <si>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</si>
  <si>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</si>
  <si>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</si>
  <si>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</si>
  <si>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</si>
  <si>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</si>
  <si>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</si>
  <si>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</si>
  <si>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</si>
  <si>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</si>
  <si>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</si>
  <si>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</si>
  <si>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</si>
  <si>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</si>
  <si>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</si>
  <si>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</si>
  <si>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</si>
  <si>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</si>
  <si>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</si>
  <si>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</si>
  <si>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</si>
  <si>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</si>
  <si>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</si>
  <si>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</si>
  <si>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</si>
  <si>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</si>
  <si>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</si>
  <si>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</si>
  <si>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</si>
  <si>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</si>
  <si>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</si>
  <si>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</si>
  <si>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</si>
  <si>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</si>
  <si>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</si>
  <si>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</si>
  <si>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</si>
  <si>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</si>
  <si>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</si>
  <si>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</si>
  <si>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</si>
  <si>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</si>
  <si>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</si>
  <si>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</si>
  <si>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</si>
  <si>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</si>
  <si>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</si>
  <si>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YANG</t>
  </si>
  <si>
    <t>JAN</t>
  </si>
  <si>
    <t>204:233297</t>
  </si>
  <si>
    <t>204:435</t>
  </si>
  <si>
    <t>204:233295</t>
  </si>
  <si>
    <t>204:160</t>
  </si>
  <si>
    <t>204:471</t>
  </si>
  <si>
    <t>204:232969</t>
  </si>
  <si>
    <t>204:132</t>
  </si>
  <si>
    <t>204:433</t>
  </si>
  <si>
    <t>rtdc.l.rtdc.4006:itc</t>
  </si>
  <si>
    <t>STARKS</t>
  </si>
  <si>
    <t>ANGELINA</t>
  </si>
  <si>
    <t>MOSES</t>
  </si>
  <si>
    <t>BRADLEY</t>
  </si>
  <si>
    <t>204:232973</t>
  </si>
  <si>
    <t>204:233301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</si>
  <si>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</si>
  <si>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</si>
  <si>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</si>
  <si>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</si>
  <si>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</si>
  <si>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</si>
  <si>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</si>
  <si>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</si>
  <si>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</si>
  <si>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</si>
  <si>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</si>
  <si>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</si>
  <si>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</si>
  <si>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</si>
  <si>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</si>
  <si>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</si>
  <si>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</si>
  <si>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</si>
  <si>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</si>
  <si>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</si>
  <si>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</si>
  <si>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</si>
  <si>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</si>
  <si>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</si>
  <si>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</si>
  <si>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</si>
  <si>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</si>
  <si>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</si>
  <si>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</si>
  <si>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</si>
  <si>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</si>
  <si>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</si>
  <si>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</si>
  <si>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</si>
  <si>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204:161</t>
  </si>
  <si>
    <t>rtdc.l.rtdc.4030:itc</t>
  </si>
  <si>
    <t>rtdc.l.rtdc.4016:itc</t>
  </si>
  <si>
    <t>rtdc.l.rtdc.4027:itc</t>
  </si>
  <si>
    <t>313-06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</si>
  <si>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</si>
  <si>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</si>
  <si>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</si>
  <si>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</si>
  <si>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</si>
  <si>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</si>
  <si>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</si>
  <si>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rtdc.l.rtdc.4023:itc</t>
  </si>
  <si>
    <t>SWITCH UNKNOWN</t>
  </si>
  <si>
    <t>Track device (7)</t>
  </si>
  <si>
    <t>rtdc.l.rtdc.4032:itc</t>
  </si>
  <si>
    <t>204:158</t>
  </si>
  <si>
    <t>204:475</t>
  </si>
  <si>
    <t>204:990</t>
  </si>
  <si>
    <t>300:58941</t>
  </si>
  <si>
    <t>rtdc.l.rtdc.4015:itc</t>
  </si>
  <si>
    <t>KEVIN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</si>
  <si>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</si>
  <si>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</si>
  <si>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</si>
  <si>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</si>
  <si>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</si>
  <si>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</si>
  <si>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</si>
  <si>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</si>
  <si>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</si>
  <si>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rain</t>
  </si>
  <si>
    <t>204:233302</t>
  </si>
  <si>
    <t>204:442</t>
  </si>
  <si>
    <t>204:232984</t>
  </si>
  <si>
    <t>204:232989</t>
  </si>
  <si>
    <t>204:233314</t>
  </si>
  <si>
    <t>204:232994</t>
  </si>
  <si>
    <t>204:467</t>
  </si>
  <si>
    <t>204:233305</t>
  </si>
  <si>
    <t>204:692</t>
  </si>
  <si>
    <t>204:691</t>
  </si>
  <si>
    <t>238-12</t>
  </si>
  <si>
    <t>244-12</t>
  </si>
  <si>
    <t>WILLIAM</t>
  </si>
  <si>
    <t>ROMERO</t>
  </si>
  <si>
    <t>CHAD</t>
  </si>
  <si>
    <t>DELGADO</t>
  </si>
  <si>
    <t>DIANAH</t>
  </si>
  <si>
    <t>SAFIEF</t>
  </si>
  <si>
    <t>AEIMEN</t>
  </si>
  <si>
    <t>243-12</t>
  </si>
  <si>
    <t>240-12</t>
  </si>
  <si>
    <t>307-12</t>
  </si>
  <si>
    <t>242-12</t>
  </si>
  <si>
    <t>309-12</t>
  </si>
  <si>
    <t>311-12</t>
  </si>
  <si>
    <t>313-12</t>
  </si>
  <si>
    <t>300-13</t>
  </si>
  <si>
    <t>204:232965</t>
  </si>
  <si>
    <t>204:167</t>
  </si>
  <si>
    <t>204:232998</t>
  </si>
  <si>
    <t>204:152</t>
  </si>
  <si>
    <t>204:232975</t>
  </si>
  <si>
    <t>204:233000</t>
  </si>
  <si>
    <t>204:233007</t>
  </si>
  <si>
    <t>204:440</t>
  </si>
  <si>
    <t>204:232992</t>
  </si>
  <si>
    <t>204:233013</t>
  </si>
  <si>
    <t>204:129</t>
  </si>
  <si>
    <t>204:974</t>
  </si>
  <si>
    <t>300:58963</t>
  </si>
  <si>
    <t>204:673</t>
  </si>
  <si>
    <t>300:58638</t>
  </si>
  <si>
    <t>300:58958</t>
  </si>
  <si>
    <t>204:971</t>
  </si>
  <si>
    <t>rtdc.l.rtdc.4012:itc</t>
  </si>
  <si>
    <t>rtdc.l.rtdc.4011:itc</t>
  </si>
  <si>
    <t>242-13</t>
  </si>
  <si>
    <t>313-13</t>
  </si>
  <si>
    <t>rtdc.l.rtdc.4024:itc</t>
  </si>
  <si>
    <t>rtdc.l.rtdc.4063:itc</t>
  </si>
  <si>
    <t>rtdc.l.rtdc.4064:itc</t>
  </si>
  <si>
    <t>rtdc.l.rtdc.4053:itc</t>
  </si>
  <si>
    <t>HUFFSMITH</t>
  </si>
  <si>
    <t>MONTY</t>
  </si>
  <si>
    <t>PERKINS</t>
  </si>
  <si>
    <t>DARREN</t>
  </si>
  <si>
    <t>309-13</t>
  </si>
  <si>
    <t>244-13</t>
  </si>
  <si>
    <t>311-13</t>
  </si>
  <si>
    <t>clear-night</t>
  </si>
  <si>
    <t>Clear</t>
  </si>
  <si>
    <t>clear-day</t>
  </si>
  <si>
    <t>204:763</t>
  </si>
  <si>
    <t>204:233291</t>
  </si>
  <si>
    <t>204:233310</t>
  </si>
  <si>
    <t>204:233293</t>
  </si>
  <si>
    <t>204:233324</t>
  </si>
  <si>
    <t>204:233331</t>
  </si>
  <si>
    <t>204:232991</t>
  </si>
  <si>
    <t>204:232957</t>
  </si>
  <si>
    <t>204:233332</t>
  </si>
  <si>
    <t>204:233420</t>
  </si>
  <si>
    <t>204:172</t>
  </si>
  <si>
    <t>204:233070</t>
  </si>
  <si>
    <t>204:460</t>
  </si>
  <si>
    <t>204:233011</t>
  </si>
  <si>
    <t>204:233098</t>
  </si>
  <si>
    <t>204:438</t>
  </si>
  <si>
    <t>204:233315</t>
  </si>
  <si>
    <t>204:424</t>
  </si>
  <si>
    <t>204:233311</t>
  </si>
  <si>
    <t>300:23312</t>
  </si>
  <si>
    <t>300:23304</t>
  </si>
  <si>
    <t>300:23287</t>
  </si>
  <si>
    <t>300:23299</t>
  </si>
  <si>
    <t>300:58630</t>
  </si>
  <si>
    <t>204:978</t>
  </si>
  <si>
    <t>204:687</t>
  </si>
  <si>
    <t>204:967</t>
  </si>
  <si>
    <t>300:58632</t>
  </si>
  <si>
    <t>300:58647</t>
  </si>
  <si>
    <t>204:701</t>
  </si>
  <si>
    <t>204:682</t>
  </si>
  <si>
    <t>Minor onboard in-route failure caused unknown signal status</t>
  </si>
  <si>
    <t>304-16</t>
  </si>
  <si>
    <t>rtdc.l.rtdc.4049:itc</t>
  </si>
  <si>
    <t>308-16</t>
  </si>
  <si>
    <t>312-16</t>
  </si>
  <si>
    <t>106-16</t>
  </si>
  <si>
    <t>149-16</t>
  </si>
  <si>
    <t>146-16</t>
  </si>
  <si>
    <t>175-16</t>
  </si>
  <si>
    <t>181-16</t>
  </si>
  <si>
    <t>177-16</t>
  </si>
  <si>
    <t>183-16</t>
  </si>
  <si>
    <t>1817-16</t>
  </si>
  <si>
    <t>1819-16</t>
  </si>
  <si>
    <t>192-16</t>
  </si>
  <si>
    <t>203-16</t>
  </si>
  <si>
    <t>1823-16</t>
  </si>
  <si>
    <t>227-16</t>
  </si>
  <si>
    <t>229-16</t>
  </si>
  <si>
    <t>1832-16</t>
  </si>
  <si>
    <t>242-16</t>
  </si>
  <si>
    <t>242-15</t>
  </si>
  <si>
    <t>245-15</t>
  </si>
  <si>
    <t>rtdc.l.rtdc.4036:itc</t>
  </si>
  <si>
    <t>84-15</t>
  </si>
  <si>
    <t>244-15</t>
  </si>
  <si>
    <t>307-15</t>
  </si>
  <si>
    <t>309-15</t>
  </si>
  <si>
    <t>246-15</t>
  </si>
  <si>
    <t>rtdc.l.rtdc.4054:itc</t>
  </si>
  <si>
    <t>311-15</t>
  </si>
  <si>
    <t>313-15</t>
  </si>
  <si>
    <t>300-16</t>
  </si>
  <si>
    <t>MAELZER</t>
  </si>
  <si>
    <t>KURT</t>
  </si>
  <si>
    <t>302-16</t>
  </si>
  <si>
    <t>NEWELL</t>
  </si>
  <si>
    <t>101-16</t>
  </si>
  <si>
    <t>51-16</t>
  </si>
  <si>
    <t>CHANDLER</t>
  </si>
  <si>
    <t>KELVIN</t>
  </si>
  <si>
    <t>52-16</t>
  </si>
  <si>
    <t>103-16</t>
  </si>
  <si>
    <t>102-16</t>
  </si>
  <si>
    <t>105-16</t>
  </si>
  <si>
    <t>306-16</t>
  </si>
  <si>
    <t>BROWN</t>
  </si>
  <si>
    <t>JACOB</t>
  </si>
  <si>
    <t>GEBRETEKLE</t>
  </si>
  <si>
    <t>DAGNEW</t>
  </si>
  <si>
    <t>104-16</t>
  </si>
  <si>
    <t>107-16</t>
  </si>
  <si>
    <t>rtdc.l.rtdc.4050:itc</t>
  </si>
  <si>
    <t>109-16</t>
  </si>
  <si>
    <t>310-16</t>
  </si>
  <si>
    <t>111-16</t>
  </si>
  <si>
    <t>113-16</t>
  </si>
  <si>
    <t>rtdc.l.rtdc.4004:itc</t>
  </si>
  <si>
    <t>1901-16</t>
  </si>
  <si>
    <t>DAVIDSON</t>
  </si>
  <si>
    <t>DAVID</t>
  </si>
  <si>
    <t>108-16</t>
  </si>
  <si>
    <t>115-16</t>
  </si>
  <si>
    <t>110-16</t>
  </si>
  <si>
    <t>MACDONALD</t>
  </si>
  <si>
    <t>1800-16</t>
  </si>
  <si>
    <t>117-16</t>
  </si>
  <si>
    <t>112-16</t>
  </si>
  <si>
    <t>119-16</t>
  </si>
  <si>
    <t>114-16</t>
  </si>
  <si>
    <t>1801-16</t>
  </si>
  <si>
    <t>116-16</t>
  </si>
  <si>
    <t>121-16</t>
  </si>
  <si>
    <t>123-16</t>
  </si>
  <si>
    <t>118-16</t>
  </si>
  <si>
    <t>1802-16</t>
  </si>
  <si>
    <t>125-16</t>
  </si>
  <si>
    <t>120-16</t>
  </si>
  <si>
    <t>127-16</t>
  </si>
  <si>
    <t>1803-16</t>
  </si>
  <si>
    <t>122-16</t>
  </si>
  <si>
    <t>124-16</t>
  </si>
  <si>
    <t>129-16</t>
  </si>
  <si>
    <t>131-16</t>
  </si>
  <si>
    <t>126-16</t>
  </si>
  <si>
    <t>1804-16</t>
  </si>
  <si>
    <t>133-16</t>
  </si>
  <si>
    <t>128-16</t>
  </si>
  <si>
    <t>130-16</t>
  </si>
  <si>
    <t>135-16</t>
  </si>
  <si>
    <t>1805-16</t>
  </si>
  <si>
    <t>137-16</t>
  </si>
  <si>
    <t>132-16</t>
  </si>
  <si>
    <t>139-16</t>
  </si>
  <si>
    <t>134-16</t>
  </si>
  <si>
    <t>1806-16</t>
  </si>
  <si>
    <t>141-16</t>
  </si>
  <si>
    <t>136-16</t>
  </si>
  <si>
    <t>138-16</t>
  </si>
  <si>
    <t>143-16</t>
  </si>
  <si>
    <t>1807-16</t>
  </si>
  <si>
    <t>145-16</t>
  </si>
  <si>
    <t>140-16</t>
  </si>
  <si>
    <t>147-16</t>
  </si>
  <si>
    <t>142-16</t>
  </si>
  <si>
    <t>1808-16</t>
  </si>
  <si>
    <t>144-16</t>
  </si>
  <si>
    <t>151-16</t>
  </si>
  <si>
    <t>1809-16</t>
  </si>
  <si>
    <t>153-16</t>
  </si>
  <si>
    <t>LOPES</t>
  </si>
  <si>
    <t>KIMBERLY</t>
  </si>
  <si>
    <t>155-16</t>
  </si>
  <si>
    <t>148-16</t>
  </si>
  <si>
    <t>1810-16</t>
  </si>
  <si>
    <t>150-16</t>
  </si>
  <si>
    <t>157-16</t>
  </si>
  <si>
    <t>152-16</t>
  </si>
  <si>
    <t>159-16</t>
  </si>
  <si>
    <t>1811-16</t>
  </si>
  <si>
    <t>154-16</t>
  </si>
  <si>
    <t>156-16</t>
  </si>
  <si>
    <t>161-16</t>
  </si>
  <si>
    <t>158-16</t>
  </si>
  <si>
    <t>163-16</t>
  </si>
  <si>
    <t>THOMPSON</t>
  </si>
  <si>
    <t>LESTER</t>
  </si>
  <si>
    <t>1812-16</t>
  </si>
  <si>
    <t>165-16</t>
  </si>
  <si>
    <t>BRUDER</t>
  </si>
  <si>
    <t>RICHARD</t>
  </si>
  <si>
    <t>160-16</t>
  </si>
  <si>
    <t>167-16</t>
  </si>
  <si>
    <t>1813-16</t>
  </si>
  <si>
    <t>169-16</t>
  </si>
  <si>
    <t>162-16</t>
  </si>
  <si>
    <t>171-16</t>
  </si>
  <si>
    <t>164-16</t>
  </si>
  <si>
    <t>166-16</t>
  </si>
  <si>
    <t>1814-16</t>
  </si>
  <si>
    <t>173-16</t>
  </si>
  <si>
    <t>MCREYNOLDS</t>
  </si>
  <si>
    <t>KYLE</t>
  </si>
  <si>
    <t>168-16</t>
  </si>
  <si>
    <t>1815-16</t>
  </si>
  <si>
    <t>170-16</t>
  </si>
  <si>
    <t>172-16</t>
  </si>
  <si>
    <t>179-16</t>
  </si>
  <si>
    <t>174-16</t>
  </si>
  <si>
    <t>1816-16</t>
  </si>
  <si>
    <t>176-16</t>
  </si>
  <si>
    <t>NELSON</t>
  </si>
  <si>
    <t>ARIANE</t>
  </si>
  <si>
    <t>185-16</t>
  </si>
  <si>
    <t>178-16</t>
  </si>
  <si>
    <t>180-16</t>
  </si>
  <si>
    <t>187-16</t>
  </si>
  <si>
    <t>182-16</t>
  </si>
  <si>
    <t>1818-16</t>
  </si>
  <si>
    <t>189-16</t>
  </si>
  <si>
    <t>184-16</t>
  </si>
  <si>
    <t>191-16</t>
  </si>
  <si>
    <t>186-16</t>
  </si>
  <si>
    <t>193-16</t>
  </si>
  <si>
    <t>188-16</t>
  </si>
  <si>
    <t>195-16</t>
  </si>
  <si>
    <t>197-16</t>
  </si>
  <si>
    <t>1820-16</t>
  </si>
  <si>
    <t>190-16</t>
  </si>
  <si>
    <t>199-16</t>
  </si>
  <si>
    <t>194-16</t>
  </si>
  <si>
    <t>201-16</t>
  </si>
  <si>
    <t>1821-16</t>
  </si>
  <si>
    <t>196-16</t>
  </si>
  <si>
    <t>198-16</t>
  </si>
  <si>
    <t>1822-16</t>
  </si>
  <si>
    <t>205-16</t>
  </si>
  <si>
    <t>200-16</t>
  </si>
  <si>
    <t>207-16</t>
  </si>
  <si>
    <t>202-16</t>
  </si>
  <si>
    <t>75-16</t>
  </si>
  <si>
    <t>209-16</t>
  </si>
  <si>
    <t>rtdc.l.rtdc.4026:itc</t>
  </si>
  <si>
    <t>73-16</t>
  </si>
  <si>
    <t>DUNCAN</t>
  </si>
  <si>
    <t>SHEILA</t>
  </si>
  <si>
    <t>211-16</t>
  </si>
  <si>
    <t>204-16</t>
  </si>
  <si>
    <t>206-16</t>
  </si>
  <si>
    <t>213-16</t>
  </si>
  <si>
    <t>1824-16</t>
  </si>
  <si>
    <t>rtdc.l.rtdc.4055:itc</t>
  </si>
  <si>
    <t>66-16</t>
  </si>
  <si>
    <t>208-16</t>
  </si>
  <si>
    <t>215-16</t>
  </si>
  <si>
    <t>210-16</t>
  </si>
  <si>
    <t>217-16</t>
  </si>
  <si>
    <t>1825-16</t>
  </si>
  <si>
    <t>212-16</t>
  </si>
  <si>
    <t>219-16</t>
  </si>
  <si>
    <t>214-16</t>
  </si>
  <si>
    <t>1826-16</t>
  </si>
  <si>
    <t>301-16</t>
  </si>
  <si>
    <t>216-16</t>
  </si>
  <si>
    <t>221-16</t>
  </si>
  <si>
    <t>218-16</t>
  </si>
  <si>
    <t>303-16</t>
  </si>
  <si>
    <t>220-16</t>
  </si>
  <si>
    <t>1827-16</t>
  </si>
  <si>
    <t>223-16</t>
  </si>
  <si>
    <t>1828-16</t>
  </si>
  <si>
    <t>305-16</t>
  </si>
  <si>
    <t>222-16</t>
  </si>
  <si>
    <t>225-16</t>
  </si>
  <si>
    <t>1829-16</t>
  </si>
  <si>
    <t>HART</t>
  </si>
  <si>
    <t>224-16</t>
  </si>
  <si>
    <t>68-16</t>
  </si>
  <si>
    <t>JACKSON</t>
  </si>
  <si>
    <t>1830-16</t>
  </si>
  <si>
    <t>226-16</t>
  </si>
  <si>
    <t>231-16</t>
  </si>
  <si>
    <t>1831-16</t>
  </si>
  <si>
    <t>228-16</t>
  </si>
  <si>
    <t>233-16</t>
  </si>
  <si>
    <t>RESPASS</t>
  </si>
  <si>
    <t>AARON</t>
  </si>
  <si>
    <t>230-16</t>
  </si>
  <si>
    <t>235-16</t>
  </si>
  <si>
    <t>1833-16</t>
  </si>
  <si>
    <t>232-16</t>
  </si>
  <si>
    <t>1902-16</t>
  </si>
  <si>
    <t>237-16</t>
  </si>
  <si>
    <t>234-16</t>
  </si>
  <si>
    <t>236-16</t>
  </si>
  <si>
    <t>239-16</t>
  </si>
  <si>
    <t>238-16</t>
  </si>
  <si>
    <t>241-16</t>
  </si>
  <si>
    <t>243-16</t>
  </si>
  <si>
    <t>240-16</t>
  </si>
  <si>
    <t>307-16</t>
  </si>
  <si>
    <t>309-16</t>
  </si>
  <si>
    <t>244-16</t>
  </si>
  <si>
    <t>311-16</t>
  </si>
  <si>
    <t>313-16</t>
  </si>
  <si>
    <t>204:233306</t>
  </si>
  <si>
    <t>204:426</t>
  </si>
  <si>
    <t>204:233006</t>
  </si>
  <si>
    <t>204:233338</t>
  </si>
  <si>
    <t>204:233028</t>
  </si>
  <si>
    <t>204:233015</t>
  </si>
  <si>
    <t>204:233021</t>
  </si>
  <si>
    <t>204:233376</t>
  </si>
  <si>
    <t>204:233047</t>
  </si>
  <si>
    <t>204:449</t>
  </si>
  <si>
    <t>204:233325</t>
  </si>
  <si>
    <t>204:233004</t>
  </si>
  <si>
    <t>204:233304</t>
  </si>
  <si>
    <t>204:233257</t>
  </si>
  <si>
    <t>204:232940</t>
  </si>
  <si>
    <t>204:477</t>
  </si>
  <si>
    <t>204:233322</t>
  </si>
  <si>
    <t>204:232986</t>
  </si>
  <si>
    <t>204:233323</t>
  </si>
  <si>
    <t>204:431</t>
  </si>
  <si>
    <t>204:486</t>
  </si>
  <si>
    <t>204:127869</t>
  </si>
  <si>
    <t>204:1194</t>
  </si>
  <si>
    <t>204:233342</t>
  </si>
  <si>
    <t>204:233343</t>
  </si>
  <si>
    <t>204:437</t>
  </si>
  <si>
    <t>204:232983</t>
  </si>
  <si>
    <t>204:233280</t>
  </si>
  <si>
    <t>204:232988</t>
  </si>
  <si>
    <t>204:233398</t>
  </si>
  <si>
    <t>204:233288</t>
  </si>
  <si>
    <t>204:233268</t>
  </si>
  <si>
    <t>204:130</t>
  </si>
  <si>
    <t>204:233320</t>
  </si>
  <si>
    <t>204:233300</t>
  </si>
  <si>
    <t>204:232977</t>
  </si>
  <si>
    <t>204:233309</t>
  </si>
  <si>
    <t>204:233359</t>
  </si>
  <si>
    <t>204:233064</t>
  </si>
  <si>
    <t>204:233055</t>
  </si>
  <si>
    <t>204:233372</t>
  </si>
  <si>
    <t>204:233243</t>
  </si>
  <si>
    <t>204:233001</t>
  </si>
  <si>
    <t>300:58626</t>
  </si>
  <si>
    <t>204:680</t>
  </si>
  <si>
    <t>300:58954</t>
  </si>
  <si>
    <t>204:727</t>
  </si>
  <si>
    <t>204:988</t>
  </si>
  <si>
    <t>204:969</t>
  </si>
  <si>
    <t>300:58944</t>
  </si>
  <si>
    <t>300:58948</t>
  </si>
  <si>
    <t>204:703</t>
  </si>
  <si>
    <t>300:58943</t>
  </si>
  <si>
    <t>300:58623</t>
  </si>
  <si>
    <t>204:705</t>
  </si>
  <si>
    <t>300:58935</t>
  </si>
  <si>
    <t>204:981</t>
  </si>
  <si>
    <t>300:58950</t>
  </si>
  <si>
    <t>300:58641</t>
  </si>
  <si>
    <t>204:689</t>
  </si>
  <si>
    <t>300:58971</t>
  </si>
  <si>
    <t>300:58655</t>
  </si>
  <si>
    <t>204:685</t>
  </si>
  <si>
    <t>300:58982</t>
  </si>
  <si>
    <t>204:233034</t>
  </si>
  <si>
    <t>300:58656</t>
  </si>
  <si>
    <t>300:58645</t>
  </si>
  <si>
    <t>204:979</t>
  </si>
  <si>
    <t>204:972</t>
  </si>
  <si>
    <t>204:670</t>
  </si>
  <si>
    <t>300:58651</t>
  </si>
  <si>
    <t>204:720</t>
  </si>
  <si>
    <t>204:1007</t>
  </si>
  <si>
    <t>204:484</t>
  </si>
  <si>
    <t>204:233395</t>
  </si>
  <si>
    <t>300:58969</t>
  </si>
  <si>
    <t>204:233072</t>
  </si>
  <si>
    <t>204:233381</t>
  </si>
  <si>
    <t>204:233096</t>
  </si>
  <si>
    <t>204:233391</t>
  </si>
  <si>
    <t>204:233010</t>
  </si>
  <si>
    <t>300:30112</t>
  </si>
  <si>
    <t>300:58956</t>
  </si>
  <si>
    <t>300:21699</t>
  </si>
  <si>
    <t>204:228080</t>
  </si>
  <si>
    <t>204:232953</t>
  </si>
  <si>
    <t>204:183</t>
  </si>
  <si>
    <t>204:232979</t>
  </si>
  <si>
    <t>204:125</t>
  </si>
  <si>
    <t>204:233399</t>
  </si>
  <si>
    <t>204:233168</t>
  </si>
  <si>
    <t>204:233105</t>
  </si>
  <si>
    <t>204:233383</t>
  </si>
  <si>
    <t>204:233074</t>
  </si>
  <si>
    <t>204:233429</t>
  </si>
  <si>
    <t>204:233149</t>
  </si>
  <si>
    <t>204:134</t>
  </si>
  <si>
    <t>204:165</t>
  </si>
  <si>
    <t>204:233113</t>
  </si>
  <si>
    <t>204:233403</t>
  </si>
  <si>
    <t>204:233163</t>
  </si>
  <si>
    <t>204:232982</t>
  </si>
  <si>
    <t>204:482</t>
  </si>
  <si>
    <t>204:233393</t>
  </si>
  <si>
    <t>204:233103</t>
  </si>
  <si>
    <t>204:232967</t>
  </si>
  <si>
    <t>204:233134</t>
  </si>
  <si>
    <t>204:473</t>
  </si>
  <si>
    <t>204:181</t>
  </si>
  <si>
    <t>300:23184</t>
  </si>
  <si>
    <t>300:23161</t>
  </si>
  <si>
    <t>300:15132</t>
  </si>
  <si>
    <t>300:23777</t>
  </si>
  <si>
    <t>300:23146</t>
  </si>
  <si>
    <t>300:23332</t>
  </si>
  <si>
    <t>300:23794</t>
  </si>
  <si>
    <t>300:22872</t>
  </si>
  <si>
    <t>300:23481</t>
  </si>
  <si>
    <t>300:23306</t>
  </si>
  <si>
    <t>300:23542</t>
  </si>
  <si>
    <t>204:3374</t>
  </si>
  <si>
    <t>204:1526</t>
  </si>
  <si>
    <t>204:3684</t>
  </si>
  <si>
    <t>204:3471</t>
  </si>
  <si>
    <t>204:3147</t>
  </si>
  <si>
    <t>300:22968</t>
  </si>
  <si>
    <t>204:1924</t>
  </si>
  <si>
    <t>204:1192</t>
  </si>
  <si>
    <t>204:1518</t>
  </si>
  <si>
    <t>start /low /b %USERPROFILE%\Documents\GitHub\eaglep3\Utilities\DownloadLogsFromS3.py --loco 4061 --day 2017-07-16</t>
  </si>
  <si>
    <t>start /low /b %USERPROFILE%\Documents\GitHub\eaglep3\Utilities\DownloadLogsFromS3.py --loco 4012 --day 2017-07-16</t>
  </si>
  <si>
    <t>start /low /b %USERPROFILE%\Documents\GitHub\eaglep3\Utilities\DownloadLogsFromS3.py --loco 4001 --day 1969-12-31</t>
  </si>
  <si>
    <t>start /low /b %USERPROFILE%\Documents\GitHub\eaglep3\Utilities\DownloadLogsFromS3.py --loco 4012 --day 2017-07-17</t>
  </si>
  <si>
    <t>start /low /b %USERPROFILE%\Documents\GitHub\eaglep3\Utilities\DownloadLogsFromS3.py --loco 4005 --day 2017-07-16</t>
  </si>
  <si>
    <t>start /low /b %USERPROFILE%\Documents\GitHub\eaglep3\Utilities\DownloadLogsFromS3.py --loco 4005 --day 2017-07-17</t>
  </si>
  <si>
    <t>start /low /b %USERPROFILE%\Documents\GitHub\eaglep3\Utilities\DownloadLogsFromS3.py --loco 4002 --day 2017-07-16</t>
  </si>
  <si>
    <t>start /low /b %USERPROFILE%\Documents\GitHub\eaglep3\Utilities\DownloadLogsFromS3.py --loco 4006 --day 2017-07-16</t>
  </si>
  <si>
    <t>start /low /b %USERPROFILE%\Documents\GitHub\eaglep3\Utilities\DownloadLogsFromS3.py --loco 4011 --day 2017-07-16</t>
  </si>
  <si>
    <t>start /low /b %USERPROFILE%\Documents\GitHub\eaglep3\Utilities\DownloadLogsFromS3.py --loco 4008 --day 2017-07-16</t>
  </si>
  <si>
    <t>start /low /b %USERPROFILE%\Documents\GitHub\eaglep3\Utilities\DownloadLogsFromS3.py --loco 4002 --day 2017-07-17</t>
  </si>
  <si>
    <t>start /low /b %USERPROFILE%\Documents\GitHub\eaglep3\Utilities\DownloadLogsFromS3.py --loco 4027 --day 2017-07-17</t>
  </si>
  <si>
    <t>start /low /b %USERPROFILE%\Documents\GitHub\eaglep3\Utilities\DownloadLogsFromS3.py --loco 4028 --day 2017-07-16</t>
  </si>
  <si>
    <t>Onboard in-route failure</t>
  </si>
  <si>
    <t>Barricade test</t>
  </si>
  <si>
    <t>Overspeed</t>
  </si>
  <si>
    <t>Minor onboard in-route failure caused signal status unknown</t>
  </si>
  <si>
    <t>Early arrival with unhealthy banner @ Clayton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</si>
</sst>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workbookViewId="0">
      <selection activeCell="R14" sqref="R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COUNTIFS($N$13:$N$9318,"&gt;0",$AG$13:$AG$9318,I1)</f>
        <v>142</v>
      </c>
      <c r="K5" s="39"/>
      <c r="L5" s="39"/>
      <c r="M5" s="40">
        <f>AVERAGEIFS($N$13:$N$9318,$AG$13:$AG$9318,I1)</f>
        <v>37.036854460045141</v>
      </c>
      <c r="N5" s="38">
        <f t="array" ref="N5">MIN(IF($AG$13:$AG$9318=I1,IF(ISNUMBER($N$13:$N$9318),IF($N$13:$N$9318&gt;0,$N$13:$N$9318))))</f>
        <v>34.149999999208376</v>
      </c>
      <c r="O5" s="3">
        <f t="array" ref="O5">MAX(IF($AG$13:$AG$9318=I1,IF(ISNUMBER($N$13:$N$9318),IF($N$13:$N$9318&gt;0,$N$13:$N$9318))))</f>
        <v>47.500000008149073</v>
      </c>
      <c r="P5" s="2"/>
      <c r="R5" s="166" t="s">
        <v>17</v>
      </c>
      <c r="S5" s="186">
        <f>COUNTIFS($N$13:$N$9318,"&gt;0",$AG$13:$AG$9318,R1)</f>
        <v>34</v>
      </c>
      <c r="T5" s="187"/>
      <c r="U5" s="187"/>
      <c r="V5" s="183">
        <f>AVERAGEIFS($N$13:$N$9318,$AG$13:$AG$9318,R1)</f>
        <v>15.311764706549344</v>
      </c>
      <c r="W5" s="184">
        <f t="array" ref="W5">MIN(IF($AG$13:$AG$9318=R1,IF(ISNUMBER($N$13:$N$9318),IF($N$13:$N$9318&gt;0,$N$13:$N$9318))))</f>
        <v>12.716666663764045</v>
      </c>
      <c r="X5" s="185">
        <f t="array" ref="X5">MAX(IF($AG$13:$AG$9318=R1,IF(ISNUMBER($N$13:$N$9318),IF($N$13:$N$9318&gt;0,$N$13:$N$9318))))</f>
        <v>18.583333339774981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COUNTIFS($P$13:$P$9318,"&gt;0",$AG$13:$AG$9318,I1)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COUNTIFS($P$13:$P$9318,"&gt;0",$AG$13:$AG$9318,R1)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37.036854460045141</v>
      </c>
      <c r="N8" s="38">
        <f>N5</f>
        <v>34.149999999208376</v>
      </c>
      <c r="O8" s="3">
        <f>O5</f>
        <v>47.500000008149073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15.311764706549344</v>
      </c>
      <c r="W8" s="184">
        <f>W5</f>
        <v>12.716666663764045</v>
      </c>
      <c r="X8" s="185">
        <f>X5</f>
        <v>18.583333339774981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636</v>
      </c>
      <c r="B13" s="7">
        <v>4002</v>
      </c>
      <c r="C13" s="21" t="s">
        <v>199</v>
      </c>
      <c r="D13" s="21" t="s">
        <v>568</v>
      </c>
      <c r="E13" s="13">
        <v>42932.132847222223</v>
      </c>
      <c r="F13" s="13">
        <v>42932.135972222219</v>
      </c>
      <c r="G13" s="7">
        <v>1</v>
      </c>
      <c r="H13" s="21" t="s">
        <v>844</v>
      </c>
      <c r="I13" s="13">
        <v>42932.160590277781</v>
      </c>
      <c r="J13" s="7">
        <v>0</v>
      </c>
      <c r="K13" s="89" t="str">
        <f t="shared" ref="K13:K76" si="0">IF(ISEVEN(B13),(B13-1)&amp;"/"&amp;B13,B13&amp;"/"&amp;(B13+1))</f>
        <v>4001/4002</v>
      </c>
      <c r="L13" s="21" t="str">
        <f>VLOOKUP(A13,'Trips&amp;Operators'!$C$1:$G$99999,5,FALSE)</f>
        <v>MAELZER KURT</v>
      </c>
      <c r="M13" s="6">
        <f t="shared" ref="M13:M76" si="1">I13-F13</f>
        <v>2.4618055562314112E-2</v>
      </c>
      <c r="N13" s="7">
        <f t="shared" ref="N13:N57" si="2">24*60*SUM($M13:$M13)</f>
        <v>35.450000009732321</v>
      </c>
      <c r="O13" s="7"/>
      <c r="P13" s="7"/>
      <c r="Q13" s="22"/>
      <c r="R13" s="170"/>
      <c r="S13" s="213">
        <f t="shared" ref="S13:S58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-16T02:11:18-0600',mode:absolute,to:'2017-07-16T04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7.6300000000000007E-2</v>
      </c>
      <c r="Z13" s="197">
        <f t="shared" ref="Z13:Z44" si="8">RIGHT(H13,LEN(H13)-4)/10000</f>
        <v>23.3306</v>
      </c>
      <c r="AA13" s="197">
        <f t="shared" ref="AA13:AA76" si="9">ABS(Z13-Y13)</f>
        <v>23.254300000000001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/stypes="app*4002*20170716*"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4002 --swversion DE.1.0.9.0 --startMP 204:763 --initTime 2017-07-16T03:11:18 --startdatetime 2017-07-16T03:15:48 --delay 1 --endMP 204:233306 --enddatetime 2017-07-16T03:51:15 --enforcementcount 0 &gt;&gt;C:\Users\stu\Documents\GitHub\eaglep3-reporting\EC\2017-07-16-refined-times.txt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{"issue":{"subject":"","project_id":79,"tracker_id":40,"status_id":1,"priority_id":2,"assigned_to_id":23,"start_date":"2017-07-16","description":"","custom_fields":[{"id":1,"name":"Subdivision","value":"EC"},{"id":4,"name":"Milepost","value":"23.3306"},{"id":17,"name":"Train ID","value":"101-16"},{"id":16,"name":"Locomotive ID","value":"4002"},{"id":130,"name":"Impact","value":""},{"id":150,"name":"Time of Event (Mountain Time)","value":"03:51:15"},{"id":151,"name":"Denver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2017-07-16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642</v>
      </c>
      <c r="B14" s="7">
        <v>4001</v>
      </c>
      <c r="C14" s="21" t="s">
        <v>199</v>
      </c>
      <c r="D14" s="21" t="s">
        <v>398</v>
      </c>
      <c r="E14" s="13">
        <v>42932.165949074071</v>
      </c>
      <c r="F14" s="13">
        <v>42932.17527777778</v>
      </c>
      <c r="G14" s="7">
        <v>1</v>
      </c>
      <c r="H14" s="21" t="s">
        <v>388</v>
      </c>
      <c r="I14" s="13">
        <v>42932.201296296298</v>
      </c>
      <c r="J14" s="7">
        <v>0</v>
      </c>
      <c r="K14" s="89" t="str">
        <f t="shared" si="0"/>
        <v>4001/4002</v>
      </c>
      <c r="L14" s="21" t="str">
        <f>VLOOKUP(A14,'Trips&amp;Operators'!$C$1:$G$99999,5,FALSE)</f>
        <v>MAELZER KURT</v>
      </c>
      <c r="M14" s="6">
        <f t="shared" si="1"/>
        <v>2.6018518517958E-2</v>
      </c>
      <c r="N14" s="7">
        <f t="shared" si="2"/>
        <v>37.46666666585952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-16T02:58:58-0600',mode:absolute,to:'2017-07-16T05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23.299600000000002</v>
      </c>
      <c r="Z14" s="197">
        <f t="shared" si="8"/>
        <v>1.4500000000000001E-2</v>
      </c>
      <c r="AA14" s="197">
        <f t="shared" si="9"/>
        <v>23.2851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4" s="74" t="str">
        <f t="shared" si="12"/>
        <v>"C:\Program Files (x86)\AstroGrep\AstroGrep.exe" /e /r /s /spath="%USERPROFILE%\AppData\Local\Temp\OnboardLogs" /stypes="app*4001*20170716*"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4001 --swversion DE.1.0.9.0 --startMP 204:232996 --initTime 2017-07-16T03:58:58 --startdatetime 2017-07-16T04:12:24 --delay 1 --endMP 204:145 --enddatetime 2017-07-16T04:49:52 --enforcementcount 0 &gt;&gt;C:\Users\stu\Documents\GitHub\eaglep3-reporting\EC\2017-07-16-refined-times.txt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{"issue":{"subject":"","project_id":79,"tracker_id":40,"status_id":1,"priority_id":2,"assigned_to_id":23,"start_date":"2017-07-16","description":"","custom_fields":[{"id":1,"name":"Subdivision","value":"EC"},{"id":4,"name":"Milepost","value":"0.0145"},{"id":17,"name":"Train ID","value":"102-16"},{"id":16,"name":"Locomotive ID","value":"4001"},{"id":130,"name":"Impact","value":""},{"id":150,"name":"Time of Event (Mountain Time)","value":"04:49:52"},{"id":151,"name":"Denver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4001 --day 2017-07-16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641</v>
      </c>
      <c r="B15" s="7">
        <v>4064</v>
      </c>
      <c r="C15" s="21" t="s">
        <v>199</v>
      </c>
      <c r="D15" s="21" t="s">
        <v>342</v>
      </c>
      <c r="E15" s="13">
        <v>42932.149085648147</v>
      </c>
      <c r="F15" s="13">
        <v>42932.156759259262</v>
      </c>
      <c r="G15" s="7">
        <v>1</v>
      </c>
      <c r="H15" s="21" t="s">
        <v>510</v>
      </c>
      <c r="I15" s="13">
        <v>42932.180509259262</v>
      </c>
      <c r="J15" s="7">
        <v>0</v>
      </c>
      <c r="K15" s="89" t="str">
        <f t="shared" si="0"/>
        <v>4063/4064</v>
      </c>
      <c r="L15" s="21" t="str">
        <f>VLOOKUP(A15,'Trips&amp;Operators'!$C$1:$G$99999,5,FALSE)</f>
        <v>NEWELL JAMES</v>
      </c>
      <c r="M15" s="6">
        <f t="shared" si="1"/>
        <v>2.3750000000291038E-2</v>
      </c>
      <c r="N15" s="7">
        <f t="shared" si="2"/>
        <v>34.200000000419095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-16T02:34:41-0600',mode:absolute,to:'2017-07-16T05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4.4600000000000001E-2</v>
      </c>
      <c r="Z15" s="197">
        <f t="shared" si="8"/>
        <v>23.331399999999999</v>
      </c>
      <c r="AA15" s="197">
        <f t="shared" si="9"/>
        <v>23.286799999999999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5" s="74" t="str">
        <f t="shared" si="12"/>
        <v>"C:\Program Files (x86)\AstroGrep\AstroGrep.exe" /e /r /s /spath="%USERPROFILE%\AppData\Local\Temp\OnboardLogs" /stypes="app*4064*20170716*"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103-16 --locoid 4064 --swversion DE.1.0.9.0 --startMP 204:446 --initTime 2017-07-16T03:34:41 --startdatetime 2017-07-16T03:45:44 --delay 1 --endMP 204:233314 --enddatetime 2017-07-16T04:19:56 --enforcementcount 0 &gt;&gt;C:\Users\stu\Documents\GitHub\eaglep3-reporting\EC\2017-07-16-refined-times.txt</v>
      </c>
      <c r="AI1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{"issue":{"subject":"","project_id":79,"tracker_id":40,"status_id":1,"priority_id":2,"assigned_to_id":23,"start_date":"2017-07-16","description":"","custom_fields":[{"id":1,"name":"Subdivision","value":"EC"},{"id":4,"name":"Milepost","value":"23.3314"},{"id":17,"name":"Train ID","value":"103-16"},{"id":16,"name":"Locomotive ID","value":"4064"},{"id":130,"name":"Impact","value":""},{"id":150,"name":"Time of Event (Mountain Time)","value":"04:19:56"},{"id":151,"name":"Denver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4064 --day 2017-07-16</v>
      </c>
      <c r="AN1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649</v>
      </c>
      <c r="B16" s="7">
        <v>4063</v>
      </c>
      <c r="C16" s="21" t="s">
        <v>199</v>
      </c>
      <c r="D16" s="21" t="s">
        <v>538</v>
      </c>
      <c r="E16" s="13">
        <v>42932.181770833333</v>
      </c>
      <c r="F16" s="13">
        <v>42932.19599537037</v>
      </c>
      <c r="G16" s="7">
        <v>0</v>
      </c>
      <c r="H16" s="21" t="s">
        <v>536</v>
      </c>
      <c r="I16" s="13">
        <v>42932.221597222226</v>
      </c>
      <c r="J16" s="7">
        <v>0</v>
      </c>
      <c r="K16" s="89" t="str">
        <f t="shared" si="0"/>
        <v>4063/4064</v>
      </c>
      <c r="L16" s="21" t="str">
        <f>VLOOKUP(A16,'Trips&amp;Operators'!$C$1:$G$99999,5,FALSE)</f>
        <v>NEWELL JAMES</v>
      </c>
      <c r="M16" s="6">
        <f t="shared" si="1"/>
        <v>2.5601851855753921E-2</v>
      </c>
      <c r="N16" s="7">
        <f t="shared" si="2"/>
        <v>36.866666672285646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-16T03:21:45-0600',mode:absolute,to:'2017-07-16T06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</v>
      </c>
      <c r="Z16" s="197">
        <f t="shared" si="8"/>
        <v>1.52E-2</v>
      </c>
      <c r="AA16" s="197">
        <f t="shared" si="9"/>
        <v>23.284800000000001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6" s="74" t="str">
        <f t="shared" si="12"/>
        <v>"C:\Program Files (x86)\AstroGrep\AstroGrep.exe" /e /r /s /spath="%USERPROFILE%\AppData\Local\Temp\OnboardLogs" /stypes="app*4063*20170716*"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104-16 --locoid 4063 --swversion DE.1.0.9.0 --startMP 204:233000 --initTime 2017-07-16T04:21:45 --startdatetime 2017-07-16T04:42:14 --delay 0 --endMP 204:152 --enddatetime 2017-07-16T05:19:06 --enforcementcount 0 &gt;&gt;C:\Users\stu\Documents\GitHub\eaglep3-reporting\EC\2017-07-16-refined-times.txt</v>
      </c>
      <c r="AI1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ID","value":"104-16"},{"id":16,"name":"Locomotive ID","value":"4063"},{"id":130,"name":"Impact","value":""},{"id":150,"name":"Time of Event (Mountain Time)","value":"05:19:06"},{"id":151,"name":"Denver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4063 --day 2017-07-16</v>
      </c>
      <c r="AN1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643</v>
      </c>
      <c r="B17" s="7">
        <v>4006</v>
      </c>
      <c r="C17" s="21" t="s">
        <v>199</v>
      </c>
      <c r="D17" s="21" t="s">
        <v>845</v>
      </c>
      <c r="E17" s="13">
        <v>42932.167361111111</v>
      </c>
      <c r="F17" s="13">
        <v>42932.177789351852</v>
      </c>
      <c r="G17" s="7">
        <v>1</v>
      </c>
      <c r="H17" s="21" t="s">
        <v>417</v>
      </c>
      <c r="I17" s="13">
        <v>42932.203553240739</v>
      </c>
      <c r="J17" s="7">
        <v>0</v>
      </c>
      <c r="K17" s="89" t="str">
        <f t="shared" si="0"/>
        <v>4005/4006</v>
      </c>
      <c r="L17" s="21" t="str">
        <f>VLOOKUP(A17,'Trips&amp;Operators'!$C$1:$G$99999,5,FALSE)</f>
        <v>ROBINSON KADDIBA</v>
      </c>
      <c r="M17" s="6">
        <f t="shared" si="1"/>
        <v>2.5763888887013309E-2</v>
      </c>
      <c r="N17" s="7">
        <f t="shared" si="2"/>
        <v>37.099999997299165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-16T03:01:00-0600',mode:absolute,to:'2017-07-16T05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4.2599999999999999E-2</v>
      </c>
      <c r="Z17" s="197">
        <f t="shared" si="8"/>
        <v>23.331199999999999</v>
      </c>
      <c r="AA17" s="197">
        <f t="shared" si="9"/>
        <v>23.288599999999999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7" s="74" t="str">
        <f t="shared" si="12"/>
        <v>"C:\Program Files (x86)\AstroGrep\AstroGrep.exe" /e /r /s /spath="%USERPROFILE%\AppData\Local\Temp\OnboardLogs" /stypes="app*4006*20170716*"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105-16 --locoid 4006 --swversion DE.1.0.9.0 --startMP 204:426 --initTime 2017-07-16T04:01:00 --startdatetime 2017-07-16T04:16:01 --delay 1 --endMP 204:233312 --enddatetime 2017-07-16T04:53:07 --enforcementcount 0 &gt;&gt;C:\Users\stu\Documents\GitHub\eaglep3-reporting\EC\2017-07-16-refined-times.txt</v>
      </c>
      <c r="AI1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{"issue":{"subject":"","project_id":79,"tracker_id":40,"status_id":1,"priority_id":2,"assigned_to_id":23,"start_date":"2017-07-16","description":"","custom_fields":[{"id":1,"name":"Subdivision","value":"EC"},{"id":4,"name":"Milepost","value":"23.3312"},{"id":17,"name":"Train ID","value":"105-16"},{"id":16,"name":"Locomotive ID","value":"4006"},{"id":130,"name":"Impact","value":""},{"id":150,"name":"Time of Event (Mountain Time)","value":"04:53:07"},{"id":151,"name":"Denver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4006 --day 2017-07-16</v>
      </c>
      <c r="AN1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604</v>
      </c>
      <c r="B18" s="7">
        <v>4005</v>
      </c>
      <c r="C18" s="21" t="s">
        <v>199</v>
      </c>
      <c r="D18" s="21" t="s">
        <v>846</v>
      </c>
      <c r="E18" s="13">
        <v>42932.213402777779</v>
      </c>
      <c r="F18" s="13">
        <v>42932.216828703706</v>
      </c>
      <c r="G18" s="7">
        <v>1</v>
      </c>
      <c r="H18" s="21" t="s">
        <v>353</v>
      </c>
      <c r="I18" s="13">
        <v>42932.243414351855</v>
      </c>
      <c r="J18" s="7">
        <v>0</v>
      </c>
      <c r="K18" s="89" t="str">
        <f t="shared" si="0"/>
        <v>4005/4006</v>
      </c>
      <c r="L18" s="21" t="str">
        <f>VLOOKUP(A18,'Trips&amp;Operators'!$C$1:$G$99999,5,FALSE)</f>
        <v>ROBINSON KADDIBA</v>
      </c>
      <c r="M18" s="6">
        <f t="shared" si="1"/>
        <v>2.658564814919373E-2</v>
      </c>
      <c r="N18" s="7">
        <f t="shared" si="2"/>
        <v>38.283333334838971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-16T04:07:18-0600',mode:absolute,to:'2017-07-16T06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23.300599999999999</v>
      </c>
      <c r="Z18" s="197">
        <f t="shared" si="8"/>
        <v>1.41E-2</v>
      </c>
      <c r="AA18" s="197">
        <f t="shared" si="9"/>
        <v>23.2865</v>
      </c>
      <c r="AB18" s="54" t="str">
        <f>VLOOKUP(A18,Enforcements!$C$7:$K$13,8,0)</f>
        <v>Bulletin (2)</v>
      </c>
      <c r="AC18" s="51" t="str">
        <f>VLOOKUP(A18,Enforcements!$C$7:$E$13,3,0)</f>
        <v>GRADE CROSSING</v>
      </c>
      <c r="AD18" s="206">
        <f t="shared" si="10"/>
        <v>106</v>
      </c>
      <c r="AE18" s="77" t="str">
        <f t="shared" si="11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8" s="74" t="str">
        <f t="shared" si="12"/>
        <v>"C:\Program Files (x86)\AstroGrep\AstroGrep.exe" /e /r /s /spath="%USERPROFILE%\AppData\Local\Temp\OnboardLogs" /stypes="app*4005*20170716*"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106-16 --locoid 4005 --swversion DE.1.0.9.0 --startMP 204:233006 --initTime 2017-07-16T05:07:18 --startdatetime 2017-07-16T05:12:14 --delay 1 --endMP 204:141 --enddatetime 2017-07-16T05:50:31 --enforcementcount 0 &gt;&gt;C:\Users\stu\Documents\GitHub\eaglep3-reporting\EC\2017-07-16-refined-times.txt</v>
      </c>
      <c r="AI18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{"issue":{"subject":"","project_id":79,"tracker_id":40,"status_id":1,"priority_id":2,"assigned_to_id":23,"start_date":"2017-07-16","description":"","custom_fields":[{"id":1,"name":"Subdivision","value":"EC"},{"id":4,"name":"Milepost","value":"0.0141"},{"id":17,"name":"Train ID","value":"106-16"},{"id":16,"name":"Locomotive ID","value":"4005"},{"id":130,"name":"Impact","value":""},{"id":150,"name":"Time of Event (Mountain Time)","value":"05:50:31"},{"id":151,"name":"Denver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4005 --day 2017-07-16</v>
      </c>
      <c r="AN18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650</v>
      </c>
      <c r="B19" s="7">
        <v>4012</v>
      </c>
      <c r="C19" s="21" t="s">
        <v>199</v>
      </c>
      <c r="D19" s="21" t="s">
        <v>426</v>
      </c>
      <c r="E19" s="13">
        <v>42932.184560185182</v>
      </c>
      <c r="F19" s="13">
        <v>42932.188136574077</v>
      </c>
      <c r="G19" s="7">
        <v>1</v>
      </c>
      <c r="H19" s="21" t="s">
        <v>571</v>
      </c>
      <c r="I19" s="13">
        <v>42932.213287037041</v>
      </c>
      <c r="J19" s="7">
        <v>0</v>
      </c>
      <c r="K19" s="89" t="str">
        <f t="shared" si="0"/>
        <v>4011/4012</v>
      </c>
      <c r="L19" s="21" t="str">
        <f>VLOOKUP(A19,'Trips&amp;Operators'!$C$1:$G$99999,5,FALSE)</f>
        <v>BROWN JACOB</v>
      </c>
      <c r="M19" s="6">
        <f t="shared" si="1"/>
        <v>2.5150462963210884E-2</v>
      </c>
      <c r="N19" s="7">
        <f t="shared" si="2"/>
        <v>36.216666667023674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-16T03:25:46-0600',mode:absolute,to:'2017-07-16T06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4.3499999999999997E-2</v>
      </c>
      <c r="Z19" s="197">
        <f t="shared" si="8"/>
        <v>23.3293</v>
      </c>
      <c r="AA19" s="197">
        <f t="shared" si="9"/>
        <v>23.285799999999998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9" s="74" t="str">
        <f t="shared" si="12"/>
        <v>"C:\Program Files (x86)\AstroGrep\AstroGrep.exe" /e /r /s /spath="%USERPROFILE%\AppData\Local\Temp\OnboardLogs" /stypes="app*4012*20170716*"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107-16 --locoid 4012 --swversion DE.1.0.9.0 --startMP 204:435 --initTime 2017-07-16T04:25:46 --startdatetime 2017-07-16T04:30:55 --delay 1 --endMP 204:233293 --enddatetime 2017-07-16T05:07:08 --enforcementcount 0 &gt;&gt;C:\Users\stu\Documents\GitHub\eaglep3-reporting\EC\2017-07-16-refined-times.txt</v>
      </c>
      <c r="AI1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{"issue":{"subject":"","project_id":79,"tracker_id":40,"status_id":1,"priority_id":2,"assigned_to_id":23,"start_date":"2017-07-16","description":"","custom_fields":[{"id":1,"name":"Subdivision","value":"EC"},{"id":4,"name":"Milepost","value":"23.3293"},{"id":17,"name":"Train ID","value":"107-16"},{"id":16,"name":"Locomotive ID","value":"4012"},{"id":130,"name":"Impact","value":""},{"id":150,"name":"Time of Event (Mountain Time)","value":"05:07:08"},{"id":151,"name":"Denver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4012 --day 2017-07-16</v>
      </c>
      <c r="AN1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660</v>
      </c>
      <c r="B20" s="7">
        <v>4011</v>
      </c>
      <c r="C20" s="21" t="s">
        <v>199</v>
      </c>
      <c r="D20" s="21" t="s">
        <v>440</v>
      </c>
      <c r="E20" s="13">
        <v>42932.221435185187</v>
      </c>
      <c r="F20" s="13">
        <v>42932.227280092593</v>
      </c>
      <c r="G20" s="7">
        <v>2</v>
      </c>
      <c r="H20" s="21" t="s">
        <v>536</v>
      </c>
      <c r="I20" s="13">
        <v>42932.253912037035</v>
      </c>
      <c r="J20" s="7">
        <v>0</v>
      </c>
      <c r="K20" s="89" t="str">
        <f t="shared" si="0"/>
        <v>4011/4012</v>
      </c>
      <c r="L20" s="21" t="str">
        <f>VLOOKUP(A20,'Trips&amp;Operators'!$C$1:$G$99999,5,FALSE)</f>
        <v>BROWN JACOB</v>
      </c>
      <c r="M20" s="6">
        <f t="shared" si="1"/>
        <v>2.6631944441760425E-2</v>
      </c>
      <c r="N20" s="7">
        <f t="shared" si="2"/>
        <v>38.349999996135011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-16T04:18:52-0600',mode:absolute,to:'2017-07-16T07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23.2971</v>
      </c>
      <c r="Z20" s="197">
        <f t="shared" si="8"/>
        <v>1.52E-2</v>
      </c>
      <c r="AA20" s="197">
        <f t="shared" si="9"/>
        <v>23.2819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20" s="74" t="str">
        <f t="shared" si="12"/>
        <v>"C:\Program Files (x86)\AstroGrep\AstroGrep.exe" /e /r /s /spath="%USERPROFILE%\AppData\Local\Temp\OnboardLogs" /stypes="app*4011*20170716*"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108-16 --locoid 4011 --swversion DE.1.0.9.0 --startMP 204:232971 --initTime 2017-07-16T05:18:52 --startdatetime 2017-07-16T05:27:17 --delay 2 --endMP 204:152 --enddatetime 2017-07-16T06:05:38 --enforcementcount 0 &gt;&gt;C:\Users\stu\Documents\GitHub\eaglep3-reporting\EC\2017-07-16-refined-times.txt</v>
      </c>
      <c r="AI2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ID","value":"108-16"},{"id":16,"name":"Locomotive ID","value":"4011"},{"id":130,"name":"Impact","value":""},{"id":150,"name":"Time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4011 --day 2017-07-16</v>
      </c>
      <c r="AN2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652</v>
      </c>
      <c r="B21" s="7">
        <v>4050</v>
      </c>
      <c r="C21" s="21" t="s">
        <v>199</v>
      </c>
      <c r="D21" s="21" t="s">
        <v>415</v>
      </c>
      <c r="E21" s="13">
        <v>42932.193530092591</v>
      </c>
      <c r="F21" s="13">
        <v>42932.198437500003</v>
      </c>
      <c r="G21" s="7">
        <v>1</v>
      </c>
      <c r="H21" s="21" t="s">
        <v>847</v>
      </c>
      <c r="I21" s="13">
        <v>42932.222986111112</v>
      </c>
      <c r="J21" s="7">
        <v>0</v>
      </c>
      <c r="K21" s="89" t="str">
        <f t="shared" si="0"/>
        <v>4049/4050</v>
      </c>
      <c r="L21" s="21" t="str">
        <f>VLOOKUP(A21,'Trips&amp;Operators'!$C$1:$G$99999,5,FALSE)</f>
        <v>GEBRETEKLE DAGNEW</v>
      </c>
      <c r="M21" s="6">
        <f t="shared" si="1"/>
        <v>2.4548611108912155E-2</v>
      </c>
      <c r="N21" s="7">
        <f t="shared" si="2"/>
        <v>35.349999996833503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-16T03:38:41-0600',mode:absolute,to:'2017-07-16T06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4.58E-2</v>
      </c>
      <c r="Z21" s="197">
        <f t="shared" si="8"/>
        <v>23.3338</v>
      </c>
      <c r="AA21" s="197">
        <f t="shared" si="9"/>
        <v>23.288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21" s="74" t="str">
        <f t="shared" si="12"/>
        <v>"C:\Program Files (x86)\AstroGrep\AstroGrep.exe" /e /r /s /spath="%USERPROFILE%\AppData\Local\Temp\OnboardLogs" /stypes="app*4050*20170716*"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109-16 --locoid 4050 --swversion DE.1.0.9.0 --startMP 204:458 --initTime 2017-07-16T04:38:41 --startdatetime 2017-07-16T04:45:45 --delay 1 --endMP 204:233338 --enddatetime 2017-07-16T05:21:06 --enforcementcount 0 &gt;&gt;C:\Users\stu\Documents\GitHub\eaglep3-reporting\EC\2017-07-16-refined-times.txt</v>
      </c>
      <c r="AI2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{"issue":{"subject":"","project_id":79,"tracker_id":40,"status_id":1,"priority_id":2,"assigned_to_id":23,"start_date":"2017-07-16","description":"","custom_fields":[{"id":1,"name":"Subdivision","value":"EC"},{"id":4,"name":"Milepost","value":"23.3338"},{"id":17,"name":"Train ID","value":"109-16"},{"id":16,"name":"Locomotive ID","value":"4050"},{"id":130,"name":"Impact","value":""},{"id":150,"name":"Time of Event (Mountain Time)","value":"05:21:06"},{"id":151,"name":"Denver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4050 --day 2017-07-16</v>
      </c>
      <c r="AN2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662</v>
      </c>
      <c r="B22" s="7">
        <v>4049</v>
      </c>
      <c r="C22" s="21" t="s">
        <v>199</v>
      </c>
      <c r="D22" s="21" t="s">
        <v>848</v>
      </c>
      <c r="E22" s="13">
        <v>42932.224189814813</v>
      </c>
      <c r="F22" s="13">
        <v>42932.237696759257</v>
      </c>
      <c r="G22" s="7">
        <v>1</v>
      </c>
      <c r="H22" s="21" t="s">
        <v>490</v>
      </c>
      <c r="I22" s="13">
        <v>42932.263622685183</v>
      </c>
      <c r="J22" s="7">
        <v>0</v>
      </c>
      <c r="K22" s="89" t="str">
        <f t="shared" si="0"/>
        <v>4049/4050</v>
      </c>
      <c r="L22" s="21" t="str">
        <f>VLOOKUP(A22,'Trips&amp;Operators'!$C$1:$G$99999,5,FALSE)</f>
        <v>GEBRETEKLE DAGNEW</v>
      </c>
      <c r="M22" s="6">
        <f t="shared" si="1"/>
        <v>2.5925925925548654E-2</v>
      </c>
      <c r="N22" s="7">
        <f t="shared" si="2"/>
        <v>37.333333332790062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-16T04:22:50-0600',mode:absolute,to:'2017-07-16T07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23.302800000000001</v>
      </c>
      <c r="Z22" s="197">
        <f t="shared" si="8"/>
        <v>1.5800000000000002E-2</v>
      </c>
      <c r="AA22" s="197">
        <f t="shared" si="9"/>
        <v>23.287000000000003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22" s="74" t="str">
        <f t="shared" si="12"/>
        <v>"C:\Program Files (x86)\AstroGrep\AstroGrep.exe" /e /r /s /spath="%USERPROFILE%\AppData\Local\Temp\OnboardLogs" /stypes="app*4049*20170716*"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110-16 --locoid 4049 --swversion DE.1.0.9.0 --startMP 204:233028 --initTime 2017-07-16T05:22:50 --startdatetime 2017-07-16T05:42:17 --delay 1 --endMP 204:158 --enddatetime 2017-07-16T06:19:37 --enforcementcount 0 &gt;&gt;C:\Users\stu\Documents\GitHub\eaglep3-reporting\EC\2017-07-16-refined-times.txt</v>
      </c>
      <c r="AI2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{"issue":{"subject":"","project_id":79,"tracker_id":40,"status_id":1,"priority_id":2,"assigned_to_id":23,"start_date":"2017-07-16","description":"","custom_fields":[{"id":1,"name":"Subdivision","value":"EC"},{"id":4,"name":"Milepost","value":"0.0158"},{"id":17,"name":"Train ID","value":"110-16"},{"id":16,"name":"Locomotive ID","value":"4049"},{"id":130,"name":"Impact","value":""},{"id":150,"name":"Time of Event (Mountain Time)","value":"06:19:37"},{"id":151,"name":"Denver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4049 --day 2017-07-16</v>
      </c>
      <c r="AN2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654</v>
      </c>
      <c r="B23" s="7">
        <v>4002</v>
      </c>
      <c r="C23" s="21" t="s">
        <v>199</v>
      </c>
      <c r="D23" s="21" t="s">
        <v>380</v>
      </c>
      <c r="E23" s="13">
        <v>42932.206550925926</v>
      </c>
      <c r="F23" s="13">
        <v>42932.20888888889</v>
      </c>
      <c r="G23" s="7">
        <v>1</v>
      </c>
      <c r="H23" s="21" t="s">
        <v>513</v>
      </c>
      <c r="I23" s="13">
        <v>42932.233287037037</v>
      </c>
      <c r="J23" s="7">
        <v>0</v>
      </c>
      <c r="K23" s="89" t="str">
        <f t="shared" si="0"/>
        <v>4001/4002</v>
      </c>
      <c r="L23" s="21" t="str">
        <f>VLOOKUP(A23,'Trips&amp;Operators'!$C$1:$G$99999,5,FALSE)</f>
        <v>MAELZER KURT</v>
      </c>
      <c r="M23" s="6">
        <f t="shared" si="1"/>
        <v>2.4398148147156462E-2</v>
      </c>
      <c r="N23" s="7">
        <f t="shared" si="2"/>
        <v>35.133333331905305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-16T03:57:26-0600',mode:absolute,to:'2017-07-16T06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4.6199999999999998E-2</v>
      </c>
      <c r="Z23" s="197">
        <f t="shared" si="8"/>
        <v>23.330500000000001</v>
      </c>
      <c r="AA23" s="197">
        <f t="shared" si="9"/>
        <v>23.284300000000002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23" s="74" t="str">
        <f t="shared" si="12"/>
        <v>"C:\Program Files (x86)\AstroGrep\AstroGrep.exe" /e /r /s /spath="%USERPROFILE%\AppData\Local\Temp\OnboardLogs" /stypes="app*4002*20170716*"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111-16 --locoid 4002 --swversion DE.1.0.9.0 --startMP 204:462 --initTime 2017-07-16T04:57:26 --startdatetime 2017-07-16T05:00:48 --delay 1 --endMP 204:233305 --enddatetime 2017-07-16T05:35:56 --enforcementcount 0 &gt;&gt;C:\Users\stu\Documents\GitHub\eaglep3-reporting\EC\2017-07-16-refined-times.txt</v>
      </c>
      <c r="AI2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{"issue":{"subject":"","project_id":79,"tracker_id":40,"status_id":1,"priority_id":2,"assigned_to_id":23,"start_date":"2017-07-16","description":"","custom_fields":[{"id":1,"name":"Subdivision","value":"EC"},{"id":4,"name":"Milepost","value":"23.3305"},{"id":17,"name":"Train ID","value":"111-16"},{"id":16,"name":"Locomotive ID","value":"4002"},{"id":130,"name":"Impact","value":""},{"id":150,"name":"Time of Event (Mountain Time)","value":"05:35:56"},{"id":151,"name":"Denver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4002 --day 2017-07-16</v>
      </c>
      <c r="AN2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666</v>
      </c>
      <c r="B24" s="7">
        <v>4001</v>
      </c>
      <c r="C24" s="21" t="s">
        <v>199</v>
      </c>
      <c r="D24" s="21" t="s">
        <v>398</v>
      </c>
      <c r="E24" s="13">
        <v>42932.242303240739</v>
      </c>
      <c r="F24" s="13">
        <v>42932.248159722221</v>
      </c>
      <c r="G24" s="7">
        <v>1</v>
      </c>
      <c r="H24" s="21" t="s">
        <v>431</v>
      </c>
      <c r="I24" s="13">
        <v>42932.274155092593</v>
      </c>
      <c r="J24" s="7">
        <v>0</v>
      </c>
      <c r="K24" s="89" t="str">
        <f t="shared" si="0"/>
        <v>4001/4002</v>
      </c>
      <c r="L24" s="21" t="str">
        <f>VLOOKUP(A24,'Trips&amp;Operators'!$C$1:$G$99999,5,FALSE)</f>
        <v>MAELZER KURT</v>
      </c>
      <c r="M24" s="6">
        <f t="shared" si="1"/>
        <v>2.5995370371674653E-2</v>
      </c>
      <c r="N24" s="7">
        <f t="shared" si="2"/>
        <v>37.433333335211501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-16T04:48:55-0600',mode:absolute,to:'2017-07-16T07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23.299600000000002</v>
      </c>
      <c r="Z24" s="197">
        <f t="shared" si="8"/>
        <v>1.32E-2</v>
      </c>
      <c r="AA24" s="197">
        <f t="shared" si="9"/>
        <v>23.2864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24" s="74" t="str">
        <f t="shared" si="12"/>
        <v>"C:\Program Files (x86)\AstroGrep\AstroGrep.exe" /e /r /s /spath="%USERPROFILE%\AppData\Local\Temp\OnboardLogs" /stypes="app*4001*20170716*"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112-16 --locoid 4001 --swversion DE.1.0.9.0 --startMP 204:232996 --initTime 2017-07-16T05:48:55 --startdatetime 2017-07-16T05:57:21 --delay 1 --endMP 204:132 --enddatetime 2017-07-16T06:34:47 --enforcementcount 0 &gt;&gt;C:\Users\stu\Documents\GitHub\eaglep3-reporting\EC\2017-07-16-refined-times.txt</v>
      </c>
      <c r="AI2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{"issue":{"subject":"","project_id":79,"tracker_id":40,"status_id":1,"priority_id":2,"assigned_to_id":23,"start_date":"2017-07-16","description":"","custom_fields":[{"id":1,"name":"Subdivision","value":"EC"},{"id":4,"name":"Milepost","value":"0.0132"},{"id":17,"name":"Train ID","value":"112-16"},{"id":16,"name":"Locomotive ID","value":"4001"},{"id":130,"name":"Impact","value":""},{"id":150,"name":"Time of Event (Mountain Time)","value":"06:34:47"},{"id":151,"name":"Denver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4001 --day 2017-07-16</v>
      </c>
      <c r="AN2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655</v>
      </c>
      <c r="B25" s="7">
        <v>4008</v>
      </c>
      <c r="C25" s="21" t="s">
        <v>199</v>
      </c>
      <c r="D25" s="21" t="s">
        <v>580</v>
      </c>
      <c r="E25" s="13">
        <v>42932.210462962961</v>
      </c>
      <c r="F25" s="13">
        <v>42932.219282407408</v>
      </c>
      <c r="G25" s="7">
        <v>1</v>
      </c>
      <c r="H25" s="21" t="s">
        <v>427</v>
      </c>
      <c r="I25" s="13">
        <v>42932.244456018518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GUZMAN DANNY</v>
      </c>
      <c r="M25" s="6">
        <f t="shared" si="1"/>
        <v>2.5173611109494232E-2</v>
      </c>
      <c r="N25" s="7">
        <f t="shared" si="2"/>
        <v>36.249999997671694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-16T04:03:04-0600',mode:absolute,to:'2017-07-16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4.5999999999999999E-2</v>
      </c>
      <c r="Z25" s="197">
        <f t="shared" si="8"/>
        <v>23.329499999999999</v>
      </c>
      <c r="AA25" s="197">
        <f t="shared" si="9"/>
        <v>23.2835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25" s="74" t="str">
        <f t="shared" si="12"/>
        <v>"C:\Program Files (x86)\AstroGrep\AstroGrep.exe" /e /r /s /spath="%USERPROFILE%\AppData\Local\Temp\OnboardLogs" /stypes="app*4008*20170716*"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113-16 --locoid 4008 --swversion DE.1.0.9.0 --startMP 204:460 --initTime 2017-07-16T05:03:04 --startdatetime 2017-07-16T05:15:46 --delay 1 --endMP 204:233295 --enddatetime 2017-07-16T05:52:01 --enforcementcount 0 &gt;&gt;C:\Users\stu\Documents\GitHub\eaglep3-reporting\EC\2017-07-16-refined-times.txt</v>
      </c>
      <c r="AI2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{"issue":{"subject":"","project_id":79,"tracker_id":40,"status_id":1,"priority_id":2,"assigned_to_id":23,"start_date":"2017-07-16","description":"","custom_fields":[{"id":1,"name":"Subdivision","value":"EC"},{"id":4,"name":"Milepost","value":"23.3295"},{"id":17,"name":"Train ID","value":"113-16"},{"id":16,"name":"Locomotive ID","value":"4008"},{"id":130,"name":"Impact","value":""},{"id":150,"name":"Time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4008 --day 2017-07-16</v>
      </c>
      <c r="AN2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668</v>
      </c>
      <c r="B26" s="7">
        <v>4007</v>
      </c>
      <c r="C26" s="21" t="s">
        <v>199</v>
      </c>
      <c r="D26" s="21" t="s">
        <v>849</v>
      </c>
      <c r="E26" s="13">
        <v>42932.246076388888</v>
      </c>
      <c r="F26" s="13">
        <v>42932.258506944447</v>
      </c>
      <c r="G26" s="7">
        <v>0</v>
      </c>
      <c r="H26" s="21" t="s">
        <v>343</v>
      </c>
      <c r="I26" s="13">
        <v>42932.285219907404</v>
      </c>
      <c r="J26" s="7">
        <v>0</v>
      </c>
      <c r="K26" s="89" t="str">
        <f t="shared" si="0"/>
        <v>4007/4008</v>
      </c>
      <c r="L26" s="21" t="str">
        <f>VLOOKUP(A26,'Trips&amp;Operators'!$C$1:$G$99999,5,FALSE)</f>
        <v>GUZMAN DANNY</v>
      </c>
      <c r="M26" s="6">
        <f t="shared" si="1"/>
        <v>2.6712962957390118E-2</v>
      </c>
      <c r="N26" s="7">
        <f t="shared" si="2"/>
        <v>38.46666665864177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-16T04:54:21-0600',mode:absolute,to:'2017-07-16T07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23.301500000000001</v>
      </c>
      <c r="Z26" s="197">
        <f t="shared" si="8"/>
        <v>1.4999999999999999E-2</v>
      </c>
      <c r="AA26" s="197">
        <f t="shared" si="9"/>
        <v>23.2865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26" s="74" t="str">
        <f t="shared" si="12"/>
        <v>"C:\Program Files (x86)\AstroGrep\AstroGrep.exe" /e /r /s /spath="%USERPROFILE%\AppData\Local\Temp\OnboardLogs" /stypes="app*4007*20170716*"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114-16 --locoid 4007 --swversion DE.1.0.9.0 --startMP 204:233015 --initTime 2017-07-16T05:54:21 --startdatetime 2017-07-16T06:12:15 --delay 0 --endMP 204:150 --enddatetime 2017-07-16T06:50:43 --enforcementcount 0 &gt;&gt;C:\Users\stu\Documents\GitHub\eaglep3-reporting\EC\2017-07-16-refined-times.txt</v>
      </c>
      <c r="AI2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{"issue":{"subject":"","project_id":79,"tracker_id":40,"status_id":1,"priority_id":2,"assigned_to_id":23,"start_date":"2017-07-16","description":"","custom_fields":[{"id":1,"name":"Subdivision","value":"EC"},{"id":4,"name":"Milepost","value":"0.015"},{"id":17,"name":"Train ID","value":"114-16"},{"id":16,"name":"Locomotive ID","value":"4007"},{"id":130,"name":"Impact","value":""},{"id":150,"name":"Time of Event (Mountain Time)","value":"06:50:43"},{"id":151,"name":"Denver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4007 --day 2017-07-16</v>
      </c>
      <c r="AN2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661</v>
      </c>
      <c r="B27" s="7">
        <v>4064</v>
      </c>
      <c r="C27" s="21" t="s">
        <v>199</v>
      </c>
      <c r="D27" s="21" t="s">
        <v>349</v>
      </c>
      <c r="E27" s="13">
        <v>42932.222685185188</v>
      </c>
      <c r="F27" s="13">
        <v>42932.22965277778</v>
      </c>
      <c r="G27" s="7">
        <v>1</v>
      </c>
      <c r="H27" s="21" t="s">
        <v>425</v>
      </c>
      <c r="I27" s="13">
        <v>42932.253425925926</v>
      </c>
      <c r="J27" s="7">
        <v>0</v>
      </c>
      <c r="K27" s="89" t="str">
        <f t="shared" si="0"/>
        <v>4063/4064</v>
      </c>
      <c r="L27" s="21" t="str">
        <f>VLOOKUP(A27,'Trips&amp;Operators'!$C$1:$G$99999,5,FALSE)</f>
        <v>NEWELL JAMES</v>
      </c>
      <c r="M27" s="6">
        <f t="shared" si="1"/>
        <v>2.3773148146574385E-2</v>
      </c>
      <c r="N27" s="7">
        <f t="shared" si="2"/>
        <v>34.233333331067115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-16T04:20:40-0600',mode:absolute,to:'2017-07-16T07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23.329699999999999</v>
      </c>
      <c r="AA27" s="197">
        <f t="shared" si="9"/>
        <v>23.284399999999998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27" s="74" t="str">
        <f t="shared" si="12"/>
        <v>"C:\Program Files (x86)\AstroGrep\AstroGrep.exe" /e /r /s /spath="%USERPROFILE%\AppData\Local\Temp\OnboardLogs" /stypes="app*4064*20170716*"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115-16 --locoid 4064 --swversion DE.1.0.9.0 --startMP 204:453 --initTime 2017-07-16T05:20:40 --startdatetime 2017-07-16T05:30:42 --delay 1 --endMP 204:233297 --enddatetime 2017-07-16T06:04:56 --enforcementcount 0 &gt;&gt;C:\Users\stu\Documents\GitHub\eaglep3-reporting\EC\2017-07-16-refined-times.txt</v>
      </c>
      <c r="AI2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{"issue":{"subject":"","project_id":79,"tracker_id":40,"status_id":1,"priority_id":2,"assigned_to_id":23,"start_date":"2017-07-16","description":"","custom_fields":[{"id":1,"name":"Subdivision","value":"EC"},{"id":4,"name":"Milepost","value":"23.3297"},{"id":17,"name":"Train ID","value":"115-16"},{"id":16,"name":"Locomotive ID","value":"4064"},{"id":130,"name":"Impact","value":""},{"id":150,"name":"Time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4064 --day 2017-07-16</v>
      </c>
      <c r="AN2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670</v>
      </c>
      <c r="B28" s="7">
        <v>4063</v>
      </c>
      <c r="C28" s="21" t="s">
        <v>199</v>
      </c>
      <c r="D28" s="21" t="s">
        <v>438</v>
      </c>
      <c r="E28" s="13">
        <v>42932.256180555552</v>
      </c>
      <c r="F28" s="13">
        <v>42932.268912037034</v>
      </c>
      <c r="G28" s="7">
        <v>0</v>
      </c>
      <c r="H28" s="21" t="s">
        <v>353</v>
      </c>
      <c r="I28" s="13">
        <v>42932.294456018521</v>
      </c>
      <c r="J28" s="7">
        <v>0</v>
      </c>
      <c r="K28" s="89" t="str">
        <f t="shared" si="0"/>
        <v>4063/4064</v>
      </c>
      <c r="L28" s="21" t="str">
        <f>VLOOKUP(A28,'Trips&amp;Operators'!$C$1:$G$99999,5,FALSE)</f>
        <v>NEWELL JAMES</v>
      </c>
      <c r="M28" s="6">
        <f t="shared" si="1"/>
        <v>2.5543981486407574E-2</v>
      </c>
      <c r="N28" s="7">
        <f t="shared" si="2"/>
        <v>36.783333340426907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-16T05:08:54-0600',mode:absolute,to:'2017-07-16T08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23.2973</v>
      </c>
      <c r="Z28" s="197">
        <f t="shared" si="8"/>
        <v>1.41E-2</v>
      </c>
      <c r="AA28" s="197">
        <f t="shared" si="9"/>
        <v>23.283200000000001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28" s="74" t="str">
        <f t="shared" si="12"/>
        <v>"C:\Program Files (x86)\AstroGrep\AstroGrep.exe" /e /r /s /spath="%USERPROFILE%\AppData\Local\Temp\OnboardLogs" /stypes="app*4063*20170716*"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116-16 --locoid 4063 --swversion DE.1.0.9.0 --startMP 204:232973 --initTime 2017-07-16T06:08:54 --startdatetime 2017-07-16T06:27:14 --delay 0 --endMP 204:141 --enddatetime 2017-07-16T07:04:01 --enforcementcount 0 &gt;&gt;C:\Users\stu\Documents\GitHub\eaglep3-reporting\EC\2017-07-16-refined-times.txt</v>
      </c>
      <c r="AI28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{"issue":{"subject":"","project_id":79,"tracker_id":40,"status_id":1,"priority_id":2,"assigned_to_id":23,"start_date":"2017-07-16","description":"","custom_fields":[{"id":1,"name":"Subdivision","value":"EC"},{"id":4,"name":"Milepost","value":"0.0141"},{"id":17,"name":"Train ID","value":"116-16"},{"id":16,"name":"Locomotive ID","value":"4063"},{"id":130,"name":"Impact","value":""},{"id":150,"name":"Time of Event (Mountain Time)","value":"07:04:01"},{"id":151,"name":"Denver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4063 --day 2017-07-16</v>
      </c>
      <c r="AN28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665</v>
      </c>
      <c r="B29" s="7">
        <v>4062</v>
      </c>
      <c r="C29" s="21" t="s">
        <v>199</v>
      </c>
      <c r="D29" s="21" t="s">
        <v>415</v>
      </c>
      <c r="E29" s="13">
        <v>42932.238240740742</v>
      </c>
      <c r="F29" s="13">
        <v>42932.240891203706</v>
      </c>
      <c r="G29" s="7">
        <v>2</v>
      </c>
      <c r="H29" s="21" t="s">
        <v>584</v>
      </c>
      <c r="I29" s="13">
        <v>42932.265046296299</v>
      </c>
      <c r="J29" s="7">
        <v>0</v>
      </c>
      <c r="K29" s="89" t="str">
        <f t="shared" si="0"/>
        <v>4061/4062</v>
      </c>
      <c r="L29" s="21" t="str">
        <f>VLOOKUP(A29,'Trips&amp;Operators'!$C$1:$G$99999,5,FALSE)</f>
        <v>MACDONALD THOMAS</v>
      </c>
      <c r="M29" s="6">
        <f t="shared" si="1"/>
        <v>2.4155092592991423E-2</v>
      </c>
      <c r="N29" s="7">
        <f t="shared" si="2"/>
        <v>34.783333333907649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-16T04:43:04-0600',mode:absolute,to:'2017-07-16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4.58E-2</v>
      </c>
      <c r="Z29" s="197">
        <f t="shared" si="8"/>
        <v>23.331499999999998</v>
      </c>
      <c r="AA29" s="197">
        <f t="shared" si="9"/>
        <v>23.285699999999999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s3://rtdc.mdm.uploadarchive.raw/RTDC4062/ "%USERPROFILE%\AppData\Local\Temp\OnboardLogs"\RTDC4062\2017-07-16 --exclude "*" --recursive --include "*20170716*" &amp; "%USERPROFILE%\Documents\GitHub\mrs-test-scripts\Headless Mode &amp; Sideloading\WalkAndUnGZ.bat" "%USERPROFILE%\AppData\Local\Temp\OnboardLogs"\RTDC4062\2017-07-16 &amp; aws s3 cp s3://rtdc.mdm.uploadarchive.raw/RTDC4062/ "%USERPROFILE%\AppData\Local\Temp\OnboardLogs"\RTDC4062\2017-07-17 --exclude "*" --recursive --include "*20170717*" &amp; "%USERPROFILE%\Documents\GitHub\mrs-test-scripts\Headless Mode &amp; Sideloading\WalkAndUnGZ.bat" "%USERPROFILE%\AppData\Local\Temp\OnboardLogs"\RTDC4062\2017-07-17</v>
      </c>
      <c r="AF29" s="74" t="str">
        <f t="shared" si="12"/>
        <v>"C:\Program Files (x86)\AstroGrep\AstroGrep.exe" /e /r /s /spath="%USERPROFILE%\AppData\Local\Temp\OnboardLogs" /stypes="app*4062*20170716*"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117-16 --locoid 4062 --swversion DE.1.0.9.0 --startMP 204:458 --initTime 2017-07-16T05:43:04 --startdatetime 2017-07-16T05:46:53 --delay 2 --endMP 204:233315 --enddatetime 2017-07-16T06:21:40 --enforcementcount 0 &gt;&gt;C:\Users\stu\Documents\GitHub\eaglep3-reporting\EC\2017-07-16-refined-times.txt</v>
      </c>
      <c r="AI2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{"issue":{"subject":"","project_id":79,"tracker_id":40,"status_id":1,"priority_id":2,"assigned_to_id":23,"start_date":"2017-07-16","description":"","custom_fields":[{"id":1,"name":"Subdivision","value":"EC"},{"id":4,"name":"Milepost","value":"23.3315"},{"id":17,"name":"Train ID","value":"117-16"},{"id":16,"name":"Locomotive ID","value":"4062"},{"id":130,"name":"Impact","value":""},{"id":150,"name":"Time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4062 --day 2017-07-16</v>
      </c>
      <c r="AN2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673</v>
      </c>
      <c r="B30" s="7">
        <v>4061</v>
      </c>
      <c r="C30" s="21" t="s">
        <v>199</v>
      </c>
      <c r="D30" s="21" t="s">
        <v>581</v>
      </c>
      <c r="E30" s="13">
        <v>42932.266064814816</v>
      </c>
      <c r="F30" s="13">
        <v>42932.27983796296</v>
      </c>
      <c r="G30" s="7">
        <v>0</v>
      </c>
      <c r="H30" s="21" t="s">
        <v>393</v>
      </c>
      <c r="I30" s="13">
        <v>42932.304791666669</v>
      </c>
      <c r="J30" s="7">
        <v>0</v>
      </c>
      <c r="K30" s="89" t="str">
        <f t="shared" si="0"/>
        <v>4061/4062</v>
      </c>
      <c r="L30" s="21" t="str">
        <f>VLOOKUP(A30,'Trips&amp;Operators'!$C$1:$G$99999,5,FALSE)</f>
        <v>MACDONALD THOMAS</v>
      </c>
      <c r="M30" s="6">
        <f t="shared" si="1"/>
        <v>2.4953703708888497E-2</v>
      </c>
      <c r="N30" s="7">
        <f t="shared" si="2"/>
        <v>35.933333340799436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-16T05:23:08-0600',mode:absolute,to:'2017-07-16T08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23.301100000000002</v>
      </c>
      <c r="Z30" s="197">
        <f t="shared" si="8"/>
        <v>1.5599999999999999E-2</v>
      </c>
      <c r="AA30" s="197">
        <f t="shared" si="9"/>
        <v>23.285500000000003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30" s="74" t="str">
        <f t="shared" si="12"/>
        <v>"C:\Program Files (x86)\AstroGrep\AstroGrep.exe" /e /r /s /spath="%USERPROFILE%\AppData\Local\Temp\OnboardLogs" /stypes="app*4061*20170716*"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118-16 --locoid 4061 --swversion DE.1.0.9.0 --startMP 204:233011 --initTime 2017-07-16T06:23:08 --startdatetime 2017-07-16T06:42:58 --delay 0 --endMP 204:156 --enddatetime 2017-07-16T07:18:54 --enforcementcount 0 &gt;&gt;C:\Users\stu\Documents\GitHub\eaglep3-reporting\EC\2017-07-16-refined-times.txt</v>
      </c>
      <c r="AI3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{"issue":{"subject":"","project_id":79,"tracker_id":40,"status_id":1,"priority_id":2,"assigned_to_id":23,"start_date":"2017-07-16","description":"","custom_fields":[{"id":1,"name":"Subdivision","value":"EC"},{"id":4,"name":"Milepost","value":"0.0156"},{"id":17,"name":"Train ID","value":"118-16"},{"id":16,"name":"Locomotive ID","value":"4061"},{"id":130,"name":"Impact","value":""},{"id":150,"name":"Time of Event (Mountain Time)","value":"07:18:54"},{"id":151,"name":"Denver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4061 --day 2017-07-16</v>
      </c>
      <c r="AN3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667</v>
      </c>
      <c r="B31" s="7">
        <v>4006</v>
      </c>
      <c r="C31" s="21" t="s">
        <v>199</v>
      </c>
      <c r="D31" s="21" t="s">
        <v>350</v>
      </c>
      <c r="E31" s="13">
        <v>42932.244988425926</v>
      </c>
      <c r="F31" s="13">
        <v>42932.250520833331</v>
      </c>
      <c r="G31" s="7">
        <v>1</v>
      </c>
      <c r="H31" s="21" t="s">
        <v>572</v>
      </c>
      <c r="I31" s="13">
        <v>42932.275625000002</v>
      </c>
      <c r="J31" s="7">
        <v>0</v>
      </c>
      <c r="K31" s="89" t="str">
        <f t="shared" si="0"/>
        <v>4005/4006</v>
      </c>
      <c r="L31" s="21" t="str">
        <f>VLOOKUP(A31,'Trips&amp;Operators'!$C$1:$G$99999,5,FALSE)</f>
        <v>ROBINSON KADDIBA</v>
      </c>
      <c r="M31" s="6">
        <f t="shared" si="1"/>
        <v>2.510416667064419E-2</v>
      </c>
      <c r="N31" s="7">
        <f t="shared" si="2"/>
        <v>36.150000005727634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-16T04:52:47-0600',mode:absolute,to:'2017-07-16T07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4.4699999999999997E-2</v>
      </c>
      <c r="Z31" s="197">
        <f t="shared" si="8"/>
        <v>23.3324</v>
      </c>
      <c r="AA31" s="197">
        <f t="shared" si="9"/>
        <v>23.287700000000001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31" s="74" t="str">
        <f t="shared" si="12"/>
        <v>"C:\Program Files (x86)\AstroGrep\AstroGrep.exe" /e /r /s /spath="%USERPROFILE%\AppData\Local\Temp\OnboardLogs" /stypes="app*4006*20170716*"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119-16 --locoid 4006 --swversion DE.1.0.9.0 --startMP 204:447 --initTime 2017-07-16T05:52:47 --startdatetime 2017-07-16T06:00:45 --delay 1 --endMP 204:233324 --enddatetime 2017-07-16T06:36:54 --enforcementcount 0 &gt;&gt;C:\Users\stu\Documents\GitHub\eaglep3-reporting\EC\2017-07-16-refined-times.txt</v>
      </c>
      <c r="AI3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{"issue":{"subject":"","project_id":79,"tracker_id":40,"status_id":1,"priority_id":2,"assigned_to_id":23,"start_date":"2017-07-16","description":"","custom_fields":[{"id":1,"name":"Subdivision","value":"EC"},{"id":4,"name":"Milepost","value":"23.3324"},{"id":17,"name":"Train ID","value":"119-16"},{"id":16,"name":"Locomotive ID","value":"4006"},{"id":130,"name":"Impact","value":""},{"id":150,"name":"Time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4006 --day 2017-07-16</v>
      </c>
      <c r="AN3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676</v>
      </c>
      <c r="B32" s="7">
        <v>4005</v>
      </c>
      <c r="C32" s="21" t="s">
        <v>199</v>
      </c>
      <c r="D32" s="21" t="s">
        <v>850</v>
      </c>
      <c r="E32" s="13">
        <v>42932.277291666665</v>
      </c>
      <c r="F32" s="13">
        <v>42932.289733796293</v>
      </c>
      <c r="G32" s="7">
        <v>16</v>
      </c>
      <c r="H32" s="21" t="s">
        <v>393</v>
      </c>
      <c r="I32" s="13">
        <v>42932.315995370373</v>
      </c>
      <c r="J32" s="7">
        <v>0</v>
      </c>
      <c r="K32" s="89" t="str">
        <f t="shared" si="0"/>
        <v>4005/4006</v>
      </c>
      <c r="L32" s="21" t="str">
        <f>VLOOKUP(A32,'Trips&amp;Operators'!$C$1:$G$99999,5,FALSE)</f>
        <v>ROBINSON KADDIBA</v>
      </c>
      <c r="M32" s="6">
        <f t="shared" si="1"/>
        <v>2.6261574079398997E-2</v>
      </c>
      <c r="N32" s="7">
        <f t="shared" si="2"/>
        <v>37.816666674334556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-16T05:39:18-0600',mode:absolute,to:'2017-07-16T08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23.302099999999999</v>
      </c>
      <c r="Z32" s="197">
        <f t="shared" si="8"/>
        <v>1.5599999999999999E-2</v>
      </c>
      <c r="AA32" s="197">
        <f t="shared" si="9"/>
        <v>23.2865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32" s="74" t="str">
        <f t="shared" si="12"/>
        <v>"C:\Program Files (x86)\AstroGrep\AstroGrep.exe" /e /r /s /spath="%USERPROFILE%\AppData\Local\Temp\OnboardLogs" /stypes="app*4005*20170716*"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120-16 --locoid 4005 --swversion DE.1.0.9.0 --startMP 204:233021 --initTime 2017-07-16T06:39:18 --startdatetime 2017-07-16T06:57:13 --delay 16 --endMP 204:156 --enddatetime 2017-07-16T07:35:02 --enforcementcount 0 &gt;&gt;C:\Users\stu\Documents\GitHub\eaglep3-reporting\EC\2017-07-16-refined-times.txt</v>
      </c>
      <c r="AI3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{"issue":{"subject":"","project_id":79,"tracker_id":40,"status_id":1,"priority_id":2,"assigned_to_id":23,"start_date":"2017-07-16","description":"","custom_fields":[{"id":1,"name":"Subdivision","value":"EC"},{"id":4,"name":"Milepost","value":"0.0156"},{"id":17,"name":"Train ID","value":"120-16"},{"id":16,"name":"Locomotive ID","value":"4005"},{"id":130,"name":"Impact","value":""},{"id":150,"name":"Time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4005 --day 2017-07-16</v>
      </c>
      <c r="AN3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671</v>
      </c>
      <c r="B33" s="7">
        <v>4012</v>
      </c>
      <c r="C33" s="21" t="s">
        <v>199</v>
      </c>
      <c r="D33" s="21" t="s">
        <v>429</v>
      </c>
      <c r="E33" s="13">
        <v>42932.256030092591</v>
      </c>
      <c r="F33" s="13">
        <v>42932.260949074072</v>
      </c>
      <c r="G33" s="7">
        <v>1</v>
      </c>
      <c r="H33" s="21" t="s">
        <v>851</v>
      </c>
      <c r="I33" s="13">
        <v>42932.285844907405</v>
      </c>
      <c r="J33" s="7">
        <v>0</v>
      </c>
      <c r="K33" s="89" t="str">
        <f t="shared" si="0"/>
        <v>4011/4012</v>
      </c>
      <c r="L33" s="21" t="str">
        <f>VLOOKUP(A33,'Trips&amp;Operators'!$C$1:$G$99999,5,FALSE)</f>
        <v>MOSES BRADLEY</v>
      </c>
      <c r="M33" s="6">
        <f t="shared" si="1"/>
        <v>2.4895833332266193E-2</v>
      </c>
      <c r="N33" s="7">
        <f t="shared" si="2"/>
        <v>35.849999998463318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-16T05:08:41-0600',mode:absolute,to:'2017-07-16T07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4.7100000000000003E-2</v>
      </c>
      <c r="Z33" s="197">
        <f t="shared" si="8"/>
        <v>23.337599999999998</v>
      </c>
      <c r="AA33" s="197">
        <f t="shared" si="9"/>
        <v>23.290499999999998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33" s="74" t="str">
        <f t="shared" si="12"/>
        <v>"C:\Program Files (x86)\AstroGrep\AstroGrep.exe" /e /r /s /spath="%USERPROFILE%\AppData\Local\Temp\OnboardLogs" /stypes="app*4012*20170716*"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121-16 --locoid 4012 --swversion DE.1.0.9.0 --startMP 204:471 --initTime 2017-07-16T06:08:41 --startdatetime 2017-07-16T06:15:46 --delay 1 --endMP 204:233376 --enddatetime 2017-07-16T06:51:37 --enforcementcount 0 &gt;&gt;C:\Users\stu\Documents\GitHub\eaglep3-reporting\EC\2017-07-16-refined-times.txt</v>
      </c>
      <c r="AI3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{"issue":{"subject":"","project_id":79,"tracker_id":40,"status_id":1,"priority_id":2,"assigned_to_id":23,"start_date":"2017-07-16","description":"","custom_fields":[{"id":1,"name":"Subdivision","value":"EC"},{"id":4,"name":"Milepost","value":"23.3376"},{"id":17,"name":"Train ID","value":"121-16"},{"id":16,"name":"Locomotive ID","value":"4012"},{"id":130,"name":"Impact","value":""},{"id":150,"name":"Time of Event (Mountain Time)","value":"06:51:37"},{"id":151,"name":"Denver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4012 --day 2017-07-16</v>
      </c>
      <c r="AN3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679</v>
      </c>
      <c r="B34" s="7">
        <v>4011</v>
      </c>
      <c r="C34" s="21" t="s">
        <v>199</v>
      </c>
      <c r="D34" s="21" t="s">
        <v>852</v>
      </c>
      <c r="E34" s="13">
        <v>42932.296458333331</v>
      </c>
      <c r="F34" s="13">
        <v>42932.300208333334</v>
      </c>
      <c r="G34" s="7">
        <v>1</v>
      </c>
      <c r="H34" s="21" t="s">
        <v>422</v>
      </c>
      <c r="I34" s="13">
        <v>42932.326840277776</v>
      </c>
      <c r="J34" s="7">
        <v>0</v>
      </c>
      <c r="K34" s="89" t="str">
        <f t="shared" si="0"/>
        <v>4011/4012</v>
      </c>
      <c r="L34" s="21" t="str">
        <f>VLOOKUP(A34,'Trips&amp;Operators'!$C$1:$G$99999,5,FALSE)</f>
        <v>MOSES BRADLEY</v>
      </c>
      <c r="M34" s="6">
        <f t="shared" si="1"/>
        <v>2.6631944441760425E-2</v>
      </c>
      <c r="N34" s="7">
        <f t="shared" si="2"/>
        <v>38.349999996135011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-16T06:06:54-0600',mode:absolute,to:'2017-07-16T08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23.3047</v>
      </c>
      <c r="Z34" s="197">
        <f t="shared" si="8"/>
        <v>1.3599999999999999E-2</v>
      </c>
      <c r="AA34" s="197">
        <f t="shared" si="9"/>
        <v>23.2911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34" s="74" t="str">
        <f t="shared" si="12"/>
        <v>"C:\Program Files (x86)\AstroGrep\AstroGrep.exe" /e /r /s /spath="%USERPROFILE%\AppData\Local\Temp\OnboardLogs" /stypes="app*4011*20170716*"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122-16 --locoid 4011 --swversion DE.1.0.9.0 --startMP 204:233047 --initTime 2017-07-16T07:06:54 --startdatetime 2017-07-16T07:12:18 --delay 1 --endMP 204:136 --enddatetime 2017-07-16T07:50:39 --enforcementcount 0 &gt;&gt;C:\Users\stu\Documents\GitHub\eaglep3-reporting\EC\2017-07-16-refined-times.txt</v>
      </c>
      <c r="AI3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ID","value":"122-16"},{"id":16,"name":"Locomotive ID","value":"4011"},{"id":130,"name":"Impact","value":""},{"id":150,"name":"Time of Event (Mountain Time)","value":"07:50:39"},{"id":151,"name":"Denver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4011 --day 2017-07-16</v>
      </c>
      <c r="AN3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672</v>
      </c>
      <c r="B35" s="7">
        <v>4050</v>
      </c>
      <c r="C35" s="21" t="s">
        <v>199</v>
      </c>
      <c r="D35" s="21" t="s">
        <v>405</v>
      </c>
      <c r="E35" s="13">
        <v>42932.265844907408</v>
      </c>
      <c r="F35" s="13">
        <v>42932.271365740744</v>
      </c>
      <c r="G35" s="7">
        <v>1</v>
      </c>
      <c r="H35" s="21" t="s">
        <v>576</v>
      </c>
      <c r="I35" s="13">
        <v>42932.295254629629</v>
      </c>
      <c r="J35" s="7">
        <v>0</v>
      </c>
      <c r="K35" s="89" t="str">
        <f t="shared" si="0"/>
        <v>4049/4050</v>
      </c>
      <c r="L35" s="21" t="str">
        <f>VLOOKUP(A35,'Trips&amp;Operators'!$C$1:$G$99999,5,FALSE)</f>
        <v>GEBRETEKLE DAGNEW</v>
      </c>
      <c r="M35" s="6">
        <f t="shared" si="1"/>
        <v>2.3888888885267079E-2</v>
      </c>
      <c r="N35" s="7">
        <f t="shared" si="2"/>
        <v>34.399999994784594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-16T05:22:49-0600',mode:absolute,to:'2017-07-16T08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23.333200000000001</v>
      </c>
      <c r="AA35" s="197">
        <f t="shared" si="9"/>
        <v>23.287700000000001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35" s="74" t="str">
        <f t="shared" si="12"/>
        <v>"C:\Program Files (x86)\AstroGrep\AstroGrep.exe" /e /r /s /spath="%USERPROFILE%\AppData\Local\Temp\OnboardLogs" /stypes="app*4050*20170716*"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123-16 --locoid 4050 --swversion DE.1.0.9.0 --startMP 204:455 --initTime 2017-07-16T06:22:49 --startdatetime 2017-07-16T06:30:46 --delay 1 --endMP 204:233332 --enddatetime 2017-07-16T07:05:10 --enforcementcount 0 &gt;&gt;C:\Users\stu\Documents\GitHub\eaglep3-reporting\EC\2017-07-16-refined-times.txt</v>
      </c>
      <c r="AI3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{"issue":{"subject":"","project_id":79,"tracker_id":40,"status_id":1,"priority_id":2,"assigned_to_id":23,"start_date":"2017-07-16","description":"","custom_fields":[{"id":1,"name":"Subdivision","value":"EC"},{"id":4,"name":"Milepost","value":"23.3332"},{"id":17,"name":"Train ID","value":"123-16"},{"id":16,"name":"Locomotive ID","value":"4050"},{"id":130,"name":"Impact","value":""},{"id":150,"name":"Time of Event (Mountain Time)","value":"07:05:10"},{"id":151,"name":"Denver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4050 --day 2017-07-16</v>
      </c>
      <c r="AN3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680</v>
      </c>
      <c r="B36" s="7">
        <v>4049</v>
      </c>
      <c r="C36" s="21" t="s">
        <v>199</v>
      </c>
      <c r="D36" s="21" t="s">
        <v>542</v>
      </c>
      <c r="E36" s="13">
        <v>42932.296574074076</v>
      </c>
      <c r="F36" s="13">
        <v>42932.310590277775</v>
      </c>
      <c r="G36" s="7">
        <v>1</v>
      </c>
      <c r="H36" s="21" t="s">
        <v>393</v>
      </c>
      <c r="I36" s="13">
        <v>42932.336296296293</v>
      </c>
      <c r="J36" s="7">
        <v>0</v>
      </c>
      <c r="K36" s="89" t="str">
        <f t="shared" si="0"/>
        <v>4049/4050</v>
      </c>
      <c r="L36" s="21" t="str">
        <f>VLOOKUP(A36,'Trips&amp;Operators'!$C$1:$G$99999,5,FALSE)</f>
        <v>GEBRETEKLE DAGNEW</v>
      </c>
      <c r="M36" s="6">
        <f t="shared" si="1"/>
        <v>2.5706018517666962E-2</v>
      </c>
      <c r="N36" s="7">
        <f t="shared" si="2"/>
        <v>37.016666665440425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-16T06:07:04-0600',mode:absolute,to:'2017-07-16T09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23.301300000000001</v>
      </c>
      <c r="Z36" s="197">
        <f t="shared" si="8"/>
        <v>1.5599999999999999E-2</v>
      </c>
      <c r="AA36" s="197">
        <f t="shared" si="9"/>
        <v>23.285700000000002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36" s="74" t="str">
        <f t="shared" si="12"/>
        <v>"C:\Program Files (x86)\AstroGrep\AstroGrep.exe" /e /r /s /spath="%USERPROFILE%\AppData\Local\Temp\OnboardLogs" /stypes="app*4049*20170716*"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124-16 --locoid 4049 --swversion DE.1.0.9.0 --startMP 204:233013 --initTime 2017-07-16T07:07:04 --startdatetime 2017-07-16T07:27:15 --delay 1 --endMP 204:156 --enddatetime 2017-07-16T08:04:16 --enforcementcount 0 &gt;&gt;C:\Users\stu\Documents\GitHub\eaglep3-reporting\EC\2017-07-16-refined-times.txt</v>
      </c>
      <c r="AI3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{"issue":{"subject":"","project_id":79,"tracker_id":40,"status_id":1,"priority_id":2,"assigned_to_id":23,"start_date":"2017-07-16","description":"","custom_fields":[{"id":1,"name":"Subdivision","value":"EC"},{"id":4,"name":"Milepost","value":"0.0156"},{"id":17,"name":"Train ID","value":"124-16"},{"id":16,"name":"Locomotive ID","value":"4049"},{"id":130,"name":"Impact","value":""},{"id":150,"name":"Time of Event (Mountain Time)","value":"08:04:16"},{"id":151,"name":"Denver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4049 --day 2017-07-16</v>
      </c>
      <c r="AN3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675</v>
      </c>
      <c r="B37" s="7">
        <v>4002</v>
      </c>
      <c r="C37" s="21" t="s">
        <v>199</v>
      </c>
      <c r="D37" s="21" t="s">
        <v>853</v>
      </c>
      <c r="E37" s="13">
        <v>42932.275902777779</v>
      </c>
      <c r="F37" s="13">
        <v>42932.281805555554</v>
      </c>
      <c r="G37" s="7">
        <v>1</v>
      </c>
      <c r="H37" s="21" t="s">
        <v>854</v>
      </c>
      <c r="I37" s="13">
        <v>42932.30641203704</v>
      </c>
      <c r="J37" s="7">
        <v>0</v>
      </c>
      <c r="K37" s="89" t="str">
        <f t="shared" si="0"/>
        <v>4001/4002</v>
      </c>
      <c r="L37" s="21" t="str">
        <f>VLOOKUP(A37,'Trips&amp;Operators'!$C$1:$G$99999,5,FALSE)</f>
        <v>MAELZER KURT</v>
      </c>
      <c r="M37" s="6">
        <f t="shared" si="1"/>
        <v>2.4606481485534459E-2</v>
      </c>
      <c r="N37" s="7">
        <f t="shared" si="2"/>
        <v>35.433333339169621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-16T05:37:18-0600',mode:absolute,to:'2017-07-16T08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4.4900000000000002E-2</v>
      </c>
      <c r="Z37" s="197">
        <f t="shared" si="8"/>
        <v>23.3325</v>
      </c>
      <c r="AA37" s="197">
        <f t="shared" si="9"/>
        <v>23.287600000000001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37" s="74" t="str">
        <f t="shared" si="12"/>
        <v>"C:\Program Files (x86)\AstroGrep\AstroGrep.exe" /e /r /s /spath="%USERPROFILE%\AppData\Local\Temp\OnboardLogs" /stypes="app*4002*20170716*"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125-16 --locoid 4002 --swversion DE.1.0.9.0 --startMP 204:449 --initTime 2017-07-16T06:37:18 --startdatetime 2017-07-16T06:45:48 --delay 1 --endMP 204:233325 --enddatetime 2017-07-16T07:21:14 --enforcementcount 0 &gt;&gt;C:\Users\stu\Documents\GitHub\eaglep3-reporting\EC\2017-07-16-refined-times.txt</v>
      </c>
      <c r="AI3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{"issue":{"subject":"","project_id":79,"tracker_id":40,"status_id":1,"priority_id":2,"assigned_to_id":23,"start_date":"2017-07-16","description":"","custom_fields":[{"id":1,"name":"Subdivision","value":"EC"},{"id":4,"name":"Milepost","value":"23.3325"},{"id":17,"name":"Train ID","value":"125-16"},{"id":16,"name":"Locomotive ID","value":"4002"},{"id":130,"name":"Impact","value":""},{"id":150,"name":"Time of Event (Mountain Time)","value":"07:21:14"},{"id":151,"name":"Denver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4002 --day 2017-07-16</v>
      </c>
      <c r="AN3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683</v>
      </c>
      <c r="B38" s="7">
        <v>4001</v>
      </c>
      <c r="C38" s="21" t="s">
        <v>199</v>
      </c>
      <c r="D38" s="21" t="s">
        <v>855</v>
      </c>
      <c r="E38" s="13">
        <v>42932.311099537037</v>
      </c>
      <c r="F38" s="13">
        <v>42932.32104166667</v>
      </c>
      <c r="G38" s="7">
        <v>1</v>
      </c>
      <c r="H38" s="21" t="s">
        <v>343</v>
      </c>
      <c r="I38" s="13">
        <v>42932.347372685188</v>
      </c>
      <c r="J38" s="7">
        <v>0</v>
      </c>
      <c r="K38" s="89" t="str">
        <f t="shared" si="0"/>
        <v>4001/4002</v>
      </c>
      <c r="L38" s="21" t="str">
        <f>VLOOKUP(A38,'Trips&amp;Operators'!$C$1:$G$99999,5,FALSE)</f>
        <v>MAELZER KURT</v>
      </c>
      <c r="M38" s="6">
        <f t="shared" si="1"/>
        <v>2.6331018518249039E-2</v>
      </c>
      <c r="N38" s="7">
        <f t="shared" si="2"/>
        <v>37.916666666278616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-16T06:27:59-0600',mode:absolute,to:'2017-07-16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23.3004</v>
      </c>
      <c r="Z38" s="197">
        <f t="shared" si="8"/>
        <v>1.4999999999999999E-2</v>
      </c>
      <c r="AA38" s="197">
        <f t="shared" si="9"/>
        <v>23.285399999999999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38" s="74" t="str">
        <f t="shared" si="12"/>
        <v>"C:\Program Files (x86)\AstroGrep\AstroGrep.exe" /e /r /s /spath="%USERPROFILE%\AppData\Local\Temp\OnboardLogs" /stypes="app*4001*20170716*"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126-16 --locoid 4001 --swversion DE.1.0.9.0 --startMP 204:233004 --initTime 2017-07-16T07:27:59 --startdatetime 2017-07-16T07:42:18 --delay 1 --endMP 204:150 --enddatetime 2017-07-16T08:20:13 --enforcementcount 0 &gt;&gt;C:\Users\stu\Documents\GitHub\eaglep3-reporting\EC\2017-07-16-refined-times.txt</v>
      </c>
      <c r="AI38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{"issue":{"subject":"","project_id":79,"tracker_id":40,"status_id":1,"priority_id":2,"assigned_to_id":23,"start_date":"2017-07-16","description":"","custom_fields":[{"id":1,"name":"Subdivision","value":"EC"},{"id":4,"name":"Milepost","value":"0.015"},{"id":17,"name":"Train ID","value":"126-16"},{"id":16,"name":"Locomotive ID","value":"4001"},{"id":130,"name":"Impact","value":""},{"id":150,"name":"Time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4001 --day 2017-07-16</v>
      </c>
      <c r="AN38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677</v>
      </c>
      <c r="B39" s="7">
        <v>4008</v>
      </c>
      <c r="C39" s="21" t="s">
        <v>199</v>
      </c>
      <c r="D39" s="21" t="s">
        <v>346</v>
      </c>
      <c r="E39" s="13">
        <v>42932.286990740744</v>
      </c>
      <c r="F39" s="13">
        <v>42932.292245370372</v>
      </c>
      <c r="G39" s="7">
        <v>1</v>
      </c>
      <c r="H39" s="21" t="s">
        <v>856</v>
      </c>
      <c r="I39" s="13">
        <v>42932.316608796296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GUZMAN DANNY</v>
      </c>
      <c r="M39" s="6">
        <f t="shared" si="1"/>
        <v>2.4363425924093463E-2</v>
      </c>
      <c r="N39" s="7">
        <f t="shared" si="2"/>
        <v>35.083333330694586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-16T05:53:16-0600',mode:absolute,to:'2017-07-16T08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4.6600000000000003E-2</v>
      </c>
      <c r="Z39" s="197">
        <f t="shared" si="8"/>
        <v>23.330400000000001</v>
      </c>
      <c r="AA39" s="197">
        <f t="shared" si="9"/>
        <v>23.283799999999999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39" s="74" t="str">
        <f t="shared" si="12"/>
        <v>"C:\Program Files (x86)\AstroGrep\AstroGrep.exe" /e /r /s /spath="%USERPROFILE%\AppData\Local\Temp\OnboardLogs" /stypes="app*4008*20170716*"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127-16 --locoid 4008 --swversion DE.1.0.9.0 --startMP 204:466 --initTime 2017-07-16T06:53:16 --startdatetime 2017-07-16T07:00:50 --delay 1 --endMP 204:233304 --enddatetime 2017-07-16T07:35:55 --enforcementcount 0 &gt;&gt;C:\Users\stu\Documents\GitHub\eaglep3-reporting\EC\2017-07-16-refined-times.txt</v>
      </c>
      <c r="AI3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{"issue":{"subject":"","project_id":79,"tracker_id":40,"status_id":1,"priority_id":2,"assigned_to_id":23,"start_date":"2017-07-16","description":"","custom_fields":[{"id":1,"name":"Subdivision","value":"EC"},{"id":4,"name":"Milepost","value":"23.3304"},{"id":17,"name":"Train ID","value":"127-16"},{"id":16,"name":"Locomotive ID","value":"4008"},{"id":130,"name":"Impact","value":""},{"id":150,"name":"Time of Event (Mountain Time)","value":"07:35:55"},{"id":151,"name":"Denver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4008 --day 2017-07-16</v>
      </c>
      <c r="AN3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686</v>
      </c>
      <c r="B40" s="7">
        <v>4007</v>
      </c>
      <c r="C40" s="21" t="s">
        <v>199</v>
      </c>
      <c r="D40" s="21" t="s">
        <v>538</v>
      </c>
      <c r="E40" s="13">
        <v>42932.318344907406</v>
      </c>
      <c r="F40" s="13">
        <v>42932.331423611111</v>
      </c>
      <c r="G40" s="7">
        <v>1</v>
      </c>
      <c r="H40" s="21" t="s">
        <v>421</v>
      </c>
      <c r="I40" s="13">
        <v>42932.358460648145</v>
      </c>
      <c r="J40" s="7">
        <v>0</v>
      </c>
      <c r="K40" s="89" t="str">
        <f t="shared" si="0"/>
        <v>4007/4008</v>
      </c>
      <c r="L40" s="21" t="str">
        <f>VLOOKUP(A40,'Trips&amp;Operators'!$C$1:$G$99999,5,FALSE)</f>
        <v>GUZMAN DANNY</v>
      </c>
      <c r="M40" s="6">
        <f t="shared" si="1"/>
        <v>2.7037037034460809E-2</v>
      </c>
      <c r="N40" s="7">
        <f t="shared" si="2"/>
        <v>38.933333329623565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-16T06:38:25-0600',mode:absolute,to:'2017-07-16T09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</v>
      </c>
      <c r="Z40" s="197">
        <f t="shared" si="8"/>
        <v>1.6299999999999999E-2</v>
      </c>
      <c r="AA40" s="197">
        <f t="shared" si="9"/>
        <v>23.2837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40" s="74" t="str">
        <f t="shared" si="12"/>
        <v>"C:\Program Files (x86)\AstroGrep\AstroGrep.exe" /e /r /s /spath="%USERPROFILE%\AppData\Local\Temp\OnboardLogs" /stypes="app*4007*20170716*"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128-16 --locoid 4007 --swversion DE.1.0.9.0 --startMP 204:233000 --initTime 2017-07-16T07:38:25 --startdatetime 2017-07-16T07:57:15 --delay 1 --endMP 204:163 --enddatetime 2017-07-16T08:36:11 --enforcementcount 0 &gt;&gt;C:\Users\stu\Documents\GitHub\eaglep3-reporting\EC\2017-07-16-refined-times.txt</v>
      </c>
      <c r="AI4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{"issue":{"subject":"","project_id":79,"tracker_id":40,"status_id":1,"priority_id":2,"assigned_to_id":23,"start_date":"2017-07-16","description":"","custom_fields":[{"id":1,"name":"Subdivision","value":"EC"},{"id":4,"name":"Milepost","value":"0.0163"},{"id":17,"name":"Train ID","value":"128-16"},{"id":16,"name":"Locomotive ID","value":"4007"},{"id":130,"name":"Impact","value":""},{"id":150,"name":"Time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4007 --day 2017-07-16</v>
      </c>
      <c r="AN4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681</v>
      </c>
      <c r="B41" s="7">
        <v>4064</v>
      </c>
      <c r="C41" s="21" t="s">
        <v>199</v>
      </c>
      <c r="D41" s="21" t="s">
        <v>845</v>
      </c>
      <c r="E41" s="13">
        <v>42932.299398148149</v>
      </c>
      <c r="F41" s="13">
        <v>42932.30263888889</v>
      </c>
      <c r="G41" s="7">
        <v>1</v>
      </c>
      <c r="H41" s="21" t="s">
        <v>584</v>
      </c>
      <c r="I41" s="13">
        <v>42932.326793981483</v>
      </c>
      <c r="J41" s="7">
        <v>0</v>
      </c>
      <c r="K41" s="89" t="str">
        <f t="shared" si="0"/>
        <v>4063/4064</v>
      </c>
      <c r="L41" s="21" t="str">
        <f>VLOOKUP(A41,'Trips&amp;Operators'!$C$1:$G$99999,5,FALSE)</f>
        <v>NEWELL JAMES</v>
      </c>
      <c r="M41" s="6">
        <f t="shared" si="1"/>
        <v>2.4155092592991423E-2</v>
      </c>
      <c r="N41" s="7">
        <f t="shared" si="2"/>
        <v>34.783333333907649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-16T06:11:08-0600',mode:absolute,to:'2017-07-16T08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4.2599999999999999E-2</v>
      </c>
      <c r="Z41" s="197">
        <f t="shared" si="8"/>
        <v>23.331499999999998</v>
      </c>
      <c r="AA41" s="197">
        <f t="shared" si="9"/>
        <v>23.288899999999998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41" s="74" t="str">
        <f t="shared" si="12"/>
        <v>"C:\Program Files (x86)\AstroGrep\AstroGrep.exe" /e /r /s /spath="%USERPROFILE%\AppData\Local\Temp\OnboardLogs" /stypes="app*4064*20170716*"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129-16 --locoid 4064 --swversion DE.1.0.9.0 --startMP 204:426 --initTime 2017-07-16T07:11:08 --startdatetime 2017-07-16T07:15:48 --delay 1 --endMP 204:233315 --enddatetime 2017-07-16T07:50:35 --enforcementcount 0 &gt;&gt;C:\Users\stu\Documents\GitHub\eaglep3-reporting\EC\2017-07-16-refined-times.txt</v>
      </c>
      <c r="AI4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{"issue":{"subject":"","project_id":79,"tracker_id":40,"status_id":1,"priority_id":2,"assigned_to_id":23,"start_date":"2017-07-16","description":"","custom_fields":[{"id":1,"name":"Subdivision","value":"EC"},{"id":4,"name":"Milepost","value":"23.3315"},{"id":17,"name":"Train ID","value":"129-16"},{"id":16,"name":"Locomotive ID","value":"4064"},{"id":130,"name":"Impact","value":""},{"id":150,"name":"Time of Event (Mountain Time)","value":"07:50:35"},{"id":151,"name":"Denver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4064 --day 2017-07-16</v>
      </c>
      <c r="AN4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687</v>
      </c>
      <c r="B42" s="7">
        <v>4063</v>
      </c>
      <c r="C42" s="21" t="s">
        <v>199</v>
      </c>
      <c r="D42" s="21" t="s">
        <v>574</v>
      </c>
      <c r="E42" s="13">
        <v>42932.328576388885</v>
      </c>
      <c r="F42" s="13">
        <v>42932.341828703706</v>
      </c>
      <c r="G42" s="7">
        <v>1</v>
      </c>
      <c r="H42" s="21" t="s">
        <v>351</v>
      </c>
      <c r="I42" s="13">
        <v>42932.367395833331</v>
      </c>
      <c r="J42" s="7">
        <v>0</v>
      </c>
      <c r="K42" s="89" t="str">
        <f t="shared" si="0"/>
        <v>4063/4064</v>
      </c>
      <c r="L42" s="21" t="str">
        <f>VLOOKUP(A42,'Trips&amp;Operators'!$C$1:$G$99999,5,FALSE)</f>
        <v>NEWELL JAMES</v>
      </c>
      <c r="M42" s="6">
        <f t="shared" si="1"/>
        <v>2.5567129625414964E-2</v>
      </c>
      <c r="N42" s="7">
        <f t="shared" si="2"/>
        <v>36.816666660597548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-16T06:53:09-0600',mode:absolute,to:'2017-07-16T09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23.299099999999999</v>
      </c>
      <c r="Z42" s="197">
        <f t="shared" si="8"/>
        <v>1.3899999999999999E-2</v>
      </c>
      <c r="AA42" s="197">
        <f t="shared" si="9"/>
        <v>23.2852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42" s="74" t="str">
        <f t="shared" si="12"/>
        <v>"C:\Program Files (x86)\AstroGrep\AstroGrep.exe" /e /r /s /spath="%USERPROFILE%\AppData\Local\Temp\OnboardLogs" /stypes="app*4063*20170716*"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130-16 --locoid 4063 --swversion DE.1.0.9.0 --startMP 204:232991 --initTime 2017-07-16T07:53:09 --startdatetime 2017-07-16T08:12:14 --delay 1 --endMP 204:139 --enddatetime 2017-07-16T08:49:03 --enforcementcount 0 &gt;&gt;C:\Users\stu\Documents\GitHub\eaglep3-reporting\EC\2017-07-16-refined-times.txt</v>
      </c>
      <c r="AI4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{"issue":{"subject":"","project_id":79,"tracker_id":40,"status_id":1,"priority_id":2,"assigned_to_id":23,"start_date":"2017-07-16","description":"","custom_fields":[{"id":1,"name":"Subdivision","value":"EC"},{"id":4,"name":"Milepost","value":"0.0139"},{"id":17,"name":"Train ID","value":"130-16"},{"id":16,"name":"Locomotive ID","value":"4063"},{"id":130,"name":"Impact","value":""},{"id":150,"name":"Time of Event (Mountain Time)","value":"08:49:03"},{"id":151,"name":"Denver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4063 --day 2017-07-16</v>
      </c>
      <c r="AN4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682</v>
      </c>
      <c r="B43" s="7">
        <v>4062</v>
      </c>
      <c r="C43" s="21" t="s">
        <v>199</v>
      </c>
      <c r="D43" s="21" t="s">
        <v>405</v>
      </c>
      <c r="E43" s="13">
        <v>42932.307245370372</v>
      </c>
      <c r="F43" s="13">
        <v>42932.313136574077</v>
      </c>
      <c r="G43" s="7">
        <v>1</v>
      </c>
      <c r="H43" s="21" t="s">
        <v>857</v>
      </c>
      <c r="I43" s="13">
        <v>42932.336886574078</v>
      </c>
      <c r="J43" s="7">
        <v>0</v>
      </c>
      <c r="K43" s="89" t="str">
        <f t="shared" si="0"/>
        <v>4061/4062</v>
      </c>
      <c r="L43" s="21" t="str">
        <f>VLOOKUP(A43,'Trips&amp;Operators'!$C$1:$G$99999,5,FALSE)</f>
        <v>MACDONALD THOMAS</v>
      </c>
      <c r="M43" s="6">
        <f t="shared" si="1"/>
        <v>2.3750000000291038E-2</v>
      </c>
      <c r="N43" s="7">
        <f t="shared" si="2"/>
        <v>34.200000000419095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-16T06:22:26-0600',mode:absolute,to:'2017-07-16T09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4.5499999999999999E-2</v>
      </c>
      <c r="Z43" s="197">
        <f t="shared" si="8"/>
        <v>23.325700000000001</v>
      </c>
      <c r="AA43" s="197">
        <f t="shared" si="9"/>
        <v>23.280200000000001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s3://rtdc.mdm.uploadarchive.raw/RTDC4062/ "%USERPROFILE%\AppData\Local\Temp\OnboardLogs"\RTDC4062\2017-07-16 --exclude "*" --recursive --include "*20170716*" &amp; "%USERPROFILE%\Documents\GitHub\mrs-test-scripts\Headless Mode &amp; Sideloading\WalkAndUnGZ.bat" "%USERPROFILE%\AppData\Local\Temp\OnboardLogs"\RTDC4062\2017-07-16 &amp; aws s3 cp s3://rtdc.mdm.uploadarchive.raw/RTDC4062/ "%USERPROFILE%\AppData\Local\Temp\OnboardLogs"\RTDC4062\2017-07-17 --exclude "*" --recursive --include "*20170717*" &amp; "%USERPROFILE%\Documents\GitHub\mrs-test-scripts\Headless Mode &amp; Sideloading\WalkAndUnGZ.bat" "%USERPROFILE%\AppData\Local\Temp\OnboardLogs"\RTDC4062\2017-07-17</v>
      </c>
      <c r="AF43" s="74" t="str">
        <f t="shared" si="12"/>
        <v>"C:\Program Files (x86)\AstroGrep\AstroGrep.exe" /e /r /s /spath="%USERPROFILE%\AppData\Local\Temp\OnboardLogs" /stypes="app*4062*20170716*"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131-16 --locoid 4062 --swversion DE.1.0.9.0 --startMP 204:455 --initTime 2017-07-16T07:22:26 --startdatetime 2017-07-16T07:30:55 --delay 1 --endMP 204:233257 --enddatetime 2017-07-16T08:05:07 --enforcementcount 0 &gt;&gt;C:\Users\stu\Documents\GitHub\eaglep3-reporting\EC\2017-07-16-refined-times.txt</v>
      </c>
      <c r="AI4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{"issue":{"subject":"","project_id":79,"tracker_id":40,"status_id":1,"priority_id":2,"assigned_to_id":23,"start_date":"2017-07-16","description":"","custom_fields":[{"id":1,"name":"Subdivision","value":"EC"},{"id":4,"name":"Milepost","value":"23.3257"},{"id":17,"name":"Train ID","value":"131-16"},{"id":16,"name":"Locomotive ID","value":"4062"},{"id":130,"name":"Impact","value":""},{"id":150,"name":"Time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4062 --day 2017-07-16</v>
      </c>
      <c r="AN4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691</v>
      </c>
      <c r="B44" s="7">
        <v>4061</v>
      </c>
      <c r="C44" s="21" t="s">
        <v>199</v>
      </c>
      <c r="D44" s="21" t="s">
        <v>858</v>
      </c>
      <c r="E44" s="13">
        <v>42932.347245370373</v>
      </c>
      <c r="F44" s="13">
        <v>42932.352361111109</v>
      </c>
      <c r="G44" s="7">
        <v>2</v>
      </c>
      <c r="H44" s="21" t="s">
        <v>354</v>
      </c>
      <c r="I44" s="13">
        <v>42932.379930555559</v>
      </c>
      <c r="J44" s="7">
        <v>0</v>
      </c>
      <c r="K44" s="89" t="str">
        <f t="shared" si="0"/>
        <v>4061/4062</v>
      </c>
      <c r="L44" s="21" t="str">
        <f>VLOOKUP(A44,'Trips&amp;Operators'!$C$1:$G$99999,5,FALSE)</f>
        <v>MACDONALD THOMAS</v>
      </c>
      <c r="M44" s="6">
        <f t="shared" si="1"/>
        <v>2.7569444449909497E-2</v>
      </c>
      <c r="N44" s="7">
        <f t="shared" si="2"/>
        <v>39.700000007869676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-16T07:20:02-0600',mode:absolute,to:'2017-07-16T10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23.294</v>
      </c>
      <c r="Z44" s="197">
        <f t="shared" si="8"/>
        <v>1.47E-2</v>
      </c>
      <c r="AA44" s="197">
        <f t="shared" si="9"/>
        <v>23.279299999999999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44" s="74" t="str">
        <f t="shared" si="12"/>
        <v>"C:\Program Files (x86)\AstroGrep\AstroGrep.exe" /e /r /s /spath="%USERPROFILE%\AppData\Local\Temp\OnboardLogs" /stypes="app*4061*20170716*"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132-16 --locoid 4061 --swversion DE.1.0.9.0 --startMP 204:232940 --initTime 2017-07-16T08:20:02 --startdatetime 2017-07-16T08:27:24 --delay 2 --endMP 204:147 --enddatetime 2017-07-16T09:07:06 --enforcementcount 0 &gt;&gt;C:\Users\stu\Documents\GitHub\eaglep3-reporting\EC\2017-07-16-refined-times.txt</v>
      </c>
      <c r="AI4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{"issue":{"subject":"","project_id":79,"tracker_id":40,"status_id":1,"priority_id":2,"assigned_to_id":23,"start_date":"2017-07-16","description":"","custom_fields":[{"id":1,"name":"Subdivision","value":"EC"},{"id":4,"name":"Milepost","value":"0.0147"},{"id":17,"name":"Train ID","value":"132-16"},{"id":16,"name":"Locomotive ID","value":"4061"},{"id":130,"name":"Impact","value":""},{"id":150,"name":"Time of Event (Mountain Time)","value":"09:07:06"},{"id":151,"name":"Denver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4061 --day 2017-07-16</v>
      </c>
      <c r="AN4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685</v>
      </c>
      <c r="B45" s="7">
        <v>4006</v>
      </c>
      <c r="C45" s="21" t="s">
        <v>199</v>
      </c>
      <c r="D45" s="21" t="s">
        <v>859</v>
      </c>
      <c r="E45" s="13">
        <v>42932.317777777775</v>
      </c>
      <c r="F45" s="13">
        <v>42932.32340277778</v>
      </c>
      <c r="G45" s="7">
        <v>1</v>
      </c>
      <c r="H45" s="21" t="s">
        <v>417</v>
      </c>
      <c r="I45" s="13">
        <v>42932.347974537035</v>
      </c>
      <c r="J45" s="7">
        <v>0</v>
      </c>
      <c r="K45" s="89" t="str">
        <f t="shared" si="0"/>
        <v>4005/4006</v>
      </c>
      <c r="L45" s="21" t="str">
        <f>VLOOKUP(A45,'Trips&amp;Operators'!$C$1:$G$99999,5,FALSE)</f>
        <v>ROBINSON KADDIBA</v>
      </c>
      <c r="M45" s="6">
        <f t="shared" si="1"/>
        <v>2.4571759255195502E-2</v>
      </c>
      <c r="N45" s="7">
        <f t="shared" si="2"/>
        <v>35.383333327481523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-16T06:37:36-0600',mode:absolute,to:'2017-07-16T09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ref="Y45:Y76" si="23">RIGHT(D45,LEN(D45)-4)/10000</f>
        <v>4.7699999999999999E-2</v>
      </c>
      <c r="Z45" s="197">
        <f t="shared" ref="Z45:Z76" si="24">RIGHT(H45,LEN(H45)-4)/10000</f>
        <v>23.331199999999999</v>
      </c>
      <c r="AA45" s="197">
        <f t="shared" si="9"/>
        <v>23.2835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45" s="74" t="str">
        <f t="shared" si="12"/>
        <v>"C:\Program Files (x86)\AstroGrep\AstroGrep.exe" /e /r /s /spath="%USERPROFILE%\AppData\Local\Temp\OnboardLogs" /stypes="app*4006*20170716*"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133-16 --locoid 4006 --swversion DE.1.0.9.0 --startMP 204:477 --initTime 2017-07-16T07:37:36 --startdatetime 2017-07-16T07:45:42 --delay 1 --endMP 204:233312 --enddatetime 2017-07-16T08:21:05 --enforcementcount 0 &gt;&gt;C:\Users\stu\Documents\GitHub\eaglep3-reporting\EC\2017-07-16-refined-times.txt</v>
      </c>
      <c r="AI4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{"issue":{"subject":"","project_id":79,"tracker_id":40,"status_id":1,"priority_id":2,"assigned_to_id":23,"start_date":"2017-07-16","description":"","custom_fields":[{"id":1,"name":"Subdivision","value":"EC"},{"id":4,"name":"Milepost","value":"23.3312"},{"id":17,"name":"Train ID","value":"133-16"},{"id":16,"name":"Locomotive ID","value":"4006"},{"id":130,"name":"Impact","value":""},{"id":150,"name":"Time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4006 --day 2017-07-16</v>
      </c>
      <c r="AN4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693</v>
      </c>
      <c r="B46" s="7">
        <v>4005</v>
      </c>
      <c r="C46" s="21" t="s">
        <v>199</v>
      </c>
      <c r="D46" s="21" t="s">
        <v>509</v>
      </c>
      <c r="E46" s="13">
        <v>42932.358831018515</v>
      </c>
      <c r="F46" s="13">
        <v>42932.362673611111</v>
      </c>
      <c r="G46" s="7">
        <v>1</v>
      </c>
      <c r="H46" s="21" t="s">
        <v>536</v>
      </c>
      <c r="I46" s="13">
        <v>42932.389178240737</v>
      </c>
      <c r="J46" s="7">
        <v>0</v>
      </c>
      <c r="K46" s="89" t="str">
        <f t="shared" si="0"/>
        <v>4005/4006</v>
      </c>
      <c r="L46" s="21" t="str">
        <f>VLOOKUP(A46,'Trips&amp;Operators'!$C$1:$G$99999,5,FALSE)</f>
        <v>ROBINSON KADDIBA</v>
      </c>
      <c r="M46" s="6">
        <f t="shared" si="1"/>
        <v>2.6504629626288079E-2</v>
      </c>
      <c r="N46" s="7">
        <f t="shared" si="2"/>
        <v>38.166666661854833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-16T07:36:43-0600',mode:absolute,to:'2017-07-16T10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23"/>
        <v>23.2989</v>
      </c>
      <c r="Z46" s="197">
        <f t="shared" si="24"/>
        <v>1.52E-2</v>
      </c>
      <c r="AA46" s="197">
        <f t="shared" si="9"/>
        <v>23.2837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46" s="74" t="str">
        <f t="shared" si="12"/>
        <v>"C:\Program Files (x86)\AstroGrep\AstroGrep.exe" /e /r /s /spath="%USERPROFILE%\AppData\Local\Temp\OnboardLogs" /stypes="app*4005*20170716*"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134-16 --locoid 4005 --swversion DE.1.0.9.0 --startMP 204:232989 --initTime 2017-07-16T08:36:43 --startdatetime 2017-07-16T08:42:15 --delay 1 --endMP 204:152 --enddatetime 2017-07-16T09:20:25 --enforcementcount 0 &gt;&gt;C:\Users\stu\Documents\GitHub\eaglep3-reporting\EC\2017-07-16-refined-times.txt</v>
      </c>
      <c r="AI4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ID","value":"134-16"},{"id":16,"name":"Locomotive ID","value":"4005"},{"id":130,"name":"Impact","value":""},{"id":150,"name":"Time of Event (Mountain Time)","value":"09:20:25"},{"id":151,"name":"Denver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4005 --day 2017-07-16</v>
      </c>
      <c r="AN4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688</v>
      </c>
      <c r="B47" s="7">
        <v>4012</v>
      </c>
      <c r="C47" s="21" t="s">
        <v>199</v>
      </c>
      <c r="D47" s="21" t="s">
        <v>349</v>
      </c>
      <c r="E47" s="13">
        <v>42932.329965277779</v>
      </c>
      <c r="F47" s="13">
        <v>42932.334016203706</v>
      </c>
      <c r="G47" s="7">
        <v>1</v>
      </c>
      <c r="H47" s="21" t="s">
        <v>860</v>
      </c>
      <c r="I47" s="13">
        <v>42932.358344907407</v>
      </c>
      <c r="J47" s="7">
        <v>0</v>
      </c>
      <c r="K47" s="89" t="str">
        <f t="shared" si="0"/>
        <v>4011/4012</v>
      </c>
      <c r="L47" s="21" t="str">
        <f>VLOOKUP(A47,'Trips&amp;Operators'!$C$1:$G$99999,5,FALSE)</f>
        <v>BROWN JACOB</v>
      </c>
      <c r="M47" s="6">
        <f t="shared" si="1"/>
        <v>2.4328703701030463E-2</v>
      </c>
      <c r="N47" s="7">
        <f t="shared" si="2"/>
        <v>35.033333329483867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-16T06:55:09-0600',mode:absolute,to:'2017-07-16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23"/>
        <v>4.53E-2</v>
      </c>
      <c r="Z47" s="197">
        <f t="shared" si="24"/>
        <v>23.3322</v>
      </c>
      <c r="AA47" s="197">
        <f t="shared" si="9"/>
        <v>23.286899999999999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47" s="74" t="str">
        <f t="shared" si="12"/>
        <v>"C:\Program Files (x86)\AstroGrep\AstroGrep.exe" /e /r /s /spath="%USERPROFILE%\AppData\Local\Temp\OnboardLogs" /stypes="app*4012*20170716*"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135-16 --locoid 4012 --swversion DE.1.0.9.0 --startMP 204:453 --initTime 2017-07-16T07:55:09 --startdatetime 2017-07-16T08:00:59 --delay 1 --endMP 204:233322 --enddatetime 2017-07-16T08:36:01 --enforcementcount 0 &gt;&gt;C:\Users\stu\Documents\GitHub\eaglep3-reporting\EC\2017-07-16-refined-times.txt</v>
      </c>
      <c r="AI4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{"issue":{"subject":"","project_id":79,"tracker_id":40,"status_id":1,"priority_id":2,"assigned_to_id":23,"start_date":"2017-07-16","description":"","custom_fields":[{"id":1,"name":"Subdivision","value":"EC"},{"id":4,"name":"Milepost","value":"23.3322"},{"id":17,"name":"Train ID","value":"135-16"},{"id":16,"name":"Locomotive ID","value":"4012"},{"id":130,"name":"Impact","value":""},{"id":150,"name":"Time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4012 --day 2017-07-16</v>
      </c>
      <c r="AN4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696</v>
      </c>
      <c r="B48" s="7">
        <v>4011</v>
      </c>
      <c r="C48" s="21" t="s">
        <v>199</v>
      </c>
      <c r="D48" s="21" t="s">
        <v>861</v>
      </c>
      <c r="E48" s="13">
        <v>42932.364282407405</v>
      </c>
      <c r="F48" s="13">
        <v>42932.373090277775</v>
      </c>
      <c r="G48" s="7">
        <v>1</v>
      </c>
      <c r="H48" s="21" t="s">
        <v>343</v>
      </c>
      <c r="I48" s="13">
        <v>42932.399363425924</v>
      </c>
      <c r="J48" s="7">
        <v>0</v>
      </c>
      <c r="K48" s="89" t="str">
        <f t="shared" si="0"/>
        <v>4011/4012</v>
      </c>
      <c r="L48" s="21" t="str">
        <f>VLOOKUP(A48,'Trips&amp;Operators'!$C$1:$G$99999,5,FALSE)</f>
        <v>BROWN JACOB</v>
      </c>
      <c r="M48" s="6">
        <f t="shared" si="1"/>
        <v>2.6273148148902692E-2</v>
      </c>
      <c r="N48" s="7">
        <f t="shared" si="2"/>
        <v>37.833333334419876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-16T07:44:34-0600',mode:absolute,to:'2017-07-16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23"/>
        <v>23.2986</v>
      </c>
      <c r="Z48" s="197">
        <f t="shared" si="24"/>
        <v>1.4999999999999999E-2</v>
      </c>
      <c r="AA48" s="197">
        <f t="shared" si="9"/>
        <v>23.2836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48" s="74" t="str">
        <f t="shared" si="12"/>
        <v>"C:\Program Files (x86)\AstroGrep\AstroGrep.exe" /e /r /s /spath="%USERPROFILE%\AppData\Local\Temp\OnboardLogs" /stypes="app*4011*20170716*"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136-16 --locoid 4011 --swversion DE.1.0.9.0 --startMP 204:232986 --initTime 2017-07-16T08:44:34 --startdatetime 2017-07-16T08:57:15 --delay 1 --endMP 204:150 --enddatetime 2017-07-16T09:35:05 --enforcementcount 0 &gt;&gt;C:\Users\stu\Documents\GitHub\eaglep3-reporting\EC\2017-07-16-refined-times.txt</v>
      </c>
      <c r="AI48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{"issue":{"subject":"","project_id":79,"tracker_id":40,"status_id":1,"priority_id":2,"assigned_to_id":23,"start_date":"2017-07-16","description":"","custom_fields":[{"id":1,"name":"Subdivision","value":"EC"},{"id":4,"name":"Milepost","value":"0.015"},{"id":17,"name":"Train ID","value":"136-16"},{"id":16,"name":"Locomotive ID","value":"4011"},{"id":130,"name":"Impact","value":""},{"id":150,"name":"Time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4011 --day 2017-07-16</v>
      </c>
      <c r="AN48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690</v>
      </c>
      <c r="B49" s="7">
        <v>4050</v>
      </c>
      <c r="C49" s="21" t="s">
        <v>199</v>
      </c>
      <c r="D49" s="21" t="s">
        <v>580</v>
      </c>
      <c r="E49" s="13">
        <v>42932.338356481479</v>
      </c>
      <c r="F49" s="13">
        <v>42932.344305555554</v>
      </c>
      <c r="G49" s="7">
        <v>1</v>
      </c>
      <c r="H49" s="21" t="s">
        <v>862</v>
      </c>
      <c r="I49" s="13">
        <v>42932.368807870371</v>
      </c>
      <c r="J49" s="7">
        <v>0</v>
      </c>
      <c r="K49" s="89" t="str">
        <f t="shared" si="0"/>
        <v>4049/4050</v>
      </c>
      <c r="L49" s="21" t="str">
        <f>VLOOKUP(A49,'Trips&amp;Operators'!$C$1:$G$99999,5,FALSE)</f>
        <v>GEBRETEKLE DAGNEW</v>
      </c>
      <c r="M49" s="6">
        <f t="shared" si="1"/>
        <v>2.4502314816345461E-2</v>
      </c>
      <c r="N49" s="7">
        <f t="shared" si="2"/>
        <v>35.283333335537463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-16T07:07:14-0600',mode:absolute,to:'2017-07-16T09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23"/>
        <v>4.5999999999999999E-2</v>
      </c>
      <c r="Z49" s="197">
        <f t="shared" si="24"/>
        <v>23.3323</v>
      </c>
      <c r="AA49" s="197">
        <f t="shared" si="9"/>
        <v>23.286300000000001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49" s="74" t="str">
        <f t="shared" si="12"/>
        <v>"C:\Program Files (x86)\AstroGrep\AstroGrep.exe" /e /r /s /spath="%USERPROFILE%\AppData\Local\Temp\OnboardLogs" /stypes="app*4050*20170716*"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137-16 --locoid 4050 --swversion DE.1.0.9.0 --startMP 204:460 --initTime 2017-07-16T08:07:14 --startdatetime 2017-07-16T08:15:48 --delay 1 --endMP 204:233323 --enddatetime 2017-07-16T08:51:05 --enforcementcount 0 &gt;&gt;C:\Users\stu\Documents\GitHub\eaglep3-reporting\EC\2017-07-16-refined-times.txt</v>
      </c>
      <c r="AI4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{"issue":{"subject":"","project_id":79,"tracker_id":40,"status_id":1,"priority_id":2,"assigned_to_id":23,"start_date":"2017-07-16","description":"","custom_fields":[{"id":1,"name":"Subdivision","value":"EC"},{"id":4,"name":"Milepost","value":"23.3323"},{"id":17,"name":"Train ID","value":"137-16"},{"id":16,"name":"Locomotive ID","value":"4050"},{"id":130,"name":"Impact","value":""},{"id":150,"name":"Time of Event (Mountain Time)","value":"08:51:05"},{"id":151,"name":"Denver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4050 --day 2017-07-16</v>
      </c>
      <c r="AN4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697</v>
      </c>
      <c r="B50" s="7">
        <v>4049</v>
      </c>
      <c r="C50" s="21" t="s">
        <v>199</v>
      </c>
      <c r="D50" s="21" t="s">
        <v>855</v>
      </c>
      <c r="E50" s="13">
        <v>42932.370092592595</v>
      </c>
      <c r="F50" s="13">
        <v>42932.383506944447</v>
      </c>
      <c r="G50" s="7">
        <v>1</v>
      </c>
      <c r="H50" s="21" t="s">
        <v>428</v>
      </c>
      <c r="I50" s="13">
        <v>42932.409571759257</v>
      </c>
      <c r="J50" s="7">
        <v>0</v>
      </c>
      <c r="K50" s="89" t="str">
        <f t="shared" si="0"/>
        <v>4049/4050</v>
      </c>
      <c r="L50" s="21" t="str">
        <f>VLOOKUP(A50,'Trips&amp;Operators'!$C$1:$G$99999,5,FALSE)</f>
        <v>GEBRETEKLE DAGNEW</v>
      </c>
      <c r="M50" s="6">
        <f t="shared" si="1"/>
        <v>2.6064814810524695E-2</v>
      </c>
      <c r="N50" s="7">
        <f t="shared" si="2"/>
        <v>37.53333332715556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-16T07:52:56-0600',mode:absolute,to:'2017-07-16T10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23"/>
        <v>23.3004</v>
      </c>
      <c r="Z50" s="197">
        <f t="shared" si="24"/>
        <v>1.6E-2</v>
      </c>
      <c r="AA50" s="197">
        <f t="shared" si="9"/>
        <v>23.284400000000002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50" s="74" t="str">
        <f t="shared" si="12"/>
        <v>"C:\Program Files (x86)\AstroGrep\AstroGrep.exe" /e /r /s /spath="%USERPROFILE%\AppData\Local\Temp\OnboardLogs" /stypes="app*4049*20170716*"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138-16 --locoid 4049 --swversion DE.1.0.9.0 --startMP 204:233004 --initTime 2017-07-16T08:52:56 --startdatetime 2017-07-16T09:12:15 --delay 1 --endMP 204:160 --enddatetime 2017-07-16T09:49:47 --enforcementcount 0 &gt;&gt;C:\Users\stu\Documents\GitHub\eaglep3-reporting\EC\2017-07-16-refined-times.txt</v>
      </c>
      <c r="AI5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{"issue":{"subject":"","project_id":79,"tracker_id":40,"status_id":1,"priority_id":2,"assigned_to_id":23,"start_date":"2017-07-16","description":"","custom_fields":[{"id":1,"name":"Subdivision","value":"EC"},{"id":4,"name":"Milepost","value":"0.016"},{"id":17,"name":"Train ID","value":"138-16"},{"id":16,"name":"Locomotive ID","value":"4049"},{"id":130,"name":"Impact","value":""},{"id":150,"name":"Time of Event (Mountain Time)","value":"09:49:47"},{"id":151,"name":"Denver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4049 --day 2017-07-16</v>
      </c>
      <c r="AN5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692</v>
      </c>
      <c r="B51" s="7">
        <v>4002</v>
      </c>
      <c r="C51" s="21" t="s">
        <v>199</v>
      </c>
      <c r="D51" s="21" t="s">
        <v>863</v>
      </c>
      <c r="E51" s="13">
        <v>42932.349293981482</v>
      </c>
      <c r="F51" s="13">
        <v>42932.354710648149</v>
      </c>
      <c r="G51" s="7">
        <v>1</v>
      </c>
      <c r="H51" s="21" t="s">
        <v>417</v>
      </c>
      <c r="I51" s="13">
        <v>42932.378935185188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MAELZER KURT</v>
      </c>
      <c r="M51" s="6">
        <f t="shared" si="1"/>
        <v>2.4224537039117422E-2</v>
      </c>
      <c r="N51" s="7">
        <f t="shared" si="2"/>
        <v>34.883333336329088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-16T07:22:59-0600',mode:absolute,to:'2017-07-16T10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23"/>
        <v>4.3099999999999999E-2</v>
      </c>
      <c r="Z51" s="197">
        <f t="shared" si="24"/>
        <v>23.331199999999999</v>
      </c>
      <c r="AA51" s="197">
        <f t="shared" si="9"/>
        <v>23.2881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51" s="74" t="str">
        <f t="shared" si="12"/>
        <v>"C:\Program Files (x86)\AstroGrep\AstroGrep.exe" /e /r /s /spath="%USERPROFILE%\AppData\Local\Temp\OnboardLogs" /stypes="app*4002*20170716*"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139-16 --locoid 4002 --swversion DE.1.0.9.0 --startMP 204:431 --initTime 2017-07-16T08:22:59 --startdatetime 2017-07-16T08:30:47 --delay 1 --endMP 204:233312 --enddatetime 2017-07-16T09:05:40 --enforcementcount 0 &gt;&gt;C:\Users\stu\Documents\GitHub\eaglep3-reporting\EC\2017-07-16-refined-times.txt</v>
      </c>
      <c r="AI5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{"issue":{"subject":"","project_id":79,"tracker_id":40,"status_id":1,"priority_id":2,"assigned_to_id":23,"start_date":"2017-07-16","description":"","custom_fields":[{"id":1,"name":"Subdivision","value":"EC"},{"id":4,"name":"Milepost","value":"23.3312"},{"id":17,"name":"Train ID","value":"139-16"},{"id":16,"name":"Locomotive ID","value":"4002"},{"id":130,"name":"Impact","value":""},{"id":150,"name":"Time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4002 --day 2017-07-16</v>
      </c>
      <c r="AN5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701</v>
      </c>
      <c r="B52" s="7">
        <v>4001</v>
      </c>
      <c r="C52" s="21" t="s">
        <v>199</v>
      </c>
      <c r="D52" s="21" t="s">
        <v>511</v>
      </c>
      <c r="E52" s="13">
        <v>42932.384143518517</v>
      </c>
      <c r="F52" s="13">
        <v>42932.393993055557</v>
      </c>
      <c r="G52" s="7">
        <v>0</v>
      </c>
      <c r="H52" s="21" t="s">
        <v>422</v>
      </c>
      <c r="I52" s="13">
        <v>42932.419988425929</v>
      </c>
      <c r="J52" s="7">
        <v>0</v>
      </c>
      <c r="K52" s="89" t="str">
        <f t="shared" si="0"/>
        <v>4001/4002</v>
      </c>
      <c r="L52" s="21" t="str">
        <f>VLOOKUP(A52,'Trips&amp;Operators'!$C$1:$G$99999,5,FALSE)</f>
        <v>MAELZER KURT</v>
      </c>
      <c r="M52" s="6">
        <f t="shared" si="1"/>
        <v>2.5995370371674653E-2</v>
      </c>
      <c r="N52" s="7">
        <f t="shared" si="2"/>
        <v>37.433333335211501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-16T08:13:10-0600',mode:absolute,to:'2017-07-16T11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23"/>
        <v>23.299399999999999</v>
      </c>
      <c r="Z52" s="197">
        <f t="shared" si="24"/>
        <v>1.3599999999999999E-2</v>
      </c>
      <c r="AA52" s="197">
        <f t="shared" si="9"/>
        <v>23.285799999999998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52" s="74" t="str">
        <f t="shared" si="12"/>
        <v>"C:\Program Files (x86)\AstroGrep\AstroGrep.exe" /e /r /s /spath="%USERPROFILE%\AppData\Local\Temp\OnboardLogs" /stypes="app*4001*20170716*"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140-16 --locoid 4001 --swversion DE.1.0.9.0 --startMP 204:232994 --initTime 2017-07-16T09:13:10 --startdatetime 2017-07-16T09:27:21 --delay 0 --endMP 204:136 --enddatetime 2017-07-16T10:04:47 --enforcementcount 0 &gt;&gt;C:\Users\stu\Documents\GitHub\eaglep3-reporting\EC\2017-07-16-refined-times.txt</v>
      </c>
      <c r="AI5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ID","value":"140-16"},{"id":16,"name":"Locomotive ID","value":"4001"},{"id":130,"name":"Impact","value":""},{"id":150,"name":"Time of Event (Mountain Time)","value":"10:04:47"},{"id":151,"name":"Denver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4001 --day 2017-07-16</v>
      </c>
      <c r="AN5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695</v>
      </c>
      <c r="B53" s="7">
        <v>4008</v>
      </c>
      <c r="C53" s="21" t="s">
        <v>199</v>
      </c>
      <c r="D53" s="21" t="s">
        <v>864</v>
      </c>
      <c r="E53" s="13">
        <v>42932.360185185185</v>
      </c>
      <c r="F53" s="13">
        <v>42932.365115740744</v>
      </c>
      <c r="G53" s="7">
        <v>1</v>
      </c>
      <c r="H53" s="21" t="s">
        <v>856</v>
      </c>
      <c r="I53" s="13">
        <v>42932.389965277776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GUZMAN DANNY</v>
      </c>
      <c r="M53" s="6">
        <f t="shared" si="1"/>
        <v>2.4849537032423541E-2</v>
      </c>
      <c r="N53" s="7">
        <f t="shared" si="2"/>
        <v>35.783333326689899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-16T07:38:40-0600',mode:absolute,to:'2017-07-16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23"/>
        <v>4.8599999999999997E-2</v>
      </c>
      <c r="Z53" s="197">
        <f t="shared" si="24"/>
        <v>23.330400000000001</v>
      </c>
      <c r="AA53" s="197">
        <f t="shared" si="9"/>
        <v>23.2818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53" s="74" t="str">
        <f t="shared" si="12"/>
        <v>"C:\Program Files (x86)\AstroGrep\AstroGrep.exe" /e /r /s /spath="%USERPROFILE%\AppData\Local\Temp\OnboardLogs" /stypes="app*4008*20170716*"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141-16 --locoid 4008 --swversion DE.1.0.9.0 --startMP 204:486 --initTime 2017-07-16T08:38:40 --startdatetime 2017-07-16T08:45:46 --delay 1 --endMP 204:233304 --enddatetime 2017-07-16T09:21:33 --enforcementcount 0 &gt;&gt;C:\Users\stu\Documents\GitHub\eaglep3-reporting\EC\2017-07-16-refined-times.txt</v>
      </c>
      <c r="AI5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{"issue":{"subject":"","project_id":79,"tracker_id":40,"status_id":1,"priority_id":2,"assigned_to_id":23,"start_date":"2017-07-16","description":"","custom_fields":[{"id":1,"name":"Subdivision","value":"EC"},{"id":4,"name":"Milepost","value":"23.3304"},{"id":17,"name":"Train ID","value":"141-16"},{"id":16,"name":"Locomotive ID","value":"4008"},{"id":130,"name":"Impact","value":""},{"id":150,"name":"Time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4008 --day 2017-07-16</v>
      </c>
      <c r="AN5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703</v>
      </c>
      <c r="B54" s="7">
        <v>4007</v>
      </c>
      <c r="C54" s="21" t="s">
        <v>199</v>
      </c>
      <c r="D54" s="21" t="s">
        <v>535</v>
      </c>
      <c r="E54" s="13">
        <v>42932.392013888886</v>
      </c>
      <c r="F54" s="13">
        <v>42932.404340277775</v>
      </c>
      <c r="G54" s="7">
        <v>1</v>
      </c>
      <c r="H54" s="21" t="s">
        <v>428</v>
      </c>
      <c r="I54" s="13">
        <v>42932.431076388886</v>
      </c>
      <c r="J54" s="7">
        <v>0</v>
      </c>
      <c r="K54" s="89" t="str">
        <f t="shared" si="0"/>
        <v>4007/4008</v>
      </c>
      <c r="L54" s="21" t="str">
        <f>VLOOKUP(A54,'Trips&amp;Operators'!$C$1:$G$99999,5,FALSE)</f>
        <v>GUZMAN DANNY</v>
      </c>
      <c r="M54" s="6">
        <f t="shared" si="1"/>
        <v>2.6736111110949423E-2</v>
      </c>
      <c r="N54" s="7">
        <f t="shared" si="2"/>
        <v>38.499999999767169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-16T08:24:30-0600',mode:absolute,to:'2017-07-16T11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23"/>
        <v>23.299800000000001</v>
      </c>
      <c r="Z54" s="197">
        <f t="shared" si="24"/>
        <v>1.6E-2</v>
      </c>
      <c r="AA54" s="197">
        <f t="shared" si="9"/>
        <v>23.283800000000003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54" s="74" t="str">
        <f t="shared" si="12"/>
        <v>"C:\Program Files (x86)\AstroGrep\AstroGrep.exe" /e /r /s /spath="%USERPROFILE%\AppData\Local\Temp\OnboardLogs" /stypes="app*4007*20170716*"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142-16 --locoid 4007 --swversion DE.1.0.9.0 --startMP 204:232998 --initTime 2017-07-16T09:24:30 --startdatetime 2017-07-16T09:42:15 --delay 1 --endMP 204:160 --enddatetime 2017-07-16T10:20:45 --enforcementcount 0 &gt;&gt;C:\Users\stu\Documents\GitHub\eaglep3-reporting\EC\2017-07-16-refined-times.txt</v>
      </c>
      <c r="AI5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{"issue":{"subject":"","project_id":79,"tracker_id":40,"status_id":1,"priority_id":2,"assigned_to_id":23,"start_date":"2017-07-16","description":"","custom_fields":[{"id":1,"name":"Subdivision","value":"EC"},{"id":4,"name":"Milepost","value":"0.016"},{"id":17,"name":"Train ID","value":"142-16"},{"id":16,"name":"Locomotive ID","value":"4007"},{"id":130,"name":"Impact","value":""},{"id":150,"name":"Time of Event (Mountain Time)","value":"10:20:45"},{"id":151,"name":"Denver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4007 --day 2017-07-16</v>
      </c>
      <c r="AN5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698</v>
      </c>
      <c r="B55" s="7">
        <v>4064</v>
      </c>
      <c r="C55" s="21" t="s">
        <v>199</v>
      </c>
      <c r="D55" s="21" t="s">
        <v>405</v>
      </c>
      <c r="E55" s="13">
        <v>42932.371770833335</v>
      </c>
      <c r="F55" s="13">
        <v>42932.375497685185</v>
      </c>
      <c r="G55" s="7">
        <v>1</v>
      </c>
      <c r="H55" s="21" t="s">
        <v>439</v>
      </c>
      <c r="I55" s="13">
        <v>42932.399884259263</v>
      </c>
      <c r="J55" s="7">
        <v>0</v>
      </c>
      <c r="K55" s="89" t="str">
        <f t="shared" si="0"/>
        <v>4063/4064</v>
      </c>
      <c r="L55" s="21" t="str">
        <f>VLOOKUP(A55,'Trips&amp;Operators'!$C$1:$G$99999,5,FALSE)</f>
        <v>NEWELL JAMES</v>
      </c>
      <c r="M55" s="6">
        <f t="shared" si="1"/>
        <v>2.4386574077652767E-2</v>
      </c>
      <c r="N55" s="7">
        <f t="shared" si="2"/>
        <v>35.116666671819985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-16T07:55:21-0600',mode:absolute,to:'2017-07-16T10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23"/>
        <v>4.5499999999999999E-2</v>
      </c>
      <c r="Z55" s="197">
        <f t="shared" si="24"/>
        <v>23.330100000000002</v>
      </c>
      <c r="AA55" s="197">
        <f t="shared" si="9"/>
        <v>23.284600000000001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55" s="74" t="str">
        <f t="shared" si="12"/>
        <v>"C:\Program Files (x86)\AstroGrep\AstroGrep.exe" /e /r /s /spath="%USERPROFILE%\AppData\Local\Temp\OnboardLogs" /stypes="app*4064*20170716*"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143-16 --locoid 4064 --swversion DE.1.0.9.0 --startMP 204:455 --initTime 2017-07-16T08:55:21 --startdatetime 2017-07-16T09:00:43 --delay 1 --endMP 204:233301 --enddatetime 2017-07-16T09:35:50 --enforcementcount 0 &gt;&gt;C:\Users\stu\Documents\GitHub\eaglep3-reporting\EC\2017-07-16-refined-times.txt</v>
      </c>
      <c r="AI5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{"issue":{"subject":"","project_id":79,"tracker_id":40,"status_id":1,"priority_id":2,"assigned_to_id":23,"start_date":"2017-07-16","description":"","custom_fields":[{"id":1,"name":"Subdivision","value":"EC"},{"id":4,"name":"Milepost","value":"23.3301"},{"id":17,"name":"Train ID","value":"143-16"},{"id":16,"name":"Locomotive ID","value":"4064"},{"id":130,"name":"Impact","value":""},{"id":150,"name":"Time of Event (Mountain Time)","value":"09:35:50"},{"id":151,"name":"Denver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4064 --day 2017-07-16</v>
      </c>
      <c r="AN5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705</v>
      </c>
      <c r="B56" s="7">
        <v>4063</v>
      </c>
      <c r="C56" s="21" t="s">
        <v>199</v>
      </c>
      <c r="D56" s="21" t="s">
        <v>438</v>
      </c>
      <c r="E56" s="13">
        <v>42932.40520833333</v>
      </c>
      <c r="F56" s="13">
        <v>42932.414803240739</v>
      </c>
      <c r="G56" s="7">
        <v>0</v>
      </c>
      <c r="H56" s="21" t="s">
        <v>344</v>
      </c>
      <c r="I56" s="13">
        <v>42932.440381944441</v>
      </c>
      <c r="J56" s="7">
        <v>0</v>
      </c>
      <c r="K56" s="89" t="str">
        <f t="shared" si="0"/>
        <v>4063/4064</v>
      </c>
      <c r="L56" s="21" t="str">
        <f>VLOOKUP(A56,'Trips&amp;Operators'!$C$1:$G$99999,5,FALSE)</f>
        <v>NEWELL JAMES</v>
      </c>
      <c r="M56" s="6">
        <f t="shared" si="1"/>
        <v>2.5578703702194616E-2</v>
      </c>
      <c r="N56" s="7">
        <f t="shared" si="2"/>
        <v>36.833333331160247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-16T08:43:30-0600',mode:absolute,to:'2017-07-16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23"/>
        <v>23.2973</v>
      </c>
      <c r="Z56" s="197">
        <f t="shared" si="24"/>
        <v>1.49E-2</v>
      </c>
      <c r="AA56" s="197">
        <f t="shared" si="9"/>
        <v>23.282399999999999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56" s="74" t="str">
        <f t="shared" si="12"/>
        <v>"C:\Program Files (x86)\AstroGrep\AstroGrep.exe" /e /r /s /spath="%USERPROFILE%\AppData\Local\Temp\OnboardLogs" /stypes="app*4063*20170716*"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144-16 --locoid 4063 --swversion DE.1.0.9.0 --startMP 204:232973 --initTime 2017-07-16T09:43:30 --startdatetime 2017-07-16T09:57:19 --delay 0 --endMP 204:149 --enddatetime 2017-07-16T10:34:09 --enforcementcount 0 &gt;&gt;C:\Users\stu\Documents\GitHub\eaglep3-reporting\EC\2017-07-16-refined-times.txt</v>
      </c>
      <c r="AI5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{"issue":{"subject":"","project_id":79,"tracker_id":40,"status_id":1,"priority_id":2,"assigned_to_id":23,"start_date":"2017-07-16","description":"","custom_fields":[{"id":1,"name":"Subdivision","value":"EC"},{"id":4,"name":"Milepost","value":"0.0149"},{"id":17,"name":"Train ID","value":"144-16"},{"id":16,"name":"Locomotive ID","value":"4063"},{"id":130,"name":"Impact","value":""},{"id":150,"name":"Time of Event (Mountain Time)","value":"10:34:09"},{"id":151,"name":"Denver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4063 --day 2017-07-16</v>
      </c>
      <c r="AN5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700</v>
      </c>
      <c r="B57" s="7">
        <v>4062</v>
      </c>
      <c r="C57" s="21" t="s">
        <v>199</v>
      </c>
      <c r="D57" s="21" t="s">
        <v>540</v>
      </c>
      <c r="E57" s="13">
        <v>42932.381180555552</v>
      </c>
      <c r="F57" s="13">
        <v>42932.38616898148</v>
      </c>
      <c r="G57" s="7">
        <v>1</v>
      </c>
      <c r="H57" s="21" t="s">
        <v>569</v>
      </c>
      <c r="I57" s="13">
        <v>42932.410115740742</v>
      </c>
      <c r="J57" s="7">
        <v>0</v>
      </c>
      <c r="K57" s="89" t="str">
        <f t="shared" si="0"/>
        <v>4061/4062</v>
      </c>
      <c r="L57" s="21" t="str">
        <f>VLOOKUP(A57,'Trips&amp;Operators'!$C$1:$G$99999,5,FALSE)</f>
        <v>MACDONALD THOMAS</v>
      </c>
      <c r="M57" s="6">
        <f t="shared" si="1"/>
        <v>2.3946759261889383E-2</v>
      </c>
      <c r="N57" s="7">
        <f t="shared" si="2"/>
        <v>34.483333337120712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-16T08:08:54-0600',mode:absolute,to:'2017-07-16T10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23"/>
        <v>4.3999999999999997E-2</v>
      </c>
      <c r="Z57" s="197">
        <f t="shared" si="24"/>
        <v>23.3291</v>
      </c>
      <c r="AA57" s="197">
        <f t="shared" si="9"/>
        <v>23.2851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s3://rtdc.mdm.uploadarchive.raw/RTDC4062/ "%USERPROFILE%\AppData\Local\Temp\OnboardLogs"\RTDC4062\2017-07-16 --exclude "*" --recursive --include "*20170716*" &amp; "%USERPROFILE%\Documents\GitHub\mrs-test-scripts\Headless Mode &amp; Sideloading\WalkAndUnGZ.bat" "%USERPROFILE%\AppData\Local\Temp\OnboardLogs"\RTDC4062\2017-07-16 &amp; aws s3 cp s3://rtdc.mdm.uploadarchive.raw/RTDC4062/ "%USERPROFILE%\AppData\Local\Temp\OnboardLogs"\RTDC4062\2017-07-17 --exclude "*" --recursive --include "*20170717*" &amp; "%USERPROFILE%\Documents\GitHub\mrs-test-scripts\Headless Mode &amp; Sideloading\WalkAndUnGZ.bat" "%USERPROFILE%\AppData\Local\Temp\OnboardLogs"\RTDC4062\2017-07-17</v>
      </c>
      <c r="AF57" s="74" t="str">
        <f t="shared" si="12"/>
        <v>"C:\Program Files (x86)\AstroGrep\AstroGrep.exe" /e /r /s /spath="%USERPROFILE%\AppData\Local\Temp\OnboardLogs" /stypes="app*4062*20170716*"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145-16 --locoid 4062 --swversion DE.1.0.9.0 --startMP 204:440 --initTime 2017-07-16T09:08:54 --startdatetime 2017-07-16T09:16:05 --delay 1 --endMP 204:233291 --enddatetime 2017-07-16T09:50:34 --enforcementcount 0 &gt;&gt;C:\Users\stu\Documents\GitHub\eaglep3-reporting\EC\2017-07-16-refined-times.txt</v>
      </c>
      <c r="AI5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{"issue":{"subject":"","project_id":79,"tracker_id":40,"status_id":1,"priority_id":2,"assigned_to_id":23,"start_date":"2017-07-16","description":"","custom_fields":[{"id":1,"name":"Subdivision","value":"EC"},{"id":4,"name":"Milepost","value":"23.3291"},{"id":17,"name":"Train ID","value":"145-16"},{"id":16,"name":"Locomotive ID","value":"4062"},{"id":130,"name":"Impact","value":""},{"id":150,"name":"Time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4062 --day 2017-07-16</v>
      </c>
      <c r="AN5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606</v>
      </c>
      <c r="B58" s="7">
        <v>4061</v>
      </c>
      <c r="C58" s="21" t="s">
        <v>199</v>
      </c>
      <c r="D58" s="21" t="s">
        <v>865</v>
      </c>
      <c r="E58" s="13">
        <v>42932.441192129627</v>
      </c>
      <c r="F58" s="13">
        <v>42932.443379629629</v>
      </c>
      <c r="G58" s="7">
        <v>1</v>
      </c>
      <c r="H58" s="21" t="s">
        <v>866</v>
      </c>
      <c r="I58" s="13">
        <v>42932.462013888886</v>
      </c>
      <c r="J58" s="7">
        <v>0</v>
      </c>
      <c r="K58" s="89" t="str">
        <f t="shared" si="0"/>
        <v>4061/4062</v>
      </c>
      <c r="L58" s="21" t="str">
        <f>VLOOKUP(A58,'Trips&amp;Operators'!$C$1:$G$99999,5,FALSE)</f>
        <v>MACDONALD THOMAS</v>
      </c>
      <c r="M58" s="6">
        <f t="shared" si="1"/>
        <v>1.8634259256941732E-2</v>
      </c>
      <c r="N58" s="7"/>
      <c r="O58" s="7"/>
      <c r="P58" s="7">
        <f>24*60*SUM($M58:$M58)</f>
        <v>26.833333329996094</v>
      </c>
      <c r="Q58" s="22"/>
      <c r="R58" s="170" t="s">
        <v>986</v>
      </c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-16T09:35:19-0600',mode:absolute,to:'2017-07-16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197" t="str">
        <f>IF(AA58&lt;VLOOKUP(AG58,Variables!$AC$3:$AD$8,2,FALSE),"Y","N")</f>
        <v>Y</v>
      </c>
      <c r="X58" s="197">
        <f t="shared" si="22"/>
        <v>1</v>
      </c>
      <c r="Y58" s="197">
        <f t="shared" si="23"/>
        <v>12.786899999999999</v>
      </c>
      <c r="Z58" s="197">
        <f t="shared" si="24"/>
        <v>0.11940000000000001</v>
      </c>
      <c r="AA58" s="197">
        <f t="shared" si="9"/>
        <v>12.667499999999999</v>
      </c>
      <c r="AB58" s="54" t="str">
        <f>VLOOKUP(A58,Enforcements!$C$7:$K$13,8,0)</f>
        <v>Bulletin (2)</v>
      </c>
      <c r="AC58" s="51" t="str">
        <f>VLOOKUP(A58,Enforcements!$C$7:$E$13,3,0)</f>
        <v>GRADE CROSSING</v>
      </c>
      <c r="AD58" s="206">
        <f t="shared" si="10"/>
        <v>146</v>
      </c>
      <c r="AE58" s="77" t="str">
        <f t="shared" si="11"/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58" s="74" t="str">
        <f t="shared" si="12"/>
        <v>"C:\Program Files (x86)\AstroGrep\AstroGrep.exe" /e /r /s /spath="%USERPROFILE%\AppData\Local\Temp\OnboardLogs" /stypes="app*4061*20170716*" /stext=" 17:.+((SYSTEM_STATE.+slice.+state.+changed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146-16 --locoid 4061 --swversion DE.1.0.9.0 --startMP 204:127869 --initTime 2017-07-16T10:35:19 --startdatetime 2017-07-16T10:38:28 --delay 1 --endMP 204:1194 --enddatetime 2017-07-16T11:05:18 --enforcementcount 0 &gt;&gt;C:\Users\stu\Documents\GitHub\eaglep3-reporting\EC\2017-07-16-refined-times.txt</v>
      </c>
      <c r="AI58" s="96" t="str">
        <f t="shared" si="19"/>
        <v>echo {"issue":{"subject":"Onboard in-route failure","project_id":79,"tracker_id":40,"status_id":1,"priority_id":2,"assigned_to_id":23,"start_date":"2017-07-16","description":"","custom_fields":[{"id":1,"name":"Subdivision","value":"EC"},{"id":4,"name":"Milepost","value":"0.1194"},{"id":17,"name":"Train ID","value":"146-16"},{"id":16,"name":"Locomotive ID","value":"4061"},{"id":130,"name":"Impact","value":""},{"id":150,"name":"Time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4061 --day 2017-07-16</v>
      </c>
      <c r="AN58" s="151" t="str">
        <f t="shared" si="21"/>
        <v>echo {"issue":{"subject":"Onboard in-route failure","project_id":30,"tracker_id":4,"status_id":1,"priority_id":1,"assigned_to_id":10,"start_date":"2017-07-16","description":"","custom_fields":[{"id":30,"name":"Category","value":"Issue"},{"id":3,"name":"Functional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606</v>
      </c>
      <c r="B59" s="7">
        <v>4061</v>
      </c>
      <c r="C59" s="21" t="s">
        <v>199</v>
      </c>
      <c r="D59" s="21" t="s">
        <v>575</v>
      </c>
      <c r="E59" s="13">
        <v>42932.423738425925</v>
      </c>
      <c r="F59" s="13">
        <v>42932.443379629629</v>
      </c>
      <c r="G59" s="7">
        <v>1</v>
      </c>
      <c r="H59" s="21" t="s">
        <v>575</v>
      </c>
      <c r="I59" s="13">
        <v>42932.462013888886</v>
      </c>
      <c r="J59" s="7">
        <v>0</v>
      </c>
      <c r="K59" s="89" t="str">
        <f t="shared" si="0"/>
        <v>4061/4062</v>
      </c>
      <c r="L59" s="21" t="str">
        <f>VLOOKUP(A59,'Trips&amp;Operators'!$C$1:$G$99999,5,FALSE)</f>
        <v>MACDONALD THOMAS</v>
      </c>
      <c r="M59" s="6">
        <f t="shared" si="1"/>
        <v>1.8634259256941732E-2</v>
      </c>
      <c r="N59" s="7"/>
      <c r="O59" s="7"/>
      <c r="P59" s="7"/>
      <c r="Q59" s="22"/>
      <c r="R59" s="170"/>
      <c r="S59" s="213"/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0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-16T09:10:11-0600',mode:absolute,to:'2017-07-16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197" t="str">
        <f>IF(AA59&lt;VLOOKUP(AG59,Variables!$AC$3:$AD$8,2,FALSE),"Y","N")</f>
        <v>Y</v>
      </c>
      <c r="X59" s="197">
        <f t="shared" si="22"/>
        <v>0</v>
      </c>
      <c r="Y59" s="197">
        <f t="shared" si="23"/>
        <v>23.2957</v>
      </c>
      <c r="Z59" s="197">
        <f t="shared" si="24"/>
        <v>23.2957</v>
      </c>
      <c r="AA59" s="197">
        <f t="shared" si="9"/>
        <v>0</v>
      </c>
      <c r="AB59" s="54" t="str">
        <f>VLOOKUP(A59,Enforcements!$C$7:$K$13,8,0)</f>
        <v>Bulletin (2)</v>
      </c>
      <c r="AC59" s="51" t="str">
        <f>VLOOKUP(A59,Enforcements!$C$7:$E$13,3,0)</f>
        <v>GRADE CROSSING</v>
      </c>
      <c r="AD59" s="206">
        <f t="shared" si="10"/>
        <v>146</v>
      </c>
      <c r="AE59" s="77" t="str">
        <f t="shared" si="11"/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59" s="74" t="str">
        <f t="shared" si="12"/>
        <v>"C:\Program Files (x86)\AstroGrep\AstroGrep.exe" /e /r /s /spath="%USERPROFILE%\AppData\Local\Temp\OnboardLogs" /stypes="app*4061*20170716*" /stext=" 17:.+((SYSTEM_STATE.+slice.+state.+changed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146-16 --locoid 4061 --swversion DE.1.0.9.0 --startMP 204:232957 --initTime 2017-07-16T10:10:11 --startdatetime 2017-07-16T10:38:28 --delay 1 --endMP 204:232957 --enddatetime 2017-07-16T11:05:18 --enforcementcount 0 &gt;&gt;C:\Users\stu\Documents\GitHub\eaglep3-reporting\EC\2017-07-16-refined-times.txt</v>
      </c>
      <c r="AI5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{"issue":{"subject":"","project_id":79,"tracker_id":40,"status_id":1,"priority_id":2,"assigned_to_id":23,"start_date":"2017-07-16","description":"","custom_fields":[{"id":1,"name":"Subdivision","value":"EC"},{"id":4,"name":"Milepost","value":"23.2957"},{"id":17,"name":"Train ID","value":"146-16"},{"id":16,"name":"Locomotive ID","value":"4061"},{"id":130,"name":"Impact","value":""},{"id":150,"name":"Time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4061 --day 2017-07-16</v>
      </c>
      <c r="AN5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606</v>
      </c>
      <c r="B60" s="7">
        <v>4061</v>
      </c>
      <c r="C60" s="21" t="s">
        <v>199</v>
      </c>
      <c r="D60" s="21" t="s">
        <v>575</v>
      </c>
      <c r="E60" s="13">
        <v>42932.423738425925</v>
      </c>
      <c r="F60" s="13">
        <v>42932.443379629629</v>
      </c>
      <c r="G60" s="7">
        <v>3</v>
      </c>
      <c r="H60" s="21" t="s">
        <v>866</v>
      </c>
      <c r="I60" s="13">
        <v>42932.462013888886</v>
      </c>
      <c r="J60" s="7">
        <v>0</v>
      </c>
      <c r="K60" s="89" t="str">
        <f t="shared" si="0"/>
        <v>4061/4062</v>
      </c>
      <c r="L60" s="21" t="str">
        <f>VLOOKUP(A60,'Trips&amp;Operators'!$C$1:$G$99999,5,FALSE)</f>
        <v>MACDONALD THOMAS</v>
      </c>
      <c r="M60" s="6">
        <f t="shared" si="1"/>
        <v>1.8634259256941732E-2</v>
      </c>
      <c r="N60" s="7"/>
      <c r="O60" s="7"/>
      <c r="P60" s="7"/>
      <c r="Q60" s="22"/>
      <c r="R60" s="170"/>
      <c r="S60" s="213"/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-16T09:10:11-0600',mode:absolute,to:'2017-07-16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0" s="197" t="str">
        <f>IF(AA60&lt;VLOOKUP(AG60,Variables!$AC$3:$AD$8,2,FALSE),"Y","N")</f>
        <v>N</v>
      </c>
      <c r="X60" s="197">
        <f t="shared" si="22"/>
        <v>0</v>
      </c>
      <c r="Y60" s="197">
        <f t="shared" si="23"/>
        <v>23.2957</v>
      </c>
      <c r="Z60" s="197">
        <f t="shared" si="24"/>
        <v>0.11940000000000001</v>
      </c>
      <c r="AA60" s="197">
        <f t="shared" si="9"/>
        <v>23.176300000000001</v>
      </c>
      <c r="AB60" s="54" t="str">
        <f>VLOOKUP(A60,Enforcements!$C$7:$K$13,8,0)</f>
        <v>Bulletin (2)</v>
      </c>
      <c r="AC60" s="51" t="str">
        <f>VLOOKUP(A60,Enforcements!$C$7:$E$13,3,0)</f>
        <v>GRADE CROSSING</v>
      </c>
      <c r="AD60" s="206">
        <f t="shared" si="10"/>
        <v>146</v>
      </c>
      <c r="AE60" s="77" t="str">
        <f t="shared" si="11"/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60" s="74" t="str">
        <f t="shared" si="12"/>
        <v>"C:\Program Files (x86)\AstroGrep\AstroGrep.exe" /e /r /s /spath="%USERPROFILE%\AppData\Local\Temp\OnboardLogs" /stypes="app*4061*20170716*"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146-16 --locoid 4061 --swversion DE.1.0.9.0 --startMP 204:232957 --initTime 2017-07-16T10:10:11 --startdatetime 2017-07-16T10:38:28 --delay 3 --endMP 204:1194 --enddatetime 2017-07-16T11:05:18 --enforcementcount 0 &gt;&gt;C:\Users\stu\Documents\GitHub\eaglep3-reporting\EC\2017-07-16-refined-times.txt</v>
      </c>
      <c r="AI6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{"issue":{"subject":"","project_id":79,"tracker_id":40,"status_id":1,"priority_id":2,"assigned_to_id":23,"start_date":"2017-07-16","description":"","custom_fields":[{"id":1,"name":"Subdivision","value":"EC"},{"id":4,"name":"Milepost","value":"0.1194"},{"id":17,"name":"Train ID","value":"146-16"},{"id":16,"name":"Locomotive ID","value":"4061"},{"id":130,"name":"Impact","value":""},{"id":150,"name":"Time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4061 --day 2017-07-16</v>
      </c>
      <c r="AN6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702</v>
      </c>
      <c r="B61" s="7">
        <v>4006</v>
      </c>
      <c r="C61" s="21" t="s">
        <v>199</v>
      </c>
      <c r="D61" s="21" t="s">
        <v>491</v>
      </c>
      <c r="E61" s="13">
        <v>42932.390810185185</v>
      </c>
      <c r="F61" s="13">
        <v>42932.396319444444</v>
      </c>
      <c r="G61" s="7">
        <v>1</v>
      </c>
      <c r="H61" s="21" t="s">
        <v>569</v>
      </c>
      <c r="I61" s="13">
        <v>42932.420624999999</v>
      </c>
      <c r="J61" s="7">
        <v>0</v>
      </c>
      <c r="K61" s="89" t="str">
        <f t="shared" si="0"/>
        <v>4005/4006</v>
      </c>
      <c r="L61" s="21" t="str">
        <f>VLOOKUP(A61,'Trips&amp;Operators'!$C$1:$G$99999,5,FALSE)</f>
        <v>ROBINSON KADDIBA</v>
      </c>
      <c r="M61" s="6">
        <f t="shared" si="1"/>
        <v>2.4305555554747116E-2</v>
      </c>
      <c r="N61" s="7">
        <f t="shared" ref="N61:N92" si="25">24*60*SUM($M61:$M61)</f>
        <v>34.999999998835847</v>
      </c>
      <c r="O61" s="7"/>
      <c r="P61" s="7"/>
      <c r="Q61" s="22"/>
      <c r="R61" s="170"/>
      <c r="S61" s="213">
        <f t="shared" ref="S61:S92" si="26">1/IF(AG61="EC",12,1)*SUM(U61:U61)</f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-16T08:22:46-0600',mode:absolute,to:'2017-07-16T11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23"/>
        <v>4.7500000000000001E-2</v>
      </c>
      <c r="Z61" s="197">
        <f t="shared" si="24"/>
        <v>23.3291</v>
      </c>
      <c r="AA61" s="197">
        <f t="shared" si="9"/>
        <v>23.281600000000001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147</v>
      </c>
      <c r="AE61" s="77" t="str">
        <f t="shared" si="11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61" s="74" t="str">
        <f t="shared" si="12"/>
        <v>"C:\Program Files (x86)\AstroGrep\AstroGrep.exe" /e /r /s /spath="%USERPROFILE%\AppData\Local\Temp\OnboardLogs" /stypes="app*4006*20170716*"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147-16 --locoid 4006 --swversion DE.1.0.9.0 --startMP 204:475 --initTime 2017-07-16T09:22:46 --startdatetime 2017-07-16T09:30:42 --delay 1 --endMP 204:233291 --enddatetime 2017-07-16T10:05:42 --enforcementcount 0 &gt;&gt;C:\Users\stu\Documents\GitHub\eaglep3-reporting\EC\2017-07-16-refined-times.txt</v>
      </c>
      <c r="AI6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{"issue":{"subject":"","project_id":79,"tracker_id":40,"status_id":1,"priority_id":2,"assigned_to_id":23,"start_date":"2017-07-16","description":"","custom_fields":[{"id":1,"name":"Subdivision","value":"EC"},{"id":4,"name":"Milepost","value":"23.3291"},{"id":17,"name":"Train ID","value":"147-16"},{"id":16,"name":"Locomotive ID","value":"4006"},{"id":130,"name":"Impact","value":""},{"id":150,"name":"Time of Event (Mountain Time)","value":"10:05:42"},{"id":151,"name":"Denver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4006 --day 2017-07-16</v>
      </c>
      <c r="AN6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4005</v>
      </c>
      <c r="C62" s="21" t="s">
        <v>199</v>
      </c>
      <c r="D62" s="21" t="s">
        <v>430</v>
      </c>
      <c r="E62" s="13">
        <v>42932.433321759258</v>
      </c>
      <c r="F62" s="13">
        <v>42932.435578703706</v>
      </c>
      <c r="G62" s="7">
        <v>1</v>
      </c>
      <c r="H62" s="21" t="s">
        <v>536</v>
      </c>
      <c r="I62" s="13">
        <v>42932.465532407405</v>
      </c>
      <c r="J62" s="7">
        <v>0</v>
      </c>
      <c r="K62" s="89" t="str">
        <f t="shared" si="0"/>
        <v>4005/4006</v>
      </c>
      <c r="L62" s="21" t="str">
        <f>VLOOKUP(A62,'Trips&amp;Operators'!$C$1:$G$99999,5,FALSE)</f>
        <v>ROBINSON KADDIBA</v>
      </c>
      <c r="M62" s="6">
        <f t="shared" si="1"/>
        <v>2.9953703698993195E-2</v>
      </c>
      <c r="N62" s="7">
        <f t="shared" si="25"/>
        <v>43.133333326550201</v>
      </c>
      <c r="O62" s="7"/>
      <c r="P62" s="7"/>
      <c r="Q62" s="22"/>
      <c r="R62" s="170"/>
      <c r="S62" s="213">
        <f t="shared" si="26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-16T09:23:59-0600',mode:absolute,to:'2017-07-16T12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23"/>
        <v>23.296900000000001</v>
      </c>
      <c r="Z62" s="197">
        <f t="shared" si="24"/>
        <v>1.52E-2</v>
      </c>
      <c r="AA62" s="197">
        <f t="shared" si="9"/>
        <v>23.281700000000001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148</v>
      </c>
      <c r="AE62" s="77" t="str">
        <f t="shared" si="11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62" s="74" t="str">
        <f t="shared" si="12"/>
        <v>"C:\Program Files (x86)\AstroGrep\AstroGrep.exe" /e /r /s /spath="%USERPROFILE%\AppData\Local\Temp\OnboardLogs" /stypes="app*4005*20170716*"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148-16 --locoid 4005 --swversion DE.1.0.9.0 --startMP 204:232969 --initTime 2017-07-16T10:23:59 --startdatetime 2017-07-16T10:27:14 --delay 1 --endMP 204:152 --enddatetime 2017-07-16T11:10:22 --enforcementcount 0 &gt;&gt;C:\Users\stu\Documents\GitHub\eaglep3-reporting\EC\2017-07-16-refined-times.txt</v>
      </c>
      <c r="AI6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ID","value":"148-16"},{"id":16,"name":"Locomotive ID","value":"4005"},{"id":130,"name":"Impact","value":""},{"id":150,"name":"Time of Event (Mountain Time)","value":"11:10:22"},{"id":151,"name":"Denver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4005 --day 2017-07-16</v>
      </c>
      <c r="AN6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605</v>
      </c>
      <c r="B63" s="7">
        <v>4012</v>
      </c>
      <c r="C63" s="21" t="s">
        <v>199</v>
      </c>
      <c r="D63" s="21" t="s">
        <v>380</v>
      </c>
      <c r="E63" s="13">
        <v>42932.402592592596</v>
      </c>
      <c r="F63" s="13">
        <v>42932.406793981485</v>
      </c>
      <c r="G63" s="7">
        <v>0</v>
      </c>
      <c r="H63" s="21" t="s">
        <v>867</v>
      </c>
      <c r="I63" s="13">
        <v>42932.433680555558</v>
      </c>
      <c r="J63" s="7">
        <v>0</v>
      </c>
      <c r="K63" s="89" t="str">
        <f t="shared" si="0"/>
        <v>4011/4012</v>
      </c>
      <c r="L63" s="21" t="str">
        <f>VLOOKUP(A63,'Trips&amp;Operators'!$C$1:$G$99999,5,FALSE)</f>
        <v>BROWN JACOB</v>
      </c>
      <c r="M63" s="6">
        <f t="shared" si="1"/>
        <v>2.6886574072705116E-2</v>
      </c>
      <c r="N63" s="7">
        <f t="shared" si="25"/>
        <v>38.716666664695367</v>
      </c>
      <c r="O63" s="7"/>
      <c r="P63" s="7"/>
      <c r="Q63" s="22"/>
      <c r="R63" s="170"/>
      <c r="S63" s="213">
        <f t="shared" si="26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-16T08:39:44-0600',mode:absolute,to:'2017-07-16T11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23"/>
        <v>4.6199999999999998E-2</v>
      </c>
      <c r="Z63" s="197">
        <f t="shared" si="24"/>
        <v>23.334199999999999</v>
      </c>
      <c r="AA63" s="197">
        <f t="shared" si="9"/>
        <v>23.288</v>
      </c>
      <c r="AB63" s="54" t="str">
        <f>VLOOKUP(A63,Enforcements!$C$7:$K$13,8,0)</f>
        <v>Bulletin (2)</v>
      </c>
      <c r="AC63" s="51" t="str">
        <f>VLOOKUP(A63,Enforcements!$C$7:$E$13,3,0)</f>
        <v>GRADE CROSSING</v>
      </c>
      <c r="AD63" s="206">
        <f t="shared" si="10"/>
        <v>149</v>
      </c>
      <c r="AE63" s="77" t="str">
        <f t="shared" si="11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63" s="74" t="str">
        <f t="shared" si="12"/>
        <v>"C:\Program Files (x86)\AstroGrep\AstroGrep.exe" /e /r /s /spath="%USERPROFILE%\AppData\Local\Temp\OnboardLogs" /stypes="app*4012*20170716*"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149-16 --locoid 4012 --swversion DE.1.0.9.0 --startMP 204:462 --initTime 2017-07-16T09:39:44 --startdatetime 2017-07-16T09:45:47 --delay 0 --endMP 204:233342 --enddatetime 2017-07-16T10:24:30 --enforcementcount 0 &gt;&gt;C:\Users\stu\Documents\GitHub\eaglep3-reporting\EC\2017-07-16-refined-times.txt</v>
      </c>
      <c r="AI6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{"issue":{"subject":"","project_id":79,"tracker_id":40,"status_id":1,"priority_id":2,"assigned_to_id":23,"start_date":"2017-07-16","description":"","custom_fields":[{"id":1,"name":"Subdivision","value":"EC"},{"id":4,"name":"Milepost","value":"23.3342"},{"id":17,"name":"Train ID","value":"149-16"},{"id":16,"name":"Locomotive ID","value":"4012"},{"id":130,"name":"Impact","value":""},{"id":150,"name":"Time of Event (Mountain Time)","value":"10:24:30"},{"id":151,"name":"Denver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4012 --day 2017-07-16</v>
      </c>
      <c r="AN6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714</v>
      </c>
      <c r="B64" s="7">
        <v>4011</v>
      </c>
      <c r="C64" s="21" t="s">
        <v>199</v>
      </c>
      <c r="D64" s="21" t="s">
        <v>846</v>
      </c>
      <c r="E64" s="13">
        <v>42932.443206018521</v>
      </c>
      <c r="F64" s="13">
        <v>42932.446018518516</v>
      </c>
      <c r="G64" s="7">
        <v>1</v>
      </c>
      <c r="H64" s="21" t="s">
        <v>536</v>
      </c>
      <c r="I64" s="13">
        <v>42932.472280092596</v>
      </c>
      <c r="J64" s="7">
        <v>0</v>
      </c>
      <c r="K64" s="89" t="str">
        <f t="shared" si="0"/>
        <v>4011/4012</v>
      </c>
      <c r="L64" s="21" t="str">
        <f>VLOOKUP(A64,'Trips&amp;Operators'!$C$1:$G$99999,5,FALSE)</f>
        <v>BROWN JACOB</v>
      </c>
      <c r="M64" s="6">
        <f t="shared" si="1"/>
        <v>2.6261574079398997E-2</v>
      </c>
      <c r="N64" s="7">
        <f t="shared" si="25"/>
        <v>37.816666674334556</v>
      </c>
      <c r="O64" s="7"/>
      <c r="P64" s="7"/>
      <c r="Q64" s="22"/>
      <c r="R64" s="170"/>
      <c r="S64" s="213">
        <f t="shared" si="26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-16T09:38:13-0600',mode:absolute,to:'2017-07-16T12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23"/>
        <v>23.300599999999999</v>
      </c>
      <c r="Z64" s="197">
        <f t="shared" si="24"/>
        <v>1.52E-2</v>
      </c>
      <c r="AA64" s="197">
        <f t="shared" si="9"/>
        <v>23.285399999999999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150</v>
      </c>
      <c r="AE64" s="77" t="str">
        <f t="shared" si="11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64" s="74" t="str">
        <f t="shared" si="12"/>
        <v>"C:\Program Files (x86)\AstroGrep\AstroGrep.exe" /e /r /s /spath="%USERPROFILE%\AppData\Local\Temp\OnboardLogs" /stypes="app*4011*20170716*"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150-16 --locoid 4011 --swversion DE.1.0.9.0 --startMP 204:233006 --initTime 2017-07-16T10:38:13 --startdatetime 2017-07-16T10:42:16 --delay 1 --endMP 204:152 --enddatetime 2017-07-16T11:20:05 --enforcementcount 0 &gt;&gt;C:\Users\stu\Documents\GitHub\eaglep3-reporting\EC\2017-07-16-refined-times.txt</v>
      </c>
      <c r="AI6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{"issue":{"subject":"","project_id":79,"tracker_id":40,"status_id":1,"priority_id":2,"assigned_to_id":23,"start_date":"2017-07-16","description":"","custom_fields":[{"id":1,"name":"Subdivision","value":"EC"},{"id":4,"name":"Milepost","value":"0.0152"},{"id":17,"name":"Train ID","value":"150-16"},{"id":16,"name":"Locomotive ID","value":"4011"},{"id":130,"name":"Impact","value":""},{"id":150,"name":"Time of Event (Mountain Time)","value":"11:20:05"},{"id":151,"name":"Denver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4011 --day 2017-07-16</v>
      </c>
      <c r="AN6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706</v>
      </c>
      <c r="B65" s="7">
        <v>4050</v>
      </c>
      <c r="C65" s="21" t="s">
        <v>199</v>
      </c>
      <c r="D65" s="21" t="s">
        <v>491</v>
      </c>
      <c r="E65" s="13">
        <v>42932.412141203706</v>
      </c>
      <c r="F65" s="13">
        <v>42932.417256944442</v>
      </c>
      <c r="G65" s="7">
        <v>2</v>
      </c>
      <c r="H65" s="21" t="s">
        <v>868</v>
      </c>
      <c r="I65" s="13">
        <v>42932.443182870367</v>
      </c>
      <c r="J65" s="7">
        <v>0</v>
      </c>
      <c r="K65" s="89" t="str">
        <f t="shared" si="0"/>
        <v>4049/4050</v>
      </c>
      <c r="L65" s="21" t="str">
        <f>VLOOKUP(A65,'Trips&amp;Operators'!$C$1:$G$99999,5,FALSE)</f>
        <v>GEBRETEKLE DAGNEW</v>
      </c>
      <c r="M65" s="6">
        <f t="shared" si="1"/>
        <v>2.5925925925548654E-2</v>
      </c>
      <c r="N65" s="7">
        <f t="shared" si="25"/>
        <v>37.333333332790062</v>
      </c>
      <c r="O65" s="7"/>
      <c r="P65" s="7"/>
      <c r="Q65" s="22"/>
      <c r="R65" s="170"/>
      <c r="S65" s="213">
        <f t="shared" si="26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-16T08:53:29-0600',mode:absolute,to:'2017-07-16T11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23"/>
        <v>4.7500000000000001E-2</v>
      </c>
      <c r="Z65" s="197">
        <f t="shared" si="24"/>
        <v>23.334299999999999</v>
      </c>
      <c r="AA65" s="197">
        <f t="shared" si="9"/>
        <v>23.286799999999999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151</v>
      </c>
      <c r="AE65" s="77" t="str">
        <f t="shared" si="11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65" s="74" t="str">
        <f t="shared" si="12"/>
        <v>"C:\Program Files (x86)\AstroGrep\AstroGrep.exe" /e /r /s /spath="%USERPROFILE%\AppData\Local\Temp\OnboardLogs" /stypes="app*4050*20170716*"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151-16 --locoid 4050 --swversion DE.1.0.9.0 --startMP 204:475 --initTime 2017-07-16T09:53:29 --startdatetime 2017-07-16T10:00:51 --delay 2 --endMP 204:233343 --enddatetime 2017-07-16T10:38:11 --enforcementcount 0 &gt;&gt;C:\Users\stu\Documents\GitHub\eaglep3-reporting\EC\2017-07-16-refined-times.txt</v>
      </c>
      <c r="AI6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{"issue":{"subject":"","project_id":79,"tracker_id":40,"status_id":1,"priority_id":2,"assigned_to_id":23,"start_date":"2017-07-16","description":"","custom_fields":[{"id":1,"name":"Subdivision","value":"EC"},{"id":4,"name":"Milepost","value":"23.3343"},{"id":17,"name":"Train ID","value":"151-16"},{"id":16,"name":"Locomotive ID","value":"4050"},{"id":130,"name":"Impact","value":""},{"id":150,"name":"Time of Event (Mountain Time)","value":"10:38:11"},{"id":151,"name":"Denver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2017-07-16</v>
      </c>
      <c r="AN6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716</v>
      </c>
      <c r="B66" s="7">
        <v>4049</v>
      </c>
      <c r="C66" s="21" t="s">
        <v>199</v>
      </c>
      <c r="D66" s="21" t="s">
        <v>581</v>
      </c>
      <c r="E66" s="13">
        <v>42932.444675925923</v>
      </c>
      <c r="F66" s="13">
        <v>42932.456504629627</v>
      </c>
      <c r="G66" s="7">
        <v>1</v>
      </c>
      <c r="H66" s="21" t="s">
        <v>381</v>
      </c>
      <c r="I66" s="13">
        <v>42932.482488425929</v>
      </c>
      <c r="J66" s="7">
        <v>0</v>
      </c>
      <c r="K66" s="89" t="str">
        <f t="shared" si="0"/>
        <v>4049/4050</v>
      </c>
      <c r="L66" s="21" t="str">
        <f>VLOOKUP(A66,'Trips&amp;Operators'!$C$1:$G$99999,5,FALSE)</f>
        <v>GEBRETEKLE DAGNEW</v>
      </c>
      <c r="M66" s="6">
        <f t="shared" si="1"/>
        <v>2.5983796302170958E-2</v>
      </c>
      <c r="N66" s="7">
        <f t="shared" si="25"/>
        <v>37.41666667512618</v>
      </c>
      <c r="O66" s="7"/>
      <c r="P66" s="7"/>
      <c r="Q66" s="22"/>
      <c r="R66" s="170"/>
      <c r="S66" s="213">
        <f t="shared" si="26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-16T09:40:20-0600',mode:absolute,to:'2017-07-16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23"/>
        <v>23.301100000000002</v>
      </c>
      <c r="Z66" s="197">
        <f t="shared" si="24"/>
        <v>1.54E-2</v>
      </c>
      <c r="AA66" s="197">
        <f t="shared" si="9"/>
        <v>23.285700000000002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152</v>
      </c>
      <c r="AE66" s="77" t="str">
        <f t="shared" si="11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66" s="74" t="str">
        <f t="shared" si="12"/>
        <v>"C:\Program Files (x86)\AstroGrep\AstroGrep.exe" /e /r /s /spath="%USERPROFILE%\AppData\Local\Temp\OnboardLogs" /stypes="app*4049*20170716*"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152-16 --locoid 4049 --swversion DE.1.0.9.0 --startMP 204:233011 --initTime 2017-07-16T10:40:20 --startdatetime 2017-07-16T10:57:22 --delay 1 --endMP 204:154 --enddatetime 2017-07-16T11:34:47 --enforcementcount 0 &gt;&gt;C:\Users\stu\Documents\GitHub\eaglep3-reporting\EC\2017-07-16-refined-times.txt</v>
      </c>
      <c r="AI6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{"issue":{"subject":"","project_id":79,"tracker_id":40,"status_id":1,"priority_id":2,"assigned_to_id":23,"start_date":"2017-07-16","description":"","custom_fields":[{"id":1,"name":"Subdivision","value":"EC"},{"id":4,"name":"Milepost","value":"0.0154"},{"id":17,"name":"Train ID","value":"152-16"},{"id":16,"name":"Locomotive ID","value":"4049"},{"id":130,"name":"Impact","value":""},{"id":150,"name":"Time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2017-07-16</v>
      </c>
      <c r="AN6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708</v>
      </c>
      <c r="B67" s="7">
        <v>4002</v>
      </c>
      <c r="C67" s="21" t="s">
        <v>199</v>
      </c>
      <c r="D67" s="21" t="s">
        <v>869</v>
      </c>
      <c r="E67" s="13">
        <v>42932.421793981484</v>
      </c>
      <c r="F67" s="13">
        <v>42932.42759259259</v>
      </c>
      <c r="G67" s="7">
        <v>1</v>
      </c>
      <c r="H67" s="21" t="s">
        <v>856</v>
      </c>
      <c r="I67" s="13">
        <v>42932.452118055553</v>
      </c>
      <c r="J67" s="7">
        <v>0</v>
      </c>
      <c r="K67" s="89" t="str">
        <f t="shared" si="0"/>
        <v>4001/4002</v>
      </c>
      <c r="L67" s="21" t="str">
        <f>VLOOKUP(A67,'Trips&amp;Operators'!$C$1:$G$99999,5,FALSE)</f>
        <v>LOPES KIMBERLY</v>
      </c>
      <c r="M67" s="6">
        <f t="shared" si="1"/>
        <v>2.4525462962628808E-2</v>
      </c>
      <c r="N67" s="7">
        <f t="shared" si="25"/>
        <v>35.316666666185483</v>
      </c>
      <c r="O67" s="7"/>
      <c r="P67" s="7"/>
      <c r="Q67" s="22"/>
      <c r="R67" s="170"/>
      <c r="S67" s="213">
        <f t="shared" si="26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-16T09:07:23-0600',mode:absolute,to:'2017-07-16T11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23"/>
        <v>4.3700000000000003E-2</v>
      </c>
      <c r="Z67" s="197">
        <f t="shared" si="24"/>
        <v>23.330400000000001</v>
      </c>
      <c r="AA67" s="197">
        <f t="shared" si="9"/>
        <v>23.2867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153</v>
      </c>
      <c r="AE67" s="77" t="str">
        <f t="shared" si="11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67" s="74" t="str">
        <f t="shared" si="12"/>
        <v>"C:\Program Files (x86)\AstroGrep\AstroGrep.exe" /e /r /s /spath="%USERPROFILE%\AppData\Local\Temp\OnboardLogs" /stypes="app*4002*20170716*"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153-16 --locoid 4002 --swversion DE.1.0.9.0 --startMP 204:437 --initTime 2017-07-16T10:07:23 --startdatetime 2017-07-16T10:15:44 --delay 1 --endMP 204:233304 --enddatetime 2017-07-16T10:51:03 --enforcementcount 0 &gt;&gt;C:\Users\stu\Documents\GitHub\eaglep3-reporting\EC\2017-07-16-refined-times.txt</v>
      </c>
      <c r="AI6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{"issue":{"subject":"","project_id":79,"tracker_id":40,"status_id":1,"priority_id":2,"assigned_to_id":23,"start_date":"2017-07-16","description":"","custom_fields":[{"id":1,"name":"Subdivision","value":"EC"},{"id":4,"name":"Milepost","value":"23.3304"},{"id":17,"name":"Train ID","value":"153-16"},{"id":16,"name":"Locomotive ID","value":"4002"},{"id":130,"name":"Impact","value":""},{"id":150,"name":"Time of Event (Mountain Time)","value":"10:51:03"},{"id":151,"name":"Denver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4002 --day 2017-07-16</v>
      </c>
      <c r="AN6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719</v>
      </c>
      <c r="B68" s="7">
        <v>4001</v>
      </c>
      <c r="C68" s="21" t="s">
        <v>199</v>
      </c>
      <c r="D68" s="21" t="s">
        <v>870</v>
      </c>
      <c r="E68" s="13">
        <v>42932.460972222223</v>
      </c>
      <c r="F68" s="13">
        <v>42932.466851851852</v>
      </c>
      <c r="G68" s="7">
        <v>1</v>
      </c>
      <c r="H68" s="21" t="s">
        <v>353</v>
      </c>
      <c r="I68" s="13">
        <v>42932.492835648147</v>
      </c>
      <c r="J68" s="7">
        <v>0</v>
      </c>
      <c r="K68" s="89" t="str">
        <f t="shared" si="0"/>
        <v>4001/4002</v>
      </c>
      <c r="L68" s="21" t="str">
        <f>VLOOKUP(A68,'Trips&amp;Operators'!$C$1:$G$99999,5,FALSE)</f>
        <v>LOPES KIMBERLY</v>
      </c>
      <c r="M68" s="6">
        <f t="shared" si="1"/>
        <v>2.5983796294895001E-2</v>
      </c>
      <c r="N68" s="7">
        <f t="shared" si="25"/>
        <v>37.416666664648801</v>
      </c>
      <c r="O68" s="7"/>
      <c r="P68" s="7"/>
      <c r="Q68" s="22"/>
      <c r="R68" s="170"/>
      <c r="S68" s="213">
        <f t="shared" si="26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-16T10:03:48-0600',mode:absolute,to:'2017-07-16T12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23"/>
        <v>23.298300000000001</v>
      </c>
      <c r="Z68" s="197">
        <f t="shared" si="24"/>
        <v>1.41E-2</v>
      </c>
      <c r="AA68" s="197">
        <f t="shared" si="9"/>
        <v>23.284200000000002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154</v>
      </c>
      <c r="AE68" s="77" t="str">
        <f t="shared" si="11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68" s="74" t="str">
        <f t="shared" si="12"/>
        <v>"C:\Program Files (x86)\AstroGrep\AstroGrep.exe" /e /r /s /spath="%USERPROFILE%\AppData\Local\Temp\OnboardLogs" /stypes="app*4001*20170716*"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154-16 --locoid 4001 --swversion DE.1.0.9.0 --startMP 204:232983 --initTime 2017-07-16T11:03:48 --startdatetime 2017-07-16T11:12:16 --delay 1 --endMP 204:141 --enddatetime 2017-07-16T11:49:41 --enforcementcount 0 &gt;&gt;C:\Users\stu\Documents\GitHub\eaglep3-reporting\EC\2017-07-16-refined-times.txt</v>
      </c>
      <c r="AI68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{"issue":{"subject":"","project_id":79,"tracker_id":40,"status_id":1,"priority_id":2,"assigned_to_id":23,"start_date":"2017-07-16","description":"","custom_fields":[{"id":1,"name":"Subdivision","value":"EC"},{"id":4,"name":"Milepost","value":"0.0141"},{"id":17,"name":"Train ID","value":"154-16"},{"id":16,"name":"Locomotive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2017-07-16</v>
      </c>
      <c r="AN68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711</v>
      </c>
      <c r="B69" s="7">
        <v>4008</v>
      </c>
      <c r="C69" s="21" t="s">
        <v>199</v>
      </c>
      <c r="D69" s="21" t="s">
        <v>485</v>
      </c>
      <c r="E69" s="13">
        <v>42932.432430555556</v>
      </c>
      <c r="F69" s="13">
        <v>42932.438032407408</v>
      </c>
      <c r="G69" s="7">
        <v>1</v>
      </c>
      <c r="H69" s="21" t="s">
        <v>871</v>
      </c>
      <c r="I69" s="13">
        <v>42932.462488425925</v>
      </c>
      <c r="J69" s="7">
        <v>0</v>
      </c>
      <c r="K69" s="89" t="str">
        <f t="shared" si="0"/>
        <v>4007/4008</v>
      </c>
      <c r="L69" s="21" t="str">
        <f>VLOOKUP(A69,'Trips&amp;Operators'!$C$1:$G$99999,5,FALSE)</f>
        <v>GUZMAN DANNY</v>
      </c>
      <c r="M69" s="6">
        <f t="shared" si="1"/>
        <v>2.4456018516502809E-2</v>
      </c>
      <c r="N69" s="7">
        <f t="shared" si="25"/>
        <v>35.216666663764045</v>
      </c>
      <c r="O69" s="7"/>
      <c r="P69" s="7"/>
      <c r="Q69" s="22"/>
      <c r="R69" s="170"/>
      <c r="S69" s="213">
        <f t="shared" si="26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-16T09:22:42-0600',mode:absolute,to:'2017-07-16T12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23"/>
        <v>4.6399999999999997E-2</v>
      </c>
      <c r="Z69" s="197">
        <f t="shared" si="24"/>
        <v>23.327999999999999</v>
      </c>
      <c r="AA69" s="197">
        <f t="shared" si="9"/>
        <v>23.281600000000001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155</v>
      </c>
      <c r="AE69" s="77" t="str">
        <f t="shared" si="11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69" s="74" t="str">
        <f t="shared" si="12"/>
        <v>"C:\Program Files (x86)\AstroGrep\AstroGrep.exe" /e /r /s /spath="%USERPROFILE%\AppData\Local\Temp\OnboardLogs" /stypes="app*4008*20170716*"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155-16 --locoid 4008 --swversion DE.1.0.9.0 --startMP 204:464 --initTime 2017-07-16T10:22:42 --startdatetime 2017-07-16T10:30:46 --delay 1 --endMP 204:233280 --enddatetime 2017-07-16T11:05:59 --enforcementcount 0 &gt;&gt;C:\Users\stu\Documents\GitHub\eaglep3-reporting\EC\2017-07-16-refined-times.txt</v>
      </c>
      <c r="AI69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{"issue":{"subject":"","project_id":79,"tracker_id":40,"status_id":1,"priority_id":2,"assigned_to_id":23,"start_date":"2017-07-16","description":"","custom_fields":[{"id":1,"name":"Subdivision","value":"EC"},{"id":4,"name":"Milepost","value":"23.328"},{"id":17,"name":"Train ID","value":"155-16"},{"id":16,"name":"Locomotive ID","value":"4008"},{"id":130,"name":"Impact","value":""},{"id":150,"name":"Time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4008 --day 2017-07-16</v>
      </c>
      <c r="AN69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720</v>
      </c>
      <c r="B70" s="7">
        <v>4007</v>
      </c>
      <c r="C70" s="21" t="s">
        <v>199</v>
      </c>
      <c r="D70" s="21" t="s">
        <v>872</v>
      </c>
      <c r="E70" s="13">
        <v>42932.464120370372</v>
      </c>
      <c r="F70" s="13">
        <v>42932.477256944447</v>
      </c>
      <c r="G70" s="7">
        <v>1</v>
      </c>
      <c r="H70" s="21" t="s">
        <v>345</v>
      </c>
      <c r="I70" s="13">
        <v>42932.504664351851</v>
      </c>
      <c r="J70" s="7">
        <v>0</v>
      </c>
      <c r="K70" s="89" t="str">
        <f t="shared" si="0"/>
        <v>4007/4008</v>
      </c>
      <c r="L70" s="21" t="str">
        <f>VLOOKUP(A70,'Trips&amp;Operators'!$C$1:$G$99999,5,FALSE)</f>
        <v>GUZMAN DANNY</v>
      </c>
      <c r="M70" s="6">
        <f t="shared" si="1"/>
        <v>2.7407407404098194E-2</v>
      </c>
      <c r="N70" s="7">
        <f t="shared" si="25"/>
        <v>39.466666661901399</v>
      </c>
      <c r="O70" s="7"/>
      <c r="P70" s="7"/>
      <c r="Q70" s="22"/>
      <c r="R70" s="170"/>
      <c r="S70" s="213">
        <f t="shared" si="26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-16T10:08:20-0600',mode:absolute,to:'2017-07-16T13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23"/>
        <v>23.2988</v>
      </c>
      <c r="Z70" s="197">
        <f t="shared" si="24"/>
        <v>1.43E-2</v>
      </c>
      <c r="AA70" s="197">
        <f t="shared" si="9"/>
        <v>23.284500000000001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156</v>
      </c>
      <c r="AE70" s="77" t="str">
        <f t="shared" si="11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70" s="74" t="str">
        <f t="shared" si="12"/>
        <v>"C:\Program Files (x86)\AstroGrep\AstroGrep.exe" /e /r /s /spath="%USERPROFILE%\AppData\Local\Temp\OnboardLogs" /stypes="app*4007*20170716*"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156-16 --locoid 4007 --swversion DE.1.0.9.0 --startMP 204:232988 --initTime 2017-07-16T11:08:20 --startdatetime 2017-07-16T11:27:15 --delay 1 --endMP 204:143 --enddatetime 2017-07-16T12:06:43 --enforcementcount 0 &gt;&gt;C:\Users\stu\Documents\GitHub\eaglep3-reporting\EC\2017-07-16-refined-times.txt</v>
      </c>
      <c r="AI70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{"issue":{"subject":"","project_id":79,"tracker_id":40,"status_id":1,"priority_id":2,"assigned_to_id":23,"start_date":"2017-07-16","description":"","custom_fields":[{"id":1,"name":"Subdivision","value":"EC"},{"id":4,"name":"Milepost","value":"0.0143"},{"id":17,"name":"Train ID","value":"156-16"},{"id":16,"name":"Locomotive ID","value":"4007"},{"id":130,"name":"Impact","value":""},{"id":150,"name":"Time of Event (Mountain Time)","value":"12:06:43"},{"id":151,"name":"Denver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4007 --day 2017-07-16</v>
      </c>
      <c r="AN70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715</v>
      </c>
      <c r="B71" s="7">
        <v>4064</v>
      </c>
      <c r="C71" s="21" t="s">
        <v>199</v>
      </c>
      <c r="D71" s="21" t="s">
        <v>859</v>
      </c>
      <c r="E71" s="13">
        <v>42932.443657407406</v>
      </c>
      <c r="F71" s="13">
        <v>42932.448460648149</v>
      </c>
      <c r="G71" s="7">
        <v>1</v>
      </c>
      <c r="H71" s="21" t="s">
        <v>873</v>
      </c>
      <c r="I71" s="13">
        <v>42932.472812499997</v>
      </c>
      <c r="J71" s="7">
        <v>0</v>
      </c>
      <c r="K71" s="89" t="str">
        <f t="shared" si="0"/>
        <v>4063/4064</v>
      </c>
      <c r="L71" s="21" t="str">
        <f>VLOOKUP(A71,'Trips&amp;Operators'!$C$1:$G$99999,5,FALSE)</f>
        <v>ROMERO CHAD</v>
      </c>
      <c r="M71" s="6">
        <f t="shared" si="1"/>
        <v>2.435185184731381E-2</v>
      </c>
      <c r="N71" s="7">
        <f t="shared" si="25"/>
        <v>35.066666660131887</v>
      </c>
      <c r="O71" s="7"/>
      <c r="P71" s="7"/>
      <c r="Q71" s="22"/>
      <c r="R71" s="170"/>
      <c r="S71" s="213">
        <f t="shared" si="26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-16T09:38:52-0600',mode:absolute,to:'2017-07-16T12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23"/>
        <v>4.7699999999999999E-2</v>
      </c>
      <c r="Z71" s="197">
        <f t="shared" si="24"/>
        <v>23.3398</v>
      </c>
      <c r="AA71" s="197">
        <f t="shared" si="9"/>
        <v>23.292100000000001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157</v>
      </c>
      <c r="AE71" s="77" t="str">
        <f t="shared" si="11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71" s="74" t="str">
        <f t="shared" si="12"/>
        <v>"C:\Program Files (x86)\AstroGrep\AstroGrep.exe" /e /r /s /spath="%USERPROFILE%\AppData\Local\Temp\OnboardLogs" /stypes="app*4064*20170716*"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157-16 --locoid 4064 --swversion DE.1.0.9.0 --startMP 204:477 --initTime 2017-07-16T10:38:52 --startdatetime 2017-07-16T10:45:47 --delay 1 --endMP 204:233398 --enddatetime 2017-07-16T11:20:51 --enforcementcount 0 &gt;&gt;C:\Users\stu\Documents\GitHub\eaglep3-reporting\EC\2017-07-16-refined-times.txt</v>
      </c>
      <c r="AI71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{"issue":{"subject":"","project_id":79,"tracker_id":40,"status_id":1,"priority_id":2,"assigned_to_id":23,"start_date":"2017-07-16","description":"","custom_fields":[{"id":1,"name":"Subdivision","value":"EC"},{"id":4,"name":"Milepost","value":"23.3398"},{"id":17,"name":"Train ID","value":"157-16"},{"id":16,"name":"Locomotive ID","value":"4064"},{"id":130,"name":"Impact","value":""},{"id":150,"name":"Time of Event (Mountain Time)","value":"11:20:51"},{"id":151,"name":"Denver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4064 --day 2017-07-16</v>
      </c>
      <c r="AN71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722</v>
      </c>
      <c r="B72" s="7">
        <v>4063</v>
      </c>
      <c r="C72" s="21" t="s">
        <v>199</v>
      </c>
      <c r="D72" s="21" t="s">
        <v>582</v>
      </c>
      <c r="E72" s="13">
        <v>42932.474166666667</v>
      </c>
      <c r="F72" s="13">
        <v>42932.487916666665</v>
      </c>
      <c r="G72" s="7">
        <v>1</v>
      </c>
      <c r="H72" s="21" t="s">
        <v>401</v>
      </c>
      <c r="I72" s="13">
        <v>42932.513877314814</v>
      </c>
      <c r="J72" s="7">
        <v>0</v>
      </c>
      <c r="K72" s="89" t="str">
        <f t="shared" si="0"/>
        <v>4063/4064</v>
      </c>
      <c r="L72" s="21" t="str">
        <f>VLOOKUP(A72,'Trips&amp;Operators'!$C$1:$G$99999,5,FALSE)</f>
        <v>ROMERO CHAD</v>
      </c>
      <c r="M72" s="6">
        <f t="shared" si="1"/>
        <v>2.5960648148611654E-2</v>
      </c>
      <c r="N72" s="7">
        <f t="shared" si="25"/>
        <v>37.383333334000781</v>
      </c>
      <c r="O72" s="7"/>
      <c r="P72" s="7"/>
      <c r="Q72" s="22"/>
      <c r="R72" s="170"/>
      <c r="S72" s="213">
        <f t="shared" si="26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-16T10:22:48-0600',mode:absolute,to:'2017-07-16T13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23"/>
        <v>23.309799999999999</v>
      </c>
      <c r="Z72" s="197">
        <f t="shared" si="24"/>
        <v>1.38E-2</v>
      </c>
      <c r="AA72" s="197">
        <f t="shared" si="9"/>
        <v>23.295999999999999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158</v>
      </c>
      <c r="AE72" s="77" t="str">
        <f t="shared" si="11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72" s="74" t="str">
        <f t="shared" si="12"/>
        <v>"C:\Program Files (x86)\AstroGrep\AstroGrep.exe" /e /r /s /spath="%USERPROFILE%\AppData\Local\Temp\OnboardLogs" /stypes="app*4063*20170716*"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158-16 --locoid 4063 --swversion DE.1.0.9.0 --startMP 204:233098 --initTime 2017-07-16T11:22:48 --startdatetime 2017-07-16T11:42:36 --delay 1 --endMP 204:138 --enddatetime 2017-07-16T12:19:59 --enforcementcount 0 &gt;&gt;C:\Users\stu\Documents\GitHub\eaglep3-reporting\EC\2017-07-16-refined-times.txt</v>
      </c>
      <c r="AI72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ID","value":"158-16"},{"id":16,"name":"Locomotive ID","value":"4063"},{"id":130,"name":"Impact","value":""},{"id":150,"name":"Time of Event (Mountain Time)","value":"12:19:59"},{"id":151,"name":"Denver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4063 --day 2017-07-16</v>
      </c>
      <c r="AN72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717</v>
      </c>
      <c r="B73" s="7">
        <v>4042</v>
      </c>
      <c r="C73" s="21" t="s">
        <v>199</v>
      </c>
      <c r="D73" s="21" t="s">
        <v>350</v>
      </c>
      <c r="E73" s="13">
        <v>42932.45175925926</v>
      </c>
      <c r="F73" s="13">
        <v>42932.459143518521</v>
      </c>
      <c r="G73" s="7">
        <v>1</v>
      </c>
      <c r="H73" s="21" t="s">
        <v>874</v>
      </c>
      <c r="I73" s="13">
        <v>42932.483449074076</v>
      </c>
      <c r="J73" s="7">
        <v>0</v>
      </c>
      <c r="K73" s="89" t="str">
        <f t="shared" si="0"/>
        <v>4041/4042</v>
      </c>
      <c r="L73" s="21" t="str">
        <f>VLOOKUP(A73,'Trips&amp;Operators'!$C$1:$G$99999,5,FALSE)</f>
        <v>MOSES BRADLEY</v>
      </c>
      <c r="M73" s="6">
        <f t="shared" si="1"/>
        <v>2.4305555554747116E-2</v>
      </c>
      <c r="N73" s="7">
        <f t="shared" si="25"/>
        <v>34.999999998835847</v>
      </c>
      <c r="O73" s="7"/>
      <c r="P73" s="7"/>
      <c r="Q73" s="22"/>
      <c r="R73" s="170"/>
      <c r="S73" s="213">
        <f t="shared" si="26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-16T09:50:32-0600',mode:absolute,to:'2017-07-16T12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23"/>
        <v>4.4699999999999997E-2</v>
      </c>
      <c r="Z73" s="197">
        <f t="shared" si="24"/>
        <v>23.328800000000001</v>
      </c>
      <c r="AA73" s="197">
        <f t="shared" si="9"/>
        <v>23.284100000000002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159</v>
      </c>
      <c r="AE73" s="77" t="str">
        <f t="shared" si="11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73" s="74" t="str">
        <f t="shared" si="12"/>
        <v>"C:\Program Files (x86)\AstroGrep\AstroGrep.exe" /e /r /s /spath="%USERPROFILE%\AppData\Local\Temp\OnboardLogs" /stypes="app*4042*20170716*"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159-16 --locoid 4042 --swversion DE.1.0.9.0 --startMP 204:447 --initTime 2017-07-16T10:50:32 --startdatetime 2017-07-16T11:01:10 --delay 1 --endMP 204:233288 --enddatetime 2017-07-16T11:36:10 --enforcementcount 0 &gt;&gt;C:\Users\stu\Documents\GitHub\eaglep3-reporting\EC\2017-07-16-refined-times.txt</v>
      </c>
      <c r="AI73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{"issue":{"subject":"","project_id":79,"tracker_id":40,"status_id":1,"priority_id":2,"assigned_to_id":23,"start_date":"2017-07-16","description":"","custom_fields":[{"id":1,"name":"Subdivision","value":"EC"},{"id":4,"name":"Milepost","value":"23.3288"},{"id":17,"name":"Train ID","value":"159-16"},{"id":16,"name":"Locomotive ID","value":"4042"},{"id":130,"name":"Impact","value":""},{"id":150,"name":"Time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4042 --day 2017-07-16</v>
      </c>
      <c r="AN73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730</v>
      </c>
      <c r="B74" s="7">
        <v>4041</v>
      </c>
      <c r="C74" s="21" t="s">
        <v>199</v>
      </c>
      <c r="D74" s="21" t="s">
        <v>535</v>
      </c>
      <c r="E74" s="13">
        <v>42932.493900462963</v>
      </c>
      <c r="F74" s="13">
        <v>42932.498159722221</v>
      </c>
      <c r="G74" s="7">
        <v>1</v>
      </c>
      <c r="H74" s="21" t="s">
        <v>543</v>
      </c>
      <c r="I74" s="13">
        <v>42932.524652777778</v>
      </c>
      <c r="J74" s="7">
        <v>0</v>
      </c>
      <c r="K74" s="89" t="str">
        <f t="shared" si="0"/>
        <v>4041/4042</v>
      </c>
      <c r="L74" s="21" t="str">
        <f>VLOOKUP(A74,'Trips&amp;Operators'!$C$1:$G$99999,5,FALSE)</f>
        <v>MOSES BRADLEY</v>
      </c>
      <c r="M74" s="6">
        <f t="shared" si="1"/>
        <v>2.6493055556784384E-2</v>
      </c>
      <c r="N74" s="7">
        <f t="shared" si="25"/>
        <v>38.150000001769513</v>
      </c>
      <c r="O74" s="7"/>
      <c r="P74" s="7"/>
      <c r="Q74" s="22"/>
      <c r="R74" s="170"/>
      <c r="S74" s="213">
        <f t="shared" si="26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-16T10:51:13-0600',mode:absolute,to:'2017-07-16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23"/>
        <v>23.299800000000001</v>
      </c>
      <c r="Z74" s="197">
        <f t="shared" si="24"/>
        <v>1.29E-2</v>
      </c>
      <c r="AA74" s="197">
        <f t="shared" si="9"/>
        <v>23.286900000000003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160</v>
      </c>
      <c r="AE74" s="77" t="str">
        <f t="shared" si="11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74" s="74" t="str">
        <f t="shared" si="12"/>
        <v>"C:\Program Files (x86)\AstroGrep\AstroGrep.exe" /e /r /s /spath="%USERPROFILE%\AppData\Local\Temp\OnboardLogs" /stypes="app*4041*20170716*"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160-16 --locoid 4041 --swversion DE.1.0.9.0 --startMP 204:232998 --initTime 2017-07-16T11:51:13 --startdatetime 2017-07-16T11:57:21 --delay 1 --endMP 204:129 --enddatetime 2017-07-16T12:35:30 --enforcementcount 0 &gt;&gt;C:\Users\stu\Documents\GitHub\eaglep3-reporting\EC\2017-07-16-refined-times.txt</v>
      </c>
      <c r="AI74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{"issue":{"subject":"","project_id":79,"tracker_id":40,"status_id":1,"priority_id":2,"assigned_to_id":23,"start_date":"2017-07-16","description":"","custom_fields":[{"id":1,"name":"Subdivision","value":"EC"},{"id":4,"name":"Milepost","value":"0.0129"},{"id":17,"name":"Train ID","value":"160-16"},{"id":16,"name":"Locomotive ID","value":"4041"},{"id":130,"name":"Impact","value":""},{"id":150,"name":"Time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4041 --day 2017-07-16</v>
      </c>
      <c r="AN74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721</v>
      </c>
      <c r="B75" s="7">
        <v>4006</v>
      </c>
      <c r="C75" s="21" t="s">
        <v>199</v>
      </c>
      <c r="D75" s="21" t="s">
        <v>349</v>
      </c>
      <c r="E75" s="13">
        <v>42932.467881944445</v>
      </c>
      <c r="F75" s="13">
        <v>42932.470578703702</v>
      </c>
      <c r="G75" s="7">
        <v>2</v>
      </c>
      <c r="H75" s="21" t="s">
        <v>875</v>
      </c>
      <c r="I75" s="13">
        <v>42932.496539351851</v>
      </c>
      <c r="J75" s="7">
        <v>0</v>
      </c>
      <c r="K75" s="89" t="str">
        <f t="shared" si="0"/>
        <v>4005/4006</v>
      </c>
      <c r="L75" s="21" t="str">
        <f>VLOOKUP(A75,'Trips&amp;Operators'!$C$1:$G$99999,5,FALSE)</f>
        <v>DAVIS MICHAEL</v>
      </c>
      <c r="M75" s="6">
        <f t="shared" si="1"/>
        <v>2.5960648148611654E-2</v>
      </c>
      <c r="N75" s="7">
        <f t="shared" si="25"/>
        <v>37.383333334000781</v>
      </c>
      <c r="O75" s="7"/>
      <c r="P75" s="7"/>
      <c r="Q75" s="22"/>
      <c r="R75" s="170"/>
      <c r="S75" s="213">
        <f t="shared" si="26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-16T10:13:45-0600',mode:absolute,to:'2017-07-16T12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23"/>
        <v>4.53E-2</v>
      </c>
      <c r="Z75" s="197">
        <f t="shared" si="24"/>
        <v>23.326799999999999</v>
      </c>
      <c r="AA75" s="197">
        <f t="shared" si="9"/>
        <v>23.281499999999998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161</v>
      </c>
      <c r="AE75" s="77" t="str">
        <f t="shared" si="11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75" s="74" t="str">
        <f t="shared" si="12"/>
        <v>"C:\Program Files (x86)\AstroGrep\AstroGrep.exe" /e /r /s /spath="%USERPROFILE%\AppData\Local\Temp\OnboardLogs" /stypes="app*4006*20170716*" /stext=" 17:.+((SYSTEM_STATE.+slice.+state.+changed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161-16 --locoid 4006 --swversion DE.1.0.9.0 --startMP 204:453 --initTime 2017-07-16T11:13:45 --startdatetime 2017-07-16T11:17:38 --delay 2 --endMP 204:233268 --enddatetime 2017-07-16T11:55:01 --enforcementcount 0 &gt;&gt;C:\Users\stu\Documents\GitHub\eaglep3-reporting\EC\2017-07-16-refined-times.txt</v>
      </c>
      <c r="AI75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{"issue":{"subject":"","project_id":79,"tracker_id":40,"status_id":1,"priority_id":2,"assigned_to_id":23,"start_date":"2017-07-16","description":"","custom_fields":[{"id":1,"name":"Subdivision","value":"EC"},{"id":4,"name":"Milepost","value":"23.3268"},{"id":17,"name":"Train ID","value":"161-16"},{"id":16,"name":"Locomotive ID","value":"4006"},{"id":130,"name":"Impact","value":""},{"id":150,"name":"Time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4006 --day 2017-07-16</v>
      </c>
      <c r="AN75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4005</v>
      </c>
      <c r="C76" s="21" t="s">
        <v>199</v>
      </c>
      <c r="D76" s="21" t="s">
        <v>538</v>
      </c>
      <c r="E76" s="13">
        <v>42932.506909722222</v>
      </c>
      <c r="F76" s="13">
        <v>42932.50880787037</v>
      </c>
      <c r="G76" s="7">
        <v>1</v>
      </c>
      <c r="H76" s="21" t="s">
        <v>876</v>
      </c>
      <c r="I76" s="13">
        <v>42932.536203703705</v>
      </c>
      <c r="J76" s="7">
        <v>0</v>
      </c>
      <c r="K76" s="89" t="str">
        <f t="shared" si="0"/>
        <v>4005/4006</v>
      </c>
      <c r="L76" s="21" t="str">
        <f>VLOOKUP(A76,'Trips&amp;Operators'!$C$1:$G$99999,5,FALSE)</f>
        <v>DAVIS MICHAEL</v>
      </c>
      <c r="M76" s="6">
        <f t="shared" si="1"/>
        <v>2.7395833334594499E-2</v>
      </c>
      <c r="N76" s="7">
        <f t="shared" si="25"/>
        <v>39.450000001816079</v>
      </c>
      <c r="O76" s="7"/>
      <c r="P76" s="7"/>
      <c r="Q76" s="22"/>
      <c r="R76" s="170"/>
      <c r="S76" s="213">
        <f t="shared" si="26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-16T11:09:57-0600',mode:absolute,to:'2017-07-16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23"/>
        <v>23.3</v>
      </c>
      <c r="Z76" s="197">
        <f t="shared" si="24"/>
        <v>1.2999999999999999E-2</v>
      </c>
      <c r="AA76" s="197">
        <f t="shared" si="9"/>
        <v>23.286999999999999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162</v>
      </c>
      <c r="AE76" s="77" t="str">
        <f t="shared" si="11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76" s="74" t="str">
        <f t="shared" si="12"/>
        <v>"C:\Program Files (x86)\AstroGrep\AstroGrep.exe" /e /r /s /spath="%USERPROFILE%\AppData\Local\Temp\OnboardLogs" /stypes="app*4005*20170716*"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162-16 --locoid 4005 --swversion DE.1.0.9.0 --startMP 204:233000 --initTime 2017-07-16T12:09:57 --startdatetime 2017-07-16T12:12:41 --delay 1 --endMP 204:130 --enddatetime 2017-07-16T12:52:08 --enforcementcount 0 &gt;&gt;C:\Users\stu\Documents\GitHub\eaglep3-reporting\EC\2017-07-16-refined-times.txt</v>
      </c>
      <c r="AI76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{"issue":{"subject":"","project_id":79,"tracker_id":40,"status_id":1,"priority_id":2,"assigned_to_id":23,"start_date":"2017-07-16","description":"","custom_fields":[{"id":1,"name":"Subdivision","value":"EC"},{"id":4,"name":"Milepost","value":"0.013"},{"id":17,"name":"Train ID","value":"162-16"},{"id":16,"name":"Locomotive ID","value":"4005"},{"id":130,"name":"Impact","value":""},{"id":150,"name":"Time of Event (Mountain Time)","value":"12:52:08"},{"id":151,"name":"Denver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4005 --day 2017-07-16</v>
      </c>
      <c r="AN76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723</v>
      </c>
      <c r="B77" s="7">
        <v>4012</v>
      </c>
      <c r="C77" s="21" t="s">
        <v>199</v>
      </c>
      <c r="D77" s="21" t="s">
        <v>580</v>
      </c>
      <c r="E77" s="13">
        <v>42932.475011574075</v>
      </c>
      <c r="F77" s="13">
        <v>42932.479895833334</v>
      </c>
      <c r="G77" s="7">
        <v>1</v>
      </c>
      <c r="H77" s="21" t="s">
        <v>877</v>
      </c>
      <c r="I77" s="13">
        <v>42932.505127314813</v>
      </c>
      <c r="J77" s="7">
        <v>0</v>
      </c>
      <c r="K77" s="89" t="str">
        <f t="shared" ref="K77:K140" si="27">IF(ISEVEN(B77),(B77-1)&amp;"/"&amp;B77,B77&amp;"/"&amp;(B77+1))</f>
        <v>4011/4012</v>
      </c>
      <c r="L77" s="21" t="str">
        <f>VLOOKUP(A77,'Trips&amp;Operators'!$C$1:$G$99999,5,FALSE)</f>
        <v>THOMPSON LESTER</v>
      </c>
      <c r="M77" s="6">
        <f t="shared" ref="M77:M140" si="28">I77-F77</f>
        <v>2.5231481478840578E-2</v>
      </c>
      <c r="N77" s="7">
        <f t="shared" si="25"/>
        <v>36.333333329530433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-16T10:24:01-0600',mode:absolute,to:'2017-07-16T13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197" t="str">
        <f>IF(AA77&lt;VLOOKUP(AG77,Variables!$AC$3:$AD$8,2,FALSE),"Y","N")</f>
        <v>N</v>
      </c>
      <c r="X77" s="197">
        <f t="shared" ref="X77:X109" si="31">VALUE(LEFT(AD77,4))-VALUE(LEFT(AD76,4))</f>
        <v>1</v>
      </c>
      <c r="Y77" s="197">
        <f t="shared" ref="Y77:Y110" si="32">RIGHT(D77,LEN(D77)-4)/10000</f>
        <v>4.5999999999999999E-2</v>
      </c>
      <c r="Z77" s="197">
        <f t="shared" ref="Z77:Z110" si="33">RIGHT(H77,LEN(H77)-4)/10000</f>
        <v>23.332000000000001</v>
      </c>
      <c r="AA77" s="197">
        <f t="shared" ref="AA77:AA140" si="34">ABS(Z77-Y77)</f>
        <v>23.286000000000001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163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/stypes="app*4012*20170716*"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163-16 --locoid 4012 --swversion DE.1.0.9.0 --startMP 204:460 --initTime 2017-07-16T11:24:01 --startdatetime 2017-07-16T11:31:03 --delay 1 --endMP 204:233320 --enddatetime 2017-07-16T12:07:23 --enforcementcount 0 &gt;&gt;C:\Users\stu\Documents\GitHub\eaglep3-reporting\EC\2017-07-16-refined-times.txt</v>
      </c>
      <c r="AI77" s="96" t="str">
        <f t="shared" si="19"/>
        <v>echo {"issue":{"subject":"","project_id":79,"tracker_id":40,"status_id":1,"priority_id":2,"assigned_to_id":23,"start_date":"2017-07-16","description":"","custom_fields":[{"id":1,"name":"Subdivision","value":"EC"},{"id":4,"name":"Milepost","value":"23.332"},{"id":17,"name":"Train ID","value":"163-16"},{"id":16,"name":"Locomotive ID","value":"4012"},{"id":130,"name":"Impact","value":""},{"id":150,"name":"Time of Event (Mountain Time)","value":"12:07:23"},{"id":151,"name":"Denver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4012 --day 2017-07-16</v>
      </c>
      <c r="AN77" s="151" t="str">
        <f t="shared" si="21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736</v>
      </c>
      <c r="B78" s="7">
        <v>4011</v>
      </c>
      <c r="C78" s="21" t="s">
        <v>199</v>
      </c>
      <c r="D78" s="21" t="s">
        <v>511</v>
      </c>
      <c r="E78" s="13">
        <v>42932.516053240739</v>
      </c>
      <c r="F78" s="13">
        <v>42932.51903935185</v>
      </c>
      <c r="G78" s="7">
        <v>1</v>
      </c>
      <c r="H78" s="21" t="s">
        <v>351</v>
      </c>
      <c r="I78" s="13">
        <v>42932.546805555554</v>
      </c>
      <c r="J78" s="7">
        <v>0</v>
      </c>
      <c r="K78" s="89" t="str">
        <f t="shared" si="27"/>
        <v>4011/4012</v>
      </c>
      <c r="L78" s="21" t="str">
        <f>VLOOKUP(A78,'Trips&amp;Operators'!$C$1:$G$99999,5,FALSE)</f>
        <v>THOMPSON LESTER</v>
      </c>
      <c r="M78" s="6">
        <f t="shared" si="28"/>
        <v>2.7766203704231884E-2</v>
      </c>
      <c r="N78" s="7">
        <f t="shared" si="25"/>
        <v>39.983333334093913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-16T11:23:07-0600',mode:absolute,to:'2017-07-16T14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23.299399999999999</v>
      </c>
      <c r="Z78" s="197">
        <f t="shared" si="33"/>
        <v>1.3899999999999999E-2</v>
      </c>
      <c r="AA78" s="197">
        <f t="shared" si="34"/>
        <v>23.285499999999999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164</v>
      </c>
      <c r="AE78" s="77" t="str">
        <f t="shared" si="36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78" s="74" t="str">
        <f t="shared" si="37"/>
        <v>"C:\Program Files (x86)\AstroGrep\AstroGrep.exe" /e /r /s /spath="%USERPROFILE%\AppData\Local\Temp\OnboardLogs" /stypes="app*4011*20170716*"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0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164-16 --locoid 4011 --swversion DE.1.0.9.0 --startMP 204:232994 --initTime 2017-07-16T12:23:07 --startdatetime 2017-07-16T12:27:25 --delay 1 --endMP 204:139 --enddatetime 2017-07-16T13:07:24 --enforcementcount 0 &gt;&gt;C:\Users\stu\Documents\GitHub\eaglep3-reporting\EC\2017-07-16-refined-times.txt</v>
      </c>
      <c r="AI78" s="96" t="str">
        <f t="shared" ref="AI78:AI140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{"issue":{"subject":"","project_id":79,"tracker_id":40,"status_id":1,"priority_id":2,"assigned_to_id":23,"start_date":"2017-07-16","description":"","custom_fields":[{"id":1,"name":"Subdivision","value":"EC"},{"id":4,"name":"Milepost","value":"0.0139"},{"id":17,"name":"Train ID","value":"164-16"},{"id":16,"name":"Locomotive ID","value":"4011"},{"id":130,"name":"Impact","value":""},{"id":150,"name":"Time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1">"start /low /b "&amp;dls3logs&amp;" --loco "&amp;B78&amp;" --day "&amp;TEXT(F78,"YYYY-MM-DD")</f>
        <v>start /low /b %USERPROFILE%\Documents\GitHub\eaglep3\Utilities\DownloadLogsFromS3.py --loco 4011 --day 2017-07-16</v>
      </c>
      <c r="AN78" s="151" t="str">
        <f t="shared" ref="AN78:AN140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4050</v>
      </c>
      <c r="C79" s="21" t="s">
        <v>199</v>
      </c>
      <c r="D79" s="21" t="s">
        <v>507</v>
      </c>
      <c r="E79" s="13">
        <v>42932.48578703704</v>
      </c>
      <c r="F79" s="13">
        <v>42932.49009259259</v>
      </c>
      <c r="G79" s="7">
        <v>2</v>
      </c>
      <c r="H79" s="21" t="s">
        <v>878</v>
      </c>
      <c r="I79" s="13">
        <v>42932.514884259261</v>
      </c>
      <c r="J79" s="7">
        <v>0</v>
      </c>
      <c r="K79" s="89" t="str">
        <f t="shared" si="27"/>
        <v>4049/4050</v>
      </c>
      <c r="L79" s="21" t="str">
        <f>VLOOKUP(A79,'Trips&amp;Operators'!$C$1:$G$99999,5,FALSE)</f>
        <v>BRUDER RICHARD</v>
      </c>
      <c r="M79" s="6">
        <f t="shared" si="28"/>
        <v>2.4791666670353152E-2</v>
      </c>
      <c r="N79" s="7">
        <f t="shared" si="25"/>
        <v>35.700000005308539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-16T10:39:32-0600',mode:absolute,to:'2017-07-16T13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4.4200000000000003E-2</v>
      </c>
      <c r="Z79" s="197">
        <f t="shared" si="33"/>
        <v>23.33</v>
      </c>
      <c r="AA79" s="197">
        <f t="shared" si="34"/>
        <v>23.285799999999998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165</v>
      </c>
      <c r="AE79" s="77" t="str">
        <f t="shared" si="36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79" s="74" t="str">
        <f t="shared" si="37"/>
        <v>"C:\Program Files (x86)\AstroGrep\AstroGrep.exe" /e /r /s /spath="%USERPROFILE%\AppData\Local\Temp\OnboardLogs" /stypes="app*4050*20170716*"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165-16 --locoid 4050 --swversion DE.1.0.9.0 --startMP 204:442 --initTime 2017-07-16T11:39:32 --startdatetime 2017-07-16T11:45:44 --delay 2 --endMP 204:233300 --enddatetime 2017-07-16T12:21:26 --enforcementcount 0 &gt;&gt;C:\Users\stu\Documents\GitHub\eaglep3-reporting\EC\2017-07-16-refined-times.txt</v>
      </c>
      <c r="AI7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{"issue":{"subject":"","project_id":79,"tracker_id":40,"status_id":1,"priority_id":2,"assigned_to_id":23,"start_date":"2017-07-16","description":"","custom_fields":[{"id":1,"name":"Subdivision","value":"EC"},{"id":4,"name":"Milepost","value":"23.33"},{"id":17,"name":"Train ID","value":"165-16"},{"id":16,"name":"Locomotive ID","value":"4050"},{"id":130,"name":"Impact","value":""},{"id":150,"name":"Time of Event (Mountain Time)","value":"12:21:26"},{"id":151,"name":"Denver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4050 --day 2017-07-16</v>
      </c>
      <c r="AN7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4049</v>
      </c>
      <c r="C80" s="21" t="s">
        <v>199</v>
      </c>
      <c r="D80" s="21" t="s">
        <v>879</v>
      </c>
      <c r="E80" s="13">
        <v>42932.525347222225</v>
      </c>
      <c r="F80" s="13">
        <v>42932.529340277775</v>
      </c>
      <c r="G80" s="7">
        <v>1</v>
      </c>
      <c r="H80" s="21" t="s">
        <v>381</v>
      </c>
      <c r="I80" s="13">
        <v>42932.556006944447</v>
      </c>
      <c r="J80" s="7">
        <v>0</v>
      </c>
      <c r="K80" s="89" t="str">
        <f t="shared" si="27"/>
        <v>4049/4050</v>
      </c>
      <c r="L80" s="21" t="str">
        <f>VLOOKUP(A80,'Trips&amp;Operators'!$C$1:$G$99999,5,FALSE)</f>
        <v>BRUDER RICHARD</v>
      </c>
      <c r="M80" s="6">
        <f t="shared" si="28"/>
        <v>2.6666666672099382E-2</v>
      </c>
      <c r="N80" s="7">
        <f t="shared" si="25"/>
        <v>38.40000000782311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-16T11:36:30-0600',mode:absolute,to:'2017-07-16T14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23.297699999999999</v>
      </c>
      <c r="Z80" s="197">
        <f t="shared" si="33"/>
        <v>1.54E-2</v>
      </c>
      <c r="AA80" s="197">
        <f t="shared" si="34"/>
        <v>23.282299999999999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166</v>
      </c>
      <c r="AE80" s="77" t="str">
        <f t="shared" si="36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80" s="74" t="str">
        <f t="shared" si="37"/>
        <v>"C:\Program Files (x86)\AstroGrep\AstroGrep.exe" /e /r /s /spath="%USERPROFILE%\AppData\Local\Temp\OnboardLogs" /stypes="app*4049*20170716*"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166-16 --locoid 4049 --swversion DE.1.0.9.0 --startMP 204:232977 --initTime 2017-07-16T12:36:30 --startdatetime 2017-07-16T12:42:15 --delay 1 --endMP 204:154 --enddatetime 2017-07-16T13:20:39 --enforcementcount 0 &gt;&gt;C:\Users\stu\Documents\GitHub\eaglep3-reporting\EC\2017-07-16-refined-times.txt</v>
      </c>
      <c r="AI8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{"issue":{"subject":"","project_id":79,"tracker_id":40,"status_id":1,"priority_id":2,"assigned_to_id":23,"start_date":"2017-07-16","description":"","custom_fields":[{"id":1,"name":"Subdivision","value":"EC"},{"id":4,"name":"Milepost","value":"0.0154"},{"id":17,"name":"Train ID","value":"166-16"},{"id":16,"name":"Locomotive ID","value":"4049"},{"id":130,"name":"Impact","value":""},{"id":150,"name":"Time of Event (Mountain Time)","value":"13:20:39"},{"id":151,"name":"Denver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4049 --day 2017-07-16</v>
      </c>
      <c r="AN80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731</v>
      </c>
      <c r="B81" s="7">
        <v>4002</v>
      </c>
      <c r="C81" s="21" t="s">
        <v>199</v>
      </c>
      <c r="D81" s="21" t="s">
        <v>347</v>
      </c>
      <c r="E81" s="13">
        <v>42932.495324074072</v>
      </c>
      <c r="F81" s="13">
        <v>42932.500543981485</v>
      </c>
      <c r="G81" s="7">
        <v>1</v>
      </c>
      <c r="H81" s="21" t="s">
        <v>880</v>
      </c>
      <c r="I81" s="13">
        <v>42932.525081018517</v>
      </c>
      <c r="J81" s="7">
        <v>0</v>
      </c>
      <c r="K81" s="89" t="str">
        <f t="shared" si="27"/>
        <v>4001/4002</v>
      </c>
      <c r="L81" s="21" t="str">
        <f>VLOOKUP(A81,'Trips&amp;Operators'!$C$1:$G$99999,5,FALSE)</f>
        <v>LOPES KIMBERLY</v>
      </c>
      <c r="M81" s="6">
        <f t="shared" si="28"/>
        <v>2.4537037032132503E-2</v>
      </c>
      <c r="N81" s="7">
        <f t="shared" si="25"/>
        <v>35.333333326270804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-16T10:53:16-0600',mode:absolute,to:'2017-07-16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4.5100000000000001E-2</v>
      </c>
      <c r="Z81" s="197">
        <f t="shared" si="33"/>
        <v>23.3309</v>
      </c>
      <c r="AA81" s="197">
        <f t="shared" si="34"/>
        <v>23.285799999999998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167</v>
      </c>
      <c r="AE81" s="77" t="str">
        <f t="shared" si="36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81" s="74" t="str">
        <f t="shared" si="37"/>
        <v>"C:\Program Files (x86)\AstroGrep\AstroGrep.exe" /e /r /s /spath="%USERPROFILE%\AppData\Local\Temp\OnboardLogs" /stypes="app*4002*20170716*"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167-16 --locoid 4002 --swversion DE.1.0.9.0 --startMP 204:451 --initTime 2017-07-16T11:53:16 --startdatetime 2017-07-16T12:00:47 --delay 1 --endMP 204:233309 --enddatetime 2017-07-16T12:36:07 --enforcementcount 0 &gt;&gt;C:\Users\stu\Documents\GitHub\eaglep3-reporting\EC\2017-07-16-refined-times.txt</v>
      </c>
      <c r="AI81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{"issue":{"subject":"","project_id":79,"tracker_id":40,"status_id":1,"priority_id":2,"assigned_to_id":23,"start_date":"2017-07-16","description":"","custom_fields":[{"id":1,"name":"Subdivision","value":"EC"},{"id":4,"name":"Milepost","value":"23.3309"},{"id":17,"name":"Train ID","value":"167-16"},{"id":16,"name":"Locomotive ID","value":"4002"},{"id":130,"name":"Impact","value":""},{"id":150,"name":"Time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4002 --day 2017-07-16</v>
      </c>
      <c r="AN8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4001</v>
      </c>
      <c r="C82" s="21" t="s">
        <v>199</v>
      </c>
      <c r="D82" s="21" t="s">
        <v>541</v>
      </c>
      <c r="E82" s="13">
        <v>42932.535370370373</v>
      </c>
      <c r="F82" s="13">
        <v>42932.539814814816</v>
      </c>
      <c r="G82" s="7">
        <v>1</v>
      </c>
      <c r="H82" s="21" t="s">
        <v>422</v>
      </c>
      <c r="I82" s="13">
        <v>42932.566284722219</v>
      </c>
      <c r="J82" s="7">
        <v>0</v>
      </c>
      <c r="K82" s="89" t="str">
        <f t="shared" si="27"/>
        <v>4001/4002</v>
      </c>
      <c r="L82" s="21" t="str">
        <f>VLOOKUP(A82,'Trips&amp;Operators'!$C$1:$G$99999,5,FALSE)</f>
        <v>LOPES KIMBERLY</v>
      </c>
      <c r="M82" s="6">
        <f t="shared" si="28"/>
        <v>2.6469907403225079E-2</v>
      </c>
      <c r="N82" s="7">
        <f t="shared" si="25"/>
        <v>38.116666660644114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-16T11:50:56-0600',mode:absolute,to:'2017-07-16T14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23.299199999999999</v>
      </c>
      <c r="Z82" s="197">
        <f t="shared" si="33"/>
        <v>1.3599999999999999E-2</v>
      </c>
      <c r="AA82" s="197">
        <f t="shared" si="34"/>
        <v>23.285599999999999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168</v>
      </c>
      <c r="AE82" s="77" t="str">
        <f t="shared" si="36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82" s="74" t="str">
        <f t="shared" si="37"/>
        <v>"C:\Program Files (x86)\AstroGrep\AstroGrep.exe" /e /r /s /spath="%USERPROFILE%\AppData\Local\Temp\OnboardLogs" /stypes="app*4001*20170716*"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168-16 --locoid 4001 --swversion DE.1.0.9.0 --startMP 204:232992 --initTime 2017-07-16T12:50:56 --startdatetime 2017-07-16T12:57:20 --delay 1 --endMP 204:136 --enddatetime 2017-07-16T13:35:27 --enforcementcount 0 &gt;&gt;C:\Users\stu\Documents\GitHub\eaglep3-reporting\EC\2017-07-16-refined-times.txt</v>
      </c>
      <c r="AI8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ID","value":"168-16"},{"id":16,"name":"Locomotive ID","value":"4001"},{"id":130,"name":"Impact","value":""},{"id":150,"name":"Time of Event (Mountain Time)","value":"13:35:27"},{"id":151,"name":"Denver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4001 --day 2017-07-16</v>
      </c>
      <c r="AN82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733</v>
      </c>
      <c r="B83" s="7">
        <v>4008</v>
      </c>
      <c r="C83" s="21" t="s">
        <v>199</v>
      </c>
      <c r="D83" s="21" t="s">
        <v>429</v>
      </c>
      <c r="E83" s="13">
        <v>42932.506064814814</v>
      </c>
      <c r="F83" s="13">
        <v>42932.510879629626</v>
      </c>
      <c r="G83" s="7">
        <v>2</v>
      </c>
      <c r="H83" s="21" t="s">
        <v>881</v>
      </c>
      <c r="I83" s="13">
        <v>42932.535416666666</v>
      </c>
      <c r="J83" s="7">
        <v>0</v>
      </c>
      <c r="K83" s="89" t="str">
        <f t="shared" si="27"/>
        <v>4007/4008</v>
      </c>
      <c r="L83" s="21" t="str">
        <f>VLOOKUP(A83,'Trips&amp;Operators'!$C$1:$G$99999,5,FALSE)</f>
        <v>DELGADO DIANAH</v>
      </c>
      <c r="M83" s="6">
        <f t="shared" si="28"/>
        <v>2.453703703940846E-2</v>
      </c>
      <c r="N83" s="7">
        <f t="shared" si="25"/>
        <v>35.333333336748183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-16T11:08:44-0600',mode:absolute,to:'2017-07-16T13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4.7100000000000003E-2</v>
      </c>
      <c r="Z83" s="197">
        <f t="shared" si="33"/>
        <v>23.335899999999999</v>
      </c>
      <c r="AA83" s="197">
        <f t="shared" si="34"/>
        <v>23.288799999999998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169</v>
      </c>
      <c r="AE83" s="77" t="str">
        <f t="shared" si="36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83" s="74" t="str">
        <f t="shared" si="37"/>
        <v>"C:\Program Files (x86)\AstroGrep\AstroGrep.exe" /e /r /s /spath="%USERPROFILE%\AppData\Local\Temp\OnboardLogs" /stypes="app*4008*20170716*" /stext=" 18:.+((SYSTEM_STATE.+slice.+state.+changed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169-16 --locoid 4008 --swversion DE.1.0.9.0 --startMP 204:471 --initTime 2017-07-16T12:08:44 --startdatetime 2017-07-16T12:15:40 --delay 2 --endMP 204:233359 --enddatetime 2017-07-16T12:51:00 --enforcementcount 0 &gt;&gt;C:\Users\stu\Documents\GitHub\eaglep3-reporting\EC\2017-07-16-refined-times.txt</v>
      </c>
      <c r="AI8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{"issue":{"subject":"","project_id":79,"tracker_id":40,"status_id":1,"priority_id":2,"assigned_to_id":23,"start_date":"2017-07-16","description":"","custom_fields":[{"id":1,"name":"Subdivision","value":"EC"},{"id":4,"name":"Milepost","value":"23.3359"},{"id":17,"name":"Train ID","value":"169-16"},{"id":16,"name":"Locomotive ID","value":"4008"},{"id":130,"name":"Impact","value":""},{"id":150,"name":"Time of Event (Mountain Time)","value":"12:51:00"},{"id":151,"name":"Denver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4008 --day 2017-07-16</v>
      </c>
      <c r="AN8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744</v>
      </c>
      <c r="B84" s="7">
        <v>4007</v>
      </c>
      <c r="C84" s="21" t="s">
        <v>199</v>
      </c>
      <c r="D84" s="21" t="s">
        <v>882</v>
      </c>
      <c r="E84" s="13">
        <v>42932.540289351855</v>
      </c>
      <c r="F84" s="13">
        <v>42932.550196759257</v>
      </c>
      <c r="G84" s="7">
        <v>2</v>
      </c>
      <c r="H84" s="21" t="s">
        <v>534</v>
      </c>
      <c r="I84" s="13">
        <v>42932.575520833336</v>
      </c>
      <c r="J84" s="7">
        <v>0</v>
      </c>
      <c r="K84" s="89" t="str">
        <f t="shared" si="27"/>
        <v>4007/4008</v>
      </c>
      <c r="L84" s="21" t="str">
        <f>VLOOKUP(A84,'Trips&amp;Operators'!$C$1:$G$99999,5,FALSE)</f>
        <v>DELGADO DIANAH</v>
      </c>
      <c r="M84" s="6">
        <f t="shared" si="28"/>
        <v>2.5324074078525882E-2</v>
      </c>
      <c r="N84" s="7">
        <f t="shared" si="25"/>
        <v>36.46666667307727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-16T11:58:01-0600',mode:absolute,to:'2017-07-16T14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23.3064</v>
      </c>
      <c r="Z84" s="197">
        <f t="shared" si="33"/>
        <v>1.67E-2</v>
      </c>
      <c r="AA84" s="197">
        <f t="shared" si="34"/>
        <v>23.2897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170</v>
      </c>
      <c r="AE84" s="77" t="str">
        <f t="shared" si="36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84" s="74" t="str">
        <f t="shared" si="37"/>
        <v>"C:\Program Files (x86)\AstroGrep\AstroGrep.exe" /e /r /s /spath="%USERPROFILE%\AppData\Local\Temp\OnboardLogs" /stypes="app*4007*20170716*"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170-16 --locoid 4007 --swversion DE.1.0.9.0 --startMP 204:233064 --initTime 2017-07-16T12:58:01 --startdatetime 2017-07-16T13:12:17 --delay 2 --endMP 204:167 --enddatetime 2017-07-16T13:48:45 --enforcementcount 0 &gt;&gt;C:\Users\stu\Documents\GitHub\eaglep3-reporting\EC\2017-07-16-refined-times.txt</v>
      </c>
      <c r="AI8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{"issue":{"subject":"","project_id":79,"tracker_id":40,"status_id":1,"priority_id":2,"assigned_to_id":23,"start_date":"2017-07-16","description":"","custom_fields":[{"id":1,"name":"Subdivision","value":"EC"},{"id":4,"name":"Milepost","value":"0.0167"},{"id":17,"name":"Train ID","value":"170-16"},{"id":16,"name":"Locomotive ID","value":"4007"},{"id":130,"name":"Impact","value":""},{"id":150,"name":"Time of Event (Mountain Time)","value":"13:48:45"},{"id":151,"name":"Denver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4007 --day 2017-07-16</v>
      </c>
      <c r="AN8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735</v>
      </c>
      <c r="B85" s="7">
        <v>4064</v>
      </c>
      <c r="C85" s="21" t="s">
        <v>199</v>
      </c>
      <c r="D85" s="21" t="s">
        <v>432</v>
      </c>
      <c r="E85" s="13">
        <v>42932.515729166669</v>
      </c>
      <c r="F85" s="13">
        <v>42932.52134259259</v>
      </c>
      <c r="G85" s="7">
        <v>0</v>
      </c>
      <c r="H85" s="21" t="s">
        <v>868</v>
      </c>
      <c r="I85" s="13">
        <v>42932.545057870368</v>
      </c>
      <c r="J85" s="7">
        <v>0</v>
      </c>
      <c r="K85" s="89" t="str">
        <f t="shared" si="27"/>
        <v>4063/4064</v>
      </c>
      <c r="L85" s="21" t="str">
        <f>VLOOKUP(A85,'Trips&amp;Operators'!$C$1:$G$99999,5,FALSE)</f>
        <v>ROMERO CHAD</v>
      </c>
      <c r="M85" s="6">
        <f t="shared" si="28"/>
        <v>2.3715277777228039E-2</v>
      </c>
      <c r="N85" s="7">
        <f t="shared" si="25"/>
        <v>34.149999999208376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-16T11:22:39-0600',mode:absolute,to:'2017-07-16T14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4.3299999999999998E-2</v>
      </c>
      <c r="Z85" s="197">
        <f t="shared" si="33"/>
        <v>23.334299999999999</v>
      </c>
      <c r="AA85" s="197">
        <f t="shared" si="34"/>
        <v>23.291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171</v>
      </c>
      <c r="AE85" s="77" t="str">
        <f t="shared" si="36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85" s="74" t="str">
        <f t="shared" si="37"/>
        <v>"C:\Program Files (x86)\AstroGrep\AstroGrep.exe" /e /r /s /spath="%USERPROFILE%\AppData\Local\Temp\OnboardLogs" /stypes="app*4064*20170716*"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171-16 --locoid 4064 --swversion DE.1.0.9.0 --startMP 204:433 --initTime 2017-07-16T12:22:39 --startdatetime 2017-07-16T12:30:44 --delay 0 --endMP 204:233343 --enddatetime 2017-07-16T13:04:53 --enforcementcount 0 &gt;&gt;C:\Users\stu\Documents\GitHub\eaglep3-reporting\EC\2017-07-16-refined-times.txt</v>
      </c>
      <c r="AI85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{"issue":{"subject":"","project_id":79,"tracker_id":40,"status_id":1,"priority_id":2,"assigned_to_id":23,"start_date":"2017-07-16","description":"","custom_fields":[{"id":1,"name":"Subdivision","value":"EC"},{"id":4,"name":"Milepost","value":"23.3343"},{"id":17,"name":"Train ID","value":"171-16"},{"id":16,"name":"Locomotive ID","value":"4064"},{"id":130,"name":"Impact","value":""},{"id":150,"name":"Time of Event (Mountain Time)","value":"13:04:53"},{"id":151,"name":"Denver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4064 --day 2017-07-16</v>
      </c>
      <c r="AN85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745</v>
      </c>
      <c r="B86" s="7">
        <v>4063</v>
      </c>
      <c r="C86" s="21" t="s">
        <v>199</v>
      </c>
      <c r="D86" s="21" t="s">
        <v>883</v>
      </c>
      <c r="E86" s="13">
        <v>42932.550555555557</v>
      </c>
      <c r="F86" s="13">
        <v>42932.560590277775</v>
      </c>
      <c r="G86" s="7">
        <v>0</v>
      </c>
      <c r="H86" s="21" t="s">
        <v>422</v>
      </c>
      <c r="I86" s="13">
        <v>42932.586585648147</v>
      </c>
      <c r="J86" s="7">
        <v>0</v>
      </c>
      <c r="K86" s="89" t="str">
        <f t="shared" si="27"/>
        <v>4063/4064</v>
      </c>
      <c r="L86" s="21" t="str">
        <f>VLOOKUP(A86,'Trips&amp;Operators'!$C$1:$G$99999,5,FALSE)</f>
        <v>ROMERO CHAD</v>
      </c>
      <c r="M86" s="6">
        <f t="shared" si="28"/>
        <v>2.5995370371674653E-2</v>
      </c>
      <c r="N86" s="7">
        <f t="shared" si="25"/>
        <v>37.433333335211501</v>
      </c>
      <c r="O86" s="7"/>
      <c r="P86" s="7"/>
      <c r="Q86" s="22"/>
      <c r="R86" s="170"/>
      <c r="S86" s="213">
        <f t="shared" si="26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-16T12:12:48-0600',mode:absolute,to:'2017-07-16T15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23.305499999999999</v>
      </c>
      <c r="Z86" s="197">
        <f t="shared" si="33"/>
        <v>1.3599999999999999E-2</v>
      </c>
      <c r="AA86" s="197">
        <f t="shared" si="34"/>
        <v>23.291899999999998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172</v>
      </c>
      <c r="AE86" s="77" t="str">
        <f t="shared" si="36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86" s="74" t="str">
        <f t="shared" si="37"/>
        <v>"C:\Program Files (x86)\AstroGrep\AstroGrep.exe" /e /r /s /spath="%USERPROFILE%\AppData\Local\Temp\OnboardLogs" /stypes="app*4063*20170716*"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172-16 --locoid 4063 --swversion DE.1.0.9.0 --startMP 204:233055 --initTime 2017-07-16T13:12:48 --startdatetime 2017-07-16T13:27:15 --delay 0 --endMP 204:136 --enddatetime 2017-07-16T14:04:41 --enforcementcount 0 &gt;&gt;C:\Users\stu\Documents\GitHub\eaglep3-reporting\EC\2017-07-16-refined-times.txt</v>
      </c>
      <c r="AI8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ID","value":"172-16"},{"id":16,"name":"Locomotive ID","value":"4063"},{"id":130,"name":"Impact","value":""},{"id":150,"name":"Time of Event (Mountain Time)","value":"14:04:41"},{"id":151,"name":"Denver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4063 --day 2017-07-16</v>
      </c>
      <c r="AN8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739</v>
      </c>
      <c r="B87" s="7">
        <v>4042</v>
      </c>
      <c r="C87" s="21" t="s">
        <v>199</v>
      </c>
      <c r="D87" s="21" t="s">
        <v>349</v>
      </c>
      <c r="E87" s="13">
        <v>42932.527418981481</v>
      </c>
      <c r="F87" s="13">
        <v>42932.531793981485</v>
      </c>
      <c r="G87" s="7">
        <v>1</v>
      </c>
      <c r="H87" s="21" t="s">
        <v>884</v>
      </c>
      <c r="I87" s="13">
        <v>42932.556388888886</v>
      </c>
      <c r="J87" s="7">
        <v>0</v>
      </c>
      <c r="K87" s="89" t="str">
        <f t="shared" si="27"/>
        <v>4041/4042</v>
      </c>
      <c r="L87" s="21" t="str">
        <f>VLOOKUP(A87,'Trips&amp;Operators'!$C$1:$G$99999,5,FALSE)</f>
        <v>MCREYNOLDS KYLE</v>
      </c>
      <c r="M87" s="6">
        <f t="shared" si="28"/>
        <v>2.4594907401478849E-2</v>
      </c>
      <c r="N87" s="7">
        <f t="shared" si="25"/>
        <v>35.416666658129543</v>
      </c>
      <c r="O87" s="7"/>
      <c r="P87" s="7"/>
      <c r="Q87" s="22"/>
      <c r="R87" s="170"/>
      <c r="S87" s="213">
        <f t="shared" si="26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-16T11:39:29-0600',mode:absolute,to:'2017-07-16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4.53E-2</v>
      </c>
      <c r="Z87" s="197">
        <f t="shared" si="33"/>
        <v>23.337199999999999</v>
      </c>
      <c r="AA87" s="197">
        <f t="shared" si="34"/>
        <v>23.291899999999998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173</v>
      </c>
      <c r="AE87" s="77" t="str">
        <f t="shared" si="36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87" s="74" t="str">
        <f t="shared" si="37"/>
        <v>"C:\Program Files (x86)\AstroGrep\AstroGrep.exe" /e /r /s /spath="%USERPROFILE%\AppData\Local\Temp\OnboardLogs" /stypes="app*4042*20170716*"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173-16 --locoid 4042 --swversion DE.1.0.9.0 --startMP 204:453 --initTime 2017-07-16T12:39:29 --startdatetime 2017-07-16T12:45:47 --delay 1 --endMP 204:233372 --enddatetime 2017-07-16T13:21:12 --enforcementcount 0 &gt;&gt;C:\Users\stu\Documents\GitHub\eaglep3-reporting\EC\2017-07-16-refined-times.txt</v>
      </c>
      <c r="AI8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{"issue":{"subject":"","project_id":79,"tracker_id":40,"status_id":1,"priority_id":2,"assigned_to_id":23,"start_date":"2017-07-16","description":"","custom_fields":[{"id":1,"name":"Subdivision","value":"EC"},{"id":4,"name":"Milepost","value":"23.3372"},{"id":17,"name":"Train ID","value":"173-16"},{"id":16,"name":"Locomotive ID","value":"4042"},{"id":130,"name":"Impact","value":""},{"id":150,"name":"Time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4042 --day 2017-07-16</v>
      </c>
      <c r="AN8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747</v>
      </c>
      <c r="B88" s="7">
        <v>4041</v>
      </c>
      <c r="C88" s="21" t="s">
        <v>199</v>
      </c>
      <c r="D88" s="21" t="s">
        <v>579</v>
      </c>
      <c r="E88" s="13">
        <v>42932.565300925926</v>
      </c>
      <c r="F88" s="13">
        <v>42932.571006944447</v>
      </c>
      <c r="G88" s="7">
        <v>1</v>
      </c>
      <c r="H88" s="21" t="s">
        <v>343</v>
      </c>
      <c r="I88" s="13">
        <v>42932.597418981481</v>
      </c>
      <c r="J88" s="7">
        <v>0</v>
      </c>
      <c r="K88" s="89" t="str">
        <f t="shared" si="27"/>
        <v>4041/4042</v>
      </c>
      <c r="L88" s="21" t="str">
        <f>VLOOKUP(A88,'Trips&amp;Operators'!$C$1:$G$99999,5,FALSE)</f>
        <v>MCREYNOLDS KYLE</v>
      </c>
      <c r="M88" s="6">
        <f t="shared" si="28"/>
        <v>2.6412037033878732E-2</v>
      </c>
      <c r="N88" s="7">
        <f t="shared" si="25"/>
        <v>38.033333328785375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-16T12:34:02-0600',mode:absolute,to:'2017-07-16T15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23.306999999999999</v>
      </c>
      <c r="Z88" s="197">
        <f t="shared" si="33"/>
        <v>1.4999999999999999E-2</v>
      </c>
      <c r="AA88" s="197">
        <f t="shared" si="34"/>
        <v>23.291999999999998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174</v>
      </c>
      <c r="AE88" s="77" t="str">
        <f t="shared" si="36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88" s="74" t="str">
        <f t="shared" si="37"/>
        <v>"C:\Program Files (x86)\AstroGrep\AstroGrep.exe" /e /r /s /spath="%USERPROFILE%\AppData\Local\Temp\OnboardLogs" /stypes="app*4041*20170716*"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174-16 --locoid 4041 --swversion DE.1.0.9.0 --startMP 204:233070 --initTime 2017-07-16T13:34:02 --startdatetime 2017-07-16T13:42:15 --delay 1 --endMP 204:150 --enddatetime 2017-07-16T14:20:17 --enforcementcount 0 &gt;&gt;C:\Users\stu\Documents\GitHub\eaglep3-reporting\EC\2017-07-16-refined-times.txt</v>
      </c>
      <c r="AI88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{"issue":{"subject":"","project_id":79,"tracker_id":40,"status_id":1,"priority_id":2,"assigned_to_id":23,"start_date":"2017-07-16","description":"","custom_fields":[{"id":1,"name":"Subdivision","value":"EC"},{"id":4,"name":"Milepost","value":"0.015"},{"id":17,"name":"Train ID","value":"174-16"},{"id":16,"name":"Locomotive ID","value":"4041"},{"id":130,"name":"Impact","value":""},{"id":150,"name":"Time of Event (Mountain Time)","value":"14:20:17"},{"id":151,"name":"Denver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4041 --day 2017-07-16</v>
      </c>
      <c r="AN88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607</v>
      </c>
      <c r="B89" s="7">
        <v>4006</v>
      </c>
      <c r="C89" s="21" t="s">
        <v>199</v>
      </c>
      <c r="D89" s="21" t="s">
        <v>349</v>
      </c>
      <c r="E89" s="13">
        <v>42932.540243055555</v>
      </c>
      <c r="F89" s="13">
        <v>42932.542141203703</v>
      </c>
      <c r="G89" s="7">
        <v>1</v>
      </c>
      <c r="H89" s="21" t="s">
        <v>885</v>
      </c>
      <c r="I89" s="13">
        <v>42932.568680555552</v>
      </c>
      <c r="J89" s="7">
        <v>0</v>
      </c>
      <c r="K89" s="89" t="str">
        <f t="shared" si="27"/>
        <v>4005/4006</v>
      </c>
      <c r="L89" s="21" t="str">
        <f>VLOOKUP(A89,'Trips&amp;Operators'!$C$1:$G$99999,5,FALSE)</f>
        <v>DAVIS MICHAEL</v>
      </c>
      <c r="M89" s="6">
        <f t="shared" si="28"/>
        <v>2.6539351849351078E-2</v>
      </c>
      <c r="N89" s="7">
        <f t="shared" si="25"/>
        <v>38.216666663065553</v>
      </c>
      <c r="O89" s="7"/>
      <c r="P89" s="7"/>
      <c r="Q89" s="22"/>
      <c r="R89" s="170"/>
      <c r="S89" s="213">
        <f t="shared" si="26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-16T11:57:57-0600',mode:absolute,to:'2017-07-16T14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4.53E-2</v>
      </c>
      <c r="Z89" s="197">
        <f t="shared" si="33"/>
        <v>23.324300000000001</v>
      </c>
      <c r="AA89" s="197">
        <f t="shared" si="34"/>
        <v>23.279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175</v>
      </c>
      <c r="AE89" s="77" t="str">
        <f t="shared" si="36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89" s="74" t="str">
        <f t="shared" si="37"/>
        <v>"C:\Program Files (x86)\AstroGrep\AstroGrep.exe" /e /r /s /spath="%USERPROFILE%\AppData\Local\Temp\OnboardLogs" /stypes="app*4006*20170716*"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175-16 --locoid 4006 --swversion DE.1.0.9.0 --startMP 204:453 --initTime 2017-07-16T12:57:57 --startdatetime 2017-07-16T13:00:41 --delay 1 --endMP 204:233243 --enddatetime 2017-07-16T13:38:54 --enforcementcount 0 &gt;&gt;C:\Users\stu\Documents\GitHub\eaglep3-reporting\EC\2017-07-16-refined-times.txt</v>
      </c>
      <c r="AI8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{"issue":{"subject":"","project_id":79,"tracker_id":40,"status_id":1,"priority_id":2,"assigned_to_id":23,"start_date":"2017-07-16","description":"","custom_fields":[{"id":1,"name":"Subdivision","value":"EC"},{"id":4,"name":"Milepost","value":"23.3243"},{"id":17,"name":"Train ID","value":"175-16"},{"id":16,"name":"Locomotive ID","value":"4006"},{"id":130,"name":"Impact","value":""},{"id":150,"name":"Time of Event (Mountain Time)","value":"13:38:54"},{"id":151,"name":"Denver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4006 --day 2017-07-16</v>
      </c>
      <c r="AN8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749</v>
      </c>
      <c r="B90" s="7">
        <v>4005</v>
      </c>
      <c r="C90" s="21" t="s">
        <v>199</v>
      </c>
      <c r="D90" s="21" t="s">
        <v>886</v>
      </c>
      <c r="E90" s="13">
        <v>42932.579594907409</v>
      </c>
      <c r="F90" s="13">
        <v>42932.581724537034</v>
      </c>
      <c r="G90" s="7">
        <v>1</v>
      </c>
      <c r="H90" s="21" t="s">
        <v>401</v>
      </c>
      <c r="I90" s="13">
        <v>42932.609618055554</v>
      </c>
      <c r="J90" s="7">
        <v>0</v>
      </c>
      <c r="K90" s="89" t="str">
        <f t="shared" si="27"/>
        <v>4005/4006</v>
      </c>
      <c r="L90" s="21" t="str">
        <f>VLOOKUP(A90,'Trips&amp;Operators'!$C$1:$G$99999,5,FALSE)</f>
        <v>DAVIS MICHAEL</v>
      </c>
      <c r="M90" s="6">
        <f t="shared" si="28"/>
        <v>2.789351851970423E-2</v>
      </c>
      <c r="N90" s="7">
        <f t="shared" si="25"/>
        <v>40.166666668374091</v>
      </c>
      <c r="O90" s="7"/>
      <c r="P90" s="7"/>
      <c r="Q90" s="22"/>
      <c r="R90" s="170"/>
      <c r="S90" s="213">
        <f t="shared" si="26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-16T12:54:37-0600',mode:absolute,to:'2017-07-16T15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23.3001</v>
      </c>
      <c r="Z90" s="197">
        <f t="shared" si="33"/>
        <v>1.38E-2</v>
      </c>
      <c r="AA90" s="197">
        <f t="shared" si="34"/>
        <v>23.286300000000001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176</v>
      </c>
      <c r="AE90" s="77" t="str">
        <f t="shared" si="36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90" s="74" t="str">
        <f t="shared" si="37"/>
        <v>"C:\Program Files (x86)\AstroGrep\AstroGrep.exe" /e /r /s /spath="%USERPROFILE%\AppData\Local\Temp\OnboardLogs" /stypes="app*4005*20170716*"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176-16 --locoid 4005 --swversion DE.1.0.9.0 --startMP 204:233001 --initTime 2017-07-16T13:54:37 --startdatetime 2017-07-16T13:57:41 --delay 1 --endMP 204:138 --enddatetime 2017-07-16T14:37:51 --enforcementcount 0 &gt;&gt;C:\Users\stu\Documents\GitHub\eaglep3-reporting\EC\2017-07-16-refined-times.txt</v>
      </c>
      <c r="AI9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ID","value":"176-16"},{"id":16,"name":"Locomotive ID","value":"4005"},{"id":130,"name":"Impact","value":""},{"id":150,"name":"Time of Event (Mountain Time)","value":"14:37:51"},{"id":151,"name":"Denver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4005 --day 2017-07-16</v>
      </c>
      <c r="AN90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609</v>
      </c>
      <c r="B91" s="7">
        <v>4012</v>
      </c>
      <c r="C91" s="21" t="s">
        <v>199</v>
      </c>
      <c r="D91" s="21" t="s">
        <v>350</v>
      </c>
      <c r="E91" s="13">
        <v>42932.54954861111</v>
      </c>
      <c r="F91" s="13">
        <v>42932.552719907406</v>
      </c>
      <c r="G91" s="7">
        <v>1</v>
      </c>
      <c r="H91" s="21" t="s">
        <v>510</v>
      </c>
      <c r="I91" s="13">
        <v>42932.578020833331</v>
      </c>
      <c r="J91" s="7">
        <v>0</v>
      </c>
      <c r="K91" s="89" t="str">
        <f t="shared" si="27"/>
        <v>4011/4012</v>
      </c>
      <c r="L91" s="21" t="str">
        <f>VLOOKUP(A91,'Trips&amp;Operators'!$C$1:$G$99999,5,FALSE)</f>
        <v>THOMPSON LESTER</v>
      </c>
      <c r="M91" s="6">
        <f t="shared" si="28"/>
        <v>2.5300925924966577E-2</v>
      </c>
      <c r="N91" s="7">
        <f t="shared" si="25"/>
        <v>36.433333331951872</v>
      </c>
      <c r="O91" s="7"/>
      <c r="P91" s="7"/>
      <c r="Q91" s="22"/>
      <c r="R91" s="170"/>
      <c r="S91" s="213">
        <f t="shared" si="26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-16T12:11:21-0600',mode:absolute,to:'2017-07-16T14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4.4699999999999997E-2</v>
      </c>
      <c r="Z91" s="197">
        <f t="shared" si="33"/>
        <v>23.331399999999999</v>
      </c>
      <c r="AA91" s="197">
        <f t="shared" si="34"/>
        <v>23.2867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177</v>
      </c>
      <c r="AE91" s="77" t="str">
        <f t="shared" si="36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91" s="74" t="str">
        <f t="shared" si="37"/>
        <v>"C:\Program Files (x86)\AstroGrep\AstroGrep.exe" /e /r /s /spath="%USERPROFILE%\AppData\Local\Temp\OnboardLogs" /stypes="app*4012*20170716*"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177-16 --locoid 4012 --swversion DE.1.0.9.0 --startMP 204:447 --initTime 2017-07-16T13:11:21 --startdatetime 2017-07-16T13:15:55 --delay 1 --endMP 204:233314 --enddatetime 2017-07-16T13:52:21 --enforcementcount 0 &gt;&gt;C:\Users\stu\Documents\GitHub\eaglep3-reporting\EC\2017-07-16-refined-times.txt</v>
      </c>
      <c r="AI91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{"issue":{"subject":"","project_id":79,"tracker_id":40,"status_id":1,"priority_id":2,"assigned_to_id":23,"start_date":"2017-07-16","description":"","custom_fields":[{"id":1,"name":"Subdivision","value":"EC"},{"id":4,"name":"Milepost","value":"23.3314"},{"id":17,"name":"Train ID","value":"177-16"},{"id":16,"name":"Locomotive ID","value":"4012"},{"id":130,"name":"Impact","value":""},{"id":150,"name":"Time of Event (Mountain Time)","value":"13:52:21"},{"id":151,"name":"Denver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4012 --day 2017-07-16</v>
      </c>
      <c r="AN9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753</v>
      </c>
      <c r="B92" s="7">
        <v>4011</v>
      </c>
      <c r="C92" s="21" t="s">
        <v>199</v>
      </c>
      <c r="D92" s="21" t="s">
        <v>511</v>
      </c>
      <c r="E92" s="13">
        <v>42932.589872685188</v>
      </c>
      <c r="F92" s="13">
        <v>42932.591990740744</v>
      </c>
      <c r="G92" s="7">
        <v>1</v>
      </c>
      <c r="H92" s="21" t="s">
        <v>428</v>
      </c>
      <c r="I92" s="13">
        <v>42932.61954861111</v>
      </c>
      <c r="J92" s="7">
        <v>0</v>
      </c>
      <c r="K92" s="89" t="str">
        <f t="shared" si="27"/>
        <v>4011/4012</v>
      </c>
      <c r="L92" s="21" t="str">
        <f>VLOOKUP(A92,'Trips&amp;Operators'!$C$1:$G$99999,5,FALSE)</f>
        <v>THOMPSON LESTER</v>
      </c>
      <c r="M92" s="6">
        <f t="shared" si="28"/>
        <v>2.7557870365853887E-2</v>
      </c>
      <c r="N92" s="7">
        <f t="shared" si="25"/>
        <v>39.683333326829597</v>
      </c>
      <c r="O92" s="7"/>
      <c r="P92" s="7"/>
      <c r="Q92" s="22"/>
      <c r="R92" s="170"/>
      <c r="S92" s="213">
        <f t="shared" si="26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-16T13:09:25-0600',mode:absolute,to:'2017-07-16T15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23.299399999999999</v>
      </c>
      <c r="Z92" s="197">
        <f t="shared" si="33"/>
        <v>1.6E-2</v>
      </c>
      <c r="AA92" s="197">
        <f t="shared" si="34"/>
        <v>23.2834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178</v>
      </c>
      <c r="AE92" s="77" t="str">
        <f t="shared" si="36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92" s="74" t="str">
        <f t="shared" si="37"/>
        <v>"C:\Program Files (x86)\AstroGrep\AstroGrep.exe" /e /r /s /spath="%USERPROFILE%\AppData\Local\Temp\OnboardLogs" /stypes="app*4011*20170716*"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178-16 --locoid 4011 --swversion DE.1.0.9.0 --startMP 204:232994 --initTime 2017-07-16T14:09:25 --startdatetime 2017-07-16T14:12:28 --delay 1 --endMP 204:160 --enddatetime 2017-07-16T14:52:09 --enforcementcount 0 &gt;&gt;C:\Users\stu\Documents\GitHub\eaglep3-reporting\EC\2017-07-16-refined-times.txt</v>
      </c>
      <c r="AI9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{"issue":{"subject":"","project_id":79,"tracker_id":40,"status_id":1,"priority_id":2,"assigned_to_id":23,"start_date":"2017-07-16","description":"","custom_fields":[{"id":1,"name":"Subdivision","value":"EC"},{"id":4,"name":"Milepost","value":"0.016"},{"id":17,"name":"Train ID","value":"178-16"},{"id":16,"name":"Locomotive ID","value":"4011"},{"id":130,"name":"Impact","value":""},{"id":150,"name":"Time of Event (Mountain Time)","value":"14:52:09"},{"id":151,"name":"Denver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4011 --day 2017-07-16</v>
      </c>
      <c r="AN92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746</v>
      </c>
      <c r="B93" s="7">
        <v>4050</v>
      </c>
      <c r="C93" s="21" t="s">
        <v>199</v>
      </c>
      <c r="D93" s="21" t="s">
        <v>512</v>
      </c>
      <c r="E93" s="13">
        <v>42932.558113425926</v>
      </c>
      <c r="F93" s="13">
        <v>42932.563078703701</v>
      </c>
      <c r="G93" s="7">
        <v>1</v>
      </c>
      <c r="H93" s="21" t="s">
        <v>513</v>
      </c>
      <c r="I93" s="13">
        <v>42932.587129629632</v>
      </c>
      <c r="J93" s="7">
        <v>0</v>
      </c>
      <c r="K93" s="89" t="str">
        <f t="shared" si="27"/>
        <v>4049/4050</v>
      </c>
      <c r="L93" s="21" t="str">
        <f>VLOOKUP(A93,'Trips&amp;Operators'!$C$1:$G$99999,5,FALSE)</f>
        <v>BRUDER RICHARD</v>
      </c>
      <c r="M93" s="6">
        <f t="shared" si="28"/>
        <v>2.4050925931078382E-2</v>
      </c>
      <c r="N93" s="7">
        <f t="shared" ref="N93:N110" si="43">24*60*SUM($M93:$M93)</f>
        <v>34.63333334075287</v>
      </c>
      <c r="O93" s="7"/>
      <c r="P93" s="7"/>
      <c r="Q93" s="22"/>
      <c r="R93" s="170"/>
      <c r="S93" s="213">
        <f t="shared" ref="S93:S124" si="44">1/IF(AG93="EC",12,1)*SUM(U93:U93)</f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-16T12:23:41-0600',mode:absolute,to:'2017-07-16T15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4.6699999999999998E-2</v>
      </c>
      <c r="Z93" s="197">
        <f t="shared" si="33"/>
        <v>23.330500000000001</v>
      </c>
      <c r="AA93" s="197">
        <f t="shared" si="34"/>
        <v>23.283799999999999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179</v>
      </c>
      <c r="AE93" s="77" t="str">
        <f t="shared" si="36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93" s="74" t="str">
        <f t="shared" si="37"/>
        <v>"C:\Program Files (x86)\AstroGrep\AstroGrep.exe" /e /r /s /spath="%USERPROFILE%\AppData\Local\Temp\OnboardLogs" /stypes="app*4050*20170716*"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179-16 --locoid 4050 --swversion DE.1.0.9.0 --startMP 204:467 --initTime 2017-07-16T13:23:41 --startdatetime 2017-07-16T13:30:50 --delay 1 --endMP 204:233305 --enddatetime 2017-07-16T14:05:28 --enforcementcount 0 &gt;&gt;C:\Users\stu\Documents\GitHub\eaglep3-reporting\EC\2017-07-16-refined-times.txt</v>
      </c>
      <c r="AI9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{"issue":{"subject":"","project_id":79,"tracker_id":40,"status_id":1,"priority_id":2,"assigned_to_id":23,"start_date":"2017-07-16","description":"","custom_fields":[{"id":1,"name":"Subdivision","value":"EC"},{"id":4,"name":"Milepost","value":"23.3305"},{"id":17,"name":"Train ID","value":"179-16"},{"id":16,"name":"Locomotive ID","value":"4050"},{"id":130,"name":"Impact","value":""},{"id":150,"name":"Time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4050 --day 2017-07-16</v>
      </c>
      <c r="AN9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754</v>
      </c>
      <c r="B94" s="7">
        <v>4049</v>
      </c>
      <c r="C94" s="21" t="s">
        <v>199</v>
      </c>
      <c r="D94" s="21" t="s">
        <v>861</v>
      </c>
      <c r="E94" s="13">
        <v>42932.598217592589</v>
      </c>
      <c r="F94" s="13">
        <v>42932.60229166667</v>
      </c>
      <c r="G94" s="7">
        <v>1</v>
      </c>
      <c r="H94" s="21" t="s">
        <v>578</v>
      </c>
      <c r="I94" s="13">
        <v>42932.62804398148</v>
      </c>
      <c r="J94" s="7">
        <v>0</v>
      </c>
      <c r="K94" s="89" t="str">
        <f t="shared" si="27"/>
        <v>4049/4050</v>
      </c>
      <c r="L94" s="21" t="str">
        <f>VLOOKUP(A94,'Trips&amp;Operators'!$C$1:$G$99999,5,FALSE)</f>
        <v>BRUDER RICHARD</v>
      </c>
      <c r="M94" s="6">
        <f t="shared" si="28"/>
        <v>2.5752314810233656E-2</v>
      </c>
      <c r="N94" s="7">
        <f t="shared" si="43"/>
        <v>37.083333326736465</v>
      </c>
      <c r="O94" s="7"/>
      <c r="P94" s="7"/>
      <c r="Q94" s="22"/>
      <c r="R94" s="170"/>
      <c r="S94" s="213">
        <f t="shared" si="44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-16T13:21:26-0600',mode:absolute,to:'2017-07-16T16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23.2986</v>
      </c>
      <c r="Z94" s="197">
        <f t="shared" si="33"/>
        <v>1.72E-2</v>
      </c>
      <c r="AA94" s="197">
        <f t="shared" si="34"/>
        <v>23.281400000000001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180</v>
      </c>
      <c r="AE94" s="77" t="str">
        <f t="shared" si="36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94" s="74" t="str">
        <f t="shared" si="37"/>
        <v>"C:\Program Files (x86)\AstroGrep\AstroGrep.exe" /e /r /s /spath="%USERPROFILE%\AppData\Local\Temp\OnboardLogs" /stypes="app*4049*20170716*"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180-16 --locoid 4049 --swversion DE.1.0.9.0 --startMP 204:232986 --initTime 2017-07-16T14:21:26 --startdatetime 2017-07-16T14:27:18 --delay 1 --endMP 204:172 --enddatetime 2017-07-16T15:04:23 --enforcementcount 0 &gt;&gt;C:\Users\stu\Documents\GitHub\eaglep3-reporting\EC\2017-07-16-refined-times.txt</v>
      </c>
      <c r="AI9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{"issue":{"subject":"","project_id":79,"tracker_id":40,"status_id":1,"priority_id":2,"assigned_to_id":23,"start_date":"2017-07-16","description":"","custom_fields":[{"id":1,"name":"Subdivision","value":"EC"},{"id":4,"name":"Milepost","value":"0.0172"},{"id":17,"name":"Train ID","value":"180-16"},{"id":16,"name":"Locomotive ID","value":"4049"},{"id":130,"name":"Impact","value":""},{"id":150,"name":"Time of Event (Mountain Time)","value":"15:04:23"},{"id":151,"name":"Denver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4049 --day 2017-07-16</v>
      </c>
      <c r="AN9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608</v>
      </c>
      <c r="B95" s="7">
        <v>4002</v>
      </c>
      <c r="C95" s="21" t="s">
        <v>199</v>
      </c>
      <c r="D95" s="21" t="s">
        <v>347</v>
      </c>
      <c r="E95" s="13">
        <v>42932.568055555559</v>
      </c>
      <c r="F95" s="13">
        <v>42932.573437500003</v>
      </c>
      <c r="G95" s="7">
        <v>1</v>
      </c>
      <c r="H95" s="21" t="s">
        <v>862</v>
      </c>
      <c r="I95" s="13">
        <v>42932.598900462966</v>
      </c>
      <c r="J95" s="7">
        <v>0</v>
      </c>
      <c r="K95" s="89" t="str">
        <f t="shared" si="27"/>
        <v>4001/4002</v>
      </c>
      <c r="L95" s="21" t="str">
        <f>VLOOKUP(A95,'Trips&amp;Operators'!$C$1:$G$99999,5,FALSE)</f>
        <v>LOPES KIMBERLY</v>
      </c>
      <c r="M95" s="6">
        <f t="shared" si="28"/>
        <v>2.5462962963501923E-2</v>
      </c>
      <c r="N95" s="7">
        <f t="shared" si="43"/>
        <v>36.666666667442769</v>
      </c>
      <c r="O95" s="7"/>
      <c r="P95" s="7"/>
      <c r="Q95" s="22"/>
      <c r="R95" s="170"/>
      <c r="S95" s="213">
        <f t="shared" si="44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-16T12:38:00-0600',mode:absolute,to:'2017-07-16T15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4.5100000000000001E-2</v>
      </c>
      <c r="Z95" s="197">
        <f t="shared" si="33"/>
        <v>23.3323</v>
      </c>
      <c r="AA95" s="197">
        <f t="shared" si="34"/>
        <v>23.287199999999999</v>
      </c>
      <c r="AB95" s="54" t="str">
        <f>VLOOKUP(A95,Enforcements!$C$7:$K$13,8,0)</f>
        <v>Speed (6)</v>
      </c>
      <c r="AC95" s="51" t="str">
        <f>VLOOKUP(A95,Enforcements!$C$7:$E$13,3,0)</f>
        <v>PERMANENT SPEED RESTRICTION</v>
      </c>
      <c r="AD95" s="206">
        <f t="shared" si="35"/>
        <v>181</v>
      </c>
      <c r="AE95" s="77" t="str">
        <f t="shared" si="36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95" s="74" t="str">
        <f t="shared" si="37"/>
        <v>"C:\Program Files (x86)\AstroGrep\AstroGrep.exe" /e /r /s /spath="%USERPROFILE%\AppData\Local\Temp\OnboardLogs" /stypes="app*4002*20170716*"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181-16 --locoid 4002 --swversion DE.1.0.9.0 --startMP 204:451 --initTime 2017-07-16T13:38:00 --startdatetime 2017-07-16T13:45:45 --delay 1 --endMP 204:233323 --enddatetime 2017-07-16T14:22:25 --enforcementcount 0 &gt;&gt;C:\Users\stu\Documents\GitHub\eaglep3-reporting\EC\2017-07-16-refined-times.txt</v>
      </c>
      <c r="AI95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{"issue":{"subject":"","project_id":79,"tracker_id":40,"status_id":1,"priority_id":2,"assigned_to_id":23,"start_date":"2017-07-16","description":"","custom_fields":[{"id":1,"name":"Subdivision","value":"EC"},{"id":4,"name":"Milepost","value":"23.3323"},{"id":17,"name":"Train ID","value":"181-16"},{"id":16,"name":"Locomotive ID","value":"4002"},{"id":130,"name":"Impact","value":""},{"id":150,"name":"Time of Event (Mountain Time)","value":"14:22:25"},{"id":151,"name":"Denver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4002 --day 2017-07-16</v>
      </c>
      <c r="AN95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4001</v>
      </c>
      <c r="C96" s="21" t="s">
        <v>199</v>
      </c>
      <c r="D96" s="21" t="s">
        <v>908</v>
      </c>
      <c r="E96" s="13">
        <v>42932.610347222224</v>
      </c>
      <c r="F96" s="13">
        <v>42932.612673611111</v>
      </c>
      <c r="G96" s="7">
        <v>1</v>
      </c>
      <c r="H96" s="21" t="s">
        <v>351</v>
      </c>
      <c r="I96" s="13">
        <v>42932.639513888891</v>
      </c>
      <c r="J96" s="7">
        <v>0</v>
      </c>
      <c r="K96" s="89" t="str">
        <f t="shared" si="27"/>
        <v>4001/4002</v>
      </c>
      <c r="L96" s="21" t="str">
        <f>VLOOKUP(A96,'Trips&amp;Operators'!$C$1:$G$99999,5,FALSE)</f>
        <v>LOPES KIMBERLY</v>
      </c>
      <c r="M96" s="6">
        <f t="shared" si="28"/>
        <v>2.6840277780138422E-2</v>
      </c>
      <c r="N96" s="7">
        <f t="shared" si="43"/>
        <v>38.650000003399327</v>
      </c>
      <c r="O96" s="7"/>
      <c r="P96" s="7"/>
      <c r="Q96" s="22"/>
      <c r="R96" s="170"/>
      <c r="S96" s="213">
        <f t="shared" si="44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-16T13:38:54-0600',mode:absolute,to:'2017-07-16T16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23.3034</v>
      </c>
      <c r="Z96" s="197">
        <f t="shared" si="33"/>
        <v>1.3899999999999999E-2</v>
      </c>
      <c r="AA96" s="197">
        <f t="shared" si="34"/>
        <v>23.2895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182</v>
      </c>
      <c r="AE96" s="77" t="str">
        <f t="shared" si="36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96" s="74" t="str">
        <f t="shared" si="37"/>
        <v>"C:\Program Files (x86)\AstroGrep\AstroGrep.exe" /e /r /s /spath="%USERPROFILE%\AppData\Local\Temp\OnboardLogs" /stypes="app*4001*20170716*"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182-16 --locoid 4001 --swversion DE.1.0.9.0 --startMP 204:233034 --initTime 2017-07-16T14:38:54 --startdatetime 2017-07-16T14:42:15 --delay 1 --endMP 204:139 --enddatetime 2017-07-16T15:20:54 --enforcementcount 0 &gt;&gt;C:\Users\stu\Documents\GitHub\eaglep3-reporting\EC\2017-07-16-refined-times.txt</v>
      </c>
      <c r="AI9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{"issue":{"subject":"","project_id":79,"tracker_id":40,"status_id":1,"priority_id":2,"assigned_to_id":23,"start_date":"2017-07-16","description":"","custom_fields":[{"id":1,"name":"Subdivision","value":"EC"},{"id":4,"name":"Milepost","value":"0.0139"},{"id":17,"name":"Train ID","value":"182-16"},{"id":16,"name":"Locomotive ID","value":"4001"},{"id":130,"name":"Impact","value":""},{"id":150,"name":"Time of Event (Mountain Time)","value":"15:20:54"},{"id":151,"name":"Denver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4001 --day 2017-07-16</v>
      </c>
      <c r="AN9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610</v>
      </c>
      <c r="B97" s="7">
        <v>4008</v>
      </c>
      <c r="C97" s="21" t="s">
        <v>199</v>
      </c>
      <c r="D97" s="21" t="s">
        <v>917</v>
      </c>
      <c r="E97" s="13">
        <v>42932.577164351853</v>
      </c>
      <c r="F97" s="13">
        <v>42932.583807870367</v>
      </c>
      <c r="G97" s="7">
        <v>1</v>
      </c>
      <c r="H97" s="21" t="s">
        <v>918</v>
      </c>
      <c r="I97" s="13">
        <v>42932.608344907407</v>
      </c>
      <c r="J97" s="7">
        <v>0</v>
      </c>
      <c r="K97" s="89" t="str">
        <f t="shared" si="27"/>
        <v>4007/4008</v>
      </c>
      <c r="L97" s="21" t="str">
        <f>VLOOKUP(A97,'Trips&amp;Operators'!$C$1:$G$99999,5,FALSE)</f>
        <v>DELGADO DIANAH</v>
      </c>
      <c r="M97" s="6">
        <f t="shared" si="28"/>
        <v>2.453703703940846E-2</v>
      </c>
      <c r="N97" s="7">
        <f t="shared" si="43"/>
        <v>35.333333336748183</v>
      </c>
      <c r="O97" s="7"/>
      <c r="P97" s="7"/>
      <c r="Q97" s="22"/>
      <c r="R97" s="170"/>
      <c r="S97" s="213">
        <f t="shared" si="44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-16T12:51:07-0600',mode:absolute,to:'2017-07-16T15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4.8399999999999999E-2</v>
      </c>
      <c r="Z97" s="197">
        <f t="shared" si="33"/>
        <v>23.339500000000001</v>
      </c>
      <c r="AA97" s="197">
        <f t="shared" si="34"/>
        <v>23.2911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183</v>
      </c>
      <c r="AE97" s="77" t="str">
        <f t="shared" si="36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97" s="74" t="str">
        <f t="shared" si="37"/>
        <v>"C:\Program Files (x86)\AstroGrep\AstroGrep.exe" /e /r /s /spath="%USERPROFILE%\AppData\Local\Temp\OnboardLogs" /stypes="app*4008*20170716*"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183-16 --locoid 4008 --swversion DE.1.0.9.0 --startMP 204:484 --initTime 2017-07-16T13:51:07 --startdatetime 2017-07-16T14:00:41 --delay 1 --endMP 204:233395 --enddatetime 2017-07-16T14:36:01 --enforcementcount 0 &gt;&gt;C:\Users\stu\Documents\GitHub\eaglep3-reporting\EC\2017-07-16-refined-times.txt</v>
      </c>
      <c r="AI9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{"issue":{"subject":"","project_id":79,"tracker_id":40,"status_id":1,"priority_id":2,"assigned_to_id":23,"start_date":"2017-07-16","description":"","custom_fields":[{"id":1,"name":"Subdivision","value":"EC"},{"id":4,"name":"Milepost","value":"23.3395"},{"id":17,"name":"Train ID","value":"183-16"},{"id":16,"name":"Locomotive ID","value":"4008"},{"id":130,"name":"Impact","value":""},{"id":150,"name":"Time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4008 --day 2017-07-16</v>
      </c>
      <c r="AN9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759</v>
      </c>
      <c r="B98" s="7">
        <v>4007</v>
      </c>
      <c r="C98" s="21" t="s">
        <v>199</v>
      </c>
      <c r="D98" s="21" t="s">
        <v>920</v>
      </c>
      <c r="E98" s="13">
        <v>42932.613113425927</v>
      </c>
      <c r="F98" s="13">
        <v>42932.623067129629</v>
      </c>
      <c r="G98" s="7">
        <v>1</v>
      </c>
      <c r="H98" s="21" t="s">
        <v>381</v>
      </c>
      <c r="I98" s="13">
        <v>42932.648680555554</v>
      </c>
      <c r="J98" s="7">
        <v>0</v>
      </c>
      <c r="K98" s="89" t="str">
        <f t="shared" si="27"/>
        <v>4007/4008</v>
      </c>
      <c r="L98" s="21" t="str">
        <f>VLOOKUP(A98,'Trips&amp;Operators'!$C$1:$G$99999,5,FALSE)</f>
        <v>DELGADO DIANAH</v>
      </c>
      <c r="M98" s="6">
        <f t="shared" si="28"/>
        <v>2.5613425925257616E-2</v>
      </c>
      <c r="N98" s="7">
        <f t="shared" si="43"/>
        <v>36.883333332370967</v>
      </c>
      <c r="O98" s="7"/>
      <c r="P98" s="7"/>
      <c r="Q98" s="22"/>
      <c r="R98" s="170"/>
      <c r="S98" s="213">
        <f t="shared" si="44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-16T13:42:53-0600',mode:absolute,to:'2017-07-16T16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23.307200000000002</v>
      </c>
      <c r="Z98" s="197">
        <f t="shared" si="33"/>
        <v>1.54E-2</v>
      </c>
      <c r="AA98" s="197">
        <f t="shared" si="34"/>
        <v>23.291800000000002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184</v>
      </c>
      <c r="AE98" s="77" t="str">
        <f t="shared" si="36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98" s="74" t="str">
        <f t="shared" si="37"/>
        <v>"C:\Program Files (x86)\AstroGrep\AstroGrep.exe" /e /r /s /spath="%USERPROFILE%\AppData\Local\Temp\OnboardLogs" /stypes="app*4007*20170716*"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184-16 --locoid 4007 --swversion DE.1.0.9.0 --startMP 204:233072 --initTime 2017-07-16T14:42:53 --startdatetime 2017-07-16T14:57:13 --delay 1 --endMP 204:154 --enddatetime 2017-07-16T15:34:06 --enforcementcount 0 &gt;&gt;C:\Users\stu\Documents\GitHub\eaglep3-reporting\EC\2017-07-16-refined-times.txt</v>
      </c>
      <c r="AI98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{"issue":{"subject":"","project_id":79,"tracker_id":40,"status_id":1,"priority_id":2,"assigned_to_id":23,"start_date":"2017-07-16","description":"","custom_fields":[{"id":1,"name":"Subdivision","value":"EC"},{"id":4,"name":"Milepost","value":"0.0154"},{"id":17,"name":"Train ID","value":"184-16"},{"id":16,"name":"Locomotive ID","value":"4007"},{"id":130,"name":"Impact","value":""},{"id":150,"name":"Time of Event (Mountain Time)","value":"15:34:06"},{"id":151,"name":"Denver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4007 --day 2017-07-16</v>
      </c>
      <c r="AN98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752</v>
      </c>
      <c r="B99" s="7">
        <v>4064</v>
      </c>
      <c r="C99" s="21" t="s">
        <v>199</v>
      </c>
      <c r="D99" s="21" t="s">
        <v>418</v>
      </c>
      <c r="E99" s="13">
        <v>42932.589317129627</v>
      </c>
      <c r="F99" s="13">
        <v>42932.594247685185</v>
      </c>
      <c r="G99" s="7">
        <v>1</v>
      </c>
      <c r="H99" s="21" t="s">
        <v>921</v>
      </c>
      <c r="I99" s="13">
        <v>42932.618506944447</v>
      </c>
      <c r="J99" s="7">
        <v>0</v>
      </c>
      <c r="K99" s="89" t="str">
        <f t="shared" si="27"/>
        <v>4063/4064</v>
      </c>
      <c r="L99" s="21" t="str">
        <f>VLOOKUP(A99,'Trips&amp;Operators'!$C$1:$G$99999,5,FALSE)</f>
        <v>ROMERO CHAD</v>
      </c>
      <c r="M99" s="6">
        <f t="shared" si="28"/>
        <v>2.4259259262180422E-2</v>
      </c>
      <c r="N99" s="7">
        <f t="shared" si="43"/>
        <v>34.933333337539807</v>
      </c>
      <c r="O99" s="7"/>
      <c r="P99" s="7"/>
      <c r="Q99" s="22"/>
      <c r="R99" s="170"/>
      <c r="S99" s="213">
        <f t="shared" si="44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-16T13:08:37-0600',mode:absolute,to:'2017-07-16T15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4.4400000000000002E-2</v>
      </c>
      <c r="Z99" s="197">
        <f t="shared" si="33"/>
        <v>23.338100000000001</v>
      </c>
      <c r="AA99" s="197">
        <f t="shared" si="34"/>
        <v>23.293700000000001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185</v>
      </c>
      <c r="AE99" s="77" t="str">
        <f t="shared" si="36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99" s="74" t="str">
        <f t="shared" si="37"/>
        <v>"C:\Program Files (x86)\AstroGrep\AstroGrep.exe" /e /r /s /spath="%USERPROFILE%\AppData\Local\Temp\OnboardLogs" /stypes="app*4064*20170716*"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185-16 --locoid 4064 --swversion DE.1.0.9.0 --startMP 204:444 --initTime 2017-07-16T14:08:37 --startdatetime 2017-07-16T14:15:43 --delay 1 --endMP 204:233381 --enddatetime 2017-07-16T14:50:39 --enforcementcount 0 &gt;&gt;C:\Users\stu\Documents\GitHub\eaglep3-reporting\EC\2017-07-16-refined-times.txt</v>
      </c>
      <c r="AI9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{"issue":{"subject":"","project_id":79,"tracker_id":40,"status_id":1,"priority_id":2,"assigned_to_id":23,"start_date":"2017-07-16","description":"","custom_fields":[{"id":1,"name":"Subdivision","value":"EC"},{"id":4,"name":"Milepost","value":"23.3381"},{"id":17,"name":"Train ID","value":"185-16"},{"id":16,"name":"Locomotive ID","value":"4064"},{"id":130,"name":"Impact","value":""},{"id":150,"name":"Time of Event (Mountain Time)","value":"14:50:39"},{"id":151,"name":"Denver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4064 --day 2017-07-16</v>
      </c>
      <c r="AN9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761</v>
      </c>
      <c r="B100" s="7">
        <v>4063</v>
      </c>
      <c r="C100" s="21" t="s">
        <v>199</v>
      </c>
      <c r="D100" s="21" t="s">
        <v>922</v>
      </c>
      <c r="E100" s="13">
        <v>42932.623483796298</v>
      </c>
      <c r="F100" s="13">
        <v>42932.633553240739</v>
      </c>
      <c r="G100" s="7">
        <v>1</v>
      </c>
      <c r="H100" s="21" t="s">
        <v>351</v>
      </c>
      <c r="I100" s="13">
        <v>42932.65965277778</v>
      </c>
      <c r="J100" s="7">
        <v>0</v>
      </c>
      <c r="K100" s="89" t="str">
        <f t="shared" si="27"/>
        <v>4063/4064</v>
      </c>
      <c r="L100" s="21" t="str">
        <f>VLOOKUP(A100,'Trips&amp;Operators'!$C$1:$G$99999,5,FALSE)</f>
        <v>ROMERO CHAD</v>
      </c>
      <c r="M100" s="6">
        <f t="shared" si="28"/>
        <v>2.6099537040863652E-2</v>
      </c>
      <c r="N100" s="7">
        <f t="shared" si="43"/>
        <v>37.583333338843659</v>
      </c>
      <c r="O100" s="7"/>
      <c r="P100" s="7"/>
      <c r="Q100" s="22"/>
      <c r="R100" s="170"/>
      <c r="S100" s="213">
        <f t="shared" si="44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-16T13:57:49-0600',mode:absolute,to:'2017-07-16T16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23.3096</v>
      </c>
      <c r="Z100" s="197">
        <f t="shared" si="33"/>
        <v>1.3899999999999999E-2</v>
      </c>
      <c r="AA100" s="197">
        <f t="shared" si="34"/>
        <v>23.2957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186</v>
      </c>
      <c r="AE100" s="77" t="str">
        <f t="shared" si="36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00" s="74" t="str">
        <f t="shared" si="37"/>
        <v>"C:\Program Files (x86)\AstroGrep\AstroGrep.exe" /e /r /s /spath="%USERPROFILE%\AppData\Local\Temp\OnboardLogs" /stypes="app*4063*20170716*"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186-16 --locoid 4063 --swversion DE.1.0.9.0 --startMP 204:233096 --initTime 2017-07-16T14:57:49 --startdatetime 2017-07-16T15:12:19 --delay 1 --endMP 204:139 --enddatetime 2017-07-16T15:49:54 --enforcementcount 0 &gt;&gt;C:\Users\stu\Documents\GitHub\eaglep3-reporting\EC\2017-07-16-refined-times.txt</v>
      </c>
      <c r="AI10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{"issue":{"subject":"","project_id":79,"tracker_id":40,"status_id":1,"priority_id":2,"assigned_to_id":23,"start_date":"2017-07-16","description":"","custom_fields":[{"id":1,"name":"Subdivision","value":"EC"},{"id":4,"name":"Milepost","value":"0.0139"},{"id":17,"name":"Train ID","value":"186-16"},{"id":16,"name":"Locomotive ID","value":"4063"},{"id":130,"name":"Impact","value":""},{"id":150,"name":"Time of Event (Mountain Time)","value":"15:49:54"},{"id":151,"name":"Denver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4063 --day 2017-07-16</v>
      </c>
      <c r="AN100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755</v>
      </c>
      <c r="B101" s="7">
        <v>4042</v>
      </c>
      <c r="C101" s="21" t="s">
        <v>199</v>
      </c>
      <c r="D101" s="21" t="s">
        <v>347</v>
      </c>
      <c r="E101" s="13">
        <v>42932.599062499998</v>
      </c>
      <c r="F101" s="13">
        <v>42932.604687500003</v>
      </c>
      <c r="G101" s="7">
        <v>1</v>
      </c>
      <c r="H101" s="21" t="s">
        <v>923</v>
      </c>
      <c r="I101" s="13">
        <v>42932.629710648151</v>
      </c>
      <c r="J101" s="7">
        <v>0</v>
      </c>
      <c r="K101" s="89" t="str">
        <f t="shared" si="27"/>
        <v>4041/4042</v>
      </c>
      <c r="L101" s="21" t="str">
        <f>VLOOKUP(A101,'Trips&amp;Operators'!$C$1:$G$99999,5,FALSE)</f>
        <v>MCREYNOLDS KYLE</v>
      </c>
      <c r="M101" s="6">
        <f t="shared" si="28"/>
        <v>2.5023148147738539E-2</v>
      </c>
      <c r="N101" s="7">
        <f t="shared" si="43"/>
        <v>36.033333332743496</v>
      </c>
      <c r="O101" s="7"/>
      <c r="P101" s="7"/>
      <c r="Q101" s="22"/>
      <c r="R101" s="170"/>
      <c r="S101" s="213">
        <f t="shared" si="44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-16T13:22:39-0600',mode:absolute,to:'2017-07-16T16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4.5100000000000001E-2</v>
      </c>
      <c r="Z101" s="197">
        <f t="shared" si="33"/>
        <v>23.339099999999998</v>
      </c>
      <c r="AA101" s="197">
        <f t="shared" si="34"/>
        <v>23.293999999999997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187</v>
      </c>
      <c r="AE101" s="77" t="str">
        <f t="shared" si="36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101" s="74" t="str">
        <f t="shared" si="37"/>
        <v>"C:\Program Files (x86)\AstroGrep\AstroGrep.exe" /e /r /s /spath="%USERPROFILE%\AppData\Local\Temp\OnboardLogs" /stypes="app*4042*20170716*"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187-16 --locoid 4042 --swversion DE.1.0.9.0 --startMP 204:451 --initTime 2017-07-16T14:22:39 --startdatetime 2017-07-16T14:30:45 --delay 1 --endMP 204:233391 --enddatetime 2017-07-16T15:06:47 --enforcementcount 0 &gt;&gt;C:\Users\stu\Documents\GitHub\eaglep3-reporting\EC\2017-07-16-refined-times.txt</v>
      </c>
      <c r="AI101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{"issue":{"subject":"","project_id":79,"tracker_id":40,"status_id":1,"priority_id":2,"assigned_to_id":23,"start_date":"2017-07-16","description":"","custom_fields":[{"id":1,"name":"Subdivision","value":"EC"},{"id":4,"name":"Milepost","value":"23.3391"},{"id":17,"name":"Train ID","value":"187-16"},{"id":16,"name":"Locomotive ID","value":"4042"},{"id":130,"name":"Impact","value":""},{"id":150,"name":"Time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4042 --day 2017-07-16</v>
      </c>
      <c r="AN10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763</v>
      </c>
      <c r="B102" s="7">
        <v>4041</v>
      </c>
      <c r="C102" s="21" t="s">
        <v>199</v>
      </c>
      <c r="D102" s="21" t="s">
        <v>883</v>
      </c>
      <c r="E102" s="13">
        <v>42932.633194444446</v>
      </c>
      <c r="F102" s="13">
        <v>42932.643923611111</v>
      </c>
      <c r="G102" s="7">
        <v>1</v>
      </c>
      <c r="H102" s="21" t="s">
        <v>354</v>
      </c>
      <c r="I102" s="13">
        <v>42932.670729166668</v>
      </c>
      <c r="J102" s="7">
        <v>0</v>
      </c>
      <c r="K102" s="89" t="str">
        <f t="shared" si="27"/>
        <v>4041/4042</v>
      </c>
      <c r="L102" s="21" t="str">
        <f>VLOOKUP(A102,'Trips&amp;Operators'!$C$1:$G$99999,5,FALSE)</f>
        <v>MCREYNOLDS KYLE</v>
      </c>
      <c r="M102" s="6">
        <f t="shared" si="28"/>
        <v>2.6805555557075422E-2</v>
      </c>
      <c r="N102" s="7">
        <f t="shared" si="43"/>
        <v>38.600000002188608</v>
      </c>
      <c r="O102" s="7"/>
      <c r="P102" s="7"/>
      <c r="Q102" s="22"/>
      <c r="R102" s="170"/>
      <c r="S102" s="213">
        <f t="shared" si="44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-16T14:11:48-0600',mode:absolute,to:'2017-07-16T17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23.305499999999999</v>
      </c>
      <c r="Z102" s="197">
        <f t="shared" si="33"/>
        <v>1.47E-2</v>
      </c>
      <c r="AA102" s="197">
        <f t="shared" si="34"/>
        <v>23.290799999999997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188</v>
      </c>
      <c r="AE102" s="77" t="str">
        <f t="shared" si="36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102" s="74" t="str">
        <f t="shared" si="37"/>
        <v>"C:\Program Files (x86)\AstroGrep\AstroGrep.exe" /e /r /s /spath="%USERPROFILE%\AppData\Local\Temp\OnboardLogs" /stypes="app*4041*20170716*"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188-16 --locoid 4041 --swversion DE.1.0.9.0 --startMP 204:233055 --initTime 2017-07-16T15:11:48 --startdatetime 2017-07-16T15:27:15 --delay 1 --endMP 204:147 --enddatetime 2017-07-16T16:05:51 --enforcementcount 0 &gt;&gt;C:\Users\stu\Documents\GitHub\eaglep3-reporting\EC\2017-07-16-refined-times.txt</v>
      </c>
      <c r="AI10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{"issue":{"subject":"","project_id":79,"tracker_id":40,"status_id":1,"priority_id":2,"assigned_to_id":23,"start_date":"2017-07-16","description":"","custom_fields":[{"id":1,"name":"Subdivision","value":"EC"},{"id":4,"name":"Milepost","value":"0.0147"},{"id":17,"name":"Train ID","value":"188-16"},{"id":16,"name":"Locomotive ID","value":"4041"},{"id":130,"name":"Impact","value":""},{"id":150,"name":"Time of Event (Mountain Time)","value":"16:05:51"},{"id":151,"name":"Denver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4041 --day 2017-07-16</v>
      </c>
      <c r="AN102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758</v>
      </c>
      <c r="B103" s="7">
        <v>4006</v>
      </c>
      <c r="C103" s="21" t="s">
        <v>199</v>
      </c>
      <c r="D103" s="21" t="s">
        <v>415</v>
      </c>
      <c r="E103" s="13">
        <v>42932.61178240741</v>
      </c>
      <c r="F103" s="13">
        <v>42932.615219907406</v>
      </c>
      <c r="G103" s="7">
        <v>1</v>
      </c>
      <c r="H103" s="21" t="s">
        <v>506</v>
      </c>
      <c r="I103" s="13">
        <v>42932.641400462962</v>
      </c>
      <c r="J103" s="7">
        <v>0</v>
      </c>
      <c r="K103" s="89" t="str">
        <f t="shared" si="27"/>
        <v>4005/4006</v>
      </c>
      <c r="L103" s="21" t="str">
        <f>VLOOKUP(A103,'Trips&amp;Operators'!$C$1:$G$99999,5,FALSE)</f>
        <v>DAVIS MICHAEL</v>
      </c>
      <c r="M103" s="6">
        <f t="shared" si="28"/>
        <v>2.6180555556493346E-2</v>
      </c>
      <c r="N103" s="7">
        <f t="shared" si="43"/>
        <v>37.700000001350418</v>
      </c>
      <c r="O103" s="7"/>
      <c r="P103" s="7"/>
      <c r="Q103" s="22"/>
      <c r="R103" s="170"/>
      <c r="S103" s="213">
        <f t="shared" si="44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-16T13:40:58-0600',mode:absolute,to:'2017-07-16T16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4.58E-2</v>
      </c>
      <c r="Z103" s="197">
        <f t="shared" si="33"/>
        <v>23.330200000000001</v>
      </c>
      <c r="AA103" s="197">
        <f t="shared" si="34"/>
        <v>23.284400000000002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189</v>
      </c>
      <c r="AE103" s="77" t="str">
        <f t="shared" si="36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03" s="74" t="str">
        <f t="shared" si="37"/>
        <v>"C:\Program Files (x86)\AstroGrep\AstroGrep.exe" /e /r /s /spath="%USERPROFILE%\AppData\Local\Temp\OnboardLogs" /stypes="app*4006*20170716*"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189-16 --locoid 4006 --swversion DE.1.0.9.0 --startMP 204:458 --initTime 2017-07-16T14:40:58 --startdatetime 2017-07-16T14:45:55 --delay 1 --endMP 204:233302 --enddatetime 2017-07-16T15:23:37 --enforcementcount 0 &gt;&gt;C:\Users\stu\Documents\GitHub\eaglep3-reporting\EC\2017-07-16-refined-times.txt</v>
      </c>
      <c r="AI10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{"issue":{"subject":"","project_id":79,"tracker_id":40,"status_id":1,"priority_id":2,"assigned_to_id":23,"start_date":"2017-07-16","description":"","custom_fields":[{"id":1,"name":"Subdivision","value":"EC"},{"id":4,"name":"Milepost","value":"23.3302"},{"id":17,"name":"Train ID","value":"189-16"},{"id":16,"name":"Locomotive ID","value":"4006"},{"id":130,"name":"Impact","value":""},{"id":150,"name":"Time of Event (Mountain Time)","value":"15:23:37"},{"id":151,"name":"Denver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4006 --day 2017-07-16</v>
      </c>
      <c r="AN10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767</v>
      </c>
      <c r="B104" s="7">
        <v>4005</v>
      </c>
      <c r="C104" s="21" t="s">
        <v>199</v>
      </c>
      <c r="D104" s="21" t="s">
        <v>924</v>
      </c>
      <c r="E104" s="13">
        <v>42932.652881944443</v>
      </c>
      <c r="F104" s="13">
        <v>42932.654629629629</v>
      </c>
      <c r="G104" s="7">
        <v>1</v>
      </c>
      <c r="H104" s="21" t="s">
        <v>401</v>
      </c>
      <c r="I104" s="13">
        <v>42932.682129629633</v>
      </c>
      <c r="J104" s="7">
        <v>0</v>
      </c>
      <c r="K104" s="89" t="str">
        <f t="shared" si="27"/>
        <v>4005/4006</v>
      </c>
      <c r="L104" s="21" t="str">
        <f>VLOOKUP(A104,'Trips&amp;Operators'!$C$1:$G$99999,5,FALSE)</f>
        <v>DAVIS MICHAEL</v>
      </c>
      <c r="M104" s="6">
        <f t="shared" si="28"/>
        <v>2.7500000003783498E-2</v>
      </c>
      <c r="N104" s="7">
        <f t="shared" si="43"/>
        <v>39.600000005448237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-16T14:40:09-0600',mode:absolute,to:'2017-07-16T17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23.300999999999998</v>
      </c>
      <c r="Z104" s="197">
        <f t="shared" si="33"/>
        <v>1.38E-2</v>
      </c>
      <c r="AA104" s="197">
        <f t="shared" si="34"/>
        <v>23.287199999999999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190</v>
      </c>
      <c r="AE104" s="77" t="str">
        <f t="shared" si="36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04" s="74" t="str">
        <f t="shared" si="37"/>
        <v>"C:\Program Files (x86)\AstroGrep\AstroGrep.exe" /e /r /s /spath="%USERPROFILE%\AppData\Local\Temp\OnboardLogs" /stypes="app*4005*20170716*"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190-16 --locoid 4005 --swversion DE.1.0.9.0 --startMP 204:233010 --initTime 2017-07-16T15:40:09 --startdatetime 2017-07-16T15:42:40 --delay 1 --endMP 204:138 --enddatetime 2017-07-16T16:22:16 --enforcementcount 0 &gt;&gt;C:\Users\stu\Documents\GitHub\eaglep3-reporting\EC\2017-07-16-refined-times.txt</v>
      </c>
      <c r="AI10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ID","value":"190-16"},{"id":16,"name":"Locomotive ID","value":"4005"},{"id":130,"name":"Impact","value":""},{"id":150,"name":"Time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4005 --day 2017-07-16</v>
      </c>
      <c r="AN10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760</v>
      </c>
      <c r="B105" s="7">
        <v>4012</v>
      </c>
      <c r="C105" s="21" t="s">
        <v>199</v>
      </c>
      <c r="D105" s="21" t="s">
        <v>380</v>
      </c>
      <c r="E105" s="13">
        <v>42932.622523148151</v>
      </c>
      <c r="F105" s="13">
        <v>42932.698495370372</v>
      </c>
      <c r="G105" s="7">
        <v>1</v>
      </c>
      <c r="H105" s="21" t="s">
        <v>928</v>
      </c>
      <c r="I105" s="13">
        <v>42932.724062499998</v>
      </c>
      <c r="J105" s="7">
        <v>0</v>
      </c>
      <c r="K105" s="89" t="str">
        <f t="shared" si="27"/>
        <v>4011/4012</v>
      </c>
      <c r="L105" s="21" t="str">
        <f>VLOOKUP(A105,'Trips&amp;Operators'!$C$1:$G$99999,5,FALSE)</f>
        <v>THOMPSON LESTER</v>
      </c>
      <c r="M105" s="6">
        <f t="shared" si="28"/>
        <v>2.5567129625414964E-2</v>
      </c>
      <c r="N105" s="7">
        <f t="shared" si="43"/>
        <v>36.816666660597548</v>
      </c>
      <c r="O105" s="7"/>
      <c r="P105" s="7"/>
      <c r="Q105" s="22"/>
      <c r="R105" s="170" t="s">
        <v>987</v>
      </c>
      <c r="S105" s="213">
        <f t="shared" si="44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-16T13:56:26-0600',mode:absolute,to:'2017-07-16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197" t="str">
        <f>IF(AA105&lt;VLOOKUP(AG105,Variables!$AC$3:$AD$8,2,FALSE),"Y","N")</f>
        <v>Y</v>
      </c>
      <c r="X105" s="197">
        <f t="shared" si="31"/>
        <v>1</v>
      </c>
      <c r="Y105" s="197">
        <f t="shared" si="32"/>
        <v>4.6199999999999998E-2</v>
      </c>
      <c r="Z105" s="197">
        <f t="shared" si="33"/>
        <v>22.808</v>
      </c>
      <c r="AA105" s="197">
        <f t="shared" si="34"/>
        <v>22.761800000000001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191</v>
      </c>
      <c r="AE105" s="77" t="str">
        <f t="shared" si="36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05" s="74" t="str">
        <f t="shared" si="37"/>
        <v>"C:\Program Files (x86)\AstroGrep\AstroGrep.exe" /e /r /s /spath="%USERPROFILE%\AppData\Local\Temp\OnboardLogs" /stypes="app*4012*20170716*" /stext=" 23:.+((SYSTEM_STATE.+slice.+state.+changed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191-16 --locoid 4012 --swversion DE.1.0.9.0 --startMP 204:462 --initTime 2017-07-16T14:56:26 --startdatetime 2017-07-16T16:45:50 --delay 1 --endMP 204:228080 --enddatetime 2017-07-16T17:22:39 --enforcementcount 0 &gt;&gt;C:\Users\stu\Documents\GitHub\eaglep3-reporting\EC\2017-07-16-refined-times.txt</v>
      </c>
      <c r="AI105" s="96" t="str">
        <f t="shared" si="40"/>
        <v>echo {"issue":{"subject":"Barricade test","project_id":79,"tracker_id":40,"status_id":1,"priority_id":2,"assigned_to_id":23,"start_date":"2017-07-16","description":"","custom_fields":[{"id":1,"name":"Subdivision","value":"EC"},{"id":4,"name":"Milepost","value":"22.808"},{"id":17,"name":"Train ID","value":"191-16"},{"id":16,"name":"Locomotive ID","value":"4012"},{"id":130,"name":"Impact","value":""},{"id":150,"name":"Time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4012 --day 2017-07-16</v>
      </c>
      <c r="AN105" s="151" t="str">
        <f t="shared" si="42"/>
        <v>echo {"issue":{"subject":"Barricade test","project_id":30,"tracker_id":4,"status_id":1,"priority_id":1,"assigned_to_id":10,"start_date":"2017-07-16","description":"","custom_fields":[{"id":30,"name":"Category","value":"Issue"},{"id":3,"name":"Functional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613</v>
      </c>
      <c r="B106" s="7">
        <v>4011</v>
      </c>
      <c r="C106" s="21" t="s">
        <v>199</v>
      </c>
      <c r="D106" s="21" t="s">
        <v>929</v>
      </c>
      <c r="E106" s="13">
        <v>42932.66333333333</v>
      </c>
      <c r="F106" s="13">
        <v>42932.664861111109</v>
      </c>
      <c r="G106" s="7">
        <v>1</v>
      </c>
      <c r="H106" s="21" t="s">
        <v>930</v>
      </c>
      <c r="I106" s="13">
        <v>42932.692210648151</v>
      </c>
      <c r="J106" s="7">
        <v>0</v>
      </c>
      <c r="K106" s="89" t="str">
        <f t="shared" si="27"/>
        <v>4011/4012</v>
      </c>
      <c r="L106" s="21" t="str">
        <f>VLOOKUP(A106,'Trips&amp;Operators'!$C$1:$G$99999,5,FALSE)</f>
        <v>THOMPSON LESTER</v>
      </c>
      <c r="M106" s="6">
        <f t="shared" si="28"/>
        <v>2.7349537042027805E-2</v>
      </c>
      <c r="N106" s="7">
        <f t="shared" si="43"/>
        <v>39.383333340520039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-16T14:55:12-0600',mode:absolute,to:'2017-07-16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23.295300000000001</v>
      </c>
      <c r="Z106" s="197">
        <f t="shared" si="33"/>
        <v>1.83E-2</v>
      </c>
      <c r="AA106" s="197">
        <f t="shared" si="34"/>
        <v>23.277000000000001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192</v>
      </c>
      <c r="AE106" s="77" t="str">
        <f t="shared" si="36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06" s="74" t="str">
        <f t="shared" si="37"/>
        <v>"C:\Program Files (x86)\AstroGrep\AstroGrep.exe" /e /r /s /spath="%USERPROFILE%\AppData\Local\Temp\OnboardLogs" /stypes="app*4011*20170716*"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192-16 --locoid 4011 --swversion DE.1.0.9.0 --startMP 204:232953 --initTime 2017-07-16T15:55:12 --startdatetime 2017-07-16T15:57:24 --delay 1 --endMP 204:183 --enddatetime 2017-07-16T16:36:47 --enforcementcount 0 &gt;&gt;C:\Users\stu\Documents\GitHub\eaglep3-reporting\EC\2017-07-16-refined-times.txt</v>
      </c>
      <c r="AI10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{"issue":{"subject":"","project_id":79,"tracker_id":40,"status_id":1,"priority_id":2,"assigned_to_id":23,"start_date":"2017-07-16","description":"","custom_fields":[{"id":1,"name":"Subdivision","value":"EC"},{"id":4,"name":"Milepost","value":"0.0183"},{"id":17,"name":"Train ID","value":"192-16"},{"id":16,"name":"Locomotive ID","value":"4011"},{"id":130,"name":"Impact","value":""},{"id":150,"name":"Time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4011 --day 2017-07-16</v>
      </c>
      <c r="AN10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762</v>
      </c>
      <c r="B107" s="7">
        <v>4050</v>
      </c>
      <c r="C107" s="21" t="s">
        <v>199</v>
      </c>
      <c r="D107" s="21" t="s">
        <v>415</v>
      </c>
      <c r="E107" s="13">
        <v>42932.631203703706</v>
      </c>
      <c r="F107" s="13">
        <v>42932.635937500003</v>
      </c>
      <c r="G107" s="7">
        <v>1</v>
      </c>
      <c r="H107" s="21" t="s">
        <v>584</v>
      </c>
      <c r="I107" s="13">
        <v>42932.660497685189</v>
      </c>
      <c r="J107" s="7">
        <v>0</v>
      </c>
      <c r="K107" s="89" t="str">
        <f t="shared" si="27"/>
        <v>4049/4050</v>
      </c>
      <c r="L107" s="21" t="str">
        <f>VLOOKUP(A107,'Trips&amp;Operators'!$C$1:$G$99999,5,FALSE)</f>
        <v>BRUDER RICHARD</v>
      </c>
      <c r="M107" s="6">
        <f t="shared" si="28"/>
        <v>2.4560185185691807E-2</v>
      </c>
      <c r="N107" s="7">
        <f t="shared" si="43"/>
        <v>35.366666667396203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-16T14:08:56-0600',mode:absolute,to:'2017-07-16T16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4.58E-2</v>
      </c>
      <c r="Z107" s="197">
        <f t="shared" si="33"/>
        <v>23.331499999999998</v>
      </c>
      <c r="AA107" s="197">
        <f t="shared" si="34"/>
        <v>23.285699999999999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193</v>
      </c>
      <c r="AE107" s="77" t="str">
        <f t="shared" si="36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107" s="74" t="str">
        <f t="shared" si="37"/>
        <v>"C:\Program Files (x86)\AstroGrep\AstroGrep.exe" /e /r /s /spath="%USERPROFILE%\AppData\Local\Temp\OnboardLogs" /stypes="app*4050*20170716*"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193-16 --locoid 4050 --swversion DE.1.0.9.0 --startMP 204:458 --initTime 2017-07-16T15:08:56 --startdatetime 2017-07-16T15:15:45 --delay 1 --endMP 204:233315 --enddatetime 2017-07-16T15:51:07 --enforcementcount 0 &gt;&gt;C:\Users\stu\Documents\GitHub\eaglep3-reporting\EC\2017-07-16-refined-times.txt</v>
      </c>
      <c r="AI10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{"issue":{"subject":"","project_id":79,"tracker_id":40,"status_id":1,"priority_id":2,"assigned_to_id":23,"start_date":"2017-07-16","description":"","custom_fields":[{"id":1,"name":"Subdivision","value":"EC"},{"id":4,"name":"Milepost","value":"23.3315"},{"id":17,"name":"Train ID","value":"193-16"},{"id":16,"name":"Locomotive ID","value":"4050"},{"id":130,"name":"Impact","value":""},{"id":150,"name":"Time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4050 --day 2017-07-16</v>
      </c>
      <c r="AN10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769</v>
      </c>
      <c r="B108" s="7">
        <v>4049</v>
      </c>
      <c r="C108" s="21" t="s">
        <v>199</v>
      </c>
      <c r="D108" s="21" t="s">
        <v>931</v>
      </c>
      <c r="E108" s="13">
        <v>42932.671331018515</v>
      </c>
      <c r="F108" s="13">
        <v>42932.675474537034</v>
      </c>
      <c r="G108" s="7">
        <v>1</v>
      </c>
      <c r="H108" s="21" t="s">
        <v>490</v>
      </c>
      <c r="I108" s="13">
        <v>42932.700995370367</v>
      </c>
      <c r="J108" s="7">
        <v>0</v>
      </c>
      <c r="K108" s="89" t="str">
        <f t="shared" si="27"/>
        <v>4049/4050</v>
      </c>
      <c r="L108" s="21" t="str">
        <f>VLOOKUP(A108,'Trips&amp;Operators'!$C$1:$G$99999,5,FALSE)</f>
        <v>BRUDER RICHARD</v>
      </c>
      <c r="M108" s="6">
        <f t="shared" si="28"/>
        <v>2.5520833332848269E-2</v>
      </c>
      <c r="N108" s="7">
        <f t="shared" si="43"/>
        <v>36.749999999301508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-16T15:06:43-0600',mode:absolute,to:'2017-07-16T17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23.297899999999998</v>
      </c>
      <c r="Z108" s="197">
        <f t="shared" si="33"/>
        <v>1.5800000000000002E-2</v>
      </c>
      <c r="AA108" s="197">
        <f t="shared" si="34"/>
        <v>23.2821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194</v>
      </c>
      <c r="AE108" s="77" t="str">
        <f t="shared" si="36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108" s="74" t="str">
        <f t="shared" si="37"/>
        <v>"C:\Program Files (x86)\AstroGrep\AstroGrep.exe" /e /r /s /spath="%USERPROFILE%\AppData\Local\Temp\OnboardLogs" /stypes="app*4049*20170716*"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194-16 --locoid 4049 --swversion DE.1.0.9.0 --startMP 204:232979 --initTime 2017-07-16T16:06:43 --startdatetime 2017-07-16T16:12:41 --delay 1 --endMP 204:158 --enddatetime 2017-07-16T16:49:26 --enforcementcount 0 &gt;&gt;C:\Users\stu\Documents\GitHub\eaglep3-reporting\EC\2017-07-16-refined-times.txt</v>
      </c>
      <c r="AI108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{"issue":{"subject":"","project_id":79,"tracker_id":40,"status_id":1,"priority_id":2,"assigned_to_id":23,"start_date":"2017-07-16","description":"","custom_fields":[{"id":1,"name":"Subdivision","value":"EC"},{"id":4,"name":"Milepost","value":"0.0158"},{"id":17,"name":"Train ID","value":"194-16"},{"id":16,"name":"Locomotive ID","value":"4049"},{"id":130,"name":"Impact","value":""},{"id":150,"name":"Time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4049 --day 2017-07-16</v>
      </c>
      <c r="AN108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764</v>
      </c>
      <c r="B109" s="7">
        <v>4002</v>
      </c>
      <c r="C109" s="21" t="s">
        <v>199</v>
      </c>
      <c r="D109" s="21" t="s">
        <v>585</v>
      </c>
      <c r="E109" s="13">
        <v>42932.64135416667</v>
      </c>
      <c r="F109" s="13">
        <v>42932.64640046296</v>
      </c>
      <c r="G109" s="7">
        <v>1</v>
      </c>
      <c r="H109" s="21" t="s">
        <v>577</v>
      </c>
      <c r="I109" s="13">
        <v>42932.671620370369</v>
      </c>
      <c r="J109" s="7">
        <v>0</v>
      </c>
      <c r="K109" s="89" t="str">
        <f t="shared" si="27"/>
        <v>4001/4002</v>
      </c>
      <c r="L109" s="21" t="str">
        <f>VLOOKUP(A109,'Trips&amp;Operators'!$C$1:$G$99999,5,FALSE)</f>
        <v>LOPES KIMBERLY</v>
      </c>
      <c r="M109" s="6">
        <f t="shared" si="28"/>
        <v>2.5219907409336884E-2</v>
      </c>
      <c r="N109" s="7">
        <f t="shared" si="43"/>
        <v>36.316666669445112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-16T14:23:33-0600',mode:absolute,to:'2017-07-16T17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197" t="str">
        <f>IF(AA109&lt;VLOOKUP(AG109,Variables!$AC$3:$AD$8,2,FALSE),"Y","N")</f>
        <v>N</v>
      </c>
      <c r="X109" s="197">
        <f t="shared" si="31"/>
        <v>1</v>
      </c>
      <c r="Y109" s="197">
        <f t="shared" si="32"/>
        <v>4.24E-2</v>
      </c>
      <c r="Z109" s="197">
        <f t="shared" si="33"/>
        <v>23.341999999999999</v>
      </c>
      <c r="AA109" s="197">
        <f t="shared" si="34"/>
        <v>23.299599999999998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195</v>
      </c>
      <c r="AE109" s="77" t="str">
        <f t="shared" si="36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09" s="74" t="str">
        <f t="shared" si="37"/>
        <v>"C:\Program Files (x86)\AstroGrep\AstroGrep.exe" /e /r /s /spath="%USERPROFILE%\AppData\Local\Temp\OnboardLogs" /stypes="app*4002*20170716*" /stext=" 22:.+((SYSTEM_STATE.+slice.+state.+changed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195-16 --locoid 4002 --swversion DE.1.0.9.0 --startMP 204:424 --initTime 2017-07-16T15:23:33 --startdatetime 2017-07-16T15:30:49 --delay 1 --endMP 204:233420 --enddatetime 2017-07-16T16:07:08 --enforcementcount 0 &gt;&gt;C:\Users\stu\Documents\GitHub\eaglep3-reporting\EC\2017-07-16-refined-times.txt</v>
      </c>
      <c r="AI10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{"issue":{"subject":"","project_id":79,"tracker_id":40,"status_id":1,"priority_id":2,"assigned_to_id":23,"start_date":"2017-07-16","description":"","custom_fields":[{"id":1,"name":"Subdivision","value":"EC"},{"id":4,"name":"Milepost","value":"23.342"},{"id":17,"name":"Train ID","value":"195-16"},{"id":16,"name":"Locomotive ID","value":"4002"},{"id":130,"name":"Impact","value":""},{"id":150,"name":"Time of Event (Mountain Time)","value":"16:07:08"},{"id":151,"name":"Denver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4002 --day 2017-07-16</v>
      </c>
      <c r="AN10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772</v>
      </c>
      <c r="B110" s="7">
        <v>4001</v>
      </c>
      <c r="C110" s="21" t="s">
        <v>199</v>
      </c>
      <c r="D110" s="21" t="s">
        <v>922</v>
      </c>
      <c r="E110" s="13">
        <v>42932.682650462964</v>
      </c>
      <c r="F110" s="13">
        <v>42932.685636574075</v>
      </c>
      <c r="G110" s="7">
        <v>1</v>
      </c>
      <c r="H110" s="21" t="s">
        <v>932</v>
      </c>
      <c r="I110" s="13">
        <v>42932.711365740739</v>
      </c>
      <c r="J110" s="7">
        <v>0</v>
      </c>
      <c r="K110" s="89" t="str">
        <f t="shared" si="27"/>
        <v>4001/4002</v>
      </c>
      <c r="L110" s="21" t="str">
        <f>VLOOKUP(A110,'Trips&amp;Operators'!$C$1:$G$99999,5,FALSE)</f>
        <v>LOPES KIMBERLY</v>
      </c>
      <c r="M110" s="6">
        <f t="shared" si="28"/>
        <v>2.5729166663950309E-2</v>
      </c>
      <c r="N110" s="7">
        <f t="shared" si="43"/>
        <v>37.049999996088445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-16T15:23:01-0600',mode:absolute,to:'2017-07-16T18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197" t="str">
        <f>IF(AA110&lt;VLOOKUP(AG110,Variables!$AC$3:$AD$8,2,FALSE),"Y","N")</f>
        <v>N</v>
      </c>
      <c r="X110" s="197">
        <f t="shared" ref="X110:X113" si="45">VALUE(LEFT(AD110,4))-VALUE(LEFT(AD109,4))</f>
        <v>1</v>
      </c>
      <c r="Y110" s="197">
        <f t="shared" si="32"/>
        <v>23.3096</v>
      </c>
      <c r="Z110" s="197">
        <f t="shared" si="33"/>
        <v>1.2500000000000001E-2</v>
      </c>
      <c r="AA110" s="197">
        <f t="shared" si="34"/>
        <v>23.2971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196</v>
      </c>
      <c r="AE110" s="77" t="str">
        <f t="shared" si="36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10" s="74" t="str">
        <f t="shared" si="37"/>
        <v>"C:\Program Files (x86)\AstroGrep\AstroGrep.exe" /e /r /s /spath="%USERPROFILE%\AppData\Local\Temp\OnboardLogs" /stypes="app*4001*20170716*"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196-16 --locoid 4001 --swversion DE.1.0.9.0 --startMP 204:233096 --initTime 2017-07-16T16:23:01 --startdatetime 2017-07-16T16:27:19 --delay 1 --endMP 204:125 --enddatetime 2017-07-16T17:04:22 --enforcementcount 0 &gt;&gt;C:\Users\stu\Documents\GitHub\eaglep3-reporting\EC\2017-07-16-refined-times.txt</v>
      </c>
      <c r="AI11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{"issue":{"subject":"","project_id":79,"tracker_id":40,"status_id":1,"priority_id":2,"assigned_to_id":23,"start_date":"2017-07-16","description":"","custom_fields":[{"id":1,"name":"Subdivision","value":"EC"},{"id":4,"name":"Milepost","value":"0.0125"},{"id":17,"name":"Train ID","value":"196-16"},{"id":16,"name":"Locomotive ID","value":"4001"},{"id":130,"name":"Impact","value":""},{"id":150,"name":"Time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4001 --day 2017-07-16</v>
      </c>
      <c r="AN110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765</v>
      </c>
      <c r="B111" s="7">
        <v>4008</v>
      </c>
      <c r="C111" s="21" t="s">
        <v>199</v>
      </c>
      <c r="D111" s="21" t="s">
        <v>491</v>
      </c>
      <c r="E111" s="13">
        <v>42932.650833333333</v>
      </c>
      <c r="F111" s="13">
        <v>42932.652928240743</v>
      </c>
      <c r="G111" s="7">
        <v>1</v>
      </c>
      <c r="H111" s="21" t="s">
        <v>933</v>
      </c>
      <c r="I111" s="13">
        <v>42932.65347222222</v>
      </c>
      <c r="J111" s="7">
        <v>0</v>
      </c>
      <c r="K111" s="89" t="str">
        <f t="shared" si="27"/>
        <v>4007/4008</v>
      </c>
      <c r="L111" s="21" t="str">
        <f>VLOOKUP(A111,'Trips&amp;Operators'!$C$1:$G$99999,5,FALSE)</f>
        <v>DELGADO DIANAH</v>
      </c>
      <c r="M111" s="6">
        <f t="shared" si="28"/>
        <v>5.4398147767642513E-4</v>
      </c>
      <c r="N111" s="7"/>
      <c r="O111" s="7"/>
      <c r="P111" s="7">
        <f>24*60*SUM($M111:$M111)</f>
        <v>0.78333332785405219</v>
      </c>
      <c r="Q111" s="22"/>
      <c r="R111" s="170" t="s">
        <v>986</v>
      </c>
      <c r="S111" s="213">
        <f t="shared" si="44"/>
        <v>0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-16T14:37:12-0600',mode:absolute,to:'2017-07-16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97" t="str">
        <f>IF(AA111&lt;VLOOKUP(AG111,Variables!$AC$3:$AD$8,2,FALSE),"Y","N")</f>
        <v>Y</v>
      </c>
      <c r="X111" s="197">
        <f t="shared" si="45"/>
        <v>1</v>
      </c>
      <c r="Y111" s="197">
        <v>0</v>
      </c>
      <c r="Z111" s="197">
        <v>0</v>
      </c>
      <c r="AA111" s="197">
        <f t="shared" si="34"/>
        <v>0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197</v>
      </c>
      <c r="AE111" s="77" t="str">
        <f t="shared" si="36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111" s="74" t="str">
        <f t="shared" si="37"/>
        <v>"C:\Program Files (x86)\AstroGrep\AstroGrep.exe" /e /r /s /spath="%USERPROFILE%\AppData\Local\Temp\OnboardLogs" /stypes="app*4008*20170716*" /stext=" 21:.+((SYSTEM_STATE.+slice.+state.+changed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197-16 --locoid 4008 --swversion DE.1.0.9.0 --startMP 204:475 --initTime 2017-07-16T15:37:12 --startdatetime 2017-07-16T15:40:13 --delay 1 --endMP 204:233399 --enddatetime 2017-07-16T15:41:00 --enforcementcount 0 &gt;&gt;C:\Users\stu\Documents\GitHub\eaglep3-reporting\EC\2017-07-16-refined-times.txt</v>
      </c>
      <c r="AI111" s="96" t="str">
        <f t="shared" si="40"/>
        <v>echo {"issue":{"subject":"Onboard in-route failure","project_id":79,"tracker_id":40,"status_id":1,"priority_id":2,"assigned_to_id":23,"start_date":"2017-07-16","description":"","custom_fields":[{"id":1,"name":"Subdivision","value":"EC"},{"id":4,"name":"Milepost","value":"0"},{"id":17,"name":"Train ID","value":"197-16"},{"id":16,"name":"Locomotive ID","value":"4008"},{"id":130,"name":"Impact","value":""},{"id":150,"name":"Time of Event (Mountain Time)","value":"15:41:00"},{"id":151,"name":"Denver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4008 --day 2017-07-16</v>
      </c>
      <c r="AN111" s="151" t="str">
        <f t="shared" si="42"/>
        <v>echo {"issue":{"subject":"Onboard in-route failure","project_id":30,"tracker_id":4,"status_id":1,"priority_id":1,"assigned_to_id":10,"start_date":"2017-07-16","description":"","custom_fields":[{"id":30,"name":"Category","value":"Issue"},{"id":3,"name":"Functional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773</v>
      </c>
      <c r="B112" s="7">
        <v>4007</v>
      </c>
      <c r="C112" s="21" t="s">
        <v>199</v>
      </c>
      <c r="D112" s="21" t="s">
        <v>934</v>
      </c>
      <c r="E112" s="13">
        <v>42932.69263888889</v>
      </c>
      <c r="F112" s="13">
        <v>42932.696215277778</v>
      </c>
      <c r="G112" s="7">
        <v>1</v>
      </c>
      <c r="H112" s="21" t="s">
        <v>422</v>
      </c>
      <c r="I112" s="13">
        <v>42932.721712962964</v>
      </c>
      <c r="J112" s="7">
        <v>0</v>
      </c>
      <c r="K112" s="89" t="str">
        <f t="shared" si="27"/>
        <v>4007/4008</v>
      </c>
      <c r="L112" s="21" t="str">
        <f>VLOOKUP(A112,'Trips&amp;Operators'!$C$1:$G$99999,5,FALSE)</f>
        <v>DELGADO DIANAH</v>
      </c>
      <c r="M112" s="6">
        <f t="shared" si="28"/>
        <v>2.5497685186564922E-2</v>
      </c>
      <c r="N112" s="7">
        <f t="shared" ref="N112:N143" si="46">24*60*SUM($M112:$M112)</f>
        <v>36.716666668653488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-16T15:37:24-0600',mode:absolute,to:'2017-07-16T18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ref="Y112:Y143" si="47">RIGHT(D112,LEN(D112)-4)/10000</f>
        <v>23.316800000000001</v>
      </c>
      <c r="Z112" s="197">
        <f t="shared" ref="Z112:Z143" si="48">RIGHT(H112,LEN(H112)-4)/10000</f>
        <v>1.3599999999999999E-2</v>
      </c>
      <c r="AA112" s="197">
        <f t="shared" si="34"/>
        <v>23.3032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198</v>
      </c>
      <c r="AE112" s="77" t="str">
        <f t="shared" si="36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112" s="74" t="str">
        <f t="shared" si="37"/>
        <v>"C:\Program Files (x86)\AstroGrep\AstroGrep.exe" /e /r /s /spath="%USERPROFILE%\AppData\Local\Temp\OnboardLogs" /stypes="app*4007*20170716*"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198-16 --locoid 4007 --swversion DE.1.0.9.0 --startMP 204:233168 --initTime 2017-07-16T16:37:24 --startdatetime 2017-07-16T16:42:33 --delay 1 --endMP 204:136 --enddatetime 2017-07-16T17:19:16 --enforcementcount 0 &gt;&gt;C:\Users\stu\Documents\GitHub\eaglep3-reporting\EC\2017-07-16-refined-times.txt</v>
      </c>
      <c r="AI11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ID","value":"198-16"},{"id":16,"name":"Locomotive ID","value":"4007"},{"id":130,"name":"Impact","value":""},{"id":150,"name":"Time of Event (Mountain Time)","value":"17:19:16"},{"id":151,"name":"Denver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4007 --day 2017-07-16</v>
      </c>
      <c r="AN112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768</v>
      </c>
      <c r="B113" s="7">
        <v>4064</v>
      </c>
      <c r="C113" s="21" t="s">
        <v>199</v>
      </c>
      <c r="D113" s="21" t="s">
        <v>507</v>
      </c>
      <c r="E113" s="13">
        <v>42932.661157407405</v>
      </c>
      <c r="F113" s="13">
        <v>42932.66715277778</v>
      </c>
      <c r="G113" s="7">
        <v>1</v>
      </c>
      <c r="H113" s="21" t="s">
        <v>884</v>
      </c>
      <c r="I113" s="13">
        <v>42932.692106481481</v>
      </c>
      <c r="J113" s="7">
        <v>0</v>
      </c>
      <c r="K113" s="89" t="str">
        <f t="shared" si="27"/>
        <v>4063/4064</v>
      </c>
      <c r="L113" s="21" t="str">
        <f>VLOOKUP(A113,'Trips&amp;Operators'!$C$1:$G$99999,5,FALSE)</f>
        <v>ROMERO CHAD</v>
      </c>
      <c r="M113" s="6">
        <f t="shared" si="28"/>
        <v>2.495370370161254E-2</v>
      </c>
      <c r="N113" s="7">
        <f t="shared" si="46"/>
        <v>35.933333330322057</v>
      </c>
      <c r="O113" s="7"/>
      <c r="P113" s="7"/>
      <c r="Q113" s="22"/>
      <c r="R113" s="170"/>
      <c r="S113" s="213">
        <f t="shared" si="44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-16T14:52:04-0600',mode:absolute,to:'2017-07-16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47"/>
        <v>4.4200000000000003E-2</v>
      </c>
      <c r="Z113" s="197">
        <f t="shared" si="48"/>
        <v>23.337199999999999</v>
      </c>
      <c r="AA113" s="197">
        <f t="shared" si="34"/>
        <v>23.292999999999999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199</v>
      </c>
      <c r="AE113" s="77" t="str">
        <f t="shared" si="36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13" s="74" t="str">
        <f t="shared" si="37"/>
        <v>"C:\Program Files (x86)\AstroGrep\AstroGrep.exe" /e /r /s /spath="%USERPROFILE%\AppData\Local\Temp\OnboardLogs" /stypes="app*4064*20170716*"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199-16 --locoid 4064 --swversion DE.1.0.9.0 --startMP 204:442 --initTime 2017-07-16T15:52:04 --startdatetime 2017-07-16T16:00:42 --delay 1 --endMP 204:233372 --enddatetime 2017-07-16T16:36:38 --enforcementcount 0 &gt;&gt;C:\Users\stu\Documents\GitHub\eaglep3-reporting\EC\2017-07-16-refined-times.txt</v>
      </c>
      <c r="AI11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{"issue":{"subject":"","project_id":79,"tracker_id":40,"status_id":1,"priority_id":2,"assigned_to_id":23,"start_date":"2017-07-16","description":"","custom_fields":[{"id":1,"name":"Subdivision","value":"EC"},{"id":4,"name":"Milepost","value":"23.3372"},{"id":17,"name":"Train ID","value":"199-16"},{"id":16,"name":"Locomotive ID","value":"4064"},{"id":130,"name":"Impact","value":""},{"id":150,"name":"Time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4064 --day 2017-07-16</v>
      </c>
      <c r="AN11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776</v>
      </c>
      <c r="B114" s="7">
        <v>4063</v>
      </c>
      <c r="C114" s="21" t="s">
        <v>199</v>
      </c>
      <c r="D114" s="21" t="s">
        <v>935</v>
      </c>
      <c r="E114" s="13">
        <v>42932.693449074075</v>
      </c>
      <c r="F114" s="13">
        <v>42932.706493055557</v>
      </c>
      <c r="G114" s="7">
        <v>9</v>
      </c>
      <c r="H114" s="21" t="s">
        <v>401</v>
      </c>
      <c r="I114" s="13">
        <v>42932.731631944444</v>
      </c>
      <c r="J114" s="7">
        <v>0</v>
      </c>
      <c r="K114" s="89" t="str">
        <f t="shared" si="27"/>
        <v>4063/4064</v>
      </c>
      <c r="L114" s="21" t="str">
        <f>VLOOKUP(A114,'Trips&amp;Operators'!$C$1:$G$99999,5,FALSE)</f>
        <v>ROMERO CHAD</v>
      </c>
      <c r="M114" s="6">
        <f t="shared" si="28"/>
        <v>2.5138888886431232E-2</v>
      </c>
      <c r="N114" s="7">
        <f t="shared" si="46"/>
        <v>36.199999996460974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-16T15:38:34-0600',mode:absolute,to:'2017-07-16T18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197" t="str">
        <f>IF(AA114&lt;VLOOKUP(AG114,Variables!$AC$3:$AD$8,2,FALSE),"Y","N")</f>
        <v>N</v>
      </c>
      <c r="X114" s="197">
        <f t="shared" ref="X114:X154" si="49">VALUE(LEFT(AD114,4))-VALUE(LEFT(AD113,4))</f>
        <v>1</v>
      </c>
      <c r="Y114" s="197">
        <f t="shared" si="47"/>
        <v>23.310500000000001</v>
      </c>
      <c r="Z114" s="197">
        <f t="shared" si="48"/>
        <v>1.38E-2</v>
      </c>
      <c r="AA114" s="197">
        <f t="shared" si="34"/>
        <v>23.296700000000001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200</v>
      </c>
      <c r="AE114" s="77" t="str">
        <f t="shared" si="36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14" s="74" t="str">
        <f t="shared" si="37"/>
        <v>"C:\Program Files (x86)\AstroGrep\AstroGrep.exe" /e /r /s /spath="%USERPROFILE%\AppData\Local\Temp\OnboardLogs" /stypes="app*4063*20170716*"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200-16 --locoid 4063 --swversion DE.1.0.9.0 --startMP 204:233105 --initTime 2017-07-16T16:38:34 --startdatetime 2017-07-16T16:57:21 --delay 9 --endMP 204:138 --enddatetime 2017-07-16T17:33:33 --enforcementcount 0 &gt;&gt;C:\Users\stu\Documents\GitHub\eaglep3-reporting\EC\2017-07-16-refined-times.txt</v>
      </c>
      <c r="AI11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ID","value":"200-16"},{"id":16,"name":"Locomotive ID","value":"4063"},{"id":130,"name":"Impact","value":""},{"id":150,"name":"Time of Event (Mountain Time)","value":"17:33:33"},{"id":151,"name":"Denver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4063 --day 2017-07-16</v>
      </c>
      <c r="AN114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770</v>
      </c>
      <c r="B115" s="7">
        <v>4042</v>
      </c>
      <c r="C115" s="21" t="s">
        <v>199</v>
      </c>
      <c r="D115" s="21" t="s">
        <v>346</v>
      </c>
      <c r="E115" s="13">
        <v>42932.672534722224</v>
      </c>
      <c r="F115" s="13">
        <v>42932.677604166667</v>
      </c>
      <c r="G115" s="7">
        <v>1</v>
      </c>
      <c r="H115" s="21" t="s">
        <v>936</v>
      </c>
      <c r="I115" s="13">
        <v>42932.702141203707</v>
      </c>
      <c r="J115" s="7">
        <v>0</v>
      </c>
      <c r="K115" s="89" t="str">
        <f t="shared" si="27"/>
        <v>4041/4042</v>
      </c>
      <c r="L115" s="21" t="str">
        <f>VLOOKUP(A115,'Trips&amp;Operators'!$C$1:$G$99999,5,FALSE)</f>
        <v>MCREYNOLDS KYLE</v>
      </c>
      <c r="M115" s="6">
        <f t="shared" si="28"/>
        <v>2.453703703940846E-2</v>
      </c>
      <c r="N115" s="7">
        <f t="shared" si="46"/>
        <v>35.333333336748183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-16T15:08:27-0600',mode:absolute,to:'2017-07-16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7" t="str">
        <f>IF(AA115&lt;VLOOKUP(AG115,Variables!$AC$3:$AD$8,2,FALSE),"Y","N")</f>
        <v>N</v>
      </c>
      <c r="X115" s="197">
        <f t="shared" si="49"/>
        <v>1</v>
      </c>
      <c r="Y115" s="197">
        <f t="shared" si="47"/>
        <v>4.6600000000000003E-2</v>
      </c>
      <c r="Z115" s="197">
        <f t="shared" si="48"/>
        <v>23.3383</v>
      </c>
      <c r="AA115" s="197">
        <f t="shared" si="34"/>
        <v>23.291699999999999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201</v>
      </c>
      <c r="AE115" s="77" t="str">
        <f t="shared" si="36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115" s="74" t="str">
        <f t="shared" si="37"/>
        <v>"C:\Program Files (x86)\AstroGrep\AstroGrep.exe" /e /r /s /spath="%USERPROFILE%\AppData\Local\Temp\OnboardLogs" /stypes="app*4042*20170716*"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201-16 --locoid 4042 --swversion DE.1.0.9.0 --startMP 204:466 --initTime 2017-07-16T16:08:27 --startdatetime 2017-07-16T16:15:45 --delay 1 --endMP 204:233383 --enddatetime 2017-07-16T16:51:05 --enforcementcount 0 &gt;&gt;C:\Users\stu\Documents\GitHub\eaglep3-reporting\EC\2017-07-16-refined-times.txt</v>
      </c>
      <c r="AI115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{"issue":{"subject":"","project_id":79,"tracker_id":40,"status_id":1,"priority_id":2,"assigned_to_id":23,"start_date":"2017-07-16","description":"","custom_fields":[{"id":1,"name":"Subdivision","value":"EC"},{"id":4,"name":"Milepost","value":"23.3383"},{"id":17,"name":"Train ID","value":"201-16"},{"id":16,"name":"Locomotive ID","value":"4042"},{"id":130,"name":"Impact","value":""},{"id":150,"name":"Time of Event (Mountain Time)","value":"16:51:05"},{"id":151,"name":"Denver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4042 --day 2017-07-16</v>
      </c>
      <c r="AN115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778</v>
      </c>
      <c r="B116" s="7">
        <v>4041</v>
      </c>
      <c r="C116" s="21" t="s">
        <v>199</v>
      </c>
      <c r="D116" s="21" t="s">
        <v>937</v>
      </c>
      <c r="E116" s="13">
        <v>42932.710694444446</v>
      </c>
      <c r="F116" s="13">
        <v>42932.716863425929</v>
      </c>
      <c r="G116" s="7">
        <v>1</v>
      </c>
      <c r="H116" s="21" t="s">
        <v>490</v>
      </c>
      <c r="I116" s="13">
        <v>42932.742824074077</v>
      </c>
      <c r="J116" s="7">
        <v>0</v>
      </c>
      <c r="K116" s="89" t="str">
        <f t="shared" si="27"/>
        <v>4041/4042</v>
      </c>
      <c r="L116" s="21" t="str">
        <f>VLOOKUP(A116,'Trips&amp;Operators'!$C$1:$G$99999,5,FALSE)</f>
        <v>MCREYNOLDS KYLE</v>
      </c>
      <c r="M116" s="6">
        <f t="shared" si="28"/>
        <v>2.5960648148611654E-2</v>
      </c>
      <c r="N116" s="7">
        <f t="shared" si="46"/>
        <v>37.383333334000781</v>
      </c>
      <c r="O116" s="7"/>
      <c r="P116" s="7"/>
      <c r="Q116" s="22"/>
      <c r="R116" s="170"/>
      <c r="S116" s="213">
        <f t="shared" si="44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-16T16:03:24-0600',mode:absolute,to:'2017-07-16T18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7" t="str">
        <f>IF(AA116&lt;VLOOKUP(AG116,Variables!$AC$3:$AD$8,2,FALSE),"Y","N")</f>
        <v>N</v>
      </c>
      <c r="X116" s="197">
        <f t="shared" si="49"/>
        <v>1</v>
      </c>
      <c r="Y116" s="197">
        <f t="shared" si="47"/>
        <v>23.307400000000001</v>
      </c>
      <c r="Z116" s="197">
        <f t="shared" si="48"/>
        <v>1.5800000000000002E-2</v>
      </c>
      <c r="AA116" s="197">
        <f t="shared" si="34"/>
        <v>23.291600000000003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202</v>
      </c>
      <c r="AE116" s="77" t="str">
        <f t="shared" si="36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116" s="74" t="str">
        <f t="shared" si="37"/>
        <v>"C:\Program Files (x86)\AstroGrep\AstroGrep.exe" /e /r /s /spath="%USERPROFILE%\AppData\Local\Temp\OnboardLogs" /stypes="app*4041*20170716*"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202-16 --locoid 4041 --swversion DE.1.0.9.0 --startMP 204:233074 --initTime 2017-07-16T17:03:24 --startdatetime 2017-07-16T17:12:17 --delay 1 --endMP 204:158 --enddatetime 2017-07-16T17:49:40 --enforcementcount 0 &gt;&gt;C:\Users\stu\Documents\GitHub\eaglep3-reporting\EC\2017-07-16-refined-times.txt</v>
      </c>
      <c r="AI11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{"issue":{"subject":"","project_id":79,"tracker_id":40,"status_id":1,"priority_id":2,"assigned_to_id":23,"start_date":"2017-07-16","description":"","custom_fields":[{"id":1,"name":"Subdivision","value":"EC"},{"id":4,"name":"Milepost","value":"0.0158"},{"id":17,"name":"Train ID","value":"202-16"},{"id":16,"name":"Locomotive ID","value":"4041"},{"id":130,"name":"Impact","value":""},{"id":150,"name":"Time of Event (Mountain Time)","value":"17:49:40"},{"id":151,"name":"Denver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4041 --day 2017-07-16</v>
      </c>
      <c r="AN116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614</v>
      </c>
      <c r="B117" s="7">
        <v>4006</v>
      </c>
      <c r="C117" s="21" t="s">
        <v>199</v>
      </c>
      <c r="D117" s="21" t="s">
        <v>418</v>
      </c>
      <c r="E117" s="13">
        <v>42932.685995370368</v>
      </c>
      <c r="F117" s="13">
        <v>42932.687893518516</v>
      </c>
      <c r="G117" s="7">
        <v>1</v>
      </c>
      <c r="H117" s="21" t="s">
        <v>417</v>
      </c>
      <c r="I117" s="13">
        <v>42932.720879629633</v>
      </c>
      <c r="J117" s="7">
        <v>0</v>
      </c>
      <c r="K117" s="89" t="str">
        <f t="shared" si="27"/>
        <v>4005/4006</v>
      </c>
      <c r="L117" s="21" t="str">
        <f>VLOOKUP(A117,'Trips&amp;Operators'!$C$1:$G$99999,5,FALSE)</f>
        <v>DAVIS MICHAEL</v>
      </c>
      <c r="M117" s="6">
        <f t="shared" si="28"/>
        <v>3.2986111116770189E-2</v>
      </c>
      <c r="N117" s="7">
        <f t="shared" si="46"/>
        <v>47.500000008149073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-16T15:27:50-0600',mode:absolute,to:'2017-07-16T18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197" t="str">
        <f>IF(AA117&lt;VLOOKUP(AG117,Variables!$AC$3:$AD$8,2,FALSE),"Y","N")</f>
        <v>N</v>
      </c>
      <c r="X117" s="197">
        <f t="shared" si="49"/>
        <v>1</v>
      </c>
      <c r="Y117" s="197">
        <f t="shared" si="47"/>
        <v>4.4400000000000002E-2</v>
      </c>
      <c r="Z117" s="197">
        <f t="shared" si="48"/>
        <v>23.331199999999999</v>
      </c>
      <c r="AA117" s="197">
        <f t="shared" si="34"/>
        <v>23.286799999999999</v>
      </c>
      <c r="AB117" s="54" t="str">
        <f>VLOOKUP(A117,Enforcements!$C$7:$K$13,8,0)</f>
        <v>Signal based authority (5)</v>
      </c>
      <c r="AC117" s="51" t="str">
        <f>VLOOKUP(A117,Enforcements!$C$7:$E$13,3,0)</f>
        <v>SIGNAL</v>
      </c>
      <c r="AD117" s="206">
        <f t="shared" si="35"/>
        <v>203</v>
      </c>
      <c r="AE117" s="77" t="str">
        <f t="shared" si="36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17" s="74" t="str">
        <f t="shared" si="37"/>
        <v>"C:\Program Files (x86)\AstroGrep\AstroGrep.exe" /e /r /s /spath="%USERPROFILE%\AppData\Local\Temp\OnboardLogs" /stypes="app*4006*20170716*"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203-16 --locoid 4006 --swversion DE.1.0.9.0 --startMP 204:444 --initTime 2017-07-16T16:27:50 --startdatetime 2017-07-16T16:30:34 --delay 1 --endMP 204:233312 --enddatetime 2017-07-16T17:18:04 --enforcementcount 0 &gt;&gt;C:\Users\stu\Documents\GitHub\eaglep3-reporting\EC\2017-07-16-refined-times.txt</v>
      </c>
      <c r="AI11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{"issue":{"subject":"","project_id":79,"tracker_id":40,"status_id":1,"priority_id":2,"assigned_to_id":23,"start_date":"2017-07-16","description":"","custom_fields":[{"id":1,"name":"Subdivision","value":"EC"},{"id":4,"name":"Milepost","value":"23.3312"},{"id":17,"name":"Train ID","value":"203-16"},{"id":16,"name":"Locomotive ID","value":"4006"},{"id":130,"name":"Impact","value":""},{"id":150,"name":"Time of Event (Mountain Time)","value":"17:18:04"},{"id":151,"name":"Denver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4006 --day 2017-07-16</v>
      </c>
      <c r="AN117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23:18:04"},{"id":29,"name":"Sharepoint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786</v>
      </c>
      <c r="B118" s="7">
        <v>4005</v>
      </c>
      <c r="C118" s="21" t="s">
        <v>199</v>
      </c>
      <c r="D118" s="21" t="s">
        <v>539</v>
      </c>
      <c r="E118" s="13">
        <v>42932.725868055553</v>
      </c>
      <c r="F118" s="13">
        <v>42932.727627314816</v>
      </c>
      <c r="G118" s="7">
        <v>1</v>
      </c>
      <c r="H118" s="21" t="s">
        <v>431</v>
      </c>
      <c r="I118" s="13">
        <v>42932.756203703706</v>
      </c>
      <c r="J118" s="7">
        <v>0</v>
      </c>
      <c r="K118" s="89" t="str">
        <f t="shared" si="27"/>
        <v>4005/4006</v>
      </c>
      <c r="L118" s="21" t="str">
        <f>VLOOKUP(A118,'Trips&amp;Operators'!$C$1:$G$99999,5,FALSE)</f>
        <v>DAVIS MICHAEL</v>
      </c>
      <c r="M118" s="6">
        <f t="shared" si="28"/>
        <v>2.8576388889632653E-2</v>
      </c>
      <c r="N118" s="7">
        <f t="shared" si="46"/>
        <v>41.150000001071021</v>
      </c>
      <c r="O118" s="7"/>
      <c r="P118" s="7"/>
      <c r="Q118" s="22"/>
      <c r="R118" s="170" t="s">
        <v>599</v>
      </c>
      <c r="S118" s="213">
        <f t="shared" si="44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-16T16:25:15-0600',mode:absolute,to:'2017-07-16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197" t="str">
        <f>IF(AA118&lt;VLOOKUP(AG118,Variables!$AC$3:$AD$8,2,FALSE),"Y","N")</f>
        <v>N</v>
      </c>
      <c r="X118" s="197">
        <f t="shared" si="49"/>
        <v>1</v>
      </c>
      <c r="Y118" s="197">
        <f t="shared" si="47"/>
        <v>23.300699999999999</v>
      </c>
      <c r="Z118" s="197">
        <f t="shared" si="48"/>
        <v>1.32E-2</v>
      </c>
      <c r="AA118" s="197">
        <f t="shared" si="34"/>
        <v>23.287499999999998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204</v>
      </c>
      <c r="AE118" s="77" t="str">
        <f t="shared" si="36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18" s="74" t="str">
        <f t="shared" si="37"/>
        <v>"C:\Program Files (x86)\AstroGrep\AstroGrep.exe" /e /r /s /spath="%USERPROFILE%\AppData\Local\Temp\OnboardLogs" /stypes="app*4005*20170717*"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204-16 --locoid 4005 --swversion DE.1.0.9.0 --startMP 204:233007 --initTime 2017-07-16T17:25:15 --startdatetime 2017-07-16T17:27:47 --delay 1 --endMP 204:132 --enddatetime 2017-07-16T18:08:56 --enforcementcount 0 &gt;&gt;C:\Users\stu\Documents\GitHub\eaglep3-reporting\EC\2017-07-16-refined-times.txt</v>
      </c>
      <c r="AI118" s="96" t="str">
        <f t="shared" si="40"/>
        <v>echo {"issue":{"subject":"Minor onboard in-route failure caused unknown signal status","project_id":79,"tracker_id":40,"status_id":1,"priority_id":2,"assigned_to_id":23,"start_date":"2017-07-16","description":"","custom_fields":[{"id":1,"name":"Subdivision","value":"EC"},{"id":4,"name":"Milepost","value":"0.0132"},{"id":17,"name":"Train ID","value":"204-16"},{"id":16,"name":"Locomotive ID","value":"4005"},{"id":130,"name":"Impact","value":""},{"id":150,"name":"Time of Event (Mountain Time)","value":"18:08:56"},{"id":151,"name":"Denver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4005 --day 2017-07-16</v>
      </c>
      <c r="AN118" s="151" t="str">
        <f t="shared" si="42"/>
        <v>echo {"issue":{"subject":"Minor onboard in-route failure caused unknown signal status","project_id":30,"tracker_id":4,"status_id":1,"priority_id":1,"assigned_to_id":10,"start_date":"2017-07-17","description":"","custom_fields":[{"id":30,"name":"Category","value":"Issue"},{"id":3,"name":"Functional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775</v>
      </c>
      <c r="B119" s="7">
        <v>4012</v>
      </c>
      <c r="C119" s="21" t="s">
        <v>199</v>
      </c>
      <c r="D119" s="21" t="s">
        <v>869</v>
      </c>
      <c r="E119" s="13">
        <v>42932.696759259263</v>
      </c>
      <c r="F119" s="13">
        <v>42932.698495370372</v>
      </c>
      <c r="G119" s="7">
        <v>1</v>
      </c>
      <c r="H119" s="21" t="s">
        <v>573</v>
      </c>
      <c r="I119" s="13">
        <v>42932.724062499998</v>
      </c>
      <c r="J119" s="7">
        <v>0</v>
      </c>
      <c r="K119" s="89" t="str">
        <f t="shared" si="27"/>
        <v>4011/4012</v>
      </c>
      <c r="L119" s="21" t="str">
        <f>VLOOKUP(A119,'Trips&amp;Operators'!$C$1:$G$99999,5,FALSE)</f>
        <v>THOMPSON LESTER</v>
      </c>
      <c r="M119" s="6">
        <f t="shared" si="28"/>
        <v>2.5567129625414964E-2</v>
      </c>
      <c r="N119" s="7">
        <f t="shared" si="46"/>
        <v>36.816666660597548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-16T15:43:20-0600',mode:absolute,to:'2017-07-16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97" t="str">
        <f>IF(AA119&lt;VLOOKUP(AG119,Variables!$AC$3:$AD$8,2,FALSE),"Y","N")</f>
        <v>N</v>
      </c>
      <c r="X119" s="197">
        <f t="shared" si="49"/>
        <v>1</v>
      </c>
      <c r="Y119" s="197">
        <f t="shared" si="47"/>
        <v>4.3700000000000003E-2</v>
      </c>
      <c r="Z119" s="197">
        <f t="shared" si="48"/>
        <v>23.333100000000002</v>
      </c>
      <c r="AA119" s="197">
        <f t="shared" si="34"/>
        <v>23.289400000000001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205</v>
      </c>
      <c r="AE119" s="77" t="str">
        <f t="shared" si="36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19" s="74" t="str">
        <f t="shared" si="37"/>
        <v>"C:\Program Files (x86)\AstroGrep\AstroGrep.exe" /e /r /s /spath="%USERPROFILE%\AppData\Local\Temp\OnboardLogs" /stypes="app*4012*20170716*"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205-16 --locoid 4012 --swversion DE.1.0.9.0 --startMP 204:437 --initTime 2017-07-16T16:43:20 --startdatetime 2017-07-16T16:45:50 --delay 1 --endMP 204:233331 --enddatetime 2017-07-16T17:22:39 --enforcementcount 0 &gt;&gt;C:\Users\stu\Documents\GitHub\eaglep3-reporting\EC\2017-07-16-refined-times.txt</v>
      </c>
      <c r="AI11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{"issue":{"subject":"","project_id":79,"tracker_id":40,"status_id":1,"priority_id":2,"assigned_to_id":23,"start_date":"2017-07-16","description":"","custom_fields":[{"id":1,"name":"Subdivision","value":"EC"},{"id":4,"name":"Milepost","value":"23.3331"},{"id":17,"name":"Train ID","value":"205-16"},{"id":16,"name":"Locomotive ID","value":"4012"},{"id":130,"name":"Impact","value":""},{"id":150,"name":"Time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4012 --day 2017-07-16</v>
      </c>
      <c r="AN119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4011</v>
      </c>
      <c r="C120" s="21" t="s">
        <v>199</v>
      </c>
      <c r="D120" s="21" t="s">
        <v>849</v>
      </c>
      <c r="E120" s="13">
        <v>42932.73369212963</v>
      </c>
      <c r="F120" s="13">
        <v>42932.737824074073</v>
      </c>
      <c r="G120" s="7">
        <v>1</v>
      </c>
      <c r="H120" s="21" t="s">
        <v>388</v>
      </c>
      <c r="I120" s="13">
        <v>42932.765555555554</v>
      </c>
      <c r="J120" s="7">
        <v>0</v>
      </c>
      <c r="K120" s="89" t="str">
        <f t="shared" si="27"/>
        <v>4011/4012</v>
      </c>
      <c r="L120" s="21" t="str">
        <f>VLOOKUP(A120,'Trips&amp;Operators'!$C$1:$G$99999,5,FALSE)</f>
        <v>THOMPSON LESTER</v>
      </c>
      <c r="M120" s="6">
        <f t="shared" si="28"/>
        <v>2.7731481481168885E-2</v>
      </c>
      <c r="N120" s="7">
        <f t="shared" si="46"/>
        <v>39.933333332883194</v>
      </c>
      <c r="O120" s="7"/>
      <c r="P120" s="7"/>
      <c r="Q120" s="22"/>
      <c r="R120" s="170"/>
      <c r="S120" s="213">
        <f t="shared" si="44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-16T16:36:31-0600',mode:absolute,to:'2017-07-16T19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97" t="str">
        <f>IF(AA120&lt;VLOOKUP(AG120,Variables!$AC$3:$AD$8,2,FALSE),"Y","N")</f>
        <v>N</v>
      </c>
      <c r="X120" s="197">
        <f t="shared" si="49"/>
        <v>1</v>
      </c>
      <c r="Y120" s="197">
        <f t="shared" si="47"/>
        <v>23.301500000000001</v>
      </c>
      <c r="Z120" s="197">
        <f t="shared" si="48"/>
        <v>1.4500000000000001E-2</v>
      </c>
      <c r="AA120" s="197">
        <f t="shared" si="34"/>
        <v>23.286999999999999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206</v>
      </c>
      <c r="AE120" s="77" t="str">
        <f t="shared" si="36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20" s="74" t="str">
        <f t="shared" si="37"/>
        <v>"C:\Program Files (x86)\AstroGrep\AstroGrep.exe" /e /r /s /spath="%USERPROFILE%\AppData\Local\Temp\OnboardLogs" /stypes="app*4011*20170717*"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206-16 --locoid 4011 --swversion DE.1.0.9.0 --startMP 204:233015 --initTime 2017-07-16T17:36:31 --startdatetime 2017-07-16T17:42:28 --delay 1 --endMP 204:145 --enddatetime 2017-07-16T18:22:24 --enforcementcount 0 &gt;&gt;C:\Users\stu\Documents\GitHub\eaglep3-reporting\EC\2017-07-16-refined-times.txt</v>
      </c>
      <c r="AI12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{"issue":{"subject":"","project_id":79,"tracker_id":40,"status_id":1,"priority_id":2,"assigned_to_id":23,"start_date":"2017-07-16","description":"","custom_fields":[{"id":1,"name":"Subdivision","value":"EC"},{"id":4,"name":"Milepost","value":"0.0145"},{"id":17,"name":"Train ID","value":"206-16"},{"id":16,"name":"Locomotive ID","value":"4011"},{"id":130,"name":"Impact","value":""},{"id":150,"name":"Time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4011 --day 2017-07-16</v>
      </c>
      <c r="AN120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777</v>
      </c>
      <c r="B121" s="7">
        <v>4050</v>
      </c>
      <c r="C121" s="21" t="s">
        <v>199</v>
      </c>
      <c r="D121" s="21" t="s">
        <v>583</v>
      </c>
      <c r="E121" s="13">
        <v>42932.702905092592</v>
      </c>
      <c r="F121" s="13">
        <v>42932.70890046296</v>
      </c>
      <c r="G121" s="7">
        <v>1</v>
      </c>
      <c r="H121" s="21" t="s">
        <v>425</v>
      </c>
      <c r="I121" s="13">
        <v>42932.733935185184</v>
      </c>
      <c r="J121" s="7">
        <v>0</v>
      </c>
      <c r="K121" s="89" t="str">
        <f t="shared" si="27"/>
        <v>4049/4050</v>
      </c>
      <c r="L121" s="21" t="str">
        <f>VLOOKUP(A121,'Trips&amp;Operators'!$C$1:$G$99999,5,FALSE)</f>
        <v>BRUDER RICHARD</v>
      </c>
      <c r="M121" s="6">
        <f t="shared" si="28"/>
        <v>2.5034722224518191E-2</v>
      </c>
      <c r="N121" s="7">
        <f t="shared" si="46"/>
        <v>36.050000003306195</v>
      </c>
      <c r="O121" s="7"/>
      <c r="P121" s="7"/>
      <c r="Q121" s="22"/>
      <c r="R121" s="170"/>
      <c r="S121" s="213">
        <f t="shared" si="44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-16T15:52:11-0600',mode:absolute,to:'2017-07-16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si="49"/>
        <v>1</v>
      </c>
      <c r="Y121" s="197">
        <f t="shared" si="47"/>
        <v>4.3799999999999999E-2</v>
      </c>
      <c r="Z121" s="197">
        <f t="shared" si="48"/>
        <v>23.329699999999999</v>
      </c>
      <c r="AA121" s="197">
        <f t="shared" si="34"/>
        <v>23.285899999999998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121" s="74" t="str">
        <f t="shared" si="37"/>
        <v>"C:\Program Files (x86)\AstroGrep\AstroGrep.exe" /e /r /s /spath="%USERPROFILE%\AppData\Local\Temp\OnboardLogs" /stypes="app*4050*20170716*"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207-16 --locoid 4050 --swversion DE.1.0.9.0 --startMP 204:438 --initTime 2017-07-16T16:52:11 --startdatetime 2017-07-16T17:00:49 --delay 1 --endMP 204:233297 --enddatetime 2017-07-16T17:36:52 --enforcementcount 0 &gt;&gt;C:\Users\stu\Documents\GitHub\eaglep3-reporting\EC\2017-07-16-refined-times.txt</v>
      </c>
      <c r="AI121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{"issue":{"subject":"","project_id":79,"tracker_id":40,"status_id":1,"priority_id":2,"assigned_to_id":23,"start_date":"2017-07-16","description":"","custom_fields":[{"id":1,"name":"Subdivision","value":"EC"},{"id":4,"name":"Milepost","value":"23.3297"},{"id":17,"name":"Train ID","value":"207-16"},{"id":16,"name":"Locomotive ID","value":"4050"},{"id":130,"name":"Impact","value":""},{"id":150,"name":"Time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4050 --day 2017-07-16</v>
      </c>
      <c r="AN121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792</v>
      </c>
      <c r="B122" s="7">
        <v>4049</v>
      </c>
      <c r="C122" s="21" t="s">
        <v>199</v>
      </c>
      <c r="D122" s="21" t="s">
        <v>861</v>
      </c>
      <c r="E122" s="13">
        <v>42932.743877314817</v>
      </c>
      <c r="F122" s="13">
        <v>42932.748090277775</v>
      </c>
      <c r="G122" s="7">
        <v>2</v>
      </c>
      <c r="H122" s="21" t="s">
        <v>421</v>
      </c>
      <c r="I122" s="13">
        <v>42932.774004629631</v>
      </c>
      <c r="J122" s="7">
        <v>0</v>
      </c>
      <c r="K122" s="89" t="str">
        <f t="shared" si="27"/>
        <v>4049/4050</v>
      </c>
      <c r="L122" s="21" t="str">
        <f>VLOOKUP(A122,'Trips&amp;Operators'!$C$1:$G$99999,5,FALSE)</f>
        <v>BRUDER RICHARD</v>
      </c>
      <c r="M122" s="6">
        <f t="shared" si="28"/>
        <v>2.5914351856044959E-2</v>
      </c>
      <c r="N122" s="7">
        <f t="shared" si="46"/>
        <v>37.316666672704741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-16T16:51:11-0600',mode:absolute,to:'2017-07-16T19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49"/>
        <v>1</v>
      </c>
      <c r="Y122" s="197">
        <f t="shared" si="47"/>
        <v>23.2986</v>
      </c>
      <c r="Z122" s="197">
        <f t="shared" si="48"/>
        <v>1.6299999999999999E-2</v>
      </c>
      <c r="AA122" s="197">
        <f t="shared" si="34"/>
        <v>23.282299999999999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122" s="74" t="str">
        <f t="shared" si="37"/>
        <v>"C:\Program Files (x86)\AstroGrep\AstroGrep.exe" /e /r /s /spath="%USERPROFILE%\AppData\Local\Temp\OnboardLogs" /stypes="app*4049*20170717*"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208-16 --locoid 4049 --swversion DE.1.0.9.0 --startMP 204:232986 --initTime 2017-07-16T17:51:11 --startdatetime 2017-07-16T17:57:15 --delay 2 --endMP 204:163 --enddatetime 2017-07-16T18:34:34 --enforcementcount 0 &gt;&gt;C:\Users\stu\Documents\GitHub\eaglep3-reporting\EC\2017-07-16-refined-times.txt</v>
      </c>
      <c r="AI12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{"issue":{"subject":"","project_id":79,"tracker_id":40,"status_id":1,"priority_id":2,"assigned_to_id":23,"start_date":"2017-07-16","description":"","custom_fields":[{"id":1,"name":"Subdivision","value":"EC"},{"id":4,"name":"Milepost","value":"0.0163"},{"id":17,"name":"Train ID","value":"208-16"},{"id":16,"name":"Locomotive ID","value":"4049"},{"id":130,"name":"Impact","value":""},{"id":150,"name":"Time of Event (Mountain Time)","value":"18:34:34"},{"id":151,"name":"Denver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4049 --day 2017-07-16</v>
      </c>
      <c r="AN122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780</v>
      </c>
      <c r="B123" s="7">
        <v>4002</v>
      </c>
      <c r="C123" s="21" t="s">
        <v>199</v>
      </c>
      <c r="D123" s="21" t="s">
        <v>405</v>
      </c>
      <c r="E123" s="13">
        <v>42932.713078703702</v>
      </c>
      <c r="F123" s="13">
        <v>42932.719768518517</v>
      </c>
      <c r="G123" s="7">
        <v>3</v>
      </c>
      <c r="H123" s="21" t="s">
        <v>938</v>
      </c>
      <c r="I123" s="13">
        <v>42932.744120370371</v>
      </c>
      <c r="J123" s="7">
        <v>0</v>
      </c>
      <c r="K123" s="89" t="str">
        <f t="shared" si="27"/>
        <v>4001/4002</v>
      </c>
      <c r="L123" s="21" t="str">
        <f>VLOOKUP(A123,'Trips&amp;Operators'!$C$1:$G$99999,5,FALSE)</f>
        <v>STAMBAUGH JAMES</v>
      </c>
      <c r="M123" s="6">
        <f t="shared" si="28"/>
        <v>2.4351851854589768E-2</v>
      </c>
      <c r="N123" s="7">
        <f t="shared" si="46"/>
        <v>35.066666670609266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-16T16:06:50-0600',mode:absolute,to:'2017-07-16T18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7" t="str">
        <f>IF(AA123&lt;VLOOKUP(AG123,Variables!$AC$3:$AD$8,2,FALSE),"Y","N")</f>
        <v>N</v>
      </c>
      <c r="X123" s="197">
        <f t="shared" si="49"/>
        <v>1</v>
      </c>
      <c r="Y123" s="197">
        <f t="shared" si="47"/>
        <v>4.5499999999999999E-2</v>
      </c>
      <c r="Z123" s="197">
        <f t="shared" si="48"/>
        <v>23.3429</v>
      </c>
      <c r="AA123" s="197">
        <f t="shared" si="34"/>
        <v>23.2974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209</v>
      </c>
      <c r="AE123" s="77" t="str">
        <f t="shared" si="36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23" s="74" t="str">
        <f t="shared" si="37"/>
        <v>"C:\Program Files (x86)\AstroGrep\AstroGrep.exe" /e /r /s /spath="%USERPROFILE%\AppData\Local\Temp\OnboardLogs" /stypes="app*4002*20170716*"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209-16 --locoid 4002 --swversion DE.1.0.9.0 --startMP 204:455 --initTime 2017-07-16T17:06:50 --startdatetime 2017-07-16T17:16:28 --delay 3 --endMP 204:233429 --enddatetime 2017-07-16T17:51:32 --enforcementcount 0 &gt;&gt;C:\Users\stu\Documents\GitHub\eaglep3-reporting\EC\2017-07-16-refined-times.txt</v>
      </c>
      <c r="AI12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{"issue":{"subject":"","project_id":79,"tracker_id":40,"status_id":1,"priority_id":2,"assigned_to_id":23,"start_date":"2017-07-16","description":"","custom_fields":[{"id":1,"name":"Subdivision","value":"EC"},{"id":4,"name":"Milepost","value":"23.3429"},{"id":17,"name":"Train ID","value":"209-16"},{"id":16,"name":"Locomotive ID","value":"4002"},{"id":130,"name":"Impact","value":""},{"id":150,"name":"Time of Event (Mountain Time)","value":"17:51:32"},{"id":151,"name":"Denver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4002 --day 2017-07-16</v>
      </c>
      <c r="AN123" s="151" t="str">
        <f t="shared" si="42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4001</v>
      </c>
      <c r="C124" s="21" t="s">
        <v>199</v>
      </c>
      <c r="D124" s="21" t="s">
        <v>939</v>
      </c>
      <c r="E124" s="13">
        <v>42932.752881944441</v>
      </c>
      <c r="F124" s="13">
        <v>42932.75854166667</v>
      </c>
      <c r="G124" s="7">
        <v>2</v>
      </c>
      <c r="H124" s="21" t="s">
        <v>940</v>
      </c>
      <c r="I124" s="13">
        <v>42932.78460648148</v>
      </c>
      <c r="J124" s="7">
        <v>0</v>
      </c>
      <c r="K124" s="89" t="str">
        <f t="shared" si="27"/>
        <v>4001/4002</v>
      </c>
      <c r="L124" s="21" t="str">
        <f>VLOOKUP(A124,'Trips&amp;Operators'!$C$1:$G$99999,5,FALSE)</f>
        <v>STAMBAUGH JAMES</v>
      </c>
      <c r="M124" s="6">
        <f t="shared" si="28"/>
        <v>2.6064814810524695E-2</v>
      </c>
      <c r="N124" s="7">
        <f t="shared" si="46"/>
        <v>37.53333332715556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-16T17:04:09-0600',mode:absolute,to:'2017-07-16T19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7" t="str">
        <f>IF(AA124&lt;VLOOKUP(AG124,Variables!$AC$3:$AD$8,2,FALSE),"Y","N")</f>
        <v>N</v>
      </c>
      <c r="X124" s="197">
        <f t="shared" si="49"/>
        <v>1</v>
      </c>
      <c r="Y124" s="197">
        <f t="shared" si="47"/>
        <v>23.314900000000002</v>
      </c>
      <c r="Z124" s="197">
        <f t="shared" si="48"/>
        <v>1.34E-2</v>
      </c>
      <c r="AA124" s="197">
        <f t="shared" si="34"/>
        <v>23.301500000000001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24" s="74" t="str">
        <f t="shared" si="37"/>
        <v>"C:\Program Files (x86)\AstroGrep\AstroGrep.exe" /e /r /s /spath="%USERPROFILE%\AppData\Local\Temp\OnboardLogs" /stypes="app*4001*20170717*"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210-16 --locoid 4001 --swversion DE.1.0.9.0 --startMP 204:233149 --initTime 2017-07-16T18:04:09 --startdatetime 2017-07-16T18:12:18 --delay 2 --endMP 204:134 --enddatetime 2017-07-16T18:49:50 --enforcementcount 0 &gt;&gt;C:\Users\stu\Documents\GitHub\eaglep3-reporting\EC\2017-07-16-refined-times.txt</v>
      </c>
      <c r="AI12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{"issue":{"subject":"","project_id":79,"tracker_id":40,"status_id":1,"priority_id":2,"assigned_to_id":23,"start_date":"2017-07-16","description":"","custom_fields":[{"id":1,"name":"Subdivision","value":"EC"},{"id":4,"name":"Milepost","value":"0.0134"},{"id":17,"name":"Train ID","value":"210-16"},{"id":16,"name":"Locomotive ID","value":"4001"},{"id":130,"name":"Impact","value":""},{"id":150,"name":"Time of Event (Mountain Time)","value":"18:49:50"},{"id":151,"name":"Denver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4001 --day 2017-07-16</v>
      </c>
      <c r="AN124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785</v>
      </c>
      <c r="B125" s="7">
        <v>4008</v>
      </c>
      <c r="C125" s="21" t="s">
        <v>199</v>
      </c>
      <c r="D125" s="21" t="s">
        <v>347</v>
      </c>
      <c r="E125" s="13">
        <v>42932.72488425926</v>
      </c>
      <c r="F125" s="13">
        <v>42932.729629629626</v>
      </c>
      <c r="G125" s="7">
        <v>1</v>
      </c>
      <c r="H125" s="21" t="s">
        <v>933</v>
      </c>
      <c r="I125" s="13">
        <v>42932.754317129627</v>
      </c>
      <c r="J125" s="7">
        <v>0</v>
      </c>
      <c r="K125" s="89" t="str">
        <f t="shared" si="27"/>
        <v>4007/4008</v>
      </c>
      <c r="L125" s="21" t="str">
        <f>VLOOKUP(A125,'Trips&amp;Operators'!$C$1:$G$99999,5,FALSE)</f>
        <v>DELGADO DIANAH</v>
      </c>
      <c r="M125" s="6">
        <f t="shared" si="28"/>
        <v>2.4687500001164153E-2</v>
      </c>
      <c r="N125" s="7">
        <f t="shared" si="46"/>
        <v>35.550000001676381</v>
      </c>
      <c r="O125" s="7"/>
      <c r="P125" s="7"/>
      <c r="Q125" s="22"/>
      <c r="R125" s="170"/>
      <c r="S125" s="213">
        <f t="shared" ref="S125:S156" si="50">1/IF(AG125="EC",12,1)*SUM(U125:U125)</f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-16T16:23:50-0600',mode:absolute,to:'2017-07-16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5" s="197" t="str">
        <f>IF(AA125&lt;VLOOKUP(AG125,Variables!$AC$3:$AD$8,2,FALSE),"Y","N")</f>
        <v>N</v>
      </c>
      <c r="X125" s="197">
        <f t="shared" si="49"/>
        <v>1</v>
      </c>
      <c r="Y125" s="197">
        <f t="shared" si="47"/>
        <v>4.5100000000000001E-2</v>
      </c>
      <c r="Z125" s="197">
        <f t="shared" si="48"/>
        <v>23.3399</v>
      </c>
      <c r="AA125" s="197">
        <f t="shared" si="34"/>
        <v>23.294799999999999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125" s="74" t="str">
        <f t="shared" si="37"/>
        <v>"C:\Program Files (x86)\AstroGrep\AstroGrep.exe" /e /r /s /spath="%USERPROFILE%\AppData\Local\Temp\OnboardLogs" /stypes="app*4008*20170717*"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211-16 --locoid 4008 --swversion DE.1.0.9.0 --startMP 204:451 --initTime 2017-07-16T17:23:50 --startdatetime 2017-07-16T17:30:40 --delay 1 --endMP 204:233399 --enddatetime 2017-07-16T18:06:13 --enforcementcount 0 &gt;&gt;C:\Users\stu\Documents\GitHub\eaglep3-reporting\EC\2017-07-16-refined-times.txt</v>
      </c>
      <c r="AI125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{"issue":{"subject":"","project_id":79,"tracker_id":40,"status_id":1,"priority_id":2,"assigned_to_id":23,"start_date":"2017-07-16","description":"","custom_fields":[{"id":1,"name":"Subdivision","value":"EC"},{"id":4,"name":"Milepost","value":"23.3399"},{"id":17,"name":"Train ID","value":"211-16"},{"id":16,"name":"Locomotive ID","value":"4008"},{"id":130,"name":"Impact","value":""},{"id":150,"name":"Time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4008 --day 2017-07-16</v>
      </c>
      <c r="AN125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797</v>
      </c>
      <c r="B126" s="7">
        <v>4007</v>
      </c>
      <c r="C126" s="21" t="s">
        <v>199</v>
      </c>
      <c r="D126" s="21" t="s">
        <v>883</v>
      </c>
      <c r="E126" s="13">
        <v>42932.7653125</v>
      </c>
      <c r="F126" s="13">
        <v>42932.768900462965</v>
      </c>
      <c r="G126" s="7">
        <v>1</v>
      </c>
      <c r="H126" s="21" t="s">
        <v>534</v>
      </c>
      <c r="I126" s="13">
        <v>42932.794224537036</v>
      </c>
      <c r="J126" s="7">
        <v>0</v>
      </c>
      <c r="K126" s="89" t="str">
        <f t="shared" si="27"/>
        <v>4007/4008</v>
      </c>
      <c r="L126" s="21" t="str">
        <f>VLOOKUP(A126,'Trips&amp;Operators'!$C$1:$G$99999,5,FALSE)</f>
        <v>DELGADO DIANAH</v>
      </c>
      <c r="M126" s="6">
        <f t="shared" si="28"/>
        <v>2.5324074071249925E-2</v>
      </c>
      <c r="N126" s="7">
        <f t="shared" si="46"/>
        <v>36.466666662599891</v>
      </c>
      <c r="O126" s="7"/>
      <c r="P126" s="7"/>
      <c r="Q126" s="22"/>
      <c r="R126" s="170"/>
      <c r="S126" s="213">
        <f t="shared" si="50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-16T17:22:03-0600',mode:absolute,to:'2017-07-16T20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6" s="197" t="str">
        <f>IF(AA126&lt;VLOOKUP(AG126,Variables!$AC$3:$AD$8,2,FALSE),"Y","N")</f>
        <v>N</v>
      </c>
      <c r="X126" s="197">
        <f t="shared" si="49"/>
        <v>1</v>
      </c>
      <c r="Y126" s="197">
        <f t="shared" si="47"/>
        <v>23.305499999999999</v>
      </c>
      <c r="Z126" s="197">
        <f t="shared" si="48"/>
        <v>1.67E-2</v>
      </c>
      <c r="AA126" s="197">
        <f t="shared" si="34"/>
        <v>23.288799999999998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212</v>
      </c>
      <c r="AE126" s="77" t="str">
        <f t="shared" si="36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126" s="74" t="str">
        <f t="shared" si="37"/>
        <v>"C:\Program Files (x86)\AstroGrep\AstroGrep.exe" /e /r /s /spath="%USERPROFILE%\AppData\Local\Temp\OnboardLogs" /stypes="app*4007*20170717*"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212-16 --locoid 4007 --swversion DE.1.0.9.0 --startMP 204:233055 --initTime 2017-07-16T18:22:03 --startdatetime 2017-07-16T18:27:13 --delay 1 --endMP 204:167 --enddatetime 2017-07-16T19:03:41 --enforcementcount 0 &gt;&gt;C:\Users\stu\Documents\GitHub\eaglep3-reporting\EC\2017-07-16-refined-times.txt</v>
      </c>
      <c r="AI12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{"issue":{"subject":"","project_id":79,"tracker_id":40,"status_id":1,"priority_id":2,"assigned_to_id":23,"start_date":"2017-07-16","description":"","custom_fields":[{"id":1,"name":"Subdivision","value":"EC"},{"id":4,"name":"Milepost","value":"0.0167"},{"id":17,"name":"Train ID","value":"212-16"},{"id":16,"name":"Locomotive ID","value":"4007"},{"id":130,"name":"Impact","value":""},{"id":150,"name":"Time of Event (Mountain Time)","value":"19:03:41"},{"id":151,"name":"Denver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4007 --day 2017-07-16</v>
      </c>
      <c r="AN126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788</v>
      </c>
      <c r="B127" s="7">
        <v>4064</v>
      </c>
      <c r="C127" s="21" t="s">
        <v>199</v>
      </c>
      <c r="D127" s="21" t="s">
        <v>845</v>
      </c>
      <c r="E127" s="13">
        <v>42932.733819444446</v>
      </c>
      <c r="F127" s="13">
        <v>42932.740104166667</v>
      </c>
      <c r="G127" s="7">
        <v>1</v>
      </c>
      <c r="H127" s="21" t="s">
        <v>571</v>
      </c>
      <c r="I127" s="13">
        <v>42932.764837962961</v>
      </c>
      <c r="J127" s="7">
        <v>0</v>
      </c>
      <c r="K127" s="89" t="str">
        <f t="shared" si="27"/>
        <v>4063/4064</v>
      </c>
      <c r="L127" s="21" t="str">
        <f>VLOOKUP(A127,'Trips&amp;Operators'!$C$1:$G$99999,5,FALSE)</f>
        <v>SMITH MICHAEL</v>
      </c>
      <c r="M127" s="6">
        <f t="shared" si="28"/>
        <v>2.4733796293730848E-2</v>
      </c>
      <c r="N127" s="7">
        <f t="shared" si="46"/>
        <v>35.61666666297242</v>
      </c>
      <c r="O127" s="7"/>
      <c r="P127" s="7"/>
      <c r="Q127" s="22"/>
      <c r="R127" s="170"/>
      <c r="S127" s="213">
        <f t="shared" si="50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-16T16:36:42-0600',mode:absolute,to:'2017-07-16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197" t="str">
        <f>IF(AA127&lt;VLOOKUP(AG127,Variables!$AC$3:$AD$8,2,FALSE),"Y","N")</f>
        <v>N</v>
      </c>
      <c r="X127" s="197">
        <f t="shared" si="49"/>
        <v>1</v>
      </c>
      <c r="Y127" s="197">
        <f t="shared" si="47"/>
        <v>4.2599999999999999E-2</v>
      </c>
      <c r="Z127" s="197">
        <f t="shared" si="48"/>
        <v>23.3293</v>
      </c>
      <c r="AA127" s="197">
        <f t="shared" si="34"/>
        <v>23.2867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27" s="74" t="str">
        <f t="shared" si="37"/>
        <v>"C:\Program Files (x86)\AstroGrep\AstroGrep.exe" /e /r /s /spath="%USERPROFILE%\AppData\Local\Temp\OnboardLogs" /stypes="app*4064*20170717*"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213-16 --locoid 4064 --swversion DE.1.0.9.0 --startMP 204:426 --initTime 2017-07-16T17:36:42 --startdatetime 2017-07-16T17:45:45 --delay 1 --endMP 204:233293 --enddatetime 2017-07-16T18:21:22 --enforcementcount 0 &gt;&gt;C:\Users\stu\Documents\GitHub\eaglep3-reporting\EC\2017-07-16-refined-times.txt</v>
      </c>
      <c r="AI12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{"issue":{"subject":"","project_id":79,"tracker_id":40,"status_id":1,"priority_id":2,"assigned_to_id":23,"start_date":"2017-07-16","description":"","custom_fields":[{"id":1,"name":"Subdivision","value":"EC"},{"id":4,"name":"Milepost","value":"23.3293"},{"id":17,"name":"Train ID","value":"213-16"},{"id":16,"name":"Locomotive ID","value":"4064"},{"id":130,"name":"Impact","value":""},{"id":150,"name":"Time of Event (Mountain Time)","value":"18:21:22"},{"id":151,"name":"Denver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4064 --day 2017-07-16</v>
      </c>
      <c r="AN127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799</v>
      </c>
      <c r="B128" s="7">
        <v>4063</v>
      </c>
      <c r="C128" s="21" t="s">
        <v>199</v>
      </c>
      <c r="D128" s="21" t="s">
        <v>574</v>
      </c>
      <c r="E128" s="13">
        <v>42932.770636574074</v>
      </c>
      <c r="F128" s="13">
        <v>42932.779363425929</v>
      </c>
      <c r="G128" s="7">
        <v>1</v>
      </c>
      <c r="H128" s="21" t="s">
        <v>941</v>
      </c>
      <c r="I128" s="13">
        <v>42932.805405092593</v>
      </c>
      <c r="J128" s="7">
        <v>0</v>
      </c>
      <c r="K128" s="89" t="str">
        <f t="shared" si="27"/>
        <v>4063/4064</v>
      </c>
      <c r="L128" s="21" t="str">
        <f>VLOOKUP(A128,'Trips&amp;Operators'!$C$1:$G$99999,5,FALSE)</f>
        <v>SMITH MICHAEL</v>
      </c>
      <c r="M128" s="6">
        <f t="shared" si="28"/>
        <v>2.6041666664241347E-2</v>
      </c>
      <c r="N128" s="7">
        <f t="shared" si="46"/>
        <v>37.49999999650754</v>
      </c>
      <c r="O128" s="7"/>
      <c r="P128" s="7"/>
      <c r="Q128" s="22"/>
      <c r="R128" s="170"/>
      <c r="S128" s="213">
        <f t="shared" si="50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-16T17:29:43-0600',mode:absolute,to:'2017-07-16T20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197" t="str">
        <f>IF(AA128&lt;VLOOKUP(AG128,Variables!$AC$3:$AD$8,2,FALSE),"Y","N")</f>
        <v>N</v>
      </c>
      <c r="X128" s="197">
        <f t="shared" si="49"/>
        <v>1</v>
      </c>
      <c r="Y128" s="197">
        <f t="shared" si="47"/>
        <v>23.299099999999999</v>
      </c>
      <c r="Z128" s="197">
        <f t="shared" si="48"/>
        <v>1.6500000000000001E-2</v>
      </c>
      <c r="AA128" s="197">
        <f t="shared" si="34"/>
        <v>23.282599999999999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28" s="74" t="str">
        <f t="shared" si="37"/>
        <v>"C:\Program Files (x86)\AstroGrep\AstroGrep.exe" /e /r /s /spath="%USERPROFILE%\AppData\Local\Temp\OnboardLogs" /stypes="app*4063*20170717*"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214-16 --locoid 4063 --swversion DE.1.0.9.0 --startMP 204:232991 --initTime 2017-07-16T18:29:43 --startdatetime 2017-07-16T18:42:17 --delay 1 --endMP 204:165 --enddatetime 2017-07-16T19:19:47 --enforcementcount 0 &gt;&gt;C:\Users\stu\Documents\GitHub\eaglep3-reporting\EC\2017-07-16-refined-times.txt</v>
      </c>
      <c r="AI128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{"issue":{"subject":"","project_id":79,"tracker_id":40,"status_id":1,"priority_id":2,"assigned_to_id":23,"start_date":"2017-07-16","description":"","custom_fields":[{"id":1,"name":"Subdivision","value":"EC"},{"id":4,"name":"Milepost","value":"0.0165"},{"id":17,"name":"Train ID","value":"214-16"},{"id":16,"name":"Locomotive ID","value":"4063"},{"id":130,"name":"Impact","value":""},{"id":150,"name":"Time of Event (Mountain Time)","value":"19:19:47"},{"id":151,"name":"Denver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4063 --day 2017-07-16</v>
      </c>
      <c r="AN128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793</v>
      </c>
      <c r="B129" s="7">
        <v>4042</v>
      </c>
      <c r="C129" s="21" t="s">
        <v>199</v>
      </c>
      <c r="D129" s="21" t="s">
        <v>196</v>
      </c>
      <c r="E129" s="13">
        <v>42932.74454861111</v>
      </c>
      <c r="F129" s="13">
        <v>42932.750543981485</v>
      </c>
      <c r="G129" s="7">
        <v>2</v>
      </c>
      <c r="H129" s="21" t="s">
        <v>918</v>
      </c>
      <c r="I129" s="13">
        <v>42932.775405092594</v>
      </c>
      <c r="J129" s="7">
        <v>0</v>
      </c>
      <c r="K129" s="89" t="str">
        <f t="shared" si="27"/>
        <v>4041/4042</v>
      </c>
      <c r="L129" s="21" t="str">
        <f>VLOOKUP(A129,'Trips&amp;Operators'!$C$1:$G$99999,5,FALSE)</f>
        <v>MCREYNOLDS KYLE</v>
      </c>
      <c r="M129" s="6">
        <f t="shared" si="28"/>
        <v>2.4861111109203193E-2</v>
      </c>
      <c r="N129" s="7">
        <f t="shared" si="46"/>
        <v>35.799999997252598</v>
      </c>
      <c r="O129" s="7"/>
      <c r="P129" s="7"/>
      <c r="Q129" s="22"/>
      <c r="R129" s="170"/>
      <c r="S129" s="213">
        <f t="shared" si="50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-16T16:52:09-0600',mode:absolute,to:'2017-07-16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7" t="str">
        <f>IF(AA129&lt;VLOOKUP(AG129,Variables!$AC$3:$AD$8,2,FALSE),"Y","N")</f>
        <v>N</v>
      </c>
      <c r="X129" s="197">
        <f t="shared" si="49"/>
        <v>1</v>
      </c>
      <c r="Y129" s="197">
        <f t="shared" si="47"/>
        <v>4.5699999999999998E-2</v>
      </c>
      <c r="Z129" s="197">
        <f t="shared" si="48"/>
        <v>23.339500000000001</v>
      </c>
      <c r="AA129" s="197">
        <f t="shared" si="34"/>
        <v>23.293800000000001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129" s="74" t="str">
        <f t="shared" si="37"/>
        <v>"C:\Program Files (x86)\AstroGrep\AstroGrep.exe" /e /r /s /spath="%USERPROFILE%\AppData\Local\Temp\OnboardLogs" /stypes="app*4042*20170717*"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215-16 --locoid 4042 --swversion DE.1.0.9.0 --startMP 204:457 --initTime 2017-07-16T17:52:09 --startdatetime 2017-07-16T18:00:47 --delay 2 --endMP 204:233395 --enddatetime 2017-07-16T18:36:35 --enforcementcount 0 &gt;&gt;C:\Users\stu\Documents\GitHub\eaglep3-reporting\EC\2017-07-16-refined-times.txt</v>
      </c>
      <c r="AI12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{"issue":{"subject":"","project_id":79,"tracker_id":40,"status_id":1,"priority_id":2,"assigned_to_id":23,"start_date":"2017-07-16","description":"","custom_fields":[{"id":1,"name":"Subdivision","value":"EC"},{"id":4,"name":"Milepost","value":"23.3395"},{"id":17,"name":"Train ID","value":"215-16"},{"id":16,"name":"Locomotive ID","value":"4042"},{"id":130,"name":"Impact","value":""},{"id":150,"name":"Time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4042 --day 2017-07-16</v>
      </c>
      <c r="AN129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802</v>
      </c>
      <c r="B130" s="7">
        <v>4041</v>
      </c>
      <c r="C130" s="21" t="s">
        <v>199</v>
      </c>
      <c r="D130" s="21" t="s">
        <v>942</v>
      </c>
      <c r="E130" s="13">
        <v>42932.782592592594</v>
      </c>
      <c r="F130" s="13">
        <v>42932.78974537037</v>
      </c>
      <c r="G130" s="7">
        <v>1</v>
      </c>
      <c r="H130" s="21" t="s">
        <v>388</v>
      </c>
      <c r="I130" s="13">
        <v>42932.815798611111</v>
      </c>
      <c r="J130" s="7">
        <v>0</v>
      </c>
      <c r="K130" s="89" t="str">
        <f t="shared" si="27"/>
        <v>4041/4042</v>
      </c>
      <c r="L130" s="21" t="str">
        <f>VLOOKUP(A130,'Trips&amp;Operators'!$C$1:$G$99999,5,FALSE)</f>
        <v>MCREYNOLDS KYLE</v>
      </c>
      <c r="M130" s="6">
        <f t="shared" si="28"/>
        <v>2.6053240741021E-2</v>
      </c>
      <c r="N130" s="7">
        <f t="shared" si="46"/>
        <v>37.51666666707024</v>
      </c>
      <c r="O130" s="7"/>
      <c r="P130" s="7"/>
      <c r="Q130" s="22"/>
      <c r="R130" s="170"/>
      <c r="S130" s="213">
        <f t="shared" si="50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-16T17:46:56-0600',mode:absolute,to:'2017-07-16T20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7" t="str">
        <f>IF(AA130&lt;VLOOKUP(AG130,Variables!$AC$3:$AD$8,2,FALSE),"Y","N")</f>
        <v>N</v>
      </c>
      <c r="X130" s="197">
        <f t="shared" si="49"/>
        <v>1</v>
      </c>
      <c r="Y130" s="197">
        <f t="shared" si="47"/>
        <v>23.311299999999999</v>
      </c>
      <c r="Z130" s="197">
        <f t="shared" si="48"/>
        <v>1.4500000000000001E-2</v>
      </c>
      <c r="AA130" s="197">
        <f t="shared" si="34"/>
        <v>23.296799999999998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130" s="74" t="str">
        <f t="shared" si="37"/>
        <v>"C:\Program Files (x86)\AstroGrep\AstroGrep.exe" /e /r /s /spath="%USERPROFILE%\AppData\Local\Temp\OnboardLogs" /stypes="app*4041*20170717*"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216-16 --locoid 4041 --swversion DE.1.0.9.0 --startMP 204:233113 --initTime 2017-07-16T18:46:56 --startdatetime 2017-07-16T18:57:14 --delay 1 --endMP 204:145 --enddatetime 2017-07-16T19:34:45 --enforcementcount 0 &gt;&gt;C:\Users\stu\Documents\GitHub\eaglep3-reporting\EC\2017-07-16-refined-times.txt</v>
      </c>
      <c r="AI13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{"issue":{"subject":"","project_id":79,"tracker_id":40,"status_id":1,"priority_id":2,"assigned_to_id":23,"start_date":"2017-07-16","description":"","custom_fields":[{"id":1,"name":"Subdivision","value":"EC"},{"id":4,"name":"Milepost","value":"0.0145"},{"id":17,"name":"Train ID","value":"216-16"},{"id":16,"name":"Locomotive ID","value":"4041"},{"id":130,"name":"Impact","value":""},{"id":150,"name":"Time of Event (Mountain Time)","value":"19:34:45"},{"id":151,"name":"Denver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4041 --day 2017-07-16</v>
      </c>
      <c r="AN130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795</v>
      </c>
      <c r="B131" s="7">
        <v>4006</v>
      </c>
      <c r="C131" s="21" t="s">
        <v>199</v>
      </c>
      <c r="D131" s="21" t="s">
        <v>380</v>
      </c>
      <c r="E131" s="13">
        <v>42932.758090277777</v>
      </c>
      <c r="F131" s="13">
        <v>42932.760960648149</v>
      </c>
      <c r="G131" s="7">
        <v>1</v>
      </c>
      <c r="H131" s="21" t="s">
        <v>570</v>
      </c>
      <c r="I131" s="13">
        <v>42932.785497685189</v>
      </c>
      <c r="J131" s="7">
        <v>0</v>
      </c>
      <c r="K131" s="89" t="str">
        <f t="shared" si="27"/>
        <v>4005/4006</v>
      </c>
      <c r="L131" s="21" t="str">
        <f>VLOOKUP(A131,'Trips&amp;Operators'!$C$1:$G$99999,5,FALSE)</f>
        <v>PERKINS DARREN</v>
      </c>
      <c r="M131" s="6">
        <f t="shared" si="28"/>
        <v>2.453703703940846E-2</v>
      </c>
      <c r="N131" s="7">
        <f t="shared" si="46"/>
        <v>35.333333336748183</v>
      </c>
      <c r="O131" s="7"/>
      <c r="P131" s="7"/>
      <c r="Q131" s="22"/>
      <c r="R131" s="170"/>
      <c r="S131" s="213">
        <f t="shared" si="50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-16T17:11:39-0600',mode:absolute,to:'2017-07-16T19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197" t="str">
        <f>IF(AA131&lt;VLOOKUP(AG131,Variables!$AC$3:$AD$8,2,FALSE),"Y","N")</f>
        <v>N</v>
      </c>
      <c r="X131" s="197">
        <f t="shared" si="49"/>
        <v>1</v>
      </c>
      <c r="Y131" s="197">
        <f t="shared" si="47"/>
        <v>4.6199999999999998E-2</v>
      </c>
      <c r="Z131" s="197">
        <f t="shared" si="48"/>
        <v>23.331</v>
      </c>
      <c r="AA131" s="197">
        <f t="shared" si="34"/>
        <v>23.284800000000001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31" s="74" t="str">
        <f t="shared" si="37"/>
        <v>"C:\Program Files (x86)\AstroGrep\AstroGrep.exe" /e /r /s /spath="%USERPROFILE%\AppData\Local\Temp\OnboardLogs" /stypes="app*4006*20170717*"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217-16 --locoid 4006 --swversion DE.1.0.9.0 --startMP 204:462 --initTime 2017-07-16T18:11:39 --startdatetime 2017-07-16T18:15:47 --delay 1 --endMP 204:233310 --enddatetime 2017-07-16T18:51:07 --enforcementcount 0 &gt;&gt;C:\Users\stu\Documents\GitHub\eaglep3-reporting\EC\2017-07-16-refined-times.txt</v>
      </c>
      <c r="AI131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{"issue":{"subject":"","project_id":79,"tracker_id":40,"status_id":1,"priority_id":2,"assigned_to_id":23,"start_date":"2017-07-16","description":"","custom_fields":[{"id":1,"name":"Subdivision","value":"EC"},{"id":4,"name":"Milepost","value":"23.331"},{"id":17,"name":"Train ID","value":"217-16"},{"id":16,"name":"Locomotive ID","value":"4006"},{"id":130,"name":"Impact","value":""},{"id":150,"name":"Time of Event (Mountain Time)","value":"18:51:07"},{"id":151,"name":"Denver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4006 --day 2017-07-16</v>
      </c>
      <c r="AN131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804</v>
      </c>
      <c r="B132" s="7">
        <v>4005</v>
      </c>
      <c r="C132" s="21" t="s">
        <v>199</v>
      </c>
      <c r="D132" s="21" t="s">
        <v>535</v>
      </c>
      <c r="E132" s="13">
        <v>42932.792511574073</v>
      </c>
      <c r="F132" s="13">
        <v>42932.800196759257</v>
      </c>
      <c r="G132" s="7">
        <v>1</v>
      </c>
      <c r="H132" s="21" t="s">
        <v>401</v>
      </c>
      <c r="I132" s="13">
        <v>42932.826435185183</v>
      </c>
      <c r="J132" s="7">
        <v>0</v>
      </c>
      <c r="K132" s="89" t="str">
        <f t="shared" si="27"/>
        <v>4005/4006</v>
      </c>
      <c r="L132" s="21" t="str">
        <f>VLOOKUP(A132,'Trips&amp;Operators'!$C$1:$G$99999,5,FALSE)</f>
        <v>PERKINS DARREN</v>
      </c>
      <c r="M132" s="6">
        <f t="shared" si="28"/>
        <v>2.6238425925839692E-2</v>
      </c>
      <c r="N132" s="7">
        <f t="shared" si="46"/>
        <v>37.783333333209157</v>
      </c>
      <c r="O132" s="7"/>
      <c r="P132" s="7"/>
      <c r="Q132" s="22"/>
      <c r="R132" s="170"/>
      <c r="S132" s="213">
        <f t="shared" si="50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-16T18:01:13-0600',mode:absolute,to:'2017-07-16T20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197" t="str">
        <f>IF(AA132&lt;VLOOKUP(AG132,Variables!$AC$3:$AD$8,2,FALSE),"Y","N")</f>
        <v>N</v>
      </c>
      <c r="X132" s="197">
        <f t="shared" si="49"/>
        <v>1</v>
      </c>
      <c r="Y132" s="197">
        <f t="shared" si="47"/>
        <v>23.299800000000001</v>
      </c>
      <c r="Z132" s="197">
        <f t="shared" si="48"/>
        <v>1.38E-2</v>
      </c>
      <c r="AA132" s="197">
        <f t="shared" si="34"/>
        <v>23.286000000000001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218</v>
      </c>
      <c r="AE132" s="77" t="str">
        <f t="shared" si="36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32" s="74" t="str">
        <f t="shared" si="37"/>
        <v>"C:\Program Files (x86)\AstroGrep\AstroGrep.exe" /e /r /s /spath="%USERPROFILE%\AppData\Local\Temp\OnboardLogs" /stypes="app*4005*20170717*"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218-16 --locoid 4005 --swversion DE.1.0.9.0 --startMP 204:232998 --initTime 2017-07-16T19:01:13 --startdatetime 2017-07-16T19:12:17 --delay 1 --endMP 204:138 --enddatetime 2017-07-16T19:50:04 --enforcementcount 0 &gt;&gt;C:\Users\stu\Documents\GitHub\eaglep3-reporting\EC\2017-07-16-refined-times.txt</v>
      </c>
      <c r="AI132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ID","value":"218-16"},{"id":16,"name":"Locomotive ID","value":"4005"},{"id":130,"name":"Impact","value":""},{"id":150,"name":"Time of Event (Mountain Time)","value":"19:50:04"},{"id":151,"name":"Denver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4005 --day 2017-07-16</v>
      </c>
      <c r="AN132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798</v>
      </c>
      <c r="B133" s="7">
        <v>4012</v>
      </c>
      <c r="C133" s="21" t="s">
        <v>199</v>
      </c>
      <c r="D133" s="21" t="s">
        <v>349</v>
      </c>
      <c r="E133" s="13">
        <v>42932.767025462963</v>
      </c>
      <c r="F133" s="13">
        <v>42932.771365740744</v>
      </c>
      <c r="G133" s="7">
        <v>1</v>
      </c>
      <c r="H133" s="21" t="s">
        <v>586</v>
      </c>
      <c r="I133" s="13">
        <v>42932.796712962961</v>
      </c>
      <c r="J133" s="7">
        <v>0</v>
      </c>
      <c r="K133" s="89" t="str">
        <f t="shared" si="27"/>
        <v>4011/4012</v>
      </c>
      <c r="L133" s="21" t="str">
        <f>VLOOKUP(A133,'Trips&amp;Operators'!$C$1:$G$99999,5,FALSE)</f>
        <v>HAITHCOX MICHAEL</v>
      </c>
      <c r="M133" s="6">
        <f t="shared" si="28"/>
        <v>2.5347222217533272E-2</v>
      </c>
      <c r="N133" s="7">
        <f t="shared" si="46"/>
        <v>36.499999993247911</v>
      </c>
      <c r="O133" s="7"/>
      <c r="P133" s="7"/>
      <c r="Q133" s="22"/>
      <c r="R133" s="170"/>
      <c r="S133" s="213">
        <f t="shared" si="50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-16T17:24:31-0600',mode:absolute,to:'2017-07-16T20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97" t="str">
        <f>IF(AA133&lt;VLOOKUP(AG133,Variables!$AC$3:$AD$8,2,FALSE),"Y","N")</f>
        <v>N</v>
      </c>
      <c r="X133" s="197">
        <f t="shared" si="49"/>
        <v>1</v>
      </c>
      <c r="Y133" s="197">
        <f t="shared" si="47"/>
        <v>4.53E-2</v>
      </c>
      <c r="Z133" s="197">
        <f t="shared" si="48"/>
        <v>23.331099999999999</v>
      </c>
      <c r="AA133" s="197">
        <f t="shared" si="34"/>
        <v>23.285799999999998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33" s="74" t="str">
        <f t="shared" si="37"/>
        <v>"C:\Program Files (x86)\AstroGrep\AstroGrep.exe" /e /r /s /spath="%USERPROFILE%\AppData\Local\Temp\OnboardLogs" /stypes="app*4012*20170717*"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219-16 --locoid 4012 --swversion DE.1.0.9.0 --startMP 204:453 --initTime 2017-07-16T18:24:31 --startdatetime 2017-07-16T18:30:46 --delay 1 --endMP 204:233311 --enddatetime 2017-07-16T19:07:16 --enforcementcount 0 &gt;&gt;C:\Users\stu\Documents\GitHub\eaglep3-reporting\EC\2017-07-16-refined-times.txt</v>
      </c>
      <c r="AI133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{"issue":{"subject":"","project_id":79,"tracker_id":40,"status_id":1,"priority_id":2,"assigned_to_id":23,"start_date":"2017-07-16","description":"","custom_fields":[{"id":1,"name":"Subdivision","value":"EC"},{"id":4,"name":"Milepost","value":"23.3311"},{"id":17,"name":"Train ID","value":"219-16"},{"id":16,"name":"Locomotive ID","value":"4012"},{"id":130,"name":"Impact","value":""},{"id":150,"name":"Time of Event (Mountain Time)","value":"19:07:16"},{"id":151,"name":"Denver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4012 --day 2017-07-16</v>
      </c>
      <c r="AN133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806</v>
      </c>
      <c r="B134" s="7">
        <v>4011</v>
      </c>
      <c r="C134" s="21" t="s">
        <v>199</v>
      </c>
      <c r="D134" s="21" t="s">
        <v>508</v>
      </c>
      <c r="E134" s="13">
        <v>42932.799641203703</v>
      </c>
      <c r="F134" s="13">
        <v>42932.810648148145</v>
      </c>
      <c r="G134" s="7">
        <v>1</v>
      </c>
      <c r="H134" s="21" t="s">
        <v>354</v>
      </c>
      <c r="I134" s="13">
        <v>42932.837800925925</v>
      </c>
      <c r="J134" s="7">
        <v>0</v>
      </c>
      <c r="K134" s="89" t="str">
        <f t="shared" si="27"/>
        <v>4011/4012</v>
      </c>
      <c r="L134" s="21" t="str">
        <f>VLOOKUP(A134,'Trips&amp;Operators'!$C$1:$G$99999,5,FALSE)</f>
        <v>HAITHCOX MICHAEL</v>
      </c>
      <c r="M134" s="6">
        <f t="shared" si="28"/>
        <v>2.715277778042946E-2</v>
      </c>
      <c r="N134" s="7">
        <f t="shared" si="46"/>
        <v>39.100000003818423</v>
      </c>
      <c r="O134" s="7"/>
      <c r="P134" s="7"/>
      <c r="Q134" s="22"/>
      <c r="R134" s="170"/>
      <c r="S134" s="213">
        <f t="shared" si="50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-16T18:11:29-0600',mode:absolute,to:'2017-07-16T21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7" t="str">
        <f>IF(AA134&lt;VLOOKUP(AG134,Variables!$AC$3:$AD$8,2,FALSE),"Y","N")</f>
        <v>N</v>
      </c>
      <c r="X134" s="197">
        <f t="shared" si="49"/>
        <v>1</v>
      </c>
      <c r="Y134" s="197">
        <f t="shared" si="47"/>
        <v>23.298400000000001</v>
      </c>
      <c r="Z134" s="197">
        <f t="shared" si="48"/>
        <v>1.47E-2</v>
      </c>
      <c r="AA134" s="197">
        <f t="shared" si="34"/>
        <v>23.2837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34" s="74" t="str">
        <f t="shared" si="37"/>
        <v>"C:\Program Files (x86)\AstroGrep\AstroGrep.exe" /e /r /s /spath="%USERPROFILE%\AppData\Local\Temp\OnboardLogs" /stypes="app*4011*20170717*"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220-16 --locoid 4011 --swversion DE.1.0.9.0 --startMP 204:232984 --initTime 2017-07-16T19:11:29 --startdatetime 2017-07-16T19:27:20 --delay 1 --endMP 204:147 --enddatetime 2017-07-16T20:06:26 --enforcementcount 0 &gt;&gt;C:\Users\stu\Documents\GitHub\eaglep3-reporting\EC\2017-07-16-refined-times.txt</v>
      </c>
      <c r="AI134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{"issue":{"subject":"","project_id":79,"tracker_id":40,"status_id":1,"priority_id":2,"assigned_to_id":23,"start_date":"2017-07-16","description":"","custom_fields":[{"id":1,"name":"Subdivision","value":"EC"},{"id":4,"name":"Milepost","value":"0.0147"},{"id":17,"name":"Train ID","value":"220-16"},{"id":16,"name":"Locomotive ID","value":"4011"},{"id":130,"name":"Impact","value":""},{"id":150,"name":"Time of Event (Mountain Time)","value":"20:06:26"},{"id":151,"name":"Denver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4011 --day 2017-07-16</v>
      </c>
      <c r="AN134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4002</v>
      </c>
      <c r="C135" s="21" t="s">
        <v>199</v>
      </c>
      <c r="D135" s="21" t="s">
        <v>349</v>
      </c>
      <c r="E135" s="13">
        <v>42932.787106481483</v>
      </c>
      <c r="F135" s="13">
        <v>42932.792314814818</v>
      </c>
      <c r="G135" s="7">
        <v>1</v>
      </c>
      <c r="H135" s="21" t="s">
        <v>943</v>
      </c>
      <c r="I135" s="13">
        <v>42932.817106481481</v>
      </c>
      <c r="J135" s="7">
        <v>0</v>
      </c>
      <c r="K135" s="89" t="str">
        <f t="shared" si="27"/>
        <v>4001/4002</v>
      </c>
      <c r="L135" s="21" t="str">
        <f>VLOOKUP(A135,'Trips&amp;Operators'!$C$1:$G$99999,5,FALSE)</f>
        <v>STAMBAUGH JAMES</v>
      </c>
      <c r="M135" s="6">
        <f t="shared" si="28"/>
        <v>2.4791666663077194E-2</v>
      </c>
      <c r="N135" s="7">
        <f t="shared" si="46"/>
        <v>35.69999999483116</v>
      </c>
      <c r="O135" s="7"/>
      <c r="P135" s="7"/>
      <c r="Q135" s="22"/>
      <c r="R135" s="170"/>
      <c r="S135" s="213">
        <f t="shared" si="50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-16T17:53:26-0600',mode:absolute,to:'2017-07-16T20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7" t="str">
        <f>IF(AA135&lt;VLOOKUP(AG135,Variables!$AC$3:$AD$8,2,FALSE),"Y","N")</f>
        <v>N</v>
      </c>
      <c r="X135" s="197">
        <f t="shared" si="49"/>
        <v>1</v>
      </c>
      <c r="Y135" s="197">
        <f t="shared" si="47"/>
        <v>4.53E-2</v>
      </c>
      <c r="Z135" s="197">
        <f t="shared" si="48"/>
        <v>23.340299999999999</v>
      </c>
      <c r="AA135" s="197">
        <f t="shared" si="34"/>
        <v>23.294999999999998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35" s="74" t="str">
        <f t="shared" si="37"/>
        <v>"C:\Program Files (x86)\AstroGrep\AstroGrep.exe" /e /r /s /spath="%USERPROFILE%\AppData\Local\Temp\OnboardLogs" /stypes="app*4002*20170717*"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221-16 --locoid 4002 --swversion DE.1.0.9.0 --startMP 204:453 --initTime 2017-07-16T18:53:26 --startdatetime 2017-07-16T19:00:56 --delay 1 --endMP 204:233403 --enddatetime 2017-07-16T19:36:38 --enforcementcount 0 &gt;&gt;C:\Users\stu\Documents\GitHub\eaglep3-reporting\EC\2017-07-16-refined-times.txt</v>
      </c>
      <c r="AI135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{"issue":{"subject":"","project_id":79,"tracker_id":40,"status_id":1,"priority_id":2,"assigned_to_id":23,"start_date":"2017-07-16","description":"","custom_fields":[{"id":1,"name":"Subdivision","value":"EC"},{"id":4,"name":"Milepost","value":"23.3403"},{"id":17,"name":"Train ID","value":"221-16"},{"id":16,"name":"Locomotive ID","value":"4002"},{"id":130,"name":"Impact","value":""},{"id":150,"name":"Time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4002 --day 2017-07-16</v>
      </c>
      <c r="AN135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811</v>
      </c>
      <c r="B136" s="7">
        <v>4001</v>
      </c>
      <c r="C136" s="21" t="s">
        <v>199</v>
      </c>
      <c r="D136" s="21" t="s">
        <v>944</v>
      </c>
      <c r="E136" s="13">
        <v>42932.827650462961</v>
      </c>
      <c r="F136" s="13">
        <v>42932.83153935185</v>
      </c>
      <c r="G136" s="7">
        <v>0</v>
      </c>
      <c r="H136" s="21" t="s">
        <v>401</v>
      </c>
      <c r="I136" s="13">
        <v>42932.857002314813</v>
      </c>
      <c r="J136" s="7">
        <v>0</v>
      </c>
      <c r="K136" s="89" t="str">
        <f t="shared" si="27"/>
        <v>4001/4002</v>
      </c>
      <c r="L136" s="21" t="str">
        <f>VLOOKUP(A136,'Trips&amp;Operators'!$C$1:$G$99999,5,FALSE)</f>
        <v>STAMBAUGH JAMES</v>
      </c>
      <c r="M136" s="6">
        <f t="shared" si="28"/>
        <v>2.5462962963501923E-2</v>
      </c>
      <c r="N136" s="7">
        <f t="shared" si="46"/>
        <v>36.666666667442769</v>
      </c>
      <c r="O136" s="7"/>
      <c r="P136" s="7"/>
      <c r="Q136" s="22"/>
      <c r="R136" s="170"/>
      <c r="S136" s="213">
        <f t="shared" si="50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-16T18:51:49-0600',mode:absolute,to:'2017-07-16T21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97" t="str">
        <f>IF(AA136&lt;VLOOKUP(AG136,Variables!$AC$3:$AD$8,2,FALSE),"Y","N")</f>
        <v>N</v>
      </c>
      <c r="X136" s="197">
        <f t="shared" si="49"/>
        <v>1</v>
      </c>
      <c r="Y136" s="197">
        <f t="shared" si="47"/>
        <v>23.316299999999998</v>
      </c>
      <c r="Z136" s="197">
        <f t="shared" si="48"/>
        <v>1.38E-2</v>
      </c>
      <c r="AA136" s="197">
        <f t="shared" si="34"/>
        <v>23.302499999999998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36" s="74" t="str">
        <f t="shared" si="37"/>
        <v>"C:\Program Files (x86)\AstroGrep\AstroGrep.exe" /e /r /s /spath="%USERPROFILE%\AppData\Local\Temp\OnboardLogs" /stypes="app*4001*20170717*"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222-16 --locoid 4001 --swversion DE.1.0.9.0 --startMP 204:233163 --initTime 2017-07-16T19:51:49 --startdatetime 2017-07-16T19:57:25 --delay 0 --endMP 204:138 --enddatetime 2017-07-16T20:34:05 --enforcementcount 0 &gt;&gt;C:\Users\stu\Documents\GitHub\eaglep3-reporting\EC\2017-07-16-refined-times.txt</v>
      </c>
      <c r="AI136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{"issue":{"subject":"","project_id":79,"tracker_id":40,"status_id":1,"priority_id":2,"assigned_to_id":23,"start_date":"2017-07-16","description":"","custom_fields":[{"id":1,"name":"Subdivision","value":"EC"},{"id":4,"name":"Milepost","value":"0.0138"},{"id":17,"name":"Train ID","value":"222-16"},{"id":16,"name":"Locomotive ID","value":"4001"},{"id":130,"name":"Impact","value":""},{"id":150,"name":"Time of Event (Mountain Time)","value":"20:34:05"},{"id":151,"name":"Denver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4001 --day 2017-07-16</v>
      </c>
      <c r="AN136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808</v>
      </c>
      <c r="B137" s="7">
        <v>4064</v>
      </c>
      <c r="C137" s="21" t="s">
        <v>199</v>
      </c>
      <c r="D137" s="21" t="s">
        <v>485</v>
      </c>
      <c r="E137" s="13">
        <v>42932.807314814818</v>
      </c>
      <c r="F137" s="13">
        <v>42932.813020833331</v>
      </c>
      <c r="G137" s="7">
        <v>1</v>
      </c>
      <c r="H137" s="21" t="s">
        <v>871</v>
      </c>
      <c r="I137" s="13">
        <v>42932.838101851848</v>
      </c>
      <c r="J137" s="7">
        <v>0</v>
      </c>
      <c r="K137" s="89" t="str">
        <f t="shared" si="27"/>
        <v>4063/4064</v>
      </c>
      <c r="L137" s="21" t="str">
        <f>VLOOKUP(A137,'Trips&amp;Operators'!$C$1:$G$99999,5,FALSE)</f>
        <v>SMITH MICHAEL</v>
      </c>
      <c r="M137" s="6">
        <f t="shared" si="28"/>
        <v>2.5081018517084885E-2</v>
      </c>
      <c r="N137" s="7">
        <f t="shared" si="46"/>
        <v>36.116666664602235</v>
      </c>
      <c r="O137" s="7"/>
      <c r="P137" s="7"/>
      <c r="Q137" s="22"/>
      <c r="R137" s="170"/>
      <c r="S137" s="213">
        <f t="shared" si="50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-16T18:22:32-0600',mode:absolute,to:'2017-07-16T21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197" t="str">
        <f>IF(AA137&lt;VLOOKUP(AG137,Variables!$AC$3:$AD$8,2,FALSE),"Y","N")</f>
        <v>N</v>
      </c>
      <c r="X137" s="197">
        <f t="shared" si="49"/>
        <v>1</v>
      </c>
      <c r="Y137" s="197">
        <f t="shared" si="47"/>
        <v>4.6399999999999997E-2</v>
      </c>
      <c r="Z137" s="197">
        <f t="shared" si="48"/>
        <v>23.327999999999999</v>
      </c>
      <c r="AA137" s="197">
        <f t="shared" si="34"/>
        <v>23.281600000000001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37" s="74" t="str">
        <f t="shared" si="37"/>
        <v>"C:\Program Files (x86)\AstroGrep\AstroGrep.exe" /e /r /s /spath="%USERPROFILE%\AppData\Local\Temp\OnboardLogs" /stypes="app*4064*20170717*"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223-16 --locoid 4064 --swversion DE.1.0.9.0 --startMP 204:464 --initTime 2017-07-16T19:22:32 --startdatetime 2017-07-16T19:30:45 --delay 1 --endMP 204:233280 --enddatetime 2017-07-16T20:06:52 --enforcementcount 0 &gt;&gt;C:\Users\stu\Documents\GitHub\eaglep3-reporting\EC\2017-07-16-refined-times.txt</v>
      </c>
      <c r="AI137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{"issue":{"subject":"","project_id":79,"tracker_id":40,"status_id":1,"priority_id":2,"assigned_to_id":23,"start_date":"2017-07-16","description":"","custom_fields":[{"id":1,"name":"Subdivision","value":"EC"},{"id":4,"name":"Milepost","value":"23.328"},{"id":17,"name":"Train ID","value":"223-16"},{"id":16,"name":"Locomotive ID","value":"4064"},{"id":130,"name":"Impact","value":""},{"id":150,"name":"Time of Event (Mountain Time)","value":"20:06:52"},{"id":151,"name":"Denver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4064 --day 2017-07-16</v>
      </c>
      <c r="AN137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815</v>
      </c>
      <c r="B138" s="7">
        <v>4063</v>
      </c>
      <c r="C138" s="21" t="s">
        <v>199</v>
      </c>
      <c r="D138" s="21" t="s">
        <v>440</v>
      </c>
      <c r="E138" s="13">
        <v>42932.846377314818</v>
      </c>
      <c r="F138" s="13">
        <v>42932.852372685185</v>
      </c>
      <c r="G138" s="7">
        <v>1</v>
      </c>
      <c r="H138" s="21" t="s">
        <v>345</v>
      </c>
      <c r="I138" s="13">
        <v>42932.878530092596</v>
      </c>
      <c r="J138" s="7">
        <v>0</v>
      </c>
      <c r="K138" s="89" t="str">
        <f t="shared" si="27"/>
        <v>4063/4064</v>
      </c>
      <c r="L138" s="21" t="str">
        <f>VLOOKUP(A138,'Trips&amp;Operators'!$C$1:$G$99999,5,FALSE)</f>
        <v>SMITH MICHAEL</v>
      </c>
      <c r="M138" s="6">
        <f t="shared" si="28"/>
        <v>2.6157407410209998E-2</v>
      </c>
      <c r="N138" s="7">
        <f t="shared" si="46"/>
        <v>37.666666670702398</v>
      </c>
      <c r="O138" s="7"/>
      <c r="P138" s="7"/>
      <c r="Q138" s="22"/>
      <c r="R138" s="170"/>
      <c r="S138" s="213">
        <f t="shared" si="50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-16T19:18:47-0600',mode:absolute,to:'2017-07-16T22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197" t="str">
        <f>IF(AA138&lt;VLOOKUP(AG138,Variables!$AC$3:$AD$8,2,FALSE),"Y","N")</f>
        <v>N</v>
      </c>
      <c r="X138" s="197">
        <f t="shared" si="49"/>
        <v>1</v>
      </c>
      <c r="Y138" s="197">
        <f t="shared" si="47"/>
        <v>23.2971</v>
      </c>
      <c r="Z138" s="197">
        <f t="shared" si="48"/>
        <v>1.43E-2</v>
      </c>
      <c r="AA138" s="197">
        <f t="shared" si="34"/>
        <v>23.282800000000002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38" s="74" t="str">
        <f t="shared" si="37"/>
        <v>"C:\Program Files (x86)\AstroGrep\AstroGrep.exe" /e /r /s /spath="%USERPROFILE%\AppData\Local\Temp\OnboardLogs" /stypes="app*4063*20170717*"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224-16 --locoid 4063 --swversion DE.1.0.9.0 --startMP 204:232971 --initTime 2017-07-16T20:18:47 --startdatetime 2017-07-16T20:27:25 --delay 1 --endMP 204:143 --enddatetime 2017-07-16T21:05:05 --enforcementcount 0 &gt;&gt;C:\Users\stu\Documents\GitHub\eaglep3-reporting\EC\2017-07-16-refined-times.txt</v>
      </c>
      <c r="AI138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{"issue":{"subject":"","project_id":79,"tracker_id":40,"status_id":1,"priority_id":2,"assigned_to_id":23,"start_date":"2017-07-16","description":"","custom_fields":[{"id":1,"name":"Subdivision","value":"EC"},{"id":4,"name":"Milepost","value":"0.0143"},{"id":17,"name":"Train ID","value":"224-16"},{"id":16,"name":"Locomotive ID","value":"4063"},{"id":130,"name":"Impact","value":""},{"id":150,"name":"Time of Event (Mountain Time)","value":"21:05:05"},{"id":151,"name":"Denver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4063 --day 2017-07-16</v>
      </c>
      <c r="AN138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812</v>
      </c>
      <c r="B139" s="7">
        <v>4006</v>
      </c>
      <c r="C139" s="21" t="s">
        <v>199</v>
      </c>
      <c r="D139" s="21" t="s">
        <v>585</v>
      </c>
      <c r="E139" s="13">
        <v>42932.828425925924</v>
      </c>
      <c r="F139" s="13">
        <v>42932.833865740744</v>
      </c>
      <c r="G139" s="7">
        <v>1</v>
      </c>
      <c r="H139" s="21" t="s">
        <v>417</v>
      </c>
      <c r="I139" s="13">
        <v>42932.859224537038</v>
      </c>
      <c r="J139" s="7">
        <v>0</v>
      </c>
      <c r="K139" s="89" t="str">
        <f t="shared" si="27"/>
        <v>4005/4006</v>
      </c>
      <c r="L139" s="21" t="str">
        <f>VLOOKUP(A139,'Trips&amp;Operators'!$C$1:$G$99999,5,FALSE)</f>
        <v>PERKINS DARREN</v>
      </c>
      <c r="M139" s="6">
        <f t="shared" si="28"/>
        <v>2.5358796294312924E-2</v>
      </c>
      <c r="N139" s="7">
        <f t="shared" si="46"/>
        <v>36.516666663810611</v>
      </c>
      <c r="O139" s="7"/>
      <c r="P139" s="7"/>
      <c r="Q139" s="22"/>
      <c r="R139" s="170"/>
      <c r="S139" s="213">
        <f t="shared" si="50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-16T18:52:56-0600',mode:absolute,to:'2017-07-16T21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197" t="str">
        <f>IF(AA139&lt;VLOOKUP(AG139,Variables!$AC$3:$AD$8,2,FALSE),"Y","N")</f>
        <v>N</v>
      </c>
      <c r="X139" s="197">
        <f t="shared" si="49"/>
        <v>1</v>
      </c>
      <c r="Y139" s="197">
        <f t="shared" si="47"/>
        <v>4.24E-2</v>
      </c>
      <c r="Z139" s="197">
        <f t="shared" si="48"/>
        <v>23.331199999999999</v>
      </c>
      <c r="AA139" s="197">
        <f t="shared" si="34"/>
        <v>23.288799999999998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39" s="74" t="str">
        <f t="shared" si="37"/>
        <v>"C:\Program Files (x86)\AstroGrep\AstroGrep.exe" /e /r /s /spath="%USERPROFILE%\AppData\Local\Temp\OnboardLogs" /stypes="app*4006*20170717*"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225-16 --locoid 4006 --swversion DE.1.0.9.0 --startMP 204:424 --initTime 2017-07-16T19:52:56 --startdatetime 2017-07-16T20:00:46 --delay 1 --endMP 204:233312 --enddatetime 2017-07-16T20:37:17 --enforcementcount 0 &gt;&gt;C:\Users\stu\Documents\GitHub\eaglep3-reporting\EC\2017-07-16-refined-times.txt</v>
      </c>
      <c r="AI139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{"issue":{"subject":"","project_id":79,"tracker_id":40,"status_id":1,"priority_id":2,"assigned_to_id":23,"start_date":"2017-07-16","description":"","custom_fields":[{"id":1,"name":"Subdivision","value":"EC"},{"id":4,"name":"Milepost","value":"23.3312"},{"id":17,"name":"Train ID","value":"225-16"},{"id":16,"name":"Locomotive ID","value":"4006"},{"id":130,"name":"Impact","value":""},{"id":150,"name":"Time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4006 --day 2017-07-16</v>
      </c>
      <c r="AN139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819</v>
      </c>
      <c r="B140" s="7">
        <v>4005</v>
      </c>
      <c r="C140" s="21" t="s">
        <v>199</v>
      </c>
      <c r="D140" s="21" t="s">
        <v>945</v>
      </c>
      <c r="E140" s="13">
        <v>42932.867442129631</v>
      </c>
      <c r="F140" s="13">
        <v>42932.873101851852</v>
      </c>
      <c r="G140" s="7">
        <v>1</v>
      </c>
      <c r="H140" s="21" t="s">
        <v>345</v>
      </c>
      <c r="I140" s="13">
        <v>42932.899942129632</v>
      </c>
      <c r="J140" s="7">
        <v>0</v>
      </c>
      <c r="K140" s="89" t="str">
        <f t="shared" si="27"/>
        <v>4005/4006</v>
      </c>
      <c r="L140" s="21" t="str">
        <f>VLOOKUP(A140,'Trips&amp;Operators'!$C$1:$G$99999,5,FALSE)</f>
        <v>PERKINS DARREN</v>
      </c>
      <c r="M140" s="6">
        <f t="shared" si="28"/>
        <v>2.6840277780138422E-2</v>
      </c>
      <c r="N140" s="7">
        <f t="shared" si="46"/>
        <v>38.650000003399327</v>
      </c>
      <c r="O140" s="7"/>
      <c r="P140" s="7"/>
      <c r="Q140" s="22"/>
      <c r="R140" s="170"/>
      <c r="S140" s="213">
        <f t="shared" si="50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-16T19:49:07-0600',mode:absolute,to:'2017-07-16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197" t="str">
        <f>IF(AA140&lt;VLOOKUP(AG140,Variables!$AC$3:$AD$8,2,FALSE),"Y","N")</f>
        <v>N</v>
      </c>
      <c r="X140" s="197">
        <f t="shared" si="49"/>
        <v>1</v>
      </c>
      <c r="Y140" s="197">
        <f t="shared" si="47"/>
        <v>23.298200000000001</v>
      </c>
      <c r="Z140" s="197">
        <f t="shared" si="48"/>
        <v>1.43E-2</v>
      </c>
      <c r="AA140" s="197">
        <f t="shared" si="34"/>
        <v>23.283900000000003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40" s="74" t="str">
        <f t="shared" si="37"/>
        <v>"C:\Program Files (x86)\AstroGrep\AstroGrep.exe" /e /r /s /spath="%USERPROFILE%\AppData\Local\Temp\OnboardLogs" /stypes="app*4005*20170717*"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226-16 --locoid 4005 --swversion DE.1.0.9.0 --startMP 204:232982 --initTime 2017-07-16T20:49:07 --startdatetime 2017-07-16T20:57:16 --delay 1 --endMP 204:143 --enddatetime 2017-07-16T21:35:55 --enforcementcount 0 &gt;&gt;C:\Users\stu\Documents\GitHub\eaglep3-reporting\EC\2017-07-16-refined-times.txt</v>
      </c>
      <c r="AI140" s="96" t="str">
        <f t="shared" si="40"/>
        <v>echo {"issue":{"subject":"","project_id":79,"tracker_id":40,"status_id":1,"priority_id":2,"assigned_to_id":23,"start_date":"2017-07-16","description":"","custom_fields":[{"id":1,"name":"Subdivision","value":"EC"},{"id":4,"name":"Milepost","value":"0.0143"},{"id":17,"name":"Train ID","value":"226-16"},{"id":16,"name":"Locomotive ID","value":"4005"},{"id":130,"name":"Impact","value":""},{"id":150,"name":"Time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4005 --day 2017-07-16</v>
      </c>
      <c r="AN140" s="151" t="str">
        <f t="shared" si="42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616</v>
      </c>
      <c r="B141" s="7">
        <v>4012</v>
      </c>
      <c r="C141" s="21" t="s">
        <v>199</v>
      </c>
      <c r="D141" s="21" t="s">
        <v>491</v>
      </c>
      <c r="E141" s="13">
        <v>42932.841574074075</v>
      </c>
      <c r="F141" s="13">
        <v>42932.854756944442</v>
      </c>
      <c r="G141" s="7">
        <v>1</v>
      </c>
      <c r="H141" s="21" t="s">
        <v>510</v>
      </c>
      <c r="I141" s="13">
        <v>42932.881203703706</v>
      </c>
      <c r="J141" s="7">
        <v>0</v>
      </c>
      <c r="K141" s="89" t="str">
        <f t="shared" ref="K141:K204" si="51">IF(ISEVEN(B141),(B141-1)&amp;"/"&amp;B141,B141&amp;"/"&amp;(B141+1))</f>
        <v>4011/4012</v>
      </c>
      <c r="L141" s="21" t="str">
        <f>VLOOKUP(A141,'Trips&amp;Operators'!$C$1:$G$99999,5,FALSE)</f>
        <v>HUFFSMITH MONTY</v>
      </c>
      <c r="M141" s="6">
        <f t="shared" ref="M141:M204" si="52">I141-F141</f>
        <v>2.644675926421769E-2</v>
      </c>
      <c r="N141" s="7">
        <f t="shared" si="46"/>
        <v>38.083333340473473</v>
      </c>
      <c r="O141" s="7"/>
      <c r="P141" s="7"/>
      <c r="Q141" s="22"/>
      <c r="R141" s="170"/>
      <c r="S141" s="213">
        <f t="shared" si="50"/>
        <v>1</v>
      </c>
      <c r="T141" s="195" t="str">
        <f t="shared" ref="T141:T204" si="53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-16T19:11:52-0600',mode:absolute,to:'2017-07-16T22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97" t="str">
        <f>IF(AA141&lt;VLOOKUP(AG141,Variables!$AC$3:$AD$8,2,FALSE),"Y","N")</f>
        <v>N</v>
      </c>
      <c r="X141" s="197">
        <f t="shared" si="49"/>
        <v>1</v>
      </c>
      <c r="Y141" s="197">
        <f t="shared" si="47"/>
        <v>4.7500000000000001E-2</v>
      </c>
      <c r="Z141" s="197">
        <f t="shared" si="48"/>
        <v>23.331399999999999</v>
      </c>
      <c r="AA141" s="197">
        <f t="shared" ref="AA141:AA204" si="55">ABS(Z141-Y141)</f>
        <v>23.283899999999999</v>
      </c>
      <c r="AB141" s="54" t="str">
        <f>VLOOKUP(A141,Enforcements!$C$7:$K$13,8,0)</f>
        <v>Speed (6)</v>
      </c>
      <c r="AC141" s="51" t="str">
        <f>VLOOKUP(A141,Enforcements!$C$7:$E$13,3,0)</f>
        <v>PERMANENT SPEED RESTRICTION</v>
      </c>
      <c r="AD141" s="206">
        <f t="shared" ref="AD141:AD204" si="56">VALUE(LEFT(A141,LEN(A141)-3))</f>
        <v>227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/stypes="app*4012*20170717*"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ref="AH141:AH202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227-16 --locoid 4012 --swversion DE.1.0.9.0 --startMP 204:475 --initTime 2017-07-16T20:11:52 --startdatetime 2017-07-16T20:30:51 --delay 1 --endMP 204:233314 --enddatetime 2017-07-16T21:08:56 --enforcementcount 0 &gt;&gt;C:\Users\stu\Documents\GitHub\eaglep3-reporting\EC\2017-07-16-refined-times.txt</v>
      </c>
      <c r="AI141" s="96" t="str">
        <f t="shared" ref="AI141:AI202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{"issue":{"subject":"","project_id":79,"tracker_id":40,"status_id":1,"priority_id":2,"assigned_to_id":23,"start_date":"2017-07-16","description":"","custom_fields":[{"id":1,"name":"Subdivision","value":"EC"},{"id":4,"name":"Milepost","value":"23.3314"},{"id":17,"name":"Train ID","value":"227-16"},{"id":16,"name":"Locomotive ID","value":"4012"},{"id":130,"name":"Impact","value":""},{"id":150,"name":"Time of Event (Mountain Time)","value":"21:08:56"},{"id":151,"name":"Denver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2" si="62">"start /low /b "&amp;dls3logs&amp;" --loco "&amp;B141&amp;" --day "&amp;TEXT(F141,"YYYY-MM-DD")</f>
        <v>start /low /b %USERPROFILE%\Documents\GitHub\eaglep3\Utilities\DownloadLogsFromS3.py --loco 4012 --day 2017-07-16</v>
      </c>
      <c r="AN141" s="151" t="str">
        <f t="shared" ref="AN141:AN202" si="6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822</v>
      </c>
      <c r="B142" s="7">
        <v>4011</v>
      </c>
      <c r="C142" s="21" t="s">
        <v>199</v>
      </c>
      <c r="D142" s="21" t="s">
        <v>861</v>
      </c>
      <c r="E142" s="13">
        <v>42932.890833333331</v>
      </c>
      <c r="F142" s="13">
        <v>42932.894016203703</v>
      </c>
      <c r="G142" s="7">
        <v>1</v>
      </c>
      <c r="H142" s="21" t="s">
        <v>932</v>
      </c>
      <c r="I142" s="13">
        <v>42932.921620370369</v>
      </c>
      <c r="J142" s="7">
        <v>0</v>
      </c>
      <c r="K142" s="89" t="str">
        <f t="shared" si="51"/>
        <v>4011/4012</v>
      </c>
      <c r="L142" s="21" t="str">
        <f>VLOOKUP(A142,'Trips&amp;Operators'!$C$1:$G$99999,5,FALSE)</f>
        <v>HUFFSMITH MONTY</v>
      </c>
      <c r="M142" s="6">
        <f t="shared" si="52"/>
        <v>2.7604166665696539E-2</v>
      </c>
      <c r="N142" s="7">
        <f t="shared" si="46"/>
        <v>39.749999998603016</v>
      </c>
      <c r="O142" s="7"/>
      <c r="P142" s="7"/>
      <c r="Q142" s="22"/>
      <c r="R142" s="170"/>
      <c r="S142" s="213">
        <f t="shared" si="50"/>
        <v>1</v>
      </c>
      <c r="T142" s="195" t="str">
        <f t="shared" si="53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4"/>
        <v>https://d0f6bd738d7f1b3e5a7ca70fe4ff75f0.us-east-1.aws.found.io/app/kibana#/discover/Steve-Slow-Train-Analysis-(2080s-and-2083s)?_g=(refreshInterval:(display:Off,pause:!f,section:0,value:0),time:(from:'2017-07-16T20:22:48-0600',mode:absolute,to:'2017-07-16T23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97" t="str">
        <f>IF(AA142&lt;VLOOKUP(AG142,Variables!$AC$3:$AD$8,2,FALSE),"Y","N")</f>
        <v>N</v>
      </c>
      <c r="X142" s="197">
        <f t="shared" si="49"/>
        <v>1</v>
      </c>
      <c r="Y142" s="197">
        <f t="shared" si="47"/>
        <v>23.2986</v>
      </c>
      <c r="Z142" s="197">
        <f t="shared" si="48"/>
        <v>1.2500000000000001E-2</v>
      </c>
      <c r="AA142" s="197">
        <f t="shared" si="55"/>
        <v>23.286100000000001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6"/>
        <v>228</v>
      </c>
      <c r="AE142" s="77" t="str">
        <f t="shared" si="57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42" s="74" t="str">
        <f t="shared" si="58"/>
        <v>"C:\Program Files (x86)\AstroGrep\AstroGrep.exe" /e /r /s /spath="%USERPROFILE%\AppData\Local\Temp\OnboardLogs" /stypes="app*4011*20170717*" /stext=" 04:.+((SYSTEM_STATE.+slice.+state.+changed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si="60"/>
        <v>"%USERPROFILE%\Documents\GitHub\eaglep3\Utilities\RefineRTDCRunTimes.py" --tripid 228-16 --locoid 4011 --swversion DE.1.0.9.0 --startMP 204:232986 --initTime 2017-07-16T21:22:48 --startdatetime 2017-07-16T21:27:23 --delay 1 --endMP 204:125 --enddatetime 2017-07-16T22:07:08 --enforcementcount 0 &gt;&gt;C:\Users\stu\Documents\GitHub\eaglep3-reporting\EC\2017-07-16-refined-times.txt</v>
      </c>
      <c r="AI142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{"issue":{"subject":"","project_id":79,"tracker_id":40,"status_id":1,"priority_id":2,"assigned_to_id":23,"start_date":"2017-07-16","description":"","custom_fields":[{"id":1,"name":"Subdivision","value":"EC"},{"id":4,"name":"Milepost","value":"0.0125"},{"id":17,"name":"Train ID","value":"228-16"},{"id":16,"name":"Locomotive ID","value":"4011"},{"id":130,"name":"Impact","value":""},{"id":150,"name":"Time of Event (Mountain Time)","value":"22:07:08"},{"id":151,"name":"Denver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2"/>
        <v>start /low /b %USERPROFILE%\Documents\GitHub\eaglep3\Utilities\DownloadLogsFromS3.py --loco 4011 --day 2017-07-16</v>
      </c>
      <c r="AN142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04:07:08"},{"id":29,"name":"Sharepoint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617</v>
      </c>
      <c r="B143" s="7">
        <v>4002</v>
      </c>
      <c r="C143" s="21" t="s">
        <v>199</v>
      </c>
      <c r="D143" s="21" t="s">
        <v>946</v>
      </c>
      <c r="E143" s="13">
        <v>42932.858807870369</v>
      </c>
      <c r="F143" s="13">
        <v>42932.875636574077</v>
      </c>
      <c r="G143" s="7">
        <v>1</v>
      </c>
      <c r="H143" s="21" t="s">
        <v>947</v>
      </c>
      <c r="I143" s="13">
        <v>42932.900717592594</v>
      </c>
      <c r="J143" s="7">
        <v>0</v>
      </c>
      <c r="K143" s="89" t="str">
        <f t="shared" si="51"/>
        <v>4001/4002</v>
      </c>
      <c r="L143" s="21" t="str">
        <f>VLOOKUP(A143,'Trips&amp;Operators'!$C$1:$G$99999,5,FALSE)</f>
        <v>STAMBAUGH JAMES</v>
      </c>
      <c r="M143" s="6">
        <f t="shared" si="52"/>
        <v>2.5081018517084885E-2</v>
      </c>
      <c r="N143" s="7">
        <f t="shared" si="46"/>
        <v>36.116666664602235</v>
      </c>
      <c r="O143" s="7"/>
      <c r="P143" s="7"/>
      <c r="Q143" s="22"/>
      <c r="R143" s="170"/>
      <c r="S143" s="213">
        <f t="shared" si="50"/>
        <v>1</v>
      </c>
      <c r="T143" s="195" t="str">
        <f t="shared" si="53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4"/>
        <v>https://d0f6bd738d7f1b3e5a7ca70fe4ff75f0.us-east-1.aws.found.io/app/kibana#/discover/Steve-Slow-Train-Analysis-(2080s-and-2083s)?_g=(refreshInterval:(display:Off,pause:!f,section:0,value:0),time:(from:'2017-07-16T19:36:41-0600',mode:absolute,to:'2017-07-16T22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7" t="str">
        <f>IF(AA143&lt;VLOOKUP(AG143,Variables!$AC$3:$AD$8,2,FALSE),"Y","N")</f>
        <v>N</v>
      </c>
      <c r="X143" s="197">
        <f t="shared" si="49"/>
        <v>1</v>
      </c>
      <c r="Y143" s="197">
        <f t="shared" si="47"/>
        <v>4.82E-2</v>
      </c>
      <c r="Z143" s="197">
        <f t="shared" si="48"/>
        <v>23.339300000000001</v>
      </c>
      <c r="AA143" s="197">
        <f t="shared" si="55"/>
        <v>23.2911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6"/>
        <v>229</v>
      </c>
      <c r="AE143" s="77" t="str">
        <f t="shared" si="57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43" s="74" t="str">
        <f t="shared" si="58"/>
        <v>"C:\Program Files (x86)\AstroGrep\AstroGrep.exe" /e /r /s /spath="%USERPROFILE%\AppData\Local\Temp\OnboardLogs" /stypes="app*4002*20170717*" /stext=" 03:.+((SYSTEM_STATE.+slice.+state.+changed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229-16 --locoid 4002 --swversion DE.1.0.9.0 --startMP 204:482 --initTime 2017-07-16T20:36:41 --startdatetime 2017-07-16T21:00:55 --delay 1 --endMP 204:233393 --enddatetime 2017-07-16T21:37:02 --enforcementcount 0 &gt;&gt;C:\Users\stu\Documents\GitHub\eaglep3-reporting\EC\2017-07-16-refined-times.txt</v>
      </c>
      <c r="AI143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{"issue":{"subject":"","project_id":79,"tracker_id":40,"status_id":1,"priority_id":2,"assigned_to_id":23,"start_date":"2017-07-16","description":"","custom_fields":[{"id":1,"name":"Subdivision","value":"EC"},{"id":4,"name":"Milepost","value":"23.3393"},{"id":17,"name":"Train ID","value":"229-16"},{"id":16,"name":"Locomotive ID","value":"4002"},{"id":130,"name":"Impact","value":""},{"id":150,"name":"Time of Event (Mountain Time)","value":"21:37:02"},{"id":151,"name":"Denver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4002 --day 2017-07-16</v>
      </c>
      <c r="AN143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4001</v>
      </c>
      <c r="C144" s="21" t="s">
        <v>199</v>
      </c>
      <c r="D144" s="21" t="s">
        <v>948</v>
      </c>
      <c r="E144" s="13">
        <v>42932.911770833336</v>
      </c>
      <c r="F144" s="13">
        <v>42932.915289351855</v>
      </c>
      <c r="G144" s="7">
        <v>1</v>
      </c>
      <c r="H144" s="21" t="s">
        <v>422</v>
      </c>
      <c r="I144" s="13">
        <v>42932.940567129626</v>
      </c>
      <c r="J144" s="7">
        <v>0</v>
      </c>
      <c r="K144" s="89" t="str">
        <f t="shared" si="51"/>
        <v>4001/4002</v>
      </c>
      <c r="L144" s="21" t="str">
        <f>VLOOKUP(A144,'Trips&amp;Operators'!$C$1:$G$99999,5,FALSE)</f>
        <v>STAMBAUGH JAMES</v>
      </c>
      <c r="M144" s="6">
        <f t="shared" si="52"/>
        <v>2.5277777771407273E-2</v>
      </c>
      <c r="N144" s="7">
        <f t="shared" ref="N144:N175" si="64">24*60*SUM($M144:$M144)</f>
        <v>36.399999990826473</v>
      </c>
      <c r="O144" s="7"/>
      <c r="P144" s="7"/>
      <c r="Q144" s="22"/>
      <c r="R144" s="170"/>
      <c r="S144" s="213">
        <f t="shared" si="50"/>
        <v>1</v>
      </c>
      <c r="T144" s="195" t="str">
        <f t="shared" si="53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4"/>
        <v>https://d0f6bd738d7f1b3e5a7ca70fe4ff75f0.us-east-1.aws.found.io/app/kibana#/discover/Steve-Slow-Train-Analysis-(2080s-and-2083s)?_g=(refreshInterval:(display:Off,pause:!f,section:0,value:0),time:(from:'2017-07-16T20:52:57-0600',mode:absolute,to:'2017-07-16T23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7" t="str">
        <f>IF(AA144&lt;VLOOKUP(AG144,Variables!$AC$3:$AD$8,2,FALSE),"Y","N")</f>
        <v>N</v>
      </c>
      <c r="X144" s="197">
        <f t="shared" si="49"/>
        <v>1</v>
      </c>
      <c r="Y144" s="197">
        <f t="shared" ref="Y144:Y175" si="65">RIGHT(D144,LEN(D144)-4)/10000</f>
        <v>23.310300000000002</v>
      </c>
      <c r="Z144" s="197">
        <f t="shared" ref="Z144:Z175" si="66">RIGHT(H144,LEN(H144)-4)/10000</f>
        <v>1.3599999999999999E-2</v>
      </c>
      <c r="AA144" s="197">
        <f t="shared" si="55"/>
        <v>23.296700000000001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6"/>
        <v>230</v>
      </c>
      <c r="AE144" s="77" t="str">
        <f t="shared" si="57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44" s="74" t="str">
        <f t="shared" si="58"/>
        <v>"C:\Program Files (x86)\AstroGrep\AstroGrep.exe" /e /r /s /spath="%USERPROFILE%\AppData\Local\Temp\OnboardLogs" /stypes="app*4001*20170717*" /stext=" 04:.+((SYSTEM_STATE.+slice.+state.+changed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230-16 --locoid 4001 --swversion DE.1.0.9.0 --startMP 204:233103 --initTime 2017-07-16T21:52:57 --startdatetime 2017-07-16T21:58:01 --delay 1 --endMP 204:136 --enddatetime 2017-07-16T22:34:25 --enforcementcount 0 &gt;&gt;C:\Users\stu\Documents\GitHub\eaglep3-reporting\EC\2017-07-16-refined-times.txt</v>
      </c>
      <c r="AI144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{"issue":{"subject":"","project_id":79,"tracker_id":40,"status_id":1,"priority_id":2,"assigned_to_id":23,"start_date":"2017-07-16","description":"","custom_fields":[{"id":1,"name":"Subdivision","value":"EC"},{"id":4,"name":"Milepost","value":"0.0136"},{"id":17,"name":"Train ID","value":"230-16"},{"id":16,"name":"Locomotive ID","value":"4001"},{"id":130,"name":"Impact","value":""},{"id":150,"name":"Time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4001 --day 2017-07-16</v>
      </c>
      <c r="AN144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820</v>
      </c>
      <c r="B145" s="7">
        <v>4064</v>
      </c>
      <c r="C145" s="21" t="s">
        <v>199</v>
      </c>
      <c r="D145" s="21" t="s">
        <v>380</v>
      </c>
      <c r="E145" s="13">
        <v>42932.884108796294</v>
      </c>
      <c r="F145" s="13">
        <v>42932.89638888889</v>
      </c>
      <c r="G145" s="7">
        <v>1</v>
      </c>
      <c r="H145" s="21" t="s">
        <v>439</v>
      </c>
      <c r="I145" s="13">
        <v>42932.921469907407</v>
      </c>
      <c r="J145" s="7">
        <v>0</v>
      </c>
      <c r="K145" s="89" t="str">
        <f t="shared" si="51"/>
        <v>4063/4064</v>
      </c>
      <c r="L145" s="21" t="str">
        <f>VLOOKUP(A145,'Trips&amp;Operators'!$C$1:$G$99999,5,FALSE)</f>
        <v>SMITH MICHAEL</v>
      </c>
      <c r="M145" s="6">
        <f t="shared" si="52"/>
        <v>2.5081018517084885E-2</v>
      </c>
      <c r="N145" s="7">
        <f t="shared" si="64"/>
        <v>36.116666664602235</v>
      </c>
      <c r="O145" s="7"/>
      <c r="P145" s="7"/>
      <c r="Q145" s="22"/>
      <c r="R145" s="170"/>
      <c r="S145" s="213">
        <f t="shared" si="50"/>
        <v>1</v>
      </c>
      <c r="T145" s="195" t="str">
        <f t="shared" si="53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4"/>
        <v>https://d0f6bd738d7f1b3e5a7ca70fe4ff75f0.us-east-1.aws.found.io/app/kibana#/discover/Steve-Slow-Train-Analysis-(2080s-and-2083s)?_g=(refreshInterval:(display:Off,pause:!f,section:0,value:0),time:(from:'2017-07-16T20:13:07-0600',mode:absolute,to:'2017-07-16T23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197" t="str">
        <f>IF(AA145&lt;VLOOKUP(AG145,Variables!$AC$3:$AD$8,2,FALSE),"Y","N")</f>
        <v>N</v>
      </c>
      <c r="X145" s="197">
        <f t="shared" si="49"/>
        <v>1</v>
      </c>
      <c r="Y145" s="197">
        <f t="shared" si="65"/>
        <v>4.6199999999999998E-2</v>
      </c>
      <c r="Z145" s="197">
        <f t="shared" si="66"/>
        <v>23.330100000000002</v>
      </c>
      <c r="AA145" s="197">
        <f t="shared" si="55"/>
        <v>23.283900000000003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6"/>
        <v>231</v>
      </c>
      <c r="AE145" s="77" t="str">
        <f t="shared" si="57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45" s="74" t="str">
        <f t="shared" si="58"/>
        <v>"C:\Program Files (x86)\AstroGrep\AstroGrep.exe" /e /r /s /spath="%USERPROFILE%\AppData\Local\Temp\OnboardLogs" /stypes="app*4064*20170717*" /stext=" 04:.+((SYSTEM_STATE.+slice.+state.+changed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231-16 --locoid 4064 --swversion DE.1.0.9.0 --startMP 204:462 --initTime 2017-07-16T21:13:07 --startdatetime 2017-07-16T21:30:48 --delay 1 --endMP 204:233301 --enddatetime 2017-07-16T22:06:55 --enforcementcount 0 &gt;&gt;C:\Users\stu\Documents\GitHub\eaglep3-reporting\EC\2017-07-16-refined-times.txt</v>
      </c>
      <c r="AI145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{"issue":{"subject":"","project_id":79,"tracker_id":40,"status_id":1,"priority_id":2,"assigned_to_id":23,"start_date":"2017-07-16","description":"","custom_fields":[{"id":1,"name":"Subdivision","value":"EC"},{"id":4,"name":"Milepost","value":"23.3301"},{"id":17,"name":"Train ID","value":"231-16"},{"id":16,"name":"Locomotive ID","value":"4064"},{"id":130,"name":"Impact","value":""},{"id":150,"name":"Time of Event (Mountain Time)","value":"22:06:55"},{"id":151,"name":"Denver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4064 --day 2017-07-16</v>
      </c>
      <c r="AN145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829</v>
      </c>
      <c r="B146" s="7">
        <v>4063</v>
      </c>
      <c r="C146" s="21" t="s">
        <v>199</v>
      </c>
      <c r="D146" s="21" t="s">
        <v>533</v>
      </c>
      <c r="E146" s="13">
        <v>42932.931597222225</v>
      </c>
      <c r="F146" s="13">
        <v>42932.935601851852</v>
      </c>
      <c r="G146" s="7">
        <v>1</v>
      </c>
      <c r="H146" s="21" t="s">
        <v>431</v>
      </c>
      <c r="I146" s="13">
        <v>42932.961631944447</v>
      </c>
      <c r="J146" s="7">
        <v>0</v>
      </c>
      <c r="K146" s="89" t="str">
        <f t="shared" si="51"/>
        <v>4063/4064</v>
      </c>
      <c r="L146" s="21" t="str">
        <f>VLOOKUP(A146,'Trips&amp;Operators'!$C$1:$G$99999,5,FALSE)</f>
        <v>SMITH MICHAEL</v>
      </c>
      <c r="M146" s="6">
        <f t="shared" si="52"/>
        <v>2.6030092594737653E-2</v>
      </c>
      <c r="N146" s="7">
        <f t="shared" si="64"/>
        <v>37.48333333642222</v>
      </c>
      <c r="O146" s="7"/>
      <c r="P146" s="7"/>
      <c r="Q146" s="22"/>
      <c r="R146" s="170"/>
      <c r="S146" s="213">
        <f t="shared" si="50"/>
        <v>1</v>
      </c>
      <c r="T146" s="195" t="str">
        <f t="shared" si="53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4"/>
        <v>https://d0f6bd738d7f1b3e5a7ca70fe4ff75f0.us-east-1.aws.found.io/app/kibana#/discover/Steve-Slow-Train-Analysis-(2080s-and-2083s)?_g=(refreshInterval:(display:Off,pause:!f,section:0,value:0),time:(from:'2017-07-16T21:21:30-0600',mode:absolute,to:'2017-07-17T00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197" t="str">
        <f>IF(AA146&lt;VLOOKUP(AG146,Variables!$AC$3:$AD$8,2,FALSE),"Y","N")</f>
        <v>N</v>
      </c>
      <c r="X146" s="197">
        <f t="shared" si="49"/>
        <v>1</v>
      </c>
      <c r="Y146" s="197">
        <f t="shared" si="65"/>
        <v>23.296500000000002</v>
      </c>
      <c r="Z146" s="197">
        <f t="shared" si="66"/>
        <v>1.32E-2</v>
      </c>
      <c r="AA146" s="197">
        <f t="shared" si="55"/>
        <v>23.283300000000001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6"/>
        <v>232</v>
      </c>
      <c r="AE146" s="77" t="str">
        <f t="shared" si="57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46" s="74" t="str">
        <f t="shared" si="58"/>
        <v>"C:\Program Files (x86)\AstroGrep\AstroGrep.exe" /e /r /s /spath="%USERPROFILE%\AppData\Local\Temp\OnboardLogs" /stypes="app*4063*20170717*" /stext=" 05:.+((SYSTEM_STATE.+slice.+state.+changed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232-16 --locoid 4063 --swversion DE.1.0.9.0 --startMP 204:232965 --initTime 2017-07-16T22:21:30 --startdatetime 2017-07-16T22:27:16 --delay 1 --endMP 204:132 --enddatetime 2017-07-16T23:04:45 --enforcementcount 0 &gt;&gt;C:\Users\stu\Documents\GitHub\eaglep3-reporting\EC\2017-07-16-refined-times.txt</v>
      </c>
      <c r="AI146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{"issue":{"subject":"","project_id":79,"tracker_id":40,"status_id":1,"priority_id":2,"assigned_to_id":23,"start_date":"2017-07-16","description":"","custom_fields":[{"id":1,"name":"Subdivision","value":"EC"},{"id":4,"name":"Milepost","value":"0.0132"},{"id":17,"name":"Train ID","value":"232-16"},{"id":16,"name":"Locomotive ID","value":"4063"},{"id":130,"name":"Impact","value":""},{"id":150,"name":"Time of Event (Mountain Time)","value":"23:04:45"},{"id":151,"name":"Denver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4063 --day 2017-07-16</v>
      </c>
      <c r="AN146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05:04:45"},{"id":29,"name":"Sharepoint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823</v>
      </c>
      <c r="B147" s="7">
        <v>4006</v>
      </c>
      <c r="C147" s="21" t="s">
        <v>199</v>
      </c>
      <c r="D147" s="21" t="s">
        <v>507</v>
      </c>
      <c r="E147" s="13">
        <v>42932.90556712963</v>
      </c>
      <c r="F147" s="13">
        <v>42932.917303240742</v>
      </c>
      <c r="G147" s="7">
        <v>1</v>
      </c>
      <c r="H147" s="21" t="s">
        <v>573</v>
      </c>
      <c r="I147" s="13">
        <v>42932.942303240743</v>
      </c>
      <c r="J147" s="7">
        <v>0</v>
      </c>
      <c r="K147" s="89" t="str">
        <f t="shared" si="51"/>
        <v>4005/4006</v>
      </c>
      <c r="L147" s="21" t="str">
        <f>VLOOKUP(A147,'Trips&amp;Operators'!$C$1:$G$99999,5,FALSE)</f>
        <v>RESPASS AARON</v>
      </c>
      <c r="M147" s="6">
        <f t="shared" si="52"/>
        <v>2.5000000001455192E-2</v>
      </c>
      <c r="N147" s="7">
        <f t="shared" si="64"/>
        <v>36.000000002095476</v>
      </c>
      <c r="O147" s="7"/>
      <c r="P147" s="7"/>
      <c r="Q147" s="22"/>
      <c r="R147" s="170"/>
      <c r="S147" s="213">
        <f t="shared" si="50"/>
        <v>1</v>
      </c>
      <c r="T147" s="195" t="str">
        <f t="shared" si="53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4"/>
        <v>https://d0f6bd738d7f1b3e5a7ca70fe4ff75f0.us-east-1.aws.found.io/app/kibana#/discover/Steve-Slow-Train-Analysis-(2080s-and-2083s)?_g=(refreshInterval:(display:Off,pause:!f,section:0,value:0),time:(from:'2017-07-16T20:44:01-0600',mode:absolute,to:'2017-07-16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197" t="str">
        <f>IF(AA147&lt;VLOOKUP(AG147,Variables!$AC$3:$AD$8,2,FALSE),"Y","N")</f>
        <v>N</v>
      </c>
      <c r="X147" s="197">
        <f t="shared" si="49"/>
        <v>1</v>
      </c>
      <c r="Y147" s="197">
        <f t="shared" si="65"/>
        <v>4.4200000000000003E-2</v>
      </c>
      <c r="Z147" s="197">
        <f t="shared" si="66"/>
        <v>23.333100000000002</v>
      </c>
      <c r="AA147" s="197">
        <f t="shared" si="55"/>
        <v>23.288900000000002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6"/>
        <v>233</v>
      </c>
      <c r="AE147" s="77" t="str">
        <f t="shared" si="57"/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AF147" s="74" t="str">
        <f t="shared" si="58"/>
        <v>"C:\Program Files (x86)\AstroGrep\AstroGrep.exe" /e /r /s /spath="%USERPROFILE%\AppData\Local\Temp\OnboardLogs" /stypes="app*4006*20170717*" /stext=" 04:.+((SYSTEM_STATE.+slice.+state.+changed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233-16 --locoid 4006 --swversion DE.1.0.9.0 --startMP 204:442 --initTime 2017-07-16T21:44:01 --startdatetime 2017-07-16T22:00:55 --delay 1 --endMP 204:233331 --enddatetime 2017-07-16T22:36:55 --enforcementcount 0 &gt;&gt;C:\Users\stu\Documents\GitHub\eaglep3-reporting\EC\2017-07-16-refined-times.txt</v>
      </c>
      <c r="AI147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{"issue":{"subject":"","project_id":79,"tracker_id":40,"status_id":1,"priority_id":2,"assigned_to_id":23,"start_date":"2017-07-16","description":"","custom_fields":[{"id":1,"name":"Subdivision","value":"EC"},{"id":4,"name":"Milepost","value":"23.3331"},{"id":17,"name":"Train ID","value":"233-16"},{"id":16,"name":"Locomotive ID","value":"4006"},{"id":130,"name":"Impact","value":""},{"id":150,"name":"Time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4006 --day 2017-07-16</v>
      </c>
      <c r="AN147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832</v>
      </c>
      <c r="B148" s="7">
        <v>4005</v>
      </c>
      <c r="C148" s="21" t="s">
        <v>199</v>
      </c>
      <c r="D148" s="21" t="s">
        <v>473</v>
      </c>
      <c r="E148" s="13">
        <v>42932.951874999999</v>
      </c>
      <c r="F148" s="13">
        <v>42932.95689814815</v>
      </c>
      <c r="G148" s="7">
        <v>1</v>
      </c>
      <c r="H148" s="21" t="s">
        <v>578</v>
      </c>
      <c r="I148" s="13">
        <v>42932.983749999999</v>
      </c>
      <c r="J148" s="7">
        <v>0</v>
      </c>
      <c r="K148" s="89" t="str">
        <f t="shared" si="51"/>
        <v>4005/4006</v>
      </c>
      <c r="L148" s="21" t="str">
        <f>VLOOKUP(A148,'Trips&amp;Operators'!$C$1:$G$99999,5,FALSE)</f>
        <v>RESPASS AARON</v>
      </c>
      <c r="M148" s="6">
        <f t="shared" si="52"/>
        <v>2.6851851849642117E-2</v>
      </c>
      <c r="N148" s="7">
        <f t="shared" si="64"/>
        <v>38.666666663484648</v>
      </c>
      <c r="O148" s="7"/>
      <c r="P148" s="7"/>
      <c r="Q148" s="22"/>
      <c r="R148" s="170"/>
      <c r="S148" s="213">
        <f t="shared" si="50"/>
        <v>1</v>
      </c>
      <c r="T148" s="195" t="str">
        <f t="shared" si="53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4"/>
        <v>https://d0f6bd738d7f1b3e5a7ca70fe4ff75f0.us-east-1.aws.found.io/app/kibana#/discover/Steve-Slow-Train-Analysis-(2080s-and-2083s)?_g=(refreshInterval:(display:Off,pause:!f,section:0,value:0),time:(from:'2017-07-16T21:50:42-0600',mode:absolute,to:'2017-07-17T00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197" t="str">
        <f>IF(AA148&lt;VLOOKUP(AG148,Variables!$AC$3:$AD$8,2,FALSE),"Y","N")</f>
        <v>N</v>
      </c>
      <c r="X148" s="197">
        <f t="shared" si="49"/>
        <v>1</v>
      </c>
      <c r="Y148" s="197">
        <f t="shared" si="65"/>
        <v>23.298100000000002</v>
      </c>
      <c r="Z148" s="197">
        <f t="shared" si="66"/>
        <v>1.72E-2</v>
      </c>
      <c r="AA148" s="197">
        <f t="shared" si="55"/>
        <v>23.280900000000003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6"/>
        <v>234</v>
      </c>
      <c r="AE148" s="77" t="str">
        <f t="shared" si="57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48" s="74" t="str">
        <f t="shared" si="58"/>
        <v>"C:\Program Files (x86)\AstroGrep\AstroGrep.exe" /e /r /s /spath="%USERPROFILE%\AppData\Local\Temp\OnboardLogs" /stypes="app*4005*20170717*" /stext=" 05:.+((SYSTEM_STATE.+slice.+state.+changed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234-16 --locoid 4005 --swversion DE.1.0.9.0 --startMP 204:232981 --initTime 2017-07-16T22:50:42 --startdatetime 2017-07-16T22:57:56 --delay 1 --endMP 204:172 --enddatetime 2017-07-16T23:36:36 --enforcementcount 0 &gt;&gt;C:\Users\stu\Documents\GitHub\eaglep3-reporting\EC\2017-07-16-refined-times.txt</v>
      </c>
      <c r="AI148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{"issue":{"subject":"","project_id":79,"tracker_id":40,"status_id":1,"priority_id":2,"assigned_to_id":23,"start_date":"2017-07-16","description":"","custom_fields":[{"id":1,"name":"Subdivision","value":"EC"},{"id":4,"name":"Milepost","value":"0.0172"},{"id":17,"name":"Train ID","value":"234-16"},{"id":16,"name":"Locomotive ID","value":"4005"},{"id":130,"name":"Impact","value":""},{"id":150,"name":"Time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4005 --day 2017-07-16</v>
      </c>
      <c r="AN148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05:36:36"},{"id":29,"name":"Sharepoint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827</v>
      </c>
      <c r="B149" s="7">
        <v>4012</v>
      </c>
      <c r="C149" s="21" t="s">
        <v>199</v>
      </c>
      <c r="D149" s="21" t="s">
        <v>585</v>
      </c>
      <c r="E149" s="13">
        <v>42932.923136574071</v>
      </c>
      <c r="F149" s="13">
        <v>42932.938067129631</v>
      </c>
      <c r="G149" s="7">
        <v>1</v>
      </c>
      <c r="H149" s="21" t="s">
        <v>571</v>
      </c>
      <c r="I149" s="13">
        <v>42932.963020833333</v>
      </c>
      <c r="J149" s="7">
        <v>0</v>
      </c>
      <c r="K149" s="89" t="str">
        <f t="shared" si="51"/>
        <v>4011/4012</v>
      </c>
      <c r="L149" s="21" t="str">
        <f>VLOOKUP(A149,'Trips&amp;Operators'!$C$1:$G$99999,5,FALSE)</f>
        <v>HAITHCOX MICHAEL</v>
      </c>
      <c r="M149" s="6">
        <f t="shared" si="52"/>
        <v>2.495370370161254E-2</v>
      </c>
      <c r="N149" s="7">
        <f t="shared" si="64"/>
        <v>35.933333330322057</v>
      </c>
      <c r="O149" s="7"/>
      <c r="P149" s="7"/>
      <c r="Q149" s="22"/>
      <c r="R149" s="170"/>
      <c r="S149" s="213">
        <f t="shared" si="50"/>
        <v>1</v>
      </c>
      <c r="T149" s="195" t="str">
        <f t="shared" si="53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4"/>
        <v>https://d0f6bd738d7f1b3e5a7ca70fe4ff75f0.us-east-1.aws.found.io/app/kibana#/discover/Steve-Slow-Train-Analysis-(2080s-and-2083s)?_g=(refreshInterval:(display:Off,pause:!f,section:0,value:0),time:(from:'2017-07-16T21:09:19-0600',mode:absolute,to:'2017-07-17T00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97" t="str">
        <f>IF(AA149&lt;VLOOKUP(AG149,Variables!$AC$3:$AD$8,2,FALSE),"Y","N")</f>
        <v>N</v>
      </c>
      <c r="X149" s="197">
        <f t="shared" si="49"/>
        <v>1</v>
      </c>
      <c r="Y149" s="197">
        <f t="shared" si="65"/>
        <v>4.24E-2</v>
      </c>
      <c r="Z149" s="197">
        <f t="shared" si="66"/>
        <v>23.3293</v>
      </c>
      <c r="AA149" s="197">
        <f t="shared" si="55"/>
        <v>23.286899999999999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6"/>
        <v>235</v>
      </c>
      <c r="AE149" s="77" t="str">
        <f t="shared" si="57"/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AF149" s="74" t="str">
        <f t="shared" si="58"/>
        <v>"C:\Program Files (x86)\AstroGrep\AstroGrep.exe" /e /r /s /spath="%USERPROFILE%\AppData\Local\Temp\OnboardLogs" /stypes="app*4012*20170717*" /stext=" 05:.+((SYSTEM_STATE.+slice.+state.+changed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235-16 --locoid 4012 --swversion DE.1.0.9.0 --startMP 204:424 --initTime 2017-07-16T22:09:19 --startdatetime 2017-07-16T22:30:49 --delay 1 --endMP 204:233293 --enddatetime 2017-07-16T23:06:45 --enforcementcount 0 &gt;&gt;C:\Users\stu\Documents\GitHub\eaglep3-reporting\EC\2017-07-16-refined-times.txt</v>
      </c>
      <c r="AI149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{"issue":{"subject":"","project_id":79,"tracker_id":40,"status_id":1,"priority_id":2,"assigned_to_id":23,"start_date":"2017-07-16","description":"","custom_fields":[{"id":1,"name":"Subdivision","value":"EC"},{"id":4,"name":"Milepost","value":"23.3293"},{"id":17,"name":"Train ID","value":"235-16"},{"id":16,"name":"Locomotive ID","value":"4012"},{"id":130,"name":"Impact","value":""},{"id":150,"name":"Time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4012 --day 2017-07-16</v>
      </c>
      <c r="AN149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833</v>
      </c>
      <c r="B150" s="7">
        <v>4011</v>
      </c>
      <c r="C150" s="21" t="s">
        <v>199</v>
      </c>
      <c r="D150" s="21" t="s">
        <v>949</v>
      </c>
      <c r="E150" s="13">
        <v>42932.963923611111</v>
      </c>
      <c r="F150" s="13">
        <v>42932.977268518516</v>
      </c>
      <c r="G150" s="7">
        <v>1</v>
      </c>
      <c r="H150" s="21" t="s">
        <v>344</v>
      </c>
      <c r="I150" s="13">
        <v>42933.005243055559</v>
      </c>
      <c r="J150" s="7">
        <v>0</v>
      </c>
      <c r="K150" s="89" t="str">
        <f t="shared" si="51"/>
        <v>4011/4012</v>
      </c>
      <c r="L150" s="21" t="str">
        <f>VLOOKUP(A150,'Trips&amp;Operators'!$C$1:$G$99999,5,FALSE)</f>
        <v>HAITHCOX MICHAEL</v>
      </c>
      <c r="M150" s="6">
        <f t="shared" si="52"/>
        <v>2.7974537042609882E-2</v>
      </c>
      <c r="N150" s="7">
        <f t="shared" si="64"/>
        <v>40.28333334135823</v>
      </c>
      <c r="O150" s="7"/>
      <c r="P150" s="7"/>
      <c r="Q150" s="22"/>
      <c r="R150" s="170"/>
      <c r="S150" s="213">
        <f t="shared" si="50"/>
        <v>1</v>
      </c>
      <c r="T150" s="195" t="str">
        <f t="shared" si="53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4"/>
        <v>https://d0f6bd738d7f1b3e5a7ca70fe4ff75f0.us-east-1.aws.found.io/app/kibana#/discover/Steve-Slow-Train-Analysis-(2080s-and-2083s)?_g=(refreshInterval:(display:Off,pause:!f,section:0,value:0),time:(from:'2017-07-16T22:08:03-0600',mode:absolute,to:'2017-07-17T01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97" t="str">
        <f>IF(AA150&lt;VLOOKUP(AG150,Variables!$AC$3:$AD$8,2,FALSE),"Y","N")</f>
        <v>N</v>
      </c>
      <c r="X150" s="197">
        <f t="shared" si="49"/>
        <v>1</v>
      </c>
      <c r="Y150" s="197">
        <f t="shared" si="65"/>
        <v>23.296700000000001</v>
      </c>
      <c r="Z150" s="197">
        <f t="shared" si="66"/>
        <v>1.49E-2</v>
      </c>
      <c r="AA150" s="197">
        <f t="shared" si="55"/>
        <v>23.2818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6"/>
        <v>236</v>
      </c>
      <c r="AE150" s="77" t="str">
        <f t="shared" si="57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50" s="74" t="str">
        <f t="shared" si="58"/>
        <v>"C:\Program Files (x86)\AstroGrep\AstroGrep.exe" /e /r /s /spath="%USERPROFILE%\AppData\Local\Temp\OnboardLogs" /stypes="app*4011*20170717*" /stext=" 06:.+((SYSTEM_STATE.+slice.+state.+changed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236-16 --locoid 4011 --swversion DE.1.0.9.0 --startMP 204:232967 --initTime 2017-07-16T23:08:03 --startdatetime 2017-07-16T23:27:16 --delay 1 --endMP 204:149 --enddatetime 2017-07-17T00:07:33 --enforcementcount 0 &gt;&gt;C:\Users\stu\Documents\GitHub\eaglep3-reporting\EC\2017-07-16-refined-times.txt</v>
      </c>
      <c r="AI150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{"issue":{"subject":"","project_id":79,"tracker_id":40,"status_id":1,"priority_id":2,"assigned_to_id":23,"start_date":"2017-07-17","description":"","custom_fields":[{"id":1,"name":"Subdivision","value":"EC"},{"id":4,"name":"Milepost","value":"0.0149"},{"id":17,"name":"Train ID","value":"236-16"},{"id":16,"name":"Locomotive ID","value":"4011"},{"id":130,"name":"Impact","value":""},{"id":150,"name":"Time of Event (Mountain Time)","value":"00:07:33"},{"id":151,"name":"Denver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2"/>
        <v>start /low /b %USERPROFILE%\Documents\GitHub\eaglep3\Utilities\DownloadLogsFromS3.py --loco 4011 --day 2017-07-16</v>
      </c>
      <c r="AN150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06:07:33"},{"id":29,"name":"Sharepoint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831</v>
      </c>
      <c r="B151" s="7">
        <v>4002</v>
      </c>
      <c r="C151" s="21" t="s">
        <v>199</v>
      </c>
      <c r="D151" s="21" t="s">
        <v>405</v>
      </c>
      <c r="E151" s="13">
        <v>42932.941643518519</v>
      </c>
      <c r="F151" s="13">
        <v>42932.958923611113</v>
      </c>
      <c r="G151" s="7">
        <v>1</v>
      </c>
      <c r="H151" s="21" t="s">
        <v>938</v>
      </c>
      <c r="I151" s="13">
        <v>42932.983680555553</v>
      </c>
      <c r="J151" s="7">
        <v>0</v>
      </c>
      <c r="K151" s="89" t="str">
        <f t="shared" si="51"/>
        <v>4001/4002</v>
      </c>
      <c r="L151" s="21" t="str">
        <f>VLOOKUP(A151,'Trips&amp;Operators'!$C$1:$G$99999,5,FALSE)</f>
        <v>STAMBAUGH JAMES</v>
      </c>
      <c r="M151" s="6">
        <f t="shared" si="52"/>
        <v>2.4756944440014195E-2</v>
      </c>
      <c r="N151" s="7">
        <f t="shared" si="64"/>
        <v>35.64999999362044</v>
      </c>
      <c r="O151" s="7"/>
      <c r="P151" s="7"/>
      <c r="Q151" s="22"/>
      <c r="R151" s="170"/>
      <c r="S151" s="213">
        <f t="shared" si="50"/>
        <v>1</v>
      </c>
      <c r="T151" s="195" t="str">
        <f t="shared" si="53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4"/>
        <v>https://d0f6bd738d7f1b3e5a7ca70fe4ff75f0.us-east-1.aws.found.io/app/kibana#/discover/Steve-Slow-Train-Analysis-(2080s-and-2083s)?_g=(refreshInterval:(display:Off,pause:!f,section:0,value:0),time:(from:'2017-07-16T21:35:58-0600',mode:absolute,to:'2017-07-17T00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97" t="str">
        <f>IF(AA151&lt;VLOOKUP(AG151,Variables!$AC$3:$AD$8,2,FALSE),"Y","N")</f>
        <v>N</v>
      </c>
      <c r="X151" s="197">
        <f t="shared" si="49"/>
        <v>1</v>
      </c>
      <c r="Y151" s="197">
        <f t="shared" si="65"/>
        <v>4.5499999999999999E-2</v>
      </c>
      <c r="Z151" s="197">
        <f t="shared" si="66"/>
        <v>23.3429</v>
      </c>
      <c r="AA151" s="197">
        <f t="shared" si="55"/>
        <v>23.2974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6"/>
        <v>237</v>
      </c>
      <c r="AE151" s="77" t="str">
        <f t="shared" si="57"/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AF151" s="74" t="str">
        <f t="shared" si="58"/>
        <v>"C:\Program Files (x86)\AstroGrep\AstroGrep.exe" /e /r /s /spath="%USERPROFILE%\AppData\Local\Temp\OnboardLogs" /stypes="app*4002*20170717*" /stext=" 05:.+((SYSTEM_STATE.+slice.+state.+changed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237-16 --locoid 4002 --swversion DE.1.0.9.0 --startMP 204:455 --initTime 2017-07-16T22:35:58 --startdatetime 2017-07-16T23:00:51 --delay 1 --endMP 204:233429 --enddatetime 2017-07-16T23:36:30 --enforcementcount 0 &gt;&gt;C:\Users\stu\Documents\GitHub\eaglep3-reporting\EC\2017-07-16-refined-times.txt</v>
      </c>
      <c r="AI151" s="96" t="str">
        <f t="shared" si="61"/>
        <v>echo {"issue":{"subject":"","project_id":79,"tracker_id":40,"status_id":1,"priority_id":2,"assigned_to_id":23,"start_date":"2017-07-16","description":"","custom_fields":[{"id":1,"name":"Subdivision","value":"EC"},{"id":4,"name":"Milepost","value":"23.3429"},{"id":17,"name":"Train ID","value":"237-16"},{"id":16,"name":"Locomotive ID","value":"4002"},{"id":130,"name":"Impact","value":""},{"id":150,"name":"Time of Event (Mountain Time)","value":"23:36:30"},{"id":151,"name":"Denver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2"/>
        <v>start /low /b %USERPROFILE%\Documents\GitHub\eaglep3\Utilities\DownloadLogsFromS3.py --loco 4002 --day 2017-07-16</v>
      </c>
      <c r="AN151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835</v>
      </c>
      <c r="B152" s="7">
        <v>4001</v>
      </c>
      <c r="C152" s="21" t="s">
        <v>199</v>
      </c>
      <c r="D152" s="21" t="s">
        <v>950</v>
      </c>
      <c r="E152" s="13">
        <v>42932.995219907411</v>
      </c>
      <c r="F152" s="13">
        <v>42932.998460648145</v>
      </c>
      <c r="G152" s="7">
        <v>2</v>
      </c>
      <c r="H152" s="21" t="s">
        <v>354</v>
      </c>
      <c r="I152" s="13">
        <v>42933.025601851848</v>
      </c>
      <c r="J152" s="7">
        <v>0</v>
      </c>
      <c r="K152" s="89" t="str">
        <f t="shared" si="51"/>
        <v>4001/4002</v>
      </c>
      <c r="L152" s="21" t="str">
        <f>VLOOKUP(A152,'Trips&amp;Operators'!$C$1:$G$99999,5,FALSE)</f>
        <v>STAMBAUGH JAMES</v>
      </c>
      <c r="M152" s="6">
        <f t="shared" si="52"/>
        <v>2.7141203703649808E-2</v>
      </c>
      <c r="N152" s="7">
        <f t="shared" si="64"/>
        <v>39.083333333255723</v>
      </c>
      <c r="O152" s="7"/>
      <c r="P152" s="7"/>
      <c r="Q152" s="22"/>
      <c r="R152" s="170"/>
      <c r="S152" s="213">
        <f t="shared" si="50"/>
        <v>1</v>
      </c>
      <c r="T152" s="195" t="str">
        <f t="shared" si="53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4"/>
        <v>https://d0f6bd738d7f1b3e5a7ca70fe4ff75f0.us-east-1.aws.found.io/app/kibana#/discover/Steve-Slow-Train-Analysis-(2080s-and-2083s)?_g=(refreshInterval:(display:Off,pause:!f,section:0,value:0),time:(from:'2017-07-16T22:53:07-0600',mode:absolute,to:'2017-07-17T01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97" t="str">
        <f>IF(AA152&lt;VLOOKUP(AG152,Variables!$AC$3:$AD$8,2,FALSE),"Y","N")</f>
        <v>N</v>
      </c>
      <c r="X152" s="197">
        <f t="shared" si="49"/>
        <v>1</v>
      </c>
      <c r="Y152" s="197">
        <f t="shared" si="65"/>
        <v>23.313400000000001</v>
      </c>
      <c r="Z152" s="197">
        <f t="shared" si="66"/>
        <v>1.47E-2</v>
      </c>
      <c r="AA152" s="197">
        <f t="shared" si="55"/>
        <v>23.2987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6"/>
        <v>238</v>
      </c>
      <c r="AE152" s="77" t="str">
        <f t="shared" si="57"/>
        <v>aws s3 cp s3://rtdc.mdm.uploadarchive.raw/RTDC4001/ "%USERPROFILE%\AppData\Local\Temp\OnboardLogs"\RTDC4001\2017-07-16 --exclude "*" --recursive --include "*20170716*" &amp; "%USERPROFILE%\Documents\GitHub\mrs-test-scripts\Headless Mode &amp; Sideloading\WalkAndUnGZ.bat" "%USERPROFILE%\AppData\Local\Temp\OnboardLogs"\RTDC4001\2017-07-16 &amp; aws s3 cp s3://rtdc.mdm.uploadarchive.raw/RTDC4001/ "%USERPROFILE%\AppData\Local\Temp\OnboardLogs"\RTDC4001\2017-07-17 --exclude "*" --recursive --include "*20170717*" &amp; "%USERPROFILE%\Documents\GitHub\mrs-test-scripts\Headless Mode &amp; Sideloading\WalkAndUnGZ.bat" "%USERPROFILE%\AppData\Local\Temp\OnboardLogs"\RTDC4001\2017-07-17</v>
      </c>
      <c r="AF152" s="74" t="str">
        <f t="shared" si="58"/>
        <v>"C:\Program Files (x86)\AstroGrep\AstroGrep.exe" /e /r /s /spath="%USERPROFILE%\AppData\Local\Temp\OnboardLogs" /stypes="app*4001*20170717*" /stext=" 06:.+((SYSTEM_STATE.+slice.+state.+changed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238-16 --locoid 4001 --swversion DE.1.0.9.0 --startMP 204:233134 --initTime 2017-07-16T23:53:07 --startdatetime 2017-07-16T23:57:47 --delay 2 --endMP 204:147 --enddatetime 2017-07-17T00:36:52 --enforcementcount 0 &gt;&gt;C:\Users\stu\Documents\GitHub\eaglep3-reporting\EC\2017-07-16-refined-times.txt</v>
      </c>
      <c r="AI152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{"issue":{"subject":"","project_id":79,"tracker_id":40,"status_id":1,"priority_id":2,"assigned_to_id":23,"start_date":"2017-07-17","description":"","custom_fields":[{"id":1,"name":"Subdivision","value":"EC"},{"id":4,"name":"Milepost","value":"0.0147"},{"id":17,"name":"Train ID","value":"238-16"},{"id":16,"name":"Locomotive ID","value":"4001"},{"id":130,"name":"Impact","value":""},{"id":150,"name":"Time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2"/>
        <v>start /low /b %USERPROFILE%\Documents\GitHub\eaglep3\Utilities\DownloadLogsFromS3.py --loco 4001 --day 2017-07-16</v>
      </c>
      <c r="AN152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834</v>
      </c>
      <c r="B153" s="7">
        <v>4064</v>
      </c>
      <c r="C153" s="21" t="s">
        <v>199</v>
      </c>
      <c r="D153" s="21" t="s">
        <v>405</v>
      </c>
      <c r="E153" s="13">
        <v>42932.969363425924</v>
      </c>
      <c r="F153" s="13">
        <v>42932.98</v>
      </c>
      <c r="G153" s="7">
        <v>1</v>
      </c>
      <c r="H153" s="21" t="s">
        <v>425</v>
      </c>
      <c r="I153" s="13">
        <v>42933.007141203707</v>
      </c>
      <c r="J153" s="7">
        <v>0</v>
      </c>
      <c r="K153" s="89" t="str">
        <f t="shared" si="51"/>
        <v>4063/4064</v>
      </c>
      <c r="L153" s="21" t="str">
        <f>VLOOKUP(A153,'Trips&amp;Operators'!$C$1:$G$99999,5,FALSE)</f>
        <v>SMITH MICHAEL</v>
      </c>
      <c r="M153" s="6">
        <f t="shared" si="52"/>
        <v>2.7141203703649808E-2</v>
      </c>
      <c r="N153" s="7">
        <f t="shared" si="64"/>
        <v>39.083333333255723</v>
      </c>
      <c r="O153" s="7"/>
      <c r="P153" s="7"/>
      <c r="Q153" s="22"/>
      <c r="R153" s="170"/>
      <c r="S153" s="213">
        <f t="shared" si="50"/>
        <v>1</v>
      </c>
      <c r="T153" s="195" t="str">
        <f t="shared" si="53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4"/>
        <v>https://d0f6bd738d7f1b3e5a7ca70fe4ff75f0.us-east-1.aws.found.io/app/kibana#/discover/Steve-Slow-Train-Analysis-(2080s-and-2083s)?_g=(refreshInterval:(display:Off,pause:!f,section:0,value:0),time:(from:'2017-07-16T22:15:53-0600',mode:absolute,to:'2017-07-17T01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197" t="str">
        <f>IF(AA153&lt;VLOOKUP(AG153,Variables!$AC$3:$AD$8,2,FALSE),"Y","N")</f>
        <v>N</v>
      </c>
      <c r="X153" s="197">
        <f t="shared" si="49"/>
        <v>1</v>
      </c>
      <c r="Y153" s="197">
        <f t="shared" si="65"/>
        <v>4.5499999999999999E-2</v>
      </c>
      <c r="Z153" s="197">
        <f t="shared" si="66"/>
        <v>23.329699999999999</v>
      </c>
      <c r="AA153" s="197">
        <f t="shared" si="55"/>
        <v>23.284199999999998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6"/>
        <v>239</v>
      </c>
      <c r="AE153" s="77" t="str">
        <f t="shared" si="57"/>
        <v>aws s3 cp s3://rtdc.mdm.uploadarchive.raw/RTDC4064/ "%USERPROFILE%\AppData\Local\Temp\OnboardLogs"\RTDC4064\2017-07-16 --exclude "*" --recursive --include "*20170716*" &amp; "%USERPROFILE%\Documents\GitHub\mrs-test-scripts\Headless Mode &amp; Sideloading\WalkAndUnGZ.bat" "%USERPROFILE%\AppData\Local\Temp\OnboardLogs"\RTDC4064\2017-07-16 &amp; 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</v>
      </c>
      <c r="AF153" s="74" t="str">
        <f t="shared" si="58"/>
        <v>"C:\Program Files (x86)\AstroGrep\AstroGrep.exe" /e /r /s /spath="%USERPROFILE%\AppData\Local\Temp\OnboardLogs" /stypes="app*4064*20170717*" /stext=" 06:.+((SYSTEM_STATE.+slice.+state.+changed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si="60"/>
        <v>"%USERPROFILE%\Documents\GitHub\eaglep3\Utilities\RefineRTDCRunTimes.py" --tripid 239-16 --locoid 4064 --swversion DE.1.0.9.0 --startMP 204:455 --initTime 2017-07-16T23:15:53 --startdatetime 2017-07-16T23:31:12 --delay 1 --endMP 204:233297 --enddatetime 2017-07-17T00:10:17 --enforcementcount 0 &gt;&gt;C:\Users\stu\Documents\GitHub\eaglep3-reporting\EC\2017-07-16-refined-times.txt</v>
      </c>
      <c r="AI153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{"issue":{"subject":"","project_id":79,"tracker_id":40,"status_id":1,"priority_id":2,"assigned_to_id":23,"start_date":"2017-07-17","description":"","custom_fields":[{"id":1,"name":"Subdivision","value":"EC"},{"id":4,"name":"Milepost","value":"23.3297"},{"id":17,"name":"Train ID","value":"239-16"},{"id":16,"name":"Locomotive ID","value":"4064"},{"id":130,"name":"Impact","value":""},{"id":150,"name":"Time of Event (Mountain Time)","value":"00:10:17"},{"id":151,"name":"Denver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2"/>
        <v>start /low /b %USERPROFILE%\Documents\GitHub\eaglep3\Utilities\DownloadLogsFromS3.py --loco 4064 --day 2017-07-16</v>
      </c>
      <c r="AN153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06:10:17"},{"id":29,"name":"Sharepoint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838</v>
      </c>
      <c r="B154" s="7">
        <v>4063</v>
      </c>
      <c r="C154" s="21" t="s">
        <v>199</v>
      </c>
      <c r="D154" s="21" t="s">
        <v>537</v>
      </c>
      <c r="E154" s="13">
        <v>42933.014988425923</v>
      </c>
      <c r="F154" s="13">
        <v>42933.018935185188</v>
      </c>
      <c r="G154" s="7">
        <v>1</v>
      </c>
      <c r="H154" s="21" t="s">
        <v>345</v>
      </c>
      <c r="I154" s="13">
        <v>42933.045046296298</v>
      </c>
      <c r="J154" s="7">
        <v>0</v>
      </c>
      <c r="K154" s="89" t="str">
        <f t="shared" si="51"/>
        <v>4063/4064</v>
      </c>
      <c r="L154" s="21" t="str">
        <f>VLOOKUP(A154,'Trips&amp;Operators'!$C$1:$G$99999,5,FALSE)</f>
        <v>SMITH MICHAEL</v>
      </c>
      <c r="M154" s="6">
        <f t="shared" si="52"/>
        <v>2.6111111110367347E-2</v>
      </c>
      <c r="N154" s="7">
        <f t="shared" si="64"/>
        <v>37.599999998928979</v>
      </c>
      <c r="O154" s="7"/>
      <c r="P154" s="7"/>
      <c r="Q154" s="22"/>
      <c r="R154" s="170"/>
      <c r="S154" s="213">
        <f t="shared" si="50"/>
        <v>1</v>
      </c>
      <c r="T154" s="195" t="str">
        <f t="shared" si="53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4"/>
        <v>https://d0f6bd738d7f1b3e5a7ca70fe4ff75f0.us-east-1.aws.found.io/app/kibana#/discover/Steve-Slow-Train-Analysis-(2080s-and-2083s)?_g=(refreshInterval:(display:Off,pause:!f,section:0,value:0),time:(from:'2017-07-16T23:21:35-0600',mode:absolute,to:'2017-07-17T02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197" t="str">
        <f>IF(AA154&lt;VLOOKUP(AG154,Variables!$AC$3:$AD$8,2,FALSE),"Y","N")</f>
        <v>N</v>
      </c>
      <c r="X154" s="197">
        <f t="shared" si="49"/>
        <v>1</v>
      </c>
      <c r="Y154" s="197">
        <f t="shared" si="65"/>
        <v>23.297499999999999</v>
      </c>
      <c r="Z154" s="197">
        <f t="shared" si="66"/>
        <v>1.43E-2</v>
      </c>
      <c r="AA154" s="197">
        <f t="shared" si="55"/>
        <v>23.283200000000001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6"/>
        <v>240</v>
      </c>
      <c r="AE154" s="77" t="str">
        <f t="shared" si="57"/>
        <v>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 &amp; aws s3 cp s3://rtdc.mdm.uploadarchive.raw/RTDC4063/ "%USERPROFILE%\AppData\Local\Temp\OnboardLogs"\RTDC4063\2017-07-18 --exclude "*" --recursive --include "*20170718*" &amp; "%USERPROFILE%\Documents\GitHub\mrs-test-scripts\Headless Mode &amp; Sideloading\WalkAndUnGZ.bat" "%USERPROFILE%\AppData\Local\Temp\OnboardLogs"\RTDC4063\2017-07-18</v>
      </c>
      <c r="AF154" s="74" t="str">
        <f t="shared" si="58"/>
        <v>"C:\Program Files (x86)\AstroGrep\AstroGrep.exe" /e /r /s /spath="%USERPROFILE%\AppData\Local\Temp\OnboardLogs" /stypes="app*4063*20170717*" /stext=" 07:.+((SYSTEM_STATE.+slice.+state.+changed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240-16 --locoid 4063 --swversion DE.1.0.9.0 --startMP 204:232975 --initTime 2017-07-17T00:21:35 --startdatetime 2017-07-17T00:27:16 --delay 1 --endMP 204:143 --enddatetime 2017-07-17T01:04:52 --enforcementcount 0 &gt;&gt;C:\Users\stu\Documents\GitHub\eaglep3-reporting\EC\2017-07-16-refined-times.txt</v>
      </c>
      <c r="AI154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{"issue":{"subject":"","project_id":79,"tracker_id":40,"status_id":1,"priority_id":2,"assigned_to_id":23,"start_date":"2017-07-17","description":"","custom_fields":[{"id":1,"name":"Subdivision","value":"EC"},{"id":4,"name":"Milepost","value":"0.0143"},{"id":17,"name":"Train ID","value":"240-16"},{"id":16,"name":"Locomotive ID","value":"4063"},{"id":130,"name":"Impact","value":""},{"id":150,"name":"Time of Event (Mountain Time)","value":"01:04:52"},{"id":151,"name":"Denver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2"/>
        <v>start /low /b %USERPROFILE%\Documents\GitHub\eaglep3\Utilities\DownloadLogsFromS3.py --loco 4063 --day 2017-07-17</v>
      </c>
      <c r="AN154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07:04:52"},{"id":29,"name":"Sharepoint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836</v>
      </c>
      <c r="B155" s="7">
        <v>4006</v>
      </c>
      <c r="C155" s="21" t="s">
        <v>199</v>
      </c>
      <c r="D155" s="21" t="s">
        <v>951</v>
      </c>
      <c r="E155" s="13">
        <v>42932.997256944444</v>
      </c>
      <c r="F155" s="13">
        <v>42933.000543981485</v>
      </c>
      <c r="G155" s="7">
        <v>1</v>
      </c>
      <c r="H155" s="21" t="s">
        <v>584</v>
      </c>
      <c r="I155" s="13">
        <v>42933.025312500002</v>
      </c>
      <c r="J155" s="7">
        <v>0</v>
      </c>
      <c r="K155" s="89" t="str">
        <f t="shared" si="51"/>
        <v>4005/4006</v>
      </c>
      <c r="L155" s="21" t="str">
        <f>VLOOKUP(A155,'Trips&amp;Operators'!$C$1:$G$99999,5,FALSE)</f>
        <v>PERKINS DARREN</v>
      </c>
      <c r="M155" s="6">
        <f t="shared" si="52"/>
        <v>2.4768518516793847E-2</v>
      </c>
      <c r="N155" s="7">
        <f t="shared" si="64"/>
        <v>35.66666666418314</v>
      </c>
      <c r="O155" s="7"/>
      <c r="P155" s="7"/>
      <c r="Q155" s="22"/>
      <c r="R155" s="170"/>
      <c r="S155" s="213">
        <f t="shared" si="50"/>
        <v>1</v>
      </c>
      <c r="T155" s="195" t="str">
        <f t="shared" si="53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4"/>
        <v>https://d0f6bd738d7f1b3e5a7ca70fe4ff75f0.us-east-1.aws.found.io/app/kibana#/discover/Steve-Slow-Train-Analysis-(2080s-and-2083s)?_g=(refreshInterval:(display:Off,pause:!f,section:0,value:0),time:(from:'2017-07-16T22:56:03-0600',mode:absolute,to:'2017-07-17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197" t="str">
        <f>IF(AA155&lt;VLOOKUP(AG155,Variables!$AC$3:$AD$8,2,FALSE),"Y","N")</f>
        <v>N</v>
      </c>
      <c r="X155" s="197">
        <f t="shared" ref="X155:X163" si="67">VALUE(LEFT(AD155,4))-VALUE(LEFT(AD154,4))</f>
        <v>1</v>
      </c>
      <c r="Y155" s="197">
        <f t="shared" si="65"/>
        <v>4.7300000000000002E-2</v>
      </c>
      <c r="Z155" s="197">
        <f t="shared" si="66"/>
        <v>23.331499999999998</v>
      </c>
      <c r="AA155" s="197">
        <f t="shared" si="55"/>
        <v>23.284199999999998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6"/>
        <v>241</v>
      </c>
      <c r="AE155" s="77" t="str">
        <f t="shared" si="57"/>
        <v>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 &amp; 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</v>
      </c>
      <c r="AF155" s="74" t="str">
        <f t="shared" si="58"/>
        <v>"C:\Program Files (x86)\AstroGrep\AstroGrep.exe" /e /r /s /spath="%USERPROFILE%\AppData\Local\Temp\OnboardLogs" /stypes="app*4006*20170717*" /stext=" 06:.+((SYSTEM_STATE.+slice.+state.+changed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241-16 --locoid 4006 --swversion DE.1.0.9.0 --startMP 204:473 --initTime 2017-07-16T23:56:03 --startdatetime 2017-07-17T00:00:47 --delay 1 --endMP 204:233315 --enddatetime 2017-07-17T00:36:27 --enforcementcount 0 &gt;&gt;C:\Users\stu\Documents\GitHub\eaglep3-reporting\EC\2017-07-16-refined-times.txt</v>
      </c>
      <c r="AI155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{"issue":{"subject":"","project_id":79,"tracker_id":40,"status_id":1,"priority_id":2,"assigned_to_id":23,"start_date":"2017-07-17","description":"","custom_fields":[{"id":1,"name":"Subdivision","value":"EC"},{"id":4,"name":"Milepost","value":"23.3315"},{"id":17,"name":"Train ID","value":"241-16"},{"id":16,"name":"Locomotive ID","value":"4006"},{"id":130,"name":"Impact","value":""},{"id":150,"name":"Time of Event (Mountain Time)","value":"00:36:27"},{"id":151,"name":"Denver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2"/>
        <v>start /low /b %USERPROFILE%\Documents\GitHub\eaglep3\Utilities\DownloadLogsFromS3.py --loco 4006 --day 2017-07-17</v>
      </c>
      <c r="AN155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619</v>
      </c>
      <c r="B156" s="7">
        <v>4005</v>
      </c>
      <c r="C156" s="21" t="s">
        <v>199</v>
      </c>
      <c r="D156" s="21" t="s">
        <v>509</v>
      </c>
      <c r="E156" s="13">
        <v>42933.035798611112</v>
      </c>
      <c r="F156" s="13">
        <v>42933.039780092593</v>
      </c>
      <c r="G156" s="7">
        <v>1</v>
      </c>
      <c r="H156" s="21" t="s">
        <v>422</v>
      </c>
      <c r="I156" s="13">
        <v>42933.067118055558</v>
      </c>
      <c r="J156" s="7">
        <v>0</v>
      </c>
      <c r="K156" s="89" t="str">
        <f t="shared" si="51"/>
        <v>4005/4006</v>
      </c>
      <c r="L156" s="21" t="str">
        <f>VLOOKUP(A156,'Trips&amp;Operators'!$C$1:$G$99999,5,FALSE)</f>
        <v>PERKINS DARREN</v>
      </c>
      <c r="M156" s="6">
        <f t="shared" si="52"/>
        <v>2.7337962965248153E-2</v>
      </c>
      <c r="N156" s="7">
        <f t="shared" si="64"/>
        <v>39.36666666995734</v>
      </c>
      <c r="O156" s="7"/>
      <c r="P156" s="7"/>
      <c r="Q156" s="22"/>
      <c r="R156" s="170"/>
      <c r="S156" s="213">
        <f t="shared" si="50"/>
        <v>1</v>
      </c>
      <c r="T156" s="195" t="str">
        <f t="shared" si="53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4"/>
        <v>https://d0f6bd738d7f1b3e5a7ca70fe4ff75f0.us-east-1.aws.found.io/app/kibana#/discover/Steve-Slow-Train-Analysis-(2080s-and-2083s)?_g=(refreshInterval:(display:Off,pause:!f,section:0,value:0),time:(from:'2017-07-16T23:51:33-0600',mode:absolute,to:'2017-07-17T02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97" t="str">
        <f>IF(AA156&lt;VLOOKUP(AG156,Variables!$AC$3:$AD$8,2,FALSE),"Y","N")</f>
        <v>N</v>
      </c>
      <c r="X156" s="197">
        <f t="shared" si="67"/>
        <v>1</v>
      </c>
      <c r="Y156" s="197">
        <f t="shared" si="65"/>
        <v>23.2989</v>
      </c>
      <c r="Z156" s="197">
        <f t="shared" si="66"/>
        <v>1.3599999999999999E-2</v>
      </c>
      <c r="AA156" s="197">
        <f t="shared" si="55"/>
        <v>23.285299999999999</v>
      </c>
      <c r="AB156" s="54" t="str">
        <f>VLOOKUP(A156,Enforcements!$C$7:$K$13,8,0)</f>
        <v>Bulletin (2)</v>
      </c>
      <c r="AC156" s="51" t="str">
        <f>VLOOKUP(A156,Enforcements!$C$7:$E$13,3,0)</f>
        <v>GRADE CROSSING</v>
      </c>
      <c r="AD156" s="206">
        <f t="shared" si="56"/>
        <v>242</v>
      </c>
      <c r="AE156" s="77" t="str">
        <f t="shared" si="57"/>
        <v>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 &amp; 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</v>
      </c>
      <c r="AF156" s="74" t="str">
        <f t="shared" si="58"/>
        <v>"C:\Program Files (x86)\AstroGrep\AstroGrep.exe" /e /r /s /spath="%USERPROFILE%\AppData\Local\Temp\OnboardLogs" /stypes="app*4005*20170717*" /stext=" 07:.+((SYSTEM_STATE.+slice.+state.+changed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242-16 --locoid 4005 --swversion DE.1.0.9.0 --startMP 204:232989 --initTime 2017-07-17T00:51:33 --startdatetime 2017-07-17T00:57:17 --delay 1 --endMP 204:136 --enddatetime 2017-07-17T01:36:39 --enforcementcount 0 &gt;&gt;C:\Users\stu\Documents\GitHub\eaglep3-reporting\EC\2017-07-16-refined-times.txt</v>
      </c>
      <c r="AI156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{"issue":{"subject":"","project_id":79,"tracker_id":40,"status_id":1,"priority_id":2,"assigned_to_id":23,"start_date":"2017-07-17","description":"","custom_fields":[{"id":1,"name":"Subdivision","value":"EC"},{"id":4,"name":"Milepost","value":"0.0136"},{"id":17,"name":"Train ID","value":"242-16"},{"id":16,"name":"Locomotive ID","value":"4005"},{"id":130,"name":"Impact","value":""},{"id":150,"name":"Time of Event (Mountain Time)","value":"01:36:39"},{"id":151,"name":"Denver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2"/>
        <v>start /low /b %USERPROFILE%\Documents\GitHub\eaglep3\Utilities\DownloadLogsFromS3.py --loco 4005 --day 2017-07-17</v>
      </c>
      <c r="AN156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837</v>
      </c>
      <c r="B157" s="7">
        <v>4012</v>
      </c>
      <c r="C157" s="21" t="s">
        <v>199</v>
      </c>
      <c r="D157" s="21" t="s">
        <v>432</v>
      </c>
      <c r="E157" s="13">
        <v>42933.02003472222</v>
      </c>
      <c r="F157" s="13">
        <v>42933.021666666667</v>
      </c>
      <c r="G157" s="7">
        <v>1</v>
      </c>
      <c r="H157" s="21" t="s">
        <v>874</v>
      </c>
      <c r="I157" s="13">
        <v>42933.04760416667</v>
      </c>
      <c r="J157" s="7">
        <v>0</v>
      </c>
      <c r="K157" s="89" t="str">
        <f t="shared" si="51"/>
        <v>4011/4012</v>
      </c>
      <c r="L157" s="21" t="str">
        <f>VLOOKUP(A157,'Trips&amp;Operators'!$C$1:$G$99999,5,FALSE)</f>
        <v>HAITHCOX MICHAEL</v>
      </c>
      <c r="M157" s="6">
        <f t="shared" si="52"/>
        <v>2.5937500002328306E-2</v>
      </c>
      <c r="N157" s="7">
        <f t="shared" si="64"/>
        <v>37.350000003352761</v>
      </c>
      <c r="O157" s="7"/>
      <c r="P157" s="7"/>
      <c r="Q157" s="22"/>
      <c r="R157" s="170"/>
      <c r="S157" s="213">
        <f t="shared" ref="S157:S188" si="68">1/IF(AG157="EC",12,1)*SUM(U157:U157)</f>
        <v>1</v>
      </c>
      <c r="T157" s="195" t="str">
        <f t="shared" si="53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4"/>
        <v>https://d0f6bd738d7f1b3e5a7ca70fe4ff75f0.us-east-1.aws.found.io/app/kibana#/discover/Steve-Slow-Train-Analysis-(2080s-and-2083s)?_g=(refreshInterval:(display:Off,pause:!f,section:0,value:0),time:(from:'2017-07-16T23:28:51-0600',mode:absolute,to:'2017-07-17T02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97" t="str">
        <f>IF(AA157&lt;VLOOKUP(AG157,Variables!$AC$3:$AD$8,2,FALSE),"Y","N")</f>
        <v>N</v>
      </c>
      <c r="X157" s="197">
        <f t="shared" si="67"/>
        <v>1</v>
      </c>
      <c r="Y157" s="197">
        <f t="shared" si="65"/>
        <v>4.3299999999999998E-2</v>
      </c>
      <c r="Z157" s="197">
        <f t="shared" si="66"/>
        <v>23.328800000000001</v>
      </c>
      <c r="AA157" s="197">
        <f t="shared" si="55"/>
        <v>23.285500000000003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6"/>
        <v>243</v>
      </c>
      <c r="AE157" s="77" t="str">
        <f t="shared" si="57"/>
        <v>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 &amp; 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</v>
      </c>
      <c r="AF157" s="74" t="str">
        <f t="shared" si="58"/>
        <v>"C:\Program Files (x86)\AstroGrep\AstroGrep.exe" /e /r /s /spath="%USERPROFILE%\AppData\Local\Temp\OnboardLogs" /stypes="app*4012*20170717*"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243-16 --locoid 4012 --swversion DE.1.0.9.0 --startMP 204:433 --initTime 2017-07-17T00:28:51 --startdatetime 2017-07-17T00:31:12 --delay 1 --endMP 204:233288 --enddatetime 2017-07-17T01:08:33 --enforcementcount 0 &gt;&gt;C:\Users\stu\Documents\GitHub\eaglep3-reporting\EC\2017-07-16-refined-times.txt</v>
      </c>
      <c r="AI157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{"issue":{"subject":"","project_id":79,"tracker_id":40,"status_id":1,"priority_id":2,"assigned_to_id":23,"start_date":"2017-07-17","description":"","custom_fields":[{"id":1,"name":"Subdivision","value":"EC"},{"id":4,"name":"Milepost","value":"23.3288"},{"id":17,"name":"Train ID","value":"243-16"},{"id":16,"name":"Locomotive ID","value":"4012"},{"id":130,"name":"Impact","value":""},{"id":150,"name":"Time of Event (Mountain Time)","value":"01:08:33"},{"id":151,"name":"Denver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4012 --day 2017-07-17</v>
      </c>
      <c r="AN157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07:08:33"},{"id":29,"name":"Sharepoint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841</v>
      </c>
      <c r="B158" s="7">
        <v>4011</v>
      </c>
      <c r="C158" s="21" t="s">
        <v>199</v>
      </c>
      <c r="D158" s="21" t="s">
        <v>438</v>
      </c>
      <c r="E158" s="13">
        <v>42933.048576388886</v>
      </c>
      <c r="F158" s="13">
        <v>42933.060601851852</v>
      </c>
      <c r="G158" s="7">
        <v>1</v>
      </c>
      <c r="H158" s="21" t="s">
        <v>952</v>
      </c>
      <c r="I158" s="13">
        <v>42933.087673611109</v>
      </c>
      <c r="J158" s="7">
        <v>0</v>
      </c>
      <c r="K158" s="89" t="str">
        <f t="shared" si="51"/>
        <v>4011/4012</v>
      </c>
      <c r="L158" s="21" t="str">
        <f>VLOOKUP(A158,'Trips&amp;Operators'!$C$1:$G$99999,5,FALSE)</f>
        <v>HAITHCOX MICHAEL</v>
      </c>
      <c r="M158" s="6">
        <f t="shared" si="52"/>
        <v>2.7071759257523809E-2</v>
      </c>
      <c r="N158" s="7">
        <f t="shared" si="64"/>
        <v>38.983333330834284</v>
      </c>
      <c r="O158" s="7"/>
      <c r="P158" s="7"/>
      <c r="Q158" s="22"/>
      <c r="R158" s="170"/>
      <c r="S158" s="213">
        <f t="shared" si="68"/>
        <v>1</v>
      </c>
      <c r="T158" s="195" t="str">
        <f t="shared" si="53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4"/>
        <v>https://d0f6bd738d7f1b3e5a7ca70fe4ff75f0.us-east-1.aws.found.io/app/kibana#/discover/Steve-Slow-Train-Analysis-(2080s-and-2083s)?_g=(refreshInterval:(display:Off,pause:!f,section:0,value:0),time:(from:'2017-07-17T00:09:57-0600',mode:absolute,to:'2017-07-17T03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97" t="str">
        <f>IF(AA158&lt;VLOOKUP(AG158,Variables!$AC$3:$AD$8,2,FALSE),"Y","N")</f>
        <v>N</v>
      </c>
      <c r="X158" s="197">
        <f t="shared" si="67"/>
        <v>1</v>
      </c>
      <c r="Y158" s="197">
        <f t="shared" si="65"/>
        <v>23.2973</v>
      </c>
      <c r="Z158" s="197">
        <f t="shared" si="66"/>
        <v>1.8100000000000002E-2</v>
      </c>
      <c r="AA158" s="197">
        <f t="shared" si="55"/>
        <v>23.279199999999999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6"/>
        <v>244</v>
      </c>
      <c r="AE158" s="77" t="str">
        <f t="shared" si="57"/>
        <v>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 &amp; aws s3 cp s3://rtdc.mdm.uploadarchive.raw/RTDC4011/ "%USERPROFILE%\AppData\Local\Temp\OnboardLogs"\RTDC4011\2017-07-18 --exclude "*" --recursive --include "*20170718*" &amp; "%USERPROFILE%\Documents\GitHub\mrs-test-scripts\Headless Mode &amp; Sideloading\WalkAndUnGZ.bat" "%USERPROFILE%\AppData\Local\Temp\OnboardLogs"\RTDC4011\2017-07-18</v>
      </c>
      <c r="AF158" s="74" t="str">
        <f t="shared" si="58"/>
        <v>"C:\Program Files (x86)\AstroGrep\AstroGrep.exe" /e /r /s /spath="%USERPROFILE%\AppData\Local\Temp\OnboardLogs" /stypes="app*4011*20170717*" /stext=" 08:.+((SYSTEM_STATE.+slice.+state.+changed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244-16 --locoid 4011 --swversion DE.1.0.9.0 --startMP 204:232973 --initTime 2017-07-17T01:09:57 --startdatetime 2017-07-17T01:27:16 --delay 1 --endMP 204:181 --enddatetime 2017-07-17T02:06:15 --enforcementcount 0 &gt;&gt;C:\Users\stu\Documents\GitHub\eaglep3-reporting\EC\2017-07-16-refined-times.txt</v>
      </c>
      <c r="AI158" s="96" t="str">
        <f t="shared" si="61"/>
        <v>echo {"issue":{"subject":"","project_id":79,"tracker_id":40,"status_id":1,"priority_id":2,"assigned_to_id":23,"start_date":"2017-07-17","description":"","custom_fields":[{"id":1,"name":"Subdivision","value":"EC"},{"id":4,"name":"Milepost","value":"0.0181"},{"id":17,"name":"Train ID","value":"244-16"},{"id":16,"name":"Locomotive ID","value":"4011"},{"id":130,"name":"Impact","value":""},{"id":150,"name":"Time of Event (Mountain Time)","value":"02:06:15"},{"id":151,"name":"Denver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2"/>
        <v>start /low /b %USERPROFILE%\Documents\GitHub\eaglep3\Utilities\DownloadLogsFromS3.py --loco 4011 --day 2017-07-17</v>
      </c>
      <c r="AN158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08:06:15"},{"id":29,"name":"Sharepoint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664</v>
      </c>
      <c r="B159" s="7">
        <v>4027</v>
      </c>
      <c r="C159" s="21" t="s">
        <v>199</v>
      </c>
      <c r="D159" s="21" t="s">
        <v>887</v>
      </c>
      <c r="E159" s="13">
        <v>42932.233263888891</v>
      </c>
      <c r="F159" s="13">
        <v>42932.234976851854</v>
      </c>
      <c r="G159" s="7">
        <v>1</v>
      </c>
      <c r="H159" s="21" t="s">
        <v>888</v>
      </c>
      <c r="I159" s="13">
        <v>42932.24690972222</v>
      </c>
      <c r="J159" s="7">
        <v>0</v>
      </c>
      <c r="K159" s="89" t="str">
        <f t="shared" si="51"/>
        <v>4027/4028</v>
      </c>
      <c r="L159" s="21" t="str">
        <f>VLOOKUP(A159,'Trips&amp;Operators'!$C$1:$G$99999,5,FALSE)</f>
        <v>DAVIDSON DAVID</v>
      </c>
      <c r="M159" s="6">
        <f t="shared" si="52"/>
        <v>1.1932870365853887E-2</v>
      </c>
      <c r="N159" s="7">
        <f t="shared" si="64"/>
        <v>17.183333326829597</v>
      </c>
      <c r="O159" s="7"/>
      <c r="P159" s="7"/>
      <c r="Q159" s="22"/>
      <c r="R159" s="170"/>
      <c r="S159" s="213">
        <f t="shared" si="68"/>
        <v>1</v>
      </c>
      <c r="T159" s="195" t="str">
        <f t="shared" si="5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4"/>
        <v>https://d0f6bd738d7f1b3e5a7ca70fe4ff75f0.us-east-1.aws.found.io/app/kibana#/discover/Steve-Slow-Train-Analysis-(2080s-and-2083s)?_g=(refreshInterval:(display:Off,pause:!f,section:0,value:0),time:(from:'2017-07-16T04:35:54-0600',mode:absolute,to:'2017-07-16T06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97" t="str">
        <f>IF(AA159&lt;VLOOKUP(AG159,Variables!$AC$3:$AD$8,2,FALSE),"Y","N")</f>
        <v>N</v>
      </c>
      <c r="X159" s="197">
        <f t="shared" si="67"/>
        <v>1556</v>
      </c>
      <c r="Y159" s="197">
        <f t="shared" si="65"/>
        <v>5.8625999999999996</v>
      </c>
      <c r="Z159" s="197">
        <f t="shared" si="66"/>
        <v>6.8000000000000005E-2</v>
      </c>
      <c r="AA159" s="197">
        <f t="shared" si="55"/>
        <v>5.7946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6"/>
        <v>1800</v>
      </c>
      <c r="AE159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59" s="74" t="str">
        <f t="shared" si="58"/>
        <v>"C:\Program Files (x86)\AstroGrep\AstroGrep.exe" /e /r /s /spath="%USERPROFILE%\AppData\Local\Temp\OnboardLogs" /stypes="app*4027*20170716*" /stext=" 11:.+((SYSTEM_STATE.+slice.+state.+changed )|(ment ac)|(multiple cpu faults)|(system.+state.+changed )|(\[timeout)|(PRM\|1\|D)|(kpr)|(kdp)|(train st.+moving)|(\|lc)|(penalty))"</v>
      </c>
      <c r="AG159" s="209" t="str">
        <f t="shared" si="59"/>
        <v>NW</v>
      </c>
      <c r="AH159" s="78" t="str">
        <f t="shared" si="60"/>
        <v>"%USERPROFILE%\Documents\GitHub\eaglep3\Utilities\RefineRTDCRunTimes.py" --tripid 1800-16 --locoid 4027 --swversion DE.1.0.9.0 --startMP 300:58626 --initTime 2017-07-16T05:35:54 --startdatetime 2017-07-16T05:38:22 --delay 1 --endMP 204:680 --enddatetime 2017-07-16T05:55:33 --enforcementcount 0 &gt;&gt;C:\Users\stu\Documents\GitHub\eaglep3-reporting\EC\2017-07-16-refined-times.txt</v>
      </c>
      <c r="AI159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{"issue":{"subject":"","project_id":79,"tracker_id":40,"status_id":1,"priority_id":2,"assigned_to_id":23,"start_date":"2017-07-16","description":"","custom_fields":[{"id":1,"name":"Subdivision","value":"NW"},{"id":4,"name":"Milepost","value":"0.068"},{"id":17,"name":"Train ID","value":"1800-16"},{"id":16,"name":"Locomotive ID","value":"4027"},{"id":130,"name":"Impact","value":""},{"id":150,"name":"Time of Event (Mountain Time)","value":"05:55:33"},{"id":151,"name":"Denver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2"/>
        <v>start /low /b %USERPROFILE%\Documents\GitHub\eaglep3\Utilities\DownloadLogsFromS3.py --loco 4027 --day 2017-07-16</v>
      </c>
      <c r="AN159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669</v>
      </c>
      <c r="B160" s="7">
        <v>4028</v>
      </c>
      <c r="C160" s="21" t="s">
        <v>199</v>
      </c>
      <c r="D160" s="21" t="s">
        <v>492</v>
      </c>
      <c r="E160" s="13">
        <v>42932.248229166667</v>
      </c>
      <c r="F160" s="13">
        <v>42932.264780092592</v>
      </c>
      <c r="G160" s="7">
        <v>1</v>
      </c>
      <c r="H160" s="21" t="s">
        <v>889</v>
      </c>
      <c r="I160" s="13">
        <v>42932.274583333332</v>
      </c>
      <c r="J160" s="7">
        <v>0</v>
      </c>
      <c r="K160" s="89" t="str">
        <f t="shared" si="51"/>
        <v>4027/4028</v>
      </c>
      <c r="L160" s="21" t="str">
        <f>VLOOKUP(A160,'Trips&amp;Operators'!$C$1:$G$99999,5,FALSE)</f>
        <v>DAVIDSON DAVID</v>
      </c>
      <c r="M160" s="6">
        <f t="shared" si="52"/>
        <v>9.8032407404389232E-3</v>
      </c>
      <c r="N160" s="7">
        <f t="shared" si="64"/>
        <v>14.116666666232049</v>
      </c>
      <c r="O160" s="7"/>
      <c r="P160" s="7"/>
      <c r="Q160" s="22"/>
      <c r="R160" s="170"/>
      <c r="S160" s="213">
        <f t="shared" si="68"/>
        <v>1</v>
      </c>
      <c r="T160" s="195" t="str">
        <f t="shared" si="53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4"/>
        <v>https://d0f6bd738d7f1b3e5a7ca70fe4ff75f0.us-east-1.aws.found.io/app/kibana#/discover/Steve-Slow-Train-Analysis-(2080s-and-2083s)?_g=(refreshInterval:(display:Off,pause:!f,section:0,value:0),time:(from:'2017-07-16T04:57:27-0600',mode:absolute,to:'2017-07-16T07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7" t="str">
        <f>IF(AA160&lt;VLOOKUP(AG160,Variables!$AC$3:$AD$8,2,FALSE),"Y","N")</f>
        <v>N</v>
      </c>
      <c r="X160" s="197">
        <f t="shared" si="67"/>
        <v>1</v>
      </c>
      <c r="Y160" s="197">
        <f t="shared" si="65"/>
        <v>9.9000000000000005E-2</v>
      </c>
      <c r="Z160" s="197">
        <f t="shared" si="66"/>
        <v>5.8954000000000004</v>
      </c>
      <c r="AA160" s="197">
        <f t="shared" si="55"/>
        <v>5.7964000000000002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6"/>
        <v>1801</v>
      </c>
      <c r="AE160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60" s="74" t="str">
        <f t="shared" si="58"/>
        <v>"C:\Program Files (x86)\AstroGrep\AstroGrep.exe" /e /r /s /spath="%USERPROFILE%\AppData\Local\Temp\OnboardLogs" /stypes="app*4028*20170716*" /stext=" 12:.+((SYSTEM_STATE.+slice.+state.+changed )|(ment ac)|(multiple cpu faults)|(system.+state.+changed )|(\[timeout)|(PRM\|1\|D)|(kpr)|(kdp)|(train st.+moving)|(\|lc)|(penalty))"</v>
      </c>
      <c r="AG160" s="209" t="str">
        <f t="shared" si="59"/>
        <v>NW</v>
      </c>
      <c r="AH160" s="78" t="str">
        <f t="shared" si="60"/>
        <v>"%USERPROFILE%\Documents\GitHub\eaglep3\Utilities\RefineRTDCRunTimes.py" --tripid 1801-16 --locoid 4028 --swversion DE.1.0.9.0 --startMP 204:990 --initTime 2017-07-16T05:57:27 --startdatetime 2017-07-16T06:21:17 --delay 1 --endMP 300:58954 --enddatetime 2017-07-16T06:35:24 --enforcementcount 0 &gt;&gt;C:\Users\stu\Documents\GitHub\eaglep3-reporting\EC\2017-07-16-refined-times.txt</v>
      </c>
      <c r="AI160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{"issue":{"subject":"","project_id":79,"tracker_id":40,"status_id":1,"priority_id":2,"assigned_to_id":23,"start_date":"2017-07-16","description":"","custom_fields":[{"id":1,"name":"Subdivision","value":"NW"},{"id":4,"name":"Milepost","value":"5.8954"},{"id":17,"name":"Train ID","value":"1801-16"},{"id":16,"name":"Locomotive ID","value":"4028"},{"id":130,"name":"Impact","value":""},{"id":150,"name":"Time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2"/>
        <v>start /low /b %USERPROFILE%\Documents\GitHub\eaglep3\Utilities\DownloadLogsFromS3.py --loco 4028 --day 2017-07-16</v>
      </c>
      <c r="AN160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674</v>
      </c>
      <c r="B161" s="7">
        <v>4027</v>
      </c>
      <c r="C161" s="21" t="s">
        <v>199</v>
      </c>
      <c r="D161" s="21" t="s">
        <v>887</v>
      </c>
      <c r="E161" s="13">
        <v>42932.275601851848</v>
      </c>
      <c r="F161" s="13">
        <v>42932.277002314811</v>
      </c>
      <c r="G161" s="7">
        <v>1</v>
      </c>
      <c r="H161" s="21" t="s">
        <v>890</v>
      </c>
      <c r="I161" s="13">
        <v>42932.289583333331</v>
      </c>
      <c r="J161" s="7">
        <v>0</v>
      </c>
      <c r="K161" s="89" t="str">
        <f t="shared" si="51"/>
        <v>4027/4028</v>
      </c>
      <c r="L161" s="21" t="str">
        <f>VLOOKUP(A161,'Trips&amp;Operators'!$C$1:$G$99999,5,FALSE)</f>
        <v>DAVIDSON DAVID</v>
      </c>
      <c r="M161" s="6">
        <f t="shared" si="52"/>
        <v>1.2581018519995268E-2</v>
      </c>
      <c r="N161" s="7">
        <f t="shared" si="64"/>
        <v>18.116666668793187</v>
      </c>
      <c r="O161" s="7"/>
      <c r="P161" s="7"/>
      <c r="Q161" s="22"/>
      <c r="R161" s="170"/>
      <c r="S161" s="213">
        <f t="shared" si="68"/>
        <v>1</v>
      </c>
      <c r="T161" s="195" t="str">
        <f t="shared" si="5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4"/>
        <v>https://d0f6bd738d7f1b3e5a7ca70fe4ff75f0.us-east-1.aws.found.io/app/kibana#/discover/Steve-Slow-Train-Analysis-(2080s-and-2083s)?_g=(refreshInterval:(display:Off,pause:!f,section:0,value:0),time:(from:'2017-07-16T05:36:52-0600',mode:absolute,to:'2017-07-16T07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7" t="str">
        <f>IF(AA161&lt;VLOOKUP(AG161,Variables!$AC$3:$AD$8,2,FALSE),"Y","N")</f>
        <v>N</v>
      </c>
      <c r="X161" s="197">
        <f t="shared" si="67"/>
        <v>1</v>
      </c>
      <c r="Y161" s="197">
        <f t="shared" si="65"/>
        <v>5.8625999999999996</v>
      </c>
      <c r="Z161" s="197">
        <f t="shared" si="66"/>
        <v>7.2700000000000001E-2</v>
      </c>
      <c r="AA161" s="197">
        <f t="shared" si="55"/>
        <v>5.7898999999999994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6"/>
        <v>1802</v>
      </c>
      <c r="AE161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61" s="74" t="str">
        <f t="shared" si="58"/>
        <v>"C:\Program Files (x86)\AstroGrep\AstroGrep.exe" /e /r /s /spath="%USERPROFILE%\AppData\Local\Temp\OnboardLogs" /stypes="app*4027*20170716*" /stext=" 12:.+((SYSTEM_STATE.+slice.+state.+changed )|(ment ac)|(multiple cpu faults)|(system.+state.+changed )|(\[timeout)|(PRM\|1\|D)|(kpr)|(kdp)|(train st.+moving)|(\|lc)|(penalty))"</v>
      </c>
      <c r="AG161" s="209" t="str">
        <f t="shared" si="59"/>
        <v>NW</v>
      </c>
      <c r="AH161" s="78" t="str">
        <f t="shared" si="60"/>
        <v>"%USERPROFILE%\Documents\GitHub\eaglep3\Utilities\RefineRTDCRunTimes.py" --tripid 1802-16 --locoid 4027 --swversion DE.1.0.9.0 --startMP 300:58626 --initTime 2017-07-16T06:36:52 --startdatetime 2017-07-16T06:38:53 --delay 1 --endMP 204:727 --enddatetime 2017-07-16T06:57:00 --enforcementcount 0 &gt;&gt;C:\Users\stu\Documents\GitHub\eaglep3-reporting\EC\2017-07-16-refined-times.txt</v>
      </c>
      <c r="AI161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{"issue":{"subject":"","project_id":79,"tracker_id":40,"status_id":1,"priority_id":2,"assigned_to_id":23,"start_date":"2017-07-16","description":"","custom_fields":[{"id":1,"name":"Subdivision","value":"NW"},{"id":4,"name":"Milepost","value":"0.0727"},{"id":17,"name":"Train ID","value":"1802-16"},{"id":16,"name":"Locomotive ID","value":"4027"},{"id":130,"name":"Impact","value":""},{"id":150,"name":"Time of Event (Mountain Time)","value":"06:57:00"},{"id":151,"name":"Denver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2"/>
        <v>start /low /b %USERPROFILE%\Documents\GitHub\eaglep3\Utilities\DownloadLogsFromS3.py --loco 4027 --day 2017-07-16</v>
      </c>
      <c r="AN161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12:57:00"},{"id":29,"name":"Sharepoint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678</v>
      </c>
      <c r="B162" s="7">
        <v>4028</v>
      </c>
      <c r="C162" s="21" t="s">
        <v>199</v>
      </c>
      <c r="D162" s="21" t="s">
        <v>891</v>
      </c>
      <c r="E162" s="13">
        <v>42932.290879629632</v>
      </c>
      <c r="F162" s="13">
        <v>42932.306446759256</v>
      </c>
      <c r="G162" s="7">
        <v>1</v>
      </c>
      <c r="H162" s="21" t="s">
        <v>493</v>
      </c>
      <c r="I162" s="13">
        <v>42932.316064814811</v>
      </c>
      <c r="J162" s="7">
        <v>0</v>
      </c>
      <c r="K162" s="89" t="str">
        <f t="shared" si="51"/>
        <v>4027/4028</v>
      </c>
      <c r="L162" s="21" t="str">
        <f>VLOOKUP(A162,'Trips&amp;Operators'!$C$1:$G$99999,5,FALSE)</f>
        <v>DAVIDSON DAVID</v>
      </c>
      <c r="M162" s="6">
        <f t="shared" si="52"/>
        <v>9.6180555556202307E-3</v>
      </c>
      <c r="N162" s="7">
        <f t="shared" si="64"/>
        <v>13.850000000093132</v>
      </c>
      <c r="O162" s="7"/>
      <c r="P162" s="7"/>
      <c r="Q162" s="22"/>
      <c r="R162" s="170"/>
      <c r="S162" s="213">
        <f t="shared" si="68"/>
        <v>1</v>
      </c>
      <c r="T162" s="195" t="str">
        <f t="shared" si="5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4"/>
        <v>https://d0f6bd738d7f1b3e5a7ca70fe4ff75f0.us-east-1.aws.found.io/app/kibana#/discover/Steve-Slow-Train-Analysis-(2080s-and-2083s)?_g=(refreshInterval:(display:Off,pause:!f,section:0,value:0),time:(from:'2017-07-16T05:58:52-0600',mode:absolute,to:'2017-07-16T08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197" t="str">
        <f>IF(AA162&lt;VLOOKUP(AG162,Variables!$AC$3:$AD$8,2,FALSE),"Y","N")</f>
        <v>N</v>
      </c>
      <c r="X162" s="197">
        <f t="shared" si="67"/>
        <v>1</v>
      </c>
      <c r="Y162" s="197">
        <f t="shared" si="65"/>
        <v>9.8799999999999999E-2</v>
      </c>
      <c r="Z162" s="197">
        <f t="shared" si="66"/>
        <v>5.8940999999999999</v>
      </c>
      <c r="AA162" s="197">
        <f t="shared" si="55"/>
        <v>5.7953000000000001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6"/>
        <v>1803</v>
      </c>
      <c r="AE162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62" s="74" t="str">
        <f t="shared" si="58"/>
        <v>"C:\Program Files (x86)\AstroGrep\AstroGrep.exe" /e /r /s /spath="%USERPROFILE%\AppData\Local\Temp\OnboardLogs" /stypes="app*4028*20170716*" /stext=" 13:.+((SYSTEM_STATE.+slice.+state.+changed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1803-16 --locoid 4028 --swversion DE.1.0.9.0 --startMP 204:988 --initTime 2017-07-16T06:58:52 --startdatetime 2017-07-16T07:21:17 --delay 1 --endMP 300:58941 --enddatetime 2017-07-16T07:35:08 --enforcementcount 0 &gt;&gt;C:\Users\stu\Documents\GitHub\eaglep3-reporting\EC\2017-07-16-refined-times.txt</v>
      </c>
      <c r="AI162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{"issue":{"subject":"","project_id":79,"tracker_id":40,"status_id":1,"priority_id":2,"assigned_to_id":23,"start_date":"2017-07-16","description":"","custom_fields":[{"id":1,"name":"Subdivision","value":"NW"},{"id":4,"name":"Milepost","value":"5.8941"},{"id":17,"name":"Train ID","value":"1803-16"},{"id":16,"name":"Locomotive ID","value":"4028"},{"id":130,"name":"Impact","value":""},{"id":150,"name":"Time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2"/>
        <v>start /low /b %USERPROFILE%\Documents\GitHub\eaglep3\Utilities\DownloadLogsFromS3.py --loco 4028 --day 2017-07-16</v>
      </c>
      <c r="AN162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684</v>
      </c>
      <c r="B163" s="7">
        <v>4027</v>
      </c>
      <c r="C163" s="21" t="s">
        <v>199</v>
      </c>
      <c r="D163" s="21" t="s">
        <v>591</v>
      </c>
      <c r="E163" s="13">
        <v>42932.317048611112</v>
      </c>
      <c r="F163" s="13">
        <v>42932.318726851852</v>
      </c>
      <c r="G163" s="7">
        <v>1</v>
      </c>
      <c r="H163" s="21" t="s">
        <v>441</v>
      </c>
      <c r="I163" s="13">
        <v>42932.330138888887</v>
      </c>
      <c r="J163" s="7">
        <v>0</v>
      </c>
      <c r="K163" s="89" t="str">
        <f t="shared" si="51"/>
        <v>4027/4028</v>
      </c>
      <c r="L163" s="21" t="str">
        <f>VLOOKUP(A163,'Trips&amp;Operators'!$C$1:$G$99999,5,FALSE)</f>
        <v>DAVIDSON DAVID</v>
      </c>
      <c r="M163" s="6">
        <f t="shared" si="52"/>
        <v>1.1412037034460809E-2</v>
      </c>
      <c r="N163" s="7">
        <f t="shared" si="64"/>
        <v>16.433333329623565</v>
      </c>
      <c r="O163" s="7"/>
      <c r="P163" s="7"/>
      <c r="Q163" s="22"/>
      <c r="R163" s="170"/>
      <c r="S163" s="213">
        <f t="shared" si="68"/>
        <v>1</v>
      </c>
      <c r="T163" s="195" t="str">
        <f t="shared" si="5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4"/>
        <v>https://d0f6bd738d7f1b3e5a7ca70fe4ff75f0.us-east-1.aws.found.io/app/kibana#/discover/Steve-Slow-Train-Analysis-(2080s-and-2083s)?_g=(refreshInterval:(display:Off,pause:!f,section:0,value:0),time:(from:'2017-07-16T06:36:33-0600',mode:absolute,to:'2017-07-16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97" t="str">
        <f>IF(AA163&lt;VLOOKUP(AG163,Variables!$AC$3:$AD$8,2,FALSE),"Y","N")</f>
        <v>N</v>
      </c>
      <c r="X163" s="197">
        <f t="shared" si="67"/>
        <v>1</v>
      </c>
      <c r="Y163" s="197">
        <f t="shared" si="65"/>
        <v>5.8630000000000004</v>
      </c>
      <c r="Z163" s="197">
        <f t="shared" si="66"/>
        <v>6.9400000000000003E-2</v>
      </c>
      <c r="AA163" s="197">
        <f t="shared" si="55"/>
        <v>5.7936000000000005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6"/>
        <v>1804</v>
      </c>
      <c r="AE163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63" s="74" t="str">
        <f t="shared" si="58"/>
        <v>"C:\Program Files (x86)\AstroGrep\AstroGrep.exe" /e /r /s /spath="%USERPROFILE%\AppData\Local\Temp\OnboardLogs" /stypes="app*4027*20170716*" /stext=" 13:.+((SYSTEM_STATE.+slice.+state.+changed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1804-16 --locoid 4027 --swversion DE.1.0.9.0 --startMP 300:58630 --initTime 2017-07-16T07:36:33 --startdatetime 2017-07-16T07:38:58 --delay 1 --endMP 204:694 --enddatetime 2017-07-16T07:55:24 --enforcementcount 0 &gt;&gt;C:\Users\stu\Documents\GitHub\eaglep3-reporting\EC\2017-07-16-refined-times.txt</v>
      </c>
      <c r="AI163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{"issue":{"subject":"","project_id":79,"tracker_id":40,"status_id":1,"priority_id":2,"assigned_to_id":23,"start_date":"2017-07-16","description":"","custom_fields":[{"id":1,"name":"Subdivision","value":"NW"},{"id":4,"name":"Milepost","value":"0.0694"},{"id":17,"name":"Train ID","value":"1804-16"},{"id":16,"name":"Locomotive ID","value":"4027"},{"id":130,"name":"Impact","value":""},{"id":150,"name":"Time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2"/>
        <v>start /low /b %USERPROFILE%\Documents\GitHub\eaglep3\Utilities\DownloadLogsFromS3.py --loco 4027 --day 2017-07-16</v>
      </c>
      <c r="AN163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689</v>
      </c>
      <c r="B164" s="7">
        <v>4028</v>
      </c>
      <c r="C164" s="21" t="s">
        <v>199</v>
      </c>
      <c r="D164" s="21" t="s">
        <v>892</v>
      </c>
      <c r="E164" s="13">
        <v>42932.331782407404</v>
      </c>
      <c r="F164" s="13">
        <v>42932.348113425927</v>
      </c>
      <c r="G164" s="7">
        <v>1</v>
      </c>
      <c r="H164" s="21" t="s">
        <v>893</v>
      </c>
      <c r="I164" s="13">
        <v>42932.358090277776</v>
      </c>
      <c r="J164" s="7">
        <v>0</v>
      </c>
      <c r="K164" s="89" t="str">
        <f t="shared" si="51"/>
        <v>4027/4028</v>
      </c>
      <c r="L164" s="21" t="str">
        <f>VLOOKUP(A164,'Trips&amp;Operators'!$C$1:$G$99999,5,FALSE)</f>
        <v>DAVIDSON DAVID</v>
      </c>
      <c r="M164" s="6">
        <f t="shared" si="52"/>
        <v>9.9768518484779634E-3</v>
      </c>
      <c r="N164" s="7">
        <f t="shared" si="64"/>
        <v>14.366666661808267</v>
      </c>
      <c r="O164" s="7"/>
      <c r="P164" s="7"/>
      <c r="Q164" s="22"/>
      <c r="R164" s="170"/>
      <c r="S164" s="213">
        <f t="shared" si="68"/>
        <v>1</v>
      </c>
      <c r="T164" s="195" t="str">
        <f t="shared" si="53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4"/>
        <v>https://d0f6bd738d7f1b3e5a7ca70fe4ff75f0.us-east-1.aws.found.io/app/kibana#/discover/Steve-Slow-Train-Analysis-(2080s-and-2083s)?_g=(refreshInterval:(display:Off,pause:!f,section:0,value:0),time:(from:'2017-07-16T06:57:46-0600',mode:absolute,to:'2017-07-16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7" t="str">
        <f>IF(AA164&lt;VLOOKUP(AG164,Variables!$AC$3:$AD$8,2,FALSE),"Y","N")</f>
        <v>N</v>
      </c>
      <c r="X164" s="197">
        <f t="shared" ref="X164:X195" si="69">VALUE(LEFT(AD164,4))-VALUE(LEFT(AD163,4))</f>
        <v>1</v>
      </c>
      <c r="Y164" s="197">
        <f t="shared" si="65"/>
        <v>9.69E-2</v>
      </c>
      <c r="Z164" s="197">
        <f t="shared" si="66"/>
        <v>5.8944000000000001</v>
      </c>
      <c r="AA164" s="197">
        <f t="shared" si="55"/>
        <v>5.7975000000000003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6"/>
        <v>1805</v>
      </c>
      <c r="AE164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64" s="74" t="str">
        <f t="shared" si="58"/>
        <v>"C:\Program Files (x86)\AstroGrep\AstroGrep.exe" /e /r /s /spath="%USERPROFILE%\AppData\Local\Temp\OnboardLogs" /stypes="app*4028*20170716*" /stext=" 14:.+((SYSTEM_STATE.+slice.+state.+changed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1805-16 --locoid 4028 --swversion DE.1.0.9.0 --startMP 204:969 --initTime 2017-07-16T07:57:46 --startdatetime 2017-07-16T08:21:17 --delay 1 --endMP 300:58944 --enddatetime 2017-07-16T08:35:39 --enforcementcount 0 &gt;&gt;C:\Users\stu\Documents\GitHub\eaglep3-reporting\EC\2017-07-16-refined-times.txt</v>
      </c>
      <c r="AI164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{"issue":{"subject":"","project_id":79,"tracker_id":40,"status_id":1,"priority_id":2,"assigned_to_id":23,"start_date":"2017-07-16","description":"","custom_fields":[{"id":1,"name":"Subdivision","value":"NW"},{"id":4,"name":"Milepost","value":"5.8944"},{"id":17,"name":"Train ID","value":"1805-16"},{"id":16,"name":"Locomotive ID","value":"4028"},{"id":130,"name":"Impact","value":""},{"id":150,"name":"Time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2"/>
        <v>start /low /b %USERPROFILE%\Documents\GitHub\eaglep3\Utilities\DownloadLogsFromS3.py --loco 4028 --day 2017-07-16</v>
      </c>
      <c r="AN164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694</v>
      </c>
      <c r="B165" s="7">
        <v>4027</v>
      </c>
      <c r="C165" s="21" t="s">
        <v>199</v>
      </c>
      <c r="D165" s="21" t="s">
        <v>595</v>
      </c>
      <c r="E165" s="13">
        <v>42932.359131944446</v>
      </c>
      <c r="F165" s="13">
        <v>42932.360439814816</v>
      </c>
      <c r="G165" s="7">
        <v>0</v>
      </c>
      <c r="H165" s="21" t="s">
        <v>593</v>
      </c>
      <c r="I165" s="13">
        <v>42932.371782407405</v>
      </c>
      <c r="J165" s="7">
        <v>0</v>
      </c>
      <c r="K165" s="89" t="str">
        <f t="shared" si="51"/>
        <v>4027/4028</v>
      </c>
      <c r="L165" s="21" t="str">
        <f>VLOOKUP(A165,'Trips&amp;Operators'!$C$1:$G$99999,5,FALSE)</f>
        <v>DAVIDSON DAVID</v>
      </c>
      <c r="M165" s="6">
        <f t="shared" si="52"/>
        <v>1.134259258833481E-2</v>
      </c>
      <c r="N165" s="7">
        <f t="shared" si="64"/>
        <v>16.333333327202126</v>
      </c>
      <c r="O165" s="7"/>
      <c r="P165" s="7"/>
      <c r="Q165" s="22"/>
      <c r="R165" s="170"/>
      <c r="S165" s="213">
        <f t="shared" si="68"/>
        <v>1</v>
      </c>
      <c r="T165" s="195" t="str">
        <f t="shared" si="53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4"/>
        <v>https://d0f6bd738d7f1b3e5a7ca70fe4ff75f0.us-east-1.aws.found.io/app/kibana#/discover/Steve-Slow-Train-Analysis-(2080s-and-2083s)?_g=(refreshInterval:(display:Off,pause:!f,section:0,value:0),time:(from:'2017-07-16T07:37:09-0600',mode:absolute,to:'2017-07-16T09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97" t="str">
        <f>IF(AA165&lt;VLOOKUP(AG165,Variables!$AC$3:$AD$8,2,FALSE),"Y","N")</f>
        <v>N</v>
      </c>
      <c r="X165" s="197">
        <f t="shared" si="69"/>
        <v>1</v>
      </c>
      <c r="Y165" s="197">
        <f t="shared" si="65"/>
        <v>5.8632</v>
      </c>
      <c r="Z165" s="197">
        <f t="shared" si="66"/>
        <v>6.8699999999999997E-2</v>
      </c>
      <c r="AA165" s="197">
        <f t="shared" si="55"/>
        <v>5.7945000000000002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6"/>
        <v>1806</v>
      </c>
      <c r="AE165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65" s="74" t="str">
        <f t="shared" si="58"/>
        <v>"C:\Program Files (x86)\AstroGrep\AstroGrep.exe" /e /r /s /spath="%USERPROFILE%\AppData\Local\Temp\OnboardLogs" /stypes="app*4027*20170716*" /stext=" 14:.+((SYSTEM_STATE.+slice.+state.+changed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1806-16 --locoid 4027 --swversion DE.1.0.9.0 --startMP 300:58632 --initTime 2017-07-16T08:37:09 --startdatetime 2017-07-16T08:39:02 --delay 0 --endMP 204:687 --enddatetime 2017-07-16T08:55:22 --enforcementcount 0 &gt;&gt;C:\Users\stu\Documents\GitHub\eaglep3-reporting\EC\2017-07-16-refined-times.txt</v>
      </c>
      <c r="AI165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{"issue":{"subject":"","project_id":79,"tracker_id":40,"status_id":1,"priority_id":2,"assigned_to_id":23,"start_date":"2017-07-16","description":"","custom_fields":[{"id":1,"name":"Subdivision","value":"NW"},{"id":4,"name":"Milepost","value":"0.0687"},{"id":17,"name":"Train ID","value":"1806-16"},{"id":16,"name":"Locomotive ID","value":"4027"},{"id":130,"name":"Impact","value":""},{"id":150,"name":"Time of Event (Mountain Time)","value":"08:55:22"},{"id":151,"name":"Denver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2"/>
        <v>start /low /b %USERPROFILE%\Documents\GitHub\eaglep3\Utilities\DownloadLogsFromS3.py --loco 4027 --day 2017-07-16</v>
      </c>
      <c r="AN165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14:55:22"},{"id":29,"name":"Sharepoint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699</v>
      </c>
      <c r="B166" s="7">
        <v>4028</v>
      </c>
      <c r="C166" s="21" t="s">
        <v>199</v>
      </c>
      <c r="D166" s="21" t="s">
        <v>592</v>
      </c>
      <c r="E166" s="13">
        <v>42932.373287037037</v>
      </c>
      <c r="F166" s="13">
        <v>42932.389791666668</v>
      </c>
      <c r="G166" s="7">
        <v>1</v>
      </c>
      <c r="H166" s="21" t="s">
        <v>894</v>
      </c>
      <c r="I166" s="13">
        <v>42932.399305555555</v>
      </c>
      <c r="J166" s="7">
        <v>0</v>
      </c>
      <c r="K166" s="89" t="str">
        <f t="shared" si="51"/>
        <v>4027/4028</v>
      </c>
      <c r="L166" s="21" t="str">
        <f>VLOOKUP(A166,'Trips&amp;Operators'!$C$1:$G$99999,5,FALSE)</f>
        <v>DAVIDSON DAVID</v>
      </c>
      <c r="M166" s="6">
        <f t="shared" si="52"/>
        <v>9.5138888864312321E-3</v>
      </c>
      <c r="N166" s="7">
        <f t="shared" si="64"/>
        <v>13.699999996460974</v>
      </c>
      <c r="O166" s="7"/>
      <c r="P166" s="7"/>
      <c r="Q166" s="22"/>
      <c r="R166" s="170"/>
      <c r="S166" s="213">
        <f t="shared" si="68"/>
        <v>1</v>
      </c>
      <c r="T166" s="195" t="str">
        <f t="shared" si="53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4"/>
        <v>https://d0f6bd738d7f1b3e5a7ca70fe4ff75f0.us-east-1.aws.found.io/app/kibana#/discover/Steve-Slow-Train-Analysis-(2080s-and-2083s)?_g=(refreshInterval:(display:Off,pause:!f,section:0,value:0),time:(from:'2017-07-16T07:57:32-0600',mode:absolute,to:'2017-07-16T10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197" t="str">
        <f>IF(AA166&lt;VLOOKUP(AG166,Variables!$AC$3:$AD$8,2,FALSE),"Y","N")</f>
        <v>N</v>
      </c>
      <c r="X166" s="197">
        <f t="shared" si="69"/>
        <v>1</v>
      </c>
      <c r="Y166" s="197">
        <f t="shared" si="65"/>
        <v>9.7799999999999998E-2</v>
      </c>
      <c r="Z166" s="197">
        <f t="shared" si="66"/>
        <v>5.8948</v>
      </c>
      <c r="AA166" s="197">
        <f t="shared" si="55"/>
        <v>5.7969999999999997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6"/>
        <v>1807</v>
      </c>
      <c r="AE166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66" s="74" t="str">
        <f t="shared" si="58"/>
        <v>"C:\Program Files (x86)\AstroGrep\AstroGrep.exe" /e /r /s /spath="%USERPROFILE%\AppData\Local\Temp\OnboardLogs" /stypes="app*4028*20170716*" /stext=" 15:.+((SYSTEM_STATE.+slice.+state.+changed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1807-16 --locoid 4028 --swversion DE.1.0.9.0 --startMP 204:978 --initTime 2017-07-16T08:57:32 --startdatetime 2017-07-16T09:21:18 --delay 1 --endMP 300:58948 --enddatetime 2017-07-16T09:35:00 --enforcementcount 0 &gt;&gt;C:\Users\stu\Documents\GitHub\eaglep3-reporting\EC\2017-07-16-refined-times.txt</v>
      </c>
      <c r="AI166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{"issue":{"subject":"","project_id":79,"tracker_id":40,"status_id":1,"priority_id":2,"assigned_to_id":23,"start_date":"2017-07-16","description":"","custom_fields":[{"id":1,"name":"Subdivision","value":"NW"},{"id":4,"name":"Milepost","value":"5.8948"},{"id":17,"name":"Train ID","value":"1807-16"},{"id":16,"name":"Locomotive ID","value":"4028"},{"id":130,"name":"Impact","value":""},{"id":150,"name":"Time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2"/>
        <v>start /low /b %USERPROFILE%\Documents\GitHub\eaglep3\Utilities\DownloadLogsFromS3.py --loco 4028 --day 2017-07-16</v>
      </c>
      <c r="AN166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704</v>
      </c>
      <c r="B167" s="7">
        <v>4027</v>
      </c>
      <c r="C167" s="21" t="s">
        <v>199</v>
      </c>
      <c r="D167" s="21" t="s">
        <v>591</v>
      </c>
      <c r="E167" s="13">
        <v>42932.400358796294</v>
      </c>
      <c r="F167" s="13">
        <v>42932.40185185185</v>
      </c>
      <c r="G167" s="7">
        <v>1</v>
      </c>
      <c r="H167" s="21" t="s">
        <v>895</v>
      </c>
      <c r="I167" s="13">
        <v>42932.413298611114</v>
      </c>
      <c r="J167" s="7">
        <v>0</v>
      </c>
      <c r="K167" s="89" t="str">
        <f t="shared" si="51"/>
        <v>4027/4028</v>
      </c>
      <c r="L167" s="21" t="str">
        <f>VLOOKUP(A167,'Trips&amp;Operators'!$C$1:$G$99999,5,FALSE)</f>
        <v>DAVIDSON DAVID</v>
      </c>
      <c r="M167" s="6">
        <f t="shared" si="52"/>
        <v>1.1446759264799766E-2</v>
      </c>
      <c r="N167" s="7">
        <f t="shared" si="64"/>
        <v>16.483333341311663</v>
      </c>
      <c r="O167" s="7"/>
      <c r="P167" s="7"/>
      <c r="Q167" s="22"/>
      <c r="R167" s="170"/>
      <c r="S167" s="213">
        <f t="shared" si="68"/>
        <v>1</v>
      </c>
      <c r="T167" s="195" t="str">
        <f t="shared" si="53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4"/>
        <v>https://d0f6bd738d7f1b3e5a7ca70fe4ff75f0.us-east-1.aws.found.io/app/kibana#/discover/Steve-Slow-Train-Analysis-(2080s-and-2083s)?_g=(refreshInterval:(display:Off,pause:!f,section:0,value:0),time:(from:'2017-07-16T08:36:31-0600',mode:absolute,to:'2017-07-16T10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97" t="str">
        <f>IF(AA167&lt;VLOOKUP(AG167,Variables!$AC$3:$AD$8,2,FALSE),"Y","N")</f>
        <v>N</v>
      </c>
      <c r="X167" s="197">
        <f t="shared" si="69"/>
        <v>1</v>
      </c>
      <c r="Y167" s="197">
        <f t="shared" si="65"/>
        <v>5.8630000000000004</v>
      </c>
      <c r="Z167" s="197">
        <f t="shared" si="66"/>
        <v>7.0300000000000001E-2</v>
      </c>
      <c r="AA167" s="197">
        <f t="shared" si="55"/>
        <v>5.7927000000000008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6"/>
        <v>1808</v>
      </c>
      <c r="AE167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67" s="74" t="str">
        <f t="shared" si="58"/>
        <v>"C:\Program Files (x86)\AstroGrep\AstroGrep.exe" /e /r /s /spath="%USERPROFILE%\AppData\Local\Temp\OnboardLogs" /stypes="app*4027*20170716*" /stext=" 15:.+((SYSTEM_STATE.+slice.+state.+changed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1808-16 --locoid 4027 --swversion DE.1.0.9.0 --startMP 300:58630 --initTime 2017-07-16T09:36:31 --startdatetime 2017-07-16T09:38:40 --delay 1 --endMP 204:703 --enddatetime 2017-07-16T09:55:09 --enforcementcount 0 &gt;&gt;C:\Users\stu\Documents\GitHub\eaglep3-reporting\EC\2017-07-16-refined-times.txt</v>
      </c>
      <c r="AI167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{"issue":{"subject":"","project_id":79,"tracker_id":40,"status_id":1,"priority_id":2,"assigned_to_id":23,"start_date":"2017-07-16","description":"","custom_fields":[{"id":1,"name":"Subdivision","value":"NW"},{"id":4,"name":"Milepost","value":"0.0703"},{"id":17,"name":"Train ID","value":"1808-16"},{"id":16,"name":"Locomotive ID","value":"4027"},{"id":130,"name":"Impact","value":""},{"id":150,"name":"Time of Event (Mountain Time)","value":"09:55:09"},{"id":151,"name":"Denver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2"/>
        <v>start /low /b %USERPROFILE%\Documents\GitHub\eaglep3\Utilities\DownloadLogsFromS3.py --loco 4027 --day 2017-07-16</v>
      </c>
      <c r="AN167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15:55:09"},{"id":29,"name":"Sharepoint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707</v>
      </c>
      <c r="B168" s="7">
        <v>4028</v>
      </c>
      <c r="C168" s="21" t="s">
        <v>199</v>
      </c>
      <c r="D168" s="21" t="s">
        <v>592</v>
      </c>
      <c r="E168" s="13">
        <v>42932.415127314816</v>
      </c>
      <c r="F168" s="13">
        <v>42932.431446759256</v>
      </c>
      <c r="G168" s="7">
        <v>1</v>
      </c>
      <c r="H168" s="21" t="s">
        <v>896</v>
      </c>
      <c r="I168" s="13">
        <v>42932.441331018519</v>
      </c>
      <c r="J168" s="7">
        <v>0</v>
      </c>
      <c r="K168" s="89" t="str">
        <f t="shared" si="51"/>
        <v>4027/4028</v>
      </c>
      <c r="L168" s="21" t="str">
        <f>VLOOKUP(A168,'Trips&amp;Operators'!$C$1:$G$99999,5,FALSE)</f>
        <v>DAVIDSON DAVID</v>
      </c>
      <c r="M168" s="6">
        <f t="shared" si="52"/>
        <v>9.8842592633445747E-3</v>
      </c>
      <c r="N168" s="7">
        <f t="shared" si="64"/>
        <v>14.233333339216188</v>
      </c>
      <c r="O168" s="7"/>
      <c r="P168" s="7"/>
      <c r="Q168" s="22"/>
      <c r="R168" s="170"/>
      <c r="S168" s="213">
        <f t="shared" si="68"/>
        <v>1</v>
      </c>
      <c r="T168" s="195" t="str">
        <f t="shared" si="53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4"/>
        <v>https://d0f6bd738d7f1b3e5a7ca70fe4ff75f0.us-east-1.aws.found.io/app/kibana#/discover/Steve-Slow-Train-Analysis-(2080s-and-2083s)?_g=(refreshInterval:(display:Off,pause:!f,section:0,value:0),time:(from:'2017-07-16T08:57:47-0600',mode:absolute,to:'2017-07-16T11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7" t="str">
        <f>IF(AA168&lt;VLOOKUP(AG168,Variables!$AC$3:$AD$8,2,FALSE),"Y","N")</f>
        <v>N</v>
      </c>
      <c r="X168" s="197">
        <f t="shared" si="69"/>
        <v>1</v>
      </c>
      <c r="Y168" s="197">
        <f t="shared" si="65"/>
        <v>9.7799999999999998E-2</v>
      </c>
      <c r="Z168" s="197">
        <f t="shared" si="66"/>
        <v>5.8943000000000003</v>
      </c>
      <c r="AA168" s="197">
        <f t="shared" si="55"/>
        <v>5.7965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6"/>
        <v>1809</v>
      </c>
      <c r="AE168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68" s="74" t="str">
        <f t="shared" si="58"/>
        <v>"C:\Program Files (x86)\AstroGrep\AstroGrep.exe" /e /r /s /spath="%USERPROFILE%\AppData\Local\Temp\OnboardLogs" /stypes="app*4028*20170716*" /stext=" 16:.+((SYSTEM_STATE.+slice.+state.+changed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1809-16 --locoid 4028 --swversion DE.1.0.9.0 --startMP 204:978 --initTime 2017-07-16T09:57:47 --startdatetime 2017-07-16T10:21:17 --delay 1 --endMP 300:58943 --enddatetime 2017-07-16T10:35:31 --enforcementcount 0 &gt;&gt;C:\Users\stu\Documents\GitHub\eaglep3-reporting\EC\2017-07-16-refined-times.txt</v>
      </c>
      <c r="AI168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{"issue":{"subject":"","project_id":79,"tracker_id":40,"status_id":1,"priority_id":2,"assigned_to_id":23,"start_date":"2017-07-16","description":"","custom_fields":[{"id":1,"name":"Subdivision","value":"NW"},{"id":4,"name":"Milepost","value":"5.8943"},{"id":17,"name":"Train ID","value":"1809-16"},{"id":16,"name":"Locomotive ID","value":"4028"},{"id":130,"name":"Impact","value":""},{"id":150,"name":"Time of Event (Mountain Time)","value":"10:35:31"},{"id":151,"name":"Denver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2"/>
        <v>start /low /b %USERPROFILE%\Documents\GitHub\eaglep3\Utilities\DownloadLogsFromS3.py --loco 4028 --day 2017-07-16</v>
      </c>
      <c r="AN168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713</v>
      </c>
      <c r="B169" s="7">
        <v>4027</v>
      </c>
      <c r="C169" s="21" t="s">
        <v>199</v>
      </c>
      <c r="D169" s="21" t="s">
        <v>887</v>
      </c>
      <c r="E169" s="13">
        <v>42932.442384259259</v>
      </c>
      <c r="F169" s="13">
        <v>42932.443726851852</v>
      </c>
      <c r="G169" s="7">
        <v>1</v>
      </c>
      <c r="H169" s="21" t="s">
        <v>895</v>
      </c>
      <c r="I169" s="13">
        <v>42932.455104166664</v>
      </c>
      <c r="J169" s="7">
        <v>0</v>
      </c>
      <c r="K169" s="89" t="str">
        <f t="shared" si="51"/>
        <v>4027/4028</v>
      </c>
      <c r="L169" s="21" t="str">
        <f>VLOOKUP(A169,'Trips&amp;Operators'!$C$1:$G$99999,5,FALSE)</f>
        <v>DAVIDSON DAVID</v>
      </c>
      <c r="M169" s="6">
        <f t="shared" si="52"/>
        <v>1.137731481139781E-2</v>
      </c>
      <c r="N169" s="7">
        <f t="shared" si="64"/>
        <v>16.383333328412846</v>
      </c>
      <c r="O169" s="7"/>
      <c r="P169" s="7"/>
      <c r="Q169" s="22"/>
      <c r="R169" s="170"/>
      <c r="S169" s="213">
        <f t="shared" si="68"/>
        <v>1</v>
      </c>
      <c r="T169" s="195" t="str">
        <f t="shared" si="53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4"/>
        <v>https://d0f6bd738d7f1b3e5a7ca70fe4ff75f0.us-east-1.aws.found.io/app/kibana#/discover/Steve-Slow-Train-Analysis-(2080s-and-2083s)?_g=(refreshInterval:(display:Off,pause:!f,section:0,value:0),time:(from:'2017-07-16T09:37:02-0600',mode:absolute,to:'2017-07-16T11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97" t="str">
        <f>IF(AA169&lt;VLOOKUP(AG169,Variables!$AC$3:$AD$8,2,FALSE),"Y","N")</f>
        <v>N</v>
      </c>
      <c r="X169" s="197">
        <f t="shared" si="69"/>
        <v>1</v>
      </c>
      <c r="Y169" s="197">
        <f t="shared" si="65"/>
        <v>5.8625999999999996</v>
      </c>
      <c r="Z169" s="197">
        <f t="shared" si="66"/>
        <v>7.0300000000000001E-2</v>
      </c>
      <c r="AA169" s="197">
        <f t="shared" si="55"/>
        <v>5.7923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6"/>
        <v>1810</v>
      </c>
      <c r="AE169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69" s="74" t="str">
        <f t="shared" si="58"/>
        <v>"C:\Program Files (x86)\AstroGrep\AstroGrep.exe" /e /r /s /spath="%USERPROFILE%\AppData\Local\Temp\OnboardLogs" /stypes="app*4027*20170716*" /stext=" 16:.+((SYSTEM_STATE.+slice.+state.+changed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1810-16 --locoid 4027 --swversion DE.1.0.9.0 --startMP 300:58626 --initTime 2017-07-16T10:37:02 --startdatetime 2017-07-16T10:38:58 --delay 1 --endMP 204:703 --enddatetime 2017-07-16T10:55:21 --enforcementcount 0 &gt;&gt;C:\Users\stu\Documents\GitHub\eaglep3-reporting\EC\2017-07-16-refined-times.txt</v>
      </c>
      <c r="AI169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{"issue":{"subject":"","project_id":79,"tracker_id":40,"status_id":1,"priority_id":2,"assigned_to_id":23,"start_date":"2017-07-16","description":"","custom_fields":[{"id":1,"name":"Subdivision","value":"NW"},{"id":4,"name":"Milepost","value":"0.0703"},{"id":17,"name":"Train ID","value":"1810-16"},{"id":16,"name":"Locomotive ID","value":"4027"},{"id":130,"name":"Impact","value":""},{"id":150,"name":"Time of Event (Mountain Time)","value":"10:55:21"},{"id":151,"name":"Denver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2"/>
        <v>start /low /b %USERPROFILE%\Documents\GitHub\eaglep3\Utilities\DownloadLogsFromS3.py --loco 4027 --day 2017-07-16</v>
      </c>
      <c r="AN169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718</v>
      </c>
      <c r="B170" s="7">
        <v>4028</v>
      </c>
      <c r="C170" s="21" t="s">
        <v>199</v>
      </c>
      <c r="D170" s="21" t="s">
        <v>594</v>
      </c>
      <c r="E170" s="13">
        <v>42932.457152777781</v>
      </c>
      <c r="F170" s="13">
        <v>42932.473113425927</v>
      </c>
      <c r="G170" s="7">
        <v>1</v>
      </c>
      <c r="H170" s="21" t="s">
        <v>493</v>
      </c>
      <c r="I170" s="13">
        <v>42932.483078703706</v>
      </c>
      <c r="J170" s="7">
        <v>0</v>
      </c>
      <c r="K170" s="89" t="str">
        <f t="shared" si="51"/>
        <v>4027/4028</v>
      </c>
      <c r="L170" s="21" t="str">
        <f>VLOOKUP(A170,'Trips&amp;Operators'!$C$1:$G$99999,5,FALSE)</f>
        <v>DAVIDSON DAVID</v>
      </c>
      <c r="M170" s="6">
        <f t="shared" si="52"/>
        <v>9.9652777789742686E-3</v>
      </c>
      <c r="N170" s="7">
        <f t="shared" si="64"/>
        <v>14.350000001722947</v>
      </c>
      <c r="O170" s="7"/>
      <c r="P170" s="7"/>
      <c r="Q170" s="22"/>
      <c r="R170" s="170"/>
      <c r="S170" s="213">
        <f t="shared" si="68"/>
        <v>1</v>
      </c>
      <c r="T170" s="195" t="str">
        <f t="shared" si="53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4"/>
        <v>https://d0f6bd738d7f1b3e5a7ca70fe4ff75f0.us-east-1.aws.found.io/app/kibana#/discover/Steve-Slow-Train-Analysis-(2080s-and-2083s)?_g=(refreshInterval:(display:Off,pause:!f,section:0,value:0),time:(from:'2017-07-16T09:58:18-0600',mode:absolute,to:'2017-07-16T12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197" t="str">
        <f>IF(AA170&lt;VLOOKUP(AG170,Variables!$AC$3:$AD$8,2,FALSE),"Y","N")</f>
        <v>N</v>
      </c>
      <c r="X170" s="197">
        <f t="shared" si="69"/>
        <v>1</v>
      </c>
      <c r="Y170" s="197">
        <f t="shared" si="65"/>
        <v>9.6699999999999994E-2</v>
      </c>
      <c r="Z170" s="197">
        <f t="shared" si="66"/>
        <v>5.8940999999999999</v>
      </c>
      <c r="AA170" s="197">
        <f t="shared" si="55"/>
        <v>5.7973999999999997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6"/>
        <v>1811</v>
      </c>
      <c r="AE170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70" s="74" t="str">
        <f t="shared" si="58"/>
        <v>"C:\Program Files (x86)\AstroGrep\AstroGrep.exe" /e /r /s /spath="%USERPROFILE%\AppData\Local\Temp\OnboardLogs" /stypes="app*4028*20170716*" /stext=" 17:.+((SYSTEM_STATE.+slice.+state.+changed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1811-16 --locoid 4028 --swversion DE.1.0.9.0 --startMP 204:967 --initTime 2017-07-16T10:58:18 --startdatetime 2017-07-16T11:21:17 --delay 1 --endMP 300:58941 --enddatetime 2017-07-16T11:35:38 --enforcementcount 0 &gt;&gt;C:\Users\stu\Documents\GitHub\eaglep3-reporting\EC\2017-07-16-refined-times.txt</v>
      </c>
      <c r="AI170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{"issue":{"subject":"","project_id":79,"tracker_id":40,"status_id":1,"priority_id":2,"assigned_to_id":23,"start_date":"2017-07-16","description":"","custom_fields":[{"id":1,"name":"Subdivision","value":"NW"},{"id":4,"name":"Milepost","value":"5.8941"},{"id":17,"name":"Train ID","value":"1811-16"},{"id":16,"name":"Locomotive ID","value":"4028"},{"id":130,"name":"Impact","value":""},{"id":150,"name":"Time of Event (Mountain Time)","value":"11:35:38"},{"id":151,"name":"Denver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2"/>
        <v>start /low /b %USERPROFILE%\Documents\GitHub\eaglep3\Utilities\DownloadLogsFromS3.py --loco 4028 --day 2017-07-16</v>
      </c>
      <c r="AN170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726</v>
      </c>
      <c r="B171" s="7">
        <v>4027</v>
      </c>
      <c r="C171" s="21" t="s">
        <v>199</v>
      </c>
      <c r="D171" s="21" t="s">
        <v>897</v>
      </c>
      <c r="E171" s="13">
        <v>42932.484039351853</v>
      </c>
      <c r="F171" s="13">
        <v>42932.485254629632</v>
      </c>
      <c r="G171" s="7">
        <v>1</v>
      </c>
      <c r="H171" s="21" t="s">
        <v>898</v>
      </c>
      <c r="I171" s="13">
        <v>42932.496678240743</v>
      </c>
      <c r="J171" s="7">
        <v>0</v>
      </c>
      <c r="K171" s="89" t="str">
        <f t="shared" si="51"/>
        <v>4027/4028</v>
      </c>
      <c r="L171" s="21" t="str">
        <f>VLOOKUP(A171,'Trips&amp;Operators'!$C$1:$G$99999,5,FALSE)</f>
        <v>DAVIDSON DAVID</v>
      </c>
      <c r="M171" s="6">
        <f t="shared" si="52"/>
        <v>1.1423611111240461E-2</v>
      </c>
      <c r="N171" s="7">
        <f t="shared" si="64"/>
        <v>16.450000000186265</v>
      </c>
      <c r="O171" s="7"/>
      <c r="P171" s="7"/>
      <c r="Q171" s="22"/>
      <c r="R171" s="170"/>
      <c r="S171" s="213">
        <f t="shared" si="68"/>
        <v>1</v>
      </c>
      <c r="T171" s="195" t="str">
        <f t="shared" si="53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4"/>
        <v>https://d0f6bd738d7f1b3e5a7ca70fe4ff75f0.us-east-1.aws.found.io/app/kibana#/discover/Steve-Slow-Train-Analysis-(2080s-and-2083s)?_g=(refreshInterval:(display:Off,pause:!f,section:0,value:0),time:(from:'2017-07-16T10:37:01-0600',mode:absolute,to:'2017-07-16T12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197" t="str">
        <f>IF(AA171&lt;VLOOKUP(AG171,Variables!$AC$3:$AD$8,2,FALSE),"Y","N")</f>
        <v>N</v>
      </c>
      <c r="X171" s="197">
        <f t="shared" si="69"/>
        <v>1</v>
      </c>
      <c r="Y171" s="197">
        <f t="shared" si="65"/>
        <v>5.8623000000000003</v>
      </c>
      <c r="Z171" s="197">
        <f t="shared" si="66"/>
        <v>7.0499999999999993E-2</v>
      </c>
      <c r="AA171" s="197">
        <f t="shared" si="55"/>
        <v>5.7918000000000003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6"/>
        <v>1812</v>
      </c>
      <c r="AE171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71" s="74" t="str">
        <f t="shared" si="58"/>
        <v>"C:\Program Files (x86)\AstroGrep\AstroGrep.exe" /e /r /s /spath="%USERPROFILE%\AppData\Local\Temp\OnboardLogs" /stypes="app*4027*20170716*" /stext=" 17:.+((SYSTEM_STATE.+slice.+state.+changed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1812-16 --locoid 4027 --swversion DE.1.0.9.0 --startMP 300:58623 --initTime 2017-07-16T11:37:01 --startdatetime 2017-07-16T11:38:46 --delay 1 --endMP 204:705 --enddatetime 2017-07-16T11:55:13 --enforcementcount 0 &gt;&gt;C:\Users\stu\Documents\GitHub\eaglep3-reporting\EC\2017-07-16-refined-times.txt</v>
      </c>
      <c r="AI171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{"issue":{"subject":"","project_id":79,"tracker_id":40,"status_id":1,"priority_id":2,"assigned_to_id":23,"start_date":"2017-07-16","description":"","custom_fields":[{"id":1,"name":"Subdivision","value":"NW"},{"id":4,"name":"Milepost","value":"0.0705"},{"id":17,"name":"Train ID","value":"1812-16"},{"id":16,"name":"Locomotive ID","value":"4027"},{"id":130,"name":"Impact","value":""},{"id":150,"name":"Time of Event (Mountain Time)","value":"11:55:13"},{"id":151,"name":"Denver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2"/>
        <v>start /low /b %USERPROFILE%\Documents\GitHub\eaglep3\Utilities\DownloadLogsFromS3.py --loco 4027 --day 2017-07-16</v>
      </c>
      <c r="AN171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17:55:13"},{"id":29,"name":"Sharepoint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732</v>
      </c>
      <c r="B172" s="7">
        <v>4028</v>
      </c>
      <c r="C172" s="21" t="s">
        <v>199</v>
      </c>
      <c r="D172" s="21" t="s">
        <v>492</v>
      </c>
      <c r="E172" s="13">
        <v>42932.498622685183</v>
      </c>
      <c r="F172" s="13">
        <v>42932.514780092592</v>
      </c>
      <c r="G172" s="7">
        <v>1</v>
      </c>
      <c r="H172" s="21" t="s">
        <v>899</v>
      </c>
      <c r="I172" s="13">
        <v>42932.524687500001</v>
      </c>
      <c r="J172" s="7">
        <v>0</v>
      </c>
      <c r="K172" s="89" t="str">
        <f t="shared" si="51"/>
        <v>4027/4028</v>
      </c>
      <c r="L172" s="21" t="str">
        <f>VLOOKUP(A172,'Trips&amp;Operators'!$C$1:$G$99999,5,FALSE)</f>
        <v>DAVIDSON DAVID</v>
      </c>
      <c r="M172" s="6">
        <f t="shared" si="52"/>
        <v>9.9074074096279219E-3</v>
      </c>
      <c r="N172" s="7">
        <f t="shared" si="64"/>
        <v>14.266666669864208</v>
      </c>
      <c r="O172" s="7"/>
      <c r="P172" s="7"/>
      <c r="Q172" s="22"/>
      <c r="R172" s="170"/>
      <c r="S172" s="213">
        <f t="shared" si="68"/>
        <v>1</v>
      </c>
      <c r="T172" s="195" t="str">
        <f t="shared" si="53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4"/>
        <v>https://d0f6bd738d7f1b3e5a7ca70fe4ff75f0.us-east-1.aws.found.io/app/kibana#/discover/Steve-Slow-Train-Analysis-(2080s-and-2083s)?_g=(refreshInterval:(display:Off,pause:!f,section:0,value:0),time:(from:'2017-07-16T10:58:01-0600',mode:absolute,to:'2017-07-16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197" t="str">
        <f>IF(AA172&lt;VLOOKUP(AG172,Variables!$AC$3:$AD$8,2,FALSE),"Y","N")</f>
        <v>N</v>
      </c>
      <c r="X172" s="197">
        <f t="shared" si="69"/>
        <v>1</v>
      </c>
      <c r="Y172" s="197">
        <f t="shared" si="65"/>
        <v>9.9000000000000005E-2</v>
      </c>
      <c r="Z172" s="197">
        <f t="shared" si="66"/>
        <v>5.8935000000000004</v>
      </c>
      <c r="AA172" s="197">
        <f t="shared" si="55"/>
        <v>5.7945000000000002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6"/>
        <v>1813</v>
      </c>
      <c r="AE172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72" s="74" t="str">
        <f t="shared" si="58"/>
        <v>"C:\Program Files (x86)\AstroGrep\AstroGrep.exe" /e /r /s /spath="%USERPROFILE%\AppData\Local\Temp\OnboardLogs" /stypes="app*4028*20170716*" /stext=" 18:.+((SYSTEM_STATE.+slice.+state.+changed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1813-16 --locoid 4028 --swversion DE.1.0.9.0 --startMP 204:990 --initTime 2017-07-16T11:58:01 --startdatetime 2017-07-16T12:21:17 --delay 1 --endMP 300:58935 --enddatetime 2017-07-16T12:35:33 --enforcementcount 0 &gt;&gt;C:\Users\stu\Documents\GitHub\eaglep3-reporting\EC\2017-07-16-refined-times.txt</v>
      </c>
      <c r="AI172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{"issue":{"subject":"","project_id":79,"tracker_id":40,"status_id":1,"priority_id":2,"assigned_to_id":23,"start_date":"2017-07-16","description":"","custom_fields":[{"id":1,"name":"Subdivision","value":"NW"},{"id":4,"name":"Milepost","value":"5.8935"},{"id":17,"name":"Train ID","value":"1813-16"},{"id":16,"name":"Locomotive ID","value":"4028"},{"id":130,"name":"Impact","value":""},{"id":150,"name":"Time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2"/>
        <v>start /low /b %USERPROFILE%\Documents\GitHub\eaglep3\Utilities\DownloadLogsFromS3.py --loco 4028 --day 2017-07-16</v>
      </c>
      <c r="AN172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738</v>
      </c>
      <c r="B173" s="7">
        <v>4027</v>
      </c>
      <c r="C173" s="21" t="s">
        <v>199</v>
      </c>
      <c r="D173" s="21" t="s">
        <v>887</v>
      </c>
      <c r="E173" s="13">
        <v>42932.525763888887</v>
      </c>
      <c r="F173" s="13">
        <v>42932.52716435185</v>
      </c>
      <c r="G173" s="7">
        <v>1</v>
      </c>
      <c r="H173" s="21" t="s">
        <v>515</v>
      </c>
      <c r="I173" s="13">
        <v>42932.538391203707</v>
      </c>
      <c r="J173" s="7">
        <v>0</v>
      </c>
      <c r="K173" s="89" t="str">
        <f t="shared" si="51"/>
        <v>4027/4028</v>
      </c>
      <c r="L173" s="21" t="str">
        <f>VLOOKUP(A173,'Trips&amp;Operators'!$C$1:$G$99999,5,FALSE)</f>
        <v>DAVIDSON DAVID</v>
      </c>
      <c r="M173" s="6">
        <f t="shared" si="52"/>
        <v>1.1226851856918074E-2</v>
      </c>
      <c r="N173" s="7">
        <f t="shared" si="64"/>
        <v>16.166666673962027</v>
      </c>
      <c r="O173" s="7"/>
      <c r="P173" s="7"/>
      <c r="Q173" s="22"/>
      <c r="R173" s="170"/>
      <c r="S173" s="213">
        <f t="shared" si="68"/>
        <v>1</v>
      </c>
      <c r="T173" s="195" t="str">
        <f t="shared" si="53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4"/>
        <v>https://d0f6bd738d7f1b3e5a7ca70fe4ff75f0.us-east-1.aws.found.io/app/kibana#/discover/Steve-Slow-Train-Analysis-(2080s-and-2083s)?_g=(refreshInterval:(display:Off,pause:!f,section:0,value:0),time:(from:'2017-07-16T11:37:06-0600',mode:absolute,to:'2017-07-16T13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97" t="str">
        <f>IF(AA173&lt;VLOOKUP(AG173,Variables!$AC$3:$AD$8,2,FALSE),"Y","N")</f>
        <v>N</v>
      </c>
      <c r="X173" s="197">
        <f t="shared" si="69"/>
        <v>1</v>
      </c>
      <c r="Y173" s="197">
        <f t="shared" si="65"/>
        <v>5.8625999999999996</v>
      </c>
      <c r="Z173" s="197">
        <f t="shared" si="66"/>
        <v>6.9099999999999995E-2</v>
      </c>
      <c r="AA173" s="197">
        <f t="shared" si="55"/>
        <v>5.7934999999999999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6"/>
        <v>1814</v>
      </c>
      <c r="AE173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73" s="74" t="str">
        <f t="shared" si="58"/>
        <v>"C:\Program Files (x86)\AstroGrep\AstroGrep.exe" /e /r /s /spath="%USERPROFILE%\AppData\Local\Temp\OnboardLogs" /stypes="app*4027*20170716*" /stext=" 18:.+((SYSTEM_STATE.+slice.+state.+changed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1814-16 --locoid 4027 --swversion DE.1.0.9.0 --startMP 300:58626 --initTime 2017-07-16T12:37:06 --startdatetime 2017-07-16T12:39:07 --delay 1 --endMP 204:691 --enddatetime 2017-07-16T12:55:17 --enforcementcount 0 &gt;&gt;C:\Users\stu\Documents\GitHub\eaglep3-reporting\EC\2017-07-16-refined-times.txt</v>
      </c>
      <c r="AI173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{"issue":{"subject":"","project_id":79,"tracker_id":40,"status_id":1,"priority_id":2,"assigned_to_id":23,"start_date":"2017-07-16","description":"","custom_fields":[{"id":1,"name":"Subdivision","value":"NW"},{"id":4,"name":"Milepost","value":"0.0691"},{"id":17,"name":"Train ID","value":"1814-16"},{"id":16,"name":"Locomotive ID","value":"4027"},{"id":130,"name":"Impact","value":""},{"id":150,"name":"Time of Event (Mountain Time)","value":"12:55:17"},{"id":151,"name":"Denver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2"/>
        <v>start /low /b %USERPROFILE%\Documents\GitHub\eaglep3\Utilities\DownloadLogsFromS3.py --loco 4027 --day 2017-07-16</v>
      </c>
      <c r="AN173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743</v>
      </c>
      <c r="B174" s="7">
        <v>4028</v>
      </c>
      <c r="C174" s="21" t="s">
        <v>199</v>
      </c>
      <c r="D174" s="21" t="s">
        <v>900</v>
      </c>
      <c r="E174" s="13">
        <v>42932.540439814817</v>
      </c>
      <c r="F174" s="13">
        <v>42932.556446759256</v>
      </c>
      <c r="G174" s="7">
        <v>1</v>
      </c>
      <c r="H174" s="21" t="s">
        <v>901</v>
      </c>
      <c r="I174" s="13">
        <v>42932.566238425927</v>
      </c>
      <c r="J174" s="7">
        <v>0</v>
      </c>
      <c r="K174" s="89" t="str">
        <f t="shared" si="51"/>
        <v>4027/4028</v>
      </c>
      <c r="L174" s="21" t="str">
        <f>VLOOKUP(A174,'Trips&amp;Operators'!$C$1:$G$99999,5,FALSE)</f>
        <v>DAVIDSON DAVID</v>
      </c>
      <c r="M174" s="6">
        <f t="shared" si="52"/>
        <v>9.7916666709352285E-3</v>
      </c>
      <c r="N174" s="7">
        <f t="shared" si="64"/>
        <v>14.100000006146729</v>
      </c>
      <c r="O174" s="7"/>
      <c r="P174" s="7"/>
      <c r="Q174" s="22"/>
      <c r="R174" s="170"/>
      <c r="S174" s="213">
        <f t="shared" si="68"/>
        <v>1</v>
      </c>
      <c r="T174" s="195" t="str">
        <f t="shared" si="53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4"/>
        <v>https://d0f6bd738d7f1b3e5a7ca70fe4ff75f0.us-east-1.aws.found.io/app/kibana#/discover/Steve-Slow-Train-Analysis-(2080s-and-2083s)?_g=(refreshInterval:(display:Off,pause:!f,section:0,value:0),time:(from:'2017-07-16T11:58:14-0600',mode:absolute,to:'2017-07-16T14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197" t="str">
        <f>IF(AA174&lt;VLOOKUP(AG174,Variables!$AC$3:$AD$8,2,FALSE),"Y","N")</f>
        <v>N</v>
      </c>
      <c r="X174" s="197">
        <f t="shared" si="69"/>
        <v>1</v>
      </c>
      <c r="Y174" s="197">
        <f t="shared" si="65"/>
        <v>9.8100000000000007E-2</v>
      </c>
      <c r="Z174" s="197">
        <f t="shared" si="66"/>
        <v>5.8949999999999996</v>
      </c>
      <c r="AA174" s="197">
        <f t="shared" si="55"/>
        <v>5.7968999999999999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6"/>
        <v>1815</v>
      </c>
      <c r="AE174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74" s="74" t="str">
        <f t="shared" si="58"/>
        <v>"C:\Program Files (x86)\AstroGrep\AstroGrep.exe" /e /r /s /spath="%USERPROFILE%\AppData\Local\Temp\OnboardLogs" /stypes="app*4028*20170716*" /stext=" 19:.+((SYSTEM_STATE.+slice.+state.+changed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1815-16 --locoid 4028 --swversion DE.1.0.9.0 --startMP 204:981 --initTime 2017-07-16T12:58:14 --startdatetime 2017-07-16T13:21:17 --delay 1 --endMP 300:58950 --enddatetime 2017-07-16T13:35:23 --enforcementcount 0 &gt;&gt;C:\Users\stu\Documents\GitHub\eaglep3-reporting\EC\2017-07-16-refined-times.txt</v>
      </c>
      <c r="AI174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{"issue":{"subject":"","project_id":79,"tracker_id":40,"status_id":1,"priority_id":2,"assigned_to_id":23,"start_date":"2017-07-16","description":"","custom_fields":[{"id":1,"name":"Subdivision","value":"NW"},{"id":4,"name":"Milepost","value":"5.895"},{"id":17,"name":"Train ID","value":"1815-16"},{"id":16,"name":"Locomotive ID","value":"4028"},{"id":130,"name":"Impact","value":""},{"id":150,"name":"Time of Event (Mountain Time)","value":"13:35:23"},{"id":151,"name":"Denver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2"/>
        <v>start /low /b %USERPROFILE%\Documents\GitHub\eaglep3\Utilities\DownloadLogsFromS3.py --loco 4028 --day 2017-07-16</v>
      </c>
      <c r="AN174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748</v>
      </c>
      <c r="B175" s="7">
        <v>4027</v>
      </c>
      <c r="C175" s="21" t="s">
        <v>199</v>
      </c>
      <c r="D175" s="21" t="s">
        <v>902</v>
      </c>
      <c r="E175" s="13">
        <v>42932.567141203705</v>
      </c>
      <c r="F175" s="13">
        <v>42932.568576388891</v>
      </c>
      <c r="G175" s="7">
        <v>0</v>
      </c>
      <c r="H175" s="21" t="s">
        <v>903</v>
      </c>
      <c r="I175" s="13">
        <v>42932.580185185187</v>
      </c>
      <c r="J175" s="7">
        <v>0</v>
      </c>
      <c r="K175" s="89" t="str">
        <f t="shared" si="51"/>
        <v>4027/4028</v>
      </c>
      <c r="L175" s="21" t="str">
        <f>VLOOKUP(A175,'Trips&amp;Operators'!$C$1:$G$99999,5,FALSE)</f>
        <v>DAVIDSON DAVID</v>
      </c>
      <c r="M175" s="6">
        <f t="shared" si="52"/>
        <v>1.1608796296059154E-2</v>
      </c>
      <c r="N175" s="7">
        <f t="shared" si="64"/>
        <v>16.716666666325182</v>
      </c>
      <c r="O175" s="7"/>
      <c r="P175" s="7"/>
      <c r="Q175" s="22"/>
      <c r="R175" s="170"/>
      <c r="S175" s="213">
        <f t="shared" si="68"/>
        <v>1</v>
      </c>
      <c r="T175" s="195" t="str">
        <f t="shared" si="53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4"/>
        <v>https://d0f6bd738d7f1b3e5a7ca70fe4ff75f0.us-east-1.aws.found.io/app/kibana#/discover/Steve-Slow-Train-Analysis-(2080s-and-2083s)?_g=(refreshInterval:(display:Off,pause:!f,section:0,value:0),time:(from:'2017-07-16T12:36:41-0600',mode:absolute,to:'2017-07-16T14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197" t="str">
        <f>IF(AA175&lt;VLOOKUP(AG175,Variables!$AC$3:$AD$8,2,FALSE),"Y","N")</f>
        <v>N</v>
      </c>
      <c r="X175" s="197">
        <f t="shared" si="69"/>
        <v>1</v>
      </c>
      <c r="Y175" s="197">
        <f t="shared" si="65"/>
        <v>5.8640999999999996</v>
      </c>
      <c r="Z175" s="197">
        <f t="shared" si="66"/>
        <v>6.8900000000000003E-2</v>
      </c>
      <c r="AA175" s="197">
        <f t="shared" si="55"/>
        <v>5.7951999999999995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6"/>
        <v>1816</v>
      </c>
      <c r="AE175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75" s="74" t="str">
        <f t="shared" si="58"/>
        <v>"C:\Program Files (x86)\AstroGrep\AstroGrep.exe" /e /r /s /spath="%USERPROFILE%\AppData\Local\Temp\OnboardLogs" /stypes="app*4027*20170716*" /stext=" 19:.+((SYSTEM_STATE.+slice.+state.+changed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1816-16 --locoid 4027 --swversion DE.1.0.9.0 --startMP 300:58641 --initTime 2017-07-16T13:36:41 --startdatetime 2017-07-16T13:38:45 --delay 0 --endMP 204:689 --enddatetime 2017-07-16T13:55:28 --enforcementcount 0 &gt;&gt;C:\Users\stu\Documents\GitHub\eaglep3-reporting\EC\2017-07-16-refined-times.txt</v>
      </c>
      <c r="AI175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{"issue":{"subject":"","project_id":79,"tracker_id":40,"status_id":1,"priority_id":2,"assigned_to_id":23,"start_date":"2017-07-16","description":"","custom_fields":[{"id":1,"name":"Subdivision","value":"NW"},{"id":4,"name":"Milepost","value":"0.0689"},{"id":17,"name":"Train ID","value":"1816-16"},{"id":16,"name":"Locomotive ID","value":"4027"},{"id":130,"name":"Impact","value":""},{"id":150,"name":"Time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2"/>
        <v>start /low /b %USERPROFILE%\Documents\GitHub\eaglep3\Utilities\DownloadLogsFromS3.py --loco 4027 --day 2017-07-16</v>
      </c>
      <c r="AN175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611</v>
      </c>
      <c r="B176" s="7">
        <v>4028</v>
      </c>
      <c r="C176" s="21" t="s">
        <v>199</v>
      </c>
      <c r="D176" s="21" t="s">
        <v>544</v>
      </c>
      <c r="E176" s="13">
        <v>42932.588055555556</v>
      </c>
      <c r="F176" s="13">
        <v>42932.59814814815</v>
      </c>
      <c r="G176" s="7">
        <v>2</v>
      </c>
      <c r="H176" s="21" t="s">
        <v>904</v>
      </c>
      <c r="I176" s="13">
        <v>42932.609722222223</v>
      </c>
      <c r="J176" s="7">
        <v>0</v>
      </c>
      <c r="K176" s="89" t="str">
        <f t="shared" si="51"/>
        <v>4027/4028</v>
      </c>
      <c r="L176" s="21" t="str">
        <f>VLOOKUP(A176,'Trips&amp;Operators'!$C$1:$G$99999,5,FALSE)</f>
        <v>NELSON ARIANE</v>
      </c>
      <c r="M176" s="6">
        <f t="shared" si="52"/>
        <v>1.1574074072996154E-2</v>
      </c>
      <c r="N176" s="7">
        <f t="shared" ref="N176:N207" si="70">24*60*SUM($M176:$M176)</f>
        <v>16.666666665114462</v>
      </c>
      <c r="O176" s="7"/>
      <c r="P176" s="7"/>
      <c r="Q176" s="22"/>
      <c r="R176" s="170"/>
      <c r="S176" s="213">
        <f t="shared" si="68"/>
        <v>1</v>
      </c>
      <c r="T176" s="195" t="str">
        <f t="shared" si="53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4"/>
        <v>https://d0f6bd738d7f1b3e5a7ca70fe4ff75f0.us-east-1.aws.found.io/app/kibana#/discover/Steve-Slow-Train-Analysis-(2080s-and-2083s)?_g=(refreshInterval:(display:Off,pause:!f,section:0,value:0),time:(from:'2017-07-16T13:06:48-0600',mode:absolute,to:'2017-07-16T15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197" t="str">
        <f>IF(AA176&lt;VLOOKUP(AG176,Variables!$AC$3:$AD$8,2,FALSE),"Y","N")</f>
        <v>N</v>
      </c>
      <c r="X176" s="197">
        <f t="shared" si="69"/>
        <v>1</v>
      </c>
      <c r="Y176" s="197">
        <f t="shared" ref="Y176:Y207" si="71">RIGHT(D176,LEN(D176)-4)/10000</f>
        <v>9.74E-2</v>
      </c>
      <c r="Z176" s="197">
        <f t="shared" ref="Z176:Z207" si="72">RIGHT(H176,LEN(H176)-4)/10000</f>
        <v>5.8971</v>
      </c>
      <c r="AA176" s="197">
        <f t="shared" si="55"/>
        <v>5.7996999999999996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6"/>
        <v>1817</v>
      </c>
      <c r="AE176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76" s="74" t="str">
        <f t="shared" si="58"/>
        <v>"C:\Program Files (x86)\AstroGrep\AstroGrep.exe" /e /r /s /spath="%USERPROFILE%\AppData\Local\Temp\OnboardLogs" /stypes="app*4028*20170716*" /stext=" 20:.+((SYSTEM_STATE.+slice.+state.+changed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1817-16 --locoid 4028 --swversion DE.1.0.9.0 --startMP 204:974 --initTime 2017-07-16T14:06:48 --startdatetime 2017-07-16T14:21:20 --delay 2 --endMP 300:58971 --enddatetime 2017-07-16T14:38:00 --enforcementcount 0 &gt;&gt;C:\Users\stu\Documents\GitHub\eaglep3-reporting\EC\2017-07-16-refined-times.txt</v>
      </c>
      <c r="AI176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{"issue":{"subject":"","project_id":79,"tracker_id":40,"status_id":1,"priority_id":2,"assigned_to_id":23,"start_date":"2017-07-16","description":"","custom_fields":[{"id":1,"name":"Subdivision","value":"NW"},{"id":4,"name":"Milepost","value":"5.8971"},{"id":17,"name":"Train ID","value":"1817-16"},{"id":16,"name":"Locomotive ID","value":"4028"},{"id":130,"name":"Impact","value":""},{"id":150,"name":"Time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4028 --day 2017-07-16</v>
      </c>
      <c r="AN176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757</v>
      </c>
      <c r="B177" s="7">
        <v>4027</v>
      </c>
      <c r="C177" s="21" t="s">
        <v>199</v>
      </c>
      <c r="D177" s="21" t="s">
        <v>905</v>
      </c>
      <c r="E177" s="13">
        <v>42932.611539351848</v>
      </c>
      <c r="F177" s="13">
        <v>42932.613298611112</v>
      </c>
      <c r="G177" s="7">
        <v>1</v>
      </c>
      <c r="H177" s="21" t="s">
        <v>906</v>
      </c>
      <c r="I177" s="13">
        <v>42932.623599537037</v>
      </c>
      <c r="J177" s="7">
        <v>0</v>
      </c>
      <c r="K177" s="89" t="str">
        <f t="shared" si="51"/>
        <v>4027/4028</v>
      </c>
      <c r="L177" s="21" t="str">
        <f>VLOOKUP(A177,'Trips&amp;Operators'!$C$1:$G$99999,5,FALSE)</f>
        <v>NELSON ARIANE</v>
      </c>
      <c r="M177" s="6">
        <f t="shared" si="52"/>
        <v>1.0300925925548654E-2</v>
      </c>
      <c r="N177" s="7">
        <f t="shared" si="70"/>
        <v>14.833333332790062</v>
      </c>
      <c r="O177" s="7"/>
      <c r="P177" s="7"/>
      <c r="Q177" s="22"/>
      <c r="R177" s="170"/>
      <c r="S177" s="213">
        <f t="shared" si="68"/>
        <v>1</v>
      </c>
      <c r="T177" s="195" t="str">
        <f t="shared" si="53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4"/>
        <v>https://d0f6bd738d7f1b3e5a7ca70fe4ff75f0.us-east-1.aws.found.io/app/kibana#/discover/Steve-Slow-Train-Analysis-(2080s-and-2083s)?_g=(refreshInterval:(display:Off,pause:!f,section:0,value:0),time:(from:'2017-07-16T13:40:37-0600',mode:absolute,to:'2017-07-16T15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197" t="str">
        <f>IF(AA177&lt;VLOOKUP(AG177,Variables!$AC$3:$AD$8,2,FALSE),"Y","N")</f>
        <v>N</v>
      </c>
      <c r="X177" s="197">
        <f t="shared" si="69"/>
        <v>1</v>
      </c>
      <c r="Y177" s="197">
        <f t="shared" si="71"/>
        <v>5.8654999999999999</v>
      </c>
      <c r="Z177" s="197">
        <f t="shared" si="72"/>
        <v>6.8500000000000005E-2</v>
      </c>
      <c r="AA177" s="197">
        <f t="shared" si="55"/>
        <v>5.7969999999999997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6"/>
        <v>1818</v>
      </c>
      <c r="AE177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77" s="74" t="str">
        <f t="shared" si="58"/>
        <v>"C:\Program Files (x86)\AstroGrep\AstroGrep.exe" /e /r /s /spath="%USERPROFILE%\AppData\Local\Temp\OnboardLogs" /stypes="app*4027*20170716*" /stext=" 20:.+((SYSTEM_STATE.+slice.+state.+changed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1818-16 --locoid 4027 --swversion DE.1.0.9.0 --startMP 300:58655 --initTime 2017-07-16T14:40:37 --startdatetime 2017-07-16T14:43:09 --delay 1 --endMP 204:685 --enddatetime 2017-07-16T14:57:59 --enforcementcount 0 &gt;&gt;C:\Users\stu\Documents\GitHub\eaglep3-reporting\EC\2017-07-16-refined-times.txt</v>
      </c>
      <c r="AI177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{"issue":{"subject":"","project_id":79,"tracker_id":40,"status_id":1,"priority_id":2,"assigned_to_id":23,"start_date":"2017-07-16","description":"","custom_fields":[{"id":1,"name":"Subdivision","value":"NW"},{"id":4,"name":"Milepost","value":"0.0685"},{"id":17,"name":"Train ID","value":"1818-16"},{"id":16,"name":"Locomotive ID","value":"4027"},{"id":130,"name":"Impact","value":""},{"id":150,"name":"Time of Event (Mountain Time)","value":"14:57:59"},{"id":151,"name":"Denver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2"/>
        <v>start /low /b %USERPROFILE%\Documents\GitHub\eaglep3\Utilities\DownloadLogsFromS3.py --loco 4027 --day 2017-07-16</v>
      </c>
      <c r="AN177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20:57:59"},{"id":29,"name":"Sharepoint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612</v>
      </c>
      <c r="B178" s="7">
        <v>4028</v>
      </c>
      <c r="C178" s="21" t="s">
        <v>199</v>
      </c>
      <c r="D178" s="21" t="s">
        <v>891</v>
      </c>
      <c r="E178" s="13">
        <v>42932.637303240743</v>
      </c>
      <c r="F178" s="13">
        <v>42932.639756944445</v>
      </c>
      <c r="G178" s="7">
        <v>1</v>
      </c>
      <c r="H178" s="21" t="s">
        <v>907</v>
      </c>
      <c r="I178" s="13">
        <v>42932.651331018518</v>
      </c>
      <c r="J178" s="7">
        <v>0</v>
      </c>
      <c r="K178" s="89" t="str">
        <f t="shared" si="51"/>
        <v>4027/4028</v>
      </c>
      <c r="L178" s="21" t="str">
        <f>VLOOKUP(A178,'Trips&amp;Operators'!$C$1:$G$99999,5,FALSE)</f>
        <v>NELSON ARIANE</v>
      </c>
      <c r="M178" s="6">
        <f t="shared" si="52"/>
        <v>1.1574074072996154E-2</v>
      </c>
      <c r="N178" s="7">
        <f t="shared" si="70"/>
        <v>16.666666665114462</v>
      </c>
      <c r="O178" s="7"/>
      <c r="P178" s="7"/>
      <c r="Q178" s="22"/>
      <c r="R178" s="170"/>
      <c r="S178" s="213">
        <f t="shared" si="68"/>
        <v>1</v>
      </c>
      <c r="T178" s="195" t="str">
        <f t="shared" si="53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4"/>
        <v>https://d0f6bd738d7f1b3e5a7ca70fe4ff75f0.us-east-1.aws.found.io/app/kibana#/discover/Steve-Slow-Train-Analysis-(2080s-and-2083s)?_g=(refreshInterval:(display:Off,pause:!f,section:0,value:0),time:(from:'2017-07-16T14:17:43-0600',mode:absolute,to:'2017-07-16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197" t="str">
        <f>IF(AA178&lt;VLOOKUP(AG178,Variables!$AC$3:$AD$8,2,FALSE),"Y","N")</f>
        <v>N</v>
      </c>
      <c r="X178" s="197">
        <f t="shared" si="69"/>
        <v>1</v>
      </c>
      <c r="Y178" s="197">
        <f t="shared" si="71"/>
        <v>9.8799999999999999E-2</v>
      </c>
      <c r="Z178" s="197">
        <f t="shared" si="72"/>
        <v>5.8982000000000001</v>
      </c>
      <c r="AA178" s="197">
        <f t="shared" si="55"/>
        <v>5.7994000000000003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6"/>
        <v>1819</v>
      </c>
      <c r="AE178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78" s="74" t="str">
        <f t="shared" si="58"/>
        <v>"C:\Program Files (x86)\AstroGrep\AstroGrep.exe" /e /r /s /spath="%USERPROFILE%\AppData\Local\Temp\OnboardLogs" /stypes="app*4028*20170716*" /stext=" 21:.+((SYSTEM_STATE.+slice.+state.+changed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1819-16 --locoid 4028 --swversion DE.1.0.9.0 --startMP 204:988 --initTime 2017-07-16T15:17:43 --startdatetime 2017-07-16T15:21:15 --delay 1 --endMP 300:58982 --enddatetime 2017-07-16T15:37:55 --enforcementcount 0 &gt;&gt;C:\Users\stu\Documents\GitHub\eaglep3-reporting\EC\2017-07-16-refined-times.txt</v>
      </c>
      <c r="AI178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{"issue":{"subject":"","project_id":79,"tracker_id":40,"status_id":1,"priority_id":2,"assigned_to_id":23,"start_date":"2017-07-16","description":"","custom_fields":[{"id":1,"name":"Subdivision","value":"NW"},{"id":4,"name":"Milepost","value":"5.8982"},{"id":17,"name":"Train ID","value":"1819-16"},{"id":16,"name":"Locomotive ID","value":"4028"},{"id":130,"name":"Impact","value":""},{"id":150,"name":"Time of Event (Mountain Time)","value":"15:37:55"},{"id":151,"name":"Denver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2"/>
        <v>start /low /b %USERPROFILE%\Documents\GitHub\eaglep3\Utilities\DownloadLogsFromS3.py --loco 4028 --day 2017-07-16</v>
      </c>
      <c r="AN178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766</v>
      </c>
      <c r="B179" s="7">
        <v>4027</v>
      </c>
      <c r="C179" s="21" t="s">
        <v>199</v>
      </c>
      <c r="D179" s="21" t="s">
        <v>909</v>
      </c>
      <c r="E179" s="13">
        <v>42932.652627314812</v>
      </c>
      <c r="F179" s="13">
        <v>42932.65421296296</v>
      </c>
      <c r="G179" s="7">
        <v>1</v>
      </c>
      <c r="H179" s="21" t="s">
        <v>598</v>
      </c>
      <c r="I179" s="13">
        <v>42932.664918981478</v>
      </c>
      <c r="J179" s="7">
        <v>0</v>
      </c>
      <c r="K179" s="89" t="str">
        <f t="shared" si="51"/>
        <v>4027/4028</v>
      </c>
      <c r="L179" s="21" t="str">
        <f>VLOOKUP(A179,'Trips&amp;Operators'!$C$1:$G$99999,5,FALSE)</f>
        <v>NELSON ARIANE</v>
      </c>
      <c r="M179" s="6">
        <f t="shared" si="52"/>
        <v>1.0706018518249039E-2</v>
      </c>
      <c r="N179" s="7">
        <f t="shared" si="70"/>
        <v>15.416666666278616</v>
      </c>
      <c r="O179" s="7"/>
      <c r="P179" s="7"/>
      <c r="Q179" s="22"/>
      <c r="R179" s="170"/>
      <c r="S179" s="213">
        <f t="shared" si="68"/>
        <v>1</v>
      </c>
      <c r="T179" s="195" t="str">
        <f t="shared" si="53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4"/>
        <v>https://d0f6bd738d7f1b3e5a7ca70fe4ff75f0.us-east-1.aws.found.io/app/kibana#/discover/Steve-Slow-Train-Analysis-(2080s-and-2083s)?_g=(refreshInterval:(display:Off,pause:!f,section:0,value:0),time:(from:'2017-07-16T14:39:47-0600',mode:absolute,to:'2017-07-16T16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197" t="str">
        <f>IF(AA179&lt;VLOOKUP(AG179,Variables!$AC$3:$AD$8,2,FALSE),"Y","N")</f>
        <v>N</v>
      </c>
      <c r="X179" s="197">
        <f t="shared" si="69"/>
        <v>1</v>
      </c>
      <c r="Y179" s="197">
        <f t="shared" si="71"/>
        <v>5.8655999999999997</v>
      </c>
      <c r="Z179" s="197">
        <f t="shared" si="72"/>
        <v>6.8199999999999997E-2</v>
      </c>
      <c r="AA179" s="197">
        <f t="shared" si="55"/>
        <v>5.7973999999999997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6"/>
        <v>1820</v>
      </c>
      <c r="AE179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79" s="74" t="str">
        <f t="shared" si="58"/>
        <v>"C:\Program Files (x86)\AstroGrep\AstroGrep.exe" /e /r /s /spath="%USERPROFILE%\AppData\Local\Temp\OnboardLogs" /stypes="app*4027*20170716*" /stext=" 21:.+((SYSTEM_STATE.+slice.+state.+changed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1820-16 --locoid 4027 --swversion DE.1.0.9.0 --startMP 300:58656 --initTime 2017-07-16T15:39:47 --startdatetime 2017-07-16T15:42:04 --delay 1 --endMP 204:682 --enddatetime 2017-07-16T15:57:29 --enforcementcount 0 &gt;&gt;C:\Users\stu\Documents\GitHub\eaglep3-reporting\EC\2017-07-16-refined-times.txt</v>
      </c>
      <c r="AI179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{"issue":{"subject":"","project_id":79,"tracker_id":40,"status_id":1,"priority_id":2,"assigned_to_id":23,"start_date":"2017-07-16","description":"","custom_fields":[{"id":1,"name":"Subdivision","value":"NW"},{"id":4,"name":"Milepost","value":"0.0682"},{"id":17,"name":"Train ID","value":"1820-16"},{"id":16,"name":"Locomotive ID","value":"4027"},{"id":130,"name":"Impact","value":""},{"id":150,"name":"Time of Event (Mountain Time)","value":"15:57:29"},{"id":151,"name":"Denver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2"/>
        <v>start /low /b %USERPROFILE%\Documents\GitHub\eaglep3\Utilities\DownloadLogsFromS3.py --loco 4027 --day 2017-07-16</v>
      </c>
      <c r="AN179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21:57:29"},{"id":29,"name":"Sharepoint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771</v>
      </c>
      <c r="B180" s="7">
        <v>4028</v>
      </c>
      <c r="C180" s="21" t="s">
        <v>199</v>
      </c>
      <c r="D180" s="21" t="s">
        <v>594</v>
      </c>
      <c r="E180" s="13">
        <v>42932.678113425929</v>
      </c>
      <c r="F180" s="13">
        <v>42932.681481481479</v>
      </c>
      <c r="G180" s="7">
        <v>1</v>
      </c>
      <c r="H180" s="21" t="s">
        <v>548</v>
      </c>
      <c r="I180" s="13">
        <v>42932.69263888889</v>
      </c>
      <c r="J180" s="7">
        <v>0</v>
      </c>
      <c r="K180" s="89" t="str">
        <f t="shared" si="51"/>
        <v>4027/4028</v>
      </c>
      <c r="L180" s="21" t="str">
        <f>VLOOKUP(A180,'Trips&amp;Operators'!$C$1:$G$99999,5,FALSE)</f>
        <v>NELSON ARIANE</v>
      </c>
      <c r="M180" s="6">
        <f t="shared" si="52"/>
        <v>1.1157407410792075E-2</v>
      </c>
      <c r="N180" s="7">
        <f t="shared" si="70"/>
        <v>16.066666671540588</v>
      </c>
      <c r="O180" s="7"/>
      <c r="P180" s="7"/>
      <c r="Q180" s="22"/>
      <c r="R180" s="170"/>
      <c r="S180" s="213">
        <f t="shared" si="68"/>
        <v>1</v>
      </c>
      <c r="T180" s="195" t="str">
        <f t="shared" si="53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4"/>
        <v>https://d0f6bd738d7f1b3e5a7ca70fe4ff75f0.us-east-1.aws.found.io/app/kibana#/discover/Steve-Slow-Train-Analysis-(2080s-and-2083s)?_g=(refreshInterval:(display:Off,pause:!f,section:0,value:0),time:(from:'2017-07-16T15:16:29-0600',mode:absolute,to:'2017-07-16T17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197" t="str">
        <f>IF(AA180&lt;VLOOKUP(AG180,Variables!$AC$3:$AD$8,2,FALSE),"Y","N")</f>
        <v>N</v>
      </c>
      <c r="X180" s="197">
        <f t="shared" si="69"/>
        <v>1</v>
      </c>
      <c r="Y180" s="197">
        <f t="shared" si="71"/>
        <v>9.6699999999999994E-2</v>
      </c>
      <c r="Z180" s="197">
        <f t="shared" si="72"/>
        <v>5.8958000000000004</v>
      </c>
      <c r="AA180" s="197">
        <f t="shared" si="55"/>
        <v>5.7991000000000001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6"/>
        <v>1821</v>
      </c>
      <c r="AE180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80" s="74" t="str">
        <f t="shared" si="58"/>
        <v>"C:\Program Files (x86)\AstroGrep\AstroGrep.exe" /e /r /s /spath="%USERPROFILE%\AppData\Local\Temp\OnboardLogs" /stypes="app*4028*20170716*" /stext=" 22:.+((SYSTEM_STATE.+slice.+state.+changed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1821-16 --locoid 4028 --swversion DE.1.0.9.0 --startMP 204:967 --initTime 2017-07-16T16:16:29 --startdatetime 2017-07-16T16:21:20 --delay 1 --endMP 300:58958 --enddatetime 2017-07-16T16:37:24 --enforcementcount 0 &gt;&gt;C:\Users\stu\Documents\GitHub\eaglep3-reporting\EC\2017-07-16-refined-times.txt</v>
      </c>
      <c r="AI180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{"issue":{"subject":"","project_id":79,"tracker_id":40,"status_id":1,"priority_id":2,"assigned_to_id":23,"start_date":"2017-07-16","description":"","custom_fields":[{"id":1,"name":"Subdivision","value":"NW"},{"id":4,"name":"Milepost","value":"5.8958"},{"id":17,"name":"Train ID","value":"1821-16"},{"id":16,"name":"Locomotive ID","value":"4028"},{"id":130,"name":"Impact","value":""},{"id":150,"name":"Time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2"/>
        <v>start /low /b %USERPROFILE%\Documents\GitHub\eaglep3\Utilities\DownloadLogsFromS3.py --loco 4028 --day 2017-07-16</v>
      </c>
      <c r="AN180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774</v>
      </c>
      <c r="B181" s="7">
        <v>4027</v>
      </c>
      <c r="C181" s="21" t="s">
        <v>199</v>
      </c>
      <c r="D181" s="21" t="s">
        <v>910</v>
      </c>
      <c r="E181" s="13">
        <v>42932.695659722223</v>
      </c>
      <c r="F181" s="13">
        <v>42932.697199074071</v>
      </c>
      <c r="G181" s="7">
        <v>1</v>
      </c>
      <c r="H181" s="21" t="s">
        <v>546</v>
      </c>
      <c r="I181" s="13">
        <v>42932.708321759259</v>
      </c>
      <c r="J181" s="7">
        <v>0</v>
      </c>
      <c r="K181" s="89" t="str">
        <f t="shared" si="51"/>
        <v>4027/4028</v>
      </c>
      <c r="L181" s="21" t="str">
        <f>VLOOKUP(A181,'Trips&amp;Operators'!$C$1:$G$99999,5,FALSE)</f>
        <v>NELSON ARIANE</v>
      </c>
      <c r="M181" s="6">
        <f t="shared" si="52"/>
        <v>1.1122685187729076E-2</v>
      </c>
      <c r="N181" s="7">
        <f t="shared" si="70"/>
        <v>16.016666670329869</v>
      </c>
      <c r="O181" s="7"/>
      <c r="P181" s="7"/>
      <c r="Q181" s="22"/>
      <c r="R181" s="170"/>
      <c r="S181" s="213">
        <f t="shared" si="68"/>
        <v>1</v>
      </c>
      <c r="T181" s="195" t="str">
        <f t="shared" si="53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4"/>
        <v>https://d0f6bd738d7f1b3e5a7ca70fe4ff75f0.us-east-1.aws.found.io/app/kibana#/discover/Steve-Slow-Train-Analysis-(2080s-and-2083s)?_g=(refreshInterval:(display:Off,pause:!f,section:0,value:0),time:(from:'2017-07-16T15:41:45-0600',mode:absolute,to:'2017-07-16T17:59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197" t="str">
        <f>IF(AA181&lt;VLOOKUP(AG181,Variables!$AC$3:$AD$8,2,FALSE),"Y","N")</f>
        <v>N</v>
      </c>
      <c r="X181" s="197">
        <f t="shared" si="69"/>
        <v>1</v>
      </c>
      <c r="Y181" s="197">
        <f t="shared" si="71"/>
        <v>5.8644999999999996</v>
      </c>
      <c r="Z181" s="197">
        <f t="shared" si="72"/>
        <v>6.7299999999999999E-2</v>
      </c>
      <c r="AA181" s="197">
        <f t="shared" si="55"/>
        <v>5.7971999999999992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6"/>
        <v>1822</v>
      </c>
      <c r="AE181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81" s="74" t="str">
        <f t="shared" si="58"/>
        <v>"C:\Program Files (x86)\AstroGrep\AstroGrep.exe" /e /r /s /spath="%USERPROFILE%\AppData\Local\Temp\OnboardLogs" /stypes="app*4027*20170716*" /stext=" 22:.+((SYSTEM_STATE.+slice.+state.+changed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1822-16 --locoid 4027 --swversion DE.1.0.9.0 --startMP 300:58645 --initTime 2017-07-16T16:41:45 --startdatetime 2017-07-16T16:43:58 --delay 1 --endMP 204:673 --enddatetime 2017-07-16T16:59:59 --enforcementcount 0 &gt;&gt;C:\Users\stu\Documents\GitHub\eaglep3-reporting\EC\2017-07-16-refined-times.txt</v>
      </c>
      <c r="AI181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{"issue":{"subject":"","project_id":79,"tracker_id":40,"status_id":1,"priority_id":2,"assigned_to_id":23,"start_date":"2017-07-16","description":"","custom_fields":[{"id":1,"name":"Subdivision","value":"NW"},{"id":4,"name":"Milepost","value":"0.0673"},{"id":17,"name":"Train ID","value":"1822-16"},{"id":16,"name":"Locomotive ID","value":"4027"},{"id":130,"name":"Impact","value":""},{"id":150,"name":"Time of Event (Mountain Time)","value":"16:59:59"},{"id":151,"name":"Denver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2"/>
        <v>start /low /b %USERPROFILE%\Documents\GitHub\eaglep3\Utilities\DownloadLogsFromS3.py --loco 4027 --day 2017-07-16</v>
      </c>
      <c r="AN181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22:59:59"},{"id":29,"name":"Sharepoint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615</v>
      </c>
      <c r="B182" s="7">
        <v>4028</v>
      </c>
      <c r="C182" s="21" t="s">
        <v>199</v>
      </c>
      <c r="D182" s="21" t="s">
        <v>911</v>
      </c>
      <c r="E182" s="13">
        <v>42932.719953703701</v>
      </c>
      <c r="F182" s="13">
        <v>42932.723055555558</v>
      </c>
      <c r="G182" s="7">
        <v>1</v>
      </c>
      <c r="H182" s="21" t="s">
        <v>893</v>
      </c>
      <c r="I182" s="13">
        <v>42932.733449074076</v>
      </c>
      <c r="J182" s="7">
        <v>0</v>
      </c>
      <c r="K182" s="89" t="str">
        <f t="shared" si="51"/>
        <v>4027/4028</v>
      </c>
      <c r="L182" s="21" t="str">
        <f>VLOOKUP(A182,'Trips&amp;Operators'!$C$1:$G$99999,5,FALSE)</f>
        <v>BIRENBAUM THOMAS</v>
      </c>
      <c r="M182" s="6">
        <f t="shared" si="52"/>
        <v>1.0393518517958E-2</v>
      </c>
      <c r="N182" s="7">
        <f t="shared" si="70"/>
        <v>14.96666666585952</v>
      </c>
      <c r="O182" s="7"/>
      <c r="P182" s="7"/>
      <c r="Q182" s="22"/>
      <c r="R182" s="170"/>
      <c r="S182" s="213">
        <f t="shared" si="68"/>
        <v>1</v>
      </c>
      <c r="T182" s="195" t="str">
        <f t="shared" si="53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4"/>
        <v>https://d0f6bd738d7f1b3e5a7ca70fe4ff75f0.us-east-1.aws.found.io/app/kibana#/discover/Steve-Slow-Train-Analysis-(2080s-and-2083s)?_g=(refreshInterval:(display:Off,pause:!f,section:0,value:0),time:(from:'2017-07-16T16:16:44-0600',mode:absolute,to:'2017-07-16T18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197" t="str">
        <f>IF(AA182&lt;VLOOKUP(AG182,Variables!$AC$3:$AD$8,2,FALSE),"Y","N")</f>
        <v>N</v>
      </c>
      <c r="X182" s="197">
        <f t="shared" si="69"/>
        <v>1</v>
      </c>
      <c r="Y182" s="197">
        <f t="shared" si="71"/>
        <v>9.7900000000000001E-2</v>
      </c>
      <c r="Z182" s="197">
        <f t="shared" si="72"/>
        <v>5.8944000000000001</v>
      </c>
      <c r="AA182" s="197">
        <f t="shared" si="55"/>
        <v>5.7965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6"/>
        <v>1823</v>
      </c>
      <c r="AE182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82" s="74" t="str">
        <f t="shared" si="58"/>
        <v>"C:\Program Files (x86)\AstroGrep\AstroGrep.exe" /e /r /s /spath="%USERPROFILE%\AppData\Local\Temp\OnboardLogs" /stypes="app*4028*20170716*" /stext=" 23:.+((SYSTEM_STATE.+slice.+state.+changed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1823-16 --locoid 4028 --swversion DE.1.0.9.0 --startMP 204:979 --initTime 2017-07-16T17:16:44 --startdatetime 2017-07-16T17:21:12 --delay 1 --endMP 300:58944 --enddatetime 2017-07-16T17:36:10 --enforcementcount 0 &gt;&gt;C:\Users\stu\Documents\GitHub\eaglep3-reporting\EC\2017-07-16-refined-times.txt</v>
      </c>
      <c r="AI182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{"issue":{"subject":"","project_id":79,"tracker_id":40,"status_id":1,"priority_id":2,"assigned_to_id":23,"start_date":"2017-07-16","description":"","custom_fields":[{"id":1,"name":"Subdivision","value":"NW"},{"id":4,"name":"Milepost","value":"5.8944"},{"id":17,"name":"Train ID","value":"1823-16"},{"id":16,"name":"Locomotive ID","value":"4028"},{"id":130,"name":"Impact","value":""},{"id":150,"name":"Time of Event (Mountain Time)","value":"17:36:10"},{"id":151,"name":"Denver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2"/>
        <v>start /low /b %USERPROFILE%\Documents\GitHub\eaglep3\Utilities\DownloadLogsFromS3.py --loco 4028 --day 2017-07-16</v>
      </c>
      <c r="AN182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789</v>
      </c>
      <c r="B183" s="7">
        <v>4027</v>
      </c>
      <c r="C183" s="21" t="s">
        <v>199</v>
      </c>
      <c r="D183" s="21" t="s">
        <v>595</v>
      </c>
      <c r="E183" s="13">
        <v>42932.734606481485</v>
      </c>
      <c r="F183" s="13">
        <v>42932.736134259256</v>
      </c>
      <c r="G183" s="7">
        <v>1</v>
      </c>
      <c r="H183" s="21" t="s">
        <v>514</v>
      </c>
      <c r="I183" s="13">
        <v>42932.746550925927</v>
      </c>
      <c r="J183" s="7">
        <v>0</v>
      </c>
      <c r="K183" s="89" t="str">
        <f t="shared" si="51"/>
        <v>4027/4028</v>
      </c>
      <c r="L183" s="21" t="str">
        <f>VLOOKUP(A183,'Trips&amp;Operators'!$C$1:$G$99999,5,FALSE)</f>
        <v>BIRENBAUM THOMAS</v>
      </c>
      <c r="M183" s="6">
        <f t="shared" si="52"/>
        <v>1.0416666671517305E-2</v>
      </c>
      <c r="N183" s="7">
        <f t="shared" si="70"/>
        <v>15.000000006984919</v>
      </c>
      <c r="O183" s="7"/>
      <c r="P183" s="7"/>
      <c r="Q183" s="22"/>
      <c r="R183" s="170"/>
      <c r="S183" s="213">
        <f t="shared" si="68"/>
        <v>1</v>
      </c>
      <c r="T183" s="195" t="str">
        <f t="shared" si="53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4"/>
        <v>https://d0f6bd738d7f1b3e5a7ca70fe4ff75f0.us-east-1.aws.found.io/app/kibana#/discover/Steve-Slow-Train-Analysis-(2080s-and-2083s)?_g=(refreshInterval:(display:Off,pause:!f,section:0,value:0),time:(from:'2017-07-16T16:37:50-0600',mode:absolute,to:'2017-07-16T18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197" t="str">
        <f>IF(AA183&lt;VLOOKUP(AG183,Variables!$AC$3:$AD$8,2,FALSE),"Y","N")</f>
        <v>N</v>
      </c>
      <c r="X183" s="197">
        <f t="shared" si="69"/>
        <v>1</v>
      </c>
      <c r="Y183" s="197">
        <f t="shared" si="71"/>
        <v>5.8632</v>
      </c>
      <c r="Z183" s="197">
        <f t="shared" si="72"/>
        <v>6.9199999999999998E-2</v>
      </c>
      <c r="AA183" s="197">
        <f t="shared" si="55"/>
        <v>5.7939999999999996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6"/>
        <v>1824</v>
      </c>
      <c r="AE183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83" s="74" t="str">
        <f t="shared" si="58"/>
        <v>"C:\Program Files (x86)\AstroGrep\AstroGrep.exe" /e /r /s /spath="%USERPROFILE%\AppData\Local\Temp\OnboardLogs" /stypes="app*4027*20170716*" /stext=" 23:.+((SYSTEM_STATE.+slice.+state.+changed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1824-16 --locoid 4027 --swversion DE.1.0.9.0 --startMP 300:58632 --initTime 2017-07-16T17:37:50 --startdatetime 2017-07-16T17:40:02 --delay 1 --endMP 204:692 --enddatetime 2017-07-16T17:55:02 --enforcementcount 0 &gt;&gt;C:\Users\stu\Documents\GitHub\eaglep3-reporting\EC\2017-07-16-refined-times.txt</v>
      </c>
      <c r="AI183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{"issue":{"subject":"","project_id":79,"tracker_id":40,"status_id":1,"priority_id":2,"assigned_to_id":23,"start_date":"2017-07-16","description":"","custom_fields":[{"id":1,"name":"Subdivision","value":"NW"},{"id":4,"name":"Milepost","value":"0.0692"},{"id":17,"name":"Train ID","value":"1824-16"},{"id":16,"name":"Locomotive ID","value":"4027"},{"id":130,"name":"Impact","value":""},{"id":150,"name":"Time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2"/>
        <v>start /low /b %USERPROFILE%\Documents\GitHub\eaglep3\Utilities\DownloadLogsFromS3.py --loco 4027 --day 2017-07-16</v>
      </c>
      <c r="AN183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796</v>
      </c>
      <c r="B184" s="7">
        <v>4028</v>
      </c>
      <c r="C184" s="21" t="s">
        <v>199</v>
      </c>
      <c r="D184" s="21" t="s">
        <v>912</v>
      </c>
      <c r="E184" s="13">
        <v>42932.760104166664</v>
      </c>
      <c r="F184" s="13">
        <v>42932.764733796299</v>
      </c>
      <c r="G184" s="7">
        <v>1</v>
      </c>
      <c r="H184" s="21" t="s">
        <v>894</v>
      </c>
      <c r="I184" s="13">
        <v>42932.77375</v>
      </c>
      <c r="J184" s="7">
        <v>0</v>
      </c>
      <c r="K184" s="89" t="str">
        <f t="shared" si="51"/>
        <v>4027/4028</v>
      </c>
      <c r="L184" s="21" t="str">
        <f>VLOOKUP(A184,'Trips&amp;Operators'!$C$1:$G$99999,5,FALSE)</f>
        <v>BIRENBAUM THOMAS</v>
      </c>
      <c r="M184" s="6">
        <f t="shared" si="52"/>
        <v>9.0162037013215013E-3</v>
      </c>
      <c r="N184" s="7">
        <f t="shared" si="70"/>
        <v>12.983333329902962</v>
      </c>
      <c r="O184" s="7"/>
      <c r="P184" s="7"/>
      <c r="Q184" s="22"/>
      <c r="R184" s="170"/>
      <c r="S184" s="213">
        <f t="shared" si="68"/>
        <v>1</v>
      </c>
      <c r="T184" s="195" t="str">
        <f t="shared" si="53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4"/>
        <v>https://d0f6bd738d7f1b3e5a7ca70fe4ff75f0.us-east-1.aws.found.io/app/kibana#/discover/Steve-Slow-Train-Analysis-(2080s-and-2083s)?_g=(refreshInterval:(display:Off,pause:!f,section:0,value:0),time:(from:'2017-07-16T17:14:33-0600',mode:absolute,to:'2017-07-16T19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197" t="str">
        <f>IF(AA184&lt;VLOOKUP(AG184,Variables!$AC$3:$AD$8,2,FALSE),"Y","N")</f>
        <v>N</v>
      </c>
      <c r="X184" s="197">
        <f t="shared" si="69"/>
        <v>1</v>
      </c>
      <c r="Y184" s="197">
        <f t="shared" si="71"/>
        <v>9.7199999999999995E-2</v>
      </c>
      <c r="Z184" s="197">
        <f t="shared" si="72"/>
        <v>5.8948</v>
      </c>
      <c r="AA184" s="197">
        <f t="shared" si="55"/>
        <v>5.7976000000000001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6"/>
        <v>1825</v>
      </c>
      <c r="AE184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84" s="74" t="str">
        <f t="shared" si="58"/>
        <v>"C:\Program Files (x86)\AstroGrep\AstroGrep.exe" /e /r /s /spath="%USERPROFILE%\AppData\Local\Temp\OnboardLogs" /stypes="app*4028*20170717*" /stext=" 00:.+((SYSTEM_STATE.+slice.+state.+changed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1825-16 --locoid 4028 --swversion DE.1.0.9.0 --startMP 204:972 --initTime 2017-07-16T18:14:33 --startdatetime 2017-07-16T18:21:13 --delay 1 --endMP 300:58948 --enddatetime 2017-07-16T18:34:12 --enforcementcount 0 &gt;&gt;C:\Users\stu\Documents\GitHub\eaglep3-reporting\EC\2017-07-16-refined-times.txt</v>
      </c>
      <c r="AI184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{"issue":{"subject":"","project_id":79,"tracker_id":40,"status_id":1,"priority_id":2,"assigned_to_id":23,"start_date":"2017-07-16","description":"","custom_fields":[{"id":1,"name":"Subdivision","value":"NW"},{"id":4,"name":"Milepost","value":"5.8948"},{"id":17,"name":"Train ID","value":"1825-16"},{"id":16,"name":"Locomotive ID","value":"4028"},{"id":130,"name":"Impact","value":""},{"id":150,"name":"Time of Event (Mountain Time)","value":"18:34:12"},{"id":151,"name":"Denver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2"/>
        <v>start /low /b %USERPROFILE%\Documents\GitHub\eaglep3\Utilities\DownloadLogsFromS3.py --loco 4028 --day 2017-07-16</v>
      </c>
      <c r="AN184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800</v>
      </c>
      <c r="B185" s="7">
        <v>4027</v>
      </c>
      <c r="C185" s="21" t="s">
        <v>199</v>
      </c>
      <c r="D185" s="21" t="s">
        <v>902</v>
      </c>
      <c r="E185" s="13">
        <v>42932.774907407409</v>
      </c>
      <c r="F185" s="13">
        <v>42932.776099537034</v>
      </c>
      <c r="G185" s="7">
        <v>1</v>
      </c>
      <c r="H185" s="21" t="s">
        <v>913</v>
      </c>
      <c r="I185" s="13">
        <v>42932.787604166668</v>
      </c>
      <c r="J185" s="7">
        <v>0</v>
      </c>
      <c r="K185" s="89" t="str">
        <f t="shared" si="51"/>
        <v>4027/4028</v>
      </c>
      <c r="L185" s="21" t="str">
        <f>VLOOKUP(A185,'Trips&amp;Operators'!$C$1:$G$99999,5,FALSE)</f>
        <v>BIRENBAUM THOMAS</v>
      </c>
      <c r="M185" s="6">
        <f t="shared" si="52"/>
        <v>1.1504629634146113E-2</v>
      </c>
      <c r="N185" s="7">
        <f t="shared" si="70"/>
        <v>16.566666673170403</v>
      </c>
      <c r="O185" s="7"/>
      <c r="P185" s="7"/>
      <c r="Q185" s="22"/>
      <c r="R185" s="170"/>
      <c r="S185" s="213">
        <f t="shared" si="68"/>
        <v>1</v>
      </c>
      <c r="T185" s="195" t="str">
        <f t="shared" si="53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4"/>
        <v>https://d0f6bd738d7f1b3e5a7ca70fe4ff75f0.us-east-1.aws.found.io/app/kibana#/discover/Steve-Slow-Train-Analysis-(2080s-and-2083s)?_g=(refreshInterval:(display:Off,pause:!f,section:0,value:0),time:(from:'2017-07-16T17:35:52-0600',mode:absolute,to:'2017-07-16T19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97" t="str">
        <f>IF(AA185&lt;VLOOKUP(AG185,Variables!$AC$3:$AD$8,2,FALSE),"Y","N")</f>
        <v>N</v>
      </c>
      <c r="X185" s="197">
        <f t="shared" si="69"/>
        <v>1</v>
      </c>
      <c r="Y185" s="197">
        <f t="shared" si="71"/>
        <v>5.8640999999999996</v>
      </c>
      <c r="Z185" s="197">
        <f t="shared" si="72"/>
        <v>6.7000000000000004E-2</v>
      </c>
      <c r="AA185" s="197">
        <f t="shared" si="55"/>
        <v>5.7970999999999995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6"/>
        <v>1826</v>
      </c>
      <c r="AE185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85" s="74" t="str">
        <f t="shared" si="58"/>
        <v>"C:\Program Files (x86)\AstroGrep\AstroGrep.exe" /e /r /s /spath="%USERPROFILE%\AppData\Local\Temp\OnboardLogs" /stypes="app*4027*20170717*" /stext=" 00:.+((SYSTEM_STATE.+slice.+state.+changed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1826-16 --locoid 4027 --swversion DE.1.0.9.0 --startMP 300:58641 --initTime 2017-07-16T18:35:52 --startdatetime 2017-07-16T18:37:35 --delay 1 --endMP 204:670 --enddatetime 2017-07-16T18:54:09 --enforcementcount 0 &gt;&gt;C:\Users\stu\Documents\GitHub\eaglep3-reporting\EC\2017-07-16-refined-times.txt</v>
      </c>
      <c r="AI185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{"issue":{"subject":"","project_id":79,"tracker_id":40,"status_id":1,"priority_id":2,"assigned_to_id":23,"start_date":"2017-07-16","description":"","custom_fields":[{"id":1,"name":"Subdivision","value":"NW"},{"id":4,"name":"Milepost","value":"0.067"},{"id":17,"name":"Train ID","value":"1826-16"},{"id":16,"name":"Locomotive ID","value":"4027"},{"id":130,"name":"Impact","value":""},{"id":150,"name":"Time of Event (Mountain Time)","value":"18:54:09"},{"id":151,"name":"Denver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2"/>
        <v>start /low /b %USERPROFILE%\Documents\GitHub\eaglep3\Utilities\DownloadLogsFromS3.py --loco 4027 --day 2017-07-16</v>
      </c>
      <c r="AN185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807</v>
      </c>
      <c r="B186" s="7">
        <v>4028</v>
      </c>
      <c r="C186" s="21" t="s">
        <v>199</v>
      </c>
      <c r="D186" s="21" t="s">
        <v>592</v>
      </c>
      <c r="E186" s="13">
        <v>42932.803819444445</v>
      </c>
      <c r="F186" s="13">
        <v>42932.806388888886</v>
      </c>
      <c r="G186" s="7">
        <v>1</v>
      </c>
      <c r="H186" s="21" t="s">
        <v>545</v>
      </c>
      <c r="I186" s="13">
        <v>42932.815393518518</v>
      </c>
      <c r="J186" s="7">
        <v>0</v>
      </c>
      <c r="K186" s="89" t="str">
        <f t="shared" si="51"/>
        <v>4027/4028</v>
      </c>
      <c r="L186" s="21" t="str">
        <f>VLOOKUP(A186,'Trips&amp;Operators'!$C$1:$G$99999,5,FALSE)</f>
        <v>BIRENBAUM THOMAS</v>
      </c>
      <c r="M186" s="6">
        <f t="shared" si="52"/>
        <v>9.0046296318178065E-3</v>
      </c>
      <c r="N186" s="7">
        <f t="shared" si="70"/>
        <v>12.966666669817641</v>
      </c>
      <c r="O186" s="7"/>
      <c r="P186" s="7"/>
      <c r="Q186" s="22"/>
      <c r="R186" s="170"/>
      <c r="S186" s="213">
        <f t="shared" si="68"/>
        <v>1</v>
      </c>
      <c r="T186" s="195" t="str">
        <f t="shared" si="53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4"/>
        <v>https://d0f6bd738d7f1b3e5a7ca70fe4ff75f0.us-east-1.aws.found.io/app/kibana#/discover/Steve-Slow-Train-Analysis-(2080s-and-2083s)?_g=(refreshInterval:(display:Off,pause:!f,section:0,value:0),time:(from:'2017-07-16T18:17:30-0600',mode:absolute,to:'2017-07-16T20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7" t="str">
        <f>IF(AA186&lt;VLOOKUP(AG186,Variables!$AC$3:$AD$8,2,FALSE),"Y","N")</f>
        <v>N</v>
      </c>
      <c r="X186" s="197">
        <f t="shared" si="69"/>
        <v>1</v>
      </c>
      <c r="Y186" s="197">
        <f t="shared" si="71"/>
        <v>9.7799999999999998E-2</v>
      </c>
      <c r="Z186" s="197">
        <f t="shared" si="72"/>
        <v>5.8963000000000001</v>
      </c>
      <c r="AA186" s="197">
        <f t="shared" si="55"/>
        <v>5.7984999999999998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6"/>
        <v>1827</v>
      </c>
      <c r="AE186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86" s="74" t="str">
        <f t="shared" si="58"/>
        <v>"C:\Program Files (x86)\AstroGrep\AstroGrep.exe" /e /r /s /spath="%USERPROFILE%\AppData\Local\Temp\OnboardLogs" /stypes="app*4028*20170717*" /stext=" 01:.+((SYSTEM_STATE.+slice.+state.+changed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1827-16 --locoid 4028 --swversion DE.1.0.9.0 --startMP 204:978 --initTime 2017-07-16T19:17:30 --startdatetime 2017-07-16T19:21:12 --delay 1 --endMP 300:58963 --enddatetime 2017-07-16T19:34:10 --enforcementcount 0 &gt;&gt;C:\Users\stu\Documents\GitHub\eaglep3-reporting\EC\2017-07-16-refined-times.txt</v>
      </c>
      <c r="AI186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{"issue":{"subject":"","project_id":79,"tracker_id":40,"status_id":1,"priority_id":2,"assigned_to_id":23,"start_date":"2017-07-16","description":"","custom_fields":[{"id":1,"name":"Subdivision","value":"NW"},{"id":4,"name":"Milepost","value":"5.8963"},{"id":17,"name":"Train ID","value":"1827-16"},{"id":16,"name":"Locomotive ID","value":"4028"},{"id":130,"name":"Impact","value":""},{"id":150,"name":"Time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4028 --day 2017-07-16</v>
      </c>
      <c r="AN186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809</v>
      </c>
      <c r="B187" s="7">
        <v>4027</v>
      </c>
      <c r="C187" s="21" t="s">
        <v>199</v>
      </c>
      <c r="D187" s="21" t="s">
        <v>914</v>
      </c>
      <c r="E187" s="13">
        <v>42932.81653935185</v>
      </c>
      <c r="F187" s="13">
        <v>42932.817835648151</v>
      </c>
      <c r="G187" s="7">
        <v>1</v>
      </c>
      <c r="H187" s="21" t="s">
        <v>915</v>
      </c>
      <c r="I187" s="13">
        <v>42932.829351851855</v>
      </c>
      <c r="J187" s="7">
        <v>0</v>
      </c>
      <c r="K187" s="89" t="str">
        <f t="shared" si="51"/>
        <v>4027/4028</v>
      </c>
      <c r="L187" s="21" t="str">
        <f>VLOOKUP(A187,'Trips&amp;Operators'!$C$1:$G$99999,5,FALSE)</f>
        <v>BIRENBAUM THOMAS</v>
      </c>
      <c r="M187" s="6">
        <f t="shared" si="52"/>
        <v>1.1516203703649808E-2</v>
      </c>
      <c r="N187" s="7">
        <f t="shared" si="70"/>
        <v>16.583333333255723</v>
      </c>
      <c r="O187" s="7"/>
      <c r="P187" s="7"/>
      <c r="Q187" s="22"/>
      <c r="R187" s="170"/>
      <c r="S187" s="213">
        <f t="shared" si="68"/>
        <v>1</v>
      </c>
      <c r="T187" s="195" t="str">
        <f t="shared" si="53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4"/>
        <v>https://d0f6bd738d7f1b3e5a7ca70fe4ff75f0.us-east-1.aws.found.io/app/kibana#/discover/Steve-Slow-Train-Analysis-(2080s-and-2083s)?_g=(refreshInterval:(display:Off,pause:!f,section:0,value:0),time:(from:'2017-07-16T18:35:49-0600',mode:absolute,to:'2017-07-16T20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97" t="str">
        <f>IF(AA187&lt;VLOOKUP(AG187,Variables!$AC$3:$AD$8,2,FALSE),"Y","N")</f>
        <v>N</v>
      </c>
      <c r="X187" s="197">
        <f t="shared" si="69"/>
        <v>1</v>
      </c>
      <c r="Y187" s="197">
        <f t="shared" si="71"/>
        <v>5.8651</v>
      </c>
      <c r="Z187" s="197">
        <f t="shared" si="72"/>
        <v>7.1999999999999995E-2</v>
      </c>
      <c r="AA187" s="197">
        <f t="shared" si="55"/>
        <v>5.7930999999999999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6"/>
        <v>1828</v>
      </c>
      <c r="AE187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87" s="74" t="str">
        <f t="shared" si="58"/>
        <v>"C:\Program Files (x86)\AstroGrep\AstroGrep.exe" /e /r /s /spath="%USERPROFILE%\AppData\Local\Temp\OnboardLogs" /stypes="app*4027*20170717*" /stext=" 01:.+((SYSTEM_STATE.+slice.+state.+changed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1828-16 --locoid 4027 --swversion DE.1.0.9.0 --startMP 300:58651 --initTime 2017-07-16T19:35:49 --startdatetime 2017-07-16T19:37:41 --delay 1 --endMP 204:720 --enddatetime 2017-07-16T19:54:16 --enforcementcount 0 &gt;&gt;C:\Users\stu\Documents\GitHub\eaglep3-reporting\EC\2017-07-16-refined-times.txt</v>
      </c>
      <c r="AI187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{"issue":{"subject":"","project_id":79,"tracker_id":40,"status_id":1,"priority_id":2,"assigned_to_id":23,"start_date":"2017-07-16","description":"","custom_fields":[{"id":1,"name":"Subdivision","value":"NW"},{"id":4,"name":"Milepost","value":"0.072"},{"id":17,"name":"Train ID","value":"1828-16"},{"id":16,"name":"Locomotive ID","value":"4027"},{"id":130,"name":"Impact","value":""},{"id":150,"name":"Time of Event (Mountain Time)","value":"19:54:16"},{"id":151,"name":"Denver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2"/>
        <v>start /low /b %USERPROFILE%\Documents\GitHub\eaglep3\Utilities\DownloadLogsFromS3.py --loco 4027 --day 2017-07-16</v>
      </c>
      <c r="AN187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813</v>
      </c>
      <c r="B188" s="7">
        <v>4028</v>
      </c>
      <c r="C188" s="21" t="s">
        <v>199</v>
      </c>
      <c r="D188" s="21" t="s">
        <v>916</v>
      </c>
      <c r="E188" s="13">
        <v>42932.845254629632</v>
      </c>
      <c r="F188" s="13">
        <v>42932.848090277781</v>
      </c>
      <c r="G188" s="7">
        <v>1</v>
      </c>
      <c r="H188" s="21" t="s">
        <v>894</v>
      </c>
      <c r="I188" s="13">
        <v>42932.857546296298</v>
      </c>
      <c r="J188" s="7">
        <v>0</v>
      </c>
      <c r="K188" s="89" t="str">
        <f t="shared" si="51"/>
        <v>4027/4028</v>
      </c>
      <c r="L188" s="21" t="str">
        <f>VLOOKUP(A188,'Trips&amp;Operators'!$C$1:$G$99999,5,FALSE)</f>
        <v>HART KEVIN</v>
      </c>
      <c r="M188" s="6">
        <f t="shared" si="52"/>
        <v>9.4560185170848854E-3</v>
      </c>
      <c r="N188" s="7">
        <f t="shared" si="70"/>
        <v>13.616666664602235</v>
      </c>
      <c r="O188" s="7"/>
      <c r="P188" s="7"/>
      <c r="Q188" s="22"/>
      <c r="R188" s="170"/>
      <c r="S188" s="213">
        <f t="shared" si="68"/>
        <v>1</v>
      </c>
      <c r="T188" s="195" t="str">
        <f t="shared" si="53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4"/>
        <v>https://d0f6bd738d7f1b3e5a7ca70fe4ff75f0.us-east-1.aws.found.io/app/kibana#/discover/Steve-Slow-Train-Analysis-(2080s-and-2083s)?_g=(refreshInterval:(display:Off,pause:!f,section:0,value:0),time:(from:'2017-07-16T19:17:10-0600',mode:absolute,to:'2017-07-16T21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197" t="str">
        <f>IF(AA188&lt;VLOOKUP(AG188,Variables!$AC$3:$AD$8,2,FALSE),"Y","N")</f>
        <v>N</v>
      </c>
      <c r="X188" s="197">
        <f t="shared" si="69"/>
        <v>1</v>
      </c>
      <c r="Y188" s="197">
        <f t="shared" si="71"/>
        <v>0.1007</v>
      </c>
      <c r="Z188" s="197">
        <f t="shared" si="72"/>
        <v>5.8948</v>
      </c>
      <c r="AA188" s="197">
        <f t="shared" si="55"/>
        <v>5.7941000000000003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6"/>
        <v>1829</v>
      </c>
      <c r="AE188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88" s="74" t="str">
        <f t="shared" si="58"/>
        <v>"C:\Program Files (x86)\AstroGrep\AstroGrep.exe" /e /r /s /spath="%USERPROFILE%\AppData\Local\Temp\OnboardLogs" /stypes="app*4028*20170717*" /stext=" 02:.+((SYSTEM_STATE.+slice.+state.+changed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1829-16 --locoid 4028 --swversion DE.1.0.9.0 --startMP 204:1007 --initTime 2017-07-16T20:17:10 --startdatetime 2017-07-16T20:21:15 --delay 1 --endMP 300:58948 --enddatetime 2017-07-16T20:34:52 --enforcementcount 0 &gt;&gt;C:\Users\stu\Documents\GitHub\eaglep3-reporting\EC\2017-07-16-refined-times.txt</v>
      </c>
      <c r="AI188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{"issue":{"subject":"","project_id":79,"tracker_id":40,"status_id":1,"priority_id":2,"assigned_to_id":23,"start_date":"2017-07-16","description":"","custom_fields":[{"id":1,"name":"Subdivision","value":"NW"},{"id":4,"name":"Milepost","value":"5.8948"},{"id":17,"name":"Train ID","value":"1829-16"},{"id":16,"name":"Locomotive ID","value":"4028"},{"id":130,"name":"Impact","value":""},{"id":150,"name":"Time of Event (Mountain Time)","value":"20:34:52"},{"id":151,"name":"Denver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2"/>
        <v>start /low /b %USERPROFILE%\Documents\GitHub\eaglep3\Utilities\DownloadLogsFromS3.py --loco 4028 --day 2017-07-16</v>
      </c>
      <c r="AN188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818</v>
      </c>
      <c r="B189" s="7">
        <v>4027</v>
      </c>
      <c r="C189" s="21" t="s">
        <v>199</v>
      </c>
      <c r="D189" s="21" t="s">
        <v>547</v>
      </c>
      <c r="E189" s="13">
        <v>42932.859444444446</v>
      </c>
      <c r="F189" s="13">
        <v>42932.861539351848</v>
      </c>
      <c r="G189" s="7">
        <v>1</v>
      </c>
      <c r="H189" s="21" t="s">
        <v>903</v>
      </c>
      <c r="I189" s="13">
        <v>42932.871701388889</v>
      </c>
      <c r="J189" s="7">
        <v>0</v>
      </c>
      <c r="K189" s="89" t="str">
        <f t="shared" si="51"/>
        <v>4027/4028</v>
      </c>
      <c r="L189" s="21" t="str">
        <f>VLOOKUP(A189,'Trips&amp;Operators'!$C$1:$G$99999,5,FALSE)</f>
        <v>HART KEVIN</v>
      </c>
      <c r="M189" s="6">
        <f t="shared" si="52"/>
        <v>1.0162037040572613E-2</v>
      </c>
      <c r="N189" s="7">
        <f t="shared" si="70"/>
        <v>14.633333338424563</v>
      </c>
      <c r="O189" s="7"/>
      <c r="P189" s="7"/>
      <c r="Q189" s="22"/>
      <c r="R189" s="170"/>
      <c r="S189" s="213">
        <f t="shared" ref="S189:S216" si="73">1/IF(AG189="EC",12,1)*SUM(U189:U189)</f>
        <v>1</v>
      </c>
      <c r="T189" s="195" t="str">
        <f t="shared" si="53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4"/>
        <v>https://d0f6bd738d7f1b3e5a7ca70fe4ff75f0.us-east-1.aws.found.io/app/kibana#/discover/Steve-Slow-Train-Analysis-(2080s-and-2083s)?_g=(refreshInterval:(display:Off,pause:!f,section:0,value:0),time:(from:'2017-07-16T19:37:36-0600',mode:absolute,to:'2017-07-16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97" t="str">
        <f>IF(AA189&lt;VLOOKUP(AG189,Variables!$AC$3:$AD$8,2,FALSE),"Y","N")</f>
        <v>N</v>
      </c>
      <c r="X189" s="197">
        <f t="shared" si="69"/>
        <v>1</v>
      </c>
      <c r="Y189" s="197">
        <f t="shared" si="71"/>
        <v>5.8638000000000003</v>
      </c>
      <c r="Z189" s="197">
        <f t="shared" si="72"/>
        <v>6.8900000000000003E-2</v>
      </c>
      <c r="AA189" s="197">
        <f t="shared" si="55"/>
        <v>5.7949000000000002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6"/>
        <v>1830</v>
      </c>
      <c r="AE189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89" s="74" t="str">
        <f t="shared" si="58"/>
        <v>"C:\Program Files (x86)\AstroGrep\AstroGrep.exe" /e /r /s /spath="%USERPROFILE%\AppData\Local\Temp\OnboardLogs" /stypes="app*4027*20170717*" /stext=" 02:.+((SYSTEM_STATE.+slice.+state.+changed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1830-16 --locoid 4027 --swversion DE.1.0.9.0 --startMP 300:58638 --initTime 2017-07-16T20:37:36 --startdatetime 2017-07-16T20:40:37 --delay 1 --endMP 204:689 --enddatetime 2017-07-16T20:55:15 --enforcementcount 0 &gt;&gt;C:\Users\stu\Documents\GitHub\eaglep3-reporting\EC\2017-07-16-refined-times.txt</v>
      </c>
      <c r="AI189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{"issue":{"subject":"","project_id":79,"tracker_id":40,"status_id":1,"priority_id":2,"assigned_to_id":23,"start_date":"2017-07-16","description":"","custom_fields":[{"id":1,"name":"Subdivision","value":"NW"},{"id":4,"name":"Milepost","value":"0.0689"},{"id":17,"name":"Train ID","value":"1830-16"},{"id":16,"name":"Locomotive ID","value":"4027"},{"id":130,"name":"Impact","value":""},{"id":150,"name":"Time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2"/>
        <v>start /low /b %USERPROFILE%\Documents\GitHub\eaglep3\Utilities\DownloadLogsFromS3.py --loco 4027 --day 2017-07-16</v>
      </c>
      <c r="AN189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821</v>
      </c>
      <c r="B190" s="7">
        <v>4028</v>
      </c>
      <c r="C190" s="21" t="s">
        <v>199</v>
      </c>
      <c r="D190" s="21" t="s">
        <v>549</v>
      </c>
      <c r="E190" s="13">
        <v>42932.88554398148</v>
      </c>
      <c r="F190" s="13">
        <v>42932.889722222222</v>
      </c>
      <c r="G190" s="7">
        <v>1</v>
      </c>
      <c r="H190" s="21" t="s">
        <v>919</v>
      </c>
      <c r="I190" s="13">
        <v>42932.898796296293</v>
      </c>
      <c r="J190" s="7">
        <v>0</v>
      </c>
      <c r="K190" s="89" t="str">
        <f t="shared" si="51"/>
        <v>4027/4028</v>
      </c>
      <c r="L190" s="21" t="str">
        <f>VLOOKUP(A190,'Trips&amp;Operators'!$C$1:$G$99999,5,FALSE)</f>
        <v>BIRENBAUM THOMAS</v>
      </c>
      <c r="M190" s="6">
        <f t="shared" si="52"/>
        <v>9.074074070667848E-3</v>
      </c>
      <c r="N190" s="7">
        <f t="shared" si="70"/>
        <v>13.066666661761701</v>
      </c>
      <c r="O190" s="7"/>
      <c r="P190" s="7"/>
      <c r="Q190" s="22"/>
      <c r="R190" s="170"/>
      <c r="S190" s="213">
        <f t="shared" si="73"/>
        <v>1</v>
      </c>
      <c r="T190" s="195" t="str">
        <f t="shared" si="53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4"/>
        <v>https://d0f6bd738d7f1b3e5a7ca70fe4ff75f0.us-east-1.aws.found.io/app/kibana#/discover/Steve-Slow-Train-Analysis-(2080s-and-2083s)?_g=(refreshInterval:(display:Off,pause:!f,section:0,value:0),time:(from:'2017-07-16T20:15:11-0600',mode:absolute,to:'2017-07-16T22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7" t="str">
        <f>IF(AA190&lt;VLOOKUP(AG190,Variables!$AC$3:$AD$8,2,FALSE),"Y","N")</f>
        <v>N</v>
      </c>
      <c r="X190" s="197">
        <f t="shared" si="69"/>
        <v>1</v>
      </c>
      <c r="Y190" s="197">
        <f t="shared" si="71"/>
        <v>9.7100000000000006E-2</v>
      </c>
      <c r="Z190" s="197">
        <f t="shared" si="72"/>
        <v>5.8968999999999996</v>
      </c>
      <c r="AA190" s="197">
        <f t="shared" si="55"/>
        <v>5.7997999999999994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6"/>
        <v>1831</v>
      </c>
      <c r="AE190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90" s="74" t="str">
        <f t="shared" si="58"/>
        <v>"C:\Program Files (x86)\AstroGrep\AstroGrep.exe" /e /r /s /spath="%USERPROFILE%\AppData\Local\Temp\OnboardLogs" /stypes="app*4028*20170717*" /stext=" 03:.+((SYSTEM_STATE.+slice.+state.+changed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1831-16 --locoid 4028 --swversion DE.1.0.9.0 --startMP 204:971 --initTime 2017-07-16T21:15:11 --startdatetime 2017-07-16T21:21:12 --delay 1 --endMP 300:58969 --enddatetime 2017-07-16T21:34:16 --enforcementcount 0 &gt;&gt;C:\Users\stu\Documents\GitHub\eaglep3-reporting\EC\2017-07-16-refined-times.txt</v>
      </c>
      <c r="AI190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{"issue":{"subject":"","project_id":79,"tracker_id":40,"status_id":1,"priority_id":2,"assigned_to_id":23,"start_date":"2017-07-16","description":"","custom_fields":[{"id":1,"name":"Subdivision","value":"NW"},{"id":4,"name":"Milepost","value":"5.8969"},{"id":17,"name":"Train ID","value":"1831-16"},{"id":16,"name":"Locomotive ID","value":"4028"},{"id":130,"name":"Impact","value":""},{"id":150,"name":"Time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4028 --day 2017-07-16</v>
      </c>
      <c r="AN190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618</v>
      </c>
      <c r="B191" s="7">
        <v>4027</v>
      </c>
      <c r="C191" s="21" t="s">
        <v>199</v>
      </c>
      <c r="D191" s="21" t="s">
        <v>905</v>
      </c>
      <c r="E191" s="13">
        <v>42932.899930555555</v>
      </c>
      <c r="F191" s="13">
        <v>42932.901226851849</v>
      </c>
      <c r="G191" s="7">
        <v>1</v>
      </c>
      <c r="H191" s="21" t="s">
        <v>597</v>
      </c>
      <c r="I191" s="13">
        <v>42932.914131944446</v>
      </c>
      <c r="J191" s="7">
        <v>0</v>
      </c>
      <c r="K191" s="89" t="str">
        <f t="shared" si="51"/>
        <v>4027/4028</v>
      </c>
      <c r="L191" s="21" t="str">
        <f>VLOOKUP(A191,'Trips&amp;Operators'!$C$1:$G$99999,5,FALSE)</f>
        <v>BIRENBAUM THOMAS</v>
      </c>
      <c r="M191" s="6">
        <f t="shared" si="52"/>
        <v>1.2905092597065959E-2</v>
      </c>
      <c r="N191" s="7">
        <f t="shared" si="70"/>
        <v>18.583333339774981</v>
      </c>
      <c r="O191" s="7"/>
      <c r="P191" s="7"/>
      <c r="Q191" s="22"/>
      <c r="R191" s="170"/>
      <c r="S191" s="213">
        <f t="shared" si="73"/>
        <v>1</v>
      </c>
      <c r="T191" s="195" t="str">
        <f t="shared" si="53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4"/>
        <v>https://d0f6bd738d7f1b3e5a7ca70fe4ff75f0.us-east-1.aws.found.io/app/kibana#/discover/Steve-Slow-Train-Analysis-(2080s-and-2083s)?_g=(refreshInterval:(display:Off,pause:!f,section:0,value:0),time:(from:'2017-07-16T20:35:54-0600',mode:absolute,to:'2017-07-16T22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97" t="str">
        <f>IF(AA191&lt;VLOOKUP(AG191,Variables!$AC$3:$AD$8,2,FALSE),"Y","N")</f>
        <v>N</v>
      </c>
      <c r="X191" s="197">
        <f t="shared" si="69"/>
        <v>1</v>
      </c>
      <c r="Y191" s="197">
        <f t="shared" si="71"/>
        <v>5.8654999999999999</v>
      </c>
      <c r="Z191" s="197">
        <f t="shared" si="72"/>
        <v>7.0099999999999996E-2</v>
      </c>
      <c r="AA191" s="197">
        <f t="shared" si="55"/>
        <v>5.7953999999999999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6"/>
        <v>1832</v>
      </c>
      <c r="AE191" s="77" t="str">
        <f t="shared" si="57"/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AF191" s="74" t="str">
        <f t="shared" si="58"/>
        <v>"C:\Program Files (x86)\AstroGrep\AstroGrep.exe" /e /r /s /spath="%USERPROFILE%\AppData\Local\Temp\OnboardLogs" /stypes="app*4027*20170717*" /stext=" 03:.+((SYSTEM_STATE.+slice.+state.+changed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1832-16 --locoid 4027 --swversion DE.1.0.9.0 --startMP 300:58655 --initTime 2017-07-16T21:35:54 --startdatetime 2017-07-16T21:37:46 --delay 1 --endMP 204:701 --enddatetime 2017-07-16T21:56:21 --enforcementcount 0 &gt;&gt;C:\Users\stu\Documents\GitHub\eaglep3-reporting\EC\2017-07-16-refined-times.txt</v>
      </c>
      <c r="AI191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{"issue":{"subject":"","project_id":79,"tracker_id":40,"status_id":1,"priority_id":2,"assigned_to_id":23,"start_date":"2017-07-16","description":"","custom_fields":[{"id":1,"name":"Subdivision","value":"NW"},{"id":4,"name":"Milepost","value":"0.0701"},{"id":17,"name":"Train ID","value":"1832-16"},{"id":16,"name":"Locomotive ID","value":"4027"},{"id":130,"name":"Impact","value":""},{"id":150,"name":"Time of Event (Mountain Time)","value":"21:56:21"},{"id":151,"name":"Denver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62"/>
        <v>start /low /b %USERPROFILE%\Documents\GitHub\eaglep3\Utilities\DownloadLogsFromS3.py --loco 4027 --day 2017-07-16</v>
      </c>
      <c r="AN191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828</v>
      </c>
      <c r="B192" s="7">
        <v>4028</v>
      </c>
      <c r="C192" s="21" t="s">
        <v>199</v>
      </c>
      <c r="D192" s="21" t="s">
        <v>549</v>
      </c>
      <c r="E192" s="13">
        <v>42932.927175925928</v>
      </c>
      <c r="F192" s="13">
        <v>42932.931400462963</v>
      </c>
      <c r="G192" s="7">
        <v>1</v>
      </c>
      <c r="H192" s="21" t="s">
        <v>901</v>
      </c>
      <c r="I192" s="13">
        <v>42932.94023148148</v>
      </c>
      <c r="J192" s="7">
        <v>0</v>
      </c>
      <c r="K192" s="89" t="str">
        <f t="shared" si="51"/>
        <v>4027/4028</v>
      </c>
      <c r="L192" s="21" t="str">
        <f>VLOOKUP(A192,'Trips&amp;Operators'!$C$1:$G$99999,5,FALSE)</f>
        <v>BIRENBAUM THOMAS</v>
      </c>
      <c r="M192" s="6">
        <f t="shared" si="52"/>
        <v>8.8310185165028088E-3</v>
      </c>
      <c r="N192" s="7">
        <f t="shared" si="70"/>
        <v>12.716666663764045</v>
      </c>
      <c r="O192" s="7"/>
      <c r="P192" s="7"/>
      <c r="Q192" s="22"/>
      <c r="R192" s="170"/>
      <c r="S192" s="213">
        <f t="shared" si="73"/>
        <v>1</v>
      </c>
      <c r="T192" s="195" t="str">
        <f t="shared" si="53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4"/>
        <v>https://d0f6bd738d7f1b3e5a7ca70fe4ff75f0.us-east-1.aws.found.io/app/kibana#/discover/Steve-Slow-Train-Analysis-(2080s-and-2083s)?_g=(refreshInterval:(display:Off,pause:!f,section:0,value:0),time:(from:'2017-07-16T21:15:08-0600',mode:absolute,to:'2017-07-16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97" t="str">
        <f>IF(AA192&lt;VLOOKUP(AG192,Variables!$AC$3:$AD$8,2,FALSE),"Y","N")</f>
        <v>N</v>
      </c>
      <c r="X192" s="197">
        <f t="shared" si="69"/>
        <v>1</v>
      </c>
      <c r="Y192" s="197">
        <f t="shared" si="71"/>
        <v>9.7100000000000006E-2</v>
      </c>
      <c r="Z192" s="197">
        <f t="shared" si="72"/>
        <v>5.8949999999999996</v>
      </c>
      <c r="AA192" s="197">
        <f t="shared" si="55"/>
        <v>5.7978999999999994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6"/>
        <v>1833</v>
      </c>
      <c r="AE192" s="77" t="str">
        <f t="shared" si="57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192" s="74" t="str">
        <f t="shared" si="58"/>
        <v>"C:\Program Files (x86)\AstroGrep\AstroGrep.exe" /e /r /s /spath="%USERPROFILE%\AppData\Local\Temp\OnboardLogs" /stypes="app*4028*20170717*" /stext=" 04:.+((SYSTEM_STATE.+slice.+state.+changed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1833-16 --locoid 4028 --swversion DE.1.0.9.0 --startMP 204:971 --initTime 2017-07-16T22:15:08 --startdatetime 2017-07-16T22:21:13 --delay 1 --endMP 300:58950 --enddatetime 2017-07-16T22:33:56 --enforcementcount 0 &gt;&gt;C:\Users\stu\Documents\GitHub\eaglep3-reporting\EC\2017-07-16-refined-times.txt</v>
      </c>
      <c r="AI192" s="96" t="str">
        <f t="shared" si="61"/>
        <v>echo {"issue":{"subject":"","project_id":79,"tracker_id":40,"status_id":1,"priority_id":2,"assigned_to_id":23,"start_date":"2017-07-16","description":"","custom_fields":[{"id":1,"name":"Subdivision","value":"NW"},{"id":4,"name":"Milepost","value":"5.895"},{"id":17,"name":"Train ID","value":"1833-16"},{"id":16,"name":"Locomotive ID","value":"4028"},{"id":130,"name":"Impact","value":""},{"id":150,"name":"Time of Event (Mountain Time)","value":"22:33:56"},{"id":151,"name":"Denver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2"/>
        <v>start /low /b %USERPROFILE%\Documents\GitHub\eaglep3\Utilities\DownloadLogsFromS3.py --loco 4028 --day 2017-07-16</v>
      </c>
      <c r="AN192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04:33:56"},{"id":29,"name":"Sharepoint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631</v>
      </c>
      <c r="B193" s="7">
        <v>4041</v>
      </c>
      <c r="C193" s="21" t="s">
        <v>199</v>
      </c>
      <c r="D193" s="21" t="s">
        <v>953</v>
      </c>
      <c r="E193" s="13">
        <v>42932.119097222225</v>
      </c>
      <c r="F193" s="13">
        <v>42932.12128472222</v>
      </c>
      <c r="G193" s="7">
        <v>3</v>
      </c>
      <c r="H193" s="21" t="s">
        <v>932</v>
      </c>
      <c r="I193" s="13">
        <v>42932.127071759256</v>
      </c>
      <c r="J193" s="7">
        <v>0</v>
      </c>
      <c r="K193" s="89" t="str">
        <f t="shared" si="51"/>
        <v>4041/4042</v>
      </c>
      <c r="L193" s="21" t="str">
        <f>VLOOKUP(A193,'Trips&amp;Operators'!$C$1:$G$99999,5,FALSE)</f>
        <v>MAELZER KURT</v>
      </c>
      <c r="M193" s="6">
        <f t="shared" si="52"/>
        <v>5.7870370364980772E-3</v>
      </c>
      <c r="N193" s="7">
        <f t="shared" si="70"/>
        <v>8.3333333325572312</v>
      </c>
      <c r="O193" s="7"/>
      <c r="P193" s="7"/>
      <c r="Q193" s="22"/>
      <c r="R193" s="170"/>
      <c r="S193" s="213">
        <f t="shared" si="73"/>
        <v>1</v>
      </c>
      <c r="T193" s="195" t="str">
        <f t="shared" si="53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4"/>
        <v>https://d0f6bd738d7f1b3e5a7ca70fe4ff75f0.us-east-1.aws.found.io/app/kibana#/discover/Steve-Slow-Train-Analysis-(2080s-and-2083s)?_g=(refreshInterval:(display:Off,pause:!f,section:0,value:0),time:(from:'2017-07-16T01:51:30-0600',mode:absolute,to:'2017-07-16T04:02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197" t="str">
        <f>IF(AA193&lt;VLOOKUP(AG193,Variables!$AC$3:$AD$8,2,FALSE),"Y","N")</f>
        <v>Y</v>
      </c>
      <c r="X193" s="197">
        <f t="shared" si="69"/>
        <v>-1533</v>
      </c>
      <c r="Y193" s="197">
        <f t="shared" si="71"/>
        <v>2.3184</v>
      </c>
      <c r="Z193" s="197">
        <f t="shared" si="72"/>
        <v>1.2500000000000001E-2</v>
      </c>
      <c r="AA193" s="197">
        <f t="shared" si="55"/>
        <v>2.3058999999999998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6"/>
        <v>300</v>
      </c>
      <c r="AE193" s="77" t="str">
        <f t="shared" si="57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193" s="74" t="str">
        <f t="shared" si="58"/>
        <v>"C:\Program Files (x86)\AstroGrep\AstroGrep.exe" /e /r /s /spath="%USERPROFILE%\AppData\Local\Temp\OnboardLogs" /stypes="app*4041*20170716*" /stext=" 09:.+((SYSTEM_STATE.+slice.+state.+changed )|(ment ac)|(multiple cpu faults)|(system.+state.+changed )|(\[timeout)|(PRM\|1\|D)|(kpr)|(kdp)|(train st.+moving)|(\|lc)|(penalty))"</v>
      </c>
      <c r="AG193" s="209" t="str">
        <f t="shared" si="59"/>
        <v>Other</v>
      </c>
      <c r="AH193" s="78" t="str">
        <f t="shared" si="60"/>
        <v>"%USERPROFILE%\Documents\GitHub\eaglep3\Utilities\RefineRTDCRunTimes.py" --tripid 300-16 --locoid 4041 --swversion DE.1.0.9.0 --startMP 300:23184 --initTime 2017-07-16T02:51:30 --startdatetime 2017-07-16T02:54:39 --delay 3 --endMP 204:125 --enddatetime 2017-07-16T03:02:59 --enforcementcount 0 &gt;&gt;C:\Users\stu\Documents\GitHub\eaglep3-reporting\EC\2017-07-16-refined-times.txt</v>
      </c>
      <c r="AI193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{"issue":{"subject":"","project_id":79,"tracker_id":40,"status_id":1,"priority_id":2,"assigned_to_id":23,"start_date":"2017-07-16","description":"","custom_fields":[{"id":1,"name":"Subdivision","value":"Other"},{"id":4,"name":"Milepost","value":"0.0125"},{"id":17,"name":"Train ID","value":"300-16"},{"id":16,"name":"Locomotive ID","value":"4041"},{"id":130,"name":"Impact","value":""},{"id":150,"name":"Time of Event (Mountain Time)","value":"03:02:59"},{"id":151,"name":"Denver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2"/>
        <v>start /low /b %USERPROFILE%\Documents\GitHub\eaglep3\Utilities\DownloadLogsFromS3.py --loco 4041 --day 2017-07-16</v>
      </c>
      <c r="AN193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09:02:59"},{"id":29,"name":"Sharepoint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801</v>
      </c>
      <c r="B194" s="7">
        <v>4050</v>
      </c>
      <c r="C194" s="21" t="s">
        <v>199</v>
      </c>
      <c r="D194" s="21" t="s">
        <v>346</v>
      </c>
      <c r="E194" s="13">
        <v>42932.775578703702</v>
      </c>
      <c r="F194" s="13">
        <v>42932.777129629627</v>
      </c>
      <c r="G194" s="7">
        <v>1</v>
      </c>
      <c r="H194" s="21" t="s">
        <v>590</v>
      </c>
      <c r="I194" s="13">
        <v>42932.786030092589</v>
      </c>
      <c r="J194" s="7">
        <v>0</v>
      </c>
      <c r="K194" s="89" t="str">
        <f t="shared" si="51"/>
        <v>4049/4050</v>
      </c>
      <c r="L194" s="21" t="str">
        <f>VLOOKUP(A194,'Trips&amp;Operators'!$C$1:$G$99999,5,FALSE)</f>
        <v>BRUDER RICHARD</v>
      </c>
      <c r="M194" s="6">
        <f t="shared" si="52"/>
        <v>8.9004629626288079E-3</v>
      </c>
      <c r="N194" s="7">
        <f t="shared" si="70"/>
        <v>12.816666666185483</v>
      </c>
      <c r="O194" s="7"/>
      <c r="P194" s="7"/>
      <c r="Q194" s="22"/>
      <c r="R194" s="170"/>
      <c r="S194" s="213">
        <f t="shared" si="73"/>
        <v>1</v>
      </c>
      <c r="T194" s="195" t="str">
        <f t="shared" si="53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4"/>
        <v>https://d0f6bd738d7f1b3e5a7ca70fe4ff75f0.us-east-1.aws.found.io/app/kibana#/discover/Steve-Slow-Train-Analysis-(2080s-and-2083s)?_g=(refreshInterval:(display:Off,pause:!f,section:0,value:0),time:(from:'2017-07-16T17:36:50-0600',mode:absolute,to:'2017-07-16T19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197" t="str">
        <f>IF(AA194&lt;VLOOKUP(AG194,Variables!$AC$3:$AD$8,2,FALSE),"Y","N")</f>
        <v>Y</v>
      </c>
      <c r="X194" s="197">
        <f t="shared" si="69"/>
        <v>1</v>
      </c>
      <c r="Y194" s="197">
        <f t="shared" si="71"/>
        <v>4.6600000000000003E-2</v>
      </c>
      <c r="Z194" s="197">
        <f t="shared" si="72"/>
        <v>2.3298999999999999</v>
      </c>
      <c r="AA194" s="197">
        <f t="shared" si="55"/>
        <v>2.2832999999999997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6"/>
        <v>301</v>
      </c>
      <c r="AE194" s="77" t="str">
        <f t="shared" si="57"/>
        <v>aws s3 cp s3://rtdc.mdm.uploadarchive.raw/RTDC4050/ "%USERPROFILE%\AppData\Local\Temp\OnboardLogs"\RTDC4050\2017-07-16 --exclude "*" --recursive --include "*20170716*" &amp; "%USERPROFILE%\Documents\GitHub\mrs-test-scripts\Headless Mode &amp; Sideloading\WalkAndUnGZ.bat" "%USERPROFILE%\AppData\Local\Temp\OnboardLogs"\RTDC4050\2017-07-16 &amp; aws s3 cp s3://rtdc.mdm.uploadarchive.raw/RTDC4050/ "%USERPROFILE%\AppData\Local\Temp\OnboardLogs"\RTDC4050\2017-07-17 --exclude "*" --recursive --include "*20170717*" &amp; "%USERPROFILE%\Documents\GitHub\mrs-test-scripts\Headless Mode &amp; Sideloading\WalkAndUnGZ.bat" "%USERPROFILE%\AppData\Local\Temp\OnboardLogs"\RTDC4050\2017-07-17</v>
      </c>
      <c r="AF194" s="74" t="str">
        <f t="shared" si="58"/>
        <v>"C:\Program Files (x86)\AstroGrep\AstroGrep.exe" /e /r /s /spath="%USERPROFILE%\AppData\Local\Temp\OnboardLogs" /stypes="app*4050*20170717*" /stext=" 00:.+((SYSTEM_STATE.+slice.+state.+changed )|(ment ac)|(multiple cpu faults)|(system.+state.+changed )|(\[timeout)|(PRM\|1\|D)|(kpr)|(kdp)|(train st.+moving)|(\|lc)|(penalty))"</v>
      </c>
      <c r="AG194" s="209" t="str">
        <f t="shared" si="59"/>
        <v>Other</v>
      </c>
      <c r="AH194" s="78" t="str">
        <f t="shared" si="60"/>
        <v>"%USERPROFILE%\Documents\GitHub\eaglep3\Utilities\RefineRTDCRunTimes.py" --tripid 301-16 --locoid 4050 --swversion DE.1.0.9.0 --startMP 204:466 --initTime 2017-07-16T18:36:50 --startdatetime 2017-07-16T18:39:04 --delay 1 --endMP 300:23299 --enddatetime 2017-07-16T18:51:53 --enforcementcount 0 &gt;&gt;C:\Users\stu\Documents\GitHub\eaglep3-reporting\EC\2017-07-16-refined-times.txt</v>
      </c>
      <c r="AI194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{"issue":{"subject":"","project_id":79,"tracker_id":40,"status_id":1,"priority_id":2,"assigned_to_id":23,"start_date":"2017-07-16","description":"","custom_fields":[{"id":1,"name":"Subdivision","value":"Other"},{"id":4,"name":"Milepost","value":"2.3299"},{"id":17,"name":"Train ID","value":"301-16"},{"id":16,"name":"Locomotive ID","value":"4050"},{"id":130,"name":"Impact","value":""},{"id":150,"name":"Time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4050 --day 2017-07-16</v>
      </c>
      <c r="AN194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634</v>
      </c>
      <c r="B195" s="7">
        <v>4063</v>
      </c>
      <c r="C195" s="21" t="s">
        <v>199</v>
      </c>
      <c r="D195" s="21" t="s">
        <v>954</v>
      </c>
      <c r="E195" s="13">
        <v>42932.126145833332</v>
      </c>
      <c r="F195" s="13">
        <v>42932.12945601852</v>
      </c>
      <c r="G195" s="7">
        <v>4</v>
      </c>
      <c r="H195" s="21" t="s">
        <v>955</v>
      </c>
      <c r="I195" s="13">
        <v>42932.131620370368</v>
      </c>
      <c r="J195" s="7">
        <v>0</v>
      </c>
      <c r="K195" s="89" t="str">
        <f t="shared" si="51"/>
        <v>4063/4064</v>
      </c>
      <c r="L195" s="21" t="str">
        <f>VLOOKUP(A195,'Trips&amp;Operators'!$C$1:$G$99999,5,FALSE)</f>
        <v>NEWELL JAMES</v>
      </c>
      <c r="M195" s="6">
        <f t="shared" si="52"/>
        <v>2.1643518484779634E-3</v>
      </c>
      <c r="N195" s="7">
        <f t="shared" si="70"/>
        <v>3.1166666618082672</v>
      </c>
      <c r="O195" s="7"/>
      <c r="P195" s="7"/>
      <c r="Q195" s="22"/>
      <c r="R195" s="170"/>
      <c r="S195" s="213">
        <f t="shared" si="73"/>
        <v>0</v>
      </c>
      <c r="T195" s="195" t="str">
        <f t="shared" si="53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6" t="str">
        <f t="shared" si="54"/>
        <v>https://d0f6bd738d7f1b3e5a7ca70fe4ff75f0.us-east-1.aws.found.io/app/kibana#/discover/Steve-Slow-Train-Analysis-(2080s-and-2083s)?_g=(refreshInterval:(display:Off,pause:!f,section:0,value:0),time:(from:'2017-07-16T02:01:39-0600',mode:absolute,to:'2017-07-16T04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197" t="str">
        <f>IF(AA195&lt;VLOOKUP(AG195,Variables!$AC$3:$AD$8,2,FALSE),"Y","N")</f>
        <v>Y</v>
      </c>
      <c r="X195" s="197">
        <f t="shared" si="69"/>
        <v>1</v>
      </c>
      <c r="Y195" s="197">
        <f t="shared" si="71"/>
        <v>2.3161</v>
      </c>
      <c r="Z195" s="197">
        <f t="shared" si="72"/>
        <v>1.5132000000000001</v>
      </c>
      <c r="AA195" s="197">
        <f t="shared" si="55"/>
        <v>0.80289999999999995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6"/>
        <v>302</v>
      </c>
      <c r="AE195" s="77" t="str">
        <f t="shared" si="57"/>
        <v>aws s3 cp s3://rtdc.mdm.uploadarchive.raw/RTDC4063/ "%USERPROFILE%\AppData\Local\Temp\OnboardLogs"\RTDC4063\2017-07-16 --exclude "*" --recursive --include "*20170716*" &amp; "%USERPROFILE%\Documents\GitHub\mrs-test-scripts\Headless Mode &amp; Sideloading\WalkAndUnGZ.bat" "%USERPROFILE%\AppData\Local\Temp\OnboardLogs"\RTDC4063\2017-07-16 &amp; aws s3 cp s3://rtdc.mdm.uploadarchive.raw/RTDC4063/ "%USERPROFILE%\AppData\Local\Temp\OnboardLogs"\RTDC4063\2017-07-17 --exclude "*" --recursive --include "*20170717*" &amp; "%USERPROFILE%\Documents\GitHub\mrs-test-scripts\Headless Mode &amp; Sideloading\WalkAndUnGZ.bat" "%USERPROFILE%\AppData\Local\Temp\OnboardLogs"\RTDC4063\2017-07-17</v>
      </c>
      <c r="AF195" s="74" t="str">
        <f t="shared" si="58"/>
        <v>"C:\Program Files (x86)\AstroGrep\AstroGrep.exe" /e /r /s /spath="%USERPROFILE%\AppData\Local\Temp\OnboardLogs" /stypes="app*4063*20170716*" /stext=" 09:.+((SYSTEM_STATE.+slice.+state.+changed )|(ment ac)|(multiple cpu faults)|(system.+state.+changed )|(\[timeout)|(PRM\|1\|D)|(kpr)|(kdp)|(train st.+moving)|(\|lc)|(penalty))"</v>
      </c>
      <c r="AG195" s="209" t="str">
        <f t="shared" si="59"/>
        <v>Other</v>
      </c>
      <c r="AH195" s="78" t="str">
        <f t="shared" si="60"/>
        <v>"%USERPROFILE%\Documents\GitHub\eaglep3\Utilities\RefineRTDCRunTimes.py" --tripid 302-16 --locoid 4063 --swversion DE.1.0.9.0 --startMP 300:23161 --initTime 2017-07-16T03:01:39 --startdatetime 2017-07-16T03:06:25 --delay 4 --endMP 300:15132 --enddatetime 2017-07-16T03:09:32 --enforcementcount 0 &gt;&gt;C:\Users\stu\Documents\GitHub\eaglep3-reporting\EC\2017-07-16-refined-times.txt</v>
      </c>
      <c r="AI195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{"issue":{"subject":"","project_id":79,"tracker_id":40,"status_id":1,"priority_id":2,"assigned_to_id":23,"start_date":"2017-07-16","description":"","custom_fields":[{"id":1,"name":"Subdivision","value":"Other"},{"id":4,"name":"Milepost","value":"1.5132"},{"id":17,"name":"Train ID","value":"302-16"},{"id":16,"name":"Locomotive ID","value":"4063"},{"id":130,"name":"Impact","value":""},{"id":150,"name":"Time of Event (Mountain Time)","value":"03:09:32"},{"id":151,"name":"Denver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2"/>
        <v>start /low /b %USERPROFILE%\Documents\GitHub\eaglep3\Utilities\DownloadLogsFromS3.py --loco 4063 --day 2017-07-16</v>
      </c>
      <c r="AN195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805</v>
      </c>
      <c r="B196" s="7">
        <v>4008</v>
      </c>
      <c r="C196" s="21" t="s">
        <v>199</v>
      </c>
      <c r="D196" s="21" t="s">
        <v>399</v>
      </c>
      <c r="E196" s="13">
        <v>42932.796053240738</v>
      </c>
      <c r="F196" s="13">
        <v>42932.80127314815</v>
      </c>
      <c r="G196" s="7">
        <v>1</v>
      </c>
      <c r="H196" s="21" t="s">
        <v>587</v>
      </c>
      <c r="I196" s="13">
        <v>42932.807349537034</v>
      </c>
      <c r="J196" s="7">
        <v>0</v>
      </c>
      <c r="K196" s="89" t="str">
        <f t="shared" si="51"/>
        <v>4007/4008</v>
      </c>
      <c r="L196" s="21" t="str">
        <f>VLOOKUP(A196,'Trips&amp;Operators'!$C$1:$G$99999,5,FALSE)</f>
        <v>DELGADO DIANAH</v>
      </c>
      <c r="M196" s="6">
        <f t="shared" si="52"/>
        <v>6.0763888832298107E-3</v>
      </c>
      <c r="N196" s="7">
        <f t="shared" si="70"/>
        <v>8.7499999918509275</v>
      </c>
      <c r="O196" s="7"/>
      <c r="P196" s="7"/>
      <c r="Q196" s="22"/>
      <c r="R196" s="170"/>
      <c r="S196" s="213">
        <f t="shared" si="73"/>
        <v>1</v>
      </c>
      <c r="T196" s="195" t="str">
        <f t="shared" si="53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4"/>
        <v>https://d0f6bd738d7f1b3e5a7ca70fe4ff75f0.us-east-1.aws.found.io/app/kibana#/discover/Steve-Slow-Train-Analysis-(2080s-and-2083s)?_g=(refreshInterval:(display:Off,pause:!f,section:0,value:0),time:(from:'2017-07-16T18:06:19-0600',mode:absolute,to:'2017-07-16T20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97" t="str">
        <f>IF(AA196&lt;VLOOKUP(AG196,Variables!$AC$3:$AD$8,2,FALSE),"Y","N")</f>
        <v>Y</v>
      </c>
      <c r="X196" s="197">
        <f t="shared" ref="X196:X216" si="74">VALUE(LEFT(AD196,4))-VALUE(LEFT(AD195,4))</f>
        <v>1</v>
      </c>
      <c r="Y196" s="197">
        <f t="shared" si="71"/>
        <v>4.6899999999999997E-2</v>
      </c>
      <c r="Z196" s="197">
        <f t="shared" si="72"/>
        <v>2.3311999999999999</v>
      </c>
      <c r="AA196" s="197">
        <f t="shared" si="55"/>
        <v>2.2843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6"/>
        <v>303</v>
      </c>
      <c r="AE196" s="77" t="str">
        <f t="shared" si="57"/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AF196" s="74" t="str">
        <f t="shared" si="58"/>
        <v>"C:\Program Files (x86)\AstroGrep\AstroGrep.exe" /e /r /s /spath="%USERPROFILE%\AppData\Local\Temp\OnboardLogs" /stypes="app*4008*20170717*" /stext=" 01:.+((SYSTEM_STATE.+slice.+state.+changed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303-16 --locoid 4008 --swversion DE.1.0.9.0 --startMP 204:469 --initTime 2017-07-16T19:06:19 --startdatetime 2017-07-16T19:13:50 --delay 1 --endMP 300:23312 --enddatetime 2017-07-16T19:22:35 --enforcementcount 0 &gt;&gt;C:\Users\stu\Documents\GitHub\eaglep3-reporting\EC\2017-07-16-refined-times.txt</v>
      </c>
      <c r="AI196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{"issue":{"subject":"","project_id":79,"tracker_id":40,"status_id":1,"priority_id":2,"assigned_to_id":23,"start_date":"2017-07-16","description":"","custom_fields":[{"id":1,"name":"Subdivision","value":"Other"},{"id":4,"name":"Milepost","value":"2.3312"},{"id":17,"name":"Train ID","value":"303-16"},{"id":16,"name":"Locomotive ID","value":"4008"},{"id":130,"name":"Impact","value":""},{"id":150,"name":"Time of Event (Mountain Time)","value":"19:22:35"},{"id":151,"name":"Denver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2"/>
        <v>start /low /b %USERPROFILE%\Documents\GitHub\eaglep3\Utilities\DownloadLogsFromS3.py --loco 4008 --day 2017-07-16</v>
      </c>
      <c r="AN196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01:22:35"},{"id":29,"name":"Sharepoint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600</v>
      </c>
      <c r="B197" s="7">
        <v>4005</v>
      </c>
      <c r="C197" s="21" t="s">
        <v>199</v>
      </c>
      <c r="D197" s="21" t="s">
        <v>956</v>
      </c>
      <c r="E197" s="13">
        <v>42932.157500000001</v>
      </c>
      <c r="F197" s="13">
        <v>42932.159548611111</v>
      </c>
      <c r="G197" s="7">
        <v>2</v>
      </c>
      <c r="H197" s="21" t="s">
        <v>957</v>
      </c>
      <c r="I197" s="13">
        <v>42932.159710648149</v>
      </c>
      <c r="J197" s="7">
        <v>0</v>
      </c>
      <c r="K197" s="89" t="str">
        <f t="shared" si="51"/>
        <v>4005/4006</v>
      </c>
      <c r="L197" s="21" t="str">
        <f>VLOOKUP(A197,'Trips&amp;Operators'!$C$1:$G$99999,5,FALSE)</f>
        <v>ROBINSON KADDIBA</v>
      </c>
      <c r="M197" s="6">
        <f t="shared" si="52"/>
        <v>1.6203703853534535E-4</v>
      </c>
      <c r="N197" s="7">
        <f t="shared" si="70"/>
        <v>0.2333333354908973</v>
      </c>
      <c r="O197" s="7"/>
      <c r="P197" s="7"/>
      <c r="Q197" s="22"/>
      <c r="R197" s="170"/>
      <c r="S197" s="213">
        <f t="shared" si="73"/>
        <v>0</v>
      </c>
      <c r="T197" s="195" t="str">
        <f t="shared" si="53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96" t="str">
        <f t="shared" si="54"/>
        <v>https://d0f6bd738d7f1b3e5a7ca70fe4ff75f0.us-east-1.aws.found.io/app/kibana#/discover/Steve-Slow-Train-Analysis-(2080s-and-2083s)?_g=(refreshInterval:(display:Off,pause:!f,section:0,value:0),time:(from:'2017-07-16T02:46:48-0600',mode:absolute,to:'2017-07-16T04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97" t="str">
        <f>IF(AA197&lt;VLOOKUP(AG197,Variables!$AC$3:$AD$8,2,FALSE),"Y","N")</f>
        <v>Y</v>
      </c>
      <c r="X197" s="197">
        <f t="shared" si="74"/>
        <v>1</v>
      </c>
      <c r="Y197" s="197">
        <f t="shared" si="71"/>
        <v>2.3776999999999999</v>
      </c>
      <c r="Z197" s="197">
        <f t="shared" si="72"/>
        <v>2.3146</v>
      </c>
      <c r="AA197" s="197">
        <f t="shared" si="55"/>
        <v>6.3099999999999934E-2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6"/>
        <v>304</v>
      </c>
      <c r="AE197" s="77" t="str">
        <f t="shared" si="57"/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AF197" s="74" t="str">
        <f t="shared" si="58"/>
        <v>"C:\Program Files (x86)\AstroGrep\AstroGrep.exe" /e /r /s /spath="%USERPROFILE%\AppData\Local\Temp\OnboardLogs" /stypes="app*4005*20170716*" /stext=" 09:.+((SYSTEM_STATE.+slice.+state.+changed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304-16 --locoid 4005 --swversion DE.1.0.9.0 --startMP 300:23777 --initTime 2017-07-16T03:46:48 --startdatetime 2017-07-16T03:49:45 --delay 2 --endMP 300:23146 --enddatetime 2017-07-16T03:49:59 --enforcementcount 0 &gt;&gt;C:\Users\stu\Documents\GitHub\eaglep3-reporting\EC\2017-07-16-refined-times.txt</v>
      </c>
      <c r="AI197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{"issue":{"subject":"","project_id":79,"tracker_id":40,"status_id":1,"priority_id":2,"assigned_to_id":23,"start_date":"2017-07-16","description":"","custom_fields":[{"id":1,"name":"Subdivision","value":"Other"},{"id":4,"name":"Milepost","value":"2.3146"},{"id":17,"name":"Train ID","value":"304-16"},{"id":16,"name":"Locomotive ID","value":"4005"},{"id":130,"name":"Impact","value":""},{"id":150,"name":"Time of Event (Mountain Time)","value":"03:49:59"},{"id":151,"name":"Denver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4005 --day 2017-07-16</v>
      </c>
      <c r="AN197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644</v>
      </c>
      <c r="B198" s="7">
        <v>4011</v>
      </c>
      <c r="C198" s="21" t="s">
        <v>199</v>
      </c>
      <c r="D198" s="21" t="s">
        <v>958</v>
      </c>
      <c r="E198" s="13">
        <v>42932.168819444443</v>
      </c>
      <c r="F198" s="13">
        <v>42932.172025462962</v>
      </c>
      <c r="G198" s="7">
        <v>4</v>
      </c>
      <c r="H198" s="21" t="s">
        <v>345</v>
      </c>
      <c r="I198" s="13">
        <v>42932.182222222225</v>
      </c>
      <c r="J198" s="7">
        <v>0</v>
      </c>
      <c r="K198" s="89" t="str">
        <f t="shared" si="51"/>
        <v>4011/4012</v>
      </c>
      <c r="L198" s="21" t="str">
        <f>VLOOKUP(A198,'Trips&amp;Operators'!$C$1:$G$99999,5,FALSE)</f>
        <v>BROWN JACOB</v>
      </c>
      <c r="M198" s="6">
        <f t="shared" si="52"/>
        <v>1.0196759263635613E-2</v>
      </c>
      <c r="N198" s="7">
        <f t="shared" si="70"/>
        <v>14.683333339635283</v>
      </c>
      <c r="O198" s="7"/>
      <c r="P198" s="7"/>
      <c r="Q198" s="22"/>
      <c r="R198" s="170"/>
      <c r="S198" s="213">
        <f t="shared" si="73"/>
        <v>1</v>
      </c>
      <c r="T198" s="195" t="str">
        <f t="shared" si="53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4"/>
        <v>https://d0f6bd738d7f1b3e5a7ca70fe4ff75f0.us-east-1.aws.found.io/app/kibana#/discover/Steve-Slow-Train-Analysis-(2080s-and-2083s)?_g=(refreshInterval:(display:Off,pause:!f,section:0,value:0),time:(from:'2017-07-16T03:03:06-0600',mode:absolute,to:'2017-07-16T05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97" t="str">
        <f>IF(AA198&lt;VLOOKUP(AG198,Variables!$AC$3:$AD$8,2,FALSE),"Y","N")</f>
        <v>Y</v>
      </c>
      <c r="X198" s="197">
        <f t="shared" si="74"/>
        <v>2</v>
      </c>
      <c r="Y198" s="197">
        <f t="shared" si="71"/>
        <v>2.3332000000000002</v>
      </c>
      <c r="Z198" s="197">
        <f t="shared" si="72"/>
        <v>1.43E-2</v>
      </c>
      <c r="AA198" s="197">
        <f t="shared" si="55"/>
        <v>2.3189000000000002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6"/>
        <v>306</v>
      </c>
      <c r="AE198" s="77" t="str">
        <f t="shared" si="57"/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AF198" s="74" t="str">
        <f t="shared" si="58"/>
        <v>"C:\Program Files (x86)\AstroGrep\AstroGrep.exe" /e /r /s /spath="%USERPROFILE%\AppData\Local\Temp\OnboardLogs" /stypes="app*4011*20170716*" /stext=" 10:.+((SYSTEM_STATE.+slice.+state.+changed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306-16 --locoid 4011 --swversion DE.1.0.9.0 --startMP 300:23332 --initTime 2017-07-16T04:03:06 --startdatetime 2017-07-16T04:07:43 --delay 4 --endMP 204:143 --enddatetime 2017-07-16T04:22:24 --enforcementcount 0 &gt;&gt;C:\Users\stu\Documents\GitHub\eaglep3-reporting\EC\2017-07-16-refined-times.txt</v>
      </c>
      <c r="AI198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{"issue":{"subject":"","project_id":79,"tracker_id":40,"status_id":1,"priority_id":2,"assigned_to_id":23,"start_date":"2017-07-16","description":"","custom_fields":[{"id":1,"name":"Subdivision","value":"Other"},{"id":4,"name":"Milepost","value":"0.0143"},{"id":17,"name":"Train ID","value":"306-16"},{"id":16,"name":"Locomotive ID","value":"4011"},{"id":130,"name":"Impact","value":""},{"id":150,"name":"Time of Event (Mountain Time)","value":"04:22:24"},{"id":151,"name":"Denver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2"/>
        <v>start /low /b %USERPROFILE%\Documents\GitHub\eaglep3\Utilities\DownloadLogsFromS3.py --loco 4011 --day 2017-07-16</v>
      </c>
      <c r="AN198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839</v>
      </c>
      <c r="B199" s="7">
        <v>4002</v>
      </c>
      <c r="C199" s="21" t="s">
        <v>199</v>
      </c>
      <c r="D199" s="21" t="s">
        <v>196</v>
      </c>
      <c r="E199" s="13">
        <v>42933.028148148151</v>
      </c>
      <c r="F199" s="13">
        <v>42933.029467592591</v>
      </c>
      <c r="G199" s="7">
        <v>1</v>
      </c>
      <c r="H199" s="21" t="s">
        <v>589</v>
      </c>
      <c r="I199" s="13">
        <v>42933.03733796296</v>
      </c>
      <c r="J199" s="7">
        <v>0</v>
      </c>
      <c r="K199" s="89" t="str">
        <f t="shared" si="51"/>
        <v>4001/4002</v>
      </c>
      <c r="L199" s="21" t="str">
        <f>VLOOKUP(A199,'Trips&amp;Operators'!$C$1:$G$99999,5,FALSE)</f>
        <v>STAMBAUGH JAMES</v>
      </c>
      <c r="M199" s="6">
        <f t="shared" si="52"/>
        <v>7.8703703693463467E-3</v>
      </c>
      <c r="N199" s="7">
        <f t="shared" si="70"/>
        <v>11.333333331858739</v>
      </c>
      <c r="O199" s="7"/>
      <c r="P199" s="7"/>
      <c r="Q199" s="22"/>
      <c r="R199" s="170"/>
      <c r="S199" s="213">
        <f t="shared" si="73"/>
        <v>1</v>
      </c>
      <c r="T199" s="195" t="str">
        <f t="shared" si="53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4"/>
        <v>https://d0f6bd738d7f1b3e5a7ca70fe4ff75f0.us-east-1.aws.found.io/app/kibana#/discover/Steve-Slow-Train-Analysis-(2080s-and-2083s)?_g=(refreshInterval:(display:Off,pause:!f,section:0,value:0),time:(from:'2017-07-16T23:40:32-0600',mode:absolute,to:'2017-07-17T01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197" t="str">
        <f>IF(AA199&lt;VLOOKUP(AG199,Variables!$AC$3:$AD$8,2,FALSE),"Y","N")</f>
        <v>Y</v>
      </c>
      <c r="X199" s="197">
        <f t="shared" si="74"/>
        <v>1</v>
      </c>
      <c r="Y199" s="197">
        <f t="shared" si="71"/>
        <v>4.5699999999999998E-2</v>
      </c>
      <c r="Z199" s="197">
        <f t="shared" si="72"/>
        <v>2.3287</v>
      </c>
      <c r="AA199" s="197">
        <f t="shared" si="55"/>
        <v>2.2829999999999999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6"/>
        <v>307</v>
      </c>
      <c r="AE199" s="77" t="str">
        <f t="shared" si="57"/>
        <v>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 &amp; aws s3 cp s3://rtdc.mdm.uploadarchive.raw/RTDC4002/ "%USERPROFILE%\AppData\Local\Temp\OnboardLogs"\RTDC4002\2017-07-18 --exclude "*" --recursive --include "*20170718*" &amp; "%USERPROFILE%\Documents\GitHub\mrs-test-scripts\Headless Mode &amp; Sideloading\WalkAndUnGZ.bat" "%USERPROFILE%\AppData\Local\Temp\OnboardLogs"\RTDC4002\2017-07-18</v>
      </c>
      <c r="AF199" s="74" t="str">
        <f t="shared" si="58"/>
        <v>"C:\Program Files (x86)\AstroGrep\AstroGrep.exe" /e /r /s /spath="%USERPROFILE%\AppData\Local\Temp\OnboardLogs" /stypes="app*4002*20170717*" /stext=" 06:.+((SYSTEM_STATE.+slice.+state.+changed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307-16 --locoid 4002 --swversion DE.1.0.9.0 --startMP 204:457 --initTime 2017-07-17T00:40:32 --startdatetime 2017-07-17T00:42:26 --delay 1 --endMP 300:23287 --enddatetime 2017-07-17T00:53:46 --enforcementcount 0 &gt;&gt;C:\Users\stu\Documents\GitHub\eaglep3-reporting\EC\2017-07-16-refined-times.txt</v>
      </c>
      <c r="AI199" s="96" t="str">
        <f t="shared" si="61"/>
        <v>echo {"issue":{"subject":"","project_id":79,"tracker_id":40,"status_id":1,"priority_id":2,"assigned_to_id":23,"start_date":"2017-07-17","description":"","custom_fields":[{"id":1,"name":"Subdivision","value":"Other"},{"id":4,"name":"Milepost","value":"2.3287"},{"id":17,"name":"Train ID","value":"307-16"},{"id":16,"name":"Locomotive ID","value":"4002"},{"id":130,"name":"Impact","value":""},{"id":150,"name":"Time of Event (Mountain Time)","value":"00:53:46"},{"id":151,"name":"Denver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2"/>
        <v>start /low /b %USERPROFILE%\Documents\GitHub\eaglep3\Utilities\DownloadLogsFromS3.py --loco 4002 --day 2017-07-17</v>
      </c>
      <c r="AN199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06:53:46"},{"id":29,"name":"Sharepoint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602</v>
      </c>
      <c r="B200" s="7">
        <v>4049</v>
      </c>
      <c r="C200" s="21" t="s">
        <v>199</v>
      </c>
      <c r="D200" s="21" t="s">
        <v>959</v>
      </c>
      <c r="E200" s="13">
        <v>42932.179189814815</v>
      </c>
      <c r="F200" s="13">
        <v>42932.183287037034</v>
      </c>
      <c r="G200" s="7">
        <v>5</v>
      </c>
      <c r="H200" s="21" t="s">
        <v>960</v>
      </c>
      <c r="I200" s="13">
        <v>42932.183472222219</v>
      </c>
      <c r="J200" s="7">
        <v>0</v>
      </c>
      <c r="K200" s="89" t="str">
        <f t="shared" si="51"/>
        <v>4049/4050</v>
      </c>
      <c r="L200" s="21" t="str">
        <f>VLOOKUP(A200,'Trips&amp;Operators'!$C$1:$G$99999,5,FALSE)</f>
        <v>GEBRETEKLE DAGNEW</v>
      </c>
      <c r="M200" s="6">
        <f t="shared" si="52"/>
        <v>1.8518518481869251E-4</v>
      </c>
      <c r="N200" s="7">
        <f t="shared" si="70"/>
        <v>0.26666666613891721</v>
      </c>
      <c r="O200" s="7"/>
      <c r="P200" s="7"/>
      <c r="Q200" s="22"/>
      <c r="R200" s="170"/>
      <c r="S200" s="213">
        <f t="shared" si="73"/>
        <v>0</v>
      </c>
      <c r="T200" s="195" t="str">
        <f t="shared" si="5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6" t="str">
        <f t="shared" si="54"/>
        <v>https://d0f6bd738d7f1b3e5a7ca70fe4ff75f0.us-east-1.aws.found.io/app/kibana#/discover/Steve-Slow-Train-Analysis-(2080s-and-2083s)?_g=(refreshInterval:(display:Off,pause:!f,section:0,value:0),time:(from:'2017-07-16T03:18:02-0600',mode:absolute,to:'2017-07-16T05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197" t="str">
        <f>IF(AA200&lt;VLOOKUP(AG200,Variables!$AC$3:$AD$8,2,FALSE),"Y","N")</f>
        <v>Y</v>
      </c>
      <c r="X200" s="197">
        <f t="shared" si="74"/>
        <v>1</v>
      </c>
      <c r="Y200" s="197">
        <f t="shared" si="71"/>
        <v>2.3794</v>
      </c>
      <c r="Z200" s="197">
        <f t="shared" si="72"/>
        <v>2.2871999999999999</v>
      </c>
      <c r="AA200" s="197">
        <f t="shared" si="55"/>
        <v>9.220000000000006E-2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6"/>
        <v>308</v>
      </c>
      <c r="AE200" s="77" t="str">
        <f t="shared" si="57"/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AF200" s="74" t="str">
        <f t="shared" si="58"/>
        <v>"C:\Program Files (x86)\AstroGrep\AstroGrep.exe" /e /r /s /spath="%USERPROFILE%\AppData\Local\Temp\OnboardLogs" /stypes="app*4049*20170716*" /stext=" 10:.+((SYSTEM_STATE.+slice.+state.+changed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308-16 --locoid 4049 --swversion DE.1.0.9.0 --startMP 300:23794 --initTime 2017-07-16T04:18:02 --startdatetime 2017-07-16T04:23:56 --delay 5 --endMP 300:22872 --enddatetime 2017-07-16T04:24:12 --enforcementcount 0 &gt;&gt;C:\Users\stu\Documents\GitHub\eaglep3-reporting\EC\2017-07-16-refined-times.txt</v>
      </c>
      <c r="AI200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{"issue":{"subject":"","project_id":79,"tracker_id":40,"status_id":1,"priority_id":2,"assigned_to_id":23,"start_date":"2017-07-16","description":"","custom_fields":[{"id":1,"name":"Subdivision","value":"Other"},{"id":4,"name":"Milepost","value":"2.2872"},{"id":17,"name":"Train ID","value":"308-16"},{"id":16,"name":"Locomotive ID","value":"4049"},{"id":130,"name":"Impact","value":""},{"id":150,"name":"Time of Event (Mountain Time)","value":"04:24:12"},{"id":151,"name":"Denver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2"/>
        <v>start /low /b %USERPROFILE%\Documents\GitHub\eaglep3\Utilities\DownloadLogsFromS3.py --loco 4049 --day 2017-07-16</v>
      </c>
      <c r="AN200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840</v>
      </c>
      <c r="B201" s="7">
        <v>4064</v>
      </c>
      <c r="C201" s="21" t="s">
        <v>199</v>
      </c>
      <c r="D201" s="21" t="s">
        <v>853</v>
      </c>
      <c r="E201" s="13">
        <v>42933.047418981485</v>
      </c>
      <c r="F201" s="13">
        <v>42933.050243055557</v>
      </c>
      <c r="G201" s="7">
        <v>2</v>
      </c>
      <c r="H201" s="21" t="s">
        <v>588</v>
      </c>
      <c r="I201" s="13">
        <v>42933.060381944444</v>
      </c>
      <c r="J201" s="7">
        <v>0</v>
      </c>
      <c r="K201" s="89" t="str">
        <f t="shared" si="51"/>
        <v>4063/4064</v>
      </c>
      <c r="L201" s="21" t="str">
        <f>VLOOKUP(A201,'Trips&amp;Operators'!$C$1:$G$99999,5,FALSE)</f>
        <v>SMITH MICHAEL</v>
      </c>
      <c r="M201" s="6">
        <f t="shared" si="52"/>
        <v>1.0138888887013309E-2</v>
      </c>
      <c r="N201" s="7">
        <f t="shared" si="70"/>
        <v>14.599999997299165</v>
      </c>
      <c r="O201" s="7"/>
      <c r="P201" s="7"/>
      <c r="Q201" s="22"/>
      <c r="R201" s="170"/>
      <c r="S201" s="213">
        <f t="shared" si="73"/>
        <v>1</v>
      </c>
      <c r="T201" s="195" t="str">
        <f t="shared" si="5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4"/>
        <v>https://d0f6bd738d7f1b3e5a7ca70fe4ff75f0.us-east-1.aws.found.io/app/kibana#/discover/Steve-Slow-Train-Analysis-(2080s-and-2083s)?_g=(refreshInterval:(display:Off,pause:!f,section:0,value:0),time:(from:'2017-07-17T00:08:17-0600',mode:absolute,to:'2017-07-17T02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197" t="str">
        <f>IF(AA201&lt;VLOOKUP(AG201,Variables!$AC$3:$AD$8,2,FALSE),"Y","N")</f>
        <v>Y</v>
      </c>
      <c r="X201" s="197">
        <f t="shared" si="74"/>
        <v>1</v>
      </c>
      <c r="Y201" s="197">
        <f t="shared" si="71"/>
        <v>4.4900000000000002E-2</v>
      </c>
      <c r="Z201" s="197">
        <f t="shared" si="72"/>
        <v>2.3304</v>
      </c>
      <c r="AA201" s="197">
        <f t="shared" si="55"/>
        <v>2.2854999999999999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6"/>
        <v>309</v>
      </c>
      <c r="AE201" s="77" t="str">
        <f t="shared" si="57"/>
        <v>aws s3 cp s3://rtdc.mdm.uploadarchive.raw/RTDC4064/ "%USERPROFILE%\AppData\Local\Temp\OnboardLogs"\RTDC4064\2017-07-17 --exclude "*" --recursive --include "*20170717*" &amp; "%USERPROFILE%\Documents\GitHub\mrs-test-scripts\Headless Mode &amp; Sideloading\WalkAndUnGZ.bat" "%USERPROFILE%\AppData\Local\Temp\OnboardLogs"\RTDC4064\2017-07-17 &amp; aws s3 cp s3://rtdc.mdm.uploadarchive.raw/RTDC4064/ "%USERPROFILE%\AppData\Local\Temp\OnboardLogs"\RTDC4064\2017-07-18 --exclude "*" --recursive --include "*20170718*" &amp; "%USERPROFILE%\Documents\GitHub\mrs-test-scripts\Headless Mode &amp; Sideloading\WalkAndUnGZ.bat" "%USERPROFILE%\AppData\Local\Temp\OnboardLogs"\RTDC4064\2017-07-18</v>
      </c>
      <c r="AF201" s="74" t="str">
        <f t="shared" si="58"/>
        <v>"C:\Program Files (x86)\AstroGrep\AstroGrep.exe" /e /r /s /spath="%USERPROFILE%\AppData\Local\Temp\OnboardLogs" /stypes="app*4064*20170717*" /stext=" 07:.+((SYSTEM_STATE.+slice.+state.+changed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309-16 --locoid 4064 --swversion DE.1.0.9.0 --startMP 204:449 --initTime 2017-07-17T01:08:17 --startdatetime 2017-07-17T01:12:21 --delay 2 --endMP 300:23304 --enddatetime 2017-07-17T01:26:57 --enforcementcount 0 &gt;&gt;C:\Users\stu\Documents\GitHub\eaglep3-reporting\EC\2017-07-16-refined-times.txt</v>
      </c>
      <c r="AI201" s="96" t="str">
        <f t="shared" si="61"/>
        <v>echo {"issue":{"subject":"","project_id":79,"tracker_id":40,"status_id":1,"priority_id":2,"assigned_to_id":23,"start_date":"2017-07-17","description":"","custom_fields":[{"id":1,"name":"Subdivision","value":"Other"},{"id":4,"name":"Milepost","value":"2.3304"},{"id":17,"name":"Train ID","value":"309-16"},{"id":16,"name":"Locomotive ID","value":"4064"},{"id":130,"name":"Impact","value":""},{"id":150,"name":"Time of Event (Mountain Time)","value":"01:26:57"},{"id":151,"name":"Denver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2"/>
        <v>start /low /b %USERPROFILE%\Documents\GitHub\eaglep3\Utilities\DownloadLogsFromS3.py --loco 4064 --day 2017-07-17</v>
      </c>
      <c r="AN201" s="151" t="str">
        <f t="shared" si="63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07:26:57"},{"id":29,"name":"Sharepoint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653</v>
      </c>
      <c r="B202" s="7">
        <v>4007</v>
      </c>
      <c r="C202" s="21" t="s">
        <v>199</v>
      </c>
      <c r="D202" s="21" t="s">
        <v>961</v>
      </c>
      <c r="E202" s="13">
        <v>42932.196712962963</v>
      </c>
      <c r="F202" s="13">
        <v>42932.201678240737</v>
      </c>
      <c r="G202" s="7">
        <v>7</v>
      </c>
      <c r="H202" s="21" t="s">
        <v>344</v>
      </c>
      <c r="I202" s="13">
        <v>42932.208078703705</v>
      </c>
      <c r="J202" s="7">
        <v>0</v>
      </c>
      <c r="K202" s="89" t="str">
        <f t="shared" si="51"/>
        <v>4007/4008</v>
      </c>
      <c r="L202" s="21" t="str">
        <f>VLOOKUP(A202,'Trips&amp;Operators'!$C$1:$G$99999,5,FALSE)</f>
        <v>GUZMAN DANNY</v>
      </c>
      <c r="M202" s="6">
        <f t="shared" si="52"/>
        <v>6.4004629675764591E-3</v>
      </c>
      <c r="N202" s="7">
        <f t="shared" si="70"/>
        <v>9.216666673310101</v>
      </c>
      <c r="O202" s="7"/>
      <c r="P202" s="7"/>
      <c r="Q202" s="22"/>
      <c r="R202" s="170"/>
      <c r="S202" s="213">
        <f t="shared" si="73"/>
        <v>1</v>
      </c>
      <c r="T202" s="195" t="str">
        <f t="shared" si="5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4"/>
        <v>https://d0f6bd738d7f1b3e5a7ca70fe4ff75f0.us-east-1.aws.found.io/app/kibana#/discover/Steve-Slow-Train-Analysis-(2080s-and-2083s)?_g=(refreshInterval:(display:Off,pause:!f,section:0,value:0),time:(from:'2017-07-16T03:43:16-0600',mode:absolute,to:'2017-07-16T05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97" t="str">
        <f>IF(AA202&lt;VLOOKUP(AG202,Variables!$AC$3:$AD$8,2,FALSE),"Y","N")</f>
        <v>Y</v>
      </c>
      <c r="X202" s="197">
        <f t="shared" si="74"/>
        <v>1</v>
      </c>
      <c r="Y202" s="197">
        <f t="shared" si="71"/>
        <v>2.3481000000000001</v>
      </c>
      <c r="Z202" s="197">
        <f t="shared" si="72"/>
        <v>1.49E-2</v>
      </c>
      <c r="AA202" s="197">
        <f t="shared" si="55"/>
        <v>2.3332000000000002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6"/>
        <v>310</v>
      </c>
      <c r="AE202" s="77" t="str">
        <f t="shared" si="57"/>
        <v>aws s3 cp s3://rtdc.mdm.uploadarchive.raw/RTDC4007/ "%USERPROFILE%\AppData\Local\Temp\OnboardLogs"\RTDC4007\2017-07-16 --exclude "*" --recursive --include "*20170716*" &amp; "%USERPROFILE%\Documents\GitHub\mrs-test-scripts\Headless Mode &amp; Sideloading\WalkAndUnGZ.bat" "%USERPROFILE%\AppData\Local\Temp\OnboardLogs"\RTDC4007\2017-07-16 &amp; aws s3 cp s3://rtdc.mdm.uploadarchive.raw/RTDC4007/ "%USERPROFILE%\AppData\Local\Temp\OnboardLogs"\RTDC4007\2017-07-17 --exclude "*" --recursive --include "*20170717*" &amp; "%USERPROFILE%\Documents\GitHub\mrs-test-scripts\Headless Mode &amp; Sideloading\WalkAndUnGZ.bat" "%USERPROFILE%\AppData\Local\Temp\OnboardLogs"\RTDC4007\2017-07-17</v>
      </c>
      <c r="AF202" s="74" t="str">
        <f t="shared" si="58"/>
        <v>"C:\Program Files (x86)\AstroGrep\AstroGrep.exe" /e /r /s /spath="%USERPROFILE%\AppData\Local\Temp\OnboardLogs" /stypes="app*4007*20170716*" /stext=" 10:.+((SYSTEM_STATE.+slice.+state.+changed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310-16 --locoid 4007 --swversion DE.1.0.9.0 --startMP 300:23481 --initTime 2017-07-16T04:43:16 --startdatetime 2017-07-16T04:50:25 --delay 7 --endMP 204:149 --enddatetime 2017-07-16T04:59:38 --enforcementcount 0 &gt;&gt;C:\Users\stu\Documents\GitHub\eaglep3-reporting\EC\2017-07-16-refined-times.txt</v>
      </c>
      <c r="AI202" s="96" t="str">
        <f t="shared" si="61"/>
        <v>echo {"issue":{"subject":"","project_id":79,"tracker_id":40,"status_id":1,"priority_id":2,"assigned_to_id":23,"start_date":"2017-07-16","description":"","custom_fields":[{"id":1,"name":"Subdivision","value":"Other"},{"id":4,"name":"Milepost","value":"0.0149"},{"id":17,"name":"Train ID","value":"310-16"},{"id":16,"name":"Locomotive ID","value":"4007"},{"id":130,"name":"Impact","value":""},{"id":150,"name":"Time of Event (Mountain Time)","value":"04:59:38"},{"id":151,"name":"Denver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2"/>
        <v>start /low /b %USERPROFILE%\Documents\GitHub\eaglep3\Utilities\DownloadLogsFromS3.py --loco 4007 --day 2017-07-16</v>
      </c>
      <c r="AN202" s="151" t="str">
        <f t="shared" si="63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10:59:38"},{"id":29,"name":"Sharepoint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629</v>
      </c>
      <c r="B203" s="7">
        <v>4054</v>
      </c>
      <c r="C203" s="21" t="s">
        <v>199</v>
      </c>
      <c r="D203" s="21" t="s">
        <v>507</v>
      </c>
      <c r="E203" s="13">
        <v>42932.088483796295</v>
      </c>
      <c r="F203" s="13">
        <v>42932.089687500003</v>
      </c>
      <c r="G203" s="7">
        <v>1</v>
      </c>
      <c r="H203" s="21" t="s">
        <v>348</v>
      </c>
      <c r="I203" s="13">
        <v>42932.098171296297</v>
      </c>
      <c r="J203" s="7">
        <v>0</v>
      </c>
      <c r="K203" s="89" t="str">
        <f t="shared" si="51"/>
        <v>4053/4054</v>
      </c>
      <c r="L203" s="21" t="str">
        <f>VLOOKUP(A203,'Trips&amp;Operators'!$C$1:$G$99999,5,FALSE)</f>
        <v>FORTUNATO FRANK</v>
      </c>
      <c r="M203" s="6">
        <f t="shared" si="52"/>
        <v>8.4837962931487709E-3</v>
      </c>
      <c r="N203" s="7">
        <f t="shared" si="70"/>
        <v>12.21666666213423</v>
      </c>
      <c r="O203" s="7"/>
      <c r="P203" s="7"/>
      <c r="Q203" s="22"/>
      <c r="R203" s="170"/>
      <c r="S203" s="213">
        <f t="shared" si="73"/>
        <v>1</v>
      </c>
      <c r="T203" s="195" t="str">
        <f t="shared" si="5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4"/>
        <v>https://d0f6bd738d7f1b3e5a7ca70fe4ff75f0.us-east-1.aws.found.io/app/kibana#/discover/Steve-Slow-Train-Analysis-(2080s-and-2083s)?_g=(refreshInterval:(display:Off,pause:!f,section:0,value:0),time:(from:'2017-07-16T01:07:25-0600',mode:absolute,to:'2017-07-16T03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3" s="197" t="str">
        <f>IF(AA203&lt;VLOOKUP(AG203,Variables!$AC$3:$AD$8,2,FALSE),"Y","N")</f>
        <v>Y</v>
      </c>
      <c r="X203" s="197">
        <f t="shared" si="74"/>
        <v>1</v>
      </c>
      <c r="Y203" s="197">
        <f t="shared" si="71"/>
        <v>4.4200000000000003E-2</v>
      </c>
      <c r="Z203" s="197">
        <f t="shared" si="72"/>
        <v>2.3346</v>
      </c>
      <c r="AA203" s="197">
        <f t="shared" si="55"/>
        <v>2.2904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6"/>
        <v>311</v>
      </c>
      <c r="AE203" s="77" t="str">
        <f t="shared" si="57"/>
        <v>aws s3 cp s3://rtdc.mdm.uploadarchive.raw/RTDC4054/ "%USERPROFILE%\AppData\Local\Temp\OnboardLogs"\RTDC4054\2017-07-16 --exclude "*" --recursive --include "*20170716*" &amp; "%USERPROFILE%\Documents\GitHub\mrs-test-scripts\Headless Mode &amp; Sideloading\WalkAndUnGZ.bat" "%USERPROFILE%\AppData\Local\Temp\OnboardLogs"\RTDC4054\2017-07-16 &amp; aws s3 cp s3://rtdc.mdm.uploadarchive.raw/RTDC4054/ "%USERPROFILE%\AppData\Local\Temp\OnboardLogs"\RTDC4054\2017-07-17 --exclude "*" --recursive --include "*20170717*" &amp; "%USERPROFILE%\Documents\GitHub\mrs-test-scripts\Headless Mode &amp; Sideloading\WalkAndUnGZ.bat" "%USERPROFILE%\AppData\Local\Temp\OnboardLogs"\RTDC4054\2017-07-17</v>
      </c>
      <c r="AF203" s="74" t="str">
        <f t="shared" si="58"/>
        <v>"C:\Program Files (x86)\AstroGrep\AstroGrep.exe" /e /r /s /spath="%USERPROFILE%\AppData\Local\Temp\OnboardLogs" /stypes="app*4054*20170716*" /stext=" 08:.+((SYSTEM_STATE.+slice.+state.+changed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ref="AH203:AH216" si="7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311-15 --locoid 4054 --swversion DE.1.0.9.0 --startMP 204:442 --initTime 2017-07-16T02:07:25 --startdatetime 2017-07-16T02:09:09 --delay 1 --endMP 300:23346 --enddatetime 2017-07-16T02:21:22 --enforcementcount 0 &gt;&gt;C:\Users\stu\Documents\GitHub\eaglep3-reporting\EC\2017-07-16-refined-times.txt</v>
      </c>
      <c r="AI203" s="96" t="str">
        <f t="shared" ref="AI203:AI216" si="7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{"issue":{"subject":"","project_id":79,"tracker_id":40,"status_id":1,"priority_id":2,"assigned_to_id":23,"start_date":"2017-07-16","description":"","custom_fields":[{"id":1,"name":"Subdivision","value":"Other"},{"id":4,"name":"Milepost","value":"2.3346"},{"id":17,"name":"Train ID","value":"311-15"},{"id":16,"name":"Locomotive ID","value":"4054"},{"id":130,"name":"Impact","value":""},{"id":150,"name":"Time of Event (Mountain Time)","value":"02:21:22"},{"id":151,"name":"Denver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ref="AM203:AM216" si="77">"start /low /b "&amp;dls3logs&amp;" --loco "&amp;B203&amp;" --day "&amp;TEXT(F203,"YYYY-MM-DD")</f>
        <v>start /low /b %USERPROFILE%\Documents\GitHub\eaglep3\Utilities\DownloadLogsFromS3.py --loco 4054 --day 2017-07-16</v>
      </c>
      <c r="AN203" s="151" t="str">
        <f t="shared" ref="AN203:AN216" si="78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842</v>
      </c>
      <c r="B204" s="7">
        <v>4006</v>
      </c>
      <c r="C204" s="21" t="s">
        <v>199</v>
      </c>
      <c r="D204" s="21" t="s">
        <v>512</v>
      </c>
      <c r="E204" s="13">
        <v>42933.070567129631</v>
      </c>
      <c r="F204" s="13">
        <v>42933.071886574071</v>
      </c>
      <c r="G204" s="7">
        <v>1</v>
      </c>
      <c r="H204" s="21" t="s">
        <v>962</v>
      </c>
      <c r="I204" s="13">
        <v>42933.07953703704</v>
      </c>
      <c r="J204" s="7">
        <v>0</v>
      </c>
      <c r="K204" s="89" t="str">
        <f t="shared" si="51"/>
        <v>4005/4006</v>
      </c>
      <c r="L204" s="21" t="str">
        <f>VLOOKUP(A204,'Trips&amp;Operators'!$C$1:$G$99999,5,FALSE)</f>
        <v>PERKINS DARREN</v>
      </c>
      <c r="M204" s="6">
        <f t="shared" si="52"/>
        <v>7.6504629687406123E-3</v>
      </c>
      <c r="N204" s="7">
        <f t="shared" si="70"/>
        <v>11.016666674986482</v>
      </c>
      <c r="O204" s="7"/>
      <c r="P204" s="7"/>
      <c r="Q204" s="22"/>
      <c r="R204" s="170"/>
      <c r="S204" s="213">
        <f t="shared" si="73"/>
        <v>1</v>
      </c>
      <c r="T204" s="195" t="str">
        <f t="shared" si="53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4"/>
        <v>https://d0f6bd738d7f1b3e5a7ca70fe4ff75f0.us-east-1.aws.found.io/app/kibana#/discover/Steve-Slow-Train-Analysis-(2080s-and-2083s)?_g=(refreshInterval:(display:Off,pause:!f,section:0,value:0),time:(from:'2017-07-17T00:41:37-0600',mode:absolute,to:'2017-07-17T02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97" t="str">
        <f>IF(AA204&lt;VLOOKUP(AG204,Variables!$AC$3:$AD$8,2,FALSE),"Y","N")</f>
        <v>Y</v>
      </c>
      <c r="X204" s="197">
        <f t="shared" si="74"/>
        <v>0</v>
      </c>
      <c r="Y204" s="197">
        <f t="shared" si="71"/>
        <v>4.6699999999999998E-2</v>
      </c>
      <c r="Z204" s="197">
        <f t="shared" si="72"/>
        <v>2.3306</v>
      </c>
      <c r="AA204" s="197">
        <f t="shared" si="55"/>
        <v>2.2839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6"/>
        <v>311</v>
      </c>
      <c r="AE204" s="77" t="str">
        <f t="shared" si="57"/>
        <v>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 &amp; aws s3 cp s3://rtdc.mdm.uploadarchive.raw/RTDC4006/ "%USERPROFILE%\AppData\Local\Temp\OnboardLogs"\RTDC4006\2017-07-18 --exclude "*" --recursive --include "*20170718*" &amp; "%USERPROFILE%\Documents\GitHub\mrs-test-scripts\Headless Mode &amp; Sideloading\WalkAndUnGZ.bat" "%USERPROFILE%\AppData\Local\Temp\OnboardLogs"\RTDC4006\2017-07-18</v>
      </c>
      <c r="AF204" s="74" t="str">
        <f t="shared" si="58"/>
        <v>"C:\Program Files (x86)\AstroGrep\AstroGrep.exe" /e /r /s /spath="%USERPROFILE%\AppData\Local\Temp\OnboardLogs" /stypes="app*4006*20170717*" /stext=" 07:.+((SYSTEM_STATE.+slice.+state.+changed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si="75"/>
        <v>"%USERPROFILE%\Documents\GitHub\eaglep3\Utilities\RefineRTDCRunTimes.py" --tripid 311-16 --locoid 4006 --swversion DE.1.0.9.0 --startMP 204:467 --initTime 2017-07-17T01:41:37 --startdatetime 2017-07-17T01:43:31 --delay 1 --endMP 300:23306 --enddatetime 2017-07-17T01:54:32 --enforcementcount 0 &gt;&gt;C:\Users\stu\Documents\GitHub\eaglep3-reporting\EC\2017-07-16-refined-times.txt</v>
      </c>
      <c r="AI204" s="96" t="str">
        <f t="shared" si="76"/>
        <v>echo {"issue":{"subject":"","project_id":79,"tracker_id":40,"status_id":1,"priority_id":2,"assigned_to_id":23,"start_date":"2017-07-17","description":"","custom_fields":[{"id":1,"name":"Subdivision","value":"Other"},{"id":4,"name":"Milepost","value":"2.3306"},{"id":17,"name":"Train ID","value":"311-16"},{"id":16,"name":"Locomotive ID","value":"4006"},{"id":130,"name":"Impact","value":""},{"id":150,"name":"Time of Event (Mountain Time)","value":"01:54:32"},{"id":151,"name":"Denver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7"/>
        <v>start /low /b %USERPROFILE%\Documents\GitHub\eaglep3\Utilities\DownloadLogsFromS3.py --loco 4006 --day 2017-07-17</v>
      </c>
      <c r="AN204" s="151" t="str">
        <f t="shared" si="78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603</v>
      </c>
      <c r="B205" s="7">
        <v>4061</v>
      </c>
      <c r="C205" s="21" t="s">
        <v>199</v>
      </c>
      <c r="D205" s="21" t="s">
        <v>963</v>
      </c>
      <c r="E205" s="13">
        <v>42932.223854166667</v>
      </c>
      <c r="F205" s="13">
        <v>42932.227395833332</v>
      </c>
      <c r="G205" s="7">
        <v>5</v>
      </c>
      <c r="H205" s="21" t="s">
        <v>474</v>
      </c>
      <c r="I205" s="13">
        <v>42932.23537037037</v>
      </c>
      <c r="J205" s="7">
        <v>0</v>
      </c>
      <c r="K205" s="89" t="str">
        <f t="shared" ref="K205:K216" si="79">IF(ISEVEN(B205),(B205-1)&amp;"/"&amp;B205,B205&amp;"/"&amp;(B205+1))</f>
        <v>4061/4062</v>
      </c>
      <c r="L205" s="21" t="str">
        <f>VLOOKUP(A205,'Trips&amp;Operators'!$C$1:$G$99999,5,FALSE)</f>
        <v>MACDONALD THOMAS</v>
      </c>
      <c r="M205" s="6">
        <f t="shared" ref="M205:M216" si="80">I205-F205</f>
        <v>7.9745370385353453E-3</v>
      </c>
      <c r="N205" s="7">
        <f t="shared" si="70"/>
        <v>11.483333335490897</v>
      </c>
      <c r="O205" s="7"/>
      <c r="P205" s="7"/>
      <c r="Q205" s="22"/>
      <c r="R205" s="170"/>
      <c r="S205" s="213">
        <f t="shared" si="73"/>
        <v>1</v>
      </c>
      <c r="T205" s="195" t="str">
        <f t="shared" ref="T205:T216" si="81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6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-16T04:22:21-0600',mode:absolute,to:'2017-07-16T06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5" s="197" t="str">
        <f>IF(AA205&lt;VLOOKUP(AG205,Variables!$AC$3:$AD$8,2,FALSE),"Y","N")</f>
        <v>Y</v>
      </c>
      <c r="X205" s="197">
        <f t="shared" si="74"/>
        <v>1</v>
      </c>
      <c r="Y205" s="197">
        <f t="shared" si="71"/>
        <v>2.3542000000000001</v>
      </c>
      <c r="Z205" s="197">
        <f t="shared" si="72"/>
        <v>1.61E-2</v>
      </c>
      <c r="AA205" s="197">
        <f t="shared" ref="AA205:AA268" si="83">ABS(Z205-Y205)</f>
        <v>2.3381000000000003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6" si="84">VALUE(LEFT(A205,LEN(A205)-3))</f>
        <v>312</v>
      </c>
      <c r="AE205" s="77" t="str">
        <f t="shared" ref="AE205:AE216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AF205" s="74" t="str">
        <f t="shared" ref="AF205:AF216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/stypes="app*4061*20170716*" /stext=" 11:.+((SYSTEM_STATE.+slice.+state.+changed )|(ment ac)|(multiple cpu faults)|(system.+state.+changed )|(\[timeout)|(PRM\|1\|D)|(kpr)|(kdp)|(train st.+moving)|(\|lc)|(penalty))"</v>
      </c>
      <c r="AG205" s="209" t="str">
        <f t="shared" ref="AG205:AG216" si="87">DetSubdiv(A205)</f>
        <v>Other</v>
      </c>
      <c r="AH205" s="78" t="str">
        <f t="shared" si="75"/>
        <v>"%USERPROFILE%\Documents\GitHub\eaglep3\Utilities\RefineRTDCRunTimes.py" --tripid 312-16 --locoid 4061 --swversion DE.1.0.9.0 --startMP 300:23542 --initTime 2017-07-16T05:22:21 --startdatetime 2017-07-16T05:27:27 --delay 5 --endMP 204:161 --enddatetime 2017-07-16T05:38:56 --enforcementcount 0 &gt;&gt;C:\Users\stu\Documents\GitHub\eaglep3-reporting\EC\2017-07-16-refined-times.txt</v>
      </c>
      <c r="AI205" s="96" t="str">
        <f t="shared" si="76"/>
        <v>echo {"issue":{"subject":"","project_id":79,"tracker_id":40,"status_id":1,"priority_id":2,"assigned_to_id":23,"start_date":"2017-07-16","description":"","custom_fields":[{"id":1,"name":"Subdivision","value":"Other"},{"id":4,"name":"Milepost","value":"0.0161"},{"id":17,"name":"Train ID","value":"312-16"},{"id":16,"name":"Locomotive ID","value":"4061"},{"id":130,"name":"Impact","value":""},{"id":150,"name":"Time of Event (Mountain Time)","value":"05:38:56"},{"id":151,"name":"Denver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7"/>
        <v>start /low /b %USERPROFILE%\Documents\GitHub\eaglep3\Utilities\DownloadLogsFromS3.py --loco 4061 --day 2017-07-16</v>
      </c>
      <c r="AN205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630</v>
      </c>
      <c r="B206" s="7">
        <v>4016</v>
      </c>
      <c r="C206" s="21" t="s">
        <v>199</v>
      </c>
      <c r="D206" s="21" t="s">
        <v>342</v>
      </c>
      <c r="E206" s="13">
        <v>42932.110567129632</v>
      </c>
      <c r="F206" s="13">
        <v>42932.112685185188</v>
      </c>
      <c r="G206" s="7">
        <v>1</v>
      </c>
      <c r="H206" s="21" t="s">
        <v>348</v>
      </c>
      <c r="I206" s="13">
        <v>42932.120625000003</v>
      </c>
      <c r="J206" s="7">
        <v>0</v>
      </c>
      <c r="K206" s="89" t="str">
        <f t="shared" si="79"/>
        <v>4015/4016</v>
      </c>
      <c r="L206" s="21" t="str">
        <f>VLOOKUP(A206,'Trips&amp;Operators'!$C$1:$G$99999,5,FALSE)</f>
        <v>LAMAR NEKESHA</v>
      </c>
      <c r="M206" s="6">
        <f t="shared" si="80"/>
        <v>7.9398148154723458E-3</v>
      </c>
      <c r="N206" s="7">
        <f t="shared" si="70"/>
        <v>11.433333334280178</v>
      </c>
      <c r="O206" s="7"/>
      <c r="P206" s="7"/>
      <c r="Q206" s="22"/>
      <c r="R206" s="170"/>
      <c r="S206" s="213">
        <f t="shared" si="73"/>
        <v>1</v>
      </c>
      <c r="T206" s="195" t="str">
        <f t="shared" si="8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2"/>
        <v>https://d0f6bd738d7f1b3e5a7ca70fe4ff75f0.us-east-1.aws.found.io/app/kibana#/discover/Steve-Slow-Train-Analysis-(2080s-and-2083s)?_g=(refreshInterval:(display:Off,pause:!f,section:0,value:0),time:(from:'2017-07-16T01:39:13-0600',mode:absolute,to:'2017-07-16T03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97" t="str">
        <f>IF(AA206&lt;VLOOKUP(AG206,Variables!$AC$3:$AD$8,2,FALSE),"Y","N")</f>
        <v>Y</v>
      </c>
      <c r="X206" s="197">
        <f t="shared" si="74"/>
        <v>1</v>
      </c>
      <c r="Y206" s="197">
        <f t="shared" si="71"/>
        <v>4.4600000000000001E-2</v>
      </c>
      <c r="Z206" s="197">
        <f t="shared" si="72"/>
        <v>2.3346</v>
      </c>
      <c r="AA206" s="197">
        <f t="shared" si="83"/>
        <v>2.29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313</v>
      </c>
      <c r="AE206" s="77" t="str">
        <f t="shared" si="85"/>
        <v>aws s3 cp s3://rtdc.mdm.uploadarchive.raw/RTDC4016/ "%USERPROFILE%\AppData\Local\Temp\OnboardLogs"\RTDC4016\2017-07-16 --exclude "*" --recursive --include "*20170716*" &amp; "%USERPROFILE%\Documents\GitHub\mrs-test-scripts\Headless Mode &amp; Sideloading\WalkAndUnGZ.bat" "%USERPROFILE%\AppData\Local\Temp\OnboardLogs"\RTDC4016\2017-07-16 &amp; aws s3 cp s3://rtdc.mdm.uploadarchive.raw/RTDC4016/ "%USERPROFILE%\AppData\Local\Temp\OnboardLogs"\RTDC4016\2017-07-17 --exclude "*" --recursive --include "*20170717*" &amp; "%USERPROFILE%\Documents\GitHub\mrs-test-scripts\Headless Mode &amp; Sideloading\WalkAndUnGZ.bat" "%USERPROFILE%\AppData\Local\Temp\OnboardLogs"\RTDC4016\2017-07-17</v>
      </c>
      <c r="AF206" s="74" t="str">
        <f t="shared" si="86"/>
        <v>"C:\Program Files (x86)\AstroGrep\AstroGrep.exe" /e /r /s /spath="%USERPROFILE%\AppData\Local\Temp\OnboardLogs" /stypes="app*4016*20170716*" /stext=" 08:.+((SYSTEM_STATE.+slice.+state.+changed )|(ment ac)|(multiple cpu faults)|(system.+state.+changed )|(\[timeout)|(PRM\|1\|D)|(kpr)|(kdp)|(train st.+moving)|(\|lc)|(penalty))"</v>
      </c>
      <c r="AG206" s="209" t="str">
        <f t="shared" si="87"/>
        <v>Other</v>
      </c>
      <c r="AH206" s="78" t="str">
        <f t="shared" si="75"/>
        <v>"%USERPROFILE%\Documents\GitHub\eaglep3\Utilities\RefineRTDCRunTimes.py" --tripid 313-15 --locoid 4016 --swversion DE.1.0.9.0 --startMP 204:446 --initTime 2017-07-16T02:39:13 --startdatetime 2017-07-16T02:42:16 --delay 1 --endMP 300:23346 --enddatetime 2017-07-16T02:53:42 --enforcementcount 0 &gt;&gt;C:\Users\stu\Documents\GitHub\eaglep3-reporting\EC\2017-07-16-refined-times.txt</v>
      </c>
      <c r="AI206" s="96" t="str">
        <f t="shared" si="76"/>
        <v>echo {"issue":{"subject":"","project_id":79,"tracker_id":40,"status_id":1,"priority_id":2,"assigned_to_id":23,"start_date":"2017-07-16","description":"","custom_fields":[{"id":1,"name":"Subdivision","value":"Other"},{"id":4,"name":"Milepost","value":"2.3346"},{"id":17,"name":"Train ID","value":"313-15"},{"id":16,"name":"Locomotive ID","value":"4016"},{"id":130,"name":"Impact","value":""},{"id":150,"name":"Time of Event (Mountain Time)","value":"02:53:42"},{"id":151,"name":"Denver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7"/>
        <v>start /low /b %USERPROFILE%\Documents\GitHub\eaglep3\Utilities\DownloadLogsFromS3.py --loco 4016 --day 2017-07-16</v>
      </c>
      <c r="AN206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08:53:42"},{"id":29,"name":"Sharepoint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843</v>
      </c>
      <c r="B207" s="7">
        <v>4012</v>
      </c>
      <c r="C207" s="21" t="s">
        <v>199</v>
      </c>
      <c r="D207" s="21" t="s">
        <v>491</v>
      </c>
      <c r="E207" s="13">
        <v>42933.089490740742</v>
      </c>
      <c r="F207" s="13">
        <v>42933.090694444443</v>
      </c>
      <c r="G207" s="7">
        <v>1</v>
      </c>
      <c r="H207" s="21" t="s">
        <v>348</v>
      </c>
      <c r="I207" s="13">
        <v>42933.098796296297</v>
      </c>
      <c r="J207" s="7">
        <v>0</v>
      </c>
      <c r="K207" s="89" t="str">
        <f t="shared" si="79"/>
        <v>4011/4012</v>
      </c>
      <c r="L207" s="21" t="str">
        <f>VLOOKUP(A207,'Trips&amp;Operators'!$C$1:$G$99999,5,FALSE)</f>
        <v>HAITHCOX MICHAEL</v>
      </c>
      <c r="M207" s="6">
        <f t="shared" si="80"/>
        <v>8.1018518540076911E-3</v>
      </c>
      <c r="N207" s="7">
        <f t="shared" si="70"/>
        <v>11.666666669771075</v>
      </c>
      <c r="O207" s="7"/>
      <c r="P207" s="7"/>
      <c r="Q207" s="22"/>
      <c r="R207" s="170"/>
      <c r="S207" s="213">
        <f t="shared" si="73"/>
        <v>1</v>
      </c>
      <c r="T207" s="195" t="str">
        <f t="shared" si="8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2"/>
        <v>https://d0f6bd738d7f1b3e5a7ca70fe4ff75f0.us-east-1.aws.found.io/app/kibana#/discover/Steve-Slow-Train-Analysis-(2080s-and-2083s)?_g=(refreshInterval:(display:Off,pause:!f,section:0,value:0),time:(from:'2017-07-17T01:08:52-0600',mode:absolute,to:'2017-07-17T03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7" t="str">
        <f>IF(AA207&lt;VLOOKUP(AG207,Variables!$AC$3:$AD$8,2,FALSE),"Y","N")</f>
        <v>Y</v>
      </c>
      <c r="X207" s="197">
        <f t="shared" si="74"/>
        <v>0</v>
      </c>
      <c r="Y207" s="197">
        <f t="shared" si="71"/>
        <v>4.7500000000000001E-2</v>
      </c>
      <c r="Z207" s="197">
        <f t="shared" si="72"/>
        <v>2.3346</v>
      </c>
      <c r="AA207" s="197">
        <f t="shared" si="83"/>
        <v>2.2871000000000001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313</v>
      </c>
      <c r="AE207" s="77" t="str">
        <f t="shared" si="85"/>
        <v>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 &amp; aws s3 cp s3://rtdc.mdm.uploadarchive.raw/RTDC4012/ "%USERPROFILE%\AppData\Local\Temp\OnboardLogs"\RTDC4012\2017-07-18 --exclude "*" --recursive --include "*20170718*" &amp; "%USERPROFILE%\Documents\GitHub\mrs-test-scripts\Headless Mode &amp; Sideloading\WalkAndUnGZ.bat" "%USERPROFILE%\AppData\Local\Temp\OnboardLogs"\RTDC4012\2017-07-18</v>
      </c>
      <c r="AF207" s="74" t="str">
        <f t="shared" si="86"/>
        <v>"C:\Program Files (x86)\AstroGrep\AstroGrep.exe" /e /r /s /spath="%USERPROFILE%\AppData\Local\Temp\OnboardLogs" /stypes="app*4012*20170717*" /stext=" 08:.+((SYSTEM_STATE.+slice.+state.+changed )|(ment ac)|(multiple cpu faults)|(system.+state.+changed )|(\[timeout)|(PRM\|1\|D)|(kpr)|(kdp)|(train st.+moving)|(\|lc)|(penalty))"</v>
      </c>
      <c r="AG207" s="209" t="str">
        <f t="shared" si="87"/>
        <v>Other</v>
      </c>
      <c r="AH207" s="78" t="str">
        <f t="shared" si="75"/>
        <v>"%USERPROFILE%\Documents\GitHub\eaglep3\Utilities\RefineRTDCRunTimes.py" --tripid 313-16 --locoid 4012 --swversion DE.1.0.9.0 --startMP 204:475 --initTime 2017-07-17T02:08:52 --startdatetime 2017-07-17T02:10:36 --delay 1 --endMP 300:23346 --enddatetime 2017-07-17T02:22:16 --enforcementcount 0 &gt;&gt;C:\Users\stu\Documents\GitHub\eaglep3-reporting\EC\2017-07-16-refined-times.txt</v>
      </c>
      <c r="AI207" s="96" t="str">
        <f t="shared" si="76"/>
        <v>echo {"issue":{"subject":"","project_id":79,"tracker_id":40,"status_id":1,"priority_id":2,"assigned_to_id":23,"start_date":"2017-07-17","description":"","custom_fields":[{"id":1,"name":"Subdivision","value":"Other"},{"id":4,"name":"Milepost","value":"2.3346"},{"id":17,"name":"Train ID","value":"313-16"},{"id":16,"name":"Locomotive ID","value":"4012"},{"id":130,"name":"Impact","value":""},{"id":150,"name":"Time of Event (Mountain Time)","value":"02:22:16"},{"id":151,"name":"Denver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7"/>
        <v>start /low /b %USERPROFILE%\Documents\GitHub\eaglep3\Utilities\DownloadLogsFromS3.py --loco 4012 --day 2017-07-17</v>
      </c>
      <c r="AN207" s="151" t="str">
        <f t="shared" si="78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657</v>
      </c>
      <c r="B208" s="7">
        <v>4028</v>
      </c>
      <c r="C208" s="21" t="s">
        <v>199</v>
      </c>
      <c r="D208" s="21" t="s">
        <v>925</v>
      </c>
      <c r="E208" s="13">
        <v>42932.223009259258</v>
      </c>
      <c r="F208" s="13">
        <v>42932.226412037038</v>
      </c>
      <c r="G208" s="7">
        <v>4</v>
      </c>
      <c r="H208" s="21" t="s">
        <v>926</v>
      </c>
      <c r="I208" s="13">
        <v>42932.232152777775</v>
      </c>
      <c r="J208" s="7">
        <v>0</v>
      </c>
      <c r="K208" s="89" t="str">
        <f t="shared" si="79"/>
        <v>4027/4028</v>
      </c>
      <c r="L208" s="21" t="str">
        <f>VLOOKUP(A208,'Trips&amp;Operators'!$C$1:$G$99999,5,FALSE)</f>
        <v>DAVIDSON DAVID</v>
      </c>
      <c r="M208" s="6">
        <f t="shared" si="80"/>
        <v>5.7407407366554253E-3</v>
      </c>
      <c r="N208" s="7">
        <f t="shared" ref="N208:N216" si="88">24*60*SUM($M208:$M208)</f>
        <v>8.2666666607838124</v>
      </c>
      <c r="O208" s="7"/>
      <c r="P208" s="7"/>
      <c r="Q208" s="22"/>
      <c r="R208" s="170"/>
      <c r="S208" s="213">
        <f t="shared" si="73"/>
        <v>0</v>
      </c>
      <c r="T208" s="195" t="str">
        <f t="shared" si="8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82"/>
        <v>https://d0f6bd738d7f1b3e5a7ca70fe4ff75f0.us-east-1.aws.found.io/app/kibana#/discover/Steve-Slow-Train-Analysis-(2080s-and-2083s)?_g=(refreshInterval:(display:Off,pause:!f,section:0,value:0),time:(from:'2017-07-16T04:21:08-0600',mode:absolute,to:'2017-07-16T06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197" t="str">
        <f>IF(AA208&lt;VLOOKUP(AG208,Variables!$AC$3:$AD$8,2,FALSE),"Y","N")</f>
        <v>Y</v>
      </c>
      <c r="X208" s="197">
        <f t="shared" si="74"/>
        <v>1588</v>
      </c>
      <c r="Y208" s="197">
        <f t="shared" ref="Y208:Y216" si="89">RIGHT(D208,LEN(D208)-4)/10000</f>
        <v>3.0112000000000001</v>
      </c>
      <c r="Z208" s="197">
        <f t="shared" ref="Z208:Z216" si="90">RIGHT(H208,LEN(H208)-4)/10000</f>
        <v>5.8956</v>
      </c>
      <c r="AA208" s="197">
        <f t="shared" si="83"/>
        <v>2.8843999999999999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1901</v>
      </c>
      <c r="AE208" s="77" t="str">
        <f t="shared" si="85"/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AF208" s="74" t="str">
        <f t="shared" si="86"/>
        <v>"C:\Program Files (x86)\AstroGrep\AstroGrep.exe" /e /r /s /spath="%USERPROFILE%\AppData\Local\Temp\OnboardLogs" /stypes="app*4028*20170716*" /stext=" 11:.+((SYSTEM_STATE.+slice.+state.+changed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75"/>
        <v>"%USERPROFILE%\Documents\GitHub\eaglep3\Utilities\RefineRTDCRunTimes.py" --tripid 1901-16 --locoid 4028 --swversion DE.1.0.9.0 --startMP 300:30112 --initTime 2017-07-16T05:21:08 --startdatetime 2017-07-16T05:26:02 --delay 4 --endMP 300:58956 --enddatetime 2017-07-16T05:34:18 --enforcementcount 0 &gt;&gt;C:\Users\stu\Documents\GitHub\eaglep3-reporting\EC\2017-07-16-refined-times.txt</v>
      </c>
      <c r="AI208" s="96" t="str">
        <f t="shared" si="76"/>
        <v>echo {"issue":{"subject":"","project_id":79,"tracker_id":40,"status_id":1,"priority_id":2,"assigned_to_id":23,"start_date":"2017-07-16","description":"","custom_fields":[{"id":1,"name":"Subdivision","value":"Other"},{"id":4,"name":"Milepost","value":"5.8956"},{"id":17,"name":"Train ID","value":"1901-16"},{"id":16,"name":"Locomotive ID","value":"4028"},{"id":130,"name":"Impact","value":""},{"id":150,"name":"Time of Event (Mountain Time)","value":"05:34:18"},{"id":151,"name":"Denver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7"/>
        <v>start /low /b %USERPROFILE%\Documents\GitHub\eaglep3\Utilities\DownloadLogsFromS3.py --loco 4028 --day 2017-07-16</v>
      </c>
      <c r="AN208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830</v>
      </c>
      <c r="B209" s="7">
        <v>4027</v>
      </c>
      <c r="C209" s="21" t="s">
        <v>199</v>
      </c>
      <c r="D209" s="21" t="s">
        <v>596</v>
      </c>
      <c r="E209" s="13">
        <v>42932.94153935185</v>
      </c>
      <c r="F209" s="13">
        <v>25568.708333333332</v>
      </c>
      <c r="G209" s="7">
        <v>1</v>
      </c>
      <c r="H209" s="21" t="s">
        <v>927</v>
      </c>
      <c r="I209" s="13">
        <v>25568.708333333332</v>
      </c>
      <c r="J209" s="7">
        <v>0</v>
      </c>
      <c r="K209" s="89" t="str">
        <f t="shared" si="79"/>
        <v>4027/4028</v>
      </c>
      <c r="L209" s="21" t="str">
        <f>VLOOKUP(A209,'Trips&amp;Operators'!$C$1:$G$99999,5,FALSE)</f>
        <v>BIRENBAUM THOMAS</v>
      </c>
      <c r="M209" s="6">
        <f t="shared" si="80"/>
        <v>0</v>
      </c>
      <c r="N209" s="7">
        <f t="shared" si="88"/>
        <v>0</v>
      </c>
      <c r="O209" s="7"/>
      <c r="P209" s="7"/>
      <c r="Q209" s="22"/>
      <c r="R209" s="170"/>
      <c r="S209" s="213">
        <f t="shared" si="73"/>
        <v>0</v>
      </c>
      <c r="T209" s="195" t="str">
        <f t="shared" si="8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82"/>
        <v>https://d0f6bd738d7f1b3e5a7ca70fe4ff75f0.us-east-1.aws.found.io/app/kibana#/discover/Steve-Slow-Train-Analysis-(2080s-and-2083s)?_g=(refreshInterval:(display:Off,pause:!f,section:0,value:0),time:(from:'2017-07-16T21:35:49-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197" t="str">
        <f>IF(AA209&lt;VLOOKUP(AG209,Variables!$AC$3:$AD$8,2,FALSE),"Y","N")</f>
        <v>Y</v>
      </c>
      <c r="X209" s="197">
        <f t="shared" si="74"/>
        <v>1</v>
      </c>
      <c r="Y209" s="197">
        <f t="shared" si="89"/>
        <v>5.8647</v>
      </c>
      <c r="Z209" s="197">
        <f t="shared" si="90"/>
        <v>2.1699000000000002</v>
      </c>
      <c r="AA209" s="197">
        <f t="shared" si="83"/>
        <v>3.6947999999999999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1902</v>
      </c>
      <c r="AE209" s="77" t="str">
        <f t="shared" si="8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9" s="74" t="str">
        <f t="shared" si="86"/>
        <v>"C:\Program Files (x86)\AstroGrep\AstroGrep.exe" /e /r /s /spath="%USERPROFILE%\AppData\Local\Temp\OnboardLogs" /stypes="app*4027*19691231*" /stext=" 23:.+((SYSTEM_STATE.+slice.+state.+changed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75"/>
        <v>"%USERPROFILE%\Documents\GitHub\eaglep3\Utilities\RefineRTDCRunTimes.py" --tripid 1902-16 --locoid 4027 --swversion DE.1.0.9.0 --startMP 300:58647 --initTime 2017-07-16T22:35:49 --startdatetime 1969-12-31T17:00:00 --delay 1 --endMP 300:21699 --enddatetime 1969-12-31T17:00:00 --enforcementcount 0 &gt;&gt;C:\Users\stu\Documents\GitHub\eaglep3-reporting\EC\2017-07-16-refined-times.txt</v>
      </c>
      <c r="AI209" s="96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{"issue":{"subject":"","project_id":79,"tracker_id":40,"status_id":1,"priority_id":2,"assigned_to_id":23,"start_date":"1969-12-31","description":"","custom_fields":[{"id":1,"name":"Subdivision","value":"Other"},{"id":4,"name":"Milepost","value":"2.1699"},{"id":17,"name":"Train ID","value":"1902-16"},{"id":16,"name":"Locomotive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7"/>
        <v>start /low /b %USERPROFILE%\Documents\GitHub\eaglep3\Utilities\DownloadLogsFromS3.py --loco 4027 --day 1969-12-31</v>
      </c>
      <c r="AN209" s="151" t="str">
        <f t="shared" si="7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637</v>
      </c>
      <c r="B210" s="7">
        <v>4041</v>
      </c>
      <c r="C210" s="21" t="s">
        <v>199</v>
      </c>
      <c r="D210" s="21" t="s">
        <v>964</v>
      </c>
      <c r="E210" s="13">
        <v>42932.442314814813</v>
      </c>
      <c r="F210" s="13">
        <v>42932.444513888891</v>
      </c>
      <c r="G210" s="7">
        <v>1</v>
      </c>
      <c r="H210" s="21" t="s">
        <v>401</v>
      </c>
      <c r="I210" s="13">
        <v>42932.446064814816</v>
      </c>
      <c r="J210" s="7">
        <v>0</v>
      </c>
      <c r="K210" s="89" t="str">
        <f t="shared" si="79"/>
        <v>4041/4042</v>
      </c>
      <c r="L210" s="21" t="str">
        <f>VLOOKUP(A210,'Trips&amp;Operators'!$C$1:$G$99999,5,FALSE)</f>
        <v>CHANDLER KELVIN</v>
      </c>
      <c r="M210" s="6">
        <f t="shared" si="80"/>
        <v>1.5509259246755391E-3</v>
      </c>
      <c r="N210" s="7">
        <f t="shared" si="88"/>
        <v>2.2333333315327764</v>
      </c>
      <c r="O210" s="7"/>
      <c r="P210" s="7"/>
      <c r="Q210" s="22"/>
      <c r="R210" s="170"/>
      <c r="S210" s="213">
        <f t="shared" si="73"/>
        <v>0</v>
      </c>
      <c r="T210" s="195" t="str">
        <f t="shared" si="8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82"/>
        <v>https://d0f6bd738d7f1b3e5a7ca70fe4ff75f0.us-east-1.aws.found.io/app/kibana#/discover/Steve-Slow-Train-Analysis-(2080s-and-2083s)?_g=(refreshInterval:(display:Off,pause:!f,section:0,value:0),time:(from:'2017-07-16T09:36:56-0600',mode:absolute,to:'2017-07-16T11:42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197" t="str">
        <f>IF(AA210&lt;VLOOKUP(AG210,Variables!$AC$3:$AD$8,2,FALSE),"Y","N")</f>
        <v>Y</v>
      </c>
      <c r="X210" s="197">
        <f t="shared" si="74"/>
        <v>-1851</v>
      </c>
      <c r="Y210" s="197">
        <f t="shared" si="89"/>
        <v>0.33739999999999998</v>
      </c>
      <c r="Z210" s="197">
        <f t="shared" si="90"/>
        <v>1.38E-2</v>
      </c>
      <c r="AA210" s="197">
        <f t="shared" si="83"/>
        <v>0.3236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51</v>
      </c>
      <c r="AE210" s="77" t="str">
        <f t="shared" si="85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210" s="74" t="str">
        <f t="shared" si="86"/>
        <v>"C:\Program Files (x86)\AstroGrep\AstroGrep.exe" /e /r /s /spath="%USERPROFILE%\AppData\Local\Temp\OnboardLogs" /stypes="app*4041*20170716*" /stext=" 16:.+((SYSTEM_STATE.+slice.+state.+changed )|(ment ac)|(multiple cpu faults)|(system.+state.+changed )|(\[timeout)|(PRM\|1\|D)|(kpr)|(kdp)|(train st.+moving)|(\|lc)|(penalty))"</v>
      </c>
      <c r="AG210" s="209" t="str">
        <f t="shared" si="87"/>
        <v>Shuttle/Test</v>
      </c>
      <c r="AH210" s="78" t="str">
        <f t="shared" si="75"/>
        <v>"%USERPROFILE%\Documents\GitHub\eaglep3\Utilities\RefineRTDCRunTimes.py" --tripid 51-16 --locoid 4041 --swversion DE.1.0.9.0 --startMP 204:3374 --initTime 2017-07-16T10:36:56 --startdatetime 2017-07-16T10:40:06 --delay 1 --endMP 204:138 --enddatetime 2017-07-16T10:42:20 --enforcementcount 0 &gt;&gt;C:\Users\stu\Documents\GitHub\eaglep3-reporting\EC\2017-07-16-refined-times.txt</v>
      </c>
      <c r="AI210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0.0138"},{"id":17,"name":"Train ID","value":"51-16"},{"id":16,"name":"Locomotive ID","value":"4041"},{"id":130,"name":"Impact","value":""},{"id":150,"name":"Time of Event (Mountain Time)","value":"10:42:20"},{"id":151,"name":"Denver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7"/>
        <v>start /low /b %USERPROFILE%\Documents\GitHub\eaglep3\Utilities\DownloadLogsFromS3.py --loco 4041 --day 2017-07-16</v>
      </c>
      <c r="AN210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637</v>
      </c>
      <c r="B211" s="7">
        <v>4042</v>
      </c>
      <c r="C211" s="21" t="s">
        <v>199</v>
      </c>
      <c r="D211" s="21" t="s">
        <v>965</v>
      </c>
      <c r="E211" s="13">
        <v>42932.43608796296</v>
      </c>
      <c r="F211" s="13">
        <v>42932.444513888891</v>
      </c>
      <c r="G211" s="7">
        <v>1</v>
      </c>
      <c r="H211" s="21" t="s">
        <v>966</v>
      </c>
      <c r="I211" s="13">
        <v>42932.446064814816</v>
      </c>
      <c r="J211" s="7">
        <v>0</v>
      </c>
      <c r="K211" s="89" t="str">
        <f t="shared" si="79"/>
        <v>4041/4042</v>
      </c>
      <c r="L211" s="21" t="str">
        <f>VLOOKUP(A211,'Trips&amp;Operators'!$C$1:$G$99999,5,FALSE)</f>
        <v>CHANDLER KELVIN</v>
      </c>
      <c r="M211" s="6">
        <f t="shared" si="80"/>
        <v>1.5509259246755391E-3</v>
      </c>
      <c r="N211" s="7">
        <f t="shared" si="88"/>
        <v>2.2333333315327764</v>
      </c>
      <c r="O211" s="7"/>
      <c r="P211" s="7"/>
      <c r="Q211" s="22"/>
      <c r="R211" s="170"/>
      <c r="S211" s="213">
        <f t="shared" si="73"/>
        <v>0</v>
      </c>
      <c r="T211" s="195" t="str">
        <f t="shared" si="81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2"/>
        <v>https://d0f6bd738d7f1b3e5a7ca70fe4ff75f0.us-east-1.aws.found.io/app/kibana#/discover/Steve-Slow-Train-Analysis-(2080s-and-2083s)?_g=(refreshInterval:(display:Off,pause:!f,section:0,value:0),time:(from:'2017-07-16T09:27:58-0600',mode:absolute,to:'2017-07-16T11:42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7" t="str">
        <f>IF(AA211&lt;VLOOKUP(AG211,Variables!$AC$3:$AD$8,2,FALSE),"Y","N")</f>
        <v>Y</v>
      </c>
      <c r="X211" s="197">
        <f t="shared" si="74"/>
        <v>0</v>
      </c>
      <c r="Y211" s="197">
        <f t="shared" si="89"/>
        <v>0.15260000000000001</v>
      </c>
      <c r="Z211" s="197">
        <f t="shared" si="90"/>
        <v>0.36840000000000001</v>
      </c>
      <c r="AA211" s="197">
        <f t="shared" si="83"/>
        <v>0.21579999999999999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51</v>
      </c>
      <c r="AE211" s="77" t="str">
        <f t="shared" si="85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211" s="74" t="str">
        <f t="shared" si="86"/>
        <v>"C:\Program Files (x86)\AstroGrep\AstroGrep.exe" /e /r /s /spath="%USERPROFILE%\AppData\Local\Temp\OnboardLogs" /stypes="app*4042*20170716*" /stext=" 16:.+((SYSTEM_STATE.+slice.+state.+changed )|(ment ac)|(multiple cpu faults)|(system.+state.+changed )|(\[timeout)|(PRM\|1\|D)|(kpr)|(kdp)|(train st.+moving)|(\|lc)|(penalty))"</v>
      </c>
      <c r="AG211" s="209" t="str">
        <f t="shared" si="87"/>
        <v>Shuttle/Test</v>
      </c>
      <c r="AH211" s="78" t="str">
        <f t="shared" si="75"/>
        <v>"%USERPROFILE%\Documents\GitHub\eaglep3\Utilities\RefineRTDCRunTimes.py" --tripid 51-16 --locoid 4042 --swversion DE.1.0.9.0 --startMP 204:1526 --initTime 2017-07-16T10:27:58 --startdatetime 2017-07-16T10:40:06 --delay 1 --endMP 204:3684 --enddatetime 2017-07-16T10:42:20 --enforcementcount 0 &gt;&gt;C:\Users\stu\Documents\GitHub\eaglep3-reporting\EC\2017-07-16-refined-times.txt</v>
      </c>
      <c r="AI211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0.3684"},{"id":17,"name":"Train ID","value":"51-16"},{"id":16,"name":"Locomotive ID","value":"4042"},{"id":130,"name":"Impact","value":""},{"id":150,"name":"Time of Event (Mountain Time)","value":"10:42:20"},{"id":151,"name":"Denver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7"/>
        <v>start /low /b %USERPROFILE%\Documents\GitHub\eaglep3\Utilities\DownloadLogsFromS3.py --loco 4042 --day 2017-07-16</v>
      </c>
      <c r="AN211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16:42:20"},{"id":29,"name":"Sharepoint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637</v>
      </c>
      <c r="B212" s="7">
        <v>4042</v>
      </c>
      <c r="C212" s="21" t="s">
        <v>199</v>
      </c>
      <c r="D212" s="21" t="s">
        <v>342</v>
      </c>
      <c r="E212" s="13">
        <v>42932.134155092594</v>
      </c>
      <c r="F212" s="13">
        <v>42932.138518518521</v>
      </c>
      <c r="G212" s="7">
        <v>3</v>
      </c>
      <c r="H212" s="21" t="s">
        <v>967</v>
      </c>
      <c r="I212" s="13">
        <v>42932.139664351853</v>
      </c>
      <c r="J212" s="7">
        <v>0</v>
      </c>
      <c r="K212" s="89" t="str">
        <f t="shared" si="79"/>
        <v>4041/4042</v>
      </c>
      <c r="L212" s="21" t="str">
        <f>VLOOKUP(A212,'Trips&amp;Operators'!$C$1:$G$99999,5,FALSE)</f>
        <v>CHANDLER KELVIN</v>
      </c>
      <c r="M212" s="6">
        <f t="shared" si="80"/>
        <v>1.1458333319751546E-3</v>
      </c>
      <c r="N212" s="7">
        <f t="shared" si="88"/>
        <v>1.6499999980442226</v>
      </c>
      <c r="O212" s="7"/>
      <c r="P212" s="7"/>
      <c r="Q212" s="22"/>
      <c r="R212" s="170"/>
      <c r="S212" s="213">
        <f t="shared" si="73"/>
        <v>0</v>
      </c>
      <c r="T212" s="195" t="str">
        <f t="shared" si="8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82"/>
        <v>https://d0f6bd738d7f1b3e5a7ca70fe4ff75f0.us-east-1.aws.found.io/app/kibana#/discover/Steve-Slow-Train-Analysis-(2080s-and-2083s)?_g=(refreshInterval:(display:Off,pause:!f,section:0,value:0),time:(from:'2017-07-16T02:13:11-0600',mode:absolute,to:'2017-07-16T04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197" t="str">
        <f>IF(AA212&lt;VLOOKUP(AG212,Variables!$AC$3:$AD$8,2,FALSE),"Y","N")</f>
        <v>Y</v>
      </c>
      <c r="X212" s="197">
        <f t="shared" si="74"/>
        <v>0</v>
      </c>
      <c r="Y212" s="197">
        <f t="shared" si="89"/>
        <v>4.4600000000000001E-2</v>
      </c>
      <c r="Z212" s="197">
        <f t="shared" si="90"/>
        <v>0.34710000000000002</v>
      </c>
      <c r="AA212" s="197">
        <f t="shared" si="83"/>
        <v>0.30249999999999999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51</v>
      </c>
      <c r="AE212" s="77" t="str">
        <f t="shared" si="85"/>
        <v>aws s3 cp s3://rtdc.mdm.uploadarchive.raw/RTDC4042/ "%USERPROFILE%\AppData\Local\Temp\OnboardLogs"\RTDC4042\2017-07-16 --exclude "*" --recursive --include "*20170716*" &amp; "%USERPROFILE%\Documents\GitHub\mrs-test-scripts\Headless Mode &amp; Sideloading\WalkAndUnGZ.bat" "%USERPROFILE%\AppData\Local\Temp\OnboardLogs"\RTDC4042\2017-07-16 &amp; aws s3 cp s3://rtdc.mdm.uploadarchive.raw/RTDC4042/ "%USERPROFILE%\AppData\Local\Temp\OnboardLogs"\RTDC4042\2017-07-17 --exclude "*" --recursive --include "*20170717*" &amp; "%USERPROFILE%\Documents\GitHub\mrs-test-scripts\Headless Mode &amp; Sideloading\WalkAndUnGZ.bat" "%USERPROFILE%\AppData\Local\Temp\OnboardLogs"\RTDC4042\2017-07-17</v>
      </c>
      <c r="AF212" s="74" t="str">
        <f t="shared" si="86"/>
        <v>"C:\Program Files (x86)\AstroGrep\AstroGrep.exe" /e /r /s /spath="%USERPROFILE%\AppData\Local\Temp\OnboardLogs" /stypes="app*4042*20170716*" /stext=" 09:.+((SYSTEM_STATE.+slice.+state.+changed )|(ment ac)|(multiple cpu faults)|(system.+state.+changed )|(\[timeout)|(PRM\|1\|D)|(kpr)|(kdp)|(train st.+moving)|(\|lc)|(penalty))"</v>
      </c>
      <c r="AG212" s="209" t="str">
        <f t="shared" si="87"/>
        <v>Shuttle/Test</v>
      </c>
      <c r="AH212" s="78" t="str">
        <f t="shared" si="75"/>
        <v>"%USERPROFILE%\Documents\GitHub\eaglep3\Utilities\RefineRTDCRunTimes.py" --tripid 51-16 --locoid 4042 --swversion DE.1.0.9.0 --startMP 204:446 --initTime 2017-07-16T03:13:11 --startdatetime 2017-07-16T03:19:28 --delay 3 --endMP 204:3471 --enddatetime 2017-07-16T03:21:07 --enforcementcount 0 &gt;&gt;C:\Users\stu\Documents\GitHub\eaglep3-reporting\EC\2017-07-16-refined-times.txt</v>
      </c>
      <c r="AI212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0.3471"},{"id":17,"name":"Train ID","value":"51-16"},{"id":16,"name":"Locomotive ID","value":"4042"},{"id":130,"name":"Impact","value":""},{"id":150,"name":"Time of Event (Mountain Time)","value":"03:21:07"},{"id":151,"name":"Denver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7"/>
        <v>start /low /b %USERPROFILE%\Documents\GitHub\eaglep3\Utilities\DownloadLogsFromS3.py --loco 4042 --day 2017-07-16</v>
      </c>
      <c r="AN212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640</v>
      </c>
      <c r="B213" s="7">
        <v>4041</v>
      </c>
      <c r="C213" s="21" t="s">
        <v>199</v>
      </c>
      <c r="D213" s="21" t="s">
        <v>968</v>
      </c>
      <c r="E213" s="13">
        <v>42932.141458333332</v>
      </c>
      <c r="F213" s="13">
        <v>42932.142824074072</v>
      </c>
      <c r="G213" s="7">
        <v>1</v>
      </c>
      <c r="H213" s="21" t="s">
        <v>866</v>
      </c>
      <c r="I213" s="13">
        <v>42932.144583333335</v>
      </c>
      <c r="J213" s="7">
        <v>0</v>
      </c>
      <c r="K213" s="89" t="str">
        <f t="shared" si="79"/>
        <v>4041/4042</v>
      </c>
      <c r="L213" s="21" t="str">
        <f>VLOOKUP(A213,'Trips&amp;Operators'!$C$1:$G$99999,5,FALSE)</f>
        <v>CHANDLER KELVIN</v>
      </c>
      <c r="M213" s="6">
        <f t="shared" si="80"/>
        <v>1.7592592630535364E-3</v>
      </c>
      <c r="N213" s="7">
        <f t="shared" si="88"/>
        <v>2.5333333387970924</v>
      </c>
      <c r="O213" s="7"/>
      <c r="P213" s="7"/>
      <c r="Q213" s="22"/>
      <c r="R213" s="170"/>
      <c r="S213" s="213">
        <f t="shared" si="73"/>
        <v>0</v>
      </c>
      <c r="T213" s="195" t="str">
        <f t="shared" si="81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82"/>
        <v>https://d0f6bd738d7f1b3e5a7ca70fe4ff75f0.us-east-1.aws.found.io/app/kibana#/discover/Steve-Slow-Train-Analysis-(2080s-and-2083s)?_g=(refreshInterval:(display:Off,pause:!f,section:0,value:0),time:(from:'2017-07-16T02:23:42-0600',mode:absolute,to:'2017-07-16T04:28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197" t="str">
        <f>IF(AA213&lt;VLOOKUP(AG213,Variables!$AC$3:$AD$8,2,FALSE),"Y","N")</f>
        <v>Y</v>
      </c>
      <c r="X213" s="197">
        <f t="shared" si="74"/>
        <v>1</v>
      </c>
      <c r="Y213" s="197">
        <f t="shared" si="89"/>
        <v>0.31469999999999998</v>
      </c>
      <c r="Z213" s="197">
        <f t="shared" si="90"/>
        <v>0.11940000000000001</v>
      </c>
      <c r="AA213" s="197">
        <f t="shared" si="83"/>
        <v>0.19529999999999997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52</v>
      </c>
      <c r="AE213" s="77" t="str">
        <f t="shared" si="85"/>
        <v>aws s3 cp s3://rtdc.mdm.uploadarchive.raw/RTDC4041/ "%USERPROFILE%\AppData\Local\Temp\OnboardLogs"\RTDC4041\2017-07-16 --exclude "*" --recursive --include "*20170716*" &amp; "%USERPROFILE%\Documents\GitHub\mrs-test-scripts\Headless Mode &amp; Sideloading\WalkAndUnGZ.bat" "%USERPROFILE%\AppData\Local\Temp\OnboardLogs"\RTDC4041\2017-07-16 &amp; aws s3 cp s3://rtdc.mdm.uploadarchive.raw/RTDC4041/ "%USERPROFILE%\AppData\Local\Temp\OnboardLogs"\RTDC4041\2017-07-17 --exclude "*" --recursive --include "*20170717*" &amp; "%USERPROFILE%\Documents\GitHub\mrs-test-scripts\Headless Mode &amp; Sideloading\WalkAndUnGZ.bat" "%USERPROFILE%\AppData\Local\Temp\OnboardLogs"\RTDC4041\2017-07-17</v>
      </c>
      <c r="AF213" s="74" t="str">
        <f t="shared" si="86"/>
        <v>"C:\Program Files (x86)\AstroGrep\AstroGrep.exe" /e /r /s /spath="%USERPROFILE%\AppData\Local\Temp\OnboardLogs" /stypes="app*4041*20170716*" /stext=" 09:.+((SYSTEM_STATE.+slice.+state.+changed )|(ment ac)|(multiple cpu faults)|(system.+state.+changed )|(\[timeout)|(PRM\|1\|D)|(kpr)|(kdp)|(train st.+moving)|(\|lc)|(penalty))"</v>
      </c>
      <c r="AG213" s="209" t="str">
        <f t="shared" si="87"/>
        <v>Shuttle/Test</v>
      </c>
      <c r="AH213" s="78" t="str">
        <f t="shared" si="75"/>
        <v>"%USERPROFILE%\Documents\GitHub\eaglep3\Utilities\RefineRTDCRunTimes.py" --tripid 52-16 --locoid 4041 --swversion DE.1.0.9.0 --startMP 204:3147 --initTime 2017-07-16T03:23:42 --startdatetime 2017-07-16T03:25:40 --delay 1 --endMP 204:1194 --enddatetime 2017-07-16T03:28:12 --enforcementcount 0 &gt;&gt;C:\Users\stu\Documents\GitHub\eaglep3-reporting\EC\2017-07-16-refined-times.txt</v>
      </c>
      <c r="AI213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0.1194"},{"id":17,"name":"Train ID","value":"52-16"},{"id":16,"name":"Locomotive ID","value":"4041"},{"id":130,"name":"Impact","value":""},{"id":150,"name":"Time of Event (Mountain Time)","value":"03:28:12"},{"id":151,"name":"Denver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7"/>
        <v>start /low /b %USERPROFILE%\Documents\GitHub\eaglep3\Utilities\DownloadLogsFromS3.py --loco 4041 --day 2017-07-16</v>
      </c>
      <c r="AN213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09:28:12"},{"id":29,"name":"Sharepoint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791</v>
      </c>
      <c r="B214" s="7">
        <v>4055</v>
      </c>
      <c r="C214" s="21" t="s">
        <v>199</v>
      </c>
      <c r="D214" s="21" t="s">
        <v>969</v>
      </c>
      <c r="E214" s="13">
        <v>42932.747187499997</v>
      </c>
      <c r="F214" s="13">
        <v>42932.750659722224</v>
      </c>
      <c r="G214" s="7">
        <v>4</v>
      </c>
      <c r="H214" s="21" t="s">
        <v>970</v>
      </c>
      <c r="I214" s="13">
        <v>42932.757835648146</v>
      </c>
      <c r="J214" s="7">
        <v>0</v>
      </c>
      <c r="K214" s="89" t="str">
        <f t="shared" si="79"/>
        <v>4055/4056</v>
      </c>
      <c r="L214" s="21" t="str">
        <f>VLOOKUP(A214,'Trips&amp;Operators'!$C$1:$G$99999,5,FALSE)</f>
        <v>HUFFSMITH MONTY</v>
      </c>
      <c r="M214" s="6">
        <f t="shared" si="80"/>
        <v>7.175925922638271E-3</v>
      </c>
      <c r="N214" s="7">
        <f t="shared" si="88"/>
        <v>10.33333332859911</v>
      </c>
      <c r="O214" s="7"/>
      <c r="P214" s="7"/>
      <c r="Q214" s="22"/>
      <c r="R214" s="170"/>
      <c r="S214" s="213">
        <f t="shared" si="73"/>
        <v>1</v>
      </c>
      <c r="T214" s="195" t="str">
        <f t="shared" si="81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2"/>
        <v>https://d0f6bd738d7f1b3e5a7ca70fe4ff75f0.us-east-1.aws.found.io/app/kibana#/discover/Steve-Slow-Train-Analysis-(2080s-and-2083s)?_g=(refreshInterval:(display:Off,pause:!f,section:0,value:0),time:(from:'2017-07-16T16:55:57-0600',mode:absolute,to:'2017-07-16T19:11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197" t="str">
        <f>IF(AA214&lt;VLOOKUP(AG214,Variables!$AC$3:$AD$8,2,FALSE),"Y","N")</f>
        <v>Y</v>
      </c>
      <c r="X214" s="197">
        <f t="shared" si="74"/>
        <v>14</v>
      </c>
      <c r="Y214" s="197">
        <f t="shared" si="89"/>
        <v>2.2968000000000002</v>
      </c>
      <c r="Z214" s="197">
        <f t="shared" si="90"/>
        <v>0.19239999999999999</v>
      </c>
      <c r="AA214" s="197">
        <f t="shared" si="83"/>
        <v>2.1044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66</v>
      </c>
      <c r="AE214" s="77" t="str">
        <f t="shared" si="85"/>
        <v>aws s3 cp s3://rtdc.mdm.uploadarchive.raw/RTDC4055/ "%USERPROFILE%\AppData\Local\Temp\OnboardLogs"\RTDC4055\2017-07-16 --exclude "*" --recursive --include "*20170716*" &amp; "%USERPROFILE%\Documents\GitHub\mrs-test-scripts\Headless Mode &amp; Sideloading\WalkAndUnGZ.bat" "%USERPROFILE%\AppData\Local\Temp\OnboardLogs"\RTDC4055\2017-07-16 &amp; aws s3 cp s3://rtdc.mdm.uploadarchive.raw/RTDC4055/ "%USERPROFILE%\AppData\Local\Temp\OnboardLogs"\RTDC4055\2017-07-17 --exclude "*" --recursive --include "*20170717*" &amp; "%USERPROFILE%\Documents\GitHub\mrs-test-scripts\Headless Mode &amp; Sideloading\WalkAndUnGZ.bat" "%USERPROFILE%\AppData\Local\Temp\OnboardLogs"\RTDC4055\2017-07-17</v>
      </c>
      <c r="AF214" s="74" t="str">
        <f t="shared" si="86"/>
        <v>"C:\Program Files (x86)\AstroGrep\AstroGrep.exe" /e /r /s /spath="%USERPROFILE%\AppData\Local\Temp\OnboardLogs" /stypes="app*4055*20170717*" /stext=" 00:.+((SYSTEM_STATE.+slice.+state.+changed )|(ment ac)|(multiple cpu faults)|(system.+state.+changed )|(\[timeout)|(PRM\|1\|D)|(kpr)|(kdp)|(train st.+moving)|(\|lc)|(penalty))"</v>
      </c>
      <c r="AG214" s="209" t="str">
        <f t="shared" si="87"/>
        <v>Shuttle/Test</v>
      </c>
      <c r="AH214" s="78" t="str">
        <f t="shared" si="75"/>
        <v>"%USERPROFILE%\Documents\GitHub\eaglep3\Utilities\RefineRTDCRunTimes.py" --tripid 66-16 --locoid 4055 --swversion DE.1.0.9.0 --startMP 300:22968 --initTime 2017-07-16T17:55:57 --startdatetime 2017-07-16T18:00:57 --delay 4 --endMP 204:1924 --enddatetime 2017-07-16T18:11:17 --enforcementcount 0 &gt;&gt;C:\Users\stu\Documents\GitHub\eaglep3-reporting\EC\2017-07-16-refined-times.txt</v>
      </c>
      <c r="AI214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0.1924"},{"id":17,"name":"Train ID","value":"66-16"},{"id":16,"name":"Locomotive ID","value":"4055"},{"id":130,"name":"Impact","value":""},{"id":150,"name":"Time of Event (Mountain Time)","value":"18:11:17"},{"id":151,"name":"Denver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7"/>
        <v>start /low /b %USERPROFILE%\Documents\GitHub\eaglep3\Utilities\DownloadLogsFromS3.py --loco 4055 --day 2017-07-16</v>
      </c>
      <c r="AN214" s="151" t="str">
        <f t="shared" si="78"/>
        <v>echo {"issue":{"subject":"","project_id":30,"tracker_id":4,"status_id":1,"priority_id":1,"assigned_to_id":10,"start_date":"2017-07-17","description":"","custom_fields":[{"id":30,"name":"Category","value":"Issue"},{"id":3,"name":"Functional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UTC","value":"2017-07-17 00:11:17"},{"id":29,"name":"Sharepoint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782</v>
      </c>
      <c r="B215" s="7">
        <v>4026</v>
      </c>
      <c r="C215" s="21" t="s">
        <v>199</v>
      </c>
      <c r="D215" s="21" t="s">
        <v>971</v>
      </c>
      <c r="E215" s="13">
        <v>42932.728148148148</v>
      </c>
      <c r="F215" s="13">
        <v>42932.737280092595</v>
      </c>
      <c r="G215" s="7">
        <v>1</v>
      </c>
      <c r="H215" s="21" t="s">
        <v>587</v>
      </c>
      <c r="I215" s="13">
        <v>42932.743518518517</v>
      </c>
      <c r="J215" s="7">
        <v>0</v>
      </c>
      <c r="K215" s="89" t="str">
        <f t="shared" si="79"/>
        <v>4025/4026</v>
      </c>
      <c r="L215" s="21" t="str">
        <f>VLOOKUP(A215,'Trips&amp;Operators'!$C$1:$G$99999,5,FALSE)</f>
        <v>DUNCAN SHEILA</v>
      </c>
      <c r="M215" s="6">
        <f t="shared" si="80"/>
        <v>6.2384259217651561E-3</v>
      </c>
      <c r="N215" s="7">
        <f t="shared" si="88"/>
        <v>8.9833333273418248</v>
      </c>
      <c r="O215" s="7"/>
      <c r="P215" s="7"/>
      <c r="Q215" s="22"/>
      <c r="R215" s="170"/>
      <c r="S215" s="213">
        <f t="shared" si="73"/>
        <v>1</v>
      </c>
      <c r="T215" s="195" t="str">
        <f t="shared" si="81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2"/>
        <v>https://d0f6bd738d7f1b3e5a7ca70fe4ff75f0.us-east-1.aws.found.io/app/kibana#/discover/Steve-Slow-Train-Analysis-(2080s-and-2083s)?_g=(refreshInterval:(display:Off,pause:!f,section:0,value:0),time:(from:'2017-07-16T16:28:32-0600',mode:absolute,to:'2017-07-16T18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5" s="197" t="str">
        <f>IF(AA215&lt;VLOOKUP(AG215,Variables!$AC$3:$AD$8,2,FALSE),"Y","N")</f>
        <v>Y</v>
      </c>
      <c r="X215" s="197">
        <f t="shared" si="74"/>
        <v>7</v>
      </c>
      <c r="Y215" s="197">
        <f t="shared" si="89"/>
        <v>0.1192</v>
      </c>
      <c r="Z215" s="197">
        <f t="shared" si="90"/>
        <v>2.3311999999999999</v>
      </c>
      <c r="AA215" s="197">
        <f t="shared" si="83"/>
        <v>2.2119999999999997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73</v>
      </c>
      <c r="AE215" s="77" t="str">
        <f t="shared" si="85"/>
        <v>aws s3 cp s3://rtdc.mdm.uploadarchive.raw/RTDC4026/ "%USERPROFILE%\AppData\Local\Temp\OnboardLogs"\RTDC4026\2017-07-16 --exclude "*" --recursive --include "*20170716*" &amp; "%USERPROFILE%\Documents\GitHub\mrs-test-scripts\Headless Mode &amp; Sideloading\WalkAndUnGZ.bat" "%USERPROFILE%\AppData\Local\Temp\OnboardLogs"\RTDC4026\2017-07-16 &amp; aws s3 cp s3://rtdc.mdm.uploadarchive.raw/RTDC4026/ "%USERPROFILE%\AppData\Local\Temp\OnboardLogs"\RTDC4026\2017-07-17 --exclude "*" --recursive --include "*20170717*" &amp; "%USERPROFILE%\Documents\GitHub\mrs-test-scripts\Headless Mode &amp; Sideloading\WalkAndUnGZ.bat" "%USERPROFILE%\AppData\Local\Temp\OnboardLogs"\RTDC4026\2017-07-17</v>
      </c>
      <c r="AF215" s="74" t="str">
        <f t="shared" si="86"/>
        <v>"C:\Program Files (x86)\AstroGrep\AstroGrep.exe" /e /r /s /spath="%USERPROFILE%\AppData\Local\Temp\OnboardLogs" /stypes="app*4026*20170716*" /stext=" 23:.+((SYSTEM_STATE.+slice.+state.+changed )|(ment ac)|(multiple cpu faults)|(system.+state.+changed )|(\[timeout)|(PRM\|1\|D)|(kpr)|(kdp)|(train st.+moving)|(\|lc)|(penalty))"</v>
      </c>
      <c r="AG215" s="209" t="str">
        <f t="shared" si="87"/>
        <v>Shuttle/Test</v>
      </c>
      <c r="AH215" s="78" t="str">
        <f t="shared" si="75"/>
        <v>"%USERPROFILE%\Documents\GitHub\eaglep3\Utilities\RefineRTDCRunTimes.py" --tripid 73-16 --locoid 4026 --swversion DE.1.0.9.0 --startMP 204:1192 --initTime 2017-07-16T17:28:32 --startdatetime 2017-07-16T17:41:41 --delay 1 --endMP 300:23312 --enddatetime 2017-07-16T17:50:40 --enforcementcount 0 &gt;&gt;C:\Users\stu\Documents\GitHub\eaglep3-reporting\EC\2017-07-16-refined-times.txt</v>
      </c>
      <c r="AI215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2.3312"},{"id":17,"name":"Train ID","value":"73-16"},{"id":16,"name":"Locomotive ID","value":"4026"},{"id":130,"name":"Impact","value":""},{"id":150,"name":"Time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77"/>
        <v>start /low /b %USERPROFILE%\Documents\GitHub\eaglep3\Utilities\DownloadLogsFromS3.py --loco 4026 --day 2017-07-16</v>
      </c>
      <c r="AN215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779</v>
      </c>
      <c r="B216" s="7">
        <v>4062</v>
      </c>
      <c r="C216" s="21" t="s">
        <v>199</v>
      </c>
      <c r="D216" s="21" t="s">
        <v>972</v>
      </c>
      <c r="E216" s="13">
        <v>42932.71334490741</v>
      </c>
      <c r="F216" s="13">
        <v>42932.722187500003</v>
      </c>
      <c r="G216" s="7">
        <v>1</v>
      </c>
      <c r="H216" s="21" t="s">
        <v>348</v>
      </c>
      <c r="I216" s="13">
        <v>42932.72991898148</v>
      </c>
      <c r="J216" s="7">
        <v>0</v>
      </c>
      <c r="K216" s="89" t="str">
        <f t="shared" si="79"/>
        <v>4061/4062</v>
      </c>
      <c r="L216" s="21" t="str">
        <f>VLOOKUP(A216,'Trips&amp;Operators'!$C$1:$G$99999,5,FALSE)</f>
        <v>MAGEE KENYA</v>
      </c>
      <c r="M216" s="6">
        <f t="shared" si="80"/>
        <v>7.7314814770943485E-3</v>
      </c>
      <c r="N216" s="7">
        <f t="shared" si="88"/>
        <v>11.133333327015862</v>
      </c>
      <c r="O216" s="7"/>
      <c r="P216" s="7"/>
      <c r="Q216" s="22"/>
      <c r="R216" s="170"/>
      <c r="S216" s="213">
        <f t="shared" si="73"/>
        <v>1</v>
      </c>
      <c r="T216" s="195" t="str">
        <f t="shared" si="8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2"/>
        <v>https://d0f6bd738d7f1b3e5a7ca70fe4ff75f0.us-east-1.aws.found.io/app/kibana#/discover/Steve-Slow-Train-Analysis-(2080s-and-2083s)?_g=(refreshInterval:(display:Off,pause:!f,section:0,value:0),time:(from:'2017-07-16T16:07:13-0600',mode:absolute,to:'2017-07-16T18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197" t="str">
        <f>IF(AA216&lt;VLOOKUP(AG216,Variables!$AC$3:$AD$8,2,FALSE),"Y","N")</f>
        <v>Y</v>
      </c>
      <c r="X216" s="197">
        <f t="shared" si="74"/>
        <v>2</v>
      </c>
      <c r="Y216" s="197">
        <f t="shared" si="89"/>
        <v>0.15179999999999999</v>
      </c>
      <c r="Z216" s="197">
        <f t="shared" si="90"/>
        <v>2.3346</v>
      </c>
      <c r="AA216" s="197">
        <f t="shared" si="83"/>
        <v>2.1827999999999999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75</v>
      </c>
      <c r="AE216" s="77" t="str">
        <f t="shared" si="85"/>
        <v>aws s3 cp s3://rtdc.mdm.uploadarchive.raw/RTDC4062/ "%USERPROFILE%\AppData\Local\Temp\OnboardLogs"\RTDC4062\2017-07-16 --exclude "*" --recursive --include "*20170716*" &amp; "%USERPROFILE%\Documents\GitHub\mrs-test-scripts\Headless Mode &amp; Sideloading\WalkAndUnGZ.bat" "%USERPROFILE%\AppData\Local\Temp\OnboardLogs"\RTDC4062\2017-07-16 &amp; aws s3 cp s3://rtdc.mdm.uploadarchive.raw/RTDC4062/ "%USERPROFILE%\AppData\Local\Temp\OnboardLogs"\RTDC4062\2017-07-17 --exclude "*" --recursive --include "*20170717*" &amp; "%USERPROFILE%\Documents\GitHub\mrs-test-scripts\Headless Mode &amp; Sideloading\WalkAndUnGZ.bat" "%USERPROFILE%\AppData\Local\Temp\OnboardLogs"\RTDC4062\2017-07-17</v>
      </c>
      <c r="AF216" s="74" t="str">
        <f t="shared" si="86"/>
        <v>"C:\Program Files (x86)\AstroGrep\AstroGrep.exe" /e /r /s /spath="%USERPROFILE%\AppData\Local\Temp\OnboardLogs" /stypes="app*4062*20170716*" /stext=" 23:.+((SYSTEM_STATE.+slice.+state.+changed )|(ment ac)|(multiple cpu faults)|(system.+state.+changed )|(\[timeout)|(PRM\|1\|D)|(kpr)|(kdp)|(train st.+moving)|(\|lc)|(penalty))"</v>
      </c>
      <c r="AG216" s="209" t="str">
        <f t="shared" si="87"/>
        <v>Shuttle/Test</v>
      </c>
      <c r="AH216" s="78" t="str">
        <f t="shared" si="75"/>
        <v>"%USERPROFILE%\Documents\GitHub\eaglep3\Utilities\RefineRTDCRunTimes.py" --tripid 75-16 --locoid 4062 --swversion DE.1.0.9.0 --startMP 204:1518 --initTime 2017-07-16T17:07:13 --startdatetime 2017-07-16T17:19:57 --delay 1 --endMP 300:23346 --enddatetime 2017-07-16T17:31:05 --enforcementcount 0 &gt;&gt;C:\Users\stu\Documents\GitHub\eaglep3-reporting\EC\2017-07-16-refined-times.txt</v>
      </c>
      <c r="AI216" s="96" t="str">
        <f t="shared" si="76"/>
        <v>echo {"issue":{"subject":"","project_id":79,"tracker_id":40,"status_id":1,"priority_id":2,"assigned_to_id":23,"start_date":"2017-07-16","description":"","custom_fields":[{"id":1,"name":"Subdivision","value":"Shuttle/Test"},{"id":4,"name":"Milepost","value":"2.3346"},{"id":17,"name":"Train ID","value":"75-16"},{"id":16,"name":"Locomotive ID","value":"4062"},{"id":130,"name":"Impact","value":""},{"id":150,"name":"Time of Event (Mountain Time)","value":"17:31:05"},{"id":151,"name":"Denver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7"/>
        <v>start /low /b %USERPROFILE%\Documents\GitHub\eaglep3\Utilities\DownloadLogsFromS3.py --loco 4062 --day 2017-07-16</v>
      </c>
      <c r="AN216" s="151" t="str">
        <f t="shared" si="78"/>
        <v>echo {"issue":{"subject":"","project_id":30,"tracker_id":4,"status_id":1,"priority_id":1,"assigned_to_id":10,"start_date":"2017-07-16","description":"","custom_fields":[{"id":30,"name":"Category","value":"Issue"},{"id":3,"name":"Functional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UTC","value":"2017-07-16 23:31:05"},{"id":29,"name":"Sharepoint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M217"/>
      <c r="AO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</sheetData>
  <autoFilter ref="A12:AG270">
    <sortState ref="A13:AG270">
      <sortCondition ref="AG13:AG216"/>
      <sortCondition ref="AD13:AD216"/>
    </sortState>
  </autoFilter>
  <sortState ref="A13:AN227">
    <sortCondition ref="AG13:AG227"/>
    <sortCondition ref="AD13:AD227"/>
  </sortState>
  <mergeCells count="1">
    <mergeCell ref="A11:P11"/>
  </mergeCells>
  <conditionalFormatting sqref="W11:W12 W275:X1048576 W13:X216">
    <cfRule type="cellIs" dxfId="10" priority="415" operator="equal">
      <formula>"Y"</formula>
    </cfRule>
  </conditionalFormatting>
  <conditionalFormatting sqref="X275:X1048576 X13:X216">
    <cfRule type="cellIs" dxfId="9" priority="398" operator="greaterThan">
      <formula>1</formula>
    </cfRule>
  </conditionalFormatting>
  <conditionalFormatting sqref="X275:X1048576 X12:X216">
    <cfRule type="cellIs" dxfId="8" priority="395" operator="equal">
      <formula>0</formula>
    </cfRule>
  </conditionalFormatting>
  <conditionalFormatting sqref="A13:S21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413</v>
      </c>
      <c r="X6" s="208" t="s">
        <v>406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42932.41101851852</v>
      </c>
      <c r="B7" s="30" t="s">
        <v>550</v>
      </c>
      <c r="C7" s="30" t="s">
        <v>605</v>
      </c>
      <c r="D7" s="30" t="s">
        <v>49</v>
      </c>
      <c r="E7" s="30" t="s">
        <v>187</v>
      </c>
      <c r="F7" s="42">
        <v>0</v>
      </c>
      <c r="G7" s="42">
        <v>210</v>
      </c>
      <c r="H7" s="42">
        <v>26947</v>
      </c>
      <c r="I7" s="42">
        <v>27225</v>
      </c>
      <c r="J7" s="30" t="s">
        <v>188</v>
      </c>
      <c r="K7" s="42">
        <v>27053</v>
      </c>
      <c r="L7" s="131" t="s">
        <v>50</v>
      </c>
      <c r="M7" s="132">
        <f t="shared" ref="M7:M28" si="0">CONVERT((I7-K7)/10000,"mi","ft")*IF(L7="Increasing Mileposts (1)",-1,1)</f>
        <v>-90.816000000000003</v>
      </c>
      <c r="N7" s="133" t="str">
        <f>VLOOKUP(C7,'Trips&amp;Operators'!$C$1:$G$99999,5,FALSE)</f>
        <v>BROWN JACOB</v>
      </c>
      <c r="O7" s="203" t="s">
        <v>180</v>
      </c>
      <c r="P7" s="134" t="s">
        <v>990</v>
      </c>
      <c r="Q7" s="30"/>
      <c r="R7" s="81" t="str">
        <f>VLOOKUP(C7,'Train Runs'!$A$13:$AE$9929,31,0)</f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S7" s="84" t="str">
        <f>VLOOKUP(C7,'Train Runs'!$A$13:$AE$9929,22,0)</f>
        <v>https://d0f6bd738d7f1b3e5a7ca70fe4ff75f0.us-east-1.aws.found.io/app/kibana#/discover/Steve-Slow-Train-Analysis-(2080s-and-2083s)?_g=(refreshInterval:(display:Off,pause:!f,section:0,value:0),time:(from:'2017-07-16T08:39:44-0600',mode:absolute,to:'2017-07-16T11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7" s="86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/stypes="*4012*201707161*" /stext=" 15:.+((SYSTEM_STATE.+slice.+state.+changed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4012</v>
      </c>
      <c r="V7" s="31">
        <f t="shared" ref="V7:V28" si="3">A7-utc_offset/24</f>
        <v>42932.66101851852</v>
      </c>
      <c r="W7" s="45" t="str">
        <f t="shared" ref="W7:W28" si="4">DetSubdiv(C7)</f>
        <v>EC</v>
      </c>
      <c r="X7" s="22">
        <f t="shared" ref="X7:X28" si="5">VALUE(LEFT(C7,LEN(C7)-3))</f>
        <v>149</v>
      </c>
      <c r="Y7" s="96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 with unhealthy banner @ Clayton after","project_id":79,"tracker_id":40,"status_id":1,"priority_id":2,"assigned_to_id":23,"start_date":"2017-07-16","description":"","custom_fields":[{"id":1,"name":"Subdivision","value":"EC"},{"id":4,"name":"Milepost","value":"2.7053"},{"id":17,"name":"Train ID","value":"149-16"},{"id":16,"name":"Locomotive ID","value":"4012"},{"id":130,"name":"Impact","value":""},{"id":150,"name":"Time of Event (Mountain Time)","value":"09:51:52"},{"id":151,"name":"Denver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/c/Users/stu/AppData/Local/Temp/OnboardLogs/RTDC4012 --include="*4012*201707161*"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"%USERPROFILE%\AppData\Local\Temp\OnboardLogs"\RTDC4012\*4012*201707161* &gt;&gt; 2017-07-16-SliceDisagreementCheck.txt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4012 --day 2017-07-16</v>
      </c>
    </row>
    <row r="8" spans="1:32" s="1" customFormat="1" x14ac:dyDescent="0.25">
      <c r="A8" s="31">
        <v>42932.449895833335</v>
      </c>
      <c r="B8" s="30" t="s">
        <v>445</v>
      </c>
      <c r="C8" s="30" t="s">
        <v>606</v>
      </c>
      <c r="D8" s="30" t="s">
        <v>49</v>
      </c>
      <c r="E8" s="30" t="s">
        <v>187</v>
      </c>
      <c r="F8" s="42">
        <v>0</v>
      </c>
      <c r="G8" s="42">
        <v>106</v>
      </c>
      <c r="H8" s="42">
        <v>63317</v>
      </c>
      <c r="I8" s="42">
        <v>63185</v>
      </c>
      <c r="J8" s="30" t="s">
        <v>188</v>
      </c>
      <c r="K8" s="42">
        <v>63309</v>
      </c>
      <c r="L8" s="131" t="s">
        <v>51</v>
      </c>
      <c r="M8" s="132">
        <f t="shared" si="0"/>
        <v>-65.471999999999994</v>
      </c>
      <c r="N8" s="133" t="str">
        <f>VLOOKUP(C8,'Trips&amp;Operators'!$C$1:$G$99999,5,FALSE)</f>
        <v>MACDONALD THOMAS</v>
      </c>
      <c r="O8" s="203" t="s">
        <v>180</v>
      </c>
      <c r="P8" s="134" t="s">
        <v>419</v>
      </c>
      <c r="Q8" s="30"/>
      <c r="R8" s="81" t="str">
        <f>VLOOKUP(C8,'Train Runs'!$A$13:$AE$9929,31,0)</f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S8" s="84" t="str">
        <f>VLOOKUP(C8,'Train Runs'!$A$13:$AE$9929,22,0)</f>
        <v>https://d0f6bd738d7f1b3e5a7ca70fe4ff75f0.us-east-1.aws.found.io/app/kibana#/discover/Steve-Slow-Train-Analysis-(2080s-and-2083s)?_g=(refreshInterval:(display:Off,pause:!f,section:0,value:0),time:(from:'2017-07-16T09:35:19-0600',mode:absolute,to:'2017-07-16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8" s="86" t="str">
        <f t="shared" si="1"/>
        <v>"C:\Program Files (x86)\AstroGrep\AstroGrep.exe" /e /r /s /spath="%USERPROFILE%\AppData\Local\Temp\OnboardLogs" /stypes="*4061*201707161*"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4061</v>
      </c>
      <c r="V8" s="31">
        <f t="shared" si="3"/>
        <v>42932.699895833335</v>
      </c>
      <c r="W8" s="45" t="str">
        <f t="shared" si="4"/>
        <v>EC</v>
      </c>
      <c r="X8" s="22">
        <f t="shared" si="5"/>
        <v>146</v>
      </c>
      <c r="Y8" s="96" t="str">
        <f t="shared" si="6"/>
        <v>echo {"issue":{"subject":"Early arrival","project_id":79,"tracker_id":40,"status_id":1,"priority_id":2,"assigned_to_id":23,"start_date":"2017-07-16","description":"","custom_fields":[{"id":1,"name":"Subdivision","value":"EC"},{"id":4,"name":"Milepost","value":"6.3309"},{"id":17,"name":"Train ID","value":"146-16"},{"id":16,"name":"Locomotive ID","value":"4061"},{"id":130,"name":"Impact","value":""},{"id":150,"name":"Time of Event (Mountain Time)","value":"10:47:51"},{"id":151,"name":"Denver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/c/Users/stu/AppData/Local/Temp/OnboardLogs/RTDC4061 --include="*4061*201707161*"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"%USERPROFILE%\AppData\Local\Temp\OnboardLogs"\RTDC4061\*4061*201707161* &gt;&gt; 2017-07-16-SliceDisagreementCheck.txt</v>
      </c>
      <c r="AE8" s="145" t="str">
        <f t="shared" ref="AE8:AE28" si="9">"start /low /b "&amp;dls3logs&amp;" --loco "&amp;U8&amp;" --day "&amp;TEXT(V8,"YYYY-MM-DD")</f>
        <v>start /low /b %USERPROFILE%\Documents\GitHub\eaglep3\Utilities\DownloadLogsFromS3.py --loco 4061 --day 2017-07-16</v>
      </c>
    </row>
    <row r="9" spans="1:32" s="1" customFormat="1" x14ac:dyDescent="0.25">
      <c r="A9" s="31">
        <v>42932.232986111114</v>
      </c>
      <c r="B9" s="30" t="s">
        <v>443</v>
      </c>
      <c r="C9" s="30" t="s">
        <v>604</v>
      </c>
      <c r="D9" s="30" t="s">
        <v>49</v>
      </c>
      <c r="E9" s="30" t="s">
        <v>187</v>
      </c>
      <c r="F9" s="42">
        <v>100</v>
      </c>
      <c r="G9" s="42">
        <v>164</v>
      </c>
      <c r="H9" s="42">
        <v>63957</v>
      </c>
      <c r="I9" s="42">
        <v>63637</v>
      </c>
      <c r="J9" s="30" t="s">
        <v>188</v>
      </c>
      <c r="K9" s="42">
        <v>63309</v>
      </c>
      <c r="L9" s="131" t="s">
        <v>51</v>
      </c>
      <c r="M9" s="132">
        <f t="shared" si="0"/>
        <v>173.18400000000003</v>
      </c>
      <c r="N9" s="133" t="str">
        <f>VLOOKUP(C9,'Trips&amp;Operators'!$C$1:$G$99999,5,FALSE)</f>
        <v>ROBINSON KADDIBA</v>
      </c>
      <c r="O9" s="203" t="s">
        <v>180</v>
      </c>
      <c r="P9" s="134" t="s">
        <v>419</v>
      </c>
      <c r="Q9" s="30"/>
      <c r="R9" s="81" t="str">
        <f>VLOOKUP(C9,'Train Runs'!$A$13:$AE$9929,31,0)</f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S9" s="84" t="str">
        <f>VLOOKUP(C9,'Train Runs'!$A$13:$AE$9929,22,0)</f>
        <v>https://d0f6bd738d7f1b3e5a7ca70fe4ff75f0.us-east-1.aws.found.io/app/kibana#/discover/Steve-Slow-Train-Analysis-(2080s-and-2083s)?_g=(refreshInterval:(display:Off,pause:!f,section:0,value:0),time:(from:'2017-07-16T04:07:18-0600',mode:absolute,to:'2017-07-16T06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6" t="str">
        <f t="shared" si="1"/>
        <v>"C:\Program Files (x86)\AstroGrep\AstroGrep.exe" /e /r /s /spath="%USERPROFILE%\AppData\Local\Temp\OnboardLogs" /stypes="*4005*201707161*"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4005</v>
      </c>
      <c r="V9" s="31">
        <f t="shared" si="3"/>
        <v>42932.482986111114</v>
      </c>
      <c r="W9" s="45" t="str">
        <f t="shared" si="4"/>
        <v>EC</v>
      </c>
      <c r="X9" s="22">
        <f t="shared" si="5"/>
        <v>106</v>
      </c>
      <c r="Y9" s="96" t="str">
        <f t="shared" si="6"/>
        <v>echo {"issue":{"subject":"Early arrival","project_id":79,"tracker_id":40,"status_id":1,"priority_id":2,"assigned_to_id":23,"start_date":"2017-07-16","description":"","custom_fields":[{"id":1,"name":"Subdivision","value":"EC"},{"id":4,"name":"Milepost","value":"6.3309"},{"id":17,"name":"Train ID","value":"106-16"},{"id":16,"name":"Locomotive ID","value":"4005"},{"id":130,"name":"Impact","value":""},{"id":150,"name":"Time of Event (Mountain Time)","value":"05:35:30"},{"id":151,"name":"Denver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/c/Users/stu/AppData/Local/Temp/OnboardLogs/RTDC4005 --include="*4005*201707161*"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"%USERPROFILE%\AppData\Local\Temp\OnboardLogs"\RTDC4005\*4005*201707161* &gt;&gt; 2017-07-16-SliceDisagreementCheck.txt</v>
      </c>
      <c r="AE9" s="145" t="str">
        <f t="shared" si="9"/>
        <v>start /low /b %USERPROFILE%\Documents\GitHub\eaglep3\Utilities\DownloadLogsFromS3.py --loco 4005 --day 2017-07-16</v>
      </c>
    </row>
    <row r="10" spans="1:32" s="1" customFormat="1" x14ac:dyDescent="0.25">
      <c r="A10" s="31">
        <v>42933.051898148151</v>
      </c>
      <c r="B10" s="30" t="s">
        <v>443</v>
      </c>
      <c r="C10" s="30" t="s">
        <v>619</v>
      </c>
      <c r="D10" s="30" t="s">
        <v>49</v>
      </c>
      <c r="E10" s="30" t="s">
        <v>187</v>
      </c>
      <c r="F10" s="42">
        <v>340</v>
      </c>
      <c r="G10" s="42">
        <v>430</v>
      </c>
      <c r="H10" s="42">
        <v>110322</v>
      </c>
      <c r="I10" s="42">
        <v>109021</v>
      </c>
      <c r="J10" s="30" t="s">
        <v>188</v>
      </c>
      <c r="K10" s="42">
        <v>109135</v>
      </c>
      <c r="L10" s="131" t="s">
        <v>51</v>
      </c>
      <c r="M10" s="132">
        <f t="shared" si="0"/>
        <v>-60.192</v>
      </c>
      <c r="N10" s="133" t="str">
        <f>VLOOKUP(C10,'Trips&amp;Operators'!$C$1:$G$99999,5,FALSE)</f>
        <v>PERKINS DARREN</v>
      </c>
      <c r="O10" s="203" t="s">
        <v>180</v>
      </c>
      <c r="P10" s="134" t="s">
        <v>419</v>
      </c>
      <c r="Q10" s="30"/>
      <c r="R10" s="81" t="str">
        <f>VLOOKUP(C10,'Train Runs'!$A$13:$AE$9929,31,0)</f>
        <v>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 &amp; aws s3 cp s3://rtdc.mdm.uploadarchive.raw/RTDC4005/ "%USERPROFILE%\AppData\Local\Temp\OnboardLogs"\RTDC4005\2017-07-18 --exclude "*" --recursive --include "*20170718*" &amp; "%USERPROFILE%\Documents\GitHub\mrs-test-scripts\Headless Mode &amp; Sideloading\WalkAndUnGZ.bat" "%USERPROFILE%\AppData\Local\Temp\OnboardLogs"\RTDC4005\2017-07-18</v>
      </c>
      <c r="S10" s="84" t="str">
        <f>VLOOKUP(C10,'Train Runs'!$A$13:$AE$9929,22,0)</f>
        <v>https://d0f6bd738d7f1b3e5a7ca70fe4ff75f0.us-east-1.aws.found.io/app/kibana#/discover/Steve-Slow-Train-Analysis-(2080s-and-2083s)?_g=(refreshInterval:(display:Off,pause:!f,section:0,value:0),time:(from:'2017-07-16T23:51:33-0600',mode:absolute,to:'2017-07-17T02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/stypes="*4005*201707170*" /stext=" 07:.+((SYSTEM_STATE.+slice.+state.+changed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42933.301898148151</v>
      </c>
      <c r="W10" s="45" t="str">
        <f t="shared" si="4"/>
        <v>EC</v>
      </c>
      <c r="X10" s="22">
        <f t="shared" si="5"/>
        <v>242</v>
      </c>
      <c r="Y10" s="96" t="str">
        <f t="shared" si="6"/>
        <v>echo {"issue":{"subject":"Early arrival","project_id":79,"tracker_id":40,"status_id":1,"priority_id":2,"assigned_to_id":23,"start_date":"2017-07-17","description":"","custom_fields":[{"id":1,"name":"Subdivision","value":"EC"},{"id":4,"name":"Milepost","value":"10.9135"},{"id":17,"name":"Train ID","value":"242-16"},{"id":16,"name":"Locomotive ID","value":"4005"},{"id":130,"name":"Impact","value":""},{"id":150,"name":"Time of Event (Mountain Time)","value":"01:14:44"},{"id":151,"name":"Denver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/c/Users/stu/AppData/Local/Temp/OnboardLogs/RTDC4005 --include="*4005*201707170*"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"%USERPROFILE%\AppData\Local\Temp\OnboardLogs"\RTDC4005\*4005*201707170* &gt;&gt; 2017-07-16-SliceDisagreementCheck.txt</v>
      </c>
      <c r="AE10" s="145" t="str">
        <f t="shared" si="9"/>
        <v>start /low /b %USERPROFILE%\Documents\GitHub\eaglep3\Utilities\DownloadLogsFromS3.py --loco 4005 --day 2017-07-17</v>
      </c>
    </row>
    <row r="11" spans="1:32" s="1" customFormat="1" x14ac:dyDescent="0.25">
      <c r="A11" s="31">
        <v>42932.857418981483</v>
      </c>
      <c r="B11" s="30" t="s">
        <v>550</v>
      </c>
      <c r="C11" s="30" t="s">
        <v>616</v>
      </c>
      <c r="D11" s="30" t="s">
        <v>49</v>
      </c>
      <c r="E11" s="30" t="s">
        <v>197</v>
      </c>
      <c r="F11" s="42">
        <v>400</v>
      </c>
      <c r="G11" s="42">
        <v>454</v>
      </c>
      <c r="H11" s="42">
        <v>17624</v>
      </c>
      <c r="I11" s="42">
        <v>18288</v>
      </c>
      <c r="J11" s="30" t="s">
        <v>198</v>
      </c>
      <c r="K11" s="42">
        <v>17867</v>
      </c>
      <c r="L11" s="131" t="s">
        <v>50</v>
      </c>
      <c r="M11" s="132">
        <f t="shared" si="0"/>
        <v>-222.28800000000001</v>
      </c>
      <c r="N11" s="133" t="str">
        <f>VLOOKUP(C11,'Trips&amp;Operators'!$C$1:$G$99999,5,FALSE)</f>
        <v>HUFFSMITH MONTY</v>
      </c>
      <c r="O11" s="203" t="s">
        <v>180</v>
      </c>
      <c r="P11" s="134"/>
      <c r="Q11" s="30"/>
      <c r="R11" s="81" t="str">
        <f>VLOOKUP(C11,'Train Runs'!$A$13:$AE$9929,31,0)</f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S11" s="84" t="str">
        <f>VLOOKUP(C11,'Train Runs'!$A$13:$AE$9929,22,0)</f>
        <v>https://d0f6bd738d7f1b3e5a7ca70fe4ff75f0.us-east-1.aws.found.io/app/kibana#/discover/Steve-Slow-Train-Analysis-(2080s-and-2083s)?_g=(refreshInterval:(display:Off,pause:!f,section:0,value:0),time:(from:'2017-07-16T19:11:52-0600',mode:absolute,to:'2017-07-16T22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6" t="str">
        <f t="shared" si="1"/>
        <v>"C:\Program Files (x86)\AstroGrep\AstroGrep.exe" /e /r /s /spath="%USERPROFILE%\AppData\Local\Temp\OnboardLogs" /stypes="*4012*201707170*"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42933.107418981483</v>
      </c>
      <c r="W11" s="45" t="str">
        <f t="shared" si="4"/>
        <v>EC</v>
      </c>
      <c r="X11" s="22">
        <f t="shared" si="5"/>
        <v>227</v>
      </c>
      <c r="Y11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{"issue":{"subject":"","project_id":79,"tracker_id":40,"status_id":1,"priority_id":2,"assigned_to_id":23,"start_date":"2017-07-16","description":"","custom_fields":[{"id":1,"name":"Subdivision","value":"EC"},{"id":4,"name":"Milepost","value":"1.7867"},{"id":17,"name":"Train ID","value":"227-16"},{"id":16,"name":"Locomotive ID","value":"4012"},{"id":130,"name":"Impact","value":""},{"id":150,"name":"Time of Event (Mountain Time)","value":"20:34:41"},{"id":151,"name":"Denver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/c/Users/stu/AppData/Local/Temp/OnboardLogs/RTDC4012 --include="*4012*201707170*"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"%USERPROFILE%\AppData\Local\Temp\OnboardLogs"\RTDC4012\*4012*201707170* &gt;&gt; 2017-07-16-SliceDisagreementCheck.txt</v>
      </c>
      <c r="AE11" s="145" t="str">
        <f t="shared" si="9"/>
        <v>start /low /b %USERPROFILE%\Documents\GitHub\eaglep3\Utilities\DownloadLogsFromS3.py --loco 4012 --day 2017-07-17</v>
      </c>
    </row>
    <row r="12" spans="1:32" s="1" customFormat="1" x14ac:dyDescent="0.25">
      <c r="A12" s="31">
        <v>42932.577025462961</v>
      </c>
      <c r="B12" s="30" t="s">
        <v>395</v>
      </c>
      <c r="C12" s="30" t="s">
        <v>608</v>
      </c>
      <c r="D12" s="30" t="s">
        <v>96</v>
      </c>
      <c r="E12" s="30" t="s">
        <v>197</v>
      </c>
      <c r="F12" s="42">
        <v>300</v>
      </c>
      <c r="G12" s="42">
        <v>351</v>
      </c>
      <c r="H12" s="42">
        <v>20554</v>
      </c>
      <c r="I12" s="42">
        <v>21437</v>
      </c>
      <c r="J12" s="30" t="s">
        <v>198</v>
      </c>
      <c r="K12" s="42">
        <v>20338</v>
      </c>
      <c r="L12" s="131" t="s">
        <v>50</v>
      </c>
      <c r="M12" s="132">
        <f t="shared" si="0"/>
        <v>-580.27200000000005</v>
      </c>
      <c r="N12" s="133" t="str">
        <f>VLOOKUP(C12,'Trips&amp;Operators'!$C$1:$G$99999,5,FALSE)</f>
        <v>LOPES KIMBERLY</v>
      </c>
      <c r="O12" s="203" t="s">
        <v>180</v>
      </c>
      <c r="P12" s="134"/>
      <c r="Q12" s="30"/>
      <c r="R12" s="81" t="str">
        <f>VLOOKUP(C12,'Train Runs'!$A$13:$AE$9929,31,0)</f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S12" s="84" t="str">
        <f>VLOOKUP(C12,'Train Runs'!$A$13:$AE$9929,22,0)</f>
        <v>https://d0f6bd738d7f1b3e5a7ca70fe4ff75f0.us-east-1.aws.found.io/app/kibana#/discover/Steve-Slow-Train-Analysis-(2080s-and-2083s)?_g=(refreshInterval:(display:Off,pause:!f,section:0,value:0),time:(from:'2017-07-16T12:38:00-0600',mode:absolute,to:'2017-07-16T15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 t="shared" si="1"/>
        <v>"C:\Program Files (x86)\AstroGrep\AstroGrep.exe" /e /r /s /spath="%USERPROFILE%\AppData\Local\Temp\OnboardLogs" /stypes="*4002*201707161*"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4002</v>
      </c>
      <c r="V12" s="31">
        <f t="shared" si="3"/>
        <v>42932.827025462961</v>
      </c>
      <c r="W12" s="45" t="str">
        <f t="shared" si="4"/>
        <v>EC</v>
      </c>
      <c r="X12" s="22">
        <f t="shared" si="5"/>
        <v>181</v>
      </c>
      <c r="Y12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{"issue":{"subject":"","project_id":79,"tracker_id":40,"status_id":1,"priority_id":2,"assigned_to_id":23,"start_date":"2017-07-16","description":"","custom_fields":[{"id":1,"name":"Subdivision","value":"EC"},{"id":4,"name":"Milepost","value":"2.0338"},{"id":17,"name":"Train ID","value":"181-16"},{"id":16,"name":"Locomotive ID","value":"4002"},{"id":130,"name":"Impact","value":""},{"id":150,"name":"Time of Event (Mountain Time)","value":"13:50:55"},{"id":151,"name":"Denver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/c/Users/stu/AppData/Local/Temp/OnboardLogs/RTDC4002 --include="*4002*201707161*"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"%USERPROFILE%\AppData\Local\Temp\OnboardLogs"\RTDC4002\*4002*201707161* &gt;&gt; 2017-07-16-SliceDisagreementCheck.txt</v>
      </c>
      <c r="AE12" s="145" t="str">
        <f t="shared" si="9"/>
        <v>start /low /b %USERPROFILE%\Documents\GitHub\eaglep3\Utilities\DownloadLogsFromS3.py --loco 4002 --day 2017-07-16</v>
      </c>
    </row>
    <row r="13" spans="1:32" s="1" customFormat="1" x14ac:dyDescent="0.25">
      <c r="A13" s="31">
        <v>42932.694166666668</v>
      </c>
      <c r="B13" s="30" t="s">
        <v>433</v>
      </c>
      <c r="C13" s="30" t="s">
        <v>614</v>
      </c>
      <c r="D13" s="30" t="s">
        <v>49</v>
      </c>
      <c r="E13" s="30" t="s">
        <v>356</v>
      </c>
      <c r="F13" s="42">
        <v>0</v>
      </c>
      <c r="G13" s="42">
        <v>55</v>
      </c>
      <c r="H13" s="42">
        <v>27917</v>
      </c>
      <c r="I13" s="42">
        <v>27976</v>
      </c>
      <c r="J13" s="30" t="s">
        <v>357</v>
      </c>
      <c r="K13" s="42">
        <v>28054</v>
      </c>
      <c r="L13" s="131" t="s">
        <v>50</v>
      </c>
      <c r="M13" s="132">
        <f t="shared" si="0"/>
        <v>41.183999999999997</v>
      </c>
      <c r="N13" s="133" t="str">
        <f>VLOOKUP(C13,'Trips&amp;Operators'!$C$1:$G$99999,5,FALSE)</f>
        <v>DAVIS MICHAEL</v>
      </c>
      <c r="O13" s="203" t="s">
        <v>447</v>
      </c>
      <c r="P13" s="134" t="s">
        <v>989</v>
      </c>
      <c r="Q13" s="30"/>
      <c r="R13" s="81" t="str">
        <f>VLOOKUP(C13,'Train Runs'!$A$13:$AE$9929,31,0)</f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S13" s="84" t="str">
        <f>VLOOKUP(C13,'Train Runs'!$A$13:$AE$9929,22,0)</f>
        <v>https://d0f6bd738d7f1b3e5a7ca70fe4ff75f0.us-east-1.aws.found.io/app/kibana#/discover/Steve-Slow-Train-Analysis-(2080s-and-2083s)?_g=(refreshInterval:(display:Off,pause:!f,section:0,value:0),time:(from:'2017-07-16T15:27:50-0600',mode:absolute,to:'2017-07-16T18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3" s="86" t="str">
        <f t="shared" si="1"/>
        <v>"C:\Program Files (x86)\AstroGrep\AstroGrep.exe" /e /r /s /spath="%USERPROFILE%\AppData\Local\Temp\OnboardLogs" /stypes="*4006*201707162*"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4006</v>
      </c>
      <c r="V13" s="31">
        <f t="shared" si="3"/>
        <v>42932.944166666668</v>
      </c>
      <c r="W13" s="45" t="str">
        <f t="shared" si="4"/>
        <v>EC</v>
      </c>
      <c r="X13" s="22">
        <f t="shared" si="5"/>
        <v>203</v>
      </c>
      <c r="Y13" s="96" t="str">
        <f t="shared" si="6"/>
        <v>echo {"issue":{"subject":"Minor onboard in-route failure caused signal status unknown","project_id":79,"tracker_id":40,"status_id":1,"priority_id":2,"assigned_to_id":23,"start_date":"2017-07-16","description":"","custom_fields":[{"id":1,"name":"Subdivision","value":"EC"},{"id":4,"name":"Milepost","value":"2.8054"},{"id":17,"name":"Train ID","value":"203-16"},{"id":16,"name":"Locomotive ID","value":"4006"},{"id":130,"name":"Impact","value":""},{"id":150,"name":"Time of Event (Mountain Time)","value":"16:39:36"},{"id":151,"name":"Denver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/c/Users/stu/AppData/Local/Temp/OnboardLogs/RTDC4006 --include="*4006*201707162*"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"%USERPROFILE%\AppData\Local\Temp\OnboardLogs"\RTDC4006\*4006*201707162* &gt;&gt; 2017-07-16-SliceDisagreementCheck.txt</v>
      </c>
      <c r="AE13" s="145" t="str">
        <f t="shared" si="9"/>
        <v>start /low /b %USERPROFILE%\Documents\GitHub\eaglep3\Utilities\DownloadLogsFromS3.py --loco 4006 --day 2017-07-16</v>
      </c>
    </row>
    <row r="14" spans="1:32" x14ac:dyDescent="0.25">
      <c r="A14" s="31">
        <v>42932.695740740739</v>
      </c>
      <c r="B14" s="30" t="s">
        <v>433</v>
      </c>
      <c r="C14" s="30" t="s">
        <v>614</v>
      </c>
      <c r="D14" s="30" t="s">
        <v>96</v>
      </c>
      <c r="E14" s="30" t="s">
        <v>356</v>
      </c>
      <c r="F14" s="42">
        <v>200</v>
      </c>
      <c r="G14" s="42">
        <v>253</v>
      </c>
      <c r="H14" s="42">
        <v>31966</v>
      </c>
      <c r="I14" s="42">
        <v>32508</v>
      </c>
      <c r="J14" s="30" t="s">
        <v>357</v>
      </c>
      <c r="K14" s="42">
        <v>28054</v>
      </c>
      <c r="L14" s="131" t="s">
        <v>50</v>
      </c>
      <c r="M14" s="132">
        <f t="shared" si="0"/>
        <v>-2351.712</v>
      </c>
      <c r="N14" s="133" t="str">
        <f>VLOOKUP(C14,'Trips&amp;Operators'!$C$1:$G$99999,5,FALSE)</f>
        <v>DAVIS MICHAEL</v>
      </c>
      <c r="O14" s="203" t="s">
        <v>180</v>
      </c>
      <c r="P14" s="134" t="s">
        <v>988</v>
      </c>
      <c r="Q14" s="30"/>
      <c r="R14" s="81" t="str">
        <f>VLOOKUP(C14,'Train Runs'!$A$13:$AE$9929,31,0)</f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S14" s="84" t="str">
        <f>VLOOKUP(C14,'Train Runs'!$A$13:$AE$9929,22,0)</f>
        <v>https://d0f6bd738d7f1b3e5a7ca70fe4ff75f0.us-east-1.aws.found.io/app/kibana#/discover/Steve-Slow-Train-Analysis-(2080s-and-2083s)?_g=(refreshInterval:(display:Off,pause:!f,section:0,value:0),time:(from:'2017-07-16T15:27:50-0600',mode:absolute,to:'2017-07-16T18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4" s="86" t="str">
        <f t="shared" si="1"/>
        <v>"C:\Program Files (x86)\AstroGrep\AstroGrep.exe" /e /r /s /spath="%USERPROFILE%\AppData\Local\Temp\OnboardLogs" /stypes="*4006*201707162*"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4006</v>
      </c>
      <c r="V14" s="31">
        <f t="shared" si="3"/>
        <v>42932.945740740739</v>
      </c>
      <c r="W14" s="45" t="str">
        <f t="shared" si="4"/>
        <v>EC</v>
      </c>
      <c r="X14" s="22">
        <f t="shared" si="5"/>
        <v>203</v>
      </c>
      <c r="Y14" s="96" t="str">
        <f t="shared" si="6"/>
        <v>echo {"issue":{"subject":"Overspeed","project_id":79,"tracker_id":40,"status_id":1,"priority_id":2,"assigned_to_id":23,"start_date":"2017-07-16","description":"","custom_fields":[{"id":1,"name":"Subdivision","value":"EC"},{"id":4,"name":"Milepost","value":"2.8054"},{"id":17,"name":"Train ID","value":"203-16"},{"id":16,"name":"Locomotive ID","value":"4006"},{"id":130,"name":"Impact","value":""},{"id":150,"name":"Time of Event (Mountain Time)","value":"16:41:52"},{"id":151,"name":"Denver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/c/Users/stu/AppData/Local/Temp/OnboardLogs/RTDC4006 --include="*4006*201707162*"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"%USERPROFILE%\AppData\Local\Temp\OnboardLogs"\RTDC4006\*4006*201707162* &gt;&gt; 2017-07-16-SliceDisagreementCheck.txt</v>
      </c>
      <c r="AE14" s="145" t="str">
        <f t="shared" si="9"/>
        <v>start /low /b %USERPROFILE%\Documents\GitHub\eaglep3\Utilities\DownloadLogsFromS3.py --loco 4006 --day 2017-07-16</v>
      </c>
      <c r="AF14" s="1"/>
    </row>
    <row r="15" spans="1:32" x14ac:dyDescent="0.25">
      <c r="A15" s="31">
        <v>42932.697175925925</v>
      </c>
      <c r="B15" s="30" t="s">
        <v>433</v>
      </c>
      <c r="C15" s="30" t="s">
        <v>614</v>
      </c>
      <c r="D15" s="30" t="s">
        <v>96</v>
      </c>
      <c r="E15" s="30" t="s">
        <v>356</v>
      </c>
      <c r="F15" s="42">
        <v>200</v>
      </c>
      <c r="G15" s="42">
        <v>253</v>
      </c>
      <c r="H15" s="42">
        <v>34307</v>
      </c>
      <c r="I15" s="42">
        <v>34923</v>
      </c>
      <c r="J15" s="30" t="s">
        <v>357</v>
      </c>
      <c r="K15" s="42">
        <v>28054</v>
      </c>
      <c r="L15" s="131" t="s">
        <v>50</v>
      </c>
      <c r="M15" s="132">
        <f t="shared" si="0"/>
        <v>-3626.8319999999999</v>
      </c>
      <c r="N15" s="133" t="str">
        <f>VLOOKUP(C15,'Trips&amp;Operators'!$C$1:$G$99999,5,FALSE)</f>
        <v>DAVIS MICHAEL</v>
      </c>
      <c r="O15" s="203" t="s">
        <v>180</v>
      </c>
      <c r="P15" s="134" t="s">
        <v>988</v>
      </c>
      <c r="Q15" s="30"/>
      <c r="R15" s="81" t="str">
        <f>VLOOKUP(C15,'Train Runs'!$A$13:$AE$9929,31,0)</f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S15" s="84" t="str">
        <f>VLOOKUP(C15,'Train Runs'!$A$13:$AE$9929,22,0)</f>
        <v>https://d0f6bd738d7f1b3e5a7ca70fe4ff75f0.us-east-1.aws.found.io/app/kibana#/discover/Steve-Slow-Train-Analysis-(2080s-and-2083s)?_g=(refreshInterval:(display:Off,pause:!f,section:0,value:0),time:(from:'2017-07-16T15:27:50-0600',mode:absolute,to:'2017-07-16T18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86" t="str">
        <f t="shared" si="1"/>
        <v>"C:\Program Files (x86)\AstroGrep\AstroGrep.exe" /e /r /s /spath="%USERPROFILE%\AppData\Local\Temp\OnboardLogs" /stypes="*4006*201707162*"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4006</v>
      </c>
      <c r="V15" s="31">
        <f t="shared" si="3"/>
        <v>42932.947175925925</v>
      </c>
      <c r="W15" s="45" t="str">
        <f t="shared" si="4"/>
        <v>EC</v>
      </c>
      <c r="X15" s="22">
        <f t="shared" si="5"/>
        <v>203</v>
      </c>
      <c r="Y15" s="96" t="str">
        <f t="shared" si="6"/>
        <v>echo {"issue":{"subject":"Overspeed","project_id":79,"tracker_id":40,"status_id":1,"priority_id":2,"assigned_to_id":23,"start_date":"2017-07-16","description":"","custom_fields":[{"id":1,"name":"Subdivision","value":"EC"},{"id":4,"name":"Milepost","value":"2.8054"},{"id":17,"name":"Train ID","value":"203-16"},{"id":16,"name":"Locomotive ID","value":"4006"},{"id":130,"name":"Impact","value":""},{"id":150,"name":"Time of Event (Mountain Time)","value":"16:43:56"},{"id":151,"name":"Denver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/c/Users/stu/AppData/Local/Temp/OnboardLogs/RTDC4006 --include="*4006*201707162*"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"%USERPROFILE%\AppData\Local\Temp\OnboardLogs"\RTDC4006\*4006*201707162* &gt;&gt; 2017-07-16-SliceDisagreementCheck.txt</v>
      </c>
      <c r="AE15" s="145" t="str">
        <f t="shared" si="9"/>
        <v>start /low /b %USERPROFILE%\Documents\GitHub\eaglep3\Utilities\DownloadLogsFromS3.py --loco 4006 --day 2017-07-16</v>
      </c>
      <c r="AF15" s="1"/>
    </row>
    <row r="16" spans="1:32" x14ac:dyDescent="0.25">
      <c r="A16" s="31">
        <v>42932.69222222222</v>
      </c>
      <c r="B16" s="30" t="s">
        <v>551</v>
      </c>
      <c r="C16" s="30" t="s">
        <v>613</v>
      </c>
      <c r="D16" s="30" t="s">
        <v>49</v>
      </c>
      <c r="E16" s="30" t="s">
        <v>181</v>
      </c>
      <c r="F16" s="42">
        <v>0</v>
      </c>
      <c r="G16" s="42">
        <v>42</v>
      </c>
      <c r="H16" s="42">
        <v>156</v>
      </c>
      <c r="I16" s="42">
        <v>136</v>
      </c>
      <c r="J16" s="30" t="s">
        <v>182</v>
      </c>
      <c r="K16" s="42">
        <v>1</v>
      </c>
      <c r="L16" s="131" t="s">
        <v>51</v>
      </c>
      <c r="M16" s="132">
        <f t="shared" si="0"/>
        <v>71.28</v>
      </c>
      <c r="N16" s="133" t="str">
        <f>VLOOKUP(C16,'Trips&amp;Operators'!$C$1:$G$99999,5,FALSE)</f>
        <v>THOMPSON LESTER</v>
      </c>
      <c r="O16" s="203" t="s">
        <v>180</v>
      </c>
      <c r="P16" s="134"/>
      <c r="Q16" s="30"/>
      <c r="R16" s="81" t="str">
        <f>VLOOKUP(C16,'Train Runs'!$A$13:$AE$9929,31,0)</f>
        <v>aws s3 cp s3://rtdc.mdm.uploadarchive.raw/RTDC4011/ "%USERPROFILE%\AppData\Local\Temp\OnboardLogs"\RTDC4011\2017-07-16 --exclude "*" --recursive --include "*20170716*" &amp; "%USERPROFILE%\Documents\GitHub\mrs-test-scripts\Headless Mode &amp; Sideloading\WalkAndUnGZ.bat" "%USERPROFILE%\AppData\Local\Temp\OnboardLogs"\RTDC4011\2017-07-16 &amp; aws s3 cp s3://rtdc.mdm.uploadarchive.raw/RTDC4011/ "%USERPROFILE%\AppData\Local\Temp\OnboardLogs"\RTDC4011\2017-07-17 --exclude "*" --recursive --include "*20170717*" &amp; "%USERPROFILE%\Documents\GitHub\mrs-test-scripts\Headless Mode &amp; Sideloading\WalkAndUnGZ.bat" "%USERPROFILE%\AppData\Local\Temp\OnboardLogs"\RTDC4011\2017-07-17</v>
      </c>
      <c r="S16" s="84" t="str">
        <f>VLOOKUP(C16,'Train Runs'!$A$13:$AE$9929,22,0)</f>
        <v>https://d0f6bd738d7f1b3e5a7ca70fe4ff75f0.us-east-1.aws.found.io/app/kibana#/discover/Steve-Slow-Train-Analysis-(2080s-and-2083s)?_g=(refreshInterval:(display:Off,pause:!f,section:0,value:0),time:(from:'2017-07-16T14:55:12-0600',mode:absolute,to:'2017-07-16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6" t="str">
        <f t="shared" si="1"/>
        <v>"C:\Program Files (x86)\AstroGrep\AstroGrep.exe" /e /r /s /spath="%USERPROFILE%\AppData\Local\Temp\OnboardLogs" /stypes="*4011*201707162*"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4011</v>
      </c>
      <c r="V16" s="31">
        <f t="shared" si="3"/>
        <v>42932.94222222222</v>
      </c>
      <c r="W16" s="45" t="str">
        <f t="shared" si="4"/>
        <v>EC</v>
      </c>
      <c r="X16" s="22">
        <f t="shared" si="5"/>
        <v>192</v>
      </c>
      <c r="Y16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{"issue":{"subject":"","project_id":79,"tracker_id":40,"status_id":1,"priority_id":2,"assigned_to_id":23,"start_date":"2017-07-16","description":"","custom_fields":[{"id":1,"name":"Subdivision","value":"EC"},{"id":4,"name":"Milepost","value":"0.0001"},{"id":17,"name":"Train ID","value":"192-16"},{"id":16,"name":"Locomotive ID","value":"4011"},{"id":130,"name":"Impact","value":""},{"id":150,"name":"Time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/c/Users/stu/AppData/Local/Temp/OnboardLogs/RTDC4011 --include="*4011*201707162*"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"%USERPROFILE%\AppData\Local\Temp\OnboardLogs"\RTDC4011\*4011*201707162* &gt;&gt; 2017-07-16-SliceDisagreementCheck.txt</v>
      </c>
      <c r="AE16" s="145" t="str">
        <f t="shared" si="9"/>
        <v>start /low /b %USERPROFILE%\Documents\GitHub\eaglep3\Utilities\DownloadLogsFromS3.py --loco 4011 --day 2017-07-16</v>
      </c>
      <c r="AF16" s="1"/>
    </row>
    <row r="17" spans="1:32" x14ac:dyDescent="0.25">
      <c r="A17" s="31">
        <v>42932.568680555552</v>
      </c>
      <c r="B17" s="30" t="s">
        <v>433</v>
      </c>
      <c r="C17" s="30" t="s">
        <v>607</v>
      </c>
      <c r="D17" s="30" t="s">
        <v>49</v>
      </c>
      <c r="E17" s="30" t="s">
        <v>181</v>
      </c>
      <c r="F17" s="42">
        <v>0</v>
      </c>
      <c r="G17" s="42">
        <v>43</v>
      </c>
      <c r="H17" s="42">
        <v>233320</v>
      </c>
      <c r="I17" s="42">
        <v>233357</v>
      </c>
      <c r="J17" s="30" t="s">
        <v>182</v>
      </c>
      <c r="K17" s="42">
        <v>233491</v>
      </c>
      <c r="L17" s="131" t="s">
        <v>50</v>
      </c>
      <c r="M17" s="132">
        <f t="shared" si="0"/>
        <v>70.751999999999995</v>
      </c>
      <c r="N17" s="133" t="str">
        <f>VLOOKUP(C17,'Trips&amp;Operators'!$C$1:$G$99999,5,FALSE)</f>
        <v>DAVIS MICHAEL</v>
      </c>
      <c r="O17" s="203" t="s">
        <v>180</v>
      </c>
      <c r="P17" s="134"/>
      <c r="Q17" s="30"/>
      <c r="R17" s="81" t="str">
        <f>VLOOKUP(C17,'Train Runs'!$A$13:$AE$9929,31,0)</f>
        <v>aws s3 cp s3://rtdc.mdm.uploadarchive.raw/RTDC4006/ "%USERPROFILE%\AppData\Local\Temp\OnboardLogs"\RTDC4006\2017-07-16 --exclude "*" --recursive --include "*20170716*" &amp; "%USERPROFILE%\Documents\GitHub\mrs-test-scripts\Headless Mode &amp; Sideloading\WalkAndUnGZ.bat" "%USERPROFILE%\AppData\Local\Temp\OnboardLogs"\RTDC4006\2017-07-16 &amp; aws s3 cp s3://rtdc.mdm.uploadarchive.raw/RTDC4006/ "%USERPROFILE%\AppData\Local\Temp\OnboardLogs"\RTDC4006\2017-07-17 --exclude "*" --recursive --include "*20170717*" &amp; "%USERPROFILE%\Documents\GitHub\mrs-test-scripts\Headless Mode &amp; Sideloading\WalkAndUnGZ.bat" "%USERPROFILE%\AppData\Local\Temp\OnboardLogs"\RTDC4006\2017-07-17</v>
      </c>
      <c r="S17" s="84" t="str">
        <f>VLOOKUP(C17,'Train Runs'!$A$13:$AE$9929,22,0)</f>
        <v>https://d0f6bd738d7f1b3e5a7ca70fe4ff75f0.us-east-1.aws.found.io/app/kibana#/discover/Steve-Slow-Train-Analysis-(2080s-and-2083s)?_g=(refreshInterval:(display:Off,pause:!f,section:0,value:0),time:(from:'2017-07-16T11:57:57-0600',mode:absolute,to:'2017-07-16T14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 t="shared" si="1"/>
        <v>"C:\Program Files (x86)\AstroGrep\AstroGrep.exe" /e /r /s /spath="%USERPROFILE%\AppData\Local\Temp\OnboardLogs" /stypes="*4006*201707161*"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4006</v>
      </c>
      <c r="V17" s="31">
        <f t="shared" si="3"/>
        <v>42932.818680555552</v>
      </c>
      <c r="W17" s="45" t="str">
        <f t="shared" si="4"/>
        <v>EC</v>
      </c>
      <c r="X17" s="22">
        <f t="shared" si="5"/>
        <v>175</v>
      </c>
      <c r="Y17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{"issue":{"subject":"","project_id":79,"tracker_id":40,"status_id":1,"priority_id":2,"assigned_to_id":23,"start_date":"2017-07-16","description":"","custom_fields":[{"id":1,"name":"Subdivision","value":"EC"},{"id":4,"name":"Milepost","value":"23.3491"},{"id":17,"name":"Train ID","value":"175-16"},{"id":16,"name":"Locomotive ID","value":"4006"},{"id":130,"name":"Impact","value":""},{"id":150,"name":"Time of Event (Mountain Time)","value":"13:38:54"},{"id":151,"name":"Denver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/c/Users/stu/AppData/Local/Temp/OnboardLogs/RTDC4006 --include="*4006*201707161*"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"%USERPROFILE%\AppData\Local\Temp\OnboardLogs"\RTDC4006\*4006*201707161* &gt;&gt; 2017-07-16-SliceDisagreementCheck.txt</v>
      </c>
      <c r="AE17" s="145" t="str">
        <f t="shared" si="9"/>
        <v>start /low /b %USERPROFILE%\Documents\GitHub\eaglep3\Utilities\DownloadLogsFromS3.py --loco 4006 --day 2017-07-16</v>
      </c>
      <c r="AF17" s="1"/>
    </row>
    <row r="18" spans="1:32" x14ac:dyDescent="0.25">
      <c r="A18" s="31">
        <v>42932.578634259262</v>
      </c>
      <c r="B18" s="30" t="s">
        <v>550</v>
      </c>
      <c r="C18" s="30" t="s">
        <v>609</v>
      </c>
      <c r="D18" s="30" t="s">
        <v>49</v>
      </c>
      <c r="E18" s="30" t="s">
        <v>181</v>
      </c>
      <c r="F18" s="42">
        <v>0</v>
      </c>
      <c r="G18" s="42">
        <v>59</v>
      </c>
      <c r="H18" s="42">
        <v>233289</v>
      </c>
      <c r="I18" s="42">
        <v>233346</v>
      </c>
      <c r="J18" s="30" t="s">
        <v>182</v>
      </c>
      <c r="K18" s="42">
        <v>233491</v>
      </c>
      <c r="L18" s="131" t="s">
        <v>50</v>
      </c>
      <c r="M18" s="132">
        <f t="shared" si="0"/>
        <v>76.56</v>
      </c>
      <c r="N18" s="133" t="str">
        <f>VLOOKUP(C18,'Trips&amp;Operators'!$C$1:$G$99999,5,FALSE)</f>
        <v>THOMPSON LESTER</v>
      </c>
      <c r="O18" s="203" t="s">
        <v>180</v>
      </c>
      <c r="P18" s="134"/>
      <c r="Q18" s="30"/>
      <c r="R18" s="81" t="str">
        <f>VLOOKUP(C18,'Train Runs'!$A$13:$AE$9929,31,0)</f>
        <v>aws s3 cp s3://rtdc.mdm.uploadarchive.raw/RTDC4012/ "%USERPROFILE%\AppData\Local\Temp\OnboardLogs"\RTDC4012\2017-07-16 --exclude "*" --recursive --include "*20170716*" &amp; "%USERPROFILE%\Documents\GitHub\mrs-test-scripts\Headless Mode &amp; Sideloading\WalkAndUnGZ.bat" "%USERPROFILE%\AppData\Local\Temp\OnboardLogs"\RTDC4012\2017-07-16 &amp; aws s3 cp s3://rtdc.mdm.uploadarchive.raw/RTDC4012/ "%USERPROFILE%\AppData\Local\Temp\OnboardLogs"\RTDC4012\2017-07-17 --exclude "*" --recursive --include "*20170717*" &amp; "%USERPROFILE%\Documents\GitHub\mrs-test-scripts\Headless Mode &amp; Sideloading\WalkAndUnGZ.bat" "%USERPROFILE%\AppData\Local\Temp\OnboardLogs"\RTDC4012\2017-07-17</v>
      </c>
      <c r="S18" s="84" t="str">
        <f>VLOOKUP(C18,'Train Runs'!$A$13:$AE$9929,22,0)</f>
        <v>https://d0f6bd738d7f1b3e5a7ca70fe4ff75f0.us-east-1.aws.found.io/app/kibana#/discover/Steve-Slow-Train-Analysis-(2080s-and-2083s)?_g=(refreshInterval:(display:Off,pause:!f,section:0,value:0),time:(from:'2017-07-16T12:11:21-0600',mode:absolute,to:'2017-07-16T14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6" t="str">
        <f t="shared" si="1"/>
        <v>"C:\Program Files (x86)\AstroGrep\AstroGrep.exe" /e /r /s /spath="%USERPROFILE%\AppData\Local\Temp\OnboardLogs" /stypes="*4012*201707161*"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42932.828634259262</v>
      </c>
      <c r="W18" s="45" t="str">
        <f t="shared" si="4"/>
        <v>EC</v>
      </c>
      <c r="X18" s="22">
        <f t="shared" si="5"/>
        <v>177</v>
      </c>
      <c r="Y18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{"issue":{"subject":"","project_id":79,"tracker_id":40,"status_id":1,"priority_id":2,"assigned_to_id":23,"start_date":"2017-07-16","description":"","custom_fields":[{"id":1,"name":"Subdivision","value":"EC"},{"id":4,"name":"Milepost","value":"23.3491"},{"id":17,"name":"Train ID","value":"177-16"},{"id":16,"name":"Locomotive ID","value":"4012"},{"id":130,"name":"Impact","value":""},{"id":150,"name":"Time of Event (Mountain Time)","value":"13:53:14"},{"id":151,"name":"Denver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/c/Users/stu/AppData/Local/Temp/OnboardLogs/RTDC4012 --include="*4012*201707161*"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"%USERPROFILE%\AppData\Local\Temp\OnboardLogs"\RTDC4012\*4012*201707161* &gt;&gt; 2017-07-16-SliceDisagreementCheck.txt</v>
      </c>
      <c r="AE18" s="145" t="str">
        <f t="shared" si="9"/>
        <v>start /low /b %USERPROFILE%\Documents\GitHub\eaglep3\Utilities\DownloadLogsFromS3.py --loco 4012 --day 2017-07-16</v>
      </c>
      <c r="AF18" s="1"/>
    </row>
    <row r="19" spans="1:32" x14ac:dyDescent="0.25">
      <c r="A19" s="31">
        <v>42932.60833333333</v>
      </c>
      <c r="B19" s="30" t="s">
        <v>382</v>
      </c>
      <c r="C19" s="30" t="s">
        <v>610</v>
      </c>
      <c r="D19" s="30" t="s">
        <v>49</v>
      </c>
      <c r="E19" s="30" t="s">
        <v>181</v>
      </c>
      <c r="F19" s="42">
        <v>0</v>
      </c>
      <c r="G19" s="42">
        <v>49</v>
      </c>
      <c r="H19" s="42">
        <v>233397</v>
      </c>
      <c r="I19" s="42">
        <v>233428</v>
      </c>
      <c r="J19" s="30" t="s">
        <v>182</v>
      </c>
      <c r="K19" s="42">
        <v>233491</v>
      </c>
      <c r="L19" s="131" t="s">
        <v>50</v>
      </c>
      <c r="M19" s="132">
        <f t="shared" si="0"/>
        <v>33.264000000000003</v>
      </c>
      <c r="N19" s="133" t="str">
        <f>VLOOKUP(C19,'Trips&amp;Operators'!$C$1:$G$99999,5,FALSE)</f>
        <v>DELGADO DIANAH</v>
      </c>
      <c r="O19" s="203" t="s">
        <v>180</v>
      </c>
      <c r="P19" s="134"/>
      <c r="Q19" s="30"/>
      <c r="R19" s="81" t="str">
        <f>VLOOKUP(C19,'Train Runs'!$A$13:$AE$9929,31,0)</f>
        <v>aws s3 cp s3://rtdc.mdm.uploadarchive.raw/RTDC4008/ "%USERPROFILE%\AppData\Local\Temp\OnboardLogs"\RTDC4008\2017-07-16 --exclude "*" --recursive --include "*20170716*" &amp; "%USERPROFILE%\Documents\GitHub\mrs-test-scripts\Headless Mode &amp; Sideloading\WalkAndUnGZ.bat" "%USERPROFILE%\AppData\Local\Temp\OnboardLogs"\RTDC4008\2017-07-16 &amp; aws s3 cp s3://rtdc.mdm.uploadarchive.raw/RTDC4008/ "%USERPROFILE%\AppData\Local\Temp\OnboardLogs"\RTDC4008\2017-07-17 --exclude "*" --recursive --include "*20170717*" &amp; "%USERPROFILE%\Documents\GitHub\mrs-test-scripts\Headless Mode &amp; Sideloading\WalkAndUnGZ.bat" "%USERPROFILE%\AppData\Local\Temp\OnboardLogs"\RTDC4008\2017-07-17</v>
      </c>
      <c r="S19" s="84" t="str">
        <f>VLOOKUP(C19,'Train Runs'!$A$13:$AE$9929,22,0)</f>
        <v>https://d0f6bd738d7f1b3e5a7ca70fe4ff75f0.us-east-1.aws.found.io/app/kibana#/discover/Steve-Slow-Train-Analysis-(2080s-and-2083s)?_g=(refreshInterval:(display:Off,pause:!f,section:0,value:0),time:(from:'2017-07-16T12:51:07-0600',mode:absolute,to:'2017-07-16T15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9" s="86" t="str">
        <f t="shared" si="1"/>
        <v>"C:\Program Files (x86)\AstroGrep\AstroGrep.exe" /e /r /s /spath="%USERPROFILE%\AppData\Local\Temp\OnboardLogs" /stypes="*4008*201707162*"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4008</v>
      </c>
      <c r="V19" s="31">
        <f t="shared" si="3"/>
        <v>42932.85833333333</v>
      </c>
      <c r="W19" s="45" t="str">
        <f t="shared" si="4"/>
        <v>EC</v>
      </c>
      <c r="X19" s="22">
        <f t="shared" si="5"/>
        <v>183</v>
      </c>
      <c r="Y19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{"issue":{"subject":"","project_id":79,"tracker_id":40,"status_id":1,"priority_id":2,"assigned_to_id":23,"start_date":"2017-07-16","description":"","custom_fields":[{"id":1,"name":"Subdivision","value":"EC"},{"id":4,"name":"Milepost","value":"23.3491"},{"id":17,"name":"Train ID","value":"183-16"},{"id":16,"name":"Locomotive ID","value":"4008"},{"id":130,"name":"Impact","value":""},{"id":150,"name":"Time of Event (Mountain Time)","value":"14:36:00"},{"id":151,"name":"Denver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/c/Users/stu/AppData/Local/Temp/OnboardLogs/RTDC4008 --include="*4008*201707162*"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"%USERPROFILE%\AppData\Local\Temp\OnboardLogs"\RTDC4008\*4008*201707162* &gt;&gt; 2017-07-16-SliceDisagreementCheck.txt</v>
      </c>
      <c r="AE19" s="145" t="str">
        <f t="shared" si="9"/>
        <v>start /low /b %USERPROFILE%\Documents\GitHub\eaglep3\Utilities\DownloadLogsFromS3.py --loco 4008 --day 2017-07-16</v>
      </c>
      <c r="AF19" s="1"/>
    </row>
    <row r="20" spans="1:32" x14ac:dyDescent="0.25">
      <c r="A20" s="31">
        <v>42932.900717592594</v>
      </c>
      <c r="B20" s="30" t="s">
        <v>395</v>
      </c>
      <c r="C20" s="30" t="s">
        <v>617</v>
      </c>
      <c r="D20" s="30" t="s">
        <v>49</v>
      </c>
      <c r="E20" s="30" t="s">
        <v>181</v>
      </c>
      <c r="F20" s="42">
        <v>0</v>
      </c>
      <c r="G20" s="42">
        <v>42</v>
      </c>
      <c r="H20" s="42">
        <v>233401</v>
      </c>
      <c r="I20" s="42">
        <v>233431</v>
      </c>
      <c r="J20" s="30" t="s">
        <v>182</v>
      </c>
      <c r="K20" s="42">
        <v>233491</v>
      </c>
      <c r="L20" s="131" t="s">
        <v>50</v>
      </c>
      <c r="M20" s="132">
        <f t="shared" si="0"/>
        <v>31.68</v>
      </c>
      <c r="N20" s="133" t="str">
        <f>VLOOKUP(C20,'Trips&amp;Operators'!$C$1:$G$99999,5,FALSE)</f>
        <v>STAMBAUGH JAMES</v>
      </c>
      <c r="O20" s="203" t="s">
        <v>180</v>
      </c>
      <c r="P20" s="134"/>
      <c r="Q20" s="30"/>
      <c r="R20" s="81" t="str">
        <f>VLOOKUP(C20,'Train Runs'!$A$13:$AE$9929,31,0)</f>
        <v>aws s3 cp s3://rtdc.mdm.uploadarchive.raw/RTDC4002/ "%USERPROFILE%\AppData\Local\Temp\OnboardLogs"\RTDC4002\2017-07-16 --exclude "*" --recursive --include "*20170716*" &amp; "%USERPROFILE%\Documents\GitHub\mrs-test-scripts\Headless Mode &amp; Sideloading\WalkAndUnGZ.bat" "%USERPROFILE%\AppData\Local\Temp\OnboardLogs"\RTDC4002\2017-07-16 &amp; aws s3 cp s3://rtdc.mdm.uploadarchive.raw/RTDC4002/ "%USERPROFILE%\AppData\Local\Temp\OnboardLogs"\RTDC4002\2017-07-17 --exclude "*" --recursive --include "*20170717*" &amp; "%USERPROFILE%\Documents\GitHub\mrs-test-scripts\Headless Mode &amp; Sideloading\WalkAndUnGZ.bat" "%USERPROFILE%\AppData\Local\Temp\OnboardLogs"\RTDC4002\2017-07-17</v>
      </c>
      <c r="S20" s="84" t="str">
        <f>VLOOKUP(C20,'Train Runs'!$A$13:$AE$9929,22,0)</f>
        <v>https://d0f6bd738d7f1b3e5a7ca70fe4ff75f0.us-east-1.aws.found.io/app/kibana#/discover/Steve-Slow-Train-Analysis-(2080s-and-2083s)?_g=(refreshInterval:(display:Off,pause:!f,section:0,value:0),time:(from:'2017-07-16T19:36:41-0600',mode:absolute,to:'2017-07-16T22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0" s="86" t="str">
        <f t="shared" si="1"/>
        <v>"C:\Program Files (x86)\AstroGrep\AstroGrep.exe" /e /r /s /spath="%USERPROFILE%\AppData\Local\Temp\OnboardLogs" /stypes="*4002*201707170*" /stext=" 03:.+((SYSTEM_STATE.+slice.+state.+changed )|(ment ac)|(multiple cpu faults)|(system.+state.+changed )|(\[timeout)|(PRM\|1\|D)|(kpr)|(kdp)|(train st.+moving)|(\|lc)|(penalty))"</v>
      </c>
      <c r="U20" s="9" t="str">
        <f t="shared" si="2"/>
        <v>4002</v>
      </c>
      <c r="V20" s="31">
        <f t="shared" si="3"/>
        <v>42933.150717592594</v>
      </c>
      <c r="W20" s="45" t="str">
        <f t="shared" si="4"/>
        <v>EC</v>
      </c>
      <c r="X20" s="22">
        <f t="shared" si="5"/>
        <v>229</v>
      </c>
      <c r="Y20" s="96" t="str">
        <f t="shared" si="6"/>
        <v>echo {"issue":{"subject":"","project_id":79,"tracker_id":40,"status_id":1,"priority_id":2,"assigned_to_id":23,"start_date":"2017-07-16","description":"","custom_fields":[{"id":1,"name":"Subdivision","value":"EC"},{"id":4,"name":"Milepost","value":"23.3491"},{"id":17,"name":"Train ID","value":"229-16"},{"id":16,"name":"Locomotive ID","value":"4002"},{"id":130,"name":"Impact","value":""},{"id":150,"name":"Time of Event (Mountain Time)","value":"21:37:02"},{"id":151,"name":"Denver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/c/Users/stu/AppData/Local/Temp/OnboardLogs/RTDC4002 --include="*4002*201707170*"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"%USERPROFILE%\AppData\Local\Temp\OnboardLogs"\RTDC4002\*4002*201707170* &gt;&gt; 2017-07-16-SliceDisagreementCheck.txt</v>
      </c>
      <c r="AE20" s="145" t="str">
        <f t="shared" si="9"/>
        <v>start /low /b %USERPROFILE%\Documents\GitHub\eaglep3\Utilities\DownloadLogsFromS3.py --loco 4002 --day 2017-07-17</v>
      </c>
      <c r="AF20" s="1"/>
    </row>
    <row r="21" spans="1:32" x14ac:dyDescent="0.25">
      <c r="A21" s="31">
        <v>42932.909814814811</v>
      </c>
      <c r="B21" s="30" t="s">
        <v>477</v>
      </c>
      <c r="C21" s="30" t="s">
        <v>618</v>
      </c>
      <c r="D21" s="30" t="s">
        <v>49</v>
      </c>
      <c r="E21" s="30" t="s">
        <v>187</v>
      </c>
      <c r="F21" s="42">
        <v>140</v>
      </c>
      <c r="G21" s="42">
        <v>376</v>
      </c>
      <c r="H21" s="42">
        <v>12287</v>
      </c>
      <c r="I21" s="42">
        <v>11358</v>
      </c>
      <c r="J21" s="30" t="s">
        <v>188</v>
      </c>
      <c r="K21" s="42">
        <v>10988</v>
      </c>
      <c r="L21" s="131" t="s">
        <v>51</v>
      </c>
      <c r="M21" s="132">
        <f t="shared" si="0"/>
        <v>195.36</v>
      </c>
      <c r="N21" s="133" t="str">
        <f>VLOOKUP(C21,'Trips&amp;Operators'!$C$1:$G$99999,5,FALSE)</f>
        <v>BIRENBAUM THOMAS</v>
      </c>
      <c r="O21" s="203" t="s">
        <v>180</v>
      </c>
      <c r="P21" s="134" t="s">
        <v>419</v>
      </c>
      <c r="Q21" s="30"/>
      <c r="R21" s="81" t="str">
        <f>VLOOKUP(C21,'Train Runs'!$A$13:$AE$9929,31,0)</f>
        <v>aws s3 cp s3://rtdc.mdm.uploadarchive.raw/RTDC4027/ "%USERPROFILE%\AppData\Local\Temp\OnboardLogs"\RTDC4027\2017-07-16 --exclude "*" --recursive --include "*20170716*" &amp; "%USERPROFILE%\Documents\GitHub\mrs-test-scripts\Headless Mode &amp; Sideloading\WalkAndUnGZ.bat" "%USERPROFILE%\AppData\Local\Temp\OnboardLogs"\RTDC4027\2017-07-16 &amp; aws s3 cp s3://rtdc.mdm.uploadarchive.raw/RTDC4027/ "%USERPROFILE%\AppData\Local\Temp\OnboardLogs"\RTDC4027\2017-07-17 --exclude "*" --recursive --include "*20170717*" &amp; "%USERPROFILE%\Documents\GitHub\mrs-test-scripts\Headless Mode &amp; Sideloading\WalkAndUnGZ.bat" "%USERPROFILE%\AppData\Local\Temp\OnboardLogs"\RTDC4027\2017-07-17</v>
      </c>
      <c r="S21" s="84" t="str">
        <f>VLOOKUP(C21,'Train Runs'!$A$13:$AE$9929,22,0)</f>
        <v>https://d0f6bd738d7f1b3e5a7ca70fe4ff75f0.us-east-1.aws.found.io/app/kibana#/discover/Steve-Slow-Train-Analysis-(2080s-and-2083s)?_g=(refreshInterval:(display:Off,pause:!f,section:0,value:0),time:(from:'2017-07-16T20:35:54-0600',mode:absolute,to:'2017-07-16T22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6" t="str">
        <f t="shared" si="1"/>
        <v>"C:\Program Files (x86)\AstroGrep\AstroGrep.exe" /e /r /s /spath="%USERPROFILE%\AppData\Local\Temp\OnboardLogs" /stypes="*4027*201707170*" /stext=" 03:.+((SYSTEM_STATE.+slice.+state.+changed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42933.159814814811</v>
      </c>
      <c r="W21" s="45" t="str">
        <f t="shared" si="4"/>
        <v>NW</v>
      </c>
      <c r="X21" s="22">
        <f t="shared" si="5"/>
        <v>1832</v>
      </c>
      <c r="Y21" s="96" t="str">
        <f t="shared" si="6"/>
        <v>echo {"issue":{"subject":"Early arrival","project_id":79,"tracker_id":40,"status_id":1,"priority_id":2,"assigned_to_id":23,"start_date":"2017-07-16","description":"","custom_fields":[{"id":1,"name":"Subdivision","value":"NW"},{"id":4,"name":"Milepost","value":"1.0988"},{"id":17,"name":"Train ID","value":"1832-16"},{"id":16,"name":"Locomotive ID","value":"4027"},{"id":130,"name":"Impact","value":""},{"id":150,"name":"Time of Event (Mountain Time)","value":"21:50:08"},{"id":151,"name":"Denver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/c/Users/stu/AppData/Local/Temp/OnboardLogs/RTDC4027 --include="*4027*201707170*"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"%USERPROFILE%\AppData\Local\Temp\OnboardLogs"\RTDC4027\*4027*201707170* &gt;&gt; 2017-07-16-SliceDisagreementCheck.txt</v>
      </c>
      <c r="AE21" s="145" t="str">
        <f t="shared" si="9"/>
        <v>start /low /b %USERPROFILE%\Documents\GitHub\eaglep3\Utilities\DownloadLogsFromS3.py --loco 4027 --day 2017-07-17</v>
      </c>
      <c r="AF21" s="1"/>
    </row>
    <row r="22" spans="1:32" x14ac:dyDescent="0.25">
      <c r="A22" s="31">
        <v>42932.643020833333</v>
      </c>
      <c r="B22" s="30" t="s">
        <v>336</v>
      </c>
      <c r="C22" s="30" t="s">
        <v>612</v>
      </c>
      <c r="D22" s="30" t="s">
        <v>49</v>
      </c>
      <c r="E22" s="30" t="s">
        <v>197</v>
      </c>
      <c r="F22" s="42">
        <v>300</v>
      </c>
      <c r="G22" s="42">
        <v>352</v>
      </c>
      <c r="H22" s="42">
        <v>18943</v>
      </c>
      <c r="I22" s="42">
        <v>19672</v>
      </c>
      <c r="J22" s="30" t="s">
        <v>198</v>
      </c>
      <c r="K22" s="42">
        <v>21299</v>
      </c>
      <c r="L22" s="131" t="s">
        <v>50</v>
      </c>
      <c r="M22" s="132">
        <f t="shared" si="0"/>
        <v>859.05600000000004</v>
      </c>
      <c r="N22" s="133" t="str">
        <f>VLOOKUP(C22,'Trips&amp;Operators'!$C$1:$G$99999,5,FALSE)</f>
        <v>NELSON ARIANE</v>
      </c>
      <c r="O22" s="203" t="s">
        <v>180</v>
      </c>
      <c r="P22" s="134"/>
      <c r="Q22" s="30"/>
      <c r="R22" s="81" t="str">
        <f>VLOOKUP(C22,'Train Runs'!$A$13:$AE$9929,31,0)</f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S22" s="84" t="str">
        <f>VLOOKUP(C22,'Train Runs'!$A$13:$AE$9929,22,0)</f>
        <v>https://d0f6bd738d7f1b3e5a7ca70fe4ff75f0.us-east-1.aws.found.io/app/kibana#/discover/Steve-Slow-Train-Analysis-(2080s-and-2083s)?_g=(refreshInterval:(display:Off,pause:!f,section:0,value:0),time:(from:'2017-07-16T14:17:43-0600',mode:absolute,to:'2017-07-16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86" t="str">
        <f t="shared" si="1"/>
        <v>"C:\Program Files (x86)\AstroGrep\AstroGrep.exe" /e /r /s /spath="%USERPROFILE%\AppData\Local\Temp\OnboardLogs" /stypes="*4028*201707162*"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4028</v>
      </c>
      <c r="V22" s="31">
        <f t="shared" si="3"/>
        <v>42932.893020833333</v>
      </c>
      <c r="W22" s="45" t="str">
        <f t="shared" si="4"/>
        <v>NW</v>
      </c>
      <c r="X22" s="22">
        <f t="shared" si="5"/>
        <v>1819</v>
      </c>
      <c r="Y22" s="96" t="str">
        <f t="shared" si="6"/>
        <v>echo {"issue":{"subject":"","project_id":79,"tracker_id":40,"status_id":1,"priority_id":2,"assigned_to_id":23,"start_date":"2017-07-16","description":"","custom_fields":[{"id":1,"name":"Subdivision","value":"NW"},{"id":4,"name":"Milepost","value":"2.1299"},{"id":17,"name":"Train ID","value":"1819-16"},{"id":16,"name":"Locomotive ID","value":"4028"},{"id":130,"name":"Impact","value":""},{"id":150,"name":"Time of Event (Mountain Time)","value":"15:25:57"},{"id":151,"name":"Denver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/c/Users/stu/AppData/Local/Temp/OnboardLogs/RTDC4028 --include="*4028*201707162*"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"%USERPROFILE%\AppData\Local\Temp\OnboardLogs"\RTDC4028\*4028*201707162* &gt;&gt; 2017-07-16-SliceDisagreementCheck.txt</v>
      </c>
      <c r="AE22" s="145" t="str">
        <f t="shared" si="9"/>
        <v>start /low /b %USERPROFILE%\Documents\GitHub\eaglep3\Utilities\DownloadLogsFromS3.py --loco 4028 --day 2017-07-16</v>
      </c>
      <c r="AF22" s="1"/>
    </row>
    <row r="23" spans="1:32" x14ac:dyDescent="0.25">
      <c r="A23" s="31">
        <v>42932.608576388891</v>
      </c>
      <c r="B23" s="30" t="s">
        <v>336</v>
      </c>
      <c r="C23" s="30" t="s">
        <v>611</v>
      </c>
      <c r="D23" s="30" t="s">
        <v>49</v>
      </c>
      <c r="E23" s="30" t="s">
        <v>181</v>
      </c>
      <c r="F23" s="42">
        <v>0</v>
      </c>
      <c r="G23" s="42">
        <v>49</v>
      </c>
      <c r="H23" s="42">
        <v>58865</v>
      </c>
      <c r="I23" s="42">
        <v>58892</v>
      </c>
      <c r="J23" s="30" t="s">
        <v>182</v>
      </c>
      <c r="K23" s="42">
        <v>59048</v>
      </c>
      <c r="L23" s="131" t="s">
        <v>50</v>
      </c>
      <c r="M23" s="132">
        <f t="shared" si="0"/>
        <v>82.367999999999995</v>
      </c>
      <c r="N23" s="133" t="str">
        <f>VLOOKUP(C23,'Trips&amp;Operators'!$C$1:$G$99999,5,FALSE)</f>
        <v>NELSON ARIANE</v>
      </c>
      <c r="O23" s="203" t="s">
        <v>180</v>
      </c>
      <c r="P23" s="134"/>
      <c r="Q23" s="30"/>
      <c r="R23" s="81" t="str">
        <f>VLOOKUP(C23,'Train Runs'!$A$13:$AE$9929,31,0)</f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S23" s="84" t="str">
        <f>VLOOKUP(C23,'Train Runs'!$A$13:$AE$9929,22,0)</f>
        <v>https://d0f6bd738d7f1b3e5a7ca70fe4ff75f0.us-east-1.aws.found.io/app/kibana#/discover/Steve-Slow-Train-Analysis-(2080s-and-2083s)?_g=(refreshInterval:(display:Off,pause:!f,section:0,value:0),time:(from:'2017-07-16T13:06:48-0600',mode:absolute,to:'2017-07-16T15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6" t="str">
        <f t="shared" si="1"/>
        <v>"C:\Program Files (x86)\AstroGrep\AstroGrep.exe" /e /r /s /spath="%USERPROFILE%\AppData\Local\Temp\OnboardLogs" /stypes="*4028*201707162*"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4028</v>
      </c>
      <c r="V23" s="31">
        <f t="shared" si="3"/>
        <v>42932.858576388891</v>
      </c>
      <c r="W23" s="45" t="str">
        <f t="shared" si="4"/>
        <v>NW</v>
      </c>
      <c r="X23" s="22">
        <f t="shared" si="5"/>
        <v>1817</v>
      </c>
      <c r="Y23" s="96" t="str">
        <f t="shared" si="6"/>
        <v>echo {"issue":{"subject":"","project_id":79,"tracker_id":40,"status_id":1,"priority_id":2,"assigned_to_id":23,"start_date":"2017-07-16","description":"","custom_fields":[{"id":1,"name":"Subdivision","value":"NW"},{"id":4,"name":"Milepost","value":"5.9048"},{"id":17,"name":"Train ID","value":"1817-16"},{"id":16,"name":"Locomotive ID","value":"4028"},{"id":130,"name":"Impact","value":""},{"id":150,"name":"Time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/c/Users/stu/AppData/Local/Temp/OnboardLogs/RTDC4028 --include="*4028*201707162*"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"%USERPROFILE%\AppData\Local\Temp\OnboardLogs"\RTDC4028\*4028*201707162* &gt;&gt; 2017-07-16-SliceDisagreementCheck.txt</v>
      </c>
      <c r="AE23" s="145" t="str">
        <f t="shared" si="9"/>
        <v>start /low /b %USERPROFILE%\Documents\GitHub\eaglep3\Utilities\DownloadLogsFromS3.py --loco 4028 --day 2017-07-16</v>
      </c>
      <c r="AF23" s="1"/>
    </row>
    <row r="24" spans="1:32" x14ac:dyDescent="0.25">
      <c r="A24" s="31">
        <v>42932.732569444444</v>
      </c>
      <c r="B24" s="30" t="s">
        <v>336</v>
      </c>
      <c r="C24" s="30" t="s">
        <v>615</v>
      </c>
      <c r="D24" s="30" t="s">
        <v>49</v>
      </c>
      <c r="E24" s="30" t="s">
        <v>181</v>
      </c>
      <c r="F24" s="42">
        <v>0</v>
      </c>
      <c r="G24" s="42">
        <v>145</v>
      </c>
      <c r="H24" s="42">
        <v>57912</v>
      </c>
      <c r="I24" s="42">
        <v>58086</v>
      </c>
      <c r="J24" s="30" t="s">
        <v>182</v>
      </c>
      <c r="K24" s="42">
        <v>59048</v>
      </c>
      <c r="L24" s="131" t="s">
        <v>50</v>
      </c>
      <c r="M24" s="132">
        <f t="shared" si="0"/>
        <v>507.93599999999998</v>
      </c>
      <c r="N24" s="133" t="str">
        <f>VLOOKUP(C24,'Trips&amp;Operators'!$C$1:$G$99999,5,FALSE)</f>
        <v>BIRENBAUM THOMAS</v>
      </c>
      <c r="O24" s="203" t="s">
        <v>180</v>
      </c>
      <c r="P24" s="134"/>
      <c r="Q24" s="30"/>
      <c r="R24" s="81" t="str">
        <f>VLOOKUP(C24,'Train Runs'!$A$13:$AE$9929,31,0)</f>
        <v>aws s3 cp s3://rtdc.mdm.uploadarchive.raw/RTDC4028/ "%USERPROFILE%\AppData\Local\Temp\OnboardLogs"\RTDC4028\2017-07-16 --exclude "*" --recursive --include "*20170716*" &amp; "%USERPROFILE%\Documents\GitHub\mrs-test-scripts\Headless Mode &amp; Sideloading\WalkAndUnGZ.bat" "%USERPROFILE%\AppData\Local\Temp\OnboardLogs"\RTDC4028\2017-07-16 &amp; aws s3 cp s3://rtdc.mdm.uploadarchive.raw/RTDC4028/ "%USERPROFILE%\AppData\Local\Temp\OnboardLogs"\RTDC4028\2017-07-17 --exclude "*" --recursive --include "*20170717*" &amp; "%USERPROFILE%\Documents\GitHub\mrs-test-scripts\Headless Mode &amp; Sideloading\WalkAndUnGZ.bat" "%USERPROFILE%\AppData\Local\Temp\OnboardLogs"\RTDC4028\2017-07-17</v>
      </c>
      <c r="S24" s="84" t="str">
        <f>VLOOKUP(C24,'Train Runs'!$A$13:$AE$9929,22,0)</f>
        <v>https://d0f6bd738d7f1b3e5a7ca70fe4ff75f0.us-east-1.aws.found.io/app/kibana#/discover/Steve-Slow-Train-Analysis-(2080s-and-2083s)?_g=(refreshInterval:(display:Off,pause:!f,section:0,value:0),time:(from:'2017-07-16T16:16:44-0600',mode:absolute,to:'2017-07-16T18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86" t="str">
        <f t="shared" si="1"/>
        <v>"C:\Program Files (x86)\AstroGrep\AstroGrep.exe" /e /r /s /spath="%USERPROFILE%\AppData\Local\Temp\OnboardLogs" /stypes="*4028*201707162*"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4028</v>
      </c>
      <c r="V24" s="31">
        <f t="shared" si="3"/>
        <v>42932.982569444444</v>
      </c>
      <c r="W24" s="45" t="str">
        <f t="shared" si="4"/>
        <v>NW</v>
      </c>
      <c r="X24" s="22">
        <f t="shared" si="5"/>
        <v>1823</v>
      </c>
      <c r="Y24" s="96" t="str">
        <f t="shared" si="6"/>
        <v>echo {"issue":{"subject":"","project_id":79,"tracker_id":40,"status_id":1,"priority_id":2,"assigned_to_id":23,"start_date":"2017-07-16","description":"","custom_fields":[{"id":1,"name":"Subdivision","value":"NW"},{"id":4,"name":"Milepost","value":"5.9048"},{"id":17,"name":"Train ID","value":"1823-16"},{"id":16,"name":"Locomotive ID","value":"4028"},{"id":130,"name":"Impact","value":""},{"id":150,"name":"Time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/c/Users/stu/AppData/Local/Temp/OnboardLogs/RTDC4028 --include="*4028*201707162*"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"%USERPROFILE%\AppData\Local\Temp\OnboardLogs"\RTDC4028\*4028*201707162* &gt;&gt; 2017-07-16-SliceDisagreementCheck.txt</v>
      </c>
      <c r="AE24" s="145" t="str">
        <f t="shared" si="9"/>
        <v>start /low /b %USERPROFILE%\Documents\GitHub\eaglep3\Utilities\DownloadLogsFromS3.py --loco 4028 --day 2017-07-16</v>
      </c>
      <c r="AF24" s="1"/>
    </row>
    <row r="25" spans="1:32" x14ac:dyDescent="0.25">
      <c r="A25" s="31">
        <v>42932.228587962964</v>
      </c>
      <c r="B25" s="30" t="s">
        <v>445</v>
      </c>
      <c r="C25" s="30" t="s">
        <v>603</v>
      </c>
      <c r="D25" s="30" t="s">
        <v>49</v>
      </c>
      <c r="E25" s="30" t="s">
        <v>356</v>
      </c>
      <c r="F25" s="42">
        <v>0</v>
      </c>
      <c r="G25" s="42">
        <v>156</v>
      </c>
      <c r="H25" s="42">
        <v>19607</v>
      </c>
      <c r="I25" s="42">
        <v>19427</v>
      </c>
      <c r="J25" s="30" t="s">
        <v>357</v>
      </c>
      <c r="K25" s="42">
        <v>19000</v>
      </c>
      <c r="L25" s="131" t="s">
        <v>51</v>
      </c>
      <c r="M25" s="132">
        <f t="shared" si="0"/>
        <v>225.45599999999999</v>
      </c>
      <c r="N25" s="133" t="str">
        <f>VLOOKUP(C25,'Trips&amp;Operators'!$C$1:$G$99999,5,FALSE)</f>
        <v>MACDONALD THOMAS</v>
      </c>
      <c r="O25" s="203" t="s">
        <v>180</v>
      </c>
      <c r="P25" s="134"/>
      <c r="Q25" s="30"/>
      <c r="R25" s="81" t="str">
        <f>VLOOKUP(C25,'Train Runs'!$A$13:$AE$9929,31,0)</f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S25" s="84" t="str">
        <f>VLOOKUP(C25,'Train Runs'!$A$13:$AE$9929,22,0)</f>
        <v>https://d0f6bd738d7f1b3e5a7ca70fe4ff75f0.us-east-1.aws.found.io/app/kibana#/discover/Steve-Slow-Train-Analysis-(2080s-and-2083s)?_g=(refreshInterval:(display:Off,pause:!f,section:0,value:0),time:(from:'2017-07-16T04:22:21-0600',mode:absolute,to:'2017-07-16T06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5" s="86" t="str">
        <f t="shared" si="1"/>
        <v>"C:\Program Files (x86)\AstroGrep\AstroGrep.exe" /e /r /s /spath="%USERPROFILE%\AppData\Local\Temp\OnboardLogs" /stypes="*4061*201707161*"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4061</v>
      </c>
      <c r="V25" s="31">
        <f t="shared" si="3"/>
        <v>42932.478587962964</v>
      </c>
      <c r="W25" s="45" t="str">
        <f t="shared" si="4"/>
        <v>Other</v>
      </c>
      <c r="X25" s="22">
        <f t="shared" si="5"/>
        <v>312</v>
      </c>
      <c r="Y25" s="96" t="str">
        <f t="shared" si="6"/>
        <v>echo {"issue":{"subject":"","project_id":79,"tracker_id":40,"status_id":1,"priority_id":2,"assigned_to_id":23,"start_date":"2017-07-16","description":"","custom_fields":[{"id":1,"name":"Subdivision","value":"Other"},{"id":4,"name":"Milepost","value":"1.9"},{"id":17,"name":"Train ID","value":"312-16"},{"id":16,"name":"Locomotive ID","value":"4061"},{"id":130,"name":"Impact","value":""},{"id":150,"name":"Time of Event (Mountain Time)","value":"05:29:10"},{"id":151,"name":"Denver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/c/Users/stu/AppData/Local/Temp/OnboardLogs/RTDC4061 --include="*4061*201707161*"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"%USERPROFILE%\AppData\Local\Temp\OnboardLogs"\RTDC4061\*4061*201707161* &gt;&gt; 2017-07-16-SliceDisagreementCheck.txt</v>
      </c>
      <c r="AE25" s="145" t="str">
        <f t="shared" si="9"/>
        <v>start /low /b %USERPROFILE%\Documents\GitHub\eaglep3\Utilities\DownloadLogsFromS3.py --loco 4061 --day 2017-07-16</v>
      </c>
      <c r="AF25" s="1"/>
    </row>
    <row r="26" spans="1:32" x14ac:dyDescent="0.25">
      <c r="A26" s="31">
        <v>42932.159710648149</v>
      </c>
      <c r="B26" s="30" t="s">
        <v>443</v>
      </c>
      <c r="C26" s="30" t="s">
        <v>600</v>
      </c>
      <c r="D26" s="30" t="s">
        <v>96</v>
      </c>
      <c r="E26" s="30" t="s">
        <v>356</v>
      </c>
      <c r="F26" s="42">
        <v>0</v>
      </c>
      <c r="G26" s="42">
        <v>104</v>
      </c>
      <c r="H26" s="42">
        <v>23279</v>
      </c>
      <c r="I26" s="42">
        <v>23116</v>
      </c>
      <c r="J26" s="30" t="s">
        <v>357</v>
      </c>
      <c r="K26" s="42">
        <v>24161</v>
      </c>
      <c r="L26" s="131" t="s">
        <v>51</v>
      </c>
      <c r="M26" s="132">
        <f t="shared" si="0"/>
        <v>-551.76</v>
      </c>
      <c r="N26" s="133" t="str">
        <f>VLOOKUP(C26,'Trips&amp;Operators'!$C$1:$G$99999,5,FALSE)</f>
        <v>ROBINSON KADDIBA</v>
      </c>
      <c r="O26" s="203" t="s">
        <v>180</v>
      </c>
      <c r="P26" s="134"/>
      <c r="Q26" s="30"/>
      <c r="R26" s="81" t="str">
        <f>VLOOKUP(C26,'Train Runs'!$A$13:$AE$9929,31,0)</f>
        <v>aws s3 cp s3://rtdc.mdm.uploadarchive.raw/RTDC4005/ "%USERPROFILE%\AppData\Local\Temp\OnboardLogs"\RTDC4005\2017-07-16 --exclude "*" --recursive --include "*20170716*" &amp; "%USERPROFILE%\Documents\GitHub\mrs-test-scripts\Headless Mode &amp; Sideloading\WalkAndUnGZ.bat" "%USERPROFILE%\AppData\Local\Temp\OnboardLogs"\RTDC4005\2017-07-16 &amp; aws s3 cp s3://rtdc.mdm.uploadarchive.raw/RTDC4005/ "%USERPROFILE%\AppData\Local\Temp\OnboardLogs"\RTDC4005\2017-07-17 --exclude "*" --recursive --include "*20170717*" &amp; "%USERPROFILE%\Documents\GitHub\mrs-test-scripts\Headless Mode &amp; Sideloading\WalkAndUnGZ.bat" "%USERPROFILE%\AppData\Local\Temp\OnboardLogs"\RTDC4005\2017-07-17</v>
      </c>
      <c r="S26" s="84" t="str">
        <f>VLOOKUP(C26,'Train Runs'!$A$13:$AE$9929,22,0)</f>
        <v>https://d0f6bd738d7f1b3e5a7ca70fe4ff75f0.us-east-1.aws.found.io/app/kibana#/discover/Steve-Slow-Train-Analysis-(2080s-and-2083s)?_g=(refreshInterval:(display:Off,pause:!f,section:0,value:0),time:(from:'2017-07-16T02:46:48-0600',mode:absolute,to:'2017-07-16T04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 t="shared" si="1"/>
        <v>"C:\Program Files (x86)\AstroGrep\AstroGrep.exe" /e /r /s /spath="%USERPROFILE%\AppData\Local\Temp\OnboardLogs" /stypes="*4005*201707160*" /stext=" 09:.+((SYSTEM_STATE.+slice.+state.+changed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42932.409710648149</v>
      </c>
      <c r="W26" s="45" t="str">
        <f t="shared" si="4"/>
        <v>Other</v>
      </c>
      <c r="X26" s="22">
        <f t="shared" si="5"/>
        <v>304</v>
      </c>
      <c r="Y26" s="96" t="str">
        <f t="shared" si="6"/>
        <v>echo {"issue":{"subject":"","project_id":79,"tracker_id":40,"status_id":1,"priority_id":2,"assigned_to_id":23,"start_date":"2017-07-16","description":"","custom_fields":[{"id":1,"name":"Subdivision","value":"Other"},{"id":4,"name":"Milepost","value":"2.4161"},{"id":17,"name":"Train ID","value":"304-16"},{"id":16,"name":"Locomotive ID","value":"4005"},{"id":130,"name":"Impact","value":""},{"id":150,"name":"Time of Event (Mountain Time)","value":"03:49:59"},{"id":151,"name":"Denver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/c/Users/stu/AppData/Local/Temp/OnboardLogs/RTDC4005 --include="*4005*201707160*"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"%USERPROFILE%\AppData\Local\Temp\OnboardLogs"\RTDC4005\*4005*201707160* &gt;&gt; 2017-07-16-SliceDisagreementCheck.txt</v>
      </c>
      <c r="AE26" s="145" t="str">
        <f t="shared" si="9"/>
        <v>start /low /b %USERPROFILE%\Documents\GitHub\eaglep3\Utilities\DownloadLogsFromS3.py --loco 4005 --day 2017-07-16</v>
      </c>
      <c r="AF26" s="1"/>
    </row>
    <row r="27" spans="1:32" x14ac:dyDescent="0.25">
      <c r="A27" s="31">
        <v>42932.183483796296</v>
      </c>
      <c r="B27" s="30" t="s">
        <v>601</v>
      </c>
      <c r="C27" s="30" t="s">
        <v>602</v>
      </c>
      <c r="D27" s="30" t="s">
        <v>96</v>
      </c>
      <c r="E27" s="30" t="s">
        <v>356</v>
      </c>
      <c r="F27" s="42">
        <v>0</v>
      </c>
      <c r="G27" s="42">
        <v>157</v>
      </c>
      <c r="H27" s="42">
        <v>23141</v>
      </c>
      <c r="I27" s="42">
        <v>22836</v>
      </c>
      <c r="J27" s="30" t="s">
        <v>357</v>
      </c>
      <c r="K27" s="42">
        <v>24161</v>
      </c>
      <c r="L27" s="131" t="s">
        <v>51</v>
      </c>
      <c r="M27" s="132">
        <f t="shared" si="0"/>
        <v>-699.6</v>
      </c>
      <c r="N27" s="133" t="str">
        <f>VLOOKUP(C27,'Trips&amp;Operators'!$C$1:$G$99999,5,FALSE)</f>
        <v>GEBRETEKLE DAGNEW</v>
      </c>
      <c r="O27" s="203" t="s">
        <v>180</v>
      </c>
      <c r="P27" s="134"/>
      <c r="Q27" s="30"/>
      <c r="R27" s="81" t="str">
        <f>VLOOKUP(C27,'Train Runs'!$A$13:$AE$9929,31,0)</f>
        <v>aws s3 cp s3://rtdc.mdm.uploadarchive.raw/RTDC4049/ "%USERPROFILE%\AppData\Local\Temp\OnboardLogs"\RTDC4049\2017-07-16 --exclude "*" --recursive --include "*20170716*" &amp; "%USERPROFILE%\Documents\GitHub\mrs-test-scripts\Headless Mode &amp; Sideloading\WalkAndUnGZ.bat" "%USERPROFILE%\AppData\Local\Temp\OnboardLogs"\RTDC4049\2017-07-16 &amp; aws s3 cp s3://rtdc.mdm.uploadarchive.raw/RTDC4049/ "%USERPROFILE%\AppData\Local\Temp\OnboardLogs"\RTDC4049\2017-07-17 --exclude "*" --recursive --include "*20170717*" &amp; "%USERPROFILE%\Documents\GitHub\mrs-test-scripts\Headless Mode &amp; Sideloading\WalkAndUnGZ.bat" "%USERPROFILE%\AppData\Local\Temp\OnboardLogs"\RTDC4049\2017-07-17</v>
      </c>
      <c r="S27" s="84" t="str">
        <f>VLOOKUP(C27,'Train Runs'!$A$13:$AE$9929,22,0)</f>
        <v>https://d0f6bd738d7f1b3e5a7ca70fe4ff75f0.us-east-1.aws.found.io/app/kibana#/discover/Steve-Slow-Train-Analysis-(2080s-and-2083s)?_g=(refreshInterval:(display:Off,pause:!f,section:0,value:0),time:(from:'2017-07-16T03:18:02-0600',mode:absolute,to:'2017-07-16T05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7" s="86" t="str">
        <f t="shared" si="1"/>
        <v>"C:\Program Files (x86)\AstroGrep\AstroGrep.exe" /e /r /s /spath="%USERPROFILE%\AppData\Local\Temp\OnboardLogs" /stypes="*4049*201707161*" /stext=" 10:.+((SYSTEM_STATE.+slice.+state.+changed )|(ment ac)|(multiple cpu faults)|(system.+state.+changed )|(\[timeout)|(PRM\|1\|D)|(kpr)|(kdp)|(train st.+moving)|(\|lc)|(penalty))"</v>
      </c>
      <c r="U27" s="9" t="str">
        <f t="shared" si="2"/>
        <v>4049</v>
      </c>
      <c r="V27" s="31">
        <f t="shared" si="3"/>
        <v>42932.433483796296</v>
      </c>
      <c r="W27" s="45" t="str">
        <f t="shared" si="4"/>
        <v>Other</v>
      </c>
      <c r="X27" s="22">
        <f t="shared" si="5"/>
        <v>308</v>
      </c>
      <c r="Y27" s="96" t="str">
        <f t="shared" si="6"/>
        <v>echo {"issue":{"subject":"","project_id":79,"tracker_id":40,"status_id":1,"priority_id":2,"assigned_to_id":23,"start_date":"2017-07-16","description":"","custom_fields":[{"id":1,"name":"Subdivision","value":"Other"},{"id":4,"name":"Milepost","value":"2.4161"},{"id":17,"name":"Train ID","value":"308-16"},{"id":16,"name":"Locomotive ID","value":"4049"},{"id":130,"name":"Impact","value":""},{"id":150,"name":"Time of Event (Mountain Time)","value":"04:24:13"},{"id":151,"name":"Denver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/c/Users/stu/AppData/Local/Temp/OnboardLogs/RTDC4049 --include="*4049*201707161*"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"%USERPROFILE%\AppData\Local\Temp\OnboardLogs"\RTDC4049\*4049*201707161* &gt;&gt; 2017-07-16-SliceDisagreementCheck.txt</v>
      </c>
      <c r="AE27" s="145" t="str">
        <f t="shared" si="9"/>
        <v>start /low /b %USERPROFILE%\Documents\GitHub\eaglep3\Utilities\DownloadLogsFromS3.py --loco 4049 --day 2017-07-16</v>
      </c>
      <c r="AF27" s="1"/>
    </row>
    <row r="28" spans="1:32" x14ac:dyDescent="0.25">
      <c r="A28" s="31">
        <v>42932.230324074073</v>
      </c>
      <c r="B28" s="30" t="s">
        <v>445</v>
      </c>
      <c r="C28" s="30" t="s">
        <v>603</v>
      </c>
      <c r="D28" s="30" t="s">
        <v>96</v>
      </c>
      <c r="E28" s="30" t="s">
        <v>487</v>
      </c>
      <c r="F28" s="42">
        <v>0</v>
      </c>
      <c r="G28" s="42">
        <v>297</v>
      </c>
      <c r="H28" s="42">
        <v>13801</v>
      </c>
      <c r="I28" s="42">
        <v>13135</v>
      </c>
      <c r="J28" s="30" t="s">
        <v>488</v>
      </c>
      <c r="K28" s="42">
        <v>14177</v>
      </c>
      <c r="L28" s="131" t="s">
        <v>51</v>
      </c>
      <c r="M28" s="132">
        <f t="shared" si="0"/>
        <v>-550.17600000000004</v>
      </c>
      <c r="N28" s="133" t="str">
        <f>VLOOKUP(C28,'Trips&amp;Operators'!$C$1:$G$99999,5,FALSE)</f>
        <v>MACDONALD THOMAS</v>
      </c>
      <c r="O28" s="203" t="s">
        <v>180</v>
      </c>
      <c r="P28" s="134"/>
      <c r="Q28" s="30"/>
      <c r="R28" s="81" t="str">
        <f>VLOOKUP(C28,'Train Runs'!$A$13:$AE$9929,31,0)</f>
        <v>aws s3 cp s3://rtdc.mdm.uploadarchive.raw/RTDC4061/ "%USERPROFILE%\AppData\Local\Temp\OnboardLogs"\RTDC4061\2017-07-16 --exclude "*" --recursive --include "*20170716*" &amp; "%USERPROFILE%\Documents\GitHub\mrs-test-scripts\Headless Mode &amp; Sideloading\WalkAndUnGZ.bat" "%USERPROFILE%\AppData\Local\Temp\OnboardLogs"\RTDC4061\2017-07-16 &amp; aws s3 cp s3://rtdc.mdm.uploadarchive.raw/RTDC4061/ "%USERPROFILE%\AppData\Local\Temp\OnboardLogs"\RTDC4061\2017-07-17 --exclude "*" --recursive --include "*20170717*" &amp; "%USERPROFILE%\Documents\GitHub\mrs-test-scripts\Headless Mode &amp; Sideloading\WalkAndUnGZ.bat" "%USERPROFILE%\AppData\Local\Temp\OnboardLogs"\RTDC4061\2017-07-17</v>
      </c>
      <c r="S28" s="84" t="str">
        <f>VLOOKUP(C28,'Train Runs'!$A$13:$AE$9929,22,0)</f>
        <v>https://d0f6bd738d7f1b3e5a7ca70fe4ff75f0.us-east-1.aws.found.io/app/kibana#/discover/Steve-Slow-Train-Analysis-(2080s-and-2083s)?_g=(refreshInterval:(display:Off,pause:!f,section:0,value:0),time:(from:'2017-07-16T04:22:21-0600',mode:absolute,to:'2017-07-16T06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8" s="86" t="str">
        <f t="shared" si="1"/>
        <v>"C:\Program Files (x86)\AstroGrep\AstroGrep.exe" /e /r /s /spath="%USERPROFILE%\AppData\Local\Temp\OnboardLogs" /stypes="*4061*201707161*"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4061</v>
      </c>
      <c r="V28" s="31">
        <f t="shared" si="3"/>
        <v>42932.480324074073</v>
      </c>
      <c r="W28" s="45" t="str">
        <f t="shared" si="4"/>
        <v>Other</v>
      </c>
      <c r="X28" s="22">
        <f t="shared" si="5"/>
        <v>312</v>
      </c>
      <c r="Y28" s="96" t="str">
        <f t="shared" si="6"/>
        <v>echo {"issue":{"subject":"","project_id":79,"tracker_id":40,"status_id":1,"priority_id":2,"assigned_to_id":23,"start_date":"2017-07-16","description":"","custom_fields":[{"id":1,"name":"Subdivision","value":"Other"},{"id":4,"name":"Milepost","value":"1.4177"},{"id":17,"name":"Train ID","value":"312-16"},{"id":16,"name":"Locomotive ID","value":"4061"},{"id":130,"name":"Impact","value":""},{"id":150,"name":"Time of Event (Mountain Time)","value":"05:31:40"},{"id":151,"name":"Denver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/c/Users/stu/AppData/Local/Temp/OnboardLogs/RTDC4061 --include="*4061*201707161*"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"%USERPROFILE%\AppData\Local\Temp\OnboardLogs"\RTDC4061\*4061*201707161* &gt;&gt; 2017-07-16-SliceDisagreementCheck.txt</v>
      </c>
      <c r="AE28" s="145" t="str">
        <f t="shared" si="9"/>
        <v>start /low /b %USERPROFILE%\Documents\GitHub\eaglep3\Utilities\DownloadLogsFromS3.py --loco 4061 --day 2017-07-16</v>
      </c>
      <c r="AF28" s="1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s="2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3">
    <sortState ref="A7:AC73">
      <sortCondition ref="W7:W28"/>
      <sortCondition ref="E7:E28"/>
      <sortCondition ref="K7:K28"/>
      <sortCondition ref="F7:F28"/>
    </sortState>
  </autoFilter>
  <sortState ref="A7:AE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5:O1048576 O7:O2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Runs'!$A$13:$A$99926,1,FALSE)</f>
        <v>#N/A</v>
      </c>
    </row>
    <row r="4" spans="1:10" x14ac:dyDescent="0.25">
      <c r="A4" s="195"/>
      <c r="B4" s="42" t="str">
        <f>A4&amp;"-"&amp;IF(DAY(Variables!$A$2)&lt;10,0,"")&amp;DAY(Variables!$A$2)</f>
        <v>-16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Runs'!$A$13:$A$99926,1,FALSE)</f>
        <v>#N/A</v>
      </c>
    </row>
    <row r="5" spans="1:10" x14ac:dyDescent="0.25">
      <c r="A5" s="195"/>
      <c r="B5" s="42" t="str">
        <f>A5&amp;"-"&amp;IF(DAY(Variables!$A$2)&lt;10,0,"")&amp;DAY(Variables!$A$2)</f>
        <v>-16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Runs'!$A$13:$A$99926,1,FALSE)</f>
        <v>#N/A</v>
      </c>
    </row>
    <row r="6" spans="1:10" x14ac:dyDescent="0.25">
      <c r="A6" s="195"/>
      <c r="B6" s="42" t="str">
        <f>A6&amp;"-"&amp;IF(DAY(Variables!$A$2)&lt;10,0,"")&amp;DAY(Variables!$A$2)</f>
        <v>-16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Runs'!$A$13:$A$99926,1,FALSE)</f>
        <v>#N/A</v>
      </c>
    </row>
    <row r="7" spans="1:10" x14ac:dyDescent="0.25">
      <c r="A7" s="195"/>
      <c r="B7" s="42" t="str">
        <f>A7&amp;"-"&amp;IF(DAY(Variables!$A$2)&lt;10,0,"")&amp;DAY(Variables!$A$2)</f>
        <v>-16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Runs'!$A$13:$A$99926,1,FALSE)</f>
        <v>#N/A</v>
      </c>
    </row>
    <row r="8" spans="1:10" x14ac:dyDescent="0.25">
      <c r="A8" s="195"/>
      <c r="B8" s="42" t="str">
        <f>A8&amp;"-"&amp;IF(DAY(Variables!$A$2)&lt;10,0,"")&amp;DAY(Variables!$A$2)</f>
        <v>-16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Runs'!$A$13:$A$99926,1,FALSE)</f>
        <v>#N/A</v>
      </c>
    </row>
    <row r="9" spans="1:10" x14ac:dyDescent="0.25">
      <c r="A9" s="195"/>
      <c r="B9" s="42" t="str">
        <f>A9&amp;"-"&amp;IF(DAY(Variables!$A$2)&lt;10,0,"")&amp;DAY(Variables!$A$2)</f>
        <v>-16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Runs'!$A$13:$A$99926,1,FALSE)</f>
        <v>#N/A</v>
      </c>
    </row>
    <row r="10" spans="1:10" x14ac:dyDescent="0.25">
      <c r="A10" s="195"/>
      <c r="B10" s="42" t="str">
        <f>A10&amp;"-"&amp;IF(DAY(Variables!$A$2)&lt;10,0,"")&amp;DAY(Variables!$A$2)</f>
        <v>-16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Runs'!$A$13:$A$99926,1,FALSE)</f>
        <v>#N/A</v>
      </c>
    </row>
    <row r="11" spans="1:10" x14ac:dyDescent="0.25">
      <c r="A11" s="195"/>
      <c r="B11" s="42" t="str">
        <f>A11&amp;"-"&amp;IF(DAY(Variables!$A$2)&lt;10,0,"")&amp;DAY(Variables!$A$2)</f>
        <v>-16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Runs'!$A$13:$A$99926,1,FALSE)</f>
        <v>#N/A</v>
      </c>
    </row>
    <row r="12" spans="1:10" x14ac:dyDescent="0.25">
      <c r="A12" s="195"/>
      <c r="B12" s="42" t="str">
        <f>A12&amp;"-"&amp;IF(DAY(Variables!$A$2)&lt;10,0,"")&amp;DAY(Variables!$A$2)</f>
        <v>-16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Runs'!$A$13:$A$99926,1,FALSE)</f>
        <v>#N/A</v>
      </c>
    </row>
    <row r="13" spans="1:10" x14ac:dyDescent="0.25">
      <c r="A13" s="195"/>
      <c r="B13" s="42" t="str">
        <f>A13&amp;"-"&amp;IF(DAY(Variables!$A$2)&lt;10,0,"")&amp;DAY(Variables!$A$2)</f>
        <v>-16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Runs'!$A$13:$A$99926,1,FALSE)</f>
        <v>#N/A</v>
      </c>
    </row>
    <row r="14" spans="1:10" x14ac:dyDescent="0.25">
      <c r="A14" s="195"/>
      <c r="B14" s="42" t="str">
        <f>A14&amp;"-"&amp;IF(DAY(Variables!$A$2)&lt;10,0,"")&amp;DAY(Variables!$A$2)</f>
        <v>-16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Runs'!$A$13:$A$99926,1,FALSE)</f>
        <v>#N/A</v>
      </c>
    </row>
    <row r="15" spans="1:10" x14ac:dyDescent="0.25">
      <c r="A15" s="195"/>
      <c r="B15" s="42" t="str">
        <f>A15&amp;"-"&amp;IF(DAY(Variables!$A$2)&lt;10,0,"")&amp;DAY(Variables!$A$2)</f>
        <v>-16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Runs'!$A$13:$A$99926,1,FALSE)</f>
        <v>#N/A</v>
      </c>
    </row>
    <row r="16" spans="1:10" x14ac:dyDescent="0.25">
      <c r="A16" s="195"/>
      <c r="B16" s="42" t="str">
        <f>A16&amp;"-"&amp;IF(DAY(Variables!$A$2)&lt;10,0,"")&amp;DAY(Variables!$A$2)</f>
        <v>-16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Runs'!$A$13:$A$99926,1,FALSE)</f>
        <v>#N/A</v>
      </c>
    </row>
    <row r="17" spans="1:10" x14ac:dyDescent="0.25">
      <c r="A17" s="195"/>
      <c r="B17" s="42" t="str">
        <f>A17&amp;"-"&amp;IF(DAY(Variables!$A$2)&lt;10,0,"")&amp;DAY(Variables!$A$2)</f>
        <v>-16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Runs'!$A$13:$A$99926,1,FALSE)</f>
        <v>#N/A</v>
      </c>
    </row>
    <row r="18" spans="1:10" x14ac:dyDescent="0.25">
      <c r="A18" s="195"/>
      <c r="B18" s="42" t="str">
        <f>A18&amp;"-"&amp;IF(DAY(Variables!$A$2)&lt;10,0,"")&amp;DAY(Variables!$A$2)</f>
        <v>-16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Runs'!$A$13:$A$99926,1,FALSE)</f>
        <v>#N/A</v>
      </c>
    </row>
    <row r="19" spans="1:10" x14ac:dyDescent="0.25">
      <c r="A19" s="195"/>
      <c r="B19" s="42" t="str">
        <f>A19&amp;"-"&amp;IF(DAY(Variables!$A$2)&lt;10,0,"")&amp;DAY(Variables!$A$2)</f>
        <v>-16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Runs'!$A$13:$A$99926,1,FALSE)</f>
        <v>#N/A</v>
      </c>
    </row>
    <row r="20" spans="1:10" x14ac:dyDescent="0.25">
      <c r="A20" s="195"/>
      <c r="B20" s="42" t="str">
        <f>A20&amp;"-"&amp;IF(DAY(Variables!$A$2)&lt;10,0,"")&amp;DAY(Variables!$A$2)</f>
        <v>-16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Runs'!$A$13:$A$99926,1,FALSE)</f>
        <v>#N/A</v>
      </c>
    </row>
    <row r="21" spans="1:10" x14ac:dyDescent="0.25">
      <c r="A21" s="195"/>
      <c r="B21" s="42" t="str">
        <f>A21&amp;"-"&amp;IF(DAY(Variables!$A$2)&lt;10,0,"")&amp;DAY(Variables!$A$2)</f>
        <v>-16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Runs'!$A$13:$A$99926,1,FALSE)</f>
        <v>#N/A</v>
      </c>
    </row>
    <row r="22" spans="1:10" x14ac:dyDescent="0.25">
      <c r="A22" s="195"/>
      <c r="B22" s="42" t="str">
        <f>A22&amp;"-"&amp;IF(DAY(Variables!$A$2)&lt;10,0,"")&amp;DAY(Variables!$A$2)</f>
        <v>-16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Runs'!$A$13:$A$99926,1,FALSE)</f>
        <v>#N/A</v>
      </c>
    </row>
    <row r="23" spans="1:10" x14ac:dyDescent="0.25">
      <c r="A23" s="195"/>
      <c r="B23" s="42" t="str">
        <f>A23&amp;"-"&amp;IF(DAY(Variables!$A$2)&lt;10,0,"")&amp;DAY(Variables!$A$2)</f>
        <v>-16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Runs'!$A$13:$A$99926,1,FALSE)</f>
        <v>#N/A</v>
      </c>
    </row>
    <row r="24" spans="1:10" x14ac:dyDescent="0.25">
      <c r="A24" s="195"/>
      <c r="B24" s="42" t="str">
        <f>A24&amp;"-"&amp;IF(DAY(Variables!$A$2)&lt;10,0,"")&amp;DAY(Variables!$A$2)</f>
        <v>-16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Runs'!$A$13:$A$99926,1,FALSE)</f>
        <v>#N/A</v>
      </c>
    </row>
    <row r="25" spans="1:10" x14ac:dyDescent="0.25">
      <c r="A25" s="195"/>
      <c r="B25" s="42" t="str">
        <f>A25&amp;"-"&amp;IF(DAY(Variables!$A$2)&lt;10,0,"")&amp;DAY(Variables!$A$2)</f>
        <v>-16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Runs'!$A$13:$A$99926,1,FALSE)</f>
        <v>#N/A</v>
      </c>
    </row>
    <row r="26" spans="1:10" x14ac:dyDescent="0.25">
      <c r="A26" s="195"/>
      <c r="B26" s="42" t="str">
        <f>A26&amp;"-"&amp;IF(DAY(Variables!$A$2)&lt;10,0,"")&amp;DAY(Variables!$A$2)</f>
        <v>-16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Runs'!$A$13:$A$99926,1,FALSE)</f>
        <v>#N/A</v>
      </c>
    </row>
    <row r="27" spans="1:10" x14ac:dyDescent="0.25">
      <c r="A27" s="195"/>
      <c r="B27" s="42" t="str">
        <f>A27&amp;"-"&amp;IF(DAY(Variables!$A$2)&lt;10,0,"")&amp;DAY(Variables!$A$2)</f>
        <v>-16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Runs'!$A$13:$A$99926,1,FALSE)</f>
        <v>#N/A</v>
      </c>
    </row>
    <row r="28" spans="1:10" x14ac:dyDescent="0.25">
      <c r="A28" s="195"/>
      <c r="B28" s="42" t="str">
        <f>A28&amp;"-"&amp;IF(DAY(Variables!$A$2)&lt;10,0,"")&amp;DAY(Variables!$A$2)</f>
        <v>-16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Runs'!$A$13:$A$99926,1,FALSE)</f>
        <v>#N/A</v>
      </c>
    </row>
    <row r="29" spans="1:10" x14ac:dyDescent="0.25">
      <c r="A29" s="195"/>
      <c r="B29" s="42" t="str">
        <f>A29&amp;"-"&amp;IF(DAY(Variables!$A$2)&lt;10,0,"")&amp;DAY(Variables!$A$2)</f>
        <v>-16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Runs'!$A$13:$A$99926,1,FALSE)</f>
        <v>#N/A</v>
      </c>
    </row>
    <row r="30" spans="1:10" x14ac:dyDescent="0.25">
      <c r="A30" s="195"/>
      <c r="B30" s="42" t="str">
        <f>A30&amp;"-"&amp;IF(DAY(Variables!$A$2)&lt;10,0,"")&amp;DAY(Variables!$A$2)</f>
        <v>-16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Runs'!$A$13:$A$99926,1,FALSE)</f>
        <v>#N/A</v>
      </c>
    </row>
    <row r="31" spans="1:10" x14ac:dyDescent="0.25">
      <c r="A31" s="195"/>
      <c r="B31" s="42" t="str">
        <f>A31&amp;"-"&amp;IF(DAY(Variables!$A$2)&lt;10,0,"")&amp;DAY(Variables!$A$2)</f>
        <v>-16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Runs'!$A$13:$A$99926,1,FALSE)</f>
        <v>#N/A</v>
      </c>
    </row>
    <row r="32" spans="1:10" x14ac:dyDescent="0.25">
      <c r="A32" s="195"/>
      <c r="B32" s="42" t="str">
        <f>A32&amp;"-"&amp;IF(DAY(Variables!$A$2)&lt;10,0,"")&amp;DAY(Variables!$A$2)</f>
        <v>-16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Runs'!$A$13:$A$99926,1,FALSE)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42932.032384259262</v>
      </c>
      <c r="B2" s="20" t="s">
        <v>483</v>
      </c>
      <c r="C2" s="20" t="s">
        <v>620</v>
      </c>
      <c r="D2" s="138">
        <v>2620000</v>
      </c>
      <c r="E2" s="20" t="s">
        <v>560</v>
      </c>
      <c r="F2" s="20" t="s">
        <v>561</v>
      </c>
      <c r="G2" s="8" t="str">
        <f>E2&amp;" "&amp;F2</f>
        <v>PERKINS DARREN</v>
      </c>
    </row>
    <row r="3" spans="1:7" x14ac:dyDescent="0.25">
      <c r="A3" s="8">
        <v>42932.037395833337</v>
      </c>
      <c r="B3" s="20" t="s">
        <v>476</v>
      </c>
      <c r="C3" s="20" t="s">
        <v>621</v>
      </c>
      <c r="D3" s="138">
        <v>3090000</v>
      </c>
      <c r="E3" s="20" t="s">
        <v>368</v>
      </c>
      <c r="F3" s="20" t="s">
        <v>369</v>
      </c>
      <c r="G3" s="8" t="str">
        <f t="shared" ref="G3:G66" si="0">E3&amp;" "&amp;F3</f>
        <v>LAMAR NEKESHA</v>
      </c>
    </row>
    <row r="4" spans="1:7" x14ac:dyDescent="0.25">
      <c r="A4" s="8">
        <v>42932.043217592596</v>
      </c>
      <c r="B4" s="20" t="s">
        <v>622</v>
      </c>
      <c r="C4" s="20" t="s">
        <v>623</v>
      </c>
      <c r="D4" s="138">
        <v>3030000</v>
      </c>
      <c r="E4" s="20" t="s">
        <v>372</v>
      </c>
      <c r="F4" s="20" t="s">
        <v>360</v>
      </c>
      <c r="G4" s="8" t="str">
        <f t="shared" si="0"/>
        <v>BIRENBAUM THOMAS</v>
      </c>
    </row>
    <row r="5" spans="1:7" x14ac:dyDescent="0.25">
      <c r="A5" s="8">
        <v>42932.048483796294</v>
      </c>
      <c r="B5" s="20" t="s">
        <v>557</v>
      </c>
      <c r="C5" s="20" t="s">
        <v>624</v>
      </c>
      <c r="D5" s="138">
        <v>3000000</v>
      </c>
      <c r="E5" s="20" t="s">
        <v>389</v>
      </c>
      <c r="F5" s="20" t="s">
        <v>390</v>
      </c>
      <c r="G5" s="8" t="str">
        <f t="shared" si="0"/>
        <v>FORTUNATO FRANK</v>
      </c>
    </row>
    <row r="6" spans="1:7" x14ac:dyDescent="0.25">
      <c r="A6" s="8">
        <v>42932.048738425925</v>
      </c>
      <c r="B6" s="20" t="s">
        <v>554</v>
      </c>
      <c r="C6" s="20" t="s">
        <v>625</v>
      </c>
      <c r="D6" s="138">
        <v>2730000</v>
      </c>
      <c r="E6" s="20" t="s">
        <v>423</v>
      </c>
      <c r="F6" s="20" t="s">
        <v>424</v>
      </c>
      <c r="G6" s="8" t="str">
        <f t="shared" si="0"/>
        <v>YANG JAN</v>
      </c>
    </row>
    <row r="7" spans="1:7" x14ac:dyDescent="0.25">
      <c r="A7" s="8">
        <v>42932.069710648146</v>
      </c>
      <c r="B7" s="20" t="s">
        <v>489</v>
      </c>
      <c r="C7" s="20" t="s">
        <v>626</v>
      </c>
      <c r="D7" s="138">
        <v>2620000</v>
      </c>
      <c r="E7" s="20" t="s">
        <v>560</v>
      </c>
      <c r="F7" s="20" t="s">
        <v>561</v>
      </c>
      <c r="G7" s="8" t="str">
        <f t="shared" si="0"/>
        <v>PERKINS DARREN</v>
      </c>
    </row>
    <row r="8" spans="1:7" x14ac:dyDescent="0.25">
      <c r="A8" s="8">
        <v>42932.077314814815</v>
      </c>
      <c r="B8" s="20" t="s">
        <v>494</v>
      </c>
      <c r="C8" s="20" t="s">
        <v>627</v>
      </c>
      <c r="D8" s="138">
        <v>3090000</v>
      </c>
      <c r="E8" s="20" t="s">
        <v>368</v>
      </c>
      <c r="F8" s="20" t="s">
        <v>369</v>
      </c>
      <c r="G8" s="8" t="str">
        <f t="shared" si="0"/>
        <v>LAMAR NEKESHA</v>
      </c>
    </row>
    <row r="9" spans="1:7" ht="15.75" thickBot="1" x14ac:dyDescent="0.3">
      <c r="A9" s="24">
        <v>42932.088877314818</v>
      </c>
      <c r="B9" s="20" t="s">
        <v>628</v>
      </c>
      <c r="C9" s="20" t="s">
        <v>629</v>
      </c>
      <c r="D9" s="138">
        <v>3000000</v>
      </c>
      <c r="E9" s="20" t="s">
        <v>389</v>
      </c>
      <c r="F9" s="20" t="s">
        <v>390</v>
      </c>
      <c r="G9" s="8" t="str">
        <f t="shared" si="0"/>
        <v>FORTUNATO FRANK</v>
      </c>
    </row>
    <row r="10" spans="1:7" x14ac:dyDescent="0.25">
      <c r="A10" s="8">
        <v>42932.110868055555</v>
      </c>
      <c r="B10" s="20" t="s">
        <v>476</v>
      </c>
      <c r="C10" s="20" t="s">
        <v>630</v>
      </c>
      <c r="D10" s="138">
        <v>3090000</v>
      </c>
      <c r="E10" s="20" t="s">
        <v>368</v>
      </c>
      <c r="F10" s="20" t="s">
        <v>369</v>
      </c>
      <c r="G10" s="8" t="str">
        <f t="shared" si="0"/>
        <v>LAMAR NEKESHA</v>
      </c>
    </row>
    <row r="11" spans="1:7" x14ac:dyDescent="0.25">
      <c r="A11" s="8">
        <v>42932.118425925924</v>
      </c>
      <c r="B11" s="20" t="s">
        <v>442</v>
      </c>
      <c r="C11" s="20" t="s">
        <v>631</v>
      </c>
      <c r="D11" s="138">
        <v>2010000</v>
      </c>
      <c r="E11" s="20" t="s">
        <v>632</v>
      </c>
      <c r="F11" s="20" t="s">
        <v>633</v>
      </c>
      <c r="G11" s="8" t="str">
        <f t="shared" si="0"/>
        <v>MAELZER KURT</v>
      </c>
    </row>
    <row r="12" spans="1:7" x14ac:dyDescent="0.25">
      <c r="A12" s="8">
        <v>42932.119375000002</v>
      </c>
      <c r="B12" s="20" t="s">
        <v>442</v>
      </c>
      <c r="C12" s="20" t="s">
        <v>631</v>
      </c>
      <c r="D12" s="138">
        <v>2010000</v>
      </c>
      <c r="E12" s="20" t="s">
        <v>632</v>
      </c>
      <c r="F12" s="20" t="s">
        <v>633</v>
      </c>
      <c r="G12" s="8" t="str">
        <f t="shared" si="0"/>
        <v>MAELZER KURT</v>
      </c>
    </row>
    <row r="13" spans="1:7" x14ac:dyDescent="0.25">
      <c r="A13" s="8">
        <v>42932.126655092594</v>
      </c>
      <c r="B13" s="20" t="s">
        <v>555</v>
      </c>
      <c r="C13" s="20" t="s">
        <v>634</v>
      </c>
      <c r="D13" s="138">
        <v>1810000</v>
      </c>
      <c r="E13" s="20" t="s">
        <v>635</v>
      </c>
      <c r="F13" s="20" t="s">
        <v>189</v>
      </c>
      <c r="G13" s="8" t="str">
        <f t="shared" si="0"/>
        <v>NEWELL JAMES</v>
      </c>
    </row>
    <row r="14" spans="1:7" x14ac:dyDescent="0.25">
      <c r="A14" s="8">
        <v>42932.133275462962</v>
      </c>
      <c r="B14" s="20" t="s">
        <v>395</v>
      </c>
      <c r="C14" s="20" t="s">
        <v>636</v>
      </c>
      <c r="D14" s="138">
        <v>2010000</v>
      </c>
      <c r="E14" s="20" t="s">
        <v>632</v>
      </c>
      <c r="F14" s="20" t="s">
        <v>633</v>
      </c>
      <c r="G14" s="8" t="str">
        <f t="shared" si="0"/>
        <v>MAELZER KURT</v>
      </c>
    </row>
    <row r="15" spans="1:7" x14ac:dyDescent="0.25">
      <c r="A15" s="8">
        <v>42932.134722222225</v>
      </c>
      <c r="B15" s="20" t="s">
        <v>352</v>
      </c>
      <c r="C15" s="20" t="s">
        <v>637</v>
      </c>
      <c r="D15" s="138">
        <v>1800000</v>
      </c>
      <c r="E15" s="20" t="s">
        <v>638</v>
      </c>
      <c r="F15" s="20" t="s">
        <v>639</v>
      </c>
      <c r="G15" s="8" t="str">
        <f t="shared" si="0"/>
        <v>CHANDLER KELVIN</v>
      </c>
    </row>
    <row r="16" spans="1:7" x14ac:dyDescent="0.25">
      <c r="A16" s="8">
        <v>42932.141851851855</v>
      </c>
      <c r="B16" s="20" t="s">
        <v>442</v>
      </c>
      <c r="C16" s="20" t="s">
        <v>640</v>
      </c>
      <c r="D16" s="138">
        <v>1800000</v>
      </c>
      <c r="E16" s="20" t="s">
        <v>638</v>
      </c>
      <c r="F16" s="20" t="s">
        <v>639</v>
      </c>
      <c r="G16" s="8" t="str">
        <f t="shared" si="0"/>
        <v>CHANDLER KELVIN</v>
      </c>
    </row>
    <row r="17" spans="1:7" x14ac:dyDescent="0.25">
      <c r="A17" s="8">
        <v>42932.149444444447</v>
      </c>
      <c r="B17" s="20" t="s">
        <v>556</v>
      </c>
      <c r="C17" s="20" t="s">
        <v>641</v>
      </c>
      <c r="D17" s="138">
        <v>1810000</v>
      </c>
      <c r="E17" s="20" t="s">
        <v>635</v>
      </c>
      <c r="F17" s="20" t="s">
        <v>189</v>
      </c>
      <c r="G17" s="8" t="str">
        <f t="shared" si="0"/>
        <v>NEWELL JAMES</v>
      </c>
    </row>
    <row r="18" spans="1:7" x14ac:dyDescent="0.25">
      <c r="A18" s="8">
        <v>42932.158113425925</v>
      </c>
      <c r="B18" s="20" t="s">
        <v>443</v>
      </c>
      <c r="C18" s="20" t="s">
        <v>600</v>
      </c>
      <c r="D18" s="138">
        <v>2140000</v>
      </c>
      <c r="E18" s="20" t="s">
        <v>383</v>
      </c>
      <c r="F18" s="20" t="s">
        <v>384</v>
      </c>
      <c r="G18" s="8" t="str">
        <f t="shared" si="0"/>
        <v>ROBINSON KADDIBA</v>
      </c>
    </row>
    <row r="19" spans="1:7" x14ac:dyDescent="0.25">
      <c r="A19" s="8">
        <v>42932.166342592594</v>
      </c>
      <c r="B19" s="20" t="s">
        <v>394</v>
      </c>
      <c r="C19" s="20" t="s">
        <v>642</v>
      </c>
      <c r="D19" s="138">
        <v>2010000</v>
      </c>
      <c r="E19" s="20" t="s">
        <v>632</v>
      </c>
      <c r="F19" s="20" t="s">
        <v>633</v>
      </c>
      <c r="G19" s="8" t="str">
        <f t="shared" si="0"/>
        <v>MAELZER KURT</v>
      </c>
    </row>
    <row r="20" spans="1:7" x14ac:dyDescent="0.25">
      <c r="A20" s="8">
        <v>42932.167824074073</v>
      </c>
      <c r="B20" s="20" t="s">
        <v>433</v>
      </c>
      <c r="C20" s="20" t="s">
        <v>643</v>
      </c>
      <c r="D20" s="138">
        <v>2140000</v>
      </c>
      <c r="E20" s="20" t="s">
        <v>383</v>
      </c>
      <c r="F20" s="20" t="s">
        <v>384</v>
      </c>
      <c r="G20" s="8" t="str">
        <f t="shared" si="0"/>
        <v>ROBINSON KADDIBA</v>
      </c>
    </row>
    <row r="21" spans="1:7" x14ac:dyDescent="0.25">
      <c r="A21" s="8">
        <v>42932.169398148151</v>
      </c>
      <c r="B21" s="20" t="s">
        <v>551</v>
      </c>
      <c r="C21" s="20" t="s">
        <v>644</v>
      </c>
      <c r="D21" s="138">
        <v>2270000</v>
      </c>
      <c r="E21" s="20" t="s">
        <v>645</v>
      </c>
      <c r="F21" s="20" t="s">
        <v>646</v>
      </c>
      <c r="G21" s="8" t="str">
        <f t="shared" si="0"/>
        <v>BROWN JACOB</v>
      </c>
    </row>
    <row r="22" spans="1:7" x14ac:dyDescent="0.25">
      <c r="A22" s="26">
        <v>42932.179710648146</v>
      </c>
      <c r="B22" s="20" t="s">
        <v>601</v>
      </c>
      <c r="C22" s="20" t="s">
        <v>602</v>
      </c>
      <c r="D22" s="138">
        <v>1100000</v>
      </c>
      <c r="E22" s="20" t="s">
        <v>647</v>
      </c>
      <c r="F22" s="20" t="s">
        <v>648</v>
      </c>
      <c r="G22" s="8" t="str">
        <f t="shared" si="0"/>
        <v>GEBRETEKLE DAGNEW</v>
      </c>
    </row>
    <row r="23" spans="1:7" x14ac:dyDescent="0.25">
      <c r="A23" s="8">
        <v>42932.182071759256</v>
      </c>
      <c r="B23" s="20" t="s">
        <v>555</v>
      </c>
      <c r="C23" s="20" t="s">
        <v>649</v>
      </c>
      <c r="D23" s="138">
        <v>1810000</v>
      </c>
      <c r="E23" s="20" t="s">
        <v>635</v>
      </c>
      <c r="F23" s="20" t="s">
        <v>189</v>
      </c>
      <c r="G23" s="8" t="str">
        <f t="shared" si="0"/>
        <v>NEWELL JAMES</v>
      </c>
    </row>
    <row r="24" spans="1:7" x14ac:dyDescent="0.25">
      <c r="A24" s="8">
        <v>42932.184988425928</v>
      </c>
      <c r="B24" s="20" t="s">
        <v>550</v>
      </c>
      <c r="C24" s="20" t="s">
        <v>650</v>
      </c>
      <c r="D24" s="138">
        <v>2270000</v>
      </c>
      <c r="E24" s="20" t="s">
        <v>645</v>
      </c>
      <c r="F24" s="20" t="s">
        <v>646</v>
      </c>
      <c r="G24" s="8" t="str">
        <f t="shared" si="0"/>
        <v>BROWN JACOB</v>
      </c>
    </row>
    <row r="25" spans="1:7" x14ac:dyDescent="0.25">
      <c r="A25" s="8">
        <v>42932.194062499999</v>
      </c>
      <c r="B25" s="20" t="s">
        <v>651</v>
      </c>
      <c r="C25" s="20" t="s">
        <v>652</v>
      </c>
      <c r="D25" s="138">
        <v>1100000</v>
      </c>
      <c r="E25" s="20" t="s">
        <v>647</v>
      </c>
      <c r="F25" s="20" t="s">
        <v>648</v>
      </c>
      <c r="G25" s="8" t="str">
        <f t="shared" si="0"/>
        <v>GEBRETEKLE DAGNEW</v>
      </c>
    </row>
    <row r="26" spans="1:7" x14ac:dyDescent="0.25">
      <c r="A26" s="8">
        <v>42932.19809027778</v>
      </c>
      <c r="B26" s="20" t="s">
        <v>420</v>
      </c>
      <c r="C26" s="20" t="s">
        <v>653</v>
      </c>
      <c r="D26" s="138">
        <v>2970000</v>
      </c>
      <c r="E26" s="20" t="s">
        <v>370</v>
      </c>
      <c r="F26" s="20" t="s">
        <v>371</v>
      </c>
      <c r="G26" s="8" t="str">
        <f t="shared" si="0"/>
        <v>GUZMAN DANNY</v>
      </c>
    </row>
    <row r="27" spans="1:7" x14ac:dyDescent="0.25">
      <c r="A27" s="8">
        <v>42932.20685185185</v>
      </c>
      <c r="B27" s="20" t="s">
        <v>395</v>
      </c>
      <c r="C27" s="20" t="s">
        <v>654</v>
      </c>
      <c r="D27" s="138">
        <v>2010000</v>
      </c>
      <c r="E27" s="20" t="s">
        <v>632</v>
      </c>
      <c r="F27" s="20" t="s">
        <v>633</v>
      </c>
      <c r="G27" s="8" t="str">
        <f t="shared" si="0"/>
        <v>MAELZER KURT</v>
      </c>
    </row>
    <row r="28" spans="1:7" x14ac:dyDescent="0.25">
      <c r="A28" s="8">
        <v>42932.210902777777</v>
      </c>
      <c r="B28" s="20" t="s">
        <v>382</v>
      </c>
      <c r="C28" s="20" t="s">
        <v>655</v>
      </c>
      <c r="D28" s="138">
        <v>2970000</v>
      </c>
      <c r="E28" s="20" t="s">
        <v>370</v>
      </c>
      <c r="F28" s="20" t="s">
        <v>371</v>
      </c>
      <c r="G28" s="8" t="str">
        <f t="shared" si="0"/>
        <v>GUZMAN DANNY</v>
      </c>
    </row>
    <row r="29" spans="1:7" x14ac:dyDescent="0.25">
      <c r="A29" s="8">
        <v>42932.213877314818</v>
      </c>
      <c r="B29" s="20" t="s">
        <v>443</v>
      </c>
      <c r="C29" s="20" t="s">
        <v>604</v>
      </c>
      <c r="D29" s="138">
        <v>2140000</v>
      </c>
      <c r="E29" s="20" t="s">
        <v>383</v>
      </c>
      <c r="F29" s="20" t="s">
        <v>384</v>
      </c>
      <c r="G29" s="8" t="str">
        <f t="shared" si="0"/>
        <v>ROBINSON KADDIBA</v>
      </c>
    </row>
    <row r="30" spans="1:7" x14ac:dyDescent="0.25">
      <c r="A30" s="8">
        <v>42932.217395833337</v>
      </c>
      <c r="B30" s="20" t="s">
        <v>656</v>
      </c>
      <c r="C30" s="20" t="s">
        <v>657</v>
      </c>
      <c r="D30" s="138">
        <v>2600000</v>
      </c>
      <c r="E30" s="20" t="s">
        <v>658</v>
      </c>
      <c r="F30" s="20" t="s">
        <v>659</v>
      </c>
      <c r="G30" s="8" t="str">
        <f t="shared" si="0"/>
        <v>DAVIDSON DAVID</v>
      </c>
    </row>
    <row r="31" spans="1:7" x14ac:dyDescent="0.25">
      <c r="A31" s="8">
        <v>42932.222094907411</v>
      </c>
      <c r="B31" s="20" t="s">
        <v>551</v>
      </c>
      <c r="C31" s="20" t="s">
        <v>660</v>
      </c>
      <c r="D31" s="138">
        <v>2270000</v>
      </c>
      <c r="E31" s="20" t="s">
        <v>645</v>
      </c>
      <c r="F31" s="20" t="s">
        <v>646</v>
      </c>
      <c r="G31" s="8" t="str">
        <f t="shared" si="0"/>
        <v>BROWN JACOB</v>
      </c>
    </row>
    <row r="32" spans="1:7" x14ac:dyDescent="0.25">
      <c r="A32" s="8">
        <v>42932.222974537035</v>
      </c>
      <c r="B32" s="20" t="s">
        <v>556</v>
      </c>
      <c r="C32" s="20" t="s">
        <v>661</v>
      </c>
      <c r="D32" s="138">
        <v>1810000</v>
      </c>
      <c r="E32" s="20" t="s">
        <v>635</v>
      </c>
      <c r="F32" s="20" t="s">
        <v>189</v>
      </c>
      <c r="G32" s="8" t="str">
        <f t="shared" si="0"/>
        <v>NEWELL JAMES</v>
      </c>
    </row>
    <row r="33" spans="1:7" x14ac:dyDescent="0.25">
      <c r="A33" s="8">
        <v>42932.223668981482</v>
      </c>
      <c r="B33" s="20" t="s">
        <v>336</v>
      </c>
      <c r="C33" s="20" t="s">
        <v>657</v>
      </c>
      <c r="D33" s="138">
        <v>2600000</v>
      </c>
      <c r="E33" s="20" t="s">
        <v>658</v>
      </c>
      <c r="F33" s="20" t="s">
        <v>659</v>
      </c>
      <c r="G33" s="8" t="str">
        <f t="shared" si="0"/>
        <v>DAVIDSON DAVID</v>
      </c>
    </row>
    <row r="34" spans="1:7" x14ac:dyDescent="0.25">
      <c r="A34" s="8">
        <v>42932.22451388889</v>
      </c>
      <c r="B34" s="20" t="s">
        <v>601</v>
      </c>
      <c r="C34" s="20" t="s">
        <v>662</v>
      </c>
      <c r="D34" s="138">
        <v>1100000</v>
      </c>
      <c r="E34" s="20" t="s">
        <v>647</v>
      </c>
      <c r="F34" s="20" t="s">
        <v>648</v>
      </c>
      <c r="G34" s="8" t="str">
        <f t="shared" si="0"/>
        <v>GEBRETEKLE DAGNEW</v>
      </c>
    </row>
    <row r="35" spans="1:7" x14ac:dyDescent="0.25">
      <c r="A35" s="8">
        <v>42932.224687499998</v>
      </c>
      <c r="B35" s="20" t="s">
        <v>445</v>
      </c>
      <c r="C35" s="20" t="s">
        <v>603</v>
      </c>
      <c r="D35" s="138">
        <v>2560000</v>
      </c>
      <c r="E35" s="20" t="s">
        <v>663</v>
      </c>
      <c r="F35" s="20" t="s">
        <v>360</v>
      </c>
      <c r="G35" s="8" t="str">
        <f t="shared" si="0"/>
        <v>MACDONALD THOMAS</v>
      </c>
    </row>
    <row r="36" spans="1:7" x14ac:dyDescent="0.25">
      <c r="A36" s="8">
        <v>42932.233807870369</v>
      </c>
      <c r="B36" s="20" t="s">
        <v>477</v>
      </c>
      <c r="C36" s="20" t="s">
        <v>664</v>
      </c>
      <c r="D36" s="138">
        <v>2600000</v>
      </c>
      <c r="E36" s="20" t="s">
        <v>658</v>
      </c>
      <c r="F36" s="20" t="s">
        <v>659</v>
      </c>
      <c r="G36" s="8" t="str">
        <f t="shared" si="0"/>
        <v>DAVIDSON DAVID</v>
      </c>
    </row>
    <row r="37" spans="1:7" x14ac:dyDescent="0.25">
      <c r="A37" s="8">
        <v>42932.239305555559</v>
      </c>
      <c r="B37" s="20" t="s">
        <v>444</v>
      </c>
      <c r="C37" s="20" t="s">
        <v>665</v>
      </c>
      <c r="D37" s="138">
        <v>2560000</v>
      </c>
      <c r="E37" s="20" t="s">
        <v>663</v>
      </c>
      <c r="F37" s="20" t="s">
        <v>360</v>
      </c>
      <c r="G37" s="8" t="str">
        <f t="shared" si="0"/>
        <v>MACDONALD THOMAS</v>
      </c>
    </row>
    <row r="38" spans="1:7" x14ac:dyDescent="0.25">
      <c r="A38" s="8">
        <v>42932.242719907408</v>
      </c>
      <c r="B38" s="20" t="s">
        <v>394</v>
      </c>
      <c r="C38" s="20" t="s">
        <v>666</v>
      </c>
      <c r="D38" s="138">
        <v>2010000</v>
      </c>
      <c r="E38" s="20" t="s">
        <v>632</v>
      </c>
      <c r="F38" s="20" t="s">
        <v>633</v>
      </c>
      <c r="G38" s="8" t="str">
        <f t="shared" si="0"/>
        <v>MAELZER KURT</v>
      </c>
    </row>
    <row r="39" spans="1:7" x14ac:dyDescent="0.25">
      <c r="A39" s="8">
        <v>42932.245324074072</v>
      </c>
      <c r="B39" s="20" t="s">
        <v>433</v>
      </c>
      <c r="C39" s="20" t="s">
        <v>667</v>
      </c>
      <c r="D39" s="138">
        <v>2140000</v>
      </c>
      <c r="E39" s="20" t="s">
        <v>383</v>
      </c>
      <c r="F39" s="20" t="s">
        <v>384</v>
      </c>
      <c r="G39" s="8" t="str">
        <f t="shared" si="0"/>
        <v>ROBINSON KADDIBA</v>
      </c>
    </row>
    <row r="40" spans="1:7" x14ac:dyDescent="0.25">
      <c r="A40" s="8">
        <v>42932.246412037035</v>
      </c>
      <c r="B40" s="25" t="s">
        <v>420</v>
      </c>
      <c r="C40" s="20" t="s">
        <v>668</v>
      </c>
      <c r="D40" s="138">
        <v>2970000</v>
      </c>
      <c r="E40" s="20" t="s">
        <v>370</v>
      </c>
      <c r="F40" s="20" t="s">
        <v>371</v>
      </c>
      <c r="G40" s="8" t="str">
        <f t="shared" si="0"/>
        <v>GUZMAN DANNY</v>
      </c>
    </row>
    <row r="41" spans="1:7" x14ac:dyDescent="0.25">
      <c r="A41" s="8">
        <v>42932.248738425929</v>
      </c>
      <c r="B41" s="20" t="s">
        <v>336</v>
      </c>
      <c r="C41" s="20" t="s">
        <v>669</v>
      </c>
      <c r="D41" s="138">
        <v>2600000</v>
      </c>
      <c r="E41" s="20" t="s">
        <v>658</v>
      </c>
      <c r="F41" s="20" t="s">
        <v>659</v>
      </c>
      <c r="G41" s="8" t="str">
        <f t="shared" si="0"/>
        <v>DAVIDSON DAVID</v>
      </c>
    </row>
    <row r="42" spans="1:7" x14ac:dyDescent="0.25">
      <c r="A42" s="8">
        <v>42932.256435185183</v>
      </c>
      <c r="B42" s="20" t="s">
        <v>555</v>
      </c>
      <c r="C42" s="20" t="s">
        <v>670</v>
      </c>
      <c r="D42" s="138">
        <v>1810000</v>
      </c>
      <c r="E42" s="20" t="s">
        <v>635</v>
      </c>
      <c r="F42" s="20" t="s">
        <v>189</v>
      </c>
      <c r="G42" s="8" t="str">
        <f t="shared" si="0"/>
        <v>NEWELL JAMES</v>
      </c>
    </row>
    <row r="43" spans="1:7" x14ac:dyDescent="0.25">
      <c r="A43" s="8">
        <v>42932.256597222222</v>
      </c>
      <c r="B43" s="20" t="s">
        <v>550</v>
      </c>
      <c r="C43" s="20" t="s">
        <v>671</v>
      </c>
      <c r="D43" s="138">
        <v>2040000</v>
      </c>
      <c r="E43" s="20" t="s">
        <v>436</v>
      </c>
      <c r="F43" s="20" t="s">
        <v>437</v>
      </c>
      <c r="G43" s="8" t="str">
        <f t="shared" si="0"/>
        <v>MOSES BRADLEY</v>
      </c>
    </row>
    <row r="44" spans="1:7" x14ac:dyDescent="0.25">
      <c r="A44" s="8">
        <v>42932.266157407408</v>
      </c>
      <c r="B44" s="20" t="s">
        <v>651</v>
      </c>
      <c r="C44" s="20" t="s">
        <v>672</v>
      </c>
      <c r="D44" s="138">
        <v>1100000</v>
      </c>
      <c r="E44" s="20" t="s">
        <v>647</v>
      </c>
      <c r="F44" s="20" t="s">
        <v>648</v>
      </c>
      <c r="G44" s="8" t="str">
        <f t="shared" si="0"/>
        <v>GEBRETEKLE DAGNEW</v>
      </c>
    </row>
    <row r="45" spans="1:7" x14ac:dyDescent="0.25">
      <c r="A45" s="8">
        <v>42932.266388888886</v>
      </c>
      <c r="B45" s="20" t="s">
        <v>445</v>
      </c>
      <c r="C45" s="20" t="s">
        <v>673</v>
      </c>
      <c r="D45" s="138">
        <v>2560000</v>
      </c>
      <c r="E45" s="20" t="s">
        <v>663</v>
      </c>
      <c r="F45" s="20" t="s">
        <v>360</v>
      </c>
      <c r="G45" s="8" t="str">
        <f t="shared" si="0"/>
        <v>MACDONALD THOMAS</v>
      </c>
    </row>
    <row r="46" spans="1:7" x14ac:dyDescent="0.25">
      <c r="A46" s="8">
        <v>42932.276006944441</v>
      </c>
      <c r="B46" s="20" t="s">
        <v>477</v>
      </c>
      <c r="C46" s="20" t="s">
        <v>674</v>
      </c>
      <c r="D46" s="138">
        <v>2600000</v>
      </c>
      <c r="E46" s="20" t="s">
        <v>658</v>
      </c>
      <c r="F46" s="20" t="s">
        <v>659</v>
      </c>
      <c r="G46" s="8" t="str">
        <f t="shared" si="0"/>
        <v>DAVIDSON DAVID</v>
      </c>
    </row>
    <row r="47" spans="1:7" x14ac:dyDescent="0.25">
      <c r="A47" s="8">
        <v>42932.27621527778</v>
      </c>
      <c r="B47" s="20" t="s">
        <v>395</v>
      </c>
      <c r="C47" s="20" t="s">
        <v>675</v>
      </c>
      <c r="D47" s="138">
        <v>2010000</v>
      </c>
      <c r="E47" s="20" t="s">
        <v>632</v>
      </c>
      <c r="F47" s="20" t="s">
        <v>633</v>
      </c>
      <c r="G47" s="8" t="str">
        <f t="shared" si="0"/>
        <v>MAELZER KURT</v>
      </c>
    </row>
    <row r="48" spans="1:7" x14ac:dyDescent="0.25">
      <c r="A48" s="8">
        <v>42932.277615740742</v>
      </c>
      <c r="B48" s="20" t="s">
        <v>443</v>
      </c>
      <c r="C48" s="20" t="s">
        <v>676</v>
      </c>
      <c r="D48" s="138">
        <v>2140000</v>
      </c>
      <c r="E48" s="20" t="s">
        <v>383</v>
      </c>
      <c r="F48" s="20" t="s">
        <v>384</v>
      </c>
      <c r="G48" s="8" t="str">
        <f t="shared" si="0"/>
        <v>ROBINSON KADDIBA</v>
      </c>
    </row>
    <row r="49" spans="1:7" x14ac:dyDescent="0.25">
      <c r="A49" s="8">
        <v>42932.287430555552</v>
      </c>
      <c r="B49" s="20" t="s">
        <v>382</v>
      </c>
      <c r="C49" s="20" t="s">
        <v>677</v>
      </c>
      <c r="D49" s="138">
        <v>2970000</v>
      </c>
      <c r="E49" s="20" t="s">
        <v>370</v>
      </c>
      <c r="F49" s="20" t="s">
        <v>371</v>
      </c>
      <c r="G49" s="8" t="str">
        <f t="shared" si="0"/>
        <v>GUZMAN DANNY</v>
      </c>
    </row>
    <row r="50" spans="1:7" x14ac:dyDescent="0.25">
      <c r="A50" s="8">
        <v>42932.291331018518</v>
      </c>
      <c r="B50" s="20" t="s">
        <v>336</v>
      </c>
      <c r="C50" s="20" t="s">
        <v>678</v>
      </c>
      <c r="D50" s="138">
        <v>2600000</v>
      </c>
      <c r="E50" s="20" t="s">
        <v>658</v>
      </c>
      <c r="F50" s="20" t="s">
        <v>659</v>
      </c>
      <c r="G50" s="8" t="str">
        <f t="shared" si="0"/>
        <v>DAVIDSON DAVID</v>
      </c>
    </row>
    <row r="51" spans="1:7" x14ac:dyDescent="0.25">
      <c r="A51" s="8">
        <v>42932.296967592592</v>
      </c>
      <c r="B51" s="20" t="s">
        <v>551</v>
      </c>
      <c r="C51" s="20" t="s">
        <v>679</v>
      </c>
      <c r="D51" s="138">
        <v>2040000</v>
      </c>
      <c r="E51" s="20" t="s">
        <v>436</v>
      </c>
      <c r="F51" s="20" t="s">
        <v>437</v>
      </c>
      <c r="G51" s="8" t="str">
        <f t="shared" si="0"/>
        <v>MOSES BRADLEY</v>
      </c>
    </row>
    <row r="52" spans="1:7" x14ac:dyDescent="0.25">
      <c r="A52" s="8">
        <v>42932.296967592592</v>
      </c>
      <c r="B52" s="20" t="s">
        <v>601</v>
      </c>
      <c r="C52" s="20" t="s">
        <v>680</v>
      </c>
      <c r="D52" s="138">
        <v>1100000</v>
      </c>
      <c r="E52" s="20" t="s">
        <v>647</v>
      </c>
      <c r="F52" s="20" t="s">
        <v>648</v>
      </c>
      <c r="G52" s="8" t="str">
        <f t="shared" si="0"/>
        <v>GEBRETEKLE DAGNEW</v>
      </c>
    </row>
    <row r="53" spans="1:7" x14ac:dyDescent="0.25">
      <c r="A53" s="8">
        <v>42932.299699074072</v>
      </c>
      <c r="B53" s="20" t="s">
        <v>556</v>
      </c>
      <c r="C53" s="20" t="s">
        <v>681</v>
      </c>
      <c r="D53" s="138">
        <v>1810000</v>
      </c>
      <c r="E53" s="20" t="s">
        <v>635</v>
      </c>
      <c r="F53" s="20" t="s">
        <v>189</v>
      </c>
      <c r="G53" s="8" t="str">
        <f t="shared" si="0"/>
        <v>NEWELL JAMES</v>
      </c>
    </row>
    <row r="54" spans="1:7" x14ac:dyDescent="0.25">
      <c r="A54" s="8">
        <v>42932.307569444441</v>
      </c>
      <c r="B54" s="20" t="s">
        <v>444</v>
      </c>
      <c r="C54" s="20" t="s">
        <v>682</v>
      </c>
      <c r="D54" s="138">
        <v>2560000</v>
      </c>
      <c r="E54" s="20" t="s">
        <v>663</v>
      </c>
      <c r="F54" s="20" t="s">
        <v>360</v>
      </c>
      <c r="G54" s="8" t="str">
        <f t="shared" si="0"/>
        <v>MACDONALD THOMAS</v>
      </c>
    </row>
    <row r="55" spans="1:7" x14ac:dyDescent="0.25">
      <c r="A55" s="8">
        <v>42932.311388888891</v>
      </c>
      <c r="B55" s="20" t="s">
        <v>394</v>
      </c>
      <c r="C55" s="20" t="s">
        <v>683</v>
      </c>
      <c r="D55" s="138">
        <v>2010000</v>
      </c>
      <c r="E55" s="20" t="s">
        <v>632</v>
      </c>
      <c r="F55" s="20" t="s">
        <v>633</v>
      </c>
      <c r="G55" s="8" t="str">
        <f t="shared" si="0"/>
        <v>MAELZER KURT</v>
      </c>
    </row>
    <row r="56" spans="1:7" x14ac:dyDescent="0.25">
      <c r="A56" s="8">
        <v>42932.317361111112</v>
      </c>
      <c r="B56" s="20" t="s">
        <v>477</v>
      </c>
      <c r="C56" s="20" t="s">
        <v>684</v>
      </c>
      <c r="D56" s="138">
        <v>2600000</v>
      </c>
      <c r="E56" s="20" t="s">
        <v>658</v>
      </c>
      <c r="F56" s="20" t="s">
        <v>659</v>
      </c>
      <c r="G56" s="8" t="str">
        <f t="shared" si="0"/>
        <v>DAVIDSON DAVID</v>
      </c>
    </row>
    <row r="57" spans="1:7" x14ac:dyDescent="0.25">
      <c r="A57" s="8">
        <v>42932.318101851852</v>
      </c>
      <c r="B57" s="20" t="s">
        <v>433</v>
      </c>
      <c r="C57" s="20" t="s">
        <v>685</v>
      </c>
      <c r="D57" s="138">
        <v>2140000</v>
      </c>
      <c r="E57" s="20" t="s">
        <v>383</v>
      </c>
      <c r="F57" s="20" t="s">
        <v>384</v>
      </c>
      <c r="G57" s="8" t="str">
        <f t="shared" si="0"/>
        <v>ROBINSON KADDIBA</v>
      </c>
    </row>
    <row r="58" spans="1:7" x14ac:dyDescent="0.25">
      <c r="A58" s="8">
        <v>42932.318668981483</v>
      </c>
      <c r="B58" s="20" t="s">
        <v>420</v>
      </c>
      <c r="C58" s="20" t="s">
        <v>686</v>
      </c>
      <c r="D58" s="138">
        <v>2970000</v>
      </c>
      <c r="E58" s="20" t="s">
        <v>370</v>
      </c>
      <c r="F58" s="20" t="s">
        <v>371</v>
      </c>
      <c r="G58" s="8" t="str">
        <f t="shared" si="0"/>
        <v>GUZMAN DANNY</v>
      </c>
    </row>
    <row r="59" spans="1:7" x14ac:dyDescent="0.25">
      <c r="A59" s="8">
        <v>42932.328900462962</v>
      </c>
      <c r="B59" s="20" t="s">
        <v>555</v>
      </c>
      <c r="C59" s="20" t="s">
        <v>687</v>
      </c>
      <c r="D59" s="138">
        <v>1810000</v>
      </c>
      <c r="E59" s="20" t="s">
        <v>635</v>
      </c>
      <c r="F59" s="20" t="s">
        <v>189</v>
      </c>
      <c r="G59" s="8" t="str">
        <f t="shared" si="0"/>
        <v>NEWELL JAMES</v>
      </c>
    </row>
    <row r="60" spans="1:7" x14ac:dyDescent="0.25">
      <c r="A60" s="8">
        <v>42932.33048611111</v>
      </c>
      <c r="B60" s="20" t="s">
        <v>550</v>
      </c>
      <c r="C60" s="20" t="s">
        <v>688</v>
      </c>
      <c r="D60" s="138">
        <v>2270000</v>
      </c>
      <c r="E60" s="20" t="s">
        <v>645</v>
      </c>
      <c r="F60" s="20" t="s">
        <v>646</v>
      </c>
      <c r="G60" s="8" t="str">
        <f t="shared" si="0"/>
        <v>BROWN JACOB</v>
      </c>
    </row>
    <row r="61" spans="1:7" x14ac:dyDescent="0.25">
      <c r="A61" s="8">
        <v>42932.332152777781</v>
      </c>
      <c r="B61" s="20" t="s">
        <v>336</v>
      </c>
      <c r="C61" s="20" t="s">
        <v>689</v>
      </c>
      <c r="D61" s="138">
        <v>2600000</v>
      </c>
      <c r="E61" s="20" t="s">
        <v>658</v>
      </c>
      <c r="F61" s="20" t="s">
        <v>659</v>
      </c>
      <c r="G61" s="8" t="str">
        <f t="shared" si="0"/>
        <v>DAVIDSON DAVID</v>
      </c>
    </row>
    <row r="62" spans="1:7" x14ac:dyDescent="0.25">
      <c r="A62" s="8">
        <v>42932.338692129626</v>
      </c>
      <c r="B62" s="20" t="s">
        <v>651</v>
      </c>
      <c r="C62" s="20" t="s">
        <v>690</v>
      </c>
      <c r="D62" s="138">
        <v>1100000</v>
      </c>
      <c r="E62" s="20" t="s">
        <v>647</v>
      </c>
      <c r="F62" s="20" t="s">
        <v>648</v>
      </c>
      <c r="G62" s="8" t="str">
        <f t="shared" si="0"/>
        <v>GEBRETEKLE DAGNEW</v>
      </c>
    </row>
    <row r="63" spans="1:7" x14ac:dyDescent="0.25">
      <c r="A63" s="8">
        <v>42932.348414351851</v>
      </c>
      <c r="B63" s="20" t="s">
        <v>445</v>
      </c>
      <c r="C63" s="20" t="s">
        <v>691</v>
      </c>
      <c r="D63" s="138">
        <v>2560000</v>
      </c>
      <c r="E63" s="20" t="s">
        <v>663</v>
      </c>
      <c r="F63" s="20" t="s">
        <v>360</v>
      </c>
      <c r="G63" s="8" t="str">
        <f t="shared" si="0"/>
        <v>MACDONALD THOMAS</v>
      </c>
    </row>
    <row r="64" spans="1:7" x14ac:dyDescent="0.25">
      <c r="A64" s="26">
        <v>42932.349583333336</v>
      </c>
      <c r="B64" s="20" t="s">
        <v>395</v>
      </c>
      <c r="C64" s="20" t="s">
        <v>692</v>
      </c>
      <c r="D64" s="138">
        <v>2010000</v>
      </c>
      <c r="E64" s="20" t="s">
        <v>632</v>
      </c>
      <c r="F64" s="20" t="s">
        <v>633</v>
      </c>
      <c r="G64" s="8" t="str">
        <f t="shared" si="0"/>
        <v>MAELZER KURT</v>
      </c>
    </row>
    <row r="65" spans="1:7" x14ac:dyDescent="0.25">
      <c r="A65" s="8">
        <v>42932.359201388892</v>
      </c>
      <c r="B65" s="20" t="s">
        <v>443</v>
      </c>
      <c r="C65" s="20" t="s">
        <v>693</v>
      </c>
      <c r="D65" s="138">
        <v>2140000</v>
      </c>
      <c r="E65" s="20" t="s">
        <v>383</v>
      </c>
      <c r="F65" s="20" t="s">
        <v>384</v>
      </c>
      <c r="G65" s="8" t="str">
        <f t="shared" si="0"/>
        <v>ROBINSON KADDIBA</v>
      </c>
    </row>
    <row r="66" spans="1:7" x14ac:dyDescent="0.25">
      <c r="A66" s="8">
        <v>42932.359444444446</v>
      </c>
      <c r="B66" s="20" t="s">
        <v>477</v>
      </c>
      <c r="C66" s="20" t="s">
        <v>694</v>
      </c>
      <c r="D66" s="138">
        <v>2600000</v>
      </c>
      <c r="E66" s="20" t="s">
        <v>658</v>
      </c>
      <c r="F66" s="20" t="s">
        <v>659</v>
      </c>
      <c r="G66" s="8" t="str">
        <f t="shared" si="0"/>
        <v>DAVIDSON DAVID</v>
      </c>
    </row>
    <row r="67" spans="1:7" x14ac:dyDescent="0.25">
      <c r="A67" s="8">
        <v>42932.360659722224</v>
      </c>
      <c r="B67" s="20" t="s">
        <v>382</v>
      </c>
      <c r="C67" s="20" t="s">
        <v>695</v>
      </c>
      <c r="D67" s="138">
        <v>2970000</v>
      </c>
      <c r="E67" s="20" t="s">
        <v>370</v>
      </c>
      <c r="F67" s="20" t="s">
        <v>371</v>
      </c>
      <c r="G67" s="8" t="str">
        <f t="shared" ref="G67:G130" si="1">E67&amp;" "&amp;F67</f>
        <v>GUZMAN DANNY</v>
      </c>
    </row>
    <row r="68" spans="1:7" x14ac:dyDescent="0.25">
      <c r="A68" s="8">
        <v>42932.364687499998</v>
      </c>
      <c r="B68" s="20" t="s">
        <v>551</v>
      </c>
      <c r="C68" s="20" t="s">
        <v>696</v>
      </c>
      <c r="D68" s="138">
        <v>2270000</v>
      </c>
      <c r="E68" s="20" t="s">
        <v>645</v>
      </c>
      <c r="F68" s="20" t="s">
        <v>646</v>
      </c>
      <c r="G68" s="8" t="str">
        <f t="shared" si="1"/>
        <v>BROWN JACOB</v>
      </c>
    </row>
    <row r="69" spans="1:7" x14ac:dyDescent="0.25">
      <c r="A69" s="8">
        <v>42932.370428240742</v>
      </c>
      <c r="B69" s="20" t="s">
        <v>601</v>
      </c>
      <c r="C69" s="20" t="s">
        <v>697</v>
      </c>
      <c r="D69" s="138">
        <v>1100000</v>
      </c>
      <c r="E69" s="20" t="s">
        <v>647</v>
      </c>
      <c r="F69" s="20" t="s">
        <v>648</v>
      </c>
      <c r="G69" s="8" t="str">
        <f t="shared" si="1"/>
        <v>GEBRETEKLE DAGNEW</v>
      </c>
    </row>
    <row r="70" spans="1:7" x14ac:dyDescent="0.25">
      <c r="A70" s="8">
        <v>42932.372291666667</v>
      </c>
      <c r="B70" s="20" t="s">
        <v>556</v>
      </c>
      <c r="C70" s="20" t="s">
        <v>698</v>
      </c>
      <c r="D70" s="138">
        <v>1810000</v>
      </c>
      <c r="E70" s="20" t="s">
        <v>635</v>
      </c>
      <c r="F70" s="20" t="s">
        <v>189</v>
      </c>
      <c r="G70" s="8" t="str">
        <f t="shared" si="1"/>
        <v>NEWELL JAMES</v>
      </c>
    </row>
    <row r="71" spans="1:7" x14ac:dyDescent="0.25">
      <c r="A71" s="8">
        <v>42932.373657407406</v>
      </c>
      <c r="B71" s="20" t="s">
        <v>336</v>
      </c>
      <c r="C71" s="20" t="s">
        <v>699</v>
      </c>
      <c r="D71" s="138">
        <v>2600000</v>
      </c>
      <c r="E71" s="20" t="s">
        <v>658</v>
      </c>
      <c r="F71" s="20" t="s">
        <v>659</v>
      </c>
      <c r="G71" s="8" t="str">
        <f t="shared" si="1"/>
        <v>DAVIDSON DAVID</v>
      </c>
    </row>
    <row r="72" spans="1:7" x14ac:dyDescent="0.25">
      <c r="A72" s="8">
        <v>42932.381701388891</v>
      </c>
      <c r="B72" s="20" t="s">
        <v>444</v>
      </c>
      <c r="C72" s="20" t="s">
        <v>700</v>
      </c>
      <c r="D72" s="138">
        <v>2560000</v>
      </c>
      <c r="E72" s="20" t="s">
        <v>663</v>
      </c>
      <c r="F72" s="20" t="s">
        <v>360</v>
      </c>
      <c r="G72" s="8" t="str">
        <f t="shared" si="1"/>
        <v>MACDONALD THOMAS</v>
      </c>
    </row>
    <row r="73" spans="1:7" x14ac:dyDescent="0.25">
      <c r="A73" s="8">
        <v>42932.384444444448</v>
      </c>
      <c r="B73" s="20" t="s">
        <v>394</v>
      </c>
      <c r="C73" s="20" t="s">
        <v>701</v>
      </c>
      <c r="D73" s="138">
        <v>2010000</v>
      </c>
      <c r="E73" s="20" t="s">
        <v>632</v>
      </c>
      <c r="F73" s="20" t="s">
        <v>633</v>
      </c>
      <c r="G73" s="8" t="str">
        <f t="shared" si="1"/>
        <v>MAELZER KURT</v>
      </c>
    </row>
    <row r="74" spans="1:7" x14ac:dyDescent="0.25">
      <c r="A74" s="8">
        <v>42932.391168981485</v>
      </c>
      <c r="B74" s="20" t="s">
        <v>433</v>
      </c>
      <c r="C74" s="20" t="s">
        <v>702</v>
      </c>
      <c r="D74" s="138">
        <v>2140000</v>
      </c>
      <c r="E74" s="20" t="s">
        <v>383</v>
      </c>
      <c r="F74" s="20" t="s">
        <v>384</v>
      </c>
      <c r="G74" s="8" t="str">
        <f t="shared" si="1"/>
        <v>ROBINSON KADDIBA</v>
      </c>
    </row>
    <row r="75" spans="1:7" x14ac:dyDescent="0.25">
      <c r="A75" s="8">
        <v>42932.392407407409</v>
      </c>
      <c r="B75" s="20" t="s">
        <v>420</v>
      </c>
      <c r="C75" s="20" t="s">
        <v>703</v>
      </c>
      <c r="D75" s="138">
        <v>2970000</v>
      </c>
      <c r="E75" s="20" t="s">
        <v>370</v>
      </c>
      <c r="F75" s="20" t="s">
        <v>371</v>
      </c>
      <c r="G75" s="8" t="str">
        <f t="shared" si="1"/>
        <v>GUZMAN DANNY</v>
      </c>
    </row>
    <row r="76" spans="1:7" x14ac:dyDescent="0.25">
      <c r="A76" s="8">
        <v>42932.400752314818</v>
      </c>
      <c r="B76" s="20" t="s">
        <v>477</v>
      </c>
      <c r="C76" s="20" t="s">
        <v>704</v>
      </c>
      <c r="D76" s="138">
        <v>2600000</v>
      </c>
      <c r="E76" s="20" t="s">
        <v>658</v>
      </c>
      <c r="F76" s="20" t="s">
        <v>659</v>
      </c>
      <c r="G76" s="8" t="str">
        <f t="shared" si="1"/>
        <v>DAVIDSON DAVID</v>
      </c>
    </row>
    <row r="77" spans="1:7" x14ac:dyDescent="0.25">
      <c r="A77" s="8">
        <v>42932.402905092589</v>
      </c>
      <c r="B77" s="20" t="s">
        <v>550</v>
      </c>
      <c r="C77" s="20" t="s">
        <v>605</v>
      </c>
      <c r="D77" s="138">
        <v>2270000</v>
      </c>
      <c r="E77" s="20" t="s">
        <v>645</v>
      </c>
      <c r="F77" s="20" t="s">
        <v>646</v>
      </c>
      <c r="G77" s="8" t="str">
        <f t="shared" si="1"/>
        <v>BROWN JACOB</v>
      </c>
    </row>
    <row r="78" spans="1:7" x14ac:dyDescent="0.25">
      <c r="A78" s="8">
        <v>42932.405497685184</v>
      </c>
      <c r="B78" s="20" t="s">
        <v>555</v>
      </c>
      <c r="C78" s="20" t="s">
        <v>705</v>
      </c>
      <c r="D78" s="138">
        <v>1810000</v>
      </c>
      <c r="E78" s="20" t="s">
        <v>635</v>
      </c>
      <c r="F78" s="20" t="s">
        <v>189</v>
      </c>
      <c r="G78" s="8" t="str">
        <f t="shared" si="1"/>
        <v>NEWELL JAMES</v>
      </c>
    </row>
    <row r="79" spans="1:7" x14ac:dyDescent="0.25">
      <c r="A79" s="8">
        <v>42932.412523148145</v>
      </c>
      <c r="B79" s="20" t="s">
        <v>651</v>
      </c>
      <c r="C79" s="20" t="s">
        <v>706</v>
      </c>
      <c r="D79" s="138">
        <v>1100000</v>
      </c>
      <c r="E79" s="20" t="s">
        <v>647</v>
      </c>
      <c r="F79" s="20" t="s">
        <v>648</v>
      </c>
      <c r="G79" s="8" t="str">
        <f t="shared" si="1"/>
        <v>GEBRETEKLE DAGNEW</v>
      </c>
    </row>
    <row r="80" spans="1:7" x14ac:dyDescent="0.25">
      <c r="A80" s="8">
        <v>42932.415520833332</v>
      </c>
      <c r="B80" s="20" t="s">
        <v>336</v>
      </c>
      <c r="C80" s="20" t="s">
        <v>707</v>
      </c>
      <c r="D80" s="138">
        <v>2600000</v>
      </c>
      <c r="E80" s="20" t="s">
        <v>658</v>
      </c>
      <c r="F80" s="20" t="s">
        <v>659</v>
      </c>
      <c r="G80" s="8" t="str">
        <f t="shared" si="1"/>
        <v>DAVIDSON DAVID</v>
      </c>
    </row>
    <row r="81" spans="1:7" x14ac:dyDescent="0.25">
      <c r="A81" s="8">
        <v>42932.422326388885</v>
      </c>
      <c r="B81" s="20" t="s">
        <v>395</v>
      </c>
      <c r="C81" s="20" t="s">
        <v>708</v>
      </c>
      <c r="D81" s="138">
        <v>2440000</v>
      </c>
      <c r="E81" s="20" t="s">
        <v>709</v>
      </c>
      <c r="F81" s="20" t="s">
        <v>710</v>
      </c>
      <c r="G81" s="8" t="str">
        <f t="shared" si="1"/>
        <v>LOPES KIMBERLY</v>
      </c>
    </row>
    <row r="82" spans="1:7" x14ac:dyDescent="0.25">
      <c r="A82" s="8">
        <v>42932.424050925925</v>
      </c>
      <c r="B82" s="20" t="s">
        <v>445</v>
      </c>
      <c r="C82" s="20" t="s">
        <v>606</v>
      </c>
      <c r="D82" s="138">
        <v>2560000</v>
      </c>
      <c r="E82" s="20" t="s">
        <v>663</v>
      </c>
      <c r="F82" s="20" t="s">
        <v>360</v>
      </c>
      <c r="G82" s="8" t="str">
        <f t="shared" si="1"/>
        <v>MACDONALD THOMAS</v>
      </c>
    </row>
    <row r="83" spans="1:7" x14ac:dyDescent="0.25">
      <c r="A83" s="8">
        <v>42932.432708333334</v>
      </c>
      <c r="B83" s="20" t="s">
        <v>382</v>
      </c>
      <c r="C83" s="20" t="s">
        <v>711</v>
      </c>
      <c r="D83" s="138">
        <v>2970000</v>
      </c>
      <c r="E83" s="20" t="s">
        <v>370</v>
      </c>
      <c r="F83" s="20" t="s">
        <v>371</v>
      </c>
      <c r="G83" s="8" t="str">
        <f t="shared" si="1"/>
        <v>GUZMAN DANNY</v>
      </c>
    </row>
    <row r="84" spans="1:7" x14ac:dyDescent="0.25">
      <c r="A84" s="8">
        <v>42932.433634259258</v>
      </c>
      <c r="B84" s="20" t="s">
        <v>443</v>
      </c>
      <c r="C84" s="20" t="s">
        <v>712</v>
      </c>
      <c r="D84" s="138">
        <v>2140000</v>
      </c>
      <c r="E84" s="20" t="s">
        <v>383</v>
      </c>
      <c r="F84" s="20" t="s">
        <v>384</v>
      </c>
      <c r="G84" s="8" t="str">
        <f t="shared" si="1"/>
        <v>ROBINSON KADDIBA</v>
      </c>
    </row>
    <row r="85" spans="1:7" x14ac:dyDescent="0.25">
      <c r="A85" s="8">
        <v>42932.436481481483</v>
      </c>
      <c r="B85" s="20" t="s">
        <v>352</v>
      </c>
      <c r="C85" s="20" t="s">
        <v>637</v>
      </c>
      <c r="D85" s="138">
        <v>2040000</v>
      </c>
      <c r="E85" s="20" t="s">
        <v>436</v>
      </c>
      <c r="F85" s="20" t="s">
        <v>437</v>
      </c>
      <c r="G85" s="8" t="str">
        <f t="shared" si="1"/>
        <v>MOSES BRADLEY</v>
      </c>
    </row>
    <row r="86" spans="1:7" x14ac:dyDescent="0.25">
      <c r="A86" s="8">
        <v>42932.441736111112</v>
      </c>
      <c r="B86" s="20" t="s">
        <v>445</v>
      </c>
      <c r="C86" s="20" t="s">
        <v>606</v>
      </c>
      <c r="D86" s="138">
        <v>2560000</v>
      </c>
      <c r="E86" s="20" t="s">
        <v>663</v>
      </c>
      <c r="F86" s="20" t="s">
        <v>360</v>
      </c>
      <c r="G86" s="8" t="str">
        <f t="shared" si="1"/>
        <v>MACDONALD THOMAS</v>
      </c>
    </row>
    <row r="87" spans="1:7" x14ac:dyDescent="0.25">
      <c r="A87" s="8">
        <v>42932.442719907405</v>
      </c>
      <c r="B87" s="20" t="s">
        <v>477</v>
      </c>
      <c r="C87" s="20" t="s">
        <v>713</v>
      </c>
      <c r="D87" s="138">
        <v>2600000</v>
      </c>
      <c r="E87" s="20" t="s">
        <v>658</v>
      </c>
      <c r="F87" s="20" t="s">
        <v>659</v>
      </c>
      <c r="G87" s="8" t="str">
        <f t="shared" si="1"/>
        <v>DAVIDSON DAVID</v>
      </c>
    </row>
    <row r="88" spans="1:7" x14ac:dyDescent="0.25">
      <c r="A88" s="8">
        <v>42932.442916666667</v>
      </c>
      <c r="B88" s="20" t="s">
        <v>442</v>
      </c>
      <c r="C88" s="20" t="s">
        <v>637</v>
      </c>
      <c r="D88" s="138">
        <v>2040000</v>
      </c>
      <c r="E88" s="20" t="s">
        <v>436</v>
      </c>
      <c r="F88" s="20" t="s">
        <v>437</v>
      </c>
      <c r="G88" s="8" t="str">
        <f t="shared" si="1"/>
        <v>MOSES BRADLEY</v>
      </c>
    </row>
    <row r="89" spans="1:7" x14ac:dyDescent="0.25">
      <c r="A89" s="8">
        <v>42932.443657407406</v>
      </c>
      <c r="B89" s="20" t="s">
        <v>551</v>
      </c>
      <c r="C89" s="20" t="s">
        <v>714</v>
      </c>
      <c r="D89" s="138">
        <v>2270000</v>
      </c>
      <c r="E89" s="20" t="s">
        <v>645</v>
      </c>
      <c r="F89" s="20" t="s">
        <v>646</v>
      </c>
      <c r="G89" s="8" t="str">
        <f t="shared" si="1"/>
        <v>BROWN JACOB</v>
      </c>
    </row>
    <row r="90" spans="1:7" x14ac:dyDescent="0.25">
      <c r="A90" s="8">
        <v>42932.444247685184</v>
      </c>
      <c r="B90" s="20" t="s">
        <v>556</v>
      </c>
      <c r="C90" s="20" t="s">
        <v>715</v>
      </c>
      <c r="D90" s="138">
        <v>2470000</v>
      </c>
      <c r="E90" s="20" t="s">
        <v>519</v>
      </c>
      <c r="F90" s="20" t="s">
        <v>520</v>
      </c>
      <c r="G90" s="8" t="str">
        <f t="shared" si="1"/>
        <v>ROMERO CHAD</v>
      </c>
    </row>
    <row r="91" spans="1:7" x14ac:dyDescent="0.25">
      <c r="A91" s="8">
        <v>42932.444976851853</v>
      </c>
      <c r="B91" s="20" t="s">
        <v>601</v>
      </c>
      <c r="C91" s="20" t="s">
        <v>716</v>
      </c>
      <c r="D91" s="138">
        <v>1100000</v>
      </c>
      <c r="E91" s="20" t="s">
        <v>647</v>
      </c>
      <c r="F91" s="20" t="s">
        <v>648</v>
      </c>
      <c r="G91" s="8" t="str">
        <f t="shared" si="1"/>
        <v>GEBRETEKLE DAGNEW</v>
      </c>
    </row>
    <row r="92" spans="1:7" x14ac:dyDescent="0.25">
      <c r="A92" s="8">
        <v>42932.452141203707</v>
      </c>
      <c r="B92" s="20" t="s">
        <v>352</v>
      </c>
      <c r="C92" s="20" t="s">
        <v>717</v>
      </c>
      <c r="D92" s="138">
        <v>2040000</v>
      </c>
      <c r="E92" s="20" t="s">
        <v>436</v>
      </c>
      <c r="F92" s="20" t="s">
        <v>437</v>
      </c>
      <c r="G92" s="8" t="str">
        <f t="shared" si="1"/>
        <v>MOSES BRADLEY</v>
      </c>
    </row>
    <row r="93" spans="1:7" x14ac:dyDescent="0.25">
      <c r="A93" s="8">
        <v>42932.457604166666</v>
      </c>
      <c r="B93" s="20" t="s">
        <v>336</v>
      </c>
      <c r="C93" s="20" t="s">
        <v>718</v>
      </c>
      <c r="D93" s="138">
        <v>2600000</v>
      </c>
      <c r="E93" s="20" t="s">
        <v>658</v>
      </c>
      <c r="F93" s="20" t="s">
        <v>659</v>
      </c>
      <c r="G93" s="8" t="str">
        <f t="shared" si="1"/>
        <v>DAVIDSON DAVID</v>
      </c>
    </row>
    <row r="94" spans="1:7" x14ac:dyDescent="0.25">
      <c r="A94" s="8">
        <v>42932.461481481485</v>
      </c>
      <c r="B94" s="20" t="s">
        <v>394</v>
      </c>
      <c r="C94" s="20" t="s">
        <v>719</v>
      </c>
      <c r="D94" s="138">
        <v>2440000</v>
      </c>
      <c r="E94" s="20" t="s">
        <v>709</v>
      </c>
      <c r="F94" s="20" t="s">
        <v>710</v>
      </c>
      <c r="G94" s="8" t="str">
        <f t="shared" si="1"/>
        <v>LOPES KIMBERLY</v>
      </c>
    </row>
    <row r="95" spans="1:7" x14ac:dyDescent="0.25">
      <c r="A95" s="8">
        <v>42932.464386574073</v>
      </c>
      <c r="B95" s="20" t="s">
        <v>420</v>
      </c>
      <c r="C95" s="20" t="s">
        <v>720</v>
      </c>
      <c r="D95" s="138">
        <v>2970000</v>
      </c>
      <c r="E95" s="20" t="s">
        <v>370</v>
      </c>
      <c r="F95" s="20" t="s">
        <v>371</v>
      </c>
      <c r="G95" s="8" t="str">
        <f t="shared" si="1"/>
        <v>GUZMAN DANNY</v>
      </c>
    </row>
    <row r="96" spans="1:7" x14ac:dyDescent="0.25">
      <c r="A96" s="8">
        <v>42932.469340277778</v>
      </c>
      <c r="B96" s="20" t="s">
        <v>433</v>
      </c>
      <c r="C96" s="20" t="s">
        <v>721</v>
      </c>
      <c r="D96" s="138">
        <v>920000</v>
      </c>
      <c r="E96" s="20" t="s">
        <v>385</v>
      </c>
      <c r="F96" s="20" t="s">
        <v>192</v>
      </c>
      <c r="G96" s="8" t="str">
        <f t="shared" si="1"/>
        <v>DAVIS MICHAEL</v>
      </c>
    </row>
    <row r="97" spans="1:7" x14ac:dyDescent="0.25">
      <c r="A97" s="8">
        <v>42932.47488425926</v>
      </c>
      <c r="B97" s="20" t="s">
        <v>555</v>
      </c>
      <c r="C97" s="20" t="s">
        <v>722</v>
      </c>
      <c r="D97" s="138">
        <v>2470000</v>
      </c>
      <c r="E97" s="20" t="s">
        <v>519</v>
      </c>
      <c r="F97" s="20" t="s">
        <v>520</v>
      </c>
      <c r="G97" s="8" t="str">
        <f t="shared" si="1"/>
        <v>ROMERO CHAD</v>
      </c>
    </row>
    <row r="98" spans="1:7" x14ac:dyDescent="0.25">
      <c r="A98" s="8">
        <v>42932.47556712963</v>
      </c>
      <c r="B98" s="20" t="s">
        <v>550</v>
      </c>
      <c r="C98" s="20" t="s">
        <v>723</v>
      </c>
      <c r="D98" s="138">
        <v>3120000</v>
      </c>
      <c r="E98" s="20" t="s">
        <v>724</v>
      </c>
      <c r="F98" s="20" t="s">
        <v>725</v>
      </c>
      <c r="G98" s="8" t="str">
        <f t="shared" si="1"/>
        <v>THOMPSON LESTER</v>
      </c>
    </row>
    <row r="99" spans="1:7" x14ac:dyDescent="0.25">
      <c r="A99" s="8">
        <v>42932.484351851854</v>
      </c>
      <c r="B99" s="20" t="s">
        <v>477</v>
      </c>
      <c r="C99" s="20" t="s">
        <v>726</v>
      </c>
      <c r="D99" s="138">
        <v>2600000</v>
      </c>
      <c r="E99" s="20" t="s">
        <v>658</v>
      </c>
      <c r="F99" s="20" t="s">
        <v>659</v>
      </c>
      <c r="G99" s="8" t="str">
        <f t="shared" si="1"/>
        <v>DAVIDSON DAVID</v>
      </c>
    </row>
    <row r="100" spans="1:7" x14ac:dyDescent="0.25">
      <c r="A100" s="8">
        <v>42932.48678240741</v>
      </c>
      <c r="B100" s="20" t="s">
        <v>651</v>
      </c>
      <c r="C100" s="20" t="s">
        <v>727</v>
      </c>
      <c r="D100" s="138">
        <v>1770000</v>
      </c>
      <c r="E100" s="20" t="s">
        <v>728</v>
      </c>
      <c r="F100" s="20" t="s">
        <v>729</v>
      </c>
      <c r="G100" s="8" t="str">
        <f t="shared" si="1"/>
        <v>BRUDER RICHARD</v>
      </c>
    </row>
    <row r="101" spans="1:7" x14ac:dyDescent="0.25">
      <c r="A101" s="8">
        <v>42932.494351851848</v>
      </c>
      <c r="B101" s="20" t="s">
        <v>442</v>
      </c>
      <c r="C101" s="20" t="s">
        <v>730</v>
      </c>
      <c r="D101" s="138">
        <v>2040000</v>
      </c>
      <c r="E101" s="20" t="s">
        <v>436</v>
      </c>
      <c r="F101" s="20" t="s">
        <v>437</v>
      </c>
      <c r="G101" s="8" t="str">
        <f t="shared" si="1"/>
        <v>MOSES BRADLEY</v>
      </c>
    </row>
    <row r="102" spans="1:7" x14ac:dyDescent="0.25">
      <c r="A102" s="8">
        <v>42932.495682870373</v>
      </c>
      <c r="B102" s="20" t="s">
        <v>395</v>
      </c>
      <c r="C102" s="20" t="s">
        <v>731</v>
      </c>
      <c r="D102" s="138">
        <v>2440000</v>
      </c>
      <c r="E102" s="20" t="s">
        <v>709</v>
      </c>
      <c r="F102" s="20" t="s">
        <v>710</v>
      </c>
      <c r="G102" s="8" t="str">
        <f t="shared" si="1"/>
        <v>LOPES KIMBERLY</v>
      </c>
    </row>
    <row r="103" spans="1:7" x14ac:dyDescent="0.25">
      <c r="A103" s="8">
        <v>42932.499166666668</v>
      </c>
      <c r="B103" s="20" t="s">
        <v>336</v>
      </c>
      <c r="C103" s="20" t="s">
        <v>732</v>
      </c>
      <c r="D103" s="138">
        <v>2600000</v>
      </c>
      <c r="E103" s="20" t="s">
        <v>658</v>
      </c>
      <c r="F103" s="20" t="s">
        <v>659</v>
      </c>
      <c r="G103" s="8" t="str">
        <f t="shared" si="1"/>
        <v>DAVIDSON DAVID</v>
      </c>
    </row>
    <row r="104" spans="1:7" x14ac:dyDescent="0.25">
      <c r="A104" s="8">
        <v>42932.50708333333</v>
      </c>
      <c r="B104" s="20" t="s">
        <v>382</v>
      </c>
      <c r="C104" s="20" t="s">
        <v>733</v>
      </c>
      <c r="D104" s="138">
        <v>2370000</v>
      </c>
      <c r="E104" s="20" t="s">
        <v>521</v>
      </c>
      <c r="F104" s="20" t="s">
        <v>522</v>
      </c>
      <c r="G104" s="8" t="str">
        <f t="shared" si="1"/>
        <v>DELGADO DIANAH</v>
      </c>
    </row>
    <row r="105" spans="1:7" x14ac:dyDescent="0.25">
      <c r="A105" s="8">
        <v>42932.507534722223</v>
      </c>
      <c r="B105" s="20" t="s">
        <v>443</v>
      </c>
      <c r="C105" s="20" t="s">
        <v>734</v>
      </c>
      <c r="D105" s="138">
        <v>920000</v>
      </c>
      <c r="E105" s="20" t="s">
        <v>385</v>
      </c>
      <c r="F105" s="20" t="s">
        <v>192</v>
      </c>
      <c r="G105" s="8" t="str">
        <f t="shared" si="1"/>
        <v>DAVIS MICHAEL</v>
      </c>
    </row>
    <row r="106" spans="1:7" x14ac:dyDescent="0.25">
      <c r="A106" s="8">
        <v>42932.516087962962</v>
      </c>
      <c r="B106" s="20" t="s">
        <v>556</v>
      </c>
      <c r="C106" s="20" t="s">
        <v>735</v>
      </c>
      <c r="D106" s="138">
        <v>2470000</v>
      </c>
      <c r="E106" s="20" t="s">
        <v>519</v>
      </c>
      <c r="F106" s="20" t="s">
        <v>520</v>
      </c>
      <c r="G106" s="8" t="str">
        <f t="shared" si="1"/>
        <v>ROMERO CHAD</v>
      </c>
    </row>
    <row r="107" spans="1:7" x14ac:dyDescent="0.25">
      <c r="A107" s="8">
        <v>42932.516550925924</v>
      </c>
      <c r="B107" s="20" t="s">
        <v>551</v>
      </c>
      <c r="C107" s="20" t="s">
        <v>736</v>
      </c>
      <c r="D107" s="138">
        <v>3120000</v>
      </c>
      <c r="E107" s="20" t="s">
        <v>724</v>
      </c>
      <c r="F107" s="20" t="s">
        <v>725</v>
      </c>
      <c r="G107" s="8" t="str">
        <f t="shared" si="1"/>
        <v>THOMPSON LESTER</v>
      </c>
    </row>
    <row r="108" spans="1:7" x14ac:dyDescent="0.25">
      <c r="A108" s="8">
        <v>42932.525856481479</v>
      </c>
      <c r="B108" s="20" t="s">
        <v>601</v>
      </c>
      <c r="C108" s="20" t="s">
        <v>737</v>
      </c>
      <c r="D108" s="138">
        <v>1770000</v>
      </c>
      <c r="E108" s="20" t="s">
        <v>728</v>
      </c>
      <c r="F108" s="20" t="s">
        <v>729</v>
      </c>
      <c r="G108" s="8" t="str">
        <f t="shared" si="1"/>
        <v>BRUDER RICHARD</v>
      </c>
    </row>
    <row r="109" spans="1:7" x14ac:dyDescent="0.25">
      <c r="A109" s="8">
        <v>42932.526122685187</v>
      </c>
      <c r="B109" s="20" t="s">
        <v>477</v>
      </c>
      <c r="C109" s="20" t="s">
        <v>738</v>
      </c>
      <c r="D109" s="138">
        <v>2600000</v>
      </c>
      <c r="E109" s="20" t="s">
        <v>658</v>
      </c>
      <c r="F109" s="20" t="s">
        <v>659</v>
      </c>
      <c r="G109" s="8" t="str">
        <f t="shared" si="1"/>
        <v>DAVIDSON DAVID</v>
      </c>
    </row>
    <row r="110" spans="1:7" x14ac:dyDescent="0.25">
      <c r="A110" s="8">
        <v>42932.528078703705</v>
      </c>
      <c r="B110" s="20" t="s">
        <v>352</v>
      </c>
      <c r="C110" s="20" t="s">
        <v>739</v>
      </c>
      <c r="D110" s="138">
        <v>2540000</v>
      </c>
      <c r="E110" s="20" t="s">
        <v>740</v>
      </c>
      <c r="F110" s="20" t="s">
        <v>741</v>
      </c>
      <c r="G110" s="8" t="str">
        <f t="shared" si="1"/>
        <v>MCREYNOLDS KYLE</v>
      </c>
    </row>
    <row r="111" spans="1:7" x14ac:dyDescent="0.25">
      <c r="A111" s="8">
        <v>42932.535856481481</v>
      </c>
      <c r="B111" s="20" t="s">
        <v>394</v>
      </c>
      <c r="C111" s="20" t="s">
        <v>742</v>
      </c>
      <c r="D111" s="138">
        <v>2440000</v>
      </c>
      <c r="E111" s="20" t="s">
        <v>709</v>
      </c>
      <c r="F111" s="20" t="s">
        <v>710</v>
      </c>
      <c r="G111" s="8" t="str">
        <f t="shared" si="1"/>
        <v>LOPES KIMBERLY</v>
      </c>
    </row>
    <row r="112" spans="1:7" x14ac:dyDescent="0.25">
      <c r="A112" s="8">
        <v>42932.540659722225</v>
      </c>
      <c r="B112" s="20" t="s">
        <v>433</v>
      </c>
      <c r="C112" s="20" t="s">
        <v>607</v>
      </c>
      <c r="D112" s="138">
        <v>920000</v>
      </c>
      <c r="E112" s="20" t="s">
        <v>385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42932.540763888886</v>
      </c>
      <c r="B113" s="20" t="s">
        <v>336</v>
      </c>
      <c r="C113" s="20" t="s">
        <v>743</v>
      </c>
      <c r="D113" s="138">
        <v>2600000</v>
      </c>
      <c r="E113" s="20" t="s">
        <v>658</v>
      </c>
      <c r="F113" s="20" t="s">
        <v>659</v>
      </c>
      <c r="G113" s="8" t="str">
        <f t="shared" si="1"/>
        <v>DAVIDSON DAVID</v>
      </c>
    </row>
    <row r="114" spans="1:7" x14ac:dyDescent="0.25">
      <c r="A114" s="8">
        <v>42932.541284722225</v>
      </c>
      <c r="B114" s="20" t="s">
        <v>420</v>
      </c>
      <c r="C114" s="20" t="s">
        <v>744</v>
      </c>
      <c r="D114" s="138">
        <v>2370000</v>
      </c>
      <c r="E114" s="20" t="s">
        <v>521</v>
      </c>
      <c r="F114" s="20" t="s">
        <v>522</v>
      </c>
      <c r="G114" s="8" t="str">
        <f t="shared" si="1"/>
        <v>DELGADO DIANAH</v>
      </c>
    </row>
    <row r="115" spans="1:7" x14ac:dyDescent="0.25">
      <c r="A115" s="8">
        <v>42932.549884259257</v>
      </c>
      <c r="B115" s="20" t="s">
        <v>550</v>
      </c>
      <c r="C115" s="20" t="s">
        <v>609</v>
      </c>
      <c r="D115" s="138">
        <v>3120000</v>
      </c>
      <c r="E115" s="20" t="s">
        <v>724</v>
      </c>
      <c r="F115" s="20" t="s">
        <v>725</v>
      </c>
      <c r="G115" s="8" t="str">
        <f t="shared" si="1"/>
        <v>THOMPSON LESTER</v>
      </c>
    </row>
    <row r="116" spans="1:7" x14ac:dyDescent="0.25">
      <c r="A116" s="8">
        <v>42932.550937499997</v>
      </c>
      <c r="B116" s="20" t="s">
        <v>555</v>
      </c>
      <c r="C116" s="20" t="s">
        <v>745</v>
      </c>
      <c r="D116" s="138">
        <v>2470000</v>
      </c>
      <c r="E116" s="20" t="s">
        <v>519</v>
      </c>
      <c r="F116" s="20" t="s">
        <v>520</v>
      </c>
      <c r="G116" s="8" t="str">
        <f t="shared" si="1"/>
        <v>ROMERO CHAD</v>
      </c>
    </row>
    <row r="117" spans="1:7" x14ac:dyDescent="0.25">
      <c r="A117" s="8">
        <v>42932.558645833335</v>
      </c>
      <c r="B117" s="20" t="s">
        <v>651</v>
      </c>
      <c r="C117" s="20" t="s">
        <v>746</v>
      </c>
      <c r="D117" s="138">
        <v>1770000</v>
      </c>
      <c r="E117" s="20" t="s">
        <v>728</v>
      </c>
      <c r="F117" s="20" t="s">
        <v>729</v>
      </c>
      <c r="G117" s="8" t="str">
        <f t="shared" si="1"/>
        <v>BRUDER RICHARD</v>
      </c>
    </row>
    <row r="118" spans="1:7" x14ac:dyDescent="0.25">
      <c r="A118" s="8">
        <v>42932.565798611111</v>
      </c>
      <c r="B118" s="20" t="s">
        <v>442</v>
      </c>
      <c r="C118" s="20" t="s">
        <v>747</v>
      </c>
      <c r="D118" s="138">
        <v>2540000</v>
      </c>
      <c r="E118" s="20" t="s">
        <v>740</v>
      </c>
      <c r="F118" s="20" t="s">
        <v>741</v>
      </c>
      <c r="G118" s="8" t="str">
        <f t="shared" si="1"/>
        <v>MCREYNOLDS KYLE</v>
      </c>
    </row>
    <row r="119" spans="1:7" x14ac:dyDescent="0.25">
      <c r="A119" s="8">
        <v>42932.567430555559</v>
      </c>
      <c r="B119" s="20" t="s">
        <v>477</v>
      </c>
      <c r="C119" s="20" t="s">
        <v>748</v>
      </c>
      <c r="D119" s="138">
        <v>2600000</v>
      </c>
      <c r="E119" s="20" t="s">
        <v>658</v>
      </c>
      <c r="F119" s="20" t="s">
        <v>659</v>
      </c>
      <c r="G119" s="8" t="str">
        <f t="shared" si="1"/>
        <v>DAVIDSON DAVID</v>
      </c>
    </row>
    <row r="120" spans="1:7" x14ac:dyDescent="0.25">
      <c r="A120" s="8">
        <v>42932.568368055552</v>
      </c>
      <c r="B120" s="20" t="s">
        <v>395</v>
      </c>
      <c r="C120" s="20" t="s">
        <v>608</v>
      </c>
      <c r="D120" s="138">
        <v>2440000</v>
      </c>
      <c r="E120" s="20" t="s">
        <v>709</v>
      </c>
      <c r="F120" s="20" t="s">
        <v>710</v>
      </c>
      <c r="G120" s="8" t="str">
        <f t="shared" si="1"/>
        <v>LOPES KIMBERLY</v>
      </c>
    </row>
    <row r="121" spans="1:7" x14ac:dyDescent="0.25">
      <c r="A121" s="8">
        <v>42932.577476851853</v>
      </c>
      <c r="B121" s="20" t="s">
        <v>382</v>
      </c>
      <c r="C121" s="20" t="s">
        <v>610</v>
      </c>
      <c r="D121" s="138">
        <v>2370000</v>
      </c>
      <c r="E121" s="20" t="s">
        <v>521</v>
      </c>
      <c r="F121" s="20" t="s">
        <v>522</v>
      </c>
      <c r="G121" s="8" t="str">
        <f t="shared" si="1"/>
        <v>DELGADO DIANAH</v>
      </c>
    </row>
    <row r="122" spans="1:7" x14ac:dyDescent="0.25">
      <c r="A122" s="8">
        <v>42932.580104166664</v>
      </c>
      <c r="B122" s="25" t="s">
        <v>443</v>
      </c>
      <c r="C122" s="20" t="s">
        <v>749</v>
      </c>
      <c r="D122" s="138">
        <v>920000</v>
      </c>
      <c r="E122" s="20" t="s">
        <v>385</v>
      </c>
      <c r="F122" s="20" t="s">
        <v>192</v>
      </c>
      <c r="G122" s="8" t="str">
        <f t="shared" si="1"/>
        <v>DAVIS MICHAEL</v>
      </c>
    </row>
    <row r="123" spans="1:7" x14ac:dyDescent="0.25">
      <c r="A123" s="8">
        <v>42932.588703703703</v>
      </c>
      <c r="B123" s="20" t="s">
        <v>336</v>
      </c>
      <c r="C123" s="20" t="s">
        <v>611</v>
      </c>
      <c r="D123" s="138">
        <v>2450000</v>
      </c>
      <c r="E123" s="20" t="s">
        <v>750</v>
      </c>
      <c r="F123" s="20" t="s">
        <v>751</v>
      </c>
      <c r="G123" s="8" t="str">
        <f t="shared" si="1"/>
        <v>NELSON ARIANE</v>
      </c>
    </row>
    <row r="124" spans="1:7" x14ac:dyDescent="0.25">
      <c r="A124" s="8">
        <v>42932.589930555558</v>
      </c>
      <c r="B124" s="20" t="s">
        <v>556</v>
      </c>
      <c r="C124" s="20" t="s">
        <v>752</v>
      </c>
      <c r="D124" s="138">
        <v>2470000</v>
      </c>
      <c r="E124" s="20" t="s">
        <v>519</v>
      </c>
      <c r="F124" s="20" t="s">
        <v>520</v>
      </c>
      <c r="G124" s="8" t="str">
        <f t="shared" si="1"/>
        <v>ROMERO CHAD</v>
      </c>
    </row>
    <row r="125" spans="1:7" x14ac:dyDescent="0.25">
      <c r="A125" s="8">
        <v>42932.590243055558</v>
      </c>
      <c r="B125" s="20" t="s">
        <v>551</v>
      </c>
      <c r="C125" s="20" t="s">
        <v>753</v>
      </c>
      <c r="D125" s="138">
        <v>3120000</v>
      </c>
      <c r="E125" s="20" t="s">
        <v>724</v>
      </c>
      <c r="F125" s="20" t="s">
        <v>725</v>
      </c>
      <c r="G125" s="8" t="str">
        <f t="shared" si="1"/>
        <v>THOMPSON LESTER</v>
      </c>
    </row>
    <row r="126" spans="1:7" x14ac:dyDescent="0.25">
      <c r="A126" s="8">
        <v>42932.598865740743</v>
      </c>
      <c r="B126" s="20" t="s">
        <v>601</v>
      </c>
      <c r="C126" s="20" t="s">
        <v>754</v>
      </c>
      <c r="D126" s="138">
        <v>1770000</v>
      </c>
      <c r="E126" s="20" t="s">
        <v>728</v>
      </c>
      <c r="F126" s="20" t="s">
        <v>729</v>
      </c>
      <c r="G126" s="8" t="str">
        <f t="shared" si="1"/>
        <v>BRUDER RICHARD</v>
      </c>
    </row>
    <row r="127" spans="1:7" x14ac:dyDescent="0.25">
      <c r="A127" s="8">
        <v>42932.599351851852</v>
      </c>
      <c r="B127" s="20" t="s">
        <v>352</v>
      </c>
      <c r="C127" s="20" t="s">
        <v>755</v>
      </c>
      <c r="D127" s="138">
        <v>2540000</v>
      </c>
      <c r="E127" s="20" t="s">
        <v>740</v>
      </c>
      <c r="F127" s="20" t="s">
        <v>741</v>
      </c>
      <c r="G127" s="8" t="str">
        <f t="shared" si="1"/>
        <v>MCREYNOLDS KYLE</v>
      </c>
    </row>
    <row r="128" spans="1:7" x14ac:dyDescent="0.25">
      <c r="A128" s="8">
        <v>42932.610775462963</v>
      </c>
      <c r="B128" s="20" t="s">
        <v>394</v>
      </c>
      <c r="C128" s="20" t="s">
        <v>756</v>
      </c>
      <c r="D128" s="138">
        <v>2440000</v>
      </c>
      <c r="E128" s="20" t="s">
        <v>709</v>
      </c>
      <c r="F128" s="20" t="s">
        <v>710</v>
      </c>
      <c r="G128" s="8" t="str">
        <f t="shared" si="1"/>
        <v>LOPES KIMBERLY</v>
      </c>
    </row>
    <row r="129" spans="1:7" x14ac:dyDescent="0.25">
      <c r="A129" s="8">
        <v>42932.61204861111</v>
      </c>
      <c r="B129" s="20" t="s">
        <v>477</v>
      </c>
      <c r="C129" s="20" t="s">
        <v>757</v>
      </c>
      <c r="D129" s="138">
        <v>2450000</v>
      </c>
      <c r="E129" s="20" t="s">
        <v>750</v>
      </c>
      <c r="F129" s="20" t="s">
        <v>751</v>
      </c>
      <c r="G129" s="8" t="str">
        <f t="shared" si="1"/>
        <v>NELSON ARIANE</v>
      </c>
    </row>
    <row r="130" spans="1:7" x14ac:dyDescent="0.25">
      <c r="A130" s="8">
        <v>42932.612222222226</v>
      </c>
      <c r="B130" s="20" t="s">
        <v>433</v>
      </c>
      <c r="C130" s="20" t="s">
        <v>758</v>
      </c>
      <c r="D130" s="138">
        <v>920000</v>
      </c>
      <c r="E130" s="20" t="s">
        <v>385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42932.613437499997</v>
      </c>
      <c r="B131" s="20" t="s">
        <v>420</v>
      </c>
      <c r="C131" s="20" t="s">
        <v>759</v>
      </c>
      <c r="D131" s="138">
        <v>2370000</v>
      </c>
      <c r="E131" s="20" t="s">
        <v>521</v>
      </c>
      <c r="F131" s="20" t="s">
        <v>522</v>
      </c>
      <c r="G131" s="8" t="str">
        <f t="shared" ref="G131:G194" si="2">E131&amp;" "&amp;F131</f>
        <v>DELGADO DIANAH</v>
      </c>
    </row>
    <row r="132" spans="1:7" x14ac:dyDescent="0.25">
      <c r="A132" s="8">
        <v>42932.622870370367</v>
      </c>
      <c r="B132" s="20" t="s">
        <v>550</v>
      </c>
      <c r="C132" s="20" t="s">
        <v>760</v>
      </c>
      <c r="D132" s="138">
        <v>3120000</v>
      </c>
      <c r="E132" s="20" t="s">
        <v>724</v>
      </c>
      <c r="F132" s="20" t="s">
        <v>725</v>
      </c>
      <c r="G132" s="8" t="str">
        <f t="shared" si="2"/>
        <v>THOMPSON LESTER</v>
      </c>
    </row>
    <row r="133" spans="1:7" x14ac:dyDescent="0.25">
      <c r="A133" s="8">
        <v>42932.623877314814</v>
      </c>
      <c r="B133" s="20" t="s">
        <v>555</v>
      </c>
      <c r="C133" s="20" t="s">
        <v>761</v>
      </c>
      <c r="D133" s="138">
        <v>2470000</v>
      </c>
      <c r="E133" s="20" t="s">
        <v>519</v>
      </c>
      <c r="F133" s="20" t="s">
        <v>520</v>
      </c>
      <c r="G133" s="8" t="str">
        <f t="shared" si="2"/>
        <v>ROMERO CHAD</v>
      </c>
    </row>
    <row r="134" spans="1:7" x14ac:dyDescent="0.25">
      <c r="A134" s="8">
        <v>42932.631666666668</v>
      </c>
      <c r="B134" s="20" t="s">
        <v>651</v>
      </c>
      <c r="C134" s="20" t="s">
        <v>762</v>
      </c>
      <c r="D134" s="138">
        <v>1770000</v>
      </c>
      <c r="E134" s="20" t="s">
        <v>728</v>
      </c>
      <c r="F134" s="20" t="s">
        <v>729</v>
      </c>
      <c r="G134" s="8" t="str">
        <f t="shared" si="2"/>
        <v>BRUDER RICHARD</v>
      </c>
    </row>
    <row r="135" spans="1:7" x14ac:dyDescent="0.25">
      <c r="A135" s="8">
        <v>42932.633634259262</v>
      </c>
      <c r="B135" s="20" t="s">
        <v>442</v>
      </c>
      <c r="C135" s="20" t="s">
        <v>763</v>
      </c>
      <c r="D135" s="138">
        <v>2540000</v>
      </c>
      <c r="E135" s="20" t="s">
        <v>740</v>
      </c>
      <c r="F135" s="20" t="s">
        <v>741</v>
      </c>
      <c r="G135" s="8" t="str">
        <f t="shared" si="2"/>
        <v>MCREYNOLDS KYLE</v>
      </c>
    </row>
    <row r="136" spans="1:7" x14ac:dyDescent="0.25">
      <c r="A136" s="8">
        <v>42932.637824074074</v>
      </c>
      <c r="B136" s="20" t="s">
        <v>336</v>
      </c>
      <c r="C136" s="20" t="s">
        <v>612</v>
      </c>
      <c r="D136" s="138">
        <v>2450000</v>
      </c>
      <c r="E136" s="20" t="s">
        <v>750</v>
      </c>
      <c r="F136" s="20" t="s">
        <v>751</v>
      </c>
      <c r="G136" s="8" t="str">
        <f t="shared" si="2"/>
        <v>NELSON ARIANE</v>
      </c>
    </row>
    <row r="137" spans="1:7" x14ac:dyDescent="0.25">
      <c r="A137" s="8">
        <v>42932.641759259262</v>
      </c>
      <c r="B137" s="20" t="s">
        <v>395</v>
      </c>
      <c r="C137" s="20" t="s">
        <v>764</v>
      </c>
      <c r="D137" s="138">
        <v>2440000</v>
      </c>
      <c r="E137" s="20" t="s">
        <v>709</v>
      </c>
      <c r="F137" s="20" t="s">
        <v>710</v>
      </c>
      <c r="G137" s="8" t="str">
        <f t="shared" si="2"/>
        <v>LOPES KIMBERLY</v>
      </c>
    </row>
    <row r="138" spans="1:7" x14ac:dyDescent="0.25">
      <c r="A138" s="8">
        <v>42932.651284722226</v>
      </c>
      <c r="B138" s="20" t="s">
        <v>382</v>
      </c>
      <c r="C138" s="20" t="s">
        <v>765</v>
      </c>
      <c r="D138" s="138">
        <v>2370000</v>
      </c>
      <c r="E138" s="20" t="s">
        <v>521</v>
      </c>
      <c r="F138" s="20" t="s">
        <v>522</v>
      </c>
      <c r="G138" s="8" t="str">
        <f t="shared" si="2"/>
        <v>DELGADO DIANAH</v>
      </c>
    </row>
    <row r="139" spans="1:7" x14ac:dyDescent="0.25">
      <c r="A139" s="8">
        <v>42932.653078703705</v>
      </c>
      <c r="B139" s="20" t="s">
        <v>477</v>
      </c>
      <c r="C139" s="20" t="s">
        <v>766</v>
      </c>
      <c r="D139" s="138">
        <v>2450000</v>
      </c>
      <c r="E139" s="20" t="s">
        <v>750</v>
      </c>
      <c r="F139" s="20" t="s">
        <v>751</v>
      </c>
      <c r="G139" s="8" t="str">
        <f t="shared" si="2"/>
        <v>NELSON ARIANE</v>
      </c>
    </row>
    <row r="140" spans="1:7" x14ac:dyDescent="0.25">
      <c r="A140" s="8">
        <v>42932.653460648151</v>
      </c>
      <c r="B140" s="20" t="s">
        <v>443</v>
      </c>
      <c r="C140" s="20" t="s">
        <v>767</v>
      </c>
      <c r="D140" s="138">
        <v>920000</v>
      </c>
      <c r="E140" s="20" t="s">
        <v>385</v>
      </c>
      <c r="F140" s="20" t="s">
        <v>192</v>
      </c>
      <c r="G140" s="8" t="str">
        <f t="shared" si="2"/>
        <v>DAVIS MICHAEL</v>
      </c>
    </row>
    <row r="141" spans="1:7" x14ac:dyDescent="0.25">
      <c r="A141" s="8">
        <v>42932.657175925924</v>
      </c>
      <c r="B141" s="20" t="s">
        <v>550</v>
      </c>
      <c r="C141" s="20" t="s">
        <v>760</v>
      </c>
      <c r="D141" s="138">
        <v>3120000</v>
      </c>
      <c r="E141" s="20" t="s">
        <v>724</v>
      </c>
      <c r="F141" s="20" t="s">
        <v>725</v>
      </c>
      <c r="G141" s="8" t="str">
        <f t="shared" si="2"/>
        <v>THOMPSON LESTER</v>
      </c>
    </row>
    <row r="142" spans="1:7" x14ac:dyDescent="0.25">
      <c r="A142" s="8">
        <v>42932.661631944444</v>
      </c>
      <c r="B142" s="20" t="s">
        <v>556</v>
      </c>
      <c r="C142" s="20" t="s">
        <v>768</v>
      </c>
      <c r="D142" s="138">
        <v>2470000</v>
      </c>
      <c r="E142" s="20" t="s">
        <v>519</v>
      </c>
      <c r="F142" s="20" t="s">
        <v>520</v>
      </c>
      <c r="G142" s="8" t="str">
        <f t="shared" si="2"/>
        <v>ROMERO CHAD</v>
      </c>
    </row>
    <row r="143" spans="1:7" x14ac:dyDescent="0.25">
      <c r="A143" s="8">
        <v>42932.663703703707</v>
      </c>
      <c r="B143" s="20" t="s">
        <v>551</v>
      </c>
      <c r="C143" s="20" t="s">
        <v>613</v>
      </c>
      <c r="D143" s="138">
        <v>3120000</v>
      </c>
      <c r="E143" s="20" t="s">
        <v>724</v>
      </c>
      <c r="F143" s="20" t="s">
        <v>725</v>
      </c>
      <c r="G143" s="8" t="str">
        <f t="shared" si="2"/>
        <v>THOMPSON LESTER</v>
      </c>
    </row>
    <row r="144" spans="1:7" x14ac:dyDescent="0.25">
      <c r="A144" s="8">
        <v>42932.671759259261</v>
      </c>
      <c r="B144" s="20" t="s">
        <v>601</v>
      </c>
      <c r="C144" s="20" t="s">
        <v>769</v>
      </c>
      <c r="D144" s="138">
        <v>1770000</v>
      </c>
      <c r="E144" s="20" t="s">
        <v>728</v>
      </c>
      <c r="F144" s="20" t="s">
        <v>729</v>
      </c>
      <c r="G144" s="8" t="str">
        <f t="shared" si="2"/>
        <v>BRUDER RICHARD</v>
      </c>
    </row>
    <row r="145" spans="1:7" x14ac:dyDescent="0.25">
      <c r="A145" s="8">
        <v>42932.672881944447</v>
      </c>
      <c r="B145" s="20" t="s">
        <v>352</v>
      </c>
      <c r="C145" s="20" t="s">
        <v>770</v>
      </c>
      <c r="D145" s="138">
        <v>2540000</v>
      </c>
      <c r="E145" s="20" t="s">
        <v>740</v>
      </c>
      <c r="F145" s="20" t="s">
        <v>741</v>
      </c>
      <c r="G145" s="8" t="str">
        <f t="shared" si="2"/>
        <v>MCREYNOLDS KYLE</v>
      </c>
    </row>
    <row r="146" spans="1:7" x14ac:dyDescent="0.25">
      <c r="A146" s="8">
        <v>42932.678391203706</v>
      </c>
      <c r="B146" s="20" t="s">
        <v>336</v>
      </c>
      <c r="C146" s="20" t="s">
        <v>771</v>
      </c>
      <c r="D146" s="138">
        <v>2450000</v>
      </c>
      <c r="E146" s="20" t="s">
        <v>750</v>
      </c>
      <c r="F146" s="20" t="s">
        <v>751</v>
      </c>
      <c r="G146" s="8" t="str">
        <f t="shared" si="2"/>
        <v>NELSON ARIANE</v>
      </c>
    </row>
    <row r="147" spans="1:7" x14ac:dyDescent="0.25">
      <c r="A147" s="8">
        <v>42932.682997685188</v>
      </c>
      <c r="B147" s="20" t="s">
        <v>394</v>
      </c>
      <c r="C147" s="20" t="s">
        <v>772</v>
      </c>
      <c r="D147" s="138">
        <v>2440000</v>
      </c>
      <c r="E147" s="20" t="s">
        <v>709</v>
      </c>
      <c r="F147" s="20" t="s">
        <v>710</v>
      </c>
      <c r="G147" s="8" t="str">
        <f t="shared" si="2"/>
        <v>LOPES KIMBERLY</v>
      </c>
    </row>
    <row r="148" spans="1:7" x14ac:dyDescent="0.25">
      <c r="A148" s="8">
        <v>42932.686377314814</v>
      </c>
      <c r="B148" s="20" t="s">
        <v>433</v>
      </c>
      <c r="C148" s="20" t="s">
        <v>614</v>
      </c>
      <c r="D148" s="138">
        <v>920000</v>
      </c>
      <c r="E148" s="20" t="s">
        <v>385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42932.69332175926</v>
      </c>
      <c r="B149" s="20" t="s">
        <v>420</v>
      </c>
      <c r="C149" s="20" t="s">
        <v>773</v>
      </c>
      <c r="D149" s="138">
        <v>2370000</v>
      </c>
      <c r="E149" s="20" t="s">
        <v>521</v>
      </c>
      <c r="F149" s="20" t="s">
        <v>522</v>
      </c>
      <c r="G149" s="8" t="str">
        <f t="shared" si="2"/>
        <v>DELGADO DIANAH</v>
      </c>
    </row>
    <row r="150" spans="1:7" x14ac:dyDescent="0.25">
      <c r="A150" s="8">
        <v>42932.696145833332</v>
      </c>
      <c r="B150" s="20" t="s">
        <v>477</v>
      </c>
      <c r="C150" s="20" t="s">
        <v>774</v>
      </c>
      <c r="D150" s="138">
        <v>2450000</v>
      </c>
      <c r="E150" s="20" t="s">
        <v>750</v>
      </c>
      <c r="F150" s="20" t="s">
        <v>751</v>
      </c>
      <c r="G150" s="8" t="str">
        <f t="shared" si="2"/>
        <v>NELSON ARIANE</v>
      </c>
    </row>
    <row r="151" spans="1:7" x14ac:dyDescent="0.25">
      <c r="A151" s="8">
        <v>42932.69730324074</v>
      </c>
      <c r="B151" s="20" t="s">
        <v>550</v>
      </c>
      <c r="C151" s="20" t="s">
        <v>775</v>
      </c>
      <c r="D151" s="138">
        <v>3120000</v>
      </c>
      <c r="E151" s="20" t="s">
        <v>724</v>
      </c>
      <c r="F151" s="20" t="s">
        <v>725</v>
      </c>
      <c r="G151" s="8" t="str">
        <f t="shared" si="2"/>
        <v>THOMPSON LESTER</v>
      </c>
    </row>
    <row r="152" spans="1:7" x14ac:dyDescent="0.25">
      <c r="A152" s="8">
        <v>42932.699479166666</v>
      </c>
      <c r="B152" s="20" t="s">
        <v>555</v>
      </c>
      <c r="C152" s="20" t="s">
        <v>776</v>
      </c>
      <c r="D152" s="138">
        <v>2470000</v>
      </c>
      <c r="E152" s="20" t="s">
        <v>519</v>
      </c>
      <c r="F152" s="20" t="s">
        <v>520</v>
      </c>
      <c r="G152" s="8" t="str">
        <f t="shared" si="2"/>
        <v>ROMERO CHAD</v>
      </c>
    </row>
    <row r="153" spans="1:7" x14ac:dyDescent="0.25">
      <c r="A153" s="8">
        <v>42932.703263888892</v>
      </c>
      <c r="B153" s="20" t="s">
        <v>651</v>
      </c>
      <c r="C153" s="20" t="s">
        <v>777</v>
      </c>
      <c r="D153" s="138">
        <v>1770000</v>
      </c>
      <c r="E153" s="20" t="s">
        <v>728</v>
      </c>
      <c r="F153" s="20" t="s">
        <v>729</v>
      </c>
      <c r="G153" s="8" t="str">
        <f t="shared" si="2"/>
        <v>BRUDER RICHARD</v>
      </c>
    </row>
    <row r="154" spans="1:7" x14ac:dyDescent="0.25">
      <c r="A154" s="8">
        <v>42932.711273148147</v>
      </c>
      <c r="B154" s="20" t="s">
        <v>442</v>
      </c>
      <c r="C154" s="20" t="s">
        <v>778</v>
      </c>
      <c r="D154" s="138">
        <v>2540000</v>
      </c>
      <c r="E154" s="20" t="s">
        <v>740</v>
      </c>
      <c r="F154" s="20" t="s">
        <v>741</v>
      </c>
      <c r="G154" s="8" t="str">
        <f t="shared" si="2"/>
        <v>MCREYNOLDS KYLE</v>
      </c>
    </row>
    <row r="155" spans="1:7" x14ac:dyDescent="0.25">
      <c r="A155" s="8">
        <v>42932.713738425926</v>
      </c>
      <c r="B155" s="20" t="s">
        <v>444</v>
      </c>
      <c r="C155" s="20" t="s">
        <v>779</v>
      </c>
      <c r="D155" s="138">
        <v>2610000</v>
      </c>
      <c r="E155" s="20" t="s">
        <v>386</v>
      </c>
      <c r="F155" s="20" t="s">
        <v>387</v>
      </c>
      <c r="G155" s="8" t="str">
        <f t="shared" si="2"/>
        <v>MAGEE KENYA</v>
      </c>
    </row>
    <row r="156" spans="1:7" x14ac:dyDescent="0.25">
      <c r="A156" s="8">
        <v>42932.713831018518</v>
      </c>
      <c r="B156" s="20" t="s">
        <v>395</v>
      </c>
      <c r="C156" s="20" t="s">
        <v>780</v>
      </c>
      <c r="D156" s="138">
        <v>2000000</v>
      </c>
      <c r="E156" s="20" t="s">
        <v>402</v>
      </c>
      <c r="F156" s="20" t="s">
        <v>189</v>
      </c>
      <c r="G156" s="8" t="str">
        <f t="shared" si="2"/>
        <v>STAMBAUGH JAMES</v>
      </c>
    </row>
    <row r="157" spans="1:7" x14ac:dyDescent="0.25">
      <c r="A157" s="8">
        <v>42932.719988425924</v>
      </c>
      <c r="B157" s="20" t="s">
        <v>781</v>
      </c>
      <c r="C157" s="20" t="s">
        <v>782</v>
      </c>
      <c r="D157" s="138">
        <v>2680000</v>
      </c>
      <c r="E157" s="20" t="s">
        <v>783</v>
      </c>
      <c r="F157" s="20" t="s">
        <v>784</v>
      </c>
      <c r="G157" s="8" t="str">
        <f t="shared" si="2"/>
        <v>DUNCAN SHEILA</v>
      </c>
    </row>
    <row r="158" spans="1:7" x14ac:dyDescent="0.25">
      <c r="A158" s="8">
        <v>42932.720486111109</v>
      </c>
      <c r="B158" s="20" t="s">
        <v>336</v>
      </c>
      <c r="C158" s="20" t="s">
        <v>615</v>
      </c>
      <c r="D158" s="138">
        <v>3030000</v>
      </c>
      <c r="E158" s="20" t="s">
        <v>372</v>
      </c>
      <c r="F158" s="20" t="s">
        <v>360</v>
      </c>
      <c r="G158" s="8" t="str">
        <f t="shared" si="2"/>
        <v>BIRENBAUM THOMAS</v>
      </c>
    </row>
    <row r="159" spans="1:7" x14ac:dyDescent="0.25">
      <c r="A159" s="8">
        <v>42932.721006944441</v>
      </c>
      <c r="B159" s="20" t="s">
        <v>781</v>
      </c>
      <c r="C159" s="20" t="s">
        <v>782</v>
      </c>
      <c r="D159" s="138">
        <v>2680000</v>
      </c>
      <c r="E159" s="20" t="s">
        <v>783</v>
      </c>
      <c r="F159" s="20" t="s">
        <v>784</v>
      </c>
      <c r="G159" s="8" t="str">
        <f t="shared" si="2"/>
        <v>DUNCAN SHEILA</v>
      </c>
    </row>
    <row r="160" spans="1:7" x14ac:dyDescent="0.25">
      <c r="A160" s="8">
        <v>42932.725393518522</v>
      </c>
      <c r="B160" s="20" t="s">
        <v>382</v>
      </c>
      <c r="C160" s="20" t="s">
        <v>785</v>
      </c>
      <c r="D160" s="138">
        <v>2370000</v>
      </c>
      <c r="E160" s="20" t="s">
        <v>521</v>
      </c>
      <c r="F160" s="20" t="s">
        <v>522</v>
      </c>
      <c r="G160" s="8" t="str">
        <f t="shared" si="2"/>
        <v>DELGADO DIANAH</v>
      </c>
    </row>
    <row r="161" spans="1:7" x14ac:dyDescent="0.25">
      <c r="A161" s="8">
        <v>42932.726435185185</v>
      </c>
      <c r="B161" s="20" t="s">
        <v>443</v>
      </c>
      <c r="C161" s="20" t="s">
        <v>786</v>
      </c>
      <c r="D161" s="138">
        <v>920000</v>
      </c>
      <c r="E161" s="20" t="s">
        <v>385</v>
      </c>
      <c r="F161" s="20" t="s">
        <v>192</v>
      </c>
      <c r="G161" s="8" t="str">
        <f t="shared" si="2"/>
        <v>DAVIS MICHAEL</v>
      </c>
    </row>
    <row r="162" spans="1:7" x14ac:dyDescent="0.25">
      <c r="A162" s="8">
        <v>42932.727453703701</v>
      </c>
      <c r="B162" s="20" t="s">
        <v>781</v>
      </c>
      <c r="C162" s="20" t="s">
        <v>782</v>
      </c>
      <c r="D162" s="138">
        <v>2680000</v>
      </c>
      <c r="E162" s="20" t="s">
        <v>783</v>
      </c>
      <c r="F162" s="20" t="s">
        <v>784</v>
      </c>
      <c r="G162" s="8" t="str">
        <f t="shared" si="2"/>
        <v>DUNCAN SHEILA</v>
      </c>
    </row>
    <row r="163" spans="1:7" x14ac:dyDescent="0.25">
      <c r="A163" s="8">
        <v>42932.728425925925</v>
      </c>
      <c r="B163" s="20" t="s">
        <v>781</v>
      </c>
      <c r="C163" s="20" t="s">
        <v>782</v>
      </c>
      <c r="D163" s="138">
        <v>2680000</v>
      </c>
      <c r="E163" s="20" t="s">
        <v>783</v>
      </c>
      <c r="F163" s="20" t="s">
        <v>784</v>
      </c>
      <c r="G163" s="8" t="str">
        <f t="shared" si="2"/>
        <v>DUNCAN SHEILA</v>
      </c>
    </row>
    <row r="164" spans="1:7" x14ac:dyDescent="0.25">
      <c r="A164" s="8">
        <v>42932.73400462963</v>
      </c>
      <c r="B164" s="20" t="s">
        <v>551</v>
      </c>
      <c r="C164" s="20" t="s">
        <v>787</v>
      </c>
      <c r="D164" s="138">
        <v>3120000</v>
      </c>
      <c r="E164" s="20" t="s">
        <v>724</v>
      </c>
      <c r="F164" s="20" t="s">
        <v>725</v>
      </c>
      <c r="G164" s="8" t="str">
        <f t="shared" si="2"/>
        <v>THOMPSON LESTER</v>
      </c>
    </row>
    <row r="165" spans="1:7" x14ac:dyDescent="0.25">
      <c r="A165" s="8">
        <v>42932.734317129631</v>
      </c>
      <c r="B165" s="20" t="s">
        <v>556</v>
      </c>
      <c r="C165" s="20" t="s">
        <v>788</v>
      </c>
      <c r="D165" s="138">
        <v>2230000</v>
      </c>
      <c r="E165" s="20" t="s">
        <v>338</v>
      </c>
      <c r="F165" s="20" t="s">
        <v>192</v>
      </c>
      <c r="G165" s="8" t="str">
        <f t="shared" si="2"/>
        <v>SMITH MICHAEL</v>
      </c>
    </row>
    <row r="166" spans="1:7" x14ac:dyDescent="0.25">
      <c r="A166" s="8">
        <v>42932.735127314816</v>
      </c>
      <c r="B166" s="20" t="s">
        <v>477</v>
      </c>
      <c r="C166" s="20" t="s">
        <v>789</v>
      </c>
      <c r="D166" s="138">
        <v>3030000</v>
      </c>
      <c r="E166" s="20" t="s">
        <v>372</v>
      </c>
      <c r="F166" s="20" t="s">
        <v>360</v>
      </c>
      <c r="G166" s="8" t="str">
        <f t="shared" si="2"/>
        <v>BIRENBAUM THOMAS</v>
      </c>
    </row>
    <row r="167" spans="1:7" x14ac:dyDescent="0.25">
      <c r="A167" s="8">
        <v>42932.74391203704</v>
      </c>
      <c r="B167" s="20" t="s">
        <v>790</v>
      </c>
      <c r="C167" s="20" t="s">
        <v>791</v>
      </c>
      <c r="D167" s="138">
        <v>3180000</v>
      </c>
      <c r="E167" s="20" t="s">
        <v>558</v>
      </c>
      <c r="F167" s="20" t="s">
        <v>559</v>
      </c>
      <c r="G167" s="8" t="str">
        <f t="shared" si="2"/>
        <v>HUFFSMITH MONTY</v>
      </c>
    </row>
    <row r="168" spans="1:7" x14ac:dyDescent="0.25">
      <c r="A168" s="8">
        <v>42932.744641203702</v>
      </c>
      <c r="B168" s="20" t="s">
        <v>601</v>
      </c>
      <c r="C168" s="20" t="s">
        <v>792</v>
      </c>
      <c r="D168" s="138">
        <v>1770000</v>
      </c>
      <c r="E168" s="20" t="s">
        <v>728</v>
      </c>
      <c r="F168" s="20" t="s">
        <v>729</v>
      </c>
      <c r="G168" s="8" t="str">
        <f t="shared" si="2"/>
        <v>BRUDER RICHARD</v>
      </c>
    </row>
    <row r="169" spans="1:7" x14ac:dyDescent="0.25">
      <c r="A169" s="8">
        <v>42932.744803240741</v>
      </c>
      <c r="B169" s="20" t="s">
        <v>790</v>
      </c>
      <c r="C169" s="20" t="s">
        <v>791</v>
      </c>
      <c r="D169" s="138">
        <v>3180000</v>
      </c>
      <c r="E169" s="20" t="s">
        <v>558</v>
      </c>
      <c r="F169" s="20" t="s">
        <v>559</v>
      </c>
      <c r="G169" s="8" t="str">
        <f t="shared" si="2"/>
        <v>HUFFSMITH MONTY</v>
      </c>
    </row>
    <row r="170" spans="1:7" x14ac:dyDescent="0.25">
      <c r="A170" s="8">
        <v>42932.745092592595</v>
      </c>
      <c r="B170" s="20" t="s">
        <v>352</v>
      </c>
      <c r="C170" s="20" t="s">
        <v>793</v>
      </c>
      <c r="D170" s="138">
        <v>2540000</v>
      </c>
      <c r="E170" s="20" t="s">
        <v>740</v>
      </c>
      <c r="F170" s="20" t="s">
        <v>741</v>
      </c>
      <c r="G170" s="8" t="str">
        <f t="shared" si="2"/>
        <v>MCREYNOLDS KYLE</v>
      </c>
    </row>
    <row r="171" spans="1:7" x14ac:dyDescent="0.25">
      <c r="A171" s="8">
        <v>42932.74554398148</v>
      </c>
      <c r="B171" s="20" t="s">
        <v>790</v>
      </c>
      <c r="C171" s="20" t="s">
        <v>791</v>
      </c>
      <c r="D171" s="138">
        <v>3180000</v>
      </c>
      <c r="E171" s="20" t="s">
        <v>558</v>
      </c>
      <c r="F171" s="20" t="s">
        <v>559</v>
      </c>
      <c r="G171" s="8" t="str">
        <f t="shared" si="2"/>
        <v>HUFFSMITH MONTY</v>
      </c>
    </row>
    <row r="172" spans="1:7" x14ac:dyDescent="0.25">
      <c r="A172" s="8">
        <v>42932.747453703705</v>
      </c>
      <c r="B172" s="20" t="s">
        <v>790</v>
      </c>
      <c r="C172" s="20" t="s">
        <v>791</v>
      </c>
      <c r="D172" s="138">
        <v>3180000</v>
      </c>
      <c r="E172" s="20" t="s">
        <v>558</v>
      </c>
      <c r="F172" s="20" t="s">
        <v>559</v>
      </c>
      <c r="G172" s="8" t="str">
        <f t="shared" si="2"/>
        <v>HUFFSMITH MONTY</v>
      </c>
    </row>
    <row r="173" spans="1:7" x14ac:dyDescent="0.25">
      <c r="A173" s="8">
        <v>42932.754166666666</v>
      </c>
      <c r="B173" s="20" t="s">
        <v>394</v>
      </c>
      <c r="C173" s="20" t="s">
        <v>794</v>
      </c>
      <c r="D173" s="138">
        <v>2000000</v>
      </c>
      <c r="E173" s="20" t="s">
        <v>402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42932.75880787037</v>
      </c>
      <c r="B174" s="20" t="s">
        <v>433</v>
      </c>
      <c r="C174" s="20" t="s">
        <v>795</v>
      </c>
      <c r="D174" s="138">
        <v>2620000</v>
      </c>
      <c r="E174" s="20" t="s">
        <v>560</v>
      </c>
      <c r="F174" s="20" t="s">
        <v>561</v>
      </c>
      <c r="G174" s="8" t="str">
        <f t="shared" si="2"/>
        <v>PERKINS DARREN</v>
      </c>
    </row>
    <row r="175" spans="1:7" x14ac:dyDescent="0.25">
      <c r="A175" s="8">
        <v>42932.760439814818</v>
      </c>
      <c r="B175" s="20" t="s">
        <v>336</v>
      </c>
      <c r="C175" s="20" t="s">
        <v>796</v>
      </c>
      <c r="D175" s="138">
        <v>3030000</v>
      </c>
      <c r="E175" s="20" t="s">
        <v>372</v>
      </c>
      <c r="F175" s="20" t="s">
        <v>360</v>
      </c>
      <c r="G175" s="8" t="str">
        <f t="shared" si="2"/>
        <v>BIRENBAUM THOMAS</v>
      </c>
    </row>
    <row r="176" spans="1:7" x14ac:dyDescent="0.25">
      <c r="A176" s="8">
        <v>42932.765636574077</v>
      </c>
      <c r="B176" s="20" t="s">
        <v>420</v>
      </c>
      <c r="C176" s="20" t="s">
        <v>797</v>
      </c>
      <c r="D176" s="138">
        <v>2370000</v>
      </c>
      <c r="E176" s="20" t="s">
        <v>521</v>
      </c>
      <c r="F176" s="20" t="s">
        <v>522</v>
      </c>
      <c r="G176" s="8" t="str">
        <f t="shared" si="2"/>
        <v>DELGADO DIANAH</v>
      </c>
    </row>
    <row r="177" spans="1:7" x14ac:dyDescent="0.25">
      <c r="A177" s="8">
        <v>42932.767500000002</v>
      </c>
      <c r="B177" s="20" t="s">
        <v>550</v>
      </c>
      <c r="C177" s="20" t="s">
        <v>798</v>
      </c>
      <c r="D177" s="138">
        <v>2090000</v>
      </c>
      <c r="E177" s="20" t="s">
        <v>400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42932.771215277775</v>
      </c>
      <c r="B178" s="20" t="s">
        <v>555</v>
      </c>
      <c r="C178" s="20" t="s">
        <v>799</v>
      </c>
      <c r="D178" s="138">
        <v>2230000</v>
      </c>
      <c r="E178" s="20" t="s">
        <v>338</v>
      </c>
      <c r="F178" s="20" t="s">
        <v>192</v>
      </c>
      <c r="G178" s="8" t="str">
        <f t="shared" si="2"/>
        <v>SMITH MICHAEL</v>
      </c>
    </row>
    <row r="179" spans="1:7" x14ac:dyDescent="0.25">
      <c r="A179" s="8">
        <v>42932.775219907409</v>
      </c>
      <c r="B179" s="20" t="s">
        <v>477</v>
      </c>
      <c r="C179" s="20" t="s">
        <v>800</v>
      </c>
      <c r="D179" s="138">
        <v>3030000</v>
      </c>
      <c r="E179" s="20" t="s">
        <v>372</v>
      </c>
      <c r="F179" s="20" t="s">
        <v>360</v>
      </c>
      <c r="G179" s="8" t="str">
        <f t="shared" si="2"/>
        <v>BIRENBAUM THOMAS</v>
      </c>
    </row>
    <row r="180" spans="1:7" x14ac:dyDescent="0.25">
      <c r="A180" s="8">
        <v>42932.775995370372</v>
      </c>
      <c r="B180" s="20" t="s">
        <v>651</v>
      </c>
      <c r="C180" s="20" t="s">
        <v>801</v>
      </c>
      <c r="D180" s="138">
        <v>1770000</v>
      </c>
      <c r="E180" s="20" t="s">
        <v>728</v>
      </c>
      <c r="F180" s="20" t="s">
        <v>729</v>
      </c>
      <c r="G180" s="8" t="str">
        <f t="shared" si="2"/>
        <v>BRUDER RICHARD</v>
      </c>
    </row>
    <row r="181" spans="1:7" x14ac:dyDescent="0.25">
      <c r="A181" s="8">
        <v>42932.782962962963</v>
      </c>
      <c r="B181" s="20" t="s">
        <v>442</v>
      </c>
      <c r="C181" s="20" t="s">
        <v>802</v>
      </c>
      <c r="D181" s="138">
        <v>2540000</v>
      </c>
      <c r="E181" s="20" t="s">
        <v>740</v>
      </c>
      <c r="F181" s="20" t="s">
        <v>741</v>
      </c>
      <c r="G181" s="8" t="str">
        <f t="shared" si="2"/>
        <v>MCREYNOLDS KYLE</v>
      </c>
    </row>
    <row r="182" spans="1:7" x14ac:dyDescent="0.25">
      <c r="A182" s="8">
        <v>42932.787557870368</v>
      </c>
      <c r="B182" s="20" t="s">
        <v>395</v>
      </c>
      <c r="C182" s="20" t="s">
        <v>803</v>
      </c>
      <c r="D182" s="138">
        <v>2000000</v>
      </c>
      <c r="E182" s="20" t="s">
        <v>402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42932.793171296296</v>
      </c>
      <c r="B183" s="20" t="s">
        <v>443</v>
      </c>
      <c r="C183" s="20" t="s">
        <v>804</v>
      </c>
      <c r="D183" s="138">
        <v>2620000</v>
      </c>
      <c r="E183" s="20" t="s">
        <v>560</v>
      </c>
      <c r="F183" s="20" t="s">
        <v>561</v>
      </c>
      <c r="G183" s="8" t="str">
        <f t="shared" si="2"/>
        <v>PERKINS DARREN</v>
      </c>
    </row>
    <row r="184" spans="1:7" x14ac:dyDescent="0.25">
      <c r="A184" s="8">
        <v>42932.7968287037</v>
      </c>
      <c r="B184" s="20" t="s">
        <v>382</v>
      </c>
      <c r="C184" s="20" t="s">
        <v>805</v>
      </c>
      <c r="D184" s="138">
        <v>2370000</v>
      </c>
      <c r="E184" s="20" t="s">
        <v>521</v>
      </c>
      <c r="F184" s="20" t="s">
        <v>522</v>
      </c>
      <c r="G184" s="8" t="str">
        <f t="shared" si="2"/>
        <v>DELGADO DIANAH</v>
      </c>
    </row>
    <row r="185" spans="1:7" x14ac:dyDescent="0.25">
      <c r="A185" s="8">
        <v>42932.800081018519</v>
      </c>
      <c r="B185" s="20" t="s">
        <v>551</v>
      </c>
      <c r="C185" s="20" t="s">
        <v>806</v>
      </c>
      <c r="D185" s="138">
        <v>2090000</v>
      </c>
      <c r="E185" s="20" t="s">
        <v>400</v>
      </c>
      <c r="F185" s="20" t="s">
        <v>192</v>
      </c>
      <c r="G185" s="8" t="str">
        <f t="shared" si="2"/>
        <v>HAITHCOX MICHAEL</v>
      </c>
    </row>
    <row r="186" spans="1:7" x14ac:dyDescent="0.25">
      <c r="A186" s="8">
        <v>42932.804155092592</v>
      </c>
      <c r="B186" s="20" t="s">
        <v>336</v>
      </c>
      <c r="C186" s="20" t="s">
        <v>807</v>
      </c>
      <c r="D186" s="138">
        <v>3030000</v>
      </c>
      <c r="E186" s="20" t="s">
        <v>372</v>
      </c>
      <c r="F186" s="20" t="s">
        <v>360</v>
      </c>
      <c r="G186" s="8" t="str">
        <f t="shared" si="2"/>
        <v>BIRENBAUM THOMAS</v>
      </c>
    </row>
    <row r="187" spans="1:7" x14ac:dyDescent="0.25">
      <c r="A187" s="8">
        <v>42932.807685185187</v>
      </c>
      <c r="B187" s="20" t="s">
        <v>556</v>
      </c>
      <c r="C187" s="20" t="s">
        <v>808</v>
      </c>
      <c r="D187" s="138">
        <v>2230000</v>
      </c>
      <c r="E187" s="20" t="s">
        <v>338</v>
      </c>
      <c r="F187" s="20" t="s">
        <v>192</v>
      </c>
      <c r="G187" s="8" t="str">
        <f t="shared" si="2"/>
        <v>SMITH MICHAEL</v>
      </c>
    </row>
    <row r="188" spans="1:7" x14ac:dyDescent="0.25">
      <c r="A188" s="8">
        <v>42932.816886574074</v>
      </c>
      <c r="B188" s="20" t="s">
        <v>477</v>
      </c>
      <c r="C188" s="20" t="s">
        <v>809</v>
      </c>
      <c r="D188" s="138">
        <v>3030000</v>
      </c>
      <c r="E188" s="20" t="s">
        <v>372</v>
      </c>
      <c r="F188" s="20" t="s">
        <v>360</v>
      </c>
      <c r="G188" s="8" t="str">
        <f t="shared" si="2"/>
        <v>BIRENBAUM THOMAS</v>
      </c>
    </row>
    <row r="189" spans="1:7" x14ac:dyDescent="0.25">
      <c r="A189" s="8">
        <v>42932.817673611113</v>
      </c>
      <c r="B189" s="20" t="s">
        <v>352</v>
      </c>
      <c r="C189" s="20" t="s">
        <v>810</v>
      </c>
      <c r="D189" s="138">
        <v>2540000</v>
      </c>
      <c r="E189" s="20" t="s">
        <v>740</v>
      </c>
      <c r="F189" s="20" t="s">
        <v>741</v>
      </c>
      <c r="G189" s="8" t="str">
        <f t="shared" si="2"/>
        <v>MCREYNOLDS KYLE</v>
      </c>
    </row>
    <row r="190" spans="1:7" x14ac:dyDescent="0.25">
      <c r="A190" s="8">
        <v>42932.827939814815</v>
      </c>
      <c r="B190" s="20" t="s">
        <v>394</v>
      </c>
      <c r="C190" s="20" t="s">
        <v>811</v>
      </c>
      <c r="D190" s="138">
        <v>2000000</v>
      </c>
      <c r="E190" s="20" t="s">
        <v>402</v>
      </c>
      <c r="F190" s="20" t="s">
        <v>189</v>
      </c>
      <c r="G190" s="8" t="str">
        <f t="shared" si="2"/>
        <v>STAMBAUGH JAMES</v>
      </c>
    </row>
    <row r="191" spans="1:7" x14ac:dyDescent="0.25">
      <c r="A191" s="8">
        <v>42932.828773148147</v>
      </c>
      <c r="B191" s="20" t="s">
        <v>433</v>
      </c>
      <c r="C191" s="20" t="s">
        <v>812</v>
      </c>
      <c r="D191" s="138">
        <v>2620000</v>
      </c>
      <c r="E191" s="20" t="s">
        <v>560</v>
      </c>
      <c r="F191" s="20" t="s">
        <v>561</v>
      </c>
      <c r="G191" s="8" t="str">
        <f t="shared" si="2"/>
        <v>PERKINS DARREN</v>
      </c>
    </row>
    <row r="192" spans="1:7" x14ac:dyDescent="0.25">
      <c r="A192" s="8">
        <v>42932.842002314814</v>
      </c>
      <c r="B192" s="20" t="s">
        <v>550</v>
      </c>
      <c r="C192" s="20" t="s">
        <v>616</v>
      </c>
      <c r="D192" s="138">
        <v>3180000</v>
      </c>
      <c r="E192" s="20" t="s">
        <v>558</v>
      </c>
      <c r="F192" s="20" t="s">
        <v>559</v>
      </c>
      <c r="G192" s="8" t="str">
        <f t="shared" si="2"/>
        <v>HUFFSMITH MONTY</v>
      </c>
    </row>
    <row r="193" spans="1:7" x14ac:dyDescent="0.25">
      <c r="A193" s="8">
        <v>42932.845706018517</v>
      </c>
      <c r="B193" s="20" t="s">
        <v>336</v>
      </c>
      <c r="C193" s="20" t="s">
        <v>813</v>
      </c>
      <c r="D193" s="138">
        <v>3190000</v>
      </c>
      <c r="E193" s="20" t="s">
        <v>814</v>
      </c>
      <c r="F193" s="20" t="s">
        <v>495</v>
      </c>
      <c r="G193" s="8" t="str">
        <f t="shared" si="2"/>
        <v>HART KEVIN</v>
      </c>
    </row>
    <row r="194" spans="1:7" x14ac:dyDescent="0.25">
      <c r="A194" s="8">
        <v>42932.846782407411</v>
      </c>
      <c r="B194" s="20" t="s">
        <v>555</v>
      </c>
      <c r="C194" s="20" t="s">
        <v>815</v>
      </c>
      <c r="D194" s="138">
        <v>2230000</v>
      </c>
      <c r="E194" s="20" t="s">
        <v>338</v>
      </c>
      <c r="F194" s="20" t="s">
        <v>192</v>
      </c>
      <c r="G194" s="8" t="str">
        <f t="shared" si="2"/>
        <v>SMITH MICHAEL</v>
      </c>
    </row>
    <row r="195" spans="1:7" x14ac:dyDescent="0.25">
      <c r="A195" s="8">
        <v>42932.853078703702</v>
      </c>
      <c r="B195" s="20" t="s">
        <v>445</v>
      </c>
      <c r="C195" s="20" t="s">
        <v>816</v>
      </c>
      <c r="D195" s="138">
        <v>970000</v>
      </c>
      <c r="E195" s="20" t="s">
        <v>817</v>
      </c>
      <c r="F195" s="20" t="s">
        <v>518</v>
      </c>
      <c r="G195" s="8" t="str">
        <f t="shared" ref="G195:G258" si="3">E195&amp;" "&amp;F195</f>
        <v>JACKSON WILLIAM</v>
      </c>
    </row>
    <row r="196" spans="1:7" x14ac:dyDescent="0.25">
      <c r="A196" s="8">
        <v>42932.854247685187</v>
      </c>
      <c r="B196" s="20" t="s">
        <v>445</v>
      </c>
      <c r="C196" s="20" t="s">
        <v>816</v>
      </c>
      <c r="D196" s="138">
        <v>970000</v>
      </c>
      <c r="E196" s="20" t="s">
        <v>817</v>
      </c>
      <c r="F196" s="20" t="s">
        <v>518</v>
      </c>
      <c r="G196" s="8" t="str">
        <f t="shared" si="3"/>
        <v>JACKSON WILLIAM</v>
      </c>
    </row>
    <row r="197" spans="1:7" x14ac:dyDescent="0.25">
      <c r="A197" s="8">
        <v>42932.855439814812</v>
      </c>
      <c r="B197" s="20" t="s">
        <v>445</v>
      </c>
      <c r="C197" s="20" t="s">
        <v>816</v>
      </c>
      <c r="D197" s="138">
        <v>970000</v>
      </c>
      <c r="E197" s="20" t="s">
        <v>817</v>
      </c>
      <c r="F197" s="20" t="s">
        <v>518</v>
      </c>
      <c r="G197" s="8" t="str">
        <f t="shared" si="3"/>
        <v>JACKSON WILLIAM</v>
      </c>
    </row>
    <row r="198" spans="1:7" x14ac:dyDescent="0.25">
      <c r="A198" s="8">
        <v>42932.8591087963</v>
      </c>
      <c r="B198" s="20" t="s">
        <v>395</v>
      </c>
      <c r="C198" s="20" t="s">
        <v>617</v>
      </c>
      <c r="D198" s="138">
        <v>2000000</v>
      </c>
      <c r="E198" s="20" t="s">
        <v>402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42932.860092592593</v>
      </c>
      <c r="B199" s="20" t="s">
        <v>477</v>
      </c>
      <c r="C199" s="20" t="s">
        <v>818</v>
      </c>
      <c r="D199" s="138">
        <v>3190000</v>
      </c>
      <c r="E199" s="20" t="s">
        <v>814</v>
      </c>
      <c r="F199" s="20" t="s">
        <v>495</v>
      </c>
      <c r="G199" s="8" t="str">
        <f t="shared" si="3"/>
        <v>HART KEVIN</v>
      </c>
    </row>
    <row r="200" spans="1:7" x14ac:dyDescent="0.25">
      <c r="A200" s="8">
        <v>42932.867824074077</v>
      </c>
      <c r="B200" s="20" t="s">
        <v>443</v>
      </c>
      <c r="C200" s="20" t="s">
        <v>819</v>
      </c>
      <c r="D200" s="138">
        <v>2620000</v>
      </c>
      <c r="E200" s="20" t="s">
        <v>560</v>
      </c>
      <c r="F200" s="20" t="s">
        <v>561</v>
      </c>
      <c r="G200" s="8" t="str">
        <f t="shared" si="3"/>
        <v>PERKINS DARREN</v>
      </c>
    </row>
    <row r="201" spans="1:7" x14ac:dyDescent="0.25">
      <c r="A201" s="8">
        <v>42932.874131944445</v>
      </c>
      <c r="B201" s="20" t="s">
        <v>445</v>
      </c>
      <c r="C201" s="20" t="s">
        <v>816</v>
      </c>
      <c r="D201" s="138">
        <v>970000</v>
      </c>
      <c r="E201" s="20" t="s">
        <v>817</v>
      </c>
      <c r="F201" s="20" t="s">
        <v>518</v>
      </c>
      <c r="G201" s="8" t="str">
        <f t="shared" si="3"/>
        <v>JACKSON WILLIAM</v>
      </c>
    </row>
    <row r="202" spans="1:7" x14ac:dyDescent="0.25">
      <c r="A202" s="26">
        <v>42932.884479166663</v>
      </c>
      <c r="B202" s="20" t="s">
        <v>556</v>
      </c>
      <c r="C202" s="20" t="s">
        <v>820</v>
      </c>
      <c r="D202" s="138">
        <v>2230000</v>
      </c>
      <c r="E202" s="20" t="s">
        <v>338</v>
      </c>
      <c r="F202" s="20" t="s">
        <v>192</v>
      </c>
      <c r="G202" s="8" t="str">
        <f t="shared" si="3"/>
        <v>SMITH MICHAEL</v>
      </c>
    </row>
    <row r="203" spans="1:7" x14ac:dyDescent="0.25">
      <c r="A203" s="8">
        <v>42932.886145833334</v>
      </c>
      <c r="B203" s="20" t="s">
        <v>336</v>
      </c>
      <c r="C203" s="20" t="s">
        <v>821</v>
      </c>
      <c r="D203" s="138">
        <v>3030000</v>
      </c>
      <c r="E203" s="20" t="s">
        <v>372</v>
      </c>
      <c r="F203" s="20" t="s">
        <v>360</v>
      </c>
      <c r="G203" s="8" t="str">
        <f t="shared" si="3"/>
        <v>BIRENBAUM THOMAS</v>
      </c>
    </row>
    <row r="204" spans="1:7" x14ac:dyDescent="0.25">
      <c r="A204" s="8">
        <v>42932.891319444447</v>
      </c>
      <c r="B204" s="20" t="s">
        <v>551</v>
      </c>
      <c r="C204" s="20" t="s">
        <v>822</v>
      </c>
      <c r="D204" s="138">
        <v>3180000</v>
      </c>
      <c r="E204" s="20" t="s">
        <v>558</v>
      </c>
      <c r="F204" s="20" t="s">
        <v>559</v>
      </c>
      <c r="G204" s="8" t="str">
        <f t="shared" si="3"/>
        <v>HUFFSMITH MONTY</v>
      </c>
    </row>
    <row r="205" spans="1:7" x14ac:dyDescent="0.25">
      <c r="A205" s="8">
        <v>42932.900370370371</v>
      </c>
      <c r="B205" s="20" t="s">
        <v>477</v>
      </c>
      <c r="C205" s="20" t="s">
        <v>618</v>
      </c>
      <c r="D205" s="138">
        <v>3030000</v>
      </c>
      <c r="E205" s="20" t="s">
        <v>372</v>
      </c>
      <c r="F205" s="20" t="s">
        <v>360</v>
      </c>
      <c r="G205" s="8" t="str">
        <f t="shared" si="3"/>
        <v>BIRENBAUM THOMAS</v>
      </c>
    </row>
    <row r="206" spans="1:7" x14ac:dyDescent="0.25">
      <c r="A206" s="8">
        <v>42932.906030092592</v>
      </c>
      <c r="B206" s="20" t="s">
        <v>433</v>
      </c>
      <c r="C206" s="20" t="s">
        <v>823</v>
      </c>
      <c r="D206" s="138">
        <v>3220000</v>
      </c>
      <c r="E206" s="20" t="s">
        <v>824</v>
      </c>
      <c r="F206" s="20" t="s">
        <v>825</v>
      </c>
      <c r="G206" s="8" t="str">
        <f t="shared" si="3"/>
        <v>RESPASS AARON</v>
      </c>
    </row>
    <row r="207" spans="1:7" x14ac:dyDescent="0.25">
      <c r="A207" s="8">
        <v>42932.912499999999</v>
      </c>
      <c r="B207" s="20" t="s">
        <v>394</v>
      </c>
      <c r="C207" s="20" t="s">
        <v>826</v>
      </c>
      <c r="D207" s="138">
        <v>2000000</v>
      </c>
      <c r="E207" s="20" t="s">
        <v>402</v>
      </c>
      <c r="F207" s="20" t="s">
        <v>189</v>
      </c>
      <c r="G207" s="8" t="str">
        <f t="shared" si="3"/>
        <v>STAMBAUGH JAMES</v>
      </c>
    </row>
    <row r="208" spans="1:7" x14ac:dyDescent="0.25">
      <c r="A208" s="8">
        <v>42932.923645833333</v>
      </c>
      <c r="B208" s="20" t="s">
        <v>550</v>
      </c>
      <c r="C208" s="20" t="s">
        <v>827</v>
      </c>
      <c r="D208" s="138">
        <v>2090000</v>
      </c>
      <c r="E208" s="20" t="s">
        <v>400</v>
      </c>
      <c r="F208" s="20" t="s">
        <v>192</v>
      </c>
      <c r="G208" s="8" t="str">
        <f t="shared" si="3"/>
        <v>HAITHCOX MICHAEL</v>
      </c>
    </row>
    <row r="209" spans="1:7" x14ac:dyDescent="0.25">
      <c r="A209" s="8">
        <v>42932.927499999998</v>
      </c>
      <c r="B209" s="20" t="s">
        <v>336</v>
      </c>
      <c r="C209" s="20" t="s">
        <v>828</v>
      </c>
      <c r="D209" s="138">
        <v>3030000</v>
      </c>
      <c r="E209" s="20" t="s">
        <v>372</v>
      </c>
      <c r="F209" s="20" t="s">
        <v>360</v>
      </c>
      <c r="G209" s="8" t="str">
        <f t="shared" si="3"/>
        <v>BIRENBAUM THOMAS</v>
      </c>
    </row>
    <row r="210" spans="1:7" x14ac:dyDescent="0.25">
      <c r="A210" s="8">
        <v>42932.931979166664</v>
      </c>
      <c r="B210" s="20" t="s">
        <v>555</v>
      </c>
      <c r="C210" s="20" t="s">
        <v>829</v>
      </c>
      <c r="D210" s="138">
        <v>2230000</v>
      </c>
      <c r="E210" s="20" t="s">
        <v>338</v>
      </c>
      <c r="F210" s="20" t="s">
        <v>192</v>
      </c>
      <c r="G210" s="8" t="str">
        <f t="shared" si="3"/>
        <v>SMITH MICHAEL</v>
      </c>
    </row>
    <row r="211" spans="1:7" x14ac:dyDescent="0.25">
      <c r="A211" s="8">
        <v>42932.941874999997</v>
      </c>
      <c r="B211" s="20" t="s">
        <v>477</v>
      </c>
      <c r="C211" s="20" t="s">
        <v>830</v>
      </c>
      <c r="D211" s="138">
        <v>3030000</v>
      </c>
      <c r="E211" s="20" t="s">
        <v>372</v>
      </c>
      <c r="F211" s="20" t="s">
        <v>360</v>
      </c>
      <c r="G211" s="8" t="str">
        <f t="shared" si="3"/>
        <v>BIRENBAUM THOMAS</v>
      </c>
    </row>
    <row r="212" spans="1:7" x14ac:dyDescent="0.25">
      <c r="A212" s="8">
        <v>42932.94190972222</v>
      </c>
      <c r="B212" s="20" t="s">
        <v>395</v>
      </c>
      <c r="C212" s="20" t="s">
        <v>831</v>
      </c>
      <c r="D212" s="138">
        <v>2000000</v>
      </c>
      <c r="E212" s="20" t="s">
        <v>402</v>
      </c>
      <c r="F212" s="20" t="s">
        <v>189</v>
      </c>
      <c r="G212" s="8" t="str">
        <f t="shared" si="3"/>
        <v>STAMBAUGH JAMES</v>
      </c>
    </row>
    <row r="213" spans="1:7" x14ac:dyDescent="0.25">
      <c r="A213" s="8">
        <v>42932.94866898148</v>
      </c>
      <c r="B213" s="20" t="s">
        <v>336</v>
      </c>
      <c r="C213" s="20" t="s">
        <v>830</v>
      </c>
      <c r="D213" s="138">
        <v>3030000</v>
      </c>
      <c r="E213" s="20" t="s">
        <v>372</v>
      </c>
      <c r="F213" s="20" t="s">
        <v>360</v>
      </c>
      <c r="G213" s="8" t="str">
        <f t="shared" si="3"/>
        <v>BIRENBAUM THOMAS</v>
      </c>
    </row>
    <row r="214" spans="1:7" x14ac:dyDescent="0.25">
      <c r="A214" s="8">
        <v>42932.952349537038</v>
      </c>
      <c r="B214" s="20" t="s">
        <v>443</v>
      </c>
      <c r="C214" s="20" t="s">
        <v>832</v>
      </c>
      <c r="D214" s="138">
        <v>3220000</v>
      </c>
      <c r="E214" s="20" t="s">
        <v>824</v>
      </c>
      <c r="F214" s="20" t="s">
        <v>825</v>
      </c>
      <c r="G214" s="8" t="str">
        <f t="shared" si="3"/>
        <v>RESPASS AARON</v>
      </c>
    </row>
    <row r="215" spans="1:7" x14ac:dyDescent="0.25">
      <c r="A215" s="8">
        <v>42932.96434027778</v>
      </c>
      <c r="B215" s="20" t="s">
        <v>551</v>
      </c>
      <c r="C215" s="20" t="s">
        <v>833</v>
      </c>
      <c r="D215" s="138">
        <v>2090000</v>
      </c>
      <c r="E215" s="20" t="s">
        <v>400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42932.969826388886</v>
      </c>
      <c r="B216" s="20" t="s">
        <v>556</v>
      </c>
      <c r="C216" s="20" t="s">
        <v>834</v>
      </c>
      <c r="D216" s="138">
        <v>2230000</v>
      </c>
      <c r="E216" s="20" t="s">
        <v>338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42932.995520833334</v>
      </c>
      <c r="B217" s="20" t="s">
        <v>394</v>
      </c>
      <c r="C217" s="20" t="s">
        <v>835</v>
      </c>
      <c r="D217" s="138">
        <v>2000000</v>
      </c>
      <c r="E217" s="20" t="s">
        <v>402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42932.997754629629</v>
      </c>
      <c r="B218" s="20" t="s">
        <v>433</v>
      </c>
      <c r="C218" s="20" t="s">
        <v>836</v>
      </c>
      <c r="D218" s="138">
        <v>2620000</v>
      </c>
      <c r="E218" s="20" t="s">
        <v>560</v>
      </c>
      <c r="F218" s="20" t="s">
        <v>561</v>
      </c>
      <c r="G218" s="8" t="str">
        <f t="shared" si="3"/>
        <v>PERKINS DARREN</v>
      </c>
    </row>
    <row r="219" spans="1:7" x14ac:dyDescent="0.25">
      <c r="A219" s="8">
        <v>42933.006678240738</v>
      </c>
      <c r="B219" s="20" t="s">
        <v>550</v>
      </c>
      <c r="C219" s="20" t="s">
        <v>837</v>
      </c>
      <c r="D219" s="138">
        <v>2090000</v>
      </c>
      <c r="E219" s="20" t="s">
        <v>400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42933.0153587963</v>
      </c>
      <c r="B220" s="20" t="s">
        <v>555</v>
      </c>
      <c r="C220" s="20" t="s">
        <v>838</v>
      </c>
      <c r="D220" s="138">
        <v>2230000</v>
      </c>
      <c r="E220" s="20" t="s">
        <v>338</v>
      </c>
      <c r="F220" s="20" t="s">
        <v>192</v>
      </c>
      <c r="G220" s="8" t="str">
        <f t="shared" si="3"/>
        <v>SMITH MICHAEL</v>
      </c>
    </row>
    <row r="221" spans="1:7" x14ac:dyDescent="0.25">
      <c r="A221" s="8">
        <v>42933.02034722222</v>
      </c>
      <c r="B221" s="20" t="s">
        <v>550</v>
      </c>
      <c r="C221" s="20" t="s">
        <v>837</v>
      </c>
      <c r="D221" s="138">
        <v>2090000</v>
      </c>
      <c r="E221" s="20" t="s">
        <v>400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42933.027812499997</v>
      </c>
      <c r="B222" s="20" t="s">
        <v>395</v>
      </c>
      <c r="C222" s="20" t="s">
        <v>839</v>
      </c>
      <c r="D222" s="138">
        <v>2000000</v>
      </c>
      <c r="E222" s="20" t="s">
        <v>402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42933.028483796297</v>
      </c>
      <c r="B223" s="20" t="s">
        <v>395</v>
      </c>
      <c r="C223" s="20" t="s">
        <v>839</v>
      </c>
      <c r="D223" s="138">
        <v>2000000</v>
      </c>
      <c r="E223" s="20" t="s">
        <v>402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42933.03634259259</v>
      </c>
      <c r="B224" t="s">
        <v>443</v>
      </c>
      <c r="C224" t="s">
        <v>619</v>
      </c>
      <c r="D224" s="138">
        <v>2620000</v>
      </c>
      <c r="E224" t="s">
        <v>560</v>
      </c>
      <c r="F224" s="20" t="s">
        <v>561</v>
      </c>
      <c r="G224" s="8" t="str">
        <f t="shared" si="3"/>
        <v>PERKINS DARREN</v>
      </c>
    </row>
    <row r="225" spans="1:7" x14ac:dyDescent="0.25">
      <c r="A225" s="8">
        <v>42933.048263888886</v>
      </c>
      <c r="B225" t="s">
        <v>556</v>
      </c>
      <c r="C225" t="s">
        <v>840</v>
      </c>
      <c r="D225" s="138">
        <v>2230000</v>
      </c>
      <c r="E225" t="s">
        <v>338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42933.049074074072</v>
      </c>
      <c r="B226" t="s">
        <v>551</v>
      </c>
      <c r="C226" t="s">
        <v>841</v>
      </c>
      <c r="D226" s="138">
        <v>2090000</v>
      </c>
      <c r="E226" t="s">
        <v>400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42933.069652777776</v>
      </c>
      <c r="B227" t="s">
        <v>433</v>
      </c>
      <c r="C227" t="s">
        <v>842</v>
      </c>
      <c r="D227" s="138">
        <v>2620000</v>
      </c>
      <c r="E227" t="s">
        <v>560</v>
      </c>
      <c r="F227" s="20" t="s">
        <v>561</v>
      </c>
      <c r="G227" s="8" t="str">
        <f t="shared" si="3"/>
        <v>PERKINS DARREN</v>
      </c>
    </row>
    <row r="228" spans="1:7" x14ac:dyDescent="0.25">
      <c r="A228" s="8">
        <v>42933.070902777778</v>
      </c>
      <c r="B228" t="s">
        <v>433</v>
      </c>
      <c r="C228" t="s">
        <v>842</v>
      </c>
      <c r="D228" s="138">
        <v>2620000</v>
      </c>
      <c r="E228" t="s">
        <v>560</v>
      </c>
      <c r="F228" s="20" t="s">
        <v>561</v>
      </c>
      <c r="G228" s="8" t="str">
        <f t="shared" si="3"/>
        <v>PERKINS DARREN</v>
      </c>
    </row>
    <row r="229" spans="1:7" x14ac:dyDescent="0.25">
      <c r="A229" s="8">
        <v>42933.088935185187</v>
      </c>
      <c r="B229" t="s">
        <v>550</v>
      </c>
      <c r="C229" t="s">
        <v>843</v>
      </c>
      <c r="D229" s="138">
        <v>2090000</v>
      </c>
      <c r="E229" t="s">
        <v>400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42933.089814814812</v>
      </c>
      <c r="B230" t="s">
        <v>550</v>
      </c>
      <c r="C230" t="s">
        <v>843</v>
      </c>
      <c r="D230" s="138">
        <v>2090000</v>
      </c>
      <c r="E230" t="s">
        <v>400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42930.035462962966</v>
      </c>
      <c r="B231" t="s">
        <v>442</v>
      </c>
      <c r="C231" t="s">
        <v>552</v>
      </c>
      <c r="D231" s="138">
        <v>2620000</v>
      </c>
      <c r="E231" t="s">
        <v>560</v>
      </c>
      <c r="F231" s="20" t="s">
        <v>561</v>
      </c>
      <c r="G231" s="8" t="str">
        <f t="shared" si="3"/>
        <v>PERKINS DARREN</v>
      </c>
    </row>
    <row r="232" spans="1:7" x14ac:dyDescent="0.25">
      <c r="A232" s="8">
        <v>42930.04954861111</v>
      </c>
      <c r="B232" t="s">
        <v>336</v>
      </c>
      <c r="C232" t="s">
        <v>562</v>
      </c>
      <c r="D232" s="138">
        <v>3340000</v>
      </c>
      <c r="E232" t="s">
        <v>481</v>
      </c>
      <c r="F232" s="20" t="s">
        <v>482</v>
      </c>
      <c r="G232" s="8" t="str">
        <f t="shared" si="3"/>
        <v>ELBAUM MIKE</v>
      </c>
    </row>
    <row r="233" spans="1:7" x14ac:dyDescent="0.25">
      <c r="A233" s="8">
        <v>42930.04965277778</v>
      </c>
      <c r="B233" t="s">
        <v>361</v>
      </c>
      <c r="C233" t="s">
        <v>563</v>
      </c>
      <c r="D233" s="138">
        <v>3000000</v>
      </c>
      <c r="E233" t="s">
        <v>389</v>
      </c>
      <c r="F233" s="20" t="s">
        <v>390</v>
      </c>
      <c r="G233" s="8" t="str">
        <f t="shared" si="3"/>
        <v>FORTUNATO FRANK</v>
      </c>
    </row>
    <row r="234" spans="1:7" x14ac:dyDescent="0.25">
      <c r="A234" s="8">
        <v>42930.050659722219</v>
      </c>
      <c r="B234" t="s">
        <v>336</v>
      </c>
      <c r="C234" t="s">
        <v>562</v>
      </c>
      <c r="D234" s="138">
        <v>3340000</v>
      </c>
      <c r="E234" t="s">
        <v>481</v>
      </c>
      <c r="F234" s="20" t="s">
        <v>482</v>
      </c>
      <c r="G234" s="8" t="str">
        <f t="shared" si="3"/>
        <v>ELBAUM MIKE</v>
      </c>
    </row>
    <row r="235" spans="1:7" x14ac:dyDescent="0.25">
      <c r="A235" s="8">
        <v>42930.071064814816</v>
      </c>
      <c r="B235" t="s">
        <v>352</v>
      </c>
      <c r="C235" t="s">
        <v>552</v>
      </c>
      <c r="D235" s="138">
        <v>2620000</v>
      </c>
      <c r="E235" t="s">
        <v>560</v>
      </c>
      <c r="F235" s="20" t="s">
        <v>561</v>
      </c>
      <c r="G235" s="8" t="str">
        <f t="shared" si="3"/>
        <v>PERKINS DARREN</v>
      </c>
    </row>
    <row r="236" spans="1:7" x14ac:dyDescent="0.25">
      <c r="A236" s="8">
        <v>42930.071782407409</v>
      </c>
      <c r="B236" t="s">
        <v>352</v>
      </c>
      <c r="C236" t="s">
        <v>564</v>
      </c>
      <c r="D236" s="138">
        <v>2620000</v>
      </c>
      <c r="E236" t="s">
        <v>560</v>
      </c>
      <c r="F236" s="20" t="s">
        <v>561</v>
      </c>
      <c r="G236" s="8" t="str">
        <f t="shared" si="3"/>
        <v>PERKINS DARREN</v>
      </c>
    </row>
    <row r="237" spans="1:7" x14ac:dyDescent="0.25">
      <c r="A237" s="8">
        <v>42930.089212962965</v>
      </c>
      <c r="B237" t="s">
        <v>367</v>
      </c>
      <c r="C237" t="s">
        <v>553</v>
      </c>
      <c r="D237" s="138">
        <v>3000000</v>
      </c>
      <c r="E237" t="s">
        <v>389</v>
      </c>
      <c r="F237" s="20" t="s">
        <v>390</v>
      </c>
      <c r="G237" s="8" t="str">
        <f t="shared" si="3"/>
        <v>FORTUNATO FRANK</v>
      </c>
    </row>
    <row r="238" spans="1:7" x14ac:dyDescent="0.25">
      <c r="A238" s="8">
        <v>42930.095925925925</v>
      </c>
      <c r="B238" t="s">
        <v>367</v>
      </c>
      <c r="C238" t="s">
        <v>553</v>
      </c>
      <c r="D238" s="138">
        <v>3000000</v>
      </c>
      <c r="E238" t="s">
        <v>389</v>
      </c>
      <c r="F238" s="20" t="s">
        <v>390</v>
      </c>
      <c r="G238" s="8" t="str">
        <f t="shared" si="3"/>
        <v>FORTUNATO FRANK</v>
      </c>
    </row>
    <row r="239" spans="1:7" x14ac:dyDescent="0.25">
      <c r="A239" s="8">
        <v>42928.99287037037</v>
      </c>
      <c r="B239" t="s">
        <v>483</v>
      </c>
      <c r="C239" t="s">
        <v>516</v>
      </c>
      <c r="D239" s="138">
        <v>3000000</v>
      </c>
      <c r="E239" t="s">
        <v>389</v>
      </c>
      <c r="F239" s="20" t="s">
        <v>390</v>
      </c>
      <c r="G239" s="8" t="str">
        <f t="shared" si="3"/>
        <v>FORTUNATO FRANK</v>
      </c>
    </row>
    <row r="240" spans="1:7" x14ac:dyDescent="0.25">
      <c r="A240" s="8">
        <v>42929.016643518517</v>
      </c>
      <c r="B240" t="s">
        <v>395</v>
      </c>
      <c r="C240" t="s">
        <v>525</v>
      </c>
      <c r="D240" s="138">
        <v>3090000</v>
      </c>
      <c r="E240" t="s">
        <v>368</v>
      </c>
      <c r="F240" s="20" t="s">
        <v>369</v>
      </c>
      <c r="G240" s="8" t="str">
        <f t="shared" si="3"/>
        <v>LAMAR NEKESHA</v>
      </c>
    </row>
    <row r="241" spans="1:7" x14ac:dyDescent="0.25">
      <c r="A241" s="8">
        <v>42929.016967592594</v>
      </c>
      <c r="B241" t="s">
        <v>443</v>
      </c>
      <c r="C241" t="s">
        <v>526</v>
      </c>
      <c r="D241" s="138">
        <v>2630000</v>
      </c>
      <c r="E241" t="s">
        <v>523</v>
      </c>
      <c r="F241" s="20" t="s">
        <v>524</v>
      </c>
      <c r="G241" s="8" t="str">
        <f t="shared" si="3"/>
        <v>SAFIEF AEIMEN</v>
      </c>
    </row>
    <row r="242" spans="1:7" x14ac:dyDescent="0.25">
      <c r="A242" s="8">
        <v>42929.028043981481</v>
      </c>
      <c r="B242" t="s">
        <v>475</v>
      </c>
      <c r="C242" t="s">
        <v>527</v>
      </c>
      <c r="D242" s="138">
        <v>3000000</v>
      </c>
      <c r="E242" t="s">
        <v>389</v>
      </c>
      <c r="F242" s="20" t="s">
        <v>390</v>
      </c>
      <c r="G242" s="8" t="str">
        <f t="shared" si="3"/>
        <v>FORTUNATO FRANK</v>
      </c>
    </row>
    <row r="243" spans="1:7" x14ac:dyDescent="0.25">
      <c r="A243" s="8">
        <v>42929.029398148145</v>
      </c>
      <c r="B243" t="s">
        <v>475</v>
      </c>
      <c r="C243" t="s">
        <v>527</v>
      </c>
      <c r="D243" s="138">
        <v>3000000</v>
      </c>
      <c r="E243" t="s">
        <v>389</v>
      </c>
      <c r="F243" s="20" t="s">
        <v>390</v>
      </c>
      <c r="G243" s="8" t="str">
        <f t="shared" si="3"/>
        <v>FORTUNATO FRANK</v>
      </c>
    </row>
    <row r="244" spans="1:7" x14ac:dyDescent="0.25">
      <c r="A244" s="8">
        <v>42929.030925925923</v>
      </c>
      <c r="B244" t="s">
        <v>416</v>
      </c>
      <c r="C244" t="s">
        <v>528</v>
      </c>
      <c r="D244" s="138">
        <v>2230000</v>
      </c>
      <c r="E244" t="s">
        <v>338</v>
      </c>
      <c r="F244" s="20" t="s">
        <v>192</v>
      </c>
      <c r="G244" s="8" t="str">
        <f t="shared" si="3"/>
        <v>SMITH MICHAEL</v>
      </c>
    </row>
    <row r="245" spans="1:7" x14ac:dyDescent="0.25">
      <c r="A245" s="8">
        <v>42929.048171296294</v>
      </c>
      <c r="B245" t="s">
        <v>433</v>
      </c>
      <c r="C245" t="s">
        <v>529</v>
      </c>
      <c r="D245" s="138">
        <v>2630000</v>
      </c>
      <c r="E245" t="s">
        <v>523</v>
      </c>
      <c r="F245" s="20" t="s">
        <v>524</v>
      </c>
      <c r="G245" s="8" t="str">
        <f t="shared" si="3"/>
        <v>SAFIEF AEIMEN</v>
      </c>
    </row>
    <row r="246" spans="1:7" x14ac:dyDescent="0.25">
      <c r="A246" s="8">
        <v>42929.049131944441</v>
      </c>
      <c r="B246" t="s">
        <v>433</v>
      </c>
      <c r="C246" t="s">
        <v>529</v>
      </c>
      <c r="D246" s="138">
        <v>2630000</v>
      </c>
      <c r="E246" t="s">
        <v>523</v>
      </c>
      <c r="F246" s="20" t="s">
        <v>524</v>
      </c>
      <c r="G246" s="8" t="str">
        <f t="shared" si="3"/>
        <v>SAFIEF AEIMEN</v>
      </c>
    </row>
    <row r="247" spans="1:7" x14ac:dyDescent="0.25">
      <c r="A247" s="8">
        <v>42929.050497685188</v>
      </c>
      <c r="B247" t="s">
        <v>433</v>
      </c>
      <c r="C247" t="s">
        <v>529</v>
      </c>
      <c r="D247" s="138">
        <v>2630000</v>
      </c>
      <c r="E247" t="s">
        <v>523</v>
      </c>
      <c r="F247" s="20" t="s">
        <v>524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394</v>
      </c>
      <c r="C248" t="s">
        <v>517</v>
      </c>
      <c r="D248" s="138">
        <v>3090000</v>
      </c>
      <c r="E248" t="s">
        <v>368</v>
      </c>
      <c r="F248" s="20" t="s">
        <v>369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414</v>
      </c>
      <c r="C249" t="s">
        <v>530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395</v>
      </c>
      <c r="C250" t="s">
        <v>531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395</v>
      </c>
      <c r="C251" t="s">
        <v>531</v>
      </c>
      <c r="D251" s="138">
        <v>3090000</v>
      </c>
      <c r="E251" t="s">
        <v>368</v>
      </c>
      <c r="F251" s="20" t="s">
        <v>369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395</v>
      </c>
      <c r="C252" t="s">
        <v>531</v>
      </c>
      <c r="D252" s="138">
        <v>3090000</v>
      </c>
      <c r="E252" t="s">
        <v>368</v>
      </c>
      <c r="F252" s="20" t="s">
        <v>369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486</v>
      </c>
      <c r="C253" t="s">
        <v>532</v>
      </c>
      <c r="D253" s="138">
        <v>1110000</v>
      </c>
      <c r="E253" t="s">
        <v>434</v>
      </c>
      <c r="F253" s="20" t="s">
        <v>435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420</v>
      </c>
      <c r="C254" t="s">
        <v>496</v>
      </c>
      <c r="D254" s="138">
        <v>3280000</v>
      </c>
      <c r="E254" t="s">
        <v>479</v>
      </c>
      <c r="F254" s="20" t="s">
        <v>480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352</v>
      </c>
      <c r="C255" t="s">
        <v>497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489</v>
      </c>
      <c r="C256" t="s">
        <v>498</v>
      </c>
      <c r="D256" s="138">
        <v>2090000</v>
      </c>
      <c r="E256" t="s">
        <v>400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489</v>
      </c>
      <c r="C257" t="s">
        <v>498</v>
      </c>
      <c r="D257" s="138">
        <v>2090000</v>
      </c>
      <c r="E257" t="s">
        <v>400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477</v>
      </c>
      <c r="C258" t="s">
        <v>499</v>
      </c>
      <c r="D258" s="138">
        <v>3000000</v>
      </c>
      <c r="E258" t="s">
        <v>389</v>
      </c>
      <c r="F258" s="20" t="s">
        <v>390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500</v>
      </c>
      <c r="D259" s="138">
        <v>3280000</v>
      </c>
      <c r="E259" t="s">
        <v>479</v>
      </c>
      <c r="F259" s="20" t="s">
        <v>480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442</v>
      </c>
      <c r="C260" t="s">
        <v>501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502</v>
      </c>
      <c r="D261" s="138">
        <v>3000000</v>
      </c>
      <c r="E261" t="s">
        <v>389</v>
      </c>
      <c r="F261" s="20" t="s">
        <v>390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502</v>
      </c>
      <c r="D262" s="138">
        <v>3000000</v>
      </c>
      <c r="E262" t="s">
        <v>389</v>
      </c>
      <c r="F262" s="20" t="s">
        <v>390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502</v>
      </c>
      <c r="D263" s="138">
        <v>3000000</v>
      </c>
      <c r="E263" t="s">
        <v>389</v>
      </c>
      <c r="F263" s="20" t="s">
        <v>390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503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478</v>
      </c>
      <c r="D265" s="138">
        <v>3000000</v>
      </c>
      <c r="E265" t="s">
        <v>389</v>
      </c>
      <c r="F265" s="20" t="s">
        <v>390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483</v>
      </c>
      <c r="C266" t="s">
        <v>484</v>
      </c>
      <c r="D266" s="138">
        <v>1110000</v>
      </c>
      <c r="E266" t="s">
        <v>434</v>
      </c>
      <c r="F266" s="20" t="s">
        <v>435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414</v>
      </c>
      <c r="C267" t="s">
        <v>448</v>
      </c>
      <c r="D267" s="138">
        <v>2090000</v>
      </c>
      <c r="E267" t="s">
        <v>400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395</v>
      </c>
      <c r="C268" t="s">
        <v>449</v>
      </c>
      <c r="D268" s="138">
        <v>2000000</v>
      </c>
      <c r="E268" t="s">
        <v>402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420</v>
      </c>
      <c r="C269" t="s">
        <v>450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396</v>
      </c>
      <c r="C270" t="s">
        <v>451</v>
      </c>
      <c r="D270" s="138">
        <v>2610000</v>
      </c>
      <c r="E270" t="s">
        <v>386</v>
      </c>
      <c r="F270" s="20" t="s">
        <v>387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414</v>
      </c>
      <c r="C271" t="s">
        <v>448</v>
      </c>
      <c r="D271" s="138">
        <v>2090000</v>
      </c>
      <c r="E271" t="s">
        <v>400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394</v>
      </c>
      <c r="C272" t="s">
        <v>452</v>
      </c>
      <c r="D272" s="138">
        <v>2000000</v>
      </c>
      <c r="E272" t="s">
        <v>402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397</v>
      </c>
      <c r="C273" t="s">
        <v>451</v>
      </c>
      <c r="D273" s="138">
        <v>2610000</v>
      </c>
      <c r="E273" t="s">
        <v>386</v>
      </c>
      <c r="F273" s="20" t="s">
        <v>387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445</v>
      </c>
      <c r="C274" t="s">
        <v>453</v>
      </c>
      <c r="D274" s="138">
        <v>3000000</v>
      </c>
      <c r="E274" t="s">
        <v>389</v>
      </c>
      <c r="F274" s="20" t="s">
        <v>390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396</v>
      </c>
      <c r="C275" t="s">
        <v>454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395</v>
      </c>
      <c r="C276" t="s">
        <v>455</v>
      </c>
      <c r="D276" s="138">
        <v>2000000</v>
      </c>
      <c r="E276" t="s">
        <v>402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416</v>
      </c>
      <c r="C277" t="s">
        <v>456</v>
      </c>
      <c r="D277" s="138">
        <v>2090000</v>
      </c>
      <c r="E277" t="s">
        <v>400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457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394</v>
      </c>
      <c r="C279" t="s">
        <v>458</v>
      </c>
      <c r="D279" s="138">
        <v>2000000</v>
      </c>
      <c r="E279" t="s">
        <v>402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444</v>
      </c>
      <c r="C280" t="s">
        <v>459</v>
      </c>
      <c r="D280" s="138">
        <v>3000000</v>
      </c>
      <c r="E280" t="s">
        <v>389</v>
      </c>
      <c r="F280" s="20" t="s">
        <v>390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397</v>
      </c>
      <c r="C281" t="s">
        <v>460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395</v>
      </c>
      <c r="C282" t="s">
        <v>458</v>
      </c>
      <c r="D282" s="138">
        <v>2000000</v>
      </c>
      <c r="E282" t="s">
        <v>402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414</v>
      </c>
      <c r="C283" t="s">
        <v>461</v>
      </c>
      <c r="D283" s="138">
        <v>2090000</v>
      </c>
      <c r="E283" t="s">
        <v>400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462</v>
      </c>
      <c r="D284" s="138">
        <v>2610000</v>
      </c>
      <c r="E284" t="s">
        <v>386</v>
      </c>
      <c r="F284" s="20" t="s">
        <v>387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442</v>
      </c>
      <c r="C285" t="s">
        <v>463</v>
      </c>
      <c r="D285" s="138">
        <v>2610000</v>
      </c>
      <c r="E285" t="s">
        <v>386</v>
      </c>
      <c r="F285" s="20" t="s">
        <v>387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420</v>
      </c>
      <c r="C286" t="s">
        <v>464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445</v>
      </c>
      <c r="C287" t="s">
        <v>465</v>
      </c>
      <c r="D287" s="138">
        <v>3000000</v>
      </c>
      <c r="E287" t="s">
        <v>389</v>
      </c>
      <c r="F287" s="20" t="s">
        <v>390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466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416</v>
      </c>
      <c r="C289" t="s">
        <v>446</v>
      </c>
      <c r="D289" s="138">
        <v>2090000</v>
      </c>
      <c r="E289" t="s">
        <v>400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467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444</v>
      </c>
      <c r="C291" t="s">
        <v>468</v>
      </c>
      <c r="D291" s="138">
        <v>3000000</v>
      </c>
      <c r="E291" t="s">
        <v>389</v>
      </c>
      <c r="F291" s="20" t="s">
        <v>390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414</v>
      </c>
      <c r="C292" t="s">
        <v>469</v>
      </c>
      <c r="D292" s="138">
        <v>2090000</v>
      </c>
      <c r="E292" t="s">
        <v>400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420</v>
      </c>
      <c r="C293" t="s">
        <v>470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471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472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472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472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504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403</v>
      </c>
      <c r="P1" s="171" t="s">
        <v>156</v>
      </c>
      <c r="Q1" s="171" t="s">
        <v>163</v>
      </c>
      <c r="R1" s="171" t="s">
        <v>404</v>
      </c>
      <c r="S1" s="171" t="s">
        <v>160</v>
      </c>
    </row>
    <row r="2" spans="1:19" x14ac:dyDescent="0.25">
      <c r="A2" s="172">
        <v>66.81</v>
      </c>
      <c r="B2" s="172">
        <v>0.05</v>
      </c>
      <c r="C2" s="172">
        <v>51.82</v>
      </c>
      <c r="D2" s="8">
        <v>42932</v>
      </c>
      <c r="E2" s="172">
        <v>0.59</v>
      </c>
      <c r="F2" s="172" t="s">
        <v>565</v>
      </c>
      <c r="G2" s="172">
        <v>281.36</v>
      </c>
      <c r="H2" s="172">
        <v>1.9E-3</v>
      </c>
      <c r="I2" s="172">
        <v>0.01</v>
      </c>
      <c r="J2" s="172" t="s">
        <v>505</v>
      </c>
      <c r="K2" s="172">
        <v>1019.06</v>
      </c>
      <c r="L2" s="172" t="s">
        <v>566</v>
      </c>
      <c r="M2" s="172">
        <v>66.81</v>
      </c>
      <c r="N2" s="172">
        <v>1500184800</v>
      </c>
      <c r="O2" s="172">
        <v>0</v>
      </c>
      <c r="P2" s="172">
        <v>10</v>
      </c>
      <c r="Q2" s="172">
        <v>206</v>
      </c>
      <c r="R2" s="172">
        <v>7.26</v>
      </c>
      <c r="S2" s="172">
        <v>5.24</v>
      </c>
    </row>
    <row r="3" spans="1:19" x14ac:dyDescent="0.25">
      <c r="A3" s="172">
        <v>65.92</v>
      </c>
      <c r="B3" s="172">
        <v>0.03</v>
      </c>
      <c r="C3" s="172">
        <v>51.2</v>
      </c>
      <c r="D3" s="8">
        <v>42932.041666666664</v>
      </c>
      <c r="E3" s="172">
        <v>0.59</v>
      </c>
      <c r="F3" s="172" t="s">
        <v>565</v>
      </c>
      <c r="G3" s="172">
        <v>281.47000000000003</v>
      </c>
      <c r="H3" s="172">
        <v>1.9E-3</v>
      </c>
      <c r="I3" s="172">
        <v>0.01</v>
      </c>
      <c r="J3" s="172" t="s">
        <v>505</v>
      </c>
      <c r="K3" s="172">
        <v>1018.72</v>
      </c>
      <c r="L3" s="172" t="s">
        <v>566</v>
      </c>
      <c r="M3" s="172">
        <v>65.92</v>
      </c>
      <c r="N3" s="172">
        <v>1500188400</v>
      </c>
      <c r="O3" s="172">
        <v>0</v>
      </c>
      <c r="P3" s="172">
        <v>10</v>
      </c>
      <c r="Q3" s="172">
        <v>221</v>
      </c>
      <c r="R3" s="172">
        <v>5.8</v>
      </c>
      <c r="S3" s="172">
        <v>4.45</v>
      </c>
    </row>
    <row r="4" spans="1:19" x14ac:dyDescent="0.25">
      <c r="A4" s="172">
        <v>64.94</v>
      </c>
      <c r="B4" s="172">
        <v>0.02</v>
      </c>
      <c r="C4" s="172">
        <v>50.6</v>
      </c>
      <c r="D4" s="8">
        <v>42932.083333333336</v>
      </c>
      <c r="E4" s="172">
        <v>0.6</v>
      </c>
      <c r="F4" s="172" t="s">
        <v>565</v>
      </c>
      <c r="G4" s="172">
        <v>281.36</v>
      </c>
      <c r="H4" s="172">
        <v>0</v>
      </c>
      <c r="I4" s="172">
        <v>0</v>
      </c>
      <c r="J4" s="172"/>
      <c r="K4" s="172">
        <v>1018.11</v>
      </c>
      <c r="L4" s="172" t="s">
        <v>566</v>
      </c>
      <c r="M4" s="172">
        <v>64.94</v>
      </c>
      <c r="N4" s="172">
        <v>1500192000</v>
      </c>
      <c r="O4" s="172">
        <v>0</v>
      </c>
      <c r="P4" s="172">
        <v>10</v>
      </c>
      <c r="Q4" s="172">
        <v>213</v>
      </c>
      <c r="R4" s="172">
        <v>4.51</v>
      </c>
      <c r="S4" s="172">
        <v>3.89</v>
      </c>
    </row>
    <row r="5" spans="1:19" x14ac:dyDescent="0.25">
      <c r="A5" s="172">
        <v>63.2</v>
      </c>
      <c r="B5" s="172">
        <v>0.01</v>
      </c>
      <c r="C5" s="172">
        <v>49.21</v>
      </c>
      <c r="D5" s="8">
        <v>42932.125</v>
      </c>
      <c r="E5" s="172">
        <v>0.6</v>
      </c>
      <c r="F5" s="172" t="s">
        <v>565</v>
      </c>
      <c r="G5" s="172">
        <v>281.36</v>
      </c>
      <c r="H5" s="172">
        <v>0</v>
      </c>
      <c r="I5" s="172">
        <v>0</v>
      </c>
      <c r="J5" s="172"/>
      <c r="K5" s="172">
        <v>1017.78</v>
      </c>
      <c r="L5" s="172" t="s">
        <v>566</v>
      </c>
      <c r="M5" s="172">
        <v>63.2</v>
      </c>
      <c r="N5" s="172">
        <v>1500195600</v>
      </c>
      <c r="O5" s="172">
        <v>0</v>
      </c>
      <c r="P5" s="172">
        <v>10</v>
      </c>
      <c r="Q5" s="172">
        <v>206</v>
      </c>
      <c r="R5" s="172">
        <v>4.58</v>
      </c>
      <c r="S5" s="172">
        <v>3.68</v>
      </c>
    </row>
    <row r="6" spans="1:19" x14ac:dyDescent="0.25">
      <c r="A6" s="172">
        <v>61.58</v>
      </c>
      <c r="B6" s="172">
        <v>0</v>
      </c>
      <c r="C6" s="172">
        <v>48.25</v>
      </c>
      <c r="D6" s="8">
        <v>42932.166666666664</v>
      </c>
      <c r="E6" s="172">
        <v>0.62</v>
      </c>
      <c r="F6" s="172" t="s">
        <v>565</v>
      </c>
      <c r="G6" s="172">
        <v>281.48</v>
      </c>
      <c r="H6" s="172">
        <v>0</v>
      </c>
      <c r="I6" s="172">
        <v>0</v>
      </c>
      <c r="J6" s="172"/>
      <c r="K6" s="172">
        <v>1017.68</v>
      </c>
      <c r="L6" s="172" t="s">
        <v>566</v>
      </c>
      <c r="M6" s="172">
        <v>61.58</v>
      </c>
      <c r="N6" s="172">
        <v>1500199200</v>
      </c>
      <c r="O6" s="172">
        <v>0</v>
      </c>
      <c r="P6" s="172">
        <v>9.9600000000000009</v>
      </c>
      <c r="Q6" s="172">
        <v>197</v>
      </c>
      <c r="R6" s="172">
        <v>4.0199999999999996</v>
      </c>
      <c r="S6" s="172">
        <v>3.47</v>
      </c>
    </row>
    <row r="7" spans="1:19" x14ac:dyDescent="0.25">
      <c r="A7" s="172">
        <v>60.36</v>
      </c>
      <c r="B7" s="172">
        <v>0</v>
      </c>
      <c r="C7" s="172">
        <v>47.36</v>
      </c>
      <c r="D7" s="8">
        <v>42932.208333333336</v>
      </c>
      <c r="E7" s="172">
        <v>0.62</v>
      </c>
      <c r="F7" s="172" t="s">
        <v>565</v>
      </c>
      <c r="G7" s="172">
        <v>281.70999999999998</v>
      </c>
      <c r="H7" s="172">
        <v>0</v>
      </c>
      <c r="I7" s="172">
        <v>0</v>
      </c>
      <c r="J7" s="172"/>
      <c r="K7" s="172">
        <v>1017.57</v>
      </c>
      <c r="L7" s="172" t="s">
        <v>566</v>
      </c>
      <c r="M7" s="172">
        <v>60.36</v>
      </c>
      <c r="N7" s="172">
        <v>1500202800</v>
      </c>
      <c r="O7" s="172">
        <v>0</v>
      </c>
      <c r="P7" s="172">
        <v>9.8800000000000008</v>
      </c>
      <c r="Q7" s="172">
        <v>213</v>
      </c>
      <c r="R7" s="172">
        <v>2.82</v>
      </c>
      <c r="S7" s="172">
        <v>2.65</v>
      </c>
    </row>
    <row r="8" spans="1:19" x14ac:dyDescent="0.25">
      <c r="A8" s="172">
        <v>61.41</v>
      </c>
      <c r="B8" s="172">
        <v>0</v>
      </c>
      <c r="C8" s="172">
        <v>47.26</v>
      </c>
      <c r="D8" s="8">
        <v>42932.25</v>
      </c>
      <c r="E8" s="172">
        <v>0.6</v>
      </c>
      <c r="F8" s="172" t="s">
        <v>567</v>
      </c>
      <c r="G8" s="172">
        <v>284.05</v>
      </c>
      <c r="H8" s="172">
        <v>0</v>
      </c>
      <c r="I8" s="172">
        <v>0</v>
      </c>
      <c r="J8" s="172"/>
      <c r="K8" s="172">
        <v>1017.35</v>
      </c>
      <c r="L8" s="172" t="s">
        <v>566</v>
      </c>
      <c r="M8" s="172">
        <v>61.41</v>
      </c>
      <c r="N8" s="172">
        <v>1500206400</v>
      </c>
      <c r="O8" s="172">
        <v>0</v>
      </c>
      <c r="P8" s="172">
        <v>9.68</v>
      </c>
      <c r="Q8" s="172">
        <v>252</v>
      </c>
      <c r="R8" s="172">
        <v>3.85</v>
      </c>
      <c r="S8" s="172">
        <v>3.41</v>
      </c>
    </row>
    <row r="9" spans="1:19" x14ac:dyDescent="0.25">
      <c r="A9" s="172">
        <v>63.15</v>
      </c>
      <c r="B9" s="172">
        <v>0</v>
      </c>
      <c r="C9" s="172">
        <v>47.41</v>
      </c>
      <c r="D9" s="8">
        <v>42932.291666666664</v>
      </c>
      <c r="E9" s="172">
        <v>0.56000000000000005</v>
      </c>
      <c r="F9" s="172" t="s">
        <v>567</v>
      </c>
      <c r="G9" s="172">
        <v>284.51</v>
      </c>
      <c r="H9" s="172">
        <v>0</v>
      </c>
      <c r="I9" s="172">
        <v>0</v>
      </c>
      <c r="J9" s="172"/>
      <c r="K9" s="172">
        <v>1016.96</v>
      </c>
      <c r="L9" s="172" t="s">
        <v>566</v>
      </c>
      <c r="M9" s="172">
        <v>63.15</v>
      </c>
      <c r="N9" s="172">
        <v>1500210000</v>
      </c>
      <c r="O9" s="172">
        <v>1</v>
      </c>
      <c r="P9" s="172">
        <v>10</v>
      </c>
      <c r="Q9" s="172">
        <v>243</v>
      </c>
      <c r="R9" s="172">
        <v>5.37</v>
      </c>
      <c r="S9" s="172">
        <v>3.2</v>
      </c>
    </row>
    <row r="10" spans="1:19" x14ac:dyDescent="0.25">
      <c r="A10" s="172">
        <v>66.819999999999993</v>
      </c>
      <c r="B10" s="172">
        <v>0</v>
      </c>
      <c r="C10" s="172">
        <v>47.75</v>
      </c>
      <c r="D10" s="8">
        <v>42932.333333333336</v>
      </c>
      <c r="E10" s="172">
        <v>0.5</v>
      </c>
      <c r="F10" s="172" t="s">
        <v>567</v>
      </c>
      <c r="G10" s="172">
        <v>284.63</v>
      </c>
      <c r="H10" s="172">
        <v>0</v>
      </c>
      <c r="I10" s="172">
        <v>0</v>
      </c>
      <c r="J10" s="172"/>
      <c r="K10" s="172">
        <v>1016.29</v>
      </c>
      <c r="L10" s="172" t="s">
        <v>566</v>
      </c>
      <c r="M10" s="172">
        <v>66.819999999999993</v>
      </c>
      <c r="N10" s="172">
        <v>1500213600</v>
      </c>
      <c r="O10" s="172">
        <v>1</v>
      </c>
      <c r="P10" s="172">
        <v>10</v>
      </c>
      <c r="Q10" s="172">
        <v>38</v>
      </c>
      <c r="R10" s="172">
        <v>4.58</v>
      </c>
      <c r="S10" s="172">
        <v>2.84</v>
      </c>
    </row>
    <row r="11" spans="1:19" x14ac:dyDescent="0.25">
      <c r="A11" s="172">
        <v>70.66</v>
      </c>
      <c r="B11" s="172">
        <v>0</v>
      </c>
      <c r="C11" s="172">
        <v>48.83</v>
      </c>
      <c r="D11" s="8">
        <v>42932.375</v>
      </c>
      <c r="E11" s="172">
        <v>0.46</v>
      </c>
      <c r="F11" s="172" t="s">
        <v>567</v>
      </c>
      <c r="G11" s="172">
        <v>284.75</v>
      </c>
      <c r="H11" s="172">
        <v>0</v>
      </c>
      <c r="I11" s="172">
        <v>0</v>
      </c>
      <c r="J11" s="172"/>
      <c r="K11" s="172">
        <v>1015.45</v>
      </c>
      <c r="L11" s="172" t="s">
        <v>566</v>
      </c>
      <c r="M11" s="172">
        <v>70.66</v>
      </c>
      <c r="N11" s="172">
        <v>1500217200</v>
      </c>
      <c r="O11" s="172">
        <v>3</v>
      </c>
      <c r="P11" s="172">
        <v>10</v>
      </c>
      <c r="Q11" s="172">
        <v>41</v>
      </c>
      <c r="R11" s="172">
        <v>4.04</v>
      </c>
      <c r="S11" s="172">
        <v>3.46</v>
      </c>
    </row>
    <row r="12" spans="1:19" x14ac:dyDescent="0.25">
      <c r="A12" s="172">
        <v>74.22</v>
      </c>
      <c r="B12" s="172">
        <v>0.01</v>
      </c>
      <c r="C12" s="172">
        <v>49.17</v>
      </c>
      <c r="D12" s="8">
        <v>42932.416666666664</v>
      </c>
      <c r="E12" s="172">
        <v>0.41</v>
      </c>
      <c r="F12" s="172" t="s">
        <v>567</v>
      </c>
      <c r="G12" s="172">
        <v>285.08999999999997</v>
      </c>
      <c r="H12" s="172">
        <v>0</v>
      </c>
      <c r="I12" s="172">
        <v>0</v>
      </c>
      <c r="J12" s="172"/>
      <c r="K12" s="172">
        <v>1014.64</v>
      </c>
      <c r="L12" s="172" t="s">
        <v>566</v>
      </c>
      <c r="M12" s="172">
        <v>74.22</v>
      </c>
      <c r="N12" s="172">
        <v>1500220800</v>
      </c>
      <c r="O12" s="172">
        <v>5</v>
      </c>
      <c r="P12" s="172">
        <v>10</v>
      </c>
      <c r="Q12" s="172">
        <v>49</v>
      </c>
      <c r="R12" s="172">
        <v>4.51</v>
      </c>
      <c r="S12" s="172">
        <v>3.84</v>
      </c>
    </row>
    <row r="13" spans="1:19" x14ac:dyDescent="0.25">
      <c r="A13" s="172">
        <v>77.680000000000007</v>
      </c>
      <c r="B13" s="172">
        <v>0</v>
      </c>
      <c r="C13" s="172">
        <v>49.36</v>
      </c>
      <c r="D13" s="8">
        <v>42932.458333333336</v>
      </c>
      <c r="E13" s="172">
        <v>0.37</v>
      </c>
      <c r="F13" s="172" t="s">
        <v>567</v>
      </c>
      <c r="G13" s="172">
        <v>285.32</v>
      </c>
      <c r="H13" s="172">
        <v>0</v>
      </c>
      <c r="I13" s="172">
        <v>0</v>
      </c>
      <c r="J13" s="172"/>
      <c r="K13" s="172">
        <v>1013.83</v>
      </c>
      <c r="L13" s="172" t="s">
        <v>566</v>
      </c>
      <c r="M13" s="172">
        <v>77.680000000000007</v>
      </c>
      <c r="N13" s="172">
        <v>1500224400</v>
      </c>
      <c r="O13" s="172">
        <v>8</v>
      </c>
      <c r="P13" s="172">
        <v>10</v>
      </c>
      <c r="Q13" s="172">
        <v>62</v>
      </c>
      <c r="R13" s="172">
        <v>5.94</v>
      </c>
      <c r="S13" s="172">
        <v>4.67</v>
      </c>
    </row>
    <row r="14" spans="1:19" x14ac:dyDescent="0.25">
      <c r="A14" s="172">
        <v>80.27</v>
      </c>
      <c r="B14" s="172">
        <v>0</v>
      </c>
      <c r="C14" s="172">
        <v>50.41</v>
      </c>
      <c r="D14" s="8">
        <v>42932.5</v>
      </c>
      <c r="E14" s="172">
        <v>0.35</v>
      </c>
      <c r="F14" s="172" t="s">
        <v>567</v>
      </c>
      <c r="G14" s="172">
        <v>285.43</v>
      </c>
      <c r="H14" s="172">
        <v>0</v>
      </c>
      <c r="I14" s="172">
        <v>0</v>
      </c>
      <c r="J14" s="172"/>
      <c r="K14" s="172">
        <v>1013.17</v>
      </c>
      <c r="L14" s="172" t="s">
        <v>566</v>
      </c>
      <c r="M14" s="172">
        <v>80.27</v>
      </c>
      <c r="N14" s="172">
        <v>1500228000</v>
      </c>
      <c r="O14" s="172">
        <v>12</v>
      </c>
      <c r="P14" s="172">
        <v>10</v>
      </c>
      <c r="Q14" s="172">
        <v>68</v>
      </c>
      <c r="R14" s="172">
        <v>6.37</v>
      </c>
      <c r="S14" s="172">
        <v>5.21</v>
      </c>
    </row>
    <row r="15" spans="1:19" x14ac:dyDescent="0.25">
      <c r="A15" s="172">
        <v>82.69</v>
      </c>
      <c r="B15" s="172">
        <v>0</v>
      </c>
      <c r="C15" s="172">
        <v>50.51</v>
      </c>
      <c r="D15" s="8">
        <v>42932.541666666664</v>
      </c>
      <c r="E15" s="172">
        <v>0.33</v>
      </c>
      <c r="F15" s="172" t="s">
        <v>567</v>
      </c>
      <c r="G15" s="172">
        <v>285.66000000000003</v>
      </c>
      <c r="H15" s="172">
        <v>0</v>
      </c>
      <c r="I15" s="172">
        <v>0</v>
      </c>
      <c r="J15" s="172"/>
      <c r="K15" s="172">
        <v>1012.2</v>
      </c>
      <c r="L15" s="172" t="s">
        <v>566</v>
      </c>
      <c r="M15" s="172">
        <v>82.69</v>
      </c>
      <c r="N15" s="172">
        <v>1500231600</v>
      </c>
      <c r="O15" s="172">
        <v>13</v>
      </c>
      <c r="P15" s="172">
        <v>10</v>
      </c>
      <c r="Q15" s="172">
        <v>71</v>
      </c>
      <c r="R15" s="172">
        <v>6.94</v>
      </c>
      <c r="S15" s="172">
        <v>5.66</v>
      </c>
    </row>
    <row r="16" spans="1:19" x14ac:dyDescent="0.25">
      <c r="A16" s="172">
        <v>84.81</v>
      </c>
      <c r="B16" s="172">
        <v>0</v>
      </c>
      <c r="C16" s="172">
        <v>50.14</v>
      </c>
      <c r="D16" s="8">
        <v>42932.583333333336</v>
      </c>
      <c r="E16" s="172">
        <v>0.3</v>
      </c>
      <c r="F16" s="172" t="s">
        <v>567</v>
      </c>
      <c r="G16" s="172">
        <v>285.89</v>
      </c>
      <c r="H16" s="172">
        <v>0</v>
      </c>
      <c r="I16" s="172">
        <v>0</v>
      </c>
      <c r="J16" s="172"/>
      <c r="K16" s="172">
        <v>1011.15</v>
      </c>
      <c r="L16" s="172" t="s">
        <v>566</v>
      </c>
      <c r="M16" s="172">
        <v>84.81</v>
      </c>
      <c r="N16" s="172">
        <v>1500235200</v>
      </c>
      <c r="O16" s="172">
        <v>12</v>
      </c>
      <c r="P16" s="172">
        <v>10</v>
      </c>
      <c r="Q16" s="172">
        <v>61</v>
      </c>
      <c r="R16" s="172">
        <v>9.0299999999999994</v>
      </c>
      <c r="S16" s="172">
        <v>5.59</v>
      </c>
    </row>
    <row r="17" spans="1:19" x14ac:dyDescent="0.25">
      <c r="A17" s="172">
        <v>86.13</v>
      </c>
      <c r="B17" s="172">
        <v>0</v>
      </c>
      <c r="C17" s="172">
        <v>49.57</v>
      </c>
      <c r="D17" s="8">
        <v>42932.625</v>
      </c>
      <c r="E17" s="172">
        <v>0.28000000000000003</v>
      </c>
      <c r="F17" s="172" t="s">
        <v>567</v>
      </c>
      <c r="G17" s="172">
        <v>286.01</v>
      </c>
      <c r="H17" s="172">
        <v>0</v>
      </c>
      <c r="I17" s="172">
        <v>0</v>
      </c>
      <c r="J17" s="172"/>
      <c r="K17" s="172">
        <v>1010.52</v>
      </c>
      <c r="L17" s="172" t="s">
        <v>566</v>
      </c>
      <c r="M17" s="172">
        <v>86.13</v>
      </c>
      <c r="N17" s="172">
        <v>1500238800</v>
      </c>
      <c r="O17" s="172">
        <v>9</v>
      </c>
      <c r="P17" s="172">
        <v>10</v>
      </c>
      <c r="Q17" s="172">
        <v>60</v>
      </c>
      <c r="R17" s="172">
        <v>9.27</v>
      </c>
      <c r="S17" s="172">
        <v>5.69</v>
      </c>
    </row>
    <row r="18" spans="1:19" x14ac:dyDescent="0.25">
      <c r="A18" s="172">
        <v>86.65</v>
      </c>
      <c r="B18" s="172">
        <v>0</v>
      </c>
      <c r="C18" s="172">
        <v>49.71</v>
      </c>
      <c r="D18" s="8">
        <v>42932.666666666664</v>
      </c>
      <c r="E18" s="172">
        <v>0.28000000000000003</v>
      </c>
      <c r="F18" s="172" t="s">
        <v>567</v>
      </c>
      <c r="G18" s="172">
        <v>286.12</v>
      </c>
      <c r="H18" s="172">
        <v>0</v>
      </c>
      <c r="I18" s="172">
        <v>0</v>
      </c>
      <c r="J18" s="172"/>
      <c r="K18" s="172">
        <v>1009.72</v>
      </c>
      <c r="L18" s="172" t="s">
        <v>566</v>
      </c>
      <c r="M18" s="172">
        <v>86.65</v>
      </c>
      <c r="N18" s="172">
        <v>1500242400</v>
      </c>
      <c r="O18" s="172">
        <v>6</v>
      </c>
      <c r="P18" s="172">
        <v>10</v>
      </c>
      <c r="Q18" s="172">
        <v>60</v>
      </c>
      <c r="R18" s="172">
        <v>9.27</v>
      </c>
      <c r="S18" s="172">
        <v>6.26</v>
      </c>
    </row>
    <row r="19" spans="1:19" x14ac:dyDescent="0.25">
      <c r="A19" s="172">
        <v>86.27</v>
      </c>
      <c r="B19" s="172">
        <v>0</v>
      </c>
      <c r="C19" s="172">
        <v>49.55</v>
      </c>
      <c r="D19" s="8">
        <v>42932.708333333336</v>
      </c>
      <c r="E19" s="172">
        <v>0.28000000000000003</v>
      </c>
      <c r="F19" s="172" t="s">
        <v>567</v>
      </c>
      <c r="G19" s="172">
        <v>286.12</v>
      </c>
      <c r="H19" s="172">
        <v>1.9E-3</v>
      </c>
      <c r="I19" s="172">
        <v>0.01</v>
      </c>
      <c r="J19" s="172" t="s">
        <v>505</v>
      </c>
      <c r="K19" s="172">
        <v>1009.17</v>
      </c>
      <c r="L19" s="172" t="s">
        <v>566</v>
      </c>
      <c r="M19" s="172">
        <v>86.27</v>
      </c>
      <c r="N19" s="172">
        <v>1500246000</v>
      </c>
      <c r="O19" s="172">
        <v>3</v>
      </c>
      <c r="P19" s="172">
        <v>10</v>
      </c>
      <c r="Q19" s="172">
        <v>69</v>
      </c>
      <c r="R19" s="172">
        <v>8.89</v>
      </c>
      <c r="S19" s="172">
        <v>6.51</v>
      </c>
    </row>
    <row r="20" spans="1:19" x14ac:dyDescent="0.25">
      <c r="A20" s="172">
        <v>85.4</v>
      </c>
      <c r="B20" s="172">
        <v>0.09</v>
      </c>
      <c r="C20" s="172">
        <v>49.99</v>
      </c>
      <c r="D20" s="8">
        <v>42932.75</v>
      </c>
      <c r="E20" s="172">
        <v>0.3</v>
      </c>
      <c r="F20" s="172" t="s">
        <v>567</v>
      </c>
      <c r="G20" s="172">
        <v>284.75</v>
      </c>
      <c r="H20" s="172">
        <v>0</v>
      </c>
      <c r="I20" s="172">
        <v>0</v>
      </c>
      <c r="J20" s="172"/>
      <c r="K20" s="172">
        <v>1008.98</v>
      </c>
      <c r="L20" s="172" t="s">
        <v>566</v>
      </c>
      <c r="M20" s="172">
        <v>85.4</v>
      </c>
      <c r="N20" s="172">
        <v>1500249600</v>
      </c>
      <c r="O20" s="172">
        <v>1</v>
      </c>
      <c r="P20" s="172">
        <v>10</v>
      </c>
      <c r="Q20" s="172">
        <v>61</v>
      </c>
      <c r="R20" s="172">
        <v>7.25</v>
      </c>
      <c r="S20" s="172">
        <v>5.57</v>
      </c>
    </row>
    <row r="21" spans="1:19" x14ac:dyDescent="0.25">
      <c r="A21" s="172">
        <v>83.25</v>
      </c>
      <c r="B21" s="172">
        <v>0.09</v>
      </c>
      <c r="C21" s="172">
        <v>50.39</v>
      </c>
      <c r="D21" s="8">
        <v>42932.791666666664</v>
      </c>
      <c r="E21" s="172">
        <v>0.32</v>
      </c>
      <c r="F21" s="172" t="s">
        <v>567</v>
      </c>
      <c r="G21" s="172">
        <v>284.51</v>
      </c>
      <c r="H21" s="172">
        <v>0</v>
      </c>
      <c r="I21" s="172">
        <v>0</v>
      </c>
      <c r="J21" s="172"/>
      <c r="K21" s="172">
        <v>1009.03</v>
      </c>
      <c r="L21" s="172" t="s">
        <v>566</v>
      </c>
      <c r="M21" s="172">
        <v>83.25</v>
      </c>
      <c r="N21" s="172">
        <v>1500253200</v>
      </c>
      <c r="O21" s="172">
        <v>1</v>
      </c>
      <c r="P21" s="172">
        <v>10</v>
      </c>
      <c r="Q21" s="172">
        <v>49</v>
      </c>
      <c r="R21" s="172">
        <v>5.23</v>
      </c>
      <c r="S21" s="172">
        <v>4.5999999999999996</v>
      </c>
    </row>
    <row r="22" spans="1:19" x14ac:dyDescent="0.25">
      <c r="A22" s="172">
        <v>79.84</v>
      </c>
      <c r="B22" s="172">
        <v>0.13</v>
      </c>
      <c r="C22" s="172">
        <v>50.54</v>
      </c>
      <c r="D22" s="8">
        <v>42932.833333333336</v>
      </c>
      <c r="E22" s="172">
        <v>0.36</v>
      </c>
      <c r="F22" s="172" t="s">
        <v>567</v>
      </c>
      <c r="G22" s="172">
        <v>284.16000000000003</v>
      </c>
      <c r="H22" s="172">
        <v>0</v>
      </c>
      <c r="I22" s="172">
        <v>0</v>
      </c>
      <c r="J22" s="172"/>
      <c r="K22" s="172">
        <v>1009.14</v>
      </c>
      <c r="L22" s="172" t="s">
        <v>566</v>
      </c>
      <c r="M22" s="172">
        <v>79.84</v>
      </c>
      <c r="N22" s="172">
        <v>1500256800</v>
      </c>
      <c r="O22" s="172">
        <v>0</v>
      </c>
      <c r="P22" s="172">
        <v>10</v>
      </c>
      <c r="Q22" s="172">
        <v>53</v>
      </c>
      <c r="R22" s="172">
        <v>4.46</v>
      </c>
      <c r="S22" s="172">
        <v>4.2</v>
      </c>
    </row>
    <row r="23" spans="1:19" x14ac:dyDescent="0.25">
      <c r="A23" s="172">
        <v>75.510000000000005</v>
      </c>
      <c r="B23" s="172">
        <v>0.16</v>
      </c>
      <c r="C23" s="172">
        <v>50.83</v>
      </c>
      <c r="D23" s="8">
        <v>42932.875</v>
      </c>
      <c r="E23" s="172">
        <v>0.42</v>
      </c>
      <c r="F23" s="172" t="s">
        <v>565</v>
      </c>
      <c r="G23" s="172">
        <v>283.93</v>
      </c>
      <c r="H23" s="172">
        <v>0</v>
      </c>
      <c r="I23" s="172">
        <v>0</v>
      </c>
      <c r="J23" s="172"/>
      <c r="K23" s="172">
        <v>1009.89</v>
      </c>
      <c r="L23" s="172" t="s">
        <v>566</v>
      </c>
      <c r="M23" s="172">
        <v>75.510000000000005</v>
      </c>
      <c r="N23" s="172">
        <v>1500260400</v>
      </c>
      <c r="O23" s="172">
        <v>0</v>
      </c>
      <c r="P23" s="172">
        <v>10</v>
      </c>
      <c r="Q23" s="172">
        <v>72</v>
      </c>
      <c r="R23" s="172">
        <v>3.65</v>
      </c>
      <c r="S23" s="172">
        <v>2.5</v>
      </c>
    </row>
    <row r="24" spans="1:19" x14ac:dyDescent="0.25">
      <c r="A24" s="172">
        <v>72.97</v>
      </c>
      <c r="B24" s="172">
        <v>0.12</v>
      </c>
      <c r="C24" s="172">
        <v>50.28</v>
      </c>
      <c r="D24" s="8">
        <v>42932.916666666664</v>
      </c>
      <c r="E24" s="172">
        <v>0.45</v>
      </c>
      <c r="F24" s="172" t="s">
        <v>565</v>
      </c>
      <c r="G24" s="172">
        <v>283.93</v>
      </c>
      <c r="H24" s="172">
        <v>0</v>
      </c>
      <c r="I24" s="172">
        <v>0</v>
      </c>
      <c r="J24" s="172"/>
      <c r="K24" s="172">
        <v>1010.22</v>
      </c>
      <c r="L24" s="172" t="s">
        <v>566</v>
      </c>
      <c r="M24" s="172">
        <v>72.97</v>
      </c>
      <c r="N24" s="172">
        <v>1500264000</v>
      </c>
      <c r="O24" s="172">
        <v>0</v>
      </c>
      <c r="P24" s="172">
        <v>10</v>
      </c>
      <c r="Q24" s="172">
        <v>288</v>
      </c>
      <c r="R24" s="172">
        <v>6.22</v>
      </c>
      <c r="S24" s="172">
        <v>2.74</v>
      </c>
    </row>
    <row r="25" spans="1:19" x14ac:dyDescent="0.25">
      <c r="A25" s="172">
        <v>71.33</v>
      </c>
      <c r="B25" s="172">
        <v>0.06</v>
      </c>
      <c r="C25" s="172">
        <v>49.8</v>
      </c>
      <c r="D25" s="8">
        <v>42932.958333333336</v>
      </c>
      <c r="E25" s="172">
        <v>0.47</v>
      </c>
      <c r="F25" s="172" t="s">
        <v>565</v>
      </c>
      <c r="G25" s="172">
        <v>284.14999999999998</v>
      </c>
      <c r="H25" s="172">
        <v>0</v>
      </c>
      <c r="I25" s="172">
        <v>0</v>
      </c>
      <c r="J25" s="172"/>
      <c r="K25" s="172">
        <v>1010.35</v>
      </c>
      <c r="L25" s="172" t="s">
        <v>566</v>
      </c>
      <c r="M25" s="172">
        <v>71.33</v>
      </c>
      <c r="N25" s="172">
        <v>1500267600</v>
      </c>
      <c r="O25" s="172">
        <v>0</v>
      </c>
      <c r="P25" s="172">
        <v>10</v>
      </c>
      <c r="Q25" s="172">
        <v>233</v>
      </c>
      <c r="R25" s="172">
        <v>5.73</v>
      </c>
      <c r="S25" s="172">
        <v>2.61</v>
      </c>
    </row>
    <row r="26" spans="1:19" x14ac:dyDescent="0.25">
      <c r="A26" s="172">
        <v>69.22</v>
      </c>
      <c r="B26" s="172">
        <v>0</v>
      </c>
      <c r="C26" s="172">
        <v>48.92</v>
      </c>
      <c r="D26" s="8">
        <v>42933</v>
      </c>
      <c r="E26" s="172">
        <v>0.48</v>
      </c>
      <c r="F26" s="172" t="s">
        <v>565</v>
      </c>
      <c r="G26" s="172">
        <v>284.38</v>
      </c>
      <c r="H26" s="172">
        <v>0</v>
      </c>
      <c r="I26" s="172">
        <v>0</v>
      </c>
      <c r="J26" s="172"/>
      <c r="K26" s="172">
        <v>1010.3</v>
      </c>
      <c r="L26" s="172" t="s">
        <v>566</v>
      </c>
      <c r="M26" s="172">
        <v>69.22</v>
      </c>
      <c r="N26" s="172">
        <v>1500271200</v>
      </c>
      <c r="O26" s="172">
        <v>0</v>
      </c>
      <c r="P26" s="172">
        <v>10</v>
      </c>
      <c r="Q26" s="172">
        <v>227</v>
      </c>
      <c r="R26" s="172">
        <v>4.7699999999999996</v>
      </c>
      <c r="S26" s="172">
        <v>3.08</v>
      </c>
    </row>
    <row r="27" spans="1:19" x14ac:dyDescent="0.25">
      <c r="A27" s="172">
        <v>67.5</v>
      </c>
      <c r="B27" s="172">
        <v>0</v>
      </c>
      <c r="C27" s="172">
        <v>48.75</v>
      </c>
      <c r="D27" s="8">
        <v>42933.041666666664</v>
      </c>
      <c r="E27" s="172">
        <v>0.51</v>
      </c>
      <c r="F27" s="172" t="s">
        <v>565</v>
      </c>
      <c r="G27" s="172">
        <v>284.61</v>
      </c>
      <c r="H27" s="172">
        <v>0</v>
      </c>
      <c r="I27" s="172">
        <v>0</v>
      </c>
      <c r="J27" s="172"/>
      <c r="K27" s="172">
        <v>1010.25</v>
      </c>
      <c r="L27" s="172" t="s">
        <v>566</v>
      </c>
      <c r="M27" s="172">
        <v>67.5</v>
      </c>
      <c r="N27" s="172">
        <v>1500274800</v>
      </c>
      <c r="O27" s="172">
        <v>0</v>
      </c>
      <c r="P27" s="172">
        <v>10</v>
      </c>
      <c r="Q27" s="172">
        <v>216</v>
      </c>
      <c r="R27" s="172">
        <v>4.6900000000000004</v>
      </c>
      <c r="S27" s="172">
        <v>3.46</v>
      </c>
    </row>
    <row r="28" spans="1:19" x14ac:dyDescent="0.25">
      <c r="A28" s="172">
        <v>66.03</v>
      </c>
      <c r="B28" s="172">
        <v>0</v>
      </c>
      <c r="C28" s="172">
        <v>48.84</v>
      </c>
      <c r="D28" s="8">
        <v>42933.083333333336</v>
      </c>
      <c r="E28" s="172">
        <v>0.54</v>
      </c>
      <c r="F28" s="172" t="s">
        <v>565</v>
      </c>
      <c r="G28" s="172">
        <v>284.62</v>
      </c>
      <c r="H28" s="172">
        <v>0</v>
      </c>
      <c r="I28" s="172">
        <v>0</v>
      </c>
      <c r="J28" s="172"/>
      <c r="K28" s="172">
        <v>1010.03</v>
      </c>
      <c r="L28" s="172" t="s">
        <v>566</v>
      </c>
      <c r="M28" s="172">
        <v>66.03</v>
      </c>
      <c r="N28" s="172">
        <v>1500278400</v>
      </c>
      <c r="O28" s="172">
        <v>0</v>
      </c>
      <c r="P28" s="172">
        <v>10</v>
      </c>
      <c r="Q28" s="172">
        <v>208</v>
      </c>
      <c r="R28" s="172">
        <v>4.82</v>
      </c>
      <c r="S28" s="172">
        <v>3.8</v>
      </c>
    </row>
    <row r="29" spans="1:19" x14ac:dyDescent="0.25">
      <c r="A29" s="172">
        <v>65.16</v>
      </c>
      <c r="B29" s="172">
        <v>0</v>
      </c>
      <c r="C29" s="172">
        <v>48.59</v>
      </c>
      <c r="D29" s="8">
        <v>42933.125</v>
      </c>
      <c r="E29" s="172">
        <v>0.55000000000000004</v>
      </c>
      <c r="F29" s="172" t="s">
        <v>565</v>
      </c>
      <c r="G29" s="172">
        <v>284.74</v>
      </c>
      <c r="H29" s="172">
        <v>0</v>
      </c>
      <c r="I29" s="172">
        <v>0</v>
      </c>
      <c r="J29" s="172"/>
      <c r="K29" s="172">
        <v>1009.58</v>
      </c>
      <c r="L29" s="172" t="s">
        <v>566</v>
      </c>
      <c r="M29" s="172">
        <v>65.16</v>
      </c>
      <c r="N29" s="172">
        <v>1500282000</v>
      </c>
      <c r="O29" s="172">
        <v>0</v>
      </c>
      <c r="P29" s="172">
        <v>10</v>
      </c>
      <c r="Q29" s="172">
        <v>222</v>
      </c>
      <c r="R29" s="172">
        <v>6.3</v>
      </c>
      <c r="S29" s="172">
        <v>3.87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407</v>
      </c>
      <c r="AE2" s="56" t="s">
        <v>410</v>
      </c>
      <c r="AF2" s="56" t="s">
        <v>411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975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976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980</v>
      </c>
      <c r="J25" s="140" t="s">
        <v>146</v>
      </c>
      <c r="M25" s="154" t="b">
        <v>1</v>
      </c>
    </row>
    <row r="26" spans="3:24" x14ac:dyDescent="0.25">
      <c r="C26" t="s">
        <v>981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C:\Users\stu\Documents\GitHub\eaglep3-reporting\EC\2017-07-16-refined-times.txt</v>
      </c>
    </row>
    <row r="27" spans="3:24" x14ac:dyDescent="0.25">
      <c r="C27" t="s">
        <v>982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C:\Users\stu\Documents\GitHub\eaglep3-reporting\EC\2017-07-16-Enforcements.txt</v>
      </c>
    </row>
    <row r="28" spans="3:24" x14ac:dyDescent="0.25">
      <c r="C28" t="s">
        <v>983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C:\Users\stu\Documents\GitHub\eaglep3-reporting\EC\2017-07-16-Runs-refined.txt</v>
      </c>
    </row>
    <row r="29" spans="3:24" x14ac:dyDescent="0.25">
      <c r="C29" t="s">
        <v>984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C:\Users\stu\Documents\GitHub\eaglep3-reporting\EC\2017-07-16-Trips.txt</v>
      </c>
    </row>
    <row r="30" spans="3:24" x14ac:dyDescent="0.25">
      <c r="C30" t="s">
        <v>985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C:\Users\stu\Documents\GitHub\eaglep3-reporting\EC\2017-07-16-Weather.txt</v>
      </c>
    </row>
    <row r="31" spans="3:24" x14ac:dyDescent="0.25">
      <c r="J31" s="140" t="s">
        <v>194</v>
      </c>
      <c r="M31" s="154" t="s">
        <v>195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2017-07-17T17:19:06Z</dcterms:modified>
</cp:coreProperties>
</file>